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8828\Santander Office 365\BS Implementação Templates Locais - Geral\03. Templates\05. Template 5\04. Entregáveis\"/>
    </mc:Choice>
  </mc:AlternateContent>
  <bookViews>
    <workbookView xWindow="-108" yWindow="-108" windowWidth="23256" windowHeight="10896"/>
  </bookViews>
  <sheets>
    <sheet name="Instruções" sheetId="33" r:id="rId1"/>
    <sheet name="Menu" sheetId="29" r:id="rId2"/>
    <sheet name="Input" sheetId="27" r:id="rId3"/>
    <sheet name="5.CC Physical risk" sheetId="32" r:id="rId4"/>
  </sheets>
  <externalReferences>
    <externalReference r:id="rId5"/>
  </externalReferences>
  <definedNames>
    <definedName name="_xlnm._FilterDatabase" localSheetId="3" hidden="1">'5.CC Physical risk'!$A$4:$Q$25</definedName>
    <definedName name="_xlnm._FilterDatabase" localSheetId="2" hidden="1">Input!$C$6:$M$6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32" l="1"/>
  <c r="B34" i="32"/>
  <c r="B33" i="32"/>
  <c r="B32" i="32"/>
  <c r="B31" i="32"/>
  <c r="B30" i="32"/>
  <c r="B29" i="32"/>
  <c r="B28" i="32"/>
  <c r="B27" i="32"/>
  <c r="B26" i="32"/>
  <c r="Q23" i="32"/>
  <c r="P23" i="32"/>
  <c r="O23" i="32"/>
  <c r="N23" i="32"/>
  <c r="M23" i="32"/>
  <c r="L23" i="32"/>
  <c r="K23" i="32"/>
  <c r="J23" i="32"/>
  <c r="I23" i="32"/>
  <c r="G23" i="32"/>
  <c r="F23" i="32"/>
  <c r="E23" i="32"/>
  <c r="D23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H23" i="32" l="1"/>
  <c r="F10" i="29" l="1"/>
</calcChain>
</file>

<file path=xl/sharedStrings.xml><?xml version="1.0" encoding="utf-8"?>
<sst xmlns="http://schemas.openxmlformats.org/spreadsheetml/2006/main" count="37741" uniqueCount="129">
  <si>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</si>
  <si>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</si>
  <si>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</si>
  <si>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</si>
  <si>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</si>
  <si>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</si>
  <si>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</si>
  <si>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</si>
  <si>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</si>
  <si>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</si>
  <si>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</si>
  <si>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</si>
  <si>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A</t>
  </si>
  <si>
    <t>B</t>
  </si>
  <si>
    <t>C</t>
  </si>
  <si>
    <t>D</t>
  </si>
  <si>
    <t>E</t>
  </si>
  <si>
    <t>F</t>
  </si>
  <si>
    <t>G</t>
  </si>
  <si>
    <t>m</t>
  </si>
  <si>
    <t>n</t>
  </si>
  <si>
    <t>tipo_colateral</t>
  </si>
  <si>
    <t>amount</t>
  </si>
  <si>
    <t>Stock</t>
  </si>
  <si>
    <t>Garantia Residencial</t>
  </si>
  <si>
    <t>Garantia Comercial</t>
  </si>
  <si>
    <t>Sem Garantia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</si>
  <si>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</si>
  <si>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</si>
  <si>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</si>
  <si>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</si>
  <si>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</si>
  <si>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</si>
  <si>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</si>
  <si>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</si>
  <si>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</si>
  <si>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</si>
  <si>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</si>
  <si>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</si>
  <si>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</si>
  <si>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</si>
  <si>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</si>
  <si>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</si>
  <si>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</si>
  <si>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</si>
  <si>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</si>
  <si>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</si>
  <si>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</si>
  <si>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</si>
  <si>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</si>
  <si>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</si>
  <si>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</si>
  <si>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</si>
  <si>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</si>
  <si>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</si>
  <si>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</si>
  <si>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</si>
  <si>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acute_changes</t>
  </si>
  <si>
    <t>chronic_changes</t>
  </si>
  <si>
    <t>flag_physical_risk</t>
  </si>
  <si>
    <t>aveg_aux</t>
  </si>
  <si>
    <t>stage 1</t>
  </si>
  <si>
    <t>particulares</t>
  </si>
  <si>
    <t>imparidade</t>
  </si>
  <si>
    <t>N</t>
  </si>
  <si>
    <t>ACUT1</t>
  </si>
  <si>
    <t>CHRO2</t>
  </si>
  <si>
    <t>outras empresas nao financeiras</t>
  </si>
  <si>
    <t>valor bruto</t>
  </si>
  <si>
    <t>ACUT2</t>
  </si>
  <si>
    <t>stage 2</t>
  </si>
  <si>
    <t>stage 3</t>
  </si>
  <si>
    <t>Garantia Real</t>
  </si>
  <si>
    <t>CHRO1</t>
  </si>
  <si>
    <t>M</t>
  </si>
  <si>
    <t>L</t>
  </si>
  <si>
    <t>I</t>
  </si>
  <si>
    <t>J</t>
  </si>
  <si>
    <t>P</t>
  </si>
  <si>
    <t>Q</t>
  </si>
  <si>
    <t>S</t>
  </si>
  <si>
    <t>K</t>
  </si>
  <si>
    <t>H</t>
  </si>
  <si>
    <t>R</t>
  </si>
  <si>
    <t>outras instituicoes financeiras</t>
  </si>
  <si>
    <t>instituicoes de credito</t>
  </si>
  <si>
    <t>O</t>
  </si>
  <si>
    <t>U</t>
  </si>
  <si>
    <t>setor publico</t>
  </si>
  <si>
    <t>T</t>
  </si>
  <si>
    <t>Template 5: Banking book - Climate change physical risk: Exposures subject to physical risk</t>
  </si>
  <si>
    <t xml:space="preserve">o </t>
  </si>
  <si>
    <t>Variable: Geographical area subject to climate change physical risk - acute and chronic events</t>
  </si>
  <si>
    <t>Gross carrying amount (Mln EUR)</t>
  </si>
  <si>
    <t>of which exposures sensitive to impact from climate change physical events</t>
  </si>
  <si>
    <t>Breakdown by maturity bucket</t>
  </si>
  <si>
    <t>of which exposures sensitive to impact from chronic climate change events</t>
  </si>
  <si>
    <t>of which exposures sensitive to impact from acute climate change events</t>
  </si>
  <si>
    <t>of which exposures sensitive to impact both from chronic and acute climate change events</t>
  </si>
  <si>
    <t>Of which Stage 2 exposures</t>
  </si>
  <si>
    <t>Of which non-performing exposures</t>
  </si>
  <si>
    <t>Accumulated impairment, accumulated negative changes in fair value due to credit risk and provisions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</si>
  <si>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</si>
  <si>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</si>
  <si>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</si>
  <si>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</si>
  <si>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</si>
  <si>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Stage 2 exposures</t>
  </si>
  <si>
    <t>A - Agriculture, forestry and fishing</t>
  </si>
  <si>
    <t>B - Mining and quarrying</t>
  </si>
  <si>
    <t>C - Manufacturing</t>
  </si>
  <si>
    <t>D - Electricity, gas, steam and air conditioning supply</t>
  </si>
  <si>
    <t>E - Water supply; sewerage, waste management and remediation activities</t>
  </si>
  <si>
    <t>F - Construction</t>
  </si>
  <si>
    <t>G - Wholesale and retail trade; repair of motor vehicles and motorcycles</t>
  </si>
  <si>
    <t>H - Transportation and storage</t>
  </si>
  <si>
    <t>L - Real estate activities</t>
  </si>
  <si>
    <t>Loans collateralised by residential immovable property</t>
  </si>
  <si>
    <t>Loans collateralised by commercial immovable property</t>
  </si>
  <si>
    <t>Repossessed colalterals</t>
  </si>
  <si>
    <t>I - Accommodation and food service activities</t>
  </si>
  <si>
    <t>K - Financial and insurance activities</t>
  </si>
  <si>
    <t>J, M-U</t>
  </si>
  <si>
    <t>Exposures to other sectors (NACE codes J, M - U)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</si>
  <si>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"bu_esg_work.ag05_temp_cto_gra".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</si>
  <si>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5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"5.CC Physical risk".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</si>
  <si>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</si>
  <si>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"5.CC Physical risk"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</si>
  <si>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5_v1.0.sql".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</si>
</sst>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_-* #,##0.000_-;\-* #,##0.000_-;_-* &quot;-&quot;??_-;_-@_-"/>
    <numFmt numFmtId="167" formatCode="_-* #,##0.0000_-;\-* #,##0.0000_-;_-* &quot;-&quot;??_-;_-@_-"/>
    <numFmt numFmtId="168" formatCode="_-* #,##0.00000_-;\-* #,##0.00000_-;_-* &quot;-&quot;??_-;_-@_-"/>
  </numFmts>
  <fonts count="28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</font>
    <font>
      <b/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121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1" xfId="0" applyFont="1" applyFill="1" applyBorder="1" applyAlignment="1">
      <alignment vertical="center" wrapText="1"/>
    </xf>
    <xf numFmtId="0" fontId="0" fillId="0" borderId="0" xfId="0"/>
    <xf numFmtId="0" fontId="0" fillId="3" borderId="0" xfId="0" applyFill="1"/>
    <xf numFmtId="0" fontId="8" fillId="3" borderId="0" xfId="0" applyFont="1" applyFill="1"/>
    <xf numFmtId="0" fontId="8" fillId="3" borderId="11" xfId="0" applyFont="1" applyFill="1" applyBorder="1"/>
    <xf numFmtId="0" fontId="8" fillId="0" borderId="0" xfId="0" applyFont="1" applyFill="1"/>
    <xf numFmtId="0" fontId="0" fillId="0" borderId="0" xfId="0" applyFill="1" applyBorder="1"/>
    <xf numFmtId="0" fontId="8" fillId="0" borderId="0" xfId="0" applyFont="1" applyFill="1" applyBorder="1"/>
    <xf numFmtId="0" fontId="0" fillId="0" borderId="0" xfId="0" applyFill="1"/>
    <xf numFmtId="0" fontId="7" fillId="5" borderId="22" xfId="0" applyFont="1" applyFill="1" applyBorder="1"/>
    <xf numFmtId="0" fontId="7" fillId="5" borderId="23" xfId="0" applyFont="1" applyFill="1" applyBorder="1"/>
    <xf numFmtId="4" fontId="7" fillId="5" borderId="22" xfId="0" applyNumberFormat="1" applyFont="1" applyFill="1" applyBorder="1"/>
    <xf numFmtId="0" fontId="18" fillId="0" borderId="0" xfId="0" applyFont="1" applyFill="1"/>
    <xf numFmtId="0" fontId="18" fillId="0" borderId="0" xfId="0" applyFont="1" applyFill="1" applyBorder="1"/>
    <xf numFmtId="0" fontId="17" fillId="0" borderId="0" xfId="0" applyFont="1" applyFill="1"/>
    <xf numFmtId="0" fontId="6" fillId="0" borderId="0" xfId="0" applyFont="1" applyFill="1" applyBorder="1" applyAlignment="1">
      <alignment vertical="center"/>
    </xf>
    <xf numFmtId="0" fontId="20" fillId="6" borderId="0" xfId="0" applyFont="1" applyFill="1" applyAlignment="1">
      <alignment horizontal="center" vertical="center" wrapText="1"/>
    </xf>
    <xf numFmtId="0" fontId="9" fillId="3" borderId="0" xfId="0" applyFont="1" applyFill="1"/>
    <xf numFmtId="0" fontId="9" fillId="0" borderId="0" xfId="0" applyFont="1"/>
    <xf numFmtId="0" fontId="9" fillId="0" borderId="0" xfId="0" applyFont="1" applyAlignment="1">
      <alignment horizontal="left" indent="1"/>
    </xf>
    <xf numFmtId="0" fontId="9" fillId="3" borderId="0" xfId="0" quotePrefix="1" applyFont="1" applyFill="1" applyAlignment="1">
      <alignment horizontal="left" indent="1"/>
    </xf>
    <xf numFmtId="0" fontId="23" fillId="5" borderId="24" xfId="0" applyFont="1" applyFill="1" applyBorder="1" applyAlignment="1">
      <alignment vertical="center"/>
    </xf>
    <xf numFmtId="0" fontId="7" fillId="5" borderId="24" xfId="0" applyFont="1" applyFill="1" applyBorder="1"/>
    <xf numFmtId="0" fontId="24" fillId="5" borderId="24" xfId="0" applyFont="1" applyFill="1" applyBorder="1"/>
    <xf numFmtId="0" fontId="13" fillId="3" borderId="0" xfId="0" applyFont="1" applyFill="1" applyBorder="1" applyProtection="1"/>
    <xf numFmtId="0" fontId="0" fillId="3" borderId="0" xfId="0" applyFill="1" applyProtection="1">
      <protection locked="0"/>
    </xf>
    <xf numFmtId="0" fontId="8" fillId="3" borderId="0" xfId="0" applyFont="1" applyFill="1" applyProtection="1">
      <protection locked="0"/>
    </xf>
    <xf numFmtId="0" fontId="8" fillId="3" borderId="11" xfId="0" applyFont="1" applyFill="1" applyBorder="1" applyProtection="1">
      <protection locked="0"/>
    </xf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0" fontId="10" fillId="0" borderId="12" xfId="0" applyFont="1" applyFill="1" applyBorder="1" applyProtection="1">
      <protection locked="0"/>
    </xf>
    <xf numFmtId="0" fontId="9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0" fillId="0" borderId="0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3" borderId="13" xfId="0" applyFont="1" applyFill="1" applyBorder="1" applyProtection="1">
      <protection locked="0"/>
    </xf>
    <xf numFmtId="0" fontId="9" fillId="3" borderId="14" xfId="0" applyFont="1" applyFill="1" applyBorder="1" applyProtection="1">
      <protection locked="0"/>
    </xf>
    <xf numFmtId="0" fontId="9" fillId="3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16" xfId="0" applyFont="1" applyFill="1" applyBorder="1" applyProtection="1">
      <protection locked="0"/>
    </xf>
    <xf numFmtId="0" fontId="12" fillId="3" borderId="0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 applyProtection="1">
      <alignment horizontal="centerContinuous"/>
      <protection locked="0"/>
    </xf>
    <xf numFmtId="14" fontId="12" fillId="4" borderId="17" xfId="0" applyNumberFormat="1" applyFont="1" applyFill="1" applyBorder="1" applyAlignment="1" applyProtection="1">
      <alignment horizontal="centerContinuous" wrapText="1"/>
      <protection locked="0"/>
    </xf>
    <xf numFmtId="0" fontId="0" fillId="3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1" fillId="0" borderId="0" xfId="0" applyFont="1" applyProtection="1">
      <protection locked="0"/>
    </xf>
    <xf numFmtId="0" fontId="3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19" xfId="0" applyFont="1" applyFill="1" applyBorder="1" applyProtection="1">
      <protection locked="0"/>
    </xf>
    <xf numFmtId="0" fontId="0" fillId="3" borderId="20" xfId="0" applyFont="1" applyFill="1" applyBorder="1" applyProtection="1">
      <protection locked="0"/>
    </xf>
    <xf numFmtId="0" fontId="0" fillId="3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5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18" xfId="0" applyFont="1" applyFill="1" applyBorder="1" applyProtection="1"/>
    <xf numFmtId="0" fontId="3" fillId="2" borderId="0" xfId="0" applyFont="1" applyFill="1"/>
    <xf numFmtId="0" fontId="3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" borderId="3" xfId="0" applyFont="1" applyFill="1" applyBorder="1" applyAlignment="1">
      <alignment vertical="center" wrapText="1"/>
    </xf>
    <xf numFmtId="0" fontId="1" fillId="2" borderId="0" xfId="0" applyFont="1" applyFill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25" fillId="2" borderId="8" xfId="0" applyFont="1" applyFill="1" applyBorder="1"/>
    <xf numFmtId="0" fontId="1" fillId="0" borderId="2" xfId="0" applyFont="1" applyBorder="1" applyAlignment="1">
      <alignment vertical="center" wrapText="1"/>
    </xf>
    <xf numFmtId="0" fontId="4" fillId="0" borderId="0" xfId="0" applyFont="1" applyFill="1"/>
    <xf numFmtId="0" fontId="16" fillId="0" borderId="0" xfId="0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vertical="center"/>
    </xf>
    <xf numFmtId="0" fontId="3" fillId="0" borderId="0" xfId="0" applyFont="1" applyFill="1"/>
    <xf numFmtId="0" fontId="3" fillId="2" borderId="2" xfId="0" applyFont="1" applyFill="1" applyBorder="1" applyAlignment="1">
      <alignment vertical="top"/>
    </xf>
    <xf numFmtId="0" fontId="16" fillId="0" borderId="0" xfId="0" quotePrefix="1" applyFont="1" applyFill="1"/>
    <xf numFmtId="0" fontId="16" fillId="2" borderId="0" xfId="0" applyFont="1" applyFill="1"/>
    <xf numFmtId="0" fontId="25" fillId="2" borderId="0" xfId="0" applyFont="1" applyFill="1"/>
    <xf numFmtId="0" fontId="25" fillId="0" borderId="0" xfId="0" applyFont="1" applyFill="1"/>
    <xf numFmtId="164" fontId="16" fillId="0" borderId="0" xfId="1" applyNumberFormat="1" applyFont="1" applyFill="1" applyBorder="1" applyAlignment="1">
      <alignment vertical="center"/>
    </xf>
    <xf numFmtId="164" fontId="16" fillId="2" borderId="0" xfId="1" applyNumberFormat="1" applyFont="1" applyFill="1" applyBorder="1" applyAlignment="1">
      <alignment vertical="center"/>
    </xf>
    <xf numFmtId="0" fontId="26" fillId="0" borderId="0" xfId="0" applyFont="1" applyFill="1" applyBorder="1"/>
    <xf numFmtId="3" fontId="1" fillId="2" borderId="0" xfId="0" applyNumberFormat="1" applyFont="1" applyFill="1"/>
    <xf numFmtId="164" fontId="1" fillId="0" borderId="0" xfId="1" applyNumberFormat="1" applyFont="1" applyFill="1" applyBorder="1" applyAlignment="1">
      <alignment vertical="center" wrapText="1"/>
    </xf>
    <xf numFmtId="164" fontId="1" fillId="0" borderId="0" xfId="1" applyNumberFormat="1" applyFont="1" applyFill="1" applyBorder="1" applyAlignment="1">
      <alignment vertical="center"/>
    </xf>
    <xf numFmtId="164" fontId="1" fillId="2" borderId="0" xfId="1" applyNumberFormat="1" applyFont="1" applyFill="1" applyBorder="1" applyAlignment="1">
      <alignment vertical="center"/>
    </xf>
    <xf numFmtId="164" fontId="1" fillId="2" borderId="0" xfId="1" quotePrefix="1" applyNumberFormat="1" applyFont="1" applyFill="1" applyBorder="1" applyAlignment="1">
      <alignment vertical="center"/>
    </xf>
    <xf numFmtId="4" fontId="3" fillId="2" borderId="0" xfId="0" applyNumberFormat="1" applyFont="1" applyFill="1"/>
    <xf numFmtId="164" fontId="3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/>
    </xf>
    <xf numFmtId="164" fontId="4" fillId="2" borderId="0" xfId="1" applyNumberFormat="1" applyFont="1" applyFill="1" applyBorder="1" applyAlignment="1">
      <alignment vertical="center"/>
    </xf>
    <xf numFmtId="164" fontId="3" fillId="2" borderId="0" xfId="1" quotePrefix="1" applyNumberFormat="1" applyFont="1" applyFill="1" applyBorder="1" applyAlignment="1">
      <alignment vertical="center" wrapText="1"/>
    </xf>
    <xf numFmtId="164" fontId="3" fillId="2" borderId="0" xfId="0" applyNumberFormat="1" applyFont="1" applyFill="1"/>
    <xf numFmtId="164" fontId="3" fillId="0" borderId="2" xfId="1" applyNumberFormat="1" applyFont="1" applyFill="1" applyBorder="1" applyAlignment="1">
      <alignment vertical="center"/>
    </xf>
    <xf numFmtId="4" fontId="0" fillId="0" borderId="0" xfId="0" applyNumberFormat="1"/>
    <xf numFmtId="164" fontId="3" fillId="0" borderId="0" xfId="1" applyNumberFormat="1" applyFont="1" applyFill="1" applyBorder="1" applyAlignment="1">
      <alignment vertical="center"/>
    </xf>
    <xf numFmtId="43" fontId="3" fillId="0" borderId="0" xfId="1" applyNumberFormat="1" applyFont="1" applyFill="1" applyBorder="1" applyAlignment="1">
      <alignment vertical="center"/>
    </xf>
    <xf numFmtId="165" fontId="3" fillId="0" borderId="2" xfId="1" applyNumberFormat="1" applyFont="1" applyFill="1" applyBorder="1" applyAlignment="1">
      <alignment vertical="center"/>
    </xf>
    <xf numFmtId="166" fontId="3" fillId="0" borderId="0" xfId="1" applyNumberFormat="1" applyFont="1" applyFill="1" applyBorder="1" applyAlignment="1">
      <alignment vertical="center"/>
    </xf>
    <xf numFmtId="167" fontId="3" fillId="0" borderId="2" xfId="1" applyNumberFormat="1" applyFont="1" applyFill="1" applyBorder="1" applyAlignment="1">
      <alignment vertical="center"/>
    </xf>
    <xf numFmtId="168" fontId="3" fillId="0" borderId="0" xfId="1" applyNumberFormat="1" applyFont="1" applyFill="1" applyBorder="1" applyAlignment="1">
      <alignment vertical="center"/>
    </xf>
    <xf numFmtId="0" fontId="16" fillId="7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left" vertical="center" wrapText="1" indent="1"/>
    </xf>
    <xf numFmtId="0" fontId="9" fillId="3" borderId="0" xfId="0" applyFont="1" applyFill="1" applyAlignment="1">
      <alignment horizontal="lef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4" customWidth="1"/>
    <col min="3" max="4" width="7.6640625" style="4" customWidth="1"/>
    <col min="5" max="5" width="0.44140625" style="4" customWidth="1"/>
    <col min="6" max="6" width="7.6640625" style="4" customWidth="1"/>
    <col min="7" max="7" width="0.44140625" style="4" customWidth="1"/>
    <col min="8" max="20" width="10.6640625" style="4" customWidth="1"/>
    <col min="21" max="21" width="8.6640625" style="4" customWidth="1"/>
    <col min="22" max="22" width="3.6640625" style="4" customWidth="1"/>
    <col min="23" max="16384" width="0" style="4" hidden="1"/>
  </cols>
  <sheetData>
    <row r="1" spans="1:16384" s="5" customFormat="1" ht="14.4" x14ac:dyDescent="0.3"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4"/>
      <c r="ZT1" s="4"/>
      <c r="ZU1" s="4"/>
      <c r="ZV1" s="4"/>
      <c r="ZW1" s="4"/>
      <c r="ZX1" s="4"/>
      <c r="ZY1" s="4"/>
      <c r="ZZ1" s="4"/>
      <c r="AAA1" s="4"/>
      <c r="AAB1" s="4"/>
      <c r="AAC1" s="4"/>
      <c r="AAD1" s="4"/>
      <c r="AAE1" s="4"/>
      <c r="AAF1" s="4"/>
      <c r="AAG1" s="4"/>
      <c r="AAH1" s="4"/>
      <c r="AAI1" s="4"/>
      <c r="AAJ1" s="4"/>
      <c r="AAK1" s="4"/>
      <c r="AAL1" s="4"/>
      <c r="AAM1" s="4"/>
      <c r="AAN1" s="4"/>
      <c r="AAO1" s="4"/>
      <c r="AAP1" s="4"/>
      <c r="AAQ1" s="4"/>
      <c r="AAR1" s="4"/>
      <c r="AAS1" s="4"/>
      <c r="AAT1" s="4"/>
      <c r="AAU1" s="4"/>
      <c r="AAV1" s="4"/>
      <c r="AAW1" s="4"/>
      <c r="AAX1" s="4"/>
      <c r="AAY1" s="4"/>
      <c r="AAZ1" s="4"/>
      <c r="ABA1" s="4"/>
      <c r="ABB1" s="4"/>
      <c r="ABC1" s="4"/>
      <c r="ABD1" s="4"/>
      <c r="ABE1" s="4"/>
      <c r="ABF1" s="4"/>
      <c r="ABG1" s="4"/>
      <c r="ABH1" s="4"/>
      <c r="ABI1" s="4"/>
      <c r="ABJ1" s="4"/>
      <c r="ABK1" s="4"/>
      <c r="ABL1" s="4"/>
      <c r="ABM1" s="4"/>
      <c r="ABN1" s="4"/>
      <c r="ABO1" s="4"/>
      <c r="ABP1" s="4"/>
      <c r="ABQ1" s="4"/>
      <c r="ABR1" s="4"/>
      <c r="ABS1" s="4"/>
      <c r="ABT1" s="4"/>
      <c r="ABU1" s="4"/>
      <c r="ABV1" s="4"/>
      <c r="ABW1" s="4"/>
      <c r="ABX1" s="4"/>
      <c r="ABY1" s="4"/>
      <c r="ABZ1" s="4"/>
      <c r="ACA1" s="4"/>
      <c r="ACB1" s="4"/>
      <c r="ACC1" s="4"/>
      <c r="ACD1" s="4"/>
      <c r="ACE1" s="4"/>
      <c r="ACF1" s="4"/>
      <c r="ACG1" s="4"/>
      <c r="ACH1" s="4"/>
      <c r="ACI1" s="4"/>
      <c r="ACJ1" s="4"/>
      <c r="ACK1" s="4"/>
      <c r="ACL1" s="4"/>
      <c r="ACM1" s="4"/>
      <c r="ACN1" s="4"/>
      <c r="ACO1" s="4"/>
      <c r="ACP1" s="4"/>
      <c r="ACQ1" s="4"/>
      <c r="ACR1" s="4"/>
      <c r="ACS1" s="4"/>
      <c r="ACT1" s="4"/>
      <c r="ACU1" s="4"/>
      <c r="ACV1" s="4"/>
      <c r="ACW1" s="4"/>
      <c r="ACX1" s="4"/>
      <c r="ACY1" s="4"/>
      <c r="ACZ1" s="4"/>
      <c r="ADA1" s="4"/>
      <c r="ADB1" s="4"/>
      <c r="ADC1" s="4"/>
      <c r="ADD1" s="4"/>
      <c r="ADE1" s="4"/>
      <c r="ADF1" s="4"/>
      <c r="ADG1" s="4"/>
      <c r="ADH1" s="4"/>
      <c r="ADI1" s="4"/>
      <c r="ADJ1" s="4"/>
      <c r="ADK1" s="4"/>
      <c r="ADL1" s="4"/>
      <c r="ADM1" s="4"/>
      <c r="ADN1" s="4"/>
      <c r="ADO1" s="4"/>
      <c r="ADP1" s="4"/>
      <c r="ADQ1" s="4"/>
      <c r="ADR1" s="4"/>
      <c r="ADS1" s="4"/>
      <c r="ADT1" s="4"/>
      <c r="ADU1" s="4"/>
      <c r="ADV1" s="4"/>
      <c r="ADW1" s="4"/>
      <c r="ADX1" s="4"/>
      <c r="ADY1" s="4"/>
      <c r="ADZ1" s="4"/>
      <c r="AEA1" s="4"/>
      <c r="AEB1" s="4"/>
      <c r="AEC1" s="4"/>
      <c r="AED1" s="4"/>
      <c r="AEE1" s="4"/>
      <c r="AEF1" s="4"/>
      <c r="AEG1" s="4"/>
      <c r="AEH1" s="4"/>
      <c r="AEI1" s="4"/>
      <c r="AEJ1" s="4"/>
      <c r="AEK1" s="4"/>
      <c r="AEL1" s="4"/>
      <c r="AEM1" s="4"/>
      <c r="AEN1" s="4"/>
      <c r="AEO1" s="4"/>
      <c r="AEP1" s="4"/>
      <c r="AEQ1" s="4"/>
      <c r="AER1" s="4"/>
      <c r="AES1" s="4"/>
      <c r="AET1" s="4"/>
      <c r="AEU1" s="4"/>
      <c r="AEV1" s="4"/>
      <c r="AEW1" s="4"/>
      <c r="AEX1" s="4"/>
      <c r="AEY1" s="4"/>
      <c r="AEZ1" s="4"/>
      <c r="AFA1" s="4"/>
      <c r="AFB1" s="4"/>
      <c r="AFC1" s="4"/>
      <c r="AFD1" s="4"/>
      <c r="AFE1" s="4"/>
      <c r="AFF1" s="4"/>
      <c r="AFG1" s="4"/>
      <c r="AFH1" s="4"/>
      <c r="AFI1" s="4"/>
      <c r="AFJ1" s="4"/>
      <c r="AFK1" s="4"/>
      <c r="AFL1" s="4"/>
      <c r="AFM1" s="4"/>
      <c r="AFN1" s="4"/>
      <c r="AFO1" s="4"/>
      <c r="AFP1" s="4"/>
      <c r="AFQ1" s="4"/>
      <c r="AFR1" s="4"/>
      <c r="AFS1" s="4"/>
      <c r="AFT1" s="4"/>
      <c r="AFU1" s="4"/>
      <c r="AFV1" s="4"/>
      <c r="AFW1" s="4"/>
      <c r="AFX1" s="4"/>
      <c r="AFY1" s="4"/>
      <c r="AFZ1" s="4"/>
      <c r="AGA1" s="4"/>
      <c r="AGB1" s="4"/>
      <c r="AGC1" s="4"/>
      <c r="AGD1" s="4"/>
      <c r="AGE1" s="4"/>
      <c r="AGF1" s="4"/>
      <c r="AGG1" s="4"/>
      <c r="AGH1" s="4"/>
      <c r="AGI1" s="4"/>
      <c r="AGJ1" s="4"/>
      <c r="AGK1" s="4"/>
      <c r="AGL1" s="4"/>
      <c r="AGM1" s="4"/>
      <c r="AGN1" s="4"/>
      <c r="AGO1" s="4"/>
      <c r="AGP1" s="4"/>
      <c r="AGQ1" s="4"/>
      <c r="AGR1" s="4"/>
      <c r="AGS1" s="4"/>
      <c r="AGT1" s="4"/>
      <c r="AGU1" s="4"/>
      <c r="AGV1" s="4"/>
      <c r="AGW1" s="4"/>
      <c r="AGX1" s="4"/>
      <c r="AGY1" s="4"/>
      <c r="AGZ1" s="4"/>
      <c r="AHA1" s="4"/>
      <c r="AHB1" s="4"/>
      <c r="AHC1" s="4"/>
      <c r="AHD1" s="4"/>
      <c r="AHE1" s="4"/>
      <c r="AHF1" s="4"/>
      <c r="AHG1" s="4"/>
      <c r="AHH1" s="4"/>
      <c r="AHI1" s="4"/>
      <c r="AHJ1" s="4"/>
      <c r="AHK1" s="4"/>
      <c r="AHL1" s="4"/>
      <c r="AHM1" s="4"/>
      <c r="AHN1" s="4"/>
      <c r="AHO1" s="4"/>
      <c r="AHP1" s="4"/>
      <c r="AHQ1" s="4"/>
      <c r="AHR1" s="4"/>
      <c r="AHS1" s="4"/>
      <c r="AHT1" s="4"/>
      <c r="AHU1" s="4"/>
      <c r="AHV1" s="4"/>
      <c r="AHW1" s="4"/>
      <c r="AHX1" s="4"/>
      <c r="AHY1" s="4"/>
      <c r="AHZ1" s="4"/>
      <c r="AIA1" s="4"/>
      <c r="AIB1" s="4"/>
      <c r="AIC1" s="4"/>
      <c r="AID1" s="4"/>
      <c r="AIE1" s="4"/>
      <c r="AIF1" s="4"/>
      <c r="AIG1" s="4"/>
      <c r="AIH1" s="4"/>
      <c r="AII1" s="4"/>
      <c r="AIJ1" s="4"/>
      <c r="AIK1" s="4"/>
      <c r="AIL1" s="4"/>
      <c r="AIM1" s="4"/>
      <c r="AIN1" s="4"/>
      <c r="AIO1" s="4"/>
      <c r="AIP1" s="4"/>
      <c r="AIQ1" s="4"/>
      <c r="AIR1" s="4"/>
      <c r="AIS1" s="4"/>
      <c r="AIT1" s="4"/>
      <c r="AIU1" s="4"/>
      <c r="AIV1" s="4"/>
      <c r="AIW1" s="4"/>
      <c r="AIX1" s="4"/>
      <c r="AIY1" s="4"/>
      <c r="AIZ1" s="4"/>
      <c r="AJA1" s="4"/>
      <c r="AJB1" s="4"/>
      <c r="AJC1" s="4"/>
      <c r="AJD1" s="4"/>
      <c r="AJE1" s="4"/>
      <c r="AJF1" s="4"/>
      <c r="AJG1" s="4"/>
      <c r="AJH1" s="4"/>
      <c r="AJI1" s="4"/>
      <c r="AJJ1" s="4"/>
      <c r="AJK1" s="4"/>
      <c r="AJL1" s="4"/>
      <c r="AJM1" s="4"/>
      <c r="AJN1" s="4"/>
      <c r="AJO1" s="4"/>
      <c r="AJP1" s="4"/>
      <c r="AJQ1" s="4"/>
      <c r="AJR1" s="4"/>
      <c r="AJS1" s="4"/>
      <c r="AJT1" s="4"/>
      <c r="AJU1" s="4"/>
      <c r="AJV1" s="4"/>
      <c r="AJW1" s="4"/>
      <c r="AJX1" s="4"/>
      <c r="AJY1" s="4"/>
      <c r="AJZ1" s="4"/>
      <c r="AKA1" s="4"/>
      <c r="AKB1" s="4"/>
      <c r="AKC1" s="4"/>
      <c r="AKD1" s="4"/>
      <c r="AKE1" s="4"/>
      <c r="AKF1" s="4"/>
      <c r="AKG1" s="4"/>
      <c r="AKH1" s="4"/>
      <c r="AKI1" s="4"/>
      <c r="AKJ1" s="4"/>
      <c r="AKK1" s="4"/>
      <c r="AKL1" s="4"/>
      <c r="AKM1" s="4"/>
      <c r="AKN1" s="4"/>
      <c r="AKO1" s="4"/>
      <c r="AKP1" s="4"/>
      <c r="AKQ1" s="4"/>
      <c r="AKR1" s="4"/>
      <c r="AKS1" s="4"/>
      <c r="AKT1" s="4"/>
      <c r="AKU1" s="4"/>
      <c r="AKV1" s="4"/>
      <c r="AKW1" s="4"/>
      <c r="AKX1" s="4"/>
      <c r="AKY1" s="4"/>
      <c r="AKZ1" s="4"/>
      <c r="ALA1" s="4"/>
      <c r="ALB1" s="4"/>
      <c r="ALC1" s="4"/>
      <c r="ALD1" s="4"/>
      <c r="ALE1" s="4"/>
      <c r="ALF1" s="4"/>
      <c r="ALG1" s="4"/>
      <c r="ALH1" s="4"/>
      <c r="ALI1" s="4"/>
      <c r="ALJ1" s="4"/>
      <c r="ALK1" s="4"/>
      <c r="ALL1" s="4"/>
      <c r="ALM1" s="4"/>
      <c r="ALN1" s="4"/>
      <c r="ALO1" s="4"/>
      <c r="ALP1" s="4"/>
      <c r="ALQ1" s="4"/>
      <c r="ALR1" s="4"/>
      <c r="ALS1" s="4"/>
      <c r="ALT1" s="4"/>
      <c r="ALU1" s="4"/>
      <c r="ALV1" s="4"/>
      <c r="ALW1" s="4"/>
      <c r="ALX1" s="4"/>
      <c r="ALY1" s="4"/>
      <c r="ALZ1" s="4"/>
      <c r="AMA1" s="4"/>
      <c r="AMB1" s="4"/>
      <c r="AMC1" s="4"/>
      <c r="AMD1" s="4"/>
      <c r="AME1" s="4"/>
      <c r="AMF1" s="4"/>
      <c r="AMG1" s="4"/>
      <c r="AMH1" s="4"/>
      <c r="AMI1" s="4"/>
      <c r="AMJ1" s="4"/>
      <c r="AMK1" s="4"/>
      <c r="AML1" s="4"/>
      <c r="AMM1" s="4"/>
      <c r="AMN1" s="4"/>
      <c r="AMO1" s="4"/>
      <c r="AMP1" s="4"/>
      <c r="AMQ1" s="4"/>
      <c r="AMR1" s="4"/>
      <c r="AMS1" s="4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  <c r="ASV1" s="4"/>
      <c r="ASW1" s="4"/>
      <c r="ASX1" s="4"/>
      <c r="ASY1" s="4"/>
      <c r="ASZ1" s="4"/>
      <c r="ATA1" s="4"/>
      <c r="ATB1" s="4"/>
      <c r="ATC1" s="4"/>
      <c r="ATD1" s="4"/>
      <c r="ATE1" s="4"/>
      <c r="ATF1" s="4"/>
      <c r="ATG1" s="4"/>
      <c r="ATH1" s="4"/>
      <c r="ATI1" s="4"/>
      <c r="ATJ1" s="4"/>
      <c r="ATK1" s="4"/>
      <c r="ATL1" s="4"/>
      <c r="ATM1" s="4"/>
      <c r="ATN1" s="4"/>
      <c r="ATO1" s="4"/>
      <c r="ATP1" s="4"/>
      <c r="ATQ1" s="4"/>
      <c r="ATR1" s="4"/>
      <c r="ATS1" s="4"/>
      <c r="ATT1" s="4"/>
      <c r="ATU1" s="4"/>
      <c r="ATV1" s="4"/>
      <c r="ATW1" s="4"/>
      <c r="ATX1" s="4"/>
      <c r="ATY1" s="4"/>
      <c r="ATZ1" s="4"/>
      <c r="AUA1" s="4"/>
      <c r="AUB1" s="4"/>
      <c r="AUC1" s="4"/>
      <c r="AUD1" s="4"/>
      <c r="AUE1" s="4"/>
      <c r="AUF1" s="4"/>
      <c r="AUG1" s="4"/>
      <c r="AUH1" s="4"/>
      <c r="AUI1" s="4"/>
      <c r="AUJ1" s="4"/>
      <c r="AUK1" s="4"/>
      <c r="AUL1" s="4"/>
      <c r="AUM1" s="4"/>
      <c r="AUN1" s="4"/>
      <c r="AUO1" s="4"/>
      <c r="AUP1" s="4"/>
      <c r="AUQ1" s="4"/>
      <c r="AUR1" s="4"/>
      <c r="AUS1" s="4"/>
      <c r="AUT1" s="4"/>
      <c r="AUU1" s="4"/>
      <c r="AUV1" s="4"/>
      <c r="AUW1" s="4"/>
      <c r="AUX1" s="4"/>
      <c r="AUY1" s="4"/>
      <c r="AUZ1" s="4"/>
      <c r="AVA1" s="4"/>
      <c r="AVB1" s="4"/>
      <c r="AVC1" s="4"/>
      <c r="AVD1" s="4"/>
      <c r="AVE1" s="4"/>
      <c r="AVF1" s="4"/>
      <c r="AVG1" s="4"/>
      <c r="AVH1" s="4"/>
      <c r="AVI1" s="4"/>
      <c r="AVJ1" s="4"/>
      <c r="AVK1" s="4"/>
      <c r="AVL1" s="4"/>
      <c r="AVM1" s="4"/>
      <c r="AVN1" s="4"/>
      <c r="AVO1" s="4"/>
      <c r="AVP1" s="4"/>
      <c r="AVQ1" s="4"/>
      <c r="AVR1" s="4"/>
      <c r="AVS1" s="4"/>
      <c r="AVT1" s="4"/>
      <c r="AVU1" s="4"/>
      <c r="AVV1" s="4"/>
      <c r="AVW1" s="4"/>
      <c r="AVX1" s="4"/>
      <c r="AVY1" s="4"/>
      <c r="AVZ1" s="4"/>
      <c r="AWA1" s="4"/>
      <c r="AWB1" s="4"/>
      <c r="AWC1" s="4"/>
      <c r="AWD1" s="4"/>
      <c r="AWE1" s="4"/>
      <c r="AWF1" s="4"/>
      <c r="AWG1" s="4"/>
      <c r="AWH1" s="4"/>
      <c r="AWI1" s="4"/>
      <c r="AWJ1" s="4"/>
      <c r="AWK1" s="4"/>
      <c r="AWL1" s="4"/>
      <c r="AWM1" s="4"/>
      <c r="AWN1" s="4"/>
      <c r="AWO1" s="4"/>
      <c r="AWP1" s="4"/>
      <c r="AWQ1" s="4"/>
      <c r="AWR1" s="4"/>
      <c r="AWS1" s="4"/>
      <c r="AWT1" s="4"/>
      <c r="AWU1" s="4"/>
      <c r="AWV1" s="4"/>
      <c r="AWW1" s="4"/>
      <c r="AWX1" s="4"/>
      <c r="AWY1" s="4"/>
      <c r="AWZ1" s="4"/>
      <c r="AXA1" s="4"/>
      <c r="AXB1" s="4"/>
      <c r="AXC1" s="4"/>
      <c r="AXD1" s="4"/>
      <c r="AXE1" s="4"/>
      <c r="AXF1" s="4"/>
      <c r="AXG1" s="4"/>
      <c r="AXH1" s="4"/>
      <c r="AXI1" s="4"/>
      <c r="AXJ1" s="4"/>
      <c r="AXK1" s="4"/>
      <c r="AXL1" s="4"/>
      <c r="AXM1" s="4"/>
      <c r="AXN1" s="4"/>
      <c r="AXO1" s="4"/>
      <c r="AXP1" s="4"/>
      <c r="AXQ1" s="4"/>
      <c r="AXR1" s="4"/>
      <c r="AXS1" s="4"/>
      <c r="AXT1" s="4"/>
      <c r="AXU1" s="4"/>
      <c r="AXV1" s="4"/>
      <c r="AXW1" s="4"/>
      <c r="AXX1" s="4"/>
      <c r="AXY1" s="4"/>
      <c r="AXZ1" s="4"/>
      <c r="AYA1" s="4"/>
      <c r="AYB1" s="4"/>
      <c r="AYC1" s="4"/>
      <c r="AYD1" s="4"/>
      <c r="AYE1" s="4"/>
      <c r="AYF1" s="4"/>
      <c r="AYG1" s="4"/>
      <c r="AYH1" s="4"/>
      <c r="AYI1" s="4"/>
      <c r="AYJ1" s="4"/>
      <c r="AYK1" s="4"/>
      <c r="AYL1" s="4"/>
      <c r="AYM1" s="4"/>
      <c r="AYN1" s="4"/>
      <c r="AYO1" s="4"/>
      <c r="AYP1" s="4"/>
      <c r="AYQ1" s="4"/>
      <c r="AYR1" s="4"/>
      <c r="AYS1" s="4"/>
      <c r="AYT1" s="4"/>
      <c r="AYU1" s="4"/>
      <c r="AYV1" s="4"/>
      <c r="AYW1" s="4"/>
      <c r="AYX1" s="4"/>
      <c r="AYY1" s="4"/>
      <c r="AYZ1" s="4"/>
      <c r="AZA1" s="4"/>
      <c r="AZB1" s="4"/>
      <c r="AZC1" s="4"/>
      <c r="AZD1" s="4"/>
      <c r="AZE1" s="4"/>
      <c r="AZF1" s="4"/>
      <c r="AZG1" s="4"/>
      <c r="AZH1" s="4"/>
      <c r="AZI1" s="4"/>
      <c r="AZJ1" s="4"/>
      <c r="AZK1" s="4"/>
      <c r="AZL1" s="4"/>
      <c r="AZM1" s="4"/>
      <c r="AZN1" s="4"/>
      <c r="AZO1" s="4"/>
      <c r="AZP1" s="4"/>
      <c r="AZQ1" s="4"/>
      <c r="AZR1" s="4"/>
      <c r="AZS1" s="4"/>
      <c r="AZT1" s="4"/>
      <c r="AZU1" s="4"/>
      <c r="AZV1" s="4"/>
      <c r="AZW1" s="4"/>
      <c r="AZX1" s="4"/>
      <c r="AZY1" s="4"/>
      <c r="AZZ1" s="4"/>
      <c r="BAA1" s="4"/>
      <c r="BAB1" s="4"/>
      <c r="BAC1" s="4"/>
      <c r="BAD1" s="4"/>
      <c r="BAE1" s="4"/>
      <c r="BAF1" s="4"/>
      <c r="BAG1" s="4"/>
      <c r="BAH1" s="4"/>
      <c r="BAI1" s="4"/>
      <c r="BAJ1" s="4"/>
      <c r="BAK1" s="4"/>
      <c r="BAL1" s="4"/>
      <c r="BAM1" s="4"/>
      <c r="BAN1" s="4"/>
      <c r="BAO1" s="4"/>
      <c r="BAP1" s="4"/>
      <c r="BAQ1" s="4"/>
      <c r="BAR1" s="4"/>
      <c r="BAS1" s="4"/>
      <c r="BAT1" s="4"/>
      <c r="BAU1" s="4"/>
      <c r="BAV1" s="4"/>
      <c r="BAW1" s="4"/>
      <c r="BAX1" s="4"/>
      <c r="BAY1" s="4"/>
      <c r="BAZ1" s="4"/>
      <c r="BBA1" s="4"/>
      <c r="BBB1" s="4"/>
      <c r="BBC1" s="4"/>
      <c r="BBD1" s="4"/>
      <c r="BBE1" s="4"/>
      <c r="BBF1" s="4"/>
      <c r="BBG1" s="4"/>
      <c r="BBH1" s="4"/>
      <c r="BBI1" s="4"/>
      <c r="BBJ1" s="4"/>
      <c r="BBK1" s="4"/>
      <c r="BBL1" s="4"/>
      <c r="BBM1" s="4"/>
      <c r="BBN1" s="4"/>
      <c r="BBO1" s="4"/>
      <c r="BBP1" s="4"/>
      <c r="BBQ1" s="4"/>
      <c r="BBR1" s="4"/>
      <c r="BBS1" s="4"/>
      <c r="BBT1" s="4"/>
      <c r="BBU1" s="4"/>
      <c r="BBV1" s="4"/>
      <c r="BBW1" s="4"/>
      <c r="BBX1" s="4"/>
      <c r="BBY1" s="4"/>
      <c r="BBZ1" s="4"/>
      <c r="BCA1" s="4"/>
      <c r="BCB1" s="4"/>
      <c r="BCC1" s="4"/>
      <c r="BCD1" s="4"/>
      <c r="BCE1" s="4"/>
      <c r="BCF1" s="4"/>
      <c r="BCG1" s="4"/>
      <c r="BCH1" s="4"/>
      <c r="BCI1" s="4"/>
      <c r="BCJ1" s="4"/>
      <c r="BCK1" s="4"/>
      <c r="BCL1" s="4"/>
      <c r="BCM1" s="4"/>
      <c r="BCN1" s="4"/>
      <c r="BCO1" s="4"/>
      <c r="BCP1" s="4"/>
      <c r="BCQ1" s="4"/>
      <c r="BCR1" s="4"/>
      <c r="BCS1" s="4"/>
      <c r="BCT1" s="4"/>
      <c r="BCU1" s="4"/>
      <c r="BCV1" s="4"/>
      <c r="BCW1" s="4"/>
      <c r="BCX1" s="4"/>
      <c r="BCY1" s="4"/>
      <c r="BCZ1" s="4"/>
      <c r="BDA1" s="4"/>
      <c r="BDB1" s="4"/>
      <c r="BDC1" s="4"/>
      <c r="BDD1" s="4"/>
      <c r="BDE1" s="4"/>
      <c r="BDF1" s="4"/>
      <c r="BDG1" s="4"/>
      <c r="BDH1" s="4"/>
      <c r="BDI1" s="4"/>
      <c r="BDJ1" s="4"/>
      <c r="BDK1" s="4"/>
      <c r="BDL1" s="4"/>
      <c r="BDM1" s="4"/>
      <c r="BDN1" s="4"/>
      <c r="BDO1" s="4"/>
      <c r="BDP1" s="4"/>
      <c r="BDQ1" s="4"/>
      <c r="BDR1" s="4"/>
      <c r="BDS1" s="4"/>
      <c r="BDT1" s="4"/>
      <c r="BDU1" s="4"/>
      <c r="BDV1" s="4"/>
      <c r="BDW1" s="4"/>
      <c r="BDX1" s="4"/>
      <c r="BDY1" s="4"/>
      <c r="BDZ1" s="4"/>
      <c r="BEA1" s="4"/>
      <c r="BEB1" s="4"/>
      <c r="BEC1" s="4"/>
      <c r="BED1" s="4"/>
      <c r="BEE1" s="4"/>
      <c r="BEF1" s="4"/>
      <c r="BEG1" s="4"/>
      <c r="BEH1" s="4"/>
      <c r="BEI1" s="4"/>
      <c r="BEJ1" s="4"/>
      <c r="BEK1" s="4"/>
      <c r="BEL1" s="4"/>
      <c r="BEM1" s="4"/>
      <c r="BEN1" s="4"/>
      <c r="BEO1" s="4"/>
      <c r="BEP1" s="4"/>
      <c r="BEQ1" s="4"/>
      <c r="BER1" s="4"/>
      <c r="BES1" s="4"/>
      <c r="BET1" s="4"/>
      <c r="BEU1" s="4"/>
      <c r="BEV1" s="4"/>
      <c r="BEW1" s="4"/>
      <c r="BEX1" s="4"/>
      <c r="BEY1" s="4"/>
      <c r="BEZ1" s="4"/>
      <c r="BFA1" s="4"/>
      <c r="BFB1" s="4"/>
      <c r="BFC1" s="4"/>
      <c r="BFD1" s="4"/>
      <c r="BFE1" s="4"/>
      <c r="BFF1" s="4"/>
      <c r="BFG1" s="4"/>
      <c r="BFH1" s="4"/>
      <c r="BFI1" s="4"/>
      <c r="BFJ1" s="4"/>
      <c r="BFK1" s="4"/>
      <c r="BFL1" s="4"/>
      <c r="BFM1" s="4"/>
      <c r="BFN1" s="4"/>
      <c r="BFO1" s="4"/>
      <c r="BFP1" s="4"/>
      <c r="BFQ1" s="4"/>
      <c r="BFR1" s="4"/>
      <c r="BFS1" s="4"/>
      <c r="BFT1" s="4"/>
      <c r="BFU1" s="4"/>
      <c r="BFV1" s="4"/>
      <c r="BFW1" s="4"/>
      <c r="BFX1" s="4"/>
      <c r="BFY1" s="4"/>
      <c r="BFZ1" s="4"/>
      <c r="BGA1" s="4"/>
      <c r="BGB1" s="4"/>
      <c r="BGC1" s="4"/>
      <c r="BGD1" s="4"/>
      <c r="BGE1" s="4"/>
      <c r="BGF1" s="4"/>
      <c r="BGG1" s="4"/>
      <c r="BGH1" s="4"/>
      <c r="BGI1" s="4"/>
      <c r="BGJ1" s="4"/>
      <c r="BGK1" s="4"/>
      <c r="BGL1" s="4"/>
      <c r="BGM1" s="4"/>
      <c r="BGN1" s="4"/>
      <c r="BGO1" s="4"/>
      <c r="BGP1" s="4"/>
      <c r="BGQ1" s="4"/>
      <c r="BGR1" s="4"/>
      <c r="BGS1" s="4"/>
      <c r="BGT1" s="4"/>
      <c r="BGU1" s="4"/>
      <c r="BGV1" s="4"/>
      <c r="BGW1" s="4"/>
      <c r="BGX1" s="4"/>
      <c r="BGY1" s="4"/>
      <c r="BGZ1" s="4"/>
      <c r="BHA1" s="4"/>
      <c r="BHB1" s="4"/>
      <c r="BHC1" s="4"/>
      <c r="BHD1" s="4"/>
      <c r="BHE1" s="4"/>
      <c r="BHF1" s="4"/>
      <c r="BHG1" s="4"/>
      <c r="BHH1" s="4"/>
      <c r="BHI1" s="4"/>
      <c r="BHJ1" s="4"/>
      <c r="BHK1" s="4"/>
      <c r="BHL1" s="4"/>
      <c r="BHM1" s="4"/>
      <c r="BHN1" s="4"/>
      <c r="BHO1" s="4"/>
      <c r="BHP1" s="4"/>
      <c r="BHQ1" s="4"/>
      <c r="BHR1" s="4"/>
      <c r="BHS1" s="4"/>
      <c r="BHT1" s="4"/>
      <c r="BHU1" s="4"/>
      <c r="BHV1" s="4"/>
      <c r="BHW1" s="4"/>
      <c r="BHX1" s="4"/>
      <c r="BHY1" s="4"/>
      <c r="BHZ1" s="4"/>
      <c r="BIA1" s="4"/>
      <c r="BIB1" s="4"/>
      <c r="BIC1" s="4"/>
      <c r="BID1" s="4"/>
      <c r="BIE1" s="4"/>
      <c r="BIF1" s="4"/>
      <c r="BIG1" s="4"/>
      <c r="BIH1" s="4"/>
      <c r="BII1" s="4"/>
      <c r="BIJ1" s="4"/>
      <c r="BIK1" s="4"/>
      <c r="BIL1" s="4"/>
      <c r="BIM1" s="4"/>
      <c r="BIN1" s="4"/>
      <c r="BIO1" s="4"/>
      <c r="BIP1" s="4"/>
      <c r="BIQ1" s="4"/>
      <c r="BIR1" s="4"/>
      <c r="BIS1" s="4"/>
      <c r="BIT1" s="4"/>
      <c r="BIU1" s="4"/>
      <c r="BIV1" s="4"/>
      <c r="BIW1" s="4"/>
      <c r="BIX1" s="4"/>
      <c r="BIY1" s="4"/>
      <c r="BIZ1" s="4"/>
      <c r="BJA1" s="4"/>
      <c r="BJB1" s="4"/>
      <c r="BJC1" s="4"/>
      <c r="BJD1" s="4"/>
      <c r="BJE1" s="4"/>
      <c r="BJF1" s="4"/>
      <c r="BJG1" s="4"/>
      <c r="BJH1" s="4"/>
      <c r="BJI1" s="4"/>
      <c r="BJJ1" s="4"/>
      <c r="BJK1" s="4"/>
      <c r="BJL1" s="4"/>
      <c r="BJM1" s="4"/>
      <c r="BJN1" s="4"/>
      <c r="BJO1" s="4"/>
      <c r="BJP1" s="4"/>
      <c r="BJQ1" s="4"/>
      <c r="BJR1" s="4"/>
      <c r="BJS1" s="4"/>
      <c r="BJT1" s="4"/>
      <c r="BJU1" s="4"/>
      <c r="BJV1" s="4"/>
      <c r="BJW1" s="4"/>
      <c r="BJX1" s="4"/>
      <c r="BJY1" s="4"/>
      <c r="BJZ1" s="4"/>
      <c r="BKA1" s="4"/>
      <c r="BKB1" s="4"/>
      <c r="BKC1" s="4"/>
      <c r="BKD1" s="4"/>
      <c r="BKE1" s="4"/>
      <c r="BKF1" s="4"/>
      <c r="BKG1" s="4"/>
      <c r="BKH1" s="4"/>
      <c r="BKI1" s="4"/>
      <c r="BKJ1" s="4"/>
      <c r="BKK1" s="4"/>
      <c r="BKL1" s="4"/>
      <c r="BKM1" s="4"/>
      <c r="BKN1" s="4"/>
      <c r="BKO1" s="4"/>
      <c r="BKP1" s="4"/>
      <c r="BKQ1" s="4"/>
      <c r="BKR1" s="4"/>
      <c r="BKS1" s="4"/>
      <c r="BKT1" s="4"/>
      <c r="BKU1" s="4"/>
      <c r="BKV1" s="4"/>
      <c r="BKW1" s="4"/>
      <c r="BKX1" s="4"/>
      <c r="BKY1" s="4"/>
      <c r="BKZ1" s="4"/>
      <c r="BLA1" s="4"/>
      <c r="BLB1" s="4"/>
      <c r="BLC1" s="4"/>
      <c r="BLD1" s="4"/>
      <c r="BLE1" s="4"/>
      <c r="BLF1" s="4"/>
      <c r="BLG1" s="4"/>
      <c r="BLH1" s="4"/>
      <c r="BLI1" s="4"/>
      <c r="BLJ1" s="4"/>
      <c r="BLK1" s="4"/>
      <c r="BLL1" s="4"/>
      <c r="BLM1" s="4"/>
      <c r="BLN1" s="4"/>
      <c r="BLO1" s="4"/>
      <c r="BLP1" s="4"/>
      <c r="BLQ1" s="4"/>
      <c r="BLR1" s="4"/>
      <c r="BLS1" s="4"/>
      <c r="BLT1" s="4"/>
      <c r="BLU1" s="4"/>
      <c r="BLV1" s="4"/>
      <c r="BLW1" s="4"/>
      <c r="BLX1" s="4"/>
      <c r="BLY1" s="4"/>
      <c r="BLZ1" s="4"/>
      <c r="BMA1" s="4"/>
      <c r="BMB1" s="4"/>
      <c r="BMC1" s="4"/>
      <c r="BMD1" s="4"/>
      <c r="BME1" s="4"/>
      <c r="BMF1" s="4"/>
      <c r="BMG1" s="4"/>
      <c r="BMH1" s="4"/>
      <c r="BMI1" s="4"/>
      <c r="BMJ1" s="4"/>
      <c r="BMK1" s="4"/>
      <c r="BML1" s="4"/>
      <c r="BMM1" s="4"/>
      <c r="BMN1" s="4"/>
      <c r="BMO1" s="4"/>
      <c r="BMP1" s="4"/>
      <c r="BMQ1" s="4"/>
      <c r="BMR1" s="4"/>
      <c r="BMS1" s="4"/>
      <c r="BMT1" s="4"/>
      <c r="BMU1" s="4"/>
      <c r="BMV1" s="4"/>
      <c r="BMW1" s="4"/>
      <c r="BMX1" s="4"/>
      <c r="BMY1" s="4"/>
      <c r="BMZ1" s="4"/>
      <c r="BNA1" s="4"/>
      <c r="BNB1" s="4"/>
      <c r="BNC1" s="4"/>
      <c r="BND1" s="4"/>
      <c r="BNE1" s="4"/>
      <c r="BNF1" s="4"/>
      <c r="BNG1" s="4"/>
      <c r="BNH1" s="4"/>
      <c r="BNI1" s="4"/>
      <c r="BNJ1" s="4"/>
      <c r="BNK1" s="4"/>
      <c r="BNL1" s="4"/>
      <c r="BNM1" s="4"/>
      <c r="BNN1" s="4"/>
      <c r="BNO1" s="4"/>
      <c r="BNP1" s="4"/>
      <c r="BNQ1" s="4"/>
      <c r="BNR1" s="4"/>
      <c r="BNS1" s="4"/>
      <c r="BNT1" s="4"/>
      <c r="BNU1" s="4"/>
      <c r="BNV1" s="4"/>
      <c r="BNW1" s="4"/>
      <c r="BNX1" s="4"/>
      <c r="BNY1" s="4"/>
      <c r="BNZ1" s="4"/>
      <c r="BOA1" s="4"/>
      <c r="BOB1" s="4"/>
      <c r="BOC1" s="4"/>
      <c r="BOD1" s="4"/>
      <c r="BOE1" s="4"/>
      <c r="BOF1" s="4"/>
      <c r="BOG1" s="4"/>
      <c r="BOH1" s="4"/>
      <c r="BOI1" s="4"/>
      <c r="BOJ1" s="4"/>
      <c r="BOK1" s="4"/>
      <c r="BOL1" s="4"/>
      <c r="BOM1" s="4"/>
      <c r="BON1" s="4"/>
      <c r="BOO1" s="4"/>
      <c r="BOP1" s="4"/>
      <c r="BOQ1" s="4"/>
      <c r="BOR1" s="4"/>
      <c r="BOS1" s="4"/>
      <c r="BOT1" s="4"/>
      <c r="BOU1" s="4"/>
      <c r="BOV1" s="4"/>
      <c r="BOW1" s="4"/>
      <c r="BOX1" s="4"/>
      <c r="BOY1" s="4"/>
      <c r="BOZ1" s="4"/>
      <c r="BPA1" s="4"/>
      <c r="BPB1" s="4"/>
      <c r="BPC1" s="4"/>
      <c r="BPD1" s="4"/>
      <c r="BPE1" s="4"/>
      <c r="BPF1" s="4"/>
      <c r="BPG1" s="4"/>
      <c r="BPH1" s="4"/>
      <c r="BPI1" s="4"/>
      <c r="BPJ1" s="4"/>
      <c r="BPK1" s="4"/>
      <c r="BPL1" s="4"/>
      <c r="BPM1" s="4"/>
      <c r="BPN1" s="4"/>
      <c r="BPO1" s="4"/>
      <c r="BPP1" s="4"/>
      <c r="BPQ1" s="4"/>
      <c r="BPR1" s="4"/>
      <c r="BPS1" s="4"/>
      <c r="BPT1" s="4"/>
      <c r="BPU1" s="4"/>
      <c r="BPV1" s="4"/>
      <c r="BPW1" s="4"/>
      <c r="BPX1" s="4"/>
      <c r="BPY1" s="4"/>
      <c r="BPZ1" s="4"/>
      <c r="BQA1" s="4"/>
      <c r="BQB1" s="4"/>
      <c r="BQC1" s="4"/>
      <c r="BQD1" s="4"/>
      <c r="BQE1" s="4"/>
      <c r="BQF1" s="4"/>
      <c r="BQG1" s="4"/>
      <c r="BQH1" s="4"/>
      <c r="BQI1" s="4"/>
      <c r="BQJ1" s="4"/>
      <c r="BQK1" s="4"/>
      <c r="BQL1" s="4"/>
      <c r="BQM1" s="4"/>
      <c r="BQN1" s="4"/>
      <c r="BQO1" s="4"/>
      <c r="BQP1" s="4"/>
      <c r="BQQ1" s="4"/>
      <c r="BQR1" s="4"/>
      <c r="BQS1" s="4"/>
      <c r="BQT1" s="4"/>
      <c r="BQU1" s="4"/>
      <c r="BQV1" s="4"/>
      <c r="BQW1" s="4"/>
      <c r="BQX1" s="4"/>
      <c r="BQY1" s="4"/>
      <c r="BQZ1" s="4"/>
      <c r="BRA1" s="4"/>
      <c r="BRB1" s="4"/>
      <c r="BRC1" s="4"/>
      <c r="BRD1" s="4"/>
      <c r="BRE1" s="4"/>
      <c r="BRF1" s="4"/>
      <c r="BRG1" s="4"/>
      <c r="BRH1" s="4"/>
      <c r="BRI1" s="4"/>
      <c r="BRJ1" s="4"/>
      <c r="BRK1" s="4"/>
      <c r="BRL1" s="4"/>
      <c r="BRM1" s="4"/>
      <c r="BRN1" s="4"/>
      <c r="BRO1" s="4"/>
      <c r="BRP1" s="4"/>
      <c r="BRQ1" s="4"/>
      <c r="BRR1" s="4"/>
      <c r="BRS1" s="4"/>
      <c r="BRT1" s="4"/>
      <c r="BRU1" s="4"/>
      <c r="BRV1" s="4"/>
      <c r="BRW1" s="4"/>
      <c r="BRX1" s="4"/>
      <c r="BRY1" s="4"/>
      <c r="BRZ1" s="4"/>
      <c r="BSA1" s="4"/>
      <c r="BSB1" s="4"/>
      <c r="BSC1" s="4"/>
      <c r="BSD1" s="4"/>
      <c r="BSE1" s="4"/>
      <c r="BSF1" s="4"/>
      <c r="BSG1" s="4"/>
      <c r="BSH1" s="4"/>
      <c r="BSI1" s="4"/>
      <c r="BSJ1" s="4"/>
      <c r="BSK1" s="4"/>
      <c r="BSL1" s="4"/>
      <c r="BSM1" s="4"/>
      <c r="BSN1" s="4"/>
      <c r="BSO1" s="4"/>
      <c r="BSP1" s="4"/>
      <c r="BSQ1" s="4"/>
      <c r="BSR1" s="4"/>
      <c r="BSS1" s="4"/>
      <c r="BST1" s="4"/>
      <c r="BSU1" s="4"/>
      <c r="BSV1" s="4"/>
      <c r="BSW1" s="4"/>
      <c r="BSX1" s="4"/>
      <c r="BSY1" s="4"/>
      <c r="BSZ1" s="4"/>
      <c r="BTA1" s="4"/>
      <c r="BTB1" s="4"/>
      <c r="BTC1" s="4"/>
      <c r="BTD1" s="4"/>
      <c r="BTE1" s="4"/>
      <c r="BTF1" s="4"/>
      <c r="BTG1" s="4"/>
      <c r="BTH1" s="4"/>
      <c r="BTI1" s="4"/>
      <c r="BTJ1" s="4"/>
      <c r="BTK1" s="4"/>
      <c r="BTL1" s="4"/>
      <c r="BTM1" s="4"/>
      <c r="BTN1" s="4"/>
      <c r="BTO1" s="4"/>
      <c r="BTP1" s="4"/>
      <c r="BTQ1" s="4"/>
      <c r="BTR1" s="4"/>
      <c r="BTS1" s="4"/>
      <c r="BTT1" s="4"/>
      <c r="BTU1" s="4"/>
      <c r="BTV1" s="4"/>
      <c r="BTW1" s="4"/>
      <c r="BTX1" s="4"/>
      <c r="BTY1" s="4"/>
      <c r="BTZ1" s="4"/>
      <c r="BUA1" s="4"/>
      <c r="BUB1" s="4"/>
      <c r="BUC1" s="4"/>
      <c r="BUD1" s="4"/>
      <c r="BUE1" s="4"/>
      <c r="BUF1" s="4"/>
      <c r="BUG1" s="4"/>
      <c r="BUH1" s="4"/>
      <c r="BUI1" s="4"/>
      <c r="BUJ1" s="4"/>
      <c r="BUK1" s="4"/>
      <c r="BUL1" s="4"/>
      <c r="BUM1" s="4"/>
      <c r="BUN1" s="4"/>
      <c r="BUO1" s="4"/>
      <c r="BUP1" s="4"/>
      <c r="BUQ1" s="4"/>
      <c r="BUR1" s="4"/>
      <c r="BUS1" s="4"/>
      <c r="BUT1" s="4"/>
      <c r="BUU1" s="4"/>
      <c r="BUV1" s="4"/>
      <c r="BUW1" s="4"/>
      <c r="BUX1" s="4"/>
      <c r="BUY1" s="4"/>
      <c r="BUZ1" s="4"/>
      <c r="BVA1" s="4"/>
      <c r="BVB1" s="4"/>
      <c r="BVC1" s="4"/>
      <c r="BVD1" s="4"/>
      <c r="BVE1" s="4"/>
      <c r="BVF1" s="4"/>
      <c r="BVG1" s="4"/>
      <c r="BVH1" s="4"/>
      <c r="BVI1" s="4"/>
      <c r="BVJ1" s="4"/>
      <c r="BVK1" s="4"/>
      <c r="BVL1" s="4"/>
      <c r="BVM1" s="4"/>
      <c r="BVN1" s="4"/>
      <c r="BVO1" s="4"/>
      <c r="BVP1" s="4"/>
      <c r="BVQ1" s="4"/>
      <c r="BVR1" s="4"/>
      <c r="BVS1" s="4"/>
      <c r="BVT1" s="4"/>
      <c r="BVU1" s="4"/>
      <c r="BVV1" s="4"/>
      <c r="BVW1" s="4"/>
      <c r="BVX1" s="4"/>
      <c r="BVY1" s="4"/>
      <c r="BVZ1" s="4"/>
      <c r="BWA1" s="4"/>
      <c r="BWB1" s="4"/>
      <c r="BWC1" s="4"/>
      <c r="BWD1" s="4"/>
      <c r="BWE1" s="4"/>
      <c r="BWF1" s="4"/>
      <c r="BWG1" s="4"/>
      <c r="BWH1" s="4"/>
      <c r="BWI1" s="4"/>
      <c r="BWJ1" s="4"/>
      <c r="BWK1" s="4"/>
      <c r="BWL1" s="4"/>
      <c r="BWM1" s="4"/>
      <c r="BWN1" s="4"/>
      <c r="BWO1" s="4"/>
      <c r="BWP1" s="4"/>
      <c r="BWQ1" s="4"/>
      <c r="BWR1" s="4"/>
      <c r="BWS1" s="4"/>
      <c r="BWT1" s="4"/>
      <c r="BWU1" s="4"/>
      <c r="BWV1" s="4"/>
      <c r="BWW1" s="4"/>
      <c r="BWX1" s="4"/>
      <c r="BWY1" s="4"/>
      <c r="BWZ1" s="4"/>
      <c r="BXA1" s="4"/>
      <c r="BXB1" s="4"/>
      <c r="BXC1" s="4"/>
      <c r="BXD1" s="4"/>
      <c r="BXE1" s="4"/>
      <c r="BXF1" s="4"/>
      <c r="BXG1" s="4"/>
      <c r="BXH1" s="4"/>
      <c r="BXI1" s="4"/>
      <c r="BXJ1" s="4"/>
      <c r="BXK1" s="4"/>
      <c r="BXL1" s="4"/>
      <c r="BXM1" s="4"/>
      <c r="BXN1" s="4"/>
      <c r="BXO1" s="4"/>
      <c r="BXP1" s="4"/>
      <c r="BXQ1" s="4"/>
      <c r="BXR1" s="4"/>
      <c r="BXS1" s="4"/>
      <c r="BXT1" s="4"/>
      <c r="BXU1" s="4"/>
      <c r="BXV1" s="4"/>
      <c r="BXW1" s="4"/>
      <c r="BXX1" s="4"/>
      <c r="BXY1" s="4"/>
      <c r="BXZ1" s="4"/>
      <c r="BYA1" s="4"/>
      <c r="BYB1" s="4"/>
      <c r="BYC1" s="4"/>
      <c r="BYD1" s="4"/>
      <c r="BYE1" s="4"/>
      <c r="BYF1" s="4"/>
      <c r="BYG1" s="4"/>
      <c r="BYH1" s="4"/>
      <c r="BYI1" s="4"/>
      <c r="BYJ1" s="4"/>
      <c r="BYK1" s="4"/>
      <c r="BYL1" s="4"/>
      <c r="BYM1" s="4"/>
      <c r="BYN1" s="4"/>
      <c r="BYO1" s="4"/>
      <c r="BYP1" s="4"/>
      <c r="BYQ1" s="4"/>
      <c r="BYR1" s="4"/>
      <c r="BYS1" s="4"/>
      <c r="BYT1" s="4"/>
      <c r="BYU1" s="4"/>
      <c r="BYV1" s="4"/>
      <c r="BYW1" s="4"/>
      <c r="BYX1" s="4"/>
      <c r="BYY1" s="4"/>
      <c r="BYZ1" s="4"/>
      <c r="BZA1" s="4"/>
      <c r="BZB1" s="4"/>
      <c r="BZC1" s="4"/>
      <c r="BZD1" s="4"/>
      <c r="BZE1" s="4"/>
      <c r="BZF1" s="4"/>
      <c r="BZG1" s="4"/>
      <c r="BZH1" s="4"/>
      <c r="BZI1" s="4"/>
      <c r="BZJ1" s="4"/>
      <c r="BZK1" s="4"/>
      <c r="BZL1" s="4"/>
      <c r="BZM1" s="4"/>
      <c r="BZN1" s="4"/>
      <c r="BZO1" s="4"/>
      <c r="BZP1" s="4"/>
      <c r="BZQ1" s="4"/>
      <c r="BZR1" s="4"/>
      <c r="BZS1" s="4"/>
      <c r="BZT1" s="4"/>
      <c r="BZU1" s="4"/>
      <c r="BZV1" s="4"/>
      <c r="BZW1" s="4"/>
      <c r="BZX1" s="4"/>
      <c r="BZY1" s="4"/>
      <c r="BZZ1" s="4"/>
      <c r="CAA1" s="4"/>
      <c r="CAB1" s="4"/>
      <c r="CAC1" s="4"/>
      <c r="CAD1" s="4"/>
      <c r="CAE1" s="4"/>
      <c r="CAF1" s="4"/>
      <c r="CAG1" s="4"/>
      <c r="CAH1" s="4"/>
      <c r="CAI1" s="4"/>
      <c r="CAJ1" s="4"/>
      <c r="CAK1" s="4"/>
      <c r="CAL1" s="4"/>
      <c r="CAM1" s="4"/>
      <c r="CAN1" s="4"/>
      <c r="CAO1" s="4"/>
      <c r="CAP1" s="4"/>
      <c r="CAQ1" s="4"/>
      <c r="CAR1" s="4"/>
      <c r="CAS1" s="4"/>
      <c r="CAT1" s="4"/>
      <c r="CAU1" s="4"/>
      <c r="CAV1" s="4"/>
      <c r="CAW1" s="4"/>
      <c r="CAX1" s="4"/>
      <c r="CAY1" s="4"/>
      <c r="CAZ1" s="4"/>
      <c r="CBA1" s="4"/>
      <c r="CBB1" s="4"/>
      <c r="CBC1" s="4"/>
      <c r="CBD1" s="4"/>
      <c r="CBE1" s="4"/>
      <c r="CBF1" s="4"/>
      <c r="CBG1" s="4"/>
      <c r="CBH1" s="4"/>
      <c r="CBI1" s="4"/>
      <c r="CBJ1" s="4"/>
      <c r="CBK1" s="4"/>
      <c r="CBL1" s="4"/>
      <c r="CBM1" s="4"/>
      <c r="CBN1" s="4"/>
      <c r="CBO1" s="4"/>
      <c r="CBP1" s="4"/>
      <c r="CBQ1" s="4"/>
      <c r="CBR1" s="4"/>
      <c r="CBS1" s="4"/>
      <c r="CBT1" s="4"/>
      <c r="CBU1" s="4"/>
      <c r="CBV1" s="4"/>
      <c r="CBW1" s="4"/>
      <c r="CBX1" s="4"/>
      <c r="CBY1" s="4"/>
      <c r="CBZ1" s="4"/>
      <c r="CCA1" s="4"/>
      <c r="CCB1" s="4"/>
      <c r="CCC1" s="4"/>
      <c r="CCD1" s="4"/>
      <c r="CCE1" s="4"/>
      <c r="CCF1" s="4"/>
      <c r="CCG1" s="4"/>
      <c r="CCH1" s="4"/>
      <c r="CCI1" s="4"/>
      <c r="CCJ1" s="4"/>
      <c r="CCK1" s="4"/>
      <c r="CCL1" s="4"/>
      <c r="CCM1" s="4"/>
      <c r="CCN1" s="4"/>
      <c r="CCO1" s="4"/>
      <c r="CCP1" s="4"/>
      <c r="CCQ1" s="4"/>
      <c r="CCR1" s="4"/>
      <c r="CCS1" s="4"/>
      <c r="CCT1" s="4"/>
      <c r="CCU1" s="4"/>
      <c r="CCV1" s="4"/>
      <c r="CCW1" s="4"/>
      <c r="CCX1" s="4"/>
      <c r="CCY1" s="4"/>
      <c r="CCZ1" s="4"/>
      <c r="CDA1" s="4"/>
      <c r="CDB1" s="4"/>
      <c r="CDC1" s="4"/>
      <c r="CDD1" s="4"/>
      <c r="CDE1" s="4"/>
      <c r="CDF1" s="4"/>
      <c r="CDG1" s="4"/>
      <c r="CDH1" s="4"/>
      <c r="CDI1" s="4"/>
      <c r="CDJ1" s="4"/>
      <c r="CDK1" s="4"/>
      <c r="CDL1" s="4"/>
      <c r="CDM1" s="4"/>
      <c r="CDN1" s="4"/>
      <c r="CDO1" s="4"/>
      <c r="CDP1" s="4"/>
      <c r="CDQ1" s="4"/>
      <c r="CDR1" s="4"/>
      <c r="CDS1" s="4"/>
      <c r="CDT1" s="4"/>
      <c r="CDU1" s="4"/>
      <c r="CDV1" s="4"/>
      <c r="CDW1" s="4"/>
      <c r="CDX1" s="4"/>
      <c r="CDY1" s="4"/>
      <c r="CDZ1" s="4"/>
      <c r="CEA1" s="4"/>
      <c r="CEB1" s="4"/>
      <c r="CEC1" s="4"/>
      <c r="CED1" s="4"/>
      <c r="CEE1" s="4"/>
      <c r="CEF1" s="4"/>
      <c r="CEG1" s="4"/>
      <c r="CEH1" s="4"/>
      <c r="CEI1" s="4"/>
      <c r="CEJ1" s="4"/>
      <c r="CEK1" s="4"/>
      <c r="CEL1" s="4"/>
      <c r="CEM1" s="4"/>
      <c r="CEN1" s="4"/>
      <c r="CEO1" s="4"/>
      <c r="CEP1" s="4"/>
      <c r="CEQ1" s="4"/>
      <c r="CER1" s="4"/>
      <c r="CES1" s="4"/>
      <c r="CET1" s="4"/>
      <c r="CEU1" s="4"/>
      <c r="CEV1" s="4"/>
      <c r="CEW1" s="4"/>
      <c r="CEX1" s="4"/>
      <c r="CEY1" s="4"/>
      <c r="CEZ1" s="4"/>
      <c r="CFA1" s="4"/>
      <c r="CFB1" s="4"/>
      <c r="CFC1" s="4"/>
      <c r="CFD1" s="4"/>
      <c r="CFE1" s="4"/>
      <c r="CFF1" s="4"/>
      <c r="CFG1" s="4"/>
      <c r="CFH1" s="4"/>
      <c r="CFI1" s="4"/>
      <c r="CFJ1" s="4"/>
      <c r="CFK1" s="4"/>
      <c r="CFL1" s="4"/>
      <c r="CFM1" s="4"/>
      <c r="CFN1" s="4"/>
      <c r="CFO1" s="4"/>
      <c r="CFP1" s="4"/>
      <c r="CFQ1" s="4"/>
      <c r="CFR1" s="4"/>
      <c r="CFS1" s="4"/>
      <c r="CFT1" s="4"/>
      <c r="CFU1" s="4"/>
      <c r="CFV1" s="4"/>
      <c r="CFW1" s="4"/>
      <c r="CFX1" s="4"/>
      <c r="CFY1" s="4"/>
      <c r="CFZ1" s="4"/>
      <c r="CGA1" s="4"/>
      <c r="CGB1" s="4"/>
      <c r="CGC1" s="4"/>
      <c r="CGD1" s="4"/>
      <c r="CGE1" s="4"/>
      <c r="CGF1" s="4"/>
      <c r="CGG1" s="4"/>
      <c r="CGH1" s="4"/>
      <c r="CGI1" s="4"/>
      <c r="CGJ1" s="4"/>
      <c r="CGK1" s="4"/>
      <c r="CGL1" s="4"/>
      <c r="CGM1" s="4"/>
      <c r="CGN1" s="4"/>
      <c r="CGO1" s="4"/>
      <c r="CGP1" s="4"/>
      <c r="CGQ1" s="4"/>
      <c r="CGR1" s="4"/>
      <c r="CGS1" s="4"/>
      <c r="CGT1" s="4"/>
      <c r="CGU1" s="4"/>
      <c r="CGV1" s="4"/>
      <c r="CGW1" s="4"/>
      <c r="CGX1" s="4"/>
      <c r="CGY1" s="4"/>
      <c r="CGZ1" s="4"/>
      <c r="CHA1" s="4"/>
      <c r="CHB1" s="4"/>
      <c r="CHC1" s="4"/>
      <c r="CHD1" s="4"/>
      <c r="CHE1" s="4"/>
      <c r="CHF1" s="4"/>
      <c r="CHG1" s="4"/>
      <c r="CHH1" s="4"/>
      <c r="CHI1" s="4"/>
      <c r="CHJ1" s="4"/>
      <c r="CHK1" s="4"/>
      <c r="CHL1" s="4"/>
      <c r="CHM1" s="4"/>
      <c r="CHN1" s="4"/>
      <c r="CHO1" s="4"/>
      <c r="CHP1" s="4"/>
      <c r="CHQ1" s="4"/>
      <c r="CHR1" s="4"/>
      <c r="CHS1" s="4"/>
      <c r="CHT1" s="4"/>
      <c r="CHU1" s="4"/>
      <c r="CHV1" s="4"/>
      <c r="CHW1" s="4"/>
      <c r="CHX1" s="4"/>
      <c r="CHY1" s="4"/>
      <c r="CHZ1" s="4"/>
      <c r="CIA1" s="4"/>
      <c r="CIB1" s="4"/>
      <c r="CIC1" s="4"/>
      <c r="CID1" s="4"/>
      <c r="CIE1" s="4"/>
      <c r="CIF1" s="4"/>
      <c r="CIG1" s="4"/>
      <c r="CIH1" s="4"/>
      <c r="CII1" s="4"/>
      <c r="CIJ1" s="4"/>
      <c r="CIK1" s="4"/>
      <c r="CIL1" s="4"/>
      <c r="CIM1" s="4"/>
      <c r="CIN1" s="4"/>
      <c r="CIO1" s="4"/>
      <c r="CIP1" s="4"/>
      <c r="CIQ1" s="4"/>
      <c r="CIR1" s="4"/>
      <c r="CIS1" s="4"/>
      <c r="CIT1" s="4"/>
      <c r="CIU1" s="4"/>
      <c r="CIV1" s="4"/>
      <c r="CIW1" s="4"/>
      <c r="CIX1" s="4"/>
      <c r="CIY1" s="4"/>
      <c r="CIZ1" s="4"/>
      <c r="CJA1" s="4"/>
      <c r="CJB1" s="4"/>
      <c r="CJC1" s="4"/>
      <c r="CJD1" s="4"/>
      <c r="CJE1" s="4"/>
      <c r="CJF1" s="4"/>
      <c r="CJG1" s="4"/>
      <c r="CJH1" s="4"/>
      <c r="CJI1" s="4"/>
      <c r="CJJ1" s="4"/>
      <c r="CJK1" s="4"/>
      <c r="CJL1" s="4"/>
      <c r="CJM1" s="4"/>
      <c r="CJN1" s="4"/>
      <c r="CJO1" s="4"/>
      <c r="CJP1" s="4"/>
      <c r="CJQ1" s="4"/>
      <c r="CJR1" s="4"/>
      <c r="CJS1" s="4"/>
      <c r="CJT1" s="4"/>
      <c r="CJU1" s="4"/>
      <c r="CJV1" s="4"/>
      <c r="CJW1" s="4"/>
      <c r="CJX1" s="4"/>
      <c r="CJY1" s="4"/>
      <c r="CJZ1" s="4"/>
      <c r="CKA1" s="4"/>
      <c r="CKB1" s="4"/>
      <c r="CKC1" s="4"/>
      <c r="CKD1" s="4"/>
      <c r="CKE1" s="4"/>
      <c r="CKF1" s="4"/>
      <c r="CKG1" s="4"/>
      <c r="CKH1" s="4"/>
      <c r="CKI1" s="4"/>
      <c r="CKJ1" s="4"/>
      <c r="CKK1" s="4"/>
      <c r="CKL1" s="4"/>
      <c r="CKM1" s="4"/>
      <c r="CKN1" s="4"/>
      <c r="CKO1" s="4"/>
      <c r="CKP1" s="4"/>
      <c r="CKQ1" s="4"/>
      <c r="CKR1" s="4"/>
      <c r="CKS1" s="4"/>
      <c r="CKT1" s="4"/>
      <c r="CKU1" s="4"/>
      <c r="CKV1" s="4"/>
      <c r="CKW1" s="4"/>
      <c r="CKX1" s="4"/>
      <c r="CKY1" s="4"/>
      <c r="CKZ1" s="4"/>
      <c r="CLA1" s="4"/>
      <c r="CLB1" s="4"/>
      <c r="CLC1" s="4"/>
      <c r="CLD1" s="4"/>
      <c r="CLE1" s="4"/>
      <c r="CLF1" s="4"/>
      <c r="CLG1" s="4"/>
      <c r="CLH1" s="4"/>
      <c r="CLI1" s="4"/>
      <c r="CLJ1" s="4"/>
      <c r="CLK1" s="4"/>
      <c r="CLL1" s="4"/>
      <c r="CLM1" s="4"/>
      <c r="CLN1" s="4"/>
      <c r="CLO1" s="4"/>
      <c r="CLP1" s="4"/>
      <c r="CLQ1" s="4"/>
      <c r="CLR1" s="4"/>
      <c r="CLS1" s="4"/>
      <c r="CLT1" s="4"/>
      <c r="CLU1" s="4"/>
      <c r="CLV1" s="4"/>
      <c r="CLW1" s="4"/>
      <c r="CLX1" s="4"/>
      <c r="CLY1" s="4"/>
      <c r="CLZ1" s="4"/>
      <c r="CMA1" s="4"/>
      <c r="CMB1" s="4"/>
      <c r="CMC1" s="4"/>
      <c r="CMD1" s="4"/>
      <c r="CME1" s="4"/>
      <c r="CMF1" s="4"/>
      <c r="CMG1" s="4"/>
      <c r="CMH1" s="4"/>
      <c r="CMI1" s="4"/>
      <c r="CMJ1" s="4"/>
      <c r="CMK1" s="4"/>
      <c r="CML1" s="4"/>
      <c r="CMM1" s="4"/>
      <c r="CMN1" s="4"/>
      <c r="CMO1" s="4"/>
      <c r="CMP1" s="4"/>
      <c r="CMQ1" s="4"/>
      <c r="CMR1" s="4"/>
      <c r="CMS1" s="4"/>
      <c r="CMT1" s="4"/>
      <c r="CMU1" s="4"/>
      <c r="CMV1" s="4"/>
      <c r="CMW1" s="4"/>
      <c r="CMX1" s="4"/>
      <c r="CMY1" s="4"/>
      <c r="CMZ1" s="4"/>
      <c r="CNA1" s="4"/>
      <c r="CNB1" s="4"/>
      <c r="CNC1" s="4"/>
      <c r="CND1" s="4"/>
      <c r="CNE1" s="4"/>
      <c r="CNF1" s="4"/>
      <c r="CNG1" s="4"/>
      <c r="CNH1" s="4"/>
      <c r="CNI1" s="4"/>
      <c r="CNJ1" s="4"/>
      <c r="CNK1" s="4"/>
      <c r="CNL1" s="4"/>
      <c r="CNM1" s="4"/>
      <c r="CNN1" s="4"/>
      <c r="CNO1" s="4"/>
      <c r="CNP1" s="4"/>
      <c r="CNQ1" s="4"/>
      <c r="CNR1" s="4"/>
      <c r="CNS1" s="4"/>
      <c r="CNT1" s="4"/>
      <c r="CNU1" s="4"/>
      <c r="CNV1" s="4"/>
      <c r="CNW1" s="4"/>
      <c r="CNX1" s="4"/>
      <c r="CNY1" s="4"/>
      <c r="CNZ1" s="4"/>
      <c r="COA1" s="4"/>
      <c r="COB1" s="4"/>
      <c r="COC1" s="4"/>
      <c r="COD1" s="4"/>
      <c r="COE1" s="4"/>
      <c r="COF1" s="4"/>
      <c r="COG1" s="4"/>
      <c r="COH1" s="4"/>
      <c r="COI1" s="4"/>
      <c r="COJ1" s="4"/>
      <c r="COK1" s="4"/>
      <c r="COL1" s="4"/>
      <c r="COM1" s="4"/>
      <c r="CON1" s="4"/>
      <c r="COO1" s="4"/>
      <c r="COP1" s="4"/>
      <c r="COQ1" s="4"/>
      <c r="COR1" s="4"/>
      <c r="COS1" s="4"/>
      <c r="COT1" s="4"/>
      <c r="COU1" s="4"/>
      <c r="COV1" s="4"/>
      <c r="COW1" s="4"/>
      <c r="COX1" s="4"/>
      <c r="COY1" s="4"/>
      <c r="COZ1" s="4"/>
      <c r="CPA1" s="4"/>
      <c r="CPB1" s="4"/>
      <c r="CPC1" s="4"/>
      <c r="CPD1" s="4"/>
      <c r="CPE1" s="4"/>
      <c r="CPF1" s="4"/>
      <c r="CPG1" s="4"/>
      <c r="CPH1" s="4"/>
      <c r="CPI1" s="4"/>
      <c r="CPJ1" s="4"/>
      <c r="CPK1" s="4"/>
      <c r="CPL1" s="4"/>
      <c r="CPM1" s="4"/>
      <c r="CPN1" s="4"/>
      <c r="CPO1" s="4"/>
      <c r="CPP1" s="4"/>
      <c r="CPQ1" s="4"/>
      <c r="CPR1" s="4"/>
      <c r="CPS1" s="4"/>
      <c r="CPT1" s="4"/>
      <c r="CPU1" s="4"/>
      <c r="CPV1" s="4"/>
      <c r="CPW1" s="4"/>
      <c r="CPX1" s="4"/>
      <c r="CPY1" s="4"/>
      <c r="CPZ1" s="4"/>
      <c r="CQA1" s="4"/>
      <c r="CQB1" s="4"/>
      <c r="CQC1" s="4"/>
      <c r="CQD1" s="4"/>
      <c r="CQE1" s="4"/>
      <c r="CQF1" s="4"/>
      <c r="CQG1" s="4"/>
      <c r="CQH1" s="4"/>
      <c r="CQI1" s="4"/>
      <c r="CQJ1" s="4"/>
      <c r="CQK1" s="4"/>
      <c r="CQL1" s="4"/>
      <c r="CQM1" s="4"/>
      <c r="CQN1" s="4"/>
      <c r="CQO1" s="4"/>
      <c r="CQP1" s="4"/>
      <c r="CQQ1" s="4"/>
      <c r="CQR1" s="4"/>
      <c r="CQS1" s="4"/>
      <c r="CQT1" s="4"/>
      <c r="CQU1" s="4"/>
      <c r="CQV1" s="4"/>
      <c r="CQW1" s="4"/>
      <c r="CQX1" s="4"/>
      <c r="CQY1" s="4"/>
      <c r="CQZ1" s="4"/>
      <c r="CRA1" s="4"/>
      <c r="CRB1" s="4"/>
      <c r="CRC1" s="4"/>
      <c r="CRD1" s="4"/>
      <c r="CRE1" s="4"/>
      <c r="CRF1" s="4"/>
      <c r="CRG1" s="4"/>
      <c r="CRH1" s="4"/>
      <c r="CRI1" s="4"/>
      <c r="CRJ1" s="4"/>
      <c r="CRK1" s="4"/>
      <c r="CRL1" s="4"/>
      <c r="CRM1" s="4"/>
      <c r="CRN1" s="4"/>
      <c r="CRO1" s="4"/>
      <c r="CRP1" s="4"/>
      <c r="CRQ1" s="4"/>
      <c r="CRR1" s="4"/>
      <c r="CRS1" s="4"/>
      <c r="CRT1" s="4"/>
      <c r="CRU1" s="4"/>
      <c r="CRV1" s="4"/>
      <c r="CRW1" s="4"/>
      <c r="CRX1" s="4"/>
      <c r="CRY1" s="4"/>
      <c r="CRZ1" s="4"/>
      <c r="CSA1" s="4"/>
      <c r="CSB1" s="4"/>
      <c r="CSC1" s="4"/>
      <c r="CSD1" s="4"/>
      <c r="CSE1" s="4"/>
      <c r="CSF1" s="4"/>
      <c r="CSG1" s="4"/>
      <c r="CSH1" s="4"/>
      <c r="CSI1" s="4"/>
      <c r="CSJ1" s="4"/>
      <c r="CSK1" s="4"/>
      <c r="CSL1" s="4"/>
      <c r="CSM1" s="4"/>
      <c r="CSN1" s="4"/>
      <c r="CSO1" s="4"/>
      <c r="CSP1" s="4"/>
      <c r="CSQ1" s="4"/>
      <c r="CSR1" s="4"/>
      <c r="CSS1" s="4"/>
      <c r="CST1" s="4"/>
      <c r="CSU1" s="4"/>
      <c r="CSV1" s="4"/>
      <c r="CSW1" s="4"/>
      <c r="CSX1" s="4"/>
      <c r="CSY1" s="4"/>
      <c r="CSZ1" s="4"/>
      <c r="CTA1" s="4"/>
      <c r="CTB1" s="4"/>
      <c r="CTC1" s="4"/>
      <c r="CTD1" s="4"/>
      <c r="CTE1" s="4"/>
      <c r="CTF1" s="4"/>
      <c r="CTG1" s="4"/>
      <c r="CTH1" s="4"/>
      <c r="CTI1" s="4"/>
      <c r="CTJ1" s="4"/>
      <c r="CTK1" s="4"/>
      <c r="CTL1" s="4"/>
      <c r="CTM1" s="4"/>
      <c r="CTN1" s="4"/>
      <c r="CTO1" s="4"/>
      <c r="CTP1" s="4"/>
      <c r="CTQ1" s="4"/>
      <c r="CTR1" s="4"/>
      <c r="CTS1" s="4"/>
      <c r="CTT1" s="4"/>
      <c r="CTU1" s="4"/>
      <c r="CTV1" s="4"/>
      <c r="CTW1" s="4"/>
      <c r="CTX1" s="4"/>
      <c r="CTY1" s="4"/>
      <c r="CTZ1" s="4"/>
      <c r="CUA1" s="4"/>
      <c r="CUB1" s="4"/>
      <c r="CUC1" s="4"/>
      <c r="CUD1" s="4"/>
      <c r="CUE1" s="4"/>
      <c r="CUF1" s="4"/>
      <c r="CUG1" s="4"/>
      <c r="CUH1" s="4"/>
      <c r="CUI1" s="4"/>
      <c r="CUJ1" s="4"/>
      <c r="CUK1" s="4"/>
      <c r="CUL1" s="4"/>
      <c r="CUM1" s="4"/>
      <c r="CUN1" s="4"/>
      <c r="CUO1" s="4"/>
      <c r="CUP1" s="4"/>
      <c r="CUQ1" s="4"/>
      <c r="CUR1" s="4"/>
      <c r="CUS1" s="4"/>
      <c r="CUT1" s="4"/>
      <c r="CUU1" s="4"/>
      <c r="CUV1" s="4"/>
      <c r="CUW1" s="4"/>
      <c r="CUX1" s="4"/>
      <c r="CUY1" s="4"/>
      <c r="CUZ1" s="4"/>
      <c r="CVA1" s="4"/>
      <c r="CVB1" s="4"/>
      <c r="CVC1" s="4"/>
      <c r="CVD1" s="4"/>
      <c r="CVE1" s="4"/>
      <c r="CVF1" s="4"/>
      <c r="CVG1" s="4"/>
      <c r="CVH1" s="4"/>
      <c r="CVI1" s="4"/>
      <c r="CVJ1" s="4"/>
      <c r="CVK1" s="4"/>
      <c r="CVL1" s="4"/>
      <c r="CVM1" s="4"/>
      <c r="CVN1" s="4"/>
      <c r="CVO1" s="4"/>
      <c r="CVP1" s="4"/>
      <c r="CVQ1" s="4"/>
      <c r="CVR1" s="4"/>
      <c r="CVS1" s="4"/>
      <c r="CVT1" s="4"/>
      <c r="CVU1" s="4"/>
      <c r="CVV1" s="4"/>
      <c r="CVW1" s="4"/>
      <c r="CVX1" s="4"/>
      <c r="CVY1" s="4"/>
      <c r="CVZ1" s="4"/>
      <c r="CWA1" s="4"/>
      <c r="CWB1" s="4"/>
      <c r="CWC1" s="4"/>
      <c r="CWD1" s="4"/>
      <c r="CWE1" s="4"/>
      <c r="CWF1" s="4"/>
      <c r="CWG1" s="4"/>
      <c r="CWH1" s="4"/>
      <c r="CWI1" s="4"/>
      <c r="CWJ1" s="4"/>
      <c r="CWK1" s="4"/>
      <c r="CWL1" s="4"/>
      <c r="CWM1" s="4"/>
      <c r="CWN1" s="4"/>
      <c r="CWO1" s="4"/>
      <c r="CWP1" s="4"/>
      <c r="CWQ1" s="4"/>
      <c r="CWR1" s="4"/>
      <c r="CWS1" s="4"/>
      <c r="CWT1" s="4"/>
      <c r="CWU1" s="4"/>
      <c r="CWV1" s="4"/>
      <c r="CWW1" s="4"/>
      <c r="CWX1" s="4"/>
      <c r="CWY1" s="4"/>
      <c r="CWZ1" s="4"/>
      <c r="CXA1" s="4"/>
      <c r="CXB1" s="4"/>
      <c r="CXC1" s="4"/>
      <c r="CXD1" s="4"/>
      <c r="CXE1" s="4"/>
      <c r="CXF1" s="4"/>
      <c r="CXG1" s="4"/>
      <c r="CXH1" s="4"/>
      <c r="CXI1" s="4"/>
      <c r="CXJ1" s="4"/>
      <c r="CXK1" s="4"/>
      <c r="CXL1" s="4"/>
      <c r="CXM1" s="4"/>
      <c r="CXN1" s="4"/>
      <c r="CXO1" s="4"/>
      <c r="CXP1" s="4"/>
      <c r="CXQ1" s="4"/>
      <c r="CXR1" s="4"/>
      <c r="CXS1" s="4"/>
      <c r="CXT1" s="4"/>
      <c r="CXU1" s="4"/>
      <c r="CXV1" s="4"/>
      <c r="CXW1" s="4"/>
      <c r="CXX1" s="4"/>
      <c r="CXY1" s="4"/>
      <c r="CXZ1" s="4"/>
      <c r="CYA1" s="4"/>
      <c r="CYB1" s="4"/>
      <c r="CYC1" s="4"/>
      <c r="CYD1" s="4"/>
      <c r="CYE1" s="4"/>
      <c r="CYF1" s="4"/>
      <c r="CYG1" s="4"/>
      <c r="CYH1" s="4"/>
      <c r="CYI1" s="4"/>
      <c r="CYJ1" s="4"/>
      <c r="CYK1" s="4"/>
      <c r="CYL1" s="4"/>
      <c r="CYM1" s="4"/>
      <c r="CYN1" s="4"/>
      <c r="CYO1" s="4"/>
      <c r="CYP1" s="4"/>
      <c r="CYQ1" s="4"/>
      <c r="CYR1" s="4"/>
      <c r="CYS1" s="4"/>
      <c r="CYT1" s="4"/>
      <c r="CYU1" s="4"/>
      <c r="CYV1" s="4"/>
      <c r="CYW1" s="4"/>
      <c r="CYX1" s="4"/>
      <c r="CYY1" s="4"/>
      <c r="CYZ1" s="4"/>
      <c r="CZA1" s="4"/>
      <c r="CZB1" s="4"/>
      <c r="CZC1" s="4"/>
      <c r="CZD1" s="4"/>
      <c r="CZE1" s="4"/>
      <c r="CZF1" s="4"/>
      <c r="CZG1" s="4"/>
      <c r="CZH1" s="4"/>
      <c r="CZI1" s="4"/>
      <c r="CZJ1" s="4"/>
      <c r="CZK1" s="4"/>
      <c r="CZL1" s="4"/>
      <c r="CZM1" s="4"/>
      <c r="CZN1" s="4"/>
      <c r="CZO1" s="4"/>
      <c r="CZP1" s="4"/>
      <c r="CZQ1" s="4"/>
      <c r="CZR1" s="4"/>
      <c r="CZS1" s="4"/>
      <c r="CZT1" s="4"/>
      <c r="CZU1" s="4"/>
      <c r="CZV1" s="4"/>
      <c r="CZW1" s="4"/>
      <c r="CZX1" s="4"/>
      <c r="CZY1" s="4"/>
      <c r="CZZ1" s="4"/>
      <c r="DAA1" s="4"/>
      <c r="DAB1" s="4"/>
      <c r="DAC1" s="4"/>
      <c r="DAD1" s="4"/>
      <c r="DAE1" s="4"/>
      <c r="DAF1" s="4"/>
      <c r="DAG1" s="4"/>
      <c r="DAH1" s="4"/>
      <c r="DAI1" s="4"/>
      <c r="DAJ1" s="4"/>
      <c r="DAK1" s="4"/>
      <c r="DAL1" s="4"/>
      <c r="DAM1" s="4"/>
      <c r="DAN1" s="4"/>
      <c r="DAO1" s="4"/>
      <c r="DAP1" s="4"/>
      <c r="DAQ1" s="4"/>
      <c r="DAR1" s="4"/>
      <c r="DAS1" s="4"/>
      <c r="DAT1" s="4"/>
      <c r="DAU1" s="4"/>
      <c r="DAV1" s="4"/>
      <c r="DAW1" s="4"/>
      <c r="DAX1" s="4"/>
      <c r="DAY1" s="4"/>
      <c r="DAZ1" s="4"/>
      <c r="DBA1" s="4"/>
      <c r="DBB1" s="4"/>
      <c r="DBC1" s="4"/>
      <c r="DBD1" s="4"/>
      <c r="DBE1" s="4"/>
      <c r="DBF1" s="4"/>
      <c r="DBG1" s="4"/>
      <c r="DBH1" s="4"/>
      <c r="DBI1" s="4"/>
      <c r="DBJ1" s="4"/>
      <c r="DBK1" s="4"/>
      <c r="DBL1" s="4"/>
      <c r="DBM1" s="4"/>
      <c r="DBN1" s="4"/>
      <c r="DBO1" s="4"/>
      <c r="DBP1" s="4"/>
      <c r="DBQ1" s="4"/>
      <c r="DBR1" s="4"/>
      <c r="DBS1" s="4"/>
      <c r="DBT1" s="4"/>
      <c r="DBU1" s="4"/>
      <c r="DBV1" s="4"/>
      <c r="DBW1" s="4"/>
      <c r="DBX1" s="4"/>
      <c r="DBY1" s="4"/>
      <c r="DBZ1" s="4"/>
      <c r="DCA1" s="4"/>
      <c r="DCB1" s="4"/>
      <c r="DCC1" s="4"/>
      <c r="DCD1" s="4"/>
      <c r="DCE1" s="4"/>
      <c r="DCF1" s="4"/>
      <c r="DCG1" s="4"/>
      <c r="DCH1" s="4"/>
      <c r="DCI1" s="4"/>
      <c r="DCJ1" s="4"/>
      <c r="DCK1" s="4"/>
      <c r="DCL1" s="4"/>
      <c r="DCM1" s="4"/>
      <c r="DCN1" s="4"/>
      <c r="DCO1" s="4"/>
      <c r="DCP1" s="4"/>
      <c r="DCQ1" s="4"/>
      <c r="DCR1" s="4"/>
      <c r="DCS1" s="4"/>
      <c r="DCT1" s="4"/>
      <c r="DCU1" s="4"/>
      <c r="DCV1" s="4"/>
      <c r="DCW1" s="4"/>
      <c r="DCX1" s="4"/>
      <c r="DCY1" s="4"/>
      <c r="DCZ1" s="4"/>
      <c r="DDA1" s="4"/>
      <c r="DDB1" s="4"/>
      <c r="DDC1" s="4"/>
      <c r="DDD1" s="4"/>
      <c r="DDE1" s="4"/>
      <c r="DDF1" s="4"/>
      <c r="DDG1" s="4"/>
      <c r="DDH1" s="4"/>
      <c r="DDI1" s="4"/>
      <c r="DDJ1" s="4"/>
      <c r="DDK1" s="4"/>
      <c r="DDL1" s="4"/>
      <c r="DDM1" s="4"/>
      <c r="DDN1" s="4"/>
      <c r="DDO1" s="4"/>
      <c r="DDP1" s="4"/>
      <c r="DDQ1" s="4"/>
      <c r="DDR1" s="4"/>
      <c r="DDS1" s="4"/>
      <c r="DDT1" s="4"/>
      <c r="DDU1" s="4"/>
      <c r="DDV1" s="4"/>
      <c r="DDW1" s="4"/>
      <c r="DDX1" s="4"/>
      <c r="DDY1" s="4"/>
      <c r="DDZ1" s="4"/>
      <c r="DEA1" s="4"/>
      <c r="DEB1" s="4"/>
      <c r="DEC1" s="4"/>
      <c r="DED1" s="4"/>
      <c r="DEE1" s="4"/>
      <c r="DEF1" s="4"/>
      <c r="DEG1" s="4"/>
      <c r="DEH1" s="4"/>
      <c r="DEI1" s="4"/>
      <c r="DEJ1" s="4"/>
      <c r="DEK1" s="4"/>
      <c r="DEL1" s="4"/>
      <c r="DEM1" s="4"/>
      <c r="DEN1" s="4"/>
      <c r="DEO1" s="4"/>
      <c r="DEP1" s="4"/>
      <c r="DEQ1" s="4"/>
      <c r="DER1" s="4"/>
      <c r="DES1" s="4"/>
      <c r="DET1" s="4"/>
      <c r="DEU1" s="4"/>
      <c r="DEV1" s="4"/>
      <c r="DEW1" s="4"/>
      <c r="DEX1" s="4"/>
      <c r="DEY1" s="4"/>
      <c r="DEZ1" s="4"/>
      <c r="DFA1" s="4"/>
      <c r="DFB1" s="4"/>
      <c r="DFC1" s="4"/>
      <c r="DFD1" s="4"/>
      <c r="DFE1" s="4"/>
      <c r="DFF1" s="4"/>
      <c r="DFG1" s="4"/>
      <c r="DFH1" s="4"/>
      <c r="DFI1" s="4"/>
      <c r="DFJ1" s="4"/>
      <c r="DFK1" s="4"/>
      <c r="DFL1" s="4"/>
      <c r="DFM1" s="4"/>
      <c r="DFN1" s="4"/>
      <c r="DFO1" s="4"/>
      <c r="DFP1" s="4"/>
      <c r="DFQ1" s="4"/>
      <c r="DFR1" s="4"/>
      <c r="DFS1" s="4"/>
      <c r="DFT1" s="4"/>
      <c r="DFU1" s="4"/>
      <c r="DFV1" s="4"/>
      <c r="DFW1" s="4"/>
      <c r="DFX1" s="4"/>
      <c r="DFY1" s="4"/>
      <c r="DFZ1" s="4"/>
      <c r="DGA1" s="4"/>
      <c r="DGB1" s="4"/>
      <c r="DGC1" s="4"/>
      <c r="DGD1" s="4"/>
      <c r="DGE1" s="4"/>
      <c r="DGF1" s="4"/>
      <c r="DGG1" s="4"/>
      <c r="DGH1" s="4"/>
      <c r="DGI1" s="4"/>
      <c r="DGJ1" s="4"/>
      <c r="DGK1" s="4"/>
      <c r="DGL1" s="4"/>
      <c r="DGM1" s="4"/>
      <c r="DGN1" s="4"/>
      <c r="DGO1" s="4"/>
      <c r="DGP1" s="4"/>
      <c r="DGQ1" s="4"/>
      <c r="DGR1" s="4"/>
      <c r="DGS1" s="4"/>
      <c r="DGT1" s="4"/>
      <c r="DGU1" s="4"/>
      <c r="DGV1" s="4"/>
      <c r="DGW1" s="4"/>
      <c r="DGX1" s="4"/>
      <c r="DGY1" s="4"/>
      <c r="DGZ1" s="4"/>
      <c r="DHA1" s="4"/>
      <c r="DHB1" s="4"/>
      <c r="DHC1" s="4"/>
      <c r="DHD1" s="4"/>
      <c r="DHE1" s="4"/>
      <c r="DHF1" s="4"/>
      <c r="DHG1" s="4"/>
      <c r="DHH1" s="4"/>
      <c r="DHI1" s="4"/>
      <c r="DHJ1" s="4"/>
      <c r="DHK1" s="4"/>
      <c r="DHL1" s="4"/>
      <c r="DHM1" s="4"/>
      <c r="DHN1" s="4"/>
      <c r="DHO1" s="4"/>
      <c r="DHP1" s="4"/>
      <c r="DHQ1" s="4"/>
      <c r="DHR1" s="4"/>
      <c r="DHS1" s="4"/>
      <c r="DHT1" s="4"/>
      <c r="DHU1" s="4"/>
      <c r="DHV1" s="4"/>
      <c r="DHW1" s="4"/>
      <c r="DHX1" s="4"/>
      <c r="DHY1" s="4"/>
      <c r="DHZ1" s="4"/>
      <c r="DIA1" s="4"/>
      <c r="DIB1" s="4"/>
      <c r="DIC1" s="4"/>
      <c r="DID1" s="4"/>
      <c r="DIE1" s="4"/>
      <c r="DIF1" s="4"/>
      <c r="DIG1" s="4"/>
      <c r="DIH1" s="4"/>
      <c r="DII1" s="4"/>
      <c r="DIJ1" s="4"/>
      <c r="DIK1" s="4"/>
      <c r="DIL1" s="4"/>
      <c r="DIM1" s="4"/>
      <c r="DIN1" s="4"/>
      <c r="DIO1" s="4"/>
      <c r="DIP1" s="4"/>
      <c r="DIQ1" s="4"/>
      <c r="DIR1" s="4"/>
      <c r="DIS1" s="4"/>
      <c r="DIT1" s="4"/>
      <c r="DIU1" s="4"/>
      <c r="DIV1" s="4"/>
      <c r="DIW1" s="4"/>
      <c r="DIX1" s="4"/>
      <c r="DIY1" s="4"/>
      <c r="DIZ1" s="4"/>
      <c r="DJA1" s="4"/>
      <c r="DJB1" s="4"/>
      <c r="DJC1" s="4"/>
      <c r="DJD1" s="4"/>
      <c r="DJE1" s="4"/>
      <c r="DJF1" s="4"/>
      <c r="DJG1" s="4"/>
      <c r="DJH1" s="4"/>
      <c r="DJI1" s="4"/>
      <c r="DJJ1" s="4"/>
      <c r="DJK1" s="4"/>
      <c r="DJL1" s="4"/>
      <c r="DJM1" s="4"/>
      <c r="DJN1" s="4"/>
      <c r="DJO1" s="4"/>
      <c r="DJP1" s="4"/>
      <c r="DJQ1" s="4"/>
      <c r="DJR1" s="4"/>
      <c r="DJS1" s="4"/>
      <c r="DJT1" s="4"/>
      <c r="DJU1" s="4"/>
      <c r="DJV1" s="4"/>
      <c r="DJW1" s="4"/>
      <c r="DJX1" s="4"/>
      <c r="DJY1" s="4"/>
      <c r="DJZ1" s="4"/>
      <c r="DKA1" s="4"/>
      <c r="DKB1" s="4"/>
      <c r="DKC1" s="4"/>
      <c r="DKD1" s="4"/>
      <c r="DKE1" s="4"/>
      <c r="DKF1" s="4"/>
      <c r="DKG1" s="4"/>
      <c r="DKH1" s="4"/>
      <c r="DKI1" s="4"/>
      <c r="DKJ1" s="4"/>
      <c r="DKK1" s="4"/>
      <c r="DKL1" s="4"/>
      <c r="DKM1" s="4"/>
      <c r="DKN1" s="4"/>
      <c r="DKO1" s="4"/>
      <c r="DKP1" s="4"/>
      <c r="DKQ1" s="4"/>
      <c r="DKR1" s="4"/>
      <c r="DKS1" s="4"/>
      <c r="DKT1" s="4"/>
      <c r="DKU1" s="4"/>
      <c r="DKV1" s="4"/>
      <c r="DKW1" s="4"/>
      <c r="DKX1" s="4"/>
      <c r="DKY1" s="4"/>
      <c r="DKZ1" s="4"/>
      <c r="DLA1" s="4"/>
      <c r="DLB1" s="4"/>
      <c r="DLC1" s="4"/>
      <c r="DLD1" s="4"/>
      <c r="DLE1" s="4"/>
      <c r="DLF1" s="4"/>
      <c r="DLG1" s="4"/>
      <c r="DLH1" s="4"/>
      <c r="DLI1" s="4"/>
      <c r="DLJ1" s="4"/>
      <c r="DLK1" s="4"/>
      <c r="DLL1" s="4"/>
      <c r="DLM1" s="4"/>
      <c r="DLN1" s="4"/>
      <c r="DLO1" s="4"/>
      <c r="DLP1" s="4"/>
      <c r="DLQ1" s="4"/>
      <c r="DLR1" s="4"/>
      <c r="DLS1" s="4"/>
      <c r="DLT1" s="4"/>
      <c r="DLU1" s="4"/>
      <c r="DLV1" s="4"/>
      <c r="DLW1" s="4"/>
      <c r="DLX1" s="4"/>
      <c r="DLY1" s="4"/>
      <c r="DLZ1" s="4"/>
      <c r="DMA1" s="4"/>
      <c r="DMB1" s="4"/>
      <c r="DMC1" s="4"/>
      <c r="DMD1" s="4"/>
      <c r="DME1" s="4"/>
      <c r="DMF1" s="4"/>
      <c r="DMG1" s="4"/>
      <c r="DMH1" s="4"/>
      <c r="DMI1" s="4"/>
      <c r="DMJ1" s="4"/>
      <c r="DMK1" s="4"/>
      <c r="DML1" s="4"/>
      <c r="DMM1" s="4"/>
      <c r="DMN1" s="4"/>
      <c r="DMO1" s="4"/>
      <c r="DMP1" s="4"/>
      <c r="DMQ1" s="4"/>
      <c r="DMR1" s="4"/>
      <c r="DMS1" s="4"/>
      <c r="DMT1" s="4"/>
      <c r="DMU1" s="4"/>
      <c r="DMV1" s="4"/>
      <c r="DMW1" s="4"/>
      <c r="DMX1" s="4"/>
      <c r="DMY1" s="4"/>
      <c r="DMZ1" s="4"/>
      <c r="DNA1" s="4"/>
      <c r="DNB1" s="4"/>
      <c r="DNC1" s="4"/>
      <c r="DND1" s="4"/>
      <c r="DNE1" s="4"/>
      <c r="DNF1" s="4"/>
      <c r="DNG1" s="4"/>
      <c r="DNH1" s="4"/>
      <c r="DNI1" s="4"/>
      <c r="DNJ1" s="4"/>
      <c r="DNK1" s="4"/>
      <c r="DNL1" s="4"/>
      <c r="DNM1" s="4"/>
      <c r="DNN1" s="4"/>
      <c r="DNO1" s="4"/>
      <c r="DNP1" s="4"/>
      <c r="DNQ1" s="4"/>
      <c r="DNR1" s="4"/>
      <c r="DNS1" s="4"/>
      <c r="DNT1" s="4"/>
      <c r="DNU1" s="4"/>
      <c r="DNV1" s="4"/>
      <c r="DNW1" s="4"/>
      <c r="DNX1" s="4"/>
      <c r="DNY1" s="4"/>
      <c r="DNZ1" s="4"/>
      <c r="DOA1" s="4"/>
      <c r="DOB1" s="4"/>
      <c r="DOC1" s="4"/>
      <c r="DOD1" s="4"/>
      <c r="DOE1" s="4"/>
      <c r="DOF1" s="4"/>
      <c r="DOG1" s="4"/>
      <c r="DOH1" s="4"/>
      <c r="DOI1" s="4"/>
      <c r="DOJ1" s="4"/>
      <c r="DOK1" s="4"/>
      <c r="DOL1" s="4"/>
      <c r="DOM1" s="4"/>
      <c r="DON1" s="4"/>
      <c r="DOO1" s="4"/>
      <c r="DOP1" s="4"/>
      <c r="DOQ1" s="4"/>
      <c r="DOR1" s="4"/>
      <c r="DOS1" s="4"/>
      <c r="DOT1" s="4"/>
      <c r="DOU1" s="4"/>
      <c r="DOV1" s="4"/>
      <c r="DOW1" s="4"/>
      <c r="DOX1" s="4"/>
      <c r="DOY1" s="4"/>
      <c r="DOZ1" s="4"/>
      <c r="DPA1" s="4"/>
      <c r="DPB1" s="4"/>
      <c r="DPC1" s="4"/>
      <c r="DPD1" s="4"/>
      <c r="DPE1" s="4"/>
      <c r="DPF1" s="4"/>
      <c r="DPG1" s="4"/>
      <c r="DPH1" s="4"/>
      <c r="DPI1" s="4"/>
      <c r="DPJ1" s="4"/>
      <c r="DPK1" s="4"/>
      <c r="DPL1" s="4"/>
      <c r="DPM1" s="4"/>
      <c r="DPN1" s="4"/>
      <c r="DPO1" s="4"/>
      <c r="DPP1" s="4"/>
      <c r="DPQ1" s="4"/>
      <c r="DPR1" s="4"/>
      <c r="DPS1" s="4"/>
      <c r="DPT1" s="4"/>
      <c r="DPU1" s="4"/>
      <c r="DPV1" s="4"/>
      <c r="DPW1" s="4"/>
      <c r="DPX1" s="4"/>
      <c r="DPY1" s="4"/>
      <c r="DPZ1" s="4"/>
      <c r="DQA1" s="4"/>
      <c r="DQB1" s="4"/>
      <c r="DQC1" s="4"/>
      <c r="DQD1" s="4"/>
      <c r="DQE1" s="4"/>
      <c r="DQF1" s="4"/>
      <c r="DQG1" s="4"/>
      <c r="DQH1" s="4"/>
      <c r="DQI1" s="4"/>
      <c r="DQJ1" s="4"/>
      <c r="DQK1" s="4"/>
      <c r="DQL1" s="4"/>
      <c r="DQM1" s="4"/>
      <c r="DQN1" s="4"/>
      <c r="DQO1" s="4"/>
      <c r="DQP1" s="4"/>
      <c r="DQQ1" s="4"/>
      <c r="DQR1" s="4"/>
      <c r="DQS1" s="4"/>
      <c r="DQT1" s="4"/>
      <c r="DQU1" s="4"/>
      <c r="DQV1" s="4"/>
      <c r="DQW1" s="4"/>
      <c r="DQX1" s="4"/>
      <c r="DQY1" s="4"/>
      <c r="DQZ1" s="4"/>
      <c r="DRA1" s="4"/>
      <c r="DRB1" s="4"/>
      <c r="DRC1" s="4"/>
      <c r="DRD1" s="4"/>
      <c r="DRE1" s="4"/>
      <c r="DRF1" s="4"/>
      <c r="DRG1" s="4"/>
      <c r="DRH1" s="4"/>
      <c r="DRI1" s="4"/>
      <c r="DRJ1" s="4"/>
      <c r="DRK1" s="4"/>
      <c r="DRL1" s="4"/>
      <c r="DRM1" s="4"/>
      <c r="DRN1" s="4"/>
      <c r="DRO1" s="4"/>
      <c r="DRP1" s="4"/>
      <c r="DRQ1" s="4"/>
      <c r="DRR1" s="4"/>
      <c r="DRS1" s="4"/>
      <c r="DRT1" s="4"/>
      <c r="DRU1" s="4"/>
      <c r="DRV1" s="4"/>
      <c r="DRW1" s="4"/>
      <c r="DRX1" s="4"/>
      <c r="DRY1" s="4"/>
      <c r="DRZ1" s="4"/>
      <c r="DSA1" s="4"/>
      <c r="DSB1" s="4"/>
      <c r="DSC1" s="4"/>
      <c r="DSD1" s="4"/>
      <c r="DSE1" s="4"/>
      <c r="DSF1" s="4"/>
      <c r="DSG1" s="4"/>
      <c r="DSH1" s="4"/>
      <c r="DSI1" s="4"/>
      <c r="DSJ1" s="4"/>
      <c r="DSK1" s="4"/>
      <c r="DSL1" s="4"/>
      <c r="DSM1" s="4"/>
      <c r="DSN1" s="4"/>
      <c r="DSO1" s="4"/>
      <c r="DSP1" s="4"/>
      <c r="DSQ1" s="4"/>
      <c r="DSR1" s="4"/>
      <c r="DSS1" s="4"/>
      <c r="DST1" s="4"/>
      <c r="DSU1" s="4"/>
      <c r="DSV1" s="4"/>
      <c r="DSW1" s="4"/>
      <c r="DSX1" s="4"/>
      <c r="DSY1" s="4"/>
      <c r="DSZ1" s="4"/>
      <c r="DTA1" s="4"/>
      <c r="DTB1" s="4"/>
      <c r="DTC1" s="4"/>
      <c r="DTD1" s="4"/>
      <c r="DTE1" s="4"/>
      <c r="DTF1" s="4"/>
      <c r="DTG1" s="4"/>
      <c r="DTH1" s="4"/>
      <c r="DTI1" s="4"/>
      <c r="DTJ1" s="4"/>
      <c r="DTK1" s="4"/>
      <c r="DTL1" s="4"/>
      <c r="DTM1" s="4"/>
      <c r="DTN1" s="4"/>
      <c r="DTO1" s="4"/>
      <c r="DTP1" s="4"/>
      <c r="DTQ1" s="4"/>
      <c r="DTR1" s="4"/>
      <c r="DTS1" s="4"/>
      <c r="DTT1" s="4"/>
      <c r="DTU1" s="4"/>
      <c r="DTV1" s="4"/>
      <c r="DTW1" s="4"/>
      <c r="DTX1" s="4"/>
      <c r="DTY1" s="4"/>
      <c r="DTZ1" s="4"/>
      <c r="DUA1" s="4"/>
      <c r="DUB1" s="4"/>
      <c r="DUC1" s="4"/>
      <c r="DUD1" s="4"/>
      <c r="DUE1" s="4"/>
      <c r="DUF1" s="4"/>
      <c r="DUG1" s="4"/>
      <c r="DUH1" s="4"/>
      <c r="DUI1" s="4"/>
      <c r="DUJ1" s="4"/>
      <c r="DUK1" s="4"/>
      <c r="DUL1" s="4"/>
      <c r="DUM1" s="4"/>
      <c r="DUN1" s="4"/>
      <c r="DUO1" s="4"/>
      <c r="DUP1" s="4"/>
      <c r="DUQ1" s="4"/>
      <c r="DUR1" s="4"/>
      <c r="DUS1" s="4"/>
      <c r="DUT1" s="4"/>
      <c r="DUU1" s="4"/>
      <c r="DUV1" s="4"/>
      <c r="DUW1" s="4"/>
      <c r="DUX1" s="4"/>
      <c r="DUY1" s="4"/>
      <c r="DUZ1" s="4"/>
      <c r="DVA1" s="4"/>
      <c r="DVB1" s="4"/>
      <c r="DVC1" s="4"/>
      <c r="DVD1" s="4"/>
      <c r="DVE1" s="4"/>
      <c r="DVF1" s="4"/>
      <c r="DVG1" s="4"/>
      <c r="DVH1" s="4"/>
      <c r="DVI1" s="4"/>
      <c r="DVJ1" s="4"/>
      <c r="DVK1" s="4"/>
      <c r="DVL1" s="4"/>
      <c r="DVM1" s="4"/>
      <c r="DVN1" s="4"/>
      <c r="DVO1" s="4"/>
      <c r="DVP1" s="4"/>
      <c r="DVQ1" s="4"/>
      <c r="DVR1" s="4"/>
      <c r="DVS1" s="4"/>
      <c r="DVT1" s="4"/>
      <c r="DVU1" s="4"/>
      <c r="DVV1" s="4"/>
      <c r="DVW1" s="4"/>
      <c r="DVX1" s="4"/>
      <c r="DVY1" s="4"/>
      <c r="DVZ1" s="4"/>
      <c r="DWA1" s="4"/>
      <c r="DWB1" s="4"/>
      <c r="DWC1" s="4"/>
      <c r="DWD1" s="4"/>
      <c r="DWE1" s="4"/>
      <c r="DWF1" s="4"/>
      <c r="DWG1" s="4"/>
      <c r="DWH1" s="4"/>
      <c r="DWI1" s="4"/>
      <c r="DWJ1" s="4"/>
      <c r="DWK1" s="4"/>
      <c r="DWL1" s="4"/>
      <c r="DWM1" s="4"/>
      <c r="DWN1" s="4"/>
      <c r="DWO1" s="4"/>
      <c r="DWP1" s="4"/>
      <c r="DWQ1" s="4"/>
      <c r="DWR1" s="4"/>
      <c r="DWS1" s="4"/>
      <c r="DWT1" s="4"/>
      <c r="DWU1" s="4"/>
      <c r="DWV1" s="4"/>
      <c r="DWW1" s="4"/>
      <c r="DWX1" s="4"/>
      <c r="DWY1" s="4"/>
      <c r="DWZ1" s="4"/>
      <c r="DXA1" s="4"/>
      <c r="DXB1" s="4"/>
      <c r="DXC1" s="4"/>
      <c r="DXD1" s="4"/>
      <c r="DXE1" s="4"/>
      <c r="DXF1" s="4"/>
      <c r="DXG1" s="4"/>
      <c r="DXH1" s="4"/>
      <c r="DXI1" s="4"/>
      <c r="DXJ1" s="4"/>
      <c r="DXK1" s="4"/>
      <c r="DXL1" s="4"/>
      <c r="DXM1" s="4"/>
      <c r="DXN1" s="4"/>
      <c r="DXO1" s="4"/>
      <c r="DXP1" s="4"/>
      <c r="DXQ1" s="4"/>
      <c r="DXR1" s="4"/>
      <c r="DXS1" s="4"/>
      <c r="DXT1" s="4"/>
      <c r="DXU1" s="4"/>
      <c r="DXV1" s="4"/>
      <c r="DXW1" s="4"/>
      <c r="DXX1" s="4"/>
      <c r="DXY1" s="4"/>
      <c r="DXZ1" s="4"/>
      <c r="DYA1" s="4"/>
      <c r="DYB1" s="4"/>
      <c r="DYC1" s="4"/>
      <c r="DYD1" s="4"/>
      <c r="DYE1" s="4"/>
      <c r="DYF1" s="4"/>
      <c r="DYG1" s="4"/>
      <c r="DYH1" s="4"/>
      <c r="DYI1" s="4"/>
      <c r="DYJ1" s="4"/>
      <c r="DYK1" s="4"/>
      <c r="DYL1" s="4"/>
      <c r="DYM1" s="4"/>
      <c r="DYN1" s="4"/>
      <c r="DYO1" s="4"/>
      <c r="DYP1" s="4"/>
      <c r="DYQ1" s="4"/>
      <c r="DYR1" s="4"/>
      <c r="DYS1" s="4"/>
      <c r="DYT1" s="4"/>
      <c r="DYU1" s="4"/>
      <c r="DYV1" s="4"/>
      <c r="DYW1" s="4"/>
      <c r="DYX1" s="4"/>
      <c r="DYY1" s="4"/>
      <c r="DYZ1" s="4"/>
      <c r="DZA1" s="4"/>
      <c r="DZB1" s="4"/>
      <c r="DZC1" s="4"/>
      <c r="DZD1" s="4"/>
      <c r="DZE1" s="4"/>
      <c r="DZF1" s="4"/>
      <c r="DZG1" s="4"/>
      <c r="DZH1" s="4"/>
      <c r="DZI1" s="4"/>
      <c r="DZJ1" s="4"/>
      <c r="DZK1" s="4"/>
      <c r="DZL1" s="4"/>
      <c r="DZM1" s="4"/>
      <c r="DZN1" s="4"/>
      <c r="DZO1" s="4"/>
      <c r="DZP1" s="4"/>
      <c r="DZQ1" s="4"/>
      <c r="DZR1" s="4"/>
      <c r="DZS1" s="4"/>
      <c r="DZT1" s="4"/>
      <c r="DZU1" s="4"/>
      <c r="DZV1" s="4"/>
      <c r="DZW1" s="4"/>
      <c r="DZX1" s="4"/>
      <c r="DZY1" s="4"/>
      <c r="DZZ1" s="4"/>
      <c r="EAA1" s="4"/>
      <c r="EAB1" s="4"/>
      <c r="EAC1" s="4"/>
      <c r="EAD1" s="4"/>
      <c r="EAE1" s="4"/>
      <c r="EAF1" s="4"/>
      <c r="EAG1" s="4"/>
      <c r="EAH1" s="4"/>
      <c r="EAI1" s="4"/>
      <c r="EAJ1" s="4"/>
      <c r="EAK1" s="4"/>
      <c r="EAL1" s="4"/>
      <c r="EAM1" s="4"/>
      <c r="EAN1" s="4"/>
      <c r="EAO1" s="4"/>
      <c r="EAP1" s="4"/>
      <c r="EAQ1" s="4"/>
      <c r="EAR1" s="4"/>
      <c r="EAS1" s="4"/>
      <c r="EAT1" s="4"/>
      <c r="EAU1" s="4"/>
      <c r="EAV1" s="4"/>
      <c r="EAW1" s="4"/>
      <c r="EAX1" s="4"/>
      <c r="EAY1" s="4"/>
      <c r="EAZ1" s="4"/>
      <c r="EBA1" s="4"/>
      <c r="EBB1" s="4"/>
      <c r="EBC1" s="4"/>
      <c r="EBD1" s="4"/>
      <c r="EBE1" s="4"/>
      <c r="EBF1" s="4"/>
      <c r="EBG1" s="4"/>
      <c r="EBH1" s="4"/>
      <c r="EBI1" s="4"/>
      <c r="EBJ1" s="4"/>
      <c r="EBK1" s="4"/>
      <c r="EBL1" s="4"/>
      <c r="EBM1" s="4"/>
      <c r="EBN1" s="4"/>
      <c r="EBO1" s="4"/>
      <c r="EBP1" s="4"/>
      <c r="EBQ1" s="4"/>
      <c r="EBR1" s="4"/>
      <c r="EBS1" s="4"/>
      <c r="EBT1" s="4"/>
      <c r="EBU1" s="4"/>
      <c r="EBV1" s="4"/>
      <c r="EBW1" s="4"/>
      <c r="EBX1" s="4"/>
      <c r="EBY1" s="4"/>
      <c r="EBZ1" s="4"/>
      <c r="ECA1" s="4"/>
      <c r="ECB1" s="4"/>
      <c r="ECC1" s="4"/>
      <c r="ECD1" s="4"/>
      <c r="ECE1" s="4"/>
      <c r="ECF1" s="4"/>
      <c r="ECG1" s="4"/>
      <c r="ECH1" s="4"/>
      <c r="ECI1" s="4"/>
      <c r="ECJ1" s="4"/>
      <c r="ECK1" s="4"/>
      <c r="ECL1" s="4"/>
      <c r="ECM1" s="4"/>
      <c r="ECN1" s="4"/>
      <c r="ECO1" s="4"/>
      <c r="ECP1" s="4"/>
      <c r="ECQ1" s="4"/>
      <c r="ECR1" s="4"/>
      <c r="ECS1" s="4"/>
      <c r="ECT1" s="4"/>
      <c r="ECU1" s="4"/>
      <c r="ECV1" s="4"/>
      <c r="ECW1" s="4"/>
      <c r="ECX1" s="4"/>
      <c r="ECY1" s="4"/>
      <c r="ECZ1" s="4"/>
      <c r="EDA1" s="4"/>
      <c r="EDB1" s="4"/>
      <c r="EDC1" s="4"/>
      <c r="EDD1" s="4"/>
      <c r="EDE1" s="4"/>
      <c r="EDF1" s="4"/>
      <c r="EDG1" s="4"/>
      <c r="EDH1" s="4"/>
      <c r="EDI1" s="4"/>
      <c r="EDJ1" s="4"/>
      <c r="EDK1" s="4"/>
      <c r="EDL1" s="4"/>
      <c r="EDM1" s="4"/>
      <c r="EDN1" s="4"/>
      <c r="EDO1" s="4"/>
      <c r="EDP1" s="4"/>
      <c r="EDQ1" s="4"/>
      <c r="EDR1" s="4"/>
      <c r="EDS1" s="4"/>
      <c r="EDT1" s="4"/>
      <c r="EDU1" s="4"/>
      <c r="EDV1" s="4"/>
      <c r="EDW1" s="4"/>
      <c r="EDX1" s="4"/>
      <c r="EDY1" s="4"/>
      <c r="EDZ1" s="4"/>
      <c r="EEA1" s="4"/>
      <c r="EEB1" s="4"/>
      <c r="EEC1" s="4"/>
      <c r="EED1" s="4"/>
      <c r="EEE1" s="4"/>
      <c r="EEF1" s="4"/>
      <c r="EEG1" s="4"/>
      <c r="EEH1" s="4"/>
      <c r="EEI1" s="4"/>
      <c r="EEJ1" s="4"/>
      <c r="EEK1" s="4"/>
      <c r="EEL1" s="4"/>
      <c r="EEM1" s="4"/>
      <c r="EEN1" s="4"/>
      <c r="EEO1" s="4"/>
      <c r="EEP1" s="4"/>
      <c r="EEQ1" s="4"/>
      <c r="EER1" s="4"/>
      <c r="EES1" s="4"/>
      <c r="EET1" s="4"/>
      <c r="EEU1" s="4"/>
      <c r="EEV1" s="4"/>
      <c r="EEW1" s="4"/>
      <c r="EEX1" s="4"/>
      <c r="EEY1" s="4"/>
      <c r="EEZ1" s="4"/>
      <c r="EFA1" s="4"/>
      <c r="EFB1" s="4"/>
      <c r="EFC1" s="4"/>
      <c r="EFD1" s="4"/>
      <c r="EFE1" s="4"/>
      <c r="EFF1" s="4"/>
      <c r="EFG1" s="4"/>
      <c r="EFH1" s="4"/>
      <c r="EFI1" s="4"/>
      <c r="EFJ1" s="4"/>
      <c r="EFK1" s="4"/>
      <c r="EFL1" s="4"/>
      <c r="EFM1" s="4"/>
      <c r="EFN1" s="4"/>
      <c r="EFO1" s="4"/>
      <c r="EFP1" s="4"/>
      <c r="EFQ1" s="4"/>
      <c r="EFR1" s="4"/>
      <c r="EFS1" s="4"/>
      <c r="EFT1" s="4"/>
      <c r="EFU1" s="4"/>
      <c r="EFV1" s="4"/>
      <c r="EFW1" s="4"/>
      <c r="EFX1" s="4"/>
      <c r="EFY1" s="4"/>
      <c r="EFZ1" s="4"/>
      <c r="EGA1" s="4"/>
      <c r="EGB1" s="4"/>
      <c r="EGC1" s="4"/>
      <c r="EGD1" s="4"/>
      <c r="EGE1" s="4"/>
      <c r="EGF1" s="4"/>
      <c r="EGG1" s="4"/>
      <c r="EGH1" s="4"/>
      <c r="EGI1" s="4"/>
      <c r="EGJ1" s="4"/>
      <c r="EGK1" s="4"/>
      <c r="EGL1" s="4"/>
      <c r="EGM1" s="4"/>
      <c r="EGN1" s="4"/>
      <c r="EGO1" s="4"/>
      <c r="EGP1" s="4"/>
      <c r="EGQ1" s="4"/>
      <c r="EGR1" s="4"/>
      <c r="EGS1" s="4"/>
      <c r="EGT1" s="4"/>
      <c r="EGU1" s="4"/>
      <c r="EGV1" s="4"/>
      <c r="EGW1" s="4"/>
      <c r="EGX1" s="4"/>
      <c r="EGY1" s="4"/>
      <c r="EGZ1" s="4"/>
      <c r="EHA1" s="4"/>
      <c r="EHB1" s="4"/>
      <c r="EHC1" s="4"/>
      <c r="EHD1" s="4"/>
      <c r="EHE1" s="4"/>
      <c r="EHF1" s="4"/>
      <c r="EHG1" s="4"/>
      <c r="EHH1" s="4"/>
      <c r="EHI1" s="4"/>
      <c r="EHJ1" s="4"/>
      <c r="EHK1" s="4"/>
      <c r="EHL1" s="4"/>
      <c r="EHM1" s="4"/>
      <c r="EHN1" s="4"/>
      <c r="EHO1" s="4"/>
      <c r="EHP1" s="4"/>
      <c r="EHQ1" s="4"/>
      <c r="EHR1" s="4"/>
      <c r="EHS1" s="4"/>
      <c r="EHT1" s="4"/>
      <c r="EHU1" s="4"/>
      <c r="EHV1" s="4"/>
      <c r="EHW1" s="4"/>
      <c r="EHX1" s="4"/>
      <c r="EHY1" s="4"/>
      <c r="EHZ1" s="4"/>
      <c r="EIA1" s="4"/>
      <c r="EIB1" s="4"/>
      <c r="EIC1" s="4"/>
      <c r="EID1" s="4"/>
      <c r="EIE1" s="4"/>
      <c r="EIF1" s="4"/>
      <c r="EIG1" s="4"/>
      <c r="EIH1" s="4"/>
      <c r="EII1" s="4"/>
      <c r="EIJ1" s="4"/>
      <c r="EIK1" s="4"/>
      <c r="EIL1" s="4"/>
      <c r="EIM1" s="4"/>
      <c r="EIN1" s="4"/>
      <c r="EIO1" s="4"/>
      <c r="EIP1" s="4"/>
      <c r="EIQ1" s="4"/>
      <c r="EIR1" s="4"/>
      <c r="EIS1" s="4"/>
      <c r="EIT1" s="4"/>
      <c r="EIU1" s="4"/>
      <c r="EIV1" s="4"/>
      <c r="EIW1" s="4"/>
      <c r="EIX1" s="4"/>
      <c r="EIY1" s="4"/>
      <c r="EIZ1" s="4"/>
      <c r="EJA1" s="4"/>
      <c r="EJB1" s="4"/>
      <c r="EJC1" s="4"/>
      <c r="EJD1" s="4"/>
      <c r="EJE1" s="4"/>
      <c r="EJF1" s="4"/>
      <c r="EJG1" s="4"/>
      <c r="EJH1" s="4"/>
      <c r="EJI1" s="4"/>
      <c r="EJJ1" s="4"/>
      <c r="EJK1" s="4"/>
      <c r="EJL1" s="4"/>
      <c r="EJM1" s="4"/>
      <c r="EJN1" s="4"/>
      <c r="EJO1" s="4"/>
      <c r="EJP1" s="4"/>
      <c r="EJQ1" s="4"/>
      <c r="EJR1" s="4"/>
      <c r="EJS1" s="4"/>
      <c r="EJT1" s="4"/>
      <c r="EJU1" s="4"/>
      <c r="EJV1" s="4"/>
      <c r="EJW1" s="4"/>
      <c r="EJX1" s="4"/>
      <c r="EJY1" s="4"/>
      <c r="EJZ1" s="4"/>
      <c r="EKA1" s="4"/>
      <c r="EKB1" s="4"/>
      <c r="EKC1" s="4"/>
      <c r="EKD1" s="4"/>
      <c r="EKE1" s="4"/>
      <c r="EKF1" s="4"/>
      <c r="EKG1" s="4"/>
      <c r="EKH1" s="4"/>
      <c r="EKI1" s="4"/>
      <c r="EKJ1" s="4"/>
      <c r="EKK1" s="4"/>
      <c r="EKL1" s="4"/>
      <c r="EKM1" s="4"/>
      <c r="EKN1" s="4"/>
      <c r="EKO1" s="4"/>
      <c r="EKP1" s="4"/>
      <c r="EKQ1" s="4"/>
      <c r="EKR1" s="4"/>
      <c r="EKS1" s="4"/>
      <c r="EKT1" s="4"/>
      <c r="EKU1" s="4"/>
      <c r="EKV1" s="4"/>
      <c r="EKW1" s="4"/>
      <c r="EKX1" s="4"/>
      <c r="EKY1" s="4"/>
      <c r="EKZ1" s="4"/>
      <c r="ELA1" s="4"/>
      <c r="ELB1" s="4"/>
      <c r="ELC1" s="4"/>
      <c r="ELD1" s="4"/>
      <c r="ELE1" s="4"/>
      <c r="ELF1" s="4"/>
      <c r="ELG1" s="4"/>
      <c r="ELH1" s="4"/>
      <c r="ELI1" s="4"/>
      <c r="ELJ1" s="4"/>
      <c r="ELK1" s="4"/>
      <c r="ELL1" s="4"/>
      <c r="ELM1" s="4"/>
      <c r="ELN1" s="4"/>
      <c r="ELO1" s="4"/>
      <c r="ELP1" s="4"/>
      <c r="ELQ1" s="4"/>
      <c r="ELR1" s="4"/>
      <c r="ELS1" s="4"/>
      <c r="ELT1" s="4"/>
      <c r="ELU1" s="4"/>
      <c r="ELV1" s="4"/>
      <c r="ELW1" s="4"/>
      <c r="ELX1" s="4"/>
      <c r="ELY1" s="4"/>
      <c r="ELZ1" s="4"/>
      <c r="EMA1" s="4"/>
      <c r="EMB1" s="4"/>
      <c r="EMC1" s="4"/>
      <c r="EMD1" s="4"/>
      <c r="EME1" s="4"/>
      <c r="EMF1" s="4"/>
      <c r="EMG1" s="4"/>
      <c r="EMH1" s="4"/>
      <c r="EMI1" s="4"/>
      <c r="EMJ1" s="4"/>
      <c r="EMK1" s="4"/>
      <c r="EML1" s="4"/>
      <c r="EMM1" s="4"/>
      <c r="EMN1" s="4"/>
      <c r="EMO1" s="4"/>
      <c r="EMP1" s="4"/>
      <c r="EMQ1" s="4"/>
      <c r="EMR1" s="4"/>
      <c r="EMS1" s="4"/>
      <c r="EMT1" s="4"/>
      <c r="EMU1" s="4"/>
      <c r="EMV1" s="4"/>
      <c r="EMW1" s="4"/>
      <c r="EMX1" s="4"/>
      <c r="EMY1" s="4"/>
      <c r="EMZ1" s="4"/>
      <c r="ENA1" s="4"/>
      <c r="ENB1" s="4"/>
      <c r="ENC1" s="4"/>
      <c r="END1" s="4"/>
      <c r="ENE1" s="4"/>
      <c r="ENF1" s="4"/>
      <c r="ENG1" s="4"/>
      <c r="ENH1" s="4"/>
      <c r="ENI1" s="4"/>
      <c r="ENJ1" s="4"/>
      <c r="ENK1" s="4"/>
      <c r="ENL1" s="4"/>
      <c r="ENM1" s="4"/>
      <c r="ENN1" s="4"/>
      <c r="ENO1" s="4"/>
      <c r="ENP1" s="4"/>
      <c r="ENQ1" s="4"/>
      <c r="ENR1" s="4"/>
      <c r="ENS1" s="4"/>
      <c r="ENT1" s="4"/>
      <c r="ENU1" s="4"/>
      <c r="ENV1" s="4"/>
      <c r="ENW1" s="4"/>
      <c r="ENX1" s="4"/>
      <c r="ENY1" s="4"/>
      <c r="ENZ1" s="4"/>
      <c r="EOA1" s="4"/>
      <c r="EOB1" s="4"/>
      <c r="EOC1" s="4"/>
      <c r="EOD1" s="4"/>
      <c r="EOE1" s="4"/>
      <c r="EOF1" s="4"/>
      <c r="EOG1" s="4"/>
      <c r="EOH1" s="4"/>
      <c r="EOI1" s="4"/>
      <c r="EOJ1" s="4"/>
      <c r="EOK1" s="4"/>
      <c r="EOL1" s="4"/>
      <c r="EOM1" s="4"/>
      <c r="EON1" s="4"/>
      <c r="EOO1" s="4"/>
      <c r="EOP1" s="4"/>
      <c r="EOQ1" s="4"/>
      <c r="EOR1" s="4"/>
      <c r="EOS1" s="4"/>
      <c r="EOT1" s="4"/>
      <c r="EOU1" s="4"/>
      <c r="EOV1" s="4"/>
      <c r="EOW1" s="4"/>
      <c r="EOX1" s="4"/>
      <c r="EOY1" s="4"/>
      <c r="EOZ1" s="4"/>
      <c r="EPA1" s="4"/>
      <c r="EPB1" s="4"/>
      <c r="EPC1" s="4"/>
      <c r="EPD1" s="4"/>
      <c r="EPE1" s="4"/>
      <c r="EPF1" s="4"/>
      <c r="EPG1" s="4"/>
      <c r="EPH1" s="4"/>
      <c r="EPI1" s="4"/>
      <c r="EPJ1" s="4"/>
      <c r="EPK1" s="4"/>
      <c r="EPL1" s="4"/>
      <c r="EPM1" s="4"/>
      <c r="EPN1" s="4"/>
      <c r="EPO1" s="4"/>
      <c r="EPP1" s="4"/>
      <c r="EPQ1" s="4"/>
      <c r="EPR1" s="4"/>
      <c r="EPS1" s="4"/>
      <c r="EPT1" s="4"/>
      <c r="EPU1" s="4"/>
      <c r="EPV1" s="4"/>
      <c r="EPW1" s="4"/>
      <c r="EPX1" s="4"/>
      <c r="EPY1" s="4"/>
      <c r="EPZ1" s="4"/>
      <c r="EQA1" s="4"/>
      <c r="EQB1" s="4"/>
      <c r="EQC1" s="4"/>
      <c r="EQD1" s="4"/>
      <c r="EQE1" s="4"/>
      <c r="EQF1" s="4"/>
      <c r="EQG1" s="4"/>
      <c r="EQH1" s="4"/>
      <c r="EQI1" s="4"/>
      <c r="EQJ1" s="4"/>
      <c r="EQK1" s="4"/>
      <c r="EQL1" s="4"/>
      <c r="EQM1" s="4"/>
      <c r="EQN1" s="4"/>
      <c r="EQO1" s="4"/>
      <c r="EQP1" s="4"/>
      <c r="EQQ1" s="4"/>
      <c r="EQR1" s="4"/>
      <c r="EQS1" s="4"/>
      <c r="EQT1" s="4"/>
      <c r="EQU1" s="4"/>
      <c r="EQV1" s="4"/>
      <c r="EQW1" s="4"/>
      <c r="EQX1" s="4"/>
      <c r="EQY1" s="4"/>
      <c r="EQZ1" s="4"/>
      <c r="ERA1" s="4"/>
      <c r="ERB1" s="4"/>
      <c r="ERC1" s="4"/>
      <c r="ERD1" s="4"/>
      <c r="ERE1" s="4"/>
      <c r="ERF1" s="4"/>
      <c r="ERG1" s="4"/>
      <c r="ERH1" s="4"/>
      <c r="ERI1" s="4"/>
      <c r="ERJ1" s="4"/>
      <c r="ERK1" s="4"/>
      <c r="ERL1" s="4"/>
      <c r="ERM1" s="4"/>
      <c r="ERN1" s="4"/>
      <c r="ERO1" s="4"/>
      <c r="ERP1" s="4"/>
      <c r="ERQ1" s="4"/>
      <c r="ERR1" s="4"/>
      <c r="ERS1" s="4"/>
      <c r="ERT1" s="4"/>
      <c r="ERU1" s="4"/>
      <c r="ERV1" s="4"/>
      <c r="ERW1" s="4"/>
      <c r="ERX1" s="4"/>
      <c r="ERY1" s="4"/>
      <c r="ERZ1" s="4"/>
      <c r="ESA1" s="4"/>
      <c r="ESB1" s="4"/>
      <c r="ESC1" s="4"/>
      <c r="ESD1" s="4"/>
      <c r="ESE1" s="4"/>
      <c r="ESF1" s="4"/>
      <c r="ESG1" s="4"/>
      <c r="ESH1" s="4"/>
      <c r="ESI1" s="4"/>
      <c r="ESJ1" s="4"/>
      <c r="ESK1" s="4"/>
      <c r="ESL1" s="4"/>
      <c r="ESM1" s="4"/>
      <c r="ESN1" s="4"/>
      <c r="ESO1" s="4"/>
      <c r="ESP1" s="4"/>
      <c r="ESQ1" s="4"/>
      <c r="ESR1" s="4"/>
      <c r="ESS1" s="4"/>
      <c r="EST1" s="4"/>
      <c r="ESU1" s="4"/>
      <c r="ESV1" s="4"/>
      <c r="ESW1" s="4"/>
      <c r="ESX1" s="4"/>
      <c r="ESY1" s="4"/>
      <c r="ESZ1" s="4"/>
      <c r="ETA1" s="4"/>
      <c r="ETB1" s="4"/>
      <c r="ETC1" s="4"/>
      <c r="ETD1" s="4"/>
      <c r="ETE1" s="4"/>
      <c r="ETF1" s="4"/>
      <c r="ETG1" s="4"/>
      <c r="ETH1" s="4"/>
      <c r="ETI1" s="4"/>
      <c r="ETJ1" s="4"/>
      <c r="ETK1" s="4"/>
      <c r="ETL1" s="4"/>
      <c r="ETM1" s="4"/>
      <c r="ETN1" s="4"/>
      <c r="ETO1" s="4"/>
      <c r="ETP1" s="4"/>
      <c r="ETQ1" s="4"/>
      <c r="ETR1" s="4"/>
      <c r="ETS1" s="4"/>
      <c r="ETT1" s="4"/>
      <c r="ETU1" s="4"/>
      <c r="ETV1" s="4"/>
      <c r="ETW1" s="4"/>
      <c r="ETX1" s="4"/>
      <c r="ETY1" s="4"/>
      <c r="ETZ1" s="4"/>
      <c r="EUA1" s="4"/>
      <c r="EUB1" s="4"/>
      <c r="EUC1" s="4"/>
      <c r="EUD1" s="4"/>
      <c r="EUE1" s="4"/>
      <c r="EUF1" s="4"/>
      <c r="EUG1" s="4"/>
      <c r="EUH1" s="4"/>
      <c r="EUI1" s="4"/>
      <c r="EUJ1" s="4"/>
      <c r="EUK1" s="4"/>
      <c r="EUL1" s="4"/>
      <c r="EUM1" s="4"/>
      <c r="EUN1" s="4"/>
      <c r="EUO1" s="4"/>
      <c r="EUP1" s="4"/>
      <c r="EUQ1" s="4"/>
      <c r="EUR1" s="4"/>
      <c r="EUS1" s="4"/>
      <c r="EUT1" s="4"/>
      <c r="EUU1" s="4"/>
      <c r="EUV1" s="4"/>
      <c r="EUW1" s="4"/>
      <c r="EUX1" s="4"/>
      <c r="EUY1" s="4"/>
      <c r="EUZ1" s="4"/>
      <c r="EVA1" s="4"/>
      <c r="EVB1" s="4"/>
      <c r="EVC1" s="4"/>
      <c r="EVD1" s="4"/>
      <c r="EVE1" s="4"/>
      <c r="EVF1" s="4"/>
      <c r="EVG1" s="4"/>
      <c r="EVH1" s="4"/>
      <c r="EVI1" s="4"/>
      <c r="EVJ1" s="4"/>
      <c r="EVK1" s="4"/>
      <c r="EVL1" s="4"/>
      <c r="EVM1" s="4"/>
      <c r="EVN1" s="4"/>
      <c r="EVO1" s="4"/>
      <c r="EVP1" s="4"/>
      <c r="EVQ1" s="4"/>
      <c r="EVR1" s="4"/>
      <c r="EVS1" s="4"/>
      <c r="EVT1" s="4"/>
      <c r="EVU1" s="4"/>
      <c r="EVV1" s="4"/>
      <c r="EVW1" s="4"/>
      <c r="EVX1" s="4"/>
      <c r="EVY1" s="4"/>
      <c r="EVZ1" s="4"/>
      <c r="EWA1" s="4"/>
      <c r="EWB1" s="4"/>
      <c r="EWC1" s="4"/>
      <c r="EWD1" s="4"/>
      <c r="EWE1" s="4"/>
      <c r="EWF1" s="4"/>
      <c r="EWG1" s="4"/>
      <c r="EWH1" s="4"/>
      <c r="EWI1" s="4"/>
      <c r="EWJ1" s="4"/>
      <c r="EWK1" s="4"/>
      <c r="EWL1" s="4"/>
      <c r="EWM1" s="4"/>
      <c r="EWN1" s="4"/>
      <c r="EWO1" s="4"/>
      <c r="EWP1" s="4"/>
      <c r="EWQ1" s="4"/>
      <c r="EWR1" s="4"/>
      <c r="EWS1" s="4"/>
      <c r="EWT1" s="4"/>
      <c r="EWU1" s="4"/>
      <c r="EWV1" s="4"/>
      <c r="EWW1" s="4"/>
      <c r="EWX1" s="4"/>
      <c r="EWY1" s="4"/>
      <c r="EWZ1" s="4"/>
      <c r="EXA1" s="4"/>
      <c r="EXB1" s="4"/>
      <c r="EXC1" s="4"/>
      <c r="EXD1" s="4"/>
      <c r="EXE1" s="4"/>
      <c r="EXF1" s="4"/>
      <c r="EXG1" s="4"/>
      <c r="EXH1" s="4"/>
      <c r="EXI1" s="4"/>
      <c r="EXJ1" s="4"/>
      <c r="EXK1" s="4"/>
      <c r="EXL1" s="4"/>
      <c r="EXM1" s="4"/>
      <c r="EXN1" s="4"/>
      <c r="EXO1" s="4"/>
      <c r="EXP1" s="4"/>
      <c r="EXQ1" s="4"/>
      <c r="EXR1" s="4"/>
      <c r="EXS1" s="4"/>
      <c r="EXT1" s="4"/>
      <c r="EXU1" s="4"/>
      <c r="EXV1" s="4"/>
      <c r="EXW1" s="4"/>
      <c r="EXX1" s="4"/>
      <c r="EXY1" s="4"/>
      <c r="EXZ1" s="4"/>
      <c r="EYA1" s="4"/>
      <c r="EYB1" s="4"/>
      <c r="EYC1" s="4"/>
      <c r="EYD1" s="4"/>
      <c r="EYE1" s="4"/>
      <c r="EYF1" s="4"/>
      <c r="EYG1" s="4"/>
      <c r="EYH1" s="4"/>
      <c r="EYI1" s="4"/>
      <c r="EYJ1" s="4"/>
      <c r="EYK1" s="4"/>
      <c r="EYL1" s="4"/>
      <c r="EYM1" s="4"/>
      <c r="EYN1" s="4"/>
      <c r="EYO1" s="4"/>
      <c r="EYP1" s="4"/>
      <c r="EYQ1" s="4"/>
      <c r="EYR1" s="4"/>
      <c r="EYS1" s="4"/>
      <c r="EYT1" s="4"/>
      <c r="EYU1" s="4"/>
      <c r="EYV1" s="4"/>
      <c r="EYW1" s="4"/>
      <c r="EYX1" s="4"/>
      <c r="EYY1" s="4"/>
      <c r="EYZ1" s="4"/>
      <c r="EZA1" s="4"/>
      <c r="EZB1" s="4"/>
      <c r="EZC1" s="4"/>
      <c r="EZD1" s="4"/>
      <c r="EZE1" s="4"/>
      <c r="EZF1" s="4"/>
      <c r="EZG1" s="4"/>
      <c r="EZH1" s="4"/>
      <c r="EZI1" s="4"/>
      <c r="EZJ1" s="4"/>
      <c r="EZK1" s="4"/>
      <c r="EZL1" s="4"/>
      <c r="EZM1" s="4"/>
      <c r="EZN1" s="4"/>
      <c r="EZO1" s="4"/>
      <c r="EZP1" s="4"/>
      <c r="EZQ1" s="4"/>
      <c r="EZR1" s="4"/>
      <c r="EZS1" s="4"/>
      <c r="EZT1" s="4"/>
      <c r="EZU1" s="4"/>
      <c r="EZV1" s="4"/>
      <c r="EZW1" s="4"/>
      <c r="EZX1" s="4"/>
      <c r="EZY1" s="4"/>
      <c r="EZZ1" s="4"/>
      <c r="FAA1" s="4"/>
      <c r="FAB1" s="4"/>
      <c r="FAC1" s="4"/>
      <c r="FAD1" s="4"/>
      <c r="FAE1" s="4"/>
      <c r="FAF1" s="4"/>
      <c r="FAG1" s="4"/>
      <c r="FAH1" s="4"/>
      <c r="FAI1" s="4"/>
      <c r="FAJ1" s="4"/>
      <c r="FAK1" s="4"/>
      <c r="FAL1" s="4"/>
      <c r="FAM1" s="4"/>
      <c r="FAN1" s="4"/>
      <c r="FAO1" s="4"/>
      <c r="FAP1" s="4"/>
      <c r="FAQ1" s="4"/>
      <c r="FAR1" s="4"/>
      <c r="FAS1" s="4"/>
      <c r="FAT1" s="4"/>
      <c r="FAU1" s="4"/>
      <c r="FAV1" s="4"/>
      <c r="FAW1" s="4"/>
      <c r="FAX1" s="4"/>
      <c r="FAY1" s="4"/>
      <c r="FAZ1" s="4"/>
      <c r="FBA1" s="4"/>
      <c r="FBB1" s="4"/>
      <c r="FBC1" s="4"/>
      <c r="FBD1" s="4"/>
      <c r="FBE1" s="4"/>
      <c r="FBF1" s="4"/>
      <c r="FBG1" s="4"/>
      <c r="FBH1" s="4"/>
      <c r="FBI1" s="4"/>
      <c r="FBJ1" s="4"/>
      <c r="FBK1" s="4"/>
      <c r="FBL1" s="4"/>
      <c r="FBM1" s="4"/>
      <c r="FBN1" s="4"/>
      <c r="FBO1" s="4"/>
      <c r="FBP1" s="4"/>
      <c r="FBQ1" s="4"/>
      <c r="FBR1" s="4"/>
      <c r="FBS1" s="4"/>
      <c r="FBT1" s="4"/>
      <c r="FBU1" s="4"/>
      <c r="FBV1" s="4"/>
      <c r="FBW1" s="4"/>
      <c r="FBX1" s="4"/>
      <c r="FBY1" s="4"/>
      <c r="FBZ1" s="4"/>
      <c r="FCA1" s="4"/>
      <c r="FCB1" s="4"/>
      <c r="FCC1" s="4"/>
      <c r="FCD1" s="4"/>
      <c r="FCE1" s="4"/>
      <c r="FCF1" s="4"/>
      <c r="FCG1" s="4"/>
      <c r="FCH1" s="4"/>
      <c r="FCI1" s="4"/>
      <c r="FCJ1" s="4"/>
      <c r="FCK1" s="4"/>
      <c r="FCL1" s="4"/>
      <c r="FCM1" s="4"/>
      <c r="FCN1" s="4"/>
      <c r="FCO1" s="4"/>
      <c r="FCP1" s="4"/>
      <c r="FCQ1" s="4"/>
      <c r="FCR1" s="4"/>
      <c r="FCS1" s="4"/>
      <c r="FCT1" s="4"/>
      <c r="FCU1" s="4"/>
      <c r="FCV1" s="4"/>
      <c r="FCW1" s="4"/>
      <c r="FCX1" s="4"/>
      <c r="FCY1" s="4"/>
      <c r="FCZ1" s="4"/>
      <c r="FDA1" s="4"/>
      <c r="FDB1" s="4"/>
      <c r="FDC1" s="4"/>
      <c r="FDD1" s="4"/>
      <c r="FDE1" s="4"/>
      <c r="FDF1" s="4"/>
      <c r="FDG1" s="4"/>
      <c r="FDH1" s="4"/>
      <c r="FDI1" s="4"/>
      <c r="FDJ1" s="4"/>
      <c r="FDK1" s="4"/>
      <c r="FDL1" s="4"/>
      <c r="FDM1" s="4"/>
      <c r="FDN1" s="4"/>
      <c r="FDO1" s="4"/>
      <c r="FDP1" s="4"/>
      <c r="FDQ1" s="4"/>
      <c r="FDR1" s="4"/>
      <c r="FDS1" s="4"/>
      <c r="FDT1" s="4"/>
      <c r="FDU1" s="4"/>
      <c r="FDV1" s="4"/>
      <c r="FDW1" s="4"/>
      <c r="FDX1" s="4"/>
      <c r="FDY1" s="4"/>
      <c r="FDZ1" s="4"/>
      <c r="FEA1" s="4"/>
      <c r="FEB1" s="4"/>
      <c r="FEC1" s="4"/>
      <c r="FED1" s="4"/>
      <c r="FEE1" s="4"/>
      <c r="FEF1" s="4"/>
      <c r="FEG1" s="4"/>
      <c r="FEH1" s="4"/>
      <c r="FEI1" s="4"/>
      <c r="FEJ1" s="4"/>
      <c r="FEK1" s="4"/>
      <c r="FEL1" s="4"/>
      <c r="FEM1" s="4"/>
      <c r="FEN1" s="4"/>
      <c r="FEO1" s="4"/>
      <c r="FEP1" s="4"/>
      <c r="FEQ1" s="4"/>
      <c r="FER1" s="4"/>
      <c r="FES1" s="4"/>
      <c r="FET1" s="4"/>
      <c r="FEU1" s="4"/>
      <c r="FEV1" s="4"/>
      <c r="FEW1" s="4"/>
      <c r="FEX1" s="4"/>
      <c r="FEY1" s="4"/>
      <c r="FEZ1" s="4"/>
      <c r="FFA1" s="4"/>
      <c r="FFB1" s="4"/>
      <c r="FFC1" s="4"/>
      <c r="FFD1" s="4"/>
      <c r="FFE1" s="4"/>
      <c r="FFF1" s="4"/>
      <c r="FFG1" s="4"/>
      <c r="FFH1" s="4"/>
      <c r="FFI1" s="4"/>
      <c r="FFJ1" s="4"/>
      <c r="FFK1" s="4"/>
      <c r="FFL1" s="4"/>
      <c r="FFM1" s="4"/>
      <c r="FFN1" s="4"/>
      <c r="FFO1" s="4"/>
      <c r="FFP1" s="4"/>
      <c r="FFQ1" s="4"/>
      <c r="FFR1" s="4"/>
      <c r="FFS1" s="4"/>
      <c r="FFT1" s="4"/>
      <c r="FFU1" s="4"/>
      <c r="FFV1" s="4"/>
      <c r="FFW1" s="4"/>
      <c r="FFX1" s="4"/>
      <c r="FFY1" s="4"/>
      <c r="FFZ1" s="4"/>
      <c r="FGA1" s="4"/>
      <c r="FGB1" s="4"/>
      <c r="FGC1" s="4"/>
      <c r="FGD1" s="4"/>
      <c r="FGE1" s="4"/>
      <c r="FGF1" s="4"/>
      <c r="FGG1" s="4"/>
      <c r="FGH1" s="4"/>
      <c r="FGI1" s="4"/>
      <c r="FGJ1" s="4"/>
      <c r="FGK1" s="4"/>
      <c r="FGL1" s="4"/>
      <c r="FGM1" s="4"/>
      <c r="FGN1" s="4"/>
      <c r="FGO1" s="4"/>
      <c r="FGP1" s="4"/>
      <c r="FGQ1" s="4"/>
      <c r="FGR1" s="4"/>
      <c r="FGS1" s="4"/>
      <c r="FGT1" s="4"/>
      <c r="FGU1" s="4"/>
      <c r="FGV1" s="4"/>
      <c r="FGW1" s="4"/>
      <c r="FGX1" s="4"/>
      <c r="FGY1" s="4"/>
      <c r="FGZ1" s="4"/>
      <c r="FHA1" s="4"/>
      <c r="FHB1" s="4"/>
      <c r="FHC1" s="4"/>
      <c r="FHD1" s="4"/>
      <c r="FHE1" s="4"/>
      <c r="FHF1" s="4"/>
      <c r="FHG1" s="4"/>
      <c r="FHH1" s="4"/>
      <c r="FHI1" s="4"/>
      <c r="FHJ1" s="4"/>
      <c r="FHK1" s="4"/>
      <c r="FHL1" s="4"/>
      <c r="FHM1" s="4"/>
      <c r="FHN1" s="4"/>
      <c r="FHO1" s="4"/>
      <c r="FHP1" s="4"/>
      <c r="FHQ1" s="4"/>
      <c r="FHR1" s="4"/>
      <c r="FHS1" s="4"/>
      <c r="FHT1" s="4"/>
      <c r="FHU1" s="4"/>
      <c r="FHV1" s="4"/>
      <c r="FHW1" s="4"/>
      <c r="FHX1" s="4"/>
      <c r="FHY1" s="4"/>
      <c r="FHZ1" s="4"/>
      <c r="FIA1" s="4"/>
      <c r="FIB1" s="4"/>
      <c r="FIC1" s="4"/>
      <c r="FID1" s="4"/>
      <c r="FIE1" s="4"/>
      <c r="FIF1" s="4"/>
      <c r="FIG1" s="4"/>
      <c r="FIH1" s="4"/>
      <c r="FII1" s="4"/>
      <c r="FIJ1" s="4"/>
      <c r="FIK1" s="4"/>
      <c r="FIL1" s="4"/>
      <c r="FIM1" s="4"/>
      <c r="FIN1" s="4"/>
      <c r="FIO1" s="4"/>
      <c r="FIP1" s="4"/>
      <c r="FIQ1" s="4"/>
      <c r="FIR1" s="4"/>
      <c r="FIS1" s="4"/>
      <c r="FIT1" s="4"/>
      <c r="FIU1" s="4"/>
      <c r="FIV1" s="4"/>
      <c r="FIW1" s="4"/>
      <c r="FIX1" s="4"/>
      <c r="FIY1" s="4"/>
      <c r="FIZ1" s="4"/>
      <c r="FJA1" s="4"/>
      <c r="FJB1" s="4"/>
      <c r="FJC1" s="4"/>
      <c r="FJD1" s="4"/>
      <c r="FJE1" s="4"/>
      <c r="FJF1" s="4"/>
      <c r="FJG1" s="4"/>
      <c r="FJH1" s="4"/>
      <c r="FJI1" s="4"/>
      <c r="FJJ1" s="4"/>
      <c r="FJK1" s="4"/>
      <c r="FJL1" s="4"/>
      <c r="FJM1" s="4"/>
      <c r="FJN1" s="4"/>
      <c r="FJO1" s="4"/>
      <c r="FJP1" s="4"/>
      <c r="FJQ1" s="4"/>
      <c r="FJR1" s="4"/>
      <c r="FJS1" s="4"/>
      <c r="FJT1" s="4"/>
      <c r="FJU1" s="4"/>
      <c r="FJV1" s="4"/>
      <c r="FJW1" s="4"/>
      <c r="FJX1" s="4"/>
      <c r="FJY1" s="4"/>
      <c r="FJZ1" s="4"/>
      <c r="FKA1" s="4"/>
      <c r="FKB1" s="4"/>
      <c r="FKC1" s="4"/>
      <c r="FKD1" s="4"/>
      <c r="FKE1" s="4"/>
      <c r="FKF1" s="4"/>
      <c r="FKG1" s="4"/>
      <c r="FKH1" s="4"/>
      <c r="FKI1" s="4"/>
      <c r="FKJ1" s="4"/>
      <c r="FKK1" s="4"/>
      <c r="FKL1" s="4"/>
      <c r="FKM1" s="4"/>
      <c r="FKN1" s="4"/>
      <c r="FKO1" s="4"/>
      <c r="FKP1" s="4"/>
      <c r="FKQ1" s="4"/>
      <c r="FKR1" s="4"/>
      <c r="FKS1" s="4"/>
      <c r="FKT1" s="4"/>
      <c r="FKU1" s="4"/>
      <c r="FKV1" s="4"/>
      <c r="FKW1" s="4"/>
      <c r="FKX1" s="4"/>
      <c r="FKY1" s="4"/>
      <c r="FKZ1" s="4"/>
      <c r="FLA1" s="4"/>
      <c r="FLB1" s="4"/>
      <c r="FLC1" s="4"/>
      <c r="FLD1" s="4"/>
      <c r="FLE1" s="4"/>
      <c r="FLF1" s="4"/>
      <c r="FLG1" s="4"/>
      <c r="FLH1" s="4"/>
      <c r="FLI1" s="4"/>
      <c r="FLJ1" s="4"/>
      <c r="FLK1" s="4"/>
      <c r="FLL1" s="4"/>
      <c r="FLM1" s="4"/>
      <c r="FLN1" s="4"/>
      <c r="FLO1" s="4"/>
      <c r="FLP1" s="4"/>
      <c r="FLQ1" s="4"/>
      <c r="FLR1" s="4"/>
      <c r="FLS1" s="4"/>
      <c r="FLT1" s="4"/>
      <c r="FLU1" s="4"/>
      <c r="FLV1" s="4"/>
      <c r="FLW1" s="4"/>
      <c r="FLX1" s="4"/>
      <c r="FLY1" s="4"/>
      <c r="FLZ1" s="4"/>
      <c r="FMA1" s="4"/>
      <c r="FMB1" s="4"/>
      <c r="FMC1" s="4"/>
      <c r="FMD1" s="4"/>
      <c r="FME1" s="4"/>
      <c r="FMF1" s="4"/>
      <c r="FMG1" s="4"/>
      <c r="FMH1" s="4"/>
      <c r="FMI1" s="4"/>
      <c r="FMJ1" s="4"/>
      <c r="FMK1" s="4"/>
      <c r="FML1" s="4"/>
      <c r="FMM1" s="4"/>
      <c r="FMN1" s="4"/>
      <c r="FMO1" s="4"/>
      <c r="FMP1" s="4"/>
      <c r="FMQ1" s="4"/>
      <c r="FMR1" s="4"/>
      <c r="FMS1" s="4"/>
      <c r="FMT1" s="4"/>
      <c r="FMU1" s="4"/>
      <c r="FMV1" s="4"/>
      <c r="FMW1" s="4"/>
      <c r="FMX1" s="4"/>
      <c r="FMY1" s="4"/>
      <c r="FMZ1" s="4"/>
      <c r="FNA1" s="4"/>
      <c r="FNB1" s="4"/>
      <c r="FNC1" s="4"/>
      <c r="FND1" s="4"/>
      <c r="FNE1" s="4"/>
      <c r="FNF1" s="4"/>
      <c r="FNG1" s="4"/>
      <c r="FNH1" s="4"/>
      <c r="FNI1" s="4"/>
      <c r="FNJ1" s="4"/>
      <c r="FNK1" s="4"/>
      <c r="FNL1" s="4"/>
      <c r="FNM1" s="4"/>
      <c r="FNN1" s="4"/>
      <c r="FNO1" s="4"/>
      <c r="FNP1" s="4"/>
      <c r="FNQ1" s="4"/>
      <c r="FNR1" s="4"/>
      <c r="FNS1" s="4"/>
      <c r="FNT1" s="4"/>
      <c r="FNU1" s="4"/>
      <c r="FNV1" s="4"/>
      <c r="FNW1" s="4"/>
      <c r="FNX1" s="4"/>
      <c r="FNY1" s="4"/>
      <c r="FNZ1" s="4"/>
      <c r="FOA1" s="4"/>
      <c r="FOB1" s="4"/>
      <c r="FOC1" s="4"/>
      <c r="FOD1" s="4"/>
      <c r="FOE1" s="4"/>
      <c r="FOF1" s="4"/>
      <c r="FOG1" s="4"/>
      <c r="FOH1" s="4"/>
      <c r="FOI1" s="4"/>
      <c r="FOJ1" s="4"/>
      <c r="FOK1" s="4"/>
      <c r="FOL1" s="4"/>
      <c r="FOM1" s="4"/>
      <c r="FON1" s="4"/>
      <c r="FOO1" s="4"/>
      <c r="FOP1" s="4"/>
      <c r="FOQ1" s="4"/>
      <c r="FOR1" s="4"/>
      <c r="FOS1" s="4"/>
      <c r="FOT1" s="4"/>
      <c r="FOU1" s="4"/>
      <c r="FOV1" s="4"/>
      <c r="FOW1" s="4"/>
      <c r="FOX1" s="4"/>
      <c r="FOY1" s="4"/>
      <c r="FOZ1" s="4"/>
      <c r="FPA1" s="4"/>
      <c r="FPB1" s="4"/>
      <c r="FPC1" s="4"/>
      <c r="FPD1" s="4"/>
      <c r="FPE1" s="4"/>
      <c r="FPF1" s="4"/>
      <c r="FPG1" s="4"/>
      <c r="FPH1" s="4"/>
      <c r="FPI1" s="4"/>
      <c r="FPJ1" s="4"/>
      <c r="FPK1" s="4"/>
      <c r="FPL1" s="4"/>
      <c r="FPM1" s="4"/>
      <c r="FPN1" s="4"/>
      <c r="FPO1" s="4"/>
      <c r="FPP1" s="4"/>
      <c r="FPQ1" s="4"/>
      <c r="FPR1" s="4"/>
      <c r="FPS1" s="4"/>
      <c r="FPT1" s="4"/>
      <c r="FPU1" s="4"/>
      <c r="FPV1" s="4"/>
      <c r="FPW1" s="4"/>
      <c r="FPX1" s="4"/>
      <c r="FPY1" s="4"/>
      <c r="FPZ1" s="4"/>
      <c r="FQA1" s="4"/>
      <c r="FQB1" s="4"/>
      <c r="FQC1" s="4"/>
      <c r="FQD1" s="4"/>
      <c r="FQE1" s="4"/>
      <c r="FQF1" s="4"/>
      <c r="FQG1" s="4"/>
      <c r="FQH1" s="4"/>
      <c r="FQI1" s="4"/>
      <c r="FQJ1" s="4"/>
      <c r="FQK1" s="4"/>
      <c r="FQL1" s="4"/>
      <c r="FQM1" s="4"/>
      <c r="FQN1" s="4"/>
      <c r="FQO1" s="4"/>
      <c r="FQP1" s="4"/>
      <c r="FQQ1" s="4"/>
      <c r="FQR1" s="4"/>
      <c r="FQS1" s="4"/>
      <c r="FQT1" s="4"/>
      <c r="FQU1" s="4"/>
      <c r="FQV1" s="4"/>
      <c r="FQW1" s="4"/>
      <c r="FQX1" s="4"/>
      <c r="FQY1" s="4"/>
      <c r="FQZ1" s="4"/>
      <c r="FRA1" s="4"/>
      <c r="FRB1" s="4"/>
      <c r="FRC1" s="4"/>
      <c r="FRD1" s="4"/>
      <c r="FRE1" s="4"/>
      <c r="FRF1" s="4"/>
      <c r="FRG1" s="4"/>
      <c r="FRH1" s="4"/>
      <c r="FRI1" s="4"/>
      <c r="FRJ1" s="4"/>
      <c r="FRK1" s="4"/>
      <c r="FRL1" s="4"/>
      <c r="FRM1" s="4"/>
      <c r="FRN1" s="4"/>
      <c r="FRO1" s="4"/>
      <c r="FRP1" s="4"/>
      <c r="FRQ1" s="4"/>
      <c r="FRR1" s="4"/>
      <c r="FRS1" s="4"/>
      <c r="FRT1" s="4"/>
      <c r="FRU1" s="4"/>
      <c r="FRV1" s="4"/>
      <c r="FRW1" s="4"/>
      <c r="FRX1" s="4"/>
      <c r="FRY1" s="4"/>
      <c r="FRZ1" s="4"/>
      <c r="FSA1" s="4"/>
      <c r="FSB1" s="4"/>
      <c r="FSC1" s="4"/>
      <c r="FSD1" s="4"/>
      <c r="FSE1" s="4"/>
      <c r="FSF1" s="4"/>
      <c r="FSG1" s="4"/>
      <c r="FSH1" s="4"/>
      <c r="FSI1" s="4"/>
      <c r="FSJ1" s="4"/>
      <c r="FSK1" s="4"/>
      <c r="FSL1" s="4"/>
      <c r="FSM1" s="4"/>
      <c r="FSN1" s="4"/>
      <c r="FSO1" s="4"/>
      <c r="FSP1" s="4"/>
      <c r="FSQ1" s="4"/>
      <c r="FSR1" s="4"/>
      <c r="FSS1" s="4"/>
      <c r="FST1" s="4"/>
      <c r="FSU1" s="4"/>
      <c r="FSV1" s="4"/>
      <c r="FSW1" s="4"/>
      <c r="FSX1" s="4"/>
      <c r="FSY1" s="4"/>
      <c r="FSZ1" s="4"/>
      <c r="FTA1" s="4"/>
      <c r="FTB1" s="4"/>
      <c r="FTC1" s="4"/>
      <c r="FTD1" s="4"/>
      <c r="FTE1" s="4"/>
      <c r="FTF1" s="4"/>
      <c r="FTG1" s="4"/>
      <c r="FTH1" s="4"/>
      <c r="FTI1" s="4"/>
      <c r="FTJ1" s="4"/>
      <c r="FTK1" s="4"/>
      <c r="FTL1" s="4"/>
      <c r="FTM1" s="4"/>
      <c r="FTN1" s="4"/>
      <c r="FTO1" s="4"/>
      <c r="FTP1" s="4"/>
      <c r="FTQ1" s="4"/>
      <c r="FTR1" s="4"/>
      <c r="FTS1" s="4"/>
      <c r="FTT1" s="4"/>
      <c r="FTU1" s="4"/>
      <c r="FTV1" s="4"/>
      <c r="FTW1" s="4"/>
      <c r="FTX1" s="4"/>
      <c r="FTY1" s="4"/>
      <c r="FTZ1" s="4"/>
      <c r="FUA1" s="4"/>
      <c r="FUB1" s="4"/>
      <c r="FUC1" s="4"/>
      <c r="FUD1" s="4"/>
      <c r="FUE1" s="4"/>
      <c r="FUF1" s="4"/>
      <c r="FUG1" s="4"/>
      <c r="FUH1" s="4"/>
      <c r="FUI1" s="4"/>
      <c r="FUJ1" s="4"/>
      <c r="FUK1" s="4"/>
      <c r="FUL1" s="4"/>
      <c r="FUM1" s="4"/>
      <c r="FUN1" s="4"/>
      <c r="FUO1" s="4"/>
      <c r="FUP1" s="4"/>
      <c r="FUQ1" s="4"/>
      <c r="FUR1" s="4"/>
      <c r="FUS1" s="4"/>
      <c r="FUT1" s="4"/>
      <c r="FUU1" s="4"/>
      <c r="FUV1" s="4"/>
      <c r="FUW1" s="4"/>
      <c r="FUX1" s="4"/>
      <c r="FUY1" s="4"/>
      <c r="FUZ1" s="4"/>
      <c r="FVA1" s="4"/>
      <c r="FVB1" s="4"/>
      <c r="FVC1" s="4"/>
      <c r="FVD1" s="4"/>
      <c r="FVE1" s="4"/>
      <c r="FVF1" s="4"/>
      <c r="FVG1" s="4"/>
      <c r="FVH1" s="4"/>
      <c r="FVI1" s="4"/>
      <c r="FVJ1" s="4"/>
      <c r="FVK1" s="4"/>
      <c r="FVL1" s="4"/>
      <c r="FVM1" s="4"/>
      <c r="FVN1" s="4"/>
      <c r="FVO1" s="4"/>
      <c r="FVP1" s="4"/>
      <c r="FVQ1" s="4"/>
      <c r="FVR1" s="4"/>
      <c r="FVS1" s="4"/>
      <c r="FVT1" s="4"/>
      <c r="FVU1" s="4"/>
      <c r="FVV1" s="4"/>
      <c r="FVW1" s="4"/>
      <c r="FVX1" s="4"/>
      <c r="FVY1" s="4"/>
      <c r="FVZ1" s="4"/>
      <c r="FWA1" s="4"/>
      <c r="FWB1" s="4"/>
      <c r="FWC1" s="4"/>
      <c r="FWD1" s="4"/>
      <c r="FWE1" s="4"/>
      <c r="FWF1" s="4"/>
      <c r="FWG1" s="4"/>
      <c r="FWH1" s="4"/>
      <c r="FWI1" s="4"/>
      <c r="FWJ1" s="4"/>
      <c r="FWK1" s="4"/>
      <c r="FWL1" s="4"/>
      <c r="FWM1" s="4"/>
      <c r="FWN1" s="4"/>
      <c r="FWO1" s="4"/>
      <c r="FWP1" s="4"/>
      <c r="FWQ1" s="4"/>
      <c r="FWR1" s="4"/>
      <c r="FWS1" s="4"/>
      <c r="FWT1" s="4"/>
      <c r="FWU1" s="4"/>
      <c r="FWV1" s="4"/>
      <c r="FWW1" s="4"/>
      <c r="FWX1" s="4"/>
      <c r="FWY1" s="4"/>
      <c r="FWZ1" s="4"/>
      <c r="FXA1" s="4"/>
      <c r="FXB1" s="4"/>
      <c r="FXC1" s="4"/>
      <c r="FXD1" s="4"/>
      <c r="FXE1" s="4"/>
      <c r="FXF1" s="4"/>
      <c r="FXG1" s="4"/>
      <c r="FXH1" s="4"/>
      <c r="FXI1" s="4"/>
      <c r="FXJ1" s="4"/>
      <c r="FXK1" s="4"/>
      <c r="FXL1" s="4"/>
      <c r="FXM1" s="4"/>
      <c r="FXN1" s="4"/>
      <c r="FXO1" s="4"/>
      <c r="FXP1" s="4"/>
      <c r="FXQ1" s="4"/>
      <c r="FXR1" s="4"/>
      <c r="FXS1" s="4"/>
      <c r="FXT1" s="4"/>
      <c r="FXU1" s="4"/>
      <c r="FXV1" s="4"/>
      <c r="FXW1" s="4"/>
      <c r="FXX1" s="4"/>
      <c r="FXY1" s="4"/>
      <c r="FXZ1" s="4"/>
      <c r="FYA1" s="4"/>
      <c r="FYB1" s="4"/>
      <c r="FYC1" s="4"/>
      <c r="FYD1" s="4"/>
      <c r="FYE1" s="4"/>
      <c r="FYF1" s="4"/>
      <c r="FYG1" s="4"/>
      <c r="FYH1" s="4"/>
      <c r="FYI1" s="4"/>
      <c r="FYJ1" s="4"/>
      <c r="FYK1" s="4"/>
      <c r="FYL1" s="4"/>
      <c r="FYM1" s="4"/>
      <c r="FYN1" s="4"/>
      <c r="FYO1" s="4"/>
      <c r="FYP1" s="4"/>
      <c r="FYQ1" s="4"/>
      <c r="FYR1" s="4"/>
      <c r="FYS1" s="4"/>
      <c r="FYT1" s="4"/>
      <c r="FYU1" s="4"/>
      <c r="FYV1" s="4"/>
      <c r="FYW1" s="4"/>
      <c r="FYX1" s="4"/>
      <c r="FYY1" s="4"/>
      <c r="FYZ1" s="4"/>
      <c r="FZA1" s="4"/>
      <c r="FZB1" s="4"/>
      <c r="FZC1" s="4"/>
      <c r="FZD1" s="4"/>
      <c r="FZE1" s="4"/>
      <c r="FZF1" s="4"/>
      <c r="FZG1" s="4"/>
      <c r="FZH1" s="4"/>
      <c r="FZI1" s="4"/>
      <c r="FZJ1" s="4"/>
      <c r="FZK1" s="4"/>
      <c r="FZL1" s="4"/>
      <c r="FZM1" s="4"/>
      <c r="FZN1" s="4"/>
      <c r="FZO1" s="4"/>
      <c r="FZP1" s="4"/>
      <c r="FZQ1" s="4"/>
      <c r="FZR1" s="4"/>
      <c r="FZS1" s="4"/>
      <c r="FZT1" s="4"/>
      <c r="FZU1" s="4"/>
      <c r="FZV1" s="4"/>
      <c r="FZW1" s="4"/>
      <c r="FZX1" s="4"/>
      <c r="FZY1" s="4"/>
      <c r="FZZ1" s="4"/>
      <c r="GAA1" s="4"/>
      <c r="GAB1" s="4"/>
      <c r="GAC1" s="4"/>
      <c r="GAD1" s="4"/>
      <c r="GAE1" s="4"/>
      <c r="GAF1" s="4"/>
      <c r="GAG1" s="4"/>
      <c r="GAH1" s="4"/>
      <c r="GAI1" s="4"/>
      <c r="GAJ1" s="4"/>
      <c r="GAK1" s="4"/>
      <c r="GAL1" s="4"/>
      <c r="GAM1" s="4"/>
      <c r="GAN1" s="4"/>
      <c r="GAO1" s="4"/>
      <c r="GAP1" s="4"/>
      <c r="GAQ1" s="4"/>
      <c r="GAR1" s="4"/>
      <c r="GAS1" s="4"/>
      <c r="GAT1" s="4"/>
      <c r="GAU1" s="4"/>
      <c r="GAV1" s="4"/>
      <c r="GAW1" s="4"/>
      <c r="GAX1" s="4"/>
      <c r="GAY1" s="4"/>
      <c r="GAZ1" s="4"/>
      <c r="GBA1" s="4"/>
      <c r="GBB1" s="4"/>
      <c r="GBC1" s="4"/>
      <c r="GBD1" s="4"/>
      <c r="GBE1" s="4"/>
      <c r="GBF1" s="4"/>
      <c r="GBG1" s="4"/>
      <c r="GBH1" s="4"/>
      <c r="GBI1" s="4"/>
      <c r="GBJ1" s="4"/>
      <c r="GBK1" s="4"/>
      <c r="GBL1" s="4"/>
      <c r="GBM1" s="4"/>
      <c r="GBN1" s="4"/>
      <c r="GBO1" s="4"/>
      <c r="GBP1" s="4"/>
      <c r="GBQ1" s="4"/>
      <c r="GBR1" s="4"/>
      <c r="GBS1" s="4"/>
      <c r="GBT1" s="4"/>
      <c r="GBU1" s="4"/>
      <c r="GBV1" s="4"/>
      <c r="GBW1" s="4"/>
      <c r="GBX1" s="4"/>
      <c r="GBY1" s="4"/>
      <c r="GBZ1" s="4"/>
      <c r="GCA1" s="4"/>
      <c r="GCB1" s="4"/>
      <c r="GCC1" s="4"/>
      <c r="GCD1" s="4"/>
      <c r="GCE1" s="4"/>
      <c r="GCF1" s="4"/>
      <c r="GCG1" s="4"/>
      <c r="GCH1" s="4"/>
      <c r="GCI1" s="4"/>
      <c r="GCJ1" s="4"/>
      <c r="GCK1" s="4"/>
      <c r="GCL1" s="4"/>
      <c r="GCM1" s="4"/>
      <c r="GCN1" s="4"/>
      <c r="GCO1" s="4"/>
      <c r="GCP1" s="4"/>
      <c r="GCQ1" s="4"/>
      <c r="GCR1" s="4"/>
      <c r="GCS1" s="4"/>
      <c r="GCT1" s="4"/>
      <c r="GCU1" s="4"/>
      <c r="GCV1" s="4"/>
      <c r="GCW1" s="4"/>
      <c r="GCX1" s="4"/>
      <c r="GCY1" s="4"/>
      <c r="GCZ1" s="4"/>
      <c r="GDA1" s="4"/>
      <c r="GDB1" s="4"/>
      <c r="GDC1" s="4"/>
      <c r="GDD1" s="4"/>
      <c r="GDE1" s="4"/>
      <c r="GDF1" s="4"/>
      <c r="GDG1" s="4"/>
      <c r="GDH1" s="4"/>
      <c r="GDI1" s="4"/>
      <c r="GDJ1" s="4"/>
      <c r="GDK1" s="4"/>
      <c r="GDL1" s="4"/>
      <c r="GDM1" s="4"/>
      <c r="GDN1" s="4"/>
      <c r="GDO1" s="4"/>
      <c r="GDP1" s="4"/>
      <c r="GDQ1" s="4"/>
      <c r="GDR1" s="4"/>
      <c r="GDS1" s="4"/>
      <c r="GDT1" s="4"/>
      <c r="GDU1" s="4"/>
      <c r="GDV1" s="4"/>
      <c r="GDW1" s="4"/>
      <c r="GDX1" s="4"/>
      <c r="GDY1" s="4"/>
      <c r="GDZ1" s="4"/>
      <c r="GEA1" s="4"/>
      <c r="GEB1" s="4"/>
      <c r="GEC1" s="4"/>
      <c r="GED1" s="4"/>
      <c r="GEE1" s="4"/>
      <c r="GEF1" s="4"/>
      <c r="GEG1" s="4"/>
      <c r="GEH1" s="4"/>
      <c r="GEI1" s="4"/>
      <c r="GEJ1" s="4"/>
      <c r="GEK1" s="4"/>
      <c r="GEL1" s="4"/>
      <c r="GEM1" s="4"/>
      <c r="GEN1" s="4"/>
      <c r="GEO1" s="4"/>
      <c r="GEP1" s="4"/>
      <c r="GEQ1" s="4"/>
      <c r="GER1" s="4"/>
      <c r="GES1" s="4"/>
      <c r="GET1" s="4"/>
      <c r="GEU1" s="4"/>
      <c r="GEV1" s="4"/>
      <c r="GEW1" s="4"/>
      <c r="GEX1" s="4"/>
      <c r="GEY1" s="4"/>
      <c r="GEZ1" s="4"/>
      <c r="GFA1" s="4"/>
      <c r="GFB1" s="4"/>
      <c r="GFC1" s="4"/>
      <c r="GFD1" s="4"/>
      <c r="GFE1" s="4"/>
      <c r="GFF1" s="4"/>
      <c r="GFG1" s="4"/>
      <c r="GFH1" s="4"/>
      <c r="GFI1" s="4"/>
      <c r="GFJ1" s="4"/>
      <c r="GFK1" s="4"/>
      <c r="GFL1" s="4"/>
      <c r="GFM1" s="4"/>
      <c r="GFN1" s="4"/>
      <c r="GFO1" s="4"/>
      <c r="GFP1" s="4"/>
      <c r="GFQ1" s="4"/>
      <c r="GFR1" s="4"/>
      <c r="GFS1" s="4"/>
      <c r="GFT1" s="4"/>
      <c r="GFU1" s="4"/>
      <c r="GFV1" s="4"/>
      <c r="GFW1" s="4"/>
      <c r="GFX1" s="4"/>
      <c r="GFY1" s="4"/>
      <c r="GFZ1" s="4"/>
      <c r="GGA1" s="4"/>
      <c r="GGB1" s="4"/>
      <c r="GGC1" s="4"/>
      <c r="GGD1" s="4"/>
      <c r="GGE1" s="4"/>
      <c r="GGF1" s="4"/>
      <c r="GGG1" s="4"/>
      <c r="GGH1" s="4"/>
      <c r="GGI1" s="4"/>
      <c r="GGJ1" s="4"/>
      <c r="GGK1" s="4"/>
      <c r="GGL1" s="4"/>
      <c r="GGM1" s="4"/>
      <c r="GGN1" s="4"/>
      <c r="GGO1" s="4"/>
      <c r="GGP1" s="4"/>
      <c r="GGQ1" s="4"/>
      <c r="GGR1" s="4"/>
      <c r="GGS1" s="4"/>
      <c r="GGT1" s="4"/>
      <c r="GGU1" s="4"/>
      <c r="GGV1" s="4"/>
      <c r="GGW1" s="4"/>
      <c r="GGX1" s="4"/>
      <c r="GGY1" s="4"/>
      <c r="GGZ1" s="4"/>
      <c r="GHA1" s="4"/>
      <c r="GHB1" s="4"/>
      <c r="GHC1" s="4"/>
      <c r="GHD1" s="4"/>
      <c r="GHE1" s="4"/>
      <c r="GHF1" s="4"/>
      <c r="GHG1" s="4"/>
      <c r="GHH1" s="4"/>
      <c r="GHI1" s="4"/>
      <c r="GHJ1" s="4"/>
      <c r="GHK1" s="4"/>
      <c r="GHL1" s="4"/>
      <c r="GHM1" s="4"/>
      <c r="GHN1" s="4"/>
      <c r="GHO1" s="4"/>
      <c r="GHP1" s="4"/>
      <c r="GHQ1" s="4"/>
      <c r="GHR1" s="4"/>
      <c r="GHS1" s="4"/>
      <c r="GHT1" s="4"/>
      <c r="GHU1" s="4"/>
      <c r="GHV1" s="4"/>
      <c r="GHW1" s="4"/>
      <c r="GHX1" s="4"/>
      <c r="GHY1" s="4"/>
      <c r="GHZ1" s="4"/>
      <c r="GIA1" s="4"/>
      <c r="GIB1" s="4"/>
      <c r="GIC1" s="4"/>
      <c r="GID1" s="4"/>
      <c r="GIE1" s="4"/>
      <c r="GIF1" s="4"/>
      <c r="GIG1" s="4"/>
      <c r="GIH1" s="4"/>
      <c r="GII1" s="4"/>
      <c r="GIJ1" s="4"/>
      <c r="GIK1" s="4"/>
      <c r="GIL1" s="4"/>
      <c r="GIM1" s="4"/>
      <c r="GIN1" s="4"/>
      <c r="GIO1" s="4"/>
      <c r="GIP1" s="4"/>
      <c r="GIQ1" s="4"/>
      <c r="GIR1" s="4"/>
      <c r="GIS1" s="4"/>
      <c r="GIT1" s="4"/>
      <c r="GIU1" s="4"/>
      <c r="GIV1" s="4"/>
      <c r="GIW1" s="4"/>
      <c r="GIX1" s="4"/>
      <c r="GIY1" s="4"/>
      <c r="GIZ1" s="4"/>
      <c r="GJA1" s="4"/>
      <c r="GJB1" s="4"/>
      <c r="GJC1" s="4"/>
      <c r="GJD1" s="4"/>
      <c r="GJE1" s="4"/>
      <c r="GJF1" s="4"/>
      <c r="GJG1" s="4"/>
      <c r="GJH1" s="4"/>
      <c r="GJI1" s="4"/>
      <c r="GJJ1" s="4"/>
      <c r="GJK1" s="4"/>
      <c r="GJL1" s="4"/>
      <c r="GJM1" s="4"/>
      <c r="GJN1" s="4"/>
      <c r="GJO1" s="4"/>
      <c r="GJP1" s="4"/>
      <c r="GJQ1" s="4"/>
      <c r="GJR1" s="4"/>
      <c r="GJS1" s="4"/>
      <c r="GJT1" s="4"/>
      <c r="GJU1" s="4"/>
      <c r="GJV1" s="4"/>
      <c r="GJW1" s="4"/>
      <c r="GJX1" s="4"/>
      <c r="GJY1" s="4"/>
      <c r="GJZ1" s="4"/>
      <c r="GKA1" s="4"/>
      <c r="GKB1" s="4"/>
      <c r="GKC1" s="4"/>
      <c r="GKD1" s="4"/>
      <c r="GKE1" s="4"/>
      <c r="GKF1" s="4"/>
      <c r="GKG1" s="4"/>
      <c r="GKH1" s="4"/>
      <c r="GKI1" s="4"/>
      <c r="GKJ1" s="4"/>
      <c r="GKK1" s="4"/>
      <c r="GKL1" s="4"/>
      <c r="GKM1" s="4"/>
      <c r="GKN1" s="4"/>
      <c r="GKO1" s="4"/>
      <c r="GKP1" s="4"/>
      <c r="GKQ1" s="4"/>
      <c r="GKR1" s="4"/>
      <c r="GKS1" s="4"/>
      <c r="GKT1" s="4"/>
      <c r="GKU1" s="4"/>
      <c r="GKV1" s="4"/>
      <c r="GKW1" s="4"/>
      <c r="GKX1" s="4"/>
      <c r="GKY1" s="4"/>
      <c r="GKZ1" s="4"/>
      <c r="GLA1" s="4"/>
      <c r="GLB1" s="4"/>
      <c r="GLC1" s="4"/>
      <c r="GLD1" s="4"/>
      <c r="GLE1" s="4"/>
      <c r="GLF1" s="4"/>
      <c r="GLG1" s="4"/>
      <c r="GLH1" s="4"/>
      <c r="GLI1" s="4"/>
      <c r="GLJ1" s="4"/>
      <c r="GLK1" s="4"/>
      <c r="GLL1" s="4"/>
      <c r="GLM1" s="4"/>
      <c r="GLN1" s="4"/>
      <c r="GLO1" s="4"/>
      <c r="GLP1" s="4"/>
      <c r="GLQ1" s="4"/>
      <c r="GLR1" s="4"/>
      <c r="GLS1" s="4"/>
      <c r="GLT1" s="4"/>
      <c r="GLU1" s="4"/>
      <c r="GLV1" s="4"/>
      <c r="GLW1" s="4"/>
      <c r="GLX1" s="4"/>
      <c r="GLY1" s="4"/>
      <c r="GLZ1" s="4"/>
      <c r="GMA1" s="4"/>
      <c r="GMB1" s="4"/>
      <c r="GMC1" s="4"/>
      <c r="GMD1" s="4"/>
      <c r="GME1" s="4"/>
      <c r="GMF1" s="4"/>
      <c r="GMG1" s="4"/>
      <c r="GMH1" s="4"/>
      <c r="GMI1" s="4"/>
      <c r="GMJ1" s="4"/>
      <c r="GMK1" s="4"/>
      <c r="GML1" s="4"/>
      <c r="GMM1" s="4"/>
      <c r="GMN1" s="4"/>
      <c r="GMO1" s="4"/>
      <c r="GMP1" s="4"/>
      <c r="GMQ1" s="4"/>
      <c r="GMR1" s="4"/>
      <c r="GMS1" s="4"/>
      <c r="GMT1" s="4"/>
      <c r="GMU1" s="4"/>
      <c r="GMV1" s="4"/>
      <c r="GMW1" s="4"/>
      <c r="GMX1" s="4"/>
      <c r="GMY1" s="4"/>
      <c r="GMZ1" s="4"/>
      <c r="GNA1" s="4"/>
      <c r="GNB1" s="4"/>
      <c r="GNC1" s="4"/>
      <c r="GND1" s="4"/>
      <c r="GNE1" s="4"/>
      <c r="GNF1" s="4"/>
      <c r="GNG1" s="4"/>
      <c r="GNH1" s="4"/>
      <c r="GNI1" s="4"/>
      <c r="GNJ1" s="4"/>
      <c r="GNK1" s="4"/>
      <c r="GNL1" s="4"/>
      <c r="GNM1" s="4"/>
      <c r="GNN1" s="4"/>
      <c r="GNO1" s="4"/>
      <c r="GNP1" s="4"/>
      <c r="GNQ1" s="4"/>
      <c r="GNR1" s="4"/>
      <c r="GNS1" s="4"/>
      <c r="GNT1" s="4"/>
      <c r="GNU1" s="4"/>
      <c r="GNV1" s="4"/>
      <c r="GNW1" s="4"/>
      <c r="GNX1" s="4"/>
      <c r="GNY1" s="4"/>
      <c r="GNZ1" s="4"/>
      <c r="GOA1" s="4"/>
      <c r="GOB1" s="4"/>
      <c r="GOC1" s="4"/>
      <c r="GOD1" s="4"/>
      <c r="GOE1" s="4"/>
      <c r="GOF1" s="4"/>
      <c r="GOG1" s="4"/>
      <c r="GOH1" s="4"/>
      <c r="GOI1" s="4"/>
      <c r="GOJ1" s="4"/>
      <c r="GOK1" s="4"/>
      <c r="GOL1" s="4"/>
      <c r="GOM1" s="4"/>
      <c r="GON1" s="4"/>
      <c r="GOO1" s="4"/>
      <c r="GOP1" s="4"/>
      <c r="GOQ1" s="4"/>
      <c r="GOR1" s="4"/>
      <c r="GOS1" s="4"/>
      <c r="GOT1" s="4"/>
      <c r="GOU1" s="4"/>
      <c r="GOV1" s="4"/>
      <c r="GOW1" s="4"/>
      <c r="GOX1" s="4"/>
      <c r="GOY1" s="4"/>
      <c r="GOZ1" s="4"/>
      <c r="GPA1" s="4"/>
      <c r="GPB1" s="4"/>
      <c r="GPC1" s="4"/>
      <c r="GPD1" s="4"/>
      <c r="GPE1" s="4"/>
      <c r="GPF1" s="4"/>
      <c r="GPG1" s="4"/>
      <c r="GPH1" s="4"/>
      <c r="GPI1" s="4"/>
      <c r="GPJ1" s="4"/>
      <c r="GPK1" s="4"/>
      <c r="GPL1" s="4"/>
      <c r="GPM1" s="4"/>
      <c r="GPN1" s="4"/>
      <c r="GPO1" s="4"/>
      <c r="GPP1" s="4"/>
      <c r="GPQ1" s="4"/>
      <c r="GPR1" s="4"/>
      <c r="GPS1" s="4"/>
      <c r="GPT1" s="4"/>
      <c r="GPU1" s="4"/>
      <c r="GPV1" s="4"/>
      <c r="GPW1" s="4"/>
      <c r="GPX1" s="4"/>
      <c r="GPY1" s="4"/>
      <c r="GPZ1" s="4"/>
      <c r="GQA1" s="4"/>
      <c r="GQB1" s="4"/>
      <c r="GQC1" s="4"/>
      <c r="GQD1" s="4"/>
      <c r="GQE1" s="4"/>
      <c r="GQF1" s="4"/>
      <c r="GQG1" s="4"/>
      <c r="GQH1" s="4"/>
      <c r="GQI1" s="4"/>
      <c r="GQJ1" s="4"/>
      <c r="GQK1" s="4"/>
      <c r="GQL1" s="4"/>
      <c r="GQM1" s="4"/>
      <c r="GQN1" s="4"/>
      <c r="GQO1" s="4"/>
      <c r="GQP1" s="4"/>
      <c r="GQQ1" s="4"/>
      <c r="GQR1" s="4"/>
      <c r="GQS1" s="4"/>
      <c r="GQT1" s="4"/>
      <c r="GQU1" s="4"/>
      <c r="GQV1" s="4"/>
      <c r="GQW1" s="4"/>
      <c r="GQX1" s="4"/>
      <c r="GQY1" s="4"/>
      <c r="GQZ1" s="4"/>
      <c r="GRA1" s="4"/>
      <c r="GRB1" s="4"/>
      <c r="GRC1" s="4"/>
      <c r="GRD1" s="4"/>
      <c r="GRE1" s="4"/>
      <c r="GRF1" s="4"/>
      <c r="GRG1" s="4"/>
      <c r="GRH1" s="4"/>
      <c r="GRI1" s="4"/>
      <c r="GRJ1" s="4"/>
      <c r="GRK1" s="4"/>
      <c r="GRL1" s="4"/>
      <c r="GRM1" s="4"/>
      <c r="GRN1" s="4"/>
      <c r="GRO1" s="4"/>
      <c r="GRP1" s="4"/>
      <c r="GRQ1" s="4"/>
      <c r="GRR1" s="4"/>
      <c r="GRS1" s="4"/>
      <c r="GRT1" s="4"/>
      <c r="GRU1" s="4"/>
      <c r="GRV1" s="4"/>
      <c r="GRW1" s="4"/>
      <c r="GRX1" s="4"/>
      <c r="GRY1" s="4"/>
      <c r="GRZ1" s="4"/>
      <c r="GSA1" s="4"/>
      <c r="GSB1" s="4"/>
      <c r="GSC1" s="4"/>
      <c r="GSD1" s="4"/>
      <c r="GSE1" s="4"/>
      <c r="GSF1" s="4"/>
      <c r="GSG1" s="4"/>
      <c r="GSH1" s="4"/>
      <c r="GSI1" s="4"/>
      <c r="GSJ1" s="4"/>
      <c r="GSK1" s="4"/>
      <c r="GSL1" s="4"/>
      <c r="GSM1" s="4"/>
      <c r="GSN1" s="4"/>
      <c r="GSO1" s="4"/>
      <c r="GSP1" s="4"/>
      <c r="GSQ1" s="4"/>
      <c r="GSR1" s="4"/>
      <c r="GSS1" s="4"/>
      <c r="GST1" s="4"/>
      <c r="GSU1" s="4"/>
      <c r="GSV1" s="4"/>
      <c r="GSW1" s="4"/>
      <c r="GSX1" s="4"/>
      <c r="GSY1" s="4"/>
      <c r="GSZ1" s="4"/>
      <c r="GTA1" s="4"/>
      <c r="GTB1" s="4"/>
      <c r="GTC1" s="4"/>
      <c r="GTD1" s="4"/>
      <c r="GTE1" s="4"/>
      <c r="GTF1" s="4"/>
      <c r="GTG1" s="4"/>
      <c r="GTH1" s="4"/>
      <c r="GTI1" s="4"/>
      <c r="GTJ1" s="4"/>
      <c r="GTK1" s="4"/>
      <c r="GTL1" s="4"/>
      <c r="GTM1" s="4"/>
      <c r="GTN1" s="4"/>
      <c r="GTO1" s="4"/>
      <c r="GTP1" s="4"/>
      <c r="GTQ1" s="4"/>
      <c r="GTR1" s="4"/>
      <c r="GTS1" s="4"/>
      <c r="GTT1" s="4"/>
      <c r="GTU1" s="4"/>
      <c r="GTV1" s="4"/>
      <c r="GTW1" s="4"/>
      <c r="GTX1" s="4"/>
      <c r="GTY1" s="4"/>
      <c r="GTZ1" s="4"/>
      <c r="GUA1" s="4"/>
      <c r="GUB1" s="4"/>
      <c r="GUC1" s="4"/>
      <c r="GUD1" s="4"/>
      <c r="GUE1" s="4"/>
      <c r="GUF1" s="4"/>
      <c r="GUG1" s="4"/>
      <c r="GUH1" s="4"/>
      <c r="GUI1" s="4"/>
      <c r="GUJ1" s="4"/>
      <c r="GUK1" s="4"/>
      <c r="GUL1" s="4"/>
      <c r="GUM1" s="4"/>
      <c r="GUN1" s="4"/>
      <c r="GUO1" s="4"/>
      <c r="GUP1" s="4"/>
      <c r="GUQ1" s="4"/>
      <c r="GUR1" s="4"/>
      <c r="GUS1" s="4"/>
      <c r="GUT1" s="4"/>
      <c r="GUU1" s="4"/>
      <c r="GUV1" s="4"/>
      <c r="GUW1" s="4"/>
      <c r="GUX1" s="4"/>
      <c r="GUY1" s="4"/>
      <c r="GUZ1" s="4"/>
      <c r="GVA1" s="4"/>
      <c r="GVB1" s="4"/>
      <c r="GVC1" s="4"/>
      <c r="GVD1" s="4"/>
      <c r="GVE1" s="4"/>
      <c r="GVF1" s="4"/>
      <c r="GVG1" s="4"/>
      <c r="GVH1" s="4"/>
      <c r="GVI1" s="4"/>
      <c r="GVJ1" s="4"/>
      <c r="GVK1" s="4"/>
      <c r="GVL1" s="4"/>
      <c r="GVM1" s="4"/>
      <c r="GVN1" s="4"/>
      <c r="GVO1" s="4"/>
      <c r="GVP1" s="4"/>
      <c r="GVQ1" s="4"/>
      <c r="GVR1" s="4"/>
      <c r="GVS1" s="4"/>
      <c r="GVT1" s="4"/>
      <c r="GVU1" s="4"/>
      <c r="GVV1" s="4"/>
      <c r="GVW1" s="4"/>
      <c r="GVX1" s="4"/>
      <c r="GVY1" s="4"/>
      <c r="GVZ1" s="4"/>
      <c r="GWA1" s="4"/>
      <c r="GWB1" s="4"/>
      <c r="GWC1" s="4"/>
      <c r="GWD1" s="4"/>
      <c r="GWE1" s="4"/>
      <c r="GWF1" s="4"/>
      <c r="GWG1" s="4"/>
      <c r="GWH1" s="4"/>
      <c r="GWI1" s="4"/>
      <c r="GWJ1" s="4"/>
      <c r="GWK1" s="4"/>
      <c r="GWL1" s="4"/>
      <c r="GWM1" s="4"/>
      <c r="GWN1" s="4"/>
      <c r="GWO1" s="4"/>
      <c r="GWP1" s="4"/>
      <c r="GWQ1" s="4"/>
      <c r="GWR1" s="4"/>
      <c r="GWS1" s="4"/>
      <c r="GWT1" s="4"/>
      <c r="GWU1" s="4"/>
      <c r="GWV1" s="4"/>
      <c r="GWW1" s="4"/>
      <c r="GWX1" s="4"/>
      <c r="GWY1" s="4"/>
      <c r="GWZ1" s="4"/>
      <c r="GXA1" s="4"/>
      <c r="GXB1" s="4"/>
      <c r="GXC1" s="4"/>
      <c r="GXD1" s="4"/>
      <c r="GXE1" s="4"/>
      <c r="GXF1" s="4"/>
      <c r="GXG1" s="4"/>
      <c r="GXH1" s="4"/>
      <c r="GXI1" s="4"/>
      <c r="GXJ1" s="4"/>
      <c r="GXK1" s="4"/>
      <c r="GXL1" s="4"/>
      <c r="GXM1" s="4"/>
      <c r="GXN1" s="4"/>
      <c r="GXO1" s="4"/>
      <c r="GXP1" s="4"/>
      <c r="GXQ1" s="4"/>
      <c r="GXR1" s="4"/>
      <c r="GXS1" s="4"/>
      <c r="GXT1" s="4"/>
      <c r="GXU1" s="4"/>
      <c r="GXV1" s="4"/>
      <c r="GXW1" s="4"/>
      <c r="GXX1" s="4"/>
      <c r="GXY1" s="4"/>
      <c r="GXZ1" s="4"/>
      <c r="GYA1" s="4"/>
      <c r="GYB1" s="4"/>
      <c r="GYC1" s="4"/>
      <c r="GYD1" s="4"/>
      <c r="GYE1" s="4"/>
      <c r="GYF1" s="4"/>
      <c r="GYG1" s="4"/>
      <c r="GYH1" s="4"/>
      <c r="GYI1" s="4"/>
      <c r="GYJ1" s="4"/>
      <c r="GYK1" s="4"/>
      <c r="GYL1" s="4"/>
      <c r="GYM1" s="4"/>
      <c r="GYN1" s="4"/>
      <c r="GYO1" s="4"/>
      <c r="GYP1" s="4"/>
      <c r="GYQ1" s="4"/>
      <c r="GYR1" s="4"/>
      <c r="GYS1" s="4"/>
      <c r="GYT1" s="4"/>
      <c r="GYU1" s="4"/>
      <c r="GYV1" s="4"/>
      <c r="GYW1" s="4"/>
      <c r="GYX1" s="4"/>
      <c r="GYY1" s="4"/>
      <c r="GYZ1" s="4"/>
      <c r="GZA1" s="4"/>
      <c r="GZB1" s="4"/>
      <c r="GZC1" s="4"/>
      <c r="GZD1" s="4"/>
      <c r="GZE1" s="4"/>
      <c r="GZF1" s="4"/>
      <c r="GZG1" s="4"/>
      <c r="GZH1" s="4"/>
      <c r="GZI1" s="4"/>
      <c r="GZJ1" s="4"/>
      <c r="GZK1" s="4"/>
      <c r="GZL1" s="4"/>
      <c r="GZM1" s="4"/>
      <c r="GZN1" s="4"/>
      <c r="GZO1" s="4"/>
      <c r="GZP1" s="4"/>
      <c r="GZQ1" s="4"/>
      <c r="GZR1" s="4"/>
      <c r="GZS1" s="4"/>
      <c r="GZT1" s="4"/>
      <c r="GZU1" s="4"/>
      <c r="GZV1" s="4"/>
      <c r="GZW1" s="4"/>
      <c r="GZX1" s="4"/>
      <c r="GZY1" s="4"/>
      <c r="GZZ1" s="4"/>
      <c r="HAA1" s="4"/>
      <c r="HAB1" s="4"/>
      <c r="HAC1" s="4"/>
      <c r="HAD1" s="4"/>
      <c r="HAE1" s="4"/>
      <c r="HAF1" s="4"/>
      <c r="HAG1" s="4"/>
      <c r="HAH1" s="4"/>
      <c r="HAI1" s="4"/>
      <c r="HAJ1" s="4"/>
      <c r="HAK1" s="4"/>
      <c r="HAL1" s="4"/>
      <c r="HAM1" s="4"/>
      <c r="HAN1" s="4"/>
      <c r="HAO1" s="4"/>
      <c r="HAP1" s="4"/>
      <c r="HAQ1" s="4"/>
      <c r="HAR1" s="4"/>
      <c r="HAS1" s="4"/>
      <c r="HAT1" s="4"/>
      <c r="HAU1" s="4"/>
      <c r="HAV1" s="4"/>
      <c r="HAW1" s="4"/>
      <c r="HAX1" s="4"/>
      <c r="HAY1" s="4"/>
      <c r="HAZ1" s="4"/>
      <c r="HBA1" s="4"/>
      <c r="HBB1" s="4"/>
      <c r="HBC1" s="4"/>
      <c r="HBD1" s="4"/>
      <c r="HBE1" s="4"/>
      <c r="HBF1" s="4"/>
      <c r="HBG1" s="4"/>
      <c r="HBH1" s="4"/>
      <c r="HBI1" s="4"/>
      <c r="HBJ1" s="4"/>
      <c r="HBK1" s="4"/>
      <c r="HBL1" s="4"/>
      <c r="HBM1" s="4"/>
      <c r="HBN1" s="4"/>
      <c r="HBO1" s="4"/>
      <c r="HBP1" s="4"/>
      <c r="HBQ1" s="4"/>
      <c r="HBR1" s="4"/>
      <c r="HBS1" s="4"/>
      <c r="HBT1" s="4"/>
      <c r="HBU1" s="4"/>
      <c r="HBV1" s="4"/>
      <c r="HBW1" s="4"/>
      <c r="HBX1" s="4"/>
      <c r="HBY1" s="4"/>
      <c r="HBZ1" s="4"/>
      <c r="HCA1" s="4"/>
      <c r="HCB1" s="4"/>
      <c r="HCC1" s="4"/>
      <c r="HCD1" s="4"/>
      <c r="HCE1" s="4"/>
      <c r="HCF1" s="4"/>
      <c r="HCG1" s="4"/>
      <c r="HCH1" s="4"/>
      <c r="HCI1" s="4"/>
      <c r="HCJ1" s="4"/>
      <c r="HCK1" s="4"/>
      <c r="HCL1" s="4"/>
      <c r="HCM1" s="4"/>
      <c r="HCN1" s="4"/>
      <c r="HCO1" s="4"/>
      <c r="HCP1" s="4"/>
      <c r="HCQ1" s="4"/>
      <c r="HCR1" s="4"/>
      <c r="HCS1" s="4"/>
      <c r="HCT1" s="4"/>
      <c r="HCU1" s="4"/>
      <c r="HCV1" s="4"/>
      <c r="HCW1" s="4"/>
      <c r="HCX1" s="4"/>
      <c r="HCY1" s="4"/>
      <c r="HCZ1" s="4"/>
      <c r="HDA1" s="4"/>
      <c r="HDB1" s="4"/>
      <c r="HDC1" s="4"/>
      <c r="HDD1" s="4"/>
      <c r="HDE1" s="4"/>
      <c r="HDF1" s="4"/>
      <c r="HDG1" s="4"/>
      <c r="HDH1" s="4"/>
      <c r="HDI1" s="4"/>
      <c r="HDJ1" s="4"/>
      <c r="HDK1" s="4"/>
      <c r="HDL1" s="4"/>
      <c r="HDM1" s="4"/>
      <c r="HDN1" s="4"/>
      <c r="HDO1" s="4"/>
      <c r="HDP1" s="4"/>
      <c r="HDQ1" s="4"/>
      <c r="HDR1" s="4"/>
      <c r="HDS1" s="4"/>
      <c r="HDT1" s="4"/>
      <c r="HDU1" s="4"/>
      <c r="HDV1" s="4"/>
      <c r="HDW1" s="4"/>
      <c r="HDX1" s="4"/>
      <c r="HDY1" s="4"/>
      <c r="HDZ1" s="4"/>
      <c r="HEA1" s="4"/>
      <c r="HEB1" s="4"/>
      <c r="HEC1" s="4"/>
      <c r="HED1" s="4"/>
      <c r="HEE1" s="4"/>
      <c r="HEF1" s="4"/>
      <c r="HEG1" s="4"/>
      <c r="HEH1" s="4"/>
      <c r="HEI1" s="4"/>
      <c r="HEJ1" s="4"/>
      <c r="HEK1" s="4"/>
      <c r="HEL1" s="4"/>
      <c r="HEM1" s="4"/>
      <c r="HEN1" s="4"/>
      <c r="HEO1" s="4"/>
      <c r="HEP1" s="4"/>
      <c r="HEQ1" s="4"/>
      <c r="HER1" s="4"/>
      <c r="HES1" s="4"/>
      <c r="HET1" s="4"/>
      <c r="HEU1" s="4"/>
      <c r="HEV1" s="4"/>
      <c r="HEW1" s="4"/>
      <c r="HEX1" s="4"/>
      <c r="HEY1" s="4"/>
      <c r="HEZ1" s="4"/>
      <c r="HFA1" s="4"/>
      <c r="HFB1" s="4"/>
      <c r="HFC1" s="4"/>
      <c r="HFD1" s="4"/>
      <c r="HFE1" s="4"/>
      <c r="HFF1" s="4"/>
      <c r="HFG1" s="4"/>
      <c r="HFH1" s="4"/>
      <c r="HFI1" s="4"/>
      <c r="HFJ1" s="4"/>
      <c r="HFK1" s="4"/>
      <c r="HFL1" s="4"/>
      <c r="HFM1" s="4"/>
      <c r="HFN1" s="4"/>
      <c r="HFO1" s="4"/>
      <c r="HFP1" s="4"/>
      <c r="HFQ1" s="4"/>
      <c r="HFR1" s="4"/>
      <c r="HFS1" s="4"/>
      <c r="HFT1" s="4"/>
      <c r="HFU1" s="4"/>
      <c r="HFV1" s="4"/>
      <c r="HFW1" s="4"/>
      <c r="HFX1" s="4"/>
      <c r="HFY1" s="4"/>
      <c r="HFZ1" s="4"/>
      <c r="HGA1" s="4"/>
      <c r="HGB1" s="4"/>
      <c r="HGC1" s="4"/>
      <c r="HGD1" s="4"/>
      <c r="HGE1" s="4"/>
      <c r="HGF1" s="4"/>
      <c r="HGG1" s="4"/>
      <c r="HGH1" s="4"/>
      <c r="HGI1" s="4"/>
      <c r="HGJ1" s="4"/>
      <c r="HGK1" s="4"/>
      <c r="HGL1" s="4"/>
      <c r="HGM1" s="4"/>
      <c r="HGN1" s="4"/>
      <c r="HGO1" s="4"/>
      <c r="HGP1" s="4"/>
      <c r="HGQ1" s="4"/>
      <c r="HGR1" s="4"/>
      <c r="HGS1" s="4"/>
      <c r="HGT1" s="4"/>
      <c r="HGU1" s="4"/>
      <c r="HGV1" s="4"/>
      <c r="HGW1" s="4"/>
      <c r="HGX1" s="4"/>
      <c r="HGY1" s="4"/>
      <c r="HGZ1" s="4"/>
      <c r="HHA1" s="4"/>
      <c r="HHB1" s="4"/>
      <c r="HHC1" s="4"/>
      <c r="HHD1" s="4"/>
      <c r="HHE1" s="4"/>
      <c r="HHF1" s="4"/>
      <c r="HHG1" s="4"/>
      <c r="HHH1" s="4"/>
      <c r="HHI1" s="4"/>
      <c r="HHJ1" s="4"/>
      <c r="HHK1" s="4"/>
      <c r="HHL1" s="4"/>
      <c r="HHM1" s="4"/>
      <c r="HHN1" s="4"/>
      <c r="HHO1" s="4"/>
      <c r="HHP1" s="4"/>
      <c r="HHQ1" s="4"/>
      <c r="HHR1" s="4"/>
      <c r="HHS1" s="4"/>
      <c r="HHT1" s="4"/>
      <c r="HHU1" s="4"/>
      <c r="HHV1" s="4"/>
      <c r="HHW1" s="4"/>
      <c r="HHX1" s="4"/>
      <c r="HHY1" s="4"/>
      <c r="HHZ1" s="4"/>
      <c r="HIA1" s="4"/>
      <c r="HIB1" s="4"/>
      <c r="HIC1" s="4"/>
      <c r="HID1" s="4"/>
      <c r="HIE1" s="4"/>
      <c r="HIF1" s="4"/>
      <c r="HIG1" s="4"/>
      <c r="HIH1" s="4"/>
      <c r="HII1" s="4"/>
      <c r="HIJ1" s="4"/>
      <c r="HIK1" s="4"/>
      <c r="HIL1" s="4"/>
      <c r="HIM1" s="4"/>
      <c r="HIN1" s="4"/>
      <c r="HIO1" s="4"/>
      <c r="HIP1" s="4"/>
      <c r="HIQ1" s="4"/>
      <c r="HIR1" s="4"/>
      <c r="HIS1" s="4"/>
      <c r="HIT1" s="4"/>
      <c r="HIU1" s="4"/>
      <c r="HIV1" s="4"/>
      <c r="HIW1" s="4"/>
      <c r="HIX1" s="4"/>
      <c r="HIY1" s="4"/>
      <c r="HIZ1" s="4"/>
      <c r="HJA1" s="4"/>
      <c r="HJB1" s="4"/>
      <c r="HJC1" s="4"/>
      <c r="HJD1" s="4"/>
      <c r="HJE1" s="4"/>
      <c r="HJF1" s="4"/>
      <c r="HJG1" s="4"/>
      <c r="HJH1" s="4"/>
      <c r="HJI1" s="4"/>
      <c r="HJJ1" s="4"/>
      <c r="HJK1" s="4"/>
      <c r="HJL1" s="4"/>
      <c r="HJM1" s="4"/>
      <c r="HJN1" s="4"/>
      <c r="HJO1" s="4"/>
      <c r="HJP1" s="4"/>
      <c r="HJQ1" s="4"/>
      <c r="HJR1" s="4"/>
      <c r="HJS1" s="4"/>
      <c r="HJT1" s="4"/>
      <c r="HJU1" s="4"/>
      <c r="HJV1" s="4"/>
      <c r="HJW1" s="4"/>
      <c r="HJX1" s="4"/>
      <c r="HJY1" s="4"/>
      <c r="HJZ1" s="4"/>
      <c r="HKA1" s="4"/>
      <c r="HKB1" s="4"/>
      <c r="HKC1" s="4"/>
      <c r="HKD1" s="4"/>
      <c r="HKE1" s="4"/>
      <c r="HKF1" s="4"/>
      <c r="HKG1" s="4"/>
      <c r="HKH1" s="4"/>
      <c r="HKI1" s="4"/>
      <c r="HKJ1" s="4"/>
      <c r="HKK1" s="4"/>
      <c r="HKL1" s="4"/>
      <c r="HKM1" s="4"/>
      <c r="HKN1" s="4"/>
      <c r="HKO1" s="4"/>
      <c r="HKP1" s="4"/>
      <c r="HKQ1" s="4"/>
      <c r="HKR1" s="4"/>
      <c r="HKS1" s="4"/>
      <c r="HKT1" s="4"/>
      <c r="HKU1" s="4"/>
      <c r="HKV1" s="4"/>
      <c r="HKW1" s="4"/>
      <c r="HKX1" s="4"/>
      <c r="HKY1" s="4"/>
      <c r="HKZ1" s="4"/>
      <c r="HLA1" s="4"/>
      <c r="HLB1" s="4"/>
      <c r="HLC1" s="4"/>
      <c r="HLD1" s="4"/>
      <c r="HLE1" s="4"/>
      <c r="HLF1" s="4"/>
      <c r="HLG1" s="4"/>
      <c r="HLH1" s="4"/>
      <c r="HLI1" s="4"/>
      <c r="HLJ1" s="4"/>
      <c r="HLK1" s="4"/>
      <c r="HLL1" s="4"/>
      <c r="HLM1" s="4"/>
      <c r="HLN1" s="4"/>
      <c r="HLO1" s="4"/>
      <c r="HLP1" s="4"/>
      <c r="HLQ1" s="4"/>
      <c r="HLR1" s="4"/>
      <c r="HLS1" s="4"/>
      <c r="HLT1" s="4"/>
      <c r="HLU1" s="4"/>
      <c r="HLV1" s="4"/>
      <c r="HLW1" s="4"/>
      <c r="HLX1" s="4"/>
      <c r="HLY1" s="4"/>
      <c r="HLZ1" s="4"/>
      <c r="HMA1" s="4"/>
      <c r="HMB1" s="4"/>
      <c r="HMC1" s="4"/>
      <c r="HMD1" s="4"/>
      <c r="HME1" s="4"/>
      <c r="HMF1" s="4"/>
      <c r="HMG1" s="4"/>
      <c r="HMH1" s="4"/>
      <c r="HMI1" s="4"/>
      <c r="HMJ1" s="4"/>
      <c r="HMK1" s="4"/>
      <c r="HML1" s="4"/>
      <c r="HMM1" s="4"/>
      <c r="HMN1" s="4"/>
      <c r="HMO1" s="4"/>
      <c r="HMP1" s="4"/>
      <c r="HMQ1" s="4"/>
      <c r="HMR1" s="4"/>
      <c r="HMS1" s="4"/>
      <c r="HMT1" s="4"/>
      <c r="HMU1" s="4"/>
      <c r="HMV1" s="4"/>
      <c r="HMW1" s="4"/>
      <c r="HMX1" s="4"/>
      <c r="HMY1" s="4"/>
      <c r="HMZ1" s="4"/>
      <c r="HNA1" s="4"/>
      <c r="HNB1" s="4"/>
      <c r="HNC1" s="4"/>
      <c r="HND1" s="4"/>
      <c r="HNE1" s="4"/>
      <c r="HNF1" s="4"/>
      <c r="HNG1" s="4"/>
      <c r="HNH1" s="4"/>
      <c r="HNI1" s="4"/>
      <c r="HNJ1" s="4"/>
      <c r="HNK1" s="4"/>
      <c r="HNL1" s="4"/>
      <c r="HNM1" s="4"/>
      <c r="HNN1" s="4"/>
      <c r="HNO1" s="4"/>
      <c r="HNP1" s="4"/>
      <c r="HNQ1" s="4"/>
      <c r="HNR1" s="4"/>
      <c r="HNS1" s="4"/>
      <c r="HNT1" s="4"/>
      <c r="HNU1" s="4"/>
      <c r="HNV1" s="4"/>
      <c r="HNW1" s="4"/>
      <c r="HNX1" s="4"/>
      <c r="HNY1" s="4"/>
      <c r="HNZ1" s="4"/>
      <c r="HOA1" s="4"/>
      <c r="HOB1" s="4"/>
      <c r="HOC1" s="4"/>
      <c r="HOD1" s="4"/>
      <c r="HOE1" s="4"/>
      <c r="HOF1" s="4"/>
      <c r="HOG1" s="4"/>
      <c r="HOH1" s="4"/>
      <c r="HOI1" s="4"/>
      <c r="HOJ1" s="4"/>
      <c r="HOK1" s="4"/>
      <c r="HOL1" s="4"/>
      <c r="HOM1" s="4"/>
      <c r="HON1" s="4"/>
      <c r="HOO1" s="4"/>
      <c r="HOP1" s="4"/>
      <c r="HOQ1" s="4"/>
      <c r="HOR1" s="4"/>
      <c r="HOS1" s="4"/>
      <c r="HOT1" s="4"/>
      <c r="HOU1" s="4"/>
      <c r="HOV1" s="4"/>
      <c r="HOW1" s="4"/>
      <c r="HOX1" s="4"/>
      <c r="HOY1" s="4"/>
      <c r="HOZ1" s="4"/>
      <c r="HPA1" s="4"/>
      <c r="HPB1" s="4"/>
      <c r="HPC1" s="4"/>
      <c r="HPD1" s="4"/>
      <c r="HPE1" s="4"/>
      <c r="HPF1" s="4"/>
      <c r="HPG1" s="4"/>
      <c r="HPH1" s="4"/>
      <c r="HPI1" s="4"/>
      <c r="HPJ1" s="4"/>
      <c r="HPK1" s="4"/>
      <c r="HPL1" s="4"/>
      <c r="HPM1" s="4"/>
      <c r="HPN1" s="4"/>
      <c r="HPO1" s="4"/>
      <c r="HPP1" s="4"/>
      <c r="HPQ1" s="4"/>
      <c r="HPR1" s="4"/>
      <c r="HPS1" s="4"/>
      <c r="HPT1" s="4"/>
      <c r="HPU1" s="4"/>
      <c r="HPV1" s="4"/>
      <c r="HPW1" s="4"/>
      <c r="HPX1" s="4"/>
      <c r="HPY1" s="4"/>
      <c r="HPZ1" s="4"/>
      <c r="HQA1" s="4"/>
      <c r="HQB1" s="4"/>
      <c r="HQC1" s="4"/>
      <c r="HQD1" s="4"/>
      <c r="HQE1" s="4"/>
      <c r="HQF1" s="4"/>
      <c r="HQG1" s="4"/>
      <c r="HQH1" s="4"/>
      <c r="HQI1" s="4"/>
      <c r="HQJ1" s="4"/>
      <c r="HQK1" s="4"/>
      <c r="HQL1" s="4"/>
      <c r="HQM1" s="4"/>
      <c r="HQN1" s="4"/>
      <c r="HQO1" s="4"/>
      <c r="HQP1" s="4"/>
      <c r="HQQ1" s="4"/>
      <c r="HQR1" s="4"/>
      <c r="HQS1" s="4"/>
      <c r="HQT1" s="4"/>
      <c r="HQU1" s="4"/>
      <c r="HQV1" s="4"/>
      <c r="HQW1" s="4"/>
      <c r="HQX1" s="4"/>
      <c r="HQY1" s="4"/>
      <c r="HQZ1" s="4"/>
      <c r="HRA1" s="4"/>
      <c r="HRB1" s="4"/>
      <c r="HRC1" s="4"/>
      <c r="HRD1" s="4"/>
      <c r="HRE1" s="4"/>
      <c r="HRF1" s="4"/>
      <c r="HRG1" s="4"/>
      <c r="HRH1" s="4"/>
      <c r="HRI1" s="4"/>
      <c r="HRJ1" s="4"/>
      <c r="HRK1" s="4"/>
      <c r="HRL1" s="4"/>
      <c r="HRM1" s="4"/>
      <c r="HRN1" s="4"/>
      <c r="HRO1" s="4"/>
      <c r="HRP1" s="4"/>
      <c r="HRQ1" s="4"/>
      <c r="HRR1" s="4"/>
      <c r="HRS1" s="4"/>
      <c r="HRT1" s="4"/>
      <c r="HRU1" s="4"/>
      <c r="HRV1" s="4"/>
      <c r="HRW1" s="4"/>
      <c r="HRX1" s="4"/>
      <c r="HRY1" s="4"/>
      <c r="HRZ1" s="4"/>
      <c r="HSA1" s="4"/>
      <c r="HSB1" s="4"/>
      <c r="HSC1" s="4"/>
      <c r="HSD1" s="4"/>
      <c r="HSE1" s="4"/>
      <c r="HSF1" s="4"/>
      <c r="HSG1" s="4"/>
      <c r="HSH1" s="4"/>
      <c r="HSI1" s="4"/>
      <c r="HSJ1" s="4"/>
      <c r="HSK1" s="4"/>
      <c r="HSL1" s="4"/>
      <c r="HSM1" s="4"/>
      <c r="HSN1" s="4"/>
      <c r="HSO1" s="4"/>
      <c r="HSP1" s="4"/>
      <c r="HSQ1" s="4"/>
      <c r="HSR1" s="4"/>
      <c r="HSS1" s="4"/>
      <c r="HST1" s="4"/>
      <c r="HSU1" s="4"/>
      <c r="HSV1" s="4"/>
      <c r="HSW1" s="4"/>
      <c r="HSX1" s="4"/>
      <c r="HSY1" s="4"/>
      <c r="HSZ1" s="4"/>
      <c r="HTA1" s="4"/>
      <c r="HTB1" s="4"/>
      <c r="HTC1" s="4"/>
      <c r="HTD1" s="4"/>
      <c r="HTE1" s="4"/>
      <c r="HTF1" s="4"/>
      <c r="HTG1" s="4"/>
      <c r="HTH1" s="4"/>
      <c r="HTI1" s="4"/>
      <c r="HTJ1" s="4"/>
      <c r="HTK1" s="4"/>
      <c r="HTL1" s="4"/>
      <c r="HTM1" s="4"/>
      <c r="HTN1" s="4"/>
      <c r="HTO1" s="4"/>
      <c r="HTP1" s="4"/>
      <c r="HTQ1" s="4"/>
      <c r="HTR1" s="4"/>
      <c r="HTS1" s="4"/>
      <c r="HTT1" s="4"/>
      <c r="HTU1" s="4"/>
      <c r="HTV1" s="4"/>
      <c r="HTW1" s="4"/>
      <c r="HTX1" s="4"/>
      <c r="HTY1" s="4"/>
      <c r="HTZ1" s="4"/>
      <c r="HUA1" s="4"/>
      <c r="HUB1" s="4"/>
      <c r="HUC1" s="4"/>
      <c r="HUD1" s="4"/>
      <c r="HUE1" s="4"/>
      <c r="HUF1" s="4"/>
      <c r="HUG1" s="4"/>
      <c r="HUH1" s="4"/>
      <c r="HUI1" s="4"/>
      <c r="HUJ1" s="4"/>
      <c r="HUK1" s="4"/>
      <c r="HUL1" s="4"/>
      <c r="HUM1" s="4"/>
      <c r="HUN1" s="4"/>
      <c r="HUO1" s="4"/>
      <c r="HUP1" s="4"/>
      <c r="HUQ1" s="4"/>
      <c r="HUR1" s="4"/>
      <c r="HUS1" s="4"/>
      <c r="HUT1" s="4"/>
      <c r="HUU1" s="4"/>
      <c r="HUV1" s="4"/>
      <c r="HUW1" s="4"/>
      <c r="HUX1" s="4"/>
      <c r="HUY1" s="4"/>
      <c r="HUZ1" s="4"/>
      <c r="HVA1" s="4"/>
      <c r="HVB1" s="4"/>
      <c r="HVC1" s="4"/>
      <c r="HVD1" s="4"/>
      <c r="HVE1" s="4"/>
      <c r="HVF1" s="4"/>
      <c r="HVG1" s="4"/>
      <c r="HVH1" s="4"/>
      <c r="HVI1" s="4"/>
      <c r="HVJ1" s="4"/>
      <c r="HVK1" s="4"/>
      <c r="HVL1" s="4"/>
      <c r="HVM1" s="4"/>
      <c r="HVN1" s="4"/>
      <c r="HVO1" s="4"/>
      <c r="HVP1" s="4"/>
      <c r="HVQ1" s="4"/>
      <c r="HVR1" s="4"/>
      <c r="HVS1" s="4"/>
      <c r="HVT1" s="4"/>
      <c r="HVU1" s="4"/>
      <c r="HVV1" s="4"/>
      <c r="HVW1" s="4"/>
      <c r="HVX1" s="4"/>
      <c r="HVY1" s="4"/>
      <c r="HVZ1" s="4"/>
      <c r="HWA1" s="4"/>
      <c r="HWB1" s="4"/>
      <c r="HWC1" s="4"/>
      <c r="HWD1" s="4"/>
      <c r="HWE1" s="4"/>
      <c r="HWF1" s="4"/>
      <c r="HWG1" s="4"/>
      <c r="HWH1" s="4"/>
      <c r="HWI1" s="4"/>
      <c r="HWJ1" s="4"/>
      <c r="HWK1" s="4"/>
      <c r="HWL1" s="4"/>
      <c r="HWM1" s="4"/>
      <c r="HWN1" s="4"/>
      <c r="HWO1" s="4"/>
      <c r="HWP1" s="4"/>
      <c r="HWQ1" s="4"/>
      <c r="HWR1" s="4"/>
      <c r="HWS1" s="4"/>
      <c r="HWT1" s="4"/>
      <c r="HWU1" s="4"/>
      <c r="HWV1" s="4"/>
      <c r="HWW1" s="4"/>
      <c r="HWX1" s="4"/>
      <c r="HWY1" s="4"/>
      <c r="HWZ1" s="4"/>
      <c r="HXA1" s="4"/>
      <c r="HXB1" s="4"/>
      <c r="HXC1" s="4"/>
      <c r="HXD1" s="4"/>
      <c r="HXE1" s="4"/>
      <c r="HXF1" s="4"/>
      <c r="HXG1" s="4"/>
      <c r="HXH1" s="4"/>
      <c r="HXI1" s="4"/>
      <c r="HXJ1" s="4"/>
      <c r="HXK1" s="4"/>
      <c r="HXL1" s="4"/>
      <c r="HXM1" s="4"/>
      <c r="HXN1" s="4"/>
      <c r="HXO1" s="4"/>
      <c r="HXP1" s="4"/>
      <c r="HXQ1" s="4"/>
      <c r="HXR1" s="4"/>
      <c r="HXS1" s="4"/>
      <c r="HXT1" s="4"/>
      <c r="HXU1" s="4"/>
      <c r="HXV1" s="4"/>
      <c r="HXW1" s="4"/>
      <c r="HXX1" s="4"/>
      <c r="HXY1" s="4"/>
      <c r="HXZ1" s="4"/>
      <c r="HYA1" s="4"/>
      <c r="HYB1" s="4"/>
      <c r="HYC1" s="4"/>
      <c r="HYD1" s="4"/>
      <c r="HYE1" s="4"/>
      <c r="HYF1" s="4"/>
      <c r="HYG1" s="4"/>
      <c r="HYH1" s="4"/>
      <c r="HYI1" s="4"/>
      <c r="HYJ1" s="4"/>
      <c r="HYK1" s="4"/>
      <c r="HYL1" s="4"/>
      <c r="HYM1" s="4"/>
      <c r="HYN1" s="4"/>
      <c r="HYO1" s="4"/>
      <c r="HYP1" s="4"/>
      <c r="HYQ1" s="4"/>
      <c r="HYR1" s="4"/>
      <c r="HYS1" s="4"/>
      <c r="HYT1" s="4"/>
      <c r="HYU1" s="4"/>
      <c r="HYV1" s="4"/>
      <c r="HYW1" s="4"/>
      <c r="HYX1" s="4"/>
      <c r="HYY1" s="4"/>
      <c r="HYZ1" s="4"/>
      <c r="HZA1" s="4"/>
      <c r="HZB1" s="4"/>
      <c r="HZC1" s="4"/>
      <c r="HZD1" s="4"/>
      <c r="HZE1" s="4"/>
      <c r="HZF1" s="4"/>
      <c r="HZG1" s="4"/>
      <c r="HZH1" s="4"/>
      <c r="HZI1" s="4"/>
      <c r="HZJ1" s="4"/>
      <c r="HZK1" s="4"/>
      <c r="HZL1" s="4"/>
      <c r="HZM1" s="4"/>
      <c r="HZN1" s="4"/>
      <c r="HZO1" s="4"/>
      <c r="HZP1" s="4"/>
      <c r="HZQ1" s="4"/>
      <c r="HZR1" s="4"/>
      <c r="HZS1" s="4"/>
      <c r="HZT1" s="4"/>
      <c r="HZU1" s="4"/>
      <c r="HZV1" s="4"/>
      <c r="HZW1" s="4"/>
      <c r="HZX1" s="4"/>
      <c r="HZY1" s="4"/>
      <c r="HZZ1" s="4"/>
      <c r="IAA1" s="4"/>
      <c r="IAB1" s="4"/>
      <c r="IAC1" s="4"/>
      <c r="IAD1" s="4"/>
      <c r="IAE1" s="4"/>
      <c r="IAF1" s="4"/>
      <c r="IAG1" s="4"/>
      <c r="IAH1" s="4"/>
      <c r="IAI1" s="4"/>
      <c r="IAJ1" s="4"/>
      <c r="IAK1" s="4"/>
      <c r="IAL1" s="4"/>
      <c r="IAM1" s="4"/>
      <c r="IAN1" s="4"/>
      <c r="IAO1" s="4"/>
      <c r="IAP1" s="4"/>
      <c r="IAQ1" s="4"/>
      <c r="IAR1" s="4"/>
      <c r="IAS1" s="4"/>
      <c r="IAT1" s="4"/>
      <c r="IAU1" s="4"/>
      <c r="IAV1" s="4"/>
      <c r="IAW1" s="4"/>
      <c r="IAX1" s="4"/>
      <c r="IAY1" s="4"/>
      <c r="IAZ1" s="4"/>
      <c r="IBA1" s="4"/>
      <c r="IBB1" s="4"/>
      <c r="IBC1" s="4"/>
      <c r="IBD1" s="4"/>
      <c r="IBE1" s="4"/>
      <c r="IBF1" s="4"/>
      <c r="IBG1" s="4"/>
      <c r="IBH1" s="4"/>
      <c r="IBI1" s="4"/>
      <c r="IBJ1" s="4"/>
      <c r="IBK1" s="4"/>
      <c r="IBL1" s="4"/>
      <c r="IBM1" s="4"/>
      <c r="IBN1" s="4"/>
      <c r="IBO1" s="4"/>
      <c r="IBP1" s="4"/>
      <c r="IBQ1" s="4"/>
      <c r="IBR1" s="4"/>
      <c r="IBS1" s="4"/>
      <c r="IBT1" s="4"/>
      <c r="IBU1" s="4"/>
      <c r="IBV1" s="4"/>
      <c r="IBW1" s="4"/>
      <c r="IBX1" s="4"/>
      <c r="IBY1" s="4"/>
      <c r="IBZ1" s="4"/>
      <c r="ICA1" s="4"/>
      <c r="ICB1" s="4"/>
      <c r="ICC1" s="4"/>
      <c r="ICD1" s="4"/>
      <c r="ICE1" s="4"/>
      <c r="ICF1" s="4"/>
      <c r="ICG1" s="4"/>
      <c r="ICH1" s="4"/>
      <c r="ICI1" s="4"/>
      <c r="ICJ1" s="4"/>
      <c r="ICK1" s="4"/>
      <c r="ICL1" s="4"/>
      <c r="ICM1" s="4"/>
      <c r="ICN1" s="4"/>
      <c r="ICO1" s="4"/>
      <c r="ICP1" s="4"/>
      <c r="ICQ1" s="4"/>
      <c r="ICR1" s="4"/>
      <c r="ICS1" s="4"/>
      <c r="ICT1" s="4"/>
      <c r="ICU1" s="4"/>
      <c r="ICV1" s="4"/>
      <c r="ICW1" s="4"/>
      <c r="ICX1" s="4"/>
      <c r="ICY1" s="4"/>
      <c r="ICZ1" s="4"/>
      <c r="IDA1" s="4"/>
      <c r="IDB1" s="4"/>
      <c r="IDC1" s="4"/>
      <c r="IDD1" s="4"/>
      <c r="IDE1" s="4"/>
      <c r="IDF1" s="4"/>
      <c r="IDG1" s="4"/>
      <c r="IDH1" s="4"/>
      <c r="IDI1" s="4"/>
      <c r="IDJ1" s="4"/>
      <c r="IDK1" s="4"/>
      <c r="IDL1" s="4"/>
      <c r="IDM1" s="4"/>
      <c r="IDN1" s="4"/>
      <c r="IDO1" s="4"/>
      <c r="IDP1" s="4"/>
      <c r="IDQ1" s="4"/>
      <c r="IDR1" s="4"/>
      <c r="IDS1" s="4"/>
      <c r="IDT1" s="4"/>
      <c r="IDU1" s="4"/>
      <c r="IDV1" s="4"/>
      <c r="IDW1" s="4"/>
      <c r="IDX1" s="4"/>
      <c r="IDY1" s="4"/>
      <c r="IDZ1" s="4"/>
      <c r="IEA1" s="4"/>
      <c r="IEB1" s="4"/>
      <c r="IEC1" s="4"/>
      <c r="IED1" s="4"/>
      <c r="IEE1" s="4"/>
      <c r="IEF1" s="4"/>
      <c r="IEG1" s="4"/>
      <c r="IEH1" s="4"/>
      <c r="IEI1" s="4"/>
      <c r="IEJ1" s="4"/>
      <c r="IEK1" s="4"/>
      <c r="IEL1" s="4"/>
      <c r="IEM1" s="4"/>
      <c r="IEN1" s="4"/>
      <c r="IEO1" s="4"/>
      <c r="IEP1" s="4"/>
      <c r="IEQ1" s="4"/>
      <c r="IER1" s="4"/>
      <c r="IES1" s="4"/>
      <c r="IET1" s="4"/>
      <c r="IEU1" s="4"/>
      <c r="IEV1" s="4"/>
      <c r="IEW1" s="4"/>
      <c r="IEX1" s="4"/>
      <c r="IEY1" s="4"/>
      <c r="IEZ1" s="4"/>
      <c r="IFA1" s="4"/>
      <c r="IFB1" s="4"/>
      <c r="IFC1" s="4"/>
      <c r="IFD1" s="4"/>
      <c r="IFE1" s="4"/>
      <c r="IFF1" s="4"/>
      <c r="IFG1" s="4"/>
      <c r="IFH1" s="4"/>
      <c r="IFI1" s="4"/>
      <c r="IFJ1" s="4"/>
      <c r="IFK1" s="4"/>
      <c r="IFL1" s="4"/>
      <c r="IFM1" s="4"/>
      <c r="IFN1" s="4"/>
      <c r="IFO1" s="4"/>
      <c r="IFP1" s="4"/>
      <c r="IFQ1" s="4"/>
      <c r="IFR1" s="4"/>
      <c r="IFS1" s="4"/>
      <c r="IFT1" s="4"/>
      <c r="IFU1" s="4"/>
      <c r="IFV1" s="4"/>
      <c r="IFW1" s="4"/>
      <c r="IFX1" s="4"/>
      <c r="IFY1" s="4"/>
      <c r="IFZ1" s="4"/>
      <c r="IGA1" s="4"/>
      <c r="IGB1" s="4"/>
      <c r="IGC1" s="4"/>
      <c r="IGD1" s="4"/>
      <c r="IGE1" s="4"/>
      <c r="IGF1" s="4"/>
      <c r="IGG1" s="4"/>
      <c r="IGH1" s="4"/>
      <c r="IGI1" s="4"/>
      <c r="IGJ1" s="4"/>
      <c r="IGK1" s="4"/>
      <c r="IGL1" s="4"/>
      <c r="IGM1" s="4"/>
      <c r="IGN1" s="4"/>
      <c r="IGO1" s="4"/>
      <c r="IGP1" s="4"/>
      <c r="IGQ1" s="4"/>
      <c r="IGR1" s="4"/>
      <c r="IGS1" s="4"/>
      <c r="IGT1" s="4"/>
      <c r="IGU1" s="4"/>
      <c r="IGV1" s="4"/>
      <c r="IGW1" s="4"/>
      <c r="IGX1" s="4"/>
      <c r="IGY1" s="4"/>
      <c r="IGZ1" s="4"/>
      <c r="IHA1" s="4"/>
      <c r="IHB1" s="4"/>
      <c r="IHC1" s="4"/>
      <c r="IHD1" s="4"/>
      <c r="IHE1" s="4"/>
      <c r="IHF1" s="4"/>
      <c r="IHG1" s="4"/>
      <c r="IHH1" s="4"/>
      <c r="IHI1" s="4"/>
      <c r="IHJ1" s="4"/>
      <c r="IHK1" s="4"/>
      <c r="IHL1" s="4"/>
      <c r="IHM1" s="4"/>
      <c r="IHN1" s="4"/>
      <c r="IHO1" s="4"/>
      <c r="IHP1" s="4"/>
      <c r="IHQ1" s="4"/>
      <c r="IHR1" s="4"/>
      <c r="IHS1" s="4"/>
      <c r="IHT1" s="4"/>
      <c r="IHU1" s="4"/>
      <c r="IHV1" s="4"/>
      <c r="IHW1" s="4"/>
      <c r="IHX1" s="4"/>
      <c r="IHY1" s="4"/>
      <c r="IHZ1" s="4"/>
      <c r="IIA1" s="4"/>
      <c r="IIB1" s="4"/>
      <c r="IIC1" s="4"/>
      <c r="IID1" s="4"/>
      <c r="IIE1" s="4"/>
      <c r="IIF1" s="4"/>
      <c r="IIG1" s="4"/>
      <c r="IIH1" s="4"/>
      <c r="III1" s="4"/>
      <c r="IIJ1" s="4"/>
      <c r="IIK1" s="4"/>
      <c r="IIL1" s="4"/>
      <c r="IIM1" s="4"/>
      <c r="IIN1" s="4"/>
      <c r="IIO1" s="4"/>
      <c r="IIP1" s="4"/>
      <c r="IIQ1" s="4"/>
      <c r="IIR1" s="4"/>
      <c r="IIS1" s="4"/>
      <c r="IIT1" s="4"/>
      <c r="IIU1" s="4"/>
      <c r="IIV1" s="4"/>
      <c r="IIW1" s="4"/>
      <c r="IIX1" s="4"/>
      <c r="IIY1" s="4"/>
      <c r="IIZ1" s="4"/>
      <c r="IJA1" s="4"/>
      <c r="IJB1" s="4"/>
      <c r="IJC1" s="4"/>
      <c r="IJD1" s="4"/>
      <c r="IJE1" s="4"/>
      <c r="IJF1" s="4"/>
      <c r="IJG1" s="4"/>
      <c r="IJH1" s="4"/>
      <c r="IJI1" s="4"/>
      <c r="IJJ1" s="4"/>
      <c r="IJK1" s="4"/>
      <c r="IJL1" s="4"/>
      <c r="IJM1" s="4"/>
      <c r="IJN1" s="4"/>
      <c r="IJO1" s="4"/>
      <c r="IJP1" s="4"/>
      <c r="IJQ1" s="4"/>
      <c r="IJR1" s="4"/>
      <c r="IJS1" s="4"/>
      <c r="IJT1" s="4"/>
      <c r="IJU1" s="4"/>
      <c r="IJV1" s="4"/>
      <c r="IJW1" s="4"/>
      <c r="IJX1" s="4"/>
      <c r="IJY1" s="4"/>
      <c r="IJZ1" s="4"/>
      <c r="IKA1" s="4"/>
      <c r="IKB1" s="4"/>
      <c r="IKC1" s="4"/>
      <c r="IKD1" s="4"/>
      <c r="IKE1" s="4"/>
      <c r="IKF1" s="4"/>
      <c r="IKG1" s="4"/>
      <c r="IKH1" s="4"/>
      <c r="IKI1" s="4"/>
      <c r="IKJ1" s="4"/>
      <c r="IKK1" s="4"/>
      <c r="IKL1" s="4"/>
      <c r="IKM1" s="4"/>
      <c r="IKN1" s="4"/>
      <c r="IKO1" s="4"/>
      <c r="IKP1" s="4"/>
      <c r="IKQ1" s="4"/>
      <c r="IKR1" s="4"/>
      <c r="IKS1" s="4"/>
      <c r="IKT1" s="4"/>
      <c r="IKU1" s="4"/>
      <c r="IKV1" s="4"/>
      <c r="IKW1" s="4"/>
      <c r="IKX1" s="4"/>
      <c r="IKY1" s="4"/>
      <c r="IKZ1" s="4"/>
      <c r="ILA1" s="4"/>
      <c r="ILB1" s="4"/>
      <c r="ILC1" s="4"/>
      <c r="ILD1" s="4"/>
      <c r="ILE1" s="4"/>
      <c r="ILF1" s="4"/>
      <c r="ILG1" s="4"/>
      <c r="ILH1" s="4"/>
      <c r="ILI1" s="4"/>
      <c r="ILJ1" s="4"/>
      <c r="ILK1" s="4"/>
      <c r="ILL1" s="4"/>
      <c r="ILM1" s="4"/>
      <c r="ILN1" s="4"/>
      <c r="ILO1" s="4"/>
      <c r="ILP1" s="4"/>
      <c r="ILQ1" s="4"/>
      <c r="ILR1" s="4"/>
      <c r="ILS1" s="4"/>
      <c r="ILT1" s="4"/>
      <c r="ILU1" s="4"/>
      <c r="ILV1" s="4"/>
      <c r="ILW1" s="4"/>
      <c r="ILX1" s="4"/>
      <c r="ILY1" s="4"/>
      <c r="ILZ1" s="4"/>
      <c r="IMA1" s="4"/>
      <c r="IMB1" s="4"/>
      <c r="IMC1" s="4"/>
      <c r="IMD1" s="4"/>
      <c r="IME1" s="4"/>
      <c r="IMF1" s="4"/>
      <c r="IMG1" s="4"/>
      <c r="IMH1" s="4"/>
      <c r="IMI1" s="4"/>
      <c r="IMJ1" s="4"/>
      <c r="IMK1" s="4"/>
      <c r="IML1" s="4"/>
      <c r="IMM1" s="4"/>
      <c r="IMN1" s="4"/>
      <c r="IMO1" s="4"/>
      <c r="IMP1" s="4"/>
      <c r="IMQ1" s="4"/>
      <c r="IMR1" s="4"/>
      <c r="IMS1" s="4"/>
      <c r="IMT1" s="4"/>
      <c r="IMU1" s="4"/>
      <c r="IMV1" s="4"/>
      <c r="IMW1" s="4"/>
      <c r="IMX1" s="4"/>
      <c r="IMY1" s="4"/>
      <c r="IMZ1" s="4"/>
      <c r="INA1" s="4"/>
      <c r="INB1" s="4"/>
      <c r="INC1" s="4"/>
      <c r="IND1" s="4"/>
      <c r="INE1" s="4"/>
      <c r="INF1" s="4"/>
      <c r="ING1" s="4"/>
      <c r="INH1" s="4"/>
      <c r="INI1" s="4"/>
      <c r="INJ1" s="4"/>
      <c r="INK1" s="4"/>
      <c r="INL1" s="4"/>
      <c r="INM1" s="4"/>
      <c r="INN1" s="4"/>
      <c r="INO1" s="4"/>
      <c r="INP1" s="4"/>
      <c r="INQ1" s="4"/>
      <c r="INR1" s="4"/>
      <c r="INS1" s="4"/>
      <c r="INT1" s="4"/>
      <c r="INU1" s="4"/>
      <c r="INV1" s="4"/>
      <c r="INW1" s="4"/>
      <c r="INX1" s="4"/>
      <c r="INY1" s="4"/>
      <c r="INZ1" s="4"/>
      <c r="IOA1" s="4"/>
      <c r="IOB1" s="4"/>
      <c r="IOC1" s="4"/>
      <c r="IOD1" s="4"/>
      <c r="IOE1" s="4"/>
      <c r="IOF1" s="4"/>
      <c r="IOG1" s="4"/>
      <c r="IOH1" s="4"/>
      <c r="IOI1" s="4"/>
      <c r="IOJ1" s="4"/>
      <c r="IOK1" s="4"/>
      <c r="IOL1" s="4"/>
      <c r="IOM1" s="4"/>
      <c r="ION1" s="4"/>
      <c r="IOO1" s="4"/>
      <c r="IOP1" s="4"/>
      <c r="IOQ1" s="4"/>
      <c r="IOR1" s="4"/>
      <c r="IOS1" s="4"/>
      <c r="IOT1" s="4"/>
      <c r="IOU1" s="4"/>
      <c r="IOV1" s="4"/>
      <c r="IOW1" s="4"/>
      <c r="IOX1" s="4"/>
      <c r="IOY1" s="4"/>
      <c r="IOZ1" s="4"/>
      <c r="IPA1" s="4"/>
      <c r="IPB1" s="4"/>
      <c r="IPC1" s="4"/>
      <c r="IPD1" s="4"/>
      <c r="IPE1" s="4"/>
      <c r="IPF1" s="4"/>
      <c r="IPG1" s="4"/>
      <c r="IPH1" s="4"/>
      <c r="IPI1" s="4"/>
      <c r="IPJ1" s="4"/>
      <c r="IPK1" s="4"/>
      <c r="IPL1" s="4"/>
      <c r="IPM1" s="4"/>
      <c r="IPN1" s="4"/>
      <c r="IPO1" s="4"/>
      <c r="IPP1" s="4"/>
      <c r="IPQ1" s="4"/>
      <c r="IPR1" s="4"/>
      <c r="IPS1" s="4"/>
      <c r="IPT1" s="4"/>
      <c r="IPU1" s="4"/>
      <c r="IPV1" s="4"/>
      <c r="IPW1" s="4"/>
      <c r="IPX1" s="4"/>
      <c r="IPY1" s="4"/>
      <c r="IPZ1" s="4"/>
      <c r="IQA1" s="4"/>
      <c r="IQB1" s="4"/>
      <c r="IQC1" s="4"/>
      <c r="IQD1" s="4"/>
      <c r="IQE1" s="4"/>
      <c r="IQF1" s="4"/>
      <c r="IQG1" s="4"/>
      <c r="IQH1" s="4"/>
      <c r="IQI1" s="4"/>
      <c r="IQJ1" s="4"/>
      <c r="IQK1" s="4"/>
      <c r="IQL1" s="4"/>
      <c r="IQM1" s="4"/>
      <c r="IQN1" s="4"/>
      <c r="IQO1" s="4"/>
      <c r="IQP1" s="4"/>
      <c r="IQQ1" s="4"/>
      <c r="IQR1" s="4"/>
      <c r="IQS1" s="4"/>
      <c r="IQT1" s="4"/>
      <c r="IQU1" s="4"/>
      <c r="IQV1" s="4"/>
      <c r="IQW1" s="4"/>
      <c r="IQX1" s="4"/>
      <c r="IQY1" s="4"/>
      <c r="IQZ1" s="4"/>
      <c r="IRA1" s="4"/>
      <c r="IRB1" s="4"/>
      <c r="IRC1" s="4"/>
      <c r="IRD1" s="4"/>
      <c r="IRE1" s="4"/>
      <c r="IRF1" s="4"/>
      <c r="IRG1" s="4"/>
      <c r="IRH1" s="4"/>
      <c r="IRI1" s="4"/>
      <c r="IRJ1" s="4"/>
      <c r="IRK1" s="4"/>
      <c r="IRL1" s="4"/>
      <c r="IRM1" s="4"/>
      <c r="IRN1" s="4"/>
      <c r="IRO1" s="4"/>
      <c r="IRP1" s="4"/>
      <c r="IRQ1" s="4"/>
      <c r="IRR1" s="4"/>
      <c r="IRS1" s="4"/>
      <c r="IRT1" s="4"/>
      <c r="IRU1" s="4"/>
      <c r="IRV1" s="4"/>
      <c r="IRW1" s="4"/>
      <c r="IRX1" s="4"/>
      <c r="IRY1" s="4"/>
      <c r="IRZ1" s="4"/>
      <c r="ISA1" s="4"/>
      <c r="ISB1" s="4"/>
      <c r="ISC1" s="4"/>
      <c r="ISD1" s="4"/>
      <c r="ISE1" s="4"/>
      <c r="ISF1" s="4"/>
      <c r="ISG1" s="4"/>
      <c r="ISH1" s="4"/>
      <c r="ISI1" s="4"/>
      <c r="ISJ1" s="4"/>
      <c r="ISK1" s="4"/>
      <c r="ISL1" s="4"/>
      <c r="ISM1" s="4"/>
      <c r="ISN1" s="4"/>
      <c r="ISO1" s="4"/>
      <c r="ISP1" s="4"/>
      <c r="ISQ1" s="4"/>
      <c r="ISR1" s="4"/>
      <c r="ISS1" s="4"/>
      <c r="IST1" s="4"/>
      <c r="ISU1" s="4"/>
      <c r="ISV1" s="4"/>
      <c r="ISW1" s="4"/>
      <c r="ISX1" s="4"/>
      <c r="ISY1" s="4"/>
      <c r="ISZ1" s="4"/>
      <c r="ITA1" s="4"/>
      <c r="ITB1" s="4"/>
      <c r="ITC1" s="4"/>
      <c r="ITD1" s="4"/>
      <c r="ITE1" s="4"/>
      <c r="ITF1" s="4"/>
      <c r="ITG1" s="4"/>
      <c r="ITH1" s="4"/>
      <c r="ITI1" s="4"/>
      <c r="ITJ1" s="4"/>
      <c r="ITK1" s="4"/>
      <c r="ITL1" s="4"/>
      <c r="ITM1" s="4"/>
      <c r="ITN1" s="4"/>
      <c r="ITO1" s="4"/>
      <c r="ITP1" s="4"/>
      <c r="ITQ1" s="4"/>
      <c r="ITR1" s="4"/>
      <c r="ITS1" s="4"/>
      <c r="ITT1" s="4"/>
      <c r="ITU1" s="4"/>
      <c r="ITV1" s="4"/>
      <c r="ITW1" s="4"/>
      <c r="ITX1" s="4"/>
      <c r="ITY1" s="4"/>
      <c r="ITZ1" s="4"/>
      <c r="IUA1" s="4"/>
      <c r="IUB1" s="4"/>
      <c r="IUC1" s="4"/>
      <c r="IUD1" s="4"/>
      <c r="IUE1" s="4"/>
      <c r="IUF1" s="4"/>
      <c r="IUG1" s="4"/>
      <c r="IUH1" s="4"/>
      <c r="IUI1" s="4"/>
      <c r="IUJ1" s="4"/>
      <c r="IUK1" s="4"/>
      <c r="IUL1" s="4"/>
      <c r="IUM1" s="4"/>
      <c r="IUN1" s="4"/>
      <c r="IUO1" s="4"/>
      <c r="IUP1" s="4"/>
      <c r="IUQ1" s="4"/>
      <c r="IUR1" s="4"/>
      <c r="IUS1" s="4"/>
      <c r="IUT1" s="4"/>
      <c r="IUU1" s="4"/>
      <c r="IUV1" s="4"/>
      <c r="IUW1" s="4"/>
      <c r="IUX1" s="4"/>
      <c r="IUY1" s="4"/>
      <c r="IUZ1" s="4"/>
      <c r="IVA1" s="4"/>
      <c r="IVB1" s="4"/>
      <c r="IVC1" s="4"/>
      <c r="IVD1" s="4"/>
      <c r="IVE1" s="4"/>
      <c r="IVF1" s="4"/>
      <c r="IVG1" s="4"/>
      <c r="IVH1" s="4"/>
      <c r="IVI1" s="4"/>
      <c r="IVJ1" s="4"/>
      <c r="IVK1" s="4"/>
      <c r="IVL1" s="4"/>
      <c r="IVM1" s="4"/>
      <c r="IVN1" s="4"/>
      <c r="IVO1" s="4"/>
      <c r="IVP1" s="4"/>
      <c r="IVQ1" s="4"/>
      <c r="IVR1" s="4"/>
      <c r="IVS1" s="4"/>
      <c r="IVT1" s="4"/>
      <c r="IVU1" s="4"/>
      <c r="IVV1" s="4"/>
      <c r="IVW1" s="4"/>
      <c r="IVX1" s="4"/>
      <c r="IVY1" s="4"/>
      <c r="IVZ1" s="4"/>
      <c r="IWA1" s="4"/>
      <c r="IWB1" s="4"/>
      <c r="IWC1" s="4"/>
      <c r="IWD1" s="4"/>
      <c r="IWE1" s="4"/>
      <c r="IWF1" s="4"/>
      <c r="IWG1" s="4"/>
      <c r="IWH1" s="4"/>
      <c r="IWI1" s="4"/>
      <c r="IWJ1" s="4"/>
      <c r="IWK1" s="4"/>
      <c r="IWL1" s="4"/>
      <c r="IWM1" s="4"/>
      <c r="IWN1" s="4"/>
      <c r="IWO1" s="4"/>
      <c r="IWP1" s="4"/>
      <c r="IWQ1" s="4"/>
      <c r="IWR1" s="4"/>
      <c r="IWS1" s="4"/>
      <c r="IWT1" s="4"/>
      <c r="IWU1" s="4"/>
      <c r="IWV1" s="4"/>
      <c r="IWW1" s="4"/>
      <c r="IWX1" s="4"/>
      <c r="IWY1" s="4"/>
      <c r="IWZ1" s="4"/>
      <c r="IXA1" s="4"/>
      <c r="IXB1" s="4"/>
      <c r="IXC1" s="4"/>
      <c r="IXD1" s="4"/>
      <c r="IXE1" s="4"/>
      <c r="IXF1" s="4"/>
      <c r="IXG1" s="4"/>
      <c r="IXH1" s="4"/>
      <c r="IXI1" s="4"/>
      <c r="IXJ1" s="4"/>
      <c r="IXK1" s="4"/>
      <c r="IXL1" s="4"/>
      <c r="IXM1" s="4"/>
      <c r="IXN1" s="4"/>
      <c r="IXO1" s="4"/>
      <c r="IXP1" s="4"/>
      <c r="IXQ1" s="4"/>
      <c r="IXR1" s="4"/>
      <c r="IXS1" s="4"/>
      <c r="IXT1" s="4"/>
      <c r="IXU1" s="4"/>
      <c r="IXV1" s="4"/>
      <c r="IXW1" s="4"/>
      <c r="IXX1" s="4"/>
      <c r="IXY1" s="4"/>
      <c r="IXZ1" s="4"/>
      <c r="IYA1" s="4"/>
      <c r="IYB1" s="4"/>
      <c r="IYC1" s="4"/>
      <c r="IYD1" s="4"/>
      <c r="IYE1" s="4"/>
      <c r="IYF1" s="4"/>
      <c r="IYG1" s="4"/>
      <c r="IYH1" s="4"/>
      <c r="IYI1" s="4"/>
      <c r="IYJ1" s="4"/>
      <c r="IYK1" s="4"/>
      <c r="IYL1" s="4"/>
      <c r="IYM1" s="4"/>
      <c r="IYN1" s="4"/>
      <c r="IYO1" s="4"/>
      <c r="IYP1" s="4"/>
      <c r="IYQ1" s="4"/>
      <c r="IYR1" s="4"/>
      <c r="IYS1" s="4"/>
      <c r="IYT1" s="4"/>
      <c r="IYU1" s="4"/>
      <c r="IYV1" s="4"/>
      <c r="IYW1" s="4"/>
      <c r="IYX1" s="4"/>
      <c r="IYY1" s="4"/>
      <c r="IYZ1" s="4"/>
      <c r="IZA1" s="4"/>
      <c r="IZB1" s="4"/>
      <c r="IZC1" s="4"/>
      <c r="IZD1" s="4"/>
      <c r="IZE1" s="4"/>
      <c r="IZF1" s="4"/>
      <c r="IZG1" s="4"/>
      <c r="IZH1" s="4"/>
      <c r="IZI1" s="4"/>
      <c r="IZJ1" s="4"/>
      <c r="IZK1" s="4"/>
      <c r="IZL1" s="4"/>
      <c r="IZM1" s="4"/>
      <c r="IZN1" s="4"/>
      <c r="IZO1" s="4"/>
      <c r="IZP1" s="4"/>
      <c r="IZQ1" s="4"/>
      <c r="IZR1" s="4"/>
      <c r="IZS1" s="4"/>
      <c r="IZT1" s="4"/>
      <c r="IZU1" s="4"/>
      <c r="IZV1" s="4"/>
      <c r="IZW1" s="4"/>
      <c r="IZX1" s="4"/>
      <c r="IZY1" s="4"/>
      <c r="IZZ1" s="4"/>
      <c r="JAA1" s="4"/>
      <c r="JAB1" s="4"/>
      <c r="JAC1" s="4"/>
      <c r="JAD1" s="4"/>
      <c r="JAE1" s="4"/>
      <c r="JAF1" s="4"/>
      <c r="JAG1" s="4"/>
      <c r="JAH1" s="4"/>
      <c r="JAI1" s="4"/>
      <c r="JAJ1" s="4"/>
      <c r="JAK1" s="4"/>
      <c r="JAL1" s="4"/>
      <c r="JAM1" s="4"/>
      <c r="JAN1" s="4"/>
      <c r="JAO1" s="4"/>
      <c r="JAP1" s="4"/>
      <c r="JAQ1" s="4"/>
      <c r="JAR1" s="4"/>
      <c r="JAS1" s="4"/>
      <c r="JAT1" s="4"/>
      <c r="JAU1" s="4"/>
      <c r="JAV1" s="4"/>
      <c r="JAW1" s="4"/>
      <c r="JAX1" s="4"/>
      <c r="JAY1" s="4"/>
      <c r="JAZ1" s="4"/>
      <c r="JBA1" s="4"/>
      <c r="JBB1" s="4"/>
      <c r="JBC1" s="4"/>
      <c r="JBD1" s="4"/>
      <c r="JBE1" s="4"/>
      <c r="JBF1" s="4"/>
      <c r="JBG1" s="4"/>
      <c r="JBH1" s="4"/>
      <c r="JBI1" s="4"/>
      <c r="JBJ1" s="4"/>
      <c r="JBK1" s="4"/>
      <c r="JBL1" s="4"/>
      <c r="JBM1" s="4"/>
      <c r="JBN1" s="4"/>
      <c r="JBO1" s="4"/>
      <c r="JBP1" s="4"/>
      <c r="JBQ1" s="4"/>
      <c r="JBR1" s="4"/>
      <c r="JBS1" s="4"/>
      <c r="JBT1" s="4"/>
      <c r="JBU1" s="4"/>
      <c r="JBV1" s="4"/>
      <c r="JBW1" s="4"/>
      <c r="JBX1" s="4"/>
      <c r="JBY1" s="4"/>
      <c r="JBZ1" s="4"/>
      <c r="JCA1" s="4"/>
      <c r="JCB1" s="4"/>
      <c r="JCC1" s="4"/>
      <c r="JCD1" s="4"/>
      <c r="JCE1" s="4"/>
      <c r="JCF1" s="4"/>
      <c r="JCG1" s="4"/>
      <c r="JCH1" s="4"/>
      <c r="JCI1" s="4"/>
      <c r="JCJ1" s="4"/>
      <c r="JCK1" s="4"/>
      <c r="JCL1" s="4"/>
      <c r="JCM1" s="4"/>
      <c r="JCN1" s="4"/>
      <c r="JCO1" s="4"/>
      <c r="JCP1" s="4"/>
      <c r="JCQ1" s="4"/>
      <c r="JCR1" s="4"/>
      <c r="JCS1" s="4"/>
      <c r="JCT1" s="4"/>
      <c r="JCU1" s="4"/>
      <c r="JCV1" s="4"/>
      <c r="JCW1" s="4"/>
      <c r="JCX1" s="4"/>
      <c r="JCY1" s="4"/>
      <c r="JCZ1" s="4"/>
      <c r="JDA1" s="4"/>
      <c r="JDB1" s="4"/>
      <c r="JDC1" s="4"/>
      <c r="JDD1" s="4"/>
      <c r="JDE1" s="4"/>
      <c r="JDF1" s="4"/>
      <c r="JDG1" s="4"/>
      <c r="JDH1" s="4"/>
      <c r="JDI1" s="4"/>
      <c r="JDJ1" s="4"/>
      <c r="JDK1" s="4"/>
      <c r="JDL1" s="4"/>
      <c r="JDM1" s="4"/>
      <c r="JDN1" s="4"/>
      <c r="JDO1" s="4"/>
      <c r="JDP1" s="4"/>
      <c r="JDQ1" s="4"/>
      <c r="JDR1" s="4"/>
      <c r="JDS1" s="4"/>
      <c r="JDT1" s="4"/>
      <c r="JDU1" s="4"/>
      <c r="JDV1" s="4"/>
      <c r="JDW1" s="4"/>
      <c r="JDX1" s="4"/>
      <c r="JDY1" s="4"/>
      <c r="JDZ1" s="4"/>
      <c r="JEA1" s="4"/>
      <c r="JEB1" s="4"/>
      <c r="JEC1" s="4"/>
      <c r="JED1" s="4"/>
      <c r="JEE1" s="4"/>
      <c r="JEF1" s="4"/>
      <c r="JEG1" s="4"/>
      <c r="JEH1" s="4"/>
      <c r="JEI1" s="4"/>
      <c r="JEJ1" s="4"/>
      <c r="JEK1" s="4"/>
      <c r="JEL1" s="4"/>
      <c r="JEM1" s="4"/>
      <c r="JEN1" s="4"/>
      <c r="JEO1" s="4"/>
      <c r="JEP1" s="4"/>
      <c r="JEQ1" s="4"/>
      <c r="JER1" s="4"/>
      <c r="JES1" s="4"/>
      <c r="JET1" s="4"/>
      <c r="JEU1" s="4"/>
      <c r="JEV1" s="4"/>
      <c r="JEW1" s="4"/>
      <c r="JEX1" s="4"/>
      <c r="JEY1" s="4"/>
      <c r="JEZ1" s="4"/>
      <c r="JFA1" s="4"/>
      <c r="JFB1" s="4"/>
      <c r="JFC1" s="4"/>
      <c r="JFD1" s="4"/>
      <c r="JFE1" s="4"/>
      <c r="JFF1" s="4"/>
      <c r="JFG1" s="4"/>
      <c r="JFH1" s="4"/>
      <c r="JFI1" s="4"/>
      <c r="JFJ1" s="4"/>
      <c r="JFK1" s="4"/>
      <c r="JFL1" s="4"/>
      <c r="JFM1" s="4"/>
      <c r="JFN1" s="4"/>
      <c r="JFO1" s="4"/>
      <c r="JFP1" s="4"/>
      <c r="JFQ1" s="4"/>
      <c r="JFR1" s="4"/>
      <c r="JFS1" s="4"/>
      <c r="JFT1" s="4"/>
      <c r="JFU1" s="4"/>
      <c r="JFV1" s="4"/>
      <c r="JFW1" s="4"/>
      <c r="JFX1" s="4"/>
      <c r="JFY1" s="4"/>
      <c r="JFZ1" s="4"/>
      <c r="JGA1" s="4"/>
      <c r="JGB1" s="4"/>
      <c r="JGC1" s="4"/>
      <c r="JGD1" s="4"/>
      <c r="JGE1" s="4"/>
      <c r="JGF1" s="4"/>
      <c r="JGG1" s="4"/>
      <c r="JGH1" s="4"/>
      <c r="JGI1" s="4"/>
      <c r="JGJ1" s="4"/>
      <c r="JGK1" s="4"/>
      <c r="JGL1" s="4"/>
      <c r="JGM1" s="4"/>
      <c r="JGN1" s="4"/>
      <c r="JGO1" s="4"/>
      <c r="JGP1" s="4"/>
      <c r="JGQ1" s="4"/>
      <c r="JGR1" s="4"/>
      <c r="JGS1" s="4"/>
      <c r="JGT1" s="4"/>
      <c r="JGU1" s="4"/>
      <c r="JGV1" s="4"/>
      <c r="JGW1" s="4"/>
      <c r="JGX1" s="4"/>
      <c r="JGY1" s="4"/>
      <c r="JGZ1" s="4"/>
      <c r="JHA1" s="4"/>
      <c r="JHB1" s="4"/>
      <c r="JHC1" s="4"/>
      <c r="JHD1" s="4"/>
      <c r="JHE1" s="4"/>
      <c r="JHF1" s="4"/>
      <c r="JHG1" s="4"/>
      <c r="JHH1" s="4"/>
      <c r="JHI1" s="4"/>
      <c r="JHJ1" s="4"/>
      <c r="JHK1" s="4"/>
      <c r="JHL1" s="4"/>
      <c r="JHM1" s="4"/>
      <c r="JHN1" s="4"/>
      <c r="JHO1" s="4"/>
      <c r="JHP1" s="4"/>
      <c r="JHQ1" s="4"/>
      <c r="JHR1" s="4"/>
      <c r="JHS1" s="4"/>
      <c r="JHT1" s="4"/>
      <c r="JHU1" s="4"/>
      <c r="JHV1" s="4"/>
      <c r="JHW1" s="4"/>
      <c r="JHX1" s="4"/>
      <c r="JHY1" s="4"/>
      <c r="JHZ1" s="4"/>
      <c r="JIA1" s="4"/>
      <c r="JIB1" s="4"/>
      <c r="JIC1" s="4"/>
      <c r="JID1" s="4"/>
      <c r="JIE1" s="4"/>
      <c r="JIF1" s="4"/>
      <c r="JIG1" s="4"/>
      <c r="JIH1" s="4"/>
      <c r="JII1" s="4"/>
      <c r="JIJ1" s="4"/>
      <c r="JIK1" s="4"/>
      <c r="JIL1" s="4"/>
      <c r="JIM1" s="4"/>
      <c r="JIN1" s="4"/>
      <c r="JIO1" s="4"/>
      <c r="JIP1" s="4"/>
      <c r="JIQ1" s="4"/>
      <c r="JIR1" s="4"/>
      <c r="JIS1" s="4"/>
      <c r="JIT1" s="4"/>
      <c r="JIU1" s="4"/>
      <c r="JIV1" s="4"/>
      <c r="JIW1" s="4"/>
      <c r="JIX1" s="4"/>
      <c r="JIY1" s="4"/>
      <c r="JIZ1" s="4"/>
      <c r="JJA1" s="4"/>
      <c r="JJB1" s="4"/>
      <c r="JJC1" s="4"/>
      <c r="JJD1" s="4"/>
      <c r="JJE1" s="4"/>
      <c r="JJF1" s="4"/>
      <c r="JJG1" s="4"/>
      <c r="JJH1" s="4"/>
      <c r="JJI1" s="4"/>
      <c r="JJJ1" s="4"/>
      <c r="JJK1" s="4"/>
      <c r="JJL1" s="4"/>
      <c r="JJM1" s="4"/>
      <c r="JJN1" s="4"/>
      <c r="JJO1" s="4"/>
      <c r="JJP1" s="4"/>
      <c r="JJQ1" s="4"/>
      <c r="JJR1" s="4"/>
      <c r="JJS1" s="4"/>
      <c r="JJT1" s="4"/>
      <c r="JJU1" s="4"/>
      <c r="JJV1" s="4"/>
      <c r="JJW1" s="4"/>
      <c r="JJX1" s="4"/>
      <c r="JJY1" s="4"/>
      <c r="JJZ1" s="4"/>
      <c r="JKA1" s="4"/>
      <c r="JKB1" s="4"/>
      <c r="JKC1" s="4"/>
      <c r="JKD1" s="4"/>
      <c r="JKE1" s="4"/>
      <c r="JKF1" s="4"/>
      <c r="JKG1" s="4"/>
      <c r="JKH1" s="4"/>
      <c r="JKI1" s="4"/>
      <c r="JKJ1" s="4"/>
      <c r="JKK1" s="4"/>
      <c r="JKL1" s="4"/>
      <c r="JKM1" s="4"/>
      <c r="JKN1" s="4"/>
      <c r="JKO1" s="4"/>
      <c r="JKP1" s="4"/>
      <c r="JKQ1" s="4"/>
      <c r="JKR1" s="4"/>
      <c r="JKS1" s="4"/>
      <c r="JKT1" s="4"/>
      <c r="JKU1" s="4"/>
      <c r="JKV1" s="4"/>
      <c r="JKW1" s="4"/>
      <c r="JKX1" s="4"/>
      <c r="JKY1" s="4"/>
      <c r="JKZ1" s="4"/>
      <c r="JLA1" s="4"/>
      <c r="JLB1" s="4"/>
      <c r="JLC1" s="4"/>
      <c r="JLD1" s="4"/>
      <c r="JLE1" s="4"/>
      <c r="JLF1" s="4"/>
      <c r="JLG1" s="4"/>
      <c r="JLH1" s="4"/>
      <c r="JLI1" s="4"/>
      <c r="JLJ1" s="4"/>
      <c r="JLK1" s="4"/>
      <c r="JLL1" s="4"/>
      <c r="JLM1" s="4"/>
      <c r="JLN1" s="4"/>
      <c r="JLO1" s="4"/>
      <c r="JLP1" s="4"/>
      <c r="JLQ1" s="4"/>
      <c r="JLR1" s="4"/>
      <c r="JLS1" s="4"/>
      <c r="JLT1" s="4"/>
      <c r="JLU1" s="4"/>
      <c r="JLV1" s="4"/>
      <c r="JLW1" s="4"/>
      <c r="JLX1" s="4"/>
      <c r="JLY1" s="4"/>
      <c r="JLZ1" s="4"/>
      <c r="JMA1" s="4"/>
      <c r="JMB1" s="4"/>
      <c r="JMC1" s="4"/>
      <c r="JMD1" s="4"/>
      <c r="JME1" s="4"/>
      <c r="JMF1" s="4"/>
      <c r="JMG1" s="4"/>
      <c r="JMH1" s="4"/>
      <c r="JMI1" s="4"/>
      <c r="JMJ1" s="4"/>
      <c r="JMK1" s="4"/>
      <c r="JML1" s="4"/>
      <c r="JMM1" s="4"/>
      <c r="JMN1" s="4"/>
      <c r="JMO1" s="4"/>
      <c r="JMP1" s="4"/>
      <c r="JMQ1" s="4"/>
      <c r="JMR1" s="4"/>
      <c r="JMS1" s="4"/>
      <c r="JMT1" s="4"/>
      <c r="JMU1" s="4"/>
      <c r="JMV1" s="4"/>
      <c r="JMW1" s="4"/>
      <c r="JMX1" s="4"/>
      <c r="JMY1" s="4"/>
      <c r="JMZ1" s="4"/>
      <c r="JNA1" s="4"/>
      <c r="JNB1" s="4"/>
      <c r="JNC1" s="4"/>
      <c r="JND1" s="4"/>
      <c r="JNE1" s="4"/>
      <c r="JNF1" s="4"/>
      <c r="JNG1" s="4"/>
      <c r="JNH1" s="4"/>
      <c r="JNI1" s="4"/>
      <c r="JNJ1" s="4"/>
      <c r="JNK1" s="4"/>
      <c r="JNL1" s="4"/>
      <c r="JNM1" s="4"/>
      <c r="JNN1" s="4"/>
      <c r="JNO1" s="4"/>
      <c r="JNP1" s="4"/>
      <c r="JNQ1" s="4"/>
      <c r="JNR1" s="4"/>
      <c r="JNS1" s="4"/>
      <c r="JNT1" s="4"/>
      <c r="JNU1" s="4"/>
      <c r="JNV1" s="4"/>
      <c r="JNW1" s="4"/>
      <c r="JNX1" s="4"/>
      <c r="JNY1" s="4"/>
      <c r="JNZ1" s="4"/>
      <c r="JOA1" s="4"/>
      <c r="JOB1" s="4"/>
      <c r="JOC1" s="4"/>
      <c r="JOD1" s="4"/>
      <c r="JOE1" s="4"/>
      <c r="JOF1" s="4"/>
      <c r="JOG1" s="4"/>
      <c r="JOH1" s="4"/>
      <c r="JOI1" s="4"/>
      <c r="JOJ1" s="4"/>
      <c r="JOK1" s="4"/>
      <c r="JOL1" s="4"/>
      <c r="JOM1" s="4"/>
      <c r="JON1" s="4"/>
      <c r="JOO1" s="4"/>
      <c r="JOP1" s="4"/>
      <c r="JOQ1" s="4"/>
      <c r="JOR1" s="4"/>
      <c r="JOS1" s="4"/>
      <c r="JOT1" s="4"/>
      <c r="JOU1" s="4"/>
      <c r="JOV1" s="4"/>
      <c r="JOW1" s="4"/>
      <c r="JOX1" s="4"/>
      <c r="JOY1" s="4"/>
      <c r="JOZ1" s="4"/>
      <c r="JPA1" s="4"/>
      <c r="JPB1" s="4"/>
      <c r="JPC1" s="4"/>
      <c r="JPD1" s="4"/>
      <c r="JPE1" s="4"/>
      <c r="JPF1" s="4"/>
      <c r="JPG1" s="4"/>
      <c r="JPH1" s="4"/>
      <c r="JPI1" s="4"/>
      <c r="JPJ1" s="4"/>
      <c r="JPK1" s="4"/>
      <c r="JPL1" s="4"/>
      <c r="JPM1" s="4"/>
      <c r="JPN1" s="4"/>
      <c r="JPO1" s="4"/>
      <c r="JPP1" s="4"/>
      <c r="JPQ1" s="4"/>
      <c r="JPR1" s="4"/>
      <c r="JPS1" s="4"/>
      <c r="JPT1" s="4"/>
      <c r="JPU1" s="4"/>
      <c r="JPV1" s="4"/>
      <c r="JPW1" s="4"/>
      <c r="JPX1" s="4"/>
      <c r="JPY1" s="4"/>
      <c r="JPZ1" s="4"/>
      <c r="JQA1" s="4"/>
      <c r="JQB1" s="4"/>
      <c r="JQC1" s="4"/>
      <c r="JQD1" s="4"/>
      <c r="JQE1" s="4"/>
      <c r="JQF1" s="4"/>
      <c r="JQG1" s="4"/>
      <c r="JQH1" s="4"/>
      <c r="JQI1" s="4"/>
      <c r="JQJ1" s="4"/>
      <c r="JQK1" s="4"/>
      <c r="JQL1" s="4"/>
      <c r="JQM1" s="4"/>
      <c r="JQN1" s="4"/>
      <c r="JQO1" s="4"/>
      <c r="JQP1" s="4"/>
      <c r="JQQ1" s="4"/>
      <c r="JQR1" s="4"/>
      <c r="JQS1" s="4"/>
      <c r="JQT1" s="4"/>
      <c r="JQU1" s="4"/>
      <c r="JQV1" s="4"/>
      <c r="JQW1" s="4"/>
      <c r="JQX1" s="4"/>
      <c r="JQY1" s="4"/>
      <c r="JQZ1" s="4"/>
      <c r="JRA1" s="4"/>
      <c r="JRB1" s="4"/>
      <c r="JRC1" s="4"/>
      <c r="JRD1" s="4"/>
      <c r="JRE1" s="4"/>
      <c r="JRF1" s="4"/>
      <c r="JRG1" s="4"/>
      <c r="JRH1" s="4"/>
      <c r="JRI1" s="4"/>
      <c r="JRJ1" s="4"/>
      <c r="JRK1" s="4"/>
      <c r="JRL1" s="4"/>
      <c r="JRM1" s="4"/>
      <c r="JRN1" s="4"/>
      <c r="JRO1" s="4"/>
      <c r="JRP1" s="4"/>
      <c r="JRQ1" s="4"/>
      <c r="JRR1" s="4"/>
      <c r="JRS1" s="4"/>
      <c r="JRT1" s="4"/>
      <c r="JRU1" s="4"/>
      <c r="JRV1" s="4"/>
      <c r="JRW1" s="4"/>
      <c r="JRX1" s="4"/>
      <c r="JRY1" s="4"/>
      <c r="JRZ1" s="4"/>
      <c r="JSA1" s="4"/>
      <c r="JSB1" s="4"/>
      <c r="JSC1" s="4"/>
      <c r="JSD1" s="4"/>
      <c r="JSE1" s="4"/>
      <c r="JSF1" s="4"/>
      <c r="JSG1" s="4"/>
      <c r="JSH1" s="4"/>
      <c r="JSI1" s="4"/>
      <c r="JSJ1" s="4"/>
      <c r="JSK1" s="4"/>
      <c r="JSL1" s="4"/>
      <c r="JSM1" s="4"/>
      <c r="JSN1" s="4"/>
      <c r="JSO1" s="4"/>
      <c r="JSP1" s="4"/>
      <c r="JSQ1" s="4"/>
      <c r="JSR1" s="4"/>
      <c r="JSS1" s="4"/>
      <c r="JST1" s="4"/>
      <c r="JSU1" s="4"/>
      <c r="JSV1" s="4"/>
      <c r="JSW1" s="4"/>
      <c r="JSX1" s="4"/>
      <c r="JSY1" s="4"/>
      <c r="JSZ1" s="4"/>
      <c r="JTA1" s="4"/>
      <c r="JTB1" s="4"/>
      <c r="JTC1" s="4"/>
      <c r="JTD1" s="4"/>
      <c r="JTE1" s="4"/>
      <c r="JTF1" s="4"/>
      <c r="JTG1" s="4"/>
      <c r="JTH1" s="4"/>
      <c r="JTI1" s="4"/>
      <c r="JTJ1" s="4"/>
      <c r="JTK1" s="4"/>
      <c r="JTL1" s="4"/>
      <c r="JTM1" s="4"/>
      <c r="JTN1" s="4"/>
      <c r="JTO1" s="4"/>
      <c r="JTP1" s="4"/>
      <c r="JTQ1" s="4"/>
      <c r="JTR1" s="4"/>
      <c r="JTS1" s="4"/>
      <c r="JTT1" s="4"/>
      <c r="JTU1" s="4"/>
      <c r="JTV1" s="4"/>
      <c r="JTW1" s="4"/>
      <c r="JTX1" s="4"/>
      <c r="JTY1" s="4"/>
      <c r="JTZ1" s="4"/>
      <c r="JUA1" s="4"/>
      <c r="JUB1" s="4"/>
      <c r="JUC1" s="4"/>
      <c r="JUD1" s="4"/>
      <c r="JUE1" s="4"/>
      <c r="JUF1" s="4"/>
      <c r="JUG1" s="4"/>
      <c r="JUH1" s="4"/>
      <c r="JUI1" s="4"/>
      <c r="JUJ1" s="4"/>
      <c r="JUK1" s="4"/>
      <c r="JUL1" s="4"/>
      <c r="JUM1" s="4"/>
      <c r="JUN1" s="4"/>
      <c r="JUO1" s="4"/>
      <c r="JUP1" s="4"/>
      <c r="JUQ1" s="4"/>
      <c r="JUR1" s="4"/>
      <c r="JUS1" s="4"/>
      <c r="JUT1" s="4"/>
      <c r="JUU1" s="4"/>
      <c r="JUV1" s="4"/>
      <c r="JUW1" s="4"/>
      <c r="JUX1" s="4"/>
      <c r="JUY1" s="4"/>
      <c r="JUZ1" s="4"/>
      <c r="JVA1" s="4"/>
      <c r="JVB1" s="4"/>
      <c r="JVC1" s="4"/>
      <c r="JVD1" s="4"/>
      <c r="JVE1" s="4"/>
      <c r="JVF1" s="4"/>
      <c r="JVG1" s="4"/>
      <c r="JVH1" s="4"/>
      <c r="JVI1" s="4"/>
      <c r="JVJ1" s="4"/>
      <c r="JVK1" s="4"/>
      <c r="JVL1" s="4"/>
      <c r="JVM1" s="4"/>
      <c r="JVN1" s="4"/>
      <c r="JVO1" s="4"/>
      <c r="JVP1" s="4"/>
      <c r="JVQ1" s="4"/>
      <c r="JVR1" s="4"/>
      <c r="JVS1" s="4"/>
      <c r="JVT1" s="4"/>
      <c r="JVU1" s="4"/>
      <c r="JVV1" s="4"/>
      <c r="JVW1" s="4"/>
      <c r="JVX1" s="4"/>
      <c r="JVY1" s="4"/>
      <c r="JVZ1" s="4"/>
      <c r="JWA1" s="4"/>
      <c r="JWB1" s="4"/>
      <c r="JWC1" s="4"/>
      <c r="JWD1" s="4"/>
      <c r="JWE1" s="4"/>
      <c r="JWF1" s="4"/>
      <c r="JWG1" s="4"/>
      <c r="JWH1" s="4"/>
      <c r="JWI1" s="4"/>
      <c r="JWJ1" s="4"/>
      <c r="JWK1" s="4"/>
      <c r="JWL1" s="4"/>
      <c r="JWM1" s="4"/>
      <c r="JWN1" s="4"/>
      <c r="JWO1" s="4"/>
      <c r="JWP1" s="4"/>
      <c r="JWQ1" s="4"/>
      <c r="JWR1" s="4"/>
      <c r="JWS1" s="4"/>
      <c r="JWT1" s="4"/>
      <c r="JWU1" s="4"/>
      <c r="JWV1" s="4"/>
      <c r="JWW1" s="4"/>
      <c r="JWX1" s="4"/>
      <c r="JWY1" s="4"/>
      <c r="JWZ1" s="4"/>
      <c r="JXA1" s="4"/>
      <c r="JXB1" s="4"/>
      <c r="JXC1" s="4"/>
      <c r="JXD1" s="4"/>
      <c r="JXE1" s="4"/>
      <c r="JXF1" s="4"/>
      <c r="JXG1" s="4"/>
      <c r="JXH1" s="4"/>
      <c r="JXI1" s="4"/>
      <c r="JXJ1" s="4"/>
      <c r="JXK1" s="4"/>
      <c r="JXL1" s="4"/>
      <c r="JXM1" s="4"/>
      <c r="JXN1" s="4"/>
      <c r="JXO1" s="4"/>
      <c r="JXP1" s="4"/>
      <c r="JXQ1" s="4"/>
      <c r="JXR1" s="4"/>
      <c r="JXS1" s="4"/>
      <c r="JXT1" s="4"/>
      <c r="JXU1" s="4"/>
      <c r="JXV1" s="4"/>
      <c r="JXW1" s="4"/>
      <c r="JXX1" s="4"/>
      <c r="JXY1" s="4"/>
      <c r="JXZ1" s="4"/>
      <c r="JYA1" s="4"/>
      <c r="JYB1" s="4"/>
      <c r="JYC1" s="4"/>
      <c r="JYD1" s="4"/>
      <c r="JYE1" s="4"/>
      <c r="JYF1" s="4"/>
      <c r="JYG1" s="4"/>
      <c r="JYH1" s="4"/>
      <c r="JYI1" s="4"/>
      <c r="JYJ1" s="4"/>
      <c r="JYK1" s="4"/>
      <c r="JYL1" s="4"/>
      <c r="JYM1" s="4"/>
      <c r="JYN1" s="4"/>
      <c r="JYO1" s="4"/>
      <c r="JYP1" s="4"/>
      <c r="JYQ1" s="4"/>
      <c r="JYR1" s="4"/>
      <c r="JYS1" s="4"/>
      <c r="JYT1" s="4"/>
      <c r="JYU1" s="4"/>
      <c r="JYV1" s="4"/>
      <c r="JYW1" s="4"/>
      <c r="JYX1" s="4"/>
      <c r="JYY1" s="4"/>
      <c r="JYZ1" s="4"/>
      <c r="JZA1" s="4"/>
      <c r="JZB1" s="4"/>
      <c r="JZC1" s="4"/>
      <c r="JZD1" s="4"/>
      <c r="JZE1" s="4"/>
      <c r="JZF1" s="4"/>
      <c r="JZG1" s="4"/>
      <c r="JZH1" s="4"/>
      <c r="JZI1" s="4"/>
      <c r="JZJ1" s="4"/>
      <c r="JZK1" s="4"/>
      <c r="JZL1" s="4"/>
      <c r="JZM1" s="4"/>
      <c r="JZN1" s="4"/>
      <c r="JZO1" s="4"/>
      <c r="JZP1" s="4"/>
      <c r="JZQ1" s="4"/>
      <c r="JZR1" s="4"/>
      <c r="JZS1" s="4"/>
      <c r="JZT1" s="4"/>
      <c r="JZU1" s="4"/>
      <c r="JZV1" s="4"/>
      <c r="JZW1" s="4"/>
      <c r="JZX1" s="4"/>
      <c r="JZY1" s="4"/>
      <c r="JZZ1" s="4"/>
      <c r="KAA1" s="4"/>
      <c r="KAB1" s="4"/>
      <c r="KAC1" s="4"/>
      <c r="KAD1" s="4"/>
      <c r="KAE1" s="4"/>
      <c r="KAF1" s="4"/>
      <c r="KAG1" s="4"/>
      <c r="KAH1" s="4"/>
      <c r="KAI1" s="4"/>
      <c r="KAJ1" s="4"/>
      <c r="KAK1" s="4"/>
      <c r="KAL1" s="4"/>
      <c r="KAM1" s="4"/>
      <c r="KAN1" s="4"/>
      <c r="KAO1" s="4"/>
      <c r="KAP1" s="4"/>
      <c r="KAQ1" s="4"/>
      <c r="KAR1" s="4"/>
      <c r="KAS1" s="4"/>
      <c r="KAT1" s="4"/>
      <c r="KAU1" s="4"/>
      <c r="KAV1" s="4"/>
      <c r="KAW1" s="4"/>
      <c r="KAX1" s="4"/>
      <c r="KAY1" s="4"/>
      <c r="KAZ1" s="4"/>
      <c r="KBA1" s="4"/>
      <c r="KBB1" s="4"/>
      <c r="KBC1" s="4"/>
      <c r="KBD1" s="4"/>
      <c r="KBE1" s="4"/>
      <c r="KBF1" s="4"/>
      <c r="KBG1" s="4"/>
      <c r="KBH1" s="4"/>
      <c r="KBI1" s="4"/>
      <c r="KBJ1" s="4"/>
      <c r="KBK1" s="4"/>
      <c r="KBL1" s="4"/>
      <c r="KBM1" s="4"/>
      <c r="KBN1" s="4"/>
      <c r="KBO1" s="4"/>
      <c r="KBP1" s="4"/>
      <c r="KBQ1" s="4"/>
      <c r="KBR1" s="4"/>
      <c r="KBS1" s="4"/>
      <c r="KBT1" s="4"/>
      <c r="KBU1" s="4"/>
      <c r="KBV1" s="4"/>
      <c r="KBW1" s="4"/>
      <c r="KBX1" s="4"/>
      <c r="KBY1" s="4"/>
      <c r="KBZ1" s="4"/>
      <c r="KCA1" s="4"/>
      <c r="KCB1" s="4"/>
      <c r="KCC1" s="4"/>
      <c r="KCD1" s="4"/>
      <c r="KCE1" s="4"/>
      <c r="KCF1" s="4"/>
      <c r="KCG1" s="4"/>
      <c r="KCH1" s="4"/>
      <c r="KCI1" s="4"/>
      <c r="KCJ1" s="4"/>
      <c r="KCK1" s="4"/>
      <c r="KCL1" s="4"/>
      <c r="KCM1" s="4"/>
      <c r="KCN1" s="4"/>
      <c r="KCO1" s="4"/>
      <c r="KCP1" s="4"/>
      <c r="KCQ1" s="4"/>
      <c r="KCR1" s="4"/>
      <c r="KCS1" s="4"/>
      <c r="KCT1" s="4"/>
      <c r="KCU1" s="4"/>
      <c r="KCV1" s="4"/>
      <c r="KCW1" s="4"/>
      <c r="KCX1" s="4"/>
      <c r="KCY1" s="4"/>
      <c r="KCZ1" s="4"/>
      <c r="KDA1" s="4"/>
      <c r="KDB1" s="4"/>
      <c r="KDC1" s="4"/>
      <c r="KDD1" s="4"/>
      <c r="KDE1" s="4"/>
      <c r="KDF1" s="4"/>
      <c r="KDG1" s="4"/>
      <c r="KDH1" s="4"/>
      <c r="KDI1" s="4"/>
      <c r="KDJ1" s="4"/>
      <c r="KDK1" s="4"/>
      <c r="KDL1" s="4"/>
      <c r="KDM1" s="4"/>
      <c r="KDN1" s="4"/>
      <c r="KDO1" s="4"/>
      <c r="KDP1" s="4"/>
      <c r="KDQ1" s="4"/>
      <c r="KDR1" s="4"/>
      <c r="KDS1" s="4"/>
      <c r="KDT1" s="4"/>
      <c r="KDU1" s="4"/>
      <c r="KDV1" s="4"/>
      <c r="KDW1" s="4"/>
      <c r="KDX1" s="4"/>
      <c r="KDY1" s="4"/>
      <c r="KDZ1" s="4"/>
      <c r="KEA1" s="4"/>
      <c r="KEB1" s="4"/>
      <c r="KEC1" s="4"/>
      <c r="KED1" s="4"/>
      <c r="KEE1" s="4"/>
      <c r="KEF1" s="4"/>
      <c r="KEG1" s="4"/>
      <c r="KEH1" s="4"/>
      <c r="KEI1" s="4"/>
      <c r="KEJ1" s="4"/>
      <c r="KEK1" s="4"/>
      <c r="KEL1" s="4"/>
      <c r="KEM1" s="4"/>
      <c r="KEN1" s="4"/>
      <c r="KEO1" s="4"/>
      <c r="KEP1" s="4"/>
      <c r="KEQ1" s="4"/>
      <c r="KER1" s="4"/>
      <c r="KES1" s="4"/>
      <c r="KET1" s="4"/>
      <c r="KEU1" s="4"/>
      <c r="KEV1" s="4"/>
      <c r="KEW1" s="4"/>
      <c r="KEX1" s="4"/>
      <c r="KEY1" s="4"/>
      <c r="KEZ1" s="4"/>
      <c r="KFA1" s="4"/>
      <c r="KFB1" s="4"/>
      <c r="KFC1" s="4"/>
      <c r="KFD1" s="4"/>
      <c r="KFE1" s="4"/>
      <c r="KFF1" s="4"/>
      <c r="KFG1" s="4"/>
      <c r="KFH1" s="4"/>
      <c r="KFI1" s="4"/>
      <c r="KFJ1" s="4"/>
      <c r="KFK1" s="4"/>
      <c r="KFL1" s="4"/>
      <c r="KFM1" s="4"/>
      <c r="KFN1" s="4"/>
      <c r="KFO1" s="4"/>
      <c r="KFP1" s="4"/>
      <c r="KFQ1" s="4"/>
      <c r="KFR1" s="4"/>
      <c r="KFS1" s="4"/>
      <c r="KFT1" s="4"/>
      <c r="KFU1" s="4"/>
      <c r="KFV1" s="4"/>
      <c r="KFW1" s="4"/>
      <c r="KFX1" s="4"/>
      <c r="KFY1" s="4"/>
      <c r="KFZ1" s="4"/>
      <c r="KGA1" s="4"/>
      <c r="KGB1" s="4"/>
      <c r="KGC1" s="4"/>
      <c r="KGD1" s="4"/>
      <c r="KGE1" s="4"/>
      <c r="KGF1" s="4"/>
      <c r="KGG1" s="4"/>
      <c r="KGH1" s="4"/>
      <c r="KGI1" s="4"/>
      <c r="KGJ1" s="4"/>
      <c r="KGK1" s="4"/>
      <c r="KGL1" s="4"/>
      <c r="KGM1" s="4"/>
      <c r="KGN1" s="4"/>
      <c r="KGO1" s="4"/>
      <c r="KGP1" s="4"/>
      <c r="KGQ1" s="4"/>
      <c r="KGR1" s="4"/>
      <c r="KGS1" s="4"/>
      <c r="KGT1" s="4"/>
      <c r="KGU1" s="4"/>
      <c r="KGV1" s="4"/>
      <c r="KGW1" s="4"/>
      <c r="KGX1" s="4"/>
      <c r="KGY1" s="4"/>
      <c r="KGZ1" s="4"/>
      <c r="KHA1" s="4"/>
      <c r="KHB1" s="4"/>
      <c r="KHC1" s="4"/>
      <c r="KHD1" s="4"/>
      <c r="KHE1" s="4"/>
      <c r="KHF1" s="4"/>
      <c r="KHG1" s="4"/>
      <c r="KHH1" s="4"/>
      <c r="KHI1" s="4"/>
      <c r="KHJ1" s="4"/>
      <c r="KHK1" s="4"/>
      <c r="KHL1" s="4"/>
      <c r="KHM1" s="4"/>
      <c r="KHN1" s="4"/>
      <c r="KHO1" s="4"/>
      <c r="KHP1" s="4"/>
      <c r="KHQ1" s="4"/>
      <c r="KHR1" s="4"/>
      <c r="KHS1" s="4"/>
      <c r="KHT1" s="4"/>
      <c r="KHU1" s="4"/>
      <c r="KHV1" s="4"/>
      <c r="KHW1" s="4"/>
      <c r="KHX1" s="4"/>
      <c r="KHY1" s="4"/>
      <c r="KHZ1" s="4"/>
      <c r="KIA1" s="4"/>
      <c r="KIB1" s="4"/>
      <c r="KIC1" s="4"/>
      <c r="KID1" s="4"/>
      <c r="KIE1" s="4"/>
      <c r="KIF1" s="4"/>
      <c r="KIG1" s="4"/>
      <c r="KIH1" s="4"/>
      <c r="KII1" s="4"/>
      <c r="KIJ1" s="4"/>
      <c r="KIK1" s="4"/>
      <c r="KIL1" s="4"/>
      <c r="KIM1" s="4"/>
      <c r="KIN1" s="4"/>
      <c r="KIO1" s="4"/>
      <c r="KIP1" s="4"/>
      <c r="KIQ1" s="4"/>
      <c r="KIR1" s="4"/>
      <c r="KIS1" s="4"/>
      <c r="KIT1" s="4"/>
      <c r="KIU1" s="4"/>
      <c r="KIV1" s="4"/>
      <c r="KIW1" s="4"/>
      <c r="KIX1" s="4"/>
      <c r="KIY1" s="4"/>
      <c r="KIZ1" s="4"/>
      <c r="KJA1" s="4"/>
      <c r="KJB1" s="4"/>
      <c r="KJC1" s="4"/>
      <c r="KJD1" s="4"/>
      <c r="KJE1" s="4"/>
      <c r="KJF1" s="4"/>
      <c r="KJG1" s="4"/>
      <c r="KJH1" s="4"/>
      <c r="KJI1" s="4"/>
      <c r="KJJ1" s="4"/>
      <c r="KJK1" s="4"/>
      <c r="KJL1" s="4"/>
      <c r="KJM1" s="4"/>
      <c r="KJN1" s="4"/>
      <c r="KJO1" s="4"/>
      <c r="KJP1" s="4"/>
      <c r="KJQ1" s="4"/>
      <c r="KJR1" s="4"/>
      <c r="KJS1" s="4"/>
      <c r="KJT1" s="4"/>
      <c r="KJU1" s="4"/>
      <c r="KJV1" s="4"/>
      <c r="KJW1" s="4"/>
      <c r="KJX1" s="4"/>
      <c r="KJY1" s="4"/>
      <c r="KJZ1" s="4"/>
      <c r="KKA1" s="4"/>
      <c r="KKB1" s="4"/>
      <c r="KKC1" s="4"/>
      <c r="KKD1" s="4"/>
      <c r="KKE1" s="4"/>
      <c r="KKF1" s="4"/>
      <c r="KKG1" s="4"/>
      <c r="KKH1" s="4"/>
      <c r="KKI1" s="4"/>
      <c r="KKJ1" s="4"/>
      <c r="KKK1" s="4"/>
      <c r="KKL1" s="4"/>
      <c r="KKM1" s="4"/>
      <c r="KKN1" s="4"/>
      <c r="KKO1" s="4"/>
      <c r="KKP1" s="4"/>
      <c r="KKQ1" s="4"/>
      <c r="KKR1" s="4"/>
      <c r="KKS1" s="4"/>
      <c r="KKT1" s="4"/>
      <c r="KKU1" s="4"/>
      <c r="KKV1" s="4"/>
      <c r="KKW1" s="4"/>
      <c r="KKX1" s="4"/>
      <c r="KKY1" s="4"/>
      <c r="KKZ1" s="4"/>
      <c r="KLA1" s="4"/>
      <c r="KLB1" s="4"/>
      <c r="KLC1" s="4"/>
      <c r="KLD1" s="4"/>
      <c r="KLE1" s="4"/>
      <c r="KLF1" s="4"/>
      <c r="KLG1" s="4"/>
      <c r="KLH1" s="4"/>
      <c r="KLI1" s="4"/>
      <c r="KLJ1" s="4"/>
      <c r="KLK1" s="4"/>
      <c r="KLL1" s="4"/>
      <c r="KLM1" s="4"/>
      <c r="KLN1" s="4"/>
      <c r="KLO1" s="4"/>
      <c r="KLP1" s="4"/>
      <c r="KLQ1" s="4"/>
      <c r="KLR1" s="4"/>
      <c r="KLS1" s="4"/>
      <c r="KLT1" s="4"/>
      <c r="KLU1" s="4"/>
      <c r="KLV1" s="4"/>
      <c r="KLW1" s="4"/>
      <c r="KLX1" s="4"/>
      <c r="KLY1" s="4"/>
      <c r="KLZ1" s="4"/>
      <c r="KMA1" s="4"/>
      <c r="KMB1" s="4"/>
      <c r="KMC1" s="4"/>
      <c r="KMD1" s="4"/>
      <c r="KME1" s="4"/>
      <c r="KMF1" s="4"/>
      <c r="KMG1" s="4"/>
      <c r="KMH1" s="4"/>
      <c r="KMI1" s="4"/>
      <c r="KMJ1" s="4"/>
      <c r="KMK1" s="4"/>
      <c r="KML1" s="4"/>
      <c r="KMM1" s="4"/>
      <c r="KMN1" s="4"/>
      <c r="KMO1" s="4"/>
      <c r="KMP1" s="4"/>
      <c r="KMQ1" s="4"/>
      <c r="KMR1" s="4"/>
      <c r="KMS1" s="4"/>
      <c r="KMT1" s="4"/>
      <c r="KMU1" s="4"/>
      <c r="KMV1" s="4"/>
      <c r="KMW1" s="4"/>
      <c r="KMX1" s="4"/>
      <c r="KMY1" s="4"/>
      <c r="KMZ1" s="4"/>
      <c r="KNA1" s="4"/>
      <c r="KNB1" s="4"/>
      <c r="KNC1" s="4"/>
      <c r="KND1" s="4"/>
      <c r="KNE1" s="4"/>
      <c r="KNF1" s="4"/>
      <c r="KNG1" s="4"/>
      <c r="KNH1" s="4"/>
      <c r="KNI1" s="4"/>
      <c r="KNJ1" s="4"/>
      <c r="KNK1" s="4"/>
      <c r="KNL1" s="4"/>
      <c r="KNM1" s="4"/>
      <c r="KNN1" s="4"/>
      <c r="KNO1" s="4"/>
      <c r="KNP1" s="4"/>
      <c r="KNQ1" s="4"/>
      <c r="KNR1" s="4"/>
      <c r="KNS1" s="4"/>
      <c r="KNT1" s="4"/>
      <c r="KNU1" s="4"/>
      <c r="KNV1" s="4"/>
      <c r="KNW1" s="4"/>
      <c r="KNX1" s="4"/>
      <c r="KNY1" s="4"/>
      <c r="KNZ1" s="4"/>
      <c r="KOA1" s="4"/>
      <c r="KOB1" s="4"/>
      <c r="KOC1" s="4"/>
      <c r="KOD1" s="4"/>
      <c r="KOE1" s="4"/>
      <c r="KOF1" s="4"/>
      <c r="KOG1" s="4"/>
      <c r="KOH1" s="4"/>
      <c r="KOI1" s="4"/>
      <c r="KOJ1" s="4"/>
      <c r="KOK1" s="4"/>
      <c r="KOL1" s="4"/>
      <c r="KOM1" s="4"/>
      <c r="KON1" s="4"/>
      <c r="KOO1" s="4"/>
      <c r="KOP1" s="4"/>
      <c r="KOQ1" s="4"/>
      <c r="KOR1" s="4"/>
      <c r="KOS1" s="4"/>
      <c r="KOT1" s="4"/>
      <c r="KOU1" s="4"/>
      <c r="KOV1" s="4"/>
      <c r="KOW1" s="4"/>
      <c r="KOX1" s="4"/>
      <c r="KOY1" s="4"/>
      <c r="KOZ1" s="4"/>
      <c r="KPA1" s="4"/>
      <c r="KPB1" s="4"/>
      <c r="KPC1" s="4"/>
      <c r="KPD1" s="4"/>
      <c r="KPE1" s="4"/>
      <c r="KPF1" s="4"/>
      <c r="KPG1" s="4"/>
      <c r="KPH1" s="4"/>
      <c r="KPI1" s="4"/>
      <c r="KPJ1" s="4"/>
      <c r="KPK1" s="4"/>
      <c r="KPL1" s="4"/>
      <c r="KPM1" s="4"/>
      <c r="KPN1" s="4"/>
      <c r="KPO1" s="4"/>
      <c r="KPP1" s="4"/>
      <c r="KPQ1" s="4"/>
      <c r="KPR1" s="4"/>
      <c r="KPS1" s="4"/>
      <c r="KPT1" s="4"/>
      <c r="KPU1" s="4"/>
      <c r="KPV1" s="4"/>
      <c r="KPW1" s="4"/>
      <c r="KPX1" s="4"/>
      <c r="KPY1" s="4"/>
      <c r="KPZ1" s="4"/>
      <c r="KQA1" s="4"/>
      <c r="KQB1" s="4"/>
      <c r="KQC1" s="4"/>
      <c r="KQD1" s="4"/>
      <c r="KQE1" s="4"/>
      <c r="KQF1" s="4"/>
      <c r="KQG1" s="4"/>
      <c r="KQH1" s="4"/>
      <c r="KQI1" s="4"/>
      <c r="KQJ1" s="4"/>
      <c r="KQK1" s="4"/>
      <c r="KQL1" s="4"/>
      <c r="KQM1" s="4"/>
      <c r="KQN1" s="4"/>
      <c r="KQO1" s="4"/>
      <c r="KQP1" s="4"/>
      <c r="KQQ1" s="4"/>
      <c r="KQR1" s="4"/>
      <c r="KQS1" s="4"/>
      <c r="KQT1" s="4"/>
      <c r="KQU1" s="4"/>
      <c r="KQV1" s="4"/>
      <c r="KQW1" s="4"/>
      <c r="KQX1" s="4"/>
      <c r="KQY1" s="4"/>
      <c r="KQZ1" s="4"/>
      <c r="KRA1" s="4"/>
      <c r="KRB1" s="4"/>
      <c r="KRC1" s="4"/>
      <c r="KRD1" s="4"/>
      <c r="KRE1" s="4"/>
      <c r="KRF1" s="4"/>
      <c r="KRG1" s="4"/>
      <c r="KRH1" s="4"/>
      <c r="KRI1" s="4"/>
      <c r="KRJ1" s="4"/>
      <c r="KRK1" s="4"/>
      <c r="KRL1" s="4"/>
      <c r="KRM1" s="4"/>
      <c r="KRN1" s="4"/>
      <c r="KRO1" s="4"/>
      <c r="KRP1" s="4"/>
      <c r="KRQ1" s="4"/>
      <c r="KRR1" s="4"/>
      <c r="KRS1" s="4"/>
      <c r="KRT1" s="4"/>
      <c r="KRU1" s="4"/>
      <c r="KRV1" s="4"/>
      <c r="KRW1" s="4"/>
      <c r="KRX1" s="4"/>
      <c r="KRY1" s="4"/>
      <c r="KRZ1" s="4"/>
      <c r="KSA1" s="4"/>
      <c r="KSB1" s="4"/>
      <c r="KSC1" s="4"/>
      <c r="KSD1" s="4"/>
      <c r="KSE1" s="4"/>
      <c r="KSF1" s="4"/>
      <c r="KSG1" s="4"/>
      <c r="KSH1" s="4"/>
      <c r="KSI1" s="4"/>
      <c r="KSJ1" s="4"/>
      <c r="KSK1" s="4"/>
      <c r="KSL1" s="4"/>
      <c r="KSM1" s="4"/>
      <c r="KSN1" s="4"/>
      <c r="KSO1" s="4"/>
      <c r="KSP1" s="4"/>
      <c r="KSQ1" s="4"/>
      <c r="KSR1" s="4"/>
      <c r="KSS1" s="4"/>
      <c r="KST1" s="4"/>
      <c r="KSU1" s="4"/>
      <c r="KSV1" s="4"/>
      <c r="KSW1" s="4"/>
      <c r="KSX1" s="4"/>
      <c r="KSY1" s="4"/>
      <c r="KSZ1" s="4"/>
      <c r="KTA1" s="4"/>
      <c r="KTB1" s="4"/>
      <c r="KTC1" s="4"/>
      <c r="KTD1" s="4"/>
      <c r="KTE1" s="4"/>
      <c r="KTF1" s="4"/>
      <c r="KTG1" s="4"/>
      <c r="KTH1" s="4"/>
      <c r="KTI1" s="4"/>
      <c r="KTJ1" s="4"/>
      <c r="KTK1" s="4"/>
      <c r="KTL1" s="4"/>
      <c r="KTM1" s="4"/>
      <c r="KTN1" s="4"/>
      <c r="KTO1" s="4"/>
      <c r="KTP1" s="4"/>
      <c r="KTQ1" s="4"/>
      <c r="KTR1" s="4"/>
      <c r="KTS1" s="4"/>
      <c r="KTT1" s="4"/>
      <c r="KTU1" s="4"/>
      <c r="KTV1" s="4"/>
      <c r="KTW1" s="4"/>
      <c r="KTX1" s="4"/>
      <c r="KTY1" s="4"/>
      <c r="KTZ1" s="4"/>
      <c r="KUA1" s="4"/>
      <c r="KUB1" s="4"/>
      <c r="KUC1" s="4"/>
      <c r="KUD1" s="4"/>
      <c r="KUE1" s="4"/>
      <c r="KUF1" s="4"/>
      <c r="KUG1" s="4"/>
      <c r="KUH1" s="4"/>
      <c r="KUI1" s="4"/>
      <c r="KUJ1" s="4"/>
      <c r="KUK1" s="4"/>
      <c r="KUL1" s="4"/>
      <c r="KUM1" s="4"/>
      <c r="KUN1" s="4"/>
      <c r="KUO1" s="4"/>
      <c r="KUP1" s="4"/>
      <c r="KUQ1" s="4"/>
      <c r="KUR1" s="4"/>
      <c r="KUS1" s="4"/>
      <c r="KUT1" s="4"/>
      <c r="KUU1" s="4"/>
      <c r="KUV1" s="4"/>
      <c r="KUW1" s="4"/>
      <c r="KUX1" s="4"/>
      <c r="KUY1" s="4"/>
      <c r="KUZ1" s="4"/>
      <c r="KVA1" s="4"/>
      <c r="KVB1" s="4"/>
      <c r="KVC1" s="4"/>
      <c r="KVD1" s="4"/>
      <c r="KVE1" s="4"/>
      <c r="KVF1" s="4"/>
      <c r="KVG1" s="4"/>
      <c r="KVH1" s="4"/>
      <c r="KVI1" s="4"/>
      <c r="KVJ1" s="4"/>
      <c r="KVK1" s="4"/>
      <c r="KVL1" s="4"/>
      <c r="KVM1" s="4"/>
      <c r="KVN1" s="4"/>
      <c r="KVO1" s="4"/>
      <c r="KVP1" s="4"/>
      <c r="KVQ1" s="4"/>
      <c r="KVR1" s="4"/>
      <c r="KVS1" s="4"/>
      <c r="KVT1" s="4"/>
      <c r="KVU1" s="4"/>
      <c r="KVV1" s="4"/>
      <c r="KVW1" s="4"/>
      <c r="KVX1" s="4"/>
      <c r="KVY1" s="4"/>
      <c r="KVZ1" s="4"/>
      <c r="KWA1" s="4"/>
      <c r="KWB1" s="4"/>
      <c r="KWC1" s="4"/>
      <c r="KWD1" s="4"/>
      <c r="KWE1" s="4"/>
      <c r="KWF1" s="4"/>
      <c r="KWG1" s="4"/>
      <c r="KWH1" s="4"/>
      <c r="KWI1" s="4"/>
      <c r="KWJ1" s="4"/>
      <c r="KWK1" s="4"/>
      <c r="KWL1" s="4"/>
      <c r="KWM1" s="4"/>
      <c r="KWN1" s="4"/>
      <c r="KWO1" s="4"/>
      <c r="KWP1" s="4"/>
      <c r="KWQ1" s="4"/>
      <c r="KWR1" s="4"/>
      <c r="KWS1" s="4"/>
      <c r="KWT1" s="4"/>
      <c r="KWU1" s="4"/>
      <c r="KWV1" s="4"/>
      <c r="KWW1" s="4"/>
      <c r="KWX1" s="4"/>
      <c r="KWY1" s="4"/>
      <c r="KWZ1" s="4"/>
      <c r="KXA1" s="4"/>
      <c r="KXB1" s="4"/>
      <c r="KXC1" s="4"/>
      <c r="KXD1" s="4"/>
      <c r="KXE1" s="4"/>
      <c r="KXF1" s="4"/>
      <c r="KXG1" s="4"/>
      <c r="KXH1" s="4"/>
      <c r="KXI1" s="4"/>
      <c r="KXJ1" s="4"/>
      <c r="KXK1" s="4"/>
      <c r="KXL1" s="4"/>
      <c r="KXM1" s="4"/>
      <c r="KXN1" s="4"/>
      <c r="KXO1" s="4"/>
      <c r="KXP1" s="4"/>
      <c r="KXQ1" s="4"/>
      <c r="KXR1" s="4"/>
      <c r="KXS1" s="4"/>
      <c r="KXT1" s="4"/>
      <c r="KXU1" s="4"/>
      <c r="KXV1" s="4"/>
      <c r="KXW1" s="4"/>
      <c r="KXX1" s="4"/>
      <c r="KXY1" s="4"/>
      <c r="KXZ1" s="4"/>
      <c r="KYA1" s="4"/>
      <c r="KYB1" s="4"/>
      <c r="KYC1" s="4"/>
      <c r="KYD1" s="4"/>
      <c r="KYE1" s="4"/>
      <c r="KYF1" s="4"/>
      <c r="KYG1" s="4"/>
      <c r="KYH1" s="4"/>
      <c r="KYI1" s="4"/>
      <c r="KYJ1" s="4"/>
      <c r="KYK1" s="4"/>
      <c r="KYL1" s="4"/>
      <c r="KYM1" s="4"/>
      <c r="KYN1" s="4"/>
      <c r="KYO1" s="4"/>
      <c r="KYP1" s="4"/>
      <c r="KYQ1" s="4"/>
      <c r="KYR1" s="4"/>
      <c r="KYS1" s="4"/>
      <c r="KYT1" s="4"/>
      <c r="KYU1" s="4"/>
      <c r="KYV1" s="4"/>
      <c r="KYW1" s="4"/>
      <c r="KYX1" s="4"/>
      <c r="KYY1" s="4"/>
      <c r="KYZ1" s="4"/>
      <c r="KZA1" s="4"/>
      <c r="KZB1" s="4"/>
      <c r="KZC1" s="4"/>
      <c r="KZD1" s="4"/>
      <c r="KZE1" s="4"/>
      <c r="KZF1" s="4"/>
      <c r="KZG1" s="4"/>
      <c r="KZH1" s="4"/>
      <c r="KZI1" s="4"/>
      <c r="KZJ1" s="4"/>
      <c r="KZK1" s="4"/>
      <c r="KZL1" s="4"/>
      <c r="KZM1" s="4"/>
      <c r="KZN1" s="4"/>
      <c r="KZO1" s="4"/>
      <c r="KZP1" s="4"/>
      <c r="KZQ1" s="4"/>
      <c r="KZR1" s="4"/>
      <c r="KZS1" s="4"/>
      <c r="KZT1" s="4"/>
      <c r="KZU1" s="4"/>
      <c r="KZV1" s="4"/>
      <c r="KZW1" s="4"/>
      <c r="KZX1" s="4"/>
      <c r="KZY1" s="4"/>
      <c r="KZZ1" s="4"/>
      <c r="LAA1" s="4"/>
      <c r="LAB1" s="4"/>
      <c r="LAC1" s="4"/>
      <c r="LAD1" s="4"/>
      <c r="LAE1" s="4"/>
      <c r="LAF1" s="4"/>
      <c r="LAG1" s="4"/>
      <c r="LAH1" s="4"/>
      <c r="LAI1" s="4"/>
      <c r="LAJ1" s="4"/>
      <c r="LAK1" s="4"/>
      <c r="LAL1" s="4"/>
      <c r="LAM1" s="4"/>
      <c r="LAN1" s="4"/>
      <c r="LAO1" s="4"/>
      <c r="LAP1" s="4"/>
      <c r="LAQ1" s="4"/>
      <c r="LAR1" s="4"/>
      <c r="LAS1" s="4"/>
      <c r="LAT1" s="4"/>
      <c r="LAU1" s="4"/>
      <c r="LAV1" s="4"/>
      <c r="LAW1" s="4"/>
      <c r="LAX1" s="4"/>
      <c r="LAY1" s="4"/>
      <c r="LAZ1" s="4"/>
      <c r="LBA1" s="4"/>
      <c r="LBB1" s="4"/>
      <c r="LBC1" s="4"/>
      <c r="LBD1" s="4"/>
      <c r="LBE1" s="4"/>
      <c r="LBF1" s="4"/>
      <c r="LBG1" s="4"/>
      <c r="LBH1" s="4"/>
      <c r="LBI1" s="4"/>
      <c r="LBJ1" s="4"/>
      <c r="LBK1" s="4"/>
      <c r="LBL1" s="4"/>
      <c r="LBM1" s="4"/>
      <c r="LBN1" s="4"/>
      <c r="LBO1" s="4"/>
      <c r="LBP1" s="4"/>
      <c r="LBQ1" s="4"/>
      <c r="LBR1" s="4"/>
      <c r="LBS1" s="4"/>
      <c r="LBT1" s="4"/>
      <c r="LBU1" s="4"/>
      <c r="LBV1" s="4"/>
      <c r="LBW1" s="4"/>
      <c r="LBX1" s="4"/>
      <c r="LBY1" s="4"/>
      <c r="LBZ1" s="4"/>
      <c r="LCA1" s="4"/>
      <c r="LCB1" s="4"/>
      <c r="LCC1" s="4"/>
      <c r="LCD1" s="4"/>
      <c r="LCE1" s="4"/>
      <c r="LCF1" s="4"/>
      <c r="LCG1" s="4"/>
      <c r="LCH1" s="4"/>
      <c r="LCI1" s="4"/>
      <c r="LCJ1" s="4"/>
      <c r="LCK1" s="4"/>
      <c r="LCL1" s="4"/>
      <c r="LCM1" s="4"/>
      <c r="LCN1" s="4"/>
      <c r="LCO1" s="4"/>
      <c r="LCP1" s="4"/>
      <c r="LCQ1" s="4"/>
      <c r="LCR1" s="4"/>
      <c r="LCS1" s="4"/>
      <c r="LCT1" s="4"/>
      <c r="LCU1" s="4"/>
      <c r="LCV1" s="4"/>
      <c r="LCW1" s="4"/>
      <c r="LCX1" s="4"/>
      <c r="LCY1" s="4"/>
      <c r="LCZ1" s="4"/>
      <c r="LDA1" s="4"/>
      <c r="LDB1" s="4"/>
      <c r="LDC1" s="4"/>
      <c r="LDD1" s="4"/>
      <c r="LDE1" s="4"/>
      <c r="LDF1" s="4"/>
      <c r="LDG1" s="4"/>
      <c r="LDH1" s="4"/>
      <c r="LDI1" s="4"/>
      <c r="LDJ1" s="4"/>
      <c r="LDK1" s="4"/>
      <c r="LDL1" s="4"/>
      <c r="LDM1" s="4"/>
      <c r="LDN1" s="4"/>
      <c r="LDO1" s="4"/>
      <c r="LDP1" s="4"/>
      <c r="LDQ1" s="4"/>
      <c r="LDR1" s="4"/>
      <c r="LDS1" s="4"/>
      <c r="LDT1" s="4"/>
      <c r="LDU1" s="4"/>
      <c r="LDV1" s="4"/>
      <c r="LDW1" s="4"/>
      <c r="LDX1" s="4"/>
      <c r="LDY1" s="4"/>
      <c r="LDZ1" s="4"/>
      <c r="LEA1" s="4"/>
      <c r="LEB1" s="4"/>
      <c r="LEC1" s="4"/>
      <c r="LED1" s="4"/>
      <c r="LEE1" s="4"/>
      <c r="LEF1" s="4"/>
      <c r="LEG1" s="4"/>
      <c r="LEH1" s="4"/>
      <c r="LEI1" s="4"/>
      <c r="LEJ1" s="4"/>
      <c r="LEK1" s="4"/>
      <c r="LEL1" s="4"/>
      <c r="LEM1" s="4"/>
      <c r="LEN1" s="4"/>
      <c r="LEO1" s="4"/>
      <c r="LEP1" s="4"/>
      <c r="LEQ1" s="4"/>
      <c r="LER1" s="4"/>
      <c r="LES1" s="4"/>
      <c r="LET1" s="4"/>
      <c r="LEU1" s="4"/>
      <c r="LEV1" s="4"/>
      <c r="LEW1" s="4"/>
      <c r="LEX1" s="4"/>
      <c r="LEY1" s="4"/>
      <c r="LEZ1" s="4"/>
      <c r="LFA1" s="4"/>
      <c r="LFB1" s="4"/>
      <c r="LFC1" s="4"/>
      <c r="LFD1" s="4"/>
      <c r="LFE1" s="4"/>
      <c r="LFF1" s="4"/>
      <c r="LFG1" s="4"/>
      <c r="LFH1" s="4"/>
      <c r="LFI1" s="4"/>
      <c r="LFJ1" s="4"/>
      <c r="LFK1" s="4"/>
      <c r="LFL1" s="4"/>
      <c r="LFM1" s="4"/>
      <c r="LFN1" s="4"/>
      <c r="LFO1" s="4"/>
      <c r="LFP1" s="4"/>
      <c r="LFQ1" s="4"/>
      <c r="LFR1" s="4"/>
      <c r="LFS1" s="4"/>
      <c r="LFT1" s="4"/>
      <c r="LFU1" s="4"/>
      <c r="LFV1" s="4"/>
      <c r="LFW1" s="4"/>
      <c r="LFX1" s="4"/>
      <c r="LFY1" s="4"/>
      <c r="LFZ1" s="4"/>
      <c r="LGA1" s="4"/>
      <c r="LGB1" s="4"/>
      <c r="LGC1" s="4"/>
      <c r="LGD1" s="4"/>
      <c r="LGE1" s="4"/>
      <c r="LGF1" s="4"/>
      <c r="LGG1" s="4"/>
      <c r="LGH1" s="4"/>
      <c r="LGI1" s="4"/>
      <c r="LGJ1" s="4"/>
      <c r="LGK1" s="4"/>
      <c r="LGL1" s="4"/>
      <c r="LGM1" s="4"/>
      <c r="LGN1" s="4"/>
      <c r="LGO1" s="4"/>
      <c r="LGP1" s="4"/>
      <c r="LGQ1" s="4"/>
      <c r="LGR1" s="4"/>
      <c r="LGS1" s="4"/>
      <c r="LGT1" s="4"/>
      <c r="LGU1" s="4"/>
      <c r="LGV1" s="4"/>
      <c r="LGW1" s="4"/>
      <c r="LGX1" s="4"/>
      <c r="LGY1" s="4"/>
      <c r="LGZ1" s="4"/>
      <c r="LHA1" s="4"/>
      <c r="LHB1" s="4"/>
      <c r="LHC1" s="4"/>
      <c r="LHD1" s="4"/>
      <c r="LHE1" s="4"/>
      <c r="LHF1" s="4"/>
      <c r="LHG1" s="4"/>
      <c r="LHH1" s="4"/>
      <c r="LHI1" s="4"/>
      <c r="LHJ1" s="4"/>
      <c r="LHK1" s="4"/>
      <c r="LHL1" s="4"/>
      <c r="LHM1" s="4"/>
      <c r="LHN1" s="4"/>
      <c r="LHO1" s="4"/>
      <c r="LHP1" s="4"/>
      <c r="LHQ1" s="4"/>
      <c r="LHR1" s="4"/>
      <c r="LHS1" s="4"/>
      <c r="LHT1" s="4"/>
      <c r="LHU1" s="4"/>
      <c r="LHV1" s="4"/>
      <c r="LHW1" s="4"/>
      <c r="LHX1" s="4"/>
      <c r="LHY1" s="4"/>
      <c r="LHZ1" s="4"/>
      <c r="LIA1" s="4"/>
      <c r="LIB1" s="4"/>
      <c r="LIC1" s="4"/>
      <c r="LID1" s="4"/>
      <c r="LIE1" s="4"/>
      <c r="LIF1" s="4"/>
      <c r="LIG1" s="4"/>
      <c r="LIH1" s="4"/>
      <c r="LII1" s="4"/>
      <c r="LIJ1" s="4"/>
      <c r="LIK1" s="4"/>
      <c r="LIL1" s="4"/>
      <c r="LIM1" s="4"/>
      <c r="LIN1" s="4"/>
      <c r="LIO1" s="4"/>
      <c r="LIP1" s="4"/>
      <c r="LIQ1" s="4"/>
      <c r="LIR1" s="4"/>
      <c r="LIS1" s="4"/>
      <c r="LIT1" s="4"/>
      <c r="LIU1" s="4"/>
      <c r="LIV1" s="4"/>
      <c r="LIW1" s="4"/>
      <c r="LIX1" s="4"/>
      <c r="LIY1" s="4"/>
      <c r="LIZ1" s="4"/>
      <c r="LJA1" s="4"/>
      <c r="LJB1" s="4"/>
      <c r="LJC1" s="4"/>
      <c r="LJD1" s="4"/>
      <c r="LJE1" s="4"/>
      <c r="LJF1" s="4"/>
      <c r="LJG1" s="4"/>
      <c r="LJH1" s="4"/>
      <c r="LJI1" s="4"/>
      <c r="LJJ1" s="4"/>
      <c r="LJK1" s="4"/>
      <c r="LJL1" s="4"/>
      <c r="LJM1" s="4"/>
      <c r="LJN1" s="4"/>
      <c r="LJO1" s="4"/>
      <c r="LJP1" s="4"/>
      <c r="LJQ1" s="4"/>
      <c r="LJR1" s="4"/>
      <c r="LJS1" s="4"/>
      <c r="LJT1" s="4"/>
      <c r="LJU1" s="4"/>
      <c r="LJV1" s="4"/>
      <c r="LJW1" s="4"/>
      <c r="LJX1" s="4"/>
      <c r="LJY1" s="4"/>
      <c r="LJZ1" s="4"/>
      <c r="LKA1" s="4"/>
      <c r="LKB1" s="4"/>
      <c r="LKC1" s="4"/>
      <c r="LKD1" s="4"/>
      <c r="LKE1" s="4"/>
      <c r="LKF1" s="4"/>
      <c r="LKG1" s="4"/>
      <c r="LKH1" s="4"/>
      <c r="LKI1" s="4"/>
      <c r="LKJ1" s="4"/>
      <c r="LKK1" s="4"/>
      <c r="LKL1" s="4"/>
      <c r="LKM1" s="4"/>
      <c r="LKN1" s="4"/>
      <c r="LKO1" s="4"/>
      <c r="LKP1" s="4"/>
      <c r="LKQ1" s="4"/>
      <c r="LKR1" s="4"/>
      <c r="LKS1" s="4"/>
      <c r="LKT1" s="4"/>
      <c r="LKU1" s="4"/>
      <c r="LKV1" s="4"/>
      <c r="LKW1" s="4"/>
      <c r="LKX1" s="4"/>
      <c r="LKY1" s="4"/>
      <c r="LKZ1" s="4"/>
      <c r="LLA1" s="4"/>
      <c r="LLB1" s="4"/>
      <c r="LLC1" s="4"/>
      <c r="LLD1" s="4"/>
      <c r="LLE1" s="4"/>
      <c r="LLF1" s="4"/>
      <c r="LLG1" s="4"/>
      <c r="LLH1" s="4"/>
      <c r="LLI1" s="4"/>
      <c r="LLJ1" s="4"/>
      <c r="LLK1" s="4"/>
      <c r="LLL1" s="4"/>
      <c r="LLM1" s="4"/>
      <c r="LLN1" s="4"/>
      <c r="LLO1" s="4"/>
      <c r="LLP1" s="4"/>
      <c r="LLQ1" s="4"/>
      <c r="LLR1" s="4"/>
      <c r="LLS1" s="4"/>
      <c r="LLT1" s="4"/>
      <c r="LLU1" s="4"/>
      <c r="LLV1" s="4"/>
      <c r="LLW1" s="4"/>
      <c r="LLX1" s="4"/>
      <c r="LLY1" s="4"/>
      <c r="LLZ1" s="4"/>
      <c r="LMA1" s="4"/>
      <c r="LMB1" s="4"/>
      <c r="LMC1" s="4"/>
      <c r="LMD1" s="4"/>
      <c r="LME1" s="4"/>
      <c r="LMF1" s="4"/>
      <c r="LMG1" s="4"/>
      <c r="LMH1" s="4"/>
      <c r="LMI1" s="4"/>
      <c r="LMJ1" s="4"/>
      <c r="LMK1" s="4"/>
      <c r="LML1" s="4"/>
      <c r="LMM1" s="4"/>
      <c r="LMN1" s="4"/>
      <c r="LMO1" s="4"/>
      <c r="LMP1" s="4"/>
      <c r="LMQ1" s="4"/>
      <c r="LMR1" s="4"/>
      <c r="LMS1" s="4"/>
      <c r="LMT1" s="4"/>
      <c r="LMU1" s="4"/>
      <c r="LMV1" s="4"/>
      <c r="LMW1" s="4"/>
      <c r="LMX1" s="4"/>
      <c r="LMY1" s="4"/>
      <c r="LMZ1" s="4"/>
      <c r="LNA1" s="4"/>
      <c r="LNB1" s="4"/>
      <c r="LNC1" s="4"/>
      <c r="LND1" s="4"/>
      <c r="LNE1" s="4"/>
      <c r="LNF1" s="4"/>
      <c r="LNG1" s="4"/>
      <c r="LNH1" s="4"/>
      <c r="LNI1" s="4"/>
      <c r="LNJ1" s="4"/>
      <c r="LNK1" s="4"/>
      <c r="LNL1" s="4"/>
      <c r="LNM1" s="4"/>
      <c r="LNN1" s="4"/>
      <c r="LNO1" s="4"/>
      <c r="LNP1" s="4"/>
      <c r="LNQ1" s="4"/>
      <c r="LNR1" s="4"/>
      <c r="LNS1" s="4"/>
      <c r="LNT1" s="4"/>
      <c r="LNU1" s="4"/>
      <c r="LNV1" s="4"/>
      <c r="LNW1" s="4"/>
      <c r="LNX1" s="4"/>
      <c r="LNY1" s="4"/>
      <c r="LNZ1" s="4"/>
      <c r="LOA1" s="4"/>
      <c r="LOB1" s="4"/>
      <c r="LOC1" s="4"/>
      <c r="LOD1" s="4"/>
      <c r="LOE1" s="4"/>
      <c r="LOF1" s="4"/>
      <c r="LOG1" s="4"/>
      <c r="LOH1" s="4"/>
      <c r="LOI1" s="4"/>
      <c r="LOJ1" s="4"/>
      <c r="LOK1" s="4"/>
      <c r="LOL1" s="4"/>
      <c r="LOM1" s="4"/>
      <c r="LON1" s="4"/>
      <c r="LOO1" s="4"/>
      <c r="LOP1" s="4"/>
      <c r="LOQ1" s="4"/>
      <c r="LOR1" s="4"/>
      <c r="LOS1" s="4"/>
      <c r="LOT1" s="4"/>
      <c r="LOU1" s="4"/>
      <c r="LOV1" s="4"/>
      <c r="LOW1" s="4"/>
      <c r="LOX1" s="4"/>
      <c r="LOY1" s="4"/>
      <c r="LOZ1" s="4"/>
      <c r="LPA1" s="4"/>
      <c r="LPB1" s="4"/>
      <c r="LPC1" s="4"/>
      <c r="LPD1" s="4"/>
      <c r="LPE1" s="4"/>
      <c r="LPF1" s="4"/>
      <c r="LPG1" s="4"/>
      <c r="LPH1" s="4"/>
      <c r="LPI1" s="4"/>
      <c r="LPJ1" s="4"/>
      <c r="LPK1" s="4"/>
      <c r="LPL1" s="4"/>
      <c r="LPM1" s="4"/>
      <c r="LPN1" s="4"/>
      <c r="LPO1" s="4"/>
      <c r="LPP1" s="4"/>
      <c r="LPQ1" s="4"/>
      <c r="LPR1" s="4"/>
      <c r="LPS1" s="4"/>
      <c r="LPT1" s="4"/>
      <c r="LPU1" s="4"/>
      <c r="LPV1" s="4"/>
      <c r="LPW1" s="4"/>
      <c r="LPX1" s="4"/>
      <c r="LPY1" s="4"/>
      <c r="LPZ1" s="4"/>
      <c r="LQA1" s="4"/>
      <c r="LQB1" s="4"/>
      <c r="LQC1" s="4"/>
      <c r="LQD1" s="4"/>
      <c r="LQE1" s="4"/>
      <c r="LQF1" s="4"/>
      <c r="LQG1" s="4"/>
      <c r="LQH1" s="4"/>
      <c r="LQI1" s="4"/>
      <c r="LQJ1" s="4"/>
      <c r="LQK1" s="4"/>
      <c r="LQL1" s="4"/>
      <c r="LQM1" s="4"/>
      <c r="LQN1" s="4"/>
      <c r="LQO1" s="4"/>
      <c r="LQP1" s="4"/>
      <c r="LQQ1" s="4"/>
      <c r="LQR1" s="4"/>
      <c r="LQS1" s="4"/>
      <c r="LQT1" s="4"/>
      <c r="LQU1" s="4"/>
      <c r="LQV1" s="4"/>
      <c r="LQW1" s="4"/>
      <c r="LQX1" s="4"/>
      <c r="LQY1" s="4"/>
      <c r="LQZ1" s="4"/>
      <c r="LRA1" s="4"/>
      <c r="LRB1" s="4"/>
      <c r="LRC1" s="4"/>
      <c r="LRD1" s="4"/>
      <c r="LRE1" s="4"/>
      <c r="LRF1" s="4"/>
      <c r="LRG1" s="4"/>
      <c r="LRH1" s="4"/>
      <c r="LRI1" s="4"/>
      <c r="LRJ1" s="4"/>
      <c r="LRK1" s="4"/>
      <c r="LRL1" s="4"/>
      <c r="LRM1" s="4"/>
      <c r="LRN1" s="4"/>
      <c r="LRO1" s="4"/>
      <c r="LRP1" s="4"/>
      <c r="LRQ1" s="4"/>
      <c r="LRR1" s="4"/>
      <c r="LRS1" s="4"/>
      <c r="LRT1" s="4"/>
      <c r="LRU1" s="4"/>
      <c r="LRV1" s="4"/>
      <c r="LRW1" s="4"/>
      <c r="LRX1" s="4"/>
      <c r="LRY1" s="4"/>
      <c r="LRZ1" s="4"/>
      <c r="LSA1" s="4"/>
      <c r="LSB1" s="4"/>
      <c r="LSC1" s="4"/>
      <c r="LSD1" s="4"/>
      <c r="LSE1" s="4"/>
      <c r="LSF1" s="4"/>
      <c r="LSG1" s="4"/>
      <c r="LSH1" s="4"/>
      <c r="LSI1" s="4"/>
      <c r="LSJ1" s="4"/>
      <c r="LSK1" s="4"/>
      <c r="LSL1" s="4"/>
      <c r="LSM1" s="4"/>
      <c r="LSN1" s="4"/>
      <c r="LSO1" s="4"/>
      <c r="LSP1" s="4"/>
      <c r="LSQ1" s="4"/>
      <c r="LSR1" s="4"/>
      <c r="LSS1" s="4"/>
      <c r="LST1" s="4"/>
      <c r="LSU1" s="4"/>
      <c r="LSV1" s="4"/>
      <c r="LSW1" s="4"/>
      <c r="LSX1" s="4"/>
      <c r="LSY1" s="4"/>
      <c r="LSZ1" s="4"/>
      <c r="LTA1" s="4"/>
      <c r="LTB1" s="4"/>
      <c r="LTC1" s="4"/>
      <c r="LTD1" s="4"/>
      <c r="LTE1" s="4"/>
      <c r="LTF1" s="4"/>
      <c r="LTG1" s="4"/>
      <c r="LTH1" s="4"/>
      <c r="LTI1" s="4"/>
      <c r="LTJ1" s="4"/>
      <c r="LTK1" s="4"/>
      <c r="LTL1" s="4"/>
      <c r="LTM1" s="4"/>
      <c r="LTN1" s="4"/>
      <c r="LTO1" s="4"/>
      <c r="LTP1" s="4"/>
      <c r="LTQ1" s="4"/>
      <c r="LTR1" s="4"/>
      <c r="LTS1" s="4"/>
      <c r="LTT1" s="4"/>
      <c r="LTU1" s="4"/>
      <c r="LTV1" s="4"/>
      <c r="LTW1" s="4"/>
      <c r="LTX1" s="4"/>
      <c r="LTY1" s="4"/>
      <c r="LTZ1" s="4"/>
      <c r="LUA1" s="4"/>
      <c r="LUB1" s="4"/>
      <c r="LUC1" s="4"/>
      <c r="LUD1" s="4"/>
      <c r="LUE1" s="4"/>
      <c r="LUF1" s="4"/>
      <c r="LUG1" s="4"/>
      <c r="LUH1" s="4"/>
      <c r="LUI1" s="4"/>
      <c r="LUJ1" s="4"/>
      <c r="LUK1" s="4"/>
      <c r="LUL1" s="4"/>
      <c r="LUM1" s="4"/>
      <c r="LUN1" s="4"/>
      <c r="LUO1" s="4"/>
      <c r="LUP1" s="4"/>
      <c r="LUQ1" s="4"/>
      <c r="LUR1" s="4"/>
      <c r="LUS1" s="4"/>
      <c r="LUT1" s="4"/>
      <c r="LUU1" s="4"/>
      <c r="LUV1" s="4"/>
      <c r="LUW1" s="4"/>
      <c r="LUX1" s="4"/>
      <c r="LUY1" s="4"/>
      <c r="LUZ1" s="4"/>
      <c r="LVA1" s="4"/>
      <c r="LVB1" s="4"/>
      <c r="LVC1" s="4"/>
      <c r="LVD1" s="4"/>
      <c r="LVE1" s="4"/>
      <c r="LVF1" s="4"/>
      <c r="LVG1" s="4"/>
      <c r="LVH1" s="4"/>
      <c r="LVI1" s="4"/>
      <c r="LVJ1" s="4"/>
      <c r="LVK1" s="4"/>
      <c r="LVL1" s="4"/>
      <c r="LVM1" s="4"/>
      <c r="LVN1" s="4"/>
      <c r="LVO1" s="4"/>
      <c r="LVP1" s="4"/>
      <c r="LVQ1" s="4"/>
      <c r="LVR1" s="4"/>
      <c r="LVS1" s="4"/>
      <c r="LVT1" s="4"/>
      <c r="LVU1" s="4"/>
      <c r="LVV1" s="4"/>
      <c r="LVW1" s="4"/>
      <c r="LVX1" s="4"/>
      <c r="LVY1" s="4"/>
      <c r="LVZ1" s="4"/>
      <c r="LWA1" s="4"/>
      <c r="LWB1" s="4"/>
      <c r="LWC1" s="4"/>
      <c r="LWD1" s="4"/>
      <c r="LWE1" s="4"/>
      <c r="LWF1" s="4"/>
      <c r="LWG1" s="4"/>
      <c r="LWH1" s="4"/>
      <c r="LWI1" s="4"/>
      <c r="LWJ1" s="4"/>
      <c r="LWK1" s="4"/>
      <c r="LWL1" s="4"/>
      <c r="LWM1" s="4"/>
      <c r="LWN1" s="4"/>
      <c r="LWO1" s="4"/>
      <c r="LWP1" s="4"/>
      <c r="LWQ1" s="4"/>
      <c r="LWR1" s="4"/>
      <c r="LWS1" s="4"/>
      <c r="LWT1" s="4"/>
      <c r="LWU1" s="4"/>
      <c r="LWV1" s="4"/>
      <c r="LWW1" s="4"/>
      <c r="LWX1" s="4"/>
      <c r="LWY1" s="4"/>
      <c r="LWZ1" s="4"/>
      <c r="LXA1" s="4"/>
      <c r="LXB1" s="4"/>
      <c r="LXC1" s="4"/>
      <c r="LXD1" s="4"/>
      <c r="LXE1" s="4"/>
      <c r="LXF1" s="4"/>
      <c r="LXG1" s="4"/>
      <c r="LXH1" s="4"/>
      <c r="LXI1" s="4"/>
      <c r="LXJ1" s="4"/>
      <c r="LXK1" s="4"/>
      <c r="LXL1" s="4"/>
      <c r="LXM1" s="4"/>
      <c r="LXN1" s="4"/>
      <c r="LXO1" s="4"/>
      <c r="LXP1" s="4"/>
      <c r="LXQ1" s="4"/>
      <c r="LXR1" s="4"/>
      <c r="LXS1" s="4"/>
      <c r="LXT1" s="4"/>
      <c r="LXU1" s="4"/>
      <c r="LXV1" s="4"/>
      <c r="LXW1" s="4"/>
      <c r="LXX1" s="4"/>
      <c r="LXY1" s="4"/>
      <c r="LXZ1" s="4"/>
      <c r="LYA1" s="4"/>
      <c r="LYB1" s="4"/>
      <c r="LYC1" s="4"/>
      <c r="LYD1" s="4"/>
      <c r="LYE1" s="4"/>
      <c r="LYF1" s="4"/>
      <c r="LYG1" s="4"/>
      <c r="LYH1" s="4"/>
      <c r="LYI1" s="4"/>
      <c r="LYJ1" s="4"/>
      <c r="LYK1" s="4"/>
      <c r="LYL1" s="4"/>
      <c r="LYM1" s="4"/>
      <c r="LYN1" s="4"/>
      <c r="LYO1" s="4"/>
      <c r="LYP1" s="4"/>
      <c r="LYQ1" s="4"/>
      <c r="LYR1" s="4"/>
      <c r="LYS1" s="4"/>
      <c r="LYT1" s="4"/>
      <c r="LYU1" s="4"/>
      <c r="LYV1" s="4"/>
      <c r="LYW1" s="4"/>
      <c r="LYX1" s="4"/>
      <c r="LYY1" s="4"/>
      <c r="LYZ1" s="4"/>
      <c r="LZA1" s="4"/>
      <c r="LZB1" s="4"/>
      <c r="LZC1" s="4"/>
      <c r="LZD1" s="4"/>
      <c r="LZE1" s="4"/>
      <c r="LZF1" s="4"/>
      <c r="LZG1" s="4"/>
      <c r="LZH1" s="4"/>
      <c r="LZI1" s="4"/>
      <c r="LZJ1" s="4"/>
      <c r="LZK1" s="4"/>
      <c r="LZL1" s="4"/>
      <c r="LZM1" s="4"/>
      <c r="LZN1" s="4"/>
      <c r="LZO1" s="4"/>
      <c r="LZP1" s="4"/>
      <c r="LZQ1" s="4"/>
      <c r="LZR1" s="4"/>
      <c r="LZS1" s="4"/>
      <c r="LZT1" s="4"/>
      <c r="LZU1" s="4"/>
      <c r="LZV1" s="4"/>
      <c r="LZW1" s="4"/>
      <c r="LZX1" s="4"/>
      <c r="LZY1" s="4"/>
      <c r="LZZ1" s="4"/>
      <c r="MAA1" s="4"/>
      <c r="MAB1" s="4"/>
      <c r="MAC1" s="4"/>
      <c r="MAD1" s="4"/>
      <c r="MAE1" s="4"/>
      <c r="MAF1" s="4"/>
      <c r="MAG1" s="4"/>
      <c r="MAH1" s="4"/>
      <c r="MAI1" s="4"/>
      <c r="MAJ1" s="4"/>
      <c r="MAK1" s="4"/>
      <c r="MAL1" s="4"/>
      <c r="MAM1" s="4"/>
      <c r="MAN1" s="4"/>
      <c r="MAO1" s="4"/>
      <c r="MAP1" s="4"/>
      <c r="MAQ1" s="4"/>
      <c r="MAR1" s="4"/>
      <c r="MAS1" s="4"/>
      <c r="MAT1" s="4"/>
      <c r="MAU1" s="4"/>
      <c r="MAV1" s="4"/>
      <c r="MAW1" s="4"/>
      <c r="MAX1" s="4"/>
      <c r="MAY1" s="4"/>
      <c r="MAZ1" s="4"/>
      <c r="MBA1" s="4"/>
      <c r="MBB1" s="4"/>
      <c r="MBC1" s="4"/>
      <c r="MBD1" s="4"/>
      <c r="MBE1" s="4"/>
      <c r="MBF1" s="4"/>
      <c r="MBG1" s="4"/>
      <c r="MBH1" s="4"/>
      <c r="MBI1" s="4"/>
      <c r="MBJ1" s="4"/>
      <c r="MBK1" s="4"/>
      <c r="MBL1" s="4"/>
      <c r="MBM1" s="4"/>
      <c r="MBN1" s="4"/>
      <c r="MBO1" s="4"/>
      <c r="MBP1" s="4"/>
      <c r="MBQ1" s="4"/>
      <c r="MBR1" s="4"/>
      <c r="MBS1" s="4"/>
      <c r="MBT1" s="4"/>
      <c r="MBU1" s="4"/>
      <c r="MBV1" s="4"/>
      <c r="MBW1" s="4"/>
      <c r="MBX1" s="4"/>
      <c r="MBY1" s="4"/>
      <c r="MBZ1" s="4"/>
      <c r="MCA1" s="4"/>
      <c r="MCB1" s="4"/>
      <c r="MCC1" s="4"/>
      <c r="MCD1" s="4"/>
      <c r="MCE1" s="4"/>
      <c r="MCF1" s="4"/>
      <c r="MCG1" s="4"/>
      <c r="MCH1" s="4"/>
      <c r="MCI1" s="4"/>
      <c r="MCJ1" s="4"/>
      <c r="MCK1" s="4"/>
      <c r="MCL1" s="4"/>
      <c r="MCM1" s="4"/>
      <c r="MCN1" s="4"/>
      <c r="MCO1" s="4"/>
      <c r="MCP1" s="4"/>
      <c r="MCQ1" s="4"/>
      <c r="MCR1" s="4"/>
      <c r="MCS1" s="4"/>
      <c r="MCT1" s="4"/>
      <c r="MCU1" s="4"/>
      <c r="MCV1" s="4"/>
      <c r="MCW1" s="4"/>
      <c r="MCX1" s="4"/>
      <c r="MCY1" s="4"/>
      <c r="MCZ1" s="4"/>
      <c r="MDA1" s="4"/>
      <c r="MDB1" s="4"/>
      <c r="MDC1" s="4"/>
      <c r="MDD1" s="4"/>
      <c r="MDE1" s="4"/>
      <c r="MDF1" s="4"/>
      <c r="MDG1" s="4"/>
      <c r="MDH1" s="4"/>
      <c r="MDI1" s="4"/>
      <c r="MDJ1" s="4"/>
      <c r="MDK1" s="4"/>
      <c r="MDL1" s="4"/>
      <c r="MDM1" s="4"/>
      <c r="MDN1" s="4"/>
      <c r="MDO1" s="4"/>
      <c r="MDP1" s="4"/>
      <c r="MDQ1" s="4"/>
      <c r="MDR1" s="4"/>
      <c r="MDS1" s="4"/>
      <c r="MDT1" s="4"/>
      <c r="MDU1" s="4"/>
      <c r="MDV1" s="4"/>
      <c r="MDW1" s="4"/>
      <c r="MDX1" s="4"/>
      <c r="MDY1" s="4"/>
      <c r="MDZ1" s="4"/>
      <c r="MEA1" s="4"/>
      <c r="MEB1" s="4"/>
      <c r="MEC1" s="4"/>
      <c r="MED1" s="4"/>
      <c r="MEE1" s="4"/>
      <c r="MEF1" s="4"/>
      <c r="MEG1" s="4"/>
      <c r="MEH1" s="4"/>
      <c r="MEI1" s="4"/>
      <c r="MEJ1" s="4"/>
      <c r="MEK1" s="4"/>
      <c r="MEL1" s="4"/>
      <c r="MEM1" s="4"/>
      <c r="MEN1" s="4"/>
      <c r="MEO1" s="4"/>
      <c r="MEP1" s="4"/>
      <c r="MEQ1" s="4"/>
      <c r="MER1" s="4"/>
      <c r="MES1" s="4"/>
      <c r="MET1" s="4"/>
      <c r="MEU1" s="4"/>
      <c r="MEV1" s="4"/>
      <c r="MEW1" s="4"/>
      <c r="MEX1" s="4"/>
      <c r="MEY1" s="4"/>
      <c r="MEZ1" s="4"/>
      <c r="MFA1" s="4"/>
      <c r="MFB1" s="4"/>
      <c r="MFC1" s="4"/>
      <c r="MFD1" s="4"/>
      <c r="MFE1" s="4"/>
      <c r="MFF1" s="4"/>
      <c r="MFG1" s="4"/>
      <c r="MFH1" s="4"/>
      <c r="MFI1" s="4"/>
      <c r="MFJ1" s="4"/>
      <c r="MFK1" s="4"/>
      <c r="MFL1" s="4"/>
      <c r="MFM1" s="4"/>
      <c r="MFN1" s="4"/>
      <c r="MFO1" s="4"/>
      <c r="MFP1" s="4"/>
      <c r="MFQ1" s="4"/>
      <c r="MFR1" s="4"/>
      <c r="MFS1" s="4"/>
      <c r="MFT1" s="4"/>
      <c r="MFU1" s="4"/>
      <c r="MFV1" s="4"/>
      <c r="MFW1" s="4"/>
      <c r="MFX1" s="4"/>
      <c r="MFY1" s="4"/>
      <c r="MFZ1" s="4"/>
      <c r="MGA1" s="4"/>
      <c r="MGB1" s="4"/>
      <c r="MGC1" s="4"/>
      <c r="MGD1" s="4"/>
      <c r="MGE1" s="4"/>
      <c r="MGF1" s="4"/>
      <c r="MGG1" s="4"/>
      <c r="MGH1" s="4"/>
      <c r="MGI1" s="4"/>
      <c r="MGJ1" s="4"/>
      <c r="MGK1" s="4"/>
      <c r="MGL1" s="4"/>
      <c r="MGM1" s="4"/>
      <c r="MGN1" s="4"/>
      <c r="MGO1" s="4"/>
      <c r="MGP1" s="4"/>
      <c r="MGQ1" s="4"/>
      <c r="MGR1" s="4"/>
      <c r="MGS1" s="4"/>
      <c r="MGT1" s="4"/>
      <c r="MGU1" s="4"/>
      <c r="MGV1" s="4"/>
      <c r="MGW1" s="4"/>
      <c r="MGX1" s="4"/>
      <c r="MGY1" s="4"/>
      <c r="MGZ1" s="4"/>
      <c r="MHA1" s="4"/>
      <c r="MHB1" s="4"/>
      <c r="MHC1" s="4"/>
      <c r="MHD1" s="4"/>
      <c r="MHE1" s="4"/>
      <c r="MHF1" s="4"/>
      <c r="MHG1" s="4"/>
      <c r="MHH1" s="4"/>
      <c r="MHI1" s="4"/>
      <c r="MHJ1" s="4"/>
      <c r="MHK1" s="4"/>
      <c r="MHL1" s="4"/>
      <c r="MHM1" s="4"/>
      <c r="MHN1" s="4"/>
      <c r="MHO1" s="4"/>
      <c r="MHP1" s="4"/>
      <c r="MHQ1" s="4"/>
      <c r="MHR1" s="4"/>
      <c r="MHS1" s="4"/>
      <c r="MHT1" s="4"/>
      <c r="MHU1" s="4"/>
      <c r="MHV1" s="4"/>
      <c r="MHW1" s="4"/>
      <c r="MHX1" s="4"/>
      <c r="MHY1" s="4"/>
      <c r="MHZ1" s="4"/>
      <c r="MIA1" s="4"/>
      <c r="MIB1" s="4"/>
      <c r="MIC1" s="4"/>
      <c r="MID1" s="4"/>
      <c r="MIE1" s="4"/>
      <c r="MIF1" s="4"/>
      <c r="MIG1" s="4"/>
      <c r="MIH1" s="4"/>
      <c r="MII1" s="4"/>
      <c r="MIJ1" s="4"/>
      <c r="MIK1" s="4"/>
      <c r="MIL1" s="4"/>
      <c r="MIM1" s="4"/>
      <c r="MIN1" s="4"/>
      <c r="MIO1" s="4"/>
      <c r="MIP1" s="4"/>
      <c r="MIQ1" s="4"/>
      <c r="MIR1" s="4"/>
      <c r="MIS1" s="4"/>
      <c r="MIT1" s="4"/>
      <c r="MIU1" s="4"/>
      <c r="MIV1" s="4"/>
      <c r="MIW1" s="4"/>
      <c r="MIX1" s="4"/>
      <c r="MIY1" s="4"/>
      <c r="MIZ1" s="4"/>
      <c r="MJA1" s="4"/>
      <c r="MJB1" s="4"/>
      <c r="MJC1" s="4"/>
      <c r="MJD1" s="4"/>
      <c r="MJE1" s="4"/>
      <c r="MJF1" s="4"/>
      <c r="MJG1" s="4"/>
      <c r="MJH1" s="4"/>
      <c r="MJI1" s="4"/>
      <c r="MJJ1" s="4"/>
      <c r="MJK1" s="4"/>
      <c r="MJL1" s="4"/>
      <c r="MJM1" s="4"/>
      <c r="MJN1" s="4"/>
      <c r="MJO1" s="4"/>
      <c r="MJP1" s="4"/>
      <c r="MJQ1" s="4"/>
      <c r="MJR1" s="4"/>
      <c r="MJS1" s="4"/>
      <c r="MJT1" s="4"/>
      <c r="MJU1" s="4"/>
      <c r="MJV1" s="4"/>
      <c r="MJW1" s="4"/>
      <c r="MJX1" s="4"/>
      <c r="MJY1" s="4"/>
      <c r="MJZ1" s="4"/>
      <c r="MKA1" s="4"/>
      <c r="MKB1" s="4"/>
      <c r="MKC1" s="4"/>
      <c r="MKD1" s="4"/>
      <c r="MKE1" s="4"/>
      <c r="MKF1" s="4"/>
      <c r="MKG1" s="4"/>
      <c r="MKH1" s="4"/>
      <c r="MKI1" s="4"/>
      <c r="MKJ1" s="4"/>
      <c r="MKK1" s="4"/>
      <c r="MKL1" s="4"/>
      <c r="MKM1" s="4"/>
      <c r="MKN1" s="4"/>
      <c r="MKO1" s="4"/>
      <c r="MKP1" s="4"/>
      <c r="MKQ1" s="4"/>
      <c r="MKR1" s="4"/>
      <c r="MKS1" s="4"/>
      <c r="MKT1" s="4"/>
      <c r="MKU1" s="4"/>
      <c r="MKV1" s="4"/>
      <c r="MKW1" s="4"/>
      <c r="MKX1" s="4"/>
      <c r="MKY1" s="4"/>
      <c r="MKZ1" s="4"/>
      <c r="MLA1" s="4"/>
      <c r="MLB1" s="4"/>
      <c r="MLC1" s="4"/>
      <c r="MLD1" s="4"/>
      <c r="MLE1" s="4"/>
      <c r="MLF1" s="4"/>
      <c r="MLG1" s="4"/>
      <c r="MLH1" s="4"/>
      <c r="MLI1" s="4"/>
      <c r="MLJ1" s="4"/>
      <c r="MLK1" s="4"/>
      <c r="MLL1" s="4"/>
      <c r="MLM1" s="4"/>
      <c r="MLN1" s="4"/>
      <c r="MLO1" s="4"/>
      <c r="MLP1" s="4"/>
      <c r="MLQ1" s="4"/>
      <c r="MLR1" s="4"/>
      <c r="MLS1" s="4"/>
      <c r="MLT1" s="4"/>
      <c r="MLU1" s="4"/>
      <c r="MLV1" s="4"/>
      <c r="MLW1" s="4"/>
      <c r="MLX1" s="4"/>
      <c r="MLY1" s="4"/>
      <c r="MLZ1" s="4"/>
      <c r="MMA1" s="4"/>
      <c r="MMB1" s="4"/>
      <c r="MMC1" s="4"/>
      <c r="MMD1" s="4"/>
      <c r="MME1" s="4"/>
      <c r="MMF1" s="4"/>
      <c r="MMG1" s="4"/>
      <c r="MMH1" s="4"/>
      <c r="MMI1" s="4"/>
      <c r="MMJ1" s="4"/>
      <c r="MMK1" s="4"/>
      <c r="MML1" s="4"/>
      <c r="MMM1" s="4"/>
      <c r="MMN1" s="4"/>
      <c r="MMO1" s="4"/>
      <c r="MMP1" s="4"/>
      <c r="MMQ1" s="4"/>
      <c r="MMR1" s="4"/>
      <c r="MMS1" s="4"/>
      <c r="MMT1" s="4"/>
      <c r="MMU1" s="4"/>
      <c r="MMV1" s="4"/>
      <c r="MMW1" s="4"/>
      <c r="MMX1" s="4"/>
      <c r="MMY1" s="4"/>
      <c r="MMZ1" s="4"/>
      <c r="MNA1" s="4"/>
      <c r="MNB1" s="4"/>
      <c r="MNC1" s="4"/>
      <c r="MND1" s="4"/>
      <c r="MNE1" s="4"/>
      <c r="MNF1" s="4"/>
      <c r="MNG1" s="4"/>
      <c r="MNH1" s="4"/>
      <c r="MNI1" s="4"/>
      <c r="MNJ1" s="4"/>
      <c r="MNK1" s="4"/>
      <c r="MNL1" s="4"/>
      <c r="MNM1" s="4"/>
      <c r="MNN1" s="4"/>
      <c r="MNO1" s="4"/>
      <c r="MNP1" s="4"/>
      <c r="MNQ1" s="4"/>
      <c r="MNR1" s="4"/>
      <c r="MNS1" s="4"/>
      <c r="MNT1" s="4"/>
      <c r="MNU1" s="4"/>
      <c r="MNV1" s="4"/>
      <c r="MNW1" s="4"/>
      <c r="MNX1" s="4"/>
      <c r="MNY1" s="4"/>
      <c r="MNZ1" s="4"/>
      <c r="MOA1" s="4"/>
      <c r="MOB1" s="4"/>
      <c r="MOC1" s="4"/>
      <c r="MOD1" s="4"/>
      <c r="MOE1" s="4"/>
      <c r="MOF1" s="4"/>
      <c r="MOG1" s="4"/>
      <c r="MOH1" s="4"/>
      <c r="MOI1" s="4"/>
      <c r="MOJ1" s="4"/>
      <c r="MOK1" s="4"/>
      <c r="MOL1" s="4"/>
      <c r="MOM1" s="4"/>
      <c r="MON1" s="4"/>
      <c r="MOO1" s="4"/>
      <c r="MOP1" s="4"/>
      <c r="MOQ1" s="4"/>
      <c r="MOR1" s="4"/>
      <c r="MOS1" s="4"/>
      <c r="MOT1" s="4"/>
      <c r="MOU1" s="4"/>
      <c r="MOV1" s="4"/>
      <c r="MOW1" s="4"/>
      <c r="MOX1" s="4"/>
      <c r="MOY1" s="4"/>
      <c r="MOZ1" s="4"/>
      <c r="MPA1" s="4"/>
      <c r="MPB1" s="4"/>
      <c r="MPC1" s="4"/>
      <c r="MPD1" s="4"/>
      <c r="MPE1" s="4"/>
      <c r="MPF1" s="4"/>
      <c r="MPG1" s="4"/>
      <c r="MPH1" s="4"/>
      <c r="MPI1" s="4"/>
      <c r="MPJ1" s="4"/>
      <c r="MPK1" s="4"/>
      <c r="MPL1" s="4"/>
      <c r="MPM1" s="4"/>
      <c r="MPN1" s="4"/>
      <c r="MPO1" s="4"/>
      <c r="MPP1" s="4"/>
      <c r="MPQ1" s="4"/>
      <c r="MPR1" s="4"/>
      <c r="MPS1" s="4"/>
      <c r="MPT1" s="4"/>
      <c r="MPU1" s="4"/>
      <c r="MPV1" s="4"/>
      <c r="MPW1" s="4"/>
      <c r="MPX1" s="4"/>
      <c r="MPY1" s="4"/>
      <c r="MPZ1" s="4"/>
      <c r="MQA1" s="4"/>
      <c r="MQB1" s="4"/>
      <c r="MQC1" s="4"/>
      <c r="MQD1" s="4"/>
      <c r="MQE1" s="4"/>
      <c r="MQF1" s="4"/>
      <c r="MQG1" s="4"/>
      <c r="MQH1" s="4"/>
      <c r="MQI1" s="4"/>
      <c r="MQJ1" s="4"/>
      <c r="MQK1" s="4"/>
      <c r="MQL1" s="4"/>
      <c r="MQM1" s="4"/>
      <c r="MQN1" s="4"/>
      <c r="MQO1" s="4"/>
      <c r="MQP1" s="4"/>
      <c r="MQQ1" s="4"/>
      <c r="MQR1" s="4"/>
      <c r="MQS1" s="4"/>
      <c r="MQT1" s="4"/>
      <c r="MQU1" s="4"/>
      <c r="MQV1" s="4"/>
      <c r="MQW1" s="4"/>
      <c r="MQX1" s="4"/>
      <c r="MQY1" s="4"/>
      <c r="MQZ1" s="4"/>
      <c r="MRA1" s="4"/>
      <c r="MRB1" s="4"/>
      <c r="MRC1" s="4"/>
      <c r="MRD1" s="4"/>
      <c r="MRE1" s="4"/>
      <c r="MRF1" s="4"/>
      <c r="MRG1" s="4"/>
      <c r="MRH1" s="4"/>
      <c r="MRI1" s="4"/>
      <c r="MRJ1" s="4"/>
      <c r="MRK1" s="4"/>
      <c r="MRL1" s="4"/>
      <c r="MRM1" s="4"/>
      <c r="MRN1" s="4"/>
      <c r="MRO1" s="4"/>
      <c r="MRP1" s="4"/>
      <c r="MRQ1" s="4"/>
      <c r="MRR1" s="4"/>
      <c r="MRS1" s="4"/>
      <c r="MRT1" s="4"/>
      <c r="MRU1" s="4"/>
      <c r="MRV1" s="4"/>
      <c r="MRW1" s="4"/>
      <c r="MRX1" s="4"/>
      <c r="MRY1" s="4"/>
      <c r="MRZ1" s="4"/>
      <c r="MSA1" s="4"/>
      <c r="MSB1" s="4"/>
      <c r="MSC1" s="4"/>
      <c r="MSD1" s="4"/>
      <c r="MSE1" s="4"/>
      <c r="MSF1" s="4"/>
      <c r="MSG1" s="4"/>
      <c r="MSH1" s="4"/>
      <c r="MSI1" s="4"/>
      <c r="MSJ1" s="4"/>
      <c r="MSK1" s="4"/>
      <c r="MSL1" s="4"/>
      <c r="MSM1" s="4"/>
      <c r="MSN1" s="4"/>
      <c r="MSO1" s="4"/>
      <c r="MSP1" s="4"/>
      <c r="MSQ1" s="4"/>
      <c r="MSR1" s="4"/>
      <c r="MSS1" s="4"/>
      <c r="MST1" s="4"/>
      <c r="MSU1" s="4"/>
      <c r="MSV1" s="4"/>
      <c r="MSW1" s="4"/>
      <c r="MSX1" s="4"/>
      <c r="MSY1" s="4"/>
      <c r="MSZ1" s="4"/>
      <c r="MTA1" s="4"/>
      <c r="MTB1" s="4"/>
      <c r="MTC1" s="4"/>
      <c r="MTD1" s="4"/>
      <c r="MTE1" s="4"/>
      <c r="MTF1" s="4"/>
      <c r="MTG1" s="4"/>
      <c r="MTH1" s="4"/>
      <c r="MTI1" s="4"/>
      <c r="MTJ1" s="4"/>
      <c r="MTK1" s="4"/>
      <c r="MTL1" s="4"/>
      <c r="MTM1" s="4"/>
      <c r="MTN1" s="4"/>
      <c r="MTO1" s="4"/>
      <c r="MTP1" s="4"/>
      <c r="MTQ1" s="4"/>
      <c r="MTR1" s="4"/>
      <c r="MTS1" s="4"/>
      <c r="MTT1" s="4"/>
      <c r="MTU1" s="4"/>
      <c r="MTV1" s="4"/>
      <c r="MTW1" s="4"/>
      <c r="MTX1" s="4"/>
      <c r="MTY1" s="4"/>
      <c r="MTZ1" s="4"/>
      <c r="MUA1" s="4"/>
      <c r="MUB1" s="4"/>
      <c r="MUC1" s="4"/>
      <c r="MUD1" s="4"/>
      <c r="MUE1" s="4"/>
      <c r="MUF1" s="4"/>
      <c r="MUG1" s="4"/>
      <c r="MUH1" s="4"/>
      <c r="MUI1" s="4"/>
      <c r="MUJ1" s="4"/>
      <c r="MUK1" s="4"/>
      <c r="MUL1" s="4"/>
      <c r="MUM1" s="4"/>
      <c r="MUN1" s="4"/>
      <c r="MUO1" s="4"/>
      <c r="MUP1" s="4"/>
      <c r="MUQ1" s="4"/>
      <c r="MUR1" s="4"/>
      <c r="MUS1" s="4"/>
      <c r="MUT1" s="4"/>
      <c r="MUU1" s="4"/>
      <c r="MUV1" s="4"/>
      <c r="MUW1" s="4"/>
      <c r="MUX1" s="4"/>
      <c r="MUY1" s="4"/>
      <c r="MUZ1" s="4"/>
      <c r="MVA1" s="4"/>
      <c r="MVB1" s="4"/>
      <c r="MVC1" s="4"/>
      <c r="MVD1" s="4"/>
      <c r="MVE1" s="4"/>
      <c r="MVF1" s="4"/>
      <c r="MVG1" s="4"/>
      <c r="MVH1" s="4"/>
      <c r="MVI1" s="4"/>
      <c r="MVJ1" s="4"/>
      <c r="MVK1" s="4"/>
      <c r="MVL1" s="4"/>
      <c r="MVM1" s="4"/>
      <c r="MVN1" s="4"/>
      <c r="MVO1" s="4"/>
      <c r="MVP1" s="4"/>
      <c r="MVQ1" s="4"/>
      <c r="MVR1" s="4"/>
      <c r="MVS1" s="4"/>
      <c r="MVT1" s="4"/>
      <c r="MVU1" s="4"/>
      <c r="MVV1" s="4"/>
      <c r="MVW1" s="4"/>
      <c r="MVX1" s="4"/>
      <c r="MVY1" s="4"/>
      <c r="MVZ1" s="4"/>
      <c r="MWA1" s="4"/>
      <c r="MWB1" s="4"/>
      <c r="MWC1" s="4"/>
      <c r="MWD1" s="4"/>
      <c r="MWE1" s="4"/>
      <c r="MWF1" s="4"/>
      <c r="MWG1" s="4"/>
      <c r="MWH1" s="4"/>
      <c r="MWI1" s="4"/>
      <c r="MWJ1" s="4"/>
      <c r="MWK1" s="4"/>
      <c r="MWL1" s="4"/>
      <c r="MWM1" s="4"/>
      <c r="MWN1" s="4"/>
      <c r="MWO1" s="4"/>
      <c r="MWP1" s="4"/>
      <c r="MWQ1" s="4"/>
      <c r="MWR1" s="4"/>
      <c r="MWS1" s="4"/>
      <c r="MWT1" s="4"/>
      <c r="MWU1" s="4"/>
      <c r="MWV1" s="4"/>
      <c r="MWW1" s="4"/>
      <c r="MWX1" s="4"/>
      <c r="MWY1" s="4"/>
      <c r="MWZ1" s="4"/>
      <c r="MXA1" s="4"/>
      <c r="MXB1" s="4"/>
      <c r="MXC1" s="4"/>
      <c r="MXD1" s="4"/>
      <c r="MXE1" s="4"/>
      <c r="MXF1" s="4"/>
      <c r="MXG1" s="4"/>
      <c r="MXH1" s="4"/>
      <c r="MXI1" s="4"/>
      <c r="MXJ1" s="4"/>
      <c r="MXK1" s="4"/>
      <c r="MXL1" s="4"/>
      <c r="MXM1" s="4"/>
      <c r="MXN1" s="4"/>
      <c r="MXO1" s="4"/>
      <c r="MXP1" s="4"/>
      <c r="MXQ1" s="4"/>
      <c r="MXR1" s="4"/>
      <c r="MXS1" s="4"/>
      <c r="MXT1" s="4"/>
      <c r="MXU1" s="4"/>
      <c r="MXV1" s="4"/>
      <c r="MXW1" s="4"/>
      <c r="MXX1" s="4"/>
      <c r="MXY1" s="4"/>
      <c r="MXZ1" s="4"/>
      <c r="MYA1" s="4"/>
      <c r="MYB1" s="4"/>
      <c r="MYC1" s="4"/>
      <c r="MYD1" s="4"/>
      <c r="MYE1" s="4"/>
      <c r="MYF1" s="4"/>
      <c r="MYG1" s="4"/>
      <c r="MYH1" s="4"/>
      <c r="MYI1" s="4"/>
      <c r="MYJ1" s="4"/>
      <c r="MYK1" s="4"/>
      <c r="MYL1" s="4"/>
      <c r="MYM1" s="4"/>
      <c r="MYN1" s="4"/>
      <c r="MYO1" s="4"/>
      <c r="MYP1" s="4"/>
      <c r="MYQ1" s="4"/>
      <c r="MYR1" s="4"/>
      <c r="MYS1" s="4"/>
      <c r="MYT1" s="4"/>
      <c r="MYU1" s="4"/>
      <c r="MYV1" s="4"/>
      <c r="MYW1" s="4"/>
      <c r="MYX1" s="4"/>
      <c r="MYY1" s="4"/>
      <c r="MYZ1" s="4"/>
      <c r="MZA1" s="4"/>
      <c r="MZB1" s="4"/>
      <c r="MZC1" s="4"/>
      <c r="MZD1" s="4"/>
      <c r="MZE1" s="4"/>
      <c r="MZF1" s="4"/>
      <c r="MZG1" s="4"/>
      <c r="MZH1" s="4"/>
      <c r="MZI1" s="4"/>
      <c r="MZJ1" s="4"/>
      <c r="MZK1" s="4"/>
      <c r="MZL1" s="4"/>
      <c r="MZM1" s="4"/>
      <c r="MZN1" s="4"/>
      <c r="MZO1" s="4"/>
      <c r="MZP1" s="4"/>
      <c r="MZQ1" s="4"/>
      <c r="MZR1" s="4"/>
      <c r="MZS1" s="4"/>
      <c r="MZT1" s="4"/>
      <c r="MZU1" s="4"/>
      <c r="MZV1" s="4"/>
      <c r="MZW1" s="4"/>
      <c r="MZX1" s="4"/>
      <c r="MZY1" s="4"/>
      <c r="MZZ1" s="4"/>
      <c r="NAA1" s="4"/>
      <c r="NAB1" s="4"/>
      <c r="NAC1" s="4"/>
      <c r="NAD1" s="4"/>
      <c r="NAE1" s="4"/>
      <c r="NAF1" s="4"/>
      <c r="NAG1" s="4"/>
      <c r="NAH1" s="4"/>
      <c r="NAI1" s="4"/>
      <c r="NAJ1" s="4"/>
      <c r="NAK1" s="4"/>
      <c r="NAL1" s="4"/>
      <c r="NAM1" s="4"/>
      <c r="NAN1" s="4"/>
      <c r="NAO1" s="4"/>
      <c r="NAP1" s="4"/>
      <c r="NAQ1" s="4"/>
      <c r="NAR1" s="4"/>
      <c r="NAS1" s="4"/>
      <c r="NAT1" s="4"/>
      <c r="NAU1" s="4"/>
      <c r="NAV1" s="4"/>
      <c r="NAW1" s="4"/>
      <c r="NAX1" s="4"/>
      <c r="NAY1" s="4"/>
      <c r="NAZ1" s="4"/>
      <c r="NBA1" s="4"/>
      <c r="NBB1" s="4"/>
      <c r="NBC1" s="4"/>
      <c r="NBD1" s="4"/>
      <c r="NBE1" s="4"/>
      <c r="NBF1" s="4"/>
      <c r="NBG1" s="4"/>
      <c r="NBH1" s="4"/>
      <c r="NBI1" s="4"/>
      <c r="NBJ1" s="4"/>
      <c r="NBK1" s="4"/>
      <c r="NBL1" s="4"/>
      <c r="NBM1" s="4"/>
      <c r="NBN1" s="4"/>
      <c r="NBO1" s="4"/>
      <c r="NBP1" s="4"/>
      <c r="NBQ1" s="4"/>
      <c r="NBR1" s="4"/>
      <c r="NBS1" s="4"/>
      <c r="NBT1" s="4"/>
      <c r="NBU1" s="4"/>
      <c r="NBV1" s="4"/>
      <c r="NBW1" s="4"/>
      <c r="NBX1" s="4"/>
      <c r="NBY1" s="4"/>
      <c r="NBZ1" s="4"/>
      <c r="NCA1" s="4"/>
      <c r="NCB1" s="4"/>
      <c r="NCC1" s="4"/>
      <c r="NCD1" s="4"/>
      <c r="NCE1" s="4"/>
      <c r="NCF1" s="4"/>
      <c r="NCG1" s="4"/>
      <c r="NCH1" s="4"/>
      <c r="NCI1" s="4"/>
      <c r="NCJ1" s="4"/>
      <c r="NCK1" s="4"/>
      <c r="NCL1" s="4"/>
      <c r="NCM1" s="4"/>
      <c r="NCN1" s="4"/>
      <c r="NCO1" s="4"/>
      <c r="NCP1" s="4"/>
      <c r="NCQ1" s="4"/>
      <c r="NCR1" s="4"/>
      <c r="NCS1" s="4"/>
      <c r="NCT1" s="4"/>
      <c r="NCU1" s="4"/>
      <c r="NCV1" s="4"/>
      <c r="NCW1" s="4"/>
      <c r="NCX1" s="4"/>
      <c r="NCY1" s="4"/>
      <c r="NCZ1" s="4"/>
      <c r="NDA1" s="4"/>
      <c r="NDB1" s="4"/>
      <c r="NDC1" s="4"/>
      <c r="NDD1" s="4"/>
      <c r="NDE1" s="4"/>
      <c r="NDF1" s="4"/>
      <c r="NDG1" s="4"/>
      <c r="NDH1" s="4"/>
      <c r="NDI1" s="4"/>
      <c r="NDJ1" s="4"/>
      <c r="NDK1" s="4"/>
      <c r="NDL1" s="4"/>
      <c r="NDM1" s="4"/>
      <c r="NDN1" s="4"/>
      <c r="NDO1" s="4"/>
      <c r="NDP1" s="4"/>
      <c r="NDQ1" s="4"/>
      <c r="NDR1" s="4"/>
      <c r="NDS1" s="4"/>
      <c r="NDT1" s="4"/>
      <c r="NDU1" s="4"/>
      <c r="NDV1" s="4"/>
      <c r="NDW1" s="4"/>
      <c r="NDX1" s="4"/>
      <c r="NDY1" s="4"/>
      <c r="NDZ1" s="4"/>
      <c r="NEA1" s="4"/>
      <c r="NEB1" s="4"/>
      <c r="NEC1" s="4"/>
      <c r="NED1" s="4"/>
      <c r="NEE1" s="4"/>
      <c r="NEF1" s="4"/>
      <c r="NEG1" s="4"/>
      <c r="NEH1" s="4"/>
      <c r="NEI1" s="4"/>
      <c r="NEJ1" s="4"/>
      <c r="NEK1" s="4"/>
      <c r="NEL1" s="4"/>
      <c r="NEM1" s="4"/>
      <c r="NEN1" s="4"/>
      <c r="NEO1" s="4"/>
      <c r="NEP1" s="4"/>
      <c r="NEQ1" s="4"/>
      <c r="NER1" s="4"/>
      <c r="NES1" s="4"/>
      <c r="NET1" s="4"/>
      <c r="NEU1" s="4"/>
      <c r="NEV1" s="4"/>
      <c r="NEW1" s="4"/>
      <c r="NEX1" s="4"/>
      <c r="NEY1" s="4"/>
      <c r="NEZ1" s="4"/>
      <c r="NFA1" s="4"/>
      <c r="NFB1" s="4"/>
      <c r="NFC1" s="4"/>
      <c r="NFD1" s="4"/>
      <c r="NFE1" s="4"/>
      <c r="NFF1" s="4"/>
      <c r="NFG1" s="4"/>
      <c r="NFH1" s="4"/>
      <c r="NFI1" s="4"/>
      <c r="NFJ1" s="4"/>
      <c r="NFK1" s="4"/>
      <c r="NFL1" s="4"/>
      <c r="NFM1" s="4"/>
      <c r="NFN1" s="4"/>
      <c r="NFO1" s="4"/>
      <c r="NFP1" s="4"/>
      <c r="NFQ1" s="4"/>
      <c r="NFR1" s="4"/>
      <c r="NFS1" s="4"/>
      <c r="NFT1" s="4"/>
      <c r="NFU1" s="4"/>
      <c r="NFV1" s="4"/>
      <c r="NFW1" s="4"/>
      <c r="NFX1" s="4"/>
      <c r="NFY1" s="4"/>
      <c r="NFZ1" s="4"/>
      <c r="NGA1" s="4"/>
      <c r="NGB1" s="4"/>
      <c r="NGC1" s="4"/>
      <c r="NGD1" s="4"/>
      <c r="NGE1" s="4"/>
      <c r="NGF1" s="4"/>
      <c r="NGG1" s="4"/>
      <c r="NGH1" s="4"/>
      <c r="NGI1" s="4"/>
      <c r="NGJ1" s="4"/>
      <c r="NGK1" s="4"/>
      <c r="NGL1" s="4"/>
      <c r="NGM1" s="4"/>
      <c r="NGN1" s="4"/>
      <c r="NGO1" s="4"/>
      <c r="NGP1" s="4"/>
      <c r="NGQ1" s="4"/>
      <c r="NGR1" s="4"/>
      <c r="NGS1" s="4"/>
      <c r="NGT1" s="4"/>
      <c r="NGU1" s="4"/>
      <c r="NGV1" s="4"/>
      <c r="NGW1" s="4"/>
      <c r="NGX1" s="4"/>
      <c r="NGY1" s="4"/>
      <c r="NGZ1" s="4"/>
      <c r="NHA1" s="4"/>
      <c r="NHB1" s="4"/>
      <c r="NHC1" s="4"/>
      <c r="NHD1" s="4"/>
      <c r="NHE1" s="4"/>
      <c r="NHF1" s="4"/>
      <c r="NHG1" s="4"/>
      <c r="NHH1" s="4"/>
      <c r="NHI1" s="4"/>
      <c r="NHJ1" s="4"/>
      <c r="NHK1" s="4"/>
      <c r="NHL1" s="4"/>
      <c r="NHM1" s="4"/>
      <c r="NHN1" s="4"/>
      <c r="NHO1" s="4"/>
      <c r="NHP1" s="4"/>
      <c r="NHQ1" s="4"/>
      <c r="NHR1" s="4"/>
      <c r="NHS1" s="4"/>
      <c r="NHT1" s="4"/>
      <c r="NHU1" s="4"/>
      <c r="NHV1" s="4"/>
      <c r="NHW1" s="4"/>
      <c r="NHX1" s="4"/>
      <c r="NHY1" s="4"/>
      <c r="NHZ1" s="4"/>
      <c r="NIA1" s="4"/>
      <c r="NIB1" s="4"/>
      <c r="NIC1" s="4"/>
      <c r="NID1" s="4"/>
      <c r="NIE1" s="4"/>
      <c r="NIF1" s="4"/>
      <c r="NIG1" s="4"/>
      <c r="NIH1" s="4"/>
      <c r="NII1" s="4"/>
      <c r="NIJ1" s="4"/>
      <c r="NIK1" s="4"/>
      <c r="NIL1" s="4"/>
      <c r="NIM1" s="4"/>
      <c r="NIN1" s="4"/>
      <c r="NIO1" s="4"/>
      <c r="NIP1" s="4"/>
      <c r="NIQ1" s="4"/>
      <c r="NIR1" s="4"/>
      <c r="NIS1" s="4"/>
      <c r="NIT1" s="4"/>
      <c r="NIU1" s="4"/>
      <c r="NIV1" s="4"/>
      <c r="NIW1" s="4"/>
      <c r="NIX1" s="4"/>
      <c r="NIY1" s="4"/>
      <c r="NIZ1" s="4"/>
      <c r="NJA1" s="4"/>
      <c r="NJB1" s="4"/>
      <c r="NJC1" s="4"/>
      <c r="NJD1" s="4"/>
      <c r="NJE1" s="4"/>
      <c r="NJF1" s="4"/>
      <c r="NJG1" s="4"/>
      <c r="NJH1" s="4"/>
      <c r="NJI1" s="4"/>
      <c r="NJJ1" s="4"/>
      <c r="NJK1" s="4"/>
      <c r="NJL1" s="4"/>
      <c r="NJM1" s="4"/>
      <c r="NJN1" s="4"/>
      <c r="NJO1" s="4"/>
      <c r="NJP1" s="4"/>
      <c r="NJQ1" s="4"/>
      <c r="NJR1" s="4"/>
      <c r="NJS1" s="4"/>
      <c r="NJT1" s="4"/>
      <c r="NJU1" s="4"/>
      <c r="NJV1" s="4"/>
      <c r="NJW1" s="4"/>
      <c r="NJX1" s="4"/>
      <c r="NJY1" s="4"/>
      <c r="NJZ1" s="4"/>
      <c r="NKA1" s="4"/>
      <c r="NKB1" s="4"/>
      <c r="NKC1" s="4"/>
      <c r="NKD1" s="4"/>
      <c r="NKE1" s="4"/>
      <c r="NKF1" s="4"/>
      <c r="NKG1" s="4"/>
      <c r="NKH1" s="4"/>
      <c r="NKI1" s="4"/>
      <c r="NKJ1" s="4"/>
      <c r="NKK1" s="4"/>
      <c r="NKL1" s="4"/>
      <c r="NKM1" s="4"/>
      <c r="NKN1" s="4"/>
      <c r="NKO1" s="4"/>
      <c r="NKP1" s="4"/>
      <c r="NKQ1" s="4"/>
      <c r="NKR1" s="4"/>
      <c r="NKS1" s="4"/>
      <c r="NKT1" s="4"/>
      <c r="NKU1" s="4"/>
      <c r="NKV1" s="4"/>
      <c r="NKW1" s="4"/>
      <c r="NKX1" s="4"/>
      <c r="NKY1" s="4"/>
      <c r="NKZ1" s="4"/>
      <c r="NLA1" s="4"/>
      <c r="NLB1" s="4"/>
      <c r="NLC1" s="4"/>
      <c r="NLD1" s="4"/>
      <c r="NLE1" s="4"/>
      <c r="NLF1" s="4"/>
      <c r="NLG1" s="4"/>
      <c r="NLH1" s="4"/>
      <c r="NLI1" s="4"/>
      <c r="NLJ1" s="4"/>
      <c r="NLK1" s="4"/>
      <c r="NLL1" s="4"/>
      <c r="NLM1" s="4"/>
      <c r="NLN1" s="4"/>
      <c r="NLO1" s="4"/>
      <c r="NLP1" s="4"/>
      <c r="NLQ1" s="4"/>
      <c r="NLR1" s="4"/>
      <c r="NLS1" s="4"/>
      <c r="NLT1" s="4"/>
      <c r="NLU1" s="4"/>
      <c r="NLV1" s="4"/>
      <c r="NLW1" s="4"/>
      <c r="NLX1" s="4"/>
      <c r="NLY1" s="4"/>
      <c r="NLZ1" s="4"/>
      <c r="NMA1" s="4"/>
      <c r="NMB1" s="4"/>
      <c r="NMC1" s="4"/>
      <c r="NMD1" s="4"/>
      <c r="NME1" s="4"/>
      <c r="NMF1" s="4"/>
      <c r="NMG1" s="4"/>
      <c r="NMH1" s="4"/>
      <c r="NMI1" s="4"/>
      <c r="NMJ1" s="4"/>
      <c r="NMK1" s="4"/>
      <c r="NML1" s="4"/>
      <c r="NMM1" s="4"/>
      <c r="NMN1" s="4"/>
      <c r="NMO1" s="4"/>
      <c r="NMP1" s="4"/>
      <c r="NMQ1" s="4"/>
      <c r="NMR1" s="4"/>
      <c r="NMS1" s="4"/>
      <c r="NMT1" s="4"/>
      <c r="NMU1" s="4"/>
      <c r="NMV1" s="4"/>
      <c r="NMW1" s="4"/>
      <c r="NMX1" s="4"/>
      <c r="NMY1" s="4"/>
      <c r="NMZ1" s="4"/>
      <c r="NNA1" s="4"/>
      <c r="NNB1" s="4"/>
      <c r="NNC1" s="4"/>
      <c r="NND1" s="4"/>
      <c r="NNE1" s="4"/>
      <c r="NNF1" s="4"/>
      <c r="NNG1" s="4"/>
      <c r="NNH1" s="4"/>
      <c r="NNI1" s="4"/>
      <c r="NNJ1" s="4"/>
      <c r="NNK1" s="4"/>
      <c r="NNL1" s="4"/>
      <c r="NNM1" s="4"/>
      <c r="NNN1" s="4"/>
      <c r="NNO1" s="4"/>
      <c r="NNP1" s="4"/>
      <c r="NNQ1" s="4"/>
      <c r="NNR1" s="4"/>
      <c r="NNS1" s="4"/>
      <c r="NNT1" s="4"/>
      <c r="NNU1" s="4"/>
      <c r="NNV1" s="4"/>
      <c r="NNW1" s="4"/>
      <c r="NNX1" s="4"/>
      <c r="NNY1" s="4"/>
      <c r="NNZ1" s="4"/>
      <c r="NOA1" s="4"/>
      <c r="NOB1" s="4"/>
      <c r="NOC1" s="4"/>
      <c r="NOD1" s="4"/>
      <c r="NOE1" s="4"/>
      <c r="NOF1" s="4"/>
      <c r="NOG1" s="4"/>
      <c r="NOH1" s="4"/>
      <c r="NOI1" s="4"/>
      <c r="NOJ1" s="4"/>
      <c r="NOK1" s="4"/>
      <c r="NOL1" s="4"/>
      <c r="NOM1" s="4"/>
      <c r="NON1" s="4"/>
      <c r="NOO1" s="4"/>
      <c r="NOP1" s="4"/>
      <c r="NOQ1" s="4"/>
      <c r="NOR1" s="4"/>
      <c r="NOS1" s="4"/>
      <c r="NOT1" s="4"/>
      <c r="NOU1" s="4"/>
      <c r="NOV1" s="4"/>
      <c r="NOW1" s="4"/>
      <c r="NOX1" s="4"/>
      <c r="NOY1" s="4"/>
      <c r="NOZ1" s="4"/>
      <c r="NPA1" s="4"/>
      <c r="NPB1" s="4"/>
      <c r="NPC1" s="4"/>
      <c r="NPD1" s="4"/>
      <c r="NPE1" s="4"/>
      <c r="NPF1" s="4"/>
      <c r="NPG1" s="4"/>
      <c r="NPH1" s="4"/>
      <c r="NPI1" s="4"/>
      <c r="NPJ1" s="4"/>
      <c r="NPK1" s="4"/>
      <c r="NPL1" s="4"/>
      <c r="NPM1" s="4"/>
      <c r="NPN1" s="4"/>
      <c r="NPO1" s="4"/>
      <c r="NPP1" s="4"/>
      <c r="NPQ1" s="4"/>
      <c r="NPR1" s="4"/>
      <c r="NPS1" s="4"/>
      <c r="NPT1" s="4"/>
      <c r="NPU1" s="4"/>
      <c r="NPV1" s="4"/>
      <c r="NPW1" s="4"/>
      <c r="NPX1" s="4"/>
      <c r="NPY1" s="4"/>
      <c r="NPZ1" s="4"/>
      <c r="NQA1" s="4"/>
      <c r="NQB1" s="4"/>
      <c r="NQC1" s="4"/>
      <c r="NQD1" s="4"/>
      <c r="NQE1" s="4"/>
      <c r="NQF1" s="4"/>
      <c r="NQG1" s="4"/>
      <c r="NQH1" s="4"/>
      <c r="NQI1" s="4"/>
      <c r="NQJ1" s="4"/>
      <c r="NQK1" s="4"/>
      <c r="NQL1" s="4"/>
      <c r="NQM1" s="4"/>
      <c r="NQN1" s="4"/>
      <c r="NQO1" s="4"/>
      <c r="NQP1" s="4"/>
      <c r="NQQ1" s="4"/>
      <c r="NQR1" s="4"/>
      <c r="NQS1" s="4"/>
      <c r="NQT1" s="4"/>
      <c r="NQU1" s="4"/>
      <c r="NQV1" s="4"/>
      <c r="NQW1" s="4"/>
      <c r="NQX1" s="4"/>
      <c r="NQY1" s="4"/>
      <c r="NQZ1" s="4"/>
      <c r="NRA1" s="4"/>
      <c r="NRB1" s="4"/>
      <c r="NRC1" s="4"/>
      <c r="NRD1" s="4"/>
      <c r="NRE1" s="4"/>
      <c r="NRF1" s="4"/>
      <c r="NRG1" s="4"/>
      <c r="NRH1" s="4"/>
      <c r="NRI1" s="4"/>
      <c r="NRJ1" s="4"/>
      <c r="NRK1" s="4"/>
      <c r="NRL1" s="4"/>
      <c r="NRM1" s="4"/>
      <c r="NRN1" s="4"/>
      <c r="NRO1" s="4"/>
      <c r="NRP1" s="4"/>
      <c r="NRQ1" s="4"/>
      <c r="NRR1" s="4"/>
      <c r="NRS1" s="4"/>
      <c r="NRT1" s="4"/>
      <c r="NRU1" s="4"/>
      <c r="NRV1" s="4"/>
      <c r="NRW1" s="4"/>
      <c r="NRX1" s="4"/>
      <c r="NRY1" s="4"/>
      <c r="NRZ1" s="4"/>
      <c r="NSA1" s="4"/>
      <c r="NSB1" s="4"/>
      <c r="NSC1" s="4"/>
      <c r="NSD1" s="4"/>
      <c r="NSE1" s="4"/>
      <c r="NSF1" s="4"/>
      <c r="NSG1" s="4"/>
      <c r="NSH1" s="4"/>
      <c r="NSI1" s="4"/>
      <c r="NSJ1" s="4"/>
      <c r="NSK1" s="4"/>
      <c r="NSL1" s="4"/>
      <c r="NSM1" s="4"/>
      <c r="NSN1" s="4"/>
      <c r="NSO1" s="4"/>
      <c r="NSP1" s="4"/>
      <c r="NSQ1" s="4"/>
      <c r="NSR1" s="4"/>
      <c r="NSS1" s="4"/>
      <c r="NST1" s="4"/>
      <c r="NSU1" s="4"/>
      <c r="NSV1" s="4"/>
      <c r="NSW1" s="4"/>
      <c r="NSX1" s="4"/>
      <c r="NSY1" s="4"/>
      <c r="NSZ1" s="4"/>
      <c r="NTA1" s="4"/>
      <c r="NTB1" s="4"/>
      <c r="NTC1" s="4"/>
      <c r="NTD1" s="4"/>
      <c r="NTE1" s="4"/>
      <c r="NTF1" s="4"/>
      <c r="NTG1" s="4"/>
      <c r="NTH1" s="4"/>
      <c r="NTI1" s="4"/>
      <c r="NTJ1" s="4"/>
      <c r="NTK1" s="4"/>
      <c r="NTL1" s="4"/>
      <c r="NTM1" s="4"/>
      <c r="NTN1" s="4"/>
      <c r="NTO1" s="4"/>
      <c r="NTP1" s="4"/>
      <c r="NTQ1" s="4"/>
      <c r="NTR1" s="4"/>
      <c r="NTS1" s="4"/>
      <c r="NTT1" s="4"/>
      <c r="NTU1" s="4"/>
      <c r="NTV1" s="4"/>
      <c r="NTW1" s="4"/>
      <c r="NTX1" s="4"/>
      <c r="NTY1" s="4"/>
      <c r="NTZ1" s="4"/>
      <c r="NUA1" s="4"/>
      <c r="NUB1" s="4"/>
      <c r="NUC1" s="4"/>
      <c r="NUD1" s="4"/>
      <c r="NUE1" s="4"/>
      <c r="NUF1" s="4"/>
      <c r="NUG1" s="4"/>
      <c r="NUH1" s="4"/>
      <c r="NUI1" s="4"/>
      <c r="NUJ1" s="4"/>
      <c r="NUK1" s="4"/>
      <c r="NUL1" s="4"/>
      <c r="NUM1" s="4"/>
      <c r="NUN1" s="4"/>
      <c r="NUO1" s="4"/>
      <c r="NUP1" s="4"/>
      <c r="NUQ1" s="4"/>
      <c r="NUR1" s="4"/>
      <c r="NUS1" s="4"/>
      <c r="NUT1" s="4"/>
      <c r="NUU1" s="4"/>
      <c r="NUV1" s="4"/>
      <c r="NUW1" s="4"/>
      <c r="NUX1" s="4"/>
      <c r="NUY1" s="4"/>
      <c r="NUZ1" s="4"/>
      <c r="NVA1" s="4"/>
      <c r="NVB1" s="4"/>
      <c r="NVC1" s="4"/>
      <c r="NVD1" s="4"/>
      <c r="NVE1" s="4"/>
      <c r="NVF1" s="4"/>
      <c r="NVG1" s="4"/>
      <c r="NVH1" s="4"/>
      <c r="NVI1" s="4"/>
      <c r="NVJ1" s="4"/>
      <c r="NVK1" s="4"/>
      <c r="NVL1" s="4"/>
      <c r="NVM1" s="4"/>
      <c r="NVN1" s="4"/>
      <c r="NVO1" s="4"/>
      <c r="NVP1" s="4"/>
      <c r="NVQ1" s="4"/>
      <c r="NVR1" s="4"/>
      <c r="NVS1" s="4"/>
      <c r="NVT1" s="4"/>
      <c r="NVU1" s="4"/>
      <c r="NVV1" s="4"/>
      <c r="NVW1" s="4"/>
      <c r="NVX1" s="4"/>
      <c r="NVY1" s="4"/>
      <c r="NVZ1" s="4"/>
      <c r="NWA1" s="4"/>
      <c r="NWB1" s="4"/>
      <c r="NWC1" s="4"/>
      <c r="NWD1" s="4"/>
      <c r="NWE1" s="4"/>
      <c r="NWF1" s="4"/>
      <c r="NWG1" s="4"/>
      <c r="NWH1" s="4"/>
      <c r="NWI1" s="4"/>
      <c r="NWJ1" s="4"/>
      <c r="NWK1" s="4"/>
      <c r="NWL1" s="4"/>
      <c r="NWM1" s="4"/>
      <c r="NWN1" s="4"/>
      <c r="NWO1" s="4"/>
      <c r="NWP1" s="4"/>
      <c r="NWQ1" s="4"/>
      <c r="NWR1" s="4"/>
      <c r="NWS1" s="4"/>
      <c r="NWT1" s="4"/>
      <c r="NWU1" s="4"/>
      <c r="NWV1" s="4"/>
      <c r="NWW1" s="4"/>
      <c r="NWX1" s="4"/>
      <c r="NWY1" s="4"/>
      <c r="NWZ1" s="4"/>
      <c r="NXA1" s="4"/>
      <c r="NXB1" s="4"/>
      <c r="NXC1" s="4"/>
      <c r="NXD1" s="4"/>
      <c r="NXE1" s="4"/>
      <c r="NXF1" s="4"/>
      <c r="NXG1" s="4"/>
      <c r="NXH1" s="4"/>
      <c r="NXI1" s="4"/>
      <c r="NXJ1" s="4"/>
      <c r="NXK1" s="4"/>
      <c r="NXL1" s="4"/>
      <c r="NXM1" s="4"/>
      <c r="NXN1" s="4"/>
      <c r="NXO1" s="4"/>
      <c r="NXP1" s="4"/>
      <c r="NXQ1" s="4"/>
      <c r="NXR1" s="4"/>
      <c r="NXS1" s="4"/>
      <c r="NXT1" s="4"/>
      <c r="NXU1" s="4"/>
      <c r="NXV1" s="4"/>
      <c r="NXW1" s="4"/>
      <c r="NXX1" s="4"/>
      <c r="NXY1" s="4"/>
      <c r="NXZ1" s="4"/>
      <c r="NYA1" s="4"/>
      <c r="NYB1" s="4"/>
      <c r="NYC1" s="4"/>
      <c r="NYD1" s="4"/>
      <c r="NYE1" s="4"/>
      <c r="NYF1" s="4"/>
      <c r="NYG1" s="4"/>
      <c r="NYH1" s="4"/>
      <c r="NYI1" s="4"/>
      <c r="NYJ1" s="4"/>
      <c r="NYK1" s="4"/>
      <c r="NYL1" s="4"/>
      <c r="NYM1" s="4"/>
      <c r="NYN1" s="4"/>
      <c r="NYO1" s="4"/>
      <c r="NYP1" s="4"/>
      <c r="NYQ1" s="4"/>
      <c r="NYR1" s="4"/>
      <c r="NYS1" s="4"/>
      <c r="NYT1" s="4"/>
      <c r="NYU1" s="4"/>
      <c r="NYV1" s="4"/>
      <c r="NYW1" s="4"/>
      <c r="NYX1" s="4"/>
      <c r="NYY1" s="4"/>
      <c r="NYZ1" s="4"/>
      <c r="NZA1" s="4"/>
      <c r="NZB1" s="4"/>
      <c r="NZC1" s="4"/>
      <c r="NZD1" s="4"/>
      <c r="NZE1" s="4"/>
      <c r="NZF1" s="4"/>
      <c r="NZG1" s="4"/>
      <c r="NZH1" s="4"/>
      <c r="NZI1" s="4"/>
      <c r="NZJ1" s="4"/>
      <c r="NZK1" s="4"/>
      <c r="NZL1" s="4"/>
      <c r="NZM1" s="4"/>
      <c r="NZN1" s="4"/>
      <c r="NZO1" s="4"/>
      <c r="NZP1" s="4"/>
      <c r="NZQ1" s="4"/>
      <c r="NZR1" s="4"/>
      <c r="NZS1" s="4"/>
      <c r="NZT1" s="4"/>
      <c r="NZU1" s="4"/>
      <c r="NZV1" s="4"/>
      <c r="NZW1" s="4"/>
      <c r="NZX1" s="4"/>
      <c r="NZY1" s="4"/>
      <c r="NZZ1" s="4"/>
      <c r="OAA1" s="4"/>
      <c r="OAB1" s="4"/>
      <c r="OAC1" s="4"/>
      <c r="OAD1" s="4"/>
      <c r="OAE1" s="4"/>
      <c r="OAF1" s="4"/>
      <c r="OAG1" s="4"/>
      <c r="OAH1" s="4"/>
      <c r="OAI1" s="4"/>
      <c r="OAJ1" s="4"/>
      <c r="OAK1" s="4"/>
      <c r="OAL1" s="4"/>
      <c r="OAM1" s="4"/>
      <c r="OAN1" s="4"/>
      <c r="OAO1" s="4"/>
      <c r="OAP1" s="4"/>
      <c r="OAQ1" s="4"/>
      <c r="OAR1" s="4"/>
      <c r="OAS1" s="4"/>
      <c r="OAT1" s="4"/>
      <c r="OAU1" s="4"/>
      <c r="OAV1" s="4"/>
      <c r="OAW1" s="4"/>
      <c r="OAX1" s="4"/>
      <c r="OAY1" s="4"/>
      <c r="OAZ1" s="4"/>
      <c r="OBA1" s="4"/>
      <c r="OBB1" s="4"/>
      <c r="OBC1" s="4"/>
      <c r="OBD1" s="4"/>
      <c r="OBE1" s="4"/>
      <c r="OBF1" s="4"/>
      <c r="OBG1" s="4"/>
      <c r="OBH1" s="4"/>
      <c r="OBI1" s="4"/>
      <c r="OBJ1" s="4"/>
      <c r="OBK1" s="4"/>
      <c r="OBL1" s="4"/>
      <c r="OBM1" s="4"/>
      <c r="OBN1" s="4"/>
      <c r="OBO1" s="4"/>
      <c r="OBP1" s="4"/>
      <c r="OBQ1" s="4"/>
      <c r="OBR1" s="4"/>
      <c r="OBS1" s="4"/>
      <c r="OBT1" s="4"/>
      <c r="OBU1" s="4"/>
      <c r="OBV1" s="4"/>
      <c r="OBW1" s="4"/>
      <c r="OBX1" s="4"/>
      <c r="OBY1" s="4"/>
      <c r="OBZ1" s="4"/>
      <c r="OCA1" s="4"/>
      <c r="OCB1" s="4"/>
      <c r="OCC1" s="4"/>
      <c r="OCD1" s="4"/>
      <c r="OCE1" s="4"/>
      <c r="OCF1" s="4"/>
      <c r="OCG1" s="4"/>
      <c r="OCH1" s="4"/>
      <c r="OCI1" s="4"/>
      <c r="OCJ1" s="4"/>
      <c r="OCK1" s="4"/>
      <c r="OCL1" s="4"/>
      <c r="OCM1" s="4"/>
      <c r="OCN1" s="4"/>
      <c r="OCO1" s="4"/>
      <c r="OCP1" s="4"/>
      <c r="OCQ1" s="4"/>
      <c r="OCR1" s="4"/>
      <c r="OCS1" s="4"/>
      <c r="OCT1" s="4"/>
      <c r="OCU1" s="4"/>
      <c r="OCV1" s="4"/>
      <c r="OCW1" s="4"/>
      <c r="OCX1" s="4"/>
      <c r="OCY1" s="4"/>
      <c r="OCZ1" s="4"/>
      <c r="ODA1" s="4"/>
      <c r="ODB1" s="4"/>
      <c r="ODC1" s="4"/>
      <c r="ODD1" s="4"/>
      <c r="ODE1" s="4"/>
      <c r="ODF1" s="4"/>
      <c r="ODG1" s="4"/>
      <c r="ODH1" s="4"/>
      <c r="ODI1" s="4"/>
      <c r="ODJ1" s="4"/>
      <c r="ODK1" s="4"/>
      <c r="ODL1" s="4"/>
      <c r="ODM1" s="4"/>
      <c r="ODN1" s="4"/>
      <c r="ODO1" s="4"/>
      <c r="ODP1" s="4"/>
      <c r="ODQ1" s="4"/>
      <c r="ODR1" s="4"/>
      <c r="ODS1" s="4"/>
      <c r="ODT1" s="4"/>
      <c r="ODU1" s="4"/>
      <c r="ODV1" s="4"/>
      <c r="ODW1" s="4"/>
      <c r="ODX1" s="4"/>
      <c r="ODY1" s="4"/>
      <c r="ODZ1" s="4"/>
      <c r="OEA1" s="4"/>
      <c r="OEB1" s="4"/>
      <c r="OEC1" s="4"/>
      <c r="OED1" s="4"/>
      <c r="OEE1" s="4"/>
      <c r="OEF1" s="4"/>
      <c r="OEG1" s="4"/>
      <c r="OEH1" s="4"/>
      <c r="OEI1" s="4"/>
      <c r="OEJ1" s="4"/>
      <c r="OEK1" s="4"/>
      <c r="OEL1" s="4"/>
      <c r="OEM1" s="4"/>
      <c r="OEN1" s="4"/>
      <c r="OEO1" s="4"/>
      <c r="OEP1" s="4"/>
      <c r="OEQ1" s="4"/>
      <c r="OER1" s="4"/>
      <c r="OES1" s="4"/>
      <c r="OET1" s="4"/>
      <c r="OEU1" s="4"/>
      <c r="OEV1" s="4"/>
      <c r="OEW1" s="4"/>
      <c r="OEX1" s="4"/>
      <c r="OEY1" s="4"/>
      <c r="OEZ1" s="4"/>
      <c r="OFA1" s="4"/>
      <c r="OFB1" s="4"/>
      <c r="OFC1" s="4"/>
      <c r="OFD1" s="4"/>
      <c r="OFE1" s="4"/>
      <c r="OFF1" s="4"/>
      <c r="OFG1" s="4"/>
      <c r="OFH1" s="4"/>
      <c r="OFI1" s="4"/>
      <c r="OFJ1" s="4"/>
      <c r="OFK1" s="4"/>
      <c r="OFL1" s="4"/>
      <c r="OFM1" s="4"/>
      <c r="OFN1" s="4"/>
      <c r="OFO1" s="4"/>
      <c r="OFP1" s="4"/>
      <c r="OFQ1" s="4"/>
      <c r="OFR1" s="4"/>
      <c r="OFS1" s="4"/>
      <c r="OFT1" s="4"/>
      <c r="OFU1" s="4"/>
      <c r="OFV1" s="4"/>
      <c r="OFW1" s="4"/>
      <c r="OFX1" s="4"/>
      <c r="OFY1" s="4"/>
      <c r="OFZ1" s="4"/>
      <c r="OGA1" s="4"/>
      <c r="OGB1" s="4"/>
      <c r="OGC1" s="4"/>
      <c r="OGD1" s="4"/>
      <c r="OGE1" s="4"/>
      <c r="OGF1" s="4"/>
      <c r="OGG1" s="4"/>
      <c r="OGH1" s="4"/>
      <c r="OGI1" s="4"/>
      <c r="OGJ1" s="4"/>
      <c r="OGK1" s="4"/>
      <c r="OGL1" s="4"/>
      <c r="OGM1" s="4"/>
      <c r="OGN1" s="4"/>
      <c r="OGO1" s="4"/>
      <c r="OGP1" s="4"/>
      <c r="OGQ1" s="4"/>
      <c r="OGR1" s="4"/>
      <c r="OGS1" s="4"/>
      <c r="OGT1" s="4"/>
      <c r="OGU1" s="4"/>
      <c r="OGV1" s="4"/>
      <c r="OGW1" s="4"/>
      <c r="OGX1" s="4"/>
      <c r="OGY1" s="4"/>
      <c r="OGZ1" s="4"/>
      <c r="OHA1" s="4"/>
      <c r="OHB1" s="4"/>
      <c r="OHC1" s="4"/>
      <c r="OHD1" s="4"/>
      <c r="OHE1" s="4"/>
      <c r="OHF1" s="4"/>
      <c r="OHG1" s="4"/>
      <c r="OHH1" s="4"/>
      <c r="OHI1" s="4"/>
      <c r="OHJ1" s="4"/>
      <c r="OHK1" s="4"/>
      <c r="OHL1" s="4"/>
      <c r="OHM1" s="4"/>
      <c r="OHN1" s="4"/>
      <c r="OHO1" s="4"/>
      <c r="OHP1" s="4"/>
      <c r="OHQ1" s="4"/>
      <c r="OHR1" s="4"/>
      <c r="OHS1" s="4"/>
      <c r="OHT1" s="4"/>
      <c r="OHU1" s="4"/>
      <c r="OHV1" s="4"/>
      <c r="OHW1" s="4"/>
      <c r="OHX1" s="4"/>
      <c r="OHY1" s="4"/>
      <c r="OHZ1" s="4"/>
      <c r="OIA1" s="4"/>
      <c r="OIB1" s="4"/>
      <c r="OIC1" s="4"/>
      <c r="OID1" s="4"/>
      <c r="OIE1" s="4"/>
      <c r="OIF1" s="4"/>
      <c r="OIG1" s="4"/>
      <c r="OIH1" s="4"/>
      <c r="OII1" s="4"/>
      <c r="OIJ1" s="4"/>
      <c r="OIK1" s="4"/>
      <c r="OIL1" s="4"/>
      <c r="OIM1" s="4"/>
      <c r="OIN1" s="4"/>
      <c r="OIO1" s="4"/>
      <c r="OIP1" s="4"/>
      <c r="OIQ1" s="4"/>
      <c r="OIR1" s="4"/>
      <c r="OIS1" s="4"/>
      <c r="OIT1" s="4"/>
      <c r="OIU1" s="4"/>
      <c r="OIV1" s="4"/>
      <c r="OIW1" s="4"/>
      <c r="OIX1" s="4"/>
      <c r="OIY1" s="4"/>
      <c r="OIZ1" s="4"/>
      <c r="OJA1" s="4"/>
      <c r="OJB1" s="4"/>
      <c r="OJC1" s="4"/>
      <c r="OJD1" s="4"/>
      <c r="OJE1" s="4"/>
      <c r="OJF1" s="4"/>
      <c r="OJG1" s="4"/>
      <c r="OJH1" s="4"/>
      <c r="OJI1" s="4"/>
      <c r="OJJ1" s="4"/>
      <c r="OJK1" s="4"/>
      <c r="OJL1" s="4"/>
      <c r="OJM1" s="4"/>
      <c r="OJN1" s="4"/>
      <c r="OJO1" s="4"/>
      <c r="OJP1" s="4"/>
      <c r="OJQ1" s="4"/>
      <c r="OJR1" s="4"/>
      <c r="OJS1" s="4"/>
      <c r="OJT1" s="4"/>
      <c r="OJU1" s="4"/>
      <c r="OJV1" s="4"/>
      <c r="OJW1" s="4"/>
      <c r="OJX1" s="4"/>
      <c r="OJY1" s="4"/>
      <c r="OJZ1" s="4"/>
      <c r="OKA1" s="4"/>
      <c r="OKB1" s="4"/>
      <c r="OKC1" s="4"/>
      <c r="OKD1" s="4"/>
      <c r="OKE1" s="4"/>
      <c r="OKF1" s="4"/>
      <c r="OKG1" s="4"/>
      <c r="OKH1" s="4"/>
      <c r="OKI1" s="4"/>
      <c r="OKJ1" s="4"/>
      <c r="OKK1" s="4"/>
      <c r="OKL1" s="4"/>
      <c r="OKM1" s="4"/>
      <c r="OKN1" s="4"/>
      <c r="OKO1" s="4"/>
      <c r="OKP1" s="4"/>
      <c r="OKQ1" s="4"/>
      <c r="OKR1" s="4"/>
      <c r="OKS1" s="4"/>
      <c r="OKT1" s="4"/>
      <c r="OKU1" s="4"/>
      <c r="OKV1" s="4"/>
      <c r="OKW1" s="4"/>
      <c r="OKX1" s="4"/>
      <c r="OKY1" s="4"/>
      <c r="OKZ1" s="4"/>
      <c r="OLA1" s="4"/>
      <c r="OLB1" s="4"/>
      <c r="OLC1" s="4"/>
      <c r="OLD1" s="4"/>
      <c r="OLE1" s="4"/>
      <c r="OLF1" s="4"/>
      <c r="OLG1" s="4"/>
      <c r="OLH1" s="4"/>
      <c r="OLI1" s="4"/>
      <c r="OLJ1" s="4"/>
      <c r="OLK1" s="4"/>
      <c r="OLL1" s="4"/>
      <c r="OLM1" s="4"/>
      <c r="OLN1" s="4"/>
      <c r="OLO1" s="4"/>
      <c r="OLP1" s="4"/>
      <c r="OLQ1" s="4"/>
      <c r="OLR1" s="4"/>
      <c r="OLS1" s="4"/>
      <c r="OLT1" s="4"/>
      <c r="OLU1" s="4"/>
      <c r="OLV1" s="4"/>
      <c r="OLW1" s="4"/>
      <c r="OLX1" s="4"/>
      <c r="OLY1" s="4"/>
      <c r="OLZ1" s="4"/>
      <c r="OMA1" s="4"/>
      <c r="OMB1" s="4"/>
      <c r="OMC1" s="4"/>
      <c r="OMD1" s="4"/>
      <c r="OME1" s="4"/>
      <c r="OMF1" s="4"/>
      <c r="OMG1" s="4"/>
      <c r="OMH1" s="4"/>
      <c r="OMI1" s="4"/>
      <c r="OMJ1" s="4"/>
      <c r="OMK1" s="4"/>
      <c r="OML1" s="4"/>
      <c r="OMM1" s="4"/>
      <c r="OMN1" s="4"/>
      <c r="OMO1" s="4"/>
      <c r="OMP1" s="4"/>
      <c r="OMQ1" s="4"/>
      <c r="OMR1" s="4"/>
      <c r="OMS1" s="4"/>
      <c r="OMT1" s="4"/>
      <c r="OMU1" s="4"/>
      <c r="OMV1" s="4"/>
      <c r="OMW1" s="4"/>
      <c r="OMX1" s="4"/>
      <c r="OMY1" s="4"/>
      <c r="OMZ1" s="4"/>
      <c r="ONA1" s="4"/>
      <c r="ONB1" s="4"/>
      <c r="ONC1" s="4"/>
      <c r="OND1" s="4"/>
      <c r="ONE1" s="4"/>
      <c r="ONF1" s="4"/>
      <c r="ONG1" s="4"/>
      <c r="ONH1" s="4"/>
      <c r="ONI1" s="4"/>
      <c r="ONJ1" s="4"/>
      <c r="ONK1" s="4"/>
      <c r="ONL1" s="4"/>
      <c r="ONM1" s="4"/>
      <c r="ONN1" s="4"/>
      <c r="ONO1" s="4"/>
      <c r="ONP1" s="4"/>
      <c r="ONQ1" s="4"/>
      <c r="ONR1" s="4"/>
      <c r="ONS1" s="4"/>
      <c r="ONT1" s="4"/>
      <c r="ONU1" s="4"/>
      <c r="ONV1" s="4"/>
      <c r="ONW1" s="4"/>
      <c r="ONX1" s="4"/>
      <c r="ONY1" s="4"/>
      <c r="ONZ1" s="4"/>
      <c r="OOA1" s="4"/>
      <c r="OOB1" s="4"/>
      <c r="OOC1" s="4"/>
      <c r="OOD1" s="4"/>
      <c r="OOE1" s="4"/>
      <c r="OOF1" s="4"/>
      <c r="OOG1" s="4"/>
      <c r="OOH1" s="4"/>
      <c r="OOI1" s="4"/>
      <c r="OOJ1" s="4"/>
      <c r="OOK1" s="4"/>
      <c r="OOL1" s="4"/>
      <c r="OOM1" s="4"/>
      <c r="OON1" s="4"/>
      <c r="OOO1" s="4"/>
      <c r="OOP1" s="4"/>
      <c r="OOQ1" s="4"/>
      <c r="OOR1" s="4"/>
      <c r="OOS1" s="4"/>
      <c r="OOT1" s="4"/>
      <c r="OOU1" s="4"/>
      <c r="OOV1" s="4"/>
      <c r="OOW1" s="4"/>
      <c r="OOX1" s="4"/>
      <c r="OOY1" s="4"/>
      <c r="OOZ1" s="4"/>
      <c r="OPA1" s="4"/>
      <c r="OPB1" s="4"/>
      <c r="OPC1" s="4"/>
      <c r="OPD1" s="4"/>
      <c r="OPE1" s="4"/>
      <c r="OPF1" s="4"/>
      <c r="OPG1" s="4"/>
      <c r="OPH1" s="4"/>
      <c r="OPI1" s="4"/>
      <c r="OPJ1" s="4"/>
      <c r="OPK1" s="4"/>
      <c r="OPL1" s="4"/>
      <c r="OPM1" s="4"/>
      <c r="OPN1" s="4"/>
      <c r="OPO1" s="4"/>
      <c r="OPP1" s="4"/>
      <c r="OPQ1" s="4"/>
      <c r="OPR1" s="4"/>
      <c r="OPS1" s="4"/>
      <c r="OPT1" s="4"/>
      <c r="OPU1" s="4"/>
      <c r="OPV1" s="4"/>
      <c r="OPW1" s="4"/>
      <c r="OPX1" s="4"/>
      <c r="OPY1" s="4"/>
      <c r="OPZ1" s="4"/>
      <c r="OQA1" s="4"/>
      <c r="OQB1" s="4"/>
      <c r="OQC1" s="4"/>
      <c r="OQD1" s="4"/>
      <c r="OQE1" s="4"/>
      <c r="OQF1" s="4"/>
      <c r="OQG1" s="4"/>
      <c r="OQH1" s="4"/>
      <c r="OQI1" s="4"/>
      <c r="OQJ1" s="4"/>
      <c r="OQK1" s="4"/>
      <c r="OQL1" s="4"/>
      <c r="OQM1" s="4"/>
      <c r="OQN1" s="4"/>
      <c r="OQO1" s="4"/>
      <c r="OQP1" s="4"/>
      <c r="OQQ1" s="4"/>
      <c r="OQR1" s="4"/>
      <c r="OQS1" s="4"/>
      <c r="OQT1" s="4"/>
      <c r="OQU1" s="4"/>
      <c r="OQV1" s="4"/>
      <c r="OQW1" s="4"/>
      <c r="OQX1" s="4"/>
      <c r="OQY1" s="4"/>
      <c r="OQZ1" s="4"/>
      <c r="ORA1" s="4"/>
      <c r="ORB1" s="4"/>
      <c r="ORC1" s="4"/>
      <c r="ORD1" s="4"/>
      <c r="ORE1" s="4"/>
      <c r="ORF1" s="4"/>
      <c r="ORG1" s="4"/>
      <c r="ORH1" s="4"/>
      <c r="ORI1" s="4"/>
      <c r="ORJ1" s="4"/>
      <c r="ORK1" s="4"/>
      <c r="ORL1" s="4"/>
      <c r="ORM1" s="4"/>
      <c r="ORN1" s="4"/>
      <c r="ORO1" s="4"/>
      <c r="ORP1" s="4"/>
      <c r="ORQ1" s="4"/>
      <c r="ORR1" s="4"/>
      <c r="ORS1" s="4"/>
      <c r="ORT1" s="4"/>
      <c r="ORU1" s="4"/>
      <c r="ORV1" s="4"/>
      <c r="ORW1" s="4"/>
      <c r="ORX1" s="4"/>
      <c r="ORY1" s="4"/>
      <c r="ORZ1" s="4"/>
      <c r="OSA1" s="4"/>
      <c r="OSB1" s="4"/>
      <c r="OSC1" s="4"/>
      <c r="OSD1" s="4"/>
      <c r="OSE1" s="4"/>
      <c r="OSF1" s="4"/>
      <c r="OSG1" s="4"/>
      <c r="OSH1" s="4"/>
      <c r="OSI1" s="4"/>
      <c r="OSJ1" s="4"/>
      <c r="OSK1" s="4"/>
      <c r="OSL1" s="4"/>
      <c r="OSM1" s="4"/>
      <c r="OSN1" s="4"/>
      <c r="OSO1" s="4"/>
      <c r="OSP1" s="4"/>
      <c r="OSQ1" s="4"/>
      <c r="OSR1" s="4"/>
      <c r="OSS1" s="4"/>
      <c r="OST1" s="4"/>
      <c r="OSU1" s="4"/>
      <c r="OSV1" s="4"/>
      <c r="OSW1" s="4"/>
      <c r="OSX1" s="4"/>
      <c r="OSY1" s="4"/>
      <c r="OSZ1" s="4"/>
      <c r="OTA1" s="4"/>
      <c r="OTB1" s="4"/>
      <c r="OTC1" s="4"/>
      <c r="OTD1" s="4"/>
      <c r="OTE1" s="4"/>
      <c r="OTF1" s="4"/>
      <c r="OTG1" s="4"/>
      <c r="OTH1" s="4"/>
      <c r="OTI1" s="4"/>
      <c r="OTJ1" s="4"/>
      <c r="OTK1" s="4"/>
      <c r="OTL1" s="4"/>
      <c r="OTM1" s="4"/>
      <c r="OTN1" s="4"/>
      <c r="OTO1" s="4"/>
      <c r="OTP1" s="4"/>
      <c r="OTQ1" s="4"/>
      <c r="OTR1" s="4"/>
      <c r="OTS1" s="4"/>
      <c r="OTT1" s="4"/>
      <c r="OTU1" s="4"/>
      <c r="OTV1" s="4"/>
      <c r="OTW1" s="4"/>
      <c r="OTX1" s="4"/>
      <c r="OTY1" s="4"/>
      <c r="OTZ1" s="4"/>
      <c r="OUA1" s="4"/>
      <c r="OUB1" s="4"/>
      <c r="OUC1" s="4"/>
      <c r="OUD1" s="4"/>
      <c r="OUE1" s="4"/>
      <c r="OUF1" s="4"/>
      <c r="OUG1" s="4"/>
      <c r="OUH1" s="4"/>
      <c r="OUI1" s="4"/>
      <c r="OUJ1" s="4"/>
      <c r="OUK1" s="4"/>
      <c r="OUL1" s="4"/>
      <c r="OUM1" s="4"/>
      <c r="OUN1" s="4"/>
      <c r="OUO1" s="4"/>
      <c r="OUP1" s="4"/>
      <c r="OUQ1" s="4"/>
      <c r="OUR1" s="4"/>
      <c r="OUS1" s="4"/>
      <c r="OUT1" s="4"/>
      <c r="OUU1" s="4"/>
      <c r="OUV1" s="4"/>
      <c r="OUW1" s="4"/>
      <c r="OUX1" s="4"/>
      <c r="OUY1" s="4"/>
      <c r="OUZ1" s="4"/>
      <c r="OVA1" s="4"/>
      <c r="OVB1" s="4"/>
      <c r="OVC1" s="4"/>
      <c r="OVD1" s="4"/>
      <c r="OVE1" s="4"/>
      <c r="OVF1" s="4"/>
      <c r="OVG1" s="4"/>
      <c r="OVH1" s="4"/>
      <c r="OVI1" s="4"/>
      <c r="OVJ1" s="4"/>
      <c r="OVK1" s="4"/>
      <c r="OVL1" s="4"/>
      <c r="OVM1" s="4"/>
      <c r="OVN1" s="4"/>
      <c r="OVO1" s="4"/>
      <c r="OVP1" s="4"/>
      <c r="OVQ1" s="4"/>
      <c r="OVR1" s="4"/>
      <c r="OVS1" s="4"/>
      <c r="OVT1" s="4"/>
      <c r="OVU1" s="4"/>
      <c r="OVV1" s="4"/>
      <c r="OVW1" s="4"/>
      <c r="OVX1" s="4"/>
      <c r="OVY1" s="4"/>
      <c r="OVZ1" s="4"/>
      <c r="OWA1" s="4"/>
      <c r="OWB1" s="4"/>
      <c r="OWC1" s="4"/>
      <c r="OWD1" s="4"/>
      <c r="OWE1" s="4"/>
      <c r="OWF1" s="4"/>
      <c r="OWG1" s="4"/>
      <c r="OWH1" s="4"/>
      <c r="OWI1" s="4"/>
      <c r="OWJ1" s="4"/>
      <c r="OWK1" s="4"/>
      <c r="OWL1" s="4"/>
      <c r="OWM1" s="4"/>
      <c r="OWN1" s="4"/>
      <c r="OWO1" s="4"/>
      <c r="OWP1" s="4"/>
      <c r="OWQ1" s="4"/>
      <c r="OWR1" s="4"/>
      <c r="OWS1" s="4"/>
      <c r="OWT1" s="4"/>
      <c r="OWU1" s="4"/>
      <c r="OWV1" s="4"/>
      <c r="OWW1" s="4"/>
      <c r="OWX1" s="4"/>
      <c r="OWY1" s="4"/>
      <c r="OWZ1" s="4"/>
      <c r="OXA1" s="4"/>
      <c r="OXB1" s="4"/>
      <c r="OXC1" s="4"/>
      <c r="OXD1" s="4"/>
      <c r="OXE1" s="4"/>
      <c r="OXF1" s="4"/>
      <c r="OXG1" s="4"/>
      <c r="OXH1" s="4"/>
      <c r="OXI1" s="4"/>
      <c r="OXJ1" s="4"/>
      <c r="OXK1" s="4"/>
      <c r="OXL1" s="4"/>
      <c r="OXM1" s="4"/>
      <c r="OXN1" s="4"/>
      <c r="OXO1" s="4"/>
      <c r="OXP1" s="4"/>
      <c r="OXQ1" s="4"/>
      <c r="OXR1" s="4"/>
      <c r="OXS1" s="4"/>
      <c r="OXT1" s="4"/>
      <c r="OXU1" s="4"/>
      <c r="OXV1" s="4"/>
      <c r="OXW1" s="4"/>
      <c r="OXX1" s="4"/>
      <c r="OXY1" s="4"/>
      <c r="OXZ1" s="4"/>
      <c r="OYA1" s="4"/>
      <c r="OYB1" s="4"/>
      <c r="OYC1" s="4"/>
      <c r="OYD1" s="4"/>
      <c r="OYE1" s="4"/>
      <c r="OYF1" s="4"/>
      <c r="OYG1" s="4"/>
      <c r="OYH1" s="4"/>
      <c r="OYI1" s="4"/>
      <c r="OYJ1" s="4"/>
      <c r="OYK1" s="4"/>
      <c r="OYL1" s="4"/>
      <c r="OYM1" s="4"/>
      <c r="OYN1" s="4"/>
      <c r="OYO1" s="4"/>
      <c r="OYP1" s="4"/>
      <c r="OYQ1" s="4"/>
      <c r="OYR1" s="4"/>
      <c r="OYS1" s="4"/>
      <c r="OYT1" s="4"/>
      <c r="OYU1" s="4"/>
      <c r="OYV1" s="4"/>
      <c r="OYW1" s="4"/>
      <c r="OYX1" s="4"/>
      <c r="OYY1" s="4"/>
      <c r="OYZ1" s="4"/>
      <c r="OZA1" s="4"/>
      <c r="OZB1" s="4"/>
      <c r="OZC1" s="4"/>
      <c r="OZD1" s="4"/>
      <c r="OZE1" s="4"/>
      <c r="OZF1" s="4"/>
      <c r="OZG1" s="4"/>
      <c r="OZH1" s="4"/>
      <c r="OZI1" s="4"/>
      <c r="OZJ1" s="4"/>
      <c r="OZK1" s="4"/>
      <c r="OZL1" s="4"/>
      <c r="OZM1" s="4"/>
      <c r="OZN1" s="4"/>
      <c r="OZO1" s="4"/>
      <c r="OZP1" s="4"/>
      <c r="OZQ1" s="4"/>
      <c r="OZR1" s="4"/>
      <c r="OZS1" s="4"/>
      <c r="OZT1" s="4"/>
      <c r="OZU1" s="4"/>
      <c r="OZV1" s="4"/>
      <c r="OZW1" s="4"/>
      <c r="OZX1" s="4"/>
      <c r="OZY1" s="4"/>
      <c r="OZZ1" s="4"/>
      <c r="PAA1" s="4"/>
      <c r="PAB1" s="4"/>
      <c r="PAC1" s="4"/>
      <c r="PAD1" s="4"/>
      <c r="PAE1" s="4"/>
      <c r="PAF1" s="4"/>
      <c r="PAG1" s="4"/>
      <c r="PAH1" s="4"/>
      <c r="PAI1" s="4"/>
      <c r="PAJ1" s="4"/>
      <c r="PAK1" s="4"/>
      <c r="PAL1" s="4"/>
      <c r="PAM1" s="4"/>
      <c r="PAN1" s="4"/>
      <c r="PAO1" s="4"/>
      <c r="PAP1" s="4"/>
      <c r="PAQ1" s="4"/>
      <c r="PAR1" s="4"/>
      <c r="PAS1" s="4"/>
      <c r="PAT1" s="4"/>
      <c r="PAU1" s="4"/>
      <c r="PAV1" s="4"/>
      <c r="PAW1" s="4"/>
      <c r="PAX1" s="4"/>
      <c r="PAY1" s="4"/>
      <c r="PAZ1" s="4"/>
      <c r="PBA1" s="4"/>
      <c r="PBB1" s="4"/>
      <c r="PBC1" s="4"/>
      <c r="PBD1" s="4"/>
      <c r="PBE1" s="4"/>
      <c r="PBF1" s="4"/>
      <c r="PBG1" s="4"/>
      <c r="PBH1" s="4"/>
      <c r="PBI1" s="4"/>
      <c r="PBJ1" s="4"/>
      <c r="PBK1" s="4"/>
      <c r="PBL1" s="4"/>
      <c r="PBM1" s="4"/>
      <c r="PBN1" s="4"/>
      <c r="PBO1" s="4"/>
      <c r="PBP1" s="4"/>
      <c r="PBQ1" s="4"/>
      <c r="PBR1" s="4"/>
      <c r="PBS1" s="4"/>
      <c r="PBT1" s="4"/>
      <c r="PBU1" s="4"/>
      <c r="PBV1" s="4"/>
      <c r="PBW1" s="4"/>
      <c r="PBX1" s="4"/>
      <c r="PBY1" s="4"/>
      <c r="PBZ1" s="4"/>
      <c r="PCA1" s="4"/>
      <c r="PCB1" s="4"/>
      <c r="PCC1" s="4"/>
      <c r="PCD1" s="4"/>
      <c r="PCE1" s="4"/>
      <c r="PCF1" s="4"/>
      <c r="PCG1" s="4"/>
      <c r="PCH1" s="4"/>
      <c r="PCI1" s="4"/>
      <c r="PCJ1" s="4"/>
      <c r="PCK1" s="4"/>
      <c r="PCL1" s="4"/>
      <c r="PCM1" s="4"/>
      <c r="PCN1" s="4"/>
      <c r="PCO1" s="4"/>
      <c r="PCP1" s="4"/>
      <c r="PCQ1" s="4"/>
      <c r="PCR1" s="4"/>
      <c r="PCS1" s="4"/>
      <c r="PCT1" s="4"/>
      <c r="PCU1" s="4"/>
      <c r="PCV1" s="4"/>
      <c r="PCW1" s="4"/>
      <c r="PCX1" s="4"/>
      <c r="PCY1" s="4"/>
      <c r="PCZ1" s="4"/>
      <c r="PDA1" s="4"/>
      <c r="PDB1" s="4"/>
      <c r="PDC1" s="4"/>
      <c r="PDD1" s="4"/>
      <c r="PDE1" s="4"/>
      <c r="PDF1" s="4"/>
      <c r="PDG1" s="4"/>
      <c r="PDH1" s="4"/>
      <c r="PDI1" s="4"/>
      <c r="PDJ1" s="4"/>
      <c r="PDK1" s="4"/>
      <c r="PDL1" s="4"/>
      <c r="PDM1" s="4"/>
      <c r="PDN1" s="4"/>
      <c r="PDO1" s="4"/>
      <c r="PDP1" s="4"/>
      <c r="PDQ1" s="4"/>
      <c r="PDR1" s="4"/>
      <c r="PDS1" s="4"/>
      <c r="PDT1" s="4"/>
      <c r="PDU1" s="4"/>
      <c r="PDV1" s="4"/>
      <c r="PDW1" s="4"/>
      <c r="PDX1" s="4"/>
      <c r="PDY1" s="4"/>
      <c r="PDZ1" s="4"/>
      <c r="PEA1" s="4"/>
      <c r="PEB1" s="4"/>
      <c r="PEC1" s="4"/>
      <c r="PED1" s="4"/>
      <c r="PEE1" s="4"/>
      <c r="PEF1" s="4"/>
      <c r="PEG1" s="4"/>
      <c r="PEH1" s="4"/>
      <c r="PEI1" s="4"/>
      <c r="PEJ1" s="4"/>
      <c r="PEK1" s="4"/>
      <c r="PEL1" s="4"/>
      <c r="PEM1" s="4"/>
      <c r="PEN1" s="4"/>
      <c r="PEO1" s="4"/>
      <c r="PEP1" s="4"/>
      <c r="PEQ1" s="4"/>
      <c r="PER1" s="4"/>
      <c r="PES1" s="4"/>
      <c r="PET1" s="4"/>
      <c r="PEU1" s="4"/>
      <c r="PEV1" s="4"/>
      <c r="PEW1" s="4"/>
      <c r="PEX1" s="4"/>
      <c r="PEY1" s="4"/>
      <c r="PEZ1" s="4"/>
      <c r="PFA1" s="4"/>
      <c r="PFB1" s="4"/>
      <c r="PFC1" s="4"/>
      <c r="PFD1" s="4"/>
      <c r="PFE1" s="4"/>
      <c r="PFF1" s="4"/>
      <c r="PFG1" s="4"/>
      <c r="PFH1" s="4"/>
      <c r="PFI1" s="4"/>
      <c r="PFJ1" s="4"/>
      <c r="PFK1" s="4"/>
      <c r="PFL1" s="4"/>
      <c r="PFM1" s="4"/>
      <c r="PFN1" s="4"/>
      <c r="PFO1" s="4"/>
      <c r="PFP1" s="4"/>
      <c r="PFQ1" s="4"/>
      <c r="PFR1" s="4"/>
      <c r="PFS1" s="4"/>
      <c r="PFT1" s="4"/>
      <c r="PFU1" s="4"/>
      <c r="PFV1" s="4"/>
      <c r="PFW1" s="4"/>
      <c r="PFX1" s="4"/>
      <c r="PFY1" s="4"/>
      <c r="PFZ1" s="4"/>
      <c r="PGA1" s="4"/>
      <c r="PGB1" s="4"/>
      <c r="PGC1" s="4"/>
      <c r="PGD1" s="4"/>
      <c r="PGE1" s="4"/>
      <c r="PGF1" s="4"/>
      <c r="PGG1" s="4"/>
      <c r="PGH1" s="4"/>
      <c r="PGI1" s="4"/>
      <c r="PGJ1" s="4"/>
      <c r="PGK1" s="4"/>
      <c r="PGL1" s="4"/>
      <c r="PGM1" s="4"/>
      <c r="PGN1" s="4"/>
      <c r="PGO1" s="4"/>
      <c r="PGP1" s="4"/>
      <c r="PGQ1" s="4"/>
      <c r="PGR1" s="4"/>
      <c r="PGS1" s="4"/>
      <c r="PGT1" s="4"/>
      <c r="PGU1" s="4"/>
      <c r="PGV1" s="4"/>
      <c r="PGW1" s="4"/>
      <c r="PGX1" s="4"/>
      <c r="PGY1" s="4"/>
      <c r="PGZ1" s="4"/>
      <c r="PHA1" s="4"/>
      <c r="PHB1" s="4"/>
      <c r="PHC1" s="4"/>
      <c r="PHD1" s="4"/>
      <c r="PHE1" s="4"/>
      <c r="PHF1" s="4"/>
      <c r="PHG1" s="4"/>
      <c r="PHH1" s="4"/>
      <c r="PHI1" s="4"/>
      <c r="PHJ1" s="4"/>
      <c r="PHK1" s="4"/>
      <c r="PHL1" s="4"/>
      <c r="PHM1" s="4"/>
      <c r="PHN1" s="4"/>
      <c r="PHO1" s="4"/>
      <c r="PHP1" s="4"/>
      <c r="PHQ1" s="4"/>
      <c r="PHR1" s="4"/>
      <c r="PHS1" s="4"/>
      <c r="PHT1" s="4"/>
      <c r="PHU1" s="4"/>
      <c r="PHV1" s="4"/>
      <c r="PHW1" s="4"/>
      <c r="PHX1" s="4"/>
      <c r="PHY1" s="4"/>
      <c r="PHZ1" s="4"/>
      <c r="PIA1" s="4"/>
      <c r="PIB1" s="4"/>
      <c r="PIC1" s="4"/>
      <c r="PID1" s="4"/>
      <c r="PIE1" s="4"/>
      <c r="PIF1" s="4"/>
      <c r="PIG1" s="4"/>
      <c r="PIH1" s="4"/>
      <c r="PII1" s="4"/>
      <c r="PIJ1" s="4"/>
      <c r="PIK1" s="4"/>
      <c r="PIL1" s="4"/>
      <c r="PIM1" s="4"/>
      <c r="PIN1" s="4"/>
      <c r="PIO1" s="4"/>
      <c r="PIP1" s="4"/>
      <c r="PIQ1" s="4"/>
      <c r="PIR1" s="4"/>
      <c r="PIS1" s="4"/>
      <c r="PIT1" s="4"/>
      <c r="PIU1" s="4"/>
      <c r="PIV1" s="4"/>
      <c r="PIW1" s="4"/>
      <c r="PIX1" s="4"/>
      <c r="PIY1" s="4"/>
      <c r="PIZ1" s="4"/>
      <c r="PJA1" s="4"/>
      <c r="PJB1" s="4"/>
      <c r="PJC1" s="4"/>
      <c r="PJD1" s="4"/>
      <c r="PJE1" s="4"/>
      <c r="PJF1" s="4"/>
      <c r="PJG1" s="4"/>
      <c r="PJH1" s="4"/>
      <c r="PJI1" s="4"/>
      <c r="PJJ1" s="4"/>
      <c r="PJK1" s="4"/>
      <c r="PJL1" s="4"/>
      <c r="PJM1" s="4"/>
      <c r="PJN1" s="4"/>
      <c r="PJO1" s="4"/>
      <c r="PJP1" s="4"/>
      <c r="PJQ1" s="4"/>
      <c r="PJR1" s="4"/>
      <c r="PJS1" s="4"/>
      <c r="PJT1" s="4"/>
      <c r="PJU1" s="4"/>
      <c r="PJV1" s="4"/>
      <c r="PJW1" s="4"/>
      <c r="PJX1" s="4"/>
      <c r="PJY1" s="4"/>
      <c r="PJZ1" s="4"/>
      <c r="PKA1" s="4"/>
      <c r="PKB1" s="4"/>
      <c r="PKC1" s="4"/>
      <c r="PKD1" s="4"/>
      <c r="PKE1" s="4"/>
      <c r="PKF1" s="4"/>
      <c r="PKG1" s="4"/>
      <c r="PKH1" s="4"/>
      <c r="PKI1" s="4"/>
      <c r="PKJ1" s="4"/>
      <c r="PKK1" s="4"/>
      <c r="PKL1" s="4"/>
      <c r="PKM1" s="4"/>
      <c r="PKN1" s="4"/>
      <c r="PKO1" s="4"/>
      <c r="PKP1" s="4"/>
      <c r="PKQ1" s="4"/>
      <c r="PKR1" s="4"/>
      <c r="PKS1" s="4"/>
      <c r="PKT1" s="4"/>
      <c r="PKU1" s="4"/>
      <c r="PKV1" s="4"/>
      <c r="PKW1" s="4"/>
      <c r="PKX1" s="4"/>
      <c r="PKY1" s="4"/>
      <c r="PKZ1" s="4"/>
      <c r="PLA1" s="4"/>
      <c r="PLB1" s="4"/>
      <c r="PLC1" s="4"/>
      <c r="PLD1" s="4"/>
      <c r="PLE1" s="4"/>
      <c r="PLF1" s="4"/>
      <c r="PLG1" s="4"/>
      <c r="PLH1" s="4"/>
      <c r="PLI1" s="4"/>
      <c r="PLJ1" s="4"/>
      <c r="PLK1" s="4"/>
      <c r="PLL1" s="4"/>
      <c r="PLM1" s="4"/>
      <c r="PLN1" s="4"/>
      <c r="PLO1" s="4"/>
      <c r="PLP1" s="4"/>
      <c r="PLQ1" s="4"/>
      <c r="PLR1" s="4"/>
      <c r="PLS1" s="4"/>
      <c r="PLT1" s="4"/>
      <c r="PLU1" s="4"/>
      <c r="PLV1" s="4"/>
      <c r="PLW1" s="4"/>
      <c r="PLX1" s="4"/>
      <c r="PLY1" s="4"/>
      <c r="PLZ1" s="4"/>
      <c r="PMA1" s="4"/>
      <c r="PMB1" s="4"/>
      <c r="PMC1" s="4"/>
      <c r="PMD1" s="4"/>
      <c r="PME1" s="4"/>
      <c r="PMF1" s="4"/>
      <c r="PMG1" s="4"/>
      <c r="PMH1" s="4"/>
      <c r="PMI1" s="4"/>
      <c r="PMJ1" s="4"/>
      <c r="PMK1" s="4"/>
      <c r="PML1" s="4"/>
      <c r="PMM1" s="4"/>
      <c r="PMN1" s="4"/>
      <c r="PMO1" s="4"/>
      <c r="PMP1" s="4"/>
      <c r="PMQ1" s="4"/>
      <c r="PMR1" s="4"/>
      <c r="PMS1" s="4"/>
      <c r="PMT1" s="4"/>
      <c r="PMU1" s="4"/>
      <c r="PMV1" s="4"/>
      <c r="PMW1" s="4"/>
      <c r="PMX1" s="4"/>
      <c r="PMY1" s="4"/>
      <c r="PMZ1" s="4"/>
      <c r="PNA1" s="4"/>
      <c r="PNB1" s="4"/>
      <c r="PNC1" s="4"/>
      <c r="PND1" s="4"/>
      <c r="PNE1" s="4"/>
      <c r="PNF1" s="4"/>
      <c r="PNG1" s="4"/>
      <c r="PNH1" s="4"/>
      <c r="PNI1" s="4"/>
      <c r="PNJ1" s="4"/>
      <c r="PNK1" s="4"/>
      <c r="PNL1" s="4"/>
      <c r="PNM1" s="4"/>
      <c r="PNN1" s="4"/>
      <c r="PNO1" s="4"/>
      <c r="PNP1" s="4"/>
      <c r="PNQ1" s="4"/>
      <c r="PNR1" s="4"/>
      <c r="PNS1" s="4"/>
      <c r="PNT1" s="4"/>
      <c r="PNU1" s="4"/>
      <c r="PNV1" s="4"/>
      <c r="PNW1" s="4"/>
      <c r="PNX1" s="4"/>
      <c r="PNY1" s="4"/>
      <c r="PNZ1" s="4"/>
      <c r="POA1" s="4"/>
      <c r="POB1" s="4"/>
      <c r="POC1" s="4"/>
      <c r="POD1" s="4"/>
      <c r="POE1" s="4"/>
      <c r="POF1" s="4"/>
      <c r="POG1" s="4"/>
      <c r="POH1" s="4"/>
      <c r="POI1" s="4"/>
      <c r="POJ1" s="4"/>
      <c r="POK1" s="4"/>
      <c r="POL1" s="4"/>
      <c r="POM1" s="4"/>
      <c r="PON1" s="4"/>
      <c r="POO1" s="4"/>
      <c r="POP1" s="4"/>
      <c r="POQ1" s="4"/>
      <c r="POR1" s="4"/>
      <c r="POS1" s="4"/>
      <c r="POT1" s="4"/>
      <c r="POU1" s="4"/>
      <c r="POV1" s="4"/>
      <c r="POW1" s="4"/>
      <c r="POX1" s="4"/>
      <c r="POY1" s="4"/>
      <c r="POZ1" s="4"/>
      <c r="PPA1" s="4"/>
      <c r="PPB1" s="4"/>
      <c r="PPC1" s="4"/>
      <c r="PPD1" s="4"/>
      <c r="PPE1" s="4"/>
      <c r="PPF1" s="4"/>
      <c r="PPG1" s="4"/>
      <c r="PPH1" s="4"/>
      <c r="PPI1" s="4"/>
      <c r="PPJ1" s="4"/>
      <c r="PPK1" s="4"/>
      <c r="PPL1" s="4"/>
      <c r="PPM1" s="4"/>
      <c r="PPN1" s="4"/>
      <c r="PPO1" s="4"/>
      <c r="PPP1" s="4"/>
      <c r="PPQ1" s="4"/>
      <c r="PPR1" s="4"/>
      <c r="PPS1" s="4"/>
      <c r="PPT1" s="4"/>
      <c r="PPU1" s="4"/>
      <c r="PPV1" s="4"/>
      <c r="PPW1" s="4"/>
      <c r="PPX1" s="4"/>
      <c r="PPY1" s="4"/>
      <c r="PPZ1" s="4"/>
      <c r="PQA1" s="4"/>
      <c r="PQB1" s="4"/>
      <c r="PQC1" s="4"/>
      <c r="PQD1" s="4"/>
      <c r="PQE1" s="4"/>
      <c r="PQF1" s="4"/>
      <c r="PQG1" s="4"/>
      <c r="PQH1" s="4"/>
      <c r="PQI1" s="4"/>
      <c r="PQJ1" s="4"/>
      <c r="PQK1" s="4"/>
      <c r="PQL1" s="4"/>
      <c r="PQM1" s="4"/>
      <c r="PQN1" s="4"/>
      <c r="PQO1" s="4"/>
      <c r="PQP1" s="4"/>
      <c r="PQQ1" s="4"/>
      <c r="PQR1" s="4"/>
      <c r="PQS1" s="4"/>
      <c r="PQT1" s="4"/>
      <c r="PQU1" s="4"/>
      <c r="PQV1" s="4"/>
      <c r="PQW1" s="4"/>
      <c r="PQX1" s="4"/>
      <c r="PQY1" s="4"/>
      <c r="PQZ1" s="4"/>
      <c r="PRA1" s="4"/>
      <c r="PRB1" s="4"/>
      <c r="PRC1" s="4"/>
      <c r="PRD1" s="4"/>
      <c r="PRE1" s="4"/>
      <c r="PRF1" s="4"/>
      <c r="PRG1" s="4"/>
      <c r="PRH1" s="4"/>
      <c r="PRI1" s="4"/>
      <c r="PRJ1" s="4"/>
      <c r="PRK1" s="4"/>
      <c r="PRL1" s="4"/>
      <c r="PRM1" s="4"/>
      <c r="PRN1" s="4"/>
      <c r="PRO1" s="4"/>
      <c r="PRP1" s="4"/>
      <c r="PRQ1" s="4"/>
      <c r="PRR1" s="4"/>
      <c r="PRS1" s="4"/>
      <c r="PRT1" s="4"/>
      <c r="PRU1" s="4"/>
      <c r="PRV1" s="4"/>
      <c r="PRW1" s="4"/>
      <c r="PRX1" s="4"/>
      <c r="PRY1" s="4"/>
      <c r="PRZ1" s="4"/>
      <c r="PSA1" s="4"/>
      <c r="PSB1" s="4"/>
      <c r="PSC1" s="4"/>
      <c r="PSD1" s="4"/>
      <c r="PSE1" s="4"/>
      <c r="PSF1" s="4"/>
      <c r="PSG1" s="4"/>
      <c r="PSH1" s="4"/>
      <c r="PSI1" s="4"/>
      <c r="PSJ1" s="4"/>
      <c r="PSK1" s="4"/>
      <c r="PSL1" s="4"/>
      <c r="PSM1" s="4"/>
      <c r="PSN1" s="4"/>
      <c r="PSO1" s="4"/>
      <c r="PSP1" s="4"/>
      <c r="PSQ1" s="4"/>
      <c r="PSR1" s="4"/>
      <c r="PSS1" s="4"/>
      <c r="PST1" s="4"/>
      <c r="PSU1" s="4"/>
      <c r="PSV1" s="4"/>
      <c r="PSW1" s="4"/>
      <c r="PSX1" s="4"/>
      <c r="PSY1" s="4"/>
      <c r="PSZ1" s="4"/>
      <c r="PTA1" s="4"/>
      <c r="PTB1" s="4"/>
      <c r="PTC1" s="4"/>
      <c r="PTD1" s="4"/>
      <c r="PTE1" s="4"/>
      <c r="PTF1" s="4"/>
      <c r="PTG1" s="4"/>
      <c r="PTH1" s="4"/>
      <c r="PTI1" s="4"/>
      <c r="PTJ1" s="4"/>
      <c r="PTK1" s="4"/>
      <c r="PTL1" s="4"/>
      <c r="PTM1" s="4"/>
      <c r="PTN1" s="4"/>
      <c r="PTO1" s="4"/>
      <c r="PTP1" s="4"/>
      <c r="PTQ1" s="4"/>
      <c r="PTR1" s="4"/>
      <c r="PTS1" s="4"/>
      <c r="PTT1" s="4"/>
      <c r="PTU1" s="4"/>
      <c r="PTV1" s="4"/>
      <c r="PTW1" s="4"/>
      <c r="PTX1" s="4"/>
      <c r="PTY1" s="4"/>
      <c r="PTZ1" s="4"/>
      <c r="PUA1" s="4"/>
      <c r="PUB1" s="4"/>
      <c r="PUC1" s="4"/>
      <c r="PUD1" s="4"/>
      <c r="PUE1" s="4"/>
      <c r="PUF1" s="4"/>
      <c r="PUG1" s="4"/>
      <c r="PUH1" s="4"/>
      <c r="PUI1" s="4"/>
      <c r="PUJ1" s="4"/>
      <c r="PUK1" s="4"/>
      <c r="PUL1" s="4"/>
      <c r="PUM1" s="4"/>
      <c r="PUN1" s="4"/>
      <c r="PUO1" s="4"/>
      <c r="PUP1" s="4"/>
      <c r="PUQ1" s="4"/>
      <c r="PUR1" s="4"/>
      <c r="PUS1" s="4"/>
      <c r="PUT1" s="4"/>
      <c r="PUU1" s="4"/>
      <c r="PUV1" s="4"/>
      <c r="PUW1" s="4"/>
      <c r="PUX1" s="4"/>
      <c r="PUY1" s="4"/>
      <c r="PUZ1" s="4"/>
      <c r="PVA1" s="4"/>
      <c r="PVB1" s="4"/>
      <c r="PVC1" s="4"/>
      <c r="PVD1" s="4"/>
      <c r="PVE1" s="4"/>
      <c r="PVF1" s="4"/>
      <c r="PVG1" s="4"/>
      <c r="PVH1" s="4"/>
      <c r="PVI1" s="4"/>
      <c r="PVJ1" s="4"/>
      <c r="PVK1" s="4"/>
      <c r="PVL1" s="4"/>
      <c r="PVM1" s="4"/>
      <c r="PVN1" s="4"/>
      <c r="PVO1" s="4"/>
      <c r="PVP1" s="4"/>
      <c r="PVQ1" s="4"/>
      <c r="PVR1" s="4"/>
      <c r="PVS1" s="4"/>
      <c r="PVT1" s="4"/>
      <c r="PVU1" s="4"/>
      <c r="PVV1" s="4"/>
      <c r="PVW1" s="4"/>
      <c r="PVX1" s="4"/>
      <c r="PVY1" s="4"/>
      <c r="PVZ1" s="4"/>
      <c r="PWA1" s="4"/>
      <c r="PWB1" s="4"/>
      <c r="PWC1" s="4"/>
      <c r="PWD1" s="4"/>
      <c r="PWE1" s="4"/>
      <c r="PWF1" s="4"/>
      <c r="PWG1" s="4"/>
      <c r="PWH1" s="4"/>
      <c r="PWI1" s="4"/>
      <c r="PWJ1" s="4"/>
      <c r="PWK1" s="4"/>
      <c r="PWL1" s="4"/>
      <c r="PWM1" s="4"/>
      <c r="PWN1" s="4"/>
      <c r="PWO1" s="4"/>
      <c r="PWP1" s="4"/>
      <c r="PWQ1" s="4"/>
      <c r="PWR1" s="4"/>
      <c r="PWS1" s="4"/>
      <c r="PWT1" s="4"/>
      <c r="PWU1" s="4"/>
      <c r="PWV1" s="4"/>
      <c r="PWW1" s="4"/>
      <c r="PWX1" s="4"/>
      <c r="PWY1" s="4"/>
      <c r="PWZ1" s="4"/>
      <c r="PXA1" s="4"/>
      <c r="PXB1" s="4"/>
      <c r="PXC1" s="4"/>
      <c r="PXD1" s="4"/>
      <c r="PXE1" s="4"/>
      <c r="PXF1" s="4"/>
      <c r="PXG1" s="4"/>
      <c r="PXH1" s="4"/>
      <c r="PXI1" s="4"/>
      <c r="PXJ1" s="4"/>
      <c r="PXK1" s="4"/>
      <c r="PXL1" s="4"/>
      <c r="PXM1" s="4"/>
      <c r="PXN1" s="4"/>
      <c r="PXO1" s="4"/>
      <c r="PXP1" s="4"/>
      <c r="PXQ1" s="4"/>
      <c r="PXR1" s="4"/>
      <c r="PXS1" s="4"/>
      <c r="PXT1" s="4"/>
      <c r="PXU1" s="4"/>
      <c r="PXV1" s="4"/>
      <c r="PXW1" s="4"/>
      <c r="PXX1" s="4"/>
      <c r="PXY1" s="4"/>
      <c r="PXZ1" s="4"/>
      <c r="PYA1" s="4"/>
      <c r="PYB1" s="4"/>
      <c r="PYC1" s="4"/>
      <c r="PYD1" s="4"/>
      <c r="PYE1" s="4"/>
      <c r="PYF1" s="4"/>
      <c r="PYG1" s="4"/>
      <c r="PYH1" s="4"/>
      <c r="PYI1" s="4"/>
      <c r="PYJ1" s="4"/>
      <c r="PYK1" s="4"/>
      <c r="PYL1" s="4"/>
      <c r="PYM1" s="4"/>
      <c r="PYN1" s="4"/>
      <c r="PYO1" s="4"/>
      <c r="PYP1" s="4"/>
      <c r="PYQ1" s="4"/>
      <c r="PYR1" s="4"/>
      <c r="PYS1" s="4"/>
      <c r="PYT1" s="4"/>
      <c r="PYU1" s="4"/>
      <c r="PYV1" s="4"/>
      <c r="PYW1" s="4"/>
      <c r="PYX1" s="4"/>
      <c r="PYY1" s="4"/>
      <c r="PYZ1" s="4"/>
      <c r="PZA1" s="4"/>
      <c r="PZB1" s="4"/>
      <c r="PZC1" s="4"/>
      <c r="PZD1" s="4"/>
      <c r="PZE1" s="4"/>
      <c r="PZF1" s="4"/>
      <c r="PZG1" s="4"/>
      <c r="PZH1" s="4"/>
      <c r="PZI1" s="4"/>
      <c r="PZJ1" s="4"/>
      <c r="PZK1" s="4"/>
      <c r="PZL1" s="4"/>
      <c r="PZM1" s="4"/>
      <c r="PZN1" s="4"/>
      <c r="PZO1" s="4"/>
      <c r="PZP1" s="4"/>
      <c r="PZQ1" s="4"/>
      <c r="PZR1" s="4"/>
      <c r="PZS1" s="4"/>
      <c r="PZT1" s="4"/>
      <c r="PZU1" s="4"/>
      <c r="PZV1" s="4"/>
      <c r="PZW1" s="4"/>
      <c r="PZX1" s="4"/>
      <c r="PZY1" s="4"/>
      <c r="PZZ1" s="4"/>
      <c r="QAA1" s="4"/>
      <c r="QAB1" s="4"/>
      <c r="QAC1" s="4"/>
      <c r="QAD1" s="4"/>
      <c r="QAE1" s="4"/>
      <c r="QAF1" s="4"/>
      <c r="QAG1" s="4"/>
      <c r="QAH1" s="4"/>
      <c r="QAI1" s="4"/>
      <c r="QAJ1" s="4"/>
      <c r="QAK1" s="4"/>
      <c r="QAL1" s="4"/>
      <c r="QAM1" s="4"/>
      <c r="QAN1" s="4"/>
      <c r="QAO1" s="4"/>
      <c r="QAP1" s="4"/>
      <c r="QAQ1" s="4"/>
      <c r="QAR1" s="4"/>
      <c r="QAS1" s="4"/>
      <c r="QAT1" s="4"/>
      <c r="QAU1" s="4"/>
      <c r="QAV1" s="4"/>
      <c r="QAW1" s="4"/>
      <c r="QAX1" s="4"/>
      <c r="QAY1" s="4"/>
      <c r="QAZ1" s="4"/>
      <c r="QBA1" s="4"/>
      <c r="QBB1" s="4"/>
      <c r="QBC1" s="4"/>
      <c r="QBD1" s="4"/>
      <c r="QBE1" s="4"/>
      <c r="QBF1" s="4"/>
      <c r="QBG1" s="4"/>
      <c r="QBH1" s="4"/>
      <c r="QBI1" s="4"/>
      <c r="QBJ1" s="4"/>
      <c r="QBK1" s="4"/>
      <c r="QBL1" s="4"/>
      <c r="QBM1" s="4"/>
      <c r="QBN1" s="4"/>
      <c r="QBO1" s="4"/>
      <c r="QBP1" s="4"/>
      <c r="QBQ1" s="4"/>
      <c r="QBR1" s="4"/>
      <c r="QBS1" s="4"/>
      <c r="QBT1" s="4"/>
      <c r="QBU1" s="4"/>
      <c r="QBV1" s="4"/>
      <c r="QBW1" s="4"/>
      <c r="QBX1" s="4"/>
      <c r="QBY1" s="4"/>
      <c r="QBZ1" s="4"/>
      <c r="QCA1" s="4"/>
      <c r="QCB1" s="4"/>
      <c r="QCC1" s="4"/>
      <c r="QCD1" s="4"/>
      <c r="QCE1" s="4"/>
      <c r="QCF1" s="4"/>
      <c r="QCG1" s="4"/>
      <c r="QCH1" s="4"/>
      <c r="QCI1" s="4"/>
      <c r="QCJ1" s="4"/>
      <c r="QCK1" s="4"/>
      <c r="QCL1" s="4"/>
      <c r="QCM1" s="4"/>
      <c r="QCN1" s="4"/>
      <c r="QCO1" s="4"/>
      <c r="QCP1" s="4"/>
      <c r="QCQ1" s="4"/>
      <c r="QCR1" s="4"/>
      <c r="QCS1" s="4"/>
      <c r="QCT1" s="4"/>
      <c r="QCU1" s="4"/>
      <c r="QCV1" s="4"/>
      <c r="QCW1" s="4"/>
      <c r="QCX1" s="4"/>
      <c r="QCY1" s="4"/>
      <c r="QCZ1" s="4"/>
      <c r="QDA1" s="4"/>
      <c r="QDB1" s="4"/>
      <c r="QDC1" s="4"/>
      <c r="QDD1" s="4"/>
      <c r="QDE1" s="4"/>
      <c r="QDF1" s="4"/>
      <c r="QDG1" s="4"/>
      <c r="QDH1" s="4"/>
      <c r="QDI1" s="4"/>
      <c r="QDJ1" s="4"/>
      <c r="QDK1" s="4"/>
      <c r="QDL1" s="4"/>
      <c r="QDM1" s="4"/>
      <c r="QDN1" s="4"/>
      <c r="QDO1" s="4"/>
      <c r="QDP1" s="4"/>
      <c r="QDQ1" s="4"/>
      <c r="QDR1" s="4"/>
      <c r="QDS1" s="4"/>
      <c r="QDT1" s="4"/>
      <c r="QDU1" s="4"/>
      <c r="QDV1" s="4"/>
      <c r="QDW1" s="4"/>
      <c r="QDX1" s="4"/>
      <c r="QDY1" s="4"/>
      <c r="QDZ1" s="4"/>
      <c r="QEA1" s="4"/>
      <c r="QEB1" s="4"/>
      <c r="QEC1" s="4"/>
      <c r="QED1" s="4"/>
      <c r="QEE1" s="4"/>
      <c r="QEF1" s="4"/>
      <c r="QEG1" s="4"/>
      <c r="QEH1" s="4"/>
      <c r="QEI1" s="4"/>
      <c r="QEJ1" s="4"/>
      <c r="QEK1" s="4"/>
      <c r="QEL1" s="4"/>
      <c r="QEM1" s="4"/>
      <c r="QEN1" s="4"/>
      <c r="QEO1" s="4"/>
      <c r="QEP1" s="4"/>
      <c r="QEQ1" s="4"/>
      <c r="QER1" s="4"/>
      <c r="QES1" s="4"/>
      <c r="QET1" s="4"/>
      <c r="QEU1" s="4"/>
      <c r="QEV1" s="4"/>
      <c r="QEW1" s="4"/>
      <c r="QEX1" s="4"/>
      <c r="QEY1" s="4"/>
      <c r="QEZ1" s="4"/>
      <c r="QFA1" s="4"/>
      <c r="QFB1" s="4"/>
      <c r="QFC1" s="4"/>
      <c r="QFD1" s="4"/>
      <c r="QFE1" s="4"/>
      <c r="QFF1" s="4"/>
      <c r="QFG1" s="4"/>
      <c r="QFH1" s="4"/>
      <c r="QFI1" s="4"/>
      <c r="QFJ1" s="4"/>
      <c r="QFK1" s="4"/>
      <c r="QFL1" s="4"/>
      <c r="QFM1" s="4"/>
      <c r="QFN1" s="4"/>
      <c r="QFO1" s="4"/>
      <c r="QFP1" s="4"/>
      <c r="QFQ1" s="4"/>
      <c r="QFR1" s="4"/>
      <c r="QFS1" s="4"/>
      <c r="QFT1" s="4"/>
      <c r="QFU1" s="4"/>
      <c r="QFV1" s="4"/>
      <c r="QFW1" s="4"/>
      <c r="QFX1" s="4"/>
      <c r="QFY1" s="4"/>
      <c r="QFZ1" s="4"/>
      <c r="QGA1" s="4"/>
      <c r="QGB1" s="4"/>
      <c r="QGC1" s="4"/>
      <c r="QGD1" s="4"/>
      <c r="QGE1" s="4"/>
      <c r="QGF1" s="4"/>
      <c r="QGG1" s="4"/>
      <c r="QGH1" s="4"/>
      <c r="QGI1" s="4"/>
      <c r="QGJ1" s="4"/>
      <c r="QGK1" s="4"/>
      <c r="QGL1" s="4"/>
      <c r="QGM1" s="4"/>
      <c r="QGN1" s="4"/>
      <c r="QGO1" s="4"/>
      <c r="QGP1" s="4"/>
      <c r="QGQ1" s="4"/>
      <c r="QGR1" s="4"/>
      <c r="QGS1" s="4"/>
      <c r="QGT1" s="4"/>
      <c r="QGU1" s="4"/>
      <c r="QGV1" s="4"/>
      <c r="QGW1" s="4"/>
      <c r="QGX1" s="4"/>
      <c r="QGY1" s="4"/>
      <c r="QGZ1" s="4"/>
      <c r="QHA1" s="4"/>
      <c r="QHB1" s="4"/>
      <c r="QHC1" s="4"/>
      <c r="QHD1" s="4"/>
      <c r="QHE1" s="4"/>
      <c r="QHF1" s="4"/>
      <c r="QHG1" s="4"/>
      <c r="QHH1" s="4"/>
      <c r="QHI1" s="4"/>
      <c r="QHJ1" s="4"/>
      <c r="QHK1" s="4"/>
      <c r="QHL1" s="4"/>
      <c r="QHM1" s="4"/>
      <c r="QHN1" s="4"/>
      <c r="QHO1" s="4"/>
      <c r="QHP1" s="4"/>
      <c r="QHQ1" s="4"/>
      <c r="QHR1" s="4"/>
      <c r="QHS1" s="4"/>
      <c r="QHT1" s="4"/>
      <c r="QHU1" s="4"/>
      <c r="QHV1" s="4"/>
      <c r="QHW1" s="4"/>
      <c r="QHX1" s="4"/>
      <c r="QHY1" s="4"/>
      <c r="QHZ1" s="4"/>
      <c r="QIA1" s="4"/>
      <c r="QIB1" s="4"/>
      <c r="QIC1" s="4"/>
      <c r="QID1" s="4"/>
      <c r="QIE1" s="4"/>
      <c r="QIF1" s="4"/>
      <c r="QIG1" s="4"/>
      <c r="QIH1" s="4"/>
      <c r="QII1" s="4"/>
      <c r="QIJ1" s="4"/>
      <c r="QIK1" s="4"/>
      <c r="QIL1" s="4"/>
      <c r="QIM1" s="4"/>
      <c r="QIN1" s="4"/>
      <c r="QIO1" s="4"/>
      <c r="QIP1" s="4"/>
      <c r="QIQ1" s="4"/>
      <c r="QIR1" s="4"/>
      <c r="QIS1" s="4"/>
      <c r="QIT1" s="4"/>
      <c r="QIU1" s="4"/>
      <c r="QIV1" s="4"/>
      <c r="QIW1" s="4"/>
      <c r="QIX1" s="4"/>
      <c r="QIY1" s="4"/>
      <c r="QIZ1" s="4"/>
      <c r="QJA1" s="4"/>
      <c r="QJB1" s="4"/>
      <c r="QJC1" s="4"/>
      <c r="QJD1" s="4"/>
      <c r="QJE1" s="4"/>
      <c r="QJF1" s="4"/>
      <c r="QJG1" s="4"/>
      <c r="QJH1" s="4"/>
      <c r="QJI1" s="4"/>
      <c r="QJJ1" s="4"/>
      <c r="QJK1" s="4"/>
      <c r="QJL1" s="4"/>
      <c r="QJM1" s="4"/>
      <c r="QJN1" s="4"/>
      <c r="QJO1" s="4"/>
      <c r="QJP1" s="4"/>
      <c r="QJQ1" s="4"/>
      <c r="QJR1" s="4"/>
      <c r="QJS1" s="4"/>
      <c r="QJT1" s="4"/>
      <c r="QJU1" s="4"/>
      <c r="QJV1" s="4"/>
      <c r="QJW1" s="4"/>
      <c r="QJX1" s="4"/>
      <c r="QJY1" s="4"/>
      <c r="QJZ1" s="4"/>
      <c r="QKA1" s="4"/>
      <c r="QKB1" s="4"/>
      <c r="QKC1" s="4"/>
      <c r="QKD1" s="4"/>
      <c r="QKE1" s="4"/>
      <c r="QKF1" s="4"/>
      <c r="QKG1" s="4"/>
      <c r="QKH1" s="4"/>
      <c r="QKI1" s="4"/>
      <c r="QKJ1" s="4"/>
      <c r="QKK1" s="4"/>
      <c r="QKL1" s="4"/>
      <c r="QKM1" s="4"/>
      <c r="QKN1" s="4"/>
      <c r="QKO1" s="4"/>
      <c r="QKP1" s="4"/>
      <c r="QKQ1" s="4"/>
      <c r="QKR1" s="4"/>
      <c r="QKS1" s="4"/>
      <c r="QKT1" s="4"/>
      <c r="QKU1" s="4"/>
      <c r="QKV1" s="4"/>
      <c r="QKW1" s="4"/>
      <c r="QKX1" s="4"/>
      <c r="QKY1" s="4"/>
      <c r="QKZ1" s="4"/>
      <c r="QLA1" s="4"/>
      <c r="QLB1" s="4"/>
      <c r="QLC1" s="4"/>
      <c r="QLD1" s="4"/>
      <c r="QLE1" s="4"/>
      <c r="QLF1" s="4"/>
      <c r="QLG1" s="4"/>
      <c r="QLH1" s="4"/>
      <c r="QLI1" s="4"/>
      <c r="QLJ1" s="4"/>
      <c r="QLK1" s="4"/>
      <c r="QLL1" s="4"/>
      <c r="QLM1" s="4"/>
      <c r="QLN1" s="4"/>
      <c r="QLO1" s="4"/>
      <c r="QLP1" s="4"/>
      <c r="QLQ1" s="4"/>
      <c r="QLR1" s="4"/>
      <c r="QLS1" s="4"/>
      <c r="QLT1" s="4"/>
      <c r="QLU1" s="4"/>
      <c r="QLV1" s="4"/>
      <c r="QLW1" s="4"/>
      <c r="QLX1" s="4"/>
      <c r="QLY1" s="4"/>
      <c r="QLZ1" s="4"/>
      <c r="QMA1" s="4"/>
      <c r="QMB1" s="4"/>
      <c r="QMC1" s="4"/>
      <c r="QMD1" s="4"/>
      <c r="QME1" s="4"/>
      <c r="QMF1" s="4"/>
      <c r="QMG1" s="4"/>
      <c r="QMH1" s="4"/>
      <c r="QMI1" s="4"/>
      <c r="QMJ1" s="4"/>
      <c r="QMK1" s="4"/>
      <c r="QML1" s="4"/>
      <c r="QMM1" s="4"/>
      <c r="QMN1" s="4"/>
      <c r="QMO1" s="4"/>
      <c r="QMP1" s="4"/>
      <c r="QMQ1" s="4"/>
      <c r="QMR1" s="4"/>
      <c r="QMS1" s="4"/>
      <c r="QMT1" s="4"/>
      <c r="QMU1" s="4"/>
      <c r="QMV1" s="4"/>
      <c r="QMW1" s="4"/>
      <c r="QMX1" s="4"/>
      <c r="QMY1" s="4"/>
      <c r="QMZ1" s="4"/>
      <c r="QNA1" s="4"/>
      <c r="QNB1" s="4"/>
      <c r="QNC1" s="4"/>
      <c r="QND1" s="4"/>
      <c r="QNE1" s="4"/>
      <c r="QNF1" s="4"/>
      <c r="QNG1" s="4"/>
      <c r="QNH1" s="4"/>
      <c r="QNI1" s="4"/>
      <c r="QNJ1" s="4"/>
      <c r="QNK1" s="4"/>
      <c r="QNL1" s="4"/>
      <c r="QNM1" s="4"/>
      <c r="QNN1" s="4"/>
      <c r="QNO1" s="4"/>
      <c r="QNP1" s="4"/>
      <c r="QNQ1" s="4"/>
      <c r="QNR1" s="4"/>
      <c r="QNS1" s="4"/>
      <c r="QNT1" s="4"/>
      <c r="QNU1" s="4"/>
      <c r="QNV1" s="4"/>
      <c r="QNW1" s="4"/>
      <c r="QNX1" s="4"/>
      <c r="QNY1" s="4"/>
      <c r="QNZ1" s="4"/>
      <c r="QOA1" s="4"/>
      <c r="QOB1" s="4"/>
      <c r="QOC1" s="4"/>
      <c r="QOD1" s="4"/>
      <c r="QOE1" s="4"/>
      <c r="QOF1" s="4"/>
      <c r="QOG1" s="4"/>
      <c r="QOH1" s="4"/>
      <c r="QOI1" s="4"/>
      <c r="QOJ1" s="4"/>
      <c r="QOK1" s="4"/>
      <c r="QOL1" s="4"/>
      <c r="QOM1" s="4"/>
      <c r="QON1" s="4"/>
      <c r="QOO1" s="4"/>
      <c r="QOP1" s="4"/>
      <c r="QOQ1" s="4"/>
      <c r="QOR1" s="4"/>
      <c r="QOS1" s="4"/>
      <c r="QOT1" s="4"/>
      <c r="QOU1" s="4"/>
      <c r="QOV1" s="4"/>
      <c r="QOW1" s="4"/>
      <c r="QOX1" s="4"/>
      <c r="QOY1" s="4"/>
      <c r="QOZ1" s="4"/>
      <c r="QPA1" s="4"/>
      <c r="QPB1" s="4"/>
      <c r="QPC1" s="4"/>
      <c r="QPD1" s="4"/>
      <c r="QPE1" s="4"/>
      <c r="QPF1" s="4"/>
      <c r="QPG1" s="4"/>
      <c r="QPH1" s="4"/>
      <c r="QPI1" s="4"/>
      <c r="QPJ1" s="4"/>
      <c r="QPK1" s="4"/>
      <c r="QPL1" s="4"/>
      <c r="QPM1" s="4"/>
      <c r="QPN1" s="4"/>
      <c r="QPO1" s="4"/>
      <c r="QPP1" s="4"/>
      <c r="QPQ1" s="4"/>
      <c r="QPR1" s="4"/>
      <c r="QPS1" s="4"/>
      <c r="QPT1" s="4"/>
      <c r="QPU1" s="4"/>
      <c r="QPV1" s="4"/>
      <c r="QPW1" s="4"/>
      <c r="QPX1" s="4"/>
      <c r="QPY1" s="4"/>
      <c r="QPZ1" s="4"/>
      <c r="QQA1" s="4"/>
      <c r="QQB1" s="4"/>
      <c r="QQC1" s="4"/>
      <c r="QQD1" s="4"/>
      <c r="QQE1" s="4"/>
      <c r="QQF1" s="4"/>
      <c r="QQG1" s="4"/>
      <c r="QQH1" s="4"/>
      <c r="QQI1" s="4"/>
      <c r="QQJ1" s="4"/>
      <c r="QQK1" s="4"/>
      <c r="QQL1" s="4"/>
      <c r="QQM1" s="4"/>
      <c r="QQN1" s="4"/>
      <c r="QQO1" s="4"/>
      <c r="QQP1" s="4"/>
      <c r="QQQ1" s="4"/>
      <c r="QQR1" s="4"/>
      <c r="QQS1" s="4"/>
      <c r="QQT1" s="4"/>
      <c r="QQU1" s="4"/>
      <c r="QQV1" s="4"/>
      <c r="QQW1" s="4"/>
      <c r="QQX1" s="4"/>
      <c r="QQY1" s="4"/>
      <c r="QQZ1" s="4"/>
      <c r="QRA1" s="4"/>
      <c r="QRB1" s="4"/>
      <c r="QRC1" s="4"/>
      <c r="QRD1" s="4"/>
      <c r="QRE1" s="4"/>
      <c r="QRF1" s="4"/>
      <c r="QRG1" s="4"/>
      <c r="QRH1" s="4"/>
      <c r="QRI1" s="4"/>
      <c r="QRJ1" s="4"/>
      <c r="QRK1" s="4"/>
      <c r="QRL1" s="4"/>
      <c r="QRM1" s="4"/>
      <c r="QRN1" s="4"/>
      <c r="QRO1" s="4"/>
      <c r="QRP1" s="4"/>
      <c r="QRQ1" s="4"/>
      <c r="QRR1" s="4"/>
      <c r="QRS1" s="4"/>
      <c r="QRT1" s="4"/>
      <c r="QRU1" s="4"/>
      <c r="QRV1" s="4"/>
      <c r="QRW1" s="4"/>
      <c r="QRX1" s="4"/>
      <c r="QRY1" s="4"/>
      <c r="QRZ1" s="4"/>
      <c r="QSA1" s="4"/>
      <c r="QSB1" s="4"/>
      <c r="QSC1" s="4"/>
      <c r="QSD1" s="4"/>
      <c r="QSE1" s="4"/>
      <c r="QSF1" s="4"/>
      <c r="QSG1" s="4"/>
      <c r="QSH1" s="4"/>
      <c r="QSI1" s="4"/>
      <c r="QSJ1" s="4"/>
      <c r="QSK1" s="4"/>
      <c r="QSL1" s="4"/>
      <c r="QSM1" s="4"/>
      <c r="QSN1" s="4"/>
      <c r="QSO1" s="4"/>
      <c r="QSP1" s="4"/>
      <c r="QSQ1" s="4"/>
      <c r="QSR1" s="4"/>
      <c r="QSS1" s="4"/>
      <c r="QST1" s="4"/>
      <c r="QSU1" s="4"/>
      <c r="QSV1" s="4"/>
      <c r="QSW1" s="4"/>
      <c r="QSX1" s="4"/>
      <c r="QSY1" s="4"/>
      <c r="QSZ1" s="4"/>
      <c r="QTA1" s="4"/>
      <c r="QTB1" s="4"/>
      <c r="QTC1" s="4"/>
      <c r="QTD1" s="4"/>
      <c r="QTE1" s="4"/>
      <c r="QTF1" s="4"/>
      <c r="QTG1" s="4"/>
      <c r="QTH1" s="4"/>
      <c r="QTI1" s="4"/>
      <c r="QTJ1" s="4"/>
      <c r="QTK1" s="4"/>
      <c r="QTL1" s="4"/>
      <c r="QTM1" s="4"/>
      <c r="QTN1" s="4"/>
      <c r="QTO1" s="4"/>
      <c r="QTP1" s="4"/>
      <c r="QTQ1" s="4"/>
      <c r="QTR1" s="4"/>
      <c r="QTS1" s="4"/>
      <c r="QTT1" s="4"/>
      <c r="QTU1" s="4"/>
      <c r="QTV1" s="4"/>
      <c r="QTW1" s="4"/>
      <c r="QTX1" s="4"/>
      <c r="QTY1" s="4"/>
      <c r="QTZ1" s="4"/>
      <c r="QUA1" s="4"/>
      <c r="QUB1" s="4"/>
      <c r="QUC1" s="4"/>
      <c r="QUD1" s="4"/>
      <c r="QUE1" s="4"/>
      <c r="QUF1" s="4"/>
      <c r="QUG1" s="4"/>
      <c r="QUH1" s="4"/>
      <c r="QUI1" s="4"/>
      <c r="QUJ1" s="4"/>
      <c r="QUK1" s="4"/>
      <c r="QUL1" s="4"/>
      <c r="QUM1" s="4"/>
      <c r="QUN1" s="4"/>
      <c r="QUO1" s="4"/>
      <c r="QUP1" s="4"/>
      <c r="QUQ1" s="4"/>
      <c r="QUR1" s="4"/>
      <c r="QUS1" s="4"/>
      <c r="QUT1" s="4"/>
      <c r="QUU1" s="4"/>
      <c r="QUV1" s="4"/>
      <c r="QUW1" s="4"/>
      <c r="QUX1" s="4"/>
      <c r="QUY1" s="4"/>
      <c r="QUZ1" s="4"/>
      <c r="QVA1" s="4"/>
      <c r="QVB1" s="4"/>
      <c r="QVC1" s="4"/>
      <c r="QVD1" s="4"/>
      <c r="QVE1" s="4"/>
      <c r="QVF1" s="4"/>
      <c r="QVG1" s="4"/>
      <c r="QVH1" s="4"/>
      <c r="QVI1" s="4"/>
      <c r="QVJ1" s="4"/>
      <c r="QVK1" s="4"/>
      <c r="QVL1" s="4"/>
      <c r="QVM1" s="4"/>
      <c r="QVN1" s="4"/>
      <c r="QVO1" s="4"/>
      <c r="QVP1" s="4"/>
      <c r="QVQ1" s="4"/>
      <c r="QVR1" s="4"/>
      <c r="QVS1" s="4"/>
      <c r="QVT1" s="4"/>
      <c r="QVU1" s="4"/>
      <c r="QVV1" s="4"/>
      <c r="QVW1" s="4"/>
      <c r="QVX1" s="4"/>
      <c r="QVY1" s="4"/>
      <c r="QVZ1" s="4"/>
      <c r="QWA1" s="4"/>
      <c r="QWB1" s="4"/>
      <c r="QWC1" s="4"/>
      <c r="QWD1" s="4"/>
      <c r="QWE1" s="4"/>
      <c r="QWF1" s="4"/>
      <c r="QWG1" s="4"/>
      <c r="QWH1" s="4"/>
      <c r="QWI1" s="4"/>
      <c r="QWJ1" s="4"/>
      <c r="QWK1" s="4"/>
      <c r="QWL1" s="4"/>
      <c r="QWM1" s="4"/>
      <c r="QWN1" s="4"/>
      <c r="QWO1" s="4"/>
      <c r="QWP1" s="4"/>
      <c r="QWQ1" s="4"/>
      <c r="QWR1" s="4"/>
      <c r="QWS1" s="4"/>
      <c r="QWT1" s="4"/>
      <c r="QWU1" s="4"/>
      <c r="QWV1" s="4"/>
      <c r="QWW1" s="4"/>
      <c r="QWX1" s="4"/>
      <c r="QWY1" s="4"/>
      <c r="QWZ1" s="4"/>
      <c r="QXA1" s="4"/>
      <c r="QXB1" s="4"/>
      <c r="QXC1" s="4"/>
      <c r="QXD1" s="4"/>
      <c r="QXE1" s="4"/>
      <c r="QXF1" s="4"/>
      <c r="QXG1" s="4"/>
      <c r="QXH1" s="4"/>
      <c r="QXI1" s="4"/>
      <c r="QXJ1" s="4"/>
      <c r="QXK1" s="4"/>
      <c r="QXL1" s="4"/>
      <c r="QXM1" s="4"/>
      <c r="QXN1" s="4"/>
      <c r="QXO1" s="4"/>
      <c r="QXP1" s="4"/>
      <c r="QXQ1" s="4"/>
      <c r="QXR1" s="4"/>
      <c r="QXS1" s="4"/>
      <c r="QXT1" s="4"/>
      <c r="QXU1" s="4"/>
      <c r="QXV1" s="4"/>
      <c r="QXW1" s="4"/>
      <c r="QXX1" s="4"/>
      <c r="QXY1" s="4"/>
      <c r="QXZ1" s="4"/>
      <c r="QYA1" s="4"/>
      <c r="QYB1" s="4"/>
      <c r="QYC1" s="4"/>
      <c r="QYD1" s="4"/>
      <c r="QYE1" s="4"/>
      <c r="QYF1" s="4"/>
      <c r="QYG1" s="4"/>
      <c r="QYH1" s="4"/>
      <c r="QYI1" s="4"/>
      <c r="QYJ1" s="4"/>
      <c r="QYK1" s="4"/>
      <c r="QYL1" s="4"/>
      <c r="QYM1" s="4"/>
      <c r="QYN1" s="4"/>
      <c r="QYO1" s="4"/>
      <c r="QYP1" s="4"/>
      <c r="QYQ1" s="4"/>
      <c r="QYR1" s="4"/>
      <c r="QYS1" s="4"/>
      <c r="QYT1" s="4"/>
      <c r="QYU1" s="4"/>
      <c r="QYV1" s="4"/>
      <c r="QYW1" s="4"/>
      <c r="QYX1" s="4"/>
      <c r="QYY1" s="4"/>
      <c r="QYZ1" s="4"/>
      <c r="QZA1" s="4"/>
      <c r="QZB1" s="4"/>
      <c r="QZC1" s="4"/>
      <c r="QZD1" s="4"/>
      <c r="QZE1" s="4"/>
      <c r="QZF1" s="4"/>
      <c r="QZG1" s="4"/>
      <c r="QZH1" s="4"/>
      <c r="QZI1" s="4"/>
      <c r="QZJ1" s="4"/>
      <c r="QZK1" s="4"/>
      <c r="QZL1" s="4"/>
      <c r="QZM1" s="4"/>
      <c r="QZN1" s="4"/>
      <c r="QZO1" s="4"/>
      <c r="QZP1" s="4"/>
      <c r="QZQ1" s="4"/>
      <c r="QZR1" s="4"/>
      <c r="QZS1" s="4"/>
      <c r="QZT1" s="4"/>
      <c r="QZU1" s="4"/>
      <c r="QZV1" s="4"/>
      <c r="QZW1" s="4"/>
      <c r="QZX1" s="4"/>
      <c r="QZY1" s="4"/>
      <c r="QZZ1" s="4"/>
      <c r="RAA1" s="4"/>
      <c r="RAB1" s="4"/>
      <c r="RAC1" s="4"/>
      <c r="RAD1" s="4"/>
      <c r="RAE1" s="4"/>
      <c r="RAF1" s="4"/>
      <c r="RAG1" s="4"/>
      <c r="RAH1" s="4"/>
      <c r="RAI1" s="4"/>
      <c r="RAJ1" s="4"/>
      <c r="RAK1" s="4"/>
      <c r="RAL1" s="4"/>
      <c r="RAM1" s="4"/>
      <c r="RAN1" s="4"/>
      <c r="RAO1" s="4"/>
      <c r="RAP1" s="4"/>
      <c r="RAQ1" s="4"/>
      <c r="RAR1" s="4"/>
      <c r="RAS1" s="4"/>
      <c r="RAT1" s="4"/>
      <c r="RAU1" s="4"/>
      <c r="RAV1" s="4"/>
      <c r="RAW1" s="4"/>
      <c r="RAX1" s="4"/>
      <c r="RAY1" s="4"/>
      <c r="RAZ1" s="4"/>
      <c r="RBA1" s="4"/>
      <c r="RBB1" s="4"/>
      <c r="RBC1" s="4"/>
      <c r="RBD1" s="4"/>
      <c r="RBE1" s="4"/>
      <c r="RBF1" s="4"/>
      <c r="RBG1" s="4"/>
      <c r="RBH1" s="4"/>
      <c r="RBI1" s="4"/>
      <c r="RBJ1" s="4"/>
      <c r="RBK1" s="4"/>
      <c r="RBL1" s="4"/>
      <c r="RBM1" s="4"/>
      <c r="RBN1" s="4"/>
      <c r="RBO1" s="4"/>
      <c r="RBP1" s="4"/>
      <c r="RBQ1" s="4"/>
      <c r="RBR1" s="4"/>
      <c r="RBS1" s="4"/>
      <c r="RBT1" s="4"/>
      <c r="RBU1" s="4"/>
      <c r="RBV1" s="4"/>
      <c r="RBW1" s="4"/>
      <c r="RBX1" s="4"/>
      <c r="RBY1" s="4"/>
      <c r="RBZ1" s="4"/>
      <c r="RCA1" s="4"/>
      <c r="RCB1" s="4"/>
      <c r="RCC1" s="4"/>
      <c r="RCD1" s="4"/>
      <c r="RCE1" s="4"/>
      <c r="RCF1" s="4"/>
      <c r="RCG1" s="4"/>
      <c r="RCH1" s="4"/>
      <c r="RCI1" s="4"/>
      <c r="RCJ1" s="4"/>
      <c r="RCK1" s="4"/>
      <c r="RCL1" s="4"/>
      <c r="RCM1" s="4"/>
      <c r="RCN1" s="4"/>
      <c r="RCO1" s="4"/>
      <c r="RCP1" s="4"/>
      <c r="RCQ1" s="4"/>
      <c r="RCR1" s="4"/>
      <c r="RCS1" s="4"/>
      <c r="RCT1" s="4"/>
      <c r="RCU1" s="4"/>
      <c r="RCV1" s="4"/>
      <c r="RCW1" s="4"/>
      <c r="RCX1" s="4"/>
      <c r="RCY1" s="4"/>
      <c r="RCZ1" s="4"/>
      <c r="RDA1" s="4"/>
      <c r="RDB1" s="4"/>
      <c r="RDC1" s="4"/>
      <c r="RDD1" s="4"/>
      <c r="RDE1" s="4"/>
      <c r="RDF1" s="4"/>
      <c r="RDG1" s="4"/>
      <c r="RDH1" s="4"/>
      <c r="RDI1" s="4"/>
      <c r="RDJ1" s="4"/>
      <c r="RDK1" s="4"/>
      <c r="RDL1" s="4"/>
      <c r="RDM1" s="4"/>
      <c r="RDN1" s="4"/>
      <c r="RDO1" s="4"/>
      <c r="RDP1" s="4"/>
      <c r="RDQ1" s="4"/>
      <c r="RDR1" s="4"/>
      <c r="RDS1" s="4"/>
      <c r="RDT1" s="4"/>
      <c r="RDU1" s="4"/>
      <c r="RDV1" s="4"/>
      <c r="RDW1" s="4"/>
      <c r="RDX1" s="4"/>
      <c r="RDY1" s="4"/>
      <c r="RDZ1" s="4"/>
      <c r="REA1" s="4"/>
      <c r="REB1" s="4"/>
      <c r="REC1" s="4"/>
      <c r="RED1" s="4"/>
      <c r="REE1" s="4"/>
      <c r="REF1" s="4"/>
      <c r="REG1" s="4"/>
      <c r="REH1" s="4"/>
      <c r="REI1" s="4"/>
      <c r="REJ1" s="4"/>
      <c r="REK1" s="4"/>
      <c r="REL1" s="4"/>
      <c r="REM1" s="4"/>
      <c r="REN1" s="4"/>
      <c r="REO1" s="4"/>
      <c r="REP1" s="4"/>
      <c r="REQ1" s="4"/>
      <c r="RER1" s="4"/>
      <c r="RES1" s="4"/>
      <c r="RET1" s="4"/>
      <c r="REU1" s="4"/>
      <c r="REV1" s="4"/>
      <c r="REW1" s="4"/>
      <c r="REX1" s="4"/>
      <c r="REY1" s="4"/>
      <c r="REZ1" s="4"/>
      <c r="RFA1" s="4"/>
      <c r="RFB1" s="4"/>
      <c r="RFC1" s="4"/>
      <c r="RFD1" s="4"/>
      <c r="RFE1" s="4"/>
      <c r="RFF1" s="4"/>
      <c r="RFG1" s="4"/>
      <c r="RFH1" s="4"/>
      <c r="RFI1" s="4"/>
      <c r="RFJ1" s="4"/>
      <c r="RFK1" s="4"/>
      <c r="RFL1" s="4"/>
      <c r="RFM1" s="4"/>
      <c r="RFN1" s="4"/>
      <c r="RFO1" s="4"/>
      <c r="RFP1" s="4"/>
      <c r="RFQ1" s="4"/>
      <c r="RFR1" s="4"/>
      <c r="RFS1" s="4"/>
      <c r="RFT1" s="4"/>
      <c r="RFU1" s="4"/>
      <c r="RFV1" s="4"/>
      <c r="RFW1" s="4"/>
      <c r="RFX1" s="4"/>
      <c r="RFY1" s="4"/>
      <c r="RFZ1" s="4"/>
      <c r="RGA1" s="4"/>
      <c r="RGB1" s="4"/>
      <c r="RGC1" s="4"/>
      <c r="RGD1" s="4"/>
      <c r="RGE1" s="4"/>
      <c r="RGF1" s="4"/>
      <c r="RGG1" s="4"/>
      <c r="RGH1" s="4"/>
      <c r="RGI1" s="4"/>
      <c r="RGJ1" s="4"/>
      <c r="RGK1" s="4"/>
      <c r="RGL1" s="4"/>
      <c r="RGM1" s="4"/>
      <c r="RGN1" s="4"/>
      <c r="RGO1" s="4"/>
      <c r="RGP1" s="4"/>
      <c r="RGQ1" s="4"/>
      <c r="RGR1" s="4"/>
      <c r="RGS1" s="4"/>
      <c r="RGT1" s="4"/>
      <c r="RGU1" s="4"/>
      <c r="RGV1" s="4"/>
      <c r="RGW1" s="4"/>
      <c r="RGX1" s="4"/>
      <c r="RGY1" s="4"/>
      <c r="RGZ1" s="4"/>
      <c r="RHA1" s="4"/>
      <c r="RHB1" s="4"/>
      <c r="RHC1" s="4"/>
      <c r="RHD1" s="4"/>
      <c r="RHE1" s="4"/>
      <c r="RHF1" s="4"/>
      <c r="RHG1" s="4"/>
      <c r="RHH1" s="4"/>
      <c r="RHI1" s="4"/>
      <c r="RHJ1" s="4"/>
      <c r="RHK1" s="4"/>
      <c r="RHL1" s="4"/>
      <c r="RHM1" s="4"/>
      <c r="RHN1" s="4"/>
      <c r="RHO1" s="4"/>
      <c r="RHP1" s="4"/>
      <c r="RHQ1" s="4"/>
      <c r="RHR1" s="4"/>
      <c r="RHS1" s="4"/>
      <c r="RHT1" s="4"/>
      <c r="RHU1" s="4"/>
      <c r="RHV1" s="4"/>
      <c r="RHW1" s="4"/>
      <c r="RHX1" s="4"/>
      <c r="RHY1" s="4"/>
      <c r="RHZ1" s="4"/>
      <c r="RIA1" s="4"/>
      <c r="RIB1" s="4"/>
      <c r="RIC1" s="4"/>
      <c r="RID1" s="4"/>
      <c r="RIE1" s="4"/>
      <c r="RIF1" s="4"/>
      <c r="RIG1" s="4"/>
      <c r="RIH1" s="4"/>
      <c r="RII1" s="4"/>
      <c r="RIJ1" s="4"/>
      <c r="RIK1" s="4"/>
      <c r="RIL1" s="4"/>
      <c r="RIM1" s="4"/>
      <c r="RIN1" s="4"/>
      <c r="RIO1" s="4"/>
      <c r="RIP1" s="4"/>
      <c r="RIQ1" s="4"/>
      <c r="RIR1" s="4"/>
      <c r="RIS1" s="4"/>
      <c r="RIT1" s="4"/>
      <c r="RIU1" s="4"/>
      <c r="RIV1" s="4"/>
      <c r="RIW1" s="4"/>
      <c r="RIX1" s="4"/>
      <c r="RIY1" s="4"/>
      <c r="RIZ1" s="4"/>
      <c r="RJA1" s="4"/>
      <c r="RJB1" s="4"/>
      <c r="RJC1" s="4"/>
      <c r="RJD1" s="4"/>
      <c r="RJE1" s="4"/>
      <c r="RJF1" s="4"/>
      <c r="RJG1" s="4"/>
      <c r="RJH1" s="4"/>
      <c r="RJI1" s="4"/>
      <c r="RJJ1" s="4"/>
      <c r="RJK1" s="4"/>
      <c r="RJL1" s="4"/>
      <c r="RJM1" s="4"/>
      <c r="RJN1" s="4"/>
      <c r="RJO1" s="4"/>
      <c r="RJP1" s="4"/>
      <c r="RJQ1" s="4"/>
      <c r="RJR1" s="4"/>
      <c r="RJS1" s="4"/>
      <c r="RJT1" s="4"/>
      <c r="RJU1" s="4"/>
      <c r="RJV1" s="4"/>
      <c r="RJW1" s="4"/>
      <c r="RJX1" s="4"/>
      <c r="RJY1" s="4"/>
      <c r="RJZ1" s="4"/>
      <c r="RKA1" s="4"/>
      <c r="RKB1" s="4"/>
      <c r="RKC1" s="4"/>
      <c r="RKD1" s="4"/>
      <c r="RKE1" s="4"/>
      <c r="RKF1" s="4"/>
      <c r="RKG1" s="4"/>
      <c r="RKH1" s="4"/>
      <c r="RKI1" s="4"/>
      <c r="RKJ1" s="4"/>
      <c r="RKK1" s="4"/>
      <c r="RKL1" s="4"/>
      <c r="RKM1" s="4"/>
      <c r="RKN1" s="4"/>
      <c r="RKO1" s="4"/>
      <c r="RKP1" s="4"/>
      <c r="RKQ1" s="4"/>
      <c r="RKR1" s="4"/>
      <c r="RKS1" s="4"/>
      <c r="RKT1" s="4"/>
      <c r="RKU1" s="4"/>
      <c r="RKV1" s="4"/>
      <c r="RKW1" s="4"/>
      <c r="RKX1" s="4"/>
      <c r="RKY1" s="4"/>
      <c r="RKZ1" s="4"/>
      <c r="RLA1" s="4"/>
      <c r="RLB1" s="4"/>
      <c r="RLC1" s="4"/>
      <c r="RLD1" s="4"/>
      <c r="RLE1" s="4"/>
      <c r="RLF1" s="4"/>
      <c r="RLG1" s="4"/>
      <c r="RLH1" s="4"/>
      <c r="RLI1" s="4"/>
      <c r="RLJ1" s="4"/>
      <c r="RLK1" s="4"/>
      <c r="RLL1" s="4"/>
      <c r="RLM1" s="4"/>
      <c r="RLN1" s="4"/>
      <c r="RLO1" s="4"/>
      <c r="RLP1" s="4"/>
      <c r="RLQ1" s="4"/>
      <c r="RLR1" s="4"/>
      <c r="RLS1" s="4"/>
      <c r="RLT1" s="4"/>
      <c r="RLU1" s="4"/>
      <c r="RLV1" s="4"/>
      <c r="RLW1" s="4"/>
      <c r="RLX1" s="4"/>
      <c r="RLY1" s="4"/>
      <c r="RLZ1" s="4"/>
      <c r="RMA1" s="4"/>
      <c r="RMB1" s="4"/>
      <c r="RMC1" s="4"/>
      <c r="RMD1" s="4"/>
      <c r="RME1" s="4"/>
      <c r="RMF1" s="4"/>
      <c r="RMG1" s="4"/>
      <c r="RMH1" s="4"/>
      <c r="RMI1" s="4"/>
      <c r="RMJ1" s="4"/>
      <c r="RMK1" s="4"/>
      <c r="RML1" s="4"/>
      <c r="RMM1" s="4"/>
      <c r="RMN1" s="4"/>
      <c r="RMO1" s="4"/>
      <c r="RMP1" s="4"/>
      <c r="RMQ1" s="4"/>
      <c r="RMR1" s="4"/>
      <c r="RMS1" s="4"/>
      <c r="RMT1" s="4"/>
      <c r="RMU1" s="4"/>
      <c r="RMV1" s="4"/>
      <c r="RMW1" s="4"/>
      <c r="RMX1" s="4"/>
      <c r="RMY1" s="4"/>
      <c r="RMZ1" s="4"/>
      <c r="RNA1" s="4"/>
      <c r="RNB1" s="4"/>
      <c r="RNC1" s="4"/>
      <c r="RND1" s="4"/>
      <c r="RNE1" s="4"/>
      <c r="RNF1" s="4"/>
      <c r="RNG1" s="4"/>
      <c r="RNH1" s="4"/>
      <c r="RNI1" s="4"/>
      <c r="RNJ1" s="4"/>
      <c r="RNK1" s="4"/>
      <c r="RNL1" s="4"/>
      <c r="RNM1" s="4"/>
      <c r="RNN1" s="4"/>
      <c r="RNO1" s="4"/>
      <c r="RNP1" s="4"/>
      <c r="RNQ1" s="4"/>
      <c r="RNR1" s="4"/>
      <c r="RNS1" s="4"/>
      <c r="RNT1" s="4"/>
      <c r="RNU1" s="4"/>
      <c r="RNV1" s="4"/>
      <c r="RNW1" s="4"/>
      <c r="RNX1" s="4"/>
      <c r="RNY1" s="4"/>
      <c r="RNZ1" s="4"/>
      <c r="ROA1" s="4"/>
      <c r="ROB1" s="4"/>
      <c r="ROC1" s="4"/>
      <c r="ROD1" s="4"/>
      <c r="ROE1" s="4"/>
      <c r="ROF1" s="4"/>
      <c r="ROG1" s="4"/>
      <c r="ROH1" s="4"/>
      <c r="ROI1" s="4"/>
      <c r="ROJ1" s="4"/>
      <c r="ROK1" s="4"/>
      <c r="ROL1" s="4"/>
      <c r="ROM1" s="4"/>
      <c r="RON1" s="4"/>
      <c r="ROO1" s="4"/>
      <c r="ROP1" s="4"/>
      <c r="ROQ1" s="4"/>
      <c r="ROR1" s="4"/>
      <c r="ROS1" s="4"/>
      <c r="ROT1" s="4"/>
      <c r="ROU1" s="4"/>
      <c r="ROV1" s="4"/>
      <c r="ROW1" s="4"/>
      <c r="ROX1" s="4"/>
      <c r="ROY1" s="4"/>
      <c r="ROZ1" s="4"/>
      <c r="RPA1" s="4"/>
      <c r="RPB1" s="4"/>
      <c r="RPC1" s="4"/>
      <c r="RPD1" s="4"/>
      <c r="RPE1" s="4"/>
      <c r="RPF1" s="4"/>
      <c r="RPG1" s="4"/>
      <c r="RPH1" s="4"/>
      <c r="RPI1" s="4"/>
      <c r="RPJ1" s="4"/>
      <c r="RPK1" s="4"/>
      <c r="RPL1" s="4"/>
      <c r="RPM1" s="4"/>
      <c r="RPN1" s="4"/>
      <c r="RPO1" s="4"/>
      <c r="RPP1" s="4"/>
      <c r="RPQ1" s="4"/>
      <c r="RPR1" s="4"/>
      <c r="RPS1" s="4"/>
      <c r="RPT1" s="4"/>
      <c r="RPU1" s="4"/>
      <c r="RPV1" s="4"/>
      <c r="RPW1" s="4"/>
      <c r="RPX1" s="4"/>
      <c r="RPY1" s="4"/>
      <c r="RPZ1" s="4"/>
      <c r="RQA1" s="4"/>
      <c r="RQB1" s="4"/>
      <c r="RQC1" s="4"/>
      <c r="RQD1" s="4"/>
      <c r="RQE1" s="4"/>
      <c r="RQF1" s="4"/>
      <c r="RQG1" s="4"/>
      <c r="RQH1" s="4"/>
      <c r="RQI1" s="4"/>
      <c r="RQJ1" s="4"/>
      <c r="RQK1" s="4"/>
      <c r="RQL1" s="4"/>
      <c r="RQM1" s="4"/>
      <c r="RQN1" s="4"/>
      <c r="RQO1" s="4"/>
      <c r="RQP1" s="4"/>
      <c r="RQQ1" s="4"/>
      <c r="RQR1" s="4"/>
      <c r="RQS1" s="4"/>
      <c r="RQT1" s="4"/>
      <c r="RQU1" s="4"/>
      <c r="RQV1" s="4"/>
      <c r="RQW1" s="4"/>
      <c r="RQX1" s="4"/>
      <c r="RQY1" s="4"/>
      <c r="RQZ1" s="4"/>
      <c r="RRA1" s="4"/>
      <c r="RRB1" s="4"/>
      <c r="RRC1" s="4"/>
      <c r="RRD1" s="4"/>
      <c r="RRE1" s="4"/>
      <c r="RRF1" s="4"/>
      <c r="RRG1" s="4"/>
      <c r="RRH1" s="4"/>
      <c r="RRI1" s="4"/>
      <c r="RRJ1" s="4"/>
      <c r="RRK1" s="4"/>
      <c r="RRL1" s="4"/>
      <c r="RRM1" s="4"/>
      <c r="RRN1" s="4"/>
      <c r="RRO1" s="4"/>
      <c r="RRP1" s="4"/>
      <c r="RRQ1" s="4"/>
      <c r="RRR1" s="4"/>
      <c r="RRS1" s="4"/>
      <c r="RRT1" s="4"/>
      <c r="RRU1" s="4"/>
      <c r="RRV1" s="4"/>
      <c r="RRW1" s="4"/>
      <c r="RRX1" s="4"/>
      <c r="RRY1" s="4"/>
      <c r="RRZ1" s="4"/>
      <c r="RSA1" s="4"/>
      <c r="RSB1" s="4"/>
      <c r="RSC1" s="4"/>
      <c r="RSD1" s="4"/>
      <c r="RSE1" s="4"/>
      <c r="RSF1" s="4"/>
      <c r="RSG1" s="4"/>
      <c r="RSH1" s="4"/>
      <c r="RSI1" s="4"/>
      <c r="RSJ1" s="4"/>
      <c r="RSK1" s="4"/>
      <c r="RSL1" s="4"/>
      <c r="RSM1" s="4"/>
      <c r="RSN1" s="4"/>
      <c r="RSO1" s="4"/>
      <c r="RSP1" s="4"/>
      <c r="RSQ1" s="4"/>
      <c r="RSR1" s="4"/>
      <c r="RSS1" s="4"/>
      <c r="RST1" s="4"/>
      <c r="RSU1" s="4"/>
      <c r="RSV1" s="4"/>
      <c r="RSW1" s="4"/>
      <c r="RSX1" s="4"/>
      <c r="RSY1" s="4"/>
      <c r="RSZ1" s="4"/>
      <c r="RTA1" s="4"/>
      <c r="RTB1" s="4"/>
      <c r="RTC1" s="4"/>
      <c r="RTD1" s="4"/>
      <c r="RTE1" s="4"/>
      <c r="RTF1" s="4"/>
      <c r="RTG1" s="4"/>
      <c r="RTH1" s="4"/>
      <c r="RTI1" s="4"/>
      <c r="RTJ1" s="4"/>
      <c r="RTK1" s="4"/>
      <c r="RTL1" s="4"/>
      <c r="RTM1" s="4"/>
      <c r="RTN1" s="4"/>
      <c r="RTO1" s="4"/>
      <c r="RTP1" s="4"/>
      <c r="RTQ1" s="4"/>
      <c r="RTR1" s="4"/>
      <c r="RTS1" s="4"/>
      <c r="RTT1" s="4"/>
      <c r="RTU1" s="4"/>
      <c r="RTV1" s="4"/>
      <c r="RTW1" s="4"/>
      <c r="RTX1" s="4"/>
      <c r="RTY1" s="4"/>
      <c r="RTZ1" s="4"/>
      <c r="RUA1" s="4"/>
      <c r="RUB1" s="4"/>
      <c r="RUC1" s="4"/>
      <c r="RUD1" s="4"/>
      <c r="RUE1" s="4"/>
      <c r="RUF1" s="4"/>
      <c r="RUG1" s="4"/>
      <c r="RUH1" s="4"/>
      <c r="RUI1" s="4"/>
      <c r="RUJ1" s="4"/>
      <c r="RUK1" s="4"/>
      <c r="RUL1" s="4"/>
      <c r="RUM1" s="4"/>
      <c r="RUN1" s="4"/>
      <c r="RUO1" s="4"/>
      <c r="RUP1" s="4"/>
      <c r="RUQ1" s="4"/>
      <c r="RUR1" s="4"/>
      <c r="RUS1" s="4"/>
      <c r="RUT1" s="4"/>
      <c r="RUU1" s="4"/>
      <c r="RUV1" s="4"/>
      <c r="RUW1" s="4"/>
      <c r="RUX1" s="4"/>
      <c r="RUY1" s="4"/>
      <c r="RUZ1" s="4"/>
      <c r="RVA1" s="4"/>
      <c r="RVB1" s="4"/>
      <c r="RVC1" s="4"/>
      <c r="RVD1" s="4"/>
      <c r="RVE1" s="4"/>
      <c r="RVF1" s="4"/>
      <c r="RVG1" s="4"/>
      <c r="RVH1" s="4"/>
      <c r="RVI1" s="4"/>
      <c r="RVJ1" s="4"/>
      <c r="RVK1" s="4"/>
      <c r="RVL1" s="4"/>
      <c r="RVM1" s="4"/>
      <c r="RVN1" s="4"/>
      <c r="RVO1" s="4"/>
      <c r="RVP1" s="4"/>
      <c r="RVQ1" s="4"/>
      <c r="RVR1" s="4"/>
      <c r="RVS1" s="4"/>
      <c r="RVT1" s="4"/>
      <c r="RVU1" s="4"/>
      <c r="RVV1" s="4"/>
      <c r="RVW1" s="4"/>
      <c r="RVX1" s="4"/>
      <c r="RVY1" s="4"/>
      <c r="RVZ1" s="4"/>
      <c r="RWA1" s="4"/>
      <c r="RWB1" s="4"/>
      <c r="RWC1" s="4"/>
      <c r="RWD1" s="4"/>
      <c r="RWE1" s="4"/>
      <c r="RWF1" s="4"/>
      <c r="RWG1" s="4"/>
      <c r="RWH1" s="4"/>
      <c r="RWI1" s="4"/>
      <c r="RWJ1" s="4"/>
      <c r="RWK1" s="4"/>
      <c r="RWL1" s="4"/>
      <c r="RWM1" s="4"/>
      <c r="RWN1" s="4"/>
      <c r="RWO1" s="4"/>
      <c r="RWP1" s="4"/>
      <c r="RWQ1" s="4"/>
      <c r="RWR1" s="4"/>
      <c r="RWS1" s="4"/>
      <c r="RWT1" s="4"/>
      <c r="RWU1" s="4"/>
      <c r="RWV1" s="4"/>
      <c r="RWW1" s="4"/>
      <c r="RWX1" s="4"/>
      <c r="RWY1" s="4"/>
      <c r="RWZ1" s="4"/>
      <c r="RXA1" s="4"/>
      <c r="RXB1" s="4"/>
      <c r="RXC1" s="4"/>
      <c r="RXD1" s="4"/>
      <c r="RXE1" s="4"/>
      <c r="RXF1" s="4"/>
      <c r="RXG1" s="4"/>
      <c r="RXH1" s="4"/>
      <c r="RXI1" s="4"/>
      <c r="RXJ1" s="4"/>
      <c r="RXK1" s="4"/>
      <c r="RXL1" s="4"/>
      <c r="RXM1" s="4"/>
      <c r="RXN1" s="4"/>
      <c r="RXO1" s="4"/>
      <c r="RXP1" s="4"/>
      <c r="RXQ1" s="4"/>
      <c r="RXR1" s="4"/>
      <c r="RXS1" s="4"/>
      <c r="RXT1" s="4"/>
      <c r="RXU1" s="4"/>
      <c r="RXV1" s="4"/>
      <c r="RXW1" s="4"/>
      <c r="RXX1" s="4"/>
      <c r="RXY1" s="4"/>
      <c r="RXZ1" s="4"/>
      <c r="RYA1" s="4"/>
      <c r="RYB1" s="4"/>
      <c r="RYC1" s="4"/>
      <c r="RYD1" s="4"/>
      <c r="RYE1" s="4"/>
      <c r="RYF1" s="4"/>
      <c r="RYG1" s="4"/>
      <c r="RYH1" s="4"/>
      <c r="RYI1" s="4"/>
      <c r="RYJ1" s="4"/>
      <c r="RYK1" s="4"/>
      <c r="RYL1" s="4"/>
      <c r="RYM1" s="4"/>
      <c r="RYN1" s="4"/>
      <c r="RYO1" s="4"/>
      <c r="RYP1" s="4"/>
      <c r="RYQ1" s="4"/>
      <c r="RYR1" s="4"/>
      <c r="RYS1" s="4"/>
      <c r="RYT1" s="4"/>
      <c r="RYU1" s="4"/>
      <c r="RYV1" s="4"/>
      <c r="RYW1" s="4"/>
      <c r="RYX1" s="4"/>
      <c r="RYY1" s="4"/>
      <c r="RYZ1" s="4"/>
      <c r="RZA1" s="4"/>
      <c r="RZB1" s="4"/>
      <c r="RZC1" s="4"/>
      <c r="RZD1" s="4"/>
      <c r="RZE1" s="4"/>
      <c r="RZF1" s="4"/>
      <c r="RZG1" s="4"/>
      <c r="RZH1" s="4"/>
      <c r="RZI1" s="4"/>
      <c r="RZJ1" s="4"/>
      <c r="RZK1" s="4"/>
      <c r="RZL1" s="4"/>
      <c r="RZM1" s="4"/>
      <c r="RZN1" s="4"/>
      <c r="RZO1" s="4"/>
      <c r="RZP1" s="4"/>
      <c r="RZQ1" s="4"/>
      <c r="RZR1" s="4"/>
      <c r="RZS1" s="4"/>
      <c r="RZT1" s="4"/>
      <c r="RZU1" s="4"/>
      <c r="RZV1" s="4"/>
      <c r="RZW1" s="4"/>
      <c r="RZX1" s="4"/>
      <c r="RZY1" s="4"/>
      <c r="RZZ1" s="4"/>
      <c r="SAA1" s="4"/>
      <c r="SAB1" s="4"/>
      <c r="SAC1" s="4"/>
      <c r="SAD1" s="4"/>
      <c r="SAE1" s="4"/>
      <c r="SAF1" s="4"/>
      <c r="SAG1" s="4"/>
      <c r="SAH1" s="4"/>
      <c r="SAI1" s="4"/>
      <c r="SAJ1" s="4"/>
      <c r="SAK1" s="4"/>
      <c r="SAL1" s="4"/>
      <c r="SAM1" s="4"/>
      <c r="SAN1" s="4"/>
      <c r="SAO1" s="4"/>
      <c r="SAP1" s="4"/>
      <c r="SAQ1" s="4"/>
      <c r="SAR1" s="4"/>
      <c r="SAS1" s="4"/>
      <c r="SAT1" s="4"/>
      <c r="SAU1" s="4"/>
      <c r="SAV1" s="4"/>
      <c r="SAW1" s="4"/>
      <c r="SAX1" s="4"/>
      <c r="SAY1" s="4"/>
      <c r="SAZ1" s="4"/>
      <c r="SBA1" s="4"/>
      <c r="SBB1" s="4"/>
      <c r="SBC1" s="4"/>
      <c r="SBD1" s="4"/>
      <c r="SBE1" s="4"/>
      <c r="SBF1" s="4"/>
      <c r="SBG1" s="4"/>
      <c r="SBH1" s="4"/>
      <c r="SBI1" s="4"/>
      <c r="SBJ1" s="4"/>
      <c r="SBK1" s="4"/>
      <c r="SBL1" s="4"/>
      <c r="SBM1" s="4"/>
      <c r="SBN1" s="4"/>
      <c r="SBO1" s="4"/>
      <c r="SBP1" s="4"/>
      <c r="SBQ1" s="4"/>
      <c r="SBR1" s="4"/>
      <c r="SBS1" s="4"/>
      <c r="SBT1" s="4"/>
      <c r="SBU1" s="4"/>
      <c r="SBV1" s="4"/>
      <c r="SBW1" s="4"/>
      <c r="SBX1" s="4"/>
      <c r="SBY1" s="4"/>
      <c r="SBZ1" s="4"/>
      <c r="SCA1" s="4"/>
      <c r="SCB1" s="4"/>
      <c r="SCC1" s="4"/>
      <c r="SCD1" s="4"/>
      <c r="SCE1" s="4"/>
      <c r="SCF1" s="4"/>
      <c r="SCG1" s="4"/>
      <c r="SCH1" s="4"/>
      <c r="SCI1" s="4"/>
      <c r="SCJ1" s="4"/>
      <c r="SCK1" s="4"/>
      <c r="SCL1" s="4"/>
      <c r="SCM1" s="4"/>
      <c r="SCN1" s="4"/>
      <c r="SCO1" s="4"/>
      <c r="SCP1" s="4"/>
      <c r="SCQ1" s="4"/>
      <c r="SCR1" s="4"/>
      <c r="SCS1" s="4"/>
      <c r="SCT1" s="4"/>
      <c r="SCU1" s="4"/>
      <c r="SCV1" s="4"/>
      <c r="SCW1" s="4"/>
      <c r="SCX1" s="4"/>
      <c r="SCY1" s="4"/>
      <c r="SCZ1" s="4"/>
      <c r="SDA1" s="4"/>
      <c r="SDB1" s="4"/>
      <c r="SDC1" s="4"/>
      <c r="SDD1" s="4"/>
      <c r="SDE1" s="4"/>
      <c r="SDF1" s="4"/>
      <c r="SDG1" s="4"/>
      <c r="SDH1" s="4"/>
      <c r="SDI1" s="4"/>
      <c r="SDJ1" s="4"/>
      <c r="SDK1" s="4"/>
      <c r="SDL1" s="4"/>
      <c r="SDM1" s="4"/>
      <c r="SDN1" s="4"/>
      <c r="SDO1" s="4"/>
      <c r="SDP1" s="4"/>
      <c r="SDQ1" s="4"/>
      <c r="SDR1" s="4"/>
      <c r="SDS1" s="4"/>
      <c r="SDT1" s="4"/>
      <c r="SDU1" s="4"/>
      <c r="SDV1" s="4"/>
      <c r="SDW1" s="4"/>
      <c r="SDX1" s="4"/>
      <c r="SDY1" s="4"/>
      <c r="SDZ1" s="4"/>
      <c r="SEA1" s="4"/>
      <c r="SEB1" s="4"/>
      <c r="SEC1" s="4"/>
      <c r="SED1" s="4"/>
      <c r="SEE1" s="4"/>
      <c r="SEF1" s="4"/>
      <c r="SEG1" s="4"/>
      <c r="SEH1" s="4"/>
      <c r="SEI1" s="4"/>
      <c r="SEJ1" s="4"/>
      <c r="SEK1" s="4"/>
      <c r="SEL1" s="4"/>
      <c r="SEM1" s="4"/>
      <c r="SEN1" s="4"/>
      <c r="SEO1" s="4"/>
      <c r="SEP1" s="4"/>
      <c r="SEQ1" s="4"/>
      <c r="SER1" s="4"/>
      <c r="SES1" s="4"/>
      <c r="SET1" s="4"/>
      <c r="SEU1" s="4"/>
      <c r="SEV1" s="4"/>
      <c r="SEW1" s="4"/>
      <c r="SEX1" s="4"/>
      <c r="SEY1" s="4"/>
      <c r="SEZ1" s="4"/>
      <c r="SFA1" s="4"/>
      <c r="SFB1" s="4"/>
      <c r="SFC1" s="4"/>
      <c r="SFD1" s="4"/>
      <c r="SFE1" s="4"/>
      <c r="SFF1" s="4"/>
      <c r="SFG1" s="4"/>
      <c r="SFH1" s="4"/>
      <c r="SFI1" s="4"/>
      <c r="SFJ1" s="4"/>
      <c r="SFK1" s="4"/>
      <c r="SFL1" s="4"/>
      <c r="SFM1" s="4"/>
      <c r="SFN1" s="4"/>
      <c r="SFO1" s="4"/>
      <c r="SFP1" s="4"/>
      <c r="SFQ1" s="4"/>
      <c r="SFR1" s="4"/>
      <c r="SFS1" s="4"/>
      <c r="SFT1" s="4"/>
      <c r="SFU1" s="4"/>
      <c r="SFV1" s="4"/>
      <c r="SFW1" s="4"/>
      <c r="SFX1" s="4"/>
      <c r="SFY1" s="4"/>
      <c r="SFZ1" s="4"/>
      <c r="SGA1" s="4"/>
      <c r="SGB1" s="4"/>
      <c r="SGC1" s="4"/>
      <c r="SGD1" s="4"/>
      <c r="SGE1" s="4"/>
      <c r="SGF1" s="4"/>
      <c r="SGG1" s="4"/>
      <c r="SGH1" s="4"/>
      <c r="SGI1" s="4"/>
      <c r="SGJ1" s="4"/>
      <c r="SGK1" s="4"/>
      <c r="SGL1" s="4"/>
      <c r="SGM1" s="4"/>
      <c r="SGN1" s="4"/>
      <c r="SGO1" s="4"/>
      <c r="SGP1" s="4"/>
      <c r="SGQ1" s="4"/>
      <c r="SGR1" s="4"/>
      <c r="SGS1" s="4"/>
      <c r="SGT1" s="4"/>
      <c r="SGU1" s="4"/>
      <c r="SGV1" s="4"/>
      <c r="SGW1" s="4"/>
      <c r="SGX1" s="4"/>
      <c r="SGY1" s="4"/>
      <c r="SGZ1" s="4"/>
      <c r="SHA1" s="4"/>
      <c r="SHB1" s="4"/>
      <c r="SHC1" s="4"/>
      <c r="SHD1" s="4"/>
      <c r="SHE1" s="4"/>
      <c r="SHF1" s="4"/>
      <c r="SHG1" s="4"/>
      <c r="SHH1" s="4"/>
      <c r="SHI1" s="4"/>
      <c r="SHJ1" s="4"/>
      <c r="SHK1" s="4"/>
      <c r="SHL1" s="4"/>
      <c r="SHM1" s="4"/>
      <c r="SHN1" s="4"/>
      <c r="SHO1" s="4"/>
      <c r="SHP1" s="4"/>
      <c r="SHQ1" s="4"/>
      <c r="SHR1" s="4"/>
      <c r="SHS1" s="4"/>
      <c r="SHT1" s="4"/>
      <c r="SHU1" s="4"/>
      <c r="SHV1" s="4"/>
      <c r="SHW1" s="4"/>
      <c r="SHX1" s="4"/>
      <c r="SHY1" s="4"/>
      <c r="SHZ1" s="4"/>
      <c r="SIA1" s="4"/>
      <c r="SIB1" s="4"/>
      <c r="SIC1" s="4"/>
      <c r="SID1" s="4"/>
      <c r="SIE1" s="4"/>
      <c r="SIF1" s="4"/>
      <c r="SIG1" s="4"/>
      <c r="SIH1" s="4"/>
      <c r="SII1" s="4"/>
      <c r="SIJ1" s="4"/>
      <c r="SIK1" s="4"/>
      <c r="SIL1" s="4"/>
      <c r="SIM1" s="4"/>
      <c r="SIN1" s="4"/>
      <c r="SIO1" s="4"/>
      <c r="SIP1" s="4"/>
      <c r="SIQ1" s="4"/>
      <c r="SIR1" s="4"/>
      <c r="SIS1" s="4"/>
      <c r="SIT1" s="4"/>
      <c r="SIU1" s="4"/>
      <c r="SIV1" s="4"/>
      <c r="SIW1" s="4"/>
      <c r="SIX1" s="4"/>
      <c r="SIY1" s="4"/>
      <c r="SIZ1" s="4"/>
      <c r="SJA1" s="4"/>
      <c r="SJB1" s="4"/>
      <c r="SJC1" s="4"/>
      <c r="SJD1" s="4"/>
      <c r="SJE1" s="4"/>
      <c r="SJF1" s="4"/>
      <c r="SJG1" s="4"/>
      <c r="SJH1" s="4"/>
      <c r="SJI1" s="4"/>
      <c r="SJJ1" s="4"/>
      <c r="SJK1" s="4"/>
      <c r="SJL1" s="4"/>
      <c r="SJM1" s="4"/>
      <c r="SJN1" s="4"/>
      <c r="SJO1" s="4"/>
      <c r="SJP1" s="4"/>
      <c r="SJQ1" s="4"/>
      <c r="SJR1" s="4"/>
      <c r="SJS1" s="4"/>
      <c r="SJT1" s="4"/>
      <c r="SJU1" s="4"/>
      <c r="SJV1" s="4"/>
      <c r="SJW1" s="4"/>
      <c r="SJX1" s="4"/>
      <c r="SJY1" s="4"/>
      <c r="SJZ1" s="4"/>
      <c r="SKA1" s="4"/>
      <c r="SKB1" s="4"/>
      <c r="SKC1" s="4"/>
      <c r="SKD1" s="4"/>
      <c r="SKE1" s="4"/>
      <c r="SKF1" s="4"/>
      <c r="SKG1" s="4"/>
      <c r="SKH1" s="4"/>
      <c r="SKI1" s="4"/>
      <c r="SKJ1" s="4"/>
      <c r="SKK1" s="4"/>
      <c r="SKL1" s="4"/>
      <c r="SKM1" s="4"/>
      <c r="SKN1" s="4"/>
      <c r="SKO1" s="4"/>
      <c r="SKP1" s="4"/>
      <c r="SKQ1" s="4"/>
      <c r="SKR1" s="4"/>
      <c r="SKS1" s="4"/>
      <c r="SKT1" s="4"/>
      <c r="SKU1" s="4"/>
      <c r="SKV1" s="4"/>
      <c r="SKW1" s="4"/>
      <c r="SKX1" s="4"/>
      <c r="SKY1" s="4"/>
      <c r="SKZ1" s="4"/>
      <c r="SLA1" s="4"/>
      <c r="SLB1" s="4"/>
      <c r="SLC1" s="4"/>
      <c r="SLD1" s="4"/>
      <c r="SLE1" s="4"/>
      <c r="SLF1" s="4"/>
      <c r="SLG1" s="4"/>
      <c r="SLH1" s="4"/>
      <c r="SLI1" s="4"/>
      <c r="SLJ1" s="4"/>
      <c r="SLK1" s="4"/>
      <c r="SLL1" s="4"/>
      <c r="SLM1" s="4"/>
      <c r="SLN1" s="4"/>
      <c r="SLO1" s="4"/>
      <c r="SLP1" s="4"/>
      <c r="SLQ1" s="4"/>
      <c r="SLR1" s="4"/>
      <c r="SLS1" s="4"/>
      <c r="SLT1" s="4"/>
      <c r="SLU1" s="4"/>
      <c r="SLV1" s="4"/>
      <c r="SLW1" s="4"/>
      <c r="SLX1" s="4"/>
      <c r="SLY1" s="4"/>
      <c r="SLZ1" s="4"/>
      <c r="SMA1" s="4"/>
      <c r="SMB1" s="4"/>
      <c r="SMC1" s="4"/>
      <c r="SMD1" s="4"/>
      <c r="SME1" s="4"/>
      <c r="SMF1" s="4"/>
      <c r="SMG1" s="4"/>
      <c r="SMH1" s="4"/>
      <c r="SMI1" s="4"/>
      <c r="SMJ1" s="4"/>
      <c r="SMK1" s="4"/>
      <c r="SML1" s="4"/>
      <c r="SMM1" s="4"/>
      <c r="SMN1" s="4"/>
      <c r="SMO1" s="4"/>
      <c r="SMP1" s="4"/>
      <c r="SMQ1" s="4"/>
      <c r="SMR1" s="4"/>
      <c r="SMS1" s="4"/>
      <c r="SMT1" s="4"/>
      <c r="SMU1" s="4"/>
      <c r="SMV1" s="4"/>
      <c r="SMW1" s="4"/>
      <c r="SMX1" s="4"/>
      <c r="SMY1" s="4"/>
      <c r="SMZ1" s="4"/>
      <c r="SNA1" s="4"/>
      <c r="SNB1" s="4"/>
      <c r="SNC1" s="4"/>
      <c r="SND1" s="4"/>
      <c r="SNE1" s="4"/>
      <c r="SNF1" s="4"/>
      <c r="SNG1" s="4"/>
      <c r="SNH1" s="4"/>
      <c r="SNI1" s="4"/>
      <c r="SNJ1" s="4"/>
      <c r="SNK1" s="4"/>
      <c r="SNL1" s="4"/>
      <c r="SNM1" s="4"/>
      <c r="SNN1" s="4"/>
      <c r="SNO1" s="4"/>
      <c r="SNP1" s="4"/>
      <c r="SNQ1" s="4"/>
      <c r="SNR1" s="4"/>
      <c r="SNS1" s="4"/>
      <c r="SNT1" s="4"/>
      <c r="SNU1" s="4"/>
      <c r="SNV1" s="4"/>
      <c r="SNW1" s="4"/>
      <c r="SNX1" s="4"/>
      <c r="SNY1" s="4"/>
      <c r="SNZ1" s="4"/>
      <c r="SOA1" s="4"/>
      <c r="SOB1" s="4"/>
      <c r="SOC1" s="4"/>
      <c r="SOD1" s="4"/>
      <c r="SOE1" s="4"/>
      <c r="SOF1" s="4"/>
      <c r="SOG1" s="4"/>
      <c r="SOH1" s="4"/>
      <c r="SOI1" s="4"/>
      <c r="SOJ1" s="4"/>
      <c r="SOK1" s="4"/>
      <c r="SOL1" s="4"/>
      <c r="SOM1" s="4"/>
      <c r="SON1" s="4"/>
      <c r="SOO1" s="4"/>
      <c r="SOP1" s="4"/>
      <c r="SOQ1" s="4"/>
      <c r="SOR1" s="4"/>
      <c r="SOS1" s="4"/>
      <c r="SOT1" s="4"/>
      <c r="SOU1" s="4"/>
      <c r="SOV1" s="4"/>
      <c r="SOW1" s="4"/>
      <c r="SOX1" s="4"/>
      <c r="SOY1" s="4"/>
      <c r="SOZ1" s="4"/>
      <c r="SPA1" s="4"/>
      <c r="SPB1" s="4"/>
      <c r="SPC1" s="4"/>
      <c r="SPD1" s="4"/>
      <c r="SPE1" s="4"/>
      <c r="SPF1" s="4"/>
      <c r="SPG1" s="4"/>
      <c r="SPH1" s="4"/>
      <c r="SPI1" s="4"/>
      <c r="SPJ1" s="4"/>
      <c r="SPK1" s="4"/>
      <c r="SPL1" s="4"/>
      <c r="SPM1" s="4"/>
      <c r="SPN1" s="4"/>
      <c r="SPO1" s="4"/>
      <c r="SPP1" s="4"/>
      <c r="SPQ1" s="4"/>
      <c r="SPR1" s="4"/>
      <c r="SPS1" s="4"/>
      <c r="SPT1" s="4"/>
      <c r="SPU1" s="4"/>
      <c r="SPV1" s="4"/>
      <c r="SPW1" s="4"/>
      <c r="SPX1" s="4"/>
      <c r="SPY1" s="4"/>
      <c r="SPZ1" s="4"/>
      <c r="SQA1" s="4"/>
      <c r="SQB1" s="4"/>
      <c r="SQC1" s="4"/>
      <c r="SQD1" s="4"/>
      <c r="SQE1" s="4"/>
      <c r="SQF1" s="4"/>
      <c r="SQG1" s="4"/>
      <c r="SQH1" s="4"/>
      <c r="SQI1" s="4"/>
      <c r="SQJ1" s="4"/>
      <c r="SQK1" s="4"/>
      <c r="SQL1" s="4"/>
      <c r="SQM1" s="4"/>
      <c r="SQN1" s="4"/>
      <c r="SQO1" s="4"/>
      <c r="SQP1" s="4"/>
      <c r="SQQ1" s="4"/>
      <c r="SQR1" s="4"/>
      <c r="SQS1" s="4"/>
      <c r="SQT1" s="4"/>
      <c r="SQU1" s="4"/>
      <c r="SQV1" s="4"/>
      <c r="SQW1" s="4"/>
      <c r="SQX1" s="4"/>
      <c r="SQY1" s="4"/>
      <c r="SQZ1" s="4"/>
      <c r="SRA1" s="4"/>
      <c r="SRB1" s="4"/>
      <c r="SRC1" s="4"/>
      <c r="SRD1" s="4"/>
      <c r="SRE1" s="4"/>
      <c r="SRF1" s="4"/>
      <c r="SRG1" s="4"/>
      <c r="SRH1" s="4"/>
      <c r="SRI1" s="4"/>
      <c r="SRJ1" s="4"/>
      <c r="SRK1" s="4"/>
      <c r="SRL1" s="4"/>
      <c r="SRM1" s="4"/>
      <c r="SRN1" s="4"/>
      <c r="SRO1" s="4"/>
      <c r="SRP1" s="4"/>
      <c r="SRQ1" s="4"/>
      <c r="SRR1" s="4"/>
      <c r="SRS1" s="4"/>
      <c r="SRT1" s="4"/>
      <c r="SRU1" s="4"/>
      <c r="SRV1" s="4"/>
      <c r="SRW1" s="4"/>
      <c r="SRX1" s="4"/>
      <c r="SRY1" s="4"/>
      <c r="SRZ1" s="4"/>
      <c r="SSA1" s="4"/>
      <c r="SSB1" s="4"/>
      <c r="SSC1" s="4"/>
      <c r="SSD1" s="4"/>
      <c r="SSE1" s="4"/>
      <c r="SSF1" s="4"/>
      <c r="SSG1" s="4"/>
      <c r="SSH1" s="4"/>
      <c r="SSI1" s="4"/>
      <c r="SSJ1" s="4"/>
      <c r="SSK1" s="4"/>
      <c r="SSL1" s="4"/>
      <c r="SSM1" s="4"/>
      <c r="SSN1" s="4"/>
      <c r="SSO1" s="4"/>
      <c r="SSP1" s="4"/>
      <c r="SSQ1" s="4"/>
      <c r="SSR1" s="4"/>
      <c r="SSS1" s="4"/>
      <c r="SST1" s="4"/>
      <c r="SSU1" s="4"/>
      <c r="SSV1" s="4"/>
      <c r="SSW1" s="4"/>
      <c r="SSX1" s="4"/>
      <c r="SSY1" s="4"/>
      <c r="SSZ1" s="4"/>
      <c r="STA1" s="4"/>
      <c r="STB1" s="4"/>
      <c r="STC1" s="4"/>
      <c r="STD1" s="4"/>
      <c r="STE1" s="4"/>
      <c r="STF1" s="4"/>
      <c r="STG1" s="4"/>
      <c r="STH1" s="4"/>
      <c r="STI1" s="4"/>
      <c r="STJ1" s="4"/>
      <c r="STK1" s="4"/>
      <c r="STL1" s="4"/>
      <c r="STM1" s="4"/>
      <c r="STN1" s="4"/>
      <c r="STO1" s="4"/>
      <c r="STP1" s="4"/>
      <c r="STQ1" s="4"/>
      <c r="STR1" s="4"/>
      <c r="STS1" s="4"/>
      <c r="STT1" s="4"/>
      <c r="STU1" s="4"/>
      <c r="STV1" s="4"/>
      <c r="STW1" s="4"/>
      <c r="STX1" s="4"/>
      <c r="STY1" s="4"/>
      <c r="STZ1" s="4"/>
      <c r="SUA1" s="4"/>
      <c r="SUB1" s="4"/>
      <c r="SUC1" s="4"/>
      <c r="SUD1" s="4"/>
      <c r="SUE1" s="4"/>
      <c r="SUF1" s="4"/>
      <c r="SUG1" s="4"/>
      <c r="SUH1" s="4"/>
      <c r="SUI1" s="4"/>
      <c r="SUJ1" s="4"/>
      <c r="SUK1" s="4"/>
      <c r="SUL1" s="4"/>
      <c r="SUM1" s="4"/>
      <c r="SUN1" s="4"/>
      <c r="SUO1" s="4"/>
      <c r="SUP1" s="4"/>
      <c r="SUQ1" s="4"/>
      <c r="SUR1" s="4"/>
      <c r="SUS1" s="4"/>
      <c r="SUT1" s="4"/>
      <c r="SUU1" s="4"/>
      <c r="SUV1" s="4"/>
      <c r="SUW1" s="4"/>
      <c r="SUX1" s="4"/>
      <c r="SUY1" s="4"/>
      <c r="SUZ1" s="4"/>
      <c r="SVA1" s="4"/>
      <c r="SVB1" s="4"/>
      <c r="SVC1" s="4"/>
      <c r="SVD1" s="4"/>
      <c r="SVE1" s="4"/>
      <c r="SVF1" s="4"/>
      <c r="SVG1" s="4"/>
      <c r="SVH1" s="4"/>
      <c r="SVI1" s="4"/>
      <c r="SVJ1" s="4"/>
      <c r="SVK1" s="4"/>
      <c r="SVL1" s="4"/>
      <c r="SVM1" s="4"/>
      <c r="SVN1" s="4"/>
      <c r="SVO1" s="4"/>
      <c r="SVP1" s="4"/>
      <c r="SVQ1" s="4"/>
      <c r="SVR1" s="4"/>
      <c r="SVS1" s="4"/>
      <c r="SVT1" s="4"/>
      <c r="SVU1" s="4"/>
      <c r="SVV1" s="4"/>
      <c r="SVW1" s="4"/>
      <c r="SVX1" s="4"/>
      <c r="SVY1" s="4"/>
      <c r="SVZ1" s="4"/>
      <c r="SWA1" s="4"/>
      <c r="SWB1" s="4"/>
      <c r="SWC1" s="4"/>
      <c r="SWD1" s="4"/>
      <c r="SWE1" s="4"/>
      <c r="SWF1" s="4"/>
      <c r="SWG1" s="4"/>
      <c r="SWH1" s="4"/>
      <c r="SWI1" s="4"/>
      <c r="SWJ1" s="4"/>
      <c r="SWK1" s="4"/>
      <c r="SWL1" s="4"/>
      <c r="SWM1" s="4"/>
      <c r="SWN1" s="4"/>
      <c r="SWO1" s="4"/>
      <c r="SWP1" s="4"/>
      <c r="SWQ1" s="4"/>
      <c r="SWR1" s="4"/>
      <c r="SWS1" s="4"/>
      <c r="SWT1" s="4"/>
      <c r="SWU1" s="4"/>
      <c r="SWV1" s="4"/>
      <c r="SWW1" s="4"/>
      <c r="SWX1" s="4"/>
      <c r="SWY1" s="4"/>
      <c r="SWZ1" s="4"/>
      <c r="SXA1" s="4"/>
      <c r="SXB1" s="4"/>
      <c r="SXC1" s="4"/>
      <c r="SXD1" s="4"/>
      <c r="SXE1" s="4"/>
      <c r="SXF1" s="4"/>
      <c r="SXG1" s="4"/>
      <c r="SXH1" s="4"/>
      <c r="SXI1" s="4"/>
      <c r="SXJ1" s="4"/>
      <c r="SXK1" s="4"/>
      <c r="SXL1" s="4"/>
      <c r="SXM1" s="4"/>
      <c r="SXN1" s="4"/>
      <c r="SXO1" s="4"/>
      <c r="SXP1" s="4"/>
      <c r="SXQ1" s="4"/>
      <c r="SXR1" s="4"/>
      <c r="SXS1" s="4"/>
      <c r="SXT1" s="4"/>
      <c r="SXU1" s="4"/>
      <c r="SXV1" s="4"/>
      <c r="SXW1" s="4"/>
      <c r="SXX1" s="4"/>
      <c r="SXY1" s="4"/>
      <c r="SXZ1" s="4"/>
      <c r="SYA1" s="4"/>
      <c r="SYB1" s="4"/>
      <c r="SYC1" s="4"/>
      <c r="SYD1" s="4"/>
      <c r="SYE1" s="4"/>
      <c r="SYF1" s="4"/>
      <c r="SYG1" s="4"/>
      <c r="SYH1" s="4"/>
      <c r="SYI1" s="4"/>
      <c r="SYJ1" s="4"/>
      <c r="SYK1" s="4"/>
      <c r="SYL1" s="4"/>
      <c r="SYM1" s="4"/>
      <c r="SYN1" s="4"/>
      <c r="SYO1" s="4"/>
      <c r="SYP1" s="4"/>
      <c r="SYQ1" s="4"/>
      <c r="SYR1" s="4"/>
      <c r="SYS1" s="4"/>
      <c r="SYT1" s="4"/>
      <c r="SYU1" s="4"/>
      <c r="SYV1" s="4"/>
      <c r="SYW1" s="4"/>
      <c r="SYX1" s="4"/>
      <c r="SYY1" s="4"/>
      <c r="SYZ1" s="4"/>
      <c r="SZA1" s="4"/>
      <c r="SZB1" s="4"/>
      <c r="SZC1" s="4"/>
      <c r="SZD1" s="4"/>
      <c r="SZE1" s="4"/>
      <c r="SZF1" s="4"/>
      <c r="SZG1" s="4"/>
      <c r="SZH1" s="4"/>
      <c r="SZI1" s="4"/>
      <c r="SZJ1" s="4"/>
      <c r="SZK1" s="4"/>
      <c r="SZL1" s="4"/>
      <c r="SZM1" s="4"/>
      <c r="SZN1" s="4"/>
      <c r="SZO1" s="4"/>
      <c r="SZP1" s="4"/>
      <c r="SZQ1" s="4"/>
      <c r="SZR1" s="4"/>
      <c r="SZS1" s="4"/>
      <c r="SZT1" s="4"/>
      <c r="SZU1" s="4"/>
      <c r="SZV1" s="4"/>
      <c r="SZW1" s="4"/>
      <c r="SZX1" s="4"/>
      <c r="SZY1" s="4"/>
      <c r="SZZ1" s="4"/>
      <c r="TAA1" s="4"/>
      <c r="TAB1" s="4"/>
      <c r="TAC1" s="4"/>
      <c r="TAD1" s="4"/>
      <c r="TAE1" s="4"/>
      <c r="TAF1" s="4"/>
      <c r="TAG1" s="4"/>
      <c r="TAH1" s="4"/>
      <c r="TAI1" s="4"/>
      <c r="TAJ1" s="4"/>
      <c r="TAK1" s="4"/>
      <c r="TAL1" s="4"/>
      <c r="TAM1" s="4"/>
      <c r="TAN1" s="4"/>
      <c r="TAO1" s="4"/>
      <c r="TAP1" s="4"/>
      <c r="TAQ1" s="4"/>
      <c r="TAR1" s="4"/>
      <c r="TAS1" s="4"/>
      <c r="TAT1" s="4"/>
      <c r="TAU1" s="4"/>
      <c r="TAV1" s="4"/>
      <c r="TAW1" s="4"/>
      <c r="TAX1" s="4"/>
      <c r="TAY1" s="4"/>
      <c r="TAZ1" s="4"/>
      <c r="TBA1" s="4"/>
      <c r="TBB1" s="4"/>
      <c r="TBC1" s="4"/>
      <c r="TBD1" s="4"/>
      <c r="TBE1" s="4"/>
      <c r="TBF1" s="4"/>
      <c r="TBG1" s="4"/>
      <c r="TBH1" s="4"/>
      <c r="TBI1" s="4"/>
      <c r="TBJ1" s="4"/>
      <c r="TBK1" s="4"/>
      <c r="TBL1" s="4"/>
      <c r="TBM1" s="4"/>
      <c r="TBN1" s="4"/>
      <c r="TBO1" s="4"/>
      <c r="TBP1" s="4"/>
      <c r="TBQ1" s="4"/>
      <c r="TBR1" s="4"/>
      <c r="TBS1" s="4"/>
      <c r="TBT1" s="4"/>
      <c r="TBU1" s="4"/>
      <c r="TBV1" s="4"/>
      <c r="TBW1" s="4"/>
      <c r="TBX1" s="4"/>
      <c r="TBY1" s="4"/>
      <c r="TBZ1" s="4"/>
      <c r="TCA1" s="4"/>
      <c r="TCB1" s="4"/>
      <c r="TCC1" s="4"/>
      <c r="TCD1" s="4"/>
      <c r="TCE1" s="4"/>
      <c r="TCF1" s="4"/>
      <c r="TCG1" s="4"/>
      <c r="TCH1" s="4"/>
      <c r="TCI1" s="4"/>
      <c r="TCJ1" s="4"/>
      <c r="TCK1" s="4"/>
      <c r="TCL1" s="4"/>
      <c r="TCM1" s="4"/>
      <c r="TCN1" s="4"/>
      <c r="TCO1" s="4"/>
      <c r="TCP1" s="4"/>
      <c r="TCQ1" s="4"/>
      <c r="TCR1" s="4"/>
      <c r="TCS1" s="4"/>
      <c r="TCT1" s="4"/>
      <c r="TCU1" s="4"/>
      <c r="TCV1" s="4"/>
      <c r="TCW1" s="4"/>
      <c r="TCX1" s="4"/>
      <c r="TCY1" s="4"/>
      <c r="TCZ1" s="4"/>
      <c r="TDA1" s="4"/>
      <c r="TDB1" s="4"/>
      <c r="TDC1" s="4"/>
      <c r="TDD1" s="4"/>
      <c r="TDE1" s="4"/>
      <c r="TDF1" s="4"/>
      <c r="TDG1" s="4"/>
      <c r="TDH1" s="4"/>
      <c r="TDI1" s="4"/>
      <c r="TDJ1" s="4"/>
      <c r="TDK1" s="4"/>
      <c r="TDL1" s="4"/>
      <c r="TDM1" s="4"/>
      <c r="TDN1" s="4"/>
      <c r="TDO1" s="4"/>
      <c r="TDP1" s="4"/>
      <c r="TDQ1" s="4"/>
      <c r="TDR1" s="4"/>
      <c r="TDS1" s="4"/>
      <c r="TDT1" s="4"/>
      <c r="TDU1" s="4"/>
      <c r="TDV1" s="4"/>
      <c r="TDW1" s="4"/>
      <c r="TDX1" s="4"/>
      <c r="TDY1" s="4"/>
      <c r="TDZ1" s="4"/>
      <c r="TEA1" s="4"/>
      <c r="TEB1" s="4"/>
      <c r="TEC1" s="4"/>
      <c r="TED1" s="4"/>
      <c r="TEE1" s="4"/>
      <c r="TEF1" s="4"/>
      <c r="TEG1" s="4"/>
      <c r="TEH1" s="4"/>
      <c r="TEI1" s="4"/>
      <c r="TEJ1" s="4"/>
      <c r="TEK1" s="4"/>
      <c r="TEL1" s="4"/>
      <c r="TEM1" s="4"/>
      <c r="TEN1" s="4"/>
      <c r="TEO1" s="4"/>
      <c r="TEP1" s="4"/>
      <c r="TEQ1" s="4"/>
      <c r="TER1" s="4"/>
      <c r="TES1" s="4"/>
      <c r="TET1" s="4"/>
      <c r="TEU1" s="4"/>
      <c r="TEV1" s="4"/>
      <c r="TEW1" s="4"/>
      <c r="TEX1" s="4"/>
      <c r="TEY1" s="4"/>
      <c r="TEZ1" s="4"/>
      <c r="TFA1" s="4"/>
      <c r="TFB1" s="4"/>
      <c r="TFC1" s="4"/>
      <c r="TFD1" s="4"/>
      <c r="TFE1" s="4"/>
      <c r="TFF1" s="4"/>
      <c r="TFG1" s="4"/>
      <c r="TFH1" s="4"/>
      <c r="TFI1" s="4"/>
      <c r="TFJ1" s="4"/>
      <c r="TFK1" s="4"/>
      <c r="TFL1" s="4"/>
      <c r="TFM1" s="4"/>
      <c r="TFN1" s="4"/>
      <c r="TFO1" s="4"/>
      <c r="TFP1" s="4"/>
      <c r="TFQ1" s="4"/>
      <c r="TFR1" s="4"/>
      <c r="TFS1" s="4"/>
      <c r="TFT1" s="4"/>
      <c r="TFU1" s="4"/>
      <c r="TFV1" s="4"/>
      <c r="TFW1" s="4"/>
      <c r="TFX1" s="4"/>
      <c r="TFY1" s="4"/>
      <c r="TFZ1" s="4"/>
      <c r="TGA1" s="4"/>
      <c r="TGB1" s="4"/>
      <c r="TGC1" s="4"/>
      <c r="TGD1" s="4"/>
      <c r="TGE1" s="4"/>
      <c r="TGF1" s="4"/>
      <c r="TGG1" s="4"/>
      <c r="TGH1" s="4"/>
      <c r="TGI1" s="4"/>
      <c r="TGJ1" s="4"/>
      <c r="TGK1" s="4"/>
      <c r="TGL1" s="4"/>
      <c r="TGM1" s="4"/>
      <c r="TGN1" s="4"/>
      <c r="TGO1" s="4"/>
      <c r="TGP1" s="4"/>
      <c r="TGQ1" s="4"/>
      <c r="TGR1" s="4"/>
      <c r="TGS1" s="4"/>
      <c r="TGT1" s="4"/>
      <c r="TGU1" s="4"/>
      <c r="TGV1" s="4"/>
      <c r="TGW1" s="4"/>
      <c r="TGX1" s="4"/>
      <c r="TGY1" s="4"/>
      <c r="TGZ1" s="4"/>
      <c r="THA1" s="4"/>
      <c r="THB1" s="4"/>
      <c r="THC1" s="4"/>
      <c r="THD1" s="4"/>
      <c r="THE1" s="4"/>
      <c r="THF1" s="4"/>
      <c r="THG1" s="4"/>
      <c r="THH1" s="4"/>
      <c r="THI1" s="4"/>
      <c r="THJ1" s="4"/>
      <c r="THK1" s="4"/>
      <c r="THL1" s="4"/>
      <c r="THM1" s="4"/>
      <c r="THN1" s="4"/>
      <c r="THO1" s="4"/>
      <c r="THP1" s="4"/>
      <c r="THQ1" s="4"/>
      <c r="THR1" s="4"/>
      <c r="THS1" s="4"/>
      <c r="THT1" s="4"/>
      <c r="THU1" s="4"/>
      <c r="THV1" s="4"/>
      <c r="THW1" s="4"/>
      <c r="THX1" s="4"/>
      <c r="THY1" s="4"/>
      <c r="THZ1" s="4"/>
      <c r="TIA1" s="4"/>
      <c r="TIB1" s="4"/>
      <c r="TIC1" s="4"/>
      <c r="TID1" s="4"/>
      <c r="TIE1" s="4"/>
      <c r="TIF1" s="4"/>
      <c r="TIG1" s="4"/>
      <c r="TIH1" s="4"/>
      <c r="TII1" s="4"/>
      <c r="TIJ1" s="4"/>
      <c r="TIK1" s="4"/>
      <c r="TIL1" s="4"/>
      <c r="TIM1" s="4"/>
      <c r="TIN1" s="4"/>
      <c r="TIO1" s="4"/>
      <c r="TIP1" s="4"/>
      <c r="TIQ1" s="4"/>
      <c r="TIR1" s="4"/>
      <c r="TIS1" s="4"/>
      <c r="TIT1" s="4"/>
      <c r="TIU1" s="4"/>
      <c r="TIV1" s="4"/>
      <c r="TIW1" s="4"/>
      <c r="TIX1" s="4"/>
      <c r="TIY1" s="4"/>
      <c r="TIZ1" s="4"/>
      <c r="TJA1" s="4"/>
      <c r="TJB1" s="4"/>
      <c r="TJC1" s="4"/>
      <c r="TJD1" s="4"/>
      <c r="TJE1" s="4"/>
      <c r="TJF1" s="4"/>
      <c r="TJG1" s="4"/>
      <c r="TJH1" s="4"/>
      <c r="TJI1" s="4"/>
      <c r="TJJ1" s="4"/>
      <c r="TJK1" s="4"/>
      <c r="TJL1" s="4"/>
      <c r="TJM1" s="4"/>
      <c r="TJN1" s="4"/>
      <c r="TJO1" s="4"/>
      <c r="TJP1" s="4"/>
      <c r="TJQ1" s="4"/>
      <c r="TJR1" s="4"/>
      <c r="TJS1" s="4"/>
      <c r="TJT1" s="4"/>
      <c r="TJU1" s="4"/>
      <c r="TJV1" s="4"/>
      <c r="TJW1" s="4"/>
      <c r="TJX1" s="4"/>
      <c r="TJY1" s="4"/>
      <c r="TJZ1" s="4"/>
      <c r="TKA1" s="4"/>
      <c r="TKB1" s="4"/>
      <c r="TKC1" s="4"/>
      <c r="TKD1" s="4"/>
      <c r="TKE1" s="4"/>
      <c r="TKF1" s="4"/>
      <c r="TKG1" s="4"/>
      <c r="TKH1" s="4"/>
      <c r="TKI1" s="4"/>
      <c r="TKJ1" s="4"/>
      <c r="TKK1" s="4"/>
      <c r="TKL1" s="4"/>
      <c r="TKM1" s="4"/>
      <c r="TKN1" s="4"/>
      <c r="TKO1" s="4"/>
      <c r="TKP1" s="4"/>
      <c r="TKQ1" s="4"/>
      <c r="TKR1" s="4"/>
      <c r="TKS1" s="4"/>
      <c r="TKT1" s="4"/>
      <c r="TKU1" s="4"/>
      <c r="TKV1" s="4"/>
      <c r="TKW1" s="4"/>
      <c r="TKX1" s="4"/>
      <c r="TKY1" s="4"/>
      <c r="TKZ1" s="4"/>
      <c r="TLA1" s="4"/>
      <c r="TLB1" s="4"/>
      <c r="TLC1" s="4"/>
      <c r="TLD1" s="4"/>
      <c r="TLE1" s="4"/>
      <c r="TLF1" s="4"/>
      <c r="TLG1" s="4"/>
      <c r="TLH1" s="4"/>
      <c r="TLI1" s="4"/>
      <c r="TLJ1" s="4"/>
      <c r="TLK1" s="4"/>
      <c r="TLL1" s="4"/>
      <c r="TLM1" s="4"/>
      <c r="TLN1" s="4"/>
      <c r="TLO1" s="4"/>
      <c r="TLP1" s="4"/>
      <c r="TLQ1" s="4"/>
      <c r="TLR1" s="4"/>
      <c r="TLS1" s="4"/>
      <c r="TLT1" s="4"/>
      <c r="TLU1" s="4"/>
      <c r="TLV1" s="4"/>
      <c r="TLW1" s="4"/>
      <c r="TLX1" s="4"/>
      <c r="TLY1" s="4"/>
      <c r="TLZ1" s="4"/>
      <c r="TMA1" s="4"/>
      <c r="TMB1" s="4"/>
      <c r="TMC1" s="4"/>
      <c r="TMD1" s="4"/>
      <c r="TME1" s="4"/>
      <c r="TMF1" s="4"/>
      <c r="TMG1" s="4"/>
      <c r="TMH1" s="4"/>
      <c r="TMI1" s="4"/>
      <c r="TMJ1" s="4"/>
      <c r="TMK1" s="4"/>
      <c r="TML1" s="4"/>
      <c r="TMM1" s="4"/>
      <c r="TMN1" s="4"/>
      <c r="TMO1" s="4"/>
      <c r="TMP1" s="4"/>
      <c r="TMQ1" s="4"/>
      <c r="TMR1" s="4"/>
      <c r="TMS1" s="4"/>
      <c r="TMT1" s="4"/>
      <c r="TMU1" s="4"/>
      <c r="TMV1" s="4"/>
      <c r="TMW1" s="4"/>
      <c r="TMX1" s="4"/>
      <c r="TMY1" s="4"/>
      <c r="TMZ1" s="4"/>
      <c r="TNA1" s="4"/>
      <c r="TNB1" s="4"/>
      <c r="TNC1" s="4"/>
      <c r="TND1" s="4"/>
      <c r="TNE1" s="4"/>
      <c r="TNF1" s="4"/>
      <c r="TNG1" s="4"/>
      <c r="TNH1" s="4"/>
      <c r="TNI1" s="4"/>
      <c r="TNJ1" s="4"/>
      <c r="TNK1" s="4"/>
      <c r="TNL1" s="4"/>
      <c r="TNM1" s="4"/>
      <c r="TNN1" s="4"/>
      <c r="TNO1" s="4"/>
      <c r="TNP1" s="4"/>
      <c r="TNQ1" s="4"/>
      <c r="TNR1" s="4"/>
      <c r="TNS1" s="4"/>
      <c r="TNT1" s="4"/>
      <c r="TNU1" s="4"/>
      <c r="TNV1" s="4"/>
      <c r="TNW1" s="4"/>
      <c r="TNX1" s="4"/>
      <c r="TNY1" s="4"/>
      <c r="TNZ1" s="4"/>
      <c r="TOA1" s="4"/>
      <c r="TOB1" s="4"/>
      <c r="TOC1" s="4"/>
      <c r="TOD1" s="4"/>
      <c r="TOE1" s="4"/>
      <c r="TOF1" s="4"/>
      <c r="TOG1" s="4"/>
      <c r="TOH1" s="4"/>
      <c r="TOI1" s="4"/>
      <c r="TOJ1" s="4"/>
      <c r="TOK1" s="4"/>
      <c r="TOL1" s="4"/>
      <c r="TOM1" s="4"/>
      <c r="TON1" s="4"/>
      <c r="TOO1" s="4"/>
      <c r="TOP1" s="4"/>
      <c r="TOQ1" s="4"/>
      <c r="TOR1" s="4"/>
      <c r="TOS1" s="4"/>
      <c r="TOT1" s="4"/>
      <c r="TOU1" s="4"/>
      <c r="TOV1" s="4"/>
      <c r="TOW1" s="4"/>
      <c r="TOX1" s="4"/>
      <c r="TOY1" s="4"/>
      <c r="TOZ1" s="4"/>
      <c r="TPA1" s="4"/>
      <c r="TPB1" s="4"/>
      <c r="TPC1" s="4"/>
      <c r="TPD1" s="4"/>
      <c r="TPE1" s="4"/>
      <c r="TPF1" s="4"/>
      <c r="TPG1" s="4"/>
      <c r="TPH1" s="4"/>
      <c r="TPI1" s="4"/>
      <c r="TPJ1" s="4"/>
      <c r="TPK1" s="4"/>
      <c r="TPL1" s="4"/>
      <c r="TPM1" s="4"/>
      <c r="TPN1" s="4"/>
      <c r="TPO1" s="4"/>
      <c r="TPP1" s="4"/>
      <c r="TPQ1" s="4"/>
      <c r="TPR1" s="4"/>
      <c r="TPS1" s="4"/>
      <c r="TPT1" s="4"/>
      <c r="TPU1" s="4"/>
      <c r="TPV1" s="4"/>
      <c r="TPW1" s="4"/>
      <c r="TPX1" s="4"/>
      <c r="TPY1" s="4"/>
      <c r="TPZ1" s="4"/>
      <c r="TQA1" s="4"/>
      <c r="TQB1" s="4"/>
      <c r="TQC1" s="4"/>
      <c r="TQD1" s="4"/>
      <c r="TQE1" s="4"/>
      <c r="TQF1" s="4"/>
      <c r="TQG1" s="4"/>
      <c r="TQH1" s="4"/>
      <c r="TQI1" s="4"/>
      <c r="TQJ1" s="4"/>
      <c r="TQK1" s="4"/>
      <c r="TQL1" s="4"/>
      <c r="TQM1" s="4"/>
      <c r="TQN1" s="4"/>
      <c r="TQO1" s="4"/>
      <c r="TQP1" s="4"/>
      <c r="TQQ1" s="4"/>
      <c r="TQR1" s="4"/>
      <c r="TQS1" s="4"/>
      <c r="TQT1" s="4"/>
      <c r="TQU1" s="4"/>
      <c r="TQV1" s="4"/>
      <c r="TQW1" s="4"/>
      <c r="TQX1" s="4"/>
      <c r="TQY1" s="4"/>
      <c r="TQZ1" s="4"/>
      <c r="TRA1" s="4"/>
      <c r="TRB1" s="4"/>
      <c r="TRC1" s="4"/>
      <c r="TRD1" s="4"/>
      <c r="TRE1" s="4"/>
      <c r="TRF1" s="4"/>
      <c r="TRG1" s="4"/>
      <c r="TRH1" s="4"/>
      <c r="TRI1" s="4"/>
      <c r="TRJ1" s="4"/>
      <c r="TRK1" s="4"/>
      <c r="TRL1" s="4"/>
      <c r="TRM1" s="4"/>
      <c r="TRN1" s="4"/>
      <c r="TRO1" s="4"/>
      <c r="TRP1" s="4"/>
      <c r="TRQ1" s="4"/>
      <c r="TRR1" s="4"/>
      <c r="TRS1" s="4"/>
      <c r="TRT1" s="4"/>
      <c r="TRU1" s="4"/>
      <c r="TRV1" s="4"/>
      <c r="TRW1" s="4"/>
      <c r="TRX1" s="4"/>
      <c r="TRY1" s="4"/>
      <c r="TRZ1" s="4"/>
      <c r="TSA1" s="4"/>
      <c r="TSB1" s="4"/>
      <c r="TSC1" s="4"/>
      <c r="TSD1" s="4"/>
      <c r="TSE1" s="4"/>
      <c r="TSF1" s="4"/>
      <c r="TSG1" s="4"/>
      <c r="TSH1" s="4"/>
      <c r="TSI1" s="4"/>
      <c r="TSJ1" s="4"/>
      <c r="TSK1" s="4"/>
      <c r="TSL1" s="4"/>
      <c r="TSM1" s="4"/>
      <c r="TSN1" s="4"/>
      <c r="TSO1" s="4"/>
      <c r="TSP1" s="4"/>
      <c r="TSQ1" s="4"/>
      <c r="TSR1" s="4"/>
      <c r="TSS1" s="4"/>
      <c r="TST1" s="4"/>
      <c r="TSU1" s="4"/>
      <c r="TSV1" s="4"/>
      <c r="TSW1" s="4"/>
      <c r="TSX1" s="4"/>
      <c r="TSY1" s="4"/>
      <c r="TSZ1" s="4"/>
      <c r="TTA1" s="4"/>
      <c r="TTB1" s="4"/>
      <c r="TTC1" s="4"/>
      <c r="TTD1" s="4"/>
      <c r="TTE1" s="4"/>
      <c r="TTF1" s="4"/>
      <c r="TTG1" s="4"/>
      <c r="TTH1" s="4"/>
      <c r="TTI1" s="4"/>
      <c r="TTJ1" s="4"/>
      <c r="TTK1" s="4"/>
      <c r="TTL1" s="4"/>
      <c r="TTM1" s="4"/>
      <c r="TTN1" s="4"/>
      <c r="TTO1" s="4"/>
      <c r="TTP1" s="4"/>
      <c r="TTQ1" s="4"/>
      <c r="TTR1" s="4"/>
      <c r="TTS1" s="4"/>
      <c r="TTT1" s="4"/>
      <c r="TTU1" s="4"/>
      <c r="TTV1" s="4"/>
      <c r="TTW1" s="4"/>
      <c r="TTX1" s="4"/>
      <c r="TTY1" s="4"/>
      <c r="TTZ1" s="4"/>
      <c r="TUA1" s="4"/>
      <c r="TUB1" s="4"/>
      <c r="TUC1" s="4"/>
      <c r="TUD1" s="4"/>
      <c r="TUE1" s="4"/>
      <c r="TUF1" s="4"/>
      <c r="TUG1" s="4"/>
      <c r="TUH1" s="4"/>
      <c r="TUI1" s="4"/>
      <c r="TUJ1" s="4"/>
      <c r="TUK1" s="4"/>
      <c r="TUL1" s="4"/>
      <c r="TUM1" s="4"/>
      <c r="TUN1" s="4"/>
      <c r="TUO1" s="4"/>
      <c r="TUP1" s="4"/>
      <c r="TUQ1" s="4"/>
      <c r="TUR1" s="4"/>
      <c r="TUS1" s="4"/>
      <c r="TUT1" s="4"/>
      <c r="TUU1" s="4"/>
      <c r="TUV1" s="4"/>
      <c r="TUW1" s="4"/>
      <c r="TUX1" s="4"/>
      <c r="TUY1" s="4"/>
      <c r="TUZ1" s="4"/>
      <c r="TVA1" s="4"/>
      <c r="TVB1" s="4"/>
      <c r="TVC1" s="4"/>
      <c r="TVD1" s="4"/>
      <c r="TVE1" s="4"/>
      <c r="TVF1" s="4"/>
      <c r="TVG1" s="4"/>
      <c r="TVH1" s="4"/>
      <c r="TVI1" s="4"/>
      <c r="TVJ1" s="4"/>
      <c r="TVK1" s="4"/>
      <c r="TVL1" s="4"/>
      <c r="TVM1" s="4"/>
      <c r="TVN1" s="4"/>
      <c r="TVO1" s="4"/>
      <c r="TVP1" s="4"/>
      <c r="TVQ1" s="4"/>
      <c r="TVR1" s="4"/>
      <c r="TVS1" s="4"/>
      <c r="TVT1" s="4"/>
      <c r="TVU1" s="4"/>
      <c r="TVV1" s="4"/>
      <c r="TVW1" s="4"/>
      <c r="TVX1" s="4"/>
      <c r="TVY1" s="4"/>
      <c r="TVZ1" s="4"/>
      <c r="TWA1" s="4"/>
      <c r="TWB1" s="4"/>
      <c r="TWC1" s="4"/>
      <c r="TWD1" s="4"/>
      <c r="TWE1" s="4"/>
      <c r="TWF1" s="4"/>
      <c r="TWG1" s="4"/>
      <c r="TWH1" s="4"/>
      <c r="TWI1" s="4"/>
      <c r="TWJ1" s="4"/>
      <c r="TWK1" s="4"/>
      <c r="TWL1" s="4"/>
      <c r="TWM1" s="4"/>
      <c r="TWN1" s="4"/>
      <c r="TWO1" s="4"/>
      <c r="TWP1" s="4"/>
      <c r="TWQ1" s="4"/>
      <c r="TWR1" s="4"/>
      <c r="TWS1" s="4"/>
      <c r="TWT1" s="4"/>
      <c r="TWU1" s="4"/>
      <c r="TWV1" s="4"/>
      <c r="TWW1" s="4"/>
      <c r="TWX1" s="4"/>
      <c r="TWY1" s="4"/>
      <c r="TWZ1" s="4"/>
      <c r="TXA1" s="4"/>
      <c r="TXB1" s="4"/>
      <c r="TXC1" s="4"/>
      <c r="TXD1" s="4"/>
      <c r="TXE1" s="4"/>
      <c r="TXF1" s="4"/>
      <c r="TXG1" s="4"/>
      <c r="TXH1" s="4"/>
      <c r="TXI1" s="4"/>
      <c r="TXJ1" s="4"/>
      <c r="TXK1" s="4"/>
      <c r="TXL1" s="4"/>
      <c r="TXM1" s="4"/>
      <c r="TXN1" s="4"/>
      <c r="TXO1" s="4"/>
      <c r="TXP1" s="4"/>
      <c r="TXQ1" s="4"/>
      <c r="TXR1" s="4"/>
      <c r="TXS1" s="4"/>
      <c r="TXT1" s="4"/>
      <c r="TXU1" s="4"/>
      <c r="TXV1" s="4"/>
      <c r="TXW1" s="4"/>
      <c r="TXX1" s="4"/>
      <c r="TXY1" s="4"/>
      <c r="TXZ1" s="4"/>
      <c r="TYA1" s="4"/>
      <c r="TYB1" s="4"/>
      <c r="TYC1" s="4"/>
      <c r="TYD1" s="4"/>
      <c r="TYE1" s="4"/>
      <c r="TYF1" s="4"/>
      <c r="TYG1" s="4"/>
      <c r="TYH1" s="4"/>
      <c r="TYI1" s="4"/>
      <c r="TYJ1" s="4"/>
      <c r="TYK1" s="4"/>
      <c r="TYL1" s="4"/>
      <c r="TYM1" s="4"/>
      <c r="TYN1" s="4"/>
      <c r="TYO1" s="4"/>
      <c r="TYP1" s="4"/>
      <c r="TYQ1" s="4"/>
      <c r="TYR1" s="4"/>
      <c r="TYS1" s="4"/>
      <c r="TYT1" s="4"/>
      <c r="TYU1" s="4"/>
      <c r="TYV1" s="4"/>
      <c r="TYW1" s="4"/>
      <c r="TYX1" s="4"/>
      <c r="TYY1" s="4"/>
      <c r="TYZ1" s="4"/>
      <c r="TZA1" s="4"/>
      <c r="TZB1" s="4"/>
      <c r="TZC1" s="4"/>
      <c r="TZD1" s="4"/>
      <c r="TZE1" s="4"/>
      <c r="TZF1" s="4"/>
      <c r="TZG1" s="4"/>
      <c r="TZH1" s="4"/>
      <c r="TZI1" s="4"/>
      <c r="TZJ1" s="4"/>
      <c r="TZK1" s="4"/>
      <c r="TZL1" s="4"/>
      <c r="TZM1" s="4"/>
      <c r="TZN1" s="4"/>
      <c r="TZO1" s="4"/>
      <c r="TZP1" s="4"/>
      <c r="TZQ1" s="4"/>
      <c r="TZR1" s="4"/>
      <c r="TZS1" s="4"/>
      <c r="TZT1" s="4"/>
      <c r="TZU1" s="4"/>
      <c r="TZV1" s="4"/>
      <c r="TZW1" s="4"/>
      <c r="TZX1" s="4"/>
      <c r="TZY1" s="4"/>
      <c r="TZZ1" s="4"/>
      <c r="UAA1" s="4"/>
      <c r="UAB1" s="4"/>
      <c r="UAC1" s="4"/>
      <c r="UAD1" s="4"/>
      <c r="UAE1" s="4"/>
      <c r="UAF1" s="4"/>
      <c r="UAG1" s="4"/>
      <c r="UAH1" s="4"/>
      <c r="UAI1" s="4"/>
      <c r="UAJ1" s="4"/>
      <c r="UAK1" s="4"/>
      <c r="UAL1" s="4"/>
      <c r="UAM1" s="4"/>
      <c r="UAN1" s="4"/>
      <c r="UAO1" s="4"/>
      <c r="UAP1" s="4"/>
      <c r="UAQ1" s="4"/>
      <c r="UAR1" s="4"/>
      <c r="UAS1" s="4"/>
      <c r="UAT1" s="4"/>
      <c r="UAU1" s="4"/>
      <c r="UAV1" s="4"/>
      <c r="UAW1" s="4"/>
      <c r="UAX1" s="4"/>
      <c r="UAY1" s="4"/>
      <c r="UAZ1" s="4"/>
      <c r="UBA1" s="4"/>
      <c r="UBB1" s="4"/>
      <c r="UBC1" s="4"/>
      <c r="UBD1" s="4"/>
      <c r="UBE1" s="4"/>
      <c r="UBF1" s="4"/>
      <c r="UBG1" s="4"/>
      <c r="UBH1" s="4"/>
      <c r="UBI1" s="4"/>
      <c r="UBJ1" s="4"/>
      <c r="UBK1" s="4"/>
      <c r="UBL1" s="4"/>
      <c r="UBM1" s="4"/>
      <c r="UBN1" s="4"/>
      <c r="UBO1" s="4"/>
      <c r="UBP1" s="4"/>
      <c r="UBQ1" s="4"/>
      <c r="UBR1" s="4"/>
      <c r="UBS1" s="4"/>
      <c r="UBT1" s="4"/>
      <c r="UBU1" s="4"/>
      <c r="UBV1" s="4"/>
      <c r="UBW1" s="4"/>
      <c r="UBX1" s="4"/>
      <c r="UBY1" s="4"/>
      <c r="UBZ1" s="4"/>
      <c r="UCA1" s="4"/>
      <c r="UCB1" s="4"/>
      <c r="UCC1" s="4"/>
      <c r="UCD1" s="4"/>
      <c r="UCE1" s="4"/>
      <c r="UCF1" s="4"/>
      <c r="UCG1" s="4"/>
      <c r="UCH1" s="4"/>
      <c r="UCI1" s="4"/>
      <c r="UCJ1" s="4"/>
      <c r="UCK1" s="4"/>
      <c r="UCL1" s="4"/>
      <c r="UCM1" s="4"/>
      <c r="UCN1" s="4"/>
      <c r="UCO1" s="4"/>
      <c r="UCP1" s="4"/>
      <c r="UCQ1" s="4"/>
      <c r="UCR1" s="4"/>
      <c r="UCS1" s="4"/>
      <c r="UCT1" s="4"/>
      <c r="UCU1" s="4"/>
      <c r="UCV1" s="4"/>
      <c r="UCW1" s="4"/>
      <c r="UCX1" s="4"/>
      <c r="UCY1" s="4"/>
      <c r="UCZ1" s="4"/>
      <c r="UDA1" s="4"/>
      <c r="UDB1" s="4"/>
      <c r="UDC1" s="4"/>
      <c r="UDD1" s="4"/>
      <c r="UDE1" s="4"/>
      <c r="UDF1" s="4"/>
      <c r="UDG1" s="4"/>
      <c r="UDH1" s="4"/>
      <c r="UDI1" s="4"/>
      <c r="UDJ1" s="4"/>
      <c r="UDK1" s="4"/>
      <c r="UDL1" s="4"/>
      <c r="UDM1" s="4"/>
      <c r="UDN1" s="4"/>
      <c r="UDO1" s="4"/>
      <c r="UDP1" s="4"/>
      <c r="UDQ1" s="4"/>
      <c r="UDR1" s="4"/>
      <c r="UDS1" s="4"/>
      <c r="UDT1" s="4"/>
      <c r="UDU1" s="4"/>
      <c r="UDV1" s="4"/>
      <c r="UDW1" s="4"/>
      <c r="UDX1" s="4"/>
      <c r="UDY1" s="4"/>
      <c r="UDZ1" s="4"/>
      <c r="UEA1" s="4"/>
      <c r="UEB1" s="4"/>
      <c r="UEC1" s="4"/>
      <c r="UED1" s="4"/>
      <c r="UEE1" s="4"/>
      <c r="UEF1" s="4"/>
      <c r="UEG1" s="4"/>
      <c r="UEH1" s="4"/>
      <c r="UEI1" s="4"/>
      <c r="UEJ1" s="4"/>
      <c r="UEK1" s="4"/>
      <c r="UEL1" s="4"/>
      <c r="UEM1" s="4"/>
      <c r="UEN1" s="4"/>
      <c r="UEO1" s="4"/>
      <c r="UEP1" s="4"/>
      <c r="UEQ1" s="4"/>
      <c r="UER1" s="4"/>
      <c r="UES1" s="4"/>
      <c r="UET1" s="4"/>
      <c r="UEU1" s="4"/>
      <c r="UEV1" s="4"/>
      <c r="UEW1" s="4"/>
      <c r="UEX1" s="4"/>
      <c r="UEY1" s="4"/>
      <c r="UEZ1" s="4"/>
      <c r="UFA1" s="4"/>
      <c r="UFB1" s="4"/>
      <c r="UFC1" s="4"/>
      <c r="UFD1" s="4"/>
      <c r="UFE1" s="4"/>
      <c r="UFF1" s="4"/>
      <c r="UFG1" s="4"/>
      <c r="UFH1" s="4"/>
      <c r="UFI1" s="4"/>
      <c r="UFJ1" s="4"/>
      <c r="UFK1" s="4"/>
      <c r="UFL1" s="4"/>
      <c r="UFM1" s="4"/>
      <c r="UFN1" s="4"/>
      <c r="UFO1" s="4"/>
      <c r="UFP1" s="4"/>
      <c r="UFQ1" s="4"/>
      <c r="UFR1" s="4"/>
      <c r="UFS1" s="4"/>
      <c r="UFT1" s="4"/>
      <c r="UFU1" s="4"/>
      <c r="UFV1" s="4"/>
      <c r="UFW1" s="4"/>
      <c r="UFX1" s="4"/>
      <c r="UFY1" s="4"/>
      <c r="UFZ1" s="4"/>
      <c r="UGA1" s="4"/>
      <c r="UGB1" s="4"/>
      <c r="UGC1" s="4"/>
      <c r="UGD1" s="4"/>
      <c r="UGE1" s="4"/>
      <c r="UGF1" s="4"/>
      <c r="UGG1" s="4"/>
      <c r="UGH1" s="4"/>
      <c r="UGI1" s="4"/>
      <c r="UGJ1" s="4"/>
      <c r="UGK1" s="4"/>
      <c r="UGL1" s="4"/>
      <c r="UGM1" s="4"/>
      <c r="UGN1" s="4"/>
      <c r="UGO1" s="4"/>
      <c r="UGP1" s="4"/>
      <c r="UGQ1" s="4"/>
      <c r="UGR1" s="4"/>
      <c r="UGS1" s="4"/>
      <c r="UGT1" s="4"/>
      <c r="UGU1" s="4"/>
      <c r="UGV1" s="4"/>
      <c r="UGW1" s="4"/>
      <c r="UGX1" s="4"/>
      <c r="UGY1" s="4"/>
      <c r="UGZ1" s="4"/>
      <c r="UHA1" s="4"/>
      <c r="UHB1" s="4"/>
      <c r="UHC1" s="4"/>
      <c r="UHD1" s="4"/>
      <c r="UHE1" s="4"/>
      <c r="UHF1" s="4"/>
      <c r="UHG1" s="4"/>
      <c r="UHH1" s="4"/>
      <c r="UHI1" s="4"/>
      <c r="UHJ1" s="4"/>
      <c r="UHK1" s="4"/>
      <c r="UHL1" s="4"/>
      <c r="UHM1" s="4"/>
      <c r="UHN1" s="4"/>
      <c r="UHO1" s="4"/>
      <c r="UHP1" s="4"/>
      <c r="UHQ1" s="4"/>
      <c r="UHR1" s="4"/>
      <c r="UHS1" s="4"/>
      <c r="UHT1" s="4"/>
      <c r="UHU1" s="4"/>
      <c r="UHV1" s="4"/>
      <c r="UHW1" s="4"/>
      <c r="UHX1" s="4"/>
      <c r="UHY1" s="4"/>
      <c r="UHZ1" s="4"/>
      <c r="UIA1" s="4"/>
      <c r="UIB1" s="4"/>
      <c r="UIC1" s="4"/>
      <c r="UID1" s="4"/>
      <c r="UIE1" s="4"/>
      <c r="UIF1" s="4"/>
      <c r="UIG1" s="4"/>
      <c r="UIH1" s="4"/>
      <c r="UII1" s="4"/>
      <c r="UIJ1" s="4"/>
      <c r="UIK1" s="4"/>
      <c r="UIL1" s="4"/>
      <c r="UIM1" s="4"/>
      <c r="UIN1" s="4"/>
      <c r="UIO1" s="4"/>
      <c r="UIP1" s="4"/>
      <c r="UIQ1" s="4"/>
      <c r="UIR1" s="4"/>
      <c r="UIS1" s="4"/>
      <c r="UIT1" s="4"/>
      <c r="UIU1" s="4"/>
      <c r="UIV1" s="4"/>
      <c r="UIW1" s="4"/>
      <c r="UIX1" s="4"/>
      <c r="UIY1" s="4"/>
      <c r="UIZ1" s="4"/>
      <c r="UJA1" s="4"/>
      <c r="UJB1" s="4"/>
      <c r="UJC1" s="4"/>
      <c r="UJD1" s="4"/>
      <c r="UJE1" s="4"/>
      <c r="UJF1" s="4"/>
      <c r="UJG1" s="4"/>
      <c r="UJH1" s="4"/>
      <c r="UJI1" s="4"/>
      <c r="UJJ1" s="4"/>
      <c r="UJK1" s="4"/>
      <c r="UJL1" s="4"/>
      <c r="UJM1" s="4"/>
      <c r="UJN1" s="4"/>
      <c r="UJO1" s="4"/>
      <c r="UJP1" s="4"/>
      <c r="UJQ1" s="4"/>
      <c r="UJR1" s="4"/>
      <c r="UJS1" s="4"/>
      <c r="UJT1" s="4"/>
      <c r="UJU1" s="4"/>
      <c r="UJV1" s="4"/>
      <c r="UJW1" s="4"/>
      <c r="UJX1" s="4"/>
      <c r="UJY1" s="4"/>
      <c r="UJZ1" s="4"/>
      <c r="UKA1" s="4"/>
      <c r="UKB1" s="4"/>
      <c r="UKC1" s="4"/>
      <c r="UKD1" s="4"/>
      <c r="UKE1" s="4"/>
      <c r="UKF1" s="4"/>
      <c r="UKG1" s="4"/>
      <c r="UKH1" s="4"/>
      <c r="UKI1" s="4"/>
      <c r="UKJ1" s="4"/>
      <c r="UKK1" s="4"/>
      <c r="UKL1" s="4"/>
      <c r="UKM1" s="4"/>
      <c r="UKN1" s="4"/>
      <c r="UKO1" s="4"/>
      <c r="UKP1" s="4"/>
      <c r="UKQ1" s="4"/>
      <c r="UKR1" s="4"/>
      <c r="UKS1" s="4"/>
      <c r="UKT1" s="4"/>
      <c r="UKU1" s="4"/>
      <c r="UKV1" s="4"/>
      <c r="UKW1" s="4"/>
      <c r="UKX1" s="4"/>
      <c r="UKY1" s="4"/>
      <c r="UKZ1" s="4"/>
      <c r="ULA1" s="4"/>
      <c r="ULB1" s="4"/>
      <c r="ULC1" s="4"/>
      <c r="ULD1" s="4"/>
      <c r="ULE1" s="4"/>
      <c r="ULF1" s="4"/>
      <c r="ULG1" s="4"/>
      <c r="ULH1" s="4"/>
      <c r="ULI1" s="4"/>
      <c r="ULJ1" s="4"/>
      <c r="ULK1" s="4"/>
      <c r="ULL1" s="4"/>
      <c r="ULM1" s="4"/>
      <c r="ULN1" s="4"/>
      <c r="ULO1" s="4"/>
      <c r="ULP1" s="4"/>
      <c r="ULQ1" s="4"/>
      <c r="ULR1" s="4"/>
      <c r="ULS1" s="4"/>
      <c r="ULT1" s="4"/>
      <c r="ULU1" s="4"/>
      <c r="ULV1" s="4"/>
      <c r="ULW1" s="4"/>
      <c r="ULX1" s="4"/>
      <c r="ULY1" s="4"/>
      <c r="ULZ1" s="4"/>
      <c r="UMA1" s="4"/>
      <c r="UMB1" s="4"/>
      <c r="UMC1" s="4"/>
      <c r="UMD1" s="4"/>
      <c r="UME1" s="4"/>
      <c r="UMF1" s="4"/>
      <c r="UMG1" s="4"/>
      <c r="UMH1" s="4"/>
      <c r="UMI1" s="4"/>
      <c r="UMJ1" s="4"/>
      <c r="UMK1" s="4"/>
      <c r="UML1" s="4"/>
      <c r="UMM1" s="4"/>
      <c r="UMN1" s="4"/>
      <c r="UMO1" s="4"/>
      <c r="UMP1" s="4"/>
      <c r="UMQ1" s="4"/>
      <c r="UMR1" s="4"/>
      <c r="UMS1" s="4"/>
      <c r="UMT1" s="4"/>
      <c r="UMU1" s="4"/>
      <c r="UMV1" s="4"/>
      <c r="UMW1" s="4"/>
      <c r="UMX1" s="4"/>
      <c r="UMY1" s="4"/>
      <c r="UMZ1" s="4"/>
      <c r="UNA1" s="4"/>
      <c r="UNB1" s="4"/>
      <c r="UNC1" s="4"/>
      <c r="UND1" s="4"/>
      <c r="UNE1" s="4"/>
      <c r="UNF1" s="4"/>
      <c r="UNG1" s="4"/>
      <c r="UNH1" s="4"/>
      <c r="UNI1" s="4"/>
      <c r="UNJ1" s="4"/>
      <c r="UNK1" s="4"/>
      <c r="UNL1" s="4"/>
      <c r="UNM1" s="4"/>
      <c r="UNN1" s="4"/>
      <c r="UNO1" s="4"/>
      <c r="UNP1" s="4"/>
      <c r="UNQ1" s="4"/>
      <c r="UNR1" s="4"/>
      <c r="UNS1" s="4"/>
      <c r="UNT1" s="4"/>
      <c r="UNU1" s="4"/>
      <c r="UNV1" s="4"/>
      <c r="UNW1" s="4"/>
      <c r="UNX1" s="4"/>
      <c r="UNY1" s="4"/>
      <c r="UNZ1" s="4"/>
      <c r="UOA1" s="4"/>
      <c r="UOB1" s="4"/>
      <c r="UOC1" s="4"/>
      <c r="UOD1" s="4"/>
      <c r="UOE1" s="4"/>
      <c r="UOF1" s="4"/>
      <c r="UOG1" s="4"/>
      <c r="UOH1" s="4"/>
      <c r="UOI1" s="4"/>
      <c r="UOJ1" s="4"/>
      <c r="UOK1" s="4"/>
      <c r="UOL1" s="4"/>
      <c r="UOM1" s="4"/>
      <c r="UON1" s="4"/>
      <c r="UOO1" s="4"/>
      <c r="UOP1" s="4"/>
      <c r="UOQ1" s="4"/>
      <c r="UOR1" s="4"/>
      <c r="UOS1" s="4"/>
      <c r="UOT1" s="4"/>
      <c r="UOU1" s="4"/>
      <c r="UOV1" s="4"/>
      <c r="UOW1" s="4"/>
      <c r="UOX1" s="4"/>
      <c r="UOY1" s="4"/>
      <c r="UOZ1" s="4"/>
      <c r="UPA1" s="4"/>
      <c r="UPB1" s="4"/>
      <c r="UPC1" s="4"/>
      <c r="UPD1" s="4"/>
      <c r="UPE1" s="4"/>
      <c r="UPF1" s="4"/>
      <c r="UPG1" s="4"/>
      <c r="UPH1" s="4"/>
      <c r="UPI1" s="4"/>
      <c r="UPJ1" s="4"/>
      <c r="UPK1" s="4"/>
      <c r="UPL1" s="4"/>
      <c r="UPM1" s="4"/>
      <c r="UPN1" s="4"/>
      <c r="UPO1" s="4"/>
      <c r="UPP1" s="4"/>
      <c r="UPQ1" s="4"/>
      <c r="UPR1" s="4"/>
      <c r="UPS1" s="4"/>
      <c r="UPT1" s="4"/>
      <c r="UPU1" s="4"/>
      <c r="UPV1" s="4"/>
      <c r="UPW1" s="4"/>
      <c r="UPX1" s="4"/>
      <c r="UPY1" s="4"/>
      <c r="UPZ1" s="4"/>
      <c r="UQA1" s="4"/>
      <c r="UQB1" s="4"/>
      <c r="UQC1" s="4"/>
      <c r="UQD1" s="4"/>
      <c r="UQE1" s="4"/>
      <c r="UQF1" s="4"/>
      <c r="UQG1" s="4"/>
      <c r="UQH1" s="4"/>
      <c r="UQI1" s="4"/>
      <c r="UQJ1" s="4"/>
      <c r="UQK1" s="4"/>
      <c r="UQL1" s="4"/>
      <c r="UQM1" s="4"/>
      <c r="UQN1" s="4"/>
      <c r="UQO1" s="4"/>
      <c r="UQP1" s="4"/>
      <c r="UQQ1" s="4"/>
      <c r="UQR1" s="4"/>
      <c r="UQS1" s="4"/>
      <c r="UQT1" s="4"/>
      <c r="UQU1" s="4"/>
      <c r="UQV1" s="4"/>
      <c r="UQW1" s="4"/>
      <c r="UQX1" s="4"/>
      <c r="UQY1" s="4"/>
      <c r="UQZ1" s="4"/>
      <c r="URA1" s="4"/>
      <c r="URB1" s="4"/>
      <c r="URC1" s="4"/>
      <c r="URD1" s="4"/>
      <c r="URE1" s="4"/>
      <c r="URF1" s="4"/>
      <c r="URG1" s="4"/>
      <c r="URH1" s="4"/>
      <c r="URI1" s="4"/>
      <c r="URJ1" s="4"/>
      <c r="URK1" s="4"/>
      <c r="URL1" s="4"/>
      <c r="URM1" s="4"/>
      <c r="URN1" s="4"/>
      <c r="URO1" s="4"/>
      <c r="URP1" s="4"/>
      <c r="URQ1" s="4"/>
      <c r="URR1" s="4"/>
      <c r="URS1" s="4"/>
      <c r="URT1" s="4"/>
      <c r="URU1" s="4"/>
      <c r="URV1" s="4"/>
      <c r="URW1" s="4"/>
      <c r="URX1" s="4"/>
      <c r="URY1" s="4"/>
      <c r="URZ1" s="4"/>
      <c r="USA1" s="4"/>
      <c r="USB1" s="4"/>
      <c r="USC1" s="4"/>
      <c r="USD1" s="4"/>
      <c r="USE1" s="4"/>
      <c r="USF1" s="4"/>
      <c r="USG1" s="4"/>
      <c r="USH1" s="4"/>
      <c r="USI1" s="4"/>
      <c r="USJ1" s="4"/>
      <c r="USK1" s="4"/>
      <c r="USL1" s="4"/>
      <c r="USM1" s="4"/>
      <c r="USN1" s="4"/>
      <c r="USO1" s="4"/>
      <c r="USP1" s="4"/>
      <c r="USQ1" s="4"/>
      <c r="USR1" s="4"/>
      <c r="USS1" s="4"/>
      <c r="UST1" s="4"/>
      <c r="USU1" s="4"/>
      <c r="USV1" s="4"/>
      <c r="USW1" s="4"/>
      <c r="USX1" s="4"/>
      <c r="USY1" s="4"/>
      <c r="USZ1" s="4"/>
      <c r="UTA1" s="4"/>
      <c r="UTB1" s="4"/>
      <c r="UTC1" s="4"/>
      <c r="UTD1" s="4"/>
      <c r="UTE1" s="4"/>
      <c r="UTF1" s="4"/>
      <c r="UTG1" s="4"/>
      <c r="UTH1" s="4"/>
      <c r="UTI1" s="4"/>
      <c r="UTJ1" s="4"/>
      <c r="UTK1" s="4"/>
      <c r="UTL1" s="4"/>
      <c r="UTM1" s="4"/>
      <c r="UTN1" s="4"/>
      <c r="UTO1" s="4"/>
      <c r="UTP1" s="4"/>
      <c r="UTQ1" s="4"/>
      <c r="UTR1" s="4"/>
      <c r="UTS1" s="4"/>
      <c r="UTT1" s="4"/>
      <c r="UTU1" s="4"/>
      <c r="UTV1" s="4"/>
      <c r="UTW1" s="4"/>
      <c r="UTX1" s="4"/>
      <c r="UTY1" s="4"/>
      <c r="UTZ1" s="4"/>
      <c r="UUA1" s="4"/>
      <c r="UUB1" s="4"/>
      <c r="UUC1" s="4"/>
      <c r="UUD1" s="4"/>
      <c r="UUE1" s="4"/>
      <c r="UUF1" s="4"/>
      <c r="UUG1" s="4"/>
      <c r="UUH1" s="4"/>
      <c r="UUI1" s="4"/>
      <c r="UUJ1" s="4"/>
      <c r="UUK1" s="4"/>
      <c r="UUL1" s="4"/>
      <c r="UUM1" s="4"/>
      <c r="UUN1" s="4"/>
      <c r="UUO1" s="4"/>
      <c r="UUP1" s="4"/>
      <c r="UUQ1" s="4"/>
      <c r="UUR1" s="4"/>
      <c r="UUS1" s="4"/>
      <c r="UUT1" s="4"/>
      <c r="UUU1" s="4"/>
      <c r="UUV1" s="4"/>
      <c r="UUW1" s="4"/>
      <c r="UUX1" s="4"/>
      <c r="UUY1" s="4"/>
      <c r="UUZ1" s="4"/>
      <c r="UVA1" s="4"/>
      <c r="UVB1" s="4"/>
      <c r="UVC1" s="4"/>
      <c r="UVD1" s="4"/>
      <c r="UVE1" s="4"/>
      <c r="UVF1" s="4"/>
      <c r="UVG1" s="4"/>
      <c r="UVH1" s="4"/>
      <c r="UVI1" s="4"/>
      <c r="UVJ1" s="4"/>
      <c r="UVK1" s="4"/>
      <c r="UVL1" s="4"/>
      <c r="UVM1" s="4"/>
      <c r="UVN1" s="4"/>
      <c r="UVO1" s="4"/>
      <c r="UVP1" s="4"/>
      <c r="UVQ1" s="4"/>
      <c r="UVR1" s="4"/>
      <c r="UVS1" s="4"/>
      <c r="UVT1" s="4"/>
      <c r="UVU1" s="4"/>
      <c r="UVV1" s="4"/>
      <c r="UVW1" s="4"/>
      <c r="UVX1" s="4"/>
      <c r="UVY1" s="4"/>
      <c r="UVZ1" s="4"/>
      <c r="UWA1" s="4"/>
      <c r="UWB1" s="4"/>
      <c r="UWC1" s="4"/>
      <c r="UWD1" s="4"/>
      <c r="UWE1" s="4"/>
      <c r="UWF1" s="4"/>
      <c r="UWG1" s="4"/>
      <c r="UWH1" s="4"/>
      <c r="UWI1" s="4"/>
      <c r="UWJ1" s="4"/>
      <c r="UWK1" s="4"/>
      <c r="UWL1" s="4"/>
      <c r="UWM1" s="4"/>
      <c r="UWN1" s="4"/>
      <c r="UWO1" s="4"/>
      <c r="UWP1" s="4"/>
      <c r="UWQ1" s="4"/>
      <c r="UWR1" s="4"/>
      <c r="UWS1" s="4"/>
      <c r="UWT1" s="4"/>
      <c r="UWU1" s="4"/>
      <c r="UWV1" s="4"/>
      <c r="UWW1" s="4"/>
      <c r="UWX1" s="4"/>
      <c r="UWY1" s="4"/>
      <c r="UWZ1" s="4"/>
      <c r="UXA1" s="4"/>
      <c r="UXB1" s="4"/>
      <c r="UXC1" s="4"/>
      <c r="UXD1" s="4"/>
      <c r="UXE1" s="4"/>
      <c r="UXF1" s="4"/>
      <c r="UXG1" s="4"/>
      <c r="UXH1" s="4"/>
      <c r="UXI1" s="4"/>
      <c r="UXJ1" s="4"/>
      <c r="UXK1" s="4"/>
      <c r="UXL1" s="4"/>
      <c r="UXM1" s="4"/>
      <c r="UXN1" s="4"/>
      <c r="UXO1" s="4"/>
      <c r="UXP1" s="4"/>
      <c r="UXQ1" s="4"/>
      <c r="UXR1" s="4"/>
      <c r="UXS1" s="4"/>
      <c r="UXT1" s="4"/>
      <c r="UXU1" s="4"/>
      <c r="UXV1" s="4"/>
      <c r="UXW1" s="4"/>
      <c r="UXX1" s="4"/>
      <c r="UXY1" s="4"/>
      <c r="UXZ1" s="4"/>
      <c r="UYA1" s="4"/>
      <c r="UYB1" s="4"/>
      <c r="UYC1" s="4"/>
      <c r="UYD1" s="4"/>
      <c r="UYE1" s="4"/>
      <c r="UYF1" s="4"/>
      <c r="UYG1" s="4"/>
      <c r="UYH1" s="4"/>
      <c r="UYI1" s="4"/>
      <c r="UYJ1" s="4"/>
      <c r="UYK1" s="4"/>
      <c r="UYL1" s="4"/>
      <c r="UYM1" s="4"/>
      <c r="UYN1" s="4"/>
      <c r="UYO1" s="4"/>
      <c r="UYP1" s="4"/>
      <c r="UYQ1" s="4"/>
      <c r="UYR1" s="4"/>
      <c r="UYS1" s="4"/>
      <c r="UYT1" s="4"/>
      <c r="UYU1" s="4"/>
      <c r="UYV1" s="4"/>
      <c r="UYW1" s="4"/>
      <c r="UYX1" s="4"/>
      <c r="UYY1" s="4"/>
      <c r="UYZ1" s="4"/>
      <c r="UZA1" s="4"/>
      <c r="UZB1" s="4"/>
      <c r="UZC1" s="4"/>
      <c r="UZD1" s="4"/>
      <c r="UZE1" s="4"/>
      <c r="UZF1" s="4"/>
      <c r="UZG1" s="4"/>
      <c r="UZH1" s="4"/>
      <c r="UZI1" s="4"/>
      <c r="UZJ1" s="4"/>
      <c r="UZK1" s="4"/>
      <c r="UZL1" s="4"/>
      <c r="UZM1" s="4"/>
      <c r="UZN1" s="4"/>
      <c r="UZO1" s="4"/>
      <c r="UZP1" s="4"/>
      <c r="UZQ1" s="4"/>
      <c r="UZR1" s="4"/>
      <c r="UZS1" s="4"/>
      <c r="UZT1" s="4"/>
      <c r="UZU1" s="4"/>
      <c r="UZV1" s="4"/>
      <c r="UZW1" s="4"/>
      <c r="UZX1" s="4"/>
      <c r="UZY1" s="4"/>
      <c r="UZZ1" s="4"/>
      <c r="VAA1" s="4"/>
      <c r="VAB1" s="4"/>
      <c r="VAC1" s="4"/>
      <c r="VAD1" s="4"/>
      <c r="VAE1" s="4"/>
      <c r="VAF1" s="4"/>
      <c r="VAG1" s="4"/>
      <c r="VAH1" s="4"/>
      <c r="VAI1" s="4"/>
      <c r="VAJ1" s="4"/>
      <c r="VAK1" s="4"/>
      <c r="VAL1" s="4"/>
      <c r="VAM1" s="4"/>
      <c r="VAN1" s="4"/>
      <c r="VAO1" s="4"/>
      <c r="VAP1" s="4"/>
      <c r="VAQ1" s="4"/>
      <c r="VAR1" s="4"/>
      <c r="VAS1" s="4"/>
      <c r="VAT1" s="4"/>
      <c r="VAU1" s="4"/>
      <c r="VAV1" s="4"/>
      <c r="VAW1" s="4"/>
      <c r="VAX1" s="4"/>
      <c r="VAY1" s="4"/>
      <c r="VAZ1" s="4"/>
      <c r="VBA1" s="4"/>
      <c r="VBB1" s="4"/>
      <c r="VBC1" s="4"/>
      <c r="VBD1" s="4"/>
      <c r="VBE1" s="4"/>
      <c r="VBF1" s="4"/>
      <c r="VBG1" s="4"/>
      <c r="VBH1" s="4"/>
      <c r="VBI1" s="4"/>
      <c r="VBJ1" s="4"/>
      <c r="VBK1" s="4"/>
      <c r="VBL1" s="4"/>
      <c r="VBM1" s="4"/>
      <c r="VBN1" s="4"/>
      <c r="VBO1" s="4"/>
      <c r="VBP1" s="4"/>
      <c r="VBQ1" s="4"/>
      <c r="VBR1" s="4"/>
      <c r="VBS1" s="4"/>
      <c r="VBT1" s="4"/>
      <c r="VBU1" s="4"/>
      <c r="VBV1" s="4"/>
      <c r="VBW1" s="4"/>
      <c r="VBX1" s="4"/>
      <c r="VBY1" s="4"/>
      <c r="VBZ1" s="4"/>
      <c r="VCA1" s="4"/>
      <c r="VCB1" s="4"/>
      <c r="VCC1" s="4"/>
      <c r="VCD1" s="4"/>
      <c r="VCE1" s="4"/>
      <c r="VCF1" s="4"/>
      <c r="VCG1" s="4"/>
      <c r="VCH1" s="4"/>
      <c r="VCI1" s="4"/>
      <c r="VCJ1" s="4"/>
      <c r="VCK1" s="4"/>
      <c r="VCL1" s="4"/>
      <c r="VCM1" s="4"/>
      <c r="VCN1" s="4"/>
      <c r="VCO1" s="4"/>
      <c r="VCP1" s="4"/>
      <c r="VCQ1" s="4"/>
      <c r="VCR1" s="4"/>
      <c r="VCS1" s="4"/>
      <c r="VCT1" s="4"/>
      <c r="VCU1" s="4"/>
      <c r="VCV1" s="4"/>
      <c r="VCW1" s="4"/>
      <c r="VCX1" s="4"/>
      <c r="VCY1" s="4"/>
      <c r="VCZ1" s="4"/>
      <c r="VDA1" s="4"/>
      <c r="VDB1" s="4"/>
      <c r="VDC1" s="4"/>
      <c r="VDD1" s="4"/>
      <c r="VDE1" s="4"/>
      <c r="VDF1" s="4"/>
      <c r="VDG1" s="4"/>
      <c r="VDH1" s="4"/>
      <c r="VDI1" s="4"/>
      <c r="VDJ1" s="4"/>
      <c r="VDK1" s="4"/>
      <c r="VDL1" s="4"/>
      <c r="VDM1" s="4"/>
      <c r="VDN1" s="4"/>
      <c r="VDO1" s="4"/>
      <c r="VDP1" s="4"/>
      <c r="VDQ1" s="4"/>
      <c r="VDR1" s="4"/>
      <c r="VDS1" s="4"/>
      <c r="VDT1" s="4"/>
      <c r="VDU1" s="4"/>
      <c r="VDV1" s="4"/>
      <c r="VDW1" s="4"/>
      <c r="VDX1" s="4"/>
      <c r="VDY1" s="4"/>
      <c r="VDZ1" s="4"/>
      <c r="VEA1" s="4"/>
      <c r="VEB1" s="4"/>
      <c r="VEC1" s="4"/>
      <c r="VED1" s="4"/>
      <c r="VEE1" s="4"/>
      <c r="VEF1" s="4"/>
      <c r="VEG1" s="4"/>
      <c r="VEH1" s="4"/>
      <c r="VEI1" s="4"/>
      <c r="VEJ1" s="4"/>
      <c r="VEK1" s="4"/>
      <c r="VEL1" s="4"/>
      <c r="VEM1" s="4"/>
      <c r="VEN1" s="4"/>
      <c r="VEO1" s="4"/>
      <c r="VEP1" s="4"/>
      <c r="VEQ1" s="4"/>
      <c r="VER1" s="4"/>
      <c r="VES1" s="4"/>
      <c r="VET1" s="4"/>
      <c r="VEU1" s="4"/>
      <c r="VEV1" s="4"/>
      <c r="VEW1" s="4"/>
      <c r="VEX1" s="4"/>
      <c r="VEY1" s="4"/>
      <c r="VEZ1" s="4"/>
      <c r="VFA1" s="4"/>
      <c r="VFB1" s="4"/>
      <c r="VFC1" s="4"/>
      <c r="VFD1" s="4"/>
      <c r="VFE1" s="4"/>
      <c r="VFF1" s="4"/>
      <c r="VFG1" s="4"/>
      <c r="VFH1" s="4"/>
      <c r="VFI1" s="4"/>
      <c r="VFJ1" s="4"/>
      <c r="VFK1" s="4"/>
      <c r="VFL1" s="4"/>
      <c r="VFM1" s="4"/>
      <c r="VFN1" s="4"/>
      <c r="VFO1" s="4"/>
      <c r="VFP1" s="4"/>
      <c r="VFQ1" s="4"/>
      <c r="VFR1" s="4"/>
      <c r="VFS1" s="4"/>
      <c r="VFT1" s="4"/>
      <c r="VFU1" s="4"/>
      <c r="VFV1" s="4"/>
      <c r="VFW1" s="4"/>
      <c r="VFX1" s="4"/>
      <c r="VFY1" s="4"/>
      <c r="VFZ1" s="4"/>
      <c r="VGA1" s="4"/>
      <c r="VGB1" s="4"/>
      <c r="VGC1" s="4"/>
      <c r="VGD1" s="4"/>
      <c r="VGE1" s="4"/>
      <c r="VGF1" s="4"/>
      <c r="VGG1" s="4"/>
      <c r="VGH1" s="4"/>
      <c r="VGI1" s="4"/>
      <c r="VGJ1" s="4"/>
      <c r="VGK1" s="4"/>
      <c r="VGL1" s="4"/>
      <c r="VGM1" s="4"/>
      <c r="VGN1" s="4"/>
      <c r="VGO1" s="4"/>
      <c r="VGP1" s="4"/>
      <c r="VGQ1" s="4"/>
      <c r="VGR1" s="4"/>
      <c r="VGS1" s="4"/>
      <c r="VGT1" s="4"/>
      <c r="VGU1" s="4"/>
      <c r="VGV1" s="4"/>
      <c r="VGW1" s="4"/>
      <c r="VGX1" s="4"/>
      <c r="VGY1" s="4"/>
      <c r="VGZ1" s="4"/>
      <c r="VHA1" s="4"/>
      <c r="VHB1" s="4"/>
      <c r="VHC1" s="4"/>
      <c r="VHD1" s="4"/>
      <c r="VHE1" s="4"/>
      <c r="VHF1" s="4"/>
      <c r="VHG1" s="4"/>
      <c r="VHH1" s="4"/>
      <c r="VHI1" s="4"/>
      <c r="VHJ1" s="4"/>
      <c r="VHK1" s="4"/>
      <c r="VHL1" s="4"/>
      <c r="VHM1" s="4"/>
      <c r="VHN1" s="4"/>
      <c r="VHO1" s="4"/>
      <c r="VHP1" s="4"/>
      <c r="VHQ1" s="4"/>
      <c r="VHR1" s="4"/>
      <c r="VHS1" s="4"/>
      <c r="VHT1" s="4"/>
      <c r="VHU1" s="4"/>
      <c r="VHV1" s="4"/>
      <c r="VHW1" s="4"/>
      <c r="VHX1" s="4"/>
      <c r="VHY1" s="4"/>
      <c r="VHZ1" s="4"/>
      <c r="VIA1" s="4"/>
      <c r="VIB1" s="4"/>
      <c r="VIC1" s="4"/>
      <c r="VID1" s="4"/>
      <c r="VIE1" s="4"/>
      <c r="VIF1" s="4"/>
      <c r="VIG1" s="4"/>
      <c r="VIH1" s="4"/>
      <c r="VII1" s="4"/>
      <c r="VIJ1" s="4"/>
      <c r="VIK1" s="4"/>
      <c r="VIL1" s="4"/>
      <c r="VIM1" s="4"/>
      <c r="VIN1" s="4"/>
      <c r="VIO1" s="4"/>
      <c r="VIP1" s="4"/>
      <c r="VIQ1" s="4"/>
      <c r="VIR1" s="4"/>
      <c r="VIS1" s="4"/>
      <c r="VIT1" s="4"/>
      <c r="VIU1" s="4"/>
      <c r="VIV1" s="4"/>
      <c r="VIW1" s="4"/>
      <c r="VIX1" s="4"/>
      <c r="VIY1" s="4"/>
      <c r="VIZ1" s="4"/>
      <c r="VJA1" s="4"/>
      <c r="VJB1" s="4"/>
      <c r="VJC1" s="4"/>
      <c r="VJD1" s="4"/>
      <c r="VJE1" s="4"/>
      <c r="VJF1" s="4"/>
      <c r="VJG1" s="4"/>
      <c r="VJH1" s="4"/>
      <c r="VJI1" s="4"/>
      <c r="VJJ1" s="4"/>
      <c r="VJK1" s="4"/>
      <c r="VJL1" s="4"/>
      <c r="VJM1" s="4"/>
      <c r="VJN1" s="4"/>
      <c r="VJO1" s="4"/>
      <c r="VJP1" s="4"/>
      <c r="VJQ1" s="4"/>
      <c r="VJR1" s="4"/>
      <c r="VJS1" s="4"/>
      <c r="VJT1" s="4"/>
      <c r="VJU1" s="4"/>
      <c r="VJV1" s="4"/>
      <c r="VJW1" s="4"/>
      <c r="VJX1" s="4"/>
      <c r="VJY1" s="4"/>
      <c r="VJZ1" s="4"/>
      <c r="VKA1" s="4"/>
      <c r="VKB1" s="4"/>
      <c r="VKC1" s="4"/>
      <c r="VKD1" s="4"/>
      <c r="VKE1" s="4"/>
      <c r="VKF1" s="4"/>
      <c r="VKG1" s="4"/>
      <c r="VKH1" s="4"/>
      <c r="VKI1" s="4"/>
      <c r="VKJ1" s="4"/>
      <c r="VKK1" s="4"/>
      <c r="VKL1" s="4"/>
      <c r="VKM1" s="4"/>
      <c r="VKN1" s="4"/>
      <c r="VKO1" s="4"/>
      <c r="VKP1" s="4"/>
      <c r="VKQ1" s="4"/>
      <c r="VKR1" s="4"/>
      <c r="VKS1" s="4"/>
      <c r="VKT1" s="4"/>
      <c r="VKU1" s="4"/>
      <c r="VKV1" s="4"/>
      <c r="VKW1" s="4"/>
      <c r="VKX1" s="4"/>
      <c r="VKY1" s="4"/>
      <c r="VKZ1" s="4"/>
      <c r="VLA1" s="4"/>
      <c r="VLB1" s="4"/>
      <c r="VLC1" s="4"/>
      <c r="VLD1" s="4"/>
      <c r="VLE1" s="4"/>
      <c r="VLF1" s="4"/>
      <c r="VLG1" s="4"/>
      <c r="VLH1" s="4"/>
      <c r="VLI1" s="4"/>
      <c r="VLJ1" s="4"/>
      <c r="VLK1" s="4"/>
      <c r="VLL1" s="4"/>
      <c r="VLM1" s="4"/>
      <c r="VLN1" s="4"/>
      <c r="VLO1" s="4"/>
      <c r="VLP1" s="4"/>
      <c r="VLQ1" s="4"/>
      <c r="VLR1" s="4"/>
      <c r="VLS1" s="4"/>
      <c r="VLT1" s="4"/>
      <c r="VLU1" s="4"/>
      <c r="VLV1" s="4"/>
      <c r="VLW1" s="4"/>
      <c r="VLX1" s="4"/>
      <c r="VLY1" s="4"/>
      <c r="VLZ1" s="4"/>
      <c r="VMA1" s="4"/>
      <c r="VMB1" s="4"/>
      <c r="VMC1" s="4"/>
      <c r="VMD1" s="4"/>
      <c r="VME1" s="4"/>
      <c r="VMF1" s="4"/>
      <c r="VMG1" s="4"/>
      <c r="VMH1" s="4"/>
      <c r="VMI1" s="4"/>
      <c r="VMJ1" s="4"/>
      <c r="VMK1" s="4"/>
      <c r="VML1" s="4"/>
      <c r="VMM1" s="4"/>
      <c r="VMN1" s="4"/>
      <c r="VMO1" s="4"/>
      <c r="VMP1" s="4"/>
      <c r="VMQ1" s="4"/>
      <c r="VMR1" s="4"/>
      <c r="VMS1" s="4"/>
      <c r="VMT1" s="4"/>
      <c r="VMU1" s="4"/>
      <c r="VMV1" s="4"/>
      <c r="VMW1" s="4"/>
      <c r="VMX1" s="4"/>
      <c r="VMY1" s="4"/>
      <c r="VMZ1" s="4"/>
      <c r="VNA1" s="4"/>
      <c r="VNB1" s="4"/>
      <c r="VNC1" s="4"/>
      <c r="VND1" s="4"/>
      <c r="VNE1" s="4"/>
      <c r="VNF1" s="4"/>
      <c r="VNG1" s="4"/>
      <c r="VNH1" s="4"/>
      <c r="VNI1" s="4"/>
      <c r="VNJ1" s="4"/>
      <c r="VNK1" s="4"/>
      <c r="VNL1" s="4"/>
      <c r="VNM1" s="4"/>
      <c r="VNN1" s="4"/>
      <c r="VNO1" s="4"/>
      <c r="VNP1" s="4"/>
      <c r="VNQ1" s="4"/>
      <c r="VNR1" s="4"/>
      <c r="VNS1" s="4"/>
      <c r="VNT1" s="4"/>
      <c r="VNU1" s="4"/>
      <c r="VNV1" s="4"/>
      <c r="VNW1" s="4"/>
      <c r="VNX1" s="4"/>
      <c r="VNY1" s="4"/>
      <c r="VNZ1" s="4"/>
      <c r="VOA1" s="4"/>
      <c r="VOB1" s="4"/>
      <c r="VOC1" s="4"/>
      <c r="VOD1" s="4"/>
      <c r="VOE1" s="4"/>
      <c r="VOF1" s="4"/>
      <c r="VOG1" s="4"/>
      <c r="VOH1" s="4"/>
      <c r="VOI1" s="4"/>
      <c r="VOJ1" s="4"/>
      <c r="VOK1" s="4"/>
      <c r="VOL1" s="4"/>
      <c r="VOM1" s="4"/>
      <c r="VON1" s="4"/>
      <c r="VOO1" s="4"/>
      <c r="VOP1" s="4"/>
      <c r="VOQ1" s="4"/>
      <c r="VOR1" s="4"/>
      <c r="VOS1" s="4"/>
      <c r="VOT1" s="4"/>
      <c r="VOU1" s="4"/>
      <c r="VOV1" s="4"/>
      <c r="VOW1" s="4"/>
      <c r="VOX1" s="4"/>
      <c r="VOY1" s="4"/>
      <c r="VOZ1" s="4"/>
      <c r="VPA1" s="4"/>
      <c r="VPB1" s="4"/>
      <c r="VPC1" s="4"/>
      <c r="VPD1" s="4"/>
      <c r="VPE1" s="4"/>
      <c r="VPF1" s="4"/>
      <c r="VPG1" s="4"/>
      <c r="VPH1" s="4"/>
      <c r="VPI1" s="4"/>
      <c r="VPJ1" s="4"/>
      <c r="VPK1" s="4"/>
      <c r="VPL1" s="4"/>
      <c r="VPM1" s="4"/>
      <c r="VPN1" s="4"/>
      <c r="VPO1" s="4"/>
      <c r="VPP1" s="4"/>
      <c r="VPQ1" s="4"/>
      <c r="VPR1" s="4"/>
      <c r="VPS1" s="4"/>
      <c r="VPT1" s="4"/>
      <c r="VPU1" s="4"/>
      <c r="VPV1" s="4"/>
      <c r="VPW1" s="4"/>
      <c r="VPX1" s="4"/>
      <c r="VPY1" s="4"/>
      <c r="VPZ1" s="4"/>
      <c r="VQA1" s="4"/>
      <c r="VQB1" s="4"/>
      <c r="VQC1" s="4"/>
      <c r="VQD1" s="4"/>
      <c r="VQE1" s="4"/>
      <c r="VQF1" s="4"/>
      <c r="VQG1" s="4"/>
      <c r="VQH1" s="4"/>
      <c r="VQI1" s="4"/>
      <c r="VQJ1" s="4"/>
      <c r="VQK1" s="4"/>
      <c r="VQL1" s="4"/>
      <c r="VQM1" s="4"/>
      <c r="VQN1" s="4"/>
      <c r="VQO1" s="4"/>
      <c r="VQP1" s="4"/>
      <c r="VQQ1" s="4"/>
      <c r="VQR1" s="4"/>
      <c r="VQS1" s="4"/>
      <c r="VQT1" s="4"/>
      <c r="VQU1" s="4"/>
      <c r="VQV1" s="4"/>
      <c r="VQW1" s="4"/>
      <c r="VQX1" s="4"/>
      <c r="VQY1" s="4"/>
      <c r="VQZ1" s="4"/>
      <c r="VRA1" s="4"/>
      <c r="VRB1" s="4"/>
      <c r="VRC1" s="4"/>
      <c r="VRD1" s="4"/>
      <c r="VRE1" s="4"/>
      <c r="VRF1" s="4"/>
      <c r="VRG1" s="4"/>
      <c r="VRH1" s="4"/>
      <c r="VRI1" s="4"/>
      <c r="VRJ1" s="4"/>
      <c r="VRK1" s="4"/>
      <c r="VRL1" s="4"/>
      <c r="VRM1" s="4"/>
      <c r="VRN1" s="4"/>
      <c r="VRO1" s="4"/>
      <c r="VRP1" s="4"/>
      <c r="VRQ1" s="4"/>
      <c r="VRR1" s="4"/>
      <c r="VRS1" s="4"/>
      <c r="VRT1" s="4"/>
      <c r="VRU1" s="4"/>
      <c r="VRV1" s="4"/>
      <c r="VRW1" s="4"/>
      <c r="VRX1" s="4"/>
      <c r="VRY1" s="4"/>
      <c r="VRZ1" s="4"/>
      <c r="VSA1" s="4"/>
      <c r="VSB1" s="4"/>
      <c r="VSC1" s="4"/>
      <c r="VSD1" s="4"/>
      <c r="VSE1" s="4"/>
      <c r="VSF1" s="4"/>
      <c r="VSG1" s="4"/>
      <c r="VSH1" s="4"/>
      <c r="VSI1" s="4"/>
      <c r="VSJ1" s="4"/>
      <c r="VSK1" s="4"/>
      <c r="VSL1" s="4"/>
      <c r="VSM1" s="4"/>
      <c r="VSN1" s="4"/>
      <c r="VSO1" s="4"/>
      <c r="VSP1" s="4"/>
      <c r="VSQ1" s="4"/>
      <c r="VSR1" s="4"/>
      <c r="VSS1" s="4"/>
      <c r="VST1" s="4"/>
      <c r="VSU1" s="4"/>
      <c r="VSV1" s="4"/>
      <c r="VSW1" s="4"/>
      <c r="VSX1" s="4"/>
      <c r="VSY1" s="4"/>
      <c r="VSZ1" s="4"/>
      <c r="VTA1" s="4"/>
      <c r="VTB1" s="4"/>
      <c r="VTC1" s="4"/>
      <c r="VTD1" s="4"/>
      <c r="VTE1" s="4"/>
      <c r="VTF1" s="4"/>
      <c r="VTG1" s="4"/>
      <c r="VTH1" s="4"/>
      <c r="VTI1" s="4"/>
      <c r="VTJ1" s="4"/>
      <c r="VTK1" s="4"/>
      <c r="VTL1" s="4"/>
      <c r="VTM1" s="4"/>
      <c r="VTN1" s="4"/>
      <c r="VTO1" s="4"/>
      <c r="VTP1" s="4"/>
      <c r="VTQ1" s="4"/>
      <c r="VTR1" s="4"/>
      <c r="VTS1" s="4"/>
      <c r="VTT1" s="4"/>
      <c r="VTU1" s="4"/>
      <c r="VTV1" s="4"/>
      <c r="VTW1" s="4"/>
      <c r="VTX1" s="4"/>
      <c r="VTY1" s="4"/>
      <c r="VTZ1" s="4"/>
      <c r="VUA1" s="4"/>
      <c r="VUB1" s="4"/>
      <c r="VUC1" s="4"/>
      <c r="VUD1" s="4"/>
      <c r="VUE1" s="4"/>
      <c r="VUF1" s="4"/>
      <c r="VUG1" s="4"/>
      <c r="VUH1" s="4"/>
      <c r="VUI1" s="4"/>
      <c r="VUJ1" s="4"/>
      <c r="VUK1" s="4"/>
      <c r="VUL1" s="4"/>
      <c r="VUM1" s="4"/>
      <c r="VUN1" s="4"/>
      <c r="VUO1" s="4"/>
      <c r="VUP1" s="4"/>
      <c r="VUQ1" s="4"/>
      <c r="VUR1" s="4"/>
      <c r="VUS1" s="4"/>
      <c r="VUT1" s="4"/>
      <c r="VUU1" s="4"/>
      <c r="VUV1" s="4"/>
      <c r="VUW1" s="4"/>
      <c r="VUX1" s="4"/>
      <c r="VUY1" s="4"/>
      <c r="VUZ1" s="4"/>
      <c r="VVA1" s="4"/>
      <c r="VVB1" s="4"/>
      <c r="VVC1" s="4"/>
      <c r="VVD1" s="4"/>
      <c r="VVE1" s="4"/>
      <c r="VVF1" s="4"/>
      <c r="VVG1" s="4"/>
      <c r="VVH1" s="4"/>
      <c r="VVI1" s="4"/>
      <c r="VVJ1" s="4"/>
      <c r="VVK1" s="4"/>
      <c r="VVL1" s="4"/>
      <c r="VVM1" s="4"/>
      <c r="VVN1" s="4"/>
      <c r="VVO1" s="4"/>
      <c r="VVP1" s="4"/>
      <c r="VVQ1" s="4"/>
      <c r="VVR1" s="4"/>
      <c r="VVS1" s="4"/>
      <c r="VVT1" s="4"/>
      <c r="VVU1" s="4"/>
      <c r="VVV1" s="4"/>
      <c r="VVW1" s="4"/>
      <c r="VVX1" s="4"/>
      <c r="VVY1" s="4"/>
      <c r="VVZ1" s="4"/>
      <c r="VWA1" s="4"/>
      <c r="VWB1" s="4"/>
      <c r="VWC1" s="4"/>
      <c r="VWD1" s="4"/>
      <c r="VWE1" s="4"/>
      <c r="VWF1" s="4"/>
      <c r="VWG1" s="4"/>
      <c r="VWH1" s="4"/>
      <c r="VWI1" s="4"/>
      <c r="VWJ1" s="4"/>
      <c r="VWK1" s="4"/>
      <c r="VWL1" s="4"/>
      <c r="VWM1" s="4"/>
      <c r="VWN1" s="4"/>
      <c r="VWO1" s="4"/>
      <c r="VWP1" s="4"/>
      <c r="VWQ1" s="4"/>
      <c r="VWR1" s="4"/>
      <c r="VWS1" s="4"/>
      <c r="VWT1" s="4"/>
      <c r="VWU1" s="4"/>
      <c r="VWV1" s="4"/>
      <c r="VWW1" s="4"/>
      <c r="VWX1" s="4"/>
      <c r="VWY1" s="4"/>
      <c r="VWZ1" s="4"/>
      <c r="VXA1" s="4"/>
      <c r="VXB1" s="4"/>
      <c r="VXC1" s="4"/>
      <c r="VXD1" s="4"/>
      <c r="VXE1" s="4"/>
      <c r="VXF1" s="4"/>
      <c r="VXG1" s="4"/>
      <c r="VXH1" s="4"/>
      <c r="VXI1" s="4"/>
      <c r="VXJ1" s="4"/>
      <c r="VXK1" s="4"/>
      <c r="VXL1" s="4"/>
      <c r="VXM1" s="4"/>
      <c r="VXN1" s="4"/>
      <c r="VXO1" s="4"/>
      <c r="VXP1" s="4"/>
      <c r="VXQ1" s="4"/>
      <c r="VXR1" s="4"/>
      <c r="VXS1" s="4"/>
      <c r="VXT1" s="4"/>
      <c r="VXU1" s="4"/>
      <c r="VXV1" s="4"/>
      <c r="VXW1" s="4"/>
      <c r="VXX1" s="4"/>
      <c r="VXY1" s="4"/>
      <c r="VXZ1" s="4"/>
      <c r="VYA1" s="4"/>
      <c r="VYB1" s="4"/>
      <c r="VYC1" s="4"/>
      <c r="VYD1" s="4"/>
      <c r="VYE1" s="4"/>
      <c r="VYF1" s="4"/>
      <c r="VYG1" s="4"/>
      <c r="VYH1" s="4"/>
      <c r="VYI1" s="4"/>
      <c r="VYJ1" s="4"/>
      <c r="VYK1" s="4"/>
      <c r="VYL1" s="4"/>
      <c r="VYM1" s="4"/>
      <c r="VYN1" s="4"/>
      <c r="VYO1" s="4"/>
      <c r="VYP1" s="4"/>
      <c r="VYQ1" s="4"/>
      <c r="VYR1" s="4"/>
      <c r="VYS1" s="4"/>
      <c r="VYT1" s="4"/>
      <c r="VYU1" s="4"/>
      <c r="VYV1" s="4"/>
      <c r="VYW1" s="4"/>
      <c r="VYX1" s="4"/>
      <c r="VYY1" s="4"/>
      <c r="VYZ1" s="4"/>
      <c r="VZA1" s="4"/>
      <c r="VZB1" s="4"/>
      <c r="VZC1" s="4"/>
      <c r="VZD1" s="4"/>
      <c r="VZE1" s="4"/>
      <c r="VZF1" s="4"/>
      <c r="VZG1" s="4"/>
      <c r="VZH1" s="4"/>
      <c r="VZI1" s="4"/>
      <c r="VZJ1" s="4"/>
      <c r="VZK1" s="4"/>
      <c r="VZL1" s="4"/>
      <c r="VZM1" s="4"/>
      <c r="VZN1" s="4"/>
      <c r="VZO1" s="4"/>
      <c r="VZP1" s="4"/>
      <c r="VZQ1" s="4"/>
      <c r="VZR1" s="4"/>
      <c r="VZS1" s="4"/>
      <c r="VZT1" s="4"/>
      <c r="VZU1" s="4"/>
      <c r="VZV1" s="4"/>
      <c r="VZW1" s="4"/>
      <c r="VZX1" s="4"/>
      <c r="VZY1" s="4"/>
      <c r="VZZ1" s="4"/>
      <c r="WAA1" s="4"/>
      <c r="WAB1" s="4"/>
      <c r="WAC1" s="4"/>
      <c r="WAD1" s="4"/>
      <c r="WAE1" s="4"/>
      <c r="WAF1" s="4"/>
      <c r="WAG1" s="4"/>
      <c r="WAH1" s="4"/>
      <c r="WAI1" s="4"/>
      <c r="WAJ1" s="4"/>
      <c r="WAK1" s="4"/>
      <c r="WAL1" s="4"/>
      <c r="WAM1" s="4"/>
      <c r="WAN1" s="4"/>
      <c r="WAO1" s="4"/>
      <c r="WAP1" s="4"/>
      <c r="WAQ1" s="4"/>
      <c r="WAR1" s="4"/>
      <c r="WAS1" s="4"/>
      <c r="WAT1" s="4"/>
      <c r="WAU1" s="4"/>
      <c r="WAV1" s="4"/>
      <c r="WAW1" s="4"/>
      <c r="WAX1" s="4"/>
      <c r="WAY1" s="4"/>
      <c r="WAZ1" s="4"/>
      <c r="WBA1" s="4"/>
      <c r="WBB1" s="4"/>
      <c r="WBC1" s="4"/>
      <c r="WBD1" s="4"/>
      <c r="WBE1" s="4"/>
      <c r="WBF1" s="4"/>
      <c r="WBG1" s="4"/>
      <c r="WBH1" s="4"/>
      <c r="WBI1" s="4"/>
      <c r="WBJ1" s="4"/>
      <c r="WBK1" s="4"/>
      <c r="WBL1" s="4"/>
      <c r="WBM1" s="4"/>
      <c r="WBN1" s="4"/>
      <c r="WBO1" s="4"/>
      <c r="WBP1" s="4"/>
      <c r="WBQ1" s="4"/>
      <c r="WBR1" s="4"/>
      <c r="WBS1" s="4"/>
      <c r="WBT1" s="4"/>
      <c r="WBU1" s="4"/>
      <c r="WBV1" s="4"/>
      <c r="WBW1" s="4"/>
      <c r="WBX1" s="4"/>
      <c r="WBY1" s="4"/>
      <c r="WBZ1" s="4"/>
      <c r="WCA1" s="4"/>
      <c r="WCB1" s="4"/>
      <c r="WCC1" s="4"/>
      <c r="WCD1" s="4"/>
      <c r="WCE1" s="4"/>
      <c r="WCF1" s="4"/>
      <c r="WCG1" s="4"/>
      <c r="WCH1" s="4"/>
      <c r="WCI1" s="4"/>
      <c r="WCJ1" s="4"/>
      <c r="WCK1" s="4"/>
      <c r="WCL1" s="4"/>
      <c r="WCM1" s="4"/>
      <c r="WCN1" s="4"/>
      <c r="WCO1" s="4"/>
      <c r="WCP1" s="4"/>
      <c r="WCQ1" s="4"/>
      <c r="WCR1" s="4"/>
      <c r="WCS1" s="4"/>
      <c r="WCT1" s="4"/>
      <c r="WCU1" s="4"/>
      <c r="WCV1" s="4"/>
      <c r="WCW1" s="4"/>
      <c r="WCX1" s="4"/>
      <c r="WCY1" s="4"/>
      <c r="WCZ1" s="4"/>
      <c r="WDA1" s="4"/>
      <c r="WDB1" s="4"/>
      <c r="WDC1" s="4"/>
      <c r="WDD1" s="4"/>
      <c r="WDE1" s="4"/>
      <c r="WDF1" s="4"/>
      <c r="WDG1" s="4"/>
      <c r="WDH1" s="4"/>
      <c r="WDI1" s="4"/>
      <c r="WDJ1" s="4"/>
      <c r="WDK1" s="4"/>
      <c r="WDL1" s="4"/>
      <c r="WDM1" s="4"/>
      <c r="WDN1" s="4"/>
      <c r="WDO1" s="4"/>
      <c r="WDP1" s="4"/>
      <c r="WDQ1" s="4"/>
      <c r="WDR1" s="4"/>
      <c r="WDS1" s="4"/>
      <c r="WDT1" s="4"/>
      <c r="WDU1" s="4"/>
      <c r="WDV1" s="4"/>
      <c r="WDW1" s="4"/>
      <c r="WDX1" s="4"/>
      <c r="WDY1" s="4"/>
      <c r="WDZ1" s="4"/>
      <c r="WEA1" s="4"/>
      <c r="WEB1" s="4"/>
      <c r="WEC1" s="4"/>
      <c r="WED1" s="4"/>
      <c r="WEE1" s="4"/>
      <c r="WEF1" s="4"/>
      <c r="WEG1" s="4"/>
      <c r="WEH1" s="4"/>
      <c r="WEI1" s="4"/>
      <c r="WEJ1" s="4"/>
      <c r="WEK1" s="4"/>
      <c r="WEL1" s="4"/>
      <c r="WEM1" s="4"/>
      <c r="WEN1" s="4"/>
      <c r="WEO1" s="4"/>
      <c r="WEP1" s="4"/>
      <c r="WEQ1" s="4"/>
      <c r="WER1" s="4"/>
      <c r="WES1" s="4"/>
      <c r="WET1" s="4"/>
      <c r="WEU1" s="4"/>
      <c r="WEV1" s="4"/>
      <c r="WEW1" s="4"/>
      <c r="WEX1" s="4"/>
      <c r="WEY1" s="4"/>
      <c r="WEZ1" s="4"/>
      <c r="WFA1" s="4"/>
      <c r="WFB1" s="4"/>
      <c r="WFC1" s="4"/>
      <c r="WFD1" s="4"/>
      <c r="WFE1" s="4"/>
      <c r="WFF1" s="4"/>
      <c r="WFG1" s="4"/>
      <c r="WFH1" s="4"/>
      <c r="WFI1" s="4"/>
      <c r="WFJ1" s="4"/>
      <c r="WFK1" s="4"/>
      <c r="WFL1" s="4"/>
      <c r="WFM1" s="4"/>
      <c r="WFN1" s="4"/>
      <c r="WFO1" s="4"/>
      <c r="WFP1" s="4"/>
      <c r="WFQ1" s="4"/>
      <c r="WFR1" s="4"/>
      <c r="WFS1" s="4"/>
      <c r="WFT1" s="4"/>
      <c r="WFU1" s="4"/>
      <c r="WFV1" s="4"/>
      <c r="WFW1" s="4"/>
      <c r="WFX1" s="4"/>
      <c r="WFY1" s="4"/>
      <c r="WFZ1" s="4"/>
      <c r="WGA1" s="4"/>
      <c r="WGB1" s="4"/>
      <c r="WGC1" s="4"/>
      <c r="WGD1" s="4"/>
      <c r="WGE1" s="4"/>
      <c r="WGF1" s="4"/>
      <c r="WGG1" s="4"/>
      <c r="WGH1" s="4"/>
      <c r="WGI1" s="4"/>
      <c r="WGJ1" s="4"/>
      <c r="WGK1" s="4"/>
      <c r="WGL1" s="4"/>
      <c r="WGM1" s="4"/>
      <c r="WGN1" s="4"/>
      <c r="WGO1" s="4"/>
      <c r="WGP1" s="4"/>
      <c r="WGQ1" s="4"/>
      <c r="WGR1" s="4"/>
      <c r="WGS1" s="4"/>
      <c r="WGT1" s="4"/>
      <c r="WGU1" s="4"/>
      <c r="WGV1" s="4"/>
      <c r="WGW1" s="4"/>
      <c r="WGX1" s="4"/>
      <c r="WGY1" s="4"/>
      <c r="WGZ1" s="4"/>
      <c r="WHA1" s="4"/>
      <c r="WHB1" s="4"/>
      <c r="WHC1" s="4"/>
      <c r="WHD1" s="4"/>
      <c r="WHE1" s="4"/>
      <c r="WHF1" s="4"/>
      <c r="WHG1" s="4"/>
      <c r="WHH1" s="4"/>
      <c r="WHI1" s="4"/>
      <c r="WHJ1" s="4"/>
      <c r="WHK1" s="4"/>
      <c r="WHL1" s="4"/>
      <c r="WHM1" s="4"/>
      <c r="WHN1" s="4"/>
      <c r="WHO1" s="4"/>
      <c r="WHP1" s="4"/>
      <c r="WHQ1" s="4"/>
      <c r="WHR1" s="4"/>
      <c r="WHS1" s="4"/>
      <c r="WHT1" s="4"/>
      <c r="WHU1" s="4"/>
      <c r="WHV1" s="4"/>
      <c r="WHW1" s="4"/>
      <c r="WHX1" s="4"/>
      <c r="WHY1" s="4"/>
      <c r="WHZ1" s="4"/>
      <c r="WIA1" s="4"/>
      <c r="WIB1" s="4"/>
      <c r="WIC1" s="4"/>
      <c r="WID1" s="4"/>
      <c r="WIE1" s="4"/>
      <c r="WIF1" s="4"/>
      <c r="WIG1" s="4"/>
      <c r="WIH1" s="4"/>
      <c r="WII1" s="4"/>
      <c r="WIJ1" s="4"/>
      <c r="WIK1" s="4"/>
      <c r="WIL1" s="4"/>
      <c r="WIM1" s="4"/>
      <c r="WIN1" s="4"/>
      <c r="WIO1" s="4"/>
      <c r="WIP1" s="4"/>
      <c r="WIQ1" s="4"/>
      <c r="WIR1" s="4"/>
      <c r="WIS1" s="4"/>
      <c r="WIT1" s="4"/>
      <c r="WIU1" s="4"/>
      <c r="WIV1" s="4"/>
      <c r="WIW1" s="4"/>
      <c r="WIX1" s="4"/>
      <c r="WIY1" s="4"/>
      <c r="WIZ1" s="4"/>
      <c r="WJA1" s="4"/>
      <c r="WJB1" s="4"/>
      <c r="WJC1" s="4"/>
      <c r="WJD1" s="4"/>
      <c r="WJE1" s="4"/>
      <c r="WJF1" s="4"/>
      <c r="WJG1" s="4"/>
      <c r="WJH1" s="4"/>
      <c r="WJI1" s="4"/>
      <c r="WJJ1" s="4"/>
      <c r="WJK1" s="4"/>
      <c r="WJL1" s="4"/>
      <c r="WJM1" s="4"/>
      <c r="WJN1" s="4"/>
      <c r="WJO1" s="4"/>
      <c r="WJP1" s="4"/>
      <c r="WJQ1" s="4"/>
      <c r="WJR1" s="4"/>
      <c r="WJS1" s="4"/>
      <c r="WJT1" s="4"/>
      <c r="WJU1" s="4"/>
      <c r="WJV1" s="4"/>
      <c r="WJW1" s="4"/>
      <c r="WJX1" s="4"/>
      <c r="WJY1" s="4"/>
      <c r="WJZ1" s="4"/>
      <c r="WKA1" s="4"/>
      <c r="WKB1" s="4"/>
      <c r="WKC1" s="4"/>
      <c r="WKD1" s="4"/>
      <c r="WKE1" s="4"/>
      <c r="WKF1" s="4"/>
      <c r="WKG1" s="4"/>
      <c r="WKH1" s="4"/>
      <c r="WKI1" s="4"/>
      <c r="WKJ1" s="4"/>
      <c r="WKK1" s="4"/>
      <c r="WKL1" s="4"/>
      <c r="WKM1" s="4"/>
      <c r="WKN1" s="4"/>
      <c r="WKO1" s="4"/>
      <c r="WKP1" s="4"/>
      <c r="WKQ1" s="4"/>
      <c r="WKR1" s="4"/>
      <c r="WKS1" s="4"/>
      <c r="WKT1" s="4"/>
      <c r="WKU1" s="4"/>
      <c r="WKV1" s="4"/>
      <c r="WKW1" s="4"/>
      <c r="WKX1" s="4"/>
      <c r="WKY1" s="4"/>
      <c r="WKZ1" s="4"/>
      <c r="WLA1" s="4"/>
      <c r="WLB1" s="4"/>
      <c r="WLC1" s="4"/>
      <c r="WLD1" s="4"/>
      <c r="WLE1" s="4"/>
      <c r="WLF1" s="4"/>
      <c r="WLG1" s="4"/>
      <c r="WLH1" s="4"/>
      <c r="WLI1" s="4"/>
      <c r="WLJ1" s="4"/>
      <c r="WLK1" s="4"/>
      <c r="WLL1" s="4"/>
      <c r="WLM1" s="4"/>
      <c r="WLN1" s="4"/>
      <c r="WLO1" s="4"/>
      <c r="WLP1" s="4"/>
      <c r="WLQ1" s="4"/>
      <c r="WLR1" s="4"/>
      <c r="WLS1" s="4"/>
      <c r="WLT1" s="4"/>
      <c r="WLU1" s="4"/>
      <c r="WLV1" s="4"/>
      <c r="WLW1" s="4"/>
      <c r="WLX1" s="4"/>
      <c r="WLY1" s="4"/>
      <c r="WLZ1" s="4"/>
      <c r="WMA1" s="4"/>
      <c r="WMB1" s="4"/>
      <c r="WMC1" s="4"/>
      <c r="WMD1" s="4"/>
      <c r="WME1" s="4"/>
      <c r="WMF1" s="4"/>
      <c r="WMG1" s="4"/>
      <c r="WMH1" s="4"/>
      <c r="WMI1" s="4"/>
      <c r="WMJ1" s="4"/>
      <c r="WMK1" s="4"/>
      <c r="WML1" s="4"/>
      <c r="WMM1" s="4"/>
      <c r="WMN1" s="4"/>
      <c r="WMO1" s="4"/>
      <c r="WMP1" s="4"/>
      <c r="WMQ1" s="4"/>
      <c r="WMR1" s="4"/>
      <c r="WMS1" s="4"/>
      <c r="WMT1" s="4"/>
      <c r="WMU1" s="4"/>
      <c r="WMV1" s="4"/>
      <c r="WMW1" s="4"/>
      <c r="WMX1" s="4"/>
      <c r="WMY1" s="4"/>
      <c r="WMZ1" s="4"/>
      <c r="WNA1" s="4"/>
      <c r="WNB1" s="4"/>
      <c r="WNC1" s="4"/>
      <c r="WND1" s="4"/>
      <c r="WNE1" s="4"/>
      <c r="WNF1" s="4"/>
      <c r="WNG1" s="4"/>
      <c r="WNH1" s="4"/>
      <c r="WNI1" s="4"/>
      <c r="WNJ1" s="4"/>
      <c r="WNK1" s="4"/>
      <c r="WNL1" s="4"/>
      <c r="WNM1" s="4"/>
      <c r="WNN1" s="4"/>
      <c r="WNO1" s="4"/>
      <c r="WNP1" s="4"/>
      <c r="WNQ1" s="4"/>
      <c r="WNR1" s="4"/>
      <c r="WNS1" s="4"/>
      <c r="WNT1" s="4"/>
      <c r="WNU1" s="4"/>
      <c r="WNV1" s="4"/>
      <c r="WNW1" s="4"/>
      <c r="WNX1" s="4"/>
      <c r="WNY1" s="4"/>
      <c r="WNZ1" s="4"/>
      <c r="WOA1" s="4"/>
      <c r="WOB1" s="4"/>
      <c r="WOC1" s="4"/>
      <c r="WOD1" s="4"/>
      <c r="WOE1" s="4"/>
      <c r="WOF1" s="4"/>
      <c r="WOG1" s="4"/>
      <c r="WOH1" s="4"/>
      <c r="WOI1" s="4"/>
      <c r="WOJ1" s="4"/>
      <c r="WOK1" s="4"/>
      <c r="WOL1" s="4"/>
      <c r="WOM1" s="4"/>
      <c r="WON1" s="4"/>
      <c r="WOO1" s="4"/>
      <c r="WOP1" s="4"/>
      <c r="WOQ1" s="4"/>
      <c r="WOR1" s="4"/>
      <c r="WOS1" s="4"/>
      <c r="WOT1" s="4"/>
      <c r="WOU1" s="4"/>
      <c r="WOV1" s="4"/>
      <c r="WOW1" s="4"/>
      <c r="WOX1" s="4"/>
      <c r="WOY1" s="4"/>
      <c r="WOZ1" s="4"/>
      <c r="WPA1" s="4"/>
      <c r="WPB1" s="4"/>
      <c r="WPC1" s="4"/>
      <c r="WPD1" s="4"/>
      <c r="WPE1" s="4"/>
      <c r="WPF1" s="4"/>
      <c r="WPG1" s="4"/>
      <c r="WPH1" s="4"/>
      <c r="WPI1" s="4"/>
      <c r="WPJ1" s="4"/>
      <c r="WPK1" s="4"/>
      <c r="WPL1" s="4"/>
      <c r="WPM1" s="4"/>
      <c r="WPN1" s="4"/>
      <c r="WPO1" s="4"/>
      <c r="WPP1" s="4"/>
      <c r="WPQ1" s="4"/>
      <c r="WPR1" s="4"/>
      <c r="WPS1" s="4"/>
      <c r="WPT1" s="4"/>
      <c r="WPU1" s="4"/>
      <c r="WPV1" s="4"/>
      <c r="WPW1" s="4"/>
      <c r="WPX1" s="4"/>
      <c r="WPY1" s="4"/>
      <c r="WPZ1" s="4"/>
      <c r="WQA1" s="4"/>
      <c r="WQB1" s="4"/>
      <c r="WQC1" s="4"/>
      <c r="WQD1" s="4"/>
      <c r="WQE1" s="4"/>
      <c r="WQF1" s="4"/>
      <c r="WQG1" s="4"/>
      <c r="WQH1" s="4"/>
      <c r="WQI1" s="4"/>
      <c r="WQJ1" s="4"/>
      <c r="WQK1" s="4"/>
      <c r="WQL1" s="4"/>
      <c r="WQM1" s="4"/>
      <c r="WQN1" s="4"/>
      <c r="WQO1" s="4"/>
      <c r="WQP1" s="4"/>
      <c r="WQQ1" s="4"/>
      <c r="WQR1" s="4"/>
      <c r="WQS1" s="4"/>
      <c r="WQT1" s="4"/>
      <c r="WQU1" s="4"/>
      <c r="WQV1" s="4"/>
      <c r="WQW1" s="4"/>
      <c r="WQX1" s="4"/>
      <c r="WQY1" s="4"/>
      <c r="WQZ1" s="4"/>
      <c r="WRA1" s="4"/>
      <c r="WRB1" s="4"/>
      <c r="WRC1" s="4"/>
      <c r="WRD1" s="4"/>
      <c r="WRE1" s="4"/>
      <c r="WRF1" s="4"/>
      <c r="WRG1" s="4"/>
      <c r="WRH1" s="4"/>
      <c r="WRI1" s="4"/>
      <c r="WRJ1" s="4"/>
      <c r="WRK1" s="4"/>
      <c r="WRL1" s="4"/>
      <c r="WRM1" s="4"/>
      <c r="WRN1" s="4"/>
      <c r="WRO1" s="4"/>
      <c r="WRP1" s="4"/>
      <c r="WRQ1" s="4"/>
      <c r="WRR1" s="4"/>
      <c r="WRS1" s="4"/>
      <c r="WRT1" s="4"/>
      <c r="WRU1" s="4"/>
      <c r="WRV1" s="4"/>
      <c r="WRW1" s="4"/>
      <c r="WRX1" s="4"/>
      <c r="WRY1" s="4"/>
      <c r="WRZ1" s="4"/>
      <c r="WSA1" s="4"/>
      <c r="WSB1" s="4"/>
      <c r="WSC1" s="4"/>
      <c r="WSD1" s="4"/>
      <c r="WSE1" s="4"/>
      <c r="WSF1" s="4"/>
      <c r="WSG1" s="4"/>
      <c r="WSH1" s="4"/>
      <c r="WSI1" s="4"/>
      <c r="WSJ1" s="4"/>
      <c r="WSK1" s="4"/>
      <c r="WSL1" s="4"/>
      <c r="WSM1" s="4"/>
      <c r="WSN1" s="4"/>
      <c r="WSO1" s="4"/>
      <c r="WSP1" s="4"/>
      <c r="WSQ1" s="4"/>
      <c r="WSR1" s="4"/>
      <c r="WSS1" s="4"/>
      <c r="WST1" s="4"/>
      <c r="WSU1" s="4"/>
      <c r="WSV1" s="4"/>
      <c r="WSW1" s="4"/>
      <c r="WSX1" s="4"/>
      <c r="WSY1" s="4"/>
      <c r="WSZ1" s="4"/>
      <c r="WTA1" s="4"/>
      <c r="WTB1" s="4"/>
      <c r="WTC1" s="4"/>
      <c r="WTD1" s="4"/>
      <c r="WTE1" s="4"/>
      <c r="WTF1" s="4"/>
      <c r="WTG1" s="4"/>
      <c r="WTH1" s="4"/>
      <c r="WTI1" s="4"/>
      <c r="WTJ1" s="4"/>
      <c r="WTK1" s="4"/>
      <c r="WTL1" s="4"/>
      <c r="WTM1" s="4"/>
      <c r="WTN1" s="4"/>
      <c r="WTO1" s="4"/>
      <c r="WTP1" s="4"/>
      <c r="WTQ1" s="4"/>
      <c r="WTR1" s="4"/>
      <c r="WTS1" s="4"/>
      <c r="WTT1" s="4"/>
      <c r="WTU1" s="4"/>
      <c r="WTV1" s="4"/>
      <c r="WTW1" s="4"/>
      <c r="WTX1" s="4"/>
      <c r="WTY1" s="4"/>
      <c r="WTZ1" s="4"/>
      <c r="WUA1" s="4"/>
      <c r="WUB1" s="4"/>
      <c r="WUC1" s="4"/>
      <c r="WUD1" s="4"/>
      <c r="WUE1" s="4"/>
      <c r="WUF1" s="4"/>
      <c r="WUG1" s="4"/>
      <c r="WUH1" s="4"/>
      <c r="WUI1" s="4"/>
      <c r="WUJ1" s="4"/>
      <c r="WUK1" s="4"/>
      <c r="WUL1" s="4"/>
      <c r="WUM1" s="4"/>
      <c r="WUN1" s="4"/>
      <c r="WUO1" s="4"/>
      <c r="WUP1" s="4"/>
      <c r="WUQ1" s="4"/>
      <c r="WUR1" s="4"/>
      <c r="WUS1" s="4"/>
      <c r="WUT1" s="4"/>
      <c r="WUU1" s="4"/>
      <c r="WUV1" s="4"/>
      <c r="WUW1" s="4"/>
      <c r="WUX1" s="4"/>
      <c r="WUY1" s="4"/>
      <c r="WUZ1" s="4"/>
      <c r="WVA1" s="4"/>
      <c r="WVB1" s="4"/>
      <c r="WVC1" s="4"/>
      <c r="WVD1" s="4"/>
      <c r="WVE1" s="4"/>
      <c r="WVF1" s="4"/>
      <c r="WVG1" s="4"/>
      <c r="WVH1" s="4"/>
      <c r="WVI1" s="4"/>
      <c r="WVJ1" s="4"/>
      <c r="WVK1" s="4"/>
      <c r="WVL1" s="4"/>
      <c r="WVM1" s="4"/>
      <c r="WVN1" s="4"/>
      <c r="WVO1" s="4"/>
      <c r="WVP1" s="4"/>
      <c r="WVQ1" s="4"/>
      <c r="WVR1" s="4"/>
      <c r="WVS1" s="4"/>
      <c r="WVT1" s="4"/>
      <c r="WVU1" s="4"/>
      <c r="WVV1" s="4"/>
      <c r="WVW1" s="4"/>
      <c r="WVX1" s="4"/>
      <c r="WVY1" s="4"/>
      <c r="WVZ1" s="4"/>
      <c r="WWA1" s="4"/>
      <c r="WWB1" s="4"/>
      <c r="WWC1" s="4"/>
      <c r="WWD1" s="4"/>
      <c r="WWE1" s="4"/>
      <c r="WWF1" s="4"/>
      <c r="WWG1" s="4"/>
      <c r="WWH1" s="4"/>
      <c r="WWI1" s="4"/>
      <c r="WWJ1" s="4"/>
      <c r="WWK1" s="4"/>
      <c r="WWL1" s="4"/>
      <c r="WWM1" s="4"/>
      <c r="WWN1" s="4"/>
      <c r="WWO1" s="4"/>
      <c r="WWP1" s="4"/>
      <c r="WWQ1" s="4"/>
      <c r="WWR1" s="4"/>
      <c r="WWS1" s="4"/>
      <c r="WWT1" s="4"/>
      <c r="WWU1" s="4"/>
      <c r="WWV1" s="4"/>
      <c r="WWW1" s="4"/>
      <c r="WWX1" s="4"/>
      <c r="WWY1" s="4"/>
      <c r="WWZ1" s="4"/>
      <c r="WXA1" s="4"/>
      <c r="WXB1" s="4"/>
      <c r="WXC1" s="4"/>
      <c r="WXD1" s="4"/>
      <c r="WXE1" s="4"/>
      <c r="WXF1" s="4"/>
      <c r="WXG1" s="4"/>
      <c r="WXH1" s="4"/>
      <c r="WXI1" s="4"/>
      <c r="WXJ1" s="4"/>
      <c r="WXK1" s="4"/>
      <c r="WXL1" s="4"/>
      <c r="WXM1" s="4"/>
      <c r="WXN1" s="4"/>
      <c r="WXO1" s="4"/>
      <c r="WXP1" s="4"/>
      <c r="WXQ1" s="4"/>
      <c r="WXR1" s="4"/>
      <c r="WXS1" s="4"/>
      <c r="WXT1" s="4"/>
      <c r="WXU1" s="4"/>
      <c r="WXV1" s="4"/>
      <c r="WXW1" s="4"/>
      <c r="WXX1" s="4"/>
      <c r="WXY1" s="4"/>
      <c r="WXZ1" s="4"/>
      <c r="WYA1" s="4"/>
      <c r="WYB1" s="4"/>
      <c r="WYC1" s="4"/>
      <c r="WYD1" s="4"/>
      <c r="WYE1" s="4"/>
      <c r="WYF1" s="4"/>
      <c r="WYG1" s="4"/>
      <c r="WYH1" s="4"/>
      <c r="WYI1" s="4"/>
      <c r="WYJ1" s="4"/>
      <c r="WYK1" s="4"/>
      <c r="WYL1" s="4"/>
      <c r="WYM1" s="4"/>
      <c r="WYN1" s="4"/>
      <c r="WYO1" s="4"/>
      <c r="WYP1" s="4"/>
      <c r="WYQ1" s="4"/>
      <c r="WYR1" s="4"/>
      <c r="WYS1" s="4"/>
      <c r="WYT1" s="4"/>
      <c r="WYU1" s="4"/>
      <c r="WYV1" s="4"/>
      <c r="WYW1" s="4"/>
      <c r="WYX1" s="4"/>
      <c r="WYY1" s="4"/>
      <c r="WYZ1" s="4"/>
      <c r="WZA1" s="4"/>
      <c r="WZB1" s="4"/>
      <c r="WZC1" s="4"/>
      <c r="WZD1" s="4"/>
      <c r="WZE1" s="4"/>
      <c r="WZF1" s="4"/>
      <c r="WZG1" s="4"/>
      <c r="WZH1" s="4"/>
      <c r="WZI1" s="4"/>
      <c r="WZJ1" s="4"/>
      <c r="WZK1" s="4"/>
      <c r="WZL1" s="4"/>
      <c r="WZM1" s="4"/>
      <c r="WZN1" s="4"/>
      <c r="WZO1" s="4"/>
      <c r="WZP1" s="4"/>
      <c r="WZQ1" s="4"/>
      <c r="WZR1" s="4"/>
      <c r="WZS1" s="4"/>
      <c r="WZT1" s="4"/>
      <c r="WZU1" s="4"/>
      <c r="WZV1" s="4"/>
      <c r="WZW1" s="4"/>
      <c r="WZX1" s="4"/>
      <c r="WZY1" s="4"/>
      <c r="WZZ1" s="4"/>
      <c r="XAA1" s="4"/>
      <c r="XAB1" s="4"/>
      <c r="XAC1" s="4"/>
      <c r="XAD1" s="4"/>
      <c r="XAE1" s="4"/>
      <c r="XAF1" s="4"/>
      <c r="XAG1" s="4"/>
      <c r="XAH1" s="4"/>
      <c r="XAI1" s="4"/>
      <c r="XAJ1" s="4"/>
      <c r="XAK1" s="4"/>
      <c r="XAL1" s="4"/>
      <c r="XAM1" s="4"/>
      <c r="XAN1" s="4"/>
      <c r="XAO1" s="4"/>
      <c r="XAP1" s="4"/>
      <c r="XAQ1" s="4"/>
      <c r="XAR1" s="4"/>
      <c r="XAS1" s="4"/>
      <c r="XAT1" s="4"/>
      <c r="XAU1" s="4"/>
      <c r="XAV1" s="4"/>
      <c r="XAW1" s="4"/>
      <c r="XAX1" s="4"/>
      <c r="XAY1" s="4"/>
      <c r="XAZ1" s="4"/>
      <c r="XBA1" s="4"/>
      <c r="XBB1" s="4"/>
      <c r="XBC1" s="4"/>
      <c r="XBD1" s="4"/>
      <c r="XBE1" s="4"/>
      <c r="XBF1" s="4"/>
      <c r="XBG1" s="4"/>
      <c r="XBH1" s="4"/>
      <c r="XBI1" s="4"/>
      <c r="XBJ1" s="4"/>
      <c r="XBK1" s="4"/>
      <c r="XBL1" s="4"/>
      <c r="XBM1" s="4"/>
      <c r="XBN1" s="4"/>
      <c r="XBO1" s="4"/>
      <c r="XBP1" s="4"/>
      <c r="XBQ1" s="4"/>
      <c r="XBR1" s="4"/>
      <c r="XBS1" s="4"/>
      <c r="XBT1" s="4"/>
      <c r="XBU1" s="4"/>
      <c r="XBV1" s="4"/>
      <c r="XBW1" s="4"/>
      <c r="XBX1" s="4"/>
      <c r="XBY1" s="4"/>
      <c r="XBZ1" s="4"/>
      <c r="XCA1" s="4"/>
      <c r="XCB1" s="4"/>
      <c r="XCC1" s="4"/>
      <c r="XCD1" s="4"/>
      <c r="XCE1" s="4"/>
      <c r="XCF1" s="4"/>
      <c r="XCG1" s="4"/>
      <c r="XCH1" s="4"/>
      <c r="XCI1" s="4"/>
      <c r="XCJ1" s="4"/>
      <c r="XCK1" s="4"/>
      <c r="XCL1" s="4"/>
      <c r="XCM1" s="4"/>
      <c r="XCN1" s="4"/>
      <c r="XCO1" s="4"/>
      <c r="XCP1" s="4"/>
      <c r="XCQ1" s="4"/>
      <c r="XCR1" s="4"/>
      <c r="XCS1" s="4"/>
      <c r="XCT1" s="4"/>
      <c r="XCU1" s="4"/>
      <c r="XCV1" s="4"/>
      <c r="XCW1" s="4"/>
      <c r="XCX1" s="4"/>
      <c r="XCY1" s="4"/>
      <c r="XCZ1" s="4"/>
      <c r="XDA1" s="4"/>
      <c r="XDB1" s="4"/>
      <c r="XDC1" s="4"/>
      <c r="XDD1" s="4"/>
      <c r="XDE1" s="4"/>
      <c r="XDF1" s="4"/>
      <c r="XDG1" s="4"/>
      <c r="XDH1" s="4"/>
      <c r="XDI1" s="4"/>
      <c r="XDJ1" s="4"/>
      <c r="XDK1" s="4"/>
      <c r="XDL1" s="4"/>
      <c r="XDM1" s="4"/>
      <c r="XDN1" s="4"/>
      <c r="XDO1" s="4"/>
      <c r="XDP1" s="4"/>
      <c r="XDQ1" s="4"/>
      <c r="XDR1" s="4"/>
      <c r="XDS1" s="4"/>
      <c r="XDT1" s="4"/>
      <c r="XDU1" s="4"/>
      <c r="XDV1" s="4"/>
      <c r="XDW1" s="4"/>
      <c r="XDX1" s="4"/>
      <c r="XDY1" s="4"/>
      <c r="XDZ1" s="4"/>
      <c r="XEA1" s="4"/>
      <c r="XEB1" s="4"/>
      <c r="XEC1" s="4"/>
      <c r="XED1" s="4"/>
      <c r="XEE1" s="4"/>
      <c r="XEF1" s="4"/>
      <c r="XEG1" s="4"/>
      <c r="XEH1" s="4"/>
      <c r="XEI1" s="4"/>
      <c r="XEJ1" s="4"/>
      <c r="XEK1" s="4"/>
      <c r="XEL1" s="4"/>
      <c r="XEM1" s="4"/>
      <c r="XEN1" s="4"/>
      <c r="XEO1" s="4"/>
      <c r="XEP1" s="4"/>
      <c r="XEQ1" s="4"/>
      <c r="XER1" s="4"/>
      <c r="XES1" s="4"/>
      <c r="XET1" s="4"/>
      <c r="XEU1" s="4"/>
      <c r="XEV1" s="4"/>
      <c r="XEW1" s="4"/>
      <c r="XEX1" s="4"/>
      <c r="XEY1" s="4"/>
      <c r="XEZ1" s="4"/>
      <c r="XFA1" s="4"/>
      <c r="XFB1" s="4"/>
      <c r="XFC1" s="4"/>
      <c r="XFD1" s="4"/>
    </row>
    <row r="2" spans="1:16384" s="5" customFormat="1" ht="14.4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  <c r="ALZ2" s="4"/>
      <c r="AMA2" s="4"/>
      <c r="AMB2" s="4"/>
      <c r="AMC2" s="4"/>
      <c r="AMD2" s="4"/>
      <c r="AME2" s="4"/>
      <c r="AMF2" s="4"/>
      <c r="AMG2" s="4"/>
      <c r="AMH2" s="4"/>
      <c r="AMI2" s="4"/>
      <c r="AMJ2" s="4"/>
      <c r="AMK2" s="4"/>
      <c r="AML2" s="4"/>
      <c r="AMM2" s="4"/>
      <c r="AMN2" s="4"/>
      <c r="AMO2" s="4"/>
      <c r="AMP2" s="4"/>
      <c r="AMQ2" s="4"/>
      <c r="AMR2" s="4"/>
      <c r="AMS2" s="4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  <c r="ASV2" s="4"/>
      <c r="ASW2" s="4"/>
      <c r="ASX2" s="4"/>
      <c r="ASY2" s="4"/>
      <c r="ASZ2" s="4"/>
      <c r="ATA2" s="4"/>
      <c r="ATB2" s="4"/>
      <c r="ATC2" s="4"/>
      <c r="ATD2" s="4"/>
      <c r="ATE2" s="4"/>
      <c r="ATF2" s="4"/>
      <c r="ATG2" s="4"/>
      <c r="ATH2" s="4"/>
      <c r="ATI2" s="4"/>
      <c r="ATJ2" s="4"/>
      <c r="ATK2" s="4"/>
      <c r="ATL2" s="4"/>
      <c r="ATM2" s="4"/>
      <c r="ATN2" s="4"/>
      <c r="ATO2" s="4"/>
      <c r="ATP2" s="4"/>
      <c r="ATQ2" s="4"/>
      <c r="ATR2" s="4"/>
      <c r="ATS2" s="4"/>
      <c r="ATT2" s="4"/>
      <c r="ATU2" s="4"/>
      <c r="ATV2" s="4"/>
      <c r="ATW2" s="4"/>
      <c r="ATX2" s="4"/>
      <c r="ATY2" s="4"/>
      <c r="ATZ2" s="4"/>
      <c r="AUA2" s="4"/>
      <c r="AUB2" s="4"/>
      <c r="AUC2" s="4"/>
      <c r="AUD2" s="4"/>
      <c r="AUE2" s="4"/>
      <c r="AUF2" s="4"/>
      <c r="AUG2" s="4"/>
      <c r="AUH2" s="4"/>
      <c r="AUI2" s="4"/>
      <c r="AUJ2" s="4"/>
      <c r="AUK2" s="4"/>
      <c r="AUL2" s="4"/>
      <c r="AUM2" s="4"/>
      <c r="AUN2" s="4"/>
      <c r="AUO2" s="4"/>
      <c r="AUP2" s="4"/>
      <c r="AUQ2" s="4"/>
      <c r="AUR2" s="4"/>
      <c r="AUS2" s="4"/>
      <c r="AUT2" s="4"/>
      <c r="AUU2" s="4"/>
      <c r="AUV2" s="4"/>
      <c r="AUW2" s="4"/>
      <c r="AUX2" s="4"/>
      <c r="AUY2" s="4"/>
      <c r="AUZ2" s="4"/>
      <c r="AVA2" s="4"/>
      <c r="AVB2" s="4"/>
      <c r="AVC2" s="4"/>
      <c r="AVD2" s="4"/>
      <c r="AVE2" s="4"/>
      <c r="AVF2" s="4"/>
      <c r="AVG2" s="4"/>
      <c r="AVH2" s="4"/>
      <c r="AVI2" s="4"/>
      <c r="AVJ2" s="4"/>
      <c r="AVK2" s="4"/>
      <c r="AVL2" s="4"/>
      <c r="AVM2" s="4"/>
      <c r="AVN2" s="4"/>
      <c r="AVO2" s="4"/>
      <c r="AVP2" s="4"/>
      <c r="AVQ2" s="4"/>
      <c r="AVR2" s="4"/>
      <c r="AVS2" s="4"/>
      <c r="AVT2" s="4"/>
      <c r="AVU2" s="4"/>
      <c r="AVV2" s="4"/>
      <c r="AVW2" s="4"/>
      <c r="AVX2" s="4"/>
      <c r="AVY2" s="4"/>
      <c r="AVZ2" s="4"/>
      <c r="AWA2" s="4"/>
      <c r="AWB2" s="4"/>
      <c r="AWC2" s="4"/>
      <c r="AWD2" s="4"/>
      <c r="AWE2" s="4"/>
      <c r="AWF2" s="4"/>
      <c r="AWG2" s="4"/>
      <c r="AWH2" s="4"/>
      <c r="AWI2" s="4"/>
      <c r="AWJ2" s="4"/>
      <c r="AWK2" s="4"/>
      <c r="AWL2" s="4"/>
      <c r="AWM2" s="4"/>
      <c r="AWN2" s="4"/>
      <c r="AWO2" s="4"/>
      <c r="AWP2" s="4"/>
      <c r="AWQ2" s="4"/>
      <c r="AWR2" s="4"/>
      <c r="AWS2" s="4"/>
      <c r="AWT2" s="4"/>
      <c r="AWU2" s="4"/>
      <c r="AWV2" s="4"/>
      <c r="AWW2" s="4"/>
      <c r="AWX2" s="4"/>
      <c r="AWY2" s="4"/>
      <c r="AWZ2" s="4"/>
      <c r="AXA2" s="4"/>
      <c r="AXB2" s="4"/>
      <c r="AXC2" s="4"/>
      <c r="AXD2" s="4"/>
      <c r="AXE2" s="4"/>
      <c r="AXF2" s="4"/>
      <c r="AXG2" s="4"/>
      <c r="AXH2" s="4"/>
      <c r="AXI2" s="4"/>
      <c r="AXJ2" s="4"/>
      <c r="AXK2" s="4"/>
      <c r="AXL2" s="4"/>
      <c r="AXM2" s="4"/>
      <c r="AXN2" s="4"/>
      <c r="AXO2" s="4"/>
      <c r="AXP2" s="4"/>
      <c r="AXQ2" s="4"/>
      <c r="AXR2" s="4"/>
      <c r="AXS2" s="4"/>
      <c r="AXT2" s="4"/>
      <c r="AXU2" s="4"/>
      <c r="AXV2" s="4"/>
      <c r="AXW2" s="4"/>
      <c r="AXX2" s="4"/>
      <c r="AXY2" s="4"/>
      <c r="AXZ2" s="4"/>
      <c r="AYA2" s="4"/>
      <c r="AYB2" s="4"/>
      <c r="AYC2" s="4"/>
      <c r="AYD2" s="4"/>
      <c r="AYE2" s="4"/>
      <c r="AYF2" s="4"/>
      <c r="AYG2" s="4"/>
      <c r="AYH2" s="4"/>
      <c r="AYI2" s="4"/>
      <c r="AYJ2" s="4"/>
      <c r="AYK2" s="4"/>
      <c r="AYL2" s="4"/>
      <c r="AYM2" s="4"/>
      <c r="AYN2" s="4"/>
      <c r="AYO2" s="4"/>
      <c r="AYP2" s="4"/>
      <c r="AYQ2" s="4"/>
      <c r="AYR2" s="4"/>
      <c r="AYS2" s="4"/>
      <c r="AYT2" s="4"/>
      <c r="AYU2" s="4"/>
      <c r="AYV2" s="4"/>
      <c r="AYW2" s="4"/>
      <c r="AYX2" s="4"/>
      <c r="AYY2" s="4"/>
      <c r="AYZ2" s="4"/>
      <c r="AZA2" s="4"/>
      <c r="AZB2" s="4"/>
      <c r="AZC2" s="4"/>
      <c r="AZD2" s="4"/>
      <c r="AZE2" s="4"/>
      <c r="AZF2" s="4"/>
      <c r="AZG2" s="4"/>
      <c r="AZH2" s="4"/>
      <c r="AZI2" s="4"/>
      <c r="AZJ2" s="4"/>
      <c r="AZK2" s="4"/>
      <c r="AZL2" s="4"/>
      <c r="AZM2" s="4"/>
      <c r="AZN2" s="4"/>
      <c r="AZO2" s="4"/>
      <c r="AZP2" s="4"/>
      <c r="AZQ2" s="4"/>
      <c r="AZR2" s="4"/>
      <c r="AZS2" s="4"/>
      <c r="AZT2" s="4"/>
      <c r="AZU2" s="4"/>
      <c r="AZV2" s="4"/>
      <c r="AZW2" s="4"/>
      <c r="AZX2" s="4"/>
      <c r="AZY2" s="4"/>
      <c r="AZZ2" s="4"/>
      <c r="BAA2" s="4"/>
      <c r="BAB2" s="4"/>
      <c r="BAC2" s="4"/>
      <c r="BAD2" s="4"/>
      <c r="BAE2" s="4"/>
      <c r="BAF2" s="4"/>
      <c r="BAG2" s="4"/>
      <c r="BAH2" s="4"/>
      <c r="BAI2" s="4"/>
      <c r="BAJ2" s="4"/>
      <c r="BAK2" s="4"/>
      <c r="BAL2" s="4"/>
      <c r="BAM2" s="4"/>
      <c r="BAN2" s="4"/>
      <c r="BAO2" s="4"/>
      <c r="BAP2" s="4"/>
      <c r="BAQ2" s="4"/>
      <c r="BAR2" s="4"/>
      <c r="BAS2" s="4"/>
      <c r="BAT2" s="4"/>
      <c r="BAU2" s="4"/>
      <c r="BAV2" s="4"/>
      <c r="BAW2" s="4"/>
      <c r="BAX2" s="4"/>
      <c r="BAY2" s="4"/>
      <c r="BAZ2" s="4"/>
      <c r="BBA2" s="4"/>
      <c r="BBB2" s="4"/>
      <c r="BBC2" s="4"/>
      <c r="BBD2" s="4"/>
      <c r="BBE2" s="4"/>
      <c r="BBF2" s="4"/>
      <c r="BBG2" s="4"/>
      <c r="BBH2" s="4"/>
      <c r="BBI2" s="4"/>
      <c r="BBJ2" s="4"/>
      <c r="BBK2" s="4"/>
      <c r="BBL2" s="4"/>
      <c r="BBM2" s="4"/>
      <c r="BBN2" s="4"/>
      <c r="BBO2" s="4"/>
      <c r="BBP2" s="4"/>
      <c r="BBQ2" s="4"/>
      <c r="BBR2" s="4"/>
      <c r="BBS2" s="4"/>
      <c r="BBT2" s="4"/>
      <c r="BBU2" s="4"/>
      <c r="BBV2" s="4"/>
      <c r="BBW2" s="4"/>
      <c r="BBX2" s="4"/>
      <c r="BBY2" s="4"/>
      <c r="BBZ2" s="4"/>
      <c r="BCA2" s="4"/>
      <c r="BCB2" s="4"/>
      <c r="BCC2" s="4"/>
      <c r="BCD2" s="4"/>
      <c r="BCE2" s="4"/>
      <c r="BCF2" s="4"/>
      <c r="BCG2" s="4"/>
      <c r="BCH2" s="4"/>
      <c r="BCI2" s="4"/>
      <c r="BCJ2" s="4"/>
      <c r="BCK2" s="4"/>
      <c r="BCL2" s="4"/>
      <c r="BCM2" s="4"/>
      <c r="BCN2" s="4"/>
      <c r="BCO2" s="4"/>
      <c r="BCP2" s="4"/>
      <c r="BCQ2" s="4"/>
      <c r="BCR2" s="4"/>
      <c r="BCS2" s="4"/>
      <c r="BCT2" s="4"/>
      <c r="BCU2" s="4"/>
      <c r="BCV2" s="4"/>
      <c r="BCW2" s="4"/>
      <c r="BCX2" s="4"/>
      <c r="BCY2" s="4"/>
      <c r="BCZ2" s="4"/>
      <c r="BDA2" s="4"/>
      <c r="BDB2" s="4"/>
      <c r="BDC2" s="4"/>
      <c r="BDD2" s="4"/>
      <c r="BDE2" s="4"/>
      <c r="BDF2" s="4"/>
      <c r="BDG2" s="4"/>
      <c r="BDH2" s="4"/>
      <c r="BDI2" s="4"/>
      <c r="BDJ2" s="4"/>
      <c r="BDK2" s="4"/>
      <c r="BDL2" s="4"/>
      <c r="BDM2" s="4"/>
      <c r="BDN2" s="4"/>
      <c r="BDO2" s="4"/>
      <c r="BDP2" s="4"/>
      <c r="BDQ2" s="4"/>
      <c r="BDR2" s="4"/>
      <c r="BDS2" s="4"/>
      <c r="BDT2" s="4"/>
      <c r="BDU2" s="4"/>
      <c r="BDV2" s="4"/>
      <c r="BDW2" s="4"/>
      <c r="BDX2" s="4"/>
      <c r="BDY2" s="4"/>
      <c r="BDZ2" s="4"/>
      <c r="BEA2" s="4"/>
      <c r="BEB2" s="4"/>
      <c r="BEC2" s="4"/>
      <c r="BED2" s="4"/>
      <c r="BEE2" s="4"/>
      <c r="BEF2" s="4"/>
      <c r="BEG2" s="4"/>
      <c r="BEH2" s="4"/>
      <c r="BEI2" s="4"/>
      <c r="BEJ2" s="4"/>
      <c r="BEK2" s="4"/>
      <c r="BEL2" s="4"/>
      <c r="BEM2" s="4"/>
      <c r="BEN2" s="4"/>
      <c r="BEO2" s="4"/>
      <c r="BEP2" s="4"/>
      <c r="BEQ2" s="4"/>
      <c r="BER2" s="4"/>
      <c r="BES2" s="4"/>
      <c r="BET2" s="4"/>
      <c r="BEU2" s="4"/>
      <c r="BEV2" s="4"/>
      <c r="BEW2" s="4"/>
      <c r="BEX2" s="4"/>
      <c r="BEY2" s="4"/>
      <c r="BEZ2" s="4"/>
      <c r="BFA2" s="4"/>
      <c r="BFB2" s="4"/>
      <c r="BFC2" s="4"/>
      <c r="BFD2" s="4"/>
      <c r="BFE2" s="4"/>
      <c r="BFF2" s="4"/>
      <c r="BFG2" s="4"/>
      <c r="BFH2" s="4"/>
      <c r="BFI2" s="4"/>
      <c r="BFJ2" s="4"/>
      <c r="BFK2" s="4"/>
      <c r="BFL2" s="4"/>
      <c r="BFM2" s="4"/>
      <c r="BFN2" s="4"/>
      <c r="BFO2" s="4"/>
      <c r="BFP2" s="4"/>
      <c r="BFQ2" s="4"/>
      <c r="BFR2" s="4"/>
      <c r="BFS2" s="4"/>
      <c r="BFT2" s="4"/>
      <c r="BFU2" s="4"/>
      <c r="BFV2" s="4"/>
      <c r="BFW2" s="4"/>
      <c r="BFX2" s="4"/>
      <c r="BFY2" s="4"/>
      <c r="BFZ2" s="4"/>
      <c r="BGA2" s="4"/>
      <c r="BGB2" s="4"/>
      <c r="BGC2" s="4"/>
      <c r="BGD2" s="4"/>
      <c r="BGE2" s="4"/>
      <c r="BGF2" s="4"/>
      <c r="BGG2" s="4"/>
      <c r="BGH2" s="4"/>
      <c r="BGI2" s="4"/>
      <c r="BGJ2" s="4"/>
      <c r="BGK2" s="4"/>
      <c r="BGL2" s="4"/>
      <c r="BGM2" s="4"/>
      <c r="BGN2" s="4"/>
      <c r="BGO2" s="4"/>
      <c r="BGP2" s="4"/>
      <c r="BGQ2" s="4"/>
      <c r="BGR2" s="4"/>
      <c r="BGS2" s="4"/>
      <c r="BGT2" s="4"/>
      <c r="BGU2" s="4"/>
      <c r="BGV2" s="4"/>
      <c r="BGW2" s="4"/>
      <c r="BGX2" s="4"/>
      <c r="BGY2" s="4"/>
      <c r="BGZ2" s="4"/>
      <c r="BHA2" s="4"/>
      <c r="BHB2" s="4"/>
      <c r="BHC2" s="4"/>
      <c r="BHD2" s="4"/>
      <c r="BHE2" s="4"/>
      <c r="BHF2" s="4"/>
      <c r="BHG2" s="4"/>
      <c r="BHH2" s="4"/>
      <c r="BHI2" s="4"/>
      <c r="BHJ2" s="4"/>
      <c r="BHK2" s="4"/>
      <c r="BHL2" s="4"/>
      <c r="BHM2" s="4"/>
      <c r="BHN2" s="4"/>
      <c r="BHO2" s="4"/>
      <c r="BHP2" s="4"/>
      <c r="BHQ2" s="4"/>
      <c r="BHR2" s="4"/>
      <c r="BHS2" s="4"/>
      <c r="BHT2" s="4"/>
      <c r="BHU2" s="4"/>
      <c r="BHV2" s="4"/>
      <c r="BHW2" s="4"/>
      <c r="BHX2" s="4"/>
      <c r="BHY2" s="4"/>
      <c r="BHZ2" s="4"/>
      <c r="BIA2" s="4"/>
      <c r="BIB2" s="4"/>
      <c r="BIC2" s="4"/>
      <c r="BID2" s="4"/>
      <c r="BIE2" s="4"/>
      <c r="BIF2" s="4"/>
      <c r="BIG2" s="4"/>
      <c r="BIH2" s="4"/>
      <c r="BII2" s="4"/>
      <c r="BIJ2" s="4"/>
      <c r="BIK2" s="4"/>
      <c r="BIL2" s="4"/>
      <c r="BIM2" s="4"/>
      <c r="BIN2" s="4"/>
      <c r="BIO2" s="4"/>
      <c r="BIP2" s="4"/>
      <c r="BIQ2" s="4"/>
      <c r="BIR2" s="4"/>
      <c r="BIS2" s="4"/>
      <c r="BIT2" s="4"/>
      <c r="BIU2" s="4"/>
      <c r="BIV2" s="4"/>
      <c r="BIW2" s="4"/>
      <c r="BIX2" s="4"/>
      <c r="BIY2" s="4"/>
      <c r="BIZ2" s="4"/>
      <c r="BJA2" s="4"/>
      <c r="BJB2" s="4"/>
      <c r="BJC2" s="4"/>
      <c r="BJD2" s="4"/>
      <c r="BJE2" s="4"/>
      <c r="BJF2" s="4"/>
      <c r="BJG2" s="4"/>
      <c r="BJH2" s="4"/>
      <c r="BJI2" s="4"/>
      <c r="BJJ2" s="4"/>
      <c r="BJK2" s="4"/>
      <c r="BJL2" s="4"/>
      <c r="BJM2" s="4"/>
      <c r="BJN2" s="4"/>
      <c r="BJO2" s="4"/>
      <c r="BJP2" s="4"/>
      <c r="BJQ2" s="4"/>
      <c r="BJR2" s="4"/>
      <c r="BJS2" s="4"/>
      <c r="BJT2" s="4"/>
      <c r="BJU2" s="4"/>
      <c r="BJV2" s="4"/>
      <c r="BJW2" s="4"/>
      <c r="BJX2" s="4"/>
      <c r="BJY2" s="4"/>
      <c r="BJZ2" s="4"/>
      <c r="BKA2" s="4"/>
      <c r="BKB2" s="4"/>
      <c r="BKC2" s="4"/>
      <c r="BKD2" s="4"/>
      <c r="BKE2" s="4"/>
      <c r="BKF2" s="4"/>
      <c r="BKG2" s="4"/>
      <c r="BKH2" s="4"/>
      <c r="BKI2" s="4"/>
      <c r="BKJ2" s="4"/>
      <c r="BKK2" s="4"/>
      <c r="BKL2" s="4"/>
      <c r="BKM2" s="4"/>
      <c r="BKN2" s="4"/>
      <c r="BKO2" s="4"/>
      <c r="BKP2" s="4"/>
      <c r="BKQ2" s="4"/>
      <c r="BKR2" s="4"/>
      <c r="BKS2" s="4"/>
      <c r="BKT2" s="4"/>
      <c r="BKU2" s="4"/>
      <c r="BKV2" s="4"/>
      <c r="BKW2" s="4"/>
      <c r="BKX2" s="4"/>
      <c r="BKY2" s="4"/>
      <c r="BKZ2" s="4"/>
      <c r="BLA2" s="4"/>
      <c r="BLB2" s="4"/>
      <c r="BLC2" s="4"/>
      <c r="BLD2" s="4"/>
      <c r="BLE2" s="4"/>
      <c r="BLF2" s="4"/>
      <c r="BLG2" s="4"/>
      <c r="BLH2" s="4"/>
      <c r="BLI2" s="4"/>
      <c r="BLJ2" s="4"/>
      <c r="BLK2" s="4"/>
      <c r="BLL2" s="4"/>
      <c r="BLM2" s="4"/>
      <c r="BLN2" s="4"/>
      <c r="BLO2" s="4"/>
      <c r="BLP2" s="4"/>
      <c r="BLQ2" s="4"/>
      <c r="BLR2" s="4"/>
      <c r="BLS2" s="4"/>
      <c r="BLT2" s="4"/>
      <c r="BLU2" s="4"/>
      <c r="BLV2" s="4"/>
      <c r="BLW2" s="4"/>
      <c r="BLX2" s="4"/>
      <c r="BLY2" s="4"/>
      <c r="BLZ2" s="4"/>
      <c r="BMA2" s="4"/>
      <c r="BMB2" s="4"/>
      <c r="BMC2" s="4"/>
      <c r="BMD2" s="4"/>
      <c r="BME2" s="4"/>
      <c r="BMF2" s="4"/>
      <c r="BMG2" s="4"/>
      <c r="BMH2" s="4"/>
      <c r="BMI2" s="4"/>
      <c r="BMJ2" s="4"/>
      <c r="BMK2" s="4"/>
      <c r="BML2" s="4"/>
      <c r="BMM2" s="4"/>
      <c r="BMN2" s="4"/>
      <c r="BMO2" s="4"/>
      <c r="BMP2" s="4"/>
      <c r="BMQ2" s="4"/>
      <c r="BMR2" s="4"/>
      <c r="BMS2" s="4"/>
      <c r="BMT2" s="4"/>
      <c r="BMU2" s="4"/>
      <c r="BMV2" s="4"/>
      <c r="BMW2" s="4"/>
      <c r="BMX2" s="4"/>
      <c r="BMY2" s="4"/>
      <c r="BMZ2" s="4"/>
      <c r="BNA2" s="4"/>
      <c r="BNB2" s="4"/>
      <c r="BNC2" s="4"/>
      <c r="BND2" s="4"/>
      <c r="BNE2" s="4"/>
      <c r="BNF2" s="4"/>
      <c r="BNG2" s="4"/>
      <c r="BNH2" s="4"/>
      <c r="BNI2" s="4"/>
      <c r="BNJ2" s="4"/>
      <c r="BNK2" s="4"/>
      <c r="BNL2" s="4"/>
      <c r="BNM2" s="4"/>
      <c r="BNN2" s="4"/>
      <c r="BNO2" s="4"/>
      <c r="BNP2" s="4"/>
      <c r="BNQ2" s="4"/>
      <c r="BNR2" s="4"/>
      <c r="BNS2" s="4"/>
      <c r="BNT2" s="4"/>
      <c r="BNU2" s="4"/>
      <c r="BNV2" s="4"/>
      <c r="BNW2" s="4"/>
      <c r="BNX2" s="4"/>
      <c r="BNY2" s="4"/>
      <c r="BNZ2" s="4"/>
      <c r="BOA2" s="4"/>
      <c r="BOB2" s="4"/>
      <c r="BOC2" s="4"/>
      <c r="BOD2" s="4"/>
      <c r="BOE2" s="4"/>
      <c r="BOF2" s="4"/>
      <c r="BOG2" s="4"/>
      <c r="BOH2" s="4"/>
      <c r="BOI2" s="4"/>
      <c r="BOJ2" s="4"/>
      <c r="BOK2" s="4"/>
      <c r="BOL2" s="4"/>
      <c r="BOM2" s="4"/>
      <c r="BON2" s="4"/>
      <c r="BOO2" s="4"/>
      <c r="BOP2" s="4"/>
      <c r="BOQ2" s="4"/>
      <c r="BOR2" s="4"/>
      <c r="BOS2" s="4"/>
      <c r="BOT2" s="4"/>
      <c r="BOU2" s="4"/>
      <c r="BOV2" s="4"/>
      <c r="BOW2" s="4"/>
      <c r="BOX2" s="4"/>
      <c r="BOY2" s="4"/>
      <c r="BOZ2" s="4"/>
      <c r="BPA2" s="4"/>
      <c r="BPB2" s="4"/>
      <c r="BPC2" s="4"/>
      <c r="BPD2" s="4"/>
      <c r="BPE2" s="4"/>
      <c r="BPF2" s="4"/>
      <c r="BPG2" s="4"/>
      <c r="BPH2" s="4"/>
      <c r="BPI2" s="4"/>
      <c r="BPJ2" s="4"/>
      <c r="BPK2" s="4"/>
      <c r="BPL2" s="4"/>
      <c r="BPM2" s="4"/>
      <c r="BPN2" s="4"/>
      <c r="BPO2" s="4"/>
      <c r="BPP2" s="4"/>
      <c r="BPQ2" s="4"/>
      <c r="BPR2" s="4"/>
      <c r="BPS2" s="4"/>
      <c r="BPT2" s="4"/>
      <c r="BPU2" s="4"/>
      <c r="BPV2" s="4"/>
      <c r="BPW2" s="4"/>
      <c r="BPX2" s="4"/>
      <c r="BPY2" s="4"/>
      <c r="BPZ2" s="4"/>
      <c r="BQA2" s="4"/>
      <c r="BQB2" s="4"/>
      <c r="BQC2" s="4"/>
      <c r="BQD2" s="4"/>
      <c r="BQE2" s="4"/>
      <c r="BQF2" s="4"/>
      <c r="BQG2" s="4"/>
      <c r="BQH2" s="4"/>
      <c r="BQI2" s="4"/>
      <c r="BQJ2" s="4"/>
      <c r="BQK2" s="4"/>
      <c r="BQL2" s="4"/>
      <c r="BQM2" s="4"/>
      <c r="BQN2" s="4"/>
      <c r="BQO2" s="4"/>
      <c r="BQP2" s="4"/>
      <c r="BQQ2" s="4"/>
      <c r="BQR2" s="4"/>
      <c r="BQS2" s="4"/>
      <c r="BQT2" s="4"/>
      <c r="BQU2" s="4"/>
      <c r="BQV2" s="4"/>
      <c r="BQW2" s="4"/>
      <c r="BQX2" s="4"/>
      <c r="BQY2" s="4"/>
      <c r="BQZ2" s="4"/>
      <c r="BRA2" s="4"/>
      <c r="BRB2" s="4"/>
      <c r="BRC2" s="4"/>
      <c r="BRD2" s="4"/>
      <c r="BRE2" s="4"/>
      <c r="BRF2" s="4"/>
      <c r="BRG2" s="4"/>
      <c r="BRH2" s="4"/>
      <c r="BRI2" s="4"/>
      <c r="BRJ2" s="4"/>
      <c r="BRK2" s="4"/>
      <c r="BRL2" s="4"/>
      <c r="BRM2" s="4"/>
      <c r="BRN2" s="4"/>
      <c r="BRO2" s="4"/>
      <c r="BRP2" s="4"/>
      <c r="BRQ2" s="4"/>
      <c r="BRR2" s="4"/>
      <c r="BRS2" s="4"/>
      <c r="BRT2" s="4"/>
      <c r="BRU2" s="4"/>
      <c r="BRV2" s="4"/>
      <c r="BRW2" s="4"/>
      <c r="BRX2" s="4"/>
      <c r="BRY2" s="4"/>
      <c r="BRZ2" s="4"/>
      <c r="BSA2" s="4"/>
      <c r="BSB2" s="4"/>
      <c r="BSC2" s="4"/>
      <c r="BSD2" s="4"/>
      <c r="BSE2" s="4"/>
      <c r="BSF2" s="4"/>
      <c r="BSG2" s="4"/>
      <c r="BSH2" s="4"/>
      <c r="BSI2" s="4"/>
      <c r="BSJ2" s="4"/>
      <c r="BSK2" s="4"/>
      <c r="BSL2" s="4"/>
      <c r="BSM2" s="4"/>
      <c r="BSN2" s="4"/>
      <c r="BSO2" s="4"/>
      <c r="BSP2" s="4"/>
      <c r="BSQ2" s="4"/>
      <c r="BSR2" s="4"/>
      <c r="BSS2" s="4"/>
      <c r="BST2" s="4"/>
      <c r="BSU2" s="4"/>
      <c r="BSV2" s="4"/>
      <c r="BSW2" s="4"/>
      <c r="BSX2" s="4"/>
      <c r="BSY2" s="4"/>
      <c r="BSZ2" s="4"/>
      <c r="BTA2" s="4"/>
      <c r="BTB2" s="4"/>
      <c r="BTC2" s="4"/>
      <c r="BTD2" s="4"/>
      <c r="BTE2" s="4"/>
      <c r="BTF2" s="4"/>
      <c r="BTG2" s="4"/>
      <c r="BTH2" s="4"/>
      <c r="BTI2" s="4"/>
      <c r="BTJ2" s="4"/>
      <c r="BTK2" s="4"/>
      <c r="BTL2" s="4"/>
      <c r="BTM2" s="4"/>
      <c r="BTN2" s="4"/>
      <c r="BTO2" s="4"/>
      <c r="BTP2" s="4"/>
      <c r="BTQ2" s="4"/>
      <c r="BTR2" s="4"/>
      <c r="BTS2" s="4"/>
      <c r="BTT2" s="4"/>
      <c r="BTU2" s="4"/>
      <c r="BTV2" s="4"/>
      <c r="BTW2" s="4"/>
      <c r="BTX2" s="4"/>
      <c r="BTY2" s="4"/>
      <c r="BTZ2" s="4"/>
      <c r="BUA2" s="4"/>
      <c r="BUB2" s="4"/>
      <c r="BUC2" s="4"/>
      <c r="BUD2" s="4"/>
      <c r="BUE2" s="4"/>
      <c r="BUF2" s="4"/>
      <c r="BUG2" s="4"/>
      <c r="BUH2" s="4"/>
      <c r="BUI2" s="4"/>
      <c r="BUJ2" s="4"/>
      <c r="BUK2" s="4"/>
      <c r="BUL2" s="4"/>
      <c r="BUM2" s="4"/>
      <c r="BUN2" s="4"/>
      <c r="BUO2" s="4"/>
      <c r="BUP2" s="4"/>
      <c r="BUQ2" s="4"/>
      <c r="BUR2" s="4"/>
      <c r="BUS2" s="4"/>
      <c r="BUT2" s="4"/>
      <c r="BUU2" s="4"/>
      <c r="BUV2" s="4"/>
      <c r="BUW2" s="4"/>
      <c r="BUX2" s="4"/>
      <c r="BUY2" s="4"/>
      <c r="BUZ2" s="4"/>
      <c r="BVA2" s="4"/>
      <c r="BVB2" s="4"/>
      <c r="BVC2" s="4"/>
      <c r="BVD2" s="4"/>
      <c r="BVE2" s="4"/>
      <c r="BVF2" s="4"/>
      <c r="BVG2" s="4"/>
      <c r="BVH2" s="4"/>
      <c r="BVI2" s="4"/>
      <c r="BVJ2" s="4"/>
      <c r="BVK2" s="4"/>
      <c r="BVL2" s="4"/>
      <c r="BVM2" s="4"/>
      <c r="BVN2" s="4"/>
      <c r="BVO2" s="4"/>
      <c r="BVP2" s="4"/>
      <c r="BVQ2" s="4"/>
      <c r="BVR2" s="4"/>
      <c r="BVS2" s="4"/>
      <c r="BVT2" s="4"/>
      <c r="BVU2" s="4"/>
      <c r="BVV2" s="4"/>
      <c r="BVW2" s="4"/>
      <c r="BVX2" s="4"/>
      <c r="BVY2" s="4"/>
      <c r="BVZ2" s="4"/>
      <c r="BWA2" s="4"/>
      <c r="BWB2" s="4"/>
      <c r="BWC2" s="4"/>
      <c r="BWD2" s="4"/>
      <c r="BWE2" s="4"/>
      <c r="BWF2" s="4"/>
      <c r="BWG2" s="4"/>
      <c r="BWH2" s="4"/>
      <c r="BWI2" s="4"/>
      <c r="BWJ2" s="4"/>
      <c r="BWK2" s="4"/>
      <c r="BWL2" s="4"/>
      <c r="BWM2" s="4"/>
      <c r="BWN2" s="4"/>
      <c r="BWO2" s="4"/>
      <c r="BWP2" s="4"/>
      <c r="BWQ2" s="4"/>
      <c r="BWR2" s="4"/>
      <c r="BWS2" s="4"/>
      <c r="BWT2" s="4"/>
      <c r="BWU2" s="4"/>
      <c r="BWV2" s="4"/>
      <c r="BWW2" s="4"/>
      <c r="BWX2" s="4"/>
      <c r="BWY2" s="4"/>
      <c r="BWZ2" s="4"/>
      <c r="BXA2" s="4"/>
      <c r="BXB2" s="4"/>
      <c r="BXC2" s="4"/>
      <c r="BXD2" s="4"/>
      <c r="BXE2" s="4"/>
      <c r="BXF2" s="4"/>
      <c r="BXG2" s="4"/>
      <c r="BXH2" s="4"/>
      <c r="BXI2" s="4"/>
      <c r="BXJ2" s="4"/>
      <c r="BXK2" s="4"/>
      <c r="BXL2" s="4"/>
      <c r="BXM2" s="4"/>
      <c r="BXN2" s="4"/>
      <c r="BXO2" s="4"/>
      <c r="BXP2" s="4"/>
      <c r="BXQ2" s="4"/>
      <c r="BXR2" s="4"/>
      <c r="BXS2" s="4"/>
      <c r="BXT2" s="4"/>
      <c r="BXU2" s="4"/>
      <c r="BXV2" s="4"/>
      <c r="BXW2" s="4"/>
      <c r="BXX2" s="4"/>
      <c r="BXY2" s="4"/>
      <c r="BXZ2" s="4"/>
      <c r="BYA2" s="4"/>
      <c r="BYB2" s="4"/>
      <c r="BYC2" s="4"/>
      <c r="BYD2" s="4"/>
      <c r="BYE2" s="4"/>
      <c r="BYF2" s="4"/>
      <c r="BYG2" s="4"/>
      <c r="BYH2" s="4"/>
      <c r="BYI2" s="4"/>
      <c r="BYJ2" s="4"/>
      <c r="BYK2" s="4"/>
      <c r="BYL2" s="4"/>
      <c r="BYM2" s="4"/>
      <c r="BYN2" s="4"/>
      <c r="BYO2" s="4"/>
      <c r="BYP2" s="4"/>
      <c r="BYQ2" s="4"/>
      <c r="BYR2" s="4"/>
      <c r="BYS2" s="4"/>
      <c r="BYT2" s="4"/>
      <c r="BYU2" s="4"/>
      <c r="BYV2" s="4"/>
      <c r="BYW2" s="4"/>
      <c r="BYX2" s="4"/>
      <c r="BYY2" s="4"/>
      <c r="BYZ2" s="4"/>
      <c r="BZA2" s="4"/>
      <c r="BZB2" s="4"/>
      <c r="BZC2" s="4"/>
      <c r="BZD2" s="4"/>
      <c r="BZE2" s="4"/>
      <c r="BZF2" s="4"/>
      <c r="BZG2" s="4"/>
      <c r="BZH2" s="4"/>
      <c r="BZI2" s="4"/>
      <c r="BZJ2" s="4"/>
      <c r="BZK2" s="4"/>
      <c r="BZL2" s="4"/>
      <c r="BZM2" s="4"/>
      <c r="BZN2" s="4"/>
      <c r="BZO2" s="4"/>
      <c r="BZP2" s="4"/>
      <c r="BZQ2" s="4"/>
      <c r="BZR2" s="4"/>
      <c r="BZS2" s="4"/>
      <c r="BZT2" s="4"/>
      <c r="BZU2" s="4"/>
      <c r="BZV2" s="4"/>
      <c r="BZW2" s="4"/>
      <c r="BZX2" s="4"/>
      <c r="BZY2" s="4"/>
      <c r="BZZ2" s="4"/>
      <c r="CAA2" s="4"/>
      <c r="CAB2" s="4"/>
      <c r="CAC2" s="4"/>
      <c r="CAD2" s="4"/>
      <c r="CAE2" s="4"/>
      <c r="CAF2" s="4"/>
      <c r="CAG2" s="4"/>
      <c r="CAH2" s="4"/>
      <c r="CAI2" s="4"/>
      <c r="CAJ2" s="4"/>
      <c r="CAK2" s="4"/>
      <c r="CAL2" s="4"/>
      <c r="CAM2" s="4"/>
      <c r="CAN2" s="4"/>
      <c r="CAO2" s="4"/>
      <c r="CAP2" s="4"/>
      <c r="CAQ2" s="4"/>
      <c r="CAR2" s="4"/>
      <c r="CAS2" s="4"/>
      <c r="CAT2" s="4"/>
      <c r="CAU2" s="4"/>
      <c r="CAV2" s="4"/>
      <c r="CAW2" s="4"/>
      <c r="CAX2" s="4"/>
      <c r="CAY2" s="4"/>
      <c r="CAZ2" s="4"/>
      <c r="CBA2" s="4"/>
      <c r="CBB2" s="4"/>
      <c r="CBC2" s="4"/>
      <c r="CBD2" s="4"/>
      <c r="CBE2" s="4"/>
      <c r="CBF2" s="4"/>
      <c r="CBG2" s="4"/>
      <c r="CBH2" s="4"/>
      <c r="CBI2" s="4"/>
      <c r="CBJ2" s="4"/>
      <c r="CBK2" s="4"/>
      <c r="CBL2" s="4"/>
      <c r="CBM2" s="4"/>
      <c r="CBN2" s="4"/>
      <c r="CBO2" s="4"/>
      <c r="CBP2" s="4"/>
      <c r="CBQ2" s="4"/>
      <c r="CBR2" s="4"/>
      <c r="CBS2" s="4"/>
      <c r="CBT2" s="4"/>
      <c r="CBU2" s="4"/>
      <c r="CBV2" s="4"/>
      <c r="CBW2" s="4"/>
      <c r="CBX2" s="4"/>
      <c r="CBY2" s="4"/>
      <c r="CBZ2" s="4"/>
      <c r="CCA2" s="4"/>
      <c r="CCB2" s="4"/>
      <c r="CCC2" s="4"/>
      <c r="CCD2" s="4"/>
      <c r="CCE2" s="4"/>
      <c r="CCF2" s="4"/>
      <c r="CCG2" s="4"/>
      <c r="CCH2" s="4"/>
      <c r="CCI2" s="4"/>
      <c r="CCJ2" s="4"/>
      <c r="CCK2" s="4"/>
      <c r="CCL2" s="4"/>
      <c r="CCM2" s="4"/>
      <c r="CCN2" s="4"/>
      <c r="CCO2" s="4"/>
      <c r="CCP2" s="4"/>
      <c r="CCQ2" s="4"/>
      <c r="CCR2" s="4"/>
      <c r="CCS2" s="4"/>
      <c r="CCT2" s="4"/>
      <c r="CCU2" s="4"/>
      <c r="CCV2" s="4"/>
      <c r="CCW2" s="4"/>
      <c r="CCX2" s="4"/>
      <c r="CCY2" s="4"/>
      <c r="CCZ2" s="4"/>
      <c r="CDA2" s="4"/>
      <c r="CDB2" s="4"/>
      <c r="CDC2" s="4"/>
      <c r="CDD2" s="4"/>
      <c r="CDE2" s="4"/>
      <c r="CDF2" s="4"/>
      <c r="CDG2" s="4"/>
      <c r="CDH2" s="4"/>
      <c r="CDI2" s="4"/>
      <c r="CDJ2" s="4"/>
      <c r="CDK2" s="4"/>
      <c r="CDL2" s="4"/>
      <c r="CDM2" s="4"/>
      <c r="CDN2" s="4"/>
      <c r="CDO2" s="4"/>
      <c r="CDP2" s="4"/>
      <c r="CDQ2" s="4"/>
      <c r="CDR2" s="4"/>
      <c r="CDS2" s="4"/>
      <c r="CDT2" s="4"/>
      <c r="CDU2" s="4"/>
      <c r="CDV2" s="4"/>
      <c r="CDW2" s="4"/>
      <c r="CDX2" s="4"/>
      <c r="CDY2" s="4"/>
      <c r="CDZ2" s="4"/>
      <c r="CEA2" s="4"/>
      <c r="CEB2" s="4"/>
      <c r="CEC2" s="4"/>
      <c r="CED2" s="4"/>
      <c r="CEE2" s="4"/>
      <c r="CEF2" s="4"/>
      <c r="CEG2" s="4"/>
      <c r="CEH2" s="4"/>
      <c r="CEI2" s="4"/>
      <c r="CEJ2" s="4"/>
      <c r="CEK2" s="4"/>
      <c r="CEL2" s="4"/>
      <c r="CEM2" s="4"/>
      <c r="CEN2" s="4"/>
      <c r="CEO2" s="4"/>
      <c r="CEP2" s="4"/>
      <c r="CEQ2" s="4"/>
      <c r="CER2" s="4"/>
      <c r="CES2" s="4"/>
      <c r="CET2" s="4"/>
      <c r="CEU2" s="4"/>
      <c r="CEV2" s="4"/>
      <c r="CEW2" s="4"/>
      <c r="CEX2" s="4"/>
      <c r="CEY2" s="4"/>
      <c r="CEZ2" s="4"/>
      <c r="CFA2" s="4"/>
      <c r="CFB2" s="4"/>
      <c r="CFC2" s="4"/>
      <c r="CFD2" s="4"/>
      <c r="CFE2" s="4"/>
      <c r="CFF2" s="4"/>
      <c r="CFG2" s="4"/>
      <c r="CFH2" s="4"/>
      <c r="CFI2" s="4"/>
      <c r="CFJ2" s="4"/>
      <c r="CFK2" s="4"/>
      <c r="CFL2" s="4"/>
      <c r="CFM2" s="4"/>
      <c r="CFN2" s="4"/>
      <c r="CFO2" s="4"/>
      <c r="CFP2" s="4"/>
      <c r="CFQ2" s="4"/>
      <c r="CFR2" s="4"/>
      <c r="CFS2" s="4"/>
      <c r="CFT2" s="4"/>
      <c r="CFU2" s="4"/>
      <c r="CFV2" s="4"/>
      <c r="CFW2" s="4"/>
      <c r="CFX2" s="4"/>
      <c r="CFY2" s="4"/>
      <c r="CFZ2" s="4"/>
      <c r="CGA2" s="4"/>
      <c r="CGB2" s="4"/>
      <c r="CGC2" s="4"/>
      <c r="CGD2" s="4"/>
      <c r="CGE2" s="4"/>
      <c r="CGF2" s="4"/>
      <c r="CGG2" s="4"/>
      <c r="CGH2" s="4"/>
      <c r="CGI2" s="4"/>
      <c r="CGJ2" s="4"/>
      <c r="CGK2" s="4"/>
      <c r="CGL2" s="4"/>
      <c r="CGM2" s="4"/>
      <c r="CGN2" s="4"/>
      <c r="CGO2" s="4"/>
      <c r="CGP2" s="4"/>
      <c r="CGQ2" s="4"/>
      <c r="CGR2" s="4"/>
      <c r="CGS2" s="4"/>
      <c r="CGT2" s="4"/>
      <c r="CGU2" s="4"/>
      <c r="CGV2" s="4"/>
      <c r="CGW2" s="4"/>
      <c r="CGX2" s="4"/>
      <c r="CGY2" s="4"/>
      <c r="CGZ2" s="4"/>
      <c r="CHA2" s="4"/>
      <c r="CHB2" s="4"/>
      <c r="CHC2" s="4"/>
      <c r="CHD2" s="4"/>
      <c r="CHE2" s="4"/>
      <c r="CHF2" s="4"/>
      <c r="CHG2" s="4"/>
      <c r="CHH2" s="4"/>
      <c r="CHI2" s="4"/>
      <c r="CHJ2" s="4"/>
      <c r="CHK2" s="4"/>
      <c r="CHL2" s="4"/>
      <c r="CHM2" s="4"/>
      <c r="CHN2" s="4"/>
      <c r="CHO2" s="4"/>
      <c r="CHP2" s="4"/>
      <c r="CHQ2" s="4"/>
      <c r="CHR2" s="4"/>
      <c r="CHS2" s="4"/>
      <c r="CHT2" s="4"/>
      <c r="CHU2" s="4"/>
      <c r="CHV2" s="4"/>
      <c r="CHW2" s="4"/>
      <c r="CHX2" s="4"/>
      <c r="CHY2" s="4"/>
      <c r="CHZ2" s="4"/>
      <c r="CIA2" s="4"/>
      <c r="CIB2" s="4"/>
      <c r="CIC2" s="4"/>
      <c r="CID2" s="4"/>
      <c r="CIE2" s="4"/>
      <c r="CIF2" s="4"/>
      <c r="CIG2" s="4"/>
      <c r="CIH2" s="4"/>
      <c r="CII2" s="4"/>
      <c r="CIJ2" s="4"/>
      <c r="CIK2" s="4"/>
      <c r="CIL2" s="4"/>
      <c r="CIM2" s="4"/>
      <c r="CIN2" s="4"/>
      <c r="CIO2" s="4"/>
      <c r="CIP2" s="4"/>
      <c r="CIQ2" s="4"/>
      <c r="CIR2" s="4"/>
      <c r="CIS2" s="4"/>
      <c r="CIT2" s="4"/>
      <c r="CIU2" s="4"/>
      <c r="CIV2" s="4"/>
      <c r="CIW2" s="4"/>
      <c r="CIX2" s="4"/>
      <c r="CIY2" s="4"/>
      <c r="CIZ2" s="4"/>
      <c r="CJA2" s="4"/>
      <c r="CJB2" s="4"/>
      <c r="CJC2" s="4"/>
      <c r="CJD2" s="4"/>
      <c r="CJE2" s="4"/>
      <c r="CJF2" s="4"/>
      <c r="CJG2" s="4"/>
      <c r="CJH2" s="4"/>
      <c r="CJI2" s="4"/>
      <c r="CJJ2" s="4"/>
      <c r="CJK2" s="4"/>
      <c r="CJL2" s="4"/>
      <c r="CJM2" s="4"/>
      <c r="CJN2" s="4"/>
      <c r="CJO2" s="4"/>
      <c r="CJP2" s="4"/>
      <c r="CJQ2" s="4"/>
      <c r="CJR2" s="4"/>
      <c r="CJS2" s="4"/>
      <c r="CJT2" s="4"/>
      <c r="CJU2" s="4"/>
      <c r="CJV2" s="4"/>
      <c r="CJW2" s="4"/>
      <c r="CJX2" s="4"/>
      <c r="CJY2" s="4"/>
      <c r="CJZ2" s="4"/>
      <c r="CKA2" s="4"/>
      <c r="CKB2" s="4"/>
      <c r="CKC2" s="4"/>
      <c r="CKD2" s="4"/>
      <c r="CKE2" s="4"/>
      <c r="CKF2" s="4"/>
      <c r="CKG2" s="4"/>
      <c r="CKH2" s="4"/>
      <c r="CKI2" s="4"/>
      <c r="CKJ2" s="4"/>
      <c r="CKK2" s="4"/>
      <c r="CKL2" s="4"/>
      <c r="CKM2" s="4"/>
      <c r="CKN2" s="4"/>
      <c r="CKO2" s="4"/>
      <c r="CKP2" s="4"/>
      <c r="CKQ2" s="4"/>
      <c r="CKR2" s="4"/>
      <c r="CKS2" s="4"/>
      <c r="CKT2" s="4"/>
      <c r="CKU2" s="4"/>
      <c r="CKV2" s="4"/>
      <c r="CKW2" s="4"/>
      <c r="CKX2" s="4"/>
      <c r="CKY2" s="4"/>
      <c r="CKZ2" s="4"/>
      <c r="CLA2" s="4"/>
      <c r="CLB2" s="4"/>
      <c r="CLC2" s="4"/>
      <c r="CLD2" s="4"/>
      <c r="CLE2" s="4"/>
      <c r="CLF2" s="4"/>
      <c r="CLG2" s="4"/>
      <c r="CLH2" s="4"/>
      <c r="CLI2" s="4"/>
      <c r="CLJ2" s="4"/>
      <c r="CLK2" s="4"/>
      <c r="CLL2" s="4"/>
      <c r="CLM2" s="4"/>
      <c r="CLN2" s="4"/>
      <c r="CLO2" s="4"/>
      <c r="CLP2" s="4"/>
      <c r="CLQ2" s="4"/>
      <c r="CLR2" s="4"/>
      <c r="CLS2" s="4"/>
      <c r="CLT2" s="4"/>
      <c r="CLU2" s="4"/>
      <c r="CLV2" s="4"/>
      <c r="CLW2" s="4"/>
      <c r="CLX2" s="4"/>
      <c r="CLY2" s="4"/>
      <c r="CLZ2" s="4"/>
      <c r="CMA2" s="4"/>
      <c r="CMB2" s="4"/>
      <c r="CMC2" s="4"/>
      <c r="CMD2" s="4"/>
      <c r="CME2" s="4"/>
      <c r="CMF2" s="4"/>
      <c r="CMG2" s="4"/>
      <c r="CMH2" s="4"/>
      <c r="CMI2" s="4"/>
      <c r="CMJ2" s="4"/>
      <c r="CMK2" s="4"/>
      <c r="CML2" s="4"/>
      <c r="CMM2" s="4"/>
      <c r="CMN2" s="4"/>
      <c r="CMO2" s="4"/>
      <c r="CMP2" s="4"/>
      <c r="CMQ2" s="4"/>
      <c r="CMR2" s="4"/>
      <c r="CMS2" s="4"/>
      <c r="CMT2" s="4"/>
      <c r="CMU2" s="4"/>
      <c r="CMV2" s="4"/>
      <c r="CMW2" s="4"/>
      <c r="CMX2" s="4"/>
      <c r="CMY2" s="4"/>
      <c r="CMZ2" s="4"/>
      <c r="CNA2" s="4"/>
      <c r="CNB2" s="4"/>
      <c r="CNC2" s="4"/>
      <c r="CND2" s="4"/>
      <c r="CNE2" s="4"/>
      <c r="CNF2" s="4"/>
      <c r="CNG2" s="4"/>
      <c r="CNH2" s="4"/>
      <c r="CNI2" s="4"/>
      <c r="CNJ2" s="4"/>
      <c r="CNK2" s="4"/>
      <c r="CNL2" s="4"/>
      <c r="CNM2" s="4"/>
      <c r="CNN2" s="4"/>
      <c r="CNO2" s="4"/>
      <c r="CNP2" s="4"/>
      <c r="CNQ2" s="4"/>
      <c r="CNR2" s="4"/>
      <c r="CNS2" s="4"/>
      <c r="CNT2" s="4"/>
      <c r="CNU2" s="4"/>
      <c r="CNV2" s="4"/>
      <c r="CNW2" s="4"/>
      <c r="CNX2" s="4"/>
      <c r="CNY2" s="4"/>
      <c r="CNZ2" s="4"/>
      <c r="COA2" s="4"/>
      <c r="COB2" s="4"/>
      <c r="COC2" s="4"/>
      <c r="COD2" s="4"/>
      <c r="COE2" s="4"/>
      <c r="COF2" s="4"/>
      <c r="COG2" s="4"/>
      <c r="COH2" s="4"/>
      <c r="COI2" s="4"/>
      <c r="COJ2" s="4"/>
      <c r="COK2" s="4"/>
      <c r="COL2" s="4"/>
      <c r="COM2" s="4"/>
      <c r="CON2" s="4"/>
      <c r="COO2" s="4"/>
      <c r="COP2" s="4"/>
      <c r="COQ2" s="4"/>
      <c r="COR2" s="4"/>
      <c r="COS2" s="4"/>
      <c r="COT2" s="4"/>
      <c r="COU2" s="4"/>
      <c r="COV2" s="4"/>
      <c r="COW2" s="4"/>
      <c r="COX2" s="4"/>
      <c r="COY2" s="4"/>
      <c r="COZ2" s="4"/>
      <c r="CPA2" s="4"/>
      <c r="CPB2" s="4"/>
      <c r="CPC2" s="4"/>
      <c r="CPD2" s="4"/>
      <c r="CPE2" s="4"/>
      <c r="CPF2" s="4"/>
      <c r="CPG2" s="4"/>
      <c r="CPH2" s="4"/>
      <c r="CPI2" s="4"/>
      <c r="CPJ2" s="4"/>
      <c r="CPK2" s="4"/>
      <c r="CPL2" s="4"/>
      <c r="CPM2" s="4"/>
      <c r="CPN2" s="4"/>
      <c r="CPO2" s="4"/>
      <c r="CPP2" s="4"/>
      <c r="CPQ2" s="4"/>
      <c r="CPR2" s="4"/>
      <c r="CPS2" s="4"/>
      <c r="CPT2" s="4"/>
      <c r="CPU2" s="4"/>
      <c r="CPV2" s="4"/>
      <c r="CPW2" s="4"/>
      <c r="CPX2" s="4"/>
      <c r="CPY2" s="4"/>
      <c r="CPZ2" s="4"/>
      <c r="CQA2" s="4"/>
      <c r="CQB2" s="4"/>
      <c r="CQC2" s="4"/>
      <c r="CQD2" s="4"/>
      <c r="CQE2" s="4"/>
      <c r="CQF2" s="4"/>
      <c r="CQG2" s="4"/>
      <c r="CQH2" s="4"/>
      <c r="CQI2" s="4"/>
      <c r="CQJ2" s="4"/>
      <c r="CQK2" s="4"/>
      <c r="CQL2" s="4"/>
      <c r="CQM2" s="4"/>
      <c r="CQN2" s="4"/>
      <c r="CQO2" s="4"/>
      <c r="CQP2" s="4"/>
      <c r="CQQ2" s="4"/>
      <c r="CQR2" s="4"/>
      <c r="CQS2" s="4"/>
      <c r="CQT2" s="4"/>
      <c r="CQU2" s="4"/>
      <c r="CQV2" s="4"/>
      <c r="CQW2" s="4"/>
      <c r="CQX2" s="4"/>
      <c r="CQY2" s="4"/>
      <c r="CQZ2" s="4"/>
      <c r="CRA2" s="4"/>
      <c r="CRB2" s="4"/>
      <c r="CRC2" s="4"/>
      <c r="CRD2" s="4"/>
      <c r="CRE2" s="4"/>
      <c r="CRF2" s="4"/>
      <c r="CRG2" s="4"/>
      <c r="CRH2" s="4"/>
      <c r="CRI2" s="4"/>
      <c r="CRJ2" s="4"/>
      <c r="CRK2" s="4"/>
      <c r="CRL2" s="4"/>
      <c r="CRM2" s="4"/>
      <c r="CRN2" s="4"/>
      <c r="CRO2" s="4"/>
      <c r="CRP2" s="4"/>
      <c r="CRQ2" s="4"/>
      <c r="CRR2" s="4"/>
      <c r="CRS2" s="4"/>
      <c r="CRT2" s="4"/>
      <c r="CRU2" s="4"/>
      <c r="CRV2" s="4"/>
      <c r="CRW2" s="4"/>
      <c r="CRX2" s="4"/>
      <c r="CRY2" s="4"/>
      <c r="CRZ2" s="4"/>
      <c r="CSA2" s="4"/>
      <c r="CSB2" s="4"/>
      <c r="CSC2" s="4"/>
      <c r="CSD2" s="4"/>
      <c r="CSE2" s="4"/>
      <c r="CSF2" s="4"/>
      <c r="CSG2" s="4"/>
      <c r="CSH2" s="4"/>
      <c r="CSI2" s="4"/>
      <c r="CSJ2" s="4"/>
      <c r="CSK2" s="4"/>
      <c r="CSL2" s="4"/>
      <c r="CSM2" s="4"/>
      <c r="CSN2" s="4"/>
      <c r="CSO2" s="4"/>
      <c r="CSP2" s="4"/>
      <c r="CSQ2" s="4"/>
      <c r="CSR2" s="4"/>
      <c r="CSS2" s="4"/>
      <c r="CST2" s="4"/>
      <c r="CSU2" s="4"/>
      <c r="CSV2" s="4"/>
      <c r="CSW2" s="4"/>
      <c r="CSX2" s="4"/>
      <c r="CSY2" s="4"/>
      <c r="CSZ2" s="4"/>
      <c r="CTA2" s="4"/>
      <c r="CTB2" s="4"/>
      <c r="CTC2" s="4"/>
      <c r="CTD2" s="4"/>
      <c r="CTE2" s="4"/>
      <c r="CTF2" s="4"/>
      <c r="CTG2" s="4"/>
      <c r="CTH2" s="4"/>
      <c r="CTI2" s="4"/>
      <c r="CTJ2" s="4"/>
      <c r="CTK2" s="4"/>
      <c r="CTL2" s="4"/>
      <c r="CTM2" s="4"/>
      <c r="CTN2" s="4"/>
      <c r="CTO2" s="4"/>
      <c r="CTP2" s="4"/>
      <c r="CTQ2" s="4"/>
      <c r="CTR2" s="4"/>
      <c r="CTS2" s="4"/>
      <c r="CTT2" s="4"/>
      <c r="CTU2" s="4"/>
      <c r="CTV2" s="4"/>
      <c r="CTW2" s="4"/>
      <c r="CTX2" s="4"/>
      <c r="CTY2" s="4"/>
      <c r="CTZ2" s="4"/>
      <c r="CUA2" s="4"/>
      <c r="CUB2" s="4"/>
      <c r="CUC2" s="4"/>
      <c r="CUD2" s="4"/>
      <c r="CUE2" s="4"/>
      <c r="CUF2" s="4"/>
      <c r="CUG2" s="4"/>
      <c r="CUH2" s="4"/>
      <c r="CUI2" s="4"/>
      <c r="CUJ2" s="4"/>
      <c r="CUK2" s="4"/>
      <c r="CUL2" s="4"/>
      <c r="CUM2" s="4"/>
      <c r="CUN2" s="4"/>
      <c r="CUO2" s="4"/>
      <c r="CUP2" s="4"/>
      <c r="CUQ2" s="4"/>
      <c r="CUR2" s="4"/>
      <c r="CUS2" s="4"/>
      <c r="CUT2" s="4"/>
      <c r="CUU2" s="4"/>
      <c r="CUV2" s="4"/>
      <c r="CUW2" s="4"/>
      <c r="CUX2" s="4"/>
      <c r="CUY2" s="4"/>
      <c r="CUZ2" s="4"/>
      <c r="CVA2" s="4"/>
      <c r="CVB2" s="4"/>
      <c r="CVC2" s="4"/>
      <c r="CVD2" s="4"/>
      <c r="CVE2" s="4"/>
      <c r="CVF2" s="4"/>
      <c r="CVG2" s="4"/>
      <c r="CVH2" s="4"/>
      <c r="CVI2" s="4"/>
      <c r="CVJ2" s="4"/>
      <c r="CVK2" s="4"/>
      <c r="CVL2" s="4"/>
      <c r="CVM2" s="4"/>
      <c r="CVN2" s="4"/>
      <c r="CVO2" s="4"/>
      <c r="CVP2" s="4"/>
      <c r="CVQ2" s="4"/>
      <c r="CVR2" s="4"/>
      <c r="CVS2" s="4"/>
      <c r="CVT2" s="4"/>
      <c r="CVU2" s="4"/>
      <c r="CVV2" s="4"/>
      <c r="CVW2" s="4"/>
      <c r="CVX2" s="4"/>
      <c r="CVY2" s="4"/>
      <c r="CVZ2" s="4"/>
      <c r="CWA2" s="4"/>
      <c r="CWB2" s="4"/>
      <c r="CWC2" s="4"/>
      <c r="CWD2" s="4"/>
      <c r="CWE2" s="4"/>
      <c r="CWF2" s="4"/>
      <c r="CWG2" s="4"/>
      <c r="CWH2" s="4"/>
      <c r="CWI2" s="4"/>
      <c r="CWJ2" s="4"/>
      <c r="CWK2" s="4"/>
      <c r="CWL2" s="4"/>
      <c r="CWM2" s="4"/>
      <c r="CWN2" s="4"/>
      <c r="CWO2" s="4"/>
      <c r="CWP2" s="4"/>
      <c r="CWQ2" s="4"/>
      <c r="CWR2" s="4"/>
      <c r="CWS2" s="4"/>
      <c r="CWT2" s="4"/>
      <c r="CWU2" s="4"/>
      <c r="CWV2" s="4"/>
      <c r="CWW2" s="4"/>
      <c r="CWX2" s="4"/>
      <c r="CWY2" s="4"/>
      <c r="CWZ2" s="4"/>
      <c r="CXA2" s="4"/>
      <c r="CXB2" s="4"/>
      <c r="CXC2" s="4"/>
      <c r="CXD2" s="4"/>
      <c r="CXE2" s="4"/>
      <c r="CXF2" s="4"/>
      <c r="CXG2" s="4"/>
      <c r="CXH2" s="4"/>
      <c r="CXI2" s="4"/>
      <c r="CXJ2" s="4"/>
      <c r="CXK2" s="4"/>
      <c r="CXL2" s="4"/>
      <c r="CXM2" s="4"/>
      <c r="CXN2" s="4"/>
      <c r="CXO2" s="4"/>
      <c r="CXP2" s="4"/>
      <c r="CXQ2" s="4"/>
      <c r="CXR2" s="4"/>
      <c r="CXS2" s="4"/>
      <c r="CXT2" s="4"/>
      <c r="CXU2" s="4"/>
      <c r="CXV2" s="4"/>
      <c r="CXW2" s="4"/>
      <c r="CXX2" s="4"/>
      <c r="CXY2" s="4"/>
      <c r="CXZ2" s="4"/>
      <c r="CYA2" s="4"/>
      <c r="CYB2" s="4"/>
      <c r="CYC2" s="4"/>
      <c r="CYD2" s="4"/>
      <c r="CYE2" s="4"/>
      <c r="CYF2" s="4"/>
      <c r="CYG2" s="4"/>
      <c r="CYH2" s="4"/>
      <c r="CYI2" s="4"/>
      <c r="CYJ2" s="4"/>
      <c r="CYK2" s="4"/>
      <c r="CYL2" s="4"/>
      <c r="CYM2" s="4"/>
      <c r="CYN2" s="4"/>
      <c r="CYO2" s="4"/>
      <c r="CYP2" s="4"/>
      <c r="CYQ2" s="4"/>
      <c r="CYR2" s="4"/>
      <c r="CYS2" s="4"/>
      <c r="CYT2" s="4"/>
      <c r="CYU2" s="4"/>
      <c r="CYV2" s="4"/>
      <c r="CYW2" s="4"/>
      <c r="CYX2" s="4"/>
      <c r="CYY2" s="4"/>
      <c r="CYZ2" s="4"/>
      <c r="CZA2" s="4"/>
      <c r="CZB2" s="4"/>
      <c r="CZC2" s="4"/>
      <c r="CZD2" s="4"/>
      <c r="CZE2" s="4"/>
      <c r="CZF2" s="4"/>
      <c r="CZG2" s="4"/>
      <c r="CZH2" s="4"/>
      <c r="CZI2" s="4"/>
      <c r="CZJ2" s="4"/>
      <c r="CZK2" s="4"/>
      <c r="CZL2" s="4"/>
      <c r="CZM2" s="4"/>
      <c r="CZN2" s="4"/>
      <c r="CZO2" s="4"/>
      <c r="CZP2" s="4"/>
      <c r="CZQ2" s="4"/>
      <c r="CZR2" s="4"/>
      <c r="CZS2" s="4"/>
      <c r="CZT2" s="4"/>
      <c r="CZU2" s="4"/>
      <c r="CZV2" s="4"/>
      <c r="CZW2" s="4"/>
      <c r="CZX2" s="4"/>
      <c r="CZY2" s="4"/>
      <c r="CZZ2" s="4"/>
      <c r="DAA2" s="4"/>
      <c r="DAB2" s="4"/>
      <c r="DAC2" s="4"/>
      <c r="DAD2" s="4"/>
      <c r="DAE2" s="4"/>
      <c r="DAF2" s="4"/>
      <c r="DAG2" s="4"/>
      <c r="DAH2" s="4"/>
      <c r="DAI2" s="4"/>
      <c r="DAJ2" s="4"/>
      <c r="DAK2" s="4"/>
      <c r="DAL2" s="4"/>
      <c r="DAM2" s="4"/>
      <c r="DAN2" s="4"/>
      <c r="DAO2" s="4"/>
      <c r="DAP2" s="4"/>
      <c r="DAQ2" s="4"/>
      <c r="DAR2" s="4"/>
      <c r="DAS2" s="4"/>
      <c r="DAT2" s="4"/>
      <c r="DAU2" s="4"/>
      <c r="DAV2" s="4"/>
      <c r="DAW2" s="4"/>
      <c r="DAX2" s="4"/>
      <c r="DAY2" s="4"/>
      <c r="DAZ2" s="4"/>
      <c r="DBA2" s="4"/>
      <c r="DBB2" s="4"/>
      <c r="DBC2" s="4"/>
      <c r="DBD2" s="4"/>
      <c r="DBE2" s="4"/>
      <c r="DBF2" s="4"/>
      <c r="DBG2" s="4"/>
      <c r="DBH2" s="4"/>
      <c r="DBI2" s="4"/>
      <c r="DBJ2" s="4"/>
      <c r="DBK2" s="4"/>
      <c r="DBL2" s="4"/>
      <c r="DBM2" s="4"/>
      <c r="DBN2" s="4"/>
      <c r="DBO2" s="4"/>
      <c r="DBP2" s="4"/>
      <c r="DBQ2" s="4"/>
      <c r="DBR2" s="4"/>
      <c r="DBS2" s="4"/>
      <c r="DBT2" s="4"/>
      <c r="DBU2" s="4"/>
      <c r="DBV2" s="4"/>
      <c r="DBW2" s="4"/>
      <c r="DBX2" s="4"/>
      <c r="DBY2" s="4"/>
      <c r="DBZ2" s="4"/>
      <c r="DCA2" s="4"/>
      <c r="DCB2" s="4"/>
      <c r="DCC2" s="4"/>
      <c r="DCD2" s="4"/>
      <c r="DCE2" s="4"/>
      <c r="DCF2" s="4"/>
      <c r="DCG2" s="4"/>
      <c r="DCH2" s="4"/>
      <c r="DCI2" s="4"/>
      <c r="DCJ2" s="4"/>
      <c r="DCK2" s="4"/>
      <c r="DCL2" s="4"/>
      <c r="DCM2" s="4"/>
      <c r="DCN2" s="4"/>
      <c r="DCO2" s="4"/>
      <c r="DCP2" s="4"/>
      <c r="DCQ2" s="4"/>
      <c r="DCR2" s="4"/>
      <c r="DCS2" s="4"/>
      <c r="DCT2" s="4"/>
      <c r="DCU2" s="4"/>
      <c r="DCV2" s="4"/>
      <c r="DCW2" s="4"/>
      <c r="DCX2" s="4"/>
      <c r="DCY2" s="4"/>
      <c r="DCZ2" s="4"/>
      <c r="DDA2" s="4"/>
      <c r="DDB2" s="4"/>
      <c r="DDC2" s="4"/>
      <c r="DDD2" s="4"/>
      <c r="DDE2" s="4"/>
      <c r="DDF2" s="4"/>
      <c r="DDG2" s="4"/>
      <c r="DDH2" s="4"/>
      <c r="DDI2" s="4"/>
      <c r="DDJ2" s="4"/>
      <c r="DDK2" s="4"/>
      <c r="DDL2" s="4"/>
      <c r="DDM2" s="4"/>
      <c r="DDN2" s="4"/>
      <c r="DDO2" s="4"/>
      <c r="DDP2" s="4"/>
      <c r="DDQ2" s="4"/>
      <c r="DDR2" s="4"/>
      <c r="DDS2" s="4"/>
      <c r="DDT2" s="4"/>
      <c r="DDU2" s="4"/>
      <c r="DDV2" s="4"/>
      <c r="DDW2" s="4"/>
      <c r="DDX2" s="4"/>
      <c r="DDY2" s="4"/>
      <c r="DDZ2" s="4"/>
      <c r="DEA2" s="4"/>
      <c r="DEB2" s="4"/>
      <c r="DEC2" s="4"/>
      <c r="DED2" s="4"/>
      <c r="DEE2" s="4"/>
      <c r="DEF2" s="4"/>
      <c r="DEG2" s="4"/>
      <c r="DEH2" s="4"/>
      <c r="DEI2" s="4"/>
      <c r="DEJ2" s="4"/>
      <c r="DEK2" s="4"/>
      <c r="DEL2" s="4"/>
      <c r="DEM2" s="4"/>
      <c r="DEN2" s="4"/>
      <c r="DEO2" s="4"/>
      <c r="DEP2" s="4"/>
      <c r="DEQ2" s="4"/>
      <c r="DER2" s="4"/>
      <c r="DES2" s="4"/>
      <c r="DET2" s="4"/>
      <c r="DEU2" s="4"/>
      <c r="DEV2" s="4"/>
      <c r="DEW2" s="4"/>
      <c r="DEX2" s="4"/>
      <c r="DEY2" s="4"/>
      <c r="DEZ2" s="4"/>
      <c r="DFA2" s="4"/>
      <c r="DFB2" s="4"/>
      <c r="DFC2" s="4"/>
      <c r="DFD2" s="4"/>
      <c r="DFE2" s="4"/>
      <c r="DFF2" s="4"/>
      <c r="DFG2" s="4"/>
      <c r="DFH2" s="4"/>
      <c r="DFI2" s="4"/>
      <c r="DFJ2" s="4"/>
      <c r="DFK2" s="4"/>
      <c r="DFL2" s="4"/>
      <c r="DFM2" s="4"/>
      <c r="DFN2" s="4"/>
      <c r="DFO2" s="4"/>
      <c r="DFP2" s="4"/>
      <c r="DFQ2" s="4"/>
      <c r="DFR2" s="4"/>
      <c r="DFS2" s="4"/>
      <c r="DFT2" s="4"/>
      <c r="DFU2" s="4"/>
      <c r="DFV2" s="4"/>
      <c r="DFW2" s="4"/>
      <c r="DFX2" s="4"/>
      <c r="DFY2" s="4"/>
      <c r="DFZ2" s="4"/>
      <c r="DGA2" s="4"/>
      <c r="DGB2" s="4"/>
      <c r="DGC2" s="4"/>
      <c r="DGD2" s="4"/>
      <c r="DGE2" s="4"/>
      <c r="DGF2" s="4"/>
      <c r="DGG2" s="4"/>
      <c r="DGH2" s="4"/>
      <c r="DGI2" s="4"/>
      <c r="DGJ2" s="4"/>
      <c r="DGK2" s="4"/>
      <c r="DGL2" s="4"/>
      <c r="DGM2" s="4"/>
      <c r="DGN2" s="4"/>
      <c r="DGO2" s="4"/>
      <c r="DGP2" s="4"/>
      <c r="DGQ2" s="4"/>
      <c r="DGR2" s="4"/>
      <c r="DGS2" s="4"/>
      <c r="DGT2" s="4"/>
      <c r="DGU2" s="4"/>
      <c r="DGV2" s="4"/>
      <c r="DGW2" s="4"/>
      <c r="DGX2" s="4"/>
      <c r="DGY2" s="4"/>
      <c r="DGZ2" s="4"/>
      <c r="DHA2" s="4"/>
      <c r="DHB2" s="4"/>
      <c r="DHC2" s="4"/>
      <c r="DHD2" s="4"/>
      <c r="DHE2" s="4"/>
      <c r="DHF2" s="4"/>
      <c r="DHG2" s="4"/>
      <c r="DHH2" s="4"/>
      <c r="DHI2" s="4"/>
      <c r="DHJ2" s="4"/>
      <c r="DHK2" s="4"/>
      <c r="DHL2" s="4"/>
      <c r="DHM2" s="4"/>
      <c r="DHN2" s="4"/>
      <c r="DHO2" s="4"/>
      <c r="DHP2" s="4"/>
      <c r="DHQ2" s="4"/>
      <c r="DHR2" s="4"/>
      <c r="DHS2" s="4"/>
      <c r="DHT2" s="4"/>
      <c r="DHU2" s="4"/>
      <c r="DHV2" s="4"/>
      <c r="DHW2" s="4"/>
      <c r="DHX2" s="4"/>
      <c r="DHY2" s="4"/>
      <c r="DHZ2" s="4"/>
      <c r="DIA2" s="4"/>
      <c r="DIB2" s="4"/>
      <c r="DIC2" s="4"/>
      <c r="DID2" s="4"/>
      <c r="DIE2" s="4"/>
      <c r="DIF2" s="4"/>
      <c r="DIG2" s="4"/>
      <c r="DIH2" s="4"/>
      <c r="DII2" s="4"/>
      <c r="DIJ2" s="4"/>
      <c r="DIK2" s="4"/>
      <c r="DIL2" s="4"/>
      <c r="DIM2" s="4"/>
      <c r="DIN2" s="4"/>
      <c r="DIO2" s="4"/>
      <c r="DIP2" s="4"/>
      <c r="DIQ2" s="4"/>
      <c r="DIR2" s="4"/>
      <c r="DIS2" s="4"/>
      <c r="DIT2" s="4"/>
      <c r="DIU2" s="4"/>
      <c r="DIV2" s="4"/>
      <c r="DIW2" s="4"/>
      <c r="DIX2" s="4"/>
      <c r="DIY2" s="4"/>
      <c r="DIZ2" s="4"/>
      <c r="DJA2" s="4"/>
      <c r="DJB2" s="4"/>
      <c r="DJC2" s="4"/>
      <c r="DJD2" s="4"/>
      <c r="DJE2" s="4"/>
      <c r="DJF2" s="4"/>
      <c r="DJG2" s="4"/>
      <c r="DJH2" s="4"/>
      <c r="DJI2" s="4"/>
      <c r="DJJ2" s="4"/>
      <c r="DJK2" s="4"/>
      <c r="DJL2" s="4"/>
      <c r="DJM2" s="4"/>
      <c r="DJN2" s="4"/>
      <c r="DJO2" s="4"/>
      <c r="DJP2" s="4"/>
      <c r="DJQ2" s="4"/>
      <c r="DJR2" s="4"/>
      <c r="DJS2" s="4"/>
      <c r="DJT2" s="4"/>
      <c r="DJU2" s="4"/>
      <c r="DJV2" s="4"/>
      <c r="DJW2" s="4"/>
      <c r="DJX2" s="4"/>
      <c r="DJY2" s="4"/>
      <c r="DJZ2" s="4"/>
      <c r="DKA2" s="4"/>
      <c r="DKB2" s="4"/>
      <c r="DKC2" s="4"/>
      <c r="DKD2" s="4"/>
      <c r="DKE2" s="4"/>
      <c r="DKF2" s="4"/>
      <c r="DKG2" s="4"/>
      <c r="DKH2" s="4"/>
      <c r="DKI2" s="4"/>
      <c r="DKJ2" s="4"/>
      <c r="DKK2" s="4"/>
      <c r="DKL2" s="4"/>
      <c r="DKM2" s="4"/>
      <c r="DKN2" s="4"/>
      <c r="DKO2" s="4"/>
      <c r="DKP2" s="4"/>
      <c r="DKQ2" s="4"/>
      <c r="DKR2" s="4"/>
      <c r="DKS2" s="4"/>
      <c r="DKT2" s="4"/>
      <c r="DKU2" s="4"/>
      <c r="DKV2" s="4"/>
      <c r="DKW2" s="4"/>
      <c r="DKX2" s="4"/>
      <c r="DKY2" s="4"/>
      <c r="DKZ2" s="4"/>
      <c r="DLA2" s="4"/>
      <c r="DLB2" s="4"/>
      <c r="DLC2" s="4"/>
      <c r="DLD2" s="4"/>
      <c r="DLE2" s="4"/>
      <c r="DLF2" s="4"/>
      <c r="DLG2" s="4"/>
      <c r="DLH2" s="4"/>
      <c r="DLI2" s="4"/>
      <c r="DLJ2" s="4"/>
      <c r="DLK2" s="4"/>
      <c r="DLL2" s="4"/>
      <c r="DLM2" s="4"/>
      <c r="DLN2" s="4"/>
      <c r="DLO2" s="4"/>
      <c r="DLP2" s="4"/>
      <c r="DLQ2" s="4"/>
      <c r="DLR2" s="4"/>
      <c r="DLS2" s="4"/>
      <c r="DLT2" s="4"/>
      <c r="DLU2" s="4"/>
      <c r="DLV2" s="4"/>
      <c r="DLW2" s="4"/>
      <c r="DLX2" s="4"/>
      <c r="DLY2" s="4"/>
      <c r="DLZ2" s="4"/>
      <c r="DMA2" s="4"/>
      <c r="DMB2" s="4"/>
      <c r="DMC2" s="4"/>
      <c r="DMD2" s="4"/>
      <c r="DME2" s="4"/>
      <c r="DMF2" s="4"/>
      <c r="DMG2" s="4"/>
      <c r="DMH2" s="4"/>
      <c r="DMI2" s="4"/>
      <c r="DMJ2" s="4"/>
      <c r="DMK2" s="4"/>
      <c r="DML2" s="4"/>
      <c r="DMM2" s="4"/>
      <c r="DMN2" s="4"/>
      <c r="DMO2" s="4"/>
      <c r="DMP2" s="4"/>
      <c r="DMQ2" s="4"/>
      <c r="DMR2" s="4"/>
      <c r="DMS2" s="4"/>
      <c r="DMT2" s="4"/>
      <c r="DMU2" s="4"/>
      <c r="DMV2" s="4"/>
      <c r="DMW2" s="4"/>
      <c r="DMX2" s="4"/>
      <c r="DMY2" s="4"/>
      <c r="DMZ2" s="4"/>
      <c r="DNA2" s="4"/>
      <c r="DNB2" s="4"/>
      <c r="DNC2" s="4"/>
      <c r="DND2" s="4"/>
      <c r="DNE2" s="4"/>
      <c r="DNF2" s="4"/>
      <c r="DNG2" s="4"/>
      <c r="DNH2" s="4"/>
      <c r="DNI2" s="4"/>
      <c r="DNJ2" s="4"/>
      <c r="DNK2" s="4"/>
      <c r="DNL2" s="4"/>
      <c r="DNM2" s="4"/>
      <c r="DNN2" s="4"/>
      <c r="DNO2" s="4"/>
      <c r="DNP2" s="4"/>
      <c r="DNQ2" s="4"/>
      <c r="DNR2" s="4"/>
      <c r="DNS2" s="4"/>
      <c r="DNT2" s="4"/>
      <c r="DNU2" s="4"/>
      <c r="DNV2" s="4"/>
      <c r="DNW2" s="4"/>
      <c r="DNX2" s="4"/>
      <c r="DNY2" s="4"/>
      <c r="DNZ2" s="4"/>
      <c r="DOA2" s="4"/>
      <c r="DOB2" s="4"/>
      <c r="DOC2" s="4"/>
      <c r="DOD2" s="4"/>
      <c r="DOE2" s="4"/>
      <c r="DOF2" s="4"/>
      <c r="DOG2" s="4"/>
      <c r="DOH2" s="4"/>
      <c r="DOI2" s="4"/>
      <c r="DOJ2" s="4"/>
      <c r="DOK2" s="4"/>
      <c r="DOL2" s="4"/>
      <c r="DOM2" s="4"/>
      <c r="DON2" s="4"/>
      <c r="DOO2" s="4"/>
      <c r="DOP2" s="4"/>
      <c r="DOQ2" s="4"/>
      <c r="DOR2" s="4"/>
      <c r="DOS2" s="4"/>
      <c r="DOT2" s="4"/>
      <c r="DOU2" s="4"/>
      <c r="DOV2" s="4"/>
      <c r="DOW2" s="4"/>
      <c r="DOX2" s="4"/>
      <c r="DOY2" s="4"/>
      <c r="DOZ2" s="4"/>
      <c r="DPA2" s="4"/>
      <c r="DPB2" s="4"/>
      <c r="DPC2" s="4"/>
      <c r="DPD2" s="4"/>
      <c r="DPE2" s="4"/>
      <c r="DPF2" s="4"/>
      <c r="DPG2" s="4"/>
      <c r="DPH2" s="4"/>
      <c r="DPI2" s="4"/>
      <c r="DPJ2" s="4"/>
      <c r="DPK2" s="4"/>
      <c r="DPL2" s="4"/>
      <c r="DPM2" s="4"/>
      <c r="DPN2" s="4"/>
      <c r="DPO2" s="4"/>
      <c r="DPP2" s="4"/>
      <c r="DPQ2" s="4"/>
      <c r="DPR2" s="4"/>
      <c r="DPS2" s="4"/>
      <c r="DPT2" s="4"/>
      <c r="DPU2" s="4"/>
      <c r="DPV2" s="4"/>
      <c r="DPW2" s="4"/>
      <c r="DPX2" s="4"/>
      <c r="DPY2" s="4"/>
      <c r="DPZ2" s="4"/>
      <c r="DQA2" s="4"/>
      <c r="DQB2" s="4"/>
      <c r="DQC2" s="4"/>
      <c r="DQD2" s="4"/>
      <c r="DQE2" s="4"/>
      <c r="DQF2" s="4"/>
      <c r="DQG2" s="4"/>
      <c r="DQH2" s="4"/>
      <c r="DQI2" s="4"/>
      <c r="DQJ2" s="4"/>
      <c r="DQK2" s="4"/>
      <c r="DQL2" s="4"/>
      <c r="DQM2" s="4"/>
      <c r="DQN2" s="4"/>
      <c r="DQO2" s="4"/>
      <c r="DQP2" s="4"/>
      <c r="DQQ2" s="4"/>
      <c r="DQR2" s="4"/>
      <c r="DQS2" s="4"/>
      <c r="DQT2" s="4"/>
      <c r="DQU2" s="4"/>
      <c r="DQV2" s="4"/>
      <c r="DQW2" s="4"/>
      <c r="DQX2" s="4"/>
      <c r="DQY2" s="4"/>
      <c r="DQZ2" s="4"/>
      <c r="DRA2" s="4"/>
      <c r="DRB2" s="4"/>
      <c r="DRC2" s="4"/>
      <c r="DRD2" s="4"/>
      <c r="DRE2" s="4"/>
      <c r="DRF2" s="4"/>
      <c r="DRG2" s="4"/>
      <c r="DRH2" s="4"/>
      <c r="DRI2" s="4"/>
      <c r="DRJ2" s="4"/>
      <c r="DRK2" s="4"/>
      <c r="DRL2" s="4"/>
      <c r="DRM2" s="4"/>
      <c r="DRN2" s="4"/>
      <c r="DRO2" s="4"/>
      <c r="DRP2" s="4"/>
      <c r="DRQ2" s="4"/>
      <c r="DRR2" s="4"/>
      <c r="DRS2" s="4"/>
      <c r="DRT2" s="4"/>
      <c r="DRU2" s="4"/>
      <c r="DRV2" s="4"/>
      <c r="DRW2" s="4"/>
      <c r="DRX2" s="4"/>
      <c r="DRY2" s="4"/>
      <c r="DRZ2" s="4"/>
      <c r="DSA2" s="4"/>
      <c r="DSB2" s="4"/>
      <c r="DSC2" s="4"/>
      <c r="DSD2" s="4"/>
      <c r="DSE2" s="4"/>
      <c r="DSF2" s="4"/>
      <c r="DSG2" s="4"/>
      <c r="DSH2" s="4"/>
      <c r="DSI2" s="4"/>
      <c r="DSJ2" s="4"/>
      <c r="DSK2" s="4"/>
      <c r="DSL2" s="4"/>
      <c r="DSM2" s="4"/>
      <c r="DSN2" s="4"/>
      <c r="DSO2" s="4"/>
      <c r="DSP2" s="4"/>
      <c r="DSQ2" s="4"/>
      <c r="DSR2" s="4"/>
      <c r="DSS2" s="4"/>
      <c r="DST2" s="4"/>
      <c r="DSU2" s="4"/>
      <c r="DSV2" s="4"/>
      <c r="DSW2" s="4"/>
      <c r="DSX2" s="4"/>
      <c r="DSY2" s="4"/>
      <c r="DSZ2" s="4"/>
      <c r="DTA2" s="4"/>
      <c r="DTB2" s="4"/>
      <c r="DTC2" s="4"/>
      <c r="DTD2" s="4"/>
      <c r="DTE2" s="4"/>
      <c r="DTF2" s="4"/>
      <c r="DTG2" s="4"/>
      <c r="DTH2" s="4"/>
      <c r="DTI2" s="4"/>
      <c r="DTJ2" s="4"/>
      <c r="DTK2" s="4"/>
      <c r="DTL2" s="4"/>
      <c r="DTM2" s="4"/>
      <c r="DTN2" s="4"/>
      <c r="DTO2" s="4"/>
      <c r="DTP2" s="4"/>
      <c r="DTQ2" s="4"/>
      <c r="DTR2" s="4"/>
      <c r="DTS2" s="4"/>
      <c r="DTT2" s="4"/>
      <c r="DTU2" s="4"/>
      <c r="DTV2" s="4"/>
      <c r="DTW2" s="4"/>
      <c r="DTX2" s="4"/>
      <c r="DTY2" s="4"/>
      <c r="DTZ2" s="4"/>
      <c r="DUA2" s="4"/>
      <c r="DUB2" s="4"/>
      <c r="DUC2" s="4"/>
      <c r="DUD2" s="4"/>
      <c r="DUE2" s="4"/>
      <c r="DUF2" s="4"/>
      <c r="DUG2" s="4"/>
      <c r="DUH2" s="4"/>
      <c r="DUI2" s="4"/>
      <c r="DUJ2" s="4"/>
      <c r="DUK2" s="4"/>
      <c r="DUL2" s="4"/>
      <c r="DUM2" s="4"/>
      <c r="DUN2" s="4"/>
      <c r="DUO2" s="4"/>
      <c r="DUP2" s="4"/>
      <c r="DUQ2" s="4"/>
      <c r="DUR2" s="4"/>
      <c r="DUS2" s="4"/>
      <c r="DUT2" s="4"/>
      <c r="DUU2" s="4"/>
      <c r="DUV2" s="4"/>
      <c r="DUW2" s="4"/>
      <c r="DUX2" s="4"/>
      <c r="DUY2" s="4"/>
      <c r="DUZ2" s="4"/>
      <c r="DVA2" s="4"/>
      <c r="DVB2" s="4"/>
      <c r="DVC2" s="4"/>
      <c r="DVD2" s="4"/>
      <c r="DVE2" s="4"/>
      <c r="DVF2" s="4"/>
      <c r="DVG2" s="4"/>
      <c r="DVH2" s="4"/>
      <c r="DVI2" s="4"/>
      <c r="DVJ2" s="4"/>
      <c r="DVK2" s="4"/>
      <c r="DVL2" s="4"/>
      <c r="DVM2" s="4"/>
      <c r="DVN2" s="4"/>
      <c r="DVO2" s="4"/>
      <c r="DVP2" s="4"/>
      <c r="DVQ2" s="4"/>
      <c r="DVR2" s="4"/>
      <c r="DVS2" s="4"/>
      <c r="DVT2" s="4"/>
      <c r="DVU2" s="4"/>
      <c r="DVV2" s="4"/>
      <c r="DVW2" s="4"/>
      <c r="DVX2" s="4"/>
      <c r="DVY2" s="4"/>
      <c r="DVZ2" s="4"/>
      <c r="DWA2" s="4"/>
      <c r="DWB2" s="4"/>
      <c r="DWC2" s="4"/>
      <c r="DWD2" s="4"/>
      <c r="DWE2" s="4"/>
      <c r="DWF2" s="4"/>
      <c r="DWG2" s="4"/>
      <c r="DWH2" s="4"/>
      <c r="DWI2" s="4"/>
      <c r="DWJ2" s="4"/>
      <c r="DWK2" s="4"/>
      <c r="DWL2" s="4"/>
      <c r="DWM2" s="4"/>
      <c r="DWN2" s="4"/>
      <c r="DWO2" s="4"/>
      <c r="DWP2" s="4"/>
      <c r="DWQ2" s="4"/>
      <c r="DWR2" s="4"/>
      <c r="DWS2" s="4"/>
      <c r="DWT2" s="4"/>
      <c r="DWU2" s="4"/>
      <c r="DWV2" s="4"/>
      <c r="DWW2" s="4"/>
      <c r="DWX2" s="4"/>
      <c r="DWY2" s="4"/>
      <c r="DWZ2" s="4"/>
      <c r="DXA2" s="4"/>
      <c r="DXB2" s="4"/>
      <c r="DXC2" s="4"/>
      <c r="DXD2" s="4"/>
      <c r="DXE2" s="4"/>
      <c r="DXF2" s="4"/>
      <c r="DXG2" s="4"/>
      <c r="DXH2" s="4"/>
      <c r="DXI2" s="4"/>
      <c r="DXJ2" s="4"/>
      <c r="DXK2" s="4"/>
      <c r="DXL2" s="4"/>
      <c r="DXM2" s="4"/>
      <c r="DXN2" s="4"/>
      <c r="DXO2" s="4"/>
      <c r="DXP2" s="4"/>
      <c r="DXQ2" s="4"/>
      <c r="DXR2" s="4"/>
      <c r="DXS2" s="4"/>
      <c r="DXT2" s="4"/>
      <c r="DXU2" s="4"/>
      <c r="DXV2" s="4"/>
      <c r="DXW2" s="4"/>
      <c r="DXX2" s="4"/>
      <c r="DXY2" s="4"/>
      <c r="DXZ2" s="4"/>
      <c r="DYA2" s="4"/>
      <c r="DYB2" s="4"/>
      <c r="DYC2" s="4"/>
      <c r="DYD2" s="4"/>
      <c r="DYE2" s="4"/>
      <c r="DYF2" s="4"/>
      <c r="DYG2" s="4"/>
      <c r="DYH2" s="4"/>
      <c r="DYI2" s="4"/>
      <c r="DYJ2" s="4"/>
      <c r="DYK2" s="4"/>
      <c r="DYL2" s="4"/>
      <c r="DYM2" s="4"/>
      <c r="DYN2" s="4"/>
      <c r="DYO2" s="4"/>
      <c r="DYP2" s="4"/>
      <c r="DYQ2" s="4"/>
      <c r="DYR2" s="4"/>
      <c r="DYS2" s="4"/>
      <c r="DYT2" s="4"/>
      <c r="DYU2" s="4"/>
      <c r="DYV2" s="4"/>
      <c r="DYW2" s="4"/>
      <c r="DYX2" s="4"/>
      <c r="DYY2" s="4"/>
      <c r="DYZ2" s="4"/>
      <c r="DZA2" s="4"/>
      <c r="DZB2" s="4"/>
      <c r="DZC2" s="4"/>
      <c r="DZD2" s="4"/>
      <c r="DZE2" s="4"/>
      <c r="DZF2" s="4"/>
      <c r="DZG2" s="4"/>
      <c r="DZH2" s="4"/>
      <c r="DZI2" s="4"/>
      <c r="DZJ2" s="4"/>
      <c r="DZK2" s="4"/>
      <c r="DZL2" s="4"/>
      <c r="DZM2" s="4"/>
      <c r="DZN2" s="4"/>
      <c r="DZO2" s="4"/>
      <c r="DZP2" s="4"/>
      <c r="DZQ2" s="4"/>
      <c r="DZR2" s="4"/>
      <c r="DZS2" s="4"/>
      <c r="DZT2" s="4"/>
      <c r="DZU2" s="4"/>
      <c r="DZV2" s="4"/>
      <c r="DZW2" s="4"/>
      <c r="DZX2" s="4"/>
      <c r="DZY2" s="4"/>
      <c r="DZZ2" s="4"/>
      <c r="EAA2" s="4"/>
      <c r="EAB2" s="4"/>
      <c r="EAC2" s="4"/>
      <c r="EAD2" s="4"/>
      <c r="EAE2" s="4"/>
      <c r="EAF2" s="4"/>
      <c r="EAG2" s="4"/>
      <c r="EAH2" s="4"/>
      <c r="EAI2" s="4"/>
      <c r="EAJ2" s="4"/>
      <c r="EAK2" s="4"/>
      <c r="EAL2" s="4"/>
      <c r="EAM2" s="4"/>
      <c r="EAN2" s="4"/>
      <c r="EAO2" s="4"/>
      <c r="EAP2" s="4"/>
      <c r="EAQ2" s="4"/>
      <c r="EAR2" s="4"/>
      <c r="EAS2" s="4"/>
      <c r="EAT2" s="4"/>
      <c r="EAU2" s="4"/>
      <c r="EAV2" s="4"/>
      <c r="EAW2" s="4"/>
      <c r="EAX2" s="4"/>
      <c r="EAY2" s="4"/>
      <c r="EAZ2" s="4"/>
      <c r="EBA2" s="4"/>
      <c r="EBB2" s="4"/>
      <c r="EBC2" s="4"/>
      <c r="EBD2" s="4"/>
      <c r="EBE2" s="4"/>
      <c r="EBF2" s="4"/>
      <c r="EBG2" s="4"/>
      <c r="EBH2" s="4"/>
      <c r="EBI2" s="4"/>
      <c r="EBJ2" s="4"/>
      <c r="EBK2" s="4"/>
      <c r="EBL2" s="4"/>
      <c r="EBM2" s="4"/>
      <c r="EBN2" s="4"/>
      <c r="EBO2" s="4"/>
      <c r="EBP2" s="4"/>
      <c r="EBQ2" s="4"/>
      <c r="EBR2" s="4"/>
      <c r="EBS2" s="4"/>
      <c r="EBT2" s="4"/>
      <c r="EBU2" s="4"/>
      <c r="EBV2" s="4"/>
      <c r="EBW2" s="4"/>
      <c r="EBX2" s="4"/>
      <c r="EBY2" s="4"/>
      <c r="EBZ2" s="4"/>
      <c r="ECA2" s="4"/>
      <c r="ECB2" s="4"/>
      <c r="ECC2" s="4"/>
      <c r="ECD2" s="4"/>
      <c r="ECE2" s="4"/>
      <c r="ECF2" s="4"/>
      <c r="ECG2" s="4"/>
      <c r="ECH2" s="4"/>
      <c r="ECI2" s="4"/>
      <c r="ECJ2" s="4"/>
      <c r="ECK2" s="4"/>
      <c r="ECL2" s="4"/>
      <c r="ECM2" s="4"/>
      <c r="ECN2" s="4"/>
      <c r="ECO2" s="4"/>
      <c r="ECP2" s="4"/>
      <c r="ECQ2" s="4"/>
      <c r="ECR2" s="4"/>
      <c r="ECS2" s="4"/>
      <c r="ECT2" s="4"/>
      <c r="ECU2" s="4"/>
      <c r="ECV2" s="4"/>
      <c r="ECW2" s="4"/>
      <c r="ECX2" s="4"/>
      <c r="ECY2" s="4"/>
      <c r="ECZ2" s="4"/>
      <c r="EDA2" s="4"/>
      <c r="EDB2" s="4"/>
      <c r="EDC2" s="4"/>
      <c r="EDD2" s="4"/>
      <c r="EDE2" s="4"/>
      <c r="EDF2" s="4"/>
      <c r="EDG2" s="4"/>
      <c r="EDH2" s="4"/>
      <c r="EDI2" s="4"/>
      <c r="EDJ2" s="4"/>
      <c r="EDK2" s="4"/>
      <c r="EDL2" s="4"/>
      <c r="EDM2" s="4"/>
      <c r="EDN2" s="4"/>
      <c r="EDO2" s="4"/>
      <c r="EDP2" s="4"/>
      <c r="EDQ2" s="4"/>
      <c r="EDR2" s="4"/>
      <c r="EDS2" s="4"/>
      <c r="EDT2" s="4"/>
      <c r="EDU2" s="4"/>
      <c r="EDV2" s="4"/>
      <c r="EDW2" s="4"/>
      <c r="EDX2" s="4"/>
      <c r="EDY2" s="4"/>
      <c r="EDZ2" s="4"/>
      <c r="EEA2" s="4"/>
      <c r="EEB2" s="4"/>
      <c r="EEC2" s="4"/>
      <c r="EED2" s="4"/>
      <c r="EEE2" s="4"/>
      <c r="EEF2" s="4"/>
      <c r="EEG2" s="4"/>
      <c r="EEH2" s="4"/>
      <c r="EEI2" s="4"/>
      <c r="EEJ2" s="4"/>
      <c r="EEK2" s="4"/>
      <c r="EEL2" s="4"/>
      <c r="EEM2" s="4"/>
      <c r="EEN2" s="4"/>
      <c r="EEO2" s="4"/>
      <c r="EEP2" s="4"/>
      <c r="EEQ2" s="4"/>
      <c r="EER2" s="4"/>
      <c r="EES2" s="4"/>
      <c r="EET2" s="4"/>
      <c r="EEU2" s="4"/>
      <c r="EEV2" s="4"/>
      <c r="EEW2" s="4"/>
      <c r="EEX2" s="4"/>
      <c r="EEY2" s="4"/>
      <c r="EEZ2" s="4"/>
      <c r="EFA2" s="4"/>
      <c r="EFB2" s="4"/>
      <c r="EFC2" s="4"/>
      <c r="EFD2" s="4"/>
      <c r="EFE2" s="4"/>
      <c r="EFF2" s="4"/>
      <c r="EFG2" s="4"/>
      <c r="EFH2" s="4"/>
      <c r="EFI2" s="4"/>
      <c r="EFJ2" s="4"/>
      <c r="EFK2" s="4"/>
      <c r="EFL2" s="4"/>
      <c r="EFM2" s="4"/>
      <c r="EFN2" s="4"/>
      <c r="EFO2" s="4"/>
      <c r="EFP2" s="4"/>
      <c r="EFQ2" s="4"/>
      <c r="EFR2" s="4"/>
      <c r="EFS2" s="4"/>
      <c r="EFT2" s="4"/>
      <c r="EFU2" s="4"/>
      <c r="EFV2" s="4"/>
      <c r="EFW2" s="4"/>
      <c r="EFX2" s="4"/>
      <c r="EFY2" s="4"/>
      <c r="EFZ2" s="4"/>
      <c r="EGA2" s="4"/>
      <c r="EGB2" s="4"/>
      <c r="EGC2" s="4"/>
      <c r="EGD2" s="4"/>
      <c r="EGE2" s="4"/>
      <c r="EGF2" s="4"/>
      <c r="EGG2" s="4"/>
      <c r="EGH2" s="4"/>
      <c r="EGI2" s="4"/>
      <c r="EGJ2" s="4"/>
      <c r="EGK2" s="4"/>
      <c r="EGL2" s="4"/>
      <c r="EGM2" s="4"/>
      <c r="EGN2" s="4"/>
      <c r="EGO2" s="4"/>
      <c r="EGP2" s="4"/>
      <c r="EGQ2" s="4"/>
      <c r="EGR2" s="4"/>
      <c r="EGS2" s="4"/>
      <c r="EGT2" s="4"/>
      <c r="EGU2" s="4"/>
      <c r="EGV2" s="4"/>
      <c r="EGW2" s="4"/>
      <c r="EGX2" s="4"/>
      <c r="EGY2" s="4"/>
      <c r="EGZ2" s="4"/>
      <c r="EHA2" s="4"/>
      <c r="EHB2" s="4"/>
      <c r="EHC2" s="4"/>
      <c r="EHD2" s="4"/>
      <c r="EHE2" s="4"/>
      <c r="EHF2" s="4"/>
      <c r="EHG2" s="4"/>
      <c r="EHH2" s="4"/>
      <c r="EHI2" s="4"/>
      <c r="EHJ2" s="4"/>
      <c r="EHK2" s="4"/>
      <c r="EHL2" s="4"/>
      <c r="EHM2" s="4"/>
      <c r="EHN2" s="4"/>
      <c r="EHO2" s="4"/>
      <c r="EHP2" s="4"/>
      <c r="EHQ2" s="4"/>
      <c r="EHR2" s="4"/>
      <c r="EHS2" s="4"/>
      <c r="EHT2" s="4"/>
      <c r="EHU2" s="4"/>
      <c r="EHV2" s="4"/>
      <c r="EHW2" s="4"/>
      <c r="EHX2" s="4"/>
      <c r="EHY2" s="4"/>
      <c r="EHZ2" s="4"/>
      <c r="EIA2" s="4"/>
      <c r="EIB2" s="4"/>
      <c r="EIC2" s="4"/>
      <c r="EID2" s="4"/>
      <c r="EIE2" s="4"/>
      <c r="EIF2" s="4"/>
      <c r="EIG2" s="4"/>
      <c r="EIH2" s="4"/>
      <c r="EII2" s="4"/>
      <c r="EIJ2" s="4"/>
      <c r="EIK2" s="4"/>
      <c r="EIL2" s="4"/>
      <c r="EIM2" s="4"/>
      <c r="EIN2" s="4"/>
      <c r="EIO2" s="4"/>
      <c r="EIP2" s="4"/>
      <c r="EIQ2" s="4"/>
      <c r="EIR2" s="4"/>
      <c r="EIS2" s="4"/>
      <c r="EIT2" s="4"/>
      <c r="EIU2" s="4"/>
      <c r="EIV2" s="4"/>
      <c r="EIW2" s="4"/>
      <c r="EIX2" s="4"/>
      <c r="EIY2" s="4"/>
      <c r="EIZ2" s="4"/>
      <c r="EJA2" s="4"/>
      <c r="EJB2" s="4"/>
      <c r="EJC2" s="4"/>
      <c r="EJD2" s="4"/>
      <c r="EJE2" s="4"/>
      <c r="EJF2" s="4"/>
      <c r="EJG2" s="4"/>
      <c r="EJH2" s="4"/>
      <c r="EJI2" s="4"/>
      <c r="EJJ2" s="4"/>
      <c r="EJK2" s="4"/>
      <c r="EJL2" s="4"/>
      <c r="EJM2" s="4"/>
      <c r="EJN2" s="4"/>
      <c r="EJO2" s="4"/>
      <c r="EJP2" s="4"/>
      <c r="EJQ2" s="4"/>
      <c r="EJR2" s="4"/>
      <c r="EJS2" s="4"/>
      <c r="EJT2" s="4"/>
      <c r="EJU2" s="4"/>
      <c r="EJV2" s="4"/>
      <c r="EJW2" s="4"/>
      <c r="EJX2" s="4"/>
      <c r="EJY2" s="4"/>
      <c r="EJZ2" s="4"/>
      <c r="EKA2" s="4"/>
      <c r="EKB2" s="4"/>
      <c r="EKC2" s="4"/>
      <c r="EKD2" s="4"/>
      <c r="EKE2" s="4"/>
      <c r="EKF2" s="4"/>
      <c r="EKG2" s="4"/>
      <c r="EKH2" s="4"/>
      <c r="EKI2" s="4"/>
      <c r="EKJ2" s="4"/>
      <c r="EKK2" s="4"/>
      <c r="EKL2" s="4"/>
      <c r="EKM2" s="4"/>
      <c r="EKN2" s="4"/>
      <c r="EKO2" s="4"/>
      <c r="EKP2" s="4"/>
      <c r="EKQ2" s="4"/>
      <c r="EKR2" s="4"/>
      <c r="EKS2" s="4"/>
      <c r="EKT2" s="4"/>
      <c r="EKU2" s="4"/>
      <c r="EKV2" s="4"/>
      <c r="EKW2" s="4"/>
      <c r="EKX2" s="4"/>
      <c r="EKY2" s="4"/>
      <c r="EKZ2" s="4"/>
      <c r="ELA2" s="4"/>
      <c r="ELB2" s="4"/>
      <c r="ELC2" s="4"/>
      <c r="ELD2" s="4"/>
      <c r="ELE2" s="4"/>
      <c r="ELF2" s="4"/>
      <c r="ELG2" s="4"/>
      <c r="ELH2" s="4"/>
      <c r="ELI2" s="4"/>
      <c r="ELJ2" s="4"/>
      <c r="ELK2" s="4"/>
      <c r="ELL2" s="4"/>
      <c r="ELM2" s="4"/>
      <c r="ELN2" s="4"/>
      <c r="ELO2" s="4"/>
      <c r="ELP2" s="4"/>
      <c r="ELQ2" s="4"/>
      <c r="ELR2" s="4"/>
      <c r="ELS2" s="4"/>
      <c r="ELT2" s="4"/>
      <c r="ELU2" s="4"/>
      <c r="ELV2" s="4"/>
      <c r="ELW2" s="4"/>
      <c r="ELX2" s="4"/>
      <c r="ELY2" s="4"/>
      <c r="ELZ2" s="4"/>
      <c r="EMA2" s="4"/>
      <c r="EMB2" s="4"/>
      <c r="EMC2" s="4"/>
      <c r="EMD2" s="4"/>
      <c r="EME2" s="4"/>
      <c r="EMF2" s="4"/>
      <c r="EMG2" s="4"/>
      <c r="EMH2" s="4"/>
      <c r="EMI2" s="4"/>
      <c r="EMJ2" s="4"/>
      <c r="EMK2" s="4"/>
      <c r="EML2" s="4"/>
      <c r="EMM2" s="4"/>
      <c r="EMN2" s="4"/>
      <c r="EMO2" s="4"/>
      <c r="EMP2" s="4"/>
      <c r="EMQ2" s="4"/>
      <c r="EMR2" s="4"/>
      <c r="EMS2" s="4"/>
      <c r="EMT2" s="4"/>
      <c r="EMU2" s="4"/>
      <c r="EMV2" s="4"/>
      <c r="EMW2" s="4"/>
      <c r="EMX2" s="4"/>
      <c r="EMY2" s="4"/>
      <c r="EMZ2" s="4"/>
      <c r="ENA2" s="4"/>
      <c r="ENB2" s="4"/>
      <c r="ENC2" s="4"/>
      <c r="END2" s="4"/>
      <c r="ENE2" s="4"/>
      <c r="ENF2" s="4"/>
      <c r="ENG2" s="4"/>
      <c r="ENH2" s="4"/>
      <c r="ENI2" s="4"/>
      <c r="ENJ2" s="4"/>
      <c r="ENK2" s="4"/>
      <c r="ENL2" s="4"/>
      <c r="ENM2" s="4"/>
      <c r="ENN2" s="4"/>
      <c r="ENO2" s="4"/>
      <c r="ENP2" s="4"/>
      <c r="ENQ2" s="4"/>
      <c r="ENR2" s="4"/>
      <c r="ENS2" s="4"/>
      <c r="ENT2" s="4"/>
      <c r="ENU2" s="4"/>
      <c r="ENV2" s="4"/>
      <c r="ENW2" s="4"/>
      <c r="ENX2" s="4"/>
      <c r="ENY2" s="4"/>
      <c r="ENZ2" s="4"/>
      <c r="EOA2" s="4"/>
      <c r="EOB2" s="4"/>
      <c r="EOC2" s="4"/>
      <c r="EOD2" s="4"/>
      <c r="EOE2" s="4"/>
      <c r="EOF2" s="4"/>
      <c r="EOG2" s="4"/>
      <c r="EOH2" s="4"/>
      <c r="EOI2" s="4"/>
      <c r="EOJ2" s="4"/>
      <c r="EOK2" s="4"/>
      <c r="EOL2" s="4"/>
      <c r="EOM2" s="4"/>
      <c r="EON2" s="4"/>
      <c r="EOO2" s="4"/>
      <c r="EOP2" s="4"/>
      <c r="EOQ2" s="4"/>
      <c r="EOR2" s="4"/>
      <c r="EOS2" s="4"/>
      <c r="EOT2" s="4"/>
      <c r="EOU2" s="4"/>
      <c r="EOV2" s="4"/>
      <c r="EOW2" s="4"/>
      <c r="EOX2" s="4"/>
      <c r="EOY2" s="4"/>
      <c r="EOZ2" s="4"/>
      <c r="EPA2" s="4"/>
      <c r="EPB2" s="4"/>
      <c r="EPC2" s="4"/>
      <c r="EPD2" s="4"/>
      <c r="EPE2" s="4"/>
      <c r="EPF2" s="4"/>
      <c r="EPG2" s="4"/>
      <c r="EPH2" s="4"/>
      <c r="EPI2" s="4"/>
      <c r="EPJ2" s="4"/>
      <c r="EPK2" s="4"/>
      <c r="EPL2" s="4"/>
      <c r="EPM2" s="4"/>
      <c r="EPN2" s="4"/>
      <c r="EPO2" s="4"/>
      <c r="EPP2" s="4"/>
      <c r="EPQ2" s="4"/>
      <c r="EPR2" s="4"/>
      <c r="EPS2" s="4"/>
      <c r="EPT2" s="4"/>
      <c r="EPU2" s="4"/>
      <c r="EPV2" s="4"/>
      <c r="EPW2" s="4"/>
      <c r="EPX2" s="4"/>
      <c r="EPY2" s="4"/>
      <c r="EPZ2" s="4"/>
      <c r="EQA2" s="4"/>
      <c r="EQB2" s="4"/>
      <c r="EQC2" s="4"/>
      <c r="EQD2" s="4"/>
      <c r="EQE2" s="4"/>
      <c r="EQF2" s="4"/>
      <c r="EQG2" s="4"/>
      <c r="EQH2" s="4"/>
      <c r="EQI2" s="4"/>
      <c r="EQJ2" s="4"/>
      <c r="EQK2" s="4"/>
      <c r="EQL2" s="4"/>
      <c r="EQM2" s="4"/>
      <c r="EQN2" s="4"/>
      <c r="EQO2" s="4"/>
      <c r="EQP2" s="4"/>
      <c r="EQQ2" s="4"/>
      <c r="EQR2" s="4"/>
      <c r="EQS2" s="4"/>
      <c r="EQT2" s="4"/>
      <c r="EQU2" s="4"/>
      <c r="EQV2" s="4"/>
      <c r="EQW2" s="4"/>
      <c r="EQX2" s="4"/>
      <c r="EQY2" s="4"/>
      <c r="EQZ2" s="4"/>
      <c r="ERA2" s="4"/>
      <c r="ERB2" s="4"/>
      <c r="ERC2" s="4"/>
      <c r="ERD2" s="4"/>
      <c r="ERE2" s="4"/>
      <c r="ERF2" s="4"/>
      <c r="ERG2" s="4"/>
      <c r="ERH2" s="4"/>
      <c r="ERI2" s="4"/>
      <c r="ERJ2" s="4"/>
      <c r="ERK2" s="4"/>
      <c r="ERL2" s="4"/>
      <c r="ERM2" s="4"/>
      <c r="ERN2" s="4"/>
      <c r="ERO2" s="4"/>
      <c r="ERP2" s="4"/>
      <c r="ERQ2" s="4"/>
      <c r="ERR2" s="4"/>
      <c r="ERS2" s="4"/>
      <c r="ERT2" s="4"/>
      <c r="ERU2" s="4"/>
      <c r="ERV2" s="4"/>
      <c r="ERW2" s="4"/>
      <c r="ERX2" s="4"/>
      <c r="ERY2" s="4"/>
      <c r="ERZ2" s="4"/>
      <c r="ESA2" s="4"/>
      <c r="ESB2" s="4"/>
      <c r="ESC2" s="4"/>
      <c r="ESD2" s="4"/>
      <c r="ESE2" s="4"/>
      <c r="ESF2" s="4"/>
      <c r="ESG2" s="4"/>
      <c r="ESH2" s="4"/>
      <c r="ESI2" s="4"/>
      <c r="ESJ2" s="4"/>
      <c r="ESK2" s="4"/>
      <c r="ESL2" s="4"/>
      <c r="ESM2" s="4"/>
      <c r="ESN2" s="4"/>
      <c r="ESO2" s="4"/>
      <c r="ESP2" s="4"/>
      <c r="ESQ2" s="4"/>
      <c r="ESR2" s="4"/>
      <c r="ESS2" s="4"/>
      <c r="EST2" s="4"/>
      <c r="ESU2" s="4"/>
      <c r="ESV2" s="4"/>
      <c r="ESW2" s="4"/>
      <c r="ESX2" s="4"/>
      <c r="ESY2" s="4"/>
      <c r="ESZ2" s="4"/>
      <c r="ETA2" s="4"/>
      <c r="ETB2" s="4"/>
      <c r="ETC2" s="4"/>
      <c r="ETD2" s="4"/>
      <c r="ETE2" s="4"/>
      <c r="ETF2" s="4"/>
      <c r="ETG2" s="4"/>
      <c r="ETH2" s="4"/>
      <c r="ETI2" s="4"/>
      <c r="ETJ2" s="4"/>
      <c r="ETK2" s="4"/>
      <c r="ETL2" s="4"/>
      <c r="ETM2" s="4"/>
      <c r="ETN2" s="4"/>
      <c r="ETO2" s="4"/>
      <c r="ETP2" s="4"/>
      <c r="ETQ2" s="4"/>
      <c r="ETR2" s="4"/>
      <c r="ETS2" s="4"/>
      <c r="ETT2" s="4"/>
      <c r="ETU2" s="4"/>
      <c r="ETV2" s="4"/>
      <c r="ETW2" s="4"/>
      <c r="ETX2" s="4"/>
      <c r="ETY2" s="4"/>
      <c r="ETZ2" s="4"/>
      <c r="EUA2" s="4"/>
      <c r="EUB2" s="4"/>
      <c r="EUC2" s="4"/>
      <c r="EUD2" s="4"/>
      <c r="EUE2" s="4"/>
      <c r="EUF2" s="4"/>
      <c r="EUG2" s="4"/>
      <c r="EUH2" s="4"/>
      <c r="EUI2" s="4"/>
      <c r="EUJ2" s="4"/>
      <c r="EUK2" s="4"/>
      <c r="EUL2" s="4"/>
      <c r="EUM2" s="4"/>
      <c r="EUN2" s="4"/>
      <c r="EUO2" s="4"/>
      <c r="EUP2" s="4"/>
      <c r="EUQ2" s="4"/>
      <c r="EUR2" s="4"/>
      <c r="EUS2" s="4"/>
      <c r="EUT2" s="4"/>
      <c r="EUU2" s="4"/>
      <c r="EUV2" s="4"/>
      <c r="EUW2" s="4"/>
      <c r="EUX2" s="4"/>
      <c r="EUY2" s="4"/>
      <c r="EUZ2" s="4"/>
      <c r="EVA2" s="4"/>
      <c r="EVB2" s="4"/>
      <c r="EVC2" s="4"/>
      <c r="EVD2" s="4"/>
      <c r="EVE2" s="4"/>
      <c r="EVF2" s="4"/>
      <c r="EVG2" s="4"/>
      <c r="EVH2" s="4"/>
      <c r="EVI2" s="4"/>
      <c r="EVJ2" s="4"/>
      <c r="EVK2" s="4"/>
      <c r="EVL2" s="4"/>
      <c r="EVM2" s="4"/>
      <c r="EVN2" s="4"/>
      <c r="EVO2" s="4"/>
      <c r="EVP2" s="4"/>
      <c r="EVQ2" s="4"/>
      <c r="EVR2" s="4"/>
      <c r="EVS2" s="4"/>
      <c r="EVT2" s="4"/>
      <c r="EVU2" s="4"/>
      <c r="EVV2" s="4"/>
      <c r="EVW2" s="4"/>
      <c r="EVX2" s="4"/>
      <c r="EVY2" s="4"/>
      <c r="EVZ2" s="4"/>
      <c r="EWA2" s="4"/>
      <c r="EWB2" s="4"/>
      <c r="EWC2" s="4"/>
      <c r="EWD2" s="4"/>
      <c r="EWE2" s="4"/>
      <c r="EWF2" s="4"/>
      <c r="EWG2" s="4"/>
      <c r="EWH2" s="4"/>
      <c r="EWI2" s="4"/>
      <c r="EWJ2" s="4"/>
      <c r="EWK2" s="4"/>
      <c r="EWL2" s="4"/>
      <c r="EWM2" s="4"/>
      <c r="EWN2" s="4"/>
      <c r="EWO2" s="4"/>
      <c r="EWP2" s="4"/>
      <c r="EWQ2" s="4"/>
      <c r="EWR2" s="4"/>
      <c r="EWS2" s="4"/>
      <c r="EWT2" s="4"/>
      <c r="EWU2" s="4"/>
      <c r="EWV2" s="4"/>
      <c r="EWW2" s="4"/>
      <c r="EWX2" s="4"/>
      <c r="EWY2" s="4"/>
      <c r="EWZ2" s="4"/>
      <c r="EXA2" s="4"/>
      <c r="EXB2" s="4"/>
      <c r="EXC2" s="4"/>
      <c r="EXD2" s="4"/>
      <c r="EXE2" s="4"/>
      <c r="EXF2" s="4"/>
      <c r="EXG2" s="4"/>
      <c r="EXH2" s="4"/>
      <c r="EXI2" s="4"/>
      <c r="EXJ2" s="4"/>
      <c r="EXK2" s="4"/>
      <c r="EXL2" s="4"/>
      <c r="EXM2" s="4"/>
      <c r="EXN2" s="4"/>
      <c r="EXO2" s="4"/>
      <c r="EXP2" s="4"/>
      <c r="EXQ2" s="4"/>
      <c r="EXR2" s="4"/>
      <c r="EXS2" s="4"/>
      <c r="EXT2" s="4"/>
      <c r="EXU2" s="4"/>
      <c r="EXV2" s="4"/>
      <c r="EXW2" s="4"/>
      <c r="EXX2" s="4"/>
      <c r="EXY2" s="4"/>
      <c r="EXZ2" s="4"/>
      <c r="EYA2" s="4"/>
      <c r="EYB2" s="4"/>
      <c r="EYC2" s="4"/>
      <c r="EYD2" s="4"/>
      <c r="EYE2" s="4"/>
      <c r="EYF2" s="4"/>
      <c r="EYG2" s="4"/>
      <c r="EYH2" s="4"/>
      <c r="EYI2" s="4"/>
      <c r="EYJ2" s="4"/>
      <c r="EYK2" s="4"/>
      <c r="EYL2" s="4"/>
      <c r="EYM2" s="4"/>
      <c r="EYN2" s="4"/>
      <c r="EYO2" s="4"/>
      <c r="EYP2" s="4"/>
      <c r="EYQ2" s="4"/>
      <c r="EYR2" s="4"/>
      <c r="EYS2" s="4"/>
      <c r="EYT2" s="4"/>
      <c r="EYU2" s="4"/>
      <c r="EYV2" s="4"/>
      <c r="EYW2" s="4"/>
      <c r="EYX2" s="4"/>
      <c r="EYY2" s="4"/>
      <c r="EYZ2" s="4"/>
      <c r="EZA2" s="4"/>
      <c r="EZB2" s="4"/>
      <c r="EZC2" s="4"/>
      <c r="EZD2" s="4"/>
      <c r="EZE2" s="4"/>
      <c r="EZF2" s="4"/>
      <c r="EZG2" s="4"/>
      <c r="EZH2" s="4"/>
      <c r="EZI2" s="4"/>
      <c r="EZJ2" s="4"/>
      <c r="EZK2" s="4"/>
      <c r="EZL2" s="4"/>
      <c r="EZM2" s="4"/>
      <c r="EZN2" s="4"/>
      <c r="EZO2" s="4"/>
      <c r="EZP2" s="4"/>
      <c r="EZQ2" s="4"/>
      <c r="EZR2" s="4"/>
      <c r="EZS2" s="4"/>
      <c r="EZT2" s="4"/>
      <c r="EZU2" s="4"/>
      <c r="EZV2" s="4"/>
      <c r="EZW2" s="4"/>
      <c r="EZX2" s="4"/>
      <c r="EZY2" s="4"/>
      <c r="EZZ2" s="4"/>
      <c r="FAA2" s="4"/>
      <c r="FAB2" s="4"/>
      <c r="FAC2" s="4"/>
      <c r="FAD2" s="4"/>
      <c r="FAE2" s="4"/>
      <c r="FAF2" s="4"/>
      <c r="FAG2" s="4"/>
      <c r="FAH2" s="4"/>
      <c r="FAI2" s="4"/>
      <c r="FAJ2" s="4"/>
      <c r="FAK2" s="4"/>
      <c r="FAL2" s="4"/>
      <c r="FAM2" s="4"/>
      <c r="FAN2" s="4"/>
      <c r="FAO2" s="4"/>
      <c r="FAP2" s="4"/>
      <c r="FAQ2" s="4"/>
      <c r="FAR2" s="4"/>
      <c r="FAS2" s="4"/>
      <c r="FAT2" s="4"/>
      <c r="FAU2" s="4"/>
      <c r="FAV2" s="4"/>
      <c r="FAW2" s="4"/>
      <c r="FAX2" s="4"/>
      <c r="FAY2" s="4"/>
      <c r="FAZ2" s="4"/>
      <c r="FBA2" s="4"/>
      <c r="FBB2" s="4"/>
      <c r="FBC2" s="4"/>
      <c r="FBD2" s="4"/>
      <c r="FBE2" s="4"/>
      <c r="FBF2" s="4"/>
      <c r="FBG2" s="4"/>
      <c r="FBH2" s="4"/>
      <c r="FBI2" s="4"/>
      <c r="FBJ2" s="4"/>
      <c r="FBK2" s="4"/>
      <c r="FBL2" s="4"/>
      <c r="FBM2" s="4"/>
      <c r="FBN2" s="4"/>
      <c r="FBO2" s="4"/>
      <c r="FBP2" s="4"/>
      <c r="FBQ2" s="4"/>
      <c r="FBR2" s="4"/>
      <c r="FBS2" s="4"/>
      <c r="FBT2" s="4"/>
      <c r="FBU2" s="4"/>
      <c r="FBV2" s="4"/>
      <c r="FBW2" s="4"/>
      <c r="FBX2" s="4"/>
      <c r="FBY2" s="4"/>
      <c r="FBZ2" s="4"/>
      <c r="FCA2" s="4"/>
      <c r="FCB2" s="4"/>
      <c r="FCC2" s="4"/>
      <c r="FCD2" s="4"/>
      <c r="FCE2" s="4"/>
      <c r="FCF2" s="4"/>
      <c r="FCG2" s="4"/>
      <c r="FCH2" s="4"/>
      <c r="FCI2" s="4"/>
      <c r="FCJ2" s="4"/>
      <c r="FCK2" s="4"/>
      <c r="FCL2" s="4"/>
      <c r="FCM2" s="4"/>
      <c r="FCN2" s="4"/>
      <c r="FCO2" s="4"/>
      <c r="FCP2" s="4"/>
      <c r="FCQ2" s="4"/>
      <c r="FCR2" s="4"/>
      <c r="FCS2" s="4"/>
      <c r="FCT2" s="4"/>
      <c r="FCU2" s="4"/>
      <c r="FCV2" s="4"/>
      <c r="FCW2" s="4"/>
      <c r="FCX2" s="4"/>
      <c r="FCY2" s="4"/>
      <c r="FCZ2" s="4"/>
      <c r="FDA2" s="4"/>
      <c r="FDB2" s="4"/>
      <c r="FDC2" s="4"/>
      <c r="FDD2" s="4"/>
      <c r="FDE2" s="4"/>
      <c r="FDF2" s="4"/>
      <c r="FDG2" s="4"/>
      <c r="FDH2" s="4"/>
      <c r="FDI2" s="4"/>
      <c r="FDJ2" s="4"/>
      <c r="FDK2" s="4"/>
      <c r="FDL2" s="4"/>
      <c r="FDM2" s="4"/>
      <c r="FDN2" s="4"/>
      <c r="FDO2" s="4"/>
      <c r="FDP2" s="4"/>
      <c r="FDQ2" s="4"/>
      <c r="FDR2" s="4"/>
      <c r="FDS2" s="4"/>
      <c r="FDT2" s="4"/>
      <c r="FDU2" s="4"/>
      <c r="FDV2" s="4"/>
      <c r="FDW2" s="4"/>
      <c r="FDX2" s="4"/>
      <c r="FDY2" s="4"/>
      <c r="FDZ2" s="4"/>
      <c r="FEA2" s="4"/>
      <c r="FEB2" s="4"/>
      <c r="FEC2" s="4"/>
      <c r="FED2" s="4"/>
      <c r="FEE2" s="4"/>
      <c r="FEF2" s="4"/>
      <c r="FEG2" s="4"/>
      <c r="FEH2" s="4"/>
      <c r="FEI2" s="4"/>
      <c r="FEJ2" s="4"/>
      <c r="FEK2" s="4"/>
      <c r="FEL2" s="4"/>
      <c r="FEM2" s="4"/>
      <c r="FEN2" s="4"/>
      <c r="FEO2" s="4"/>
      <c r="FEP2" s="4"/>
      <c r="FEQ2" s="4"/>
      <c r="FER2" s="4"/>
      <c r="FES2" s="4"/>
      <c r="FET2" s="4"/>
      <c r="FEU2" s="4"/>
      <c r="FEV2" s="4"/>
      <c r="FEW2" s="4"/>
      <c r="FEX2" s="4"/>
      <c r="FEY2" s="4"/>
      <c r="FEZ2" s="4"/>
      <c r="FFA2" s="4"/>
      <c r="FFB2" s="4"/>
      <c r="FFC2" s="4"/>
      <c r="FFD2" s="4"/>
      <c r="FFE2" s="4"/>
      <c r="FFF2" s="4"/>
      <c r="FFG2" s="4"/>
      <c r="FFH2" s="4"/>
      <c r="FFI2" s="4"/>
      <c r="FFJ2" s="4"/>
      <c r="FFK2" s="4"/>
      <c r="FFL2" s="4"/>
      <c r="FFM2" s="4"/>
      <c r="FFN2" s="4"/>
      <c r="FFO2" s="4"/>
      <c r="FFP2" s="4"/>
      <c r="FFQ2" s="4"/>
      <c r="FFR2" s="4"/>
      <c r="FFS2" s="4"/>
      <c r="FFT2" s="4"/>
      <c r="FFU2" s="4"/>
      <c r="FFV2" s="4"/>
      <c r="FFW2" s="4"/>
      <c r="FFX2" s="4"/>
      <c r="FFY2" s="4"/>
      <c r="FFZ2" s="4"/>
      <c r="FGA2" s="4"/>
      <c r="FGB2" s="4"/>
      <c r="FGC2" s="4"/>
      <c r="FGD2" s="4"/>
      <c r="FGE2" s="4"/>
      <c r="FGF2" s="4"/>
      <c r="FGG2" s="4"/>
      <c r="FGH2" s="4"/>
      <c r="FGI2" s="4"/>
      <c r="FGJ2" s="4"/>
      <c r="FGK2" s="4"/>
      <c r="FGL2" s="4"/>
      <c r="FGM2" s="4"/>
      <c r="FGN2" s="4"/>
      <c r="FGO2" s="4"/>
      <c r="FGP2" s="4"/>
      <c r="FGQ2" s="4"/>
      <c r="FGR2" s="4"/>
      <c r="FGS2" s="4"/>
      <c r="FGT2" s="4"/>
      <c r="FGU2" s="4"/>
      <c r="FGV2" s="4"/>
      <c r="FGW2" s="4"/>
      <c r="FGX2" s="4"/>
      <c r="FGY2" s="4"/>
      <c r="FGZ2" s="4"/>
      <c r="FHA2" s="4"/>
      <c r="FHB2" s="4"/>
      <c r="FHC2" s="4"/>
      <c r="FHD2" s="4"/>
      <c r="FHE2" s="4"/>
      <c r="FHF2" s="4"/>
      <c r="FHG2" s="4"/>
      <c r="FHH2" s="4"/>
      <c r="FHI2" s="4"/>
      <c r="FHJ2" s="4"/>
      <c r="FHK2" s="4"/>
      <c r="FHL2" s="4"/>
      <c r="FHM2" s="4"/>
      <c r="FHN2" s="4"/>
      <c r="FHO2" s="4"/>
      <c r="FHP2" s="4"/>
      <c r="FHQ2" s="4"/>
      <c r="FHR2" s="4"/>
      <c r="FHS2" s="4"/>
      <c r="FHT2" s="4"/>
      <c r="FHU2" s="4"/>
      <c r="FHV2" s="4"/>
      <c r="FHW2" s="4"/>
      <c r="FHX2" s="4"/>
      <c r="FHY2" s="4"/>
      <c r="FHZ2" s="4"/>
      <c r="FIA2" s="4"/>
      <c r="FIB2" s="4"/>
      <c r="FIC2" s="4"/>
      <c r="FID2" s="4"/>
      <c r="FIE2" s="4"/>
      <c r="FIF2" s="4"/>
      <c r="FIG2" s="4"/>
      <c r="FIH2" s="4"/>
      <c r="FII2" s="4"/>
      <c r="FIJ2" s="4"/>
      <c r="FIK2" s="4"/>
      <c r="FIL2" s="4"/>
      <c r="FIM2" s="4"/>
      <c r="FIN2" s="4"/>
      <c r="FIO2" s="4"/>
      <c r="FIP2" s="4"/>
      <c r="FIQ2" s="4"/>
      <c r="FIR2" s="4"/>
      <c r="FIS2" s="4"/>
      <c r="FIT2" s="4"/>
      <c r="FIU2" s="4"/>
      <c r="FIV2" s="4"/>
      <c r="FIW2" s="4"/>
      <c r="FIX2" s="4"/>
      <c r="FIY2" s="4"/>
      <c r="FIZ2" s="4"/>
      <c r="FJA2" s="4"/>
      <c r="FJB2" s="4"/>
      <c r="FJC2" s="4"/>
      <c r="FJD2" s="4"/>
      <c r="FJE2" s="4"/>
      <c r="FJF2" s="4"/>
      <c r="FJG2" s="4"/>
      <c r="FJH2" s="4"/>
      <c r="FJI2" s="4"/>
      <c r="FJJ2" s="4"/>
      <c r="FJK2" s="4"/>
      <c r="FJL2" s="4"/>
      <c r="FJM2" s="4"/>
      <c r="FJN2" s="4"/>
      <c r="FJO2" s="4"/>
      <c r="FJP2" s="4"/>
      <c r="FJQ2" s="4"/>
      <c r="FJR2" s="4"/>
      <c r="FJS2" s="4"/>
      <c r="FJT2" s="4"/>
      <c r="FJU2" s="4"/>
      <c r="FJV2" s="4"/>
      <c r="FJW2" s="4"/>
      <c r="FJX2" s="4"/>
      <c r="FJY2" s="4"/>
      <c r="FJZ2" s="4"/>
      <c r="FKA2" s="4"/>
      <c r="FKB2" s="4"/>
      <c r="FKC2" s="4"/>
      <c r="FKD2" s="4"/>
      <c r="FKE2" s="4"/>
      <c r="FKF2" s="4"/>
      <c r="FKG2" s="4"/>
      <c r="FKH2" s="4"/>
      <c r="FKI2" s="4"/>
      <c r="FKJ2" s="4"/>
      <c r="FKK2" s="4"/>
      <c r="FKL2" s="4"/>
      <c r="FKM2" s="4"/>
      <c r="FKN2" s="4"/>
      <c r="FKO2" s="4"/>
      <c r="FKP2" s="4"/>
      <c r="FKQ2" s="4"/>
      <c r="FKR2" s="4"/>
      <c r="FKS2" s="4"/>
      <c r="FKT2" s="4"/>
      <c r="FKU2" s="4"/>
      <c r="FKV2" s="4"/>
      <c r="FKW2" s="4"/>
      <c r="FKX2" s="4"/>
      <c r="FKY2" s="4"/>
      <c r="FKZ2" s="4"/>
      <c r="FLA2" s="4"/>
      <c r="FLB2" s="4"/>
      <c r="FLC2" s="4"/>
      <c r="FLD2" s="4"/>
      <c r="FLE2" s="4"/>
      <c r="FLF2" s="4"/>
      <c r="FLG2" s="4"/>
      <c r="FLH2" s="4"/>
      <c r="FLI2" s="4"/>
      <c r="FLJ2" s="4"/>
      <c r="FLK2" s="4"/>
      <c r="FLL2" s="4"/>
      <c r="FLM2" s="4"/>
      <c r="FLN2" s="4"/>
      <c r="FLO2" s="4"/>
      <c r="FLP2" s="4"/>
      <c r="FLQ2" s="4"/>
      <c r="FLR2" s="4"/>
      <c r="FLS2" s="4"/>
      <c r="FLT2" s="4"/>
      <c r="FLU2" s="4"/>
      <c r="FLV2" s="4"/>
      <c r="FLW2" s="4"/>
      <c r="FLX2" s="4"/>
      <c r="FLY2" s="4"/>
      <c r="FLZ2" s="4"/>
      <c r="FMA2" s="4"/>
      <c r="FMB2" s="4"/>
      <c r="FMC2" s="4"/>
      <c r="FMD2" s="4"/>
      <c r="FME2" s="4"/>
      <c r="FMF2" s="4"/>
      <c r="FMG2" s="4"/>
      <c r="FMH2" s="4"/>
      <c r="FMI2" s="4"/>
      <c r="FMJ2" s="4"/>
      <c r="FMK2" s="4"/>
      <c r="FML2" s="4"/>
      <c r="FMM2" s="4"/>
      <c r="FMN2" s="4"/>
      <c r="FMO2" s="4"/>
      <c r="FMP2" s="4"/>
      <c r="FMQ2" s="4"/>
      <c r="FMR2" s="4"/>
      <c r="FMS2" s="4"/>
      <c r="FMT2" s="4"/>
      <c r="FMU2" s="4"/>
      <c r="FMV2" s="4"/>
      <c r="FMW2" s="4"/>
      <c r="FMX2" s="4"/>
      <c r="FMY2" s="4"/>
      <c r="FMZ2" s="4"/>
      <c r="FNA2" s="4"/>
      <c r="FNB2" s="4"/>
      <c r="FNC2" s="4"/>
      <c r="FND2" s="4"/>
      <c r="FNE2" s="4"/>
      <c r="FNF2" s="4"/>
      <c r="FNG2" s="4"/>
      <c r="FNH2" s="4"/>
      <c r="FNI2" s="4"/>
      <c r="FNJ2" s="4"/>
      <c r="FNK2" s="4"/>
      <c r="FNL2" s="4"/>
      <c r="FNM2" s="4"/>
      <c r="FNN2" s="4"/>
      <c r="FNO2" s="4"/>
      <c r="FNP2" s="4"/>
      <c r="FNQ2" s="4"/>
      <c r="FNR2" s="4"/>
      <c r="FNS2" s="4"/>
      <c r="FNT2" s="4"/>
      <c r="FNU2" s="4"/>
      <c r="FNV2" s="4"/>
      <c r="FNW2" s="4"/>
      <c r="FNX2" s="4"/>
      <c r="FNY2" s="4"/>
      <c r="FNZ2" s="4"/>
      <c r="FOA2" s="4"/>
      <c r="FOB2" s="4"/>
      <c r="FOC2" s="4"/>
      <c r="FOD2" s="4"/>
      <c r="FOE2" s="4"/>
      <c r="FOF2" s="4"/>
      <c r="FOG2" s="4"/>
      <c r="FOH2" s="4"/>
      <c r="FOI2" s="4"/>
      <c r="FOJ2" s="4"/>
      <c r="FOK2" s="4"/>
      <c r="FOL2" s="4"/>
      <c r="FOM2" s="4"/>
      <c r="FON2" s="4"/>
      <c r="FOO2" s="4"/>
      <c r="FOP2" s="4"/>
      <c r="FOQ2" s="4"/>
      <c r="FOR2" s="4"/>
      <c r="FOS2" s="4"/>
      <c r="FOT2" s="4"/>
      <c r="FOU2" s="4"/>
      <c r="FOV2" s="4"/>
      <c r="FOW2" s="4"/>
      <c r="FOX2" s="4"/>
      <c r="FOY2" s="4"/>
      <c r="FOZ2" s="4"/>
      <c r="FPA2" s="4"/>
      <c r="FPB2" s="4"/>
      <c r="FPC2" s="4"/>
      <c r="FPD2" s="4"/>
      <c r="FPE2" s="4"/>
      <c r="FPF2" s="4"/>
      <c r="FPG2" s="4"/>
      <c r="FPH2" s="4"/>
      <c r="FPI2" s="4"/>
      <c r="FPJ2" s="4"/>
      <c r="FPK2" s="4"/>
      <c r="FPL2" s="4"/>
      <c r="FPM2" s="4"/>
      <c r="FPN2" s="4"/>
      <c r="FPO2" s="4"/>
      <c r="FPP2" s="4"/>
      <c r="FPQ2" s="4"/>
      <c r="FPR2" s="4"/>
      <c r="FPS2" s="4"/>
      <c r="FPT2" s="4"/>
      <c r="FPU2" s="4"/>
      <c r="FPV2" s="4"/>
      <c r="FPW2" s="4"/>
      <c r="FPX2" s="4"/>
      <c r="FPY2" s="4"/>
      <c r="FPZ2" s="4"/>
      <c r="FQA2" s="4"/>
      <c r="FQB2" s="4"/>
      <c r="FQC2" s="4"/>
      <c r="FQD2" s="4"/>
      <c r="FQE2" s="4"/>
      <c r="FQF2" s="4"/>
      <c r="FQG2" s="4"/>
      <c r="FQH2" s="4"/>
      <c r="FQI2" s="4"/>
      <c r="FQJ2" s="4"/>
      <c r="FQK2" s="4"/>
      <c r="FQL2" s="4"/>
      <c r="FQM2" s="4"/>
      <c r="FQN2" s="4"/>
      <c r="FQO2" s="4"/>
      <c r="FQP2" s="4"/>
      <c r="FQQ2" s="4"/>
      <c r="FQR2" s="4"/>
      <c r="FQS2" s="4"/>
      <c r="FQT2" s="4"/>
      <c r="FQU2" s="4"/>
      <c r="FQV2" s="4"/>
      <c r="FQW2" s="4"/>
      <c r="FQX2" s="4"/>
      <c r="FQY2" s="4"/>
      <c r="FQZ2" s="4"/>
      <c r="FRA2" s="4"/>
      <c r="FRB2" s="4"/>
      <c r="FRC2" s="4"/>
      <c r="FRD2" s="4"/>
      <c r="FRE2" s="4"/>
      <c r="FRF2" s="4"/>
      <c r="FRG2" s="4"/>
      <c r="FRH2" s="4"/>
      <c r="FRI2" s="4"/>
      <c r="FRJ2" s="4"/>
      <c r="FRK2" s="4"/>
      <c r="FRL2" s="4"/>
      <c r="FRM2" s="4"/>
      <c r="FRN2" s="4"/>
      <c r="FRO2" s="4"/>
      <c r="FRP2" s="4"/>
      <c r="FRQ2" s="4"/>
      <c r="FRR2" s="4"/>
      <c r="FRS2" s="4"/>
      <c r="FRT2" s="4"/>
      <c r="FRU2" s="4"/>
      <c r="FRV2" s="4"/>
      <c r="FRW2" s="4"/>
      <c r="FRX2" s="4"/>
      <c r="FRY2" s="4"/>
      <c r="FRZ2" s="4"/>
      <c r="FSA2" s="4"/>
      <c r="FSB2" s="4"/>
      <c r="FSC2" s="4"/>
      <c r="FSD2" s="4"/>
      <c r="FSE2" s="4"/>
      <c r="FSF2" s="4"/>
      <c r="FSG2" s="4"/>
      <c r="FSH2" s="4"/>
      <c r="FSI2" s="4"/>
      <c r="FSJ2" s="4"/>
      <c r="FSK2" s="4"/>
      <c r="FSL2" s="4"/>
      <c r="FSM2" s="4"/>
      <c r="FSN2" s="4"/>
      <c r="FSO2" s="4"/>
      <c r="FSP2" s="4"/>
      <c r="FSQ2" s="4"/>
      <c r="FSR2" s="4"/>
      <c r="FSS2" s="4"/>
      <c r="FST2" s="4"/>
      <c r="FSU2" s="4"/>
      <c r="FSV2" s="4"/>
      <c r="FSW2" s="4"/>
      <c r="FSX2" s="4"/>
      <c r="FSY2" s="4"/>
      <c r="FSZ2" s="4"/>
      <c r="FTA2" s="4"/>
      <c r="FTB2" s="4"/>
      <c r="FTC2" s="4"/>
      <c r="FTD2" s="4"/>
      <c r="FTE2" s="4"/>
      <c r="FTF2" s="4"/>
      <c r="FTG2" s="4"/>
      <c r="FTH2" s="4"/>
      <c r="FTI2" s="4"/>
      <c r="FTJ2" s="4"/>
      <c r="FTK2" s="4"/>
      <c r="FTL2" s="4"/>
      <c r="FTM2" s="4"/>
      <c r="FTN2" s="4"/>
      <c r="FTO2" s="4"/>
      <c r="FTP2" s="4"/>
      <c r="FTQ2" s="4"/>
      <c r="FTR2" s="4"/>
      <c r="FTS2" s="4"/>
      <c r="FTT2" s="4"/>
      <c r="FTU2" s="4"/>
      <c r="FTV2" s="4"/>
      <c r="FTW2" s="4"/>
      <c r="FTX2" s="4"/>
      <c r="FTY2" s="4"/>
      <c r="FTZ2" s="4"/>
      <c r="FUA2" s="4"/>
      <c r="FUB2" s="4"/>
      <c r="FUC2" s="4"/>
      <c r="FUD2" s="4"/>
      <c r="FUE2" s="4"/>
      <c r="FUF2" s="4"/>
      <c r="FUG2" s="4"/>
      <c r="FUH2" s="4"/>
      <c r="FUI2" s="4"/>
      <c r="FUJ2" s="4"/>
      <c r="FUK2" s="4"/>
      <c r="FUL2" s="4"/>
      <c r="FUM2" s="4"/>
      <c r="FUN2" s="4"/>
      <c r="FUO2" s="4"/>
      <c r="FUP2" s="4"/>
      <c r="FUQ2" s="4"/>
      <c r="FUR2" s="4"/>
      <c r="FUS2" s="4"/>
      <c r="FUT2" s="4"/>
      <c r="FUU2" s="4"/>
      <c r="FUV2" s="4"/>
      <c r="FUW2" s="4"/>
      <c r="FUX2" s="4"/>
      <c r="FUY2" s="4"/>
      <c r="FUZ2" s="4"/>
      <c r="FVA2" s="4"/>
      <c r="FVB2" s="4"/>
      <c r="FVC2" s="4"/>
      <c r="FVD2" s="4"/>
      <c r="FVE2" s="4"/>
      <c r="FVF2" s="4"/>
      <c r="FVG2" s="4"/>
      <c r="FVH2" s="4"/>
      <c r="FVI2" s="4"/>
      <c r="FVJ2" s="4"/>
      <c r="FVK2" s="4"/>
      <c r="FVL2" s="4"/>
      <c r="FVM2" s="4"/>
      <c r="FVN2" s="4"/>
      <c r="FVO2" s="4"/>
      <c r="FVP2" s="4"/>
      <c r="FVQ2" s="4"/>
      <c r="FVR2" s="4"/>
      <c r="FVS2" s="4"/>
      <c r="FVT2" s="4"/>
      <c r="FVU2" s="4"/>
      <c r="FVV2" s="4"/>
      <c r="FVW2" s="4"/>
      <c r="FVX2" s="4"/>
      <c r="FVY2" s="4"/>
      <c r="FVZ2" s="4"/>
      <c r="FWA2" s="4"/>
      <c r="FWB2" s="4"/>
      <c r="FWC2" s="4"/>
      <c r="FWD2" s="4"/>
      <c r="FWE2" s="4"/>
      <c r="FWF2" s="4"/>
      <c r="FWG2" s="4"/>
      <c r="FWH2" s="4"/>
      <c r="FWI2" s="4"/>
      <c r="FWJ2" s="4"/>
      <c r="FWK2" s="4"/>
      <c r="FWL2" s="4"/>
      <c r="FWM2" s="4"/>
      <c r="FWN2" s="4"/>
      <c r="FWO2" s="4"/>
      <c r="FWP2" s="4"/>
      <c r="FWQ2" s="4"/>
      <c r="FWR2" s="4"/>
      <c r="FWS2" s="4"/>
      <c r="FWT2" s="4"/>
      <c r="FWU2" s="4"/>
      <c r="FWV2" s="4"/>
      <c r="FWW2" s="4"/>
      <c r="FWX2" s="4"/>
      <c r="FWY2" s="4"/>
      <c r="FWZ2" s="4"/>
      <c r="FXA2" s="4"/>
      <c r="FXB2" s="4"/>
      <c r="FXC2" s="4"/>
      <c r="FXD2" s="4"/>
      <c r="FXE2" s="4"/>
      <c r="FXF2" s="4"/>
      <c r="FXG2" s="4"/>
      <c r="FXH2" s="4"/>
      <c r="FXI2" s="4"/>
      <c r="FXJ2" s="4"/>
      <c r="FXK2" s="4"/>
      <c r="FXL2" s="4"/>
      <c r="FXM2" s="4"/>
      <c r="FXN2" s="4"/>
      <c r="FXO2" s="4"/>
      <c r="FXP2" s="4"/>
      <c r="FXQ2" s="4"/>
      <c r="FXR2" s="4"/>
      <c r="FXS2" s="4"/>
      <c r="FXT2" s="4"/>
      <c r="FXU2" s="4"/>
      <c r="FXV2" s="4"/>
      <c r="FXW2" s="4"/>
      <c r="FXX2" s="4"/>
      <c r="FXY2" s="4"/>
      <c r="FXZ2" s="4"/>
      <c r="FYA2" s="4"/>
      <c r="FYB2" s="4"/>
      <c r="FYC2" s="4"/>
      <c r="FYD2" s="4"/>
      <c r="FYE2" s="4"/>
      <c r="FYF2" s="4"/>
      <c r="FYG2" s="4"/>
      <c r="FYH2" s="4"/>
      <c r="FYI2" s="4"/>
      <c r="FYJ2" s="4"/>
      <c r="FYK2" s="4"/>
      <c r="FYL2" s="4"/>
      <c r="FYM2" s="4"/>
      <c r="FYN2" s="4"/>
      <c r="FYO2" s="4"/>
      <c r="FYP2" s="4"/>
      <c r="FYQ2" s="4"/>
      <c r="FYR2" s="4"/>
      <c r="FYS2" s="4"/>
      <c r="FYT2" s="4"/>
      <c r="FYU2" s="4"/>
      <c r="FYV2" s="4"/>
      <c r="FYW2" s="4"/>
      <c r="FYX2" s="4"/>
      <c r="FYY2" s="4"/>
      <c r="FYZ2" s="4"/>
      <c r="FZA2" s="4"/>
      <c r="FZB2" s="4"/>
      <c r="FZC2" s="4"/>
      <c r="FZD2" s="4"/>
      <c r="FZE2" s="4"/>
      <c r="FZF2" s="4"/>
      <c r="FZG2" s="4"/>
      <c r="FZH2" s="4"/>
      <c r="FZI2" s="4"/>
      <c r="FZJ2" s="4"/>
      <c r="FZK2" s="4"/>
      <c r="FZL2" s="4"/>
      <c r="FZM2" s="4"/>
      <c r="FZN2" s="4"/>
      <c r="FZO2" s="4"/>
      <c r="FZP2" s="4"/>
      <c r="FZQ2" s="4"/>
      <c r="FZR2" s="4"/>
      <c r="FZS2" s="4"/>
      <c r="FZT2" s="4"/>
      <c r="FZU2" s="4"/>
      <c r="FZV2" s="4"/>
      <c r="FZW2" s="4"/>
      <c r="FZX2" s="4"/>
      <c r="FZY2" s="4"/>
      <c r="FZZ2" s="4"/>
      <c r="GAA2" s="4"/>
      <c r="GAB2" s="4"/>
      <c r="GAC2" s="4"/>
      <c r="GAD2" s="4"/>
      <c r="GAE2" s="4"/>
      <c r="GAF2" s="4"/>
      <c r="GAG2" s="4"/>
      <c r="GAH2" s="4"/>
      <c r="GAI2" s="4"/>
      <c r="GAJ2" s="4"/>
      <c r="GAK2" s="4"/>
      <c r="GAL2" s="4"/>
      <c r="GAM2" s="4"/>
      <c r="GAN2" s="4"/>
      <c r="GAO2" s="4"/>
      <c r="GAP2" s="4"/>
      <c r="GAQ2" s="4"/>
      <c r="GAR2" s="4"/>
      <c r="GAS2" s="4"/>
      <c r="GAT2" s="4"/>
      <c r="GAU2" s="4"/>
      <c r="GAV2" s="4"/>
      <c r="GAW2" s="4"/>
      <c r="GAX2" s="4"/>
      <c r="GAY2" s="4"/>
      <c r="GAZ2" s="4"/>
      <c r="GBA2" s="4"/>
      <c r="GBB2" s="4"/>
      <c r="GBC2" s="4"/>
      <c r="GBD2" s="4"/>
      <c r="GBE2" s="4"/>
      <c r="GBF2" s="4"/>
      <c r="GBG2" s="4"/>
      <c r="GBH2" s="4"/>
      <c r="GBI2" s="4"/>
      <c r="GBJ2" s="4"/>
      <c r="GBK2" s="4"/>
      <c r="GBL2" s="4"/>
      <c r="GBM2" s="4"/>
      <c r="GBN2" s="4"/>
      <c r="GBO2" s="4"/>
      <c r="GBP2" s="4"/>
      <c r="GBQ2" s="4"/>
      <c r="GBR2" s="4"/>
      <c r="GBS2" s="4"/>
      <c r="GBT2" s="4"/>
      <c r="GBU2" s="4"/>
      <c r="GBV2" s="4"/>
      <c r="GBW2" s="4"/>
      <c r="GBX2" s="4"/>
      <c r="GBY2" s="4"/>
      <c r="GBZ2" s="4"/>
      <c r="GCA2" s="4"/>
      <c r="GCB2" s="4"/>
      <c r="GCC2" s="4"/>
      <c r="GCD2" s="4"/>
      <c r="GCE2" s="4"/>
      <c r="GCF2" s="4"/>
      <c r="GCG2" s="4"/>
      <c r="GCH2" s="4"/>
      <c r="GCI2" s="4"/>
      <c r="GCJ2" s="4"/>
      <c r="GCK2" s="4"/>
      <c r="GCL2" s="4"/>
      <c r="GCM2" s="4"/>
      <c r="GCN2" s="4"/>
      <c r="GCO2" s="4"/>
      <c r="GCP2" s="4"/>
      <c r="GCQ2" s="4"/>
      <c r="GCR2" s="4"/>
      <c r="GCS2" s="4"/>
      <c r="GCT2" s="4"/>
      <c r="GCU2" s="4"/>
      <c r="GCV2" s="4"/>
      <c r="GCW2" s="4"/>
      <c r="GCX2" s="4"/>
      <c r="GCY2" s="4"/>
      <c r="GCZ2" s="4"/>
      <c r="GDA2" s="4"/>
      <c r="GDB2" s="4"/>
      <c r="GDC2" s="4"/>
      <c r="GDD2" s="4"/>
      <c r="GDE2" s="4"/>
      <c r="GDF2" s="4"/>
      <c r="GDG2" s="4"/>
      <c r="GDH2" s="4"/>
      <c r="GDI2" s="4"/>
      <c r="GDJ2" s="4"/>
      <c r="GDK2" s="4"/>
      <c r="GDL2" s="4"/>
      <c r="GDM2" s="4"/>
      <c r="GDN2" s="4"/>
      <c r="GDO2" s="4"/>
      <c r="GDP2" s="4"/>
      <c r="GDQ2" s="4"/>
      <c r="GDR2" s="4"/>
      <c r="GDS2" s="4"/>
      <c r="GDT2" s="4"/>
      <c r="GDU2" s="4"/>
      <c r="GDV2" s="4"/>
      <c r="GDW2" s="4"/>
      <c r="GDX2" s="4"/>
      <c r="GDY2" s="4"/>
      <c r="GDZ2" s="4"/>
      <c r="GEA2" s="4"/>
      <c r="GEB2" s="4"/>
      <c r="GEC2" s="4"/>
      <c r="GED2" s="4"/>
      <c r="GEE2" s="4"/>
      <c r="GEF2" s="4"/>
      <c r="GEG2" s="4"/>
      <c r="GEH2" s="4"/>
      <c r="GEI2" s="4"/>
      <c r="GEJ2" s="4"/>
      <c r="GEK2" s="4"/>
      <c r="GEL2" s="4"/>
      <c r="GEM2" s="4"/>
      <c r="GEN2" s="4"/>
      <c r="GEO2" s="4"/>
      <c r="GEP2" s="4"/>
      <c r="GEQ2" s="4"/>
      <c r="GER2" s="4"/>
      <c r="GES2" s="4"/>
      <c r="GET2" s="4"/>
      <c r="GEU2" s="4"/>
      <c r="GEV2" s="4"/>
      <c r="GEW2" s="4"/>
      <c r="GEX2" s="4"/>
      <c r="GEY2" s="4"/>
      <c r="GEZ2" s="4"/>
      <c r="GFA2" s="4"/>
      <c r="GFB2" s="4"/>
      <c r="GFC2" s="4"/>
      <c r="GFD2" s="4"/>
      <c r="GFE2" s="4"/>
      <c r="GFF2" s="4"/>
      <c r="GFG2" s="4"/>
      <c r="GFH2" s="4"/>
      <c r="GFI2" s="4"/>
      <c r="GFJ2" s="4"/>
      <c r="GFK2" s="4"/>
      <c r="GFL2" s="4"/>
      <c r="GFM2" s="4"/>
      <c r="GFN2" s="4"/>
      <c r="GFO2" s="4"/>
      <c r="GFP2" s="4"/>
      <c r="GFQ2" s="4"/>
      <c r="GFR2" s="4"/>
      <c r="GFS2" s="4"/>
      <c r="GFT2" s="4"/>
      <c r="GFU2" s="4"/>
      <c r="GFV2" s="4"/>
      <c r="GFW2" s="4"/>
      <c r="GFX2" s="4"/>
      <c r="GFY2" s="4"/>
      <c r="GFZ2" s="4"/>
      <c r="GGA2" s="4"/>
      <c r="GGB2" s="4"/>
      <c r="GGC2" s="4"/>
      <c r="GGD2" s="4"/>
      <c r="GGE2" s="4"/>
      <c r="GGF2" s="4"/>
      <c r="GGG2" s="4"/>
      <c r="GGH2" s="4"/>
      <c r="GGI2" s="4"/>
      <c r="GGJ2" s="4"/>
      <c r="GGK2" s="4"/>
      <c r="GGL2" s="4"/>
      <c r="GGM2" s="4"/>
      <c r="GGN2" s="4"/>
      <c r="GGO2" s="4"/>
      <c r="GGP2" s="4"/>
      <c r="GGQ2" s="4"/>
      <c r="GGR2" s="4"/>
      <c r="GGS2" s="4"/>
      <c r="GGT2" s="4"/>
      <c r="GGU2" s="4"/>
      <c r="GGV2" s="4"/>
      <c r="GGW2" s="4"/>
      <c r="GGX2" s="4"/>
      <c r="GGY2" s="4"/>
      <c r="GGZ2" s="4"/>
      <c r="GHA2" s="4"/>
      <c r="GHB2" s="4"/>
      <c r="GHC2" s="4"/>
      <c r="GHD2" s="4"/>
      <c r="GHE2" s="4"/>
      <c r="GHF2" s="4"/>
      <c r="GHG2" s="4"/>
      <c r="GHH2" s="4"/>
      <c r="GHI2" s="4"/>
      <c r="GHJ2" s="4"/>
      <c r="GHK2" s="4"/>
      <c r="GHL2" s="4"/>
      <c r="GHM2" s="4"/>
      <c r="GHN2" s="4"/>
      <c r="GHO2" s="4"/>
      <c r="GHP2" s="4"/>
      <c r="GHQ2" s="4"/>
      <c r="GHR2" s="4"/>
      <c r="GHS2" s="4"/>
      <c r="GHT2" s="4"/>
      <c r="GHU2" s="4"/>
      <c r="GHV2" s="4"/>
      <c r="GHW2" s="4"/>
      <c r="GHX2" s="4"/>
      <c r="GHY2" s="4"/>
      <c r="GHZ2" s="4"/>
      <c r="GIA2" s="4"/>
      <c r="GIB2" s="4"/>
      <c r="GIC2" s="4"/>
      <c r="GID2" s="4"/>
      <c r="GIE2" s="4"/>
      <c r="GIF2" s="4"/>
      <c r="GIG2" s="4"/>
      <c r="GIH2" s="4"/>
      <c r="GII2" s="4"/>
      <c r="GIJ2" s="4"/>
      <c r="GIK2" s="4"/>
      <c r="GIL2" s="4"/>
      <c r="GIM2" s="4"/>
      <c r="GIN2" s="4"/>
      <c r="GIO2" s="4"/>
      <c r="GIP2" s="4"/>
      <c r="GIQ2" s="4"/>
      <c r="GIR2" s="4"/>
      <c r="GIS2" s="4"/>
      <c r="GIT2" s="4"/>
      <c r="GIU2" s="4"/>
      <c r="GIV2" s="4"/>
      <c r="GIW2" s="4"/>
      <c r="GIX2" s="4"/>
      <c r="GIY2" s="4"/>
      <c r="GIZ2" s="4"/>
      <c r="GJA2" s="4"/>
      <c r="GJB2" s="4"/>
      <c r="GJC2" s="4"/>
      <c r="GJD2" s="4"/>
      <c r="GJE2" s="4"/>
      <c r="GJF2" s="4"/>
      <c r="GJG2" s="4"/>
      <c r="GJH2" s="4"/>
      <c r="GJI2" s="4"/>
      <c r="GJJ2" s="4"/>
      <c r="GJK2" s="4"/>
      <c r="GJL2" s="4"/>
      <c r="GJM2" s="4"/>
      <c r="GJN2" s="4"/>
      <c r="GJO2" s="4"/>
      <c r="GJP2" s="4"/>
      <c r="GJQ2" s="4"/>
      <c r="GJR2" s="4"/>
      <c r="GJS2" s="4"/>
      <c r="GJT2" s="4"/>
      <c r="GJU2" s="4"/>
      <c r="GJV2" s="4"/>
      <c r="GJW2" s="4"/>
      <c r="GJX2" s="4"/>
      <c r="GJY2" s="4"/>
      <c r="GJZ2" s="4"/>
      <c r="GKA2" s="4"/>
      <c r="GKB2" s="4"/>
      <c r="GKC2" s="4"/>
      <c r="GKD2" s="4"/>
      <c r="GKE2" s="4"/>
      <c r="GKF2" s="4"/>
      <c r="GKG2" s="4"/>
      <c r="GKH2" s="4"/>
      <c r="GKI2" s="4"/>
      <c r="GKJ2" s="4"/>
      <c r="GKK2" s="4"/>
      <c r="GKL2" s="4"/>
      <c r="GKM2" s="4"/>
      <c r="GKN2" s="4"/>
      <c r="GKO2" s="4"/>
      <c r="GKP2" s="4"/>
      <c r="GKQ2" s="4"/>
      <c r="GKR2" s="4"/>
      <c r="GKS2" s="4"/>
      <c r="GKT2" s="4"/>
      <c r="GKU2" s="4"/>
      <c r="GKV2" s="4"/>
      <c r="GKW2" s="4"/>
      <c r="GKX2" s="4"/>
      <c r="GKY2" s="4"/>
      <c r="GKZ2" s="4"/>
      <c r="GLA2" s="4"/>
      <c r="GLB2" s="4"/>
      <c r="GLC2" s="4"/>
      <c r="GLD2" s="4"/>
      <c r="GLE2" s="4"/>
      <c r="GLF2" s="4"/>
      <c r="GLG2" s="4"/>
      <c r="GLH2" s="4"/>
      <c r="GLI2" s="4"/>
      <c r="GLJ2" s="4"/>
      <c r="GLK2" s="4"/>
      <c r="GLL2" s="4"/>
      <c r="GLM2" s="4"/>
      <c r="GLN2" s="4"/>
      <c r="GLO2" s="4"/>
      <c r="GLP2" s="4"/>
      <c r="GLQ2" s="4"/>
      <c r="GLR2" s="4"/>
      <c r="GLS2" s="4"/>
      <c r="GLT2" s="4"/>
      <c r="GLU2" s="4"/>
      <c r="GLV2" s="4"/>
      <c r="GLW2" s="4"/>
      <c r="GLX2" s="4"/>
      <c r="GLY2" s="4"/>
      <c r="GLZ2" s="4"/>
      <c r="GMA2" s="4"/>
      <c r="GMB2" s="4"/>
      <c r="GMC2" s="4"/>
      <c r="GMD2" s="4"/>
      <c r="GME2" s="4"/>
      <c r="GMF2" s="4"/>
      <c r="GMG2" s="4"/>
      <c r="GMH2" s="4"/>
      <c r="GMI2" s="4"/>
      <c r="GMJ2" s="4"/>
      <c r="GMK2" s="4"/>
      <c r="GML2" s="4"/>
      <c r="GMM2" s="4"/>
      <c r="GMN2" s="4"/>
      <c r="GMO2" s="4"/>
      <c r="GMP2" s="4"/>
      <c r="GMQ2" s="4"/>
      <c r="GMR2" s="4"/>
      <c r="GMS2" s="4"/>
      <c r="GMT2" s="4"/>
      <c r="GMU2" s="4"/>
      <c r="GMV2" s="4"/>
      <c r="GMW2" s="4"/>
      <c r="GMX2" s="4"/>
      <c r="GMY2" s="4"/>
      <c r="GMZ2" s="4"/>
      <c r="GNA2" s="4"/>
      <c r="GNB2" s="4"/>
      <c r="GNC2" s="4"/>
      <c r="GND2" s="4"/>
      <c r="GNE2" s="4"/>
      <c r="GNF2" s="4"/>
      <c r="GNG2" s="4"/>
      <c r="GNH2" s="4"/>
      <c r="GNI2" s="4"/>
      <c r="GNJ2" s="4"/>
      <c r="GNK2" s="4"/>
      <c r="GNL2" s="4"/>
      <c r="GNM2" s="4"/>
      <c r="GNN2" s="4"/>
      <c r="GNO2" s="4"/>
      <c r="GNP2" s="4"/>
      <c r="GNQ2" s="4"/>
      <c r="GNR2" s="4"/>
      <c r="GNS2" s="4"/>
      <c r="GNT2" s="4"/>
      <c r="GNU2" s="4"/>
      <c r="GNV2" s="4"/>
      <c r="GNW2" s="4"/>
      <c r="GNX2" s="4"/>
      <c r="GNY2" s="4"/>
      <c r="GNZ2" s="4"/>
      <c r="GOA2" s="4"/>
      <c r="GOB2" s="4"/>
      <c r="GOC2" s="4"/>
      <c r="GOD2" s="4"/>
      <c r="GOE2" s="4"/>
      <c r="GOF2" s="4"/>
      <c r="GOG2" s="4"/>
      <c r="GOH2" s="4"/>
      <c r="GOI2" s="4"/>
      <c r="GOJ2" s="4"/>
      <c r="GOK2" s="4"/>
      <c r="GOL2" s="4"/>
      <c r="GOM2" s="4"/>
      <c r="GON2" s="4"/>
      <c r="GOO2" s="4"/>
      <c r="GOP2" s="4"/>
      <c r="GOQ2" s="4"/>
      <c r="GOR2" s="4"/>
      <c r="GOS2" s="4"/>
      <c r="GOT2" s="4"/>
      <c r="GOU2" s="4"/>
      <c r="GOV2" s="4"/>
      <c r="GOW2" s="4"/>
      <c r="GOX2" s="4"/>
      <c r="GOY2" s="4"/>
      <c r="GOZ2" s="4"/>
      <c r="GPA2" s="4"/>
      <c r="GPB2" s="4"/>
      <c r="GPC2" s="4"/>
      <c r="GPD2" s="4"/>
      <c r="GPE2" s="4"/>
      <c r="GPF2" s="4"/>
      <c r="GPG2" s="4"/>
      <c r="GPH2" s="4"/>
      <c r="GPI2" s="4"/>
      <c r="GPJ2" s="4"/>
      <c r="GPK2" s="4"/>
      <c r="GPL2" s="4"/>
      <c r="GPM2" s="4"/>
      <c r="GPN2" s="4"/>
      <c r="GPO2" s="4"/>
      <c r="GPP2" s="4"/>
      <c r="GPQ2" s="4"/>
      <c r="GPR2" s="4"/>
      <c r="GPS2" s="4"/>
      <c r="GPT2" s="4"/>
      <c r="GPU2" s="4"/>
      <c r="GPV2" s="4"/>
      <c r="GPW2" s="4"/>
      <c r="GPX2" s="4"/>
      <c r="GPY2" s="4"/>
      <c r="GPZ2" s="4"/>
      <c r="GQA2" s="4"/>
      <c r="GQB2" s="4"/>
      <c r="GQC2" s="4"/>
      <c r="GQD2" s="4"/>
      <c r="GQE2" s="4"/>
      <c r="GQF2" s="4"/>
      <c r="GQG2" s="4"/>
      <c r="GQH2" s="4"/>
      <c r="GQI2" s="4"/>
      <c r="GQJ2" s="4"/>
      <c r="GQK2" s="4"/>
      <c r="GQL2" s="4"/>
      <c r="GQM2" s="4"/>
      <c r="GQN2" s="4"/>
      <c r="GQO2" s="4"/>
      <c r="GQP2" s="4"/>
      <c r="GQQ2" s="4"/>
      <c r="GQR2" s="4"/>
      <c r="GQS2" s="4"/>
      <c r="GQT2" s="4"/>
      <c r="GQU2" s="4"/>
      <c r="GQV2" s="4"/>
      <c r="GQW2" s="4"/>
      <c r="GQX2" s="4"/>
      <c r="GQY2" s="4"/>
      <c r="GQZ2" s="4"/>
      <c r="GRA2" s="4"/>
      <c r="GRB2" s="4"/>
      <c r="GRC2" s="4"/>
      <c r="GRD2" s="4"/>
      <c r="GRE2" s="4"/>
      <c r="GRF2" s="4"/>
      <c r="GRG2" s="4"/>
      <c r="GRH2" s="4"/>
      <c r="GRI2" s="4"/>
      <c r="GRJ2" s="4"/>
      <c r="GRK2" s="4"/>
      <c r="GRL2" s="4"/>
      <c r="GRM2" s="4"/>
      <c r="GRN2" s="4"/>
      <c r="GRO2" s="4"/>
      <c r="GRP2" s="4"/>
      <c r="GRQ2" s="4"/>
      <c r="GRR2" s="4"/>
      <c r="GRS2" s="4"/>
      <c r="GRT2" s="4"/>
      <c r="GRU2" s="4"/>
      <c r="GRV2" s="4"/>
      <c r="GRW2" s="4"/>
      <c r="GRX2" s="4"/>
      <c r="GRY2" s="4"/>
      <c r="GRZ2" s="4"/>
      <c r="GSA2" s="4"/>
      <c r="GSB2" s="4"/>
      <c r="GSC2" s="4"/>
      <c r="GSD2" s="4"/>
      <c r="GSE2" s="4"/>
      <c r="GSF2" s="4"/>
      <c r="GSG2" s="4"/>
      <c r="GSH2" s="4"/>
      <c r="GSI2" s="4"/>
      <c r="GSJ2" s="4"/>
      <c r="GSK2" s="4"/>
      <c r="GSL2" s="4"/>
      <c r="GSM2" s="4"/>
      <c r="GSN2" s="4"/>
      <c r="GSO2" s="4"/>
      <c r="GSP2" s="4"/>
      <c r="GSQ2" s="4"/>
      <c r="GSR2" s="4"/>
      <c r="GSS2" s="4"/>
      <c r="GST2" s="4"/>
      <c r="GSU2" s="4"/>
      <c r="GSV2" s="4"/>
      <c r="GSW2" s="4"/>
      <c r="GSX2" s="4"/>
      <c r="GSY2" s="4"/>
      <c r="GSZ2" s="4"/>
      <c r="GTA2" s="4"/>
      <c r="GTB2" s="4"/>
      <c r="GTC2" s="4"/>
      <c r="GTD2" s="4"/>
      <c r="GTE2" s="4"/>
      <c r="GTF2" s="4"/>
      <c r="GTG2" s="4"/>
      <c r="GTH2" s="4"/>
      <c r="GTI2" s="4"/>
      <c r="GTJ2" s="4"/>
      <c r="GTK2" s="4"/>
      <c r="GTL2" s="4"/>
      <c r="GTM2" s="4"/>
      <c r="GTN2" s="4"/>
      <c r="GTO2" s="4"/>
      <c r="GTP2" s="4"/>
      <c r="GTQ2" s="4"/>
      <c r="GTR2" s="4"/>
      <c r="GTS2" s="4"/>
      <c r="GTT2" s="4"/>
      <c r="GTU2" s="4"/>
      <c r="GTV2" s="4"/>
      <c r="GTW2" s="4"/>
      <c r="GTX2" s="4"/>
      <c r="GTY2" s="4"/>
      <c r="GTZ2" s="4"/>
      <c r="GUA2" s="4"/>
      <c r="GUB2" s="4"/>
      <c r="GUC2" s="4"/>
      <c r="GUD2" s="4"/>
      <c r="GUE2" s="4"/>
      <c r="GUF2" s="4"/>
      <c r="GUG2" s="4"/>
      <c r="GUH2" s="4"/>
      <c r="GUI2" s="4"/>
      <c r="GUJ2" s="4"/>
      <c r="GUK2" s="4"/>
      <c r="GUL2" s="4"/>
      <c r="GUM2" s="4"/>
      <c r="GUN2" s="4"/>
      <c r="GUO2" s="4"/>
      <c r="GUP2" s="4"/>
      <c r="GUQ2" s="4"/>
      <c r="GUR2" s="4"/>
      <c r="GUS2" s="4"/>
      <c r="GUT2" s="4"/>
      <c r="GUU2" s="4"/>
      <c r="GUV2" s="4"/>
      <c r="GUW2" s="4"/>
      <c r="GUX2" s="4"/>
      <c r="GUY2" s="4"/>
      <c r="GUZ2" s="4"/>
      <c r="GVA2" s="4"/>
      <c r="GVB2" s="4"/>
      <c r="GVC2" s="4"/>
      <c r="GVD2" s="4"/>
      <c r="GVE2" s="4"/>
      <c r="GVF2" s="4"/>
      <c r="GVG2" s="4"/>
      <c r="GVH2" s="4"/>
      <c r="GVI2" s="4"/>
      <c r="GVJ2" s="4"/>
      <c r="GVK2" s="4"/>
      <c r="GVL2" s="4"/>
      <c r="GVM2" s="4"/>
      <c r="GVN2" s="4"/>
      <c r="GVO2" s="4"/>
      <c r="GVP2" s="4"/>
      <c r="GVQ2" s="4"/>
      <c r="GVR2" s="4"/>
      <c r="GVS2" s="4"/>
      <c r="GVT2" s="4"/>
      <c r="GVU2" s="4"/>
      <c r="GVV2" s="4"/>
      <c r="GVW2" s="4"/>
      <c r="GVX2" s="4"/>
      <c r="GVY2" s="4"/>
      <c r="GVZ2" s="4"/>
      <c r="GWA2" s="4"/>
      <c r="GWB2" s="4"/>
      <c r="GWC2" s="4"/>
      <c r="GWD2" s="4"/>
      <c r="GWE2" s="4"/>
      <c r="GWF2" s="4"/>
      <c r="GWG2" s="4"/>
      <c r="GWH2" s="4"/>
      <c r="GWI2" s="4"/>
      <c r="GWJ2" s="4"/>
      <c r="GWK2" s="4"/>
      <c r="GWL2" s="4"/>
      <c r="GWM2" s="4"/>
      <c r="GWN2" s="4"/>
      <c r="GWO2" s="4"/>
      <c r="GWP2" s="4"/>
      <c r="GWQ2" s="4"/>
      <c r="GWR2" s="4"/>
      <c r="GWS2" s="4"/>
      <c r="GWT2" s="4"/>
      <c r="GWU2" s="4"/>
      <c r="GWV2" s="4"/>
      <c r="GWW2" s="4"/>
      <c r="GWX2" s="4"/>
      <c r="GWY2" s="4"/>
      <c r="GWZ2" s="4"/>
      <c r="GXA2" s="4"/>
      <c r="GXB2" s="4"/>
      <c r="GXC2" s="4"/>
      <c r="GXD2" s="4"/>
      <c r="GXE2" s="4"/>
      <c r="GXF2" s="4"/>
      <c r="GXG2" s="4"/>
      <c r="GXH2" s="4"/>
      <c r="GXI2" s="4"/>
      <c r="GXJ2" s="4"/>
      <c r="GXK2" s="4"/>
      <c r="GXL2" s="4"/>
      <c r="GXM2" s="4"/>
      <c r="GXN2" s="4"/>
      <c r="GXO2" s="4"/>
      <c r="GXP2" s="4"/>
      <c r="GXQ2" s="4"/>
      <c r="GXR2" s="4"/>
      <c r="GXS2" s="4"/>
      <c r="GXT2" s="4"/>
      <c r="GXU2" s="4"/>
      <c r="GXV2" s="4"/>
      <c r="GXW2" s="4"/>
      <c r="GXX2" s="4"/>
      <c r="GXY2" s="4"/>
      <c r="GXZ2" s="4"/>
      <c r="GYA2" s="4"/>
      <c r="GYB2" s="4"/>
      <c r="GYC2" s="4"/>
      <c r="GYD2" s="4"/>
      <c r="GYE2" s="4"/>
      <c r="GYF2" s="4"/>
      <c r="GYG2" s="4"/>
      <c r="GYH2" s="4"/>
      <c r="GYI2" s="4"/>
      <c r="GYJ2" s="4"/>
      <c r="GYK2" s="4"/>
      <c r="GYL2" s="4"/>
      <c r="GYM2" s="4"/>
      <c r="GYN2" s="4"/>
      <c r="GYO2" s="4"/>
      <c r="GYP2" s="4"/>
      <c r="GYQ2" s="4"/>
      <c r="GYR2" s="4"/>
      <c r="GYS2" s="4"/>
      <c r="GYT2" s="4"/>
      <c r="GYU2" s="4"/>
      <c r="GYV2" s="4"/>
      <c r="GYW2" s="4"/>
      <c r="GYX2" s="4"/>
      <c r="GYY2" s="4"/>
      <c r="GYZ2" s="4"/>
      <c r="GZA2" s="4"/>
      <c r="GZB2" s="4"/>
      <c r="GZC2" s="4"/>
      <c r="GZD2" s="4"/>
      <c r="GZE2" s="4"/>
      <c r="GZF2" s="4"/>
      <c r="GZG2" s="4"/>
      <c r="GZH2" s="4"/>
      <c r="GZI2" s="4"/>
      <c r="GZJ2" s="4"/>
      <c r="GZK2" s="4"/>
      <c r="GZL2" s="4"/>
      <c r="GZM2" s="4"/>
      <c r="GZN2" s="4"/>
      <c r="GZO2" s="4"/>
      <c r="GZP2" s="4"/>
      <c r="GZQ2" s="4"/>
      <c r="GZR2" s="4"/>
      <c r="GZS2" s="4"/>
      <c r="GZT2" s="4"/>
      <c r="GZU2" s="4"/>
      <c r="GZV2" s="4"/>
      <c r="GZW2" s="4"/>
      <c r="GZX2" s="4"/>
      <c r="GZY2" s="4"/>
      <c r="GZZ2" s="4"/>
      <c r="HAA2" s="4"/>
      <c r="HAB2" s="4"/>
      <c r="HAC2" s="4"/>
      <c r="HAD2" s="4"/>
      <c r="HAE2" s="4"/>
      <c r="HAF2" s="4"/>
      <c r="HAG2" s="4"/>
      <c r="HAH2" s="4"/>
      <c r="HAI2" s="4"/>
      <c r="HAJ2" s="4"/>
      <c r="HAK2" s="4"/>
      <c r="HAL2" s="4"/>
      <c r="HAM2" s="4"/>
      <c r="HAN2" s="4"/>
      <c r="HAO2" s="4"/>
      <c r="HAP2" s="4"/>
      <c r="HAQ2" s="4"/>
      <c r="HAR2" s="4"/>
      <c r="HAS2" s="4"/>
      <c r="HAT2" s="4"/>
      <c r="HAU2" s="4"/>
      <c r="HAV2" s="4"/>
      <c r="HAW2" s="4"/>
      <c r="HAX2" s="4"/>
      <c r="HAY2" s="4"/>
      <c r="HAZ2" s="4"/>
      <c r="HBA2" s="4"/>
      <c r="HBB2" s="4"/>
      <c r="HBC2" s="4"/>
      <c r="HBD2" s="4"/>
      <c r="HBE2" s="4"/>
      <c r="HBF2" s="4"/>
      <c r="HBG2" s="4"/>
      <c r="HBH2" s="4"/>
      <c r="HBI2" s="4"/>
      <c r="HBJ2" s="4"/>
      <c r="HBK2" s="4"/>
      <c r="HBL2" s="4"/>
      <c r="HBM2" s="4"/>
      <c r="HBN2" s="4"/>
      <c r="HBO2" s="4"/>
      <c r="HBP2" s="4"/>
      <c r="HBQ2" s="4"/>
      <c r="HBR2" s="4"/>
      <c r="HBS2" s="4"/>
      <c r="HBT2" s="4"/>
      <c r="HBU2" s="4"/>
      <c r="HBV2" s="4"/>
      <c r="HBW2" s="4"/>
      <c r="HBX2" s="4"/>
      <c r="HBY2" s="4"/>
      <c r="HBZ2" s="4"/>
      <c r="HCA2" s="4"/>
      <c r="HCB2" s="4"/>
      <c r="HCC2" s="4"/>
      <c r="HCD2" s="4"/>
      <c r="HCE2" s="4"/>
      <c r="HCF2" s="4"/>
      <c r="HCG2" s="4"/>
      <c r="HCH2" s="4"/>
      <c r="HCI2" s="4"/>
      <c r="HCJ2" s="4"/>
      <c r="HCK2" s="4"/>
      <c r="HCL2" s="4"/>
      <c r="HCM2" s="4"/>
      <c r="HCN2" s="4"/>
      <c r="HCO2" s="4"/>
      <c r="HCP2" s="4"/>
      <c r="HCQ2" s="4"/>
      <c r="HCR2" s="4"/>
      <c r="HCS2" s="4"/>
      <c r="HCT2" s="4"/>
      <c r="HCU2" s="4"/>
      <c r="HCV2" s="4"/>
      <c r="HCW2" s="4"/>
      <c r="HCX2" s="4"/>
      <c r="HCY2" s="4"/>
      <c r="HCZ2" s="4"/>
      <c r="HDA2" s="4"/>
      <c r="HDB2" s="4"/>
      <c r="HDC2" s="4"/>
      <c r="HDD2" s="4"/>
      <c r="HDE2" s="4"/>
      <c r="HDF2" s="4"/>
      <c r="HDG2" s="4"/>
      <c r="HDH2" s="4"/>
      <c r="HDI2" s="4"/>
      <c r="HDJ2" s="4"/>
      <c r="HDK2" s="4"/>
      <c r="HDL2" s="4"/>
      <c r="HDM2" s="4"/>
      <c r="HDN2" s="4"/>
      <c r="HDO2" s="4"/>
      <c r="HDP2" s="4"/>
      <c r="HDQ2" s="4"/>
      <c r="HDR2" s="4"/>
      <c r="HDS2" s="4"/>
      <c r="HDT2" s="4"/>
      <c r="HDU2" s="4"/>
      <c r="HDV2" s="4"/>
      <c r="HDW2" s="4"/>
      <c r="HDX2" s="4"/>
      <c r="HDY2" s="4"/>
      <c r="HDZ2" s="4"/>
      <c r="HEA2" s="4"/>
      <c r="HEB2" s="4"/>
      <c r="HEC2" s="4"/>
      <c r="HED2" s="4"/>
      <c r="HEE2" s="4"/>
      <c r="HEF2" s="4"/>
      <c r="HEG2" s="4"/>
      <c r="HEH2" s="4"/>
      <c r="HEI2" s="4"/>
      <c r="HEJ2" s="4"/>
      <c r="HEK2" s="4"/>
      <c r="HEL2" s="4"/>
      <c r="HEM2" s="4"/>
      <c r="HEN2" s="4"/>
      <c r="HEO2" s="4"/>
      <c r="HEP2" s="4"/>
      <c r="HEQ2" s="4"/>
      <c r="HER2" s="4"/>
      <c r="HES2" s="4"/>
      <c r="HET2" s="4"/>
      <c r="HEU2" s="4"/>
      <c r="HEV2" s="4"/>
      <c r="HEW2" s="4"/>
      <c r="HEX2" s="4"/>
      <c r="HEY2" s="4"/>
      <c r="HEZ2" s="4"/>
      <c r="HFA2" s="4"/>
      <c r="HFB2" s="4"/>
      <c r="HFC2" s="4"/>
      <c r="HFD2" s="4"/>
      <c r="HFE2" s="4"/>
      <c r="HFF2" s="4"/>
      <c r="HFG2" s="4"/>
      <c r="HFH2" s="4"/>
      <c r="HFI2" s="4"/>
      <c r="HFJ2" s="4"/>
      <c r="HFK2" s="4"/>
      <c r="HFL2" s="4"/>
      <c r="HFM2" s="4"/>
      <c r="HFN2" s="4"/>
      <c r="HFO2" s="4"/>
      <c r="HFP2" s="4"/>
      <c r="HFQ2" s="4"/>
      <c r="HFR2" s="4"/>
      <c r="HFS2" s="4"/>
      <c r="HFT2" s="4"/>
      <c r="HFU2" s="4"/>
      <c r="HFV2" s="4"/>
      <c r="HFW2" s="4"/>
      <c r="HFX2" s="4"/>
      <c r="HFY2" s="4"/>
      <c r="HFZ2" s="4"/>
      <c r="HGA2" s="4"/>
      <c r="HGB2" s="4"/>
      <c r="HGC2" s="4"/>
      <c r="HGD2" s="4"/>
      <c r="HGE2" s="4"/>
      <c r="HGF2" s="4"/>
      <c r="HGG2" s="4"/>
      <c r="HGH2" s="4"/>
      <c r="HGI2" s="4"/>
      <c r="HGJ2" s="4"/>
      <c r="HGK2" s="4"/>
      <c r="HGL2" s="4"/>
      <c r="HGM2" s="4"/>
      <c r="HGN2" s="4"/>
      <c r="HGO2" s="4"/>
      <c r="HGP2" s="4"/>
      <c r="HGQ2" s="4"/>
      <c r="HGR2" s="4"/>
      <c r="HGS2" s="4"/>
      <c r="HGT2" s="4"/>
      <c r="HGU2" s="4"/>
      <c r="HGV2" s="4"/>
      <c r="HGW2" s="4"/>
      <c r="HGX2" s="4"/>
      <c r="HGY2" s="4"/>
      <c r="HGZ2" s="4"/>
      <c r="HHA2" s="4"/>
      <c r="HHB2" s="4"/>
      <c r="HHC2" s="4"/>
      <c r="HHD2" s="4"/>
      <c r="HHE2" s="4"/>
      <c r="HHF2" s="4"/>
      <c r="HHG2" s="4"/>
      <c r="HHH2" s="4"/>
      <c r="HHI2" s="4"/>
      <c r="HHJ2" s="4"/>
      <c r="HHK2" s="4"/>
      <c r="HHL2" s="4"/>
      <c r="HHM2" s="4"/>
      <c r="HHN2" s="4"/>
      <c r="HHO2" s="4"/>
      <c r="HHP2" s="4"/>
      <c r="HHQ2" s="4"/>
      <c r="HHR2" s="4"/>
      <c r="HHS2" s="4"/>
      <c r="HHT2" s="4"/>
      <c r="HHU2" s="4"/>
      <c r="HHV2" s="4"/>
      <c r="HHW2" s="4"/>
      <c r="HHX2" s="4"/>
      <c r="HHY2" s="4"/>
      <c r="HHZ2" s="4"/>
      <c r="HIA2" s="4"/>
      <c r="HIB2" s="4"/>
      <c r="HIC2" s="4"/>
      <c r="HID2" s="4"/>
      <c r="HIE2" s="4"/>
      <c r="HIF2" s="4"/>
      <c r="HIG2" s="4"/>
      <c r="HIH2" s="4"/>
      <c r="HII2" s="4"/>
      <c r="HIJ2" s="4"/>
      <c r="HIK2" s="4"/>
      <c r="HIL2" s="4"/>
      <c r="HIM2" s="4"/>
      <c r="HIN2" s="4"/>
      <c r="HIO2" s="4"/>
      <c r="HIP2" s="4"/>
      <c r="HIQ2" s="4"/>
      <c r="HIR2" s="4"/>
      <c r="HIS2" s="4"/>
      <c r="HIT2" s="4"/>
      <c r="HIU2" s="4"/>
      <c r="HIV2" s="4"/>
      <c r="HIW2" s="4"/>
      <c r="HIX2" s="4"/>
      <c r="HIY2" s="4"/>
      <c r="HIZ2" s="4"/>
      <c r="HJA2" s="4"/>
      <c r="HJB2" s="4"/>
      <c r="HJC2" s="4"/>
      <c r="HJD2" s="4"/>
      <c r="HJE2" s="4"/>
      <c r="HJF2" s="4"/>
      <c r="HJG2" s="4"/>
      <c r="HJH2" s="4"/>
      <c r="HJI2" s="4"/>
      <c r="HJJ2" s="4"/>
      <c r="HJK2" s="4"/>
      <c r="HJL2" s="4"/>
      <c r="HJM2" s="4"/>
      <c r="HJN2" s="4"/>
      <c r="HJO2" s="4"/>
      <c r="HJP2" s="4"/>
      <c r="HJQ2" s="4"/>
      <c r="HJR2" s="4"/>
      <c r="HJS2" s="4"/>
      <c r="HJT2" s="4"/>
      <c r="HJU2" s="4"/>
      <c r="HJV2" s="4"/>
      <c r="HJW2" s="4"/>
      <c r="HJX2" s="4"/>
      <c r="HJY2" s="4"/>
      <c r="HJZ2" s="4"/>
      <c r="HKA2" s="4"/>
      <c r="HKB2" s="4"/>
      <c r="HKC2" s="4"/>
      <c r="HKD2" s="4"/>
      <c r="HKE2" s="4"/>
      <c r="HKF2" s="4"/>
      <c r="HKG2" s="4"/>
      <c r="HKH2" s="4"/>
      <c r="HKI2" s="4"/>
      <c r="HKJ2" s="4"/>
      <c r="HKK2" s="4"/>
      <c r="HKL2" s="4"/>
      <c r="HKM2" s="4"/>
      <c r="HKN2" s="4"/>
      <c r="HKO2" s="4"/>
      <c r="HKP2" s="4"/>
      <c r="HKQ2" s="4"/>
      <c r="HKR2" s="4"/>
      <c r="HKS2" s="4"/>
      <c r="HKT2" s="4"/>
      <c r="HKU2" s="4"/>
      <c r="HKV2" s="4"/>
      <c r="HKW2" s="4"/>
      <c r="HKX2" s="4"/>
      <c r="HKY2" s="4"/>
      <c r="HKZ2" s="4"/>
      <c r="HLA2" s="4"/>
      <c r="HLB2" s="4"/>
      <c r="HLC2" s="4"/>
      <c r="HLD2" s="4"/>
      <c r="HLE2" s="4"/>
      <c r="HLF2" s="4"/>
      <c r="HLG2" s="4"/>
      <c r="HLH2" s="4"/>
      <c r="HLI2" s="4"/>
      <c r="HLJ2" s="4"/>
      <c r="HLK2" s="4"/>
      <c r="HLL2" s="4"/>
      <c r="HLM2" s="4"/>
      <c r="HLN2" s="4"/>
      <c r="HLO2" s="4"/>
      <c r="HLP2" s="4"/>
      <c r="HLQ2" s="4"/>
      <c r="HLR2" s="4"/>
      <c r="HLS2" s="4"/>
      <c r="HLT2" s="4"/>
      <c r="HLU2" s="4"/>
      <c r="HLV2" s="4"/>
      <c r="HLW2" s="4"/>
      <c r="HLX2" s="4"/>
      <c r="HLY2" s="4"/>
      <c r="HLZ2" s="4"/>
      <c r="HMA2" s="4"/>
      <c r="HMB2" s="4"/>
      <c r="HMC2" s="4"/>
      <c r="HMD2" s="4"/>
      <c r="HME2" s="4"/>
      <c r="HMF2" s="4"/>
      <c r="HMG2" s="4"/>
      <c r="HMH2" s="4"/>
      <c r="HMI2" s="4"/>
      <c r="HMJ2" s="4"/>
      <c r="HMK2" s="4"/>
      <c r="HML2" s="4"/>
      <c r="HMM2" s="4"/>
      <c r="HMN2" s="4"/>
      <c r="HMO2" s="4"/>
      <c r="HMP2" s="4"/>
      <c r="HMQ2" s="4"/>
      <c r="HMR2" s="4"/>
      <c r="HMS2" s="4"/>
      <c r="HMT2" s="4"/>
      <c r="HMU2" s="4"/>
      <c r="HMV2" s="4"/>
      <c r="HMW2" s="4"/>
      <c r="HMX2" s="4"/>
      <c r="HMY2" s="4"/>
      <c r="HMZ2" s="4"/>
      <c r="HNA2" s="4"/>
      <c r="HNB2" s="4"/>
      <c r="HNC2" s="4"/>
      <c r="HND2" s="4"/>
      <c r="HNE2" s="4"/>
      <c r="HNF2" s="4"/>
      <c r="HNG2" s="4"/>
      <c r="HNH2" s="4"/>
      <c r="HNI2" s="4"/>
      <c r="HNJ2" s="4"/>
      <c r="HNK2" s="4"/>
      <c r="HNL2" s="4"/>
      <c r="HNM2" s="4"/>
      <c r="HNN2" s="4"/>
      <c r="HNO2" s="4"/>
      <c r="HNP2" s="4"/>
      <c r="HNQ2" s="4"/>
      <c r="HNR2" s="4"/>
      <c r="HNS2" s="4"/>
      <c r="HNT2" s="4"/>
      <c r="HNU2" s="4"/>
      <c r="HNV2" s="4"/>
      <c r="HNW2" s="4"/>
      <c r="HNX2" s="4"/>
      <c r="HNY2" s="4"/>
      <c r="HNZ2" s="4"/>
      <c r="HOA2" s="4"/>
      <c r="HOB2" s="4"/>
      <c r="HOC2" s="4"/>
      <c r="HOD2" s="4"/>
      <c r="HOE2" s="4"/>
      <c r="HOF2" s="4"/>
      <c r="HOG2" s="4"/>
      <c r="HOH2" s="4"/>
      <c r="HOI2" s="4"/>
      <c r="HOJ2" s="4"/>
      <c r="HOK2" s="4"/>
      <c r="HOL2" s="4"/>
      <c r="HOM2" s="4"/>
      <c r="HON2" s="4"/>
      <c r="HOO2" s="4"/>
      <c r="HOP2" s="4"/>
      <c r="HOQ2" s="4"/>
      <c r="HOR2" s="4"/>
      <c r="HOS2" s="4"/>
      <c r="HOT2" s="4"/>
      <c r="HOU2" s="4"/>
      <c r="HOV2" s="4"/>
      <c r="HOW2" s="4"/>
      <c r="HOX2" s="4"/>
      <c r="HOY2" s="4"/>
      <c r="HOZ2" s="4"/>
      <c r="HPA2" s="4"/>
      <c r="HPB2" s="4"/>
      <c r="HPC2" s="4"/>
      <c r="HPD2" s="4"/>
      <c r="HPE2" s="4"/>
      <c r="HPF2" s="4"/>
      <c r="HPG2" s="4"/>
      <c r="HPH2" s="4"/>
      <c r="HPI2" s="4"/>
      <c r="HPJ2" s="4"/>
      <c r="HPK2" s="4"/>
      <c r="HPL2" s="4"/>
      <c r="HPM2" s="4"/>
      <c r="HPN2" s="4"/>
      <c r="HPO2" s="4"/>
      <c r="HPP2" s="4"/>
      <c r="HPQ2" s="4"/>
      <c r="HPR2" s="4"/>
      <c r="HPS2" s="4"/>
      <c r="HPT2" s="4"/>
      <c r="HPU2" s="4"/>
      <c r="HPV2" s="4"/>
      <c r="HPW2" s="4"/>
      <c r="HPX2" s="4"/>
      <c r="HPY2" s="4"/>
      <c r="HPZ2" s="4"/>
      <c r="HQA2" s="4"/>
      <c r="HQB2" s="4"/>
      <c r="HQC2" s="4"/>
      <c r="HQD2" s="4"/>
      <c r="HQE2" s="4"/>
      <c r="HQF2" s="4"/>
      <c r="HQG2" s="4"/>
      <c r="HQH2" s="4"/>
      <c r="HQI2" s="4"/>
      <c r="HQJ2" s="4"/>
      <c r="HQK2" s="4"/>
      <c r="HQL2" s="4"/>
      <c r="HQM2" s="4"/>
      <c r="HQN2" s="4"/>
      <c r="HQO2" s="4"/>
      <c r="HQP2" s="4"/>
      <c r="HQQ2" s="4"/>
      <c r="HQR2" s="4"/>
      <c r="HQS2" s="4"/>
      <c r="HQT2" s="4"/>
      <c r="HQU2" s="4"/>
      <c r="HQV2" s="4"/>
      <c r="HQW2" s="4"/>
      <c r="HQX2" s="4"/>
      <c r="HQY2" s="4"/>
      <c r="HQZ2" s="4"/>
      <c r="HRA2" s="4"/>
      <c r="HRB2" s="4"/>
      <c r="HRC2" s="4"/>
      <c r="HRD2" s="4"/>
      <c r="HRE2" s="4"/>
      <c r="HRF2" s="4"/>
      <c r="HRG2" s="4"/>
      <c r="HRH2" s="4"/>
      <c r="HRI2" s="4"/>
      <c r="HRJ2" s="4"/>
      <c r="HRK2" s="4"/>
      <c r="HRL2" s="4"/>
      <c r="HRM2" s="4"/>
      <c r="HRN2" s="4"/>
      <c r="HRO2" s="4"/>
      <c r="HRP2" s="4"/>
      <c r="HRQ2" s="4"/>
      <c r="HRR2" s="4"/>
      <c r="HRS2" s="4"/>
      <c r="HRT2" s="4"/>
      <c r="HRU2" s="4"/>
      <c r="HRV2" s="4"/>
      <c r="HRW2" s="4"/>
      <c r="HRX2" s="4"/>
      <c r="HRY2" s="4"/>
      <c r="HRZ2" s="4"/>
      <c r="HSA2" s="4"/>
      <c r="HSB2" s="4"/>
      <c r="HSC2" s="4"/>
      <c r="HSD2" s="4"/>
      <c r="HSE2" s="4"/>
      <c r="HSF2" s="4"/>
      <c r="HSG2" s="4"/>
      <c r="HSH2" s="4"/>
      <c r="HSI2" s="4"/>
      <c r="HSJ2" s="4"/>
      <c r="HSK2" s="4"/>
      <c r="HSL2" s="4"/>
      <c r="HSM2" s="4"/>
      <c r="HSN2" s="4"/>
      <c r="HSO2" s="4"/>
      <c r="HSP2" s="4"/>
      <c r="HSQ2" s="4"/>
      <c r="HSR2" s="4"/>
      <c r="HSS2" s="4"/>
      <c r="HST2" s="4"/>
      <c r="HSU2" s="4"/>
      <c r="HSV2" s="4"/>
      <c r="HSW2" s="4"/>
      <c r="HSX2" s="4"/>
      <c r="HSY2" s="4"/>
      <c r="HSZ2" s="4"/>
      <c r="HTA2" s="4"/>
      <c r="HTB2" s="4"/>
      <c r="HTC2" s="4"/>
      <c r="HTD2" s="4"/>
      <c r="HTE2" s="4"/>
      <c r="HTF2" s="4"/>
      <c r="HTG2" s="4"/>
      <c r="HTH2" s="4"/>
      <c r="HTI2" s="4"/>
      <c r="HTJ2" s="4"/>
      <c r="HTK2" s="4"/>
      <c r="HTL2" s="4"/>
      <c r="HTM2" s="4"/>
      <c r="HTN2" s="4"/>
      <c r="HTO2" s="4"/>
      <c r="HTP2" s="4"/>
      <c r="HTQ2" s="4"/>
      <c r="HTR2" s="4"/>
      <c r="HTS2" s="4"/>
      <c r="HTT2" s="4"/>
      <c r="HTU2" s="4"/>
      <c r="HTV2" s="4"/>
      <c r="HTW2" s="4"/>
      <c r="HTX2" s="4"/>
      <c r="HTY2" s="4"/>
      <c r="HTZ2" s="4"/>
      <c r="HUA2" s="4"/>
      <c r="HUB2" s="4"/>
      <c r="HUC2" s="4"/>
      <c r="HUD2" s="4"/>
      <c r="HUE2" s="4"/>
      <c r="HUF2" s="4"/>
      <c r="HUG2" s="4"/>
      <c r="HUH2" s="4"/>
      <c r="HUI2" s="4"/>
      <c r="HUJ2" s="4"/>
      <c r="HUK2" s="4"/>
      <c r="HUL2" s="4"/>
      <c r="HUM2" s="4"/>
      <c r="HUN2" s="4"/>
      <c r="HUO2" s="4"/>
      <c r="HUP2" s="4"/>
      <c r="HUQ2" s="4"/>
      <c r="HUR2" s="4"/>
      <c r="HUS2" s="4"/>
      <c r="HUT2" s="4"/>
      <c r="HUU2" s="4"/>
      <c r="HUV2" s="4"/>
      <c r="HUW2" s="4"/>
      <c r="HUX2" s="4"/>
      <c r="HUY2" s="4"/>
      <c r="HUZ2" s="4"/>
      <c r="HVA2" s="4"/>
      <c r="HVB2" s="4"/>
      <c r="HVC2" s="4"/>
      <c r="HVD2" s="4"/>
      <c r="HVE2" s="4"/>
      <c r="HVF2" s="4"/>
      <c r="HVG2" s="4"/>
      <c r="HVH2" s="4"/>
      <c r="HVI2" s="4"/>
      <c r="HVJ2" s="4"/>
      <c r="HVK2" s="4"/>
      <c r="HVL2" s="4"/>
      <c r="HVM2" s="4"/>
      <c r="HVN2" s="4"/>
      <c r="HVO2" s="4"/>
      <c r="HVP2" s="4"/>
      <c r="HVQ2" s="4"/>
      <c r="HVR2" s="4"/>
      <c r="HVS2" s="4"/>
      <c r="HVT2" s="4"/>
      <c r="HVU2" s="4"/>
      <c r="HVV2" s="4"/>
      <c r="HVW2" s="4"/>
      <c r="HVX2" s="4"/>
      <c r="HVY2" s="4"/>
      <c r="HVZ2" s="4"/>
      <c r="HWA2" s="4"/>
      <c r="HWB2" s="4"/>
      <c r="HWC2" s="4"/>
      <c r="HWD2" s="4"/>
      <c r="HWE2" s="4"/>
      <c r="HWF2" s="4"/>
      <c r="HWG2" s="4"/>
      <c r="HWH2" s="4"/>
      <c r="HWI2" s="4"/>
      <c r="HWJ2" s="4"/>
      <c r="HWK2" s="4"/>
      <c r="HWL2" s="4"/>
      <c r="HWM2" s="4"/>
      <c r="HWN2" s="4"/>
      <c r="HWO2" s="4"/>
      <c r="HWP2" s="4"/>
      <c r="HWQ2" s="4"/>
      <c r="HWR2" s="4"/>
      <c r="HWS2" s="4"/>
      <c r="HWT2" s="4"/>
      <c r="HWU2" s="4"/>
      <c r="HWV2" s="4"/>
      <c r="HWW2" s="4"/>
      <c r="HWX2" s="4"/>
      <c r="HWY2" s="4"/>
      <c r="HWZ2" s="4"/>
      <c r="HXA2" s="4"/>
      <c r="HXB2" s="4"/>
      <c r="HXC2" s="4"/>
      <c r="HXD2" s="4"/>
      <c r="HXE2" s="4"/>
      <c r="HXF2" s="4"/>
      <c r="HXG2" s="4"/>
      <c r="HXH2" s="4"/>
      <c r="HXI2" s="4"/>
      <c r="HXJ2" s="4"/>
      <c r="HXK2" s="4"/>
      <c r="HXL2" s="4"/>
      <c r="HXM2" s="4"/>
      <c r="HXN2" s="4"/>
      <c r="HXO2" s="4"/>
      <c r="HXP2" s="4"/>
      <c r="HXQ2" s="4"/>
      <c r="HXR2" s="4"/>
      <c r="HXS2" s="4"/>
      <c r="HXT2" s="4"/>
      <c r="HXU2" s="4"/>
      <c r="HXV2" s="4"/>
      <c r="HXW2" s="4"/>
      <c r="HXX2" s="4"/>
      <c r="HXY2" s="4"/>
      <c r="HXZ2" s="4"/>
      <c r="HYA2" s="4"/>
      <c r="HYB2" s="4"/>
      <c r="HYC2" s="4"/>
      <c r="HYD2" s="4"/>
      <c r="HYE2" s="4"/>
      <c r="HYF2" s="4"/>
      <c r="HYG2" s="4"/>
      <c r="HYH2" s="4"/>
      <c r="HYI2" s="4"/>
      <c r="HYJ2" s="4"/>
      <c r="HYK2" s="4"/>
      <c r="HYL2" s="4"/>
      <c r="HYM2" s="4"/>
      <c r="HYN2" s="4"/>
      <c r="HYO2" s="4"/>
      <c r="HYP2" s="4"/>
      <c r="HYQ2" s="4"/>
      <c r="HYR2" s="4"/>
      <c r="HYS2" s="4"/>
      <c r="HYT2" s="4"/>
      <c r="HYU2" s="4"/>
      <c r="HYV2" s="4"/>
      <c r="HYW2" s="4"/>
      <c r="HYX2" s="4"/>
      <c r="HYY2" s="4"/>
      <c r="HYZ2" s="4"/>
      <c r="HZA2" s="4"/>
      <c r="HZB2" s="4"/>
      <c r="HZC2" s="4"/>
      <c r="HZD2" s="4"/>
      <c r="HZE2" s="4"/>
      <c r="HZF2" s="4"/>
      <c r="HZG2" s="4"/>
      <c r="HZH2" s="4"/>
      <c r="HZI2" s="4"/>
      <c r="HZJ2" s="4"/>
      <c r="HZK2" s="4"/>
      <c r="HZL2" s="4"/>
      <c r="HZM2" s="4"/>
      <c r="HZN2" s="4"/>
      <c r="HZO2" s="4"/>
      <c r="HZP2" s="4"/>
      <c r="HZQ2" s="4"/>
      <c r="HZR2" s="4"/>
      <c r="HZS2" s="4"/>
      <c r="HZT2" s="4"/>
      <c r="HZU2" s="4"/>
      <c r="HZV2" s="4"/>
      <c r="HZW2" s="4"/>
      <c r="HZX2" s="4"/>
      <c r="HZY2" s="4"/>
      <c r="HZZ2" s="4"/>
      <c r="IAA2" s="4"/>
      <c r="IAB2" s="4"/>
      <c r="IAC2" s="4"/>
      <c r="IAD2" s="4"/>
      <c r="IAE2" s="4"/>
      <c r="IAF2" s="4"/>
      <c r="IAG2" s="4"/>
      <c r="IAH2" s="4"/>
      <c r="IAI2" s="4"/>
      <c r="IAJ2" s="4"/>
      <c r="IAK2" s="4"/>
      <c r="IAL2" s="4"/>
      <c r="IAM2" s="4"/>
      <c r="IAN2" s="4"/>
      <c r="IAO2" s="4"/>
      <c r="IAP2" s="4"/>
      <c r="IAQ2" s="4"/>
      <c r="IAR2" s="4"/>
      <c r="IAS2" s="4"/>
      <c r="IAT2" s="4"/>
      <c r="IAU2" s="4"/>
      <c r="IAV2" s="4"/>
      <c r="IAW2" s="4"/>
      <c r="IAX2" s="4"/>
      <c r="IAY2" s="4"/>
      <c r="IAZ2" s="4"/>
      <c r="IBA2" s="4"/>
      <c r="IBB2" s="4"/>
      <c r="IBC2" s="4"/>
      <c r="IBD2" s="4"/>
      <c r="IBE2" s="4"/>
      <c r="IBF2" s="4"/>
      <c r="IBG2" s="4"/>
      <c r="IBH2" s="4"/>
      <c r="IBI2" s="4"/>
      <c r="IBJ2" s="4"/>
      <c r="IBK2" s="4"/>
      <c r="IBL2" s="4"/>
      <c r="IBM2" s="4"/>
      <c r="IBN2" s="4"/>
      <c r="IBO2" s="4"/>
      <c r="IBP2" s="4"/>
      <c r="IBQ2" s="4"/>
      <c r="IBR2" s="4"/>
      <c r="IBS2" s="4"/>
      <c r="IBT2" s="4"/>
      <c r="IBU2" s="4"/>
      <c r="IBV2" s="4"/>
      <c r="IBW2" s="4"/>
      <c r="IBX2" s="4"/>
      <c r="IBY2" s="4"/>
      <c r="IBZ2" s="4"/>
      <c r="ICA2" s="4"/>
      <c r="ICB2" s="4"/>
      <c r="ICC2" s="4"/>
      <c r="ICD2" s="4"/>
      <c r="ICE2" s="4"/>
      <c r="ICF2" s="4"/>
      <c r="ICG2" s="4"/>
      <c r="ICH2" s="4"/>
      <c r="ICI2" s="4"/>
      <c r="ICJ2" s="4"/>
      <c r="ICK2" s="4"/>
      <c r="ICL2" s="4"/>
      <c r="ICM2" s="4"/>
      <c r="ICN2" s="4"/>
      <c r="ICO2" s="4"/>
      <c r="ICP2" s="4"/>
      <c r="ICQ2" s="4"/>
      <c r="ICR2" s="4"/>
      <c r="ICS2" s="4"/>
      <c r="ICT2" s="4"/>
      <c r="ICU2" s="4"/>
      <c r="ICV2" s="4"/>
      <c r="ICW2" s="4"/>
      <c r="ICX2" s="4"/>
      <c r="ICY2" s="4"/>
      <c r="ICZ2" s="4"/>
      <c r="IDA2" s="4"/>
      <c r="IDB2" s="4"/>
      <c r="IDC2" s="4"/>
      <c r="IDD2" s="4"/>
      <c r="IDE2" s="4"/>
      <c r="IDF2" s="4"/>
      <c r="IDG2" s="4"/>
      <c r="IDH2" s="4"/>
      <c r="IDI2" s="4"/>
      <c r="IDJ2" s="4"/>
      <c r="IDK2" s="4"/>
      <c r="IDL2" s="4"/>
      <c r="IDM2" s="4"/>
      <c r="IDN2" s="4"/>
      <c r="IDO2" s="4"/>
      <c r="IDP2" s="4"/>
      <c r="IDQ2" s="4"/>
      <c r="IDR2" s="4"/>
      <c r="IDS2" s="4"/>
      <c r="IDT2" s="4"/>
      <c r="IDU2" s="4"/>
      <c r="IDV2" s="4"/>
      <c r="IDW2" s="4"/>
      <c r="IDX2" s="4"/>
      <c r="IDY2" s="4"/>
      <c r="IDZ2" s="4"/>
      <c r="IEA2" s="4"/>
      <c r="IEB2" s="4"/>
      <c r="IEC2" s="4"/>
      <c r="IED2" s="4"/>
      <c r="IEE2" s="4"/>
      <c r="IEF2" s="4"/>
      <c r="IEG2" s="4"/>
      <c r="IEH2" s="4"/>
      <c r="IEI2" s="4"/>
      <c r="IEJ2" s="4"/>
      <c r="IEK2" s="4"/>
      <c r="IEL2" s="4"/>
      <c r="IEM2" s="4"/>
      <c r="IEN2" s="4"/>
      <c r="IEO2" s="4"/>
      <c r="IEP2" s="4"/>
      <c r="IEQ2" s="4"/>
      <c r="IER2" s="4"/>
      <c r="IES2" s="4"/>
      <c r="IET2" s="4"/>
      <c r="IEU2" s="4"/>
      <c r="IEV2" s="4"/>
      <c r="IEW2" s="4"/>
      <c r="IEX2" s="4"/>
      <c r="IEY2" s="4"/>
      <c r="IEZ2" s="4"/>
      <c r="IFA2" s="4"/>
      <c r="IFB2" s="4"/>
      <c r="IFC2" s="4"/>
      <c r="IFD2" s="4"/>
      <c r="IFE2" s="4"/>
      <c r="IFF2" s="4"/>
      <c r="IFG2" s="4"/>
      <c r="IFH2" s="4"/>
      <c r="IFI2" s="4"/>
      <c r="IFJ2" s="4"/>
      <c r="IFK2" s="4"/>
      <c r="IFL2" s="4"/>
      <c r="IFM2" s="4"/>
      <c r="IFN2" s="4"/>
      <c r="IFO2" s="4"/>
      <c r="IFP2" s="4"/>
      <c r="IFQ2" s="4"/>
      <c r="IFR2" s="4"/>
      <c r="IFS2" s="4"/>
      <c r="IFT2" s="4"/>
      <c r="IFU2" s="4"/>
      <c r="IFV2" s="4"/>
      <c r="IFW2" s="4"/>
      <c r="IFX2" s="4"/>
      <c r="IFY2" s="4"/>
      <c r="IFZ2" s="4"/>
      <c r="IGA2" s="4"/>
      <c r="IGB2" s="4"/>
      <c r="IGC2" s="4"/>
      <c r="IGD2" s="4"/>
      <c r="IGE2" s="4"/>
      <c r="IGF2" s="4"/>
      <c r="IGG2" s="4"/>
      <c r="IGH2" s="4"/>
      <c r="IGI2" s="4"/>
      <c r="IGJ2" s="4"/>
      <c r="IGK2" s="4"/>
      <c r="IGL2" s="4"/>
      <c r="IGM2" s="4"/>
      <c r="IGN2" s="4"/>
      <c r="IGO2" s="4"/>
      <c r="IGP2" s="4"/>
      <c r="IGQ2" s="4"/>
      <c r="IGR2" s="4"/>
      <c r="IGS2" s="4"/>
      <c r="IGT2" s="4"/>
      <c r="IGU2" s="4"/>
      <c r="IGV2" s="4"/>
      <c r="IGW2" s="4"/>
      <c r="IGX2" s="4"/>
      <c r="IGY2" s="4"/>
      <c r="IGZ2" s="4"/>
      <c r="IHA2" s="4"/>
      <c r="IHB2" s="4"/>
      <c r="IHC2" s="4"/>
      <c r="IHD2" s="4"/>
      <c r="IHE2" s="4"/>
      <c r="IHF2" s="4"/>
      <c r="IHG2" s="4"/>
      <c r="IHH2" s="4"/>
      <c r="IHI2" s="4"/>
      <c r="IHJ2" s="4"/>
      <c r="IHK2" s="4"/>
      <c r="IHL2" s="4"/>
      <c r="IHM2" s="4"/>
      <c r="IHN2" s="4"/>
      <c r="IHO2" s="4"/>
      <c r="IHP2" s="4"/>
      <c r="IHQ2" s="4"/>
      <c r="IHR2" s="4"/>
      <c r="IHS2" s="4"/>
      <c r="IHT2" s="4"/>
      <c r="IHU2" s="4"/>
      <c r="IHV2" s="4"/>
      <c r="IHW2" s="4"/>
      <c r="IHX2" s="4"/>
      <c r="IHY2" s="4"/>
      <c r="IHZ2" s="4"/>
      <c r="IIA2" s="4"/>
      <c r="IIB2" s="4"/>
      <c r="IIC2" s="4"/>
      <c r="IID2" s="4"/>
      <c r="IIE2" s="4"/>
      <c r="IIF2" s="4"/>
      <c r="IIG2" s="4"/>
      <c r="IIH2" s="4"/>
      <c r="III2" s="4"/>
      <c r="IIJ2" s="4"/>
      <c r="IIK2" s="4"/>
      <c r="IIL2" s="4"/>
      <c r="IIM2" s="4"/>
      <c r="IIN2" s="4"/>
      <c r="IIO2" s="4"/>
      <c r="IIP2" s="4"/>
      <c r="IIQ2" s="4"/>
      <c r="IIR2" s="4"/>
      <c r="IIS2" s="4"/>
      <c r="IIT2" s="4"/>
      <c r="IIU2" s="4"/>
      <c r="IIV2" s="4"/>
      <c r="IIW2" s="4"/>
      <c r="IIX2" s="4"/>
      <c r="IIY2" s="4"/>
      <c r="IIZ2" s="4"/>
      <c r="IJA2" s="4"/>
      <c r="IJB2" s="4"/>
      <c r="IJC2" s="4"/>
      <c r="IJD2" s="4"/>
      <c r="IJE2" s="4"/>
      <c r="IJF2" s="4"/>
      <c r="IJG2" s="4"/>
      <c r="IJH2" s="4"/>
      <c r="IJI2" s="4"/>
      <c r="IJJ2" s="4"/>
      <c r="IJK2" s="4"/>
      <c r="IJL2" s="4"/>
      <c r="IJM2" s="4"/>
      <c r="IJN2" s="4"/>
      <c r="IJO2" s="4"/>
      <c r="IJP2" s="4"/>
      <c r="IJQ2" s="4"/>
      <c r="IJR2" s="4"/>
      <c r="IJS2" s="4"/>
      <c r="IJT2" s="4"/>
      <c r="IJU2" s="4"/>
      <c r="IJV2" s="4"/>
      <c r="IJW2" s="4"/>
      <c r="IJX2" s="4"/>
      <c r="IJY2" s="4"/>
      <c r="IJZ2" s="4"/>
      <c r="IKA2" s="4"/>
      <c r="IKB2" s="4"/>
      <c r="IKC2" s="4"/>
      <c r="IKD2" s="4"/>
      <c r="IKE2" s="4"/>
      <c r="IKF2" s="4"/>
      <c r="IKG2" s="4"/>
      <c r="IKH2" s="4"/>
      <c r="IKI2" s="4"/>
      <c r="IKJ2" s="4"/>
      <c r="IKK2" s="4"/>
      <c r="IKL2" s="4"/>
      <c r="IKM2" s="4"/>
      <c r="IKN2" s="4"/>
      <c r="IKO2" s="4"/>
      <c r="IKP2" s="4"/>
      <c r="IKQ2" s="4"/>
      <c r="IKR2" s="4"/>
      <c r="IKS2" s="4"/>
      <c r="IKT2" s="4"/>
      <c r="IKU2" s="4"/>
      <c r="IKV2" s="4"/>
      <c r="IKW2" s="4"/>
      <c r="IKX2" s="4"/>
      <c r="IKY2" s="4"/>
      <c r="IKZ2" s="4"/>
      <c r="ILA2" s="4"/>
      <c r="ILB2" s="4"/>
      <c r="ILC2" s="4"/>
      <c r="ILD2" s="4"/>
      <c r="ILE2" s="4"/>
      <c r="ILF2" s="4"/>
      <c r="ILG2" s="4"/>
      <c r="ILH2" s="4"/>
      <c r="ILI2" s="4"/>
      <c r="ILJ2" s="4"/>
      <c r="ILK2" s="4"/>
      <c r="ILL2" s="4"/>
      <c r="ILM2" s="4"/>
      <c r="ILN2" s="4"/>
      <c r="ILO2" s="4"/>
      <c r="ILP2" s="4"/>
      <c r="ILQ2" s="4"/>
      <c r="ILR2" s="4"/>
      <c r="ILS2" s="4"/>
      <c r="ILT2" s="4"/>
      <c r="ILU2" s="4"/>
      <c r="ILV2" s="4"/>
      <c r="ILW2" s="4"/>
      <c r="ILX2" s="4"/>
      <c r="ILY2" s="4"/>
      <c r="ILZ2" s="4"/>
      <c r="IMA2" s="4"/>
      <c r="IMB2" s="4"/>
      <c r="IMC2" s="4"/>
      <c r="IMD2" s="4"/>
      <c r="IME2" s="4"/>
      <c r="IMF2" s="4"/>
      <c r="IMG2" s="4"/>
      <c r="IMH2" s="4"/>
      <c r="IMI2" s="4"/>
      <c r="IMJ2" s="4"/>
      <c r="IMK2" s="4"/>
      <c r="IML2" s="4"/>
      <c r="IMM2" s="4"/>
      <c r="IMN2" s="4"/>
      <c r="IMO2" s="4"/>
      <c r="IMP2" s="4"/>
      <c r="IMQ2" s="4"/>
      <c r="IMR2" s="4"/>
      <c r="IMS2" s="4"/>
      <c r="IMT2" s="4"/>
      <c r="IMU2" s="4"/>
      <c r="IMV2" s="4"/>
      <c r="IMW2" s="4"/>
      <c r="IMX2" s="4"/>
      <c r="IMY2" s="4"/>
      <c r="IMZ2" s="4"/>
      <c r="INA2" s="4"/>
      <c r="INB2" s="4"/>
      <c r="INC2" s="4"/>
      <c r="IND2" s="4"/>
      <c r="INE2" s="4"/>
      <c r="INF2" s="4"/>
      <c r="ING2" s="4"/>
      <c r="INH2" s="4"/>
      <c r="INI2" s="4"/>
      <c r="INJ2" s="4"/>
      <c r="INK2" s="4"/>
      <c r="INL2" s="4"/>
      <c r="INM2" s="4"/>
      <c r="INN2" s="4"/>
      <c r="INO2" s="4"/>
      <c r="INP2" s="4"/>
      <c r="INQ2" s="4"/>
      <c r="INR2" s="4"/>
      <c r="INS2" s="4"/>
      <c r="INT2" s="4"/>
      <c r="INU2" s="4"/>
      <c r="INV2" s="4"/>
      <c r="INW2" s="4"/>
      <c r="INX2" s="4"/>
      <c r="INY2" s="4"/>
      <c r="INZ2" s="4"/>
      <c r="IOA2" s="4"/>
      <c r="IOB2" s="4"/>
      <c r="IOC2" s="4"/>
      <c r="IOD2" s="4"/>
      <c r="IOE2" s="4"/>
      <c r="IOF2" s="4"/>
      <c r="IOG2" s="4"/>
      <c r="IOH2" s="4"/>
      <c r="IOI2" s="4"/>
      <c r="IOJ2" s="4"/>
      <c r="IOK2" s="4"/>
      <c r="IOL2" s="4"/>
      <c r="IOM2" s="4"/>
      <c r="ION2" s="4"/>
      <c r="IOO2" s="4"/>
      <c r="IOP2" s="4"/>
      <c r="IOQ2" s="4"/>
      <c r="IOR2" s="4"/>
      <c r="IOS2" s="4"/>
      <c r="IOT2" s="4"/>
      <c r="IOU2" s="4"/>
      <c r="IOV2" s="4"/>
      <c r="IOW2" s="4"/>
      <c r="IOX2" s="4"/>
      <c r="IOY2" s="4"/>
      <c r="IOZ2" s="4"/>
      <c r="IPA2" s="4"/>
      <c r="IPB2" s="4"/>
      <c r="IPC2" s="4"/>
      <c r="IPD2" s="4"/>
      <c r="IPE2" s="4"/>
      <c r="IPF2" s="4"/>
      <c r="IPG2" s="4"/>
      <c r="IPH2" s="4"/>
      <c r="IPI2" s="4"/>
      <c r="IPJ2" s="4"/>
      <c r="IPK2" s="4"/>
      <c r="IPL2" s="4"/>
      <c r="IPM2" s="4"/>
      <c r="IPN2" s="4"/>
      <c r="IPO2" s="4"/>
      <c r="IPP2" s="4"/>
      <c r="IPQ2" s="4"/>
      <c r="IPR2" s="4"/>
      <c r="IPS2" s="4"/>
      <c r="IPT2" s="4"/>
      <c r="IPU2" s="4"/>
      <c r="IPV2" s="4"/>
      <c r="IPW2" s="4"/>
      <c r="IPX2" s="4"/>
      <c r="IPY2" s="4"/>
      <c r="IPZ2" s="4"/>
      <c r="IQA2" s="4"/>
      <c r="IQB2" s="4"/>
      <c r="IQC2" s="4"/>
      <c r="IQD2" s="4"/>
      <c r="IQE2" s="4"/>
      <c r="IQF2" s="4"/>
      <c r="IQG2" s="4"/>
      <c r="IQH2" s="4"/>
      <c r="IQI2" s="4"/>
      <c r="IQJ2" s="4"/>
      <c r="IQK2" s="4"/>
      <c r="IQL2" s="4"/>
      <c r="IQM2" s="4"/>
      <c r="IQN2" s="4"/>
      <c r="IQO2" s="4"/>
      <c r="IQP2" s="4"/>
      <c r="IQQ2" s="4"/>
      <c r="IQR2" s="4"/>
      <c r="IQS2" s="4"/>
      <c r="IQT2" s="4"/>
      <c r="IQU2" s="4"/>
      <c r="IQV2" s="4"/>
      <c r="IQW2" s="4"/>
      <c r="IQX2" s="4"/>
      <c r="IQY2" s="4"/>
      <c r="IQZ2" s="4"/>
      <c r="IRA2" s="4"/>
      <c r="IRB2" s="4"/>
      <c r="IRC2" s="4"/>
      <c r="IRD2" s="4"/>
      <c r="IRE2" s="4"/>
      <c r="IRF2" s="4"/>
      <c r="IRG2" s="4"/>
      <c r="IRH2" s="4"/>
      <c r="IRI2" s="4"/>
      <c r="IRJ2" s="4"/>
      <c r="IRK2" s="4"/>
      <c r="IRL2" s="4"/>
      <c r="IRM2" s="4"/>
      <c r="IRN2" s="4"/>
      <c r="IRO2" s="4"/>
      <c r="IRP2" s="4"/>
      <c r="IRQ2" s="4"/>
      <c r="IRR2" s="4"/>
      <c r="IRS2" s="4"/>
      <c r="IRT2" s="4"/>
      <c r="IRU2" s="4"/>
      <c r="IRV2" s="4"/>
      <c r="IRW2" s="4"/>
      <c r="IRX2" s="4"/>
      <c r="IRY2" s="4"/>
      <c r="IRZ2" s="4"/>
      <c r="ISA2" s="4"/>
      <c r="ISB2" s="4"/>
      <c r="ISC2" s="4"/>
      <c r="ISD2" s="4"/>
      <c r="ISE2" s="4"/>
      <c r="ISF2" s="4"/>
      <c r="ISG2" s="4"/>
      <c r="ISH2" s="4"/>
      <c r="ISI2" s="4"/>
      <c r="ISJ2" s="4"/>
      <c r="ISK2" s="4"/>
      <c r="ISL2" s="4"/>
      <c r="ISM2" s="4"/>
      <c r="ISN2" s="4"/>
      <c r="ISO2" s="4"/>
      <c r="ISP2" s="4"/>
      <c r="ISQ2" s="4"/>
      <c r="ISR2" s="4"/>
      <c r="ISS2" s="4"/>
      <c r="IST2" s="4"/>
      <c r="ISU2" s="4"/>
      <c r="ISV2" s="4"/>
      <c r="ISW2" s="4"/>
      <c r="ISX2" s="4"/>
      <c r="ISY2" s="4"/>
      <c r="ISZ2" s="4"/>
      <c r="ITA2" s="4"/>
      <c r="ITB2" s="4"/>
      <c r="ITC2" s="4"/>
      <c r="ITD2" s="4"/>
      <c r="ITE2" s="4"/>
      <c r="ITF2" s="4"/>
      <c r="ITG2" s="4"/>
      <c r="ITH2" s="4"/>
      <c r="ITI2" s="4"/>
      <c r="ITJ2" s="4"/>
      <c r="ITK2" s="4"/>
      <c r="ITL2" s="4"/>
      <c r="ITM2" s="4"/>
      <c r="ITN2" s="4"/>
      <c r="ITO2" s="4"/>
      <c r="ITP2" s="4"/>
      <c r="ITQ2" s="4"/>
      <c r="ITR2" s="4"/>
      <c r="ITS2" s="4"/>
      <c r="ITT2" s="4"/>
      <c r="ITU2" s="4"/>
      <c r="ITV2" s="4"/>
      <c r="ITW2" s="4"/>
      <c r="ITX2" s="4"/>
      <c r="ITY2" s="4"/>
      <c r="ITZ2" s="4"/>
      <c r="IUA2" s="4"/>
      <c r="IUB2" s="4"/>
      <c r="IUC2" s="4"/>
      <c r="IUD2" s="4"/>
      <c r="IUE2" s="4"/>
      <c r="IUF2" s="4"/>
      <c r="IUG2" s="4"/>
      <c r="IUH2" s="4"/>
      <c r="IUI2" s="4"/>
      <c r="IUJ2" s="4"/>
      <c r="IUK2" s="4"/>
      <c r="IUL2" s="4"/>
      <c r="IUM2" s="4"/>
      <c r="IUN2" s="4"/>
      <c r="IUO2" s="4"/>
      <c r="IUP2" s="4"/>
      <c r="IUQ2" s="4"/>
      <c r="IUR2" s="4"/>
      <c r="IUS2" s="4"/>
      <c r="IUT2" s="4"/>
      <c r="IUU2" s="4"/>
      <c r="IUV2" s="4"/>
      <c r="IUW2" s="4"/>
      <c r="IUX2" s="4"/>
      <c r="IUY2" s="4"/>
      <c r="IUZ2" s="4"/>
      <c r="IVA2" s="4"/>
      <c r="IVB2" s="4"/>
      <c r="IVC2" s="4"/>
      <c r="IVD2" s="4"/>
      <c r="IVE2" s="4"/>
      <c r="IVF2" s="4"/>
      <c r="IVG2" s="4"/>
      <c r="IVH2" s="4"/>
      <c r="IVI2" s="4"/>
      <c r="IVJ2" s="4"/>
      <c r="IVK2" s="4"/>
      <c r="IVL2" s="4"/>
      <c r="IVM2" s="4"/>
      <c r="IVN2" s="4"/>
      <c r="IVO2" s="4"/>
      <c r="IVP2" s="4"/>
      <c r="IVQ2" s="4"/>
      <c r="IVR2" s="4"/>
      <c r="IVS2" s="4"/>
      <c r="IVT2" s="4"/>
      <c r="IVU2" s="4"/>
      <c r="IVV2" s="4"/>
      <c r="IVW2" s="4"/>
      <c r="IVX2" s="4"/>
      <c r="IVY2" s="4"/>
      <c r="IVZ2" s="4"/>
      <c r="IWA2" s="4"/>
      <c r="IWB2" s="4"/>
      <c r="IWC2" s="4"/>
      <c r="IWD2" s="4"/>
      <c r="IWE2" s="4"/>
      <c r="IWF2" s="4"/>
      <c r="IWG2" s="4"/>
      <c r="IWH2" s="4"/>
      <c r="IWI2" s="4"/>
      <c r="IWJ2" s="4"/>
      <c r="IWK2" s="4"/>
      <c r="IWL2" s="4"/>
      <c r="IWM2" s="4"/>
      <c r="IWN2" s="4"/>
      <c r="IWO2" s="4"/>
      <c r="IWP2" s="4"/>
      <c r="IWQ2" s="4"/>
      <c r="IWR2" s="4"/>
      <c r="IWS2" s="4"/>
      <c r="IWT2" s="4"/>
      <c r="IWU2" s="4"/>
      <c r="IWV2" s="4"/>
      <c r="IWW2" s="4"/>
      <c r="IWX2" s="4"/>
      <c r="IWY2" s="4"/>
      <c r="IWZ2" s="4"/>
      <c r="IXA2" s="4"/>
      <c r="IXB2" s="4"/>
      <c r="IXC2" s="4"/>
      <c r="IXD2" s="4"/>
      <c r="IXE2" s="4"/>
      <c r="IXF2" s="4"/>
      <c r="IXG2" s="4"/>
      <c r="IXH2" s="4"/>
      <c r="IXI2" s="4"/>
      <c r="IXJ2" s="4"/>
      <c r="IXK2" s="4"/>
      <c r="IXL2" s="4"/>
      <c r="IXM2" s="4"/>
      <c r="IXN2" s="4"/>
      <c r="IXO2" s="4"/>
      <c r="IXP2" s="4"/>
      <c r="IXQ2" s="4"/>
      <c r="IXR2" s="4"/>
      <c r="IXS2" s="4"/>
      <c r="IXT2" s="4"/>
      <c r="IXU2" s="4"/>
      <c r="IXV2" s="4"/>
      <c r="IXW2" s="4"/>
      <c r="IXX2" s="4"/>
      <c r="IXY2" s="4"/>
      <c r="IXZ2" s="4"/>
      <c r="IYA2" s="4"/>
      <c r="IYB2" s="4"/>
      <c r="IYC2" s="4"/>
      <c r="IYD2" s="4"/>
      <c r="IYE2" s="4"/>
      <c r="IYF2" s="4"/>
      <c r="IYG2" s="4"/>
      <c r="IYH2" s="4"/>
      <c r="IYI2" s="4"/>
      <c r="IYJ2" s="4"/>
      <c r="IYK2" s="4"/>
      <c r="IYL2" s="4"/>
      <c r="IYM2" s="4"/>
      <c r="IYN2" s="4"/>
      <c r="IYO2" s="4"/>
      <c r="IYP2" s="4"/>
      <c r="IYQ2" s="4"/>
      <c r="IYR2" s="4"/>
      <c r="IYS2" s="4"/>
      <c r="IYT2" s="4"/>
      <c r="IYU2" s="4"/>
      <c r="IYV2" s="4"/>
      <c r="IYW2" s="4"/>
      <c r="IYX2" s="4"/>
      <c r="IYY2" s="4"/>
      <c r="IYZ2" s="4"/>
      <c r="IZA2" s="4"/>
      <c r="IZB2" s="4"/>
      <c r="IZC2" s="4"/>
      <c r="IZD2" s="4"/>
      <c r="IZE2" s="4"/>
      <c r="IZF2" s="4"/>
      <c r="IZG2" s="4"/>
      <c r="IZH2" s="4"/>
      <c r="IZI2" s="4"/>
      <c r="IZJ2" s="4"/>
      <c r="IZK2" s="4"/>
      <c r="IZL2" s="4"/>
      <c r="IZM2" s="4"/>
      <c r="IZN2" s="4"/>
      <c r="IZO2" s="4"/>
      <c r="IZP2" s="4"/>
      <c r="IZQ2" s="4"/>
      <c r="IZR2" s="4"/>
      <c r="IZS2" s="4"/>
      <c r="IZT2" s="4"/>
      <c r="IZU2" s="4"/>
      <c r="IZV2" s="4"/>
      <c r="IZW2" s="4"/>
      <c r="IZX2" s="4"/>
      <c r="IZY2" s="4"/>
      <c r="IZZ2" s="4"/>
      <c r="JAA2" s="4"/>
      <c r="JAB2" s="4"/>
      <c r="JAC2" s="4"/>
      <c r="JAD2" s="4"/>
      <c r="JAE2" s="4"/>
      <c r="JAF2" s="4"/>
      <c r="JAG2" s="4"/>
      <c r="JAH2" s="4"/>
      <c r="JAI2" s="4"/>
      <c r="JAJ2" s="4"/>
      <c r="JAK2" s="4"/>
      <c r="JAL2" s="4"/>
      <c r="JAM2" s="4"/>
      <c r="JAN2" s="4"/>
      <c r="JAO2" s="4"/>
      <c r="JAP2" s="4"/>
      <c r="JAQ2" s="4"/>
      <c r="JAR2" s="4"/>
      <c r="JAS2" s="4"/>
      <c r="JAT2" s="4"/>
      <c r="JAU2" s="4"/>
      <c r="JAV2" s="4"/>
      <c r="JAW2" s="4"/>
      <c r="JAX2" s="4"/>
      <c r="JAY2" s="4"/>
      <c r="JAZ2" s="4"/>
      <c r="JBA2" s="4"/>
      <c r="JBB2" s="4"/>
      <c r="JBC2" s="4"/>
      <c r="JBD2" s="4"/>
      <c r="JBE2" s="4"/>
      <c r="JBF2" s="4"/>
      <c r="JBG2" s="4"/>
      <c r="JBH2" s="4"/>
      <c r="JBI2" s="4"/>
      <c r="JBJ2" s="4"/>
      <c r="JBK2" s="4"/>
      <c r="JBL2" s="4"/>
      <c r="JBM2" s="4"/>
      <c r="JBN2" s="4"/>
      <c r="JBO2" s="4"/>
      <c r="JBP2" s="4"/>
      <c r="JBQ2" s="4"/>
      <c r="JBR2" s="4"/>
      <c r="JBS2" s="4"/>
      <c r="JBT2" s="4"/>
      <c r="JBU2" s="4"/>
      <c r="JBV2" s="4"/>
      <c r="JBW2" s="4"/>
      <c r="JBX2" s="4"/>
      <c r="JBY2" s="4"/>
      <c r="JBZ2" s="4"/>
      <c r="JCA2" s="4"/>
      <c r="JCB2" s="4"/>
      <c r="JCC2" s="4"/>
      <c r="JCD2" s="4"/>
      <c r="JCE2" s="4"/>
      <c r="JCF2" s="4"/>
      <c r="JCG2" s="4"/>
      <c r="JCH2" s="4"/>
      <c r="JCI2" s="4"/>
      <c r="JCJ2" s="4"/>
      <c r="JCK2" s="4"/>
      <c r="JCL2" s="4"/>
      <c r="JCM2" s="4"/>
      <c r="JCN2" s="4"/>
      <c r="JCO2" s="4"/>
      <c r="JCP2" s="4"/>
      <c r="JCQ2" s="4"/>
      <c r="JCR2" s="4"/>
      <c r="JCS2" s="4"/>
      <c r="JCT2" s="4"/>
      <c r="JCU2" s="4"/>
      <c r="JCV2" s="4"/>
      <c r="JCW2" s="4"/>
      <c r="JCX2" s="4"/>
      <c r="JCY2" s="4"/>
      <c r="JCZ2" s="4"/>
      <c r="JDA2" s="4"/>
      <c r="JDB2" s="4"/>
      <c r="JDC2" s="4"/>
      <c r="JDD2" s="4"/>
      <c r="JDE2" s="4"/>
      <c r="JDF2" s="4"/>
      <c r="JDG2" s="4"/>
      <c r="JDH2" s="4"/>
      <c r="JDI2" s="4"/>
      <c r="JDJ2" s="4"/>
      <c r="JDK2" s="4"/>
      <c r="JDL2" s="4"/>
      <c r="JDM2" s="4"/>
      <c r="JDN2" s="4"/>
      <c r="JDO2" s="4"/>
      <c r="JDP2" s="4"/>
      <c r="JDQ2" s="4"/>
      <c r="JDR2" s="4"/>
      <c r="JDS2" s="4"/>
      <c r="JDT2" s="4"/>
      <c r="JDU2" s="4"/>
      <c r="JDV2" s="4"/>
      <c r="JDW2" s="4"/>
      <c r="JDX2" s="4"/>
      <c r="JDY2" s="4"/>
      <c r="JDZ2" s="4"/>
      <c r="JEA2" s="4"/>
      <c r="JEB2" s="4"/>
      <c r="JEC2" s="4"/>
      <c r="JED2" s="4"/>
      <c r="JEE2" s="4"/>
      <c r="JEF2" s="4"/>
      <c r="JEG2" s="4"/>
      <c r="JEH2" s="4"/>
      <c r="JEI2" s="4"/>
      <c r="JEJ2" s="4"/>
      <c r="JEK2" s="4"/>
      <c r="JEL2" s="4"/>
      <c r="JEM2" s="4"/>
      <c r="JEN2" s="4"/>
      <c r="JEO2" s="4"/>
      <c r="JEP2" s="4"/>
      <c r="JEQ2" s="4"/>
      <c r="JER2" s="4"/>
      <c r="JES2" s="4"/>
      <c r="JET2" s="4"/>
      <c r="JEU2" s="4"/>
      <c r="JEV2" s="4"/>
      <c r="JEW2" s="4"/>
      <c r="JEX2" s="4"/>
      <c r="JEY2" s="4"/>
      <c r="JEZ2" s="4"/>
      <c r="JFA2" s="4"/>
      <c r="JFB2" s="4"/>
      <c r="JFC2" s="4"/>
      <c r="JFD2" s="4"/>
      <c r="JFE2" s="4"/>
      <c r="JFF2" s="4"/>
      <c r="JFG2" s="4"/>
      <c r="JFH2" s="4"/>
      <c r="JFI2" s="4"/>
      <c r="JFJ2" s="4"/>
      <c r="JFK2" s="4"/>
      <c r="JFL2" s="4"/>
      <c r="JFM2" s="4"/>
      <c r="JFN2" s="4"/>
      <c r="JFO2" s="4"/>
      <c r="JFP2" s="4"/>
      <c r="JFQ2" s="4"/>
      <c r="JFR2" s="4"/>
      <c r="JFS2" s="4"/>
      <c r="JFT2" s="4"/>
      <c r="JFU2" s="4"/>
      <c r="JFV2" s="4"/>
      <c r="JFW2" s="4"/>
      <c r="JFX2" s="4"/>
      <c r="JFY2" s="4"/>
      <c r="JFZ2" s="4"/>
      <c r="JGA2" s="4"/>
      <c r="JGB2" s="4"/>
      <c r="JGC2" s="4"/>
      <c r="JGD2" s="4"/>
      <c r="JGE2" s="4"/>
      <c r="JGF2" s="4"/>
      <c r="JGG2" s="4"/>
      <c r="JGH2" s="4"/>
      <c r="JGI2" s="4"/>
      <c r="JGJ2" s="4"/>
      <c r="JGK2" s="4"/>
      <c r="JGL2" s="4"/>
      <c r="JGM2" s="4"/>
      <c r="JGN2" s="4"/>
      <c r="JGO2" s="4"/>
      <c r="JGP2" s="4"/>
      <c r="JGQ2" s="4"/>
      <c r="JGR2" s="4"/>
      <c r="JGS2" s="4"/>
      <c r="JGT2" s="4"/>
      <c r="JGU2" s="4"/>
      <c r="JGV2" s="4"/>
      <c r="JGW2" s="4"/>
      <c r="JGX2" s="4"/>
      <c r="JGY2" s="4"/>
      <c r="JGZ2" s="4"/>
      <c r="JHA2" s="4"/>
      <c r="JHB2" s="4"/>
      <c r="JHC2" s="4"/>
      <c r="JHD2" s="4"/>
      <c r="JHE2" s="4"/>
      <c r="JHF2" s="4"/>
      <c r="JHG2" s="4"/>
      <c r="JHH2" s="4"/>
      <c r="JHI2" s="4"/>
      <c r="JHJ2" s="4"/>
      <c r="JHK2" s="4"/>
      <c r="JHL2" s="4"/>
      <c r="JHM2" s="4"/>
      <c r="JHN2" s="4"/>
      <c r="JHO2" s="4"/>
      <c r="JHP2" s="4"/>
      <c r="JHQ2" s="4"/>
      <c r="JHR2" s="4"/>
      <c r="JHS2" s="4"/>
      <c r="JHT2" s="4"/>
      <c r="JHU2" s="4"/>
      <c r="JHV2" s="4"/>
      <c r="JHW2" s="4"/>
      <c r="JHX2" s="4"/>
      <c r="JHY2" s="4"/>
      <c r="JHZ2" s="4"/>
      <c r="JIA2" s="4"/>
      <c r="JIB2" s="4"/>
      <c r="JIC2" s="4"/>
      <c r="JID2" s="4"/>
      <c r="JIE2" s="4"/>
      <c r="JIF2" s="4"/>
      <c r="JIG2" s="4"/>
      <c r="JIH2" s="4"/>
      <c r="JII2" s="4"/>
      <c r="JIJ2" s="4"/>
      <c r="JIK2" s="4"/>
      <c r="JIL2" s="4"/>
      <c r="JIM2" s="4"/>
      <c r="JIN2" s="4"/>
      <c r="JIO2" s="4"/>
      <c r="JIP2" s="4"/>
      <c r="JIQ2" s="4"/>
      <c r="JIR2" s="4"/>
      <c r="JIS2" s="4"/>
      <c r="JIT2" s="4"/>
      <c r="JIU2" s="4"/>
      <c r="JIV2" s="4"/>
      <c r="JIW2" s="4"/>
      <c r="JIX2" s="4"/>
      <c r="JIY2" s="4"/>
      <c r="JIZ2" s="4"/>
      <c r="JJA2" s="4"/>
      <c r="JJB2" s="4"/>
      <c r="JJC2" s="4"/>
      <c r="JJD2" s="4"/>
      <c r="JJE2" s="4"/>
      <c r="JJF2" s="4"/>
      <c r="JJG2" s="4"/>
      <c r="JJH2" s="4"/>
      <c r="JJI2" s="4"/>
      <c r="JJJ2" s="4"/>
      <c r="JJK2" s="4"/>
      <c r="JJL2" s="4"/>
      <c r="JJM2" s="4"/>
      <c r="JJN2" s="4"/>
      <c r="JJO2" s="4"/>
      <c r="JJP2" s="4"/>
      <c r="JJQ2" s="4"/>
      <c r="JJR2" s="4"/>
      <c r="JJS2" s="4"/>
      <c r="JJT2" s="4"/>
      <c r="JJU2" s="4"/>
      <c r="JJV2" s="4"/>
      <c r="JJW2" s="4"/>
      <c r="JJX2" s="4"/>
      <c r="JJY2" s="4"/>
      <c r="JJZ2" s="4"/>
      <c r="JKA2" s="4"/>
      <c r="JKB2" s="4"/>
      <c r="JKC2" s="4"/>
      <c r="JKD2" s="4"/>
      <c r="JKE2" s="4"/>
      <c r="JKF2" s="4"/>
      <c r="JKG2" s="4"/>
      <c r="JKH2" s="4"/>
      <c r="JKI2" s="4"/>
      <c r="JKJ2" s="4"/>
      <c r="JKK2" s="4"/>
      <c r="JKL2" s="4"/>
      <c r="JKM2" s="4"/>
      <c r="JKN2" s="4"/>
      <c r="JKO2" s="4"/>
      <c r="JKP2" s="4"/>
      <c r="JKQ2" s="4"/>
      <c r="JKR2" s="4"/>
      <c r="JKS2" s="4"/>
      <c r="JKT2" s="4"/>
      <c r="JKU2" s="4"/>
      <c r="JKV2" s="4"/>
      <c r="JKW2" s="4"/>
      <c r="JKX2" s="4"/>
      <c r="JKY2" s="4"/>
      <c r="JKZ2" s="4"/>
      <c r="JLA2" s="4"/>
      <c r="JLB2" s="4"/>
      <c r="JLC2" s="4"/>
      <c r="JLD2" s="4"/>
      <c r="JLE2" s="4"/>
      <c r="JLF2" s="4"/>
      <c r="JLG2" s="4"/>
      <c r="JLH2" s="4"/>
      <c r="JLI2" s="4"/>
      <c r="JLJ2" s="4"/>
      <c r="JLK2" s="4"/>
      <c r="JLL2" s="4"/>
      <c r="JLM2" s="4"/>
      <c r="JLN2" s="4"/>
      <c r="JLO2" s="4"/>
      <c r="JLP2" s="4"/>
      <c r="JLQ2" s="4"/>
      <c r="JLR2" s="4"/>
      <c r="JLS2" s="4"/>
      <c r="JLT2" s="4"/>
      <c r="JLU2" s="4"/>
      <c r="JLV2" s="4"/>
      <c r="JLW2" s="4"/>
      <c r="JLX2" s="4"/>
      <c r="JLY2" s="4"/>
      <c r="JLZ2" s="4"/>
      <c r="JMA2" s="4"/>
      <c r="JMB2" s="4"/>
      <c r="JMC2" s="4"/>
      <c r="JMD2" s="4"/>
      <c r="JME2" s="4"/>
      <c r="JMF2" s="4"/>
      <c r="JMG2" s="4"/>
      <c r="JMH2" s="4"/>
      <c r="JMI2" s="4"/>
      <c r="JMJ2" s="4"/>
      <c r="JMK2" s="4"/>
      <c r="JML2" s="4"/>
      <c r="JMM2" s="4"/>
      <c r="JMN2" s="4"/>
      <c r="JMO2" s="4"/>
      <c r="JMP2" s="4"/>
      <c r="JMQ2" s="4"/>
      <c r="JMR2" s="4"/>
      <c r="JMS2" s="4"/>
      <c r="JMT2" s="4"/>
      <c r="JMU2" s="4"/>
      <c r="JMV2" s="4"/>
      <c r="JMW2" s="4"/>
      <c r="JMX2" s="4"/>
      <c r="JMY2" s="4"/>
      <c r="JMZ2" s="4"/>
      <c r="JNA2" s="4"/>
      <c r="JNB2" s="4"/>
      <c r="JNC2" s="4"/>
      <c r="JND2" s="4"/>
      <c r="JNE2" s="4"/>
      <c r="JNF2" s="4"/>
      <c r="JNG2" s="4"/>
      <c r="JNH2" s="4"/>
      <c r="JNI2" s="4"/>
      <c r="JNJ2" s="4"/>
      <c r="JNK2" s="4"/>
      <c r="JNL2" s="4"/>
      <c r="JNM2" s="4"/>
      <c r="JNN2" s="4"/>
      <c r="JNO2" s="4"/>
      <c r="JNP2" s="4"/>
      <c r="JNQ2" s="4"/>
      <c r="JNR2" s="4"/>
      <c r="JNS2" s="4"/>
      <c r="JNT2" s="4"/>
      <c r="JNU2" s="4"/>
      <c r="JNV2" s="4"/>
      <c r="JNW2" s="4"/>
      <c r="JNX2" s="4"/>
      <c r="JNY2" s="4"/>
      <c r="JNZ2" s="4"/>
      <c r="JOA2" s="4"/>
      <c r="JOB2" s="4"/>
      <c r="JOC2" s="4"/>
      <c r="JOD2" s="4"/>
      <c r="JOE2" s="4"/>
      <c r="JOF2" s="4"/>
      <c r="JOG2" s="4"/>
      <c r="JOH2" s="4"/>
      <c r="JOI2" s="4"/>
      <c r="JOJ2" s="4"/>
      <c r="JOK2" s="4"/>
      <c r="JOL2" s="4"/>
      <c r="JOM2" s="4"/>
      <c r="JON2" s="4"/>
      <c r="JOO2" s="4"/>
      <c r="JOP2" s="4"/>
      <c r="JOQ2" s="4"/>
      <c r="JOR2" s="4"/>
      <c r="JOS2" s="4"/>
      <c r="JOT2" s="4"/>
      <c r="JOU2" s="4"/>
      <c r="JOV2" s="4"/>
      <c r="JOW2" s="4"/>
      <c r="JOX2" s="4"/>
      <c r="JOY2" s="4"/>
      <c r="JOZ2" s="4"/>
      <c r="JPA2" s="4"/>
      <c r="JPB2" s="4"/>
      <c r="JPC2" s="4"/>
      <c r="JPD2" s="4"/>
      <c r="JPE2" s="4"/>
      <c r="JPF2" s="4"/>
      <c r="JPG2" s="4"/>
      <c r="JPH2" s="4"/>
      <c r="JPI2" s="4"/>
      <c r="JPJ2" s="4"/>
      <c r="JPK2" s="4"/>
      <c r="JPL2" s="4"/>
      <c r="JPM2" s="4"/>
      <c r="JPN2" s="4"/>
      <c r="JPO2" s="4"/>
      <c r="JPP2" s="4"/>
      <c r="JPQ2" s="4"/>
      <c r="JPR2" s="4"/>
      <c r="JPS2" s="4"/>
      <c r="JPT2" s="4"/>
      <c r="JPU2" s="4"/>
      <c r="JPV2" s="4"/>
      <c r="JPW2" s="4"/>
      <c r="JPX2" s="4"/>
      <c r="JPY2" s="4"/>
      <c r="JPZ2" s="4"/>
      <c r="JQA2" s="4"/>
      <c r="JQB2" s="4"/>
      <c r="JQC2" s="4"/>
      <c r="JQD2" s="4"/>
      <c r="JQE2" s="4"/>
      <c r="JQF2" s="4"/>
      <c r="JQG2" s="4"/>
      <c r="JQH2" s="4"/>
      <c r="JQI2" s="4"/>
      <c r="JQJ2" s="4"/>
      <c r="JQK2" s="4"/>
      <c r="JQL2" s="4"/>
      <c r="JQM2" s="4"/>
      <c r="JQN2" s="4"/>
      <c r="JQO2" s="4"/>
      <c r="JQP2" s="4"/>
      <c r="JQQ2" s="4"/>
      <c r="JQR2" s="4"/>
      <c r="JQS2" s="4"/>
      <c r="JQT2" s="4"/>
      <c r="JQU2" s="4"/>
      <c r="JQV2" s="4"/>
      <c r="JQW2" s="4"/>
      <c r="JQX2" s="4"/>
      <c r="JQY2" s="4"/>
      <c r="JQZ2" s="4"/>
      <c r="JRA2" s="4"/>
      <c r="JRB2" s="4"/>
      <c r="JRC2" s="4"/>
      <c r="JRD2" s="4"/>
      <c r="JRE2" s="4"/>
      <c r="JRF2" s="4"/>
      <c r="JRG2" s="4"/>
      <c r="JRH2" s="4"/>
      <c r="JRI2" s="4"/>
      <c r="JRJ2" s="4"/>
      <c r="JRK2" s="4"/>
      <c r="JRL2" s="4"/>
      <c r="JRM2" s="4"/>
      <c r="JRN2" s="4"/>
      <c r="JRO2" s="4"/>
      <c r="JRP2" s="4"/>
      <c r="JRQ2" s="4"/>
      <c r="JRR2" s="4"/>
      <c r="JRS2" s="4"/>
      <c r="JRT2" s="4"/>
      <c r="JRU2" s="4"/>
      <c r="JRV2" s="4"/>
      <c r="JRW2" s="4"/>
      <c r="JRX2" s="4"/>
      <c r="JRY2" s="4"/>
      <c r="JRZ2" s="4"/>
      <c r="JSA2" s="4"/>
      <c r="JSB2" s="4"/>
      <c r="JSC2" s="4"/>
      <c r="JSD2" s="4"/>
      <c r="JSE2" s="4"/>
      <c r="JSF2" s="4"/>
      <c r="JSG2" s="4"/>
      <c r="JSH2" s="4"/>
      <c r="JSI2" s="4"/>
      <c r="JSJ2" s="4"/>
      <c r="JSK2" s="4"/>
      <c r="JSL2" s="4"/>
      <c r="JSM2" s="4"/>
      <c r="JSN2" s="4"/>
      <c r="JSO2" s="4"/>
      <c r="JSP2" s="4"/>
      <c r="JSQ2" s="4"/>
      <c r="JSR2" s="4"/>
      <c r="JSS2" s="4"/>
      <c r="JST2" s="4"/>
      <c r="JSU2" s="4"/>
      <c r="JSV2" s="4"/>
      <c r="JSW2" s="4"/>
      <c r="JSX2" s="4"/>
      <c r="JSY2" s="4"/>
      <c r="JSZ2" s="4"/>
      <c r="JTA2" s="4"/>
      <c r="JTB2" s="4"/>
      <c r="JTC2" s="4"/>
      <c r="JTD2" s="4"/>
      <c r="JTE2" s="4"/>
      <c r="JTF2" s="4"/>
      <c r="JTG2" s="4"/>
      <c r="JTH2" s="4"/>
      <c r="JTI2" s="4"/>
      <c r="JTJ2" s="4"/>
      <c r="JTK2" s="4"/>
      <c r="JTL2" s="4"/>
      <c r="JTM2" s="4"/>
      <c r="JTN2" s="4"/>
      <c r="JTO2" s="4"/>
      <c r="JTP2" s="4"/>
      <c r="JTQ2" s="4"/>
      <c r="JTR2" s="4"/>
      <c r="JTS2" s="4"/>
      <c r="JTT2" s="4"/>
      <c r="JTU2" s="4"/>
      <c r="JTV2" s="4"/>
      <c r="JTW2" s="4"/>
      <c r="JTX2" s="4"/>
      <c r="JTY2" s="4"/>
      <c r="JTZ2" s="4"/>
      <c r="JUA2" s="4"/>
      <c r="JUB2" s="4"/>
      <c r="JUC2" s="4"/>
      <c r="JUD2" s="4"/>
      <c r="JUE2" s="4"/>
      <c r="JUF2" s="4"/>
      <c r="JUG2" s="4"/>
      <c r="JUH2" s="4"/>
      <c r="JUI2" s="4"/>
      <c r="JUJ2" s="4"/>
      <c r="JUK2" s="4"/>
      <c r="JUL2" s="4"/>
      <c r="JUM2" s="4"/>
      <c r="JUN2" s="4"/>
      <c r="JUO2" s="4"/>
      <c r="JUP2" s="4"/>
      <c r="JUQ2" s="4"/>
      <c r="JUR2" s="4"/>
      <c r="JUS2" s="4"/>
      <c r="JUT2" s="4"/>
      <c r="JUU2" s="4"/>
      <c r="JUV2" s="4"/>
      <c r="JUW2" s="4"/>
      <c r="JUX2" s="4"/>
      <c r="JUY2" s="4"/>
      <c r="JUZ2" s="4"/>
      <c r="JVA2" s="4"/>
      <c r="JVB2" s="4"/>
      <c r="JVC2" s="4"/>
      <c r="JVD2" s="4"/>
      <c r="JVE2" s="4"/>
      <c r="JVF2" s="4"/>
      <c r="JVG2" s="4"/>
      <c r="JVH2" s="4"/>
      <c r="JVI2" s="4"/>
      <c r="JVJ2" s="4"/>
      <c r="JVK2" s="4"/>
      <c r="JVL2" s="4"/>
      <c r="JVM2" s="4"/>
      <c r="JVN2" s="4"/>
      <c r="JVO2" s="4"/>
      <c r="JVP2" s="4"/>
      <c r="JVQ2" s="4"/>
      <c r="JVR2" s="4"/>
      <c r="JVS2" s="4"/>
      <c r="JVT2" s="4"/>
      <c r="JVU2" s="4"/>
      <c r="JVV2" s="4"/>
      <c r="JVW2" s="4"/>
      <c r="JVX2" s="4"/>
      <c r="JVY2" s="4"/>
      <c r="JVZ2" s="4"/>
      <c r="JWA2" s="4"/>
      <c r="JWB2" s="4"/>
      <c r="JWC2" s="4"/>
      <c r="JWD2" s="4"/>
      <c r="JWE2" s="4"/>
      <c r="JWF2" s="4"/>
      <c r="JWG2" s="4"/>
      <c r="JWH2" s="4"/>
      <c r="JWI2" s="4"/>
      <c r="JWJ2" s="4"/>
      <c r="JWK2" s="4"/>
      <c r="JWL2" s="4"/>
      <c r="JWM2" s="4"/>
      <c r="JWN2" s="4"/>
      <c r="JWO2" s="4"/>
      <c r="JWP2" s="4"/>
      <c r="JWQ2" s="4"/>
      <c r="JWR2" s="4"/>
      <c r="JWS2" s="4"/>
      <c r="JWT2" s="4"/>
      <c r="JWU2" s="4"/>
      <c r="JWV2" s="4"/>
      <c r="JWW2" s="4"/>
      <c r="JWX2" s="4"/>
      <c r="JWY2" s="4"/>
      <c r="JWZ2" s="4"/>
      <c r="JXA2" s="4"/>
      <c r="JXB2" s="4"/>
      <c r="JXC2" s="4"/>
      <c r="JXD2" s="4"/>
      <c r="JXE2" s="4"/>
      <c r="JXF2" s="4"/>
      <c r="JXG2" s="4"/>
      <c r="JXH2" s="4"/>
      <c r="JXI2" s="4"/>
      <c r="JXJ2" s="4"/>
      <c r="JXK2" s="4"/>
      <c r="JXL2" s="4"/>
      <c r="JXM2" s="4"/>
      <c r="JXN2" s="4"/>
      <c r="JXO2" s="4"/>
      <c r="JXP2" s="4"/>
      <c r="JXQ2" s="4"/>
      <c r="JXR2" s="4"/>
      <c r="JXS2" s="4"/>
      <c r="JXT2" s="4"/>
      <c r="JXU2" s="4"/>
      <c r="JXV2" s="4"/>
      <c r="JXW2" s="4"/>
      <c r="JXX2" s="4"/>
      <c r="JXY2" s="4"/>
      <c r="JXZ2" s="4"/>
      <c r="JYA2" s="4"/>
      <c r="JYB2" s="4"/>
      <c r="JYC2" s="4"/>
      <c r="JYD2" s="4"/>
      <c r="JYE2" s="4"/>
      <c r="JYF2" s="4"/>
      <c r="JYG2" s="4"/>
      <c r="JYH2" s="4"/>
      <c r="JYI2" s="4"/>
      <c r="JYJ2" s="4"/>
      <c r="JYK2" s="4"/>
      <c r="JYL2" s="4"/>
      <c r="JYM2" s="4"/>
      <c r="JYN2" s="4"/>
      <c r="JYO2" s="4"/>
      <c r="JYP2" s="4"/>
      <c r="JYQ2" s="4"/>
      <c r="JYR2" s="4"/>
      <c r="JYS2" s="4"/>
      <c r="JYT2" s="4"/>
      <c r="JYU2" s="4"/>
      <c r="JYV2" s="4"/>
      <c r="JYW2" s="4"/>
      <c r="JYX2" s="4"/>
      <c r="JYY2" s="4"/>
      <c r="JYZ2" s="4"/>
      <c r="JZA2" s="4"/>
      <c r="JZB2" s="4"/>
      <c r="JZC2" s="4"/>
      <c r="JZD2" s="4"/>
      <c r="JZE2" s="4"/>
      <c r="JZF2" s="4"/>
      <c r="JZG2" s="4"/>
      <c r="JZH2" s="4"/>
      <c r="JZI2" s="4"/>
      <c r="JZJ2" s="4"/>
      <c r="JZK2" s="4"/>
      <c r="JZL2" s="4"/>
      <c r="JZM2" s="4"/>
      <c r="JZN2" s="4"/>
      <c r="JZO2" s="4"/>
      <c r="JZP2" s="4"/>
      <c r="JZQ2" s="4"/>
      <c r="JZR2" s="4"/>
      <c r="JZS2" s="4"/>
      <c r="JZT2" s="4"/>
      <c r="JZU2" s="4"/>
      <c r="JZV2" s="4"/>
      <c r="JZW2" s="4"/>
      <c r="JZX2" s="4"/>
      <c r="JZY2" s="4"/>
      <c r="JZZ2" s="4"/>
      <c r="KAA2" s="4"/>
      <c r="KAB2" s="4"/>
      <c r="KAC2" s="4"/>
      <c r="KAD2" s="4"/>
      <c r="KAE2" s="4"/>
      <c r="KAF2" s="4"/>
      <c r="KAG2" s="4"/>
      <c r="KAH2" s="4"/>
      <c r="KAI2" s="4"/>
      <c r="KAJ2" s="4"/>
      <c r="KAK2" s="4"/>
      <c r="KAL2" s="4"/>
      <c r="KAM2" s="4"/>
      <c r="KAN2" s="4"/>
      <c r="KAO2" s="4"/>
      <c r="KAP2" s="4"/>
      <c r="KAQ2" s="4"/>
      <c r="KAR2" s="4"/>
      <c r="KAS2" s="4"/>
      <c r="KAT2" s="4"/>
      <c r="KAU2" s="4"/>
      <c r="KAV2" s="4"/>
      <c r="KAW2" s="4"/>
      <c r="KAX2" s="4"/>
      <c r="KAY2" s="4"/>
      <c r="KAZ2" s="4"/>
      <c r="KBA2" s="4"/>
      <c r="KBB2" s="4"/>
      <c r="KBC2" s="4"/>
      <c r="KBD2" s="4"/>
      <c r="KBE2" s="4"/>
      <c r="KBF2" s="4"/>
      <c r="KBG2" s="4"/>
      <c r="KBH2" s="4"/>
      <c r="KBI2" s="4"/>
      <c r="KBJ2" s="4"/>
      <c r="KBK2" s="4"/>
      <c r="KBL2" s="4"/>
      <c r="KBM2" s="4"/>
      <c r="KBN2" s="4"/>
      <c r="KBO2" s="4"/>
      <c r="KBP2" s="4"/>
      <c r="KBQ2" s="4"/>
      <c r="KBR2" s="4"/>
      <c r="KBS2" s="4"/>
      <c r="KBT2" s="4"/>
      <c r="KBU2" s="4"/>
      <c r="KBV2" s="4"/>
      <c r="KBW2" s="4"/>
      <c r="KBX2" s="4"/>
      <c r="KBY2" s="4"/>
      <c r="KBZ2" s="4"/>
      <c r="KCA2" s="4"/>
      <c r="KCB2" s="4"/>
      <c r="KCC2" s="4"/>
      <c r="KCD2" s="4"/>
      <c r="KCE2" s="4"/>
      <c r="KCF2" s="4"/>
      <c r="KCG2" s="4"/>
      <c r="KCH2" s="4"/>
      <c r="KCI2" s="4"/>
      <c r="KCJ2" s="4"/>
      <c r="KCK2" s="4"/>
      <c r="KCL2" s="4"/>
      <c r="KCM2" s="4"/>
      <c r="KCN2" s="4"/>
      <c r="KCO2" s="4"/>
      <c r="KCP2" s="4"/>
      <c r="KCQ2" s="4"/>
      <c r="KCR2" s="4"/>
      <c r="KCS2" s="4"/>
      <c r="KCT2" s="4"/>
      <c r="KCU2" s="4"/>
      <c r="KCV2" s="4"/>
      <c r="KCW2" s="4"/>
      <c r="KCX2" s="4"/>
      <c r="KCY2" s="4"/>
      <c r="KCZ2" s="4"/>
      <c r="KDA2" s="4"/>
      <c r="KDB2" s="4"/>
      <c r="KDC2" s="4"/>
      <c r="KDD2" s="4"/>
      <c r="KDE2" s="4"/>
      <c r="KDF2" s="4"/>
      <c r="KDG2" s="4"/>
      <c r="KDH2" s="4"/>
      <c r="KDI2" s="4"/>
      <c r="KDJ2" s="4"/>
      <c r="KDK2" s="4"/>
      <c r="KDL2" s="4"/>
      <c r="KDM2" s="4"/>
      <c r="KDN2" s="4"/>
      <c r="KDO2" s="4"/>
      <c r="KDP2" s="4"/>
      <c r="KDQ2" s="4"/>
      <c r="KDR2" s="4"/>
      <c r="KDS2" s="4"/>
      <c r="KDT2" s="4"/>
      <c r="KDU2" s="4"/>
      <c r="KDV2" s="4"/>
      <c r="KDW2" s="4"/>
      <c r="KDX2" s="4"/>
      <c r="KDY2" s="4"/>
      <c r="KDZ2" s="4"/>
      <c r="KEA2" s="4"/>
      <c r="KEB2" s="4"/>
      <c r="KEC2" s="4"/>
      <c r="KED2" s="4"/>
      <c r="KEE2" s="4"/>
      <c r="KEF2" s="4"/>
      <c r="KEG2" s="4"/>
      <c r="KEH2" s="4"/>
      <c r="KEI2" s="4"/>
      <c r="KEJ2" s="4"/>
      <c r="KEK2" s="4"/>
      <c r="KEL2" s="4"/>
      <c r="KEM2" s="4"/>
      <c r="KEN2" s="4"/>
      <c r="KEO2" s="4"/>
      <c r="KEP2" s="4"/>
      <c r="KEQ2" s="4"/>
      <c r="KER2" s="4"/>
      <c r="KES2" s="4"/>
      <c r="KET2" s="4"/>
      <c r="KEU2" s="4"/>
      <c r="KEV2" s="4"/>
      <c r="KEW2" s="4"/>
      <c r="KEX2" s="4"/>
      <c r="KEY2" s="4"/>
      <c r="KEZ2" s="4"/>
      <c r="KFA2" s="4"/>
      <c r="KFB2" s="4"/>
      <c r="KFC2" s="4"/>
      <c r="KFD2" s="4"/>
      <c r="KFE2" s="4"/>
      <c r="KFF2" s="4"/>
      <c r="KFG2" s="4"/>
      <c r="KFH2" s="4"/>
      <c r="KFI2" s="4"/>
      <c r="KFJ2" s="4"/>
      <c r="KFK2" s="4"/>
      <c r="KFL2" s="4"/>
      <c r="KFM2" s="4"/>
      <c r="KFN2" s="4"/>
      <c r="KFO2" s="4"/>
      <c r="KFP2" s="4"/>
      <c r="KFQ2" s="4"/>
      <c r="KFR2" s="4"/>
      <c r="KFS2" s="4"/>
      <c r="KFT2" s="4"/>
      <c r="KFU2" s="4"/>
      <c r="KFV2" s="4"/>
      <c r="KFW2" s="4"/>
      <c r="KFX2" s="4"/>
      <c r="KFY2" s="4"/>
      <c r="KFZ2" s="4"/>
      <c r="KGA2" s="4"/>
      <c r="KGB2" s="4"/>
      <c r="KGC2" s="4"/>
      <c r="KGD2" s="4"/>
      <c r="KGE2" s="4"/>
      <c r="KGF2" s="4"/>
      <c r="KGG2" s="4"/>
      <c r="KGH2" s="4"/>
      <c r="KGI2" s="4"/>
      <c r="KGJ2" s="4"/>
      <c r="KGK2" s="4"/>
      <c r="KGL2" s="4"/>
      <c r="KGM2" s="4"/>
      <c r="KGN2" s="4"/>
      <c r="KGO2" s="4"/>
      <c r="KGP2" s="4"/>
      <c r="KGQ2" s="4"/>
      <c r="KGR2" s="4"/>
      <c r="KGS2" s="4"/>
      <c r="KGT2" s="4"/>
      <c r="KGU2" s="4"/>
      <c r="KGV2" s="4"/>
      <c r="KGW2" s="4"/>
      <c r="KGX2" s="4"/>
      <c r="KGY2" s="4"/>
      <c r="KGZ2" s="4"/>
      <c r="KHA2" s="4"/>
      <c r="KHB2" s="4"/>
      <c r="KHC2" s="4"/>
      <c r="KHD2" s="4"/>
      <c r="KHE2" s="4"/>
      <c r="KHF2" s="4"/>
      <c r="KHG2" s="4"/>
      <c r="KHH2" s="4"/>
      <c r="KHI2" s="4"/>
      <c r="KHJ2" s="4"/>
      <c r="KHK2" s="4"/>
      <c r="KHL2" s="4"/>
      <c r="KHM2" s="4"/>
      <c r="KHN2" s="4"/>
      <c r="KHO2" s="4"/>
      <c r="KHP2" s="4"/>
      <c r="KHQ2" s="4"/>
      <c r="KHR2" s="4"/>
      <c r="KHS2" s="4"/>
      <c r="KHT2" s="4"/>
      <c r="KHU2" s="4"/>
      <c r="KHV2" s="4"/>
      <c r="KHW2" s="4"/>
      <c r="KHX2" s="4"/>
      <c r="KHY2" s="4"/>
      <c r="KHZ2" s="4"/>
      <c r="KIA2" s="4"/>
      <c r="KIB2" s="4"/>
      <c r="KIC2" s="4"/>
      <c r="KID2" s="4"/>
      <c r="KIE2" s="4"/>
      <c r="KIF2" s="4"/>
      <c r="KIG2" s="4"/>
      <c r="KIH2" s="4"/>
      <c r="KII2" s="4"/>
      <c r="KIJ2" s="4"/>
      <c r="KIK2" s="4"/>
      <c r="KIL2" s="4"/>
      <c r="KIM2" s="4"/>
      <c r="KIN2" s="4"/>
      <c r="KIO2" s="4"/>
      <c r="KIP2" s="4"/>
      <c r="KIQ2" s="4"/>
      <c r="KIR2" s="4"/>
      <c r="KIS2" s="4"/>
      <c r="KIT2" s="4"/>
      <c r="KIU2" s="4"/>
      <c r="KIV2" s="4"/>
      <c r="KIW2" s="4"/>
      <c r="KIX2" s="4"/>
      <c r="KIY2" s="4"/>
      <c r="KIZ2" s="4"/>
      <c r="KJA2" s="4"/>
      <c r="KJB2" s="4"/>
      <c r="KJC2" s="4"/>
      <c r="KJD2" s="4"/>
      <c r="KJE2" s="4"/>
      <c r="KJF2" s="4"/>
      <c r="KJG2" s="4"/>
      <c r="KJH2" s="4"/>
      <c r="KJI2" s="4"/>
      <c r="KJJ2" s="4"/>
      <c r="KJK2" s="4"/>
      <c r="KJL2" s="4"/>
      <c r="KJM2" s="4"/>
      <c r="KJN2" s="4"/>
      <c r="KJO2" s="4"/>
      <c r="KJP2" s="4"/>
      <c r="KJQ2" s="4"/>
      <c r="KJR2" s="4"/>
      <c r="KJS2" s="4"/>
      <c r="KJT2" s="4"/>
      <c r="KJU2" s="4"/>
      <c r="KJV2" s="4"/>
      <c r="KJW2" s="4"/>
      <c r="KJX2" s="4"/>
      <c r="KJY2" s="4"/>
      <c r="KJZ2" s="4"/>
      <c r="KKA2" s="4"/>
      <c r="KKB2" s="4"/>
      <c r="KKC2" s="4"/>
      <c r="KKD2" s="4"/>
      <c r="KKE2" s="4"/>
      <c r="KKF2" s="4"/>
      <c r="KKG2" s="4"/>
      <c r="KKH2" s="4"/>
      <c r="KKI2" s="4"/>
      <c r="KKJ2" s="4"/>
      <c r="KKK2" s="4"/>
      <c r="KKL2" s="4"/>
      <c r="KKM2" s="4"/>
      <c r="KKN2" s="4"/>
      <c r="KKO2" s="4"/>
      <c r="KKP2" s="4"/>
      <c r="KKQ2" s="4"/>
      <c r="KKR2" s="4"/>
      <c r="KKS2" s="4"/>
      <c r="KKT2" s="4"/>
      <c r="KKU2" s="4"/>
      <c r="KKV2" s="4"/>
      <c r="KKW2" s="4"/>
      <c r="KKX2" s="4"/>
      <c r="KKY2" s="4"/>
      <c r="KKZ2" s="4"/>
      <c r="KLA2" s="4"/>
      <c r="KLB2" s="4"/>
      <c r="KLC2" s="4"/>
      <c r="KLD2" s="4"/>
      <c r="KLE2" s="4"/>
      <c r="KLF2" s="4"/>
      <c r="KLG2" s="4"/>
      <c r="KLH2" s="4"/>
      <c r="KLI2" s="4"/>
      <c r="KLJ2" s="4"/>
      <c r="KLK2" s="4"/>
      <c r="KLL2" s="4"/>
      <c r="KLM2" s="4"/>
      <c r="KLN2" s="4"/>
      <c r="KLO2" s="4"/>
      <c r="KLP2" s="4"/>
      <c r="KLQ2" s="4"/>
      <c r="KLR2" s="4"/>
      <c r="KLS2" s="4"/>
      <c r="KLT2" s="4"/>
      <c r="KLU2" s="4"/>
      <c r="KLV2" s="4"/>
      <c r="KLW2" s="4"/>
      <c r="KLX2" s="4"/>
      <c r="KLY2" s="4"/>
      <c r="KLZ2" s="4"/>
      <c r="KMA2" s="4"/>
      <c r="KMB2" s="4"/>
      <c r="KMC2" s="4"/>
      <c r="KMD2" s="4"/>
      <c r="KME2" s="4"/>
      <c r="KMF2" s="4"/>
      <c r="KMG2" s="4"/>
      <c r="KMH2" s="4"/>
      <c r="KMI2" s="4"/>
      <c r="KMJ2" s="4"/>
      <c r="KMK2" s="4"/>
      <c r="KML2" s="4"/>
      <c r="KMM2" s="4"/>
      <c r="KMN2" s="4"/>
      <c r="KMO2" s="4"/>
      <c r="KMP2" s="4"/>
      <c r="KMQ2" s="4"/>
      <c r="KMR2" s="4"/>
      <c r="KMS2" s="4"/>
      <c r="KMT2" s="4"/>
      <c r="KMU2" s="4"/>
      <c r="KMV2" s="4"/>
      <c r="KMW2" s="4"/>
      <c r="KMX2" s="4"/>
      <c r="KMY2" s="4"/>
      <c r="KMZ2" s="4"/>
      <c r="KNA2" s="4"/>
      <c r="KNB2" s="4"/>
      <c r="KNC2" s="4"/>
      <c r="KND2" s="4"/>
      <c r="KNE2" s="4"/>
      <c r="KNF2" s="4"/>
      <c r="KNG2" s="4"/>
      <c r="KNH2" s="4"/>
      <c r="KNI2" s="4"/>
      <c r="KNJ2" s="4"/>
      <c r="KNK2" s="4"/>
      <c r="KNL2" s="4"/>
      <c r="KNM2" s="4"/>
      <c r="KNN2" s="4"/>
      <c r="KNO2" s="4"/>
      <c r="KNP2" s="4"/>
      <c r="KNQ2" s="4"/>
      <c r="KNR2" s="4"/>
      <c r="KNS2" s="4"/>
      <c r="KNT2" s="4"/>
      <c r="KNU2" s="4"/>
      <c r="KNV2" s="4"/>
      <c r="KNW2" s="4"/>
      <c r="KNX2" s="4"/>
      <c r="KNY2" s="4"/>
      <c r="KNZ2" s="4"/>
      <c r="KOA2" s="4"/>
      <c r="KOB2" s="4"/>
      <c r="KOC2" s="4"/>
      <c r="KOD2" s="4"/>
      <c r="KOE2" s="4"/>
      <c r="KOF2" s="4"/>
      <c r="KOG2" s="4"/>
      <c r="KOH2" s="4"/>
      <c r="KOI2" s="4"/>
      <c r="KOJ2" s="4"/>
      <c r="KOK2" s="4"/>
      <c r="KOL2" s="4"/>
      <c r="KOM2" s="4"/>
      <c r="KON2" s="4"/>
      <c r="KOO2" s="4"/>
      <c r="KOP2" s="4"/>
      <c r="KOQ2" s="4"/>
      <c r="KOR2" s="4"/>
      <c r="KOS2" s="4"/>
      <c r="KOT2" s="4"/>
      <c r="KOU2" s="4"/>
      <c r="KOV2" s="4"/>
      <c r="KOW2" s="4"/>
      <c r="KOX2" s="4"/>
      <c r="KOY2" s="4"/>
      <c r="KOZ2" s="4"/>
      <c r="KPA2" s="4"/>
      <c r="KPB2" s="4"/>
      <c r="KPC2" s="4"/>
      <c r="KPD2" s="4"/>
      <c r="KPE2" s="4"/>
      <c r="KPF2" s="4"/>
      <c r="KPG2" s="4"/>
      <c r="KPH2" s="4"/>
      <c r="KPI2" s="4"/>
      <c r="KPJ2" s="4"/>
      <c r="KPK2" s="4"/>
      <c r="KPL2" s="4"/>
      <c r="KPM2" s="4"/>
      <c r="KPN2" s="4"/>
      <c r="KPO2" s="4"/>
      <c r="KPP2" s="4"/>
      <c r="KPQ2" s="4"/>
      <c r="KPR2" s="4"/>
      <c r="KPS2" s="4"/>
      <c r="KPT2" s="4"/>
      <c r="KPU2" s="4"/>
      <c r="KPV2" s="4"/>
      <c r="KPW2" s="4"/>
      <c r="KPX2" s="4"/>
      <c r="KPY2" s="4"/>
      <c r="KPZ2" s="4"/>
      <c r="KQA2" s="4"/>
      <c r="KQB2" s="4"/>
      <c r="KQC2" s="4"/>
      <c r="KQD2" s="4"/>
      <c r="KQE2" s="4"/>
      <c r="KQF2" s="4"/>
      <c r="KQG2" s="4"/>
      <c r="KQH2" s="4"/>
      <c r="KQI2" s="4"/>
      <c r="KQJ2" s="4"/>
      <c r="KQK2" s="4"/>
      <c r="KQL2" s="4"/>
      <c r="KQM2" s="4"/>
      <c r="KQN2" s="4"/>
      <c r="KQO2" s="4"/>
      <c r="KQP2" s="4"/>
      <c r="KQQ2" s="4"/>
      <c r="KQR2" s="4"/>
      <c r="KQS2" s="4"/>
      <c r="KQT2" s="4"/>
      <c r="KQU2" s="4"/>
      <c r="KQV2" s="4"/>
      <c r="KQW2" s="4"/>
      <c r="KQX2" s="4"/>
      <c r="KQY2" s="4"/>
      <c r="KQZ2" s="4"/>
      <c r="KRA2" s="4"/>
      <c r="KRB2" s="4"/>
      <c r="KRC2" s="4"/>
      <c r="KRD2" s="4"/>
      <c r="KRE2" s="4"/>
      <c r="KRF2" s="4"/>
      <c r="KRG2" s="4"/>
      <c r="KRH2" s="4"/>
      <c r="KRI2" s="4"/>
      <c r="KRJ2" s="4"/>
      <c r="KRK2" s="4"/>
      <c r="KRL2" s="4"/>
      <c r="KRM2" s="4"/>
      <c r="KRN2" s="4"/>
      <c r="KRO2" s="4"/>
      <c r="KRP2" s="4"/>
      <c r="KRQ2" s="4"/>
      <c r="KRR2" s="4"/>
      <c r="KRS2" s="4"/>
      <c r="KRT2" s="4"/>
      <c r="KRU2" s="4"/>
      <c r="KRV2" s="4"/>
      <c r="KRW2" s="4"/>
      <c r="KRX2" s="4"/>
      <c r="KRY2" s="4"/>
      <c r="KRZ2" s="4"/>
      <c r="KSA2" s="4"/>
      <c r="KSB2" s="4"/>
      <c r="KSC2" s="4"/>
      <c r="KSD2" s="4"/>
      <c r="KSE2" s="4"/>
      <c r="KSF2" s="4"/>
      <c r="KSG2" s="4"/>
      <c r="KSH2" s="4"/>
      <c r="KSI2" s="4"/>
      <c r="KSJ2" s="4"/>
      <c r="KSK2" s="4"/>
      <c r="KSL2" s="4"/>
      <c r="KSM2" s="4"/>
      <c r="KSN2" s="4"/>
      <c r="KSO2" s="4"/>
      <c r="KSP2" s="4"/>
      <c r="KSQ2" s="4"/>
      <c r="KSR2" s="4"/>
      <c r="KSS2" s="4"/>
      <c r="KST2" s="4"/>
      <c r="KSU2" s="4"/>
      <c r="KSV2" s="4"/>
      <c r="KSW2" s="4"/>
      <c r="KSX2" s="4"/>
      <c r="KSY2" s="4"/>
      <c r="KSZ2" s="4"/>
      <c r="KTA2" s="4"/>
      <c r="KTB2" s="4"/>
      <c r="KTC2" s="4"/>
      <c r="KTD2" s="4"/>
      <c r="KTE2" s="4"/>
      <c r="KTF2" s="4"/>
      <c r="KTG2" s="4"/>
      <c r="KTH2" s="4"/>
      <c r="KTI2" s="4"/>
      <c r="KTJ2" s="4"/>
      <c r="KTK2" s="4"/>
      <c r="KTL2" s="4"/>
      <c r="KTM2" s="4"/>
      <c r="KTN2" s="4"/>
      <c r="KTO2" s="4"/>
      <c r="KTP2" s="4"/>
      <c r="KTQ2" s="4"/>
      <c r="KTR2" s="4"/>
      <c r="KTS2" s="4"/>
      <c r="KTT2" s="4"/>
      <c r="KTU2" s="4"/>
      <c r="KTV2" s="4"/>
      <c r="KTW2" s="4"/>
      <c r="KTX2" s="4"/>
      <c r="KTY2" s="4"/>
      <c r="KTZ2" s="4"/>
      <c r="KUA2" s="4"/>
      <c r="KUB2" s="4"/>
      <c r="KUC2" s="4"/>
      <c r="KUD2" s="4"/>
      <c r="KUE2" s="4"/>
      <c r="KUF2" s="4"/>
      <c r="KUG2" s="4"/>
      <c r="KUH2" s="4"/>
      <c r="KUI2" s="4"/>
      <c r="KUJ2" s="4"/>
      <c r="KUK2" s="4"/>
      <c r="KUL2" s="4"/>
      <c r="KUM2" s="4"/>
      <c r="KUN2" s="4"/>
      <c r="KUO2" s="4"/>
      <c r="KUP2" s="4"/>
      <c r="KUQ2" s="4"/>
      <c r="KUR2" s="4"/>
      <c r="KUS2" s="4"/>
      <c r="KUT2" s="4"/>
      <c r="KUU2" s="4"/>
      <c r="KUV2" s="4"/>
      <c r="KUW2" s="4"/>
      <c r="KUX2" s="4"/>
      <c r="KUY2" s="4"/>
      <c r="KUZ2" s="4"/>
      <c r="KVA2" s="4"/>
      <c r="KVB2" s="4"/>
      <c r="KVC2" s="4"/>
      <c r="KVD2" s="4"/>
      <c r="KVE2" s="4"/>
      <c r="KVF2" s="4"/>
      <c r="KVG2" s="4"/>
      <c r="KVH2" s="4"/>
      <c r="KVI2" s="4"/>
      <c r="KVJ2" s="4"/>
      <c r="KVK2" s="4"/>
      <c r="KVL2" s="4"/>
      <c r="KVM2" s="4"/>
      <c r="KVN2" s="4"/>
      <c r="KVO2" s="4"/>
      <c r="KVP2" s="4"/>
      <c r="KVQ2" s="4"/>
      <c r="KVR2" s="4"/>
      <c r="KVS2" s="4"/>
      <c r="KVT2" s="4"/>
      <c r="KVU2" s="4"/>
      <c r="KVV2" s="4"/>
      <c r="KVW2" s="4"/>
      <c r="KVX2" s="4"/>
      <c r="KVY2" s="4"/>
      <c r="KVZ2" s="4"/>
      <c r="KWA2" s="4"/>
      <c r="KWB2" s="4"/>
      <c r="KWC2" s="4"/>
      <c r="KWD2" s="4"/>
      <c r="KWE2" s="4"/>
      <c r="KWF2" s="4"/>
      <c r="KWG2" s="4"/>
      <c r="KWH2" s="4"/>
      <c r="KWI2" s="4"/>
      <c r="KWJ2" s="4"/>
      <c r="KWK2" s="4"/>
      <c r="KWL2" s="4"/>
      <c r="KWM2" s="4"/>
      <c r="KWN2" s="4"/>
      <c r="KWO2" s="4"/>
      <c r="KWP2" s="4"/>
      <c r="KWQ2" s="4"/>
      <c r="KWR2" s="4"/>
      <c r="KWS2" s="4"/>
      <c r="KWT2" s="4"/>
      <c r="KWU2" s="4"/>
      <c r="KWV2" s="4"/>
      <c r="KWW2" s="4"/>
      <c r="KWX2" s="4"/>
      <c r="KWY2" s="4"/>
      <c r="KWZ2" s="4"/>
      <c r="KXA2" s="4"/>
      <c r="KXB2" s="4"/>
      <c r="KXC2" s="4"/>
      <c r="KXD2" s="4"/>
      <c r="KXE2" s="4"/>
      <c r="KXF2" s="4"/>
      <c r="KXG2" s="4"/>
      <c r="KXH2" s="4"/>
      <c r="KXI2" s="4"/>
      <c r="KXJ2" s="4"/>
      <c r="KXK2" s="4"/>
      <c r="KXL2" s="4"/>
      <c r="KXM2" s="4"/>
      <c r="KXN2" s="4"/>
      <c r="KXO2" s="4"/>
      <c r="KXP2" s="4"/>
      <c r="KXQ2" s="4"/>
      <c r="KXR2" s="4"/>
      <c r="KXS2" s="4"/>
      <c r="KXT2" s="4"/>
      <c r="KXU2" s="4"/>
      <c r="KXV2" s="4"/>
      <c r="KXW2" s="4"/>
      <c r="KXX2" s="4"/>
      <c r="KXY2" s="4"/>
      <c r="KXZ2" s="4"/>
      <c r="KYA2" s="4"/>
      <c r="KYB2" s="4"/>
      <c r="KYC2" s="4"/>
      <c r="KYD2" s="4"/>
      <c r="KYE2" s="4"/>
      <c r="KYF2" s="4"/>
      <c r="KYG2" s="4"/>
      <c r="KYH2" s="4"/>
      <c r="KYI2" s="4"/>
      <c r="KYJ2" s="4"/>
      <c r="KYK2" s="4"/>
      <c r="KYL2" s="4"/>
      <c r="KYM2" s="4"/>
      <c r="KYN2" s="4"/>
      <c r="KYO2" s="4"/>
      <c r="KYP2" s="4"/>
      <c r="KYQ2" s="4"/>
      <c r="KYR2" s="4"/>
      <c r="KYS2" s="4"/>
      <c r="KYT2" s="4"/>
      <c r="KYU2" s="4"/>
      <c r="KYV2" s="4"/>
      <c r="KYW2" s="4"/>
      <c r="KYX2" s="4"/>
      <c r="KYY2" s="4"/>
      <c r="KYZ2" s="4"/>
      <c r="KZA2" s="4"/>
      <c r="KZB2" s="4"/>
      <c r="KZC2" s="4"/>
      <c r="KZD2" s="4"/>
      <c r="KZE2" s="4"/>
      <c r="KZF2" s="4"/>
      <c r="KZG2" s="4"/>
      <c r="KZH2" s="4"/>
      <c r="KZI2" s="4"/>
      <c r="KZJ2" s="4"/>
      <c r="KZK2" s="4"/>
      <c r="KZL2" s="4"/>
      <c r="KZM2" s="4"/>
      <c r="KZN2" s="4"/>
      <c r="KZO2" s="4"/>
      <c r="KZP2" s="4"/>
      <c r="KZQ2" s="4"/>
      <c r="KZR2" s="4"/>
      <c r="KZS2" s="4"/>
      <c r="KZT2" s="4"/>
      <c r="KZU2" s="4"/>
      <c r="KZV2" s="4"/>
      <c r="KZW2" s="4"/>
      <c r="KZX2" s="4"/>
      <c r="KZY2" s="4"/>
      <c r="KZZ2" s="4"/>
      <c r="LAA2" s="4"/>
      <c r="LAB2" s="4"/>
      <c r="LAC2" s="4"/>
      <c r="LAD2" s="4"/>
      <c r="LAE2" s="4"/>
      <c r="LAF2" s="4"/>
      <c r="LAG2" s="4"/>
      <c r="LAH2" s="4"/>
      <c r="LAI2" s="4"/>
      <c r="LAJ2" s="4"/>
      <c r="LAK2" s="4"/>
      <c r="LAL2" s="4"/>
      <c r="LAM2" s="4"/>
      <c r="LAN2" s="4"/>
      <c r="LAO2" s="4"/>
      <c r="LAP2" s="4"/>
      <c r="LAQ2" s="4"/>
      <c r="LAR2" s="4"/>
      <c r="LAS2" s="4"/>
      <c r="LAT2" s="4"/>
      <c r="LAU2" s="4"/>
      <c r="LAV2" s="4"/>
      <c r="LAW2" s="4"/>
      <c r="LAX2" s="4"/>
      <c r="LAY2" s="4"/>
      <c r="LAZ2" s="4"/>
      <c r="LBA2" s="4"/>
      <c r="LBB2" s="4"/>
      <c r="LBC2" s="4"/>
      <c r="LBD2" s="4"/>
      <c r="LBE2" s="4"/>
      <c r="LBF2" s="4"/>
      <c r="LBG2" s="4"/>
      <c r="LBH2" s="4"/>
      <c r="LBI2" s="4"/>
      <c r="LBJ2" s="4"/>
      <c r="LBK2" s="4"/>
      <c r="LBL2" s="4"/>
      <c r="LBM2" s="4"/>
      <c r="LBN2" s="4"/>
      <c r="LBO2" s="4"/>
      <c r="LBP2" s="4"/>
      <c r="LBQ2" s="4"/>
      <c r="LBR2" s="4"/>
      <c r="LBS2" s="4"/>
      <c r="LBT2" s="4"/>
      <c r="LBU2" s="4"/>
      <c r="LBV2" s="4"/>
      <c r="LBW2" s="4"/>
      <c r="LBX2" s="4"/>
      <c r="LBY2" s="4"/>
      <c r="LBZ2" s="4"/>
      <c r="LCA2" s="4"/>
      <c r="LCB2" s="4"/>
      <c r="LCC2" s="4"/>
      <c r="LCD2" s="4"/>
      <c r="LCE2" s="4"/>
      <c r="LCF2" s="4"/>
      <c r="LCG2" s="4"/>
      <c r="LCH2" s="4"/>
      <c r="LCI2" s="4"/>
      <c r="LCJ2" s="4"/>
      <c r="LCK2" s="4"/>
      <c r="LCL2" s="4"/>
      <c r="LCM2" s="4"/>
      <c r="LCN2" s="4"/>
      <c r="LCO2" s="4"/>
      <c r="LCP2" s="4"/>
      <c r="LCQ2" s="4"/>
      <c r="LCR2" s="4"/>
      <c r="LCS2" s="4"/>
      <c r="LCT2" s="4"/>
      <c r="LCU2" s="4"/>
      <c r="LCV2" s="4"/>
      <c r="LCW2" s="4"/>
      <c r="LCX2" s="4"/>
      <c r="LCY2" s="4"/>
      <c r="LCZ2" s="4"/>
      <c r="LDA2" s="4"/>
      <c r="LDB2" s="4"/>
      <c r="LDC2" s="4"/>
      <c r="LDD2" s="4"/>
      <c r="LDE2" s="4"/>
      <c r="LDF2" s="4"/>
      <c r="LDG2" s="4"/>
      <c r="LDH2" s="4"/>
      <c r="LDI2" s="4"/>
      <c r="LDJ2" s="4"/>
      <c r="LDK2" s="4"/>
      <c r="LDL2" s="4"/>
      <c r="LDM2" s="4"/>
      <c r="LDN2" s="4"/>
      <c r="LDO2" s="4"/>
      <c r="LDP2" s="4"/>
      <c r="LDQ2" s="4"/>
      <c r="LDR2" s="4"/>
      <c r="LDS2" s="4"/>
      <c r="LDT2" s="4"/>
      <c r="LDU2" s="4"/>
      <c r="LDV2" s="4"/>
      <c r="LDW2" s="4"/>
      <c r="LDX2" s="4"/>
      <c r="LDY2" s="4"/>
      <c r="LDZ2" s="4"/>
      <c r="LEA2" s="4"/>
      <c r="LEB2" s="4"/>
      <c r="LEC2" s="4"/>
      <c r="LED2" s="4"/>
      <c r="LEE2" s="4"/>
      <c r="LEF2" s="4"/>
      <c r="LEG2" s="4"/>
      <c r="LEH2" s="4"/>
      <c r="LEI2" s="4"/>
      <c r="LEJ2" s="4"/>
      <c r="LEK2" s="4"/>
      <c r="LEL2" s="4"/>
      <c r="LEM2" s="4"/>
      <c r="LEN2" s="4"/>
      <c r="LEO2" s="4"/>
      <c r="LEP2" s="4"/>
      <c r="LEQ2" s="4"/>
      <c r="LER2" s="4"/>
      <c r="LES2" s="4"/>
      <c r="LET2" s="4"/>
      <c r="LEU2" s="4"/>
      <c r="LEV2" s="4"/>
      <c r="LEW2" s="4"/>
      <c r="LEX2" s="4"/>
      <c r="LEY2" s="4"/>
      <c r="LEZ2" s="4"/>
      <c r="LFA2" s="4"/>
      <c r="LFB2" s="4"/>
      <c r="LFC2" s="4"/>
      <c r="LFD2" s="4"/>
      <c r="LFE2" s="4"/>
      <c r="LFF2" s="4"/>
      <c r="LFG2" s="4"/>
      <c r="LFH2" s="4"/>
      <c r="LFI2" s="4"/>
      <c r="LFJ2" s="4"/>
      <c r="LFK2" s="4"/>
      <c r="LFL2" s="4"/>
      <c r="LFM2" s="4"/>
      <c r="LFN2" s="4"/>
      <c r="LFO2" s="4"/>
      <c r="LFP2" s="4"/>
      <c r="LFQ2" s="4"/>
      <c r="LFR2" s="4"/>
      <c r="LFS2" s="4"/>
      <c r="LFT2" s="4"/>
      <c r="LFU2" s="4"/>
      <c r="LFV2" s="4"/>
      <c r="LFW2" s="4"/>
      <c r="LFX2" s="4"/>
      <c r="LFY2" s="4"/>
      <c r="LFZ2" s="4"/>
      <c r="LGA2" s="4"/>
      <c r="LGB2" s="4"/>
      <c r="LGC2" s="4"/>
      <c r="LGD2" s="4"/>
      <c r="LGE2" s="4"/>
      <c r="LGF2" s="4"/>
      <c r="LGG2" s="4"/>
      <c r="LGH2" s="4"/>
      <c r="LGI2" s="4"/>
      <c r="LGJ2" s="4"/>
      <c r="LGK2" s="4"/>
      <c r="LGL2" s="4"/>
      <c r="LGM2" s="4"/>
      <c r="LGN2" s="4"/>
      <c r="LGO2" s="4"/>
      <c r="LGP2" s="4"/>
      <c r="LGQ2" s="4"/>
      <c r="LGR2" s="4"/>
      <c r="LGS2" s="4"/>
      <c r="LGT2" s="4"/>
      <c r="LGU2" s="4"/>
      <c r="LGV2" s="4"/>
      <c r="LGW2" s="4"/>
      <c r="LGX2" s="4"/>
      <c r="LGY2" s="4"/>
      <c r="LGZ2" s="4"/>
      <c r="LHA2" s="4"/>
      <c r="LHB2" s="4"/>
      <c r="LHC2" s="4"/>
      <c r="LHD2" s="4"/>
      <c r="LHE2" s="4"/>
      <c r="LHF2" s="4"/>
      <c r="LHG2" s="4"/>
      <c r="LHH2" s="4"/>
      <c r="LHI2" s="4"/>
      <c r="LHJ2" s="4"/>
      <c r="LHK2" s="4"/>
      <c r="LHL2" s="4"/>
      <c r="LHM2" s="4"/>
      <c r="LHN2" s="4"/>
      <c r="LHO2" s="4"/>
      <c r="LHP2" s="4"/>
      <c r="LHQ2" s="4"/>
      <c r="LHR2" s="4"/>
      <c r="LHS2" s="4"/>
      <c r="LHT2" s="4"/>
      <c r="LHU2" s="4"/>
      <c r="LHV2" s="4"/>
      <c r="LHW2" s="4"/>
      <c r="LHX2" s="4"/>
      <c r="LHY2" s="4"/>
      <c r="LHZ2" s="4"/>
      <c r="LIA2" s="4"/>
      <c r="LIB2" s="4"/>
      <c r="LIC2" s="4"/>
      <c r="LID2" s="4"/>
      <c r="LIE2" s="4"/>
      <c r="LIF2" s="4"/>
      <c r="LIG2" s="4"/>
      <c r="LIH2" s="4"/>
      <c r="LII2" s="4"/>
      <c r="LIJ2" s="4"/>
      <c r="LIK2" s="4"/>
      <c r="LIL2" s="4"/>
      <c r="LIM2" s="4"/>
      <c r="LIN2" s="4"/>
      <c r="LIO2" s="4"/>
      <c r="LIP2" s="4"/>
      <c r="LIQ2" s="4"/>
      <c r="LIR2" s="4"/>
      <c r="LIS2" s="4"/>
      <c r="LIT2" s="4"/>
      <c r="LIU2" s="4"/>
      <c r="LIV2" s="4"/>
      <c r="LIW2" s="4"/>
      <c r="LIX2" s="4"/>
      <c r="LIY2" s="4"/>
      <c r="LIZ2" s="4"/>
      <c r="LJA2" s="4"/>
      <c r="LJB2" s="4"/>
      <c r="LJC2" s="4"/>
      <c r="LJD2" s="4"/>
      <c r="LJE2" s="4"/>
      <c r="LJF2" s="4"/>
      <c r="LJG2" s="4"/>
      <c r="LJH2" s="4"/>
      <c r="LJI2" s="4"/>
      <c r="LJJ2" s="4"/>
      <c r="LJK2" s="4"/>
      <c r="LJL2" s="4"/>
      <c r="LJM2" s="4"/>
      <c r="LJN2" s="4"/>
      <c r="LJO2" s="4"/>
      <c r="LJP2" s="4"/>
      <c r="LJQ2" s="4"/>
      <c r="LJR2" s="4"/>
      <c r="LJS2" s="4"/>
      <c r="LJT2" s="4"/>
      <c r="LJU2" s="4"/>
      <c r="LJV2" s="4"/>
      <c r="LJW2" s="4"/>
      <c r="LJX2" s="4"/>
      <c r="LJY2" s="4"/>
      <c r="LJZ2" s="4"/>
      <c r="LKA2" s="4"/>
      <c r="LKB2" s="4"/>
      <c r="LKC2" s="4"/>
      <c r="LKD2" s="4"/>
      <c r="LKE2" s="4"/>
      <c r="LKF2" s="4"/>
      <c r="LKG2" s="4"/>
      <c r="LKH2" s="4"/>
      <c r="LKI2" s="4"/>
      <c r="LKJ2" s="4"/>
      <c r="LKK2" s="4"/>
      <c r="LKL2" s="4"/>
      <c r="LKM2" s="4"/>
      <c r="LKN2" s="4"/>
      <c r="LKO2" s="4"/>
      <c r="LKP2" s="4"/>
      <c r="LKQ2" s="4"/>
      <c r="LKR2" s="4"/>
      <c r="LKS2" s="4"/>
      <c r="LKT2" s="4"/>
      <c r="LKU2" s="4"/>
      <c r="LKV2" s="4"/>
      <c r="LKW2" s="4"/>
      <c r="LKX2" s="4"/>
      <c r="LKY2" s="4"/>
      <c r="LKZ2" s="4"/>
      <c r="LLA2" s="4"/>
      <c r="LLB2" s="4"/>
      <c r="LLC2" s="4"/>
      <c r="LLD2" s="4"/>
      <c r="LLE2" s="4"/>
      <c r="LLF2" s="4"/>
      <c r="LLG2" s="4"/>
      <c r="LLH2" s="4"/>
      <c r="LLI2" s="4"/>
      <c r="LLJ2" s="4"/>
      <c r="LLK2" s="4"/>
      <c r="LLL2" s="4"/>
      <c r="LLM2" s="4"/>
      <c r="LLN2" s="4"/>
      <c r="LLO2" s="4"/>
      <c r="LLP2" s="4"/>
      <c r="LLQ2" s="4"/>
      <c r="LLR2" s="4"/>
      <c r="LLS2" s="4"/>
      <c r="LLT2" s="4"/>
      <c r="LLU2" s="4"/>
      <c r="LLV2" s="4"/>
      <c r="LLW2" s="4"/>
      <c r="LLX2" s="4"/>
      <c r="LLY2" s="4"/>
      <c r="LLZ2" s="4"/>
      <c r="LMA2" s="4"/>
      <c r="LMB2" s="4"/>
      <c r="LMC2" s="4"/>
      <c r="LMD2" s="4"/>
      <c r="LME2" s="4"/>
      <c r="LMF2" s="4"/>
      <c r="LMG2" s="4"/>
      <c r="LMH2" s="4"/>
      <c r="LMI2" s="4"/>
      <c r="LMJ2" s="4"/>
      <c r="LMK2" s="4"/>
      <c r="LML2" s="4"/>
      <c r="LMM2" s="4"/>
      <c r="LMN2" s="4"/>
      <c r="LMO2" s="4"/>
      <c r="LMP2" s="4"/>
      <c r="LMQ2" s="4"/>
      <c r="LMR2" s="4"/>
      <c r="LMS2" s="4"/>
      <c r="LMT2" s="4"/>
      <c r="LMU2" s="4"/>
      <c r="LMV2" s="4"/>
      <c r="LMW2" s="4"/>
      <c r="LMX2" s="4"/>
      <c r="LMY2" s="4"/>
      <c r="LMZ2" s="4"/>
      <c r="LNA2" s="4"/>
      <c r="LNB2" s="4"/>
      <c r="LNC2" s="4"/>
      <c r="LND2" s="4"/>
      <c r="LNE2" s="4"/>
      <c r="LNF2" s="4"/>
      <c r="LNG2" s="4"/>
      <c r="LNH2" s="4"/>
      <c r="LNI2" s="4"/>
      <c r="LNJ2" s="4"/>
      <c r="LNK2" s="4"/>
      <c r="LNL2" s="4"/>
      <c r="LNM2" s="4"/>
      <c r="LNN2" s="4"/>
      <c r="LNO2" s="4"/>
      <c r="LNP2" s="4"/>
      <c r="LNQ2" s="4"/>
      <c r="LNR2" s="4"/>
      <c r="LNS2" s="4"/>
      <c r="LNT2" s="4"/>
      <c r="LNU2" s="4"/>
      <c r="LNV2" s="4"/>
      <c r="LNW2" s="4"/>
      <c r="LNX2" s="4"/>
      <c r="LNY2" s="4"/>
      <c r="LNZ2" s="4"/>
      <c r="LOA2" s="4"/>
      <c r="LOB2" s="4"/>
      <c r="LOC2" s="4"/>
      <c r="LOD2" s="4"/>
      <c r="LOE2" s="4"/>
      <c r="LOF2" s="4"/>
      <c r="LOG2" s="4"/>
      <c r="LOH2" s="4"/>
      <c r="LOI2" s="4"/>
      <c r="LOJ2" s="4"/>
      <c r="LOK2" s="4"/>
      <c r="LOL2" s="4"/>
      <c r="LOM2" s="4"/>
      <c r="LON2" s="4"/>
      <c r="LOO2" s="4"/>
      <c r="LOP2" s="4"/>
      <c r="LOQ2" s="4"/>
      <c r="LOR2" s="4"/>
      <c r="LOS2" s="4"/>
      <c r="LOT2" s="4"/>
      <c r="LOU2" s="4"/>
      <c r="LOV2" s="4"/>
      <c r="LOW2" s="4"/>
      <c r="LOX2" s="4"/>
      <c r="LOY2" s="4"/>
      <c r="LOZ2" s="4"/>
      <c r="LPA2" s="4"/>
      <c r="LPB2" s="4"/>
      <c r="LPC2" s="4"/>
      <c r="LPD2" s="4"/>
      <c r="LPE2" s="4"/>
      <c r="LPF2" s="4"/>
      <c r="LPG2" s="4"/>
      <c r="LPH2" s="4"/>
      <c r="LPI2" s="4"/>
      <c r="LPJ2" s="4"/>
      <c r="LPK2" s="4"/>
      <c r="LPL2" s="4"/>
      <c r="LPM2" s="4"/>
      <c r="LPN2" s="4"/>
      <c r="LPO2" s="4"/>
      <c r="LPP2" s="4"/>
      <c r="LPQ2" s="4"/>
      <c r="LPR2" s="4"/>
      <c r="LPS2" s="4"/>
      <c r="LPT2" s="4"/>
      <c r="LPU2" s="4"/>
      <c r="LPV2" s="4"/>
      <c r="LPW2" s="4"/>
      <c r="LPX2" s="4"/>
      <c r="LPY2" s="4"/>
      <c r="LPZ2" s="4"/>
      <c r="LQA2" s="4"/>
      <c r="LQB2" s="4"/>
      <c r="LQC2" s="4"/>
      <c r="LQD2" s="4"/>
      <c r="LQE2" s="4"/>
      <c r="LQF2" s="4"/>
      <c r="LQG2" s="4"/>
      <c r="LQH2" s="4"/>
      <c r="LQI2" s="4"/>
      <c r="LQJ2" s="4"/>
      <c r="LQK2" s="4"/>
      <c r="LQL2" s="4"/>
      <c r="LQM2" s="4"/>
      <c r="LQN2" s="4"/>
      <c r="LQO2" s="4"/>
      <c r="LQP2" s="4"/>
      <c r="LQQ2" s="4"/>
      <c r="LQR2" s="4"/>
      <c r="LQS2" s="4"/>
      <c r="LQT2" s="4"/>
      <c r="LQU2" s="4"/>
      <c r="LQV2" s="4"/>
      <c r="LQW2" s="4"/>
      <c r="LQX2" s="4"/>
      <c r="LQY2" s="4"/>
      <c r="LQZ2" s="4"/>
      <c r="LRA2" s="4"/>
      <c r="LRB2" s="4"/>
      <c r="LRC2" s="4"/>
      <c r="LRD2" s="4"/>
      <c r="LRE2" s="4"/>
      <c r="LRF2" s="4"/>
      <c r="LRG2" s="4"/>
      <c r="LRH2" s="4"/>
      <c r="LRI2" s="4"/>
      <c r="LRJ2" s="4"/>
      <c r="LRK2" s="4"/>
      <c r="LRL2" s="4"/>
      <c r="LRM2" s="4"/>
      <c r="LRN2" s="4"/>
      <c r="LRO2" s="4"/>
      <c r="LRP2" s="4"/>
      <c r="LRQ2" s="4"/>
      <c r="LRR2" s="4"/>
      <c r="LRS2" s="4"/>
      <c r="LRT2" s="4"/>
      <c r="LRU2" s="4"/>
      <c r="LRV2" s="4"/>
      <c r="LRW2" s="4"/>
      <c r="LRX2" s="4"/>
      <c r="LRY2" s="4"/>
      <c r="LRZ2" s="4"/>
      <c r="LSA2" s="4"/>
      <c r="LSB2" s="4"/>
      <c r="LSC2" s="4"/>
      <c r="LSD2" s="4"/>
      <c r="LSE2" s="4"/>
      <c r="LSF2" s="4"/>
      <c r="LSG2" s="4"/>
      <c r="LSH2" s="4"/>
      <c r="LSI2" s="4"/>
      <c r="LSJ2" s="4"/>
      <c r="LSK2" s="4"/>
      <c r="LSL2" s="4"/>
      <c r="LSM2" s="4"/>
      <c r="LSN2" s="4"/>
      <c r="LSO2" s="4"/>
      <c r="LSP2" s="4"/>
      <c r="LSQ2" s="4"/>
      <c r="LSR2" s="4"/>
      <c r="LSS2" s="4"/>
      <c r="LST2" s="4"/>
      <c r="LSU2" s="4"/>
      <c r="LSV2" s="4"/>
      <c r="LSW2" s="4"/>
      <c r="LSX2" s="4"/>
      <c r="LSY2" s="4"/>
      <c r="LSZ2" s="4"/>
      <c r="LTA2" s="4"/>
      <c r="LTB2" s="4"/>
      <c r="LTC2" s="4"/>
      <c r="LTD2" s="4"/>
      <c r="LTE2" s="4"/>
      <c r="LTF2" s="4"/>
      <c r="LTG2" s="4"/>
      <c r="LTH2" s="4"/>
      <c r="LTI2" s="4"/>
      <c r="LTJ2" s="4"/>
      <c r="LTK2" s="4"/>
      <c r="LTL2" s="4"/>
      <c r="LTM2" s="4"/>
      <c r="LTN2" s="4"/>
      <c r="LTO2" s="4"/>
      <c r="LTP2" s="4"/>
      <c r="LTQ2" s="4"/>
      <c r="LTR2" s="4"/>
      <c r="LTS2" s="4"/>
      <c r="LTT2" s="4"/>
      <c r="LTU2" s="4"/>
      <c r="LTV2" s="4"/>
      <c r="LTW2" s="4"/>
      <c r="LTX2" s="4"/>
      <c r="LTY2" s="4"/>
      <c r="LTZ2" s="4"/>
      <c r="LUA2" s="4"/>
      <c r="LUB2" s="4"/>
      <c r="LUC2" s="4"/>
      <c r="LUD2" s="4"/>
      <c r="LUE2" s="4"/>
      <c r="LUF2" s="4"/>
      <c r="LUG2" s="4"/>
      <c r="LUH2" s="4"/>
      <c r="LUI2" s="4"/>
      <c r="LUJ2" s="4"/>
      <c r="LUK2" s="4"/>
      <c r="LUL2" s="4"/>
      <c r="LUM2" s="4"/>
      <c r="LUN2" s="4"/>
      <c r="LUO2" s="4"/>
      <c r="LUP2" s="4"/>
      <c r="LUQ2" s="4"/>
      <c r="LUR2" s="4"/>
      <c r="LUS2" s="4"/>
      <c r="LUT2" s="4"/>
      <c r="LUU2" s="4"/>
      <c r="LUV2" s="4"/>
      <c r="LUW2" s="4"/>
      <c r="LUX2" s="4"/>
      <c r="LUY2" s="4"/>
      <c r="LUZ2" s="4"/>
      <c r="LVA2" s="4"/>
      <c r="LVB2" s="4"/>
      <c r="LVC2" s="4"/>
      <c r="LVD2" s="4"/>
      <c r="LVE2" s="4"/>
      <c r="LVF2" s="4"/>
      <c r="LVG2" s="4"/>
      <c r="LVH2" s="4"/>
      <c r="LVI2" s="4"/>
      <c r="LVJ2" s="4"/>
      <c r="LVK2" s="4"/>
      <c r="LVL2" s="4"/>
      <c r="LVM2" s="4"/>
      <c r="LVN2" s="4"/>
      <c r="LVO2" s="4"/>
      <c r="LVP2" s="4"/>
      <c r="LVQ2" s="4"/>
      <c r="LVR2" s="4"/>
      <c r="LVS2" s="4"/>
      <c r="LVT2" s="4"/>
      <c r="LVU2" s="4"/>
      <c r="LVV2" s="4"/>
      <c r="LVW2" s="4"/>
      <c r="LVX2" s="4"/>
      <c r="LVY2" s="4"/>
      <c r="LVZ2" s="4"/>
      <c r="LWA2" s="4"/>
      <c r="LWB2" s="4"/>
      <c r="LWC2" s="4"/>
      <c r="LWD2" s="4"/>
      <c r="LWE2" s="4"/>
      <c r="LWF2" s="4"/>
      <c r="LWG2" s="4"/>
      <c r="LWH2" s="4"/>
      <c r="LWI2" s="4"/>
      <c r="LWJ2" s="4"/>
      <c r="LWK2" s="4"/>
      <c r="LWL2" s="4"/>
      <c r="LWM2" s="4"/>
      <c r="LWN2" s="4"/>
      <c r="LWO2" s="4"/>
      <c r="LWP2" s="4"/>
      <c r="LWQ2" s="4"/>
      <c r="LWR2" s="4"/>
      <c r="LWS2" s="4"/>
      <c r="LWT2" s="4"/>
      <c r="LWU2" s="4"/>
      <c r="LWV2" s="4"/>
      <c r="LWW2" s="4"/>
      <c r="LWX2" s="4"/>
      <c r="LWY2" s="4"/>
      <c r="LWZ2" s="4"/>
      <c r="LXA2" s="4"/>
      <c r="LXB2" s="4"/>
      <c r="LXC2" s="4"/>
      <c r="LXD2" s="4"/>
      <c r="LXE2" s="4"/>
      <c r="LXF2" s="4"/>
      <c r="LXG2" s="4"/>
      <c r="LXH2" s="4"/>
      <c r="LXI2" s="4"/>
      <c r="LXJ2" s="4"/>
      <c r="LXK2" s="4"/>
      <c r="LXL2" s="4"/>
      <c r="LXM2" s="4"/>
      <c r="LXN2" s="4"/>
      <c r="LXO2" s="4"/>
      <c r="LXP2" s="4"/>
      <c r="LXQ2" s="4"/>
      <c r="LXR2" s="4"/>
      <c r="LXS2" s="4"/>
      <c r="LXT2" s="4"/>
      <c r="LXU2" s="4"/>
      <c r="LXV2" s="4"/>
      <c r="LXW2" s="4"/>
      <c r="LXX2" s="4"/>
      <c r="LXY2" s="4"/>
      <c r="LXZ2" s="4"/>
      <c r="LYA2" s="4"/>
      <c r="LYB2" s="4"/>
      <c r="LYC2" s="4"/>
      <c r="LYD2" s="4"/>
      <c r="LYE2" s="4"/>
      <c r="LYF2" s="4"/>
      <c r="LYG2" s="4"/>
      <c r="LYH2" s="4"/>
      <c r="LYI2" s="4"/>
      <c r="LYJ2" s="4"/>
      <c r="LYK2" s="4"/>
      <c r="LYL2" s="4"/>
      <c r="LYM2" s="4"/>
      <c r="LYN2" s="4"/>
      <c r="LYO2" s="4"/>
      <c r="LYP2" s="4"/>
      <c r="LYQ2" s="4"/>
      <c r="LYR2" s="4"/>
      <c r="LYS2" s="4"/>
      <c r="LYT2" s="4"/>
      <c r="LYU2" s="4"/>
      <c r="LYV2" s="4"/>
      <c r="LYW2" s="4"/>
      <c r="LYX2" s="4"/>
      <c r="LYY2" s="4"/>
      <c r="LYZ2" s="4"/>
      <c r="LZA2" s="4"/>
      <c r="LZB2" s="4"/>
      <c r="LZC2" s="4"/>
      <c r="LZD2" s="4"/>
      <c r="LZE2" s="4"/>
      <c r="LZF2" s="4"/>
      <c r="LZG2" s="4"/>
      <c r="LZH2" s="4"/>
      <c r="LZI2" s="4"/>
      <c r="LZJ2" s="4"/>
      <c r="LZK2" s="4"/>
      <c r="LZL2" s="4"/>
      <c r="LZM2" s="4"/>
      <c r="LZN2" s="4"/>
      <c r="LZO2" s="4"/>
      <c r="LZP2" s="4"/>
      <c r="LZQ2" s="4"/>
      <c r="LZR2" s="4"/>
      <c r="LZS2" s="4"/>
      <c r="LZT2" s="4"/>
      <c r="LZU2" s="4"/>
      <c r="LZV2" s="4"/>
      <c r="LZW2" s="4"/>
      <c r="LZX2" s="4"/>
      <c r="LZY2" s="4"/>
      <c r="LZZ2" s="4"/>
      <c r="MAA2" s="4"/>
      <c r="MAB2" s="4"/>
      <c r="MAC2" s="4"/>
      <c r="MAD2" s="4"/>
      <c r="MAE2" s="4"/>
      <c r="MAF2" s="4"/>
      <c r="MAG2" s="4"/>
      <c r="MAH2" s="4"/>
      <c r="MAI2" s="4"/>
      <c r="MAJ2" s="4"/>
      <c r="MAK2" s="4"/>
      <c r="MAL2" s="4"/>
      <c r="MAM2" s="4"/>
      <c r="MAN2" s="4"/>
      <c r="MAO2" s="4"/>
      <c r="MAP2" s="4"/>
      <c r="MAQ2" s="4"/>
      <c r="MAR2" s="4"/>
      <c r="MAS2" s="4"/>
      <c r="MAT2" s="4"/>
      <c r="MAU2" s="4"/>
      <c r="MAV2" s="4"/>
      <c r="MAW2" s="4"/>
      <c r="MAX2" s="4"/>
      <c r="MAY2" s="4"/>
      <c r="MAZ2" s="4"/>
      <c r="MBA2" s="4"/>
      <c r="MBB2" s="4"/>
      <c r="MBC2" s="4"/>
      <c r="MBD2" s="4"/>
      <c r="MBE2" s="4"/>
      <c r="MBF2" s="4"/>
      <c r="MBG2" s="4"/>
      <c r="MBH2" s="4"/>
      <c r="MBI2" s="4"/>
      <c r="MBJ2" s="4"/>
      <c r="MBK2" s="4"/>
      <c r="MBL2" s="4"/>
      <c r="MBM2" s="4"/>
      <c r="MBN2" s="4"/>
      <c r="MBO2" s="4"/>
      <c r="MBP2" s="4"/>
      <c r="MBQ2" s="4"/>
      <c r="MBR2" s="4"/>
      <c r="MBS2" s="4"/>
      <c r="MBT2" s="4"/>
      <c r="MBU2" s="4"/>
      <c r="MBV2" s="4"/>
      <c r="MBW2" s="4"/>
      <c r="MBX2" s="4"/>
      <c r="MBY2" s="4"/>
      <c r="MBZ2" s="4"/>
      <c r="MCA2" s="4"/>
      <c r="MCB2" s="4"/>
      <c r="MCC2" s="4"/>
      <c r="MCD2" s="4"/>
      <c r="MCE2" s="4"/>
      <c r="MCF2" s="4"/>
      <c r="MCG2" s="4"/>
      <c r="MCH2" s="4"/>
      <c r="MCI2" s="4"/>
      <c r="MCJ2" s="4"/>
      <c r="MCK2" s="4"/>
      <c r="MCL2" s="4"/>
      <c r="MCM2" s="4"/>
      <c r="MCN2" s="4"/>
      <c r="MCO2" s="4"/>
      <c r="MCP2" s="4"/>
      <c r="MCQ2" s="4"/>
      <c r="MCR2" s="4"/>
      <c r="MCS2" s="4"/>
      <c r="MCT2" s="4"/>
      <c r="MCU2" s="4"/>
      <c r="MCV2" s="4"/>
      <c r="MCW2" s="4"/>
      <c r="MCX2" s="4"/>
      <c r="MCY2" s="4"/>
      <c r="MCZ2" s="4"/>
      <c r="MDA2" s="4"/>
      <c r="MDB2" s="4"/>
      <c r="MDC2" s="4"/>
      <c r="MDD2" s="4"/>
      <c r="MDE2" s="4"/>
      <c r="MDF2" s="4"/>
      <c r="MDG2" s="4"/>
      <c r="MDH2" s="4"/>
      <c r="MDI2" s="4"/>
      <c r="MDJ2" s="4"/>
      <c r="MDK2" s="4"/>
      <c r="MDL2" s="4"/>
      <c r="MDM2" s="4"/>
      <c r="MDN2" s="4"/>
      <c r="MDO2" s="4"/>
      <c r="MDP2" s="4"/>
      <c r="MDQ2" s="4"/>
      <c r="MDR2" s="4"/>
      <c r="MDS2" s="4"/>
      <c r="MDT2" s="4"/>
      <c r="MDU2" s="4"/>
      <c r="MDV2" s="4"/>
      <c r="MDW2" s="4"/>
      <c r="MDX2" s="4"/>
      <c r="MDY2" s="4"/>
      <c r="MDZ2" s="4"/>
      <c r="MEA2" s="4"/>
      <c r="MEB2" s="4"/>
      <c r="MEC2" s="4"/>
      <c r="MED2" s="4"/>
      <c r="MEE2" s="4"/>
      <c r="MEF2" s="4"/>
      <c r="MEG2" s="4"/>
      <c r="MEH2" s="4"/>
      <c r="MEI2" s="4"/>
      <c r="MEJ2" s="4"/>
      <c r="MEK2" s="4"/>
      <c r="MEL2" s="4"/>
      <c r="MEM2" s="4"/>
      <c r="MEN2" s="4"/>
      <c r="MEO2" s="4"/>
      <c r="MEP2" s="4"/>
      <c r="MEQ2" s="4"/>
      <c r="MER2" s="4"/>
      <c r="MES2" s="4"/>
      <c r="MET2" s="4"/>
      <c r="MEU2" s="4"/>
      <c r="MEV2" s="4"/>
      <c r="MEW2" s="4"/>
      <c r="MEX2" s="4"/>
      <c r="MEY2" s="4"/>
      <c r="MEZ2" s="4"/>
      <c r="MFA2" s="4"/>
      <c r="MFB2" s="4"/>
      <c r="MFC2" s="4"/>
      <c r="MFD2" s="4"/>
      <c r="MFE2" s="4"/>
      <c r="MFF2" s="4"/>
      <c r="MFG2" s="4"/>
      <c r="MFH2" s="4"/>
      <c r="MFI2" s="4"/>
      <c r="MFJ2" s="4"/>
      <c r="MFK2" s="4"/>
      <c r="MFL2" s="4"/>
      <c r="MFM2" s="4"/>
      <c r="MFN2" s="4"/>
      <c r="MFO2" s="4"/>
      <c r="MFP2" s="4"/>
      <c r="MFQ2" s="4"/>
      <c r="MFR2" s="4"/>
      <c r="MFS2" s="4"/>
      <c r="MFT2" s="4"/>
      <c r="MFU2" s="4"/>
      <c r="MFV2" s="4"/>
      <c r="MFW2" s="4"/>
      <c r="MFX2" s="4"/>
      <c r="MFY2" s="4"/>
      <c r="MFZ2" s="4"/>
      <c r="MGA2" s="4"/>
      <c r="MGB2" s="4"/>
      <c r="MGC2" s="4"/>
      <c r="MGD2" s="4"/>
      <c r="MGE2" s="4"/>
      <c r="MGF2" s="4"/>
      <c r="MGG2" s="4"/>
      <c r="MGH2" s="4"/>
      <c r="MGI2" s="4"/>
      <c r="MGJ2" s="4"/>
      <c r="MGK2" s="4"/>
      <c r="MGL2" s="4"/>
      <c r="MGM2" s="4"/>
      <c r="MGN2" s="4"/>
      <c r="MGO2" s="4"/>
      <c r="MGP2" s="4"/>
      <c r="MGQ2" s="4"/>
      <c r="MGR2" s="4"/>
      <c r="MGS2" s="4"/>
      <c r="MGT2" s="4"/>
      <c r="MGU2" s="4"/>
      <c r="MGV2" s="4"/>
      <c r="MGW2" s="4"/>
      <c r="MGX2" s="4"/>
      <c r="MGY2" s="4"/>
      <c r="MGZ2" s="4"/>
      <c r="MHA2" s="4"/>
      <c r="MHB2" s="4"/>
      <c r="MHC2" s="4"/>
      <c r="MHD2" s="4"/>
      <c r="MHE2" s="4"/>
      <c r="MHF2" s="4"/>
      <c r="MHG2" s="4"/>
      <c r="MHH2" s="4"/>
      <c r="MHI2" s="4"/>
      <c r="MHJ2" s="4"/>
      <c r="MHK2" s="4"/>
      <c r="MHL2" s="4"/>
      <c r="MHM2" s="4"/>
      <c r="MHN2" s="4"/>
      <c r="MHO2" s="4"/>
      <c r="MHP2" s="4"/>
      <c r="MHQ2" s="4"/>
      <c r="MHR2" s="4"/>
      <c r="MHS2" s="4"/>
      <c r="MHT2" s="4"/>
      <c r="MHU2" s="4"/>
      <c r="MHV2" s="4"/>
      <c r="MHW2" s="4"/>
      <c r="MHX2" s="4"/>
      <c r="MHY2" s="4"/>
      <c r="MHZ2" s="4"/>
      <c r="MIA2" s="4"/>
      <c r="MIB2" s="4"/>
      <c r="MIC2" s="4"/>
      <c r="MID2" s="4"/>
      <c r="MIE2" s="4"/>
      <c r="MIF2" s="4"/>
      <c r="MIG2" s="4"/>
      <c r="MIH2" s="4"/>
      <c r="MII2" s="4"/>
      <c r="MIJ2" s="4"/>
      <c r="MIK2" s="4"/>
      <c r="MIL2" s="4"/>
      <c r="MIM2" s="4"/>
      <c r="MIN2" s="4"/>
      <c r="MIO2" s="4"/>
      <c r="MIP2" s="4"/>
      <c r="MIQ2" s="4"/>
      <c r="MIR2" s="4"/>
      <c r="MIS2" s="4"/>
      <c r="MIT2" s="4"/>
      <c r="MIU2" s="4"/>
      <c r="MIV2" s="4"/>
      <c r="MIW2" s="4"/>
      <c r="MIX2" s="4"/>
      <c r="MIY2" s="4"/>
      <c r="MIZ2" s="4"/>
      <c r="MJA2" s="4"/>
      <c r="MJB2" s="4"/>
      <c r="MJC2" s="4"/>
      <c r="MJD2" s="4"/>
      <c r="MJE2" s="4"/>
      <c r="MJF2" s="4"/>
      <c r="MJG2" s="4"/>
      <c r="MJH2" s="4"/>
      <c r="MJI2" s="4"/>
      <c r="MJJ2" s="4"/>
      <c r="MJK2" s="4"/>
      <c r="MJL2" s="4"/>
      <c r="MJM2" s="4"/>
      <c r="MJN2" s="4"/>
      <c r="MJO2" s="4"/>
      <c r="MJP2" s="4"/>
      <c r="MJQ2" s="4"/>
      <c r="MJR2" s="4"/>
      <c r="MJS2" s="4"/>
      <c r="MJT2" s="4"/>
      <c r="MJU2" s="4"/>
      <c r="MJV2" s="4"/>
      <c r="MJW2" s="4"/>
      <c r="MJX2" s="4"/>
      <c r="MJY2" s="4"/>
      <c r="MJZ2" s="4"/>
      <c r="MKA2" s="4"/>
      <c r="MKB2" s="4"/>
      <c r="MKC2" s="4"/>
      <c r="MKD2" s="4"/>
      <c r="MKE2" s="4"/>
      <c r="MKF2" s="4"/>
      <c r="MKG2" s="4"/>
      <c r="MKH2" s="4"/>
      <c r="MKI2" s="4"/>
      <c r="MKJ2" s="4"/>
      <c r="MKK2" s="4"/>
      <c r="MKL2" s="4"/>
      <c r="MKM2" s="4"/>
      <c r="MKN2" s="4"/>
      <c r="MKO2" s="4"/>
      <c r="MKP2" s="4"/>
      <c r="MKQ2" s="4"/>
      <c r="MKR2" s="4"/>
      <c r="MKS2" s="4"/>
      <c r="MKT2" s="4"/>
      <c r="MKU2" s="4"/>
      <c r="MKV2" s="4"/>
      <c r="MKW2" s="4"/>
      <c r="MKX2" s="4"/>
      <c r="MKY2" s="4"/>
      <c r="MKZ2" s="4"/>
      <c r="MLA2" s="4"/>
      <c r="MLB2" s="4"/>
      <c r="MLC2" s="4"/>
      <c r="MLD2" s="4"/>
      <c r="MLE2" s="4"/>
      <c r="MLF2" s="4"/>
      <c r="MLG2" s="4"/>
      <c r="MLH2" s="4"/>
      <c r="MLI2" s="4"/>
      <c r="MLJ2" s="4"/>
      <c r="MLK2" s="4"/>
      <c r="MLL2" s="4"/>
      <c r="MLM2" s="4"/>
      <c r="MLN2" s="4"/>
      <c r="MLO2" s="4"/>
      <c r="MLP2" s="4"/>
      <c r="MLQ2" s="4"/>
      <c r="MLR2" s="4"/>
      <c r="MLS2" s="4"/>
      <c r="MLT2" s="4"/>
      <c r="MLU2" s="4"/>
      <c r="MLV2" s="4"/>
      <c r="MLW2" s="4"/>
      <c r="MLX2" s="4"/>
      <c r="MLY2" s="4"/>
      <c r="MLZ2" s="4"/>
      <c r="MMA2" s="4"/>
      <c r="MMB2" s="4"/>
      <c r="MMC2" s="4"/>
      <c r="MMD2" s="4"/>
      <c r="MME2" s="4"/>
      <c r="MMF2" s="4"/>
      <c r="MMG2" s="4"/>
      <c r="MMH2" s="4"/>
      <c r="MMI2" s="4"/>
      <c r="MMJ2" s="4"/>
      <c r="MMK2" s="4"/>
      <c r="MML2" s="4"/>
      <c r="MMM2" s="4"/>
      <c r="MMN2" s="4"/>
      <c r="MMO2" s="4"/>
      <c r="MMP2" s="4"/>
      <c r="MMQ2" s="4"/>
      <c r="MMR2" s="4"/>
      <c r="MMS2" s="4"/>
      <c r="MMT2" s="4"/>
      <c r="MMU2" s="4"/>
      <c r="MMV2" s="4"/>
      <c r="MMW2" s="4"/>
      <c r="MMX2" s="4"/>
      <c r="MMY2" s="4"/>
      <c r="MMZ2" s="4"/>
      <c r="MNA2" s="4"/>
      <c r="MNB2" s="4"/>
      <c r="MNC2" s="4"/>
      <c r="MND2" s="4"/>
      <c r="MNE2" s="4"/>
      <c r="MNF2" s="4"/>
      <c r="MNG2" s="4"/>
      <c r="MNH2" s="4"/>
      <c r="MNI2" s="4"/>
      <c r="MNJ2" s="4"/>
      <c r="MNK2" s="4"/>
      <c r="MNL2" s="4"/>
      <c r="MNM2" s="4"/>
      <c r="MNN2" s="4"/>
      <c r="MNO2" s="4"/>
      <c r="MNP2" s="4"/>
      <c r="MNQ2" s="4"/>
      <c r="MNR2" s="4"/>
      <c r="MNS2" s="4"/>
      <c r="MNT2" s="4"/>
      <c r="MNU2" s="4"/>
      <c r="MNV2" s="4"/>
      <c r="MNW2" s="4"/>
      <c r="MNX2" s="4"/>
      <c r="MNY2" s="4"/>
      <c r="MNZ2" s="4"/>
      <c r="MOA2" s="4"/>
      <c r="MOB2" s="4"/>
      <c r="MOC2" s="4"/>
      <c r="MOD2" s="4"/>
      <c r="MOE2" s="4"/>
      <c r="MOF2" s="4"/>
      <c r="MOG2" s="4"/>
      <c r="MOH2" s="4"/>
      <c r="MOI2" s="4"/>
      <c r="MOJ2" s="4"/>
      <c r="MOK2" s="4"/>
      <c r="MOL2" s="4"/>
      <c r="MOM2" s="4"/>
      <c r="MON2" s="4"/>
      <c r="MOO2" s="4"/>
      <c r="MOP2" s="4"/>
      <c r="MOQ2" s="4"/>
      <c r="MOR2" s="4"/>
      <c r="MOS2" s="4"/>
      <c r="MOT2" s="4"/>
      <c r="MOU2" s="4"/>
      <c r="MOV2" s="4"/>
      <c r="MOW2" s="4"/>
      <c r="MOX2" s="4"/>
      <c r="MOY2" s="4"/>
      <c r="MOZ2" s="4"/>
      <c r="MPA2" s="4"/>
      <c r="MPB2" s="4"/>
      <c r="MPC2" s="4"/>
      <c r="MPD2" s="4"/>
      <c r="MPE2" s="4"/>
      <c r="MPF2" s="4"/>
      <c r="MPG2" s="4"/>
      <c r="MPH2" s="4"/>
      <c r="MPI2" s="4"/>
      <c r="MPJ2" s="4"/>
      <c r="MPK2" s="4"/>
      <c r="MPL2" s="4"/>
      <c r="MPM2" s="4"/>
      <c r="MPN2" s="4"/>
      <c r="MPO2" s="4"/>
      <c r="MPP2" s="4"/>
      <c r="MPQ2" s="4"/>
      <c r="MPR2" s="4"/>
      <c r="MPS2" s="4"/>
      <c r="MPT2" s="4"/>
      <c r="MPU2" s="4"/>
      <c r="MPV2" s="4"/>
      <c r="MPW2" s="4"/>
      <c r="MPX2" s="4"/>
      <c r="MPY2" s="4"/>
      <c r="MPZ2" s="4"/>
      <c r="MQA2" s="4"/>
      <c r="MQB2" s="4"/>
      <c r="MQC2" s="4"/>
      <c r="MQD2" s="4"/>
      <c r="MQE2" s="4"/>
      <c r="MQF2" s="4"/>
      <c r="MQG2" s="4"/>
      <c r="MQH2" s="4"/>
      <c r="MQI2" s="4"/>
      <c r="MQJ2" s="4"/>
      <c r="MQK2" s="4"/>
      <c r="MQL2" s="4"/>
      <c r="MQM2" s="4"/>
      <c r="MQN2" s="4"/>
      <c r="MQO2" s="4"/>
      <c r="MQP2" s="4"/>
      <c r="MQQ2" s="4"/>
      <c r="MQR2" s="4"/>
      <c r="MQS2" s="4"/>
      <c r="MQT2" s="4"/>
      <c r="MQU2" s="4"/>
      <c r="MQV2" s="4"/>
      <c r="MQW2" s="4"/>
      <c r="MQX2" s="4"/>
      <c r="MQY2" s="4"/>
      <c r="MQZ2" s="4"/>
      <c r="MRA2" s="4"/>
      <c r="MRB2" s="4"/>
      <c r="MRC2" s="4"/>
      <c r="MRD2" s="4"/>
      <c r="MRE2" s="4"/>
      <c r="MRF2" s="4"/>
      <c r="MRG2" s="4"/>
      <c r="MRH2" s="4"/>
      <c r="MRI2" s="4"/>
      <c r="MRJ2" s="4"/>
      <c r="MRK2" s="4"/>
      <c r="MRL2" s="4"/>
      <c r="MRM2" s="4"/>
      <c r="MRN2" s="4"/>
      <c r="MRO2" s="4"/>
      <c r="MRP2" s="4"/>
      <c r="MRQ2" s="4"/>
      <c r="MRR2" s="4"/>
      <c r="MRS2" s="4"/>
      <c r="MRT2" s="4"/>
      <c r="MRU2" s="4"/>
      <c r="MRV2" s="4"/>
      <c r="MRW2" s="4"/>
      <c r="MRX2" s="4"/>
      <c r="MRY2" s="4"/>
      <c r="MRZ2" s="4"/>
      <c r="MSA2" s="4"/>
      <c r="MSB2" s="4"/>
      <c r="MSC2" s="4"/>
      <c r="MSD2" s="4"/>
      <c r="MSE2" s="4"/>
      <c r="MSF2" s="4"/>
      <c r="MSG2" s="4"/>
      <c r="MSH2" s="4"/>
      <c r="MSI2" s="4"/>
      <c r="MSJ2" s="4"/>
      <c r="MSK2" s="4"/>
      <c r="MSL2" s="4"/>
      <c r="MSM2" s="4"/>
      <c r="MSN2" s="4"/>
      <c r="MSO2" s="4"/>
      <c r="MSP2" s="4"/>
      <c r="MSQ2" s="4"/>
      <c r="MSR2" s="4"/>
      <c r="MSS2" s="4"/>
      <c r="MST2" s="4"/>
      <c r="MSU2" s="4"/>
      <c r="MSV2" s="4"/>
      <c r="MSW2" s="4"/>
      <c r="MSX2" s="4"/>
      <c r="MSY2" s="4"/>
      <c r="MSZ2" s="4"/>
      <c r="MTA2" s="4"/>
      <c r="MTB2" s="4"/>
      <c r="MTC2" s="4"/>
      <c r="MTD2" s="4"/>
      <c r="MTE2" s="4"/>
      <c r="MTF2" s="4"/>
      <c r="MTG2" s="4"/>
      <c r="MTH2" s="4"/>
      <c r="MTI2" s="4"/>
      <c r="MTJ2" s="4"/>
      <c r="MTK2" s="4"/>
      <c r="MTL2" s="4"/>
      <c r="MTM2" s="4"/>
      <c r="MTN2" s="4"/>
      <c r="MTO2" s="4"/>
      <c r="MTP2" s="4"/>
      <c r="MTQ2" s="4"/>
      <c r="MTR2" s="4"/>
      <c r="MTS2" s="4"/>
      <c r="MTT2" s="4"/>
      <c r="MTU2" s="4"/>
      <c r="MTV2" s="4"/>
      <c r="MTW2" s="4"/>
      <c r="MTX2" s="4"/>
      <c r="MTY2" s="4"/>
      <c r="MTZ2" s="4"/>
      <c r="MUA2" s="4"/>
      <c r="MUB2" s="4"/>
      <c r="MUC2" s="4"/>
      <c r="MUD2" s="4"/>
      <c r="MUE2" s="4"/>
      <c r="MUF2" s="4"/>
      <c r="MUG2" s="4"/>
      <c r="MUH2" s="4"/>
      <c r="MUI2" s="4"/>
      <c r="MUJ2" s="4"/>
      <c r="MUK2" s="4"/>
      <c r="MUL2" s="4"/>
      <c r="MUM2" s="4"/>
      <c r="MUN2" s="4"/>
      <c r="MUO2" s="4"/>
      <c r="MUP2" s="4"/>
      <c r="MUQ2" s="4"/>
      <c r="MUR2" s="4"/>
      <c r="MUS2" s="4"/>
      <c r="MUT2" s="4"/>
      <c r="MUU2" s="4"/>
      <c r="MUV2" s="4"/>
      <c r="MUW2" s="4"/>
      <c r="MUX2" s="4"/>
      <c r="MUY2" s="4"/>
      <c r="MUZ2" s="4"/>
      <c r="MVA2" s="4"/>
      <c r="MVB2" s="4"/>
      <c r="MVC2" s="4"/>
      <c r="MVD2" s="4"/>
      <c r="MVE2" s="4"/>
      <c r="MVF2" s="4"/>
      <c r="MVG2" s="4"/>
      <c r="MVH2" s="4"/>
      <c r="MVI2" s="4"/>
      <c r="MVJ2" s="4"/>
      <c r="MVK2" s="4"/>
      <c r="MVL2" s="4"/>
      <c r="MVM2" s="4"/>
      <c r="MVN2" s="4"/>
      <c r="MVO2" s="4"/>
      <c r="MVP2" s="4"/>
      <c r="MVQ2" s="4"/>
      <c r="MVR2" s="4"/>
      <c r="MVS2" s="4"/>
      <c r="MVT2" s="4"/>
      <c r="MVU2" s="4"/>
      <c r="MVV2" s="4"/>
      <c r="MVW2" s="4"/>
      <c r="MVX2" s="4"/>
      <c r="MVY2" s="4"/>
      <c r="MVZ2" s="4"/>
      <c r="MWA2" s="4"/>
      <c r="MWB2" s="4"/>
      <c r="MWC2" s="4"/>
      <c r="MWD2" s="4"/>
      <c r="MWE2" s="4"/>
      <c r="MWF2" s="4"/>
      <c r="MWG2" s="4"/>
      <c r="MWH2" s="4"/>
      <c r="MWI2" s="4"/>
      <c r="MWJ2" s="4"/>
      <c r="MWK2" s="4"/>
      <c r="MWL2" s="4"/>
      <c r="MWM2" s="4"/>
      <c r="MWN2" s="4"/>
      <c r="MWO2" s="4"/>
      <c r="MWP2" s="4"/>
      <c r="MWQ2" s="4"/>
      <c r="MWR2" s="4"/>
      <c r="MWS2" s="4"/>
      <c r="MWT2" s="4"/>
      <c r="MWU2" s="4"/>
      <c r="MWV2" s="4"/>
      <c r="MWW2" s="4"/>
      <c r="MWX2" s="4"/>
      <c r="MWY2" s="4"/>
      <c r="MWZ2" s="4"/>
      <c r="MXA2" s="4"/>
      <c r="MXB2" s="4"/>
      <c r="MXC2" s="4"/>
      <c r="MXD2" s="4"/>
      <c r="MXE2" s="4"/>
      <c r="MXF2" s="4"/>
      <c r="MXG2" s="4"/>
      <c r="MXH2" s="4"/>
      <c r="MXI2" s="4"/>
      <c r="MXJ2" s="4"/>
      <c r="MXK2" s="4"/>
      <c r="MXL2" s="4"/>
      <c r="MXM2" s="4"/>
      <c r="MXN2" s="4"/>
      <c r="MXO2" s="4"/>
      <c r="MXP2" s="4"/>
      <c r="MXQ2" s="4"/>
      <c r="MXR2" s="4"/>
      <c r="MXS2" s="4"/>
      <c r="MXT2" s="4"/>
      <c r="MXU2" s="4"/>
      <c r="MXV2" s="4"/>
      <c r="MXW2" s="4"/>
      <c r="MXX2" s="4"/>
      <c r="MXY2" s="4"/>
      <c r="MXZ2" s="4"/>
      <c r="MYA2" s="4"/>
      <c r="MYB2" s="4"/>
      <c r="MYC2" s="4"/>
      <c r="MYD2" s="4"/>
      <c r="MYE2" s="4"/>
      <c r="MYF2" s="4"/>
      <c r="MYG2" s="4"/>
      <c r="MYH2" s="4"/>
      <c r="MYI2" s="4"/>
      <c r="MYJ2" s="4"/>
      <c r="MYK2" s="4"/>
      <c r="MYL2" s="4"/>
      <c r="MYM2" s="4"/>
      <c r="MYN2" s="4"/>
      <c r="MYO2" s="4"/>
      <c r="MYP2" s="4"/>
      <c r="MYQ2" s="4"/>
      <c r="MYR2" s="4"/>
      <c r="MYS2" s="4"/>
      <c r="MYT2" s="4"/>
      <c r="MYU2" s="4"/>
      <c r="MYV2" s="4"/>
      <c r="MYW2" s="4"/>
      <c r="MYX2" s="4"/>
      <c r="MYY2" s="4"/>
      <c r="MYZ2" s="4"/>
      <c r="MZA2" s="4"/>
      <c r="MZB2" s="4"/>
      <c r="MZC2" s="4"/>
      <c r="MZD2" s="4"/>
      <c r="MZE2" s="4"/>
      <c r="MZF2" s="4"/>
      <c r="MZG2" s="4"/>
      <c r="MZH2" s="4"/>
      <c r="MZI2" s="4"/>
      <c r="MZJ2" s="4"/>
      <c r="MZK2" s="4"/>
      <c r="MZL2" s="4"/>
      <c r="MZM2" s="4"/>
      <c r="MZN2" s="4"/>
      <c r="MZO2" s="4"/>
      <c r="MZP2" s="4"/>
      <c r="MZQ2" s="4"/>
      <c r="MZR2" s="4"/>
      <c r="MZS2" s="4"/>
      <c r="MZT2" s="4"/>
      <c r="MZU2" s="4"/>
      <c r="MZV2" s="4"/>
      <c r="MZW2" s="4"/>
      <c r="MZX2" s="4"/>
      <c r="MZY2" s="4"/>
      <c r="MZZ2" s="4"/>
      <c r="NAA2" s="4"/>
      <c r="NAB2" s="4"/>
      <c r="NAC2" s="4"/>
      <c r="NAD2" s="4"/>
      <c r="NAE2" s="4"/>
      <c r="NAF2" s="4"/>
      <c r="NAG2" s="4"/>
      <c r="NAH2" s="4"/>
      <c r="NAI2" s="4"/>
      <c r="NAJ2" s="4"/>
      <c r="NAK2" s="4"/>
      <c r="NAL2" s="4"/>
      <c r="NAM2" s="4"/>
      <c r="NAN2" s="4"/>
      <c r="NAO2" s="4"/>
      <c r="NAP2" s="4"/>
      <c r="NAQ2" s="4"/>
      <c r="NAR2" s="4"/>
      <c r="NAS2" s="4"/>
      <c r="NAT2" s="4"/>
      <c r="NAU2" s="4"/>
      <c r="NAV2" s="4"/>
      <c r="NAW2" s="4"/>
      <c r="NAX2" s="4"/>
      <c r="NAY2" s="4"/>
      <c r="NAZ2" s="4"/>
      <c r="NBA2" s="4"/>
      <c r="NBB2" s="4"/>
      <c r="NBC2" s="4"/>
      <c r="NBD2" s="4"/>
      <c r="NBE2" s="4"/>
      <c r="NBF2" s="4"/>
      <c r="NBG2" s="4"/>
      <c r="NBH2" s="4"/>
      <c r="NBI2" s="4"/>
      <c r="NBJ2" s="4"/>
      <c r="NBK2" s="4"/>
      <c r="NBL2" s="4"/>
      <c r="NBM2" s="4"/>
      <c r="NBN2" s="4"/>
      <c r="NBO2" s="4"/>
      <c r="NBP2" s="4"/>
      <c r="NBQ2" s="4"/>
      <c r="NBR2" s="4"/>
      <c r="NBS2" s="4"/>
      <c r="NBT2" s="4"/>
      <c r="NBU2" s="4"/>
      <c r="NBV2" s="4"/>
      <c r="NBW2" s="4"/>
      <c r="NBX2" s="4"/>
      <c r="NBY2" s="4"/>
      <c r="NBZ2" s="4"/>
      <c r="NCA2" s="4"/>
      <c r="NCB2" s="4"/>
      <c r="NCC2" s="4"/>
      <c r="NCD2" s="4"/>
      <c r="NCE2" s="4"/>
      <c r="NCF2" s="4"/>
      <c r="NCG2" s="4"/>
      <c r="NCH2" s="4"/>
      <c r="NCI2" s="4"/>
      <c r="NCJ2" s="4"/>
      <c r="NCK2" s="4"/>
      <c r="NCL2" s="4"/>
      <c r="NCM2" s="4"/>
      <c r="NCN2" s="4"/>
      <c r="NCO2" s="4"/>
      <c r="NCP2" s="4"/>
      <c r="NCQ2" s="4"/>
      <c r="NCR2" s="4"/>
      <c r="NCS2" s="4"/>
      <c r="NCT2" s="4"/>
      <c r="NCU2" s="4"/>
      <c r="NCV2" s="4"/>
      <c r="NCW2" s="4"/>
      <c r="NCX2" s="4"/>
      <c r="NCY2" s="4"/>
      <c r="NCZ2" s="4"/>
      <c r="NDA2" s="4"/>
      <c r="NDB2" s="4"/>
      <c r="NDC2" s="4"/>
      <c r="NDD2" s="4"/>
      <c r="NDE2" s="4"/>
      <c r="NDF2" s="4"/>
      <c r="NDG2" s="4"/>
      <c r="NDH2" s="4"/>
      <c r="NDI2" s="4"/>
      <c r="NDJ2" s="4"/>
      <c r="NDK2" s="4"/>
      <c r="NDL2" s="4"/>
      <c r="NDM2" s="4"/>
      <c r="NDN2" s="4"/>
      <c r="NDO2" s="4"/>
      <c r="NDP2" s="4"/>
      <c r="NDQ2" s="4"/>
      <c r="NDR2" s="4"/>
      <c r="NDS2" s="4"/>
      <c r="NDT2" s="4"/>
      <c r="NDU2" s="4"/>
      <c r="NDV2" s="4"/>
      <c r="NDW2" s="4"/>
      <c r="NDX2" s="4"/>
      <c r="NDY2" s="4"/>
      <c r="NDZ2" s="4"/>
      <c r="NEA2" s="4"/>
      <c r="NEB2" s="4"/>
      <c r="NEC2" s="4"/>
      <c r="NED2" s="4"/>
      <c r="NEE2" s="4"/>
      <c r="NEF2" s="4"/>
      <c r="NEG2" s="4"/>
      <c r="NEH2" s="4"/>
      <c r="NEI2" s="4"/>
      <c r="NEJ2" s="4"/>
      <c r="NEK2" s="4"/>
      <c r="NEL2" s="4"/>
      <c r="NEM2" s="4"/>
      <c r="NEN2" s="4"/>
      <c r="NEO2" s="4"/>
      <c r="NEP2" s="4"/>
      <c r="NEQ2" s="4"/>
      <c r="NER2" s="4"/>
      <c r="NES2" s="4"/>
      <c r="NET2" s="4"/>
      <c r="NEU2" s="4"/>
      <c r="NEV2" s="4"/>
      <c r="NEW2" s="4"/>
      <c r="NEX2" s="4"/>
      <c r="NEY2" s="4"/>
      <c r="NEZ2" s="4"/>
      <c r="NFA2" s="4"/>
      <c r="NFB2" s="4"/>
      <c r="NFC2" s="4"/>
      <c r="NFD2" s="4"/>
      <c r="NFE2" s="4"/>
      <c r="NFF2" s="4"/>
      <c r="NFG2" s="4"/>
      <c r="NFH2" s="4"/>
      <c r="NFI2" s="4"/>
      <c r="NFJ2" s="4"/>
      <c r="NFK2" s="4"/>
      <c r="NFL2" s="4"/>
      <c r="NFM2" s="4"/>
      <c r="NFN2" s="4"/>
      <c r="NFO2" s="4"/>
      <c r="NFP2" s="4"/>
      <c r="NFQ2" s="4"/>
      <c r="NFR2" s="4"/>
      <c r="NFS2" s="4"/>
      <c r="NFT2" s="4"/>
      <c r="NFU2" s="4"/>
      <c r="NFV2" s="4"/>
      <c r="NFW2" s="4"/>
      <c r="NFX2" s="4"/>
      <c r="NFY2" s="4"/>
      <c r="NFZ2" s="4"/>
      <c r="NGA2" s="4"/>
      <c r="NGB2" s="4"/>
      <c r="NGC2" s="4"/>
      <c r="NGD2" s="4"/>
      <c r="NGE2" s="4"/>
      <c r="NGF2" s="4"/>
      <c r="NGG2" s="4"/>
      <c r="NGH2" s="4"/>
      <c r="NGI2" s="4"/>
      <c r="NGJ2" s="4"/>
      <c r="NGK2" s="4"/>
      <c r="NGL2" s="4"/>
      <c r="NGM2" s="4"/>
      <c r="NGN2" s="4"/>
      <c r="NGO2" s="4"/>
      <c r="NGP2" s="4"/>
      <c r="NGQ2" s="4"/>
      <c r="NGR2" s="4"/>
      <c r="NGS2" s="4"/>
      <c r="NGT2" s="4"/>
      <c r="NGU2" s="4"/>
      <c r="NGV2" s="4"/>
      <c r="NGW2" s="4"/>
      <c r="NGX2" s="4"/>
      <c r="NGY2" s="4"/>
      <c r="NGZ2" s="4"/>
      <c r="NHA2" s="4"/>
      <c r="NHB2" s="4"/>
      <c r="NHC2" s="4"/>
      <c r="NHD2" s="4"/>
      <c r="NHE2" s="4"/>
      <c r="NHF2" s="4"/>
      <c r="NHG2" s="4"/>
      <c r="NHH2" s="4"/>
      <c r="NHI2" s="4"/>
      <c r="NHJ2" s="4"/>
      <c r="NHK2" s="4"/>
      <c r="NHL2" s="4"/>
      <c r="NHM2" s="4"/>
      <c r="NHN2" s="4"/>
      <c r="NHO2" s="4"/>
      <c r="NHP2" s="4"/>
      <c r="NHQ2" s="4"/>
      <c r="NHR2" s="4"/>
      <c r="NHS2" s="4"/>
      <c r="NHT2" s="4"/>
      <c r="NHU2" s="4"/>
      <c r="NHV2" s="4"/>
      <c r="NHW2" s="4"/>
      <c r="NHX2" s="4"/>
      <c r="NHY2" s="4"/>
      <c r="NHZ2" s="4"/>
      <c r="NIA2" s="4"/>
      <c r="NIB2" s="4"/>
      <c r="NIC2" s="4"/>
      <c r="NID2" s="4"/>
      <c r="NIE2" s="4"/>
      <c r="NIF2" s="4"/>
      <c r="NIG2" s="4"/>
      <c r="NIH2" s="4"/>
      <c r="NII2" s="4"/>
      <c r="NIJ2" s="4"/>
      <c r="NIK2" s="4"/>
      <c r="NIL2" s="4"/>
      <c r="NIM2" s="4"/>
      <c r="NIN2" s="4"/>
      <c r="NIO2" s="4"/>
      <c r="NIP2" s="4"/>
      <c r="NIQ2" s="4"/>
      <c r="NIR2" s="4"/>
      <c r="NIS2" s="4"/>
      <c r="NIT2" s="4"/>
      <c r="NIU2" s="4"/>
      <c r="NIV2" s="4"/>
      <c r="NIW2" s="4"/>
      <c r="NIX2" s="4"/>
      <c r="NIY2" s="4"/>
      <c r="NIZ2" s="4"/>
      <c r="NJA2" s="4"/>
      <c r="NJB2" s="4"/>
      <c r="NJC2" s="4"/>
      <c r="NJD2" s="4"/>
      <c r="NJE2" s="4"/>
      <c r="NJF2" s="4"/>
      <c r="NJG2" s="4"/>
      <c r="NJH2" s="4"/>
      <c r="NJI2" s="4"/>
      <c r="NJJ2" s="4"/>
      <c r="NJK2" s="4"/>
      <c r="NJL2" s="4"/>
      <c r="NJM2" s="4"/>
      <c r="NJN2" s="4"/>
      <c r="NJO2" s="4"/>
      <c r="NJP2" s="4"/>
      <c r="NJQ2" s="4"/>
      <c r="NJR2" s="4"/>
      <c r="NJS2" s="4"/>
      <c r="NJT2" s="4"/>
      <c r="NJU2" s="4"/>
      <c r="NJV2" s="4"/>
      <c r="NJW2" s="4"/>
      <c r="NJX2" s="4"/>
      <c r="NJY2" s="4"/>
      <c r="NJZ2" s="4"/>
      <c r="NKA2" s="4"/>
      <c r="NKB2" s="4"/>
      <c r="NKC2" s="4"/>
      <c r="NKD2" s="4"/>
      <c r="NKE2" s="4"/>
      <c r="NKF2" s="4"/>
      <c r="NKG2" s="4"/>
      <c r="NKH2" s="4"/>
      <c r="NKI2" s="4"/>
      <c r="NKJ2" s="4"/>
      <c r="NKK2" s="4"/>
      <c r="NKL2" s="4"/>
      <c r="NKM2" s="4"/>
      <c r="NKN2" s="4"/>
      <c r="NKO2" s="4"/>
      <c r="NKP2" s="4"/>
      <c r="NKQ2" s="4"/>
      <c r="NKR2" s="4"/>
      <c r="NKS2" s="4"/>
      <c r="NKT2" s="4"/>
      <c r="NKU2" s="4"/>
      <c r="NKV2" s="4"/>
      <c r="NKW2" s="4"/>
      <c r="NKX2" s="4"/>
      <c r="NKY2" s="4"/>
      <c r="NKZ2" s="4"/>
      <c r="NLA2" s="4"/>
      <c r="NLB2" s="4"/>
      <c r="NLC2" s="4"/>
      <c r="NLD2" s="4"/>
      <c r="NLE2" s="4"/>
      <c r="NLF2" s="4"/>
      <c r="NLG2" s="4"/>
      <c r="NLH2" s="4"/>
      <c r="NLI2" s="4"/>
      <c r="NLJ2" s="4"/>
      <c r="NLK2" s="4"/>
      <c r="NLL2" s="4"/>
      <c r="NLM2" s="4"/>
      <c r="NLN2" s="4"/>
      <c r="NLO2" s="4"/>
      <c r="NLP2" s="4"/>
      <c r="NLQ2" s="4"/>
      <c r="NLR2" s="4"/>
      <c r="NLS2" s="4"/>
      <c r="NLT2" s="4"/>
      <c r="NLU2" s="4"/>
      <c r="NLV2" s="4"/>
      <c r="NLW2" s="4"/>
      <c r="NLX2" s="4"/>
      <c r="NLY2" s="4"/>
      <c r="NLZ2" s="4"/>
      <c r="NMA2" s="4"/>
      <c r="NMB2" s="4"/>
      <c r="NMC2" s="4"/>
      <c r="NMD2" s="4"/>
      <c r="NME2" s="4"/>
      <c r="NMF2" s="4"/>
      <c r="NMG2" s="4"/>
      <c r="NMH2" s="4"/>
      <c r="NMI2" s="4"/>
      <c r="NMJ2" s="4"/>
      <c r="NMK2" s="4"/>
      <c r="NML2" s="4"/>
      <c r="NMM2" s="4"/>
      <c r="NMN2" s="4"/>
      <c r="NMO2" s="4"/>
      <c r="NMP2" s="4"/>
      <c r="NMQ2" s="4"/>
      <c r="NMR2" s="4"/>
      <c r="NMS2" s="4"/>
      <c r="NMT2" s="4"/>
      <c r="NMU2" s="4"/>
      <c r="NMV2" s="4"/>
      <c r="NMW2" s="4"/>
      <c r="NMX2" s="4"/>
      <c r="NMY2" s="4"/>
      <c r="NMZ2" s="4"/>
      <c r="NNA2" s="4"/>
      <c r="NNB2" s="4"/>
      <c r="NNC2" s="4"/>
      <c r="NND2" s="4"/>
      <c r="NNE2" s="4"/>
      <c r="NNF2" s="4"/>
      <c r="NNG2" s="4"/>
      <c r="NNH2" s="4"/>
      <c r="NNI2" s="4"/>
      <c r="NNJ2" s="4"/>
      <c r="NNK2" s="4"/>
      <c r="NNL2" s="4"/>
      <c r="NNM2" s="4"/>
      <c r="NNN2" s="4"/>
      <c r="NNO2" s="4"/>
      <c r="NNP2" s="4"/>
      <c r="NNQ2" s="4"/>
      <c r="NNR2" s="4"/>
      <c r="NNS2" s="4"/>
      <c r="NNT2" s="4"/>
      <c r="NNU2" s="4"/>
      <c r="NNV2" s="4"/>
      <c r="NNW2" s="4"/>
      <c r="NNX2" s="4"/>
      <c r="NNY2" s="4"/>
      <c r="NNZ2" s="4"/>
      <c r="NOA2" s="4"/>
      <c r="NOB2" s="4"/>
      <c r="NOC2" s="4"/>
      <c r="NOD2" s="4"/>
      <c r="NOE2" s="4"/>
      <c r="NOF2" s="4"/>
      <c r="NOG2" s="4"/>
      <c r="NOH2" s="4"/>
      <c r="NOI2" s="4"/>
      <c r="NOJ2" s="4"/>
      <c r="NOK2" s="4"/>
      <c r="NOL2" s="4"/>
      <c r="NOM2" s="4"/>
      <c r="NON2" s="4"/>
      <c r="NOO2" s="4"/>
      <c r="NOP2" s="4"/>
      <c r="NOQ2" s="4"/>
      <c r="NOR2" s="4"/>
      <c r="NOS2" s="4"/>
      <c r="NOT2" s="4"/>
      <c r="NOU2" s="4"/>
      <c r="NOV2" s="4"/>
      <c r="NOW2" s="4"/>
      <c r="NOX2" s="4"/>
      <c r="NOY2" s="4"/>
      <c r="NOZ2" s="4"/>
      <c r="NPA2" s="4"/>
      <c r="NPB2" s="4"/>
      <c r="NPC2" s="4"/>
      <c r="NPD2" s="4"/>
      <c r="NPE2" s="4"/>
      <c r="NPF2" s="4"/>
      <c r="NPG2" s="4"/>
      <c r="NPH2" s="4"/>
      <c r="NPI2" s="4"/>
      <c r="NPJ2" s="4"/>
      <c r="NPK2" s="4"/>
      <c r="NPL2" s="4"/>
      <c r="NPM2" s="4"/>
      <c r="NPN2" s="4"/>
      <c r="NPO2" s="4"/>
      <c r="NPP2" s="4"/>
      <c r="NPQ2" s="4"/>
      <c r="NPR2" s="4"/>
      <c r="NPS2" s="4"/>
      <c r="NPT2" s="4"/>
      <c r="NPU2" s="4"/>
      <c r="NPV2" s="4"/>
      <c r="NPW2" s="4"/>
      <c r="NPX2" s="4"/>
      <c r="NPY2" s="4"/>
      <c r="NPZ2" s="4"/>
      <c r="NQA2" s="4"/>
      <c r="NQB2" s="4"/>
      <c r="NQC2" s="4"/>
      <c r="NQD2" s="4"/>
      <c r="NQE2" s="4"/>
      <c r="NQF2" s="4"/>
      <c r="NQG2" s="4"/>
      <c r="NQH2" s="4"/>
      <c r="NQI2" s="4"/>
      <c r="NQJ2" s="4"/>
      <c r="NQK2" s="4"/>
      <c r="NQL2" s="4"/>
      <c r="NQM2" s="4"/>
      <c r="NQN2" s="4"/>
      <c r="NQO2" s="4"/>
      <c r="NQP2" s="4"/>
      <c r="NQQ2" s="4"/>
      <c r="NQR2" s="4"/>
      <c r="NQS2" s="4"/>
      <c r="NQT2" s="4"/>
      <c r="NQU2" s="4"/>
      <c r="NQV2" s="4"/>
      <c r="NQW2" s="4"/>
      <c r="NQX2" s="4"/>
      <c r="NQY2" s="4"/>
      <c r="NQZ2" s="4"/>
      <c r="NRA2" s="4"/>
      <c r="NRB2" s="4"/>
      <c r="NRC2" s="4"/>
      <c r="NRD2" s="4"/>
      <c r="NRE2" s="4"/>
      <c r="NRF2" s="4"/>
      <c r="NRG2" s="4"/>
      <c r="NRH2" s="4"/>
      <c r="NRI2" s="4"/>
      <c r="NRJ2" s="4"/>
      <c r="NRK2" s="4"/>
      <c r="NRL2" s="4"/>
      <c r="NRM2" s="4"/>
      <c r="NRN2" s="4"/>
      <c r="NRO2" s="4"/>
      <c r="NRP2" s="4"/>
      <c r="NRQ2" s="4"/>
      <c r="NRR2" s="4"/>
      <c r="NRS2" s="4"/>
      <c r="NRT2" s="4"/>
      <c r="NRU2" s="4"/>
      <c r="NRV2" s="4"/>
      <c r="NRW2" s="4"/>
      <c r="NRX2" s="4"/>
      <c r="NRY2" s="4"/>
      <c r="NRZ2" s="4"/>
      <c r="NSA2" s="4"/>
      <c r="NSB2" s="4"/>
      <c r="NSC2" s="4"/>
      <c r="NSD2" s="4"/>
      <c r="NSE2" s="4"/>
      <c r="NSF2" s="4"/>
      <c r="NSG2" s="4"/>
      <c r="NSH2" s="4"/>
      <c r="NSI2" s="4"/>
      <c r="NSJ2" s="4"/>
      <c r="NSK2" s="4"/>
      <c r="NSL2" s="4"/>
      <c r="NSM2" s="4"/>
      <c r="NSN2" s="4"/>
      <c r="NSO2" s="4"/>
      <c r="NSP2" s="4"/>
      <c r="NSQ2" s="4"/>
      <c r="NSR2" s="4"/>
      <c r="NSS2" s="4"/>
      <c r="NST2" s="4"/>
      <c r="NSU2" s="4"/>
      <c r="NSV2" s="4"/>
      <c r="NSW2" s="4"/>
      <c r="NSX2" s="4"/>
      <c r="NSY2" s="4"/>
      <c r="NSZ2" s="4"/>
      <c r="NTA2" s="4"/>
      <c r="NTB2" s="4"/>
      <c r="NTC2" s="4"/>
      <c r="NTD2" s="4"/>
      <c r="NTE2" s="4"/>
      <c r="NTF2" s="4"/>
      <c r="NTG2" s="4"/>
      <c r="NTH2" s="4"/>
      <c r="NTI2" s="4"/>
      <c r="NTJ2" s="4"/>
      <c r="NTK2" s="4"/>
      <c r="NTL2" s="4"/>
      <c r="NTM2" s="4"/>
      <c r="NTN2" s="4"/>
      <c r="NTO2" s="4"/>
      <c r="NTP2" s="4"/>
      <c r="NTQ2" s="4"/>
      <c r="NTR2" s="4"/>
      <c r="NTS2" s="4"/>
      <c r="NTT2" s="4"/>
      <c r="NTU2" s="4"/>
      <c r="NTV2" s="4"/>
      <c r="NTW2" s="4"/>
      <c r="NTX2" s="4"/>
      <c r="NTY2" s="4"/>
      <c r="NTZ2" s="4"/>
      <c r="NUA2" s="4"/>
      <c r="NUB2" s="4"/>
      <c r="NUC2" s="4"/>
      <c r="NUD2" s="4"/>
      <c r="NUE2" s="4"/>
      <c r="NUF2" s="4"/>
      <c r="NUG2" s="4"/>
      <c r="NUH2" s="4"/>
      <c r="NUI2" s="4"/>
      <c r="NUJ2" s="4"/>
      <c r="NUK2" s="4"/>
      <c r="NUL2" s="4"/>
      <c r="NUM2" s="4"/>
      <c r="NUN2" s="4"/>
      <c r="NUO2" s="4"/>
      <c r="NUP2" s="4"/>
      <c r="NUQ2" s="4"/>
      <c r="NUR2" s="4"/>
      <c r="NUS2" s="4"/>
      <c r="NUT2" s="4"/>
      <c r="NUU2" s="4"/>
      <c r="NUV2" s="4"/>
      <c r="NUW2" s="4"/>
      <c r="NUX2" s="4"/>
      <c r="NUY2" s="4"/>
      <c r="NUZ2" s="4"/>
      <c r="NVA2" s="4"/>
      <c r="NVB2" s="4"/>
      <c r="NVC2" s="4"/>
      <c r="NVD2" s="4"/>
      <c r="NVE2" s="4"/>
      <c r="NVF2" s="4"/>
      <c r="NVG2" s="4"/>
      <c r="NVH2" s="4"/>
      <c r="NVI2" s="4"/>
      <c r="NVJ2" s="4"/>
      <c r="NVK2" s="4"/>
      <c r="NVL2" s="4"/>
      <c r="NVM2" s="4"/>
      <c r="NVN2" s="4"/>
      <c r="NVO2" s="4"/>
      <c r="NVP2" s="4"/>
      <c r="NVQ2" s="4"/>
      <c r="NVR2" s="4"/>
      <c r="NVS2" s="4"/>
      <c r="NVT2" s="4"/>
      <c r="NVU2" s="4"/>
      <c r="NVV2" s="4"/>
      <c r="NVW2" s="4"/>
      <c r="NVX2" s="4"/>
      <c r="NVY2" s="4"/>
      <c r="NVZ2" s="4"/>
      <c r="NWA2" s="4"/>
      <c r="NWB2" s="4"/>
      <c r="NWC2" s="4"/>
      <c r="NWD2" s="4"/>
      <c r="NWE2" s="4"/>
      <c r="NWF2" s="4"/>
      <c r="NWG2" s="4"/>
      <c r="NWH2" s="4"/>
      <c r="NWI2" s="4"/>
      <c r="NWJ2" s="4"/>
      <c r="NWK2" s="4"/>
      <c r="NWL2" s="4"/>
      <c r="NWM2" s="4"/>
      <c r="NWN2" s="4"/>
      <c r="NWO2" s="4"/>
      <c r="NWP2" s="4"/>
      <c r="NWQ2" s="4"/>
      <c r="NWR2" s="4"/>
      <c r="NWS2" s="4"/>
      <c r="NWT2" s="4"/>
      <c r="NWU2" s="4"/>
      <c r="NWV2" s="4"/>
      <c r="NWW2" s="4"/>
      <c r="NWX2" s="4"/>
      <c r="NWY2" s="4"/>
      <c r="NWZ2" s="4"/>
      <c r="NXA2" s="4"/>
      <c r="NXB2" s="4"/>
      <c r="NXC2" s="4"/>
      <c r="NXD2" s="4"/>
      <c r="NXE2" s="4"/>
      <c r="NXF2" s="4"/>
      <c r="NXG2" s="4"/>
      <c r="NXH2" s="4"/>
      <c r="NXI2" s="4"/>
      <c r="NXJ2" s="4"/>
      <c r="NXK2" s="4"/>
      <c r="NXL2" s="4"/>
      <c r="NXM2" s="4"/>
      <c r="NXN2" s="4"/>
      <c r="NXO2" s="4"/>
      <c r="NXP2" s="4"/>
      <c r="NXQ2" s="4"/>
      <c r="NXR2" s="4"/>
      <c r="NXS2" s="4"/>
      <c r="NXT2" s="4"/>
      <c r="NXU2" s="4"/>
      <c r="NXV2" s="4"/>
      <c r="NXW2" s="4"/>
      <c r="NXX2" s="4"/>
      <c r="NXY2" s="4"/>
      <c r="NXZ2" s="4"/>
      <c r="NYA2" s="4"/>
      <c r="NYB2" s="4"/>
      <c r="NYC2" s="4"/>
      <c r="NYD2" s="4"/>
      <c r="NYE2" s="4"/>
      <c r="NYF2" s="4"/>
      <c r="NYG2" s="4"/>
      <c r="NYH2" s="4"/>
      <c r="NYI2" s="4"/>
      <c r="NYJ2" s="4"/>
      <c r="NYK2" s="4"/>
      <c r="NYL2" s="4"/>
      <c r="NYM2" s="4"/>
      <c r="NYN2" s="4"/>
      <c r="NYO2" s="4"/>
      <c r="NYP2" s="4"/>
      <c r="NYQ2" s="4"/>
      <c r="NYR2" s="4"/>
      <c r="NYS2" s="4"/>
      <c r="NYT2" s="4"/>
      <c r="NYU2" s="4"/>
      <c r="NYV2" s="4"/>
      <c r="NYW2" s="4"/>
      <c r="NYX2" s="4"/>
      <c r="NYY2" s="4"/>
      <c r="NYZ2" s="4"/>
      <c r="NZA2" s="4"/>
      <c r="NZB2" s="4"/>
      <c r="NZC2" s="4"/>
      <c r="NZD2" s="4"/>
      <c r="NZE2" s="4"/>
      <c r="NZF2" s="4"/>
      <c r="NZG2" s="4"/>
      <c r="NZH2" s="4"/>
      <c r="NZI2" s="4"/>
      <c r="NZJ2" s="4"/>
      <c r="NZK2" s="4"/>
      <c r="NZL2" s="4"/>
      <c r="NZM2" s="4"/>
      <c r="NZN2" s="4"/>
      <c r="NZO2" s="4"/>
      <c r="NZP2" s="4"/>
      <c r="NZQ2" s="4"/>
      <c r="NZR2" s="4"/>
      <c r="NZS2" s="4"/>
      <c r="NZT2" s="4"/>
      <c r="NZU2" s="4"/>
      <c r="NZV2" s="4"/>
      <c r="NZW2" s="4"/>
      <c r="NZX2" s="4"/>
      <c r="NZY2" s="4"/>
      <c r="NZZ2" s="4"/>
      <c r="OAA2" s="4"/>
      <c r="OAB2" s="4"/>
      <c r="OAC2" s="4"/>
      <c r="OAD2" s="4"/>
      <c r="OAE2" s="4"/>
      <c r="OAF2" s="4"/>
      <c r="OAG2" s="4"/>
      <c r="OAH2" s="4"/>
      <c r="OAI2" s="4"/>
      <c r="OAJ2" s="4"/>
      <c r="OAK2" s="4"/>
      <c r="OAL2" s="4"/>
      <c r="OAM2" s="4"/>
      <c r="OAN2" s="4"/>
      <c r="OAO2" s="4"/>
      <c r="OAP2" s="4"/>
      <c r="OAQ2" s="4"/>
      <c r="OAR2" s="4"/>
      <c r="OAS2" s="4"/>
      <c r="OAT2" s="4"/>
      <c r="OAU2" s="4"/>
      <c r="OAV2" s="4"/>
      <c r="OAW2" s="4"/>
      <c r="OAX2" s="4"/>
      <c r="OAY2" s="4"/>
      <c r="OAZ2" s="4"/>
      <c r="OBA2" s="4"/>
      <c r="OBB2" s="4"/>
      <c r="OBC2" s="4"/>
      <c r="OBD2" s="4"/>
      <c r="OBE2" s="4"/>
      <c r="OBF2" s="4"/>
      <c r="OBG2" s="4"/>
      <c r="OBH2" s="4"/>
      <c r="OBI2" s="4"/>
      <c r="OBJ2" s="4"/>
      <c r="OBK2" s="4"/>
      <c r="OBL2" s="4"/>
      <c r="OBM2" s="4"/>
      <c r="OBN2" s="4"/>
      <c r="OBO2" s="4"/>
      <c r="OBP2" s="4"/>
      <c r="OBQ2" s="4"/>
      <c r="OBR2" s="4"/>
      <c r="OBS2" s="4"/>
      <c r="OBT2" s="4"/>
      <c r="OBU2" s="4"/>
      <c r="OBV2" s="4"/>
      <c r="OBW2" s="4"/>
      <c r="OBX2" s="4"/>
      <c r="OBY2" s="4"/>
      <c r="OBZ2" s="4"/>
      <c r="OCA2" s="4"/>
      <c r="OCB2" s="4"/>
      <c r="OCC2" s="4"/>
      <c r="OCD2" s="4"/>
      <c r="OCE2" s="4"/>
      <c r="OCF2" s="4"/>
      <c r="OCG2" s="4"/>
      <c r="OCH2" s="4"/>
      <c r="OCI2" s="4"/>
      <c r="OCJ2" s="4"/>
      <c r="OCK2" s="4"/>
      <c r="OCL2" s="4"/>
      <c r="OCM2" s="4"/>
      <c r="OCN2" s="4"/>
      <c r="OCO2" s="4"/>
      <c r="OCP2" s="4"/>
      <c r="OCQ2" s="4"/>
      <c r="OCR2" s="4"/>
      <c r="OCS2" s="4"/>
      <c r="OCT2" s="4"/>
      <c r="OCU2" s="4"/>
      <c r="OCV2" s="4"/>
      <c r="OCW2" s="4"/>
      <c r="OCX2" s="4"/>
      <c r="OCY2" s="4"/>
      <c r="OCZ2" s="4"/>
      <c r="ODA2" s="4"/>
      <c r="ODB2" s="4"/>
      <c r="ODC2" s="4"/>
      <c r="ODD2" s="4"/>
      <c r="ODE2" s="4"/>
      <c r="ODF2" s="4"/>
      <c r="ODG2" s="4"/>
      <c r="ODH2" s="4"/>
      <c r="ODI2" s="4"/>
      <c r="ODJ2" s="4"/>
      <c r="ODK2" s="4"/>
      <c r="ODL2" s="4"/>
      <c r="ODM2" s="4"/>
      <c r="ODN2" s="4"/>
      <c r="ODO2" s="4"/>
      <c r="ODP2" s="4"/>
      <c r="ODQ2" s="4"/>
      <c r="ODR2" s="4"/>
      <c r="ODS2" s="4"/>
      <c r="ODT2" s="4"/>
      <c r="ODU2" s="4"/>
      <c r="ODV2" s="4"/>
      <c r="ODW2" s="4"/>
      <c r="ODX2" s="4"/>
      <c r="ODY2" s="4"/>
      <c r="ODZ2" s="4"/>
      <c r="OEA2" s="4"/>
      <c r="OEB2" s="4"/>
      <c r="OEC2" s="4"/>
      <c r="OED2" s="4"/>
      <c r="OEE2" s="4"/>
      <c r="OEF2" s="4"/>
      <c r="OEG2" s="4"/>
      <c r="OEH2" s="4"/>
      <c r="OEI2" s="4"/>
      <c r="OEJ2" s="4"/>
      <c r="OEK2" s="4"/>
      <c r="OEL2" s="4"/>
      <c r="OEM2" s="4"/>
      <c r="OEN2" s="4"/>
      <c r="OEO2" s="4"/>
      <c r="OEP2" s="4"/>
      <c r="OEQ2" s="4"/>
      <c r="OER2" s="4"/>
      <c r="OES2" s="4"/>
      <c r="OET2" s="4"/>
      <c r="OEU2" s="4"/>
      <c r="OEV2" s="4"/>
      <c r="OEW2" s="4"/>
      <c r="OEX2" s="4"/>
      <c r="OEY2" s="4"/>
      <c r="OEZ2" s="4"/>
      <c r="OFA2" s="4"/>
      <c r="OFB2" s="4"/>
      <c r="OFC2" s="4"/>
      <c r="OFD2" s="4"/>
      <c r="OFE2" s="4"/>
      <c r="OFF2" s="4"/>
      <c r="OFG2" s="4"/>
      <c r="OFH2" s="4"/>
      <c r="OFI2" s="4"/>
      <c r="OFJ2" s="4"/>
      <c r="OFK2" s="4"/>
      <c r="OFL2" s="4"/>
      <c r="OFM2" s="4"/>
      <c r="OFN2" s="4"/>
      <c r="OFO2" s="4"/>
      <c r="OFP2" s="4"/>
      <c r="OFQ2" s="4"/>
      <c r="OFR2" s="4"/>
      <c r="OFS2" s="4"/>
      <c r="OFT2" s="4"/>
      <c r="OFU2" s="4"/>
      <c r="OFV2" s="4"/>
      <c r="OFW2" s="4"/>
      <c r="OFX2" s="4"/>
      <c r="OFY2" s="4"/>
      <c r="OFZ2" s="4"/>
      <c r="OGA2" s="4"/>
      <c r="OGB2" s="4"/>
      <c r="OGC2" s="4"/>
      <c r="OGD2" s="4"/>
      <c r="OGE2" s="4"/>
      <c r="OGF2" s="4"/>
      <c r="OGG2" s="4"/>
      <c r="OGH2" s="4"/>
      <c r="OGI2" s="4"/>
      <c r="OGJ2" s="4"/>
      <c r="OGK2" s="4"/>
      <c r="OGL2" s="4"/>
      <c r="OGM2" s="4"/>
      <c r="OGN2" s="4"/>
      <c r="OGO2" s="4"/>
      <c r="OGP2" s="4"/>
      <c r="OGQ2" s="4"/>
      <c r="OGR2" s="4"/>
      <c r="OGS2" s="4"/>
      <c r="OGT2" s="4"/>
      <c r="OGU2" s="4"/>
      <c r="OGV2" s="4"/>
      <c r="OGW2" s="4"/>
      <c r="OGX2" s="4"/>
      <c r="OGY2" s="4"/>
      <c r="OGZ2" s="4"/>
      <c r="OHA2" s="4"/>
      <c r="OHB2" s="4"/>
      <c r="OHC2" s="4"/>
      <c r="OHD2" s="4"/>
      <c r="OHE2" s="4"/>
      <c r="OHF2" s="4"/>
      <c r="OHG2" s="4"/>
      <c r="OHH2" s="4"/>
      <c r="OHI2" s="4"/>
      <c r="OHJ2" s="4"/>
      <c r="OHK2" s="4"/>
      <c r="OHL2" s="4"/>
      <c r="OHM2" s="4"/>
      <c r="OHN2" s="4"/>
      <c r="OHO2" s="4"/>
      <c r="OHP2" s="4"/>
      <c r="OHQ2" s="4"/>
      <c r="OHR2" s="4"/>
      <c r="OHS2" s="4"/>
      <c r="OHT2" s="4"/>
      <c r="OHU2" s="4"/>
      <c r="OHV2" s="4"/>
      <c r="OHW2" s="4"/>
      <c r="OHX2" s="4"/>
      <c r="OHY2" s="4"/>
      <c r="OHZ2" s="4"/>
      <c r="OIA2" s="4"/>
      <c r="OIB2" s="4"/>
      <c r="OIC2" s="4"/>
      <c r="OID2" s="4"/>
      <c r="OIE2" s="4"/>
      <c r="OIF2" s="4"/>
      <c r="OIG2" s="4"/>
      <c r="OIH2" s="4"/>
      <c r="OII2" s="4"/>
      <c r="OIJ2" s="4"/>
      <c r="OIK2" s="4"/>
      <c r="OIL2" s="4"/>
      <c r="OIM2" s="4"/>
      <c r="OIN2" s="4"/>
      <c r="OIO2" s="4"/>
      <c r="OIP2" s="4"/>
      <c r="OIQ2" s="4"/>
      <c r="OIR2" s="4"/>
      <c r="OIS2" s="4"/>
      <c r="OIT2" s="4"/>
      <c r="OIU2" s="4"/>
      <c r="OIV2" s="4"/>
      <c r="OIW2" s="4"/>
      <c r="OIX2" s="4"/>
      <c r="OIY2" s="4"/>
      <c r="OIZ2" s="4"/>
      <c r="OJA2" s="4"/>
      <c r="OJB2" s="4"/>
      <c r="OJC2" s="4"/>
      <c r="OJD2" s="4"/>
      <c r="OJE2" s="4"/>
      <c r="OJF2" s="4"/>
      <c r="OJG2" s="4"/>
      <c r="OJH2" s="4"/>
      <c r="OJI2" s="4"/>
      <c r="OJJ2" s="4"/>
      <c r="OJK2" s="4"/>
      <c r="OJL2" s="4"/>
      <c r="OJM2" s="4"/>
      <c r="OJN2" s="4"/>
      <c r="OJO2" s="4"/>
      <c r="OJP2" s="4"/>
      <c r="OJQ2" s="4"/>
      <c r="OJR2" s="4"/>
      <c r="OJS2" s="4"/>
      <c r="OJT2" s="4"/>
      <c r="OJU2" s="4"/>
      <c r="OJV2" s="4"/>
      <c r="OJW2" s="4"/>
      <c r="OJX2" s="4"/>
      <c r="OJY2" s="4"/>
      <c r="OJZ2" s="4"/>
      <c r="OKA2" s="4"/>
      <c r="OKB2" s="4"/>
      <c r="OKC2" s="4"/>
      <c r="OKD2" s="4"/>
      <c r="OKE2" s="4"/>
      <c r="OKF2" s="4"/>
      <c r="OKG2" s="4"/>
      <c r="OKH2" s="4"/>
      <c r="OKI2" s="4"/>
      <c r="OKJ2" s="4"/>
      <c r="OKK2" s="4"/>
      <c r="OKL2" s="4"/>
      <c r="OKM2" s="4"/>
      <c r="OKN2" s="4"/>
      <c r="OKO2" s="4"/>
      <c r="OKP2" s="4"/>
      <c r="OKQ2" s="4"/>
      <c r="OKR2" s="4"/>
      <c r="OKS2" s="4"/>
      <c r="OKT2" s="4"/>
      <c r="OKU2" s="4"/>
      <c r="OKV2" s="4"/>
      <c r="OKW2" s="4"/>
      <c r="OKX2" s="4"/>
      <c r="OKY2" s="4"/>
      <c r="OKZ2" s="4"/>
      <c r="OLA2" s="4"/>
      <c r="OLB2" s="4"/>
      <c r="OLC2" s="4"/>
      <c r="OLD2" s="4"/>
      <c r="OLE2" s="4"/>
      <c r="OLF2" s="4"/>
      <c r="OLG2" s="4"/>
      <c r="OLH2" s="4"/>
      <c r="OLI2" s="4"/>
      <c r="OLJ2" s="4"/>
      <c r="OLK2" s="4"/>
      <c r="OLL2" s="4"/>
      <c r="OLM2" s="4"/>
      <c r="OLN2" s="4"/>
      <c r="OLO2" s="4"/>
      <c r="OLP2" s="4"/>
      <c r="OLQ2" s="4"/>
      <c r="OLR2" s="4"/>
      <c r="OLS2" s="4"/>
      <c r="OLT2" s="4"/>
      <c r="OLU2" s="4"/>
      <c r="OLV2" s="4"/>
      <c r="OLW2" s="4"/>
      <c r="OLX2" s="4"/>
      <c r="OLY2" s="4"/>
      <c r="OLZ2" s="4"/>
      <c r="OMA2" s="4"/>
      <c r="OMB2" s="4"/>
      <c r="OMC2" s="4"/>
      <c r="OMD2" s="4"/>
      <c r="OME2" s="4"/>
      <c r="OMF2" s="4"/>
      <c r="OMG2" s="4"/>
      <c r="OMH2" s="4"/>
      <c r="OMI2" s="4"/>
      <c r="OMJ2" s="4"/>
      <c r="OMK2" s="4"/>
      <c r="OML2" s="4"/>
      <c r="OMM2" s="4"/>
      <c r="OMN2" s="4"/>
      <c r="OMO2" s="4"/>
      <c r="OMP2" s="4"/>
      <c r="OMQ2" s="4"/>
      <c r="OMR2" s="4"/>
      <c r="OMS2" s="4"/>
      <c r="OMT2" s="4"/>
      <c r="OMU2" s="4"/>
      <c r="OMV2" s="4"/>
      <c r="OMW2" s="4"/>
      <c r="OMX2" s="4"/>
      <c r="OMY2" s="4"/>
      <c r="OMZ2" s="4"/>
      <c r="ONA2" s="4"/>
      <c r="ONB2" s="4"/>
      <c r="ONC2" s="4"/>
      <c r="OND2" s="4"/>
      <c r="ONE2" s="4"/>
      <c r="ONF2" s="4"/>
      <c r="ONG2" s="4"/>
      <c r="ONH2" s="4"/>
      <c r="ONI2" s="4"/>
      <c r="ONJ2" s="4"/>
      <c r="ONK2" s="4"/>
      <c r="ONL2" s="4"/>
      <c r="ONM2" s="4"/>
      <c r="ONN2" s="4"/>
      <c r="ONO2" s="4"/>
      <c r="ONP2" s="4"/>
      <c r="ONQ2" s="4"/>
      <c r="ONR2" s="4"/>
      <c r="ONS2" s="4"/>
      <c r="ONT2" s="4"/>
      <c r="ONU2" s="4"/>
      <c r="ONV2" s="4"/>
      <c r="ONW2" s="4"/>
      <c r="ONX2" s="4"/>
      <c r="ONY2" s="4"/>
      <c r="ONZ2" s="4"/>
      <c r="OOA2" s="4"/>
      <c r="OOB2" s="4"/>
      <c r="OOC2" s="4"/>
      <c r="OOD2" s="4"/>
      <c r="OOE2" s="4"/>
      <c r="OOF2" s="4"/>
      <c r="OOG2" s="4"/>
      <c r="OOH2" s="4"/>
      <c r="OOI2" s="4"/>
      <c r="OOJ2" s="4"/>
      <c r="OOK2" s="4"/>
      <c r="OOL2" s="4"/>
      <c r="OOM2" s="4"/>
      <c r="OON2" s="4"/>
      <c r="OOO2" s="4"/>
      <c r="OOP2" s="4"/>
      <c r="OOQ2" s="4"/>
      <c r="OOR2" s="4"/>
      <c r="OOS2" s="4"/>
      <c r="OOT2" s="4"/>
      <c r="OOU2" s="4"/>
      <c r="OOV2" s="4"/>
      <c r="OOW2" s="4"/>
      <c r="OOX2" s="4"/>
      <c r="OOY2" s="4"/>
      <c r="OOZ2" s="4"/>
      <c r="OPA2" s="4"/>
      <c r="OPB2" s="4"/>
      <c r="OPC2" s="4"/>
      <c r="OPD2" s="4"/>
      <c r="OPE2" s="4"/>
      <c r="OPF2" s="4"/>
      <c r="OPG2" s="4"/>
      <c r="OPH2" s="4"/>
      <c r="OPI2" s="4"/>
      <c r="OPJ2" s="4"/>
      <c r="OPK2" s="4"/>
      <c r="OPL2" s="4"/>
      <c r="OPM2" s="4"/>
      <c r="OPN2" s="4"/>
      <c r="OPO2" s="4"/>
      <c r="OPP2" s="4"/>
      <c r="OPQ2" s="4"/>
      <c r="OPR2" s="4"/>
      <c r="OPS2" s="4"/>
      <c r="OPT2" s="4"/>
      <c r="OPU2" s="4"/>
      <c r="OPV2" s="4"/>
      <c r="OPW2" s="4"/>
      <c r="OPX2" s="4"/>
      <c r="OPY2" s="4"/>
      <c r="OPZ2" s="4"/>
      <c r="OQA2" s="4"/>
      <c r="OQB2" s="4"/>
      <c r="OQC2" s="4"/>
      <c r="OQD2" s="4"/>
      <c r="OQE2" s="4"/>
      <c r="OQF2" s="4"/>
      <c r="OQG2" s="4"/>
      <c r="OQH2" s="4"/>
      <c r="OQI2" s="4"/>
      <c r="OQJ2" s="4"/>
      <c r="OQK2" s="4"/>
      <c r="OQL2" s="4"/>
      <c r="OQM2" s="4"/>
      <c r="OQN2" s="4"/>
      <c r="OQO2" s="4"/>
      <c r="OQP2" s="4"/>
      <c r="OQQ2" s="4"/>
      <c r="OQR2" s="4"/>
      <c r="OQS2" s="4"/>
      <c r="OQT2" s="4"/>
      <c r="OQU2" s="4"/>
      <c r="OQV2" s="4"/>
      <c r="OQW2" s="4"/>
      <c r="OQX2" s="4"/>
      <c r="OQY2" s="4"/>
      <c r="OQZ2" s="4"/>
      <c r="ORA2" s="4"/>
      <c r="ORB2" s="4"/>
      <c r="ORC2" s="4"/>
      <c r="ORD2" s="4"/>
      <c r="ORE2" s="4"/>
      <c r="ORF2" s="4"/>
      <c r="ORG2" s="4"/>
      <c r="ORH2" s="4"/>
      <c r="ORI2" s="4"/>
      <c r="ORJ2" s="4"/>
      <c r="ORK2" s="4"/>
      <c r="ORL2" s="4"/>
      <c r="ORM2" s="4"/>
      <c r="ORN2" s="4"/>
      <c r="ORO2" s="4"/>
      <c r="ORP2" s="4"/>
      <c r="ORQ2" s="4"/>
      <c r="ORR2" s="4"/>
      <c r="ORS2" s="4"/>
      <c r="ORT2" s="4"/>
      <c r="ORU2" s="4"/>
      <c r="ORV2" s="4"/>
      <c r="ORW2" s="4"/>
      <c r="ORX2" s="4"/>
      <c r="ORY2" s="4"/>
      <c r="ORZ2" s="4"/>
      <c r="OSA2" s="4"/>
      <c r="OSB2" s="4"/>
      <c r="OSC2" s="4"/>
      <c r="OSD2" s="4"/>
      <c r="OSE2" s="4"/>
      <c r="OSF2" s="4"/>
      <c r="OSG2" s="4"/>
      <c r="OSH2" s="4"/>
      <c r="OSI2" s="4"/>
      <c r="OSJ2" s="4"/>
      <c r="OSK2" s="4"/>
      <c r="OSL2" s="4"/>
      <c r="OSM2" s="4"/>
      <c r="OSN2" s="4"/>
      <c r="OSO2" s="4"/>
      <c r="OSP2" s="4"/>
      <c r="OSQ2" s="4"/>
      <c r="OSR2" s="4"/>
      <c r="OSS2" s="4"/>
      <c r="OST2" s="4"/>
      <c r="OSU2" s="4"/>
      <c r="OSV2" s="4"/>
      <c r="OSW2" s="4"/>
      <c r="OSX2" s="4"/>
      <c r="OSY2" s="4"/>
      <c r="OSZ2" s="4"/>
      <c r="OTA2" s="4"/>
      <c r="OTB2" s="4"/>
      <c r="OTC2" s="4"/>
      <c r="OTD2" s="4"/>
      <c r="OTE2" s="4"/>
      <c r="OTF2" s="4"/>
      <c r="OTG2" s="4"/>
      <c r="OTH2" s="4"/>
      <c r="OTI2" s="4"/>
      <c r="OTJ2" s="4"/>
      <c r="OTK2" s="4"/>
      <c r="OTL2" s="4"/>
      <c r="OTM2" s="4"/>
      <c r="OTN2" s="4"/>
      <c r="OTO2" s="4"/>
      <c r="OTP2" s="4"/>
      <c r="OTQ2" s="4"/>
      <c r="OTR2" s="4"/>
      <c r="OTS2" s="4"/>
      <c r="OTT2" s="4"/>
      <c r="OTU2" s="4"/>
      <c r="OTV2" s="4"/>
      <c r="OTW2" s="4"/>
      <c r="OTX2" s="4"/>
      <c r="OTY2" s="4"/>
      <c r="OTZ2" s="4"/>
      <c r="OUA2" s="4"/>
      <c r="OUB2" s="4"/>
      <c r="OUC2" s="4"/>
      <c r="OUD2" s="4"/>
      <c r="OUE2" s="4"/>
      <c r="OUF2" s="4"/>
      <c r="OUG2" s="4"/>
      <c r="OUH2" s="4"/>
      <c r="OUI2" s="4"/>
      <c r="OUJ2" s="4"/>
      <c r="OUK2" s="4"/>
      <c r="OUL2" s="4"/>
      <c r="OUM2" s="4"/>
      <c r="OUN2" s="4"/>
      <c r="OUO2" s="4"/>
      <c r="OUP2" s="4"/>
      <c r="OUQ2" s="4"/>
      <c r="OUR2" s="4"/>
      <c r="OUS2" s="4"/>
      <c r="OUT2" s="4"/>
      <c r="OUU2" s="4"/>
      <c r="OUV2" s="4"/>
      <c r="OUW2" s="4"/>
      <c r="OUX2" s="4"/>
      <c r="OUY2" s="4"/>
      <c r="OUZ2" s="4"/>
      <c r="OVA2" s="4"/>
      <c r="OVB2" s="4"/>
      <c r="OVC2" s="4"/>
      <c r="OVD2" s="4"/>
      <c r="OVE2" s="4"/>
      <c r="OVF2" s="4"/>
      <c r="OVG2" s="4"/>
      <c r="OVH2" s="4"/>
      <c r="OVI2" s="4"/>
      <c r="OVJ2" s="4"/>
      <c r="OVK2" s="4"/>
      <c r="OVL2" s="4"/>
      <c r="OVM2" s="4"/>
      <c r="OVN2" s="4"/>
      <c r="OVO2" s="4"/>
      <c r="OVP2" s="4"/>
      <c r="OVQ2" s="4"/>
      <c r="OVR2" s="4"/>
      <c r="OVS2" s="4"/>
      <c r="OVT2" s="4"/>
      <c r="OVU2" s="4"/>
      <c r="OVV2" s="4"/>
      <c r="OVW2" s="4"/>
      <c r="OVX2" s="4"/>
      <c r="OVY2" s="4"/>
      <c r="OVZ2" s="4"/>
      <c r="OWA2" s="4"/>
      <c r="OWB2" s="4"/>
      <c r="OWC2" s="4"/>
      <c r="OWD2" s="4"/>
      <c r="OWE2" s="4"/>
      <c r="OWF2" s="4"/>
      <c r="OWG2" s="4"/>
      <c r="OWH2" s="4"/>
      <c r="OWI2" s="4"/>
      <c r="OWJ2" s="4"/>
      <c r="OWK2" s="4"/>
      <c r="OWL2" s="4"/>
      <c r="OWM2" s="4"/>
      <c r="OWN2" s="4"/>
      <c r="OWO2" s="4"/>
      <c r="OWP2" s="4"/>
      <c r="OWQ2" s="4"/>
      <c r="OWR2" s="4"/>
      <c r="OWS2" s="4"/>
      <c r="OWT2" s="4"/>
      <c r="OWU2" s="4"/>
      <c r="OWV2" s="4"/>
      <c r="OWW2" s="4"/>
      <c r="OWX2" s="4"/>
      <c r="OWY2" s="4"/>
      <c r="OWZ2" s="4"/>
      <c r="OXA2" s="4"/>
      <c r="OXB2" s="4"/>
      <c r="OXC2" s="4"/>
      <c r="OXD2" s="4"/>
      <c r="OXE2" s="4"/>
      <c r="OXF2" s="4"/>
      <c r="OXG2" s="4"/>
      <c r="OXH2" s="4"/>
      <c r="OXI2" s="4"/>
      <c r="OXJ2" s="4"/>
      <c r="OXK2" s="4"/>
      <c r="OXL2" s="4"/>
      <c r="OXM2" s="4"/>
      <c r="OXN2" s="4"/>
      <c r="OXO2" s="4"/>
      <c r="OXP2" s="4"/>
      <c r="OXQ2" s="4"/>
      <c r="OXR2" s="4"/>
      <c r="OXS2" s="4"/>
      <c r="OXT2" s="4"/>
      <c r="OXU2" s="4"/>
      <c r="OXV2" s="4"/>
      <c r="OXW2" s="4"/>
      <c r="OXX2" s="4"/>
      <c r="OXY2" s="4"/>
      <c r="OXZ2" s="4"/>
      <c r="OYA2" s="4"/>
      <c r="OYB2" s="4"/>
      <c r="OYC2" s="4"/>
      <c r="OYD2" s="4"/>
      <c r="OYE2" s="4"/>
      <c r="OYF2" s="4"/>
      <c r="OYG2" s="4"/>
      <c r="OYH2" s="4"/>
      <c r="OYI2" s="4"/>
      <c r="OYJ2" s="4"/>
      <c r="OYK2" s="4"/>
      <c r="OYL2" s="4"/>
      <c r="OYM2" s="4"/>
      <c r="OYN2" s="4"/>
      <c r="OYO2" s="4"/>
      <c r="OYP2" s="4"/>
      <c r="OYQ2" s="4"/>
      <c r="OYR2" s="4"/>
      <c r="OYS2" s="4"/>
      <c r="OYT2" s="4"/>
      <c r="OYU2" s="4"/>
      <c r="OYV2" s="4"/>
      <c r="OYW2" s="4"/>
      <c r="OYX2" s="4"/>
      <c r="OYY2" s="4"/>
      <c r="OYZ2" s="4"/>
      <c r="OZA2" s="4"/>
      <c r="OZB2" s="4"/>
      <c r="OZC2" s="4"/>
      <c r="OZD2" s="4"/>
      <c r="OZE2" s="4"/>
      <c r="OZF2" s="4"/>
      <c r="OZG2" s="4"/>
      <c r="OZH2" s="4"/>
      <c r="OZI2" s="4"/>
      <c r="OZJ2" s="4"/>
      <c r="OZK2" s="4"/>
      <c r="OZL2" s="4"/>
      <c r="OZM2" s="4"/>
      <c r="OZN2" s="4"/>
      <c r="OZO2" s="4"/>
      <c r="OZP2" s="4"/>
      <c r="OZQ2" s="4"/>
      <c r="OZR2" s="4"/>
      <c r="OZS2" s="4"/>
      <c r="OZT2" s="4"/>
      <c r="OZU2" s="4"/>
      <c r="OZV2" s="4"/>
      <c r="OZW2" s="4"/>
      <c r="OZX2" s="4"/>
      <c r="OZY2" s="4"/>
      <c r="OZZ2" s="4"/>
      <c r="PAA2" s="4"/>
      <c r="PAB2" s="4"/>
      <c r="PAC2" s="4"/>
      <c r="PAD2" s="4"/>
      <c r="PAE2" s="4"/>
      <c r="PAF2" s="4"/>
      <c r="PAG2" s="4"/>
      <c r="PAH2" s="4"/>
      <c r="PAI2" s="4"/>
      <c r="PAJ2" s="4"/>
      <c r="PAK2" s="4"/>
      <c r="PAL2" s="4"/>
      <c r="PAM2" s="4"/>
      <c r="PAN2" s="4"/>
      <c r="PAO2" s="4"/>
      <c r="PAP2" s="4"/>
      <c r="PAQ2" s="4"/>
      <c r="PAR2" s="4"/>
      <c r="PAS2" s="4"/>
      <c r="PAT2" s="4"/>
      <c r="PAU2" s="4"/>
      <c r="PAV2" s="4"/>
      <c r="PAW2" s="4"/>
      <c r="PAX2" s="4"/>
      <c r="PAY2" s="4"/>
      <c r="PAZ2" s="4"/>
      <c r="PBA2" s="4"/>
      <c r="PBB2" s="4"/>
      <c r="PBC2" s="4"/>
      <c r="PBD2" s="4"/>
      <c r="PBE2" s="4"/>
      <c r="PBF2" s="4"/>
      <c r="PBG2" s="4"/>
      <c r="PBH2" s="4"/>
      <c r="PBI2" s="4"/>
      <c r="PBJ2" s="4"/>
      <c r="PBK2" s="4"/>
      <c r="PBL2" s="4"/>
      <c r="PBM2" s="4"/>
      <c r="PBN2" s="4"/>
      <c r="PBO2" s="4"/>
      <c r="PBP2" s="4"/>
      <c r="PBQ2" s="4"/>
      <c r="PBR2" s="4"/>
      <c r="PBS2" s="4"/>
      <c r="PBT2" s="4"/>
      <c r="PBU2" s="4"/>
      <c r="PBV2" s="4"/>
      <c r="PBW2" s="4"/>
      <c r="PBX2" s="4"/>
      <c r="PBY2" s="4"/>
      <c r="PBZ2" s="4"/>
      <c r="PCA2" s="4"/>
      <c r="PCB2" s="4"/>
      <c r="PCC2" s="4"/>
      <c r="PCD2" s="4"/>
      <c r="PCE2" s="4"/>
      <c r="PCF2" s="4"/>
      <c r="PCG2" s="4"/>
      <c r="PCH2" s="4"/>
      <c r="PCI2" s="4"/>
      <c r="PCJ2" s="4"/>
      <c r="PCK2" s="4"/>
      <c r="PCL2" s="4"/>
      <c r="PCM2" s="4"/>
      <c r="PCN2" s="4"/>
      <c r="PCO2" s="4"/>
      <c r="PCP2" s="4"/>
      <c r="PCQ2" s="4"/>
      <c r="PCR2" s="4"/>
      <c r="PCS2" s="4"/>
      <c r="PCT2" s="4"/>
      <c r="PCU2" s="4"/>
      <c r="PCV2" s="4"/>
      <c r="PCW2" s="4"/>
      <c r="PCX2" s="4"/>
      <c r="PCY2" s="4"/>
      <c r="PCZ2" s="4"/>
      <c r="PDA2" s="4"/>
      <c r="PDB2" s="4"/>
      <c r="PDC2" s="4"/>
      <c r="PDD2" s="4"/>
      <c r="PDE2" s="4"/>
      <c r="PDF2" s="4"/>
      <c r="PDG2" s="4"/>
      <c r="PDH2" s="4"/>
      <c r="PDI2" s="4"/>
      <c r="PDJ2" s="4"/>
      <c r="PDK2" s="4"/>
      <c r="PDL2" s="4"/>
      <c r="PDM2" s="4"/>
      <c r="PDN2" s="4"/>
      <c r="PDO2" s="4"/>
      <c r="PDP2" s="4"/>
      <c r="PDQ2" s="4"/>
      <c r="PDR2" s="4"/>
      <c r="PDS2" s="4"/>
      <c r="PDT2" s="4"/>
      <c r="PDU2" s="4"/>
      <c r="PDV2" s="4"/>
      <c r="PDW2" s="4"/>
      <c r="PDX2" s="4"/>
      <c r="PDY2" s="4"/>
      <c r="PDZ2" s="4"/>
      <c r="PEA2" s="4"/>
      <c r="PEB2" s="4"/>
      <c r="PEC2" s="4"/>
      <c r="PED2" s="4"/>
      <c r="PEE2" s="4"/>
      <c r="PEF2" s="4"/>
      <c r="PEG2" s="4"/>
      <c r="PEH2" s="4"/>
      <c r="PEI2" s="4"/>
      <c r="PEJ2" s="4"/>
      <c r="PEK2" s="4"/>
      <c r="PEL2" s="4"/>
      <c r="PEM2" s="4"/>
      <c r="PEN2" s="4"/>
      <c r="PEO2" s="4"/>
      <c r="PEP2" s="4"/>
      <c r="PEQ2" s="4"/>
      <c r="PER2" s="4"/>
      <c r="PES2" s="4"/>
      <c r="PET2" s="4"/>
      <c r="PEU2" s="4"/>
      <c r="PEV2" s="4"/>
      <c r="PEW2" s="4"/>
      <c r="PEX2" s="4"/>
      <c r="PEY2" s="4"/>
      <c r="PEZ2" s="4"/>
      <c r="PFA2" s="4"/>
      <c r="PFB2" s="4"/>
      <c r="PFC2" s="4"/>
      <c r="PFD2" s="4"/>
      <c r="PFE2" s="4"/>
      <c r="PFF2" s="4"/>
      <c r="PFG2" s="4"/>
      <c r="PFH2" s="4"/>
      <c r="PFI2" s="4"/>
      <c r="PFJ2" s="4"/>
      <c r="PFK2" s="4"/>
      <c r="PFL2" s="4"/>
      <c r="PFM2" s="4"/>
      <c r="PFN2" s="4"/>
      <c r="PFO2" s="4"/>
      <c r="PFP2" s="4"/>
      <c r="PFQ2" s="4"/>
      <c r="PFR2" s="4"/>
      <c r="PFS2" s="4"/>
      <c r="PFT2" s="4"/>
      <c r="PFU2" s="4"/>
      <c r="PFV2" s="4"/>
      <c r="PFW2" s="4"/>
      <c r="PFX2" s="4"/>
      <c r="PFY2" s="4"/>
      <c r="PFZ2" s="4"/>
      <c r="PGA2" s="4"/>
      <c r="PGB2" s="4"/>
      <c r="PGC2" s="4"/>
      <c r="PGD2" s="4"/>
      <c r="PGE2" s="4"/>
      <c r="PGF2" s="4"/>
      <c r="PGG2" s="4"/>
      <c r="PGH2" s="4"/>
      <c r="PGI2" s="4"/>
      <c r="PGJ2" s="4"/>
      <c r="PGK2" s="4"/>
      <c r="PGL2" s="4"/>
      <c r="PGM2" s="4"/>
      <c r="PGN2" s="4"/>
      <c r="PGO2" s="4"/>
      <c r="PGP2" s="4"/>
      <c r="PGQ2" s="4"/>
      <c r="PGR2" s="4"/>
      <c r="PGS2" s="4"/>
      <c r="PGT2" s="4"/>
      <c r="PGU2" s="4"/>
      <c r="PGV2" s="4"/>
      <c r="PGW2" s="4"/>
      <c r="PGX2" s="4"/>
      <c r="PGY2" s="4"/>
      <c r="PGZ2" s="4"/>
      <c r="PHA2" s="4"/>
      <c r="PHB2" s="4"/>
      <c r="PHC2" s="4"/>
      <c r="PHD2" s="4"/>
      <c r="PHE2" s="4"/>
      <c r="PHF2" s="4"/>
      <c r="PHG2" s="4"/>
      <c r="PHH2" s="4"/>
      <c r="PHI2" s="4"/>
      <c r="PHJ2" s="4"/>
      <c r="PHK2" s="4"/>
      <c r="PHL2" s="4"/>
      <c r="PHM2" s="4"/>
      <c r="PHN2" s="4"/>
      <c r="PHO2" s="4"/>
      <c r="PHP2" s="4"/>
      <c r="PHQ2" s="4"/>
      <c r="PHR2" s="4"/>
      <c r="PHS2" s="4"/>
      <c r="PHT2" s="4"/>
      <c r="PHU2" s="4"/>
      <c r="PHV2" s="4"/>
      <c r="PHW2" s="4"/>
      <c r="PHX2" s="4"/>
      <c r="PHY2" s="4"/>
      <c r="PHZ2" s="4"/>
      <c r="PIA2" s="4"/>
      <c r="PIB2" s="4"/>
      <c r="PIC2" s="4"/>
      <c r="PID2" s="4"/>
      <c r="PIE2" s="4"/>
      <c r="PIF2" s="4"/>
      <c r="PIG2" s="4"/>
      <c r="PIH2" s="4"/>
      <c r="PII2" s="4"/>
      <c r="PIJ2" s="4"/>
      <c r="PIK2" s="4"/>
      <c r="PIL2" s="4"/>
      <c r="PIM2" s="4"/>
      <c r="PIN2" s="4"/>
      <c r="PIO2" s="4"/>
      <c r="PIP2" s="4"/>
      <c r="PIQ2" s="4"/>
      <c r="PIR2" s="4"/>
      <c r="PIS2" s="4"/>
      <c r="PIT2" s="4"/>
      <c r="PIU2" s="4"/>
      <c r="PIV2" s="4"/>
      <c r="PIW2" s="4"/>
      <c r="PIX2" s="4"/>
      <c r="PIY2" s="4"/>
      <c r="PIZ2" s="4"/>
      <c r="PJA2" s="4"/>
      <c r="PJB2" s="4"/>
      <c r="PJC2" s="4"/>
      <c r="PJD2" s="4"/>
      <c r="PJE2" s="4"/>
      <c r="PJF2" s="4"/>
      <c r="PJG2" s="4"/>
      <c r="PJH2" s="4"/>
      <c r="PJI2" s="4"/>
      <c r="PJJ2" s="4"/>
      <c r="PJK2" s="4"/>
      <c r="PJL2" s="4"/>
      <c r="PJM2" s="4"/>
      <c r="PJN2" s="4"/>
      <c r="PJO2" s="4"/>
      <c r="PJP2" s="4"/>
      <c r="PJQ2" s="4"/>
      <c r="PJR2" s="4"/>
      <c r="PJS2" s="4"/>
      <c r="PJT2" s="4"/>
      <c r="PJU2" s="4"/>
      <c r="PJV2" s="4"/>
      <c r="PJW2" s="4"/>
      <c r="PJX2" s="4"/>
      <c r="PJY2" s="4"/>
      <c r="PJZ2" s="4"/>
      <c r="PKA2" s="4"/>
      <c r="PKB2" s="4"/>
      <c r="PKC2" s="4"/>
      <c r="PKD2" s="4"/>
      <c r="PKE2" s="4"/>
      <c r="PKF2" s="4"/>
      <c r="PKG2" s="4"/>
      <c r="PKH2" s="4"/>
      <c r="PKI2" s="4"/>
      <c r="PKJ2" s="4"/>
      <c r="PKK2" s="4"/>
      <c r="PKL2" s="4"/>
      <c r="PKM2" s="4"/>
      <c r="PKN2" s="4"/>
      <c r="PKO2" s="4"/>
      <c r="PKP2" s="4"/>
      <c r="PKQ2" s="4"/>
      <c r="PKR2" s="4"/>
      <c r="PKS2" s="4"/>
      <c r="PKT2" s="4"/>
      <c r="PKU2" s="4"/>
      <c r="PKV2" s="4"/>
      <c r="PKW2" s="4"/>
      <c r="PKX2" s="4"/>
      <c r="PKY2" s="4"/>
      <c r="PKZ2" s="4"/>
      <c r="PLA2" s="4"/>
      <c r="PLB2" s="4"/>
      <c r="PLC2" s="4"/>
      <c r="PLD2" s="4"/>
      <c r="PLE2" s="4"/>
      <c r="PLF2" s="4"/>
      <c r="PLG2" s="4"/>
      <c r="PLH2" s="4"/>
      <c r="PLI2" s="4"/>
      <c r="PLJ2" s="4"/>
      <c r="PLK2" s="4"/>
      <c r="PLL2" s="4"/>
      <c r="PLM2" s="4"/>
      <c r="PLN2" s="4"/>
      <c r="PLO2" s="4"/>
      <c r="PLP2" s="4"/>
      <c r="PLQ2" s="4"/>
      <c r="PLR2" s="4"/>
      <c r="PLS2" s="4"/>
      <c r="PLT2" s="4"/>
      <c r="PLU2" s="4"/>
      <c r="PLV2" s="4"/>
      <c r="PLW2" s="4"/>
      <c r="PLX2" s="4"/>
      <c r="PLY2" s="4"/>
      <c r="PLZ2" s="4"/>
      <c r="PMA2" s="4"/>
      <c r="PMB2" s="4"/>
      <c r="PMC2" s="4"/>
      <c r="PMD2" s="4"/>
      <c r="PME2" s="4"/>
      <c r="PMF2" s="4"/>
      <c r="PMG2" s="4"/>
      <c r="PMH2" s="4"/>
      <c r="PMI2" s="4"/>
      <c r="PMJ2" s="4"/>
      <c r="PMK2" s="4"/>
      <c r="PML2" s="4"/>
      <c r="PMM2" s="4"/>
      <c r="PMN2" s="4"/>
      <c r="PMO2" s="4"/>
      <c r="PMP2" s="4"/>
      <c r="PMQ2" s="4"/>
      <c r="PMR2" s="4"/>
      <c r="PMS2" s="4"/>
      <c r="PMT2" s="4"/>
      <c r="PMU2" s="4"/>
      <c r="PMV2" s="4"/>
      <c r="PMW2" s="4"/>
      <c r="PMX2" s="4"/>
      <c r="PMY2" s="4"/>
      <c r="PMZ2" s="4"/>
      <c r="PNA2" s="4"/>
      <c r="PNB2" s="4"/>
      <c r="PNC2" s="4"/>
      <c r="PND2" s="4"/>
      <c r="PNE2" s="4"/>
      <c r="PNF2" s="4"/>
      <c r="PNG2" s="4"/>
      <c r="PNH2" s="4"/>
      <c r="PNI2" s="4"/>
      <c r="PNJ2" s="4"/>
      <c r="PNK2" s="4"/>
      <c r="PNL2" s="4"/>
      <c r="PNM2" s="4"/>
      <c r="PNN2" s="4"/>
      <c r="PNO2" s="4"/>
      <c r="PNP2" s="4"/>
      <c r="PNQ2" s="4"/>
      <c r="PNR2" s="4"/>
      <c r="PNS2" s="4"/>
      <c r="PNT2" s="4"/>
      <c r="PNU2" s="4"/>
      <c r="PNV2" s="4"/>
      <c r="PNW2" s="4"/>
      <c r="PNX2" s="4"/>
      <c r="PNY2" s="4"/>
      <c r="PNZ2" s="4"/>
      <c r="POA2" s="4"/>
      <c r="POB2" s="4"/>
      <c r="POC2" s="4"/>
      <c r="POD2" s="4"/>
      <c r="POE2" s="4"/>
      <c r="POF2" s="4"/>
      <c r="POG2" s="4"/>
      <c r="POH2" s="4"/>
      <c r="POI2" s="4"/>
      <c r="POJ2" s="4"/>
      <c r="POK2" s="4"/>
      <c r="POL2" s="4"/>
      <c r="POM2" s="4"/>
      <c r="PON2" s="4"/>
      <c r="POO2" s="4"/>
      <c r="POP2" s="4"/>
      <c r="POQ2" s="4"/>
      <c r="POR2" s="4"/>
      <c r="POS2" s="4"/>
      <c r="POT2" s="4"/>
      <c r="POU2" s="4"/>
      <c r="POV2" s="4"/>
      <c r="POW2" s="4"/>
      <c r="POX2" s="4"/>
      <c r="POY2" s="4"/>
      <c r="POZ2" s="4"/>
      <c r="PPA2" s="4"/>
      <c r="PPB2" s="4"/>
      <c r="PPC2" s="4"/>
      <c r="PPD2" s="4"/>
      <c r="PPE2" s="4"/>
      <c r="PPF2" s="4"/>
      <c r="PPG2" s="4"/>
      <c r="PPH2" s="4"/>
      <c r="PPI2" s="4"/>
      <c r="PPJ2" s="4"/>
      <c r="PPK2" s="4"/>
      <c r="PPL2" s="4"/>
      <c r="PPM2" s="4"/>
      <c r="PPN2" s="4"/>
      <c r="PPO2" s="4"/>
      <c r="PPP2" s="4"/>
      <c r="PPQ2" s="4"/>
      <c r="PPR2" s="4"/>
      <c r="PPS2" s="4"/>
      <c r="PPT2" s="4"/>
      <c r="PPU2" s="4"/>
      <c r="PPV2" s="4"/>
      <c r="PPW2" s="4"/>
      <c r="PPX2" s="4"/>
      <c r="PPY2" s="4"/>
      <c r="PPZ2" s="4"/>
      <c r="PQA2" s="4"/>
      <c r="PQB2" s="4"/>
      <c r="PQC2" s="4"/>
      <c r="PQD2" s="4"/>
      <c r="PQE2" s="4"/>
      <c r="PQF2" s="4"/>
      <c r="PQG2" s="4"/>
      <c r="PQH2" s="4"/>
      <c r="PQI2" s="4"/>
      <c r="PQJ2" s="4"/>
      <c r="PQK2" s="4"/>
      <c r="PQL2" s="4"/>
      <c r="PQM2" s="4"/>
      <c r="PQN2" s="4"/>
      <c r="PQO2" s="4"/>
      <c r="PQP2" s="4"/>
      <c r="PQQ2" s="4"/>
      <c r="PQR2" s="4"/>
      <c r="PQS2" s="4"/>
      <c r="PQT2" s="4"/>
      <c r="PQU2" s="4"/>
      <c r="PQV2" s="4"/>
      <c r="PQW2" s="4"/>
      <c r="PQX2" s="4"/>
      <c r="PQY2" s="4"/>
      <c r="PQZ2" s="4"/>
      <c r="PRA2" s="4"/>
      <c r="PRB2" s="4"/>
      <c r="PRC2" s="4"/>
      <c r="PRD2" s="4"/>
      <c r="PRE2" s="4"/>
      <c r="PRF2" s="4"/>
      <c r="PRG2" s="4"/>
      <c r="PRH2" s="4"/>
      <c r="PRI2" s="4"/>
      <c r="PRJ2" s="4"/>
      <c r="PRK2" s="4"/>
      <c r="PRL2" s="4"/>
      <c r="PRM2" s="4"/>
      <c r="PRN2" s="4"/>
      <c r="PRO2" s="4"/>
      <c r="PRP2" s="4"/>
      <c r="PRQ2" s="4"/>
      <c r="PRR2" s="4"/>
      <c r="PRS2" s="4"/>
      <c r="PRT2" s="4"/>
      <c r="PRU2" s="4"/>
      <c r="PRV2" s="4"/>
      <c r="PRW2" s="4"/>
      <c r="PRX2" s="4"/>
      <c r="PRY2" s="4"/>
      <c r="PRZ2" s="4"/>
      <c r="PSA2" s="4"/>
      <c r="PSB2" s="4"/>
      <c r="PSC2" s="4"/>
      <c r="PSD2" s="4"/>
      <c r="PSE2" s="4"/>
      <c r="PSF2" s="4"/>
      <c r="PSG2" s="4"/>
      <c r="PSH2" s="4"/>
      <c r="PSI2" s="4"/>
      <c r="PSJ2" s="4"/>
      <c r="PSK2" s="4"/>
      <c r="PSL2" s="4"/>
      <c r="PSM2" s="4"/>
      <c r="PSN2" s="4"/>
      <c r="PSO2" s="4"/>
      <c r="PSP2" s="4"/>
      <c r="PSQ2" s="4"/>
      <c r="PSR2" s="4"/>
      <c r="PSS2" s="4"/>
      <c r="PST2" s="4"/>
      <c r="PSU2" s="4"/>
      <c r="PSV2" s="4"/>
      <c r="PSW2" s="4"/>
      <c r="PSX2" s="4"/>
      <c r="PSY2" s="4"/>
      <c r="PSZ2" s="4"/>
      <c r="PTA2" s="4"/>
      <c r="PTB2" s="4"/>
      <c r="PTC2" s="4"/>
      <c r="PTD2" s="4"/>
      <c r="PTE2" s="4"/>
      <c r="PTF2" s="4"/>
      <c r="PTG2" s="4"/>
      <c r="PTH2" s="4"/>
      <c r="PTI2" s="4"/>
      <c r="PTJ2" s="4"/>
      <c r="PTK2" s="4"/>
      <c r="PTL2" s="4"/>
      <c r="PTM2" s="4"/>
      <c r="PTN2" s="4"/>
      <c r="PTO2" s="4"/>
      <c r="PTP2" s="4"/>
      <c r="PTQ2" s="4"/>
      <c r="PTR2" s="4"/>
      <c r="PTS2" s="4"/>
      <c r="PTT2" s="4"/>
      <c r="PTU2" s="4"/>
      <c r="PTV2" s="4"/>
      <c r="PTW2" s="4"/>
      <c r="PTX2" s="4"/>
      <c r="PTY2" s="4"/>
      <c r="PTZ2" s="4"/>
      <c r="PUA2" s="4"/>
      <c r="PUB2" s="4"/>
      <c r="PUC2" s="4"/>
      <c r="PUD2" s="4"/>
      <c r="PUE2" s="4"/>
      <c r="PUF2" s="4"/>
      <c r="PUG2" s="4"/>
      <c r="PUH2" s="4"/>
      <c r="PUI2" s="4"/>
      <c r="PUJ2" s="4"/>
      <c r="PUK2" s="4"/>
      <c r="PUL2" s="4"/>
      <c r="PUM2" s="4"/>
      <c r="PUN2" s="4"/>
      <c r="PUO2" s="4"/>
      <c r="PUP2" s="4"/>
      <c r="PUQ2" s="4"/>
      <c r="PUR2" s="4"/>
      <c r="PUS2" s="4"/>
      <c r="PUT2" s="4"/>
      <c r="PUU2" s="4"/>
      <c r="PUV2" s="4"/>
      <c r="PUW2" s="4"/>
      <c r="PUX2" s="4"/>
      <c r="PUY2" s="4"/>
      <c r="PUZ2" s="4"/>
      <c r="PVA2" s="4"/>
      <c r="PVB2" s="4"/>
      <c r="PVC2" s="4"/>
      <c r="PVD2" s="4"/>
      <c r="PVE2" s="4"/>
      <c r="PVF2" s="4"/>
      <c r="PVG2" s="4"/>
      <c r="PVH2" s="4"/>
      <c r="PVI2" s="4"/>
      <c r="PVJ2" s="4"/>
      <c r="PVK2" s="4"/>
      <c r="PVL2" s="4"/>
      <c r="PVM2" s="4"/>
      <c r="PVN2" s="4"/>
      <c r="PVO2" s="4"/>
      <c r="PVP2" s="4"/>
      <c r="PVQ2" s="4"/>
      <c r="PVR2" s="4"/>
      <c r="PVS2" s="4"/>
      <c r="PVT2" s="4"/>
      <c r="PVU2" s="4"/>
      <c r="PVV2" s="4"/>
      <c r="PVW2" s="4"/>
      <c r="PVX2" s="4"/>
      <c r="PVY2" s="4"/>
      <c r="PVZ2" s="4"/>
      <c r="PWA2" s="4"/>
      <c r="PWB2" s="4"/>
      <c r="PWC2" s="4"/>
      <c r="PWD2" s="4"/>
      <c r="PWE2" s="4"/>
      <c r="PWF2" s="4"/>
      <c r="PWG2" s="4"/>
      <c r="PWH2" s="4"/>
      <c r="PWI2" s="4"/>
      <c r="PWJ2" s="4"/>
      <c r="PWK2" s="4"/>
      <c r="PWL2" s="4"/>
      <c r="PWM2" s="4"/>
      <c r="PWN2" s="4"/>
      <c r="PWO2" s="4"/>
      <c r="PWP2" s="4"/>
      <c r="PWQ2" s="4"/>
      <c r="PWR2" s="4"/>
      <c r="PWS2" s="4"/>
      <c r="PWT2" s="4"/>
      <c r="PWU2" s="4"/>
      <c r="PWV2" s="4"/>
      <c r="PWW2" s="4"/>
      <c r="PWX2" s="4"/>
      <c r="PWY2" s="4"/>
      <c r="PWZ2" s="4"/>
      <c r="PXA2" s="4"/>
      <c r="PXB2" s="4"/>
      <c r="PXC2" s="4"/>
      <c r="PXD2" s="4"/>
      <c r="PXE2" s="4"/>
      <c r="PXF2" s="4"/>
      <c r="PXG2" s="4"/>
      <c r="PXH2" s="4"/>
      <c r="PXI2" s="4"/>
      <c r="PXJ2" s="4"/>
      <c r="PXK2" s="4"/>
      <c r="PXL2" s="4"/>
      <c r="PXM2" s="4"/>
      <c r="PXN2" s="4"/>
      <c r="PXO2" s="4"/>
      <c r="PXP2" s="4"/>
      <c r="PXQ2" s="4"/>
      <c r="PXR2" s="4"/>
      <c r="PXS2" s="4"/>
      <c r="PXT2" s="4"/>
      <c r="PXU2" s="4"/>
      <c r="PXV2" s="4"/>
      <c r="PXW2" s="4"/>
      <c r="PXX2" s="4"/>
      <c r="PXY2" s="4"/>
      <c r="PXZ2" s="4"/>
      <c r="PYA2" s="4"/>
      <c r="PYB2" s="4"/>
      <c r="PYC2" s="4"/>
      <c r="PYD2" s="4"/>
      <c r="PYE2" s="4"/>
      <c r="PYF2" s="4"/>
      <c r="PYG2" s="4"/>
      <c r="PYH2" s="4"/>
      <c r="PYI2" s="4"/>
      <c r="PYJ2" s="4"/>
      <c r="PYK2" s="4"/>
      <c r="PYL2" s="4"/>
      <c r="PYM2" s="4"/>
      <c r="PYN2" s="4"/>
      <c r="PYO2" s="4"/>
      <c r="PYP2" s="4"/>
      <c r="PYQ2" s="4"/>
      <c r="PYR2" s="4"/>
      <c r="PYS2" s="4"/>
      <c r="PYT2" s="4"/>
      <c r="PYU2" s="4"/>
      <c r="PYV2" s="4"/>
      <c r="PYW2" s="4"/>
      <c r="PYX2" s="4"/>
      <c r="PYY2" s="4"/>
      <c r="PYZ2" s="4"/>
      <c r="PZA2" s="4"/>
      <c r="PZB2" s="4"/>
      <c r="PZC2" s="4"/>
      <c r="PZD2" s="4"/>
      <c r="PZE2" s="4"/>
      <c r="PZF2" s="4"/>
      <c r="PZG2" s="4"/>
      <c r="PZH2" s="4"/>
      <c r="PZI2" s="4"/>
      <c r="PZJ2" s="4"/>
      <c r="PZK2" s="4"/>
      <c r="PZL2" s="4"/>
      <c r="PZM2" s="4"/>
      <c r="PZN2" s="4"/>
      <c r="PZO2" s="4"/>
      <c r="PZP2" s="4"/>
      <c r="PZQ2" s="4"/>
      <c r="PZR2" s="4"/>
      <c r="PZS2" s="4"/>
      <c r="PZT2" s="4"/>
      <c r="PZU2" s="4"/>
      <c r="PZV2" s="4"/>
      <c r="PZW2" s="4"/>
      <c r="PZX2" s="4"/>
      <c r="PZY2" s="4"/>
      <c r="PZZ2" s="4"/>
      <c r="QAA2" s="4"/>
      <c r="QAB2" s="4"/>
      <c r="QAC2" s="4"/>
      <c r="QAD2" s="4"/>
      <c r="QAE2" s="4"/>
      <c r="QAF2" s="4"/>
      <c r="QAG2" s="4"/>
      <c r="QAH2" s="4"/>
      <c r="QAI2" s="4"/>
      <c r="QAJ2" s="4"/>
      <c r="QAK2" s="4"/>
      <c r="QAL2" s="4"/>
      <c r="QAM2" s="4"/>
      <c r="QAN2" s="4"/>
      <c r="QAO2" s="4"/>
      <c r="QAP2" s="4"/>
      <c r="QAQ2" s="4"/>
      <c r="QAR2" s="4"/>
      <c r="QAS2" s="4"/>
      <c r="QAT2" s="4"/>
      <c r="QAU2" s="4"/>
      <c r="QAV2" s="4"/>
      <c r="QAW2" s="4"/>
      <c r="QAX2" s="4"/>
      <c r="QAY2" s="4"/>
      <c r="QAZ2" s="4"/>
      <c r="QBA2" s="4"/>
      <c r="QBB2" s="4"/>
      <c r="QBC2" s="4"/>
      <c r="QBD2" s="4"/>
      <c r="QBE2" s="4"/>
      <c r="QBF2" s="4"/>
      <c r="QBG2" s="4"/>
      <c r="QBH2" s="4"/>
      <c r="QBI2" s="4"/>
      <c r="QBJ2" s="4"/>
      <c r="QBK2" s="4"/>
      <c r="QBL2" s="4"/>
      <c r="QBM2" s="4"/>
      <c r="QBN2" s="4"/>
      <c r="QBO2" s="4"/>
      <c r="QBP2" s="4"/>
      <c r="QBQ2" s="4"/>
      <c r="QBR2" s="4"/>
      <c r="QBS2" s="4"/>
      <c r="QBT2" s="4"/>
      <c r="QBU2" s="4"/>
      <c r="QBV2" s="4"/>
      <c r="QBW2" s="4"/>
      <c r="QBX2" s="4"/>
      <c r="QBY2" s="4"/>
      <c r="QBZ2" s="4"/>
      <c r="QCA2" s="4"/>
      <c r="QCB2" s="4"/>
      <c r="QCC2" s="4"/>
      <c r="QCD2" s="4"/>
      <c r="QCE2" s="4"/>
      <c r="QCF2" s="4"/>
      <c r="QCG2" s="4"/>
      <c r="QCH2" s="4"/>
      <c r="QCI2" s="4"/>
      <c r="QCJ2" s="4"/>
      <c r="QCK2" s="4"/>
      <c r="QCL2" s="4"/>
      <c r="QCM2" s="4"/>
      <c r="QCN2" s="4"/>
      <c r="QCO2" s="4"/>
      <c r="QCP2" s="4"/>
      <c r="QCQ2" s="4"/>
      <c r="QCR2" s="4"/>
      <c r="QCS2" s="4"/>
      <c r="QCT2" s="4"/>
      <c r="QCU2" s="4"/>
      <c r="QCV2" s="4"/>
      <c r="QCW2" s="4"/>
      <c r="QCX2" s="4"/>
      <c r="QCY2" s="4"/>
      <c r="QCZ2" s="4"/>
      <c r="QDA2" s="4"/>
      <c r="QDB2" s="4"/>
      <c r="QDC2" s="4"/>
      <c r="QDD2" s="4"/>
      <c r="QDE2" s="4"/>
      <c r="QDF2" s="4"/>
      <c r="QDG2" s="4"/>
      <c r="QDH2" s="4"/>
      <c r="QDI2" s="4"/>
      <c r="QDJ2" s="4"/>
      <c r="QDK2" s="4"/>
      <c r="QDL2" s="4"/>
      <c r="QDM2" s="4"/>
      <c r="QDN2" s="4"/>
      <c r="QDO2" s="4"/>
      <c r="QDP2" s="4"/>
      <c r="QDQ2" s="4"/>
      <c r="QDR2" s="4"/>
      <c r="QDS2" s="4"/>
      <c r="QDT2" s="4"/>
      <c r="QDU2" s="4"/>
      <c r="QDV2" s="4"/>
      <c r="QDW2" s="4"/>
      <c r="QDX2" s="4"/>
      <c r="QDY2" s="4"/>
      <c r="QDZ2" s="4"/>
      <c r="QEA2" s="4"/>
      <c r="QEB2" s="4"/>
      <c r="QEC2" s="4"/>
      <c r="QED2" s="4"/>
      <c r="QEE2" s="4"/>
      <c r="QEF2" s="4"/>
      <c r="QEG2" s="4"/>
      <c r="QEH2" s="4"/>
      <c r="QEI2" s="4"/>
      <c r="QEJ2" s="4"/>
      <c r="QEK2" s="4"/>
      <c r="QEL2" s="4"/>
      <c r="QEM2" s="4"/>
      <c r="QEN2" s="4"/>
      <c r="QEO2" s="4"/>
      <c r="QEP2" s="4"/>
      <c r="QEQ2" s="4"/>
      <c r="QER2" s="4"/>
      <c r="QES2" s="4"/>
      <c r="QET2" s="4"/>
      <c r="QEU2" s="4"/>
      <c r="QEV2" s="4"/>
      <c r="QEW2" s="4"/>
      <c r="QEX2" s="4"/>
      <c r="QEY2" s="4"/>
      <c r="QEZ2" s="4"/>
      <c r="QFA2" s="4"/>
      <c r="QFB2" s="4"/>
      <c r="QFC2" s="4"/>
      <c r="QFD2" s="4"/>
      <c r="QFE2" s="4"/>
      <c r="QFF2" s="4"/>
      <c r="QFG2" s="4"/>
      <c r="QFH2" s="4"/>
      <c r="QFI2" s="4"/>
      <c r="QFJ2" s="4"/>
      <c r="QFK2" s="4"/>
      <c r="QFL2" s="4"/>
      <c r="QFM2" s="4"/>
      <c r="QFN2" s="4"/>
      <c r="QFO2" s="4"/>
      <c r="QFP2" s="4"/>
      <c r="QFQ2" s="4"/>
      <c r="QFR2" s="4"/>
      <c r="QFS2" s="4"/>
      <c r="QFT2" s="4"/>
      <c r="QFU2" s="4"/>
      <c r="QFV2" s="4"/>
      <c r="QFW2" s="4"/>
      <c r="QFX2" s="4"/>
      <c r="QFY2" s="4"/>
      <c r="QFZ2" s="4"/>
      <c r="QGA2" s="4"/>
      <c r="QGB2" s="4"/>
      <c r="QGC2" s="4"/>
      <c r="QGD2" s="4"/>
      <c r="QGE2" s="4"/>
      <c r="QGF2" s="4"/>
      <c r="QGG2" s="4"/>
      <c r="QGH2" s="4"/>
      <c r="QGI2" s="4"/>
      <c r="QGJ2" s="4"/>
      <c r="QGK2" s="4"/>
      <c r="QGL2" s="4"/>
      <c r="QGM2" s="4"/>
      <c r="QGN2" s="4"/>
      <c r="QGO2" s="4"/>
      <c r="QGP2" s="4"/>
      <c r="QGQ2" s="4"/>
      <c r="QGR2" s="4"/>
      <c r="QGS2" s="4"/>
      <c r="QGT2" s="4"/>
      <c r="QGU2" s="4"/>
      <c r="QGV2" s="4"/>
      <c r="QGW2" s="4"/>
      <c r="QGX2" s="4"/>
      <c r="QGY2" s="4"/>
      <c r="QGZ2" s="4"/>
      <c r="QHA2" s="4"/>
      <c r="QHB2" s="4"/>
      <c r="QHC2" s="4"/>
      <c r="QHD2" s="4"/>
      <c r="QHE2" s="4"/>
      <c r="QHF2" s="4"/>
      <c r="QHG2" s="4"/>
      <c r="QHH2" s="4"/>
      <c r="QHI2" s="4"/>
      <c r="QHJ2" s="4"/>
      <c r="QHK2" s="4"/>
      <c r="QHL2" s="4"/>
      <c r="QHM2" s="4"/>
      <c r="QHN2" s="4"/>
      <c r="QHO2" s="4"/>
      <c r="QHP2" s="4"/>
      <c r="QHQ2" s="4"/>
      <c r="QHR2" s="4"/>
      <c r="QHS2" s="4"/>
      <c r="QHT2" s="4"/>
      <c r="QHU2" s="4"/>
      <c r="QHV2" s="4"/>
      <c r="QHW2" s="4"/>
      <c r="QHX2" s="4"/>
      <c r="QHY2" s="4"/>
      <c r="QHZ2" s="4"/>
      <c r="QIA2" s="4"/>
      <c r="QIB2" s="4"/>
      <c r="QIC2" s="4"/>
      <c r="QID2" s="4"/>
      <c r="QIE2" s="4"/>
      <c r="QIF2" s="4"/>
      <c r="QIG2" s="4"/>
      <c r="QIH2" s="4"/>
      <c r="QII2" s="4"/>
      <c r="QIJ2" s="4"/>
      <c r="QIK2" s="4"/>
      <c r="QIL2" s="4"/>
      <c r="QIM2" s="4"/>
      <c r="QIN2" s="4"/>
      <c r="QIO2" s="4"/>
      <c r="QIP2" s="4"/>
      <c r="QIQ2" s="4"/>
      <c r="QIR2" s="4"/>
      <c r="QIS2" s="4"/>
      <c r="QIT2" s="4"/>
      <c r="QIU2" s="4"/>
      <c r="QIV2" s="4"/>
      <c r="QIW2" s="4"/>
      <c r="QIX2" s="4"/>
      <c r="QIY2" s="4"/>
      <c r="QIZ2" s="4"/>
      <c r="QJA2" s="4"/>
      <c r="QJB2" s="4"/>
      <c r="QJC2" s="4"/>
      <c r="QJD2" s="4"/>
      <c r="QJE2" s="4"/>
      <c r="QJF2" s="4"/>
      <c r="QJG2" s="4"/>
      <c r="QJH2" s="4"/>
      <c r="QJI2" s="4"/>
      <c r="QJJ2" s="4"/>
      <c r="QJK2" s="4"/>
      <c r="QJL2" s="4"/>
      <c r="QJM2" s="4"/>
      <c r="QJN2" s="4"/>
      <c r="QJO2" s="4"/>
      <c r="QJP2" s="4"/>
      <c r="QJQ2" s="4"/>
      <c r="QJR2" s="4"/>
      <c r="QJS2" s="4"/>
      <c r="QJT2" s="4"/>
      <c r="QJU2" s="4"/>
      <c r="QJV2" s="4"/>
      <c r="QJW2" s="4"/>
      <c r="QJX2" s="4"/>
      <c r="QJY2" s="4"/>
      <c r="QJZ2" s="4"/>
      <c r="QKA2" s="4"/>
      <c r="QKB2" s="4"/>
      <c r="QKC2" s="4"/>
      <c r="QKD2" s="4"/>
      <c r="QKE2" s="4"/>
      <c r="QKF2" s="4"/>
      <c r="QKG2" s="4"/>
      <c r="QKH2" s="4"/>
      <c r="QKI2" s="4"/>
      <c r="QKJ2" s="4"/>
      <c r="QKK2" s="4"/>
      <c r="QKL2" s="4"/>
      <c r="QKM2" s="4"/>
      <c r="QKN2" s="4"/>
      <c r="QKO2" s="4"/>
      <c r="QKP2" s="4"/>
      <c r="QKQ2" s="4"/>
      <c r="QKR2" s="4"/>
      <c r="QKS2" s="4"/>
      <c r="QKT2" s="4"/>
      <c r="QKU2" s="4"/>
      <c r="QKV2" s="4"/>
      <c r="QKW2" s="4"/>
      <c r="QKX2" s="4"/>
      <c r="QKY2" s="4"/>
      <c r="QKZ2" s="4"/>
      <c r="QLA2" s="4"/>
      <c r="QLB2" s="4"/>
      <c r="QLC2" s="4"/>
      <c r="QLD2" s="4"/>
      <c r="QLE2" s="4"/>
      <c r="QLF2" s="4"/>
      <c r="QLG2" s="4"/>
      <c r="QLH2" s="4"/>
      <c r="QLI2" s="4"/>
      <c r="QLJ2" s="4"/>
      <c r="QLK2" s="4"/>
      <c r="QLL2" s="4"/>
      <c r="QLM2" s="4"/>
      <c r="QLN2" s="4"/>
      <c r="QLO2" s="4"/>
      <c r="QLP2" s="4"/>
      <c r="QLQ2" s="4"/>
      <c r="QLR2" s="4"/>
      <c r="QLS2" s="4"/>
      <c r="QLT2" s="4"/>
      <c r="QLU2" s="4"/>
      <c r="QLV2" s="4"/>
      <c r="QLW2" s="4"/>
      <c r="QLX2" s="4"/>
      <c r="QLY2" s="4"/>
      <c r="QLZ2" s="4"/>
      <c r="QMA2" s="4"/>
      <c r="QMB2" s="4"/>
      <c r="QMC2" s="4"/>
      <c r="QMD2" s="4"/>
      <c r="QME2" s="4"/>
      <c r="QMF2" s="4"/>
      <c r="QMG2" s="4"/>
      <c r="QMH2" s="4"/>
      <c r="QMI2" s="4"/>
      <c r="QMJ2" s="4"/>
      <c r="QMK2" s="4"/>
      <c r="QML2" s="4"/>
      <c r="QMM2" s="4"/>
      <c r="QMN2" s="4"/>
      <c r="QMO2" s="4"/>
      <c r="QMP2" s="4"/>
      <c r="QMQ2" s="4"/>
      <c r="QMR2" s="4"/>
      <c r="QMS2" s="4"/>
      <c r="QMT2" s="4"/>
      <c r="QMU2" s="4"/>
      <c r="QMV2" s="4"/>
      <c r="QMW2" s="4"/>
      <c r="QMX2" s="4"/>
      <c r="QMY2" s="4"/>
      <c r="QMZ2" s="4"/>
      <c r="QNA2" s="4"/>
      <c r="QNB2" s="4"/>
      <c r="QNC2" s="4"/>
      <c r="QND2" s="4"/>
      <c r="QNE2" s="4"/>
      <c r="QNF2" s="4"/>
      <c r="QNG2" s="4"/>
      <c r="QNH2" s="4"/>
      <c r="QNI2" s="4"/>
      <c r="QNJ2" s="4"/>
      <c r="QNK2" s="4"/>
      <c r="QNL2" s="4"/>
      <c r="QNM2" s="4"/>
      <c r="QNN2" s="4"/>
      <c r="QNO2" s="4"/>
      <c r="QNP2" s="4"/>
      <c r="QNQ2" s="4"/>
      <c r="QNR2" s="4"/>
      <c r="QNS2" s="4"/>
      <c r="QNT2" s="4"/>
      <c r="QNU2" s="4"/>
      <c r="QNV2" s="4"/>
      <c r="QNW2" s="4"/>
      <c r="QNX2" s="4"/>
      <c r="QNY2" s="4"/>
      <c r="QNZ2" s="4"/>
      <c r="QOA2" s="4"/>
      <c r="QOB2" s="4"/>
      <c r="QOC2" s="4"/>
      <c r="QOD2" s="4"/>
      <c r="QOE2" s="4"/>
      <c r="QOF2" s="4"/>
      <c r="QOG2" s="4"/>
      <c r="QOH2" s="4"/>
      <c r="QOI2" s="4"/>
      <c r="QOJ2" s="4"/>
      <c r="QOK2" s="4"/>
      <c r="QOL2" s="4"/>
      <c r="QOM2" s="4"/>
      <c r="QON2" s="4"/>
      <c r="QOO2" s="4"/>
      <c r="QOP2" s="4"/>
      <c r="QOQ2" s="4"/>
      <c r="QOR2" s="4"/>
      <c r="QOS2" s="4"/>
      <c r="QOT2" s="4"/>
      <c r="QOU2" s="4"/>
      <c r="QOV2" s="4"/>
      <c r="QOW2" s="4"/>
      <c r="QOX2" s="4"/>
      <c r="QOY2" s="4"/>
      <c r="QOZ2" s="4"/>
      <c r="QPA2" s="4"/>
      <c r="QPB2" s="4"/>
      <c r="QPC2" s="4"/>
      <c r="QPD2" s="4"/>
      <c r="QPE2" s="4"/>
      <c r="QPF2" s="4"/>
      <c r="QPG2" s="4"/>
      <c r="QPH2" s="4"/>
      <c r="QPI2" s="4"/>
      <c r="QPJ2" s="4"/>
      <c r="QPK2" s="4"/>
      <c r="QPL2" s="4"/>
      <c r="QPM2" s="4"/>
      <c r="QPN2" s="4"/>
      <c r="QPO2" s="4"/>
      <c r="QPP2" s="4"/>
      <c r="QPQ2" s="4"/>
      <c r="QPR2" s="4"/>
      <c r="QPS2" s="4"/>
      <c r="QPT2" s="4"/>
      <c r="QPU2" s="4"/>
      <c r="QPV2" s="4"/>
      <c r="QPW2" s="4"/>
      <c r="QPX2" s="4"/>
      <c r="QPY2" s="4"/>
      <c r="QPZ2" s="4"/>
      <c r="QQA2" s="4"/>
      <c r="QQB2" s="4"/>
      <c r="QQC2" s="4"/>
      <c r="QQD2" s="4"/>
      <c r="QQE2" s="4"/>
      <c r="QQF2" s="4"/>
      <c r="QQG2" s="4"/>
      <c r="QQH2" s="4"/>
      <c r="QQI2" s="4"/>
      <c r="QQJ2" s="4"/>
      <c r="QQK2" s="4"/>
      <c r="QQL2" s="4"/>
      <c r="QQM2" s="4"/>
      <c r="QQN2" s="4"/>
      <c r="QQO2" s="4"/>
      <c r="QQP2" s="4"/>
      <c r="QQQ2" s="4"/>
      <c r="QQR2" s="4"/>
      <c r="QQS2" s="4"/>
      <c r="QQT2" s="4"/>
      <c r="QQU2" s="4"/>
      <c r="QQV2" s="4"/>
      <c r="QQW2" s="4"/>
      <c r="QQX2" s="4"/>
      <c r="QQY2" s="4"/>
      <c r="QQZ2" s="4"/>
      <c r="QRA2" s="4"/>
      <c r="QRB2" s="4"/>
      <c r="QRC2" s="4"/>
      <c r="QRD2" s="4"/>
      <c r="QRE2" s="4"/>
      <c r="QRF2" s="4"/>
      <c r="QRG2" s="4"/>
      <c r="QRH2" s="4"/>
      <c r="QRI2" s="4"/>
      <c r="QRJ2" s="4"/>
      <c r="QRK2" s="4"/>
      <c r="QRL2" s="4"/>
      <c r="QRM2" s="4"/>
      <c r="QRN2" s="4"/>
      <c r="QRO2" s="4"/>
      <c r="QRP2" s="4"/>
      <c r="QRQ2" s="4"/>
      <c r="QRR2" s="4"/>
      <c r="QRS2" s="4"/>
      <c r="QRT2" s="4"/>
      <c r="QRU2" s="4"/>
      <c r="QRV2" s="4"/>
      <c r="QRW2" s="4"/>
      <c r="QRX2" s="4"/>
      <c r="QRY2" s="4"/>
      <c r="QRZ2" s="4"/>
      <c r="QSA2" s="4"/>
      <c r="QSB2" s="4"/>
      <c r="QSC2" s="4"/>
      <c r="QSD2" s="4"/>
      <c r="QSE2" s="4"/>
      <c r="QSF2" s="4"/>
      <c r="QSG2" s="4"/>
      <c r="QSH2" s="4"/>
      <c r="QSI2" s="4"/>
      <c r="QSJ2" s="4"/>
      <c r="QSK2" s="4"/>
      <c r="QSL2" s="4"/>
      <c r="QSM2" s="4"/>
      <c r="QSN2" s="4"/>
      <c r="QSO2" s="4"/>
      <c r="QSP2" s="4"/>
      <c r="QSQ2" s="4"/>
      <c r="QSR2" s="4"/>
      <c r="QSS2" s="4"/>
      <c r="QST2" s="4"/>
      <c r="QSU2" s="4"/>
      <c r="QSV2" s="4"/>
      <c r="QSW2" s="4"/>
      <c r="QSX2" s="4"/>
      <c r="QSY2" s="4"/>
      <c r="QSZ2" s="4"/>
      <c r="QTA2" s="4"/>
      <c r="QTB2" s="4"/>
      <c r="QTC2" s="4"/>
      <c r="QTD2" s="4"/>
      <c r="QTE2" s="4"/>
      <c r="QTF2" s="4"/>
      <c r="QTG2" s="4"/>
      <c r="QTH2" s="4"/>
      <c r="QTI2" s="4"/>
      <c r="QTJ2" s="4"/>
      <c r="QTK2" s="4"/>
      <c r="QTL2" s="4"/>
      <c r="QTM2" s="4"/>
      <c r="QTN2" s="4"/>
      <c r="QTO2" s="4"/>
      <c r="QTP2" s="4"/>
      <c r="QTQ2" s="4"/>
      <c r="QTR2" s="4"/>
      <c r="QTS2" s="4"/>
      <c r="QTT2" s="4"/>
      <c r="QTU2" s="4"/>
      <c r="QTV2" s="4"/>
      <c r="QTW2" s="4"/>
      <c r="QTX2" s="4"/>
      <c r="QTY2" s="4"/>
      <c r="QTZ2" s="4"/>
      <c r="QUA2" s="4"/>
      <c r="QUB2" s="4"/>
      <c r="QUC2" s="4"/>
      <c r="QUD2" s="4"/>
      <c r="QUE2" s="4"/>
      <c r="QUF2" s="4"/>
      <c r="QUG2" s="4"/>
      <c r="QUH2" s="4"/>
      <c r="QUI2" s="4"/>
      <c r="QUJ2" s="4"/>
      <c r="QUK2" s="4"/>
      <c r="QUL2" s="4"/>
      <c r="QUM2" s="4"/>
      <c r="QUN2" s="4"/>
      <c r="QUO2" s="4"/>
      <c r="QUP2" s="4"/>
      <c r="QUQ2" s="4"/>
      <c r="QUR2" s="4"/>
      <c r="QUS2" s="4"/>
      <c r="QUT2" s="4"/>
      <c r="QUU2" s="4"/>
      <c r="QUV2" s="4"/>
      <c r="QUW2" s="4"/>
      <c r="QUX2" s="4"/>
      <c r="QUY2" s="4"/>
      <c r="QUZ2" s="4"/>
      <c r="QVA2" s="4"/>
      <c r="QVB2" s="4"/>
      <c r="QVC2" s="4"/>
      <c r="QVD2" s="4"/>
      <c r="QVE2" s="4"/>
      <c r="QVF2" s="4"/>
      <c r="QVG2" s="4"/>
      <c r="QVH2" s="4"/>
      <c r="QVI2" s="4"/>
      <c r="QVJ2" s="4"/>
      <c r="QVK2" s="4"/>
      <c r="QVL2" s="4"/>
      <c r="QVM2" s="4"/>
      <c r="QVN2" s="4"/>
      <c r="QVO2" s="4"/>
      <c r="QVP2" s="4"/>
      <c r="QVQ2" s="4"/>
      <c r="QVR2" s="4"/>
      <c r="QVS2" s="4"/>
      <c r="QVT2" s="4"/>
      <c r="QVU2" s="4"/>
      <c r="QVV2" s="4"/>
      <c r="QVW2" s="4"/>
      <c r="QVX2" s="4"/>
      <c r="QVY2" s="4"/>
      <c r="QVZ2" s="4"/>
      <c r="QWA2" s="4"/>
      <c r="QWB2" s="4"/>
      <c r="QWC2" s="4"/>
      <c r="QWD2" s="4"/>
      <c r="QWE2" s="4"/>
      <c r="QWF2" s="4"/>
      <c r="QWG2" s="4"/>
      <c r="QWH2" s="4"/>
      <c r="QWI2" s="4"/>
      <c r="QWJ2" s="4"/>
      <c r="QWK2" s="4"/>
      <c r="QWL2" s="4"/>
      <c r="QWM2" s="4"/>
      <c r="QWN2" s="4"/>
      <c r="QWO2" s="4"/>
      <c r="QWP2" s="4"/>
      <c r="QWQ2" s="4"/>
      <c r="QWR2" s="4"/>
      <c r="QWS2" s="4"/>
      <c r="QWT2" s="4"/>
      <c r="QWU2" s="4"/>
      <c r="QWV2" s="4"/>
      <c r="QWW2" s="4"/>
      <c r="QWX2" s="4"/>
      <c r="QWY2" s="4"/>
      <c r="QWZ2" s="4"/>
      <c r="QXA2" s="4"/>
      <c r="QXB2" s="4"/>
      <c r="QXC2" s="4"/>
      <c r="QXD2" s="4"/>
      <c r="QXE2" s="4"/>
      <c r="QXF2" s="4"/>
      <c r="QXG2" s="4"/>
      <c r="QXH2" s="4"/>
      <c r="QXI2" s="4"/>
      <c r="QXJ2" s="4"/>
      <c r="QXK2" s="4"/>
      <c r="QXL2" s="4"/>
      <c r="QXM2" s="4"/>
      <c r="QXN2" s="4"/>
      <c r="QXO2" s="4"/>
      <c r="QXP2" s="4"/>
      <c r="QXQ2" s="4"/>
      <c r="QXR2" s="4"/>
      <c r="QXS2" s="4"/>
      <c r="QXT2" s="4"/>
      <c r="QXU2" s="4"/>
      <c r="QXV2" s="4"/>
      <c r="QXW2" s="4"/>
      <c r="QXX2" s="4"/>
      <c r="QXY2" s="4"/>
      <c r="QXZ2" s="4"/>
      <c r="QYA2" s="4"/>
      <c r="QYB2" s="4"/>
      <c r="QYC2" s="4"/>
      <c r="QYD2" s="4"/>
      <c r="QYE2" s="4"/>
      <c r="QYF2" s="4"/>
      <c r="QYG2" s="4"/>
      <c r="QYH2" s="4"/>
      <c r="QYI2" s="4"/>
      <c r="QYJ2" s="4"/>
      <c r="QYK2" s="4"/>
      <c r="QYL2" s="4"/>
      <c r="QYM2" s="4"/>
      <c r="QYN2" s="4"/>
      <c r="QYO2" s="4"/>
      <c r="QYP2" s="4"/>
      <c r="QYQ2" s="4"/>
      <c r="QYR2" s="4"/>
      <c r="QYS2" s="4"/>
      <c r="QYT2" s="4"/>
      <c r="QYU2" s="4"/>
      <c r="QYV2" s="4"/>
      <c r="QYW2" s="4"/>
      <c r="QYX2" s="4"/>
      <c r="QYY2" s="4"/>
      <c r="QYZ2" s="4"/>
      <c r="QZA2" s="4"/>
      <c r="QZB2" s="4"/>
      <c r="QZC2" s="4"/>
      <c r="QZD2" s="4"/>
      <c r="QZE2" s="4"/>
      <c r="QZF2" s="4"/>
      <c r="QZG2" s="4"/>
      <c r="QZH2" s="4"/>
      <c r="QZI2" s="4"/>
      <c r="QZJ2" s="4"/>
      <c r="QZK2" s="4"/>
      <c r="QZL2" s="4"/>
      <c r="QZM2" s="4"/>
      <c r="QZN2" s="4"/>
      <c r="QZO2" s="4"/>
      <c r="QZP2" s="4"/>
      <c r="QZQ2" s="4"/>
      <c r="QZR2" s="4"/>
      <c r="QZS2" s="4"/>
      <c r="QZT2" s="4"/>
      <c r="QZU2" s="4"/>
      <c r="QZV2" s="4"/>
      <c r="QZW2" s="4"/>
      <c r="QZX2" s="4"/>
      <c r="QZY2" s="4"/>
      <c r="QZZ2" s="4"/>
      <c r="RAA2" s="4"/>
      <c r="RAB2" s="4"/>
      <c r="RAC2" s="4"/>
      <c r="RAD2" s="4"/>
      <c r="RAE2" s="4"/>
      <c r="RAF2" s="4"/>
      <c r="RAG2" s="4"/>
      <c r="RAH2" s="4"/>
      <c r="RAI2" s="4"/>
      <c r="RAJ2" s="4"/>
      <c r="RAK2" s="4"/>
      <c r="RAL2" s="4"/>
      <c r="RAM2" s="4"/>
      <c r="RAN2" s="4"/>
      <c r="RAO2" s="4"/>
      <c r="RAP2" s="4"/>
      <c r="RAQ2" s="4"/>
      <c r="RAR2" s="4"/>
      <c r="RAS2" s="4"/>
      <c r="RAT2" s="4"/>
      <c r="RAU2" s="4"/>
      <c r="RAV2" s="4"/>
      <c r="RAW2" s="4"/>
      <c r="RAX2" s="4"/>
      <c r="RAY2" s="4"/>
      <c r="RAZ2" s="4"/>
      <c r="RBA2" s="4"/>
      <c r="RBB2" s="4"/>
      <c r="RBC2" s="4"/>
      <c r="RBD2" s="4"/>
      <c r="RBE2" s="4"/>
      <c r="RBF2" s="4"/>
      <c r="RBG2" s="4"/>
      <c r="RBH2" s="4"/>
      <c r="RBI2" s="4"/>
      <c r="RBJ2" s="4"/>
      <c r="RBK2" s="4"/>
      <c r="RBL2" s="4"/>
      <c r="RBM2" s="4"/>
      <c r="RBN2" s="4"/>
      <c r="RBO2" s="4"/>
      <c r="RBP2" s="4"/>
      <c r="RBQ2" s="4"/>
      <c r="RBR2" s="4"/>
      <c r="RBS2" s="4"/>
      <c r="RBT2" s="4"/>
      <c r="RBU2" s="4"/>
      <c r="RBV2" s="4"/>
      <c r="RBW2" s="4"/>
      <c r="RBX2" s="4"/>
      <c r="RBY2" s="4"/>
      <c r="RBZ2" s="4"/>
      <c r="RCA2" s="4"/>
      <c r="RCB2" s="4"/>
      <c r="RCC2" s="4"/>
      <c r="RCD2" s="4"/>
      <c r="RCE2" s="4"/>
      <c r="RCF2" s="4"/>
      <c r="RCG2" s="4"/>
      <c r="RCH2" s="4"/>
      <c r="RCI2" s="4"/>
      <c r="RCJ2" s="4"/>
      <c r="RCK2" s="4"/>
      <c r="RCL2" s="4"/>
      <c r="RCM2" s="4"/>
      <c r="RCN2" s="4"/>
      <c r="RCO2" s="4"/>
      <c r="RCP2" s="4"/>
      <c r="RCQ2" s="4"/>
      <c r="RCR2" s="4"/>
      <c r="RCS2" s="4"/>
      <c r="RCT2" s="4"/>
      <c r="RCU2" s="4"/>
      <c r="RCV2" s="4"/>
      <c r="RCW2" s="4"/>
      <c r="RCX2" s="4"/>
      <c r="RCY2" s="4"/>
      <c r="RCZ2" s="4"/>
      <c r="RDA2" s="4"/>
      <c r="RDB2" s="4"/>
      <c r="RDC2" s="4"/>
      <c r="RDD2" s="4"/>
      <c r="RDE2" s="4"/>
      <c r="RDF2" s="4"/>
      <c r="RDG2" s="4"/>
      <c r="RDH2" s="4"/>
      <c r="RDI2" s="4"/>
      <c r="RDJ2" s="4"/>
      <c r="RDK2" s="4"/>
      <c r="RDL2" s="4"/>
      <c r="RDM2" s="4"/>
      <c r="RDN2" s="4"/>
      <c r="RDO2" s="4"/>
      <c r="RDP2" s="4"/>
      <c r="RDQ2" s="4"/>
      <c r="RDR2" s="4"/>
      <c r="RDS2" s="4"/>
      <c r="RDT2" s="4"/>
      <c r="RDU2" s="4"/>
      <c r="RDV2" s="4"/>
      <c r="RDW2" s="4"/>
      <c r="RDX2" s="4"/>
      <c r="RDY2" s="4"/>
      <c r="RDZ2" s="4"/>
      <c r="REA2" s="4"/>
      <c r="REB2" s="4"/>
      <c r="REC2" s="4"/>
      <c r="RED2" s="4"/>
      <c r="REE2" s="4"/>
      <c r="REF2" s="4"/>
      <c r="REG2" s="4"/>
      <c r="REH2" s="4"/>
      <c r="REI2" s="4"/>
      <c r="REJ2" s="4"/>
      <c r="REK2" s="4"/>
      <c r="REL2" s="4"/>
      <c r="REM2" s="4"/>
      <c r="REN2" s="4"/>
      <c r="REO2" s="4"/>
      <c r="REP2" s="4"/>
      <c r="REQ2" s="4"/>
      <c r="RER2" s="4"/>
      <c r="RES2" s="4"/>
      <c r="RET2" s="4"/>
      <c r="REU2" s="4"/>
      <c r="REV2" s="4"/>
      <c r="REW2" s="4"/>
      <c r="REX2" s="4"/>
      <c r="REY2" s="4"/>
      <c r="REZ2" s="4"/>
      <c r="RFA2" s="4"/>
      <c r="RFB2" s="4"/>
      <c r="RFC2" s="4"/>
      <c r="RFD2" s="4"/>
      <c r="RFE2" s="4"/>
      <c r="RFF2" s="4"/>
      <c r="RFG2" s="4"/>
      <c r="RFH2" s="4"/>
      <c r="RFI2" s="4"/>
      <c r="RFJ2" s="4"/>
      <c r="RFK2" s="4"/>
      <c r="RFL2" s="4"/>
      <c r="RFM2" s="4"/>
      <c r="RFN2" s="4"/>
      <c r="RFO2" s="4"/>
      <c r="RFP2" s="4"/>
      <c r="RFQ2" s="4"/>
      <c r="RFR2" s="4"/>
      <c r="RFS2" s="4"/>
      <c r="RFT2" s="4"/>
      <c r="RFU2" s="4"/>
      <c r="RFV2" s="4"/>
      <c r="RFW2" s="4"/>
      <c r="RFX2" s="4"/>
      <c r="RFY2" s="4"/>
      <c r="RFZ2" s="4"/>
      <c r="RGA2" s="4"/>
      <c r="RGB2" s="4"/>
      <c r="RGC2" s="4"/>
      <c r="RGD2" s="4"/>
      <c r="RGE2" s="4"/>
      <c r="RGF2" s="4"/>
      <c r="RGG2" s="4"/>
      <c r="RGH2" s="4"/>
      <c r="RGI2" s="4"/>
      <c r="RGJ2" s="4"/>
      <c r="RGK2" s="4"/>
      <c r="RGL2" s="4"/>
      <c r="RGM2" s="4"/>
      <c r="RGN2" s="4"/>
      <c r="RGO2" s="4"/>
      <c r="RGP2" s="4"/>
      <c r="RGQ2" s="4"/>
      <c r="RGR2" s="4"/>
      <c r="RGS2" s="4"/>
      <c r="RGT2" s="4"/>
      <c r="RGU2" s="4"/>
      <c r="RGV2" s="4"/>
      <c r="RGW2" s="4"/>
      <c r="RGX2" s="4"/>
      <c r="RGY2" s="4"/>
      <c r="RGZ2" s="4"/>
      <c r="RHA2" s="4"/>
      <c r="RHB2" s="4"/>
      <c r="RHC2" s="4"/>
      <c r="RHD2" s="4"/>
      <c r="RHE2" s="4"/>
      <c r="RHF2" s="4"/>
      <c r="RHG2" s="4"/>
      <c r="RHH2" s="4"/>
      <c r="RHI2" s="4"/>
      <c r="RHJ2" s="4"/>
      <c r="RHK2" s="4"/>
      <c r="RHL2" s="4"/>
      <c r="RHM2" s="4"/>
      <c r="RHN2" s="4"/>
      <c r="RHO2" s="4"/>
      <c r="RHP2" s="4"/>
      <c r="RHQ2" s="4"/>
      <c r="RHR2" s="4"/>
      <c r="RHS2" s="4"/>
      <c r="RHT2" s="4"/>
      <c r="RHU2" s="4"/>
      <c r="RHV2" s="4"/>
      <c r="RHW2" s="4"/>
      <c r="RHX2" s="4"/>
      <c r="RHY2" s="4"/>
      <c r="RHZ2" s="4"/>
      <c r="RIA2" s="4"/>
      <c r="RIB2" s="4"/>
      <c r="RIC2" s="4"/>
      <c r="RID2" s="4"/>
      <c r="RIE2" s="4"/>
      <c r="RIF2" s="4"/>
      <c r="RIG2" s="4"/>
      <c r="RIH2" s="4"/>
      <c r="RII2" s="4"/>
      <c r="RIJ2" s="4"/>
      <c r="RIK2" s="4"/>
      <c r="RIL2" s="4"/>
      <c r="RIM2" s="4"/>
      <c r="RIN2" s="4"/>
      <c r="RIO2" s="4"/>
      <c r="RIP2" s="4"/>
      <c r="RIQ2" s="4"/>
      <c r="RIR2" s="4"/>
      <c r="RIS2" s="4"/>
      <c r="RIT2" s="4"/>
      <c r="RIU2" s="4"/>
      <c r="RIV2" s="4"/>
      <c r="RIW2" s="4"/>
      <c r="RIX2" s="4"/>
      <c r="RIY2" s="4"/>
      <c r="RIZ2" s="4"/>
      <c r="RJA2" s="4"/>
      <c r="RJB2" s="4"/>
      <c r="RJC2" s="4"/>
      <c r="RJD2" s="4"/>
      <c r="RJE2" s="4"/>
      <c r="RJF2" s="4"/>
      <c r="RJG2" s="4"/>
      <c r="RJH2" s="4"/>
      <c r="RJI2" s="4"/>
      <c r="RJJ2" s="4"/>
      <c r="RJK2" s="4"/>
      <c r="RJL2" s="4"/>
      <c r="RJM2" s="4"/>
      <c r="RJN2" s="4"/>
      <c r="RJO2" s="4"/>
      <c r="RJP2" s="4"/>
      <c r="RJQ2" s="4"/>
      <c r="RJR2" s="4"/>
      <c r="RJS2" s="4"/>
      <c r="RJT2" s="4"/>
      <c r="RJU2" s="4"/>
      <c r="RJV2" s="4"/>
      <c r="RJW2" s="4"/>
      <c r="RJX2" s="4"/>
      <c r="RJY2" s="4"/>
      <c r="RJZ2" s="4"/>
      <c r="RKA2" s="4"/>
      <c r="RKB2" s="4"/>
      <c r="RKC2" s="4"/>
      <c r="RKD2" s="4"/>
      <c r="RKE2" s="4"/>
      <c r="RKF2" s="4"/>
      <c r="RKG2" s="4"/>
      <c r="RKH2" s="4"/>
      <c r="RKI2" s="4"/>
      <c r="RKJ2" s="4"/>
      <c r="RKK2" s="4"/>
      <c r="RKL2" s="4"/>
      <c r="RKM2" s="4"/>
      <c r="RKN2" s="4"/>
      <c r="RKO2" s="4"/>
      <c r="RKP2" s="4"/>
      <c r="RKQ2" s="4"/>
      <c r="RKR2" s="4"/>
      <c r="RKS2" s="4"/>
      <c r="RKT2" s="4"/>
      <c r="RKU2" s="4"/>
      <c r="RKV2" s="4"/>
      <c r="RKW2" s="4"/>
      <c r="RKX2" s="4"/>
      <c r="RKY2" s="4"/>
      <c r="RKZ2" s="4"/>
      <c r="RLA2" s="4"/>
      <c r="RLB2" s="4"/>
      <c r="RLC2" s="4"/>
      <c r="RLD2" s="4"/>
      <c r="RLE2" s="4"/>
      <c r="RLF2" s="4"/>
      <c r="RLG2" s="4"/>
      <c r="RLH2" s="4"/>
      <c r="RLI2" s="4"/>
      <c r="RLJ2" s="4"/>
      <c r="RLK2" s="4"/>
      <c r="RLL2" s="4"/>
      <c r="RLM2" s="4"/>
      <c r="RLN2" s="4"/>
      <c r="RLO2" s="4"/>
      <c r="RLP2" s="4"/>
      <c r="RLQ2" s="4"/>
      <c r="RLR2" s="4"/>
      <c r="RLS2" s="4"/>
      <c r="RLT2" s="4"/>
      <c r="RLU2" s="4"/>
      <c r="RLV2" s="4"/>
      <c r="RLW2" s="4"/>
      <c r="RLX2" s="4"/>
      <c r="RLY2" s="4"/>
      <c r="RLZ2" s="4"/>
      <c r="RMA2" s="4"/>
      <c r="RMB2" s="4"/>
      <c r="RMC2" s="4"/>
      <c r="RMD2" s="4"/>
      <c r="RME2" s="4"/>
      <c r="RMF2" s="4"/>
      <c r="RMG2" s="4"/>
      <c r="RMH2" s="4"/>
      <c r="RMI2" s="4"/>
      <c r="RMJ2" s="4"/>
      <c r="RMK2" s="4"/>
      <c r="RML2" s="4"/>
      <c r="RMM2" s="4"/>
      <c r="RMN2" s="4"/>
      <c r="RMO2" s="4"/>
      <c r="RMP2" s="4"/>
      <c r="RMQ2" s="4"/>
      <c r="RMR2" s="4"/>
      <c r="RMS2" s="4"/>
      <c r="RMT2" s="4"/>
      <c r="RMU2" s="4"/>
      <c r="RMV2" s="4"/>
      <c r="RMW2" s="4"/>
      <c r="RMX2" s="4"/>
      <c r="RMY2" s="4"/>
      <c r="RMZ2" s="4"/>
      <c r="RNA2" s="4"/>
      <c r="RNB2" s="4"/>
      <c r="RNC2" s="4"/>
      <c r="RND2" s="4"/>
      <c r="RNE2" s="4"/>
      <c r="RNF2" s="4"/>
      <c r="RNG2" s="4"/>
      <c r="RNH2" s="4"/>
      <c r="RNI2" s="4"/>
      <c r="RNJ2" s="4"/>
      <c r="RNK2" s="4"/>
      <c r="RNL2" s="4"/>
      <c r="RNM2" s="4"/>
      <c r="RNN2" s="4"/>
      <c r="RNO2" s="4"/>
      <c r="RNP2" s="4"/>
      <c r="RNQ2" s="4"/>
      <c r="RNR2" s="4"/>
      <c r="RNS2" s="4"/>
      <c r="RNT2" s="4"/>
      <c r="RNU2" s="4"/>
      <c r="RNV2" s="4"/>
      <c r="RNW2" s="4"/>
      <c r="RNX2" s="4"/>
      <c r="RNY2" s="4"/>
      <c r="RNZ2" s="4"/>
      <c r="ROA2" s="4"/>
      <c r="ROB2" s="4"/>
      <c r="ROC2" s="4"/>
      <c r="ROD2" s="4"/>
      <c r="ROE2" s="4"/>
      <c r="ROF2" s="4"/>
      <c r="ROG2" s="4"/>
      <c r="ROH2" s="4"/>
      <c r="ROI2" s="4"/>
      <c r="ROJ2" s="4"/>
      <c r="ROK2" s="4"/>
      <c r="ROL2" s="4"/>
      <c r="ROM2" s="4"/>
      <c r="RON2" s="4"/>
      <c r="ROO2" s="4"/>
      <c r="ROP2" s="4"/>
      <c r="ROQ2" s="4"/>
      <c r="ROR2" s="4"/>
      <c r="ROS2" s="4"/>
      <c r="ROT2" s="4"/>
      <c r="ROU2" s="4"/>
      <c r="ROV2" s="4"/>
      <c r="ROW2" s="4"/>
      <c r="ROX2" s="4"/>
      <c r="ROY2" s="4"/>
      <c r="ROZ2" s="4"/>
      <c r="RPA2" s="4"/>
      <c r="RPB2" s="4"/>
      <c r="RPC2" s="4"/>
      <c r="RPD2" s="4"/>
      <c r="RPE2" s="4"/>
      <c r="RPF2" s="4"/>
      <c r="RPG2" s="4"/>
      <c r="RPH2" s="4"/>
      <c r="RPI2" s="4"/>
      <c r="RPJ2" s="4"/>
      <c r="RPK2" s="4"/>
      <c r="RPL2" s="4"/>
      <c r="RPM2" s="4"/>
      <c r="RPN2" s="4"/>
      <c r="RPO2" s="4"/>
      <c r="RPP2" s="4"/>
      <c r="RPQ2" s="4"/>
      <c r="RPR2" s="4"/>
      <c r="RPS2" s="4"/>
      <c r="RPT2" s="4"/>
      <c r="RPU2" s="4"/>
      <c r="RPV2" s="4"/>
      <c r="RPW2" s="4"/>
      <c r="RPX2" s="4"/>
      <c r="RPY2" s="4"/>
      <c r="RPZ2" s="4"/>
      <c r="RQA2" s="4"/>
      <c r="RQB2" s="4"/>
      <c r="RQC2" s="4"/>
      <c r="RQD2" s="4"/>
      <c r="RQE2" s="4"/>
      <c r="RQF2" s="4"/>
      <c r="RQG2" s="4"/>
      <c r="RQH2" s="4"/>
      <c r="RQI2" s="4"/>
      <c r="RQJ2" s="4"/>
      <c r="RQK2" s="4"/>
      <c r="RQL2" s="4"/>
      <c r="RQM2" s="4"/>
      <c r="RQN2" s="4"/>
      <c r="RQO2" s="4"/>
      <c r="RQP2" s="4"/>
      <c r="RQQ2" s="4"/>
      <c r="RQR2" s="4"/>
      <c r="RQS2" s="4"/>
      <c r="RQT2" s="4"/>
      <c r="RQU2" s="4"/>
      <c r="RQV2" s="4"/>
      <c r="RQW2" s="4"/>
      <c r="RQX2" s="4"/>
      <c r="RQY2" s="4"/>
      <c r="RQZ2" s="4"/>
      <c r="RRA2" s="4"/>
      <c r="RRB2" s="4"/>
      <c r="RRC2" s="4"/>
      <c r="RRD2" s="4"/>
      <c r="RRE2" s="4"/>
      <c r="RRF2" s="4"/>
      <c r="RRG2" s="4"/>
      <c r="RRH2" s="4"/>
      <c r="RRI2" s="4"/>
      <c r="RRJ2" s="4"/>
      <c r="RRK2" s="4"/>
      <c r="RRL2" s="4"/>
      <c r="RRM2" s="4"/>
      <c r="RRN2" s="4"/>
      <c r="RRO2" s="4"/>
      <c r="RRP2" s="4"/>
      <c r="RRQ2" s="4"/>
      <c r="RRR2" s="4"/>
      <c r="RRS2" s="4"/>
      <c r="RRT2" s="4"/>
      <c r="RRU2" s="4"/>
      <c r="RRV2" s="4"/>
      <c r="RRW2" s="4"/>
      <c r="RRX2" s="4"/>
      <c r="RRY2" s="4"/>
      <c r="RRZ2" s="4"/>
      <c r="RSA2" s="4"/>
      <c r="RSB2" s="4"/>
      <c r="RSC2" s="4"/>
      <c r="RSD2" s="4"/>
      <c r="RSE2" s="4"/>
      <c r="RSF2" s="4"/>
      <c r="RSG2" s="4"/>
      <c r="RSH2" s="4"/>
      <c r="RSI2" s="4"/>
      <c r="RSJ2" s="4"/>
      <c r="RSK2" s="4"/>
      <c r="RSL2" s="4"/>
      <c r="RSM2" s="4"/>
      <c r="RSN2" s="4"/>
      <c r="RSO2" s="4"/>
      <c r="RSP2" s="4"/>
      <c r="RSQ2" s="4"/>
      <c r="RSR2" s="4"/>
      <c r="RSS2" s="4"/>
      <c r="RST2" s="4"/>
      <c r="RSU2" s="4"/>
      <c r="RSV2" s="4"/>
      <c r="RSW2" s="4"/>
      <c r="RSX2" s="4"/>
      <c r="RSY2" s="4"/>
      <c r="RSZ2" s="4"/>
      <c r="RTA2" s="4"/>
      <c r="RTB2" s="4"/>
      <c r="RTC2" s="4"/>
      <c r="RTD2" s="4"/>
      <c r="RTE2" s="4"/>
      <c r="RTF2" s="4"/>
      <c r="RTG2" s="4"/>
      <c r="RTH2" s="4"/>
      <c r="RTI2" s="4"/>
      <c r="RTJ2" s="4"/>
      <c r="RTK2" s="4"/>
      <c r="RTL2" s="4"/>
      <c r="RTM2" s="4"/>
      <c r="RTN2" s="4"/>
      <c r="RTO2" s="4"/>
      <c r="RTP2" s="4"/>
      <c r="RTQ2" s="4"/>
      <c r="RTR2" s="4"/>
      <c r="RTS2" s="4"/>
      <c r="RTT2" s="4"/>
      <c r="RTU2" s="4"/>
      <c r="RTV2" s="4"/>
      <c r="RTW2" s="4"/>
      <c r="RTX2" s="4"/>
      <c r="RTY2" s="4"/>
      <c r="RTZ2" s="4"/>
      <c r="RUA2" s="4"/>
      <c r="RUB2" s="4"/>
      <c r="RUC2" s="4"/>
      <c r="RUD2" s="4"/>
      <c r="RUE2" s="4"/>
      <c r="RUF2" s="4"/>
      <c r="RUG2" s="4"/>
      <c r="RUH2" s="4"/>
      <c r="RUI2" s="4"/>
      <c r="RUJ2" s="4"/>
      <c r="RUK2" s="4"/>
      <c r="RUL2" s="4"/>
      <c r="RUM2" s="4"/>
      <c r="RUN2" s="4"/>
      <c r="RUO2" s="4"/>
      <c r="RUP2" s="4"/>
      <c r="RUQ2" s="4"/>
      <c r="RUR2" s="4"/>
      <c r="RUS2" s="4"/>
      <c r="RUT2" s="4"/>
      <c r="RUU2" s="4"/>
      <c r="RUV2" s="4"/>
      <c r="RUW2" s="4"/>
      <c r="RUX2" s="4"/>
      <c r="RUY2" s="4"/>
      <c r="RUZ2" s="4"/>
      <c r="RVA2" s="4"/>
      <c r="RVB2" s="4"/>
      <c r="RVC2" s="4"/>
      <c r="RVD2" s="4"/>
      <c r="RVE2" s="4"/>
      <c r="RVF2" s="4"/>
      <c r="RVG2" s="4"/>
      <c r="RVH2" s="4"/>
      <c r="RVI2" s="4"/>
      <c r="RVJ2" s="4"/>
      <c r="RVK2" s="4"/>
      <c r="RVL2" s="4"/>
      <c r="RVM2" s="4"/>
      <c r="RVN2" s="4"/>
      <c r="RVO2" s="4"/>
      <c r="RVP2" s="4"/>
      <c r="RVQ2" s="4"/>
      <c r="RVR2" s="4"/>
      <c r="RVS2" s="4"/>
      <c r="RVT2" s="4"/>
      <c r="RVU2" s="4"/>
      <c r="RVV2" s="4"/>
      <c r="RVW2" s="4"/>
      <c r="RVX2" s="4"/>
      <c r="RVY2" s="4"/>
      <c r="RVZ2" s="4"/>
      <c r="RWA2" s="4"/>
      <c r="RWB2" s="4"/>
      <c r="RWC2" s="4"/>
      <c r="RWD2" s="4"/>
      <c r="RWE2" s="4"/>
      <c r="RWF2" s="4"/>
      <c r="RWG2" s="4"/>
      <c r="RWH2" s="4"/>
      <c r="RWI2" s="4"/>
      <c r="RWJ2" s="4"/>
      <c r="RWK2" s="4"/>
      <c r="RWL2" s="4"/>
      <c r="RWM2" s="4"/>
      <c r="RWN2" s="4"/>
      <c r="RWO2" s="4"/>
      <c r="RWP2" s="4"/>
      <c r="RWQ2" s="4"/>
      <c r="RWR2" s="4"/>
      <c r="RWS2" s="4"/>
      <c r="RWT2" s="4"/>
      <c r="RWU2" s="4"/>
      <c r="RWV2" s="4"/>
      <c r="RWW2" s="4"/>
      <c r="RWX2" s="4"/>
      <c r="RWY2" s="4"/>
      <c r="RWZ2" s="4"/>
      <c r="RXA2" s="4"/>
      <c r="RXB2" s="4"/>
      <c r="RXC2" s="4"/>
      <c r="RXD2" s="4"/>
      <c r="RXE2" s="4"/>
      <c r="RXF2" s="4"/>
      <c r="RXG2" s="4"/>
      <c r="RXH2" s="4"/>
      <c r="RXI2" s="4"/>
      <c r="RXJ2" s="4"/>
      <c r="RXK2" s="4"/>
      <c r="RXL2" s="4"/>
      <c r="RXM2" s="4"/>
      <c r="RXN2" s="4"/>
      <c r="RXO2" s="4"/>
      <c r="RXP2" s="4"/>
      <c r="RXQ2" s="4"/>
      <c r="RXR2" s="4"/>
      <c r="RXS2" s="4"/>
      <c r="RXT2" s="4"/>
      <c r="RXU2" s="4"/>
      <c r="RXV2" s="4"/>
      <c r="RXW2" s="4"/>
      <c r="RXX2" s="4"/>
      <c r="RXY2" s="4"/>
      <c r="RXZ2" s="4"/>
      <c r="RYA2" s="4"/>
      <c r="RYB2" s="4"/>
      <c r="RYC2" s="4"/>
      <c r="RYD2" s="4"/>
      <c r="RYE2" s="4"/>
      <c r="RYF2" s="4"/>
      <c r="RYG2" s="4"/>
      <c r="RYH2" s="4"/>
      <c r="RYI2" s="4"/>
      <c r="RYJ2" s="4"/>
      <c r="RYK2" s="4"/>
      <c r="RYL2" s="4"/>
      <c r="RYM2" s="4"/>
      <c r="RYN2" s="4"/>
      <c r="RYO2" s="4"/>
      <c r="RYP2" s="4"/>
      <c r="RYQ2" s="4"/>
      <c r="RYR2" s="4"/>
      <c r="RYS2" s="4"/>
      <c r="RYT2" s="4"/>
      <c r="RYU2" s="4"/>
      <c r="RYV2" s="4"/>
      <c r="RYW2" s="4"/>
      <c r="RYX2" s="4"/>
      <c r="RYY2" s="4"/>
      <c r="RYZ2" s="4"/>
      <c r="RZA2" s="4"/>
      <c r="RZB2" s="4"/>
      <c r="RZC2" s="4"/>
      <c r="RZD2" s="4"/>
      <c r="RZE2" s="4"/>
      <c r="RZF2" s="4"/>
      <c r="RZG2" s="4"/>
      <c r="RZH2" s="4"/>
      <c r="RZI2" s="4"/>
      <c r="RZJ2" s="4"/>
      <c r="RZK2" s="4"/>
      <c r="RZL2" s="4"/>
      <c r="RZM2" s="4"/>
      <c r="RZN2" s="4"/>
      <c r="RZO2" s="4"/>
      <c r="RZP2" s="4"/>
      <c r="RZQ2" s="4"/>
      <c r="RZR2" s="4"/>
      <c r="RZS2" s="4"/>
      <c r="RZT2" s="4"/>
      <c r="RZU2" s="4"/>
      <c r="RZV2" s="4"/>
      <c r="RZW2" s="4"/>
      <c r="RZX2" s="4"/>
      <c r="RZY2" s="4"/>
      <c r="RZZ2" s="4"/>
      <c r="SAA2" s="4"/>
      <c r="SAB2" s="4"/>
      <c r="SAC2" s="4"/>
      <c r="SAD2" s="4"/>
      <c r="SAE2" s="4"/>
      <c r="SAF2" s="4"/>
      <c r="SAG2" s="4"/>
      <c r="SAH2" s="4"/>
      <c r="SAI2" s="4"/>
      <c r="SAJ2" s="4"/>
      <c r="SAK2" s="4"/>
      <c r="SAL2" s="4"/>
      <c r="SAM2" s="4"/>
      <c r="SAN2" s="4"/>
      <c r="SAO2" s="4"/>
      <c r="SAP2" s="4"/>
      <c r="SAQ2" s="4"/>
      <c r="SAR2" s="4"/>
      <c r="SAS2" s="4"/>
      <c r="SAT2" s="4"/>
      <c r="SAU2" s="4"/>
      <c r="SAV2" s="4"/>
      <c r="SAW2" s="4"/>
      <c r="SAX2" s="4"/>
      <c r="SAY2" s="4"/>
      <c r="SAZ2" s="4"/>
      <c r="SBA2" s="4"/>
      <c r="SBB2" s="4"/>
      <c r="SBC2" s="4"/>
      <c r="SBD2" s="4"/>
      <c r="SBE2" s="4"/>
      <c r="SBF2" s="4"/>
      <c r="SBG2" s="4"/>
      <c r="SBH2" s="4"/>
      <c r="SBI2" s="4"/>
      <c r="SBJ2" s="4"/>
      <c r="SBK2" s="4"/>
      <c r="SBL2" s="4"/>
      <c r="SBM2" s="4"/>
      <c r="SBN2" s="4"/>
      <c r="SBO2" s="4"/>
      <c r="SBP2" s="4"/>
      <c r="SBQ2" s="4"/>
      <c r="SBR2" s="4"/>
      <c r="SBS2" s="4"/>
      <c r="SBT2" s="4"/>
      <c r="SBU2" s="4"/>
      <c r="SBV2" s="4"/>
      <c r="SBW2" s="4"/>
      <c r="SBX2" s="4"/>
      <c r="SBY2" s="4"/>
      <c r="SBZ2" s="4"/>
      <c r="SCA2" s="4"/>
      <c r="SCB2" s="4"/>
      <c r="SCC2" s="4"/>
      <c r="SCD2" s="4"/>
      <c r="SCE2" s="4"/>
      <c r="SCF2" s="4"/>
      <c r="SCG2" s="4"/>
      <c r="SCH2" s="4"/>
      <c r="SCI2" s="4"/>
      <c r="SCJ2" s="4"/>
      <c r="SCK2" s="4"/>
      <c r="SCL2" s="4"/>
      <c r="SCM2" s="4"/>
      <c r="SCN2" s="4"/>
      <c r="SCO2" s="4"/>
      <c r="SCP2" s="4"/>
      <c r="SCQ2" s="4"/>
      <c r="SCR2" s="4"/>
      <c r="SCS2" s="4"/>
      <c r="SCT2" s="4"/>
      <c r="SCU2" s="4"/>
      <c r="SCV2" s="4"/>
      <c r="SCW2" s="4"/>
      <c r="SCX2" s="4"/>
      <c r="SCY2" s="4"/>
      <c r="SCZ2" s="4"/>
      <c r="SDA2" s="4"/>
      <c r="SDB2" s="4"/>
      <c r="SDC2" s="4"/>
      <c r="SDD2" s="4"/>
      <c r="SDE2" s="4"/>
      <c r="SDF2" s="4"/>
      <c r="SDG2" s="4"/>
      <c r="SDH2" s="4"/>
      <c r="SDI2" s="4"/>
      <c r="SDJ2" s="4"/>
      <c r="SDK2" s="4"/>
      <c r="SDL2" s="4"/>
      <c r="SDM2" s="4"/>
      <c r="SDN2" s="4"/>
      <c r="SDO2" s="4"/>
      <c r="SDP2" s="4"/>
      <c r="SDQ2" s="4"/>
      <c r="SDR2" s="4"/>
      <c r="SDS2" s="4"/>
      <c r="SDT2" s="4"/>
      <c r="SDU2" s="4"/>
      <c r="SDV2" s="4"/>
      <c r="SDW2" s="4"/>
      <c r="SDX2" s="4"/>
      <c r="SDY2" s="4"/>
      <c r="SDZ2" s="4"/>
      <c r="SEA2" s="4"/>
      <c r="SEB2" s="4"/>
      <c r="SEC2" s="4"/>
      <c r="SED2" s="4"/>
      <c r="SEE2" s="4"/>
      <c r="SEF2" s="4"/>
      <c r="SEG2" s="4"/>
      <c r="SEH2" s="4"/>
      <c r="SEI2" s="4"/>
      <c r="SEJ2" s="4"/>
      <c r="SEK2" s="4"/>
      <c r="SEL2" s="4"/>
      <c r="SEM2" s="4"/>
      <c r="SEN2" s="4"/>
      <c r="SEO2" s="4"/>
      <c r="SEP2" s="4"/>
      <c r="SEQ2" s="4"/>
      <c r="SER2" s="4"/>
      <c r="SES2" s="4"/>
      <c r="SET2" s="4"/>
      <c r="SEU2" s="4"/>
      <c r="SEV2" s="4"/>
      <c r="SEW2" s="4"/>
      <c r="SEX2" s="4"/>
      <c r="SEY2" s="4"/>
      <c r="SEZ2" s="4"/>
      <c r="SFA2" s="4"/>
      <c r="SFB2" s="4"/>
      <c r="SFC2" s="4"/>
      <c r="SFD2" s="4"/>
      <c r="SFE2" s="4"/>
      <c r="SFF2" s="4"/>
      <c r="SFG2" s="4"/>
      <c r="SFH2" s="4"/>
      <c r="SFI2" s="4"/>
      <c r="SFJ2" s="4"/>
      <c r="SFK2" s="4"/>
      <c r="SFL2" s="4"/>
      <c r="SFM2" s="4"/>
      <c r="SFN2" s="4"/>
      <c r="SFO2" s="4"/>
      <c r="SFP2" s="4"/>
      <c r="SFQ2" s="4"/>
      <c r="SFR2" s="4"/>
      <c r="SFS2" s="4"/>
      <c r="SFT2" s="4"/>
      <c r="SFU2" s="4"/>
      <c r="SFV2" s="4"/>
      <c r="SFW2" s="4"/>
      <c r="SFX2" s="4"/>
      <c r="SFY2" s="4"/>
      <c r="SFZ2" s="4"/>
      <c r="SGA2" s="4"/>
      <c r="SGB2" s="4"/>
      <c r="SGC2" s="4"/>
      <c r="SGD2" s="4"/>
      <c r="SGE2" s="4"/>
      <c r="SGF2" s="4"/>
      <c r="SGG2" s="4"/>
      <c r="SGH2" s="4"/>
      <c r="SGI2" s="4"/>
      <c r="SGJ2" s="4"/>
      <c r="SGK2" s="4"/>
      <c r="SGL2" s="4"/>
      <c r="SGM2" s="4"/>
      <c r="SGN2" s="4"/>
      <c r="SGO2" s="4"/>
      <c r="SGP2" s="4"/>
      <c r="SGQ2" s="4"/>
      <c r="SGR2" s="4"/>
      <c r="SGS2" s="4"/>
      <c r="SGT2" s="4"/>
      <c r="SGU2" s="4"/>
      <c r="SGV2" s="4"/>
      <c r="SGW2" s="4"/>
      <c r="SGX2" s="4"/>
      <c r="SGY2" s="4"/>
      <c r="SGZ2" s="4"/>
      <c r="SHA2" s="4"/>
      <c r="SHB2" s="4"/>
      <c r="SHC2" s="4"/>
      <c r="SHD2" s="4"/>
      <c r="SHE2" s="4"/>
      <c r="SHF2" s="4"/>
      <c r="SHG2" s="4"/>
      <c r="SHH2" s="4"/>
      <c r="SHI2" s="4"/>
      <c r="SHJ2" s="4"/>
      <c r="SHK2" s="4"/>
      <c r="SHL2" s="4"/>
      <c r="SHM2" s="4"/>
      <c r="SHN2" s="4"/>
      <c r="SHO2" s="4"/>
      <c r="SHP2" s="4"/>
      <c r="SHQ2" s="4"/>
      <c r="SHR2" s="4"/>
      <c r="SHS2" s="4"/>
      <c r="SHT2" s="4"/>
      <c r="SHU2" s="4"/>
      <c r="SHV2" s="4"/>
      <c r="SHW2" s="4"/>
      <c r="SHX2" s="4"/>
      <c r="SHY2" s="4"/>
      <c r="SHZ2" s="4"/>
      <c r="SIA2" s="4"/>
      <c r="SIB2" s="4"/>
      <c r="SIC2" s="4"/>
      <c r="SID2" s="4"/>
      <c r="SIE2" s="4"/>
      <c r="SIF2" s="4"/>
      <c r="SIG2" s="4"/>
      <c r="SIH2" s="4"/>
      <c r="SII2" s="4"/>
      <c r="SIJ2" s="4"/>
      <c r="SIK2" s="4"/>
      <c r="SIL2" s="4"/>
      <c r="SIM2" s="4"/>
      <c r="SIN2" s="4"/>
      <c r="SIO2" s="4"/>
      <c r="SIP2" s="4"/>
      <c r="SIQ2" s="4"/>
      <c r="SIR2" s="4"/>
      <c r="SIS2" s="4"/>
      <c r="SIT2" s="4"/>
      <c r="SIU2" s="4"/>
      <c r="SIV2" s="4"/>
      <c r="SIW2" s="4"/>
      <c r="SIX2" s="4"/>
      <c r="SIY2" s="4"/>
      <c r="SIZ2" s="4"/>
      <c r="SJA2" s="4"/>
      <c r="SJB2" s="4"/>
      <c r="SJC2" s="4"/>
      <c r="SJD2" s="4"/>
      <c r="SJE2" s="4"/>
      <c r="SJF2" s="4"/>
      <c r="SJG2" s="4"/>
      <c r="SJH2" s="4"/>
      <c r="SJI2" s="4"/>
      <c r="SJJ2" s="4"/>
      <c r="SJK2" s="4"/>
      <c r="SJL2" s="4"/>
      <c r="SJM2" s="4"/>
      <c r="SJN2" s="4"/>
      <c r="SJO2" s="4"/>
      <c r="SJP2" s="4"/>
      <c r="SJQ2" s="4"/>
      <c r="SJR2" s="4"/>
      <c r="SJS2" s="4"/>
      <c r="SJT2" s="4"/>
      <c r="SJU2" s="4"/>
      <c r="SJV2" s="4"/>
      <c r="SJW2" s="4"/>
      <c r="SJX2" s="4"/>
      <c r="SJY2" s="4"/>
      <c r="SJZ2" s="4"/>
      <c r="SKA2" s="4"/>
      <c r="SKB2" s="4"/>
      <c r="SKC2" s="4"/>
      <c r="SKD2" s="4"/>
      <c r="SKE2" s="4"/>
      <c r="SKF2" s="4"/>
      <c r="SKG2" s="4"/>
      <c r="SKH2" s="4"/>
      <c r="SKI2" s="4"/>
      <c r="SKJ2" s="4"/>
      <c r="SKK2" s="4"/>
      <c r="SKL2" s="4"/>
      <c r="SKM2" s="4"/>
      <c r="SKN2" s="4"/>
      <c r="SKO2" s="4"/>
      <c r="SKP2" s="4"/>
      <c r="SKQ2" s="4"/>
      <c r="SKR2" s="4"/>
      <c r="SKS2" s="4"/>
      <c r="SKT2" s="4"/>
      <c r="SKU2" s="4"/>
      <c r="SKV2" s="4"/>
      <c r="SKW2" s="4"/>
      <c r="SKX2" s="4"/>
      <c r="SKY2" s="4"/>
      <c r="SKZ2" s="4"/>
      <c r="SLA2" s="4"/>
      <c r="SLB2" s="4"/>
      <c r="SLC2" s="4"/>
      <c r="SLD2" s="4"/>
      <c r="SLE2" s="4"/>
      <c r="SLF2" s="4"/>
      <c r="SLG2" s="4"/>
      <c r="SLH2" s="4"/>
      <c r="SLI2" s="4"/>
      <c r="SLJ2" s="4"/>
      <c r="SLK2" s="4"/>
      <c r="SLL2" s="4"/>
      <c r="SLM2" s="4"/>
      <c r="SLN2" s="4"/>
      <c r="SLO2" s="4"/>
      <c r="SLP2" s="4"/>
      <c r="SLQ2" s="4"/>
      <c r="SLR2" s="4"/>
      <c r="SLS2" s="4"/>
      <c r="SLT2" s="4"/>
      <c r="SLU2" s="4"/>
      <c r="SLV2" s="4"/>
      <c r="SLW2" s="4"/>
      <c r="SLX2" s="4"/>
      <c r="SLY2" s="4"/>
      <c r="SLZ2" s="4"/>
      <c r="SMA2" s="4"/>
      <c r="SMB2" s="4"/>
      <c r="SMC2" s="4"/>
      <c r="SMD2" s="4"/>
      <c r="SME2" s="4"/>
      <c r="SMF2" s="4"/>
      <c r="SMG2" s="4"/>
      <c r="SMH2" s="4"/>
      <c r="SMI2" s="4"/>
      <c r="SMJ2" s="4"/>
      <c r="SMK2" s="4"/>
      <c r="SML2" s="4"/>
      <c r="SMM2" s="4"/>
      <c r="SMN2" s="4"/>
      <c r="SMO2" s="4"/>
      <c r="SMP2" s="4"/>
      <c r="SMQ2" s="4"/>
      <c r="SMR2" s="4"/>
      <c r="SMS2" s="4"/>
      <c r="SMT2" s="4"/>
      <c r="SMU2" s="4"/>
      <c r="SMV2" s="4"/>
      <c r="SMW2" s="4"/>
      <c r="SMX2" s="4"/>
      <c r="SMY2" s="4"/>
      <c r="SMZ2" s="4"/>
      <c r="SNA2" s="4"/>
      <c r="SNB2" s="4"/>
      <c r="SNC2" s="4"/>
      <c r="SND2" s="4"/>
      <c r="SNE2" s="4"/>
      <c r="SNF2" s="4"/>
      <c r="SNG2" s="4"/>
      <c r="SNH2" s="4"/>
      <c r="SNI2" s="4"/>
      <c r="SNJ2" s="4"/>
      <c r="SNK2" s="4"/>
      <c r="SNL2" s="4"/>
      <c r="SNM2" s="4"/>
      <c r="SNN2" s="4"/>
      <c r="SNO2" s="4"/>
      <c r="SNP2" s="4"/>
      <c r="SNQ2" s="4"/>
      <c r="SNR2" s="4"/>
      <c r="SNS2" s="4"/>
      <c r="SNT2" s="4"/>
      <c r="SNU2" s="4"/>
      <c r="SNV2" s="4"/>
      <c r="SNW2" s="4"/>
      <c r="SNX2" s="4"/>
      <c r="SNY2" s="4"/>
      <c r="SNZ2" s="4"/>
      <c r="SOA2" s="4"/>
      <c r="SOB2" s="4"/>
      <c r="SOC2" s="4"/>
      <c r="SOD2" s="4"/>
      <c r="SOE2" s="4"/>
      <c r="SOF2" s="4"/>
      <c r="SOG2" s="4"/>
      <c r="SOH2" s="4"/>
      <c r="SOI2" s="4"/>
      <c r="SOJ2" s="4"/>
      <c r="SOK2" s="4"/>
      <c r="SOL2" s="4"/>
      <c r="SOM2" s="4"/>
      <c r="SON2" s="4"/>
      <c r="SOO2" s="4"/>
      <c r="SOP2" s="4"/>
      <c r="SOQ2" s="4"/>
      <c r="SOR2" s="4"/>
      <c r="SOS2" s="4"/>
      <c r="SOT2" s="4"/>
      <c r="SOU2" s="4"/>
      <c r="SOV2" s="4"/>
      <c r="SOW2" s="4"/>
      <c r="SOX2" s="4"/>
      <c r="SOY2" s="4"/>
      <c r="SOZ2" s="4"/>
      <c r="SPA2" s="4"/>
      <c r="SPB2" s="4"/>
      <c r="SPC2" s="4"/>
      <c r="SPD2" s="4"/>
      <c r="SPE2" s="4"/>
      <c r="SPF2" s="4"/>
      <c r="SPG2" s="4"/>
      <c r="SPH2" s="4"/>
      <c r="SPI2" s="4"/>
      <c r="SPJ2" s="4"/>
      <c r="SPK2" s="4"/>
      <c r="SPL2" s="4"/>
      <c r="SPM2" s="4"/>
      <c r="SPN2" s="4"/>
      <c r="SPO2" s="4"/>
      <c r="SPP2" s="4"/>
      <c r="SPQ2" s="4"/>
      <c r="SPR2" s="4"/>
      <c r="SPS2" s="4"/>
      <c r="SPT2" s="4"/>
      <c r="SPU2" s="4"/>
      <c r="SPV2" s="4"/>
      <c r="SPW2" s="4"/>
      <c r="SPX2" s="4"/>
      <c r="SPY2" s="4"/>
      <c r="SPZ2" s="4"/>
      <c r="SQA2" s="4"/>
      <c r="SQB2" s="4"/>
      <c r="SQC2" s="4"/>
      <c r="SQD2" s="4"/>
      <c r="SQE2" s="4"/>
      <c r="SQF2" s="4"/>
      <c r="SQG2" s="4"/>
      <c r="SQH2" s="4"/>
      <c r="SQI2" s="4"/>
      <c r="SQJ2" s="4"/>
      <c r="SQK2" s="4"/>
      <c r="SQL2" s="4"/>
      <c r="SQM2" s="4"/>
      <c r="SQN2" s="4"/>
      <c r="SQO2" s="4"/>
      <c r="SQP2" s="4"/>
      <c r="SQQ2" s="4"/>
      <c r="SQR2" s="4"/>
      <c r="SQS2" s="4"/>
      <c r="SQT2" s="4"/>
      <c r="SQU2" s="4"/>
      <c r="SQV2" s="4"/>
      <c r="SQW2" s="4"/>
      <c r="SQX2" s="4"/>
      <c r="SQY2" s="4"/>
      <c r="SQZ2" s="4"/>
      <c r="SRA2" s="4"/>
      <c r="SRB2" s="4"/>
      <c r="SRC2" s="4"/>
      <c r="SRD2" s="4"/>
      <c r="SRE2" s="4"/>
      <c r="SRF2" s="4"/>
      <c r="SRG2" s="4"/>
      <c r="SRH2" s="4"/>
      <c r="SRI2" s="4"/>
      <c r="SRJ2" s="4"/>
      <c r="SRK2" s="4"/>
      <c r="SRL2" s="4"/>
      <c r="SRM2" s="4"/>
      <c r="SRN2" s="4"/>
      <c r="SRO2" s="4"/>
      <c r="SRP2" s="4"/>
      <c r="SRQ2" s="4"/>
      <c r="SRR2" s="4"/>
      <c r="SRS2" s="4"/>
      <c r="SRT2" s="4"/>
      <c r="SRU2" s="4"/>
      <c r="SRV2" s="4"/>
      <c r="SRW2" s="4"/>
      <c r="SRX2" s="4"/>
      <c r="SRY2" s="4"/>
      <c r="SRZ2" s="4"/>
      <c r="SSA2" s="4"/>
      <c r="SSB2" s="4"/>
      <c r="SSC2" s="4"/>
      <c r="SSD2" s="4"/>
      <c r="SSE2" s="4"/>
      <c r="SSF2" s="4"/>
      <c r="SSG2" s="4"/>
      <c r="SSH2" s="4"/>
      <c r="SSI2" s="4"/>
      <c r="SSJ2" s="4"/>
      <c r="SSK2" s="4"/>
      <c r="SSL2" s="4"/>
      <c r="SSM2" s="4"/>
      <c r="SSN2" s="4"/>
      <c r="SSO2" s="4"/>
      <c r="SSP2" s="4"/>
      <c r="SSQ2" s="4"/>
      <c r="SSR2" s="4"/>
      <c r="SSS2" s="4"/>
      <c r="SST2" s="4"/>
      <c r="SSU2" s="4"/>
      <c r="SSV2" s="4"/>
      <c r="SSW2" s="4"/>
      <c r="SSX2" s="4"/>
      <c r="SSY2" s="4"/>
      <c r="SSZ2" s="4"/>
      <c r="STA2" s="4"/>
      <c r="STB2" s="4"/>
      <c r="STC2" s="4"/>
      <c r="STD2" s="4"/>
      <c r="STE2" s="4"/>
      <c r="STF2" s="4"/>
      <c r="STG2" s="4"/>
      <c r="STH2" s="4"/>
      <c r="STI2" s="4"/>
      <c r="STJ2" s="4"/>
      <c r="STK2" s="4"/>
      <c r="STL2" s="4"/>
      <c r="STM2" s="4"/>
      <c r="STN2" s="4"/>
      <c r="STO2" s="4"/>
      <c r="STP2" s="4"/>
      <c r="STQ2" s="4"/>
      <c r="STR2" s="4"/>
      <c r="STS2" s="4"/>
      <c r="STT2" s="4"/>
      <c r="STU2" s="4"/>
      <c r="STV2" s="4"/>
      <c r="STW2" s="4"/>
      <c r="STX2" s="4"/>
      <c r="STY2" s="4"/>
      <c r="STZ2" s="4"/>
      <c r="SUA2" s="4"/>
      <c r="SUB2" s="4"/>
      <c r="SUC2" s="4"/>
      <c r="SUD2" s="4"/>
      <c r="SUE2" s="4"/>
      <c r="SUF2" s="4"/>
      <c r="SUG2" s="4"/>
      <c r="SUH2" s="4"/>
      <c r="SUI2" s="4"/>
      <c r="SUJ2" s="4"/>
      <c r="SUK2" s="4"/>
      <c r="SUL2" s="4"/>
      <c r="SUM2" s="4"/>
      <c r="SUN2" s="4"/>
      <c r="SUO2" s="4"/>
      <c r="SUP2" s="4"/>
      <c r="SUQ2" s="4"/>
      <c r="SUR2" s="4"/>
      <c r="SUS2" s="4"/>
      <c r="SUT2" s="4"/>
      <c r="SUU2" s="4"/>
      <c r="SUV2" s="4"/>
      <c r="SUW2" s="4"/>
      <c r="SUX2" s="4"/>
      <c r="SUY2" s="4"/>
      <c r="SUZ2" s="4"/>
      <c r="SVA2" s="4"/>
      <c r="SVB2" s="4"/>
      <c r="SVC2" s="4"/>
      <c r="SVD2" s="4"/>
      <c r="SVE2" s="4"/>
      <c r="SVF2" s="4"/>
      <c r="SVG2" s="4"/>
      <c r="SVH2" s="4"/>
      <c r="SVI2" s="4"/>
      <c r="SVJ2" s="4"/>
      <c r="SVK2" s="4"/>
      <c r="SVL2" s="4"/>
      <c r="SVM2" s="4"/>
      <c r="SVN2" s="4"/>
      <c r="SVO2" s="4"/>
      <c r="SVP2" s="4"/>
      <c r="SVQ2" s="4"/>
      <c r="SVR2" s="4"/>
      <c r="SVS2" s="4"/>
      <c r="SVT2" s="4"/>
      <c r="SVU2" s="4"/>
      <c r="SVV2" s="4"/>
      <c r="SVW2" s="4"/>
      <c r="SVX2" s="4"/>
      <c r="SVY2" s="4"/>
      <c r="SVZ2" s="4"/>
      <c r="SWA2" s="4"/>
      <c r="SWB2" s="4"/>
      <c r="SWC2" s="4"/>
      <c r="SWD2" s="4"/>
      <c r="SWE2" s="4"/>
      <c r="SWF2" s="4"/>
      <c r="SWG2" s="4"/>
      <c r="SWH2" s="4"/>
      <c r="SWI2" s="4"/>
      <c r="SWJ2" s="4"/>
      <c r="SWK2" s="4"/>
      <c r="SWL2" s="4"/>
      <c r="SWM2" s="4"/>
      <c r="SWN2" s="4"/>
      <c r="SWO2" s="4"/>
      <c r="SWP2" s="4"/>
      <c r="SWQ2" s="4"/>
      <c r="SWR2" s="4"/>
      <c r="SWS2" s="4"/>
      <c r="SWT2" s="4"/>
      <c r="SWU2" s="4"/>
      <c r="SWV2" s="4"/>
      <c r="SWW2" s="4"/>
      <c r="SWX2" s="4"/>
      <c r="SWY2" s="4"/>
      <c r="SWZ2" s="4"/>
      <c r="SXA2" s="4"/>
      <c r="SXB2" s="4"/>
      <c r="SXC2" s="4"/>
      <c r="SXD2" s="4"/>
      <c r="SXE2" s="4"/>
      <c r="SXF2" s="4"/>
      <c r="SXG2" s="4"/>
      <c r="SXH2" s="4"/>
      <c r="SXI2" s="4"/>
      <c r="SXJ2" s="4"/>
      <c r="SXK2" s="4"/>
      <c r="SXL2" s="4"/>
      <c r="SXM2" s="4"/>
      <c r="SXN2" s="4"/>
      <c r="SXO2" s="4"/>
      <c r="SXP2" s="4"/>
      <c r="SXQ2" s="4"/>
      <c r="SXR2" s="4"/>
      <c r="SXS2" s="4"/>
      <c r="SXT2" s="4"/>
      <c r="SXU2" s="4"/>
      <c r="SXV2" s="4"/>
      <c r="SXW2" s="4"/>
      <c r="SXX2" s="4"/>
      <c r="SXY2" s="4"/>
      <c r="SXZ2" s="4"/>
      <c r="SYA2" s="4"/>
      <c r="SYB2" s="4"/>
      <c r="SYC2" s="4"/>
      <c r="SYD2" s="4"/>
      <c r="SYE2" s="4"/>
      <c r="SYF2" s="4"/>
      <c r="SYG2" s="4"/>
      <c r="SYH2" s="4"/>
      <c r="SYI2" s="4"/>
      <c r="SYJ2" s="4"/>
      <c r="SYK2" s="4"/>
      <c r="SYL2" s="4"/>
      <c r="SYM2" s="4"/>
      <c r="SYN2" s="4"/>
      <c r="SYO2" s="4"/>
      <c r="SYP2" s="4"/>
      <c r="SYQ2" s="4"/>
      <c r="SYR2" s="4"/>
      <c r="SYS2" s="4"/>
      <c r="SYT2" s="4"/>
      <c r="SYU2" s="4"/>
      <c r="SYV2" s="4"/>
      <c r="SYW2" s="4"/>
      <c r="SYX2" s="4"/>
      <c r="SYY2" s="4"/>
      <c r="SYZ2" s="4"/>
      <c r="SZA2" s="4"/>
      <c r="SZB2" s="4"/>
      <c r="SZC2" s="4"/>
      <c r="SZD2" s="4"/>
      <c r="SZE2" s="4"/>
      <c r="SZF2" s="4"/>
      <c r="SZG2" s="4"/>
      <c r="SZH2" s="4"/>
      <c r="SZI2" s="4"/>
      <c r="SZJ2" s="4"/>
      <c r="SZK2" s="4"/>
      <c r="SZL2" s="4"/>
      <c r="SZM2" s="4"/>
      <c r="SZN2" s="4"/>
      <c r="SZO2" s="4"/>
      <c r="SZP2" s="4"/>
      <c r="SZQ2" s="4"/>
      <c r="SZR2" s="4"/>
      <c r="SZS2" s="4"/>
      <c r="SZT2" s="4"/>
      <c r="SZU2" s="4"/>
      <c r="SZV2" s="4"/>
      <c r="SZW2" s="4"/>
      <c r="SZX2" s="4"/>
      <c r="SZY2" s="4"/>
      <c r="SZZ2" s="4"/>
      <c r="TAA2" s="4"/>
      <c r="TAB2" s="4"/>
      <c r="TAC2" s="4"/>
      <c r="TAD2" s="4"/>
      <c r="TAE2" s="4"/>
      <c r="TAF2" s="4"/>
      <c r="TAG2" s="4"/>
      <c r="TAH2" s="4"/>
      <c r="TAI2" s="4"/>
      <c r="TAJ2" s="4"/>
      <c r="TAK2" s="4"/>
      <c r="TAL2" s="4"/>
      <c r="TAM2" s="4"/>
      <c r="TAN2" s="4"/>
      <c r="TAO2" s="4"/>
      <c r="TAP2" s="4"/>
      <c r="TAQ2" s="4"/>
      <c r="TAR2" s="4"/>
      <c r="TAS2" s="4"/>
      <c r="TAT2" s="4"/>
      <c r="TAU2" s="4"/>
      <c r="TAV2" s="4"/>
      <c r="TAW2" s="4"/>
      <c r="TAX2" s="4"/>
      <c r="TAY2" s="4"/>
      <c r="TAZ2" s="4"/>
      <c r="TBA2" s="4"/>
      <c r="TBB2" s="4"/>
      <c r="TBC2" s="4"/>
      <c r="TBD2" s="4"/>
      <c r="TBE2" s="4"/>
      <c r="TBF2" s="4"/>
      <c r="TBG2" s="4"/>
      <c r="TBH2" s="4"/>
      <c r="TBI2" s="4"/>
      <c r="TBJ2" s="4"/>
      <c r="TBK2" s="4"/>
      <c r="TBL2" s="4"/>
      <c r="TBM2" s="4"/>
      <c r="TBN2" s="4"/>
      <c r="TBO2" s="4"/>
      <c r="TBP2" s="4"/>
      <c r="TBQ2" s="4"/>
      <c r="TBR2" s="4"/>
      <c r="TBS2" s="4"/>
      <c r="TBT2" s="4"/>
      <c r="TBU2" s="4"/>
      <c r="TBV2" s="4"/>
      <c r="TBW2" s="4"/>
      <c r="TBX2" s="4"/>
      <c r="TBY2" s="4"/>
      <c r="TBZ2" s="4"/>
      <c r="TCA2" s="4"/>
      <c r="TCB2" s="4"/>
      <c r="TCC2" s="4"/>
      <c r="TCD2" s="4"/>
      <c r="TCE2" s="4"/>
      <c r="TCF2" s="4"/>
      <c r="TCG2" s="4"/>
      <c r="TCH2" s="4"/>
      <c r="TCI2" s="4"/>
      <c r="TCJ2" s="4"/>
      <c r="TCK2" s="4"/>
      <c r="TCL2" s="4"/>
      <c r="TCM2" s="4"/>
      <c r="TCN2" s="4"/>
      <c r="TCO2" s="4"/>
      <c r="TCP2" s="4"/>
      <c r="TCQ2" s="4"/>
      <c r="TCR2" s="4"/>
      <c r="TCS2" s="4"/>
      <c r="TCT2" s="4"/>
      <c r="TCU2" s="4"/>
      <c r="TCV2" s="4"/>
      <c r="TCW2" s="4"/>
      <c r="TCX2" s="4"/>
      <c r="TCY2" s="4"/>
      <c r="TCZ2" s="4"/>
      <c r="TDA2" s="4"/>
      <c r="TDB2" s="4"/>
      <c r="TDC2" s="4"/>
      <c r="TDD2" s="4"/>
      <c r="TDE2" s="4"/>
      <c r="TDF2" s="4"/>
      <c r="TDG2" s="4"/>
      <c r="TDH2" s="4"/>
      <c r="TDI2" s="4"/>
      <c r="TDJ2" s="4"/>
      <c r="TDK2" s="4"/>
      <c r="TDL2" s="4"/>
      <c r="TDM2" s="4"/>
      <c r="TDN2" s="4"/>
      <c r="TDO2" s="4"/>
      <c r="TDP2" s="4"/>
      <c r="TDQ2" s="4"/>
      <c r="TDR2" s="4"/>
      <c r="TDS2" s="4"/>
      <c r="TDT2" s="4"/>
      <c r="TDU2" s="4"/>
      <c r="TDV2" s="4"/>
      <c r="TDW2" s="4"/>
      <c r="TDX2" s="4"/>
      <c r="TDY2" s="4"/>
      <c r="TDZ2" s="4"/>
      <c r="TEA2" s="4"/>
      <c r="TEB2" s="4"/>
      <c r="TEC2" s="4"/>
      <c r="TED2" s="4"/>
      <c r="TEE2" s="4"/>
      <c r="TEF2" s="4"/>
      <c r="TEG2" s="4"/>
      <c r="TEH2" s="4"/>
      <c r="TEI2" s="4"/>
      <c r="TEJ2" s="4"/>
      <c r="TEK2" s="4"/>
      <c r="TEL2" s="4"/>
      <c r="TEM2" s="4"/>
      <c r="TEN2" s="4"/>
      <c r="TEO2" s="4"/>
      <c r="TEP2" s="4"/>
      <c r="TEQ2" s="4"/>
      <c r="TER2" s="4"/>
      <c r="TES2" s="4"/>
      <c r="TET2" s="4"/>
      <c r="TEU2" s="4"/>
      <c r="TEV2" s="4"/>
      <c r="TEW2" s="4"/>
      <c r="TEX2" s="4"/>
      <c r="TEY2" s="4"/>
      <c r="TEZ2" s="4"/>
      <c r="TFA2" s="4"/>
      <c r="TFB2" s="4"/>
      <c r="TFC2" s="4"/>
      <c r="TFD2" s="4"/>
      <c r="TFE2" s="4"/>
      <c r="TFF2" s="4"/>
      <c r="TFG2" s="4"/>
      <c r="TFH2" s="4"/>
      <c r="TFI2" s="4"/>
      <c r="TFJ2" s="4"/>
      <c r="TFK2" s="4"/>
      <c r="TFL2" s="4"/>
      <c r="TFM2" s="4"/>
      <c r="TFN2" s="4"/>
      <c r="TFO2" s="4"/>
      <c r="TFP2" s="4"/>
      <c r="TFQ2" s="4"/>
      <c r="TFR2" s="4"/>
      <c r="TFS2" s="4"/>
      <c r="TFT2" s="4"/>
      <c r="TFU2" s="4"/>
      <c r="TFV2" s="4"/>
      <c r="TFW2" s="4"/>
      <c r="TFX2" s="4"/>
      <c r="TFY2" s="4"/>
      <c r="TFZ2" s="4"/>
      <c r="TGA2" s="4"/>
      <c r="TGB2" s="4"/>
      <c r="TGC2" s="4"/>
      <c r="TGD2" s="4"/>
      <c r="TGE2" s="4"/>
      <c r="TGF2" s="4"/>
      <c r="TGG2" s="4"/>
      <c r="TGH2" s="4"/>
      <c r="TGI2" s="4"/>
      <c r="TGJ2" s="4"/>
      <c r="TGK2" s="4"/>
      <c r="TGL2" s="4"/>
      <c r="TGM2" s="4"/>
      <c r="TGN2" s="4"/>
      <c r="TGO2" s="4"/>
      <c r="TGP2" s="4"/>
      <c r="TGQ2" s="4"/>
      <c r="TGR2" s="4"/>
      <c r="TGS2" s="4"/>
      <c r="TGT2" s="4"/>
      <c r="TGU2" s="4"/>
      <c r="TGV2" s="4"/>
      <c r="TGW2" s="4"/>
      <c r="TGX2" s="4"/>
      <c r="TGY2" s="4"/>
      <c r="TGZ2" s="4"/>
      <c r="THA2" s="4"/>
      <c r="THB2" s="4"/>
      <c r="THC2" s="4"/>
      <c r="THD2" s="4"/>
      <c r="THE2" s="4"/>
      <c r="THF2" s="4"/>
      <c r="THG2" s="4"/>
      <c r="THH2" s="4"/>
      <c r="THI2" s="4"/>
      <c r="THJ2" s="4"/>
      <c r="THK2" s="4"/>
      <c r="THL2" s="4"/>
      <c r="THM2" s="4"/>
      <c r="THN2" s="4"/>
      <c r="THO2" s="4"/>
      <c r="THP2" s="4"/>
      <c r="THQ2" s="4"/>
      <c r="THR2" s="4"/>
      <c r="THS2" s="4"/>
      <c r="THT2" s="4"/>
      <c r="THU2" s="4"/>
      <c r="THV2" s="4"/>
      <c r="THW2" s="4"/>
      <c r="THX2" s="4"/>
      <c r="THY2" s="4"/>
      <c r="THZ2" s="4"/>
      <c r="TIA2" s="4"/>
      <c r="TIB2" s="4"/>
      <c r="TIC2" s="4"/>
      <c r="TID2" s="4"/>
      <c r="TIE2" s="4"/>
      <c r="TIF2" s="4"/>
      <c r="TIG2" s="4"/>
      <c r="TIH2" s="4"/>
      <c r="TII2" s="4"/>
      <c r="TIJ2" s="4"/>
      <c r="TIK2" s="4"/>
      <c r="TIL2" s="4"/>
      <c r="TIM2" s="4"/>
      <c r="TIN2" s="4"/>
      <c r="TIO2" s="4"/>
      <c r="TIP2" s="4"/>
      <c r="TIQ2" s="4"/>
      <c r="TIR2" s="4"/>
      <c r="TIS2" s="4"/>
      <c r="TIT2" s="4"/>
      <c r="TIU2" s="4"/>
      <c r="TIV2" s="4"/>
      <c r="TIW2" s="4"/>
      <c r="TIX2" s="4"/>
      <c r="TIY2" s="4"/>
      <c r="TIZ2" s="4"/>
      <c r="TJA2" s="4"/>
      <c r="TJB2" s="4"/>
      <c r="TJC2" s="4"/>
      <c r="TJD2" s="4"/>
      <c r="TJE2" s="4"/>
      <c r="TJF2" s="4"/>
      <c r="TJG2" s="4"/>
      <c r="TJH2" s="4"/>
      <c r="TJI2" s="4"/>
      <c r="TJJ2" s="4"/>
      <c r="TJK2" s="4"/>
      <c r="TJL2" s="4"/>
      <c r="TJM2" s="4"/>
      <c r="TJN2" s="4"/>
      <c r="TJO2" s="4"/>
      <c r="TJP2" s="4"/>
      <c r="TJQ2" s="4"/>
      <c r="TJR2" s="4"/>
      <c r="TJS2" s="4"/>
      <c r="TJT2" s="4"/>
      <c r="TJU2" s="4"/>
      <c r="TJV2" s="4"/>
      <c r="TJW2" s="4"/>
      <c r="TJX2" s="4"/>
      <c r="TJY2" s="4"/>
      <c r="TJZ2" s="4"/>
      <c r="TKA2" s="4"/>
      <c r="TKB2" s="4"/>
      <c r="TKC2" s="4"/>
      <c r="TKD2" s="4"/>
      <c r="TKE2" s="4"/>
      <c r="TKF2" s="4"/>
      <c r="TKG2" s="4"/>
      <c r="TKH2" s="4"/>
      <c r="TKI2" s="4"/>
      <c r="TKJ2" s="4"/>
      <c r="TKK2" s="4"/>
      <c r="TKL2" s="4"/>
      <c r="TKM2" s="4"/>
      <c r="TKN2" s="4"/>
      <c r="TKO2" s="4"/>
      <c r="TKP2" s="4"/>
      <c r="TKQ2" s="4"/>
      <c r="TKR2" s="4"/>
      <c r="TKS2" s="4"/>
      <c r="TKT2" s="4"/>
      <c r="TKU2" s="4"/>
      <c r="TKV2" s="4"/>
      <c r="TKW2" s="4"/>
      <c r="TKX2" s="4"/>
      <c r="TKY2" s="4"/>
      <c r="TKZ2" s="4"/>
      <c r="TLA2" s="4"/>
      <c r="TLB2" s="4"/>
      <c r="TLC2" s="4"/>
      <c r="TLD2" s="4"/>
      <c r="TLE2" s="4"/>
      <c r="TLF2" s="4"/>
      <c r="TLG2" s="4"/>
      <c r="TLH2" s="4"/>
      <c r="TLI2" s="4"/>
      <c r="TLJ2" s="4"/>
      <c r="TLK2" s="4"/>
      <c r="TLL2" s="4"/>
      <c r="TLM2" s="4"/>
      <c r="TLN2" s="4"/>
      <c r="TLO2" s="4"/>
      <c r="TLP2" s="4"/>
      <c r="TLQ2" s="4"/>
      <c r="TLR2" s="4"/>
      <c r="TLS2" s="4"/>
      <c r="TLT2" s="4"/>
      <c r="TLU2" s="4"/>
      <c r="TLV2" s="4"/>
      <c r="TLW2" s="4"/>
      <c r="TLX2" s="4"/>
      <c r="TLY2" s="4"/>
      <c r="TLZ2" s="4"/>
      <c r="TMA2" s="4"/>
      <c r="TMB2" s="4"/>
      <c r="TMC2" s="4"/>
      <c r="TMD2" s="4"/>
      <c r="TME2" s="4"/>
      <c r="TMF2" s="4"/>
      <c r="TMG2" s="4"/>
      <c r="TMH2" s="4"/>
      <c r="TMI2" s="4"/>
      <c r="TMJ2" s="4"/>
      <c r="TMK2" s="4"/>
      <c r="TML2" s="4"/>
      <c r="TMM2" s="4"/>
      <c r="TMN2" s="4"/>
      <c r="TMO2" s="4"/>
      <c r="TMP2" s="4"/>
      <c r="TMQ2" s="4"/>
      <c r="TMR2" s="4"/>
      <c r="TMS2" s="4"/>
      <c r="TMT2" s="4"/>
      <c r="TMU2" s="4"/>
      <c r="TMV2" s="4"/>
      <c r="TMW2" s="4"/>
      <c r="TMX2" s="4"/>
      <c r="TMY2" s="4"/>
      <c r="TMZ2" s="4"/>
      <c r="TNA2" s="4"/>
      <c r="TNB2" s="4"/>
      <c r="TNC2" s="4"/>
      <c r="TND2" s="4"/>
      <c r="TNE2" s="4"/>
      <c r="TNF2" s="4"/>
      <c r="TNG2" s="4"/>
      <c r="TNH2" s="4"/>
      <c r="TNI2" s="4"/>
      <c r="TNJ2" s="4"/>
      <c r="TNK2" s="4"/>
      <c r="TNL2" s="4"/>
      <c r="TNM2" s="4"/>
      <c r="TNN2" s="4"/>
      <c r="TNO2" s="4"/>
      <c r="TNP2" s="4"/>
      <c r="TNQ2" s="4"/>
      <c r="TNR2" s="4"/>
      <c r="TNS2" s="4"/>
      <c r="TNT2" s="4"/>
      <c r="TNU2" s="4"/>
      <c r="TNV2" s="4"/>
      <c r="TNW2" s="4"/>
      <c r="TNX2" s="4"/>
      <c r="TNY2" s="4"/>
      <c r="TNZ2" s="4"/>
      <c r="TOA2" s="4"/>
      <c r="TOB2" s="4"/>
      <c r="TOC2" s="4"/>
      <c r="TOD2" s="4"/>
      <c r="TOE2" s="4"/>
      <c r="TOF2" s="4"/>
      <c r="TOG2" s="4"/>
      <c r="TOH2" s="4"/>
      <c r="TOI2" s="4"/>
      <c r="TOJ2" s="4"/>
      <c r="TOK2" s="4"/>
      <c r="TOL2" s="4"/>
      <c r="TOM2" s="4"/>
      <c r="TON2" s="4"/>
      <c r="TOO2" s="4"/>
      <c r="TOP2" s="4"/>
      <c r="TOQ2" s="4"/>
      <c r="TOR2" s="4"/>
      <c r="TOS2" s="4"/>
      <c r="TOT2" s="4"/>
      <c r="TOU2" s="4"/>
      <c r="TOV2" s="4"/>
      <c r="TOW2" s="4"/>
      <c r="TOX2" s="4"/>
      <c r="TOY2" s="4"/>
      <c r="TOZ2" s="4"/>
      <c r="TPA2" s="4"/>
      <c r="TPB2" s="4"/>
      <c r="TPC2" s="4"/>
      <c r="TPD2" s="4"/>
      <c r="TPE2" s="4"/>
      <c r="TPF2" s="4"/>
      <c r="TPG2" s="4"/>
      <c r="TPH2" s="4"/>
      <c r="TPI2" s="4"/>
      <c r="TPJ2" s="4"/>
      <c r="TPK2" s="4"/>
      <c r="TPL2" s="4"/>
      <c r="TPM2" s="4"/>
      <c r="TPN2" s="4"/>
      <c r="TPO2" s="4"/>
      <c r="TPP2" s="4"/>
      <c r="TPQ2" s="4"/>
      <c r="TPR2" s="4"/>
      <c r="TPS2" s="4"/>
      <c r="TPT2" s="4"/>
      <c r="TPU2" s="4"/>
      <c r="TPV2" s="4"/>
      <c r="TPW2" s="4"/>
      <c r="TPX2" s="4"/>
      <c r="TPY2" s="4"/>
      <c r="TPZ2" s="4"/>
      <c r="TQA2" s="4"/>
      <c r="TQB2" s="4"/>
      <c r="TQC2" s="4"/>
      <c r="TQD2" s="4"/>
      <c r="TQE2" s="4"/>
      <c r="TQF2" s="4"/>
      <c r="TQG2" s="4"/>
      <c r="TQH2" s="4"/>
      <c r="TQI2" s="4"/>
      <c r="TQJ2" s="4"/>
      <c r="TQK2" s="4"/>
      <c r="TQL2" s="4"/>
      <c r="TQM2" s="4"/>
      <c r="TQN2" s="4"/>
      <c r="TQO2" s="4"/>
      <c r="TQP2" s="4"/>
      <c r="TQQ2" s="4"/>
      <c r="TQR2" s="4"/>
      <c r="TQS2" s="4"/>
      <c r="TQT2" s="4"/>
      <c r="TQU2" s="4"/>
      <c r="TQV2" s="4"/>
      <c r="TQW2" s="4"/>
      <c r="TQX2" s="4"/>
      <c r="TQY2" s="4"/>
      <c r="TQZ2" s="4"/>
      <c r="TRA2" s="4"/>
      <c r="TRB2" s="4"/>
      <c r="TRC2" s="4"/>
      <c r="TRD2" s="4"/>
      <c r="TRE2" s="4"/>
      <c r="TRF2" s="4"/>
      <c r="TRG2" s="4"/>
      <c r="TRH2" s="4"/>
      <c r="TRI2" s="4"/>
      <c r="TRJ2" s="4"/>
      <c r="TRK2" s="4"/>
      <c r="TRL2" s="4"/>
      <c r="TRM2" s="4"/>
      <c r="TRN2" s="4"/>
      <c r="TRO2" s="4"/>
      <c r="TRP2" s="4"/>
      <c r="TRQ2" s="4"/>
      <c r="TRR2" s="4"/>
      <c r="TRS2" s="4"/>
      <c r="TRT2" s="4"/>
      <c r="TRU2" s="4"/>
      <c r="TRV2" s="4"/>
      <c r="TRW2" s="4"/>
      <c r="TRX2" s="4"/>
      <c r="TRY2" s="4"/>
      <c r="TRZ2" s="4"/>
      <c r="TSA2" s="4"/>
      <c r="TSB2" s="4"/>
      <c r="TSC2" s="4"/>
      <c r="TSD2" s="4"/>
      <c r="TSE2" s="4"/>
      <c r="TSF2" s="4"/>
      <c r="TSG2" s="4"/>
      <c r="TSH2" s="4"/>
      <c r="TSI2" s="4"/>
      <c r="TSJ2" s="4"/>
      <c r="TSK2" s="4"/>
      <c r="TSL2" s="4"/>
      <c r="TSM2" s="4"/>
      <c r="TSN2" s="4"/>
      <c r="TSO2" s="4"/>
      <c r="TSP2" s="4"/>
      <c r="TSQ2" s="4"/>
      <c r="TSR2" s="4"/>
      <c r="TSS2" s="4"/>
      <c r="TST2" s="4"/>
      <c r="TSU2" s="4"/>
      <c r="TSV2" s="4"/>
      <c r="TSW2" s="4"/>
      <c r="TSX2" s="4"/>
      <c r="TSY2" s="4"/>
      <c r="TSZ2" s="4"/>
      <c r="TTA2" s="4"/>
      <c r="TTB2" s="4"/>
      <c r="TTC2" s="4"/>
      <c r="TTD2" s="4"/>
      <c r="TTE2" s="4"/>
      <c r="TTF2" s="4"/>
      <c r="TTG2" s="4"/>
      <c r="TTH2" s="4"/>
      <c r="TTI2" s="4"/>
      <c r="TTJ2" s="4"/>
      <c r="TTK2" s="4"/>
      <c r="TTL2" s="4"/>
      <c r="TTM2" s="4"/>
      <c r="TTN2" s="4"/>
      <c r="TTO2" s="4"/>
      <c r="TTP2" s="4"/>
      <c r="TTQ2" s="4"/>
      <c r="TTR2" s="4"/>
      <c r="TTS2" s="4"/>
      <c r="TTT2" s="4"/>
      <c r="TTU2" s="4"/>
      <c r="TTV2" s="4"/>
      <c r="TTW2" s="4"/>
      <c r="TTX2" s="4"/>
      <c r="TTY2" s="4"/>
      <c r="TTZ2" s="4"/>
      <c r="TUA2" s="4"/>
      <c r="TUB2" s="4"/>
      <c r="TUC2" s="4"/>
      <c r="TUD2" s="4"/>
      <c r="TUE2" s="4"/>
      <c r="TUF2" s="4"/>
      <c r="TUG2" s="4"/>
      <c r="TUH2" s="4"/>
      <c r="TUI2" s="4"/>
      <c r="TUJ2" s="4"/>
      <c r="TUK2" s="4"/>
      <c r="TUL2" s="4"/>
      <c r="TUM2" s="4"/>
      <c r="TUN2" s="4"/>
      <c r="TUO2" s="4"/>
      <c r="TUP2" s="4"/>
      <c r="TUQ2" s="4"/>
      <c r="TUR2" s="4"/>
      <c r="TUS2" s="4"/>
      <c r="TUT2" s="4"/>
      <c r="TUU2" s="4"/>
      <c r="TUV2" s="4"/>
      <c r="TUW2" s="4"/>
      <c r="TUX2" s="4"/>
      <c r="TUY2" s="4"/>
      <c r="TUZ2" s="4"/>
      <c r="TVA2" s="4"/>
      <c r="TVB2" s="4"/>
      <c r="TVC2" s="4"/>
      <c r="TVD2" s="4"/>
      <c r="TVE2" s="4"/>
      <c r="TVF2" s="4"/>
      <c r="TVG2" s="4"/>
      <c r="TVH2" s="4"/>
      <c r="TVI2" s="4"/>
      <c r="TVJ2" s="4"/>
      <c r="TVK2" s="4"/>
      <c r="TVL2" s="4"/>
      <c r="TVM2" s="4"/>
      <c r="TVN2" s="4"/>
      <c r="TVO2" s="4"/>
      <c r="TVP2" s="4"/>
      <c r="TVQ2" s="4"/>
      <c r="TVR2" s="4"/>
      <c r="TVS2" s="4"/>
      <c r="TVT2" s="4"/>
      <c r="TVU2" s="4"/>
      <c r="TVV2" s="4"/>
      <c r="TVW2" s="4"/>
      <c r="TVX2" s="4"/>
      <c r="TVY2" s="4"/>
      <c r="TVZ2" s="4"/>
      <c r="TWA2" s="4"/>
      <c r="TWB2" s="4"/>
      <c r="TWC2" s="4"/>
      <c r="TWD2" s="4"/>
      <c r="TWE2" s="4"/>
      <c r="TWF2" s="4"/>
      <c r="TWG2" s="4"/>
      <c r="TWH2" s="4"/>
      <c r="TWI2" s="4"/>
      <c r="TWJ2" s="4"/>
      <c r="TWK2" s="4"/>
      <c r="TWL2" s="4"/>
      <c r="TWM2" s="4"/>
      <c r="TWN2" s="4"/>
      <c r="TWO2" s="4"/>
      <c r="TWP2" s="4"/>
      <c r="TWQ2" s="4"/>
      <c r="TWR2" s="4"/>
      <c r="TWS2" s="4"/>
      <c r="TWT2" s="4"/>
      <c r="TWU2" s="4"/>
      <c r="TWV2" s="4"/>
      <c r="TWW2" s="4"/>
      <c r="TWX2" s="4"/>
      <c r="TWY2" s="4"/>
      <c r="TWZ2" s="4"/>
      <c r="TXA2" s="4"/>
      <c r="TXB2" s="4"/>
      <c r="TXC2" s="4"/>
      <c r="TXD2" s="4"/>
      <c r="TXE2" s="4"/>
      <c r="TXF2" s="4"/>
      <c r="TXG2" s="4"/>
      <c r="TXH2" s="4"/>
      <c r="TXI2" s="4"/>
      <c r="TXJ2" s="4"/>
      <c r="TXK2" s="4"/>
      <c r="TXL2" s="4"/>
      <c r="TXM2" s="4"/>
      <c r="TXN2" s="4"/>
      <c r="TXO2" s="4"/>
      <c r="TXP2" s="4"/>
      <c r="TXQ2" s="4"/>
      <c r="TXR2" s="4"/>
      <c r="TXS2" s="4"/>
      <c r="TXT2" s="4"/>
      <c r="TXU2" s="4"/>
      <c r="TXV2" s="4"/>
      <c r="TXW2" s="4"/>
      <c r="TXX2" s="4"/>
      <c r="TXY2" s="4"/>
      <c r="TXZ2" s="4"/>
      <c r="TYA2" s="4"/>
      <c r="TYB2" s="4"/>
      <c r="TYC2" s="4"/>
      <c r="TYD2" s="4"/>
      <c r="TYE2" s="4"/>
      <c r="TYF2" s="4"/>
      <c r="TYG2" s="4"/>
      <c r="TYH2" s="4"/>
      <c r="TYI2" s="4"/>
      <c r="TYJ2" s="4"/>
      <c r="TYK2" s="4"/>
      <c r="TYL2" s="4"/>
      <c r="TYM2" s="4"/>
      <c r="TYN2" s="4"/>
      <c r="TYO2" s="4"/>
      <c r="TYP2" s="4"/>
      <c r="TYQ2" s="4"/>
      <c r="TYR2" s="4"/>
      <c r="TYS2" s="4"/>
      <c r="TYT2" s="4"/>
      <c r="TYU2" s="4"/>
      <c r="TYV2" s="4"/>
      <c r="TYW2" s="4"/>
      <c r="TYX2" s="4"/>
      <c r="TYY2" s="4"/>
      <c r="TYZ2" s="4"/>
      <c r="TZA2" s="4"/>
      <c r="TZB2" s="4"/>
      <c r="TZC2" s="4"/>
      <c r="TZD2" s="4"/>
      <c r="TZE2" s="4"/>
      <c r="TZF2" s="4"/>
      <c r="TZG2" s="4"/>
      <c r="TZH2" s="4"/>
      <c r="TZI2" s="4"/>
      <c r="TZJ2" s="4"/>
      <c r="TZK2" s="4"/>
      <c r="TZL2" s="4"/>
      <c r="TZM2" s="4"/>
      <c r="TZN2" s="4"/>
      <c r="TZO2" s="4"/>
      <c r="TZP2" s="4"/>
      <c r="TZQ2" s="4"/>
      <c r="TZR2" s="4"/>
      <c r="TZS2" s="4"/>
      <c r="TZT2" s="4"/>
      <c r="TZU2" s="4"/>
      <c r="TZV2" s="4"/>
      <c r="TZW2" s="4"/>
      <c r="TZX2" s="4"/>
      <c r="TZY2" s="4"/>
      <c r="TZZ2" s="4"/>
      <c r="UAA2" s="4"/>
      <c r="UAB2" s="4"/>
      <c r="UAC2" s="4"/>
      <c r="UAD2" s="4"/>
      <c r="UAE2" s="4"/>
      <c r="UAF2" s="4"/>
      <c r="UAG2" s="4"/>
      <c r="UAH2" s="4"/>
      <c r="UAI2" s="4"/>
      <c r="UAJ2" s="4"/>
      <c r="UAK2" s="4"/>
      <c r="UAL2" s="4"/>
      <c r="UAM2" s="4"/>
      <c r="UAN2" s="4"/>
      <c r="UAO2" s="4"/>
      <c r="UAP2" s="4"/>
      <c r="UAQ2" s="4"/>
      <c r="UAR2" s="4"/>
      <c r="UAS2" s="4"/>
      <c r="UAT2" s="4"/>
      <c r="UAU2" s="4"/>
      <c r="UAV2" s="4"/>
      <c r="UAW2" s="4"/>
      <c r="UAX2" s="4"/>
      <c r="UAY2" s="4"/>
      <c r="UAZ2" s="4"/>
      <c r="UBA2" s="4"/>
      <c r="UBB2" s="4"/>
      <c r="UBC2" s="4"/>
      <c r="UBD2" s="4"/>
      <c r="UBE2" s="4"/>
      <c r="UBF2" s="4"/>
      <c r="UBG2" s="4"/>
      <c r="UBH2" s="4"/>
      <c r="UBI2" s="4"/>
      <c r="UBJ2" s="4"/>
      <c r="UBK2" s="4"/>
      <c r="UBL2" s="4"/>
      <c r="UBM2" s="4"/>
      <c r="UBN2" s="4"/>
      <c r="UBO2" s="4"/>
      <c r="UBP2" s="4"/>
      <c r="UBQ2" s="4"/>
      <c r="UBR2" s="4"/>
      <c r="UBS2" s="4"/>
      <c r="UBT2" s="4"/>
      <c r="UBU2" s="4"/>
      <c r="UBV2" s="4"/>
      <c r="UBW2" s="4"/>
      <c r="UBX2" s="4"/>
      <c r="UBY2" s="4"/>
      <c r="UBZ2" s="4"/>
      <c r="UCA2" s="4"/>
      <c r="UCB2" s="4"/>
      <c r="UCC2" s="4"/>
      <c r="UCD2" s="4"/>
      <c r="UCE2" s="4"/>
      <c r="UCF2" s="4"/>
      <c r="UCG2" s="4"/>
      <c r="UCH2" s="4"/>
      <c r="UCI2" s="4"/>
      <c r="UCJ2" s="4"/>
      <c r="UCK2" s="4"/>
      <c r="UCL2" s="4"/>
      <c r="UCM2" s="4"/>
      <c r="UCN2" s="4"/>
      <c r="UCO2" s="4"/>
      <c r="UCP2" s="4"/>
      <c r="UCQ2" s="4"/>
      <c r="UCR2" s="4"/>
      <c r="UCS2" s="4"/>
      <c r="UCT2" s="4"/>
      <c r="UCU2" s="4"/>
      <c r="UCV2" s="4"/>
      <c r="UCW2" s="4"/>
      <c r="UCX2" s="4"/>
      <c r="UCY2" s="4"/>
      <c r="UCZ2" s="4"/>
      <c r="UDA2" s="4"/>
      <c r="UDB2" s="4"/>
      <c r="UDC2" s="4"/>
      <c r="UDD2" s="4"/>
      <c r="UDE2" s="4"/>
      <c r="UDF2" s="4"/>
      <c r="UDG2" s="4"/>
      <c r="UDH2" s="4"/>
      <c r="UDI2" s="4"/>
      <c r="UDJ2" s="4"/>
      <c r="UDK2" s="4"/>
      <c r="UDL2" s="4"/>
      <c r="UDM2" s="4"/>
      <c r="UDN2" s="4"/>
      <c r="UDO2" s="4"/>
      <c r="UDP2" s="4"/>
      <c r="UDQ2" s="4"/>
      <c r="UDR2" s="4"/>
      <c r="UDS2" s="4"/>
      <c r="UDT2" s="4"/>
      <c r="UDU2" s="4"/>
      <c r="UDV2" s="4"/>
      <c r="UDW2" s="4"/>
      <c r="UDX2" s="4"/>
      <c r="UDY2" s="4"/>
      <c r="UDZ2" s="4"/>
      <c r="UEA2" s="4"/>
      <c r="UEB2" s="4"/>
      <c r="UEC2" s="4"/>
      <c r="UED2" s="4"/>
      <c r="UEE2" s="4"/>
      <c r="UEF2" s="4"/>
      <c r="UEG2" s="4"/>
      <c r="UEH2" s="4"/>
      <c r="UEI2" s="4"/>
      <c r="UEJ2" s="4"/>
      <c r="UEK2" s="4"/>
      <c r="UEL2" s="4"/>
      <c r="UEM2" s="4"/>
      <c r="UEN2" s="4"/>
      <c r="UEO2" s="4"/>
      <c r="UEP2" s="4"/>
      <c r="UEQ2" s="4"/>
      <c r="UER2" s="4"/>
      <c r="UES2" s="4"/>
      <c r="UET2" s="4"/>
      <c r="UEU2" s="4"/>
      <c r="UEV2" s="4"/>
      <c r="UEW2" s="4"/>
      <c r="UEX2" s="4"/>
      <c r="UEY2" s="4"/>
      <c r="UEZ2" s="4"/>
      <c r="UFA2" s="4"/>
      <c r="UFB2" s="4"/>
      <c r="UFC2" s="4"/>
      <c r="UFD2" s="4"/>
      <c r="UFE2" s="4"/>
      <c r="UFF2" s="4"/>
      <c r="UFG2" s="4"/>
      <c r="UFH2" s="4"/>
      <c r="UFI2" s="4"/>
      <c r="UFJ2" s="4"/>
      <c r="UFK2" s="4"/>
      <c r="UFL2" s="4"/>
      <c r="UFM2" s="4"/>
      <c r="UFN2" s="4"/>
      <c r="UFO2" s="4"/>
      <c r="UFP2" s="4"/>
      <c r="UFQ2" s="4"/>
      <c r="UFR2" s="4"/>
      <c r="UFS2" s="4"/>
      <c r="UFT2" s="4"/>
      <c r="UFU2" s="4"/>
      <c r="UFV2" s="4"/>
      <c r="UFW2" s="4"/>
      <c r="UFX2" s="4"/>
      <c r="UFY2" s="4"/>
      <c r="UFZ2" s="4"/>
      <c r="UGA2" s="4"/>
      <c r="UGB2" s="4"/>
      <c r="UGC2" s="4"/>
      <c r="UGD2" s="4"/>
      <c r="UGE2" s="4"/>
      <c r="UGF2" s="4"/>
      <c r="UGG2" s="4"/>
      <c r="UGH2" s="4"/>
      <c r="UGI2" s="4"/>
      <c r="UGJ2" s="4"/>
      <c r="UGK2" s="4"/>
      <c r="UGL2" s="4"/>
      <c r="UGM2" s="4"/>
      <c r="UGN2" s="4"/>
      <c r="UGO2" s="4"/>
      <c r="UGP2" s="4"/>
      <c r="UGQ2" s="4"/>
      <c r="UGR2" s="4"/>
      <c r="UGS2" s="4"/>
      <c r="UGT2" s="4"/>
      <c r="UGU2" s="4"/>
      <c r="UGV2" s="4"/>
      <c r="UGW2" s="4"/>
      <c r="UGX2" s="4"/>
      <c r="UGY2" s="4"/>
      <c r="UGZ2" s="4"/>
      <c r="UHA2" s="4"/>
      <c r="UHB2" s="4"/>
      <c r="UHC2" s="4"/>
      <c r="UHD2" s="4"/>
      <c r="UHE2" s="4"/>
      <c r="UHF2" s="4"/>
      <c r="UHG2" s="4"/>
      <c r="UHH2" s="4"/>
      <c r="UHI2" s="4"/>
      <c r="UHJ2" s="4"/>
      <c r="UHK2" s="4"/>
      <c r="UHL2" s="4"/>
      <c r="UHM2" s="4"/>
      <c r="UHN2" s="4"/>
      <c r="UHO2" s="4"/>
      <c r="UHP2" s="4"/>
      <c r="UHQ2" s="4"/>
      <c r="UHR2" s="4"/>
      <c r="UHS2" s="4"/>
      <c r="UHT2" s="4"/>
      <c r="UHU2" s="4"/>
      <c r="UHV2" s="4"/>
      <c r="UHW2" s="4"/>
      <c r="UHX2" s="4"/>
      <c r="UHY2" s="4"/>
      <c r="UHZ2" s="4"/>
      <c r="UIA2" s="4"/>
      <c r="UIB2" s="4"/>
      <c r="UIC2" s="4"/>
      <c r="UID2" s="4"/>
      <c r="UIE2" s="4"/>
      <c r="UIF2" s="4"/>
      <c r="UIG2" s="4"/>
      <c r="UIH2" s="4"/>
      <c r="UII2" s="4"/>
      <c r="UIJ2" s="4"/>
      <c r="UIK2" s="4"/>
      <c r="UIL2" s="4"/>
      <c r="UIM2" s="4"/>
      <c r="UIN2" s="4"/>
      <c r="UIO2" s="4"/>
      <c r="UIP2" s="4"/>
      <c r="UIQ2" s="4"/>
      <c r="UIR2" s="4"/>
      <c r="UIS2" s="4"/>
      <c r="UIT2" s="4"/>
      <c r="UIU2" s="4"/>
      <c r="UIV2" s="4"/>
      <c r="UIW2" s="4"/>
      <c r="UIX2" s="4"/>
      <c r="UIY2" s="4"/>
      <c r="UIZ2" s="4"/>
      <c r="UJA2" s="4"/>
      <c r="UJB2" s="4"/>
      <c r="UJC2" s="4"/>
      <c r="UJD2" s="4"/>
      <c r="UJE2" s="4"/>
      <c r="UJF2" s="4"/>
      <c r="UJG2" s="4"/>
      <c r="UJH2" s="4"/>
      <c r="UJI2" s="4"/>
      <c r="UJJ2" s="4"/>
      <c r="UJK2" s="4"/>
      <c r="UJL2" s="4"/>
      <c r="UJM2" s="4"/>
      <c r="UJN2" s="4"/>
      <c r="UJO2" s="4"/>
      <c r="UJP2" s="4"/>
      <c r="UJQ2" s="4"/>
      <c r="UJR2" s="4"/>
      <c r="UJS2" s="4"/>
      <c r="UJT2" s="4"/>
      <c r="UJU2" s="4"/>
      <c r="UJV2" s="4"/>
      <c r="UJW2" s="4"/>
      <c r="UJX2" s="4"/>
      <c r="UJY2" s="4"/>
      <c r="UJZ2" s="4"/>
      <c r="UKA2" s="4"/>
      <c r="UKB2" s="4"/>
      <c r="UKC2" s="4"/>
      <c r="UKD2" s="4"/>
      <c r="UKE2" s="4"/>
      <c r="UKF2" s="4"/>
      <c r="UKG2" s="4"/>
      <c r="UKH2" s="4"/>
      <c r="UKI2" s="4"/>
      <c r="UKJ2" s="4"/>
      <c r="UKK2" s="4"/>
      <c r="UKL2" s="4"/>
      <c r="UKM2" s="4"/>
      <c r="UKN2" s="4"/>
      <c r="UKO2" s="4"/>
      <c r="UKP2" s="4"/>
      <c r="UKQ2" s="4"/>
      <c r="UKR2" s="4"/>
      <c r="UKS2" s="4"/>
      <c r="UKT2" s="4"/>
      <c r="UKU2" s="4"/>
      <c r="UKV2" s="4"/>
      <c r="UKW2" s="4"/>
      <c r="UKX2" s="4"/>
      <c r="UKY2" s="4"/>
      <c r="UKZ2" s="4"/>
      <c r="ULA2" s="4"/>
      <c r="ULB2" s="4"/>
      <c r="ULC2" s="4"/>
      <c r="ULD2" s="4"/>
      <c r="ULE2" s="4"/>
      <c r="ULF2" s="4"/>
      <c r="ULG2" s="4"/>
      <c r="ULH2" s="4"/>
      <c r="ULI2" s="4"/>
      <c r="ULJ2" s="4"/>
      <c r="ULK2" s="4"/>
      <c r="ULL2" s="4"/>
      <c r="ULM2" s="4"/>
      <c r="ULN2" s="4"/>
      <c r="ULO2" s="4"/>
      <c r="ULP2" s="4"/>
      <c r="ULQ2" s="4"/>
      <c r="ULR2" s="4"/>
      <c r="ULS2" s="4"/>
      <c r="ULT2" s="4"/>
      <c r="ULU2" s="4"/>
      <c r="ULV2" s="4"/>
      <c r="ULW2" s="4"/>
      <c r="ULX2" s="4"/>
      <c r="ULY2" s="4"/>
      <c r="ULZ2" s="4"/>
      <c r="UMA2" s="4"/>
      <c r="UMB2" s="4"/>
      <c r="UMC2" s="4"/>
      <c r="UMD2" s="4"/>
      <c r="UME2" s="4"/>
      <c r="UMF2" s="4"/>
      <c r="UMG2" s="4"/>
      <c r="UMH2" s="4"/>
      <c r="UMI2" s="4"/>
      <c r="UMJ2" s="4"/>
      <c r="UMK2" s="4"/>
      <c r="UML2" s="4"/>
      <c r="UMM2" s="4"/>
      <c r="UMN2" s="4"/>
      <c r="UMO2" s="4"/>
      <c r="UMP2" s="4"/>
      <c r="UMQ2" s="4"/>
      <c r="UMR2" s="4"/>
      <c r="UMS2" s="4"/>
      <c r="UMT2" s="4"/>
      <c r="UMU2" s="4"/>
      <c r="UMV2" s="4"/>
      <c r="UMW2" s="4"/>
      <c r="UMX2" s="4"/>
      <c r="UMY2" s="4"/>
      <c r="UMZ2" s="4"/>
      <c r="UNA2" s="4"/>
      <c r="UNB2" s="4"/>
      <c r="UNC2" s="4"/>
      <c r="UND2" s="4"/>
      <c r="UNE2" s="4"/>
      <c r="UNF2" s="4"/>
      <c r="UNG2" s="4"/>
      <c r="UNH2" s="4"/>
      <c r="UNI2" s="4"/>
      <c r="UNJ2" s="4"/>
      <c r="UNK2" s="4"/>
      <c r="UNL2" s="4"/>
      <c r="UNM2" s="4"/>
      <c r="UNN2" s="4"/>
      <c r="UNO2" s="4"/>
      <c r="UNP2" s="4"/>
      <c r="UNQ2" s="4"/>
      <c r="UNR2" s="4"/>
      <c r="UNS2" s="4"/>
      <c r="UNT2" s="4"/>
      <c r="UNU2" s="4"/>
      <c r="UNV2" s="4"/>
      <c r="UNW2" s="4"/>
      <c r="UNX2" s="4"/>
      <c r="UNY2" s="4"/>
      <c r="UNZ2" s="4"/>
      <c r="UOA2" s="4"/>
      <c r="UOB2" s="4"/>
      <c r="UOC2" s="4"/>
      <c r="UOD2" s="4"/>
      <c r="UOE2" s="4"/>
      <c r="UOF2" s="4"/>
      <c r="UOG2" s="4"/>
      <c r="UOH2" s="4"/>
      <c r="UOI2" s="4"/>
      <c r="UOJ2" s="4"/>
      <c r="UOK2" s="4"/>
      <c r="UOL2" s="4"/>
      <c r="UOM2" s="4"/>
      <c r="UON2" s="4"/>
      <c r="UOO2" s="4"/>
      <c r="UOP2" s="4"/>
      <c r="UOQ2" s="4"/>
      <c r="UOR2" s="4"/>
      <c r="UOS2" s="4"/>
      <c r="UOT2" s="4"/>
      <c r="UOU2" s="4"/>
      <c r="UOV2" s="4"/>
      <c r="UOW2" s="4"/>
      <c r="UOX2" s="4"/>
      <c r="UOY2" s="4"/>
      <c r="UOZ2" s="4"/>
      <c r="UPA2" s="4"/>
      <c r="UPB2" s="4"/>
      <c r="UPC2" s="4"/>
      <c r="UPD2" s="4"/>
      <c r="UPE2" s="4"/>
      <c r="UPF2" s="4"/>
      <c r="UPG2" s="4"/>
      <c r="UPH2" s="4"/>
      <c r="UPI2" s="4"/>
      <c r="UPJ2" s="4"/>
      <c r="UPK2" s="4"/>
      <c r="UPL2" s="4"/>
      <c r="UPM2" s="4"/>
      <c r="UPN2" s="4"/>
      <c r="UPO2" s="4"/>
      <c r="UPP2" s="4"/>
      <c r="UPQ2" s="4"/>
      <c r="UPR2" s="4"/>
      <c r="UPS2" s="4"/>
      <c r="UPT2" s="4"/>
      <c r="UPU2" s="4"/>
      <c r="UPV2" s="4"/>
      <c r="UPW2" s="4"/>
      <c r="UPX2" s="4"/>
      <c r="UPY2" s="4"/>
      <c r="UPZ2" s="4"/>
      <c r="UQA2" s="4"/>
      <c r="UQB2" s="4"/>
      <c r="UQC2" s="4"/>
      <c r="UQD2" s="4"/>
      <c r="UQE2" s="4"/>
      <c r="UQF2" s="4"/>
      <c r="UQG2" s="4"/>
      <c r="UQH2" s="4"/>
      <c r="UQI2" s="4"/>
      <c r="UQJ2" s="4"/>
      <c r="UQK2" s="4"/>
      <c r="UQL2" s="4"/>
      <c r="UQM2" s="4"/>
      <c r="UQN2" s="4"/>
      <c r="UQO2" s="4"/>
      <c r="UQP2" s="4"/>
      <c r="UQQ2" s="4"/>
      <c r="UQR2" s="4"/>
      <c r="UQS2" s="4"/>
      <c r="UQT2" s="4"/>
      <c r="UQU2" s="4"/>
      <c r="UQV2" s="4"/>
      <c r="UQW2" s="4"/>
      <c r="UQX2" s="4"/>
      <c r="UQY2" s="4"/>
      <c r="UQZ2" s="4"/>
      <c r="URA2" s="4"/>
      <c r="URB2" s="4"/>
      <c r="URC2" s="4"/>
      <c r="URD2" s="4"/>
      <c r="URE2" s="4"/>
      <c r="URF2" s="4"/>
      <c r="URG2" s="4"/>
      <c r="URH2" s="4"/>
      <c r="URI2" s="4"/>
      <c r="URJ2" s="4"/>
      <c r="URK2" s="4"/>
      <c r="URL2" s="4"/>
      <c r="URM2" s="4"/>
      <c r="URN2" s="4"/>
      <c r="URO2" s="4"/>
      <c r="URP2" s="4"/>
      <c r="URQ2" s="4"/>
      <c r="URR2" s="4"/>
      <c r="URS2" s="4"/>
      <c r="URT2" s="4"/>
      <c r="URU2" s="4"/>
      <c r="URV2" s="4"/>
      <c r="URW2" s="4"/>
      <c r="URX2" s="4"/>
      <c r="URY2" s="4"/>
      <c r="URZ2" s="4"/>
      <c r="USA2" s="4"/>
      <c r="USB2" s="4"/>
      <c r="USC2" s="4"/>
      <c r="USD2" s="4"/>
      <c r="USE2" s="4"/>
      <c r="USF2" s="4"/>
      <c r="USG2" s="4"/>
      <c r="USH2" s="4"/>
      <c r="USI2" s="4"/>
      <c r="USJ2" s="4"/>
      <c r="USK2" s="4"/>
      <c r="USL2" s="4"/>
      <c r="USM2" s="4"/>
      <c r="USN2" s="4"/>
      <c r="USO2" s="4"/>
      <c r="USP2" s="4"/>
      <c r="USQ2" s="4"/>
      <c r="USR2" s="4"/>
      <c r="USS2" s="4"/>
      <c r="UST2" s="4"/>
      <c r="USU2" s="4"/>
      <c r="USV2" s="4"/>
      <c r="USW2" s="4"/>
      <c r="USX2" s="4"/>
      <c r="USY2" s="4"/>
      <c r="USZ2" s="4"/>
      <c r="UTA2" s="4"/>
      <c r="UTB2" s="4"/>
      <c r="UTC2" s="4"/>
      <c r="UTD2" s="4"/>
      <c r="UTE2" s="4"/>
      <c r="UTF2" s="4"/>
      <c r="UTG2" s="4"/>
      <c r="UTH2" s="4"/>
      <c r="UTI2" s="4"/>
      <c r="UTJ2" s="4"/>
      <c r="UTK2" s="4"/>
      <c r="UTL2" s="4"/>
      <c r="UTM2" s="4"/>
      <c r="UTN2" s="4"/>
      <c r="UTO2" s="4"/>
      <c r="UTP2" s="4"/>
      <c r="UTQ2" s="4"/>
      <c r="UTR2" s="4"/>
      <c r="UTS2" s="4"/>
      <c r="UTT2" s="4"/>
      <c r="UTU2" s="4"/>
      <c r="UTV2" s="4"/>
      <c r="UTW2" s="4"/>
      <c r="UTX2" s="4"/>
      <c r="UTY2" s="4"/>
      <c r="UTZ2" s="4"/>
      <c r="UUA2" s="4"/>
      <c r="UUB2" s="4"/>
      <c r="UUC2" s="4"/>
      <c r="UUD2" s="4"/>
      <c r="UUE2" s="4"/>
      <c r="UUF2" s="4"/>
      <c r="UUG2" s="4"/>
      <c r="UUH2" s="4"/>
      <c r="UUI2" s="4"/>
      <c r="UUJ2" s="4"/>
      <c r="UUK2" s="4"/>
      <c r="UUL2" s="4"/>
      <c r="UUM2" s="4"/>
      <c r="UUN2" s="4"/>
      <c r="UUO2" s="4"/>
      <c r="UUP2" s="4"/>
      <c r="UUQ2" s="4"/>
      <c r="UUR2" s="4"/>
      <c r="UUS2" s="4"/>
      <c r="UUT2" s="4"/>
      <c r="UUU2" s="4"/>
      <c r="UUV2" s="4"/>
      <c r="UUW2" s="4"/>
      <c r="UUX2" s="4"/>
      <c r="UUY2" s="4"/>
      <c r="UUZ2" s="4"/>
      <c r="UVA2" s="4"/>
      <c r="UVB2" s="4"/>
      <c r="UVC2" s="4"/>
      <c r="UVD2" s="4"/>
      <c r="UVE2" s="4"/>
      <c r="UVF2" s="4"/>
      <c r="UVG2" s="4"/>
      <c r="UVH2" s="4"/>
      <c r="UVI2" s="4"/>
      <c r="UVJ2" s="4"/>
      <c r="UVK2" s="4"/>
      <c r="UVL2" s="4"/>
      <c r="UVM2" s="4"/>
      <c r="UVN2" s="4"/>
      <c r="UVO2" s="4"/>
      <c r="UVP2" s="4"/>
      <c r="UVQ2" s="4"/>
      <c r="UVR2" s="4"/>
      <c r="UVS2" s="4"/>
      <c r="UVT2" s="4"/>
      <c r="UVU2" s="4"/>
      <c r="UVV2" s="4"/>
      <c r="UVW2" s="4"/>
      <c r="UVX2" s="4"/>
      <c r="UVY2" s="4"/>
      <c r="UVZ2" s="4"/>
      <c r="UWA2" s="4"/>
      <c r="UWB2" s="4"/>
      <c r="UWC2" s="4"/>
      <c r="UWD2" s="4"/>
      <c r="UWE2" s="4"/>
      <c r="UWF2" s="4"/>
      <c r="UWG2" s="4"/>
      <c r="UWH2" s="4"/>
      <c r="UWI2" s="4"/>
      <c r="UWJ2" s="4"/>
      <c r="UWK2" s="4"/>
      <c r="UWL2" s="4"/>
      <c r="UWM2" s="4"/>
      <c r="UWN2" s="4"/>
      <c r="UWO2" s="4"/>
      <c r="UWP2" s="4"/>
      <c r="UWQ2" s="4"/>
      <c r="UWR2" s="4"/>
      <c r="UWS2" s="4"/>
      <c r="UWT2" s="4"/>
      <c r="UWU2" s="4"/>
      <c r="UWV2" s="4"/>
      <c r="UWW2" s="4"/>
      <c r="UWX2" s="4"/>
      <c r="UWY2" s="4"/>
      <c r="UWZ2" s="4"/>
      <c r="UXA2" s="4"/>
      <c r="UXB2" s="4"/>
      <c r="UXC2" s="4"/>
      <c r="UXD2" s="4"/>
      <c r="UXE2" s="4"/>
      <c r="UXF2" s="4"/>
      <c r="UXG2" s="4"/>
      <c r="UXH2" s="4"/>
      <c r="UXI2" s="4"/>
      <c r="UXJ2" s="4"/>
      <c r="UXK2" s="4"/>
      <c r="UXL2" s="4"/>
      <c r="UXM2" s="4"/>
      <c r="UXN2" s="4"/>
      <c r="UXO2" s="4"/>
      <c r="UXP2" s="4"/>
      <c r="UXQ2" s="4"/>
      <c r="UXR2" s="4"/>
      <c r="UXS2" s="4"/>
      <c r="UXT2" s="4"/>
      <c r="UXU2" s="4"/>
      <c r="UXV2" s="4"/>
      <c r="UXW2" s="4"/>
      <c r="UXX2" s="4"/>
      <c r="UXY2" s="4"/>
      <c r="UXZ2" s="4"/>
      <c r="UYA2" s="4"/>
      <c r="UYB2" s="4"/>
      <c r="UYC2" s="4"/>
      <c r="UYD2" s="4"/>
      <c r="UYE2" s="4"/>
      <c r="UYF2" s="4"/>
      <c r="UYG2" s="4"/>
      <c r="UYH2" s="4"/>
      <c r="UYI2" s="4"/>
      <c r="UYJ2" s="4"/>
      <c r="UYK2" s="4"/>
      <c r="UYL2" s="4"/>
      <c r="UYM2" s="4"/>
      <c r="UYN2" s="4"/>
      <c r="UYO2" s="4"/>
      <c r="UYP2" s="4"/>
      <c r="UYQ2" s="4"/>
      <c r="UYR2" s="4"/>
      <c r="UYS2" s="4"/>
      <c r="UYT2" s="4"/>
      <c r="UYU2" s="4"/>
      <c r="UYV2" s="4"/>
      <c r="UYW2" s="4"/>
      <c r="UYX2" s="4"/>
      <c r="UYY2" s="4"/>
      <c r="UYZ2" s="4"/>
      <c r="UZA2" s="4"/>
      <c r="UZB2" s="4"/>
      <c r="UZC2" s="4"/>
      <c r="UZD2" s="4"/>
      <c r="UZE2" s="4"/>
      <c r="UZF2" s="4"/>
      <c r="UZG2" s="4"/>
      <c r="UZH2" s="4"/>
      <c r="UZI2" s="4"/>
      <c r="UZJ2" s="4"/>
      <c r="UZK2" s="4"/>
      <c r="UZL2" s="4"/>
      <c r="UZM2" s="4"/>
      <c r="UZN2" s="4"/>
      <c r="UZO2" s="4"/>
      <c r="UZP2" s="4"/>
      <c r="UZQ2" s="4"/>
      <c r="UZR2" s="4"/>
      <c r="UZS2" s="4"/>
      <c r="UZT2" s="4"/>
      <c r="UZU2" s="4"/>
      <c r="UZV2" s="4"/>
      <c r="UZW2" s="4"/>
      <c r="UZX2" s="4"/>
      <c r="UZY2" s="4"/>
      <c r="UZZ2" s="4"/>
      <c r="VAA2" s="4"/>
      <c r="VAB2" s="4"/>
      <c r="VAC2" s="4"/>
      <c r="VAD2" s="4"/>
      <c r="VAE2" s="4"/>
      <c r="VAF2" s="4"/>
      <c r="VAG2" s="4"/>
      <c r="VAH2" s="4"/>
      <c r="VAI2" s="4"/>
      <c r="VAJ2" s="4"/>
      <c r="VAK2" s="4"/>
      <c r="VAL2" s="4"/>
      <c r="VAM2" s="4"/>
      <c r="VAN2" s="4"/>
      <c r="VAO2" s="4"/>
      <c r="VAP2" s="4"/>
      <c r="VAQ2" s="4"/>
      <c r="VAR2" s="4"/>
      <c r="VAS2" s="4"/>
      <c r="VAT2" s="4"/>
      <c r="VAU2" s="4"/>
      <c r="VAV2" s="4"/>
      <c r="VAW2" s="4"/>
      <c r="VAX2" s="4"/>
      <c r="VAY2" s="4"/>
      <c r="VAZ2" s="4"/>
      <c r="VBA2" s="4"/>
      <c r="VBB2" s="4"/>
      <c r="VBC2" s="4"/>
      <c r="VBD2" s="4"/>
      <c r="VBE2" s="4"/>
      <c r="VBF2" s="4"/>
      <c r="VBG2" s="4"/>
      <c r="VBH2" s="4"/>
      <c r="VBI2" s="4"/>
      <c r="VBJ2" s="4"/>
      <c r="VBK2" s="4"/>
      <c r="VBL2" s="4"/>
      <c r="VBM2" s="4"/>
      <c r="VBN2" s="4"/>
      <c r="VBO2" s="4"/>
      <c r="VBP2" s="4"/>
      <c r="VBQ2" s="4"/>
      <c r="VBR2" s="4"/>
      <c r="VBS2" s="4"/>
      <c r="VBT2" s="4"/>
      <c r="VBU2" s="4"/>
      <c r="VBV2" s="4"/>
      <c r="VBW2" s="4"/>
      <c r="VBX2" s="4"/>
      <c r="VBY2" s="4"/>
      <c r="VBZ2" s="4"/>
      <c r="VCA2" s="4"/>
      <c r="VCB2" s="4"/>
      <c r="VCC2" s="4"/>
      <c r="VCD2" s="4"/>
      <c r="VCE2" s="4"/>
      <c r="VCF2" s="4"/>
      <c r="VCG2" s="4"/>
      <c r="VCH2" s="4"/>
      <c r="VCI2" s="4"/>
      <c r="VCJ2" s="4"/>
      <c r="VCK2" s="4"/>
      <c r="VCL2" s="4"/>
      <c r="VCM2" s="4"/>
      <c r="VCN2" s="4"/>
      <c r="VCO2" s="4"/>
      <c r="VCP2" s="4"/>
      <c r="VCQ2" s="4"/>
      <c r="VCR2" s="4"/>
      <c r="VCS2" s="4"/>
      <c r="VCT2" s="4"/>
      <c r="VCU2" s="4"/>
      <c r="VCV2" s="4"/>
      <c r="VCW2" s="4"/>
      <c r="VCX2" s="4"/>
      <c r="VCY2" s="4"/>
      <c r="VCZ2" s="4"/>
      <c r="VDA2" s="4"/>
      <c r="VDB2" s="4"/>
      <c r="VDC2" s="4"/>
      <c r="VDD2" s="4"/>
      <c r="VDE2" s="4"/>
      <c r="VDF2" s="4"/>
      <c r="VDG2" s="4"/>
      <c r="VDH2" s="4"/>
      <c r="VDI2" s="4"/>
      <c r="VDJ2" s="4"/>
      <c r="VDK2" s="4"/>
      <c r="VDL2" s="4"/>
      <c r="VDM2" s="4"/>
      <c r="VDN2" s="4"/>
      <c r="VDO2" s="4"/>
      <c r="VDP2" s="4"/>
      <c r="VDQ2" s="4"/>
      <c r="VDR2" s="4"/>
      <c r="VDS2" s="4"/>
      <c r="VDT2" s="4"/>
      <c r="VDU2" s="4"/>
      <c r="VDV2" s="4"/>
      <c r="VDW2" s="4"/>
      <c r="VDX2" s="4"/>
      <c r="VDY2" s="4"/>
      <c r="VDZ2" s="4"/>
      <c r="VEA2" s="4"/>
      <c r="VEB2" s="4"/>
      <c r="VEC2" s="4"/>
      <c r="VED2" s="4"/>
      <c r="VEE2" s="4"/>
      <c r="VEF2" s="4"/>
      <c r="VEG2" s="4"/>
      <c r="VEH2" s="4"/>
      <c r="VEI2" s="4"/>
      <c r="VEJ2" s="4"/>
      <c r="VEK2" s="4"/>
      <c r="VEL2" s="4"/>
      <c r="VEM2" s="4"/>
      <c r="VEN2" s="4"/>
      <c r="VEO2" s="4"/>
      <c r="VEP2" s="4"/>
      <c r="VEQ2" s="4"/>
      <c r="VER2" s="4"/>
      <c r="VES2" s="4"/>
      <c r="VET2" s="4"/>
      <c r="VEU2" s="4"/>
      <c r="VEV2" s="4"/>
      <c r="VEW2" s="4"/>
      <c r="VEX2" s="4"/>
      <c r="VEY2" s="4"/>
      <c r="VEZ2" s="4"/>
      <c r="VFA2" s="4"/>
      <c r="VFB2" s="4"/>
      <c r="VFC2" s="4"/>
      <c r="VFD2" s="4"/>
      <c r="VFE2" s="4"/>
      <c r="VFF2" s="4"/>
      <c r="VFG2" s="4"/>
      <c r="VFH2" s="4"/>
      <c r="VFI2" s="4"/>
      <c r="VFJ2" s="4"/>
      <c r="VFK2" s="4"/>
      <c r="VFL2" s="4"/>
      <c r="VFM2" s="4"/>
      <c r="VFN2" s="4"/>
      <c r="VFO2" s="4"/>
      <c r="VFP2" s="4"/>
      <c r="VFQ2" s="4"/>
      <c r="VFR2" s="4"/>
      <c r="VFS2" s="4"/>
      <c r="VFT2" s="4"/>
      <c r="VFU2" s="4"/>
      <c r="VFV2" s="4"/>
      <c r="VFW2" s="4"/>
      <c r="VFX2" s="4"/>
      <c r="VFY2" s="4"/>
      <c r="VFZ2" s="4"/>
      <c r="VGA2" s="4"/>
      <c r="VGB2" s="4"/>
      <c r="VGC2" s="4"/>
      <c r="VGD2" s="4"/>
      <c r="VGE2" s="4"/>
      <c r="VGF2" s="4"/>
      <c r="VGG2" s="4"/>
      <c r="VGH2" s="4"/>
      <c r="VGI2" s="4"/>
      <c r="VGJ2" s="4"/>
      <c r="VGK2" s="4"/>
      <c r="VGL2" s="4"/>
      <c r="VGM2" s="4"/>
      <c r="VGN2" s="4"/>
      <c r="VGO2" s="4"/>
      <c r="VGP2" s="4"/>
      <c r="VGQ2" s="4"/>
      <c r="VGR2" s="4"/>
      <c r="VGS2" s="4"/>
      <c r="VGT2" s="4"/>
      <c r="VGU2" s="4"/>
      <c r="VGV2" s="4"/>
      <c r="VGW2" s="4"/>
      <c r="VGX2" s="4"/>
      <c r="VGY2" s="4"/>
      <c r="VGZ2" s="4"/>
      <c r="VHA2" s="4"/>
      <c r="VHB2" s="4"/>
      <c r="VHC2" s="4"/>
      <c r="VHD2" s="4"/>
      <c r="VHE2" s="4"/>
      <c r="VHF2" s="4"/>
      <c r="VHG2" s="4"/>
      <c r="VHH2" s="4"/>
      <c r="VHI2" s="4"/>
      <c r="VHJ2" s="4"/>
      <c r="VHK2" s="4"/>
      <c r="VHL2" s="4"/>
      <c r="VHM2" s="4"/>
      <c r="VHN2" s="4"/>
      <c r="VHO2" s="4"/>
      <c r="VHP2" s="4"/>
      <c r="VHQ2" s="4"/>
      <c r="VHR2" s="4"/>
      <c r="VHS2" s="4"/>
      <c r="VHT2" s="4"/>
      <c r="VHU2" s="4"/>
      <c r="VHV2" s="4"/>
      <c r="VHW2" s="4"/>
      <c r="VHX2" s="4"/>
      <c r="VHY2" s="4"/>
      <c r="VHZ2" s="4"/>
      <c r="VIA2" s="4"/>
      <c r="VIB2" s="4"/>
      <c r="VIC2" s="4"/>
      <c r="VID2" s="4"/>
      <c r="VIE2" s="4"/>
      <c r="VIF2" s="4"/>
      <c r="VIG2" s="4"/>
      <c r="VIH2" s="4"/>
      <c r="VII2" s="4"/>
      <c r="VIJ2" s="4"/>
      <c r="VIK2" s="4"/>
      <c r="VIL2" s="4"/>
      <c r="VIM2" s="4"/>
      <c r="VIN2" s="4"/>
      <c r="VIO2" s="4"/>
      <c r="VIP2" s="4"/>
      <c r="VIQ2" s="4"/>
      <c r="VIR2" s="4"/>
      <c r="VIS2" s="4"/>
      <c r="VIT2" s="4"/>
      <c r="VIU2" s="4"/>
      <c r="VIV2" s="4"/>
      <c r="VIW2" s="4"/>
      <c r="VIX2" s="4"/>
      <c r="VIY2" s="4"/>
      <c r="VIZ2" s="4"/>
      <c r="VJA2" s="4"/>
      <c r="VJB2" s="4"/>
      <c r="VJC2" s="4"/>
      <c r="VJD2" s="4"/>
      <c r="VJE2" s="4"/>
      <c r="VJF2" s="4"/>
      <c r="VJG2" s="4"/>
      <c r="VJH2" s="4"/>
      <c r="VJI2" s="4"/>
      <c r="VJJ2" s="4"/>
      <c r="VJK2" s="4"/>
      <c r="VJL2" s="4"/>
      <c r="VJM2" s="4"/>
      <c r="VJN2" s="4"/>
      <c r="VJO2" s="4"/>
      <c r="VJP2" s="4"/>
      <c r="VJQ2" s="4"/>
      <c r="VJR2" s="4"/>
      <c r="VJS2" s="4"/>
      <c r="VJT2" s="4"/>
      <c r="VJU2" s="4"/>
      <c r="VJV2" s="4"/>
      <c r="VJW2" s="4"/>
      <c r="VJX2" s="4"/>
      <c r="VJY2" s="4"/>
      <c r="VJZ2" s="4"/>
      <c r="VKA2" s="4"/>
      <c r="VKB2" s="4"/>
      <c r="VKC2" s="4"/>
      <c r="VKD2" s="4"/>
      <c r="VKE2" s="4"/>
      <c r="VKF2" s="4"/>
      <c r="VKG2" s="4"/>
      <c r="VKH2" s="4"/>
      <c r="VKI2" s="4"/>
      <c r="VKJ2" s="4"/>
      <c r="VKK2" s="4"/>
      <c r="VKL2" s="4"/>
      <c r="VKM2" s="4"/>
      <c r="VKN2" s="4"/>
      <c r="VKO2" s="4"/>
      <c r="VKP2" s="4"/>
      <c r="VKQ2" s="4"/>
      <c r="VKR2" s="4"/>
      <c r="VKS2" s="4"/>
      <c r="VKT2" s="4"/>
      <c r="VKU2" s="4"/>
      <c r="VKV2" s="4"/>
      <c r="VKW2" s="4"/>
      <c r="VKX2" s="4"/>
      <c r="VKY2" s="4"/>
      <c r="VKZ2" s="4"/>
      <c r="VLA2" s="4"/>
      <c r="VLB2" s="4"/>
      <c r="VLC2" s="4"/>
      <c r="VLD2" s="4"/>
      <c r="VLE2" s="4"/>
      <c r="VLF2" s="4"/>
      <c r="VLG2" s="4"/>
      <c r="VLH2" s="4"/>
      <c r="VLI2" s="4"/>
      <c r="VLJ2" s="4"/>
      <c r="VLK2" s="4"/>
      <c r="VLL2" s="4"/>
      <c r="VLM2" s="4"/>
      <c r="VLN2" s="4"/>
      <c r="VLO2" s="4"/>
      <c r="VLP2" s="4"/>
      <c r="VLQ2" s="4"/>
      <c r="VLR2" s="4"/>
      <c r="VLS2" s="4"/>
      <c r="VLT2" s="4"/>
      <c r="VLU2" s="4"/>
      <c r="VLV2" s="4"/>
      <c r="VLW2" s="4"/>
      <c r="VLX2" s="4"/>
      <c r="VLY2" s="4"/>
      <c r="VLZ2" s="4"/>
      <c r="VMA2" s="4"/>
      <c r="VMB2" s="4"/>
      <c r="VMC2" s="4"/>
      <c r="VMD2" s="4"/>
      <c r="VME2" s="4"/>
      <c r="VMF2" s="4"/>
      <c r="VMG2" s="4"/>
      <c r="VMH2" s="4"/>
      <c r="VMI2" s="4"/>
      <c r="VMJ2" s="4"/>
      <c r="VMK2" s="4"/>
      <c r="VML2" s="4"/>
      <c r="VMM2" s="4"/>
      <c r="VMN2" s="4"/>
      <c r="VMO2" s="4"/>
      <c r="VMP2" s="4"/>
      <c r="VMQ2" s="4"/>
      <c r="VMR2" s="4"/>
      <c r="VMS2" s="4"/>
      <c r="VMT2" s="4"/>
      <c r="VMU2" s="4"/>
      <c r="VMV2" s="4"/>
      <c r="VMW2" s="4"/>
      <c r="VMX2" s="4"/>
      <c r="VMY2" s="4"/>
      <c r="VMZ2" s="4"/>
      <c r="VNA2" s="4"/>
      <c r="VNB2" s="4"/>
      <c r="VNC2" s="4"/>
      <c r="VND2" s="4"/>
      <c r="VNE2" s="4"/>
      <c r="VNF2" s="4"/>
      <c r="VNG2" s="4"/>
      <c r="VNH2" s="4"/>
      <c r="VNI2" s="4"/>
      <c r="VNJ2" s="4"/>
      <c r="VNK2" s="4"/>
      <c r="VNL2" s="4"/>
      <c r="VNM2" s="4"/>
      <c r="VNN2" s="4"/>
      <c r="VNO2" s="4"/>
      <c r="VNP2" s="4"/>
      <c r="VNQ2" s="4"/>
      <c r="VNR2" s="4"/>
      <c r="VNS2" s="4"/>
      <c r="VNT2" s="4"/>
      <c r="VNU2" s="4"/>
      <c r="VNV2" s="4"/>
      <c r="VNW2" s="4"/>
      <c r="VNX2" s="4"/>
      <c r="VNY2" s="4"/>
      <c r="VNZ2" s="4"/>
      <c r="VOA2" s="4"/>
      <c r="VOB2" s="4"/>
      <c r="VOC2" s="4"/>
      <c r="VOD2" s="4"/>
      <c r="VOE2" s="4"/>
      <c r="VOF2" s="4"/>
      <c r="VOG2" s="4"/>
      <c r="VOH2" s="4"/>
      <c r="VOI2" s="4"/>
      <c r="VOJ2" s="4"/>
      <c r="VOK2" s="4"/>
      <c r="VOL2" s="4"/>
      <c r="VOM2" s="4"/>
      <c r="VON2" s="4"/>
      <c r="VOO2" s="4"/>
      <c r="VOP2" s="4"/>
      <c r="VOQ2" s="4"/>
      <c r="VOR2" s="4"/>
      <c r="VOS2" s="4"/>
      <c r="VOT2" s="4"/>
      <c r="VOU2" s="4"/>
      <c r="VOV2" s="4"/>
      <c r="VOW2" s="4"/>
      <c r="VOX2" s="4"/>
      <c r="VOY2" s="4"/>
      <c r="VOZ2" s="4"/>
      <c r="VPA2" s="4"/>
      <c r="VPB2" s="4"/>
      <c r="VPC2" s="4"/>
      <c r="VPD2" s="4"/>
      <c r="VPE2" s="4"/>
      <c r="VPF2" s="4"/>
      <c r="VPG2" s="4"/>
      <c r="VPH2" s="4"/>
      <c r="VPI2" s="4"/>
      <c r="VPJ2" s="4"/>
      <c r="VPK2" s="4"/>
      <c r="VPL2" s="4"/>
      <c r="VPM2" s="4"/>
      <c r="VPN2" s="4"/>
      <c r="VPO2" s="4"/>
      <c r="VPP2" s="4"/>
      <c r="VPQ2" s="4"/>
      <c r="VPR2" s="4"/>
      <c r="VPS2" s="4"/>
      <c r="VPT2" s="4"/>
      <c r="VPU2" s="4"/>
      <c r="VPV2" s="4"/>
      <c r="VPW2" s="4"/>
      <c r="VPX2" s="4"/>
      <c r="VPY2" s="4"/>
      <c r="VPZ2" s="4"/>
      <c r="VQA2" s="4"/>
      <c r="VQB2" s="4"/>
      <c r="VQC2" s="4"/>
      <c r="VQD2" s="4"/>
      <c r="VQE2" s="4"/>
      <c r="VQF2" s="4"/>
      <c r="VQG2" s="4"/>
      <c r="VQH2" s="4"/>
      <c r="VQI2" s="4"/>
      <c r="VQJ2" s="4"/>
      <c r="VQK2" s="4"/>
      <c r="VQL2" s="4"/>
      <c r="VQM2" s="4"/>
      <c r="VQN2" s="4"/>
      <c r="VQO2" s="4"/>
      <c r="VQP2" s="4"/>
      <c r="VQQ2" s="4"/>
      <c r="VQR2" s="4"/>
      <c r="VQS2" s="4"/>
      <c r="VQT2" s="4"/>
      <c r="VQU2" s="4"/>
      <c r="VQV2" s="4"/>
      <c r="VQW2" s="4"/>
      <c r="VQX2" s="4"/>
      <c r="VQY2" s="4"/>
      <c r="VQZ2" s="4"/>
      <c r="VRA2" s="4"/>
      <c r="VRB2" s="4"/>
      <c r="VRC2" s="4"/>
      <c r="VRD2" s="4"/>
      <c r="VRE2" s="4"/>
      <c r="VRF2" s="4"/>
      <c r="VRG2" s="4"/>
      <c r="VRH2" s="4"/>
      <c r="VRI2" s="4"/>
      <c r="VRJ2" s="4"/>
      <c r="VRK2" s="4"/>
      <c r="VRL2" s="4"/>
      <c r="VRM2" s="4"/>
      <c r="VRN2" s="4"/>
      <c r="VRO2" s="4"/>
      <c r="VRP2" s="4"/>
      <c r="VRQ2" s="4"/>
      <c r="VRR2" s="4"/>
      <c r="VRS2" s="4"/>
      <c r="VRT2" s="4"/>
      <c r="VRU2" s="4"/>
      <c r="VRV2" s="4"/>
      <c r="VRW2" s="4"/>
      <c r="VRX2" s="4"/>
      <c r="VRY2" s="4"/>
      <c r="VRZ2" s="4"/>
      <c r="VSA2" s="4"/>
      <c r="VSB2" s="4"/>
      <c r="VSC2" s="4"/>
      <c r="VSD2" s="4"/>
      <c r="VSE2" s="4"/>
      <c r="VSF2" s="4"/>
      <c r="VSG2" s="4"/>
      <c r="VSH2" s="4"/>
      <c r="VSI2" s="4"/>
      <c r="VSJ2" s="4"/>
      <c r="VSK2" s="4"/>
      <c r="VSL2" s="4"/>
      <c r="VSM2" s="4"/>
      <c r="VSN2" s="4"/>
      <c r="VSO2" s="4"/>
      <c r="VSP2" s="4"/>
      <c r="VSQ2" s="4"/>
      <c r="VSR2" s="4"/>
      <c r="VSS2" s="4"/>
      <c r="VST2" s="4"/>
      <c r="VSU2" s="4"/>
      <c r="VSV2" s="4"/>
      <c r="VSW2" s="4"/>
      <c r="VSX2" s="4"/>
      <c r="VSY2" s="4"/>
      <c r="VSZ2" s="4"/>
      <c r="VTA2" s="4"/>
      <c r="VTB2" s="4"/>
      <c r="VTC2" s="4"/>
      <c r="VTD2" s="4"/>
      <c r="VTE2" s="4"/>
      <c r="VTF2" s="4"/>
      <c r="VTG2" s="4"/>
      <c r="VTH2" s="4"/>
      <c r="VTI2" s="4"/>
      <c r="VTJ2" s="4"/>
      <c r="VTK2" s="4"/>
      <c r="VTL2" s="4"/>
      <c r="VTM2" s="4"/>
      <c r="VTN2" s="4"/>
      <c r="VTO2" s="4"/>
      <c r="VTP2" s="4"/>
      <c r="VTQ2" s="4"/>
      <c r="VTR2" s="4"/>
      <c r="VTS2" s="4"/>
      <c r="VTT2" s="4"/>
      <c r="VTU2" s="4"/>
      <c r="VTV2" s="4"/>
      <c r="VTW2" s="4"/>
      <c r="VTX2" s="4"/>
      <c r="VTY2" s="4"/>
      <c r="VTZ2" s="4"/>
      <c r="VUA2" s="4"/>
      <c r="VUB2" s="4"/>
      <c r="VUC2" s="4"/>
      <c r="VUD2" s="4"/>
      <c r="VUE2" s="4"/>
      <c r="VUF2" s="4"/>
      <c r="VUG2" s="4"/>
      <c r="VUH2" s="4"/>
      <c r="VUI2" s="4"/>
      <c r="VUJ2" s="4"/>
      <c r="VUK2" s="4"/>
      <c r="VUL2" s="4"/>
      <c r="VUM2" s="4"/>
      <c r="VUN2" s="4"/>
      <c r="VUO2" s="4"/>
      <c r="VUP2" s="4"/>
      <c r="VUQ2" s="4"/>
      <c r="VUR2" s="4"/>
      <c r="VUS2" s="4"/>
      <c r="VUT2" s="4"/>
      <c r="VUU2" s="4"/>
      <c r="VUV2" s="4"/>
      <c r="VUW2" s="4"/>
      <c r="VUX2" s="4"/>
      <c r="VUY2" s="4"/>
      <c r="VUZ2" s="4"/>
      <c r="VVA2" s="4"/>
      <c r="VVB2" s="4"/>
      <c r="VVC2" s="4"/>
      <c r="VVD2" s="4"/>
      <c r="VVE2" s="4"/>
      <c r="VVF2" s="4"/>
      <c r="VVG2" s="4"/>
      <c r="VVH2" s="4"/>
      <c r="VVI2" s="4"/>
      <c r="VVJ2" s="4"/>
      <c r="VVK2" s="4"/>
      <c r="VVL2" s="4"/>
      <c r="VVM2" s="4"/>
      <c r="VVN2" s="4"/>
      <c r="VVO2" s="4"/>
      <c r="VVP2" s="4"/>
      <c r="VVQ2" s="4"/>
      <c r="VVR2" s="4"/>
      <c r="VVS2" s="4"/>
      <c r="VVT2" s="4"/>
      <c r="VVU2" s="4"/>
      <c r="VVV2" s="4"/>
      <c r="VVW2" s="4"/>
      <c r="VVX2" s="4"/>
      <c r="VVY2" s="4"/>
      <c r="VVZ2" s="4"/>
      <c r="VWA2" s="4"/>
      <c r="VWB2" s="4"/>
      <c r="VWC2" s="4"/>
      <c r="VWD2" s="4"/>
      <c r="VWE2" s="4"/>
      <c r="VWF2" s="4"/>
      <c r="VWG2" s="4"/>
      <c r="VWH2" s="4"/>
      <c r="VWI2" s="4"/>
      <c r="VWJ2" s="4"/>
      <c r="VWK2" s="4"/>
      <c r="VWL2" s="4"/>
      <c r="VWM2" s="4"/>
      <c r="VWN2" s="4"/>
      <c r="VWO2" s="4"/>
      <c r="VWP2" s="4"/>
      <c r="VWQ2" s="4"/>
      <c r="VWR2" s="4"/>
      <c r="VWS2" s="4"/>
      <c r="VWT2" s="4"/>
      <c r="VWU2" s="4"/>
      <c r="VWV2" s="4"/>
      <c r="VWW2" s="4"/>
      <c r="VWX2" s="4"/>
      <c r="VWY2" s="4"/>
      <c r="VWZ2" s="4"/>
      <c r="VXA2" s="4"/>
      <c r="VXB2" s="4"/>
      <c r="VXC2" s="4"/>
      <c r="VXD2" s="4"/>
      <c r="VXE2" s="4"/>
      <c r="VXF2" s="4"/>
      <c r="VXG2" s="4"/>
      <c r="VXH2" s="4"/>
      <c r="VXI2" s="4"/>
      <c r="VXJ2" s="4"/>
      <c r="VXK2" s="4"/>
      <c r="VXL2" s="4"/>
      <c r="VXM2" s="4"/>
      <c r="VXN2" s="4"/>
      <c r="VXO2" s="4"/>
      <c r="VXP2" s="4"/>
      <c r="VXQ2" s="4"/>
      <c r="VXR2" s="4"/>
      <c r="VXS2" s="4"/>
      <c r="VXT2" s="4"/>
      <c r="VXU2" s="4"/>
      <c r="VXV2" s="4"/>
      <c r="VXW2" s="4"/>
      <c r="VXX2" s="4"/>
      <c r="VXY2" s="4"/>
      <c r="VXZ2" s="4"/>
      <c r="VYA2" s="4"/>
      <c r="VYB2" s="4"/>
      <c r="VYC2" s="4"/>
      <c r="VYD2" s="4"/>
      <c r="VYE2" s="4"/>
      <c r="VYF2" s="4"/>
      <c r="VYG2" s="4"/>
      <c r="VYH2" s="4"/>
      <c r="VYI2" s="4"/>
      <c r="VYJ2" s="4"/>
      <c r="VYK2" s="4"/>
      <c r="VYL2" s="4"/>
      <c r="VYM2" s="4"/>
      <c r="VYN2" s="4"/>
      <c r="VYO2" s="4"/>
      <c r="VYP2" s="4"/>
      <c r="VYQ2" s="4"/>
      <c r="VYR2" s="4"/>
      <c r="VYS2" s="4"/>
      <c r="VYT2" s="4"/>
      <c r="VYU2" s="4"/>
      <c r="VYV2" s="4"/>
      <c r="VYW2" s="4"/>
      <c r="VYX2" s="4"/>
      <c r="VYY2" s="4"/>
      <c r="VYZ2" s="4"/>
      <c r="VZA2" s="4"/>
      <c r="VZB2" s="4"/>
      <c r="VZC2" s="4"/>
      <c r="VZD2" s="4"/>
      <c r="VZE2" s="4"/>
      <c r="VZF2" s="4"/>
      <c r="VZG2" s="4"/>
      <c r="VZH2" s="4"/>
      <c r="VZI2" s="4"/>
      <c r="VZJ2" s="4"/>
      <c r="VZK2" s="4"/>
      <c r="VZL2" s="4"/>
      <c r="VZM2" s="4"/>
      <c r="VZN2" s="4"/>
      <c r="VZO2" s="4"/>
      <c r="VZP2" s="4"/>
      <c r="VZQ2" s="4"/>
      <c r="VZR2" s="4"/>
      <c r="VZS2" s="4"/>
      <c r="VZT2" s="4"/>
      <c r="VZU2" s="4"/>
      <c r="VZV2" s="4"/>
      <c r="VZW2" s="4"/>
      <c r="VZX2" s="4"/>
      <c r="VZY2" s="4"/>
      <c r="VZZ2" s="4"/>
      <c r="WAA2" s="4"/>
      <c r="WAB2" s="4"/>
      <c r="WAC2" s="4"/>
      <c r="WAD2" s="4"/>
      <c r="WAE2" s="4"/>
      <c r="WAF2" s="4"/>
      <c r="WAG2" s="4"/>
      <c r="WAH2" s="4"/>
      <c r="WAI2" s="4"/>
      <c r="WAJ2" s="4"/>
      <c r="WAK2" s="4"/>
      <c r="WAL2" s="4"/>
      <c r="WAM2" s="4"/>
      <c r="WAN2" s="4"/>
      <c r="WAO2" s="4"/>
      <c r="WAP2" s="4"/>
      <c r="WAQ2" s="4"/>
      <c r="WAR2" s="4"/>
      <c r="WAS2" s="4"/>
      <c r="WAT2" s="4"/>
      <c r="WAU2" s="4"/>
      <c r="WAV2" s="4"/>
      <c r="WAW2" s="4"/>
      <c r="WAX2" s="4"/>
      <c r="WAY2" s="4"/>
      <c r="WAZ2" s="4"/>
      <c r="WBA2" s="4"/>
      <c r="WBB2" s="4"/>
      <c r="WBC2" s="4"/>
      <c r="WBD2" s="4"/>
      <c r="WBE2" s="4"/>
      <c r="WBF2" s="4"/>
      <c r="WBG2" s="4"/>
      <c r="WBH2" s="4"/>
      <c r="WBI2" s="4"/>
      <c r="WBJ2" s="4"/>
      <c r="WBK2" s="4"/>
      <c r="WBL2" s="4"/>
      <c r="WBM2" s="4"/>
      <c r="WBN2" s="4"/>
      <c r="WBO2" s="4"/>
      <c r="WBP2" s="4"/>
      <c r="WBQ2" s="4"/>
      <c r="WBR2" s="4"/>
      <c r="WBS2" s="4"/>
      <c r="WBT2" s="4"/>
      <c r="WBU2" s="4"/>
      <c r="WBV2" s="4"/>
      <c r="WBW2" s="4"/>
      <c r="WBX2" s="4"/>
      <c r="WBY2" s="4"/>
      <c r="WBZ2" s="4"/>
      <c r="WCA2" s="4"/>
      <c r="WCB2" s="4"/>
      <c r="WCC2" s="4"/>
      <c r="WCD2" s="4"/>
      <c r="WCE2" s="4"/>
      <c r="WCF2" s="4"/>
      <c r="WCG2" s="4"/>
      <c r="WCH2" s="4"/>
      <c r="WCI2" s="4"/>
      <c r="WCJ2" s="4"/>
      <c r="WCK2" s="4"/>
      <c r="WCL2" s="4"/>
      <c r="WCM2" s="4"/>
      <c r="WCN2" s="4"/>
      <c r="WCO2" s="4"/>
      <c r="WCP2" s="4"/>
      <c r="WCQ2" s="4"/>
      <c r="WCR2" s="4"/>
      <c r="WCS2" s="4"/>
      <c r="WCT2" s="4"/>
      <c r="WCU2" s="4"/>
      <c r="WCV2" s="4"/>
      <c r="WCW2" s="4"/>
      <c r="WCX2" s="4"/>
      <c r="WCY2" s="4"/>
      <c r="WCZ2" s="4"/>
      <c r="WDA2" s="4"/>
      <c r="WDB2" s="4"/>
      <c r="WDC2" s="4"/>
      <c r="WDD2" s="4"/>
      <c r="WDE2" s="4"/>
      <c r="WDF2" s="4"/>
      <c r="WDG2" s="4"/>
      <c r="WDH2" s="4"/>
      <c r="WDI2" s="4"/>
      <c r="WDJ2" s="4"/>
      <c r="WDK2" s="4"/>
      <c r="WDL2" s="4"/>
      <c r="WDM2" s="4"/>
      <c r="WDN2" s="4"/>
      <c r="WDO2" s="4"/>
      <c r="WDP2" s="4"/>
      <c r="WDQ2" s="4"/>
      <c r="WDR2" s="4"/>
      <c r="WDS2" s="4"/>
      <c r="WDT2" s="4"/>
      <c r="WDU2" s="4"/>
      <c r="WDV2" s="4"/>
      <c r="WDW2" s="4"/>
      <c r="WDX2" s="4"/>
      <c r="WDY2" s="4"/>
      <c r="WDZ2" s="4"/>
      <c r="WEA2" s="4"/>
      <c r="WEB2" s="4"/>
      <c r="WEC2" s="4"/>
      <c r="WED2" s="4"/>
      <c r="WEE2" s="4"/>
      <c r="WEF2" s="4"/>
      <c r="WEG2" s="4"/>
      <c r="WEH2" s="4"/>
      <c r="WEI2" s="4"/>
      <c r="WEJ2" s="4"/>
      <c r="WEK2" s="4"/>
      <c r="WEL2" s="4"/>
      <c r="WEM2" s="4"/>
      <c r="WEN2" s="4"/>
      <c r="WEO2" s="4"/>
      <c r="WEP2" s="4"/>
      <c r="WEQ2" s="4"/>
      <c r="WER2" s="4"/>
      <c r="WES2" s="4"/>
      <c r="WET2" s="4"/>
      <c r="WEU2" s="4"/>
      <c r="WEV2" s="4"/>
      <c r="WEW2" s="4"/>
      <c r="WEX2" s="4"/>
      <c r="WEY2" s="4"/>
      <c r="WEZ2" s="4"/>
      <c r="WFA2" s="4"/>
      <c r="WFB2" s="4"/>
      <c r="WFC2" s="4"/>
      <c r="WFD2" s="4"/>
      <c r="WFE2" s="4"/>
      <c r="WFF2" s="4"/>
      <c r="WFG2" s="4"/>
      <c r="WFH2" s="4"/>
      <c r="WFI2" s="4"/>
      <c r="WFJ2" s="4"/>
      <c r="WFK2" s="4"/>
      <c r="WFL2" s="4"/>
      <c r="WFM2" s="4"/>
      <c r="WFN2" s="4"/>
      <c r="WFO2" s="4"/>
      <c r="WFP2" s="4"/>
      <c r="WFQ2" s="4"/>
      <c r="WFR2" s="4"/>
      <c r="WFS2" s="4"/>
      <c r="WFT2" s="4"/>
      <c r="WFU2" s="4"/>
      <c r="WFV2" s="4"/>
      <c r="WFW2" s="4"/>
      <c r="WFX2" s="4"/>
      <c r="WFY2" s="4"/>
      <c r="WFZ2" s="4"/>
      <c r="WGA2" s="4"/>
      <c r="WGB2" s="4"/>
      <c r="WGC2" s="4"/>
      <c r="WGD2" s="4"/>
      <c r="WGE2" s="4"/>
      <c r="WGF2" s="4"/>
      <c r="WGG2" s="4"/>
      <c r="WGH2" s="4"/>
      <c r="WGI2" s="4"/>
      <c r="WGJ2" s="4"/>
      <c r="WGK2" s="4"/>
      <c r="WGL2" s="4"/>
      <c r="WGM2" s="4"/>
      <c r="WGN2" s="4"/>
      <c r="WGO2" s="4"/>
      <c r="WGP2" s="4"/>
      <c r="WGQ2" s="4"/>
      <c r="WGR2" s="4"/>
      <c r="WGS2" s="4"/>
      <c r="WGT2" s="4"/>
      <c r="WGU2" s="4"/>
      <c r="WGV2" s="4"/>
      <c r="WGW2" s="4"/>
      <c r="WGX2" s="4"/>
      <c r="WGY2" s="4"/>
      <c r="WGZ2" s="4"/>
      <c r="WHA2" s="4"/>
      <c r="WHB2" s="4"/>
      <c r="WHC2" s="4"/>
      <c r="WHD2" s="4"/>
      <c r="WHE2" s="4"/>
      <c r="WHF2" s="4"/>
      <c r="WHG2" s="4"/>
      <c r="WHH2" s="4"/>
      <c r="WHI2" s="4"/>
      <c r="WHJ2" s="4"/>
      <c r="WHK2" s="4"/>
      <c r="WHL2" s="4"/>
      <c r="WHM2" s="4"/>
      <c r="WHN2" s="4"/>
      <c r="WHO2" s="4"/>
      <c r="WHP2" s="4"/>
      <c r="WHQ2" s="4"/>
      <c r="WHR2" s="4"/>
      <c r="WHS2" s="4"/>
      <c r="WHT2" s="4"/>
      <c r="WHU2" s="4"/>
      <c r="WHV2" s="4"/>
      <c r="WHW2" s="4"/>
      <c r="WHX2" s="4"/>
      <c r="WHY2" s="4"/>
      <c r="WHZ2" s="4"/>
      <c r="WIA2" s="4"/>
      <c r="WIB2" s="4"/>
      <c r="WIC2" s="4"/>
      <c r="WID2" s="4"/>
      <c r="WIE2" s="4"/>
      <c r="WIF2" s="4"/>
      <c r="WIG2" s="4"/>
      <c r="WIH2" s="4"/>
      <c r="WII2" s="4"/>
      <c r="WIJ2" s="4"/>
      <c r="WIK2" s="4"/>
      <c r="WIL2" s="4"/>
      <c r="WIM2" s="4"/>
      <c r="WIN2" s="4"/>
      <c r="WIO2" s="4"/>
      <c r="WIP2" s="4"/>
      <c r="WIQ2" s="4"/>
      <c r="WIR2" s="4"/>
      <c r="WIS2" s="4"/>
      <c r="WIT2" s="4"/>
      <c r="WIU2" s="4"/>
      <c r="WIV2" s="4"/>
      <c r="WIW2" s="4"/>
      <c r="WIX2" s="4"/>
      <c r="WIY2" s="4"/>
      <c r="WIZ2" s="4"/>
      <c r="WJA2" s="4"/>
      <c r="WJB2" s="4"/>
      <c r="WJC2" s="4"/>
      <c r="WJD2" s="4"/>
      <c r="WJE2" s="4"/>
      <c r="WJF2" s="4"/>
      <c r="WJG2" s="4"/>
      <c r="WJH2" s="4"/>
      <c r="WJI2" s="4"/>
      <c r="WJJ2" s="4"/>
      <c r="WJK2" s="4"/>
      <c r="WJL2" s="4"/>
      <c r="WJM2" s="4"/>
      <c r="WJN2" s="4"/>
      <c r="WJO2" s="4"/>
      <c r="WJP2" s="4"/>
      <c r="WJQ2" s="4"/>
      <c r="WJR2" s="4"/>
      <c r="WJS2" s="4"/>
      <c r="WJT2" s="4"/>
      <c r="WJU2" s="4"/>
      <c r="WJV2" s="4"/>
      <c r="WJW2" s="4"/>
      <c r="WJX2" s="4"/>
      <c r="WJY2" s="4"/>
      <c r="WJZ2" s="4"/>
      <c r="WKA2" s="4"/>
      <c r="WKB2" s="4"/>
      <c r="WKC2" s="4"/>
      <c r="WKD2" s="4"/>
      <c r="WKE2" s="4"/>
      <c r="WKF2" s="4"/>
      <c r="WKG2" s="4"/>
      <c r="WKH2" s="4"/>
      <c r="WKI2" s="4"/>
      <c r="WKJ2" s="4"/>
      <c r="WKK2" s="4"/>
      <c r="WKL2" s="4"/>
      <c r="WKM2" s="4"/>
      <c r="WKN2" s="4"/>
      <c r="WKO2" s="4"/>
      <c r="WKP2" s="4"/>
      <c r="WKQ2" s="4"/>
      <c r="WKR2" s="4"/>
      <c r="WKS2" s="4"/>
      <c r="WKT2" s="4"/>
      <c r="WKU2" s="4"/>
      <c r="WKV2" s="4"/>
      <c r="WKW2" s="4"/>
      <c r="WKX2" s="4"/>
      <c r="WKY2" s="4"/>
      <c r="WKZ2" s="4"/>
      <c r="WLA2" s="4"/>
      <c r="WLB2" s="4"/>
      <c r="WLC2" s="4"/>
      <c r="WLD2" s="4"/>
      <c r="WLE2" s="4"/>
      <c r="WLF2" s="4"/>
      <c r="WLG2" s="4"/>
      <c r="WLH2" s="4"/>
      <c r="WLI2" s="4"/>
      <c r="WLJ2" s="4"/>
      <c r="WLK2" s="4"/>
      <c r="WLL2" s="4"/>
      <c r="WLM2" s="4"/>
      <c r="WLN2" s="4"/>
      <c r="WLO2" s="4"/>
      <c r="WLP2" s="4"/>
      <c r="WLQ2" s="4"/>
      <c r="WLR2" s="4"/>
      <c r="WLS2" s="4"/>
      <c r="WLT2" s="4"/>
      <c r="WLU2" s="4"/>
      <c r="WLV2" s="4"/>
      <c r="WLW2" s="4"/>
      <c r="WLX2" s="4"/>
      <c r="WLY2" s="4"/>
      <c r="WLZ2" s="4"/>
      <c r="WMA2" s="4"/>
      <c r="WMB2" s="4"/>
      <c r="WMC2" s="4"/>
      <c r="WMD2" s="4"/>
      <c r="WME2" s="4"/>
      <c r="WMF2" s="4"/>
      <c r="WMG2" s="4"/>
      <c r="WMH2" s="4"/>
      <c r="WMI2" s="4"/>
      <c r="WMJ2" s="4"/>
      <c r="WMK2" s="4"/>
      <c r="WML2" s="4"/>
      <c r="WMM2" s="4"/>
      <c r="WMN2" s="4"/>
      <c r="WMO2" s="4"/>
      <c r="WMP2" s="4"/>
      <c r="WMQ2" s="4"/>
      <c r="WMR2" s="4"/>
      <c r="WMS2" s="4"/>
      <c r="WMT2" s="4"/>
      <c r="WMU2" s="4"/>
      <c r="WMV2" s="4"/>
      <c r="WMW2" s="4"/>
      <c r="WMX2" s="4"/>
      <c r="WMY2" s="4"/>
      <c r="WMZ2" s="4"/>
      <c r="WNA2" s="4"/>
      <c r="WNB2" s="4"/>
      <c r="WNC2" s="4"/>
      <c r="WND2" s="4"/>
      <c r="WNE2" s="4"/>
      <c r="WNF2" s="4"/>
      <c r="WNG2" s="4"/>
      <c r="WNH2" s="4"/>
      <c r="WNI2" s="4"/>
      <c r="WNJ2" s="4"/>
      <c r="WNK2" s="4"/>
      <c r="WNL2" s="4"/>
      <c r="WNM2" s="4"/>
      <c r="WNN2" s="4"/>
      <c r="WNO2" s="4"/>
      <c r="WNP2" s="4"/>
      <c r="WNQ2" s="4"/>
      <c r="WNR2" s="4"/>
      <c r="WNS2" s="4"/>
      <c r="WNT2" s="4"/>
      <c r="WNU2" s="4"/>
      <c r="WNV2" s="4"/>
      <c r="WNW2" s="4"/>
      <c r="WNX2" s="4"/>
      <c r="WNY2" s="4"/>
      <c r="WNZ2" s="4"/>
      <c r="WOA2" s="4"/>
      <c r="WOB2" s="4"/>
      <c r="WOC2" s="4"/>
      <c r="WOD2" s="4"/>
      <c r="WOE2" s="4"/>
      <c r="WOF2" s="4"/>
      <c r="WOG2" s="4"/>
      <c r="WOH2" s="4"/>
      <c r="WOI2" s="4"/>
      <c r="WOJ2" s="4"/>
      <c r="WOK2" s="4"/>
      <c r="WOL2" s="4"/>
      <c r="WOM2" s="4"/>
      <c r="WON2" s="4"/>
      <c r="WOO2" s="4"/>
      <c r="WOP2" s="4"/>
      <c r="WOQ2" s="4"/>
      <c r="WOR2" s="4"/>
      <c r="WOS2" s="4"/>
      <c r="WOT2" s="4"/>
      <c r="WOU2" s="4"/>
      <c r="WOV2" s="4"/>
      <c r="WOW2" s="4"/>
      <c r="WOX2" s="4"/>
      <c r="WOY2" s="4"/>
      <c r="WOZ2" s="4"/>
      <c r="WPA2" s="4"/>
      <c r="WPB2" s="4"/>
      <c r="WPC2" s="4"/>
      <c r="WPD2" s="4"/>
      <c r="WPE2" s="4"/>
      <c r="WPF2" s="4"/>
      <c r="WPG2" s="4"/>
      <c r="WPH2" s="4"/>
      <c r="WPI2" s="4"/>
      <c r="WPJ2" s="4"/>
      <c r="WPK2" s="4"/>
      <c r="WPL2" s="4"/>
      <c r="WPM2" s="4"/>
      <c r="WPN2" s="4"/>
      <c r="WPO2" s="4"/>
      <c r="WPP2" s="4"/>
      <c r="WPQ2" s="4"/>
      <c r="WPR2" s="4"/>
      <c r="WPS2" s="4"/>
      <c r="WPT2" s="4"/>
      <c r="WPU2" s="4"/>
      <c r="WPV2" s="4"/>
      <c r="WPW2" s="4"/>
      <c r="WPX2" s="4"/>
      <c r="WPY2" s="4"/>
      <c r="WPZ2" s="4"/>
      <c r="WQA2" s="4"/>
      <c r="WQB2" s="4"/>
      <c r="WQC2" s="4"/>
      <c r="WQD2" s="4"/>
      <c r="WQE2" s="4"/>
      <c r="WQF2" s="4"/>
      <c r="WQG2" s="4"/>
      <c r="WQH2" s="4"/>
      <c r="WQI2" s="4"/>
      <c r="WQJ2" s="4"/>
      <c r="WQK2" s="4"/>
      <c r="WQL2" s="4"/>
      <c r="WQM2" s="4"/>
      <c r="WQN2" s="4"/>
      <c r="WQO2" s="4"/>
      <c r="WQP2" s="4"/>
      <c r="WQQ2" s="4"/>
      <c r="WQR2" s="4"/>
      <c r="WQS2" s="4"/>
      <c r="WQT2" s="4"/>
      <c r="WQU2" s="4"/>
      <c r="WQV2" s="4"/>
      <c r="WQW2" s="4"/>
      <c r="WQX2" s="4"/>
      <c r="WQY2" s="4"/>
      <c r="WQZ2" s="4"/>
      <c r="WRA2" s="4"/>
      <c r="WRB2" s="4"/>
      <c r="WRC2" s="4"/>
      <c r="WRD2" s="4"/>
      <c r="WRE2" s="4"/>
      <c r="WRF2" s="4"/>
      <c r="WRG2" s="4"/>
      <c r="WRH2" s="4"/>
      <c r="WRI2" s="4"/>
      <c r="WRJ2" s="4"/>
      <c r="WRK2" s="4"/>
      <c r="WRL2" s="4"/>
      <c r="WRM2" s="4"/>
      <c r="WRN2" s="4"/>
      <c r="WRO2" s="4"/>
      <c r="WRP2" s="4"/>
      <c r="WRQ2" s="4"/>
      <c r="WRR2" s="4"/>
      <c r="WRS2" s="4"/>
      <c r="WRT2" s="4"/>
      <c r="WRU2" s="4"/>
      <c r="WRV2" s="4"/>
      <c r="WRW2" s="4"/>
      <c r="WRX2" s="4"/>
      <c r="WRY2" s="4"/>
      <c r="WRZ2" s="4"/>
      <c r="WSA2" s="4"/>
      <c r="WSB2" s="4"/>
      <c r="WSC2" s="4"/>
      <c r="WSD2" s="4"/>
      <c r="WSE2" s="4"/>
      <c r="WSF2" s="4"/>
      <c r="WSG2" s="4"/>
      <c r="WSH2" s="4"/>
      <c r="WSI2" s="4"/>
      <c r="WSJ2" s="4"/>
      <c r="WSK2" s="4"/>
      <c r="WSL2" s="4"/>
      <c r="WSM2" s="4"/>
      <c r="WSN2" s="4"/>
      <c r="WSO2" s="4"/>
      <c r="WSP2" s="4"/>
      <c r="WSQ2" s="4"/>
      <c r="WSR2" s="4"/>
      <c r="WSS2" s="4"/>
      <c r="WST2" s="4"/>
      <c r="WSU2" s="4"/>
      <c r="WSV2" s="4"/>
      <c r="WSW2" s="4"/>
      <c r="WSX2" s="4"/>
      <c r="WSY2" s="4"/>
      <c r="WSZ2" s="4"/>
      <c r="WTA2" s="4"/>
      <c r="WTB2" s="4"/>
      <c r="WTC2" s="4"/>
      <c r="WTD2" s="4"/>
      <c r="WTE2" s="4"/>
      <c r="WTF2" s="4"/>
      <c r="WTG2" s="4"/>
      <c r="WTH2" s="4"/>
      <c r="WTI2" s="4"/>
      <c r="WTJ2" s="4"/>
      <c r="WTK2" s="4"/>
      <c r="WTL2" s="4"/>
      <c r="WTM2" s="4"/>
      <c r="WTN2" s="4"/>
      <c r="WTO2" s="4"/>
      <c r="WTP2" s="4"/>
      <c r="WTQ2" s="4"/>
      <c r="WTR2" s="4"/>
      <c r="WTS2" s="4"/>
      <c r="WTT2" s="4"/>
      <c r="WTU2" s="4"/>
      <c r="WTV2" s="4"/>
      <c r="WTW2" s="4"/>
      <c r="WTX2" s="4"/>
      <c r="WTY2" s="4"/>
      <c r="WTZ2" s="4"/>
      <c r="WUA2" s="4"/>
      <c r="WUB2" s="4"/>
      <c r="WUC2" s="4"/>
      <c r="WUD2" s="4"/>
      <c r="WUE2" s="4"/>
      <c r="WUF2" s="4"/>
      <c r="WUG2" s="4"/>
      <c r="WUH2" s="4"/>
      <c r="WUI2" s="4"/>
      <c r="WUJ2" s="4"/>
      <c r="WUK2" s="4"/>
      <c r="WUL2" s="4"/>
      <c r="WUM2" s="4"/>
      <c r="WUN2" s="4"/>
      <c r="WUO2" s="4"/>
      <c r="WUP2" s="4"/>
      <c r="WUQ2" s="4"/>
      <c r="WUR2" s="4"/>
      <c r="WUS2" s="4"/>
      <c r="WUT2" s="4"/>
      <c r="WUU2" s="4"/>
      <c r="WUV2" s="4"/>
      <c r="WUW2" s="4"/>
      <c r="WUX2" s="4"/>
      <c r="WUY2" s="4"/>
      <c r="WUZ2" s="4"/>
      <c r="WVA2" s="4"/>
      <c r="WVB2" s="4"/>
      <c r="WVC2" s="4"/>
      <c r="WVD2" s="4"/>
      <c r="WVE2" s="4"/>
      <c r="WVF2" s="4"/>
      <c r="WVG2" s="4"/>
      <c r="WVH2" s="4"/>
      <c r="WVI2" s="4"/>
      <c r="WVJ2" s="4"/>
      <c r="WVK2" s="4"/>
      <c r="WVL2" s="4"/>
      <c r="WVM2" s="4"/>
      <c r="WVN2" s="4"/>
      <c r="WVO2" s="4"/>
      <c r="WVP2" s="4"/>
      <c r="WVQ2" s="4"/>
      <c r="WVR2" s="4"/>
      <c r="WVS2" s="4"/>
      <c r="WVT2" s="4"/>
      <c r="WVU2" s="4"/>
      <c r="WVV2" s="4"/>
      <c r="WVW2" s="4"/>
      <c r="WVX2" s="4"/>
      <c r="WVY2" s="4"/>
      <c r="WVZ2" s="4"/>
      <c r="WWA2" s="4"/>
      <c r="WWB2" s="4"/>
      <c r="WWC2" s="4"/>
      <c r="WWD2" s="4"/>
      <c r="WWE2" s="4"/>
      <c r="WWF2" s="4"/>
      <c r="WWG2" s="4"/>
      <c r="WWH2" s="4"/>
      <c r="WWI2" s="4"/>
      <c r="WWJ2" s="4"/>
      <c r="WWK2" s="4"/>
      <c r="WWL2" s="4"/>
      <c r="WWM2" s="4"/>
      <c r="WWN2" s="4"/>
      <c r="WWO2" s="4"/>
      <c r="WWP2" s="4"/>
      <c r="WWQ2" s="4"/>
      <c r="WWR2" s="4"/>
      <c r="WWS2" s="4"/>
      <c r="WWT2" s="4"/>
      <c r="WWU2" s="4"/>
      <c r="WWV2" s="4"/>
      <c r="WWW2" s="4"/>
      <c r="WWX2" s="4"/>
      <c r="WWY2" s="4"/>
      <c r="WWZ2" s="4"/>
      <c r="WXA2" s="4"/>
      <c r="WXB2" s="4"/>
      <c r="WXC2" s="4"/>
      <c r="WXD2" s="4"/>
      <c r="WXE2" s="4"/>
      <c r="WXF2" s="4"/>
      <c r="WXG2" s="4"/>
      <c r="WXH2" s="4"/>
      <c r="WXI2" s="4"/>
      <c r="WXJ2" s="4"/>
      <c r="WXK2" s="4"/>
      <c r="WXL2" s="4"/>
      <c r="WXM2" s="4"/>
      <c r="WXN2" s="4"/>
      <c r="WXO2" s="4"/>
      <c r="WXP2" s="4"/>
      <c r="WXQ2" s="4"/>
      <c r="WXR2" s="4"/>
      <c r="WXS2" s="4"/>
      <c r="WXT2" s="4"/>
      <c r="WXU2" s="4"/>
      <c r="WXV2" s="4"/>
      <c r="WXW2" s="4"/>
      <c r="WXX2" s="4"/>
      <c r="WXY2" s="4"/>
      <c r="WXZ2" s="4"/>
      <c r="WYA2" s="4"/>
      <c r="WYB2" s="4"/>
      <c r="WYC2" s="4"/>
      <c r="WYD2" s="4"/>
      <c r="WYE2" s="4"/>
      <c r="WYF2" s="4"/>
      <c r="WYG2" s="4"/>
      <c r="WYH2" s="4"/>
      <c r="WYI2" s="4"/>
      <c r="WYJ2" s="4"/>
      <c r="WYK2" s="4"/>
      <c r="WYL2" s="4"/>
      <c r="WYM2" s="4"/>
      <c r="WYN2" s="4"/>
      <c r="WYO2" s="4"/>
      <c r="WYP2" s="4"/>
      <c r="WYQ2" s="4"/>
      <c r="WYR2" s="4"/>
      <c r="WYS2" s="4"/>
      <c r="WYT2" s="4"/>
      <c r="WYU2" s="4"/>
      <c r="WYV2" s="4"/>
      <c r="WYW2" s="4"/>
      <c r="WYX2" s="4"/>
      <c r="WYY2" s="4"/>
      <c r="WYZ2" s="4"/>
      <c r="WZA2" s="4"/>
      <c r="WZB2" s="4"/>
      <c r="WZC2" s="4"/>
      <c r="WZD2" s="4"/>
      <c r="WZE2" s="4"/>
      <c r="WZF2" s="4"/>
      <c r="WZG2" s="4"/>
      <c r="WZH2" s="4"/>
      <c r="WZI2" s="4"/>
      <c r="WZJ2" s="4"/>
      <c r="WZK2" s="4"/>
      <c r="WZL2" s="4"/>
      <c r="WZM2" s="4"/>
      <c r="WZN2" s="4"/>
      <c r="WZO2" s="4"/>
      <c r="WZP2" s="4"/>
      <c r="WZQ2" s="4"/>
      <c r="WZR2" s="4"/>
      <c r="WZS2" s="4"/>
      <c r="WZT2" s="4"/>
      <c r="WZU2" s="4"/>
      <c r="WZV2" s="4"/>
      <c r="WZW2" s="4"/>
      <c r="WZX2" s="4"/>
      <c r="WZY2" s="4"/>
      <c r="WZZ2" s="4"/>
      <c r="XAA2" s="4"/>
      <c r="XAB2" s="4"/>
      <c r="XAC2" s="4"/>
      <c r="XAD2" s="4"/>
      <c r="XAE2" s="4"/>
      <c r="XAF2" s="4"/>
      <c r="XAG2" s="4"/>
      <c r="XAH2" s="4"/>
      <c r="XAI2" s="4"/>
      <c r="XAJ2" s="4"/>
      <c r="XAK2" s="4"/>
      <c r="XAL2" s="4"/>
      <c r="XAM2" s="4"/>
      <c r="XAN2" s="4"/>
      <c r="XAO2" s="4"/>
      <c r="XAP2" s="4"/>
      <c r="XAQ2" s="4"/>
      <c r="XAR2" s="4"/>
      <c r="XAS2" s="4"/>
      <c r="XAT2" s="4"/>
      <c r="XAU2" s="4"/>
      <c r="XAV2" s="4"/>
      <c r="XAW2" s="4"/>
      <c r="XAX2" s="4"/>
      <c r="XAY2" s="4"/>
      <c r="XAZ2" s="4"/>
      <c r="XBA2" s="4"/>
      <c r="XBB2" s="4"/>
      <c r="XBC2" s="4"/>
      <c r="XBD2" s="4"/>
      <c r="XBE2" s="4"/>
      <c r="XBF2" s="4"/>
      <c r="XBG2" s="4"/>
      <c r="XBH2" s="4"/>
      <c r="XBI2" s="4"/>
      <c r="XBJ2" s="4"/>
      <c r="XBK2" s="4"/>
      <c r="XBL2" s="4"/>
      <c r="XBM2" s="4"/>
      <c r="XBN2" s="4"/>
      <c r="XBO2" s="4"/>
      <c r="XBP2" s="4"/>
      <c r="XBQ2" s="4"/>
      <c r="XBR2" s="4"/>
      <c r="XBS2" s="4"/>
      <c r="XBT2" s="4"/>
      <c r="XBU2" s="4"/>
      <c r="XBV2" s="4"/>
      <c r="XBW2" s="4"/>
      <c r="XBX2" s="4"/>
      <c r="XBY2" s="4"/>
      <c r="XBZ2" s="4"/>
      <c r="XCA2" s="4"/>
      <c r="XCB2" s="4"/>
      <c r="XCC2" s="4"/>
      <c r="XCD2" s="4"/>
      <c r="XCE2" s="4"/>
      <c r="XCF2" s="4"/>
      <c r="XCG2" s="4"/>
      <c r="XCH2" s="4"/>
      <c r="XCI2" s="4"/>
      <c r="XCJ2" s="4"/>
      <c r="XCK2" s="4"/>
      <c r="XCL2" s="4"/>
      <c r="XCM2" s="4"/>
      <c r="XCN2" s="4"/>
      <c r="XCO2" s="4"/>
      <c r="XCP2" s="4"/>
      <c r="XCQ2" s="4"/>
      <c r="XCR2" s="4"/>
      <c r="XCS2" s="4"/>
      <c r="XCT2" s="4"/>
      <c r="XCU2" s="4"/>
      <c r="XCV2" s="4"/>
      <c r="XCW2" s="4"/>
      <c r="XCX2" s="4"/>
      <c r="XCY2" s="4"/>
      <c r="XCZ2" s="4"/>
      <c r="XDA2" s="4"/>
      <c r="XDB2" s="4"/>
      <c r="XDC2" s="4"/>
      <c r="XDD2" s="4"/>
      <c r="XDE2" s="4"/>
      <c r="XDF2" s="4"/>
      <c r="XDG2" s="4"/>
      <c r="XDH2" s="4"/>
      <c r="XDI2" s="4"/>
      <c r="XDJ2" s="4"/>
      <c r="XDK2" s="4"/>
      <c r="XDL2" s="4"/>
      <c r="XDM2" s="4"/>
      <c r="XDN2" s="4"/>
      <c r="XDO2" s="4"/>
      <c r="XDP2" s="4"/>
      <c r="XDQ2" s="4"/>
      <c r="XDR2" s="4"/>
      <c r="XDS2" s="4"/>
      <c r="XDT2" s="4"/>
      <c r="XDU2" s="4"/>
      <c r="XDV2" s="4"/>
      <c r="XDW2" s="4"/>
      <c r="XDX2" s="4"/>
      <c r="XDY2" s="4"/>
      <c r="XDZ2" s="4"/>
      <c r="XEA2" s="4"/>
      <c r="XEB2" s="4"/>
      <c r="XEC2" s="4"/>
      <c r="XED2" s="4"/>
      <c r="XEE2" s="4"/>
      <c r="XEF2" s="4"/>
      <c r="XEG2" s="4"/>
      <c r="XEH2" s="4"/>
      <c r="XEI2" s="4"/>
      <c r="XEJ2" s="4"/>
      <c r="XEK2" s="4"/>
      <c r="XEL2" s="4"/>
      <c r="XEM2" s="4"/>
      <c r="XEN2" s="4"/>
      <c r="XEO2" s="4"/>
      <c r="XEP2" s="4"/>
      <c r="XEQ2" s="4"/>
      <c r="XER2" s="4"/>
      <c r="XES2" s="4"/>
      <c r="XET2" s="4"/>
      <c r="XEU2" s="4"/>
      <c r="XEV2" s="4"/>
      <c r="XEW2" s="4"/>
      <c r="XEX2" s="4"/>
      <c r="XEY2" s="4"/>
      <c r="XEZ2" s="4"/>
      <c r="XFA2" s="4"/>
      <c r="XFB2" s="4"/>
      <c r="XFC2" s="4"/>
      <c r="XFD2" s="4"/>
    </row>
    <row r="3" spans="1:16384" s="5" customFormat="1" ht="14.4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  <c r="CKH3" s="4"/>
      <c r="CKI3" s="4"/>
      <c r="CKJ3" s="4"/>
      <c r="CKK3" s="4"/>
      <c r="CKL3" s="4"/>
      <c r="CKM3" s="4"/>
      <c r="CKN3" s="4"/>
      <c r="CKO3" s="4"/>
      <c r="CKP3" s="4"/>
      <c r="CKQ3" s="4"/>
      <c r="CKR3" s="4"/>
      <c r="CKS3" s="4"/>
      <c r="CKT3" s="4"/>
      <c r="CKU3" s="4"/>
      <c r="CKV3" s="4"/>
      <c r="CKW3" s="4"/>
      <c r="CKX3" s="4"/>
      <c r="CKY3" s="4"/>
      <c r="CKZ3" s="4"/>
      <c r="CLA3" s="4"/>
      <c r="CLB3" s="4"/>
      <c r="CLC3" s="4"/>
      <c r="CLD3" s="4"/>
      <c r="CLE3" s="4"/>
      <c r="CLF3" s="4"/>
      <c r="CLG3" s="4"/>
      <c r="CLH3" s="4"/>
      <c r="CLI3" s="4"/>
      <c r="CLJ3" s="4"/>
      <c r="CLK3" s="4"/>
      <c r="CLL3" s="4"/>
      <c r="CLM3" s="4"/>
      <c r="CLN3" s="4"/>
      <c r="CLO3" s="4"/>
      <c r="CLP3" s="4"/>
      <c r="CLQ3" s="4"/>
      <c r="CLR3" s="4"/>
      <c r="CLS3" s="4"/>
      <c r="CLT3" s="4"/>
      <c r="CLU3" s="4"/>
      <c r="CLV3" s="4"/>
      <c r="CLW3" s="4"/>
      <c r="CLX3" s="4"/>
      <c r="CLY3" s="4"/>
      <c r="CLZ3" s="4"/>
      <c r="CMA3" s="4"/>
      <c r="CMB3" s="4"/>
      <c r="CMC3" s="4"/>
      <c r="CMD3" s="4"/>
      <c r="CME3" s="4"/>
      <c r="CMF3" s="4"/>
      <c r="CMG3" s="4"/>
      <c r="CMH3" s="4"/>
      <c r="CMI3" s="4"/>
      <c r="CMJ3" s="4"/>
      <c r="CMK3" s="4"/>
      <c r="CML3" s="4"/>
      <c r="CMM3" s="4"/>
      <c r="CMN3" s="4"/>
      <c r="CMO3" s="4"/>
      <c r="CMP3" s="4"/>
      <c r="CMQ3" s="4"/>
      <c r="CMR3" s="4"/>
      <c r="CMS3" s="4"/>
      <c r="CMT3" s="4"/>
      <c r="CMU3" s="4"/>
      <c r="CMV3" s="4"/>
      <c r="CMW3" s="4"/>
      <c r="CMX3" s="4"/>
      <c r="CMY3" s="4"/>
      <c r="CMZ3" s="4"/>
      <c r="CNA3" s="4"/>
      <c r="CNB3" s="4"/>
      <c r="CNC3" s="4"/>
      <c r="CND3" s="4"/>
      <c r="CNE3" s="4"/>
      <c r="CNF3" s="4"/>
      <c r="CNG3" s="4"/>
      <c r="CNH3" s="4"/>
      <c r="CNI3" s="4"/>
      <c r="CNJ3" s="4"/>
      <c r="CNK3" s="4"/>
      <c r="CNL3" s="4"/>
      <c r="CNM3" s="4"/>
      <c r="CNN3" s="4"/>
      <c r="CNO3" s="4"/>
      <c r="CNP3" s="4"/>
      <c r="CNQ3" s="4"/>
      <c r="CNR3" s="4"/>
      <c r="CNS3" s="4"/>
      <c r="CNT3" s="4"/>
      <c r="CNU3" s="4"/>
      <c r="CNV3" s="4"/>
      <c r="CNW3" s="4"/>
      <c r="CNX3" s="4"/>
      <c r="CNY3" s="4"/>
      <c r="CNZ3" s="4"/>
      <c r="COA3" s="4"/>
      <c r="COB3" s="4"/>
      <c r="COC3" s="4"/>
      <c r="COD3" s="4"/>
      <c r="COE3" s="4"/>
      <c r="COF3" s="4"/>
      <c r="COG3" s="4"/>
      <c r="COH3" s="4"/>
      <c r="COI3" s="4"/>
      <c r="COJ3" s="4"/>
      <c r="COK3" s="4"/>
      <c r="COL3" s="4"/>
      <c r="COM3" s="4"/>
      <c r="CON3" s="4"/>
      <c r="COO3" s="4"/>
      <c r="COP3" s="4"/>
      <c r="COQ3" s="4"/>
      <c r="COR3" s="4"/>
      <c r="COS3" s="4"/>
      <c r="COT3" s="4"/>
      <c r="COU3" s="4"/>
      <c r="COV3" s="4"/>
      <c r="COW3" s="4"/>
      <c r="COX3" s="4"/>
      <c r="COY3" s="4"/>
      <c r="COZ3" s="4"/>
      <c r="CPA3" s="4"/>
      <c r="CPB3" s="4"/>
      <c r="CPC3" s="4"/>
      <c r="CPD3" s="4"/>
      <c r="CPE3" s="4"/>
      <c r="CPF3" s="4"/>
      <c r="CPG3" s="4"/>
      <c r="CPH3" s="4"/>
      <c r="CPI3" s="4"/>
      <c r="CPJ3" s="4"/>
      <c r="CPK3" s="4"/>
      <c r="CPL3" s="4"/>
      <c r="CPM3" s="4"/>
      <c r="CPN3" s="4"/>
      <c r="CPO3" s="4"/>
      <c r="CPP3" s="4"/>
      <c r="CPQ3" s="4"/>
      <c r="CPR3" s="4"/>
      <c r="CPS3" s="4"/>
      <c r="CPT3" s="4"/>
      <c r="CPU3" s="4"/>
      <c r="CPV3" s="4"/>
      <c r="CPW3" s="4"/>
      <c r="CPX3" s="4"/>
      <c r="CPY3" s="4"/>
      <c r="CPZ3" s="4"/>
      <c r="CQA3" s="4"/>
      <c r="CQB3" s="4"/>
      <c r="CQC3" s="4"/>
      <c r="CQD3" s="4"/>
      <c r="CQE3" s="4"/>
      <c r="CQF3" s="4"/>
      <c r="CQG3" s="4"/>
      <c r="CQH3" s="4"/>
      <c r="CQI3" s="4"/>
      <c r="CQJ3" s="4"/>
      <c r="CQK3" s="4"/>
      <c r="CQL3" s="4"/>
      <c r="CQM3" s="4"/>
      <c r="CQN3" s="4"/>
      <c r="CQO3" s="4"/>
      <c r="CQP3" s="4"/>
      <c r="CQQ3" s="4"/>
      <c r="CQR3" s="4"/>
      <c r="CQS3" s="4"/>
      <c r="CQT3" s="4"/>
      <c r="CQU3" s="4"/>
      <c r="CQV3" s="4"/>
      <c r="CQW3" s="4"/>
      <c r="CQX3" s="4"/>
      <c r="CQY3" s="4"/>
      <c r="CQZ3" s="4"/>
      <c r="CRA3" s="4"/>
      <c r="CRB3" s="4"/>
      <c r="CRC3" s="4"/>
      <c r="CRD3" s="4"/>
      <c r="CRE3" s="4"/>
      <c r="CRF3" s="4"/>
      <c r="CRG3" s="4"/>
      <c r="CRH3" s="4"/>
      <c r="CRI3" s="4"/>
      <c r="CRJ3" s="4"/>
      <c r="CRK3" s="4"/>
      <c r="CRL3" s="4"/>
      <c r="CRM3" s="4"/>
      <c r="CRN3" s="4"/>
      <c r="CRO3" s="4"/>
      <c r="CRP3" s="4"/>
      <c r="CRQ3" s="4"/>
      <c r="CRR3" s="4"/>
      <c r="CRS3" s="4"/>
      <c r="CRT3" s="4"/>
      <c r="CRU3" s="4"/>
      <c r="CRV3" s="4"/>
      <c r="CRW3" s="4"/>
      <c r="CRX3" s="4"/>
      <c r="CRY3" s="4"/>
      <c r="CRZ3" s="4"/>
      <c r="CSA3" s="4"/>
      <c r="CSB3" s="4"/>
      <c r="CSC3" s="4"/>
      <c r="CSD3" s="4"/>
      <c r="CSE3" s="4"/>
      <c r="CSF3" s="4"/>
      <c r="CSG3" s="4"/>
      <c r="CSH3" s="4"/>
      <c r="CSI3" s="4"/>
      <c r="CSJ3" s="4"/>
      <c r="CSK3" s="4"/>
      <c r="CSL3" s="4"/>
      <c r="CSM3" s="4"/>
      <c r="CSN3" s="4"/>
      <c r="CSO3" s="4"/>
      <c r="CSP3" s="4"/>
      <c r="CSQ3" s="4"/>
      <c r="CSR3" s="4"/>
      <c r="CSS3" s="4"/>
      <c r="CST3" s="4"/>
      <c r="CSU3" s="4"/>
      <c r="CSV3" s="4"/>
      <c r="CSW3" s="4"/>
      <c r="CSX3" s="4"/>
      <c r="CSY3" s="4"/>
      <c r="CSZ3" s="4"/>
      <c r="CTA3" s="4"/>
      <c r="CTB3" s="4"/>
      <c r="CTC3" s="4"/>
      <c r="CTD3" s="4"/>
      <c r="CTE3" s="4"/>
      <c r="CTF3" s="4"/>
      <c r="CTG3" s="4"/>
      <c r="CTH3" s="4"/>
      <c r="CTI3" s="4"/>
      <c r="CTJ3" s="4"/>
      <c r="CTK3" s="4"/>
      <c r="CTL3" s="4"/>
      <c r="CTM3" s="4"/>
      <c r="CTN3" s="4"/>
      <c r="CTO3" s="4"/>
      <c r="CTP3" s="4"/>
      <c r="CTQ3" s="4"/>
      <c r="CTR3" s="4"/>
      <c r="CTS3" s="4"/>
      <c r="CTT3" s="4"/>
      <c r="CTU3" s="4"/>
      <c r="CTV3" s="4"/>
      <c r="CTW3" s="4"/>
      <c r="CTX3" s="4"/>
      <c r="CTY3" s="4"/>
      <c r="CTZ3" s="4"/>
      <c r="CUA3" s="4"/>
      <c r="CUB3" s="4"/>
      <c r="CUC3" s="4"/>
      <c r="CUD3" s="4"/>
      <c r="CUE3" s="4"/>
      <c r="CUF3" s="4"/>
      <c r="CUG3" s="4"/>
      <c r="CUH3" s="4"/>
      <c r="CUI3" s="4"/>
      <c r="CUJ3" s="4"/>
      <c r="CUK3" s="4"/>
      <c r="CUL3" s="4"/>
      <c r="CUM3" s="4"/>
      <c r="CUN3" s="4"/>
      <c r="CUO3" s="4"/>
      <c r="CUP3" s="4"/>
      <c r="CUQ3" s="4"/>
      <c r="CUR3" s="4"/>
      <c r="CUS3" s="4"/>
      <c r="CUT3" s="4"/>
      <c r="CUU3" s="4"/>
      <c r="CUV3" s="4"/>
      <c r="CUW3" s="4"/>
      <c r="CUX3" s="4"/>
      <c r="CUY3" s="4"/>
      <c r="CUZ3" s="4"/>
      <c r="CVA3" s="4"/>
      <c r="CVB3" s="4"/>
      <c r="CVC3" s="4"/>
      <c r="CVD3" s="4"/>
      <c r="CVE3" s="4"/>
      <c r="CVF3" s="4"/>
      <c r="CVG3" s="4"/>
      <c r="CVH3" s="4"/>
      <c r="CVI3" s="4"/>
      <c r="CVJ3" s="4"/>
      <c r="CVK3" s="4"/>
      <c r="CVL3" s="4"/>
      <c r="CVM3" s="4"/>
      <c r="CVN3" s="4"/>
      <c r="CVO3" s="4"/>
      <c r="CVP3" s="4"/>
      <c r="CVQ3" s="4"/>
      <c r="CVR3" s="4"/>
      <c r="CVS3" s="4"/>
      <c r="CVT3" s="4"/>
      <c r="CVU3" s="4"/>
      <c r="CVV3" s="4"/>
      <c r="CVW3" s="4"/>
      <c r="CVX3" s="4"/>
      <c r="CVY3" s="4"/>
      <c r="CVZ3" s="4"/>
      <c r="CWA3" s="4"/>
      <c r="CWB3" s="4"/>
      <c r="CWC3" s="4"/>
      <c r="CWD3" s="4"/>
      <c r="CWE3" s="4"/>
      <c r="CWF3" s="4"/>
      <c r="CWG3" s="4"/>
      <c r="CWH3" s="4"/>
      <c r="CWI3" s="4"/>
      <c r="CWJ3" s="4"/>
      <c r="CWK3" s="4"/>
      <c r="CWL3" s="4"/>
      <c r="CWM3" s="4"/>
      <c r="CWN3" s="4"/>
      <c r="CWO3" s="4"/>
      <c r="CWP3" s="4"/>
      <c r="CWQ3" s="4"/>
      <c r="CWR3" s="4"/>
      <c r="CWS3" s="4"/>
      <c r="CWT3" s="4"/>
      <c r="CWU3" s="4"/>
      <c r="CWV3" s="4"/>
      <c r="CWW3" s="4"/>
      <c r="CWX3" s="4"/>
      <c r="CWY3" s="4"/>
      <c r="CWZ3" s="4"/>
      <c r="CXA3" s="4"/>
      <c r="CXB3" s="4"/>
      <c r="CXC3" s="4"/>
      <c r="CXD3" s="4"/>
      <c r="CXE3" s="4"/>
      <c r="CXF3" s="4"/>
      <c r="CXG3" s="4"/>
      <c r="CXH3" s="4"/>
      <c r="CXI3" s="4"/>
      <c r="CXJ3" s="4"/>
      <c r="CXK3" s="4"/>
      <c r="CXL3" s="4"/>
      <c r="CXM3" s="4"/>
      <c r="CXN3" s="4"/>
      <c r="CXO3" s="4"/>
      <c r="CXP3" s="4"/>
      <c r="CXQ3" s="4"/>
      <c r="CXR3" s="4"/>
      <c r="CXS3" s="4"/>
      <c r="CXT3" s="4"/>
      <c r="CXU3" s="4"/>
      <c r="CXV3" s="4"/>
      <c r="CXW3" s="4"/>
      <c r="CXX3" s="4"/>
      <c r="CXY3" s="4"/>
      <c r="CXZ3" s="4"/>
      <c r="CYA3" s="4"/>
      <c r="CYB3" s="4"/>
      <c r="CYC3" s="4"/>
      <c r="CYD3" s="4"/>
      <c r="CYE3" s="4"/>
      <c r="CYF3" s="4"/>
      <c r="CYG3" s="4"/>
      <c r="CYH3" s="4"/>
      <c r="CYI3" s="4"/>
      <c r="CYJ3" s="4"/>
      <c r="CYK3" s="4"/>
      <c r="CYL3" s="4"/>
      <c r="CYM3" s="4"/>
      <c r="CYN3" s="4"/>
      <c r="CYO3" s="4"/>
      <c r="CYP3" s="4"/>
      <c r="CYQ3" s="4"/>
      <c r="CYR3" s="4"/>
      <c r="CYS3" s="4"/>
      <c r="CYT3" s="4"/>
      <c r="CYU3" s="4"/>
      <c r="CYV3" s="4"/>
      <c r="CYW3" s="4"/>
      <c r="CYX3" s="4"/>
      <c r="CYY3" s="4"/>
      <c r="CYZ3" s="4"/>
      <c r="CZA3" s="4"/>
      <c r="CZB3" s="4"/>
      <c r="CZC3" s="4"/>
      <c r="CZD3" s="4"/>
      <c r="CZE3" s="4"/>
      <c r="CZF3" s="4"/>
      <c r="CZG3" s="4"/>
      <c r="CZH3" s="4"/>
      <c r="CZI3" s="4"/>
      <c r="CZJ3" s="4"/>
      <c r="CZK3" s="4"/>
      <c r="CZL3" s="4"/>
      <c r="CZM3" s="4"/>
      <c r="CZN3" s="4"/>
      <c r="CZO3" s="4"/>
      <c r="CZP3" s="4"/>
      <c r="CZQ3" s="4"/>
      <c r="CZR3" s="4"/>
      <c r="CZS3" s="4"/>
      <c r="CZT3" s="4"/>
      <c r="CZU3" s="4"/>
      <c r="CZV3" s="4"/>
      <c r="CZW3" s="4"/>
      <c r="CZX3" s="4"/>
      <c r="CZY3" s="4"/>
      <c r="CZZ3" s="4"/>
      <c r="DAA3" s="4"/>
      <c r="DAB3" s="4"/>
      <c r="DAC3" s="4"/>
      <c r="DAD3" s="4"/>
      <c r="DAE3" s="4"/>
      <c r="DAF3" s="4"/>
      <c r="DAG3" s="4"/>
      <c r="DAH3" s="4"/>
      <c r="DAI3" s="4"/>
      <c r="DAJ3" s="4"/>
      <c r="DAK3" s="4"/>
      <c r="DAL3" s="4"/>
      <c r="DAM3" s="4"/>
      <c r="DAN3" s="4"/>
      <c r="DAO3" s="4"/>
      <c r="DAP3" s="4"/>
      <c r="DAQ3" s="4"/>
      <c r="DAR3" s="4"/>
      <c r="DAS3" s="4"/>
      <c r="DAT3" s="4"/>
      <c r="DAU3" s="4"/>
      <c r="DAV3" s="4"/>
      <c r="DAW3" s="4"/>
      <c r="DAX3" s="4"/>
      <c r="DAY3" s="4"/>
      <c r="DAZ3" s="4"/>
      <c r="DBA3" s="4"/>
      <c r="DBB3" s="4"/>
      <c r="DBC3" s="4"/>
      <c r="DBD3" s="4"/>
      <c r="DBE3" s="4"/>
      <c r="DBF3" s="4"/>
      <c r="DBG3" s="4"/>
      <c r="DBH3" s="4"/>
      <c r="DBI3" s="4"/>
      <c r="DBJ3" s="4"/>
      <c r="DBK3" s="4"/>
      <c r="DBL3" s="4"/>
      <c r="DBM3" s="4"/>
      <c r="DBN3" s="4"/>
      <c r="DBO3" s="4"/>
      <c r="DBP3" s="4"/>
      <c r="DBQ3" s="4"/>
      <c r="DBR3" s="4"/>
      <c r="DBS3" s="4"/>
      <c r="DBT3" s="4"/>
      <c r="DBU3" s="4"/>
      <c r="DBV3" s="4"/>
      <c r="DBW3" s="4"/>
      <c r="DBX3" s="4"/>
      <c r="DBY3" s="4"/>
      <c r="DBZ3" s="4"/>
      <c r="DCA3" s="4"/>
      <c r="DCB3" s="4"/>
      <c r="DCC3" s="4"/>
      <c r="DCD3" s="4"/>
      <c r="DCE3" s="4"/>
      <c r="DCF3" s="4"/>
      <c r="DCG3" s="4"/>
      <c r="DCH3" s="4"/>
      <c r="DCI3" s="4"/>
      <c r="DCJ3" s="4"/>
      <c r="DCK3" s="4"/>
      <c r="DCL3" s="4"/>
      <c r="DCM3" s="4"/>
      <c r="DCN3" s="4"/>
      <c r="DCO3" s="4"/>
      <c r="DCP3" s="4"/>
      <c r="DCQ3" s="4"/>
      <c r="DCR3" s="4"/>
      <c r="DCS3" s="4"/>
      <c r="DCT3" s="4"/>
      <c r="DCU3" s="4"/>
      <c r="DCV3" s="4"/>
      <c r="DCW3" s="4"/>
      <c r="DCX3" s="4"/>
      <c r="DCY3" s="4"/>
      <c r="DCZ3" s="4"/>
      <c r="DDA3" s="4"/>
      <c r="DDB3" s="4"/>
      <c r="DDC3" s="4"/>
      <c r="DDD3" s="4"/>
      <c r="DDE3" s="4"/>
      <c r="DDF3" s="4"/>
      <c r="DDG3" s="4"/>
      <c r="DDH3" s="4"/>
      <c r="DDI3" s="4"/>
      <c r="DDJ3" s="4"/>
      <c r="DDK3" s="4"/>
      <c r="DDL3" s="4"/>
      <c r="DDM3" s="4"/>
      <c r="DDN3" s="4"/>
      <c r="DDO3" s="4"/>
      <c r="DDP3" s="4"/>
      <c r="DDQ3" s="4"/>
      <c r="DDR3" s="4"/>
      <c r="DDS3" s="4"/>
      <c r="DDT3" s="4"/>
      <c r="DDU3" s="4"/>
      <c r="DDV3" s="4"/>
      <c r="DDW3" s="4"/>
      <c r="DDX3" s="4"/>
      <c r="DDY3" s="4"/>
      <c r="DDZ3" s="4"/>
      <c r="DEA3" s="4"/>
      <c r="DEB3" s="4"/>
      <c r="DEC3" s="4"/>
      <c r="DED3" s="4"/>
      <c r="DEE3" s="4"/>
      <c r="DEF3" s="4"/>
      <c r="DEG3" s="4"/>
      <c r="DEH3" s="4"/>
      <c r="DEI3" s="4"/>
      <c r="DEJ3" s="4"/>
      <c r="DEK3" s="4"/>
      <c r="DEL3" s="4"/>
      <c r="DEM3" s="4"/>
      <c r="DEN3" s="4"/>
      <c r="DEO3" s="4"/>
      <c r="DEP3" s="4"/>
      <c r="DEQ3" s="4"/>
      <c r="DER3" s="4"/>
      <c r="DES3" s="4"/>
      <c r="DET3" s="4"/>
      <c r="DEU3" s="4"/>
      <c r="DEV3" s="4"/>
      <c r="DEW3" s="4"/>
      <c r="DEX3" s="4"/>
      <c r="DEY3" s="4"/>
      <c r="DEZ3" s="4"/>
      <c r="DFA3" s="4"/>
      <c r="DFB3" s="4"/>
      <c r="DFC3" s="4"/>
      <c r="DFD3" s="4"/>
      <c r="DFE3" s="4"/>
      <c r="DFF3" s="4"/>
      <c r="DFG3" s="4"/>
      <c r="DFH3" s="4"/>
      <c r="DFI3" s="4"/>
      <c r="DFJ3" s="4"/>
      <c r="DFK3" s="4"/>
      <c r="DFL3" s="4"/>
      <c r="DFM3" s="4"/>
      <c r="DFN3" s="4"/>
      <c r="DFO3" s="4"/>
      <c r="DFP3" s="4"/>
      <c r="DFQ3" s="4"/>
      <c r="DFR3" s="4"/>
      <c r="DFS3" s="4"/>
      <c r="DFT3" s="4"/>
      <c r="DFU3" s="4"/>
      <c r="DFV3" s="4"/>
      <c r="DFW3" s="4"/>
      <c r="DFX3" s="4"/>
      <c r="DFY3" s="4"/>
      <c r="DFZ3" s="4"/>
      <c r="DGA3" s="4"/>
      <c r="DGB3" s="4"/>
      <c r="DGC3" s="4"/>
      <c r="DGD3" s="4"/>
      <c r="DGE3" s="4"/>
      <c r="DGF3" s="4"/>
      <c r="DGG3" s="4"/>
      <c r="DGH3" s="4"/>
      <c r="DGI3" s="4"/>
      <c r="DGJ3" s="4"/>
      <c r="DGK3" s="4"/>
      <c r="DGL3" s="4"/>
      <c r="DGM3" s="4"/>
      <c r="DGN3" s="4"/>
      <c r="DGO3" s="4"/>
      <c r="DGP3" s="4"/>
      <c r="DGQ3" s="4"/>
      <c r="DGR3" s="4"/>
      <c r="DGS3" s="4"/>
      <c r="DGT3" s="4"/>
      <c r="DGU3" s="4"/>
      <c r="DGV3" s="4"/>
      <c r="DGW3" s="4"/>
      <c r="DGX3" s="4"/>
      <c r="DGY3" s="4"/>
      <c r="DGZ3" s="4"/>
      <c r="DHA3" s="4"/>
      <c r="DHB3" s="4"/>
      <c r="DHC3" s="4"/>
      <c r="DHD3" s="4"/>
      <c r="DHE3" s="4"/>
      <c r="DHF3" s="4"/>
      <c r="DHG3" s="4"/>
      <c r="DHH3" s="4"/>
      <c r="DHI3" s="4"/>
      <c r="DHJ3" s="4"/>
      <c r="DHK3" s="4"/>
      <c r="DHL3" s="4"/>
      <c r="DHM3" s="4"/>
      <c r="DHN3" s="4"/>
      <c r="DHO3" s="4"/>
      <c r="DHP3" s="4"/>
      <c r="DHQ3" s="4"/>
      <c r="DHR3" s="4"/>
      <c r="DHS3" s="4"/>
      <c r="DHT3" s="4"/>
      <c r="DHU3" s="4"/>
      <c r="DHV3" s="4"/>
      <c r="DHW3" s="4"/>
      <c r="DHX3" s="4"/>
      <c r="DHY3" s="4"/>
      <c r="DHZ3" s="4"/>
      <c r="DIA3" s="4"/>
      <c r="DIB3" s="4"/>
      <c r="DIC3" s="4"/>
      <c r="DID3" s="4"/>
      <c r="DIE3" s="4"/>
      <c r="DIF3" s="4"/>
      <c r="DIG3" s="4"/>
      <c r="DIH3" s="4"/>
      <c r="DII3" s="4"/>
      <c r="DIJ3" s="4"/>
      <c r="DIK3" s="4"/>
      <c r="DIL3" s="4"/>
      <c r="DIM3" s="4"/>
      <c r="DIN3" s="4"/>
      <c r="DIO3" s="4"/>
      <c r="DIP3" s="4"/>
      <c r="DIQ3" s="4"/>
      <c r="DIR3" s="4"/>
      <c r="DIS3" s="4"/>
      <c r="DIT3" s="4"/>
      <c r="DIU3" s="4"/>
      <c r="DIV3" s="4"/>
      <c r="DIW3" s="4"/>
      <c r="DIX3" s="4"/>
      <c r="DIY3" s="4"/>
      <c r="DIZ3" s="4"/>
      <c r="DJA3" s="4"/>
      <c r="DJB3" s="4"/>
      <c r="DJC3" s="4"/>
      <c r="DJD3" s="4"/>
      <c r="DJE3" s="4"/>
      <c r="DJF3" s="4"/>
      <c r="DJG3" s="4"/>
      <c r="DJH3" s="4"/>
      <c r="DJI3" s="4"/>
      <c r="DJJ3" s="4"/>
      <c r="DJK3" s="4"/>
      <c r="DJL3" s="4"/>
      <c r="DJM3" s="4"/>
      <c r="DJN3" s="4"/>
      <c r="DJO3" s="4"/>
      <c r="DJP3" s="4"/>
      <c r="DJQ3" s="4"/>
      <c r="DJR3" s="4"/>
      <c r="DJS3" s="4"/>
      <c r="DJT3" s="4"/>
      <c r="DJU3" s="4"/>
      <c r="DJV3" s="4"/>
      <c r="DJW3" s="4"/>
      <c r="DJX3" s="4"/>
      <c r="DJY3" s="4"/>
      <c r="DJZ3" s="4"/>
      <c r="DKA3" s="4"/>
      <c r="DKB3" s="4"/>
      <c r="DKC3" s="4"/>
      <c r="DKD3" s="4"/>
      <c r="DKE3" s="4"/>
      <c r="DKF3" s="4"/>
      <c r="DKG3" s="4"/>
      <c r="DKH3" s="4"/>
      <c r="DKI3" s="4"/>
      <c r="DKJ3" s="4"/>
      <c r="DKK3" s="4"/>
      <c r="DKL3" s="4"/>
      <c r="DKM3" s="4"/>
      <c r="DKN3" s="4"/>
      <c r="DKO3" s="4"/>
      <c r="DKP3" s="4"/>
      <c r="DKQ3" s="4"/>
      <c r="DKR3" s="4"/>
      <c r="DKS3" s="4"/>
      <c r="DKT3" s="4"/>
      <c r="DKU3" s="4"/>
      <c r="DKV3" s="4"/>
      <c r="DKW3" s="4"/>
      <c r="DKX3" s="4"/>
      <c r="DKY3" s="4"/>
      <c r="DKZ3" s="4"/>
      <c r="DLA3" s="4"/>
      <c r="DLB3" s="4"/>
      <c r="DLC3" s="4"/>
      <c r="DLD3" s="4"/>
      <c r="DLE3" s="4"/>
      <c r="DLF3" s="4"/>
      <c r="DLG3" s="4"/>
      <c r="DLH3" s="4"/>
      <c r="DLI3" s="4"/>
      <c r="DLJ3" s="4"/>
      <c r="DLK3" s="4"/>
      <c r="DLL3" s="4"/>
      <c r="DLM3" s="4"/>
      <c r="DLN3" s="4"/>
      <c r="DLO3" s="4"/>
      <c r="DLP3" s="4"/>
      <c r="DLQ3" s="4"/>
      <c r="DLR3" s="4"/>
      <c r="DLS3" s="4"/>
      <c r="DLT3" s="4"/>
      <c r="DLU3" s="4"/>
      <c r="DLV3" s="4"/>
      <c r="DLW3" s="4"/>
      <c r="DLX3" s="4"/>
      <c r="DLY3" s="4"/>
      <c r="DLZ3" s="4"/>
      <c r="DMA3" s="4"/>
      <c r="DMB3" s="4"/>
      <c r="DMC3" s="4"/>
      <c r="DMD3" s="4"/>
      <c r="DME3" s="4"/>
      <c r="DMF3" s="4"/>
      <c r="DMG3" s="4"/>
      <c r="DMH3" s="4"/>
      <c r="DMI3" s="4"/>
      <c r="DMJ3" s="4"/>
      <c r="DMK3" s="4"/>
      <c r="DML3" s="4"/>
      <c r="DMM3" s="4"/>
      <c r="DMN3" s="4"/>
      <c r="DMO3" s="4"/>
      <c r="DMP3" s="4"/>
      <c r="DMQ3" s="4"/>
      <c r="DMR3" s="4"/>
      <c r="DMS3" s="4"/>
      <c r="DMT3" s="4"/>
      <c r="DMU3" s="4"/>
      <c r="DMV3" s="4"/>
      <c r="DMW3" s="4"/>
      <c r="DMX3" s="4"/>
      <c r="DMY3" s="4"/>
      <c r="DMZ3" s="4"/>
      <c r="DNA3" s="4"/>
      <c r="DNB3" s="4"/>
      <c r="DNC3" s="4"/>
      <c r="DND3" s="4"/>
      <c r="DNE3" s="4"/>
      <c r="DNF3" s="4"/>
      <c r="DNG3" s="4"/>
      <c r="DNH3" s="4"/>
      <c r="DNI3" s="4"/>
      <c r="DNJ3" s="4"/>
      <c r="DNK3" s="4"/>
      <c r="DNL3" s="4"/>
      <c r="DNM3" s="4"/>
      <c r="DNN3" s="4"/>
      <c r="DNO3" s="4"/>
      <c r="DNP3" s="4"/>
      <c r="DNQ3" s="4"/>
      <c r="DNR3" s="4"/>
      <c r="DNS3" s="4"/>
      <c r="DNT3" s="4"/>
      <c r="DNU3" s="4"/>
      <c r="DNV3" s="4"/>
      <c r="DNW3" s="4"/>
      <c r="DNX3" s="4"/>
      <c r="DNY3" s="4"/>
      <c r="DNZ3" s="4"/>
      <c r="DOA3" s="4"/>
      <c r="DOB3" s="4"/>
      <c r="DOC3" s="4"/>
      <c r="DOD3" s="4"/>
      <c r="DOE3" s="4"/>
      <c r="DOF3" s="4"/>
      <c r="DOG3" s="4"/>
      <c r="DOH3" s="4"/>
      <c r="DOI3" s="4"/>
      <c r="DOJ3" s="4"/>
      <c r="DOK3" s="4"/>
      <c r="DOL3" s="4"/>
      <c r="DOM3" s="4"/>
      <c r="DON3" s="4"/>
      <c r="DOO3" s="4"/>
      <c r="DOP3" s="4"/>
      <c r="DOQ3" s="4"/>
      <c r="DOR3" s="4"/>
      <c r="DOS3" s="4"/>
      <c r="DOT3" s="4"/>
      <c r="DOU3" s="4"/>
      <c r="DOV3" s="4"/>
      <c r="DOW3" s="4"/>
      <c r="DOX3" s="4"/>
      <c r="DOY3" s="4"/>
      <c r="DOZ3" s="4"/>
      <c r="DPA3" s="4"/>
      <c r="DPB3" s="4"/>
      <c r="DPC3" s="4"/>
      <c r="DPD3" s="4"/>
      <c r="DPE3" s="4"/>
      <c r="DPF3" s="4"/>
      <c r="DPG3" s="4"/>
      <c r="DPH3" s="4"/>
      <c r="DPI3" s="4"/>
      <c r="DPJ3" s="4"/>
      <c r="DPK3" s="4"/>
      <c r="DPL3" s="4"/>
      <c r="DPM3" s="4"/>
      <c r="DPN3" s="4"/>
      <c r="DPO3" s="4"/>
      <c r="DPP3" s="4"/>
      <c r="DPQ3" s="4"/>
      <c r="DPR3" s="4"/>
      <c r="DPS3" s="4"/>
      <c r="DPT3" s="4"/>
      <c r="DPU3" s="4"/>
      <c r="DPV3" s="4"/>
      <c r="DPW3" s="4"/>
      <c r="DPX3" s="4"/>
      <c r="DPY3" s="4"/>
      <c r="DPZ3" s="4"/>
      <c r="DQA3" s="4"/>
      <c r="DQB3" s="4"/>
      <c r="DQC3" s="4"/>
      <c r="DQD3" s="4"/>
      <c r="DQE3" s="4"/>
      <c r="DQF3" s="4"/>
      <c r="DQG3" s="4"/>
      <c r="DQH3" s="4"/>
      <c r="DQI3" s="4"/>
      <c r="DQJ3" s="4"/>
      <c r="DQK3" s="4"/>
      <c r="DQL3" s="4"/>
      <c r="DQM3" s="4"/>
      <c r="DQN3" s="4"/>
      <c r="DQO3" s="4"/>
      <c r="DQP3" s="4"/>
      <c r="DQQ3" s="4"/>
      <c r="DQR3" s="4"/>
      <c r="DQS3" s="4"/>
      <c r="DQT3" s="4"/>
      <c r="DQU3" s="4"/>
      <c r="DQV3" s="4"/>
      <c r="DQW3" s="4"/>
      <c r="DQX3" s="4"/>
      <c r="DQY3" s="4"/>
      <c r="DQZ3" s="4"/>
      <c r="DRA3" s="4"/>
      <c r="DRB3" s="4"/>
      <c r="DRC3" s="4"/>
      <c r="DRD3" s="4"/>
      <c r="DRE3" s="4"/>
      <c r="DRF3" s="4"/>
      <c r="DRG3" s="4"/>
      <c r="DRH3" s="4"/>
      <c r="DRI3" s="4"/>
      <c r="DRJ3" s="4"/>
      <c r="DRK3" s="4"/>
      <c r="DRL3" s="4"/>
      <c r="DRM3" s="4"/>
      <c r="DRN3" s="4"/>
      <c r="DRO3" s="4"/>
      <c r="DRP3" s="4"/>
      <c r="DRQ3" s="4"/>
      <c r="DRR3" s="4"/>
      <c r="DRS3" s="4"/>
      <c r="DRT3" s="4"/>
      <c r="DRU3" s="4"/>
      <c r="DRV3" s="4"/>
      <c r="DRW3" s="4"/>
      <c r="DRX3" s="4"/>
      <c r="DRY3" s="4"/>
      <c r="DRZ3" s="4"/>
      <c r="DSA3" s="4"/>
      <c r="DSB3" s="4"/>
      <c r="DSC3" s="4"/>
      <c r="DSD3" s="4"/>
      <c r="DSE3" s="4"/>
      <c r="DSF3" s="4"/>
      <c r="DSG3" s="4"/>
      <c r="DSH3" s="4"/>
      <c r="DSI3" s="4"/>
      <c r="DSJ3" s="4"/>
      <c r="DSK3" s="4"/>
      <c r="DSL3" s="4"/>
      <c r="DSM3" s="4"/>
      <c r="DSN3" s="4"/>
      <c r="DSO3" s="4"/>
      <c r="DSP3" s="4"/>
      <c r="DSQ3" s="4"/>
      <c r="DSR3" s="4"/>
      <c r="DSS3" s="4"/>
      <c r="DST3" s="4"/>
      <c r="DSU3" s="4"/>
      <c r="DSV3" s="4"/>
      <c r="DSW3" s="4"/>
      <c r="DSX3" s="4"/>
      <c r="DSY3" s="4"/>
      <c r="DSZ3" s="4"/>
      <c r="DTA3" s="4"/>
      <c r="DTB3" s="4"/>
      <c r="DTC3" s="4"/>
      <c r="DTD3" s="4"/>
      <c r="DTE3" s="4"/>
      <c r="DTF3" s="4"/>
      <c r="DTG3" s="4"/>
      <c r="DTH3" s="4"/>
      <c r="DTI3" s="4"/>
      <c r="DTJ3" s="4"/>
      <c r="DTK3" s="4"/>
      <c r="DTL3" s="4"/>
      <c r="DTM3" s="4"/>
      <c r="DTN3" s="4"/>
      <c r="DTO3" s="4"/>
      <c r="DTP3" s="4"/>
      <c r="DTQ3" s="4"/>
      <c r="DTR3" s="4"/>
      <c r="DTS3" s="4"/>
      <c r="DTT3" s="4"/>
      <c r="DTU3" s="4"/>
      <c r="DTV3" s="4"/>
      <c r="DTW3" s="4"/>
      <c r="DTX3" s="4"/>
      <c r="DTY3" s="4"/>
      <c r="DTZ3" s="4"/>
      <c r="DUA3" s="4"/>
      <c r="DUB3" s="4"/>
      <c r="DUC3" s="4"/>
      <c r="DUD3" s="4"/>
      <c r="DUE3" s="4"/>
      <c r="DUF3" s="4"/>
      <c r="DUG3" s="4"/>
      <c r="DUH3" s="4"/>
      <c r="DUI3" s="4"/>
      <c r="DUJ3" s="4"/>
      <c r="DUK3" s="4"/>
      <c r="DUL3" s="4"/>
      <c r="DUM3" s="4"/>
      <c r="DUN3" s="4"/>
      <c r="DUO3" s="4"/>
      <c r="DUP3" s="4"/>
      <c r="DUQ3" s="4"/>
      <c r="DUR3" s="4"/>
      <c r="DUS3" s="4"/>
      <c r="DUT3" s="4"/>
      <c r="DUU3" s="4"/>
      <c r="DUV3" s="4"/>
      <c r="DUW3" s="4"/>
      <c r="DUX3" s="4"/>
      <c r="DUY3" s="4"/>
      <c r="DUZ3" s="4"/>
      <c r="DVA3" s="4"/>
      <c r="DVB3" s="4"/>
      <c r="DVC3" s="4"/>
      <c r="DVD3" s="4"/>
      <c r="DVE3" s="4"/>
      <c r="DVF3" s="4"/>
      <c r="DVG3" s="4"/>
      <c r="DVH3" s="4"/>
      <c r="DVI3" s="4"/>
      <c r="DVJ3" s="4"/>
      <c r="DVK3" s="4"/>
      <c r="DVL3" s="4"/>
      <c r="DVM3" s="4"/>
      <c r="DVN3" s="4"/>
      <c r="DVO3" s="4"/>
      <c r="DVP3" s="4"/>
      <c r="DVQ3" s="4"/>
      <c r="DVR3" s="4"/>
      <c r="DVS3" s="4"/>
      <c r="DVT3" s="4"/>
      <c r="DVU3" s="4"/>
      <c r="DVV3" s="4"/>
      <c r="DVW3" s="4"/>
      <c r="DVX3" s="4"/>
      <c r="DVY3" s="4"/>
      <c r="DVZ3" s="4"/>
      <c r="DWA3" s="4"/>
      <c r="DWB3" s="4"/>
      <c r="DWC3" s="4"/>
      <c r="DWD3" s="4"/>
      <c r="DWE3" s="4"/>
      <c r="DWF3" s="4"/>
      <c r="DWG3" s="4"/>
      <c r="DWH3" s="4"/>
      <c r="DWI3" s="4"/>
      <c r="DWJ3" s="4"/>
      <c r="DWK3" s="4"/>
      <c r="DWL3" s="4"/>
      <c r="DWM3" s="4"/>
      <c r="DWN3" s="4"/>
      <c r="DWO3" s="4"/>
      <c r="DWP3" s="4"/>
      <c r="DWQ3" s="4"/>
      <c r="DWR3" s="4"/>
      <c r="DWS3" s="4"/>
      <c r="DWT3" s="4"/>
      <c r="DWU3" s="4"/>
      <c r="DWV3" s="4"/>
      <c r="DWW3" s="4"/>
      <c r="DWX3" s="4"/>
      <c r="DWY3" s="4"/>
      <c r="DWZ3" s="4"/>
      <c r="DXA3" s="4"/>
      <c r="DXB3" s="4"/>
      <c r="DXC3" s="4"/>
      <c r="DXD3" s="4"/>
      <c r="DXE3" s="4"/>
      <c r="DXF3" s="4"/>
      <c r="DXG3" s="4"/>
      <c r="DXH3" s="4"/>
      <c r="DXI3" s="4"/>
      <c r="DXJ3" s="4"/>
      <c r="DXK3" s="4"/>
      <c r="DXL3" s="4"/>
      <c r="DXM3" s="4"/>
      <c r="DXN3" s="4"/>
      <c r="DXO3" s="4"/>
      <c r="DXP3" s="4"/>
      <c r="DXQ3" s="4"/>
      <c r="DXR3" s="4"/>
      <c r="DXS3" s="4"/>
      <c r="DXT3" s="4"/>
      <c r="DXU3" s="4"/>
      <c r="DXV3" s="4"/>
      <c r="DXW3" s="4"/>
      <c r="DXX3" s="4"/>
      <c r="DXY3" s="4"/>
      <c r="DXZ3" s="4"/>
      <c r="DYA3" s="4"/>
      <c r="DYB3" s="4"/>
      <c r="DYC3" s="4"/>
      <c r="DYD3" s="4"/>
      <c r="DYE3" s="4"/>
      <c r="DYF3" s="4"/>
      <c r="DYG3" s="4"/>
      <c r="DYH3" s="4"/>
      <c r="DYI3" s="4"/>
      <c r="DYJ3" s="4"/>
      <c r="DYK3" s="4"/>
      <c r="DYL3" s="4"/>
      <c r="DYM3" s="4"/>
      <c r="DYN3" s="4"/>
      <c r="DYO3" s="4"/>
      <c r="DYP3" s="4"/>
      <c r="DYQ3" s="4"/>
      <c r="DYR3" s="4"/>
      <c r="DYS3" s="4"/>
      <c r="DYT3" s="4"/>
      <c r="DYU3" s="4"/>
      <c r="DYV3" s="4"/>
      <c r="DYW3" s="4"/>
      <c r="DYX3" s="4"/>
      <c r="DYY3" s="4"/>
      <c r="DYZ3" s="4"/>
      <c r="DZA3" s="4"/>
      <c r="DZB3" s="4"/>
      <c r="DZC3" s="4"/>
      <c r="DZD3" s="4"/>
      <c r="DZE3" s="4"/>
      <c r="DZF3" s="4"/>
      <c r="DZG3" s="4"/>
      <c r="DZH3" s="4"/>
      <c r="DZI3" s="4"/>
      <c r="DZJ3" s="4"/>
      <c r="DZK3" s="4"/>
      <c r="DZL3" s="4"/>
      <c r="DZM3" s="4"/>
      <c r="DZN3" s="4"/>
      <c r="DZO3" s="4"/>
      <c r="DZP3" s="4"/>
      <c r="DZQ3" s="4"/>
      <c r="DZR3" s="4"/>
      <c r="DZS3" s="4"/>
      <c r="DZT3" s="4"/>
      <c r="DZU3" s="4"/>
      <c r="DZV3" s="4"/>
      <c r="DZW3" s="4"/>
      <c r="DZX3" s="4"/>
      <c r="DZY3" s="4"/>
      <c r="DZZ3" s="4"/>
      <c r="EAA3" s="4"/>
      <c r="EAB3" s="4"/>
      <c r="EAC3" s="4"/>
      <c r="EAD3" s="4"/>
      <c r="EAE3" s="4"/>
      <c r="EAF3" s="4"/>
      <c r="EAG3" s="4"/>
      <c r="EAH3" s="4"/>
      <c r="EAI3" s="4"/>
      <c r="EAJ3" s="4"/>
      <c r="EAK3" s="4"/>
      <c r="EAL3" s="4"/>
      <c r="EAM3" s="4"/>
      <c r="EAN3" s="4"/>
      <c r="EAO3" s="4"/>
      <c r="EAP3" s="4"/>
      <c r="EAQ3" s="4"/>
      <c r="EAR3" s="4"/>
      <c r="EAS3" s="4"/>
      <c r="EAT3" s="4"/>
      <c r="EAU3" s="4"/>
      <c r="EAV3" s="4"/>
      <c r="EAW3" s="4"/>
      <c r="EAX3" s="4"/>
      <c r="EAY3" s="4"/>
      <c r="EAZ3" s="4"/>
      <c r="EBA3" s="4"/>
      <c r="EBB3" s="4"/>
      <c r="EBC3" s="4"/>
      <c r="EBD3" s="4"/>
      <c r="EBE3" s="4"/>
      <c r="EBF3" s="4"/>
      <c r="EBG3" s="4"/>
      <c r="EBH3" s="4"/>
      <c r="EBI3" s="4"/>
      <c r="EBJ3" s="4"/>
      <c r="EBK3" s="4"/>
      <c r="EBL3" s="4"/>
      <c r="EBM3" s="4"/>
      <c r="EBN3" s="4"/>
      <c r="EBO3" s="4"/>
      <c r="EBP3" s="4"/>
      <c r="EBQ3" s="4"/>
      <c r="EBR3" s="4"/>
      <c r="EBS3" s="4"/>
      <c r="EBT3" s="4"/>
      <c r="EBU3" s="4"/>
      <c r="EBV3" s="4"/>
      <c r="EBW3" s="4"/>
      <c r="EBX3" s="4"/>
      <c r="EBY3" s="4"/>
      <c r="EBZ3" s="4"/>
      <c r="ECA3" s="4"/>
      <c r="ECB3" s="4"/>
      <c r="ECC3" s="4"/>
      <c r="ECD3" s="4"/>
      <c r="ECE3" s="4"/>
      <c r="ECF3" s="4"/>
      <c r="ECG3" s="4"/>
      <c r="ECH3" s="4"/>
      <c r="ECI3" s="4"/>
      <c r="ECJ3" s="4"/>
      <c r="ECK3" s="4"/>
      <c r="ECL3" s="4"/>
      <c r="ECM3" s="4"/>
      <c r="ECN3" s="4"/>
      <c r="ECO3" s="4"/>
      <c r="ECP3" s="4"/>
      <c r="ECQ3" s="4"/>
      <c r="ECR3" s="4"/>
      <c r="ECS3" s="4"/>
      <c r="ECT3" s="4"/>
      <c r="ECU3" s="4"/>
      <c r="ECV3" s="4"/>
      <c r="ECW3" s="4"/>
      <c r="ECX3" s="4"/>
      <c r="ECY3" s="4"/>
      <c r="ECZ3" s="4"/>
      <c r="EDA3" s="4"/>
      <c r="EDB3" s="4"/>
      <c r="EDC3" s="4"/>
      <c r="EDD3" s="4"/>
      <c r="EDE3" s="4"/>
      <c r="EDF3" s="4"/>
      <c r="EDG3" s="4"/>
      <c r="EDH3" s="4"/>
      <c r="EDI3" s="4"/>
      <c r="EDJ3" s="4"/>
      <c r="EDK3" s="4"/>
      <c r="EDL3" s="4"/>
      <c r="EDM3" s="4"/>
      <c r="EDN3" s="4"/>
      <c r="EDO3" s="4"/>
      <c r="EDP3" s="4"/>
      <c r="EDQ3" s="4"/>
      <c r="EDR3" s="4"/>
      <c r="EDS3" s="4"/>
      <c r="EDT3" s="4"/>
      <c r="EDU3" s="4"/>
      <c r="EDV3" s="4"/>
      <c r="EDW3" s="4"/>
      <c r="EDX3" s="4"/>
      <c r="EDY3" s="4"/>
      <c r="EDZ3" s="4"/>
      <c r="EEA3" s="4"/>
      <c r="EEB3" s="4"/>
      <c r="EEC3" s="4"/>
      <c r="EED3" s="4"/>
      <c r="EEE3" s="4"/>
      <c r="EEF3" s="4"/>
      <c r="EEG3" s="4"/>
      <c r="EEH3" s="4"/>
      <c r="EEI3" s="4"/>
      <c r="EEJ3" s="4"/>
      <c r="EEK3" s="4"/>
      <c r="EEL3" s="4"/>
      <c r="EEM3" s="4"/>
      <c r="EEN3" s="4"/>
      <c r="EEO3" s="4"/>
      <c r="EEP3" s="4"/>
      <c r="EEQ3" s="4"/>
      <c r="EER3" s="4"/>
      <c r="EES3" s="4"/>
      <c r="EET3" s="4"/>
      <c r="EEU3" s="4"/>
      <c r="EEV3" s="4"/>
      <c r="EEW3" s="4"/>
      <c r="EEX3" s="4"/>
      <c r="EEY3" s="4"/>
      <c r="EEZ3" s="4"/>
      <c r="EFA3" s="4"/>
      <c r="EFB3" s="4"/>
      <c r="EFC3" s="4"/>
      <c r="EFD3" s="4"/>
      <c r="EFE3" s="4"/>
      <c r="EFF3" s="4"/>
      <c r="EFG3" s="4"/>
      <c r="EFH3" s="4"/>
      <c r="EFI3" s="4"/>
      <c r="EFJ3" s="4"/>
      <c r="EFK3" s="4"/>
      <c r="EFL3" s="4"/>
      <c r="EFM3" s="4"/>
      <c r="EFN3" s="4"/>
      <c r="EFO3" s="4"/>
      <c r="EFP3" s="4"/>
      <c r="EFQ3" s="4"/>
      <c r="EFR3" s="4"/>
      <c r="EFS3" s="4"/>
      <c r="EFT3" s="4"/>
      <c r="EFU3" s="4"/>
      <c r="EFV3" s="4"/>
      <c r="EFW3" s="4"/>
      <c r="EFX3" s="4"/>
      <c r="EFY3" s="4"/>
      <c r="EFZ3" s="4"/>
      <c r="EGA3" s="4"/>
      <c r="EGB3" s="4"/>
      <c r="EGC3" s="4"/>
      <c r="EGD3" s="4"/>
      <c r="EGE3" s="4"/>
      <c r="EGF3" s="4"/>
      <c r="EGG3" s="4"/>
      <c r="EGH3" s="4"/>
      <c r="EGI3" s="4"/>
      <c r="EGJ3" s="4"/>
      <c r="EGK3" s="4"/>
      <c r="EGL3" s="4"/>
      <c r="EGM3" s="4"/>
      <c r="EGN3" s="4"/>
      <c r="EGO3" s="4"/>
      <c r="EGP3" s="4"/>
      <c r="EGQ3" s="4"/>
      <c r="EGR3" s="4"/>
      <c r="EGS3" s="4"/>
      <c r="EGT3" s="4"/>
      <c r="EGU3" s="4"/>
      <c r="EGV3" s="4"/>
      <c r="EGW3" s="4"/>
      <c r="EGX3" s="4"/>
      <c r="EGY3" s="4"/>
      <c r="EGZ3" s="4"/>
      <c r="EHA3" s="4"/>
      <c r="EHB3" s="4"/>
      <c r="EHC3" s="4"/>
      <c r="EHD3" s="4"/>
      <c r="EHE3" s="4"/>
      <c r="EHF3" s="4"/>
      <c r="EHG3" s="4"/>
      <c r="EHH3" s="4"/>
      <c r="EHI3" s="4"/>
      <c r="EHJ3" s="4"/>
      <c r="EHK3" s="4"/>
      <c r="EHL3" s="4"/>
      <c r="EHM3" s="4"/>
      <c r="EHN3" s="4"/>
      <c r="EHO3" s="4"/>
      <c r="EHP3" s="4"/>
      <c r="EHQ3" s="4"/>
      <c r="EHR3" s="4"/>
      <c r="EHS3" s="4"/>
      <c r="EHT3" s="4"/>
      <c r="EHU3" s="4"/>
      <c r="EHV3" s="4"/>
      <c r="EHW3" s="4"/>
      <c r="EHX3" s="4"/>
      <c r="EHY3" s="4"/>
      <c r="EHZ3" s="4"/>
      <c r="EIA3" s="4"/>
      <c r="EIB3" s="4"/>
      <c r="EIC3" s="4"/>
      <c r="EID3" s="4"/>
      <c r="EIE3" s="4"/>
      <c r="EIF3" s="4"/>
      <c r="EIG3" s="4"/>
      <c r="EIH3" s="4"/>
      <c r="EII3" s="4"/>
      <c r="EIJ3" s="4"/>
      <c r="EIK3" s="4"/>
      <c r="EIL3" s="4"/>
      <c r="EIM3" s="4"/>
      <c r="EIN3" s="4"/>
      <c r="EIO3" s="4"/>
      <c r="EIP3" s="4"/>
      <c r="EIQ3" s="4"/>
      <c r="EIR3" s="4"/>
      <c r="EIS3" s="4"/>
      <c r="EIT3" s="4"/>
      <c r="EIU3" s="4"/>
      <c r="EIV3" s="4"/>
      <c r="EIW3" s="4"/>
      <c r="EIX3" s="4"/>
      <c r="EIY3" s="4"/>
      <c r="EIZ3" s="4"/>
      <c r="EJA3" s="4"/>
      <c r="EJB3" s="4"/>
      <c r="EJC3" s="4"/>
      <c r="EJD3" s="4"/>
      <c r="EJE3" s="4"/>
      <c r="EJF3" s="4"/>
      <c r="EJG3" s="4"/>
      <c r="EJH3" s="4"/>
      <c r="EJI3" s="4"/>
      <c r="EJJ3" s="4"/>
      <c r="EJK3" s="4"/>
      <c r="EJL3" s="4"/>
      <c r="EJM3" s="4"/>
      <c r="EJN3" s="4"/>
      <c r="EJO3" s="4"/>
      <c r="EJP3" s="4"/>
      <c r="EJQ3" s="4"/>
      <c r="EJR3" s="4"/>
      <c r="EJS3" s="4"/>
      <c r="EJT3" s="4"/>
      <c r="EJU3" s="4"/>
      <c r="EJV3" s="4"/>
      <c r="EJW3" s="4"/>
      <c r="EJX3" s="4"/>
      <c r="EJY3" s="4"/>
      <c r="EJZ3" s="4"/>
      <c r="EKA3" s="4"/>
      <c r="EKB3" s="4"/>
      <c r="EKC3" s="4"/>
      <c r="EKD3" s="4"/>
      <c r="EKE3" s="4"/>
      <c r="EKF3" s="4"/>
      <c r="EKG3" s="4"/>
      <c r="EKH3" s="4"/>
      <c r="EKI3" s="4"/>
      <c r="EKJ3" s="4"/>
      <c r="EKK3" s="4"/>
      <c r="EKL3" s="4"/>
      <c r="EKM3" s="4"/>
      <c r="EKN3" s="4"/>
      <c r="EKO3" s="4"/>
      <c r="EKP3" s="4"/>
      <c r="EKQ3" s="4"/>
      <c r="EKR3" s="4"/>
      <c r="EKS3" s="4"/>
      <c r="EKT3" s="4"/>
      <c r="EKU3" s="4"/>
      <c r="EKV3" s="4"/>
      <c r="EKW3" s="4"/>
      <c r="EKX3" s="4"/>
      <c r="EKY3" s="4"/>
      <c r="EKZ3" s="4"/>
      <c r="ELA3" s="4"/>
      <c r="ELB3" s="4"/>
      <c r="ELC3" s="4"/>
      <c r="ELD3" s="4"/>
      <c r="ELE3" s="4"/>
      <c r="ELF3" s="4"/>
      <c r="ELG3" s="4"/>
      <c r="ELH3" s="4"/>
      <c r="ELI3" s="4"/>
      <c r="ELJ3" s="4"/>
      <c r="ELK3" s="4"/>
      <c r="ELL3" s="4"/>
      <c r="ELM3" s="4"/>
      <c r="ELN3" s="4"/>
      <c r="ELO3" s="4"/>
      <c r="ELP3" s="4"/>
      <c r="ELQ3" s="4"/>
      <c r="ELR3" s="4"/>
      <c r="ELS3" s="4"/>
      <c r="ELT3" s="4"/>
      <c r="ELU3" s="4"/>
      <c r="ELV3" s="4"/>
      <c r="ELW3" s="4"/>
      <c r="ELX3" s="4"/>
      <c r="ELY3" s="4"/>
      <c r="ELZ3" s="4"/>
      <c r="EMA3" s="4"/>
      <c r="EMB3" s="4"/>
      <c r="EMC3" s="4"/>
      <c r="EMD3" s="4"/>
      <c r="EME3" s="4"/>
      <c r="EMF3" s="4"/>
      <c r="EMG3" s="4"/>
      <c r="EMH3" s="4"/>
      <c r="EMI3" s="4"/>
      <c r="EMJ3" s="4"/>
      <c r="EMK3" s="4"/>
      <c r="EML3" s="4"/>
      <c r="EMM3" s="4"/>
      <c r="EMN3" s="4"/>
      <c r="EMO3" s="4"/>
      <c r="EMP3" s="4"/>
      <c r="EMQ3" s="4"/>
      <c r="EMR3" s="4"/>
      <c r="EMS3" s="4"/>
      <c r="EMT3" s="4"/>
      <c r="EMU3" s="4"/>
      <c r="EMV3" s="4"/>
      <c r="EMW3" s="4"/>
      <c r="EMX3" s="4"/>
      <c r="EMY3" s="4"/>
      <c r="EMZ3" s="4"/>
      <c r="ENA3" s="4"/>
      <c r="ENB3" s="4"/>
      <c r="ENC3" s="4"/>
      <c r="END3" s="4"/>
      <c r="ENE3" s="4"/>
      <c r="ENF3" s="4"/>
      <c r="ENG3" s="4"/>
      <c r="ENH3" s="4"/>
      <c r="ENI3" s="4"/>
      <c r="ENJ3" s="4"/>
      <c r="ENK3" s="4"/>
      <c r="ENL3" s="4"/>
      <c r="ENM3" s="4"/>
      <c r="ENN3" s="4"/>
      <c r="ENO3" s="4"/>
      <c r="ENP3" s="4"/>
      <c r="ENQ3" s="4"/>
      <c r="ENR3" s="4"/>
      <c r="ENS3" s="4"/>
      <c r="ENT3" s="4"/>
      <c r="ENU3" s="4"/>
      <c r="ENV3" s="4"/>
      <c r="ENW3" s="4"/>
      <c r="ENX3" s="4"/>
      <c r="ENY3" s="4"/>
      <c r="ENZ3" s="4"/>
      <c r="EOA3" s="4"/>
      <c r="EOB3" s="4"/>
      <c r="EOC3" s="4"/>
      <c r="EOD3" s="4"/>
      <c r="EOE3" s="4"/>
      <c r="EOF3" s="4"/>
      <c r="EOG3" s="4"/>
      <c r="EOH3" s="4"/>
      <c r="EOI3" s="4"/>
      <c r="EOJ3" s="4"/>
      <c r="EOK3" s="4"/>
      <c r="EOL3" s="4"/>
      <c r="EOM3" s="4"/>
      <c r="EON3" s="4"/>
      <c r="EOO3" s="4"/>
      <c r="EOP3" s="4"/>
      <c r="EOQ3" s="4"/>
      <c r="EOR3" s="4"/>
      <c r="EOS3" s="4"/>
      <c r="EOT3" s="4"/>
      <c r="EOU3" s="4"/>
      <c r="EOV3" s="4"/>
      <c r="EOW3" s="4"/>
      <c r="EOX3" s="4"/>
      <c r="EOY3" s="4"/>
      <c r="EOZ3" s="4"/>
      <c r="EPA3" s="4"/>
      <c r="EPB3" s="4"/>
      <c r="EPC3" s="4"/>
      <c r="EPD3" s="4"/>
      <c r="EPE3" s="4"/>
      <c r="EPF3" s="4"/>
      <c r="EPG3" s="4"/>
      <c r="EPH3" s="4"/>
      <c r="EPI3" s="4"/>
      <c r="EPJ3" s="4"/>
      <c r="EPK3" s="4"/>
      <c r="EPL3" s="4"/>
      <c r="EPM3" s="4"/>
      <c r="EPN3" s="4"/>
      <c r="EPO3" s="4"/>
      <c r="EPP3" s="4"/>
      <c r="EPQ3" s="4"/>
      <c r="EPR3" s="4"/>
      <c r="EPS3" s="4"/>
      <c r="EPT3" s="4"/>
      <c r="EPU3" s="4"/>
      <c r="EPV3" s="4"/>
      <c r="EPW3" s="4"/>
      <c r="EPX3" s="4"/>
      <c r="EPY3" s="4"/>
      <c r="EPZ3" s="4"/>
      <c r="EQA3" s="4"/>
      <c r="EQB3" s="4"/>
      <c r="EQC3" s="4"/>
      <c r="EQD3" s="4"/>
      <c r="EQE3" s="4"/>
      <c r="EQF3" s="4"/>
      <c r="EQG3" s="4"/>
      <c r="EQH3" s="4"/>
      <c r="EQI3" s="4"/>
      <c r="EQJ3" s="4"/>
      <c r="EQK3" s="4"/>
      <c r="EQL3" s="4"/>
      <c r="EQM3" s="4"/>
      <c r="EQN3" s="4"/>
      <c r="EQO3" s="4"/>
      <c r="EQP3" s="4"/>
      <c r="EQQ3" s="4"/>
      <c r="EQR3" s="4"/>
      <c r="EQS3" s="4"/>
      <c r="EQT3" s="4"/>
      <c r="EQU3" s="4"/>
      <c r="EQV3" s="4"/>
      <c r="EQW3" s="4"/>
      <c r="EQX3" s="4"/>
      <c r="EQY3" s="4"/>
      <c r="EQZ3" s="4"/>
      <c r="ERA3" s="4"/>
      <c r="ERB3" s="4"/>
      <c r="ERC3" s="4"/>
      <c r="ERD3" s="4"/>
      <c r="ERE3" s="4"/>
      <c r="ERF3" s="4"/>
      <c r="ERG3" s="4"/>
      <c r="ERH3" s="4"/>
      <c r="ERI3" s="4"/>
      <c r="ERJ3" s="4"/>
      <c r="ERK3" s="4"/>
      <c r="ERL3" s="4"/>
      <c r="ERM3" s="4"/>
      <c r="ERN3" s="4"/>
      <c r="ERO3" s="4"/>
      <c r="ERP3" s="4"/>
      <c r="ERQ3" s="4"/>
      <c r="ERR3" s="4"/>
      <c r="ERS3" s="4"/>
      <c r="ERT3" s="4"/>
      <c r="ERU3" s="4"/>
      <c r="ERV3" s="4"/>
      <c r="ERW3" s="4"/>
      <c r="ERX3" s="4"/>
      <c r="ERY3" s="4"/>
      <c r="ERZ3" s="4"/>
      <c r="ESA3" s="4"/>
      <c r="ESB3" s="4"/>
      <c r="ESC3" s="4"/>
      <c r="ESD3" s="4"/>
      <c r="ESE3" s="4"/>
      <c r="ESF3" s="4"/>
      <c r="ESG3" s="4"/>
      <c r="ESH3" s="4"/>
      <c r="ESI3" s="4"/>
      <c r="ESJ3" s="4"/>
      <c r="ESK3" s="4"/>
      <c r="ESL3" s="4"/>
      <c r="ESM3" s="4"/>
      <c r="ESN3" s="4"/>
      <c r="ESO3" s="4"/>
      <c r="ESP3" s="4"/>
      <c r="ESQ3" s="4"/>
      <c r="ESR3" s="4"/>
      <c r="ESS3" s="4"/>
      <c r="EST3" s="4"/>
      <c r="ESU3" s="4"/>
      <c r="ESV3" s="4"/>
      <c r="ESW3" s="4"/>
      <c r="ESX3" s="4"/>
      <c r="ESY3" s="4"/>
      <c r="ESZ3" s="4"/>
      <c r="ETA3" s="4"/>
      <c r="ETB3" s="4"/>
      <c r="ETC3" s="4"/>
      <c r="ETD3" s="4"/>
      <c r="ETE3" s="4"/>
      <c r="ETF3" s="4"/>
      <c r="ETG3" s="4"/>
      <c r="ETH3" s="4"/>
      <c r="ETI3" s="4"/>
      <c r="ETJ3" s="4"/>
      <c r="ETK3" s="4"/>
      <c r="ETL3" s="4"/>
      <c r="ETM3" s="4"/>
      <c r="ETN3" s="4"/>
      <c r="ETO3" s="4"/>
      <c r="ETP3" s="4"/>
      <c r="ETQ3" s="4"/>
      <c r="ETR3" s="4"/>
      <c r="ETS3" s="4"/>
      <c r="ETT3" s="4"/>
      <c r="ETU3" s="4"/>
      <c r="ETV3" s="4"/>
      <c r="ETW3" s="4"/>
      <c r="ETX3" s="4"/>
      <c r="ETY3" s="4"/>
      <c r="ETZ3" s="4"/>
      <c r="EUA3" s="4"/>
      <c r="EUB3" s="4"/>
      <c r="EUC3" s="4"/>
      <c r="EUD3" s="4"/>
      <c r="EUE3" s="4"/>
      <c r="EUF3" s="4"/>
      <c r="EUG3" s="4"/>
      <c r="EUH3" s="4"/>
      <c r="EUI3" s="4"/>
      <c r="EUJ3" s="4"/>
      <c r="EUK3" s="4"/>
      <c r="EUL3" s="4"/>
      <c r="EUM3" s="4"/>
      <c r="EUN3" s="4"/>
      <c r="EUO3" s="4"/>
      <c r="EUP3" s="4"/>
      <c r="EUQ3" s="4"/>
      <c r="EUR3" s="4"/>
      <c r="EUS3" s="4"/>
      <c r="EUT3" s="4"/>
      <c r="EUU3" s="4"/>
      <c r="EUV3" s="4"/>
      <c r="EUW3" s="4"/>
      <c r="EUX3" s="4"/>
      <c r="EUY3" s="4"/>
      <c r="EUZ3" s="4"/>
      <c r="EVA3" s="4"/>
      <c r="EVB3" s="4"/>
      <c r="EVC3" s="4"/>
      <c r="EVD3" s="4"/>
      <c r="EVE3" s="4"/>
      <c r="EVF3" s="4"/>
      <c r="EVG3" s="4"/>
      <c r="EVH3" s="4"/>
      <c r="EVI3" s="4"/>
      <c r="EVJ3" s="4"/>
      <c r="EVK3" s="4"/>
      <c r="EVL3" s="4"/>
      <c r="EVM3" s="4"/>
      <c r="EVN3" s="4"/>
      <c r="EVO3" s="4"/>
      <c r="EVP3" s="4"/>
      <c r="EVQ3" s="4"/>
      <c r="EVR3" s="4"/>
      <c r="EVS3" s="4"/>
      <c r="EVT3" s="4"/>
      <c r="EVU3" s="4"/>
      <c r="EVV3" s="4"/>
      <c r="EVW3" s="4"/>
      <c r="EVX3" s="4"/>
      <c r="EVY3" s="4"/>
      <c r="EVZ3" s="4"/>
      <c r="EWA3" s="4"/>
      <c r="EWB3" s="4"/>
      <c r="EWC3" s="4"/>
      <c r="EWD3" s="4"/>
      <c r="EWE3" s="4"/>
      <c r="EWF3" s="4"/>
      <c r="EWG3" s="4"/>
      <c r="EWH3" s="4"/>
      <c r="EWI3" s="4"/>
      <c r="EWJ3" s="4"/>
      <c r="EWK3" s="4"/>
      <c r="EWL3" s="4"/>
      <c r="EWM3" s="4"/>
      <c r="EWN3" s="4"/>
      <c r="EWO3" s="4"/>
      <c r="EWP3" s="4"/>
      <c r="EWQ3" s="4"/>
      <c r="EWR3" s="4"/>
      <c r="EWS3" s="4"/>
      <c r="EWT3" s="4"/>
      <c r="EWU3" s="4"/>
      <c r="EWV3" s="4"/>
      <c r="EWW3" s="4"/>
      <c r="EWX3" s="4"/>
      <c r="EWY3" s="4"/>
      <c r="EWZ3" s="4"/>
      <c r="EXA3" s="4"/>
      <c r="EXB3" s="4"/>
      <c r="EXC3" s="4"/>
      <c r="EXD3" s="4"/>
      <c r="EXE3" s="4"/>
      <c r="EXF3" s="4"/>
      <c r="EXG3" s="4"/>
      <c r="EXH3" s="4"/>
      <c r="EXI3" s="4"/>
      <c r="EXJ3" s="4"/>
      <c r="EXK3" s="4"/>
      <c r="EXL3" s="4"/>
      <c r="EXM3" s="4"/>
      <c r="EXN3" s="4"/>
      <c r="EXO3" s="4"/>
      <c r="EXP3" s="4"/>
      <c r="EXQ3" s="4"/>
      <c r="EXR3" s="4"/>
      <c r="EXS3" s="4"/>
      <c r="EXT3" s="4"/>
      <c r="EXU3" s="4"/>
      <c r="EXV3" s="4"/>
      <c r="EXW3" s="4"/>
      <c r="EXX3" s="4"/>
      <c r="EXY3" s="4"/>
      <c r="EXZ3" s="4"/>
      <c r="EYA3" s="4"/>
      <c r="EYB3" s="4"/>
      <c r="EYC3" s="4"/>
      <c r="EYD3" s="4"/>
      <c r="EYE3" s="4"/>
      <c r="EYF3" s="4"/>
      <c r="EYG3" s="4"/>
      <c r="EYH3" s="4"/>
      <c r="EYI3" s="4"/>
      <c r="EYJ3" s="4"/>
      <c r="EYK3" s="4"/>
      <c r="EYL3" s="4"/>
      <c r="EYM3" s="4"/>
      <c r="EYN3" s="4"/>
      <c r="EYO3" s="4"/>
      <c r="EYP3" s="4"/>
      <c r="EYQ3" s="4"/>
      <c r="EYR3" s="4"/>
      <c r="EYS3" s="4"/>
      <c r="EYT3" s="4"/>
      <c r="EYU3" s="4"/>
      <c r="EYV3" s="4"/>
      <c r="EYW3" s="4"/>
      <c r="EYX3" s="4"/>
      <c r="EYY3" s="4"/>
      <c r="EYZ3" s="4"/>
      <c r="EZA3" s="4"/>
      <c r="EZB3" s="4"/>
      <c r="EZC3" s="4"/>
      <c r="EZD3" s="4"/>
      <c r="EZE3" s="4"/>
      <c r="EZF3" s="4"/>
      <c r="EZG3" s="4"/>
      <c r="EZH3" s="4"/>
      <c r="EZI3" s="4"/>
      <c r="EZJ3" s="4"/>
      <c r="EZK3" s="4"/>
      <c r="EZL3" s="4"/>
      <c r="EZM3" s="4"/>
      <c r="EZN3" s="4"/>
      <c r="EZO3" s="4"/>
      <c r="EZP3" s="4"/>
      <c r="EZQ3" s="4"/>
      <c r="EZR3" s="4"/>
      <c r="EZS3" s="4"/>
      <c r="EZT3" s="4"/>
      <c r="EZU3" s="4"/>
      <c r="EZV3" s="4"/>
      <c r="EZW3" s="4"/>
      <c r="EZX3" s="4"/>
      <c r="EZY3" s="4"/>
      <c r="EZZ3" s="4"/>
      <c r="FAA3" s="4"/>
      <c r="FAB3" s="4"/>
      <c r="FAC3" s="4"/>
      <c r="FAD3" s="4"/>
      <c r="FAE3" s="4"/>
      <c r="FAF3" s="4"/>
      <c r="FAG3" s="4"/>
      <c r="FAH3" s="4"/>
      <c r="FAI3" s="4"/>
      <c r="FAJ3" s="4"/>
      <c r="FAK3" s="4"/>
      <c r="FAL3" s="4"/>
      <c r="FAM3" s="4"/>
      <c r="FAN3" s="4"/>
      <c r="FAO3" s="4"/>
      <c r="FAP3" s="4"/>
      <c r="FAQ3" s="4"/>
      <c r="FAR3" s="4"/>
      <c r="FAS3" s="4"/>
      <c r="FAT3" s="4"/>
      <c r="FAU3" s="4"/>
      <c r="FAV3" s="4"/>
      <c r="FAW3" s="4"/>
      <c r="FAX3" s="4"/>
      <c r="FAY3" s="4"/>
      <c r="FAZ3" s="4"/>
      <c r="FBA3" s="4"/>
      <c r="FBB3" s="4"/>
      <c r="FBC3" s="4"/>
      <c r="FBD3" s="4"/>
      <c r="FBE3" s="4"/>
      <c r="FBF3" s="4"/>
      <c r="FBG3" s="4"/>
      <c r="FBH3" s="4"/>
      <c r="FBI3" s="4"/>
      <c r="FBJ3" s="4"/>
      <c r="FBK3" s="4"/>
      <c r="FBL3" s="4"/>
      <c r="FBM3" s="4"/>
      <c r="FBN3" s="4"/>
      <c r="FBO3" s="4"/>
      <c r="FBP3" s="4"/>
      <c r="FBQ3" s="4"/>
      <c r="FBR3" s="4"/>
      <c r="FBS3" s="4"/>
      <c r="FBT3" s="4"/>
      <c r="FBU3" s="4"/>
      <c r="FBV3" s="4"/>
      <c r="FBW3" s="4"/>
      <c r="FBX3" s="4"/>
      <c r="FBY3" s="4"/>
      <c r="FBZ3" s="4"/>
      <c r="FCA3" s="4"/>
      <c r="FCB3" s="4"/>
      <c r="FCC3" s="4"/>
      <c r="FCD3" s="4"/>
      <c r="FCE3" s="4"/>
      <c r="FCF3" s="4"/>
      <c r="FCG3" s="4"/>
      <c r="FCH3" s="4"/>
      <c r="FCI3" s="4"/>
      <c r="FCJ3" s="4"/>
      <c r="FCK3" s="4"/>
      <c r="FCL3" s="4"/>
      <c r="FCM3" s="4"/>
      <c r="FCN3" s="4"/>
      <c r="FCO3" s="4"/>
      <c r="FCP3" s="4"/>
      <c r="FCQ3" s="4"/>
      <c r="FCR3" s="4"/>
      <c r="FCS3" s="4"/>
      <c r="FCT3" s="4"/>
      <c r="FCU3" s="4"/>
      <c r="FCV3" s="4"/>
      <c r="FCW3" s="4"/>
      <c r="FCX3" s="4"/>
      <c r="FCY3" s="4"/>
      <c r="FCZ3" s="4"/>
      <c r="FDA3" s="4"/>
      <c r="FDB3" s="4"/>
      <c r="FDC3" s="4"/>
      <c r="FDD3" s="4"/>
      <c r="FDE3" s="4"/>
      <c r="FDF3" s="4"/>
      <c r="FDG3" s="4"/>
      <c r="FDH3" s="4"/>
      <c r="FDI3" s="4"/>
      <c r="FDJ3" s="4"/>
      <c r="FDK3" s="4"/>
      <c r="FDL3" s="4"/>
      <c r="FDM3" s="4"/>
      <c r="FDN3" s="4"/>
      <c r="FDO3" s="4"/>
      <c r="FDP3" s="4"/>
      <c r="FDQ3" s="4"/>
      <c r="FDR3" s="4"/>
      <c r="FDS3" s="4"/>
      <c r="FDT3" s="4"/>
      <c r="FDU3" s="4"/>
      <c r="FDV3" s="4"/>
      <c r="FDW3" s="4"/>
      <c r="FDX3" s="4"/>
      <c r="FDY3" s="4"/>
      <c r="FDZ3" s="4"/>
      <c r="FEA3" s="4"/>
      <c r="FEB3" s="4"/>
      <c r="FEC3" s="4"/>
      <c r="FED3" s="4"/>
      <c r="FEE3" s="4"/>
      <c r="FEF3" s="4"/>
      <c r="FEG3" s="4"/>
      <c r="FEH3" s="4"/>
      <c r="FEI3" s="4"/>
      <c r="FEJ3" s="4"/>
      <c r="FEK3" s="4"/>
      <c r="FEL3" s="4"/>
      <c r="FEM3" s="4"/>
      <c r="FEN3" s="4"/>
      <c r="FEO3" s="4"/>
      <c r="FEP3" s="4"/>
      <c r="FEQ3" s="4"/>
      <c r="FER3" s="4"/>
      <c r="FES3" s="4"/>
      <c r="FET3" s="4"/>
      <c r="FEU3" s="4"/>
      <c r="FEV3" s="4"/>
      <c r="FEW3" s="4"/>
      <c r="FEX3" s="4"/>
      <c r="FEY3" s="4"/>
      <c r="FEZ3" s="4"/>
      <c r="FFA3" s="4"/>
      <c r="FFB3" s="4"/>
      <c r="FFC3" s="4"/>
      <c r="FFD3" s="4"/>
      <c r="FFE3" s="4"/>
      <c r="FFF3" s="4"/>
      <c r="FFG3" s="4"/>
      <c r="FFH3" s="4"/>
      <c r="FFI3" s="4"/>
      <c r="FFJ3" s="4"/>
      <c r="FFK3" s="4"/>
      <c r="FFL3" s="4"/>
      <c r="FFM3" s="4"/>
      <c r="FFN3" s="4"/>
      <c r="FFO3" s="4"/>
      <c r="FFP3" s="4"/>
      <c r="FFQ3" s="4"/>
      <c r="FFR3" s="4"/>
      <c r="FFS3" s="4"/>
      <c r="FFT3" s="4"/>
      <c r="FFU3" s="4"/>
      <c r="FFV3" s="4"/>
      <c r="FFW3" s="4"/>
      <c r="FFX3" s="4"/>
      <c r="FFY3" s="4"/>
      <c r="FFZ3" s="4"/>
      <c r="FGA3" s="4"/>
      <c r="FGB3" s="4"/>
      <c r="FGC3" s="4"/>
      <c r="FGD3" s="4"/>
      <c r="FGE3" s="4"/>
      <c r="FGF3" s="4"/>
      <c r="FGG3" s="4"/>
      <c r="FGH3" s="4"/>
      <c r="FGI3" s="4"/>
      <c r="FGJ3" s="4"/>
      <c r="FGK3" s="4"/>
      <c r="FGL3" s="4"/>
      <c r="FGM3" s="4"/>
      <c r="FGN3" s="4"/>
      <c r="FGO3" s="4"/>
      <c r="FGP3" s="4"/>
      <c r="FGQ3" s="4"/>
      <c r="FGR3" s="4"/>
      <c r="FGS3" s="4"/>
      <c r="FGT3" s="4"/>
      <c r="FGU3" s="4"/>
      <c r="FGV3" s="4"/>
      <c r="FGW3" s="4"/>
      <c r="FGX3" s="4"/>
      <c r="FGY3" s="4"/>
      <c r="FGZ3" s="4"/>
      <c r="FHA3" s="4"/>
      <c r="FHB3" s="4"/>
      <c r="FHC3" s="4"/>
      <c r="FHD3" s="4"/>
      <c r="FHE3" s="4"/>
      <c r="FHF3" s="4"/>
      <c r="FHG3" s="4"/>
      <c r="FHH3" s="4"/>
      <c r="FHI3" s="4"/>
      <c r="FHJ3" s="4"/>
      <c r="FHK3" s="4"/>
      <c r="FHL3" s="4"/>
      <c r="FHM3" s="4"/>
      <c r="FHN3" s="4"/>
      <c r="FHO3" s="4"/>
      <c r="FHP3" s="4"/>
      <c r="FHQ3" s="4"/>
      <c r="FHR3" s="4"/>
      <c r="FHS3" s="4"/>
      <c r="FHT3" s="4"/>
      <c r="FHU3" s="4"/>
      <c r="FHV3" s="4"/>
      <c r="FHW3" s="4"/>
      <c r="FHX3" s="4"/>
      <c r="FHY3" s="4"/>
      <c r="FHZ3" s="4"/>
      <c r="FIA3" s="4"/>
      <c r="FIB3" s="4"/>
      <c r="FIC3" s="4"/>
      <c r="FID3" s="4"/>
      <c r="FIE3" s="4"/>
      <c r="FIF3" s="4"/>
      <c r="FIG3" s="4"/>
      <c r="FIH3" s="4"/>
      <c r="FII3" s="4"/>
      <c r="FIJ3" s="4"/>
      <c r="FIK3" s="4"/>
      <c r="FIL3" s="4"/>
      <c r="FIM3" s="4"/>
      <c r="FIN3" s="4"/>
      <c r="FIO3" s="4"/>
      <c r="FIP3" s="4"/>
      <c r="FIQ3" s="4"/>
      <c r="FIR3" s="4"/>
      <c r="FIS3" s="4"/>
      <c r="FIT3" s="4"/>
      <c r="FIU3" s="4"/>
      <c r="FIV3" s="4"/>
      <c r="FIW3" s="4"/>
      <c r="FIX3" s="4"/>
      <c r="FIY3" s="4"/>
      <c r="FIZ3" s="4"/>
      <c r="FJA3" s="4"/>
      <c r="FJB3" s="4"/>
      <c r="FJC3" s="4"/>
      <c r="FJD3" s="4"/>
      <c r="FJE3" s="4"/>
      <c r="FJF3" s="4"/>
      <c r="FJG3" s="4"/>
      <c r="FJH3" s="4"/>
      <c r="FJI3" s="4"/>
      <c r="FJJ3" s="4"/>
      <c r="FJK3" s="4"/>
      <c r="FJL3" s="4"/>
      <c r="FJM3" s="4"/>
      <c r="FJN3" s="4"/>
      <c r="FJO3" s="4"/>
      <c r="FJP3" s="4"/>
      <c r="FJQ3" s="4"/>
      <c r="FJR3" s="4"/>
      <c r="FJS3" s="4"/>
      <c r="FJT3" s="4"/>
      <c r="FJU3" s="4"/>
      <c r="FJV3" s="4"/>
      <c r="FJW3" s="4"/>
      <c r="FJX3" s="4"/>
      <c r="FJY3" s="4"/>
      <c r="FJZ3" s="4"/>
      <c r="FKA3" s="4"/>
      <c r="FKB3" s="4"/>
      <c r="FKC3" s="4"/>
      <c r="FKD3" s="4"/>
      <c r="FKE3" s="4"/>
      <c r="FKF3" s="4"/>
      <c r="FKG3" s="4"/>
      <c r="FKH3" s="4"/>
      <c r="FKI3" s="4"/>
      <c r="FKJ3" s="4"/>
      <c r="FKK3" s="4"/>
      <c r="FKL3" s="4"/>
      <c r="FKM3" s="4"/>
      <c r="FKN3" s="4"/>
      <c r="FKO3" s="4"/>
      <c r="FKP3" s="4"/>
      <c r="FKQ3" s="4"/>
      <c r="FKR3" s="4"/>
      <c r="FKS3" s="4"/>
      <c r="FKT3" s="4"/>
      <c r="FKU3" s="4"/>
      <c r="FKV3" s="4"/>
      <c r="FKW3" s="4"/>
      <c r="FKX3" s="4"/>
      <c r="FKY3" s="4"/>
      <c r="FKZ3" s="4"/>
      <c r="FLA3" s="4"/>
      <c r="FLB3" s="4"/>
      <c r="FLC3" s="4"/>
      <c r="FLD3" s="4"/>
      <c r="FLE3" s="4"/>
      <c r="FLF3" s="4"/>
      <c r="FLG3" s="4"/>
      <c r="FLH3" s="4"/>
      <c r="FLI3" s="4"/>
      <c r="FLJ3" s="4"/>
      <c r="FLK3" s="4"/>
      <c r="FLL3" s="4"/>
      <c r="FLM3" s="4"/>
      <c r="FLN3" s="4"/>
      <c r="FLO3" s="4"/>
      <c r="FLP3" s="4"/>
      <c r="FLQ3" s="4"/>
      <c r="FLR3" s="4"/>
      <c r="FLS3" s="4"/>
      <c r="FLT3" s="4"/>
      <c r="FLU3" s="4"/>
      <c r="FLV3" s="4"/>
      <c r="FLW3" s="4"/>
      <c r="FLX3" s="4"/>
      <c r="FLY3" s="4"/>
      <c r="FLZ3" s="4"/>
      <c r="FMA3" s="4"/>
      <c r="FMB3" s="4"/>
      <c r="FMC3" s="4"/>
      <c r="FMD3" s="4"/>
      <c r="FME3" s="4"/>
      <c r="FMF3" s="4"/>
      <c r="FMG3" s="4"/>
      <c r="FMH3" s="4"/>
      <c r="FMI3" s="4"/>
      <c r="FMJ3" s="4"/>
      <c r="FMK3" s="4"/>
      <c r="FML3" s="4"/>
      <c r="FMM3" s="4"/>
      <c r="FMN3" s="4"/>
      <c r="FMO3" s="4"/>
      <c r="FMP3" s="4"/>
      <c r="FMQ3" s="4"/>
      <c r="FMR3" s="4"/>
      <c r="FMS3" s="4"/>
      <c r="FMT3" s="4"/>
      <c r="FMU3" s="4"/>
      <c r="FMV3" s="4"/>
      <c r="FMW3" s="4"/>
      <c r="FMX3" s="4"/>
      <c r="FMY3" s="4"/>
      <c r="FMZ3" s="4"/>
      <c r="FNA3" s="4"/>
      <c r="FNB3" s="4"/>
      <c r="FNC3" s="4"/>
      <c r="FND3" s="4"/>
      <c r="FNE3" s="4"/>
      <c r="FNF3" s="4"/>
      <c r="FNG3" s="4"/>
      <c r="FNH3" s="4"/>
      <c r="FNI3" s="4"/>
      <c r="FNJ3" s="4"/>
      <c r="FNK3" s="4"/>
      <c r="FNL3" s="4"/>
      <c r="FNM3" s="4"/>
      <c r="FNN3" s="4"/>
      <c r="FNO3" s="4"/>
      <c r="FNP3" s="4"/>
      <c r="FNQ3" s="4"/>
      <c r="FNR3" s="4"/>
      <c r="FNS3" s="4"/>
      <c r="FNT3" s="4"/>
      <c r="FNU3" s="4"/>
      <c r="FNV3" s="4"/>
      <c r="FNW3" s="4"/>
      <c r="FNX3" s="4"/>
      <c r="FNY3" s="4"/>
      <c r="FNZ3" s="4"/>
      <c r="FOA3" s="4"/>
      <c r="FOB3" s="4"/>
      <c r="FOC3" s="4"/>
      <c r="FOD3" s="4"/>
      <c r="FOE3" s="4"/>
      <c r="FOF3" s="4"/>
      <c r="FOG3" s="4"/>
      <c r="FOH3" s="4"/>
      <c r="FOI3" s="4"/>
      <c r="FOJ3" s="4"/>
      <c r="FOK3" s="4"/>
      <c r="FOL3" s="4"/>
      <c r="FOM3" s="4"/>
      <c r="FON3" s="4"/>
      <c r="FOO3" s="4"/>
      <c r="FOP3" s="4"/>
      <c r="FOQ3" s="4"/>
      <c r="FOR3" s="4"/>
      <c r="FOS3" s="4"/>
      <c r="FOT3" s="4"/>
      <c r="FOU3" s="4"/>
      <c r="FOV3" s="4"/>
      <c r="FOW3" s="4"/>
      <c r="FOX3" s="4"/>
      <c r="FOY3" s="4"/>
      <c r="FOZ3" s="4"/>
      <c r="FPA3" s="4"/>
      <c r="FPB3" s="4"/>
      <c r="FPC3" s="4"/>
      <c r="FPD3" s="4"/>
      <c r="FPE3" s="4"/>
      <c r="FPF3" s="4"/>
      <c r="FPG3" s="4"/>
      <c r="FPH3" s="4"/>
      <c r="FPI3" s="4"/>
      <c r="FPJ3" s="4"/>
      <c r="FPK3" s="4"/>
      <c r="FPL3" s="4"/>
      <c r="FPM3" s="4"/>
      <c r="FPN3" s="4"/>
      <c r="FPO3" s="4"/>
      <c r="FPP3" s="4"/>
      <c r="FPQ3" s="4"/>
      <c r="FPR3" s="4"/>
      <c r="FPS3" s="4"/>
      <c r="FPT3" s="4"/>
      <c r="FPU3" s="4"/>
      <c r="FPV3" s="4"/>
      <c r="FPW3" s="4"/>
      <c r="FPX3" s="4"/>
      <c r="FPY3" s="4"/>
      <c r="FPZ3" s="4"/>
      <c r="FQA3" s="4"/>
      <c r="FQB3" s="4"/>
      <c r="FQC3" s="4"/>
      <c r="FQD3" s="4"/>
      <c r="FQE3" s="4"/>
      <c r="FQF3" s="4"/>
      <c r="FQG3" s="4"/>
      <c r="FQH3" s="4"/>
      <c r="FQI3" s="4"/>
      <c r="FQJ3" s="4"/>
      <c r="FQK3" s="4"/>
      <c r="FQL3" s="4"/>
      <c r="FQM3" s="4"/>
      <c r="FQN3" s="4"/>
      <c r="FQO3" s="4"/>
      <c r="FQP3" s="4"/>
      <c r="FQQ3" s="4"/>
      <c r="FQR3" s="4"/>
      <c r="FQS3" s="4"/>
      <c r="FQT3" s="4"/>
      <c r="FQU3" s="4"/>
      <c r="FQV3" s="4"/>
      <c r="FQW3" s="4"/>
      <c r="FQX3" s="4"/>
      <c r="FQY3" s="4"/>
      <c r="FQZ3" s="4"/>
      <c r="FRA3" s="4"/>
      <c r="FRB3" s="4"/>
      <c r="FRC3" s="4"/>
      <c r="FRD3" s="4"/>
      <c r="FRE3" s="4"/>
      <c r="FRF3" s="4"/>
      <c r="FRG3" s="4"/>
      <c r="FRH3" s="4"/>
      <c r="FRI3" s="4"/>
      <c r="FRJ3" s="4"/>
      <c r="FRK3" s="4"/>
      <c r="FRL3" s="4"/>
      <c r="FRM3" s="4"/>
      <c r="FRN3" s="4"/>
      <c r="FRO3" s="4"/>
      <c r="FRP3" s="4"/>
      <c r="FRQ3" s="4"/>
      <c r="FRR3" s="4"/>
      <c r="FRS3" s="4"/>
      <c r="FRT3" s="4"/>
      <c r="FRU3" s="4"/>
      <c r="FRV3" s="4"/>
      <c r="FRW3" s="4"/>
      <c r="FRX3" s="4"/>
      <c r="FRY3" s="4"/>
      <c r="FRZ3" s="4"/>
      <c r="FSA3" s="4"/>
      <c r="FSB3" s="4"/>
      <c r="FSC3" s="4"/>
      <c r="FSD3" s="4"/>
      <c r="FSE3" s="4"/>
      <c r="FSF3" s="4"/>
      <c r="FSG3" s="4"/>
      <c r="FSH3" s="4"/>
      <c r="FSI3" s="4"/>
      <c r="FSJ3" s="4"/>
      <c r="FSK3" s="4"/>
      <c r="FSL3" s="4"/>
      <c r="FSM3" s="4"/>
      <c r="FSN3" s="4"/>
      <c r="FSO3" s="4"/>
      <c r="FSP3" s="4"/>
      <c r="FSQ3" s="4"/>
      <c r="FSR3" s="4"/>
      <c r="FSS3" s="4"/>
      <c r="FST3" s="4"/>
      <c r="FSU3" s="4"/>
      <c r="FSV3" s="4"/>
      <c r="FSW3" s="4"/>
      <c r="FSX3" s="4"/>
      <c r="FSY3" s="4"/>
      <c r="FSZ3" s="4"/>
      <c r="FTA3" s="4"/>
      <c r="FTB3" s="4"/>
      <c r="FTC3" s="4"/>
      <c r="FTD3" s="4"/>
      <c r="FTE3" s="4"/>
      <c r="FTF3" s="4"/>
      <c r="FTG3" s="4"/>
      <c r="FTH3" s="4"/>
      <c r="FTI3" s="4"/>
      <c r="FTJ3" s="4"/>
      <c r="FTK3" s="4"/>
      <c r="FTL3" s="4"/>
      <c r="FTM3" s="4"/>
      <c r="FTN3" s="4"/>
      <c r="FTO3" s="4"/>
      <c r="FTP3" s="4"/>
      <c r="FTQ3" s="4"/>
      <c r="FTR3" s="4"/>
      <c r="FTS3" s="4"/>
      <c r="FTT3" s="4"/>
      <c r="FTU3" s="4"/>
      <c r="FTV3" s="4"/>
      <c r="FTW3" s="4"/>
      <c r="FTX3" s="4"/>
      <c r="FTY3" s="4"/>
      <c r="FTZ3" s="4"/>
      <c r="FUA3" s="4"/>
      <c r="FUB3" s="4"/>
      <c r="FUC3" s="4"/>
      <c r="FUD3" s="4"/>
      <c r="FUE3" s="4"/>
      <c r="FUF3" s="4"/>
      <c r="FUG3" s="4"/>
      <c r="FUH3" s="4"/>
      <c r="FUI3" s="4"/>
      <c r="FUJ3" s="4"/>
      <c r="FUK3" s="4"/>
      <c r="FUL3" s="4"/>
      <c r="FUM3" s="4"/>
      <c r="FUN3" s="4"/>
      <c r="FUO3" s="4"/>
      <c r="FUP3" s="4"/>
      <c r="FUQ3" s="4"/>
      <c r="FUR3" s="4"/>
      <c r="FUS3" s="4"/>
      <c r="FUT3" s="4"/>
      <c r="FUU3" s="4"/>
      <c r="FUV3" s="4"/>
      <c r="FUW3" s="4"/>
      <c r="FUX3" s="4"/>
      <c r="FUY3" s="4"/>
      <c r="FUZ3" s="4"/>
      <c r="FVA3" s="4"/>
      <c r="FVB3" s="4"/>
      <c r="FVC3" s="4"/>
      <c r="FVD3" s="4"/>
      <c r="FVE3" s="4"/>
      <c r="FVF3" s="4"/>
      <c r="FVG3" s="4"/>
      <c r="FVH3" s="4"/>
      <c r="FVI3" s="4"/>
      <c r="FVJ3" s="4"/>
      <c r="FVK3" s="4"/>
      <c r="FVL3" s="4"/>
      <c r="FVM3" s="4"/>
      <c r="FVN3" s="4"/>
      <c r="FVO3" s="4"/>
      <c r="FVP3" s="4"/>
      <c r="FVQ3" s="4"/>
      <c r="FVR3" s="4"/>
      <c r="FVS3" s="4"/>
      <c r="FVT3" s="4"/>
      <c r="FVU3" s="4"/>
      <c r="FVV3" s="4"/>
      <c r="FVW3" s="4"/>
      <c r="FVX3" s="4"/>
      <c r="FVY3" s="4"/>
      <c r="FVZ3" s="4"/>
      <c r="FWA3" s="4"/>
      <c r="FWB3" s="4"/>
      <c r="FWC3" s="4"/>
      <c r="FWD3" s="4"/>
      <c r="FWE3" s="4"/>
      <c r="FWF3" s="4"/>
      <c r="FWG3" s="4"/>
      <c r="FWH3" s="4"/>
      <c r="FWI3" s="4"/>
      <c r="FWJ3" s="4"/>
      <c r="FWK3" s="4"/>
      <c r="FWL3" s="4"/>
      <c r="FWM3" s="4"/>
      <c r="FWN3" s="4"/>
      <c r="FWO3" s="4"/>
      <c r="FWP3" s="4"/>
      <c r="FWQ3" s="4"/>
      <c r="FWR3" s="4"/>
      <c r="FWS3" s="4"/>
      <c r="FWT3" s="4"/>
      <c r="FWU3" s="4"/>
      <c r="FWV3" s="4"/>
      <c r="FWW3" s="4"/>
      <c r="FWX3" s="4"/>
      <c r="FWY3" s="4"/>
      <c r="FWZ3" s="4"/>
      <c r="FXA3" s="4"/>
      <c r="FXB3" s="4"/>
      <c r="FXC3" s="4"/>
      <c r="FXD3" s="4"/>
      <c r="FXE3" s="4"/>
      <c r="FXF3" s="4"/>
      <c r="FXG3" s="4"/>
      <c r="FXH3" s="4"/>
      <c r="FXI3" s="4"/>
      <c r="FXJ3" s="4"/>
      <c r="FXK3" s="4"/>
      <c r="FXL3" s="4"/>
      <c r="FXM3" s="4"/>
      <c r="FXN3" s="4"/>
      <c r="FXO3" s="4"/>
      <c r="FXP3" s="4"/>
      <c r="FXQ3" s="4"/>
      <c r="FXR3" s="4"/>
      <c r="FXS3" s="4"/>
      <c r="FXT3" s="4"/>
      <c r="FXU3" s="4"/>
      <c r="FXV3" s="4"/>
      <c r="FXW3" s="4"/>
      <c r="FXX3" s="4"/>
      <c r="FXY3" s="4"/>
      <c r="FXZ3" s="4"/>
      <c r="FYA3" s="4"/>
      <c r="FYB3" s="4"/>
      <c r="FYC3" s="4"/>
      <c r="FYD3" s="4"/>
      <c r="FYE3" s="4"/>
      <c r="FYF3" s="4"/>
      <c r="FYG3" s="4"/>
      <c r="FYH3" s="4"/>
      <c r="FYI3" s="4"/>
      <c r="FYJ3" s="4"/>
      <c r="FYK3" s="4"/>
      <c r="FYL3" s="4"/>
      <c r="FYM3" s="4"/>
      <c r="FYN3" s="4"/>
      <c r="FYO3" s="4"/>
      <c r="FYP3" s="4"/>
      <c r="FYQ3" s="4"/>
      <c r="FYR3" s="4"/>
      <c r="FYS3" s="4"/>
      <c r="FYT3" s="4"/>
      <c r="FYU3" s="4"/>
      <c r="FYV3" s="4"/>
      <c r="FYW3" s="4"/>
      <c r="FYX3" s="4"/>
      <c r="FYY3" s="4"/>
      <c r="FYZ3" s="4"/>
      <c r="FZA3" s="4"/>
      <c r="FZB3" s="4"/>
      <c r="FZC3" s="4"/>
      <c r="FZD3" s="4"/>
      <c r="FZE3" s="4"/>
      <c r="FZF3" s="4"/>
      <c r="FZG3" s="4"/>
      <c r="FZH3" s="4"/>
      <c r="FZI3" s="4"/>
      <c r="FZJ3" s="4"/>
      <c r="FZK3" s="4"/>
      <c r="FZL3" s="4"/>
      <c r="FZM3" s="4"/>
      <c r="FZN3" s="4"/>
      <c r="FZO3" s="4"/>
      <c r="FZP3" s="4"/>
      <c r="FZQ3" s="4"/>
      <c r="FZR3" s="4"/>
      <c r="FZS3" s="4"/>
      <c r="FZT3" s="4"/>
      <c r="FZU3" s="4"/>
      <c r="FZV3" s="4"/>
      <c r="FZW3" s="4"/>
      <c r="FZX3" s="4"/>
      <c r="FZY3" s="4"/>
      <c r="FZZ3" s="4"/>
      <c r="GAA3" s="4"/>
      <c r="GAB3" s="4"/>
      <c r="GAC3" s="4"/>
      <c r="GAD3" s="4"/>
      <c r="GAE3" s="4"/>
      <c r="GAF3" s="4"/>
      <c r="GAG3" s="4"/>
      <c r="GAH3" s="4"/>
      <c r="GAI3" s="4"/>
      <c r="GAJ3" s="4"/>
      <c r="GAK3" s="4"/>
      <c r="GAL3" s="4"/>
      <c r="GAM3" s="4"/>
      <c r="GAN3" s="4"/>
      <c r="GAO3" s="4"/>
      <c r="GAP3" s="4"/>
      <c r="GAQ3" s="4"/>
      <c r="GAR3" s="4"/>
      <c r="GAS3" s="4"/>
      <c r="GAT3" s="4"/>
      <c r="GAU3" s="4"/>
      <c r="GAV3" s="4"/>
      <c r="GAW3" s="4"/>
      <c r="GAX3" s="4"/>
      <c r="GAY3" s="4"/>
      <c r="GAZ3" s="4"/>
      <c r="GBA3" s="4"/>
      <c r="GBB3" s="4"/>
      <c r="GBC3" s="4"/>
      <c r="GBD3" s="4"/>
      <c r="GBE3" s="4"/>
      <c r="GBF3" s="4"/>
      <c r="GBG3" s="4"/>
      <c r="GBH3" s="4"/>
      <c r="GBI3" s="4"/>
      <c r="GBJ3" s="4"/>
      <c r="GBK3" s="4"/>
      <c r="GBL3" s="4"/>
      <c r="GBM3" s="4"/>
      <c r="GBN3" s="4"/>
      <c r="GBO3" s="4"/>
      <c r="GBP3" s="4"/>
      <c r="GBQ3" s="4"/>
      <c r="GBR3" s="4"/>
      <c r="GBS3" s="4"/>
      <c r="GBT3" s="4"/>
      <c r="GBU3" s="4"/>
      <c r="GBV3" s="4"/>
      <c r="GBW3" s="4"/>
      <c r="GBX3" s="4"/>
      <c r="GBY3" s="4"/>
      <c r="GBZ3" s="4"/>
      <c r="GCA3" s="4"/>
      <c r="GCB3" s="4"/>
      <c r="GCC3" s="4"/>
      <c r="GCD3" s="4"/>
      <c r="GCE3" s="4"/>
      <c r="GCF3" s="4"/>
      <c r="GCG3" s="4"/>
      <c r="GCH3" s="4"/>
      <c r="GCI3" s="4"/>
      <c r="GCJ3" s="4"/>
      <c r="GCK3" s="4"/>
      <c r="GCL3" s="4"/>
      <c r="GCM3" s="4"/>
      <c r="GCN3" s="4"/>
      <c r="GCO3" s="4"/>
      <c r="GCP3" s="4"/>
      <c r="GCQ3" s="4"/>
      <c r="GCR3" s="4"/>
      <c r="GCS3" s="4"/>
      <c r="GCT3" s="4"/>
      <c r="GCU3" s="4"/>
      <c r="GCV3" s="4"/>
      <c r="GCW3" s="4"/>
      <c r="GCX3" s="4"/>
      <c r="GCY3" s="4"/>
      <c r="GCZ3" s="4"/>
      <c r="GDA3" s="4"/>
      <c r="GDB3" s="4"/>
      <c r="GDC3" s="4"/>
      <c r="GDD3" s="4"/>
      <c r="GDE3" s="4"/>
      <c r="GDF3" s="4"/>
      <c r="GDG3" s="4"/>
      <c r="GDH3" s="4"/>
      <c r="GDI3" s="4"/>
      <c r="GDJ3" s="4"/>
      <c r="GDK3" s="4"/>
      <c r="GDL3" s="4"/>
      <c r="GDM3" s="4"/>
      <c r="GDN3" s="4"/>
      <c r="GDO3" s="4"/>
      <c r="GDP3" s="4"/>
      <c r="GDQ3" s="4"/>
      <c r="GDR3" s="4"/>
      <c r="GDS3" s="4"/>
      <c r="GDT3" s="4"/>
      <c r="GDU3" s="4"/>
      <c r="GDV3" s="4"/>
      <c r="GDW3" s="4"/>
      <c r="GDX3" s="4"/>
      <c r="GDY3" s="4"/>
      <c r="GDZ3" s="4"/>
      <c r="GEA3" s="4"/>
      <c r="GEB3" s="4"/>
      <c r="GEC3" s="4"/>
      <c r="GED3" s="4"/>
      <c r="GEE3" s="4"/>
      <c r="GEF3" s="4"/>
      <c r="GEG3" s="4"/>
      <c r="GEH3" s="4"/>
      <c r="GEI3" s="4"/>
      <c r="GEJ3" s="4"/>
      <c r="GEK3" s="4"/>
      <c r="GEL3" s="4"/>
      <c r="GEM3" s="4"/>
      <c r="GEN3" s="4"/>
      <c r="GEO3" s="4"/>
      <c r="GEP3" s="4"/>
      <c r="GEQ3" s="4"/>
      <c r="GER3" s="4"/>
      <c r="GES3" s="4"/>
      <c r="GET3" s="4"/>
      <c r="GEU3" s="4"/>
      <c r="GEV3" s="4"/>
      <c r="GEW3" s="4"/>
      <c r="GEX3" s="4"/>
      <c r="GEY3" s="4"/>
      <c r="GEZ3" s="4"/>
      <c r="GFA3" s="4"/>
      <c r="GFB3" s="4"/>
      <c r="GFC3" s="4"/>
      <c r="GFD3" s="4"/>
      <c r="GFE3" s="4"/>
      <c r="GFF3" s="4"/>
      <c r="GFG3" s="4"/>
      <c r="GFH3" s="4"/>
      <c r="GFI3" s="4"/>
      <c r="GFJ3" s="4"/>
      <c r="GFK3" s="4"/>
      <c r="GFL3" s="4"/>
      <c r="GFM3" s="4"/>
      <c r="GFN3" s="4"/>
      <c r="GFO3" s="4"/>
      <c r="GFP3" s="4"/>
      <c r="GFQ3" s="4"/>
      <c r="GFR3" s="4"/>
      <c r="GFS3" s="4"/>
      <c r="GFT3" s="4"/>
      <c r="GFU3" s="4"/>
      <c r="GFV3" s="4"/>
      <c r="GFW3" s="4"/>
      <c r="GFX3" s="4"/>
      <c r="GFY3" s="4"/>
      <c r="GFZ3" s="4"/>
      <c r="GGA3" s="4"/>
      <c r="GGB3" s="4"/>
      <c r="GGC3" s="4"/>
      <c r="GGD3" s="4"/>
      <c r="GGE3" s="4"/>
      <c r="GGF3" s="4"/>
      <c r="GGG3" s="4"/>
      <c r="GGH3" s="4"/>
      <c r="GGI3" s="4"/>
      <c r="GGJ3" s="4"/>
      <c r="GGK3" s="4"/>
      <c r="GGL3" s="4"/>
      <c r="GGM3" s="4"/>
      <c r="GGN3" s="4"/>
      <c r="GGO3" s="4"/>
      <c r="GGP3" s="4"/>
      <c r="GGQ3" s="4"/>
      <c r="GGR3" s="4"/>
      <c r="GGS3" s="4"/>
      <c r="GGT3" s="4"/>
      <c r="GGU3" s="4"/>
      <c r="GGV3" s="4"/>
      <c r="GGW3" s="4"/>
      <c r="GGX3" s="4"/>
      <c r="GGY3" s="4"/>
      <c r="GGZ3" s="4"/>
      <c r="GHA3" s="4"/>
      <c r="GHB3" s="4"/>
      <c r="GHC3" s="4"/>
      <c r="GHD3" s="4"/>
      <c r="GHE3" s="4"/>
      <c r="GHF3" s="4"/>
      <c r="GHG3" s="4"/>
      <c r="GHH3" s="4"/>
      <c r="GHI3" s="4"/>
      <c r="GHJ3" s="4"/>
      <c r="GHK3" s="4"/>
      <c r="GHL3" s="4"/>
      <c r="GHM3" s="4"/>
      <c r="GHN3" s="4"/>
      <c r="GHO3" s="4"/>
      <c r="GHP3" s="4"/>
      <c r="GHQ3" s="4"/>
      <c r="GHR3" s="4"/>
      <c r="GHS3" s="4"/>
      <c r="GHT3" s="4"/>
      <c r="GHU3" s="4"/>
      <c r="GHV3" s="4"/>
      <c r="GHW3" s="4"/>
      <c r="GHX3" s="4"/>
      <c r="GHY3" s="4"/>
      <c r="GHZ3" s="4"/>
      <c r="GIA3" s="4"/>
      <c r="GIB3" s="4"/>
      <c r="GIC3" s="4"/>
      <c r="GID3" s="4"/>
      <c r="GIE3" s="4"/>
      <c r="GIF3" s="4"/>
      <c r="GIG3" s="4"/>
      <c r="GIH3" s="4"/>
      <c r="GII3" s="4"/>
      <c r="GIJ3" s="4"/>
      <c r="GIK3" s="4"/>
      <c r="GIL3" s="4"/>
      <c r="GIM3" s="4"/>
      <c r="GIN3" s="4"/>
      <c r="GIO3" s="4"/>
      <c r="GIP3" s="4"/>
      <c r="GIQ3" s="4"/>
      <c r="GIR3" s="4"/>
      <c r="GIS3" s="4"/>
      <c r="GIT3" s="4"/>
      <c r="GIU3" s="4"/>
      <c r="GIV3" s="4"/>
      <c r="GIW3" s="4"/>
      <c r="GIX3" s="4"/>
      <c r="GIY3" s="4"/>
      <c r="GIZ3" s="4"/>
      <c r="GJA3" s="4"/>
      <c r="GJB3" s="4"/>
      <c r="GJC3" s="4"/>
      <c r="GJD3" s="4"/>
      <c r="GJE3" s="4"/>
      <c r="GJF3" s="4"/>
      <c r="GJG3" s="4"/>
      <c r="GJH3" s="4"/>
      <c r="GJI3" s="4"/>
      <c r="GJJ3" s="4"/>
      <c r="GJK3" s="4"/>
      <c r="GJL3" s="4"/>
      <c r="GJM3" s="4"/>
      <c r="GJN3" s="4"/>
      <c r="GJO3" s="4"/>
      <c r="GJP3" s="4"/>
      <c r="GJQ3" s="4"/>
      <c r="GJR3" s="4"/>
      <c r="GJS3" s="4"/>
      <c r="GJT3" s="4"/>
      <c r="GJU3" s="4"/>
      <c r="GJV3" s="4"/>
      <c r="GJW3" s="4"/>
      <c r="GJX3" s="4"/>
      <c r="GJY3" s="4"/>
      <c r="GJZ3" s="4"/>
      <c r="GKA3" s="4"/>
      <c r="GKB3" s="4"/>
      <c r="GKC3" s="4"/>
      <c r="GKD3" s="4"/>
      <c r="GKE3" s="4"/>
      <c r="GKF3" s="4"/>
      <c r="GKG3" s="4"/>
      <c r="GKH3" s="4"/>
      <c r="GKI3" s="4"/>
      <c r="GKJ3" s="4"/>
      <c r="GKK3" s="4"/>
      <c r="GKL3" s="4"/>
      <c r="GKM3" s="4"/>
      <c r="GKN3" s="4"/>
      <c r="GKO3" s="4"/>
      <c r="GKP3" s="4"/>
      <c r="GKQ3" s="4"/>
      <c r="GKR3" s="4"/>
      <c r="GKS3" s="4"/>
      <c r="GKT3" s="4"/>
      <c r="GKU3" s="4"/>
      <c r="GKV3" s="4"/>
      <c r="GKW3" s="4"/>
      <c r="GKX3" s="4"/>
      <c r="GKY3" s="4"/>
      <c r="GKZ3" s="4"/>
      <c r="GLA3" s="4"/>
      <c r="GLB3" s="4"/>
      <c r="GLC3" s="4"/>
      <c r="GLD3" s="4"/>
      <c r="GLE3" s="4"/>
      <c r="GLF3" s="4"/>
      <c r="GLG3" s="4"/>
      <c r="GLH3" s="4"/>
      <c r="GLI3" s="4"/>
      <c r="GLJ3" s="4"/>
      <c r="GLK3" s="4"/>
      <c r="GLL3" s="4"/>
      <c r="GLM3" s="4"/>
      <c r="GLN3" s="4"/>
      <c r="GLO3" s="4"/>
      <c r="GLP3" s="4"/>
      <c r="GLQ3" s="4"/>
      <c r="GLR3" s="4"/>
      <c r="GLS3" s="4"/>
      <c r="GLT3" s="4"/>
      <c r="GLU3" s="4"/>
      <c r="GLV3" s="4"/>
      <c r="GLW3" s="4"/>
      <c r="GLX3" s="4"/>
      <c r="GLY3" s="4"/>
      <c r="GLZ3" s="4"/>
      <c r="GMA3" s="4"/>
      <c r="GMB3" s="4"/>
      <c r="GMC3" s="4"/>
      <c r="GMD3" s="4"/>
      <c r="GME3" s="4"/>
      <c r="GMF3" s="4"/>
      <c r="GMG3" s="4"/>
      <c r="GMH3" s="4"/>
      <c r="GMI3" s="4"/>
      <c r="GMJ3" s="4"/>
      <c r="GMK3" s="4"/>
      <c r="GML3" s="4"/>
      <c r="GMM3" s="4"/>
      <c r="GMN3" s="4"/>
      <c r="GMO3" s="4"/>
      <c r="GMP3" s="4"/>
      <c r="GMQ3" s="4"/>
      <c r="GMR3" s="4"/>
      <c r="GMS3" s="4"/>
      <c r="GMT3" s="4"/>
      <c r="GMU3" s="4"/>
      <c r="GMV3" s="4"/>
      <c r="GMW3" s="4"/>
      <c r="GMX3" s="4"/>
      <c r="GMY3" s="4"/>
      <c r="GMZ3" s="4"/>
      <c r="GNA3" s="4"/>
      <c r="GNB3" s="4"/>
      <c r="GNC3" s="4"/>
      <c r="GND3" s="4"/>
      <c r="GNE3" s="4"/>
      <c r="GNF3" s="4"/>
      <c r="GNG3" s="4"/>
      <c r="GNH3" s="4"/>
      <c r="GNI3" s="4"/>
      <c r="GNJ3" s="4"/>
      <c r="GNK3" s="4"/>
      <c r="GNL3" s="4"/>
      <c r="GNM3" s="4"/>
      <c r="GNN3" s="4"/>
      <c r="GNO3" s="4"/>
      <c r="GNP3" s="4"/>
      <c r="GNQ3" s="4"/>
      <c r="GNR3" s="4"/>
      <c r="GNS3" s="4"/>
      <c r="GNT3" s="4"/>
      <c r="GNU3" s="4"/>
      <c r="GNV3" s="4"/>
      <c r="GNW3" s="4"/>
      <c r="GNX3" s="4"/>
      <c r="GNY3" s="4"/>
      <c r="GNZ3" s="4"/>
      <c r="GOA3" s="4"/>
      <c r="GOB3" s="4"/>
      <c r="GOC3" s="4"/>
      <c r="GOD3" s="4"/>
      <c r="GOE3" s="4"/>
      <c r="GOF3" s="4"/>
      <c r="GOG3" s="4"/>
      <c r="GOH3" s="4"/>
      <c r="GOI3" s="4"/>
      <c r="GOJ3" s="4"/>
      <c r="GOK3" s="4"/>
      <c r="GOL3" s="4"/>
      <c r="GOM3" s="4"/>
      <c r="GON3" s="4"/>
      <c r="GOO3" s="4"/>
      <c r="GOP3" s="4"/>
      <c r="GOQ3" s="4"/>
      <c r="GOR3" s="4"/>
      <c r="GOS3" s="4"/>
      <c r="GOT3" s="4"/>
      <c r="GOU3" s="4"/>
      <c r="GOV3" s="4"/>
      <c r="GOW3" s="4"/>
      <c r="GOX3" s="4"/>
      <c r="GOY3" s="4"/>
      <c r="GOZ3" s="4"/>
      <c r="GPA3" s="4"/>
      <c r="GPB3" s="4"/>
      <c r="GPC3" s="4"/>
      <c r="GPD3" s="4"/>
      <c r="GPE3" s="4"/>
      <c r="GPF3" s="4"/>
      <c r="GPG3" s="4"/>
      <c r="GPH3" s="4"/>
      <c r="GPI3" s="4"/>
      <c r="GPJ3" s="4"/>
      <c r="GPK3" s="4"/>
      <c r="GPL3" s="4"/>
      <c r="GPM3" s="4"/>
      <c r="GPN3" s="4"/>
      <c r="GPO3" s="4"/>
      <c r="GPP3" s="4"/>
      <c r="GPQ3" s="4"/>
      <c r="GPR3" s="4"/>
      <c r="GPS3" s="4"/>
      <c r="GPT3" s="4"/>
      <c r="GPU3" s="4"/>
      <c r="GPV3" s="4"/>
      <c r="GPW3" s="4"/>
      <c r="GPX3" s="4"/>
      <c r="GPY3" s="4"/>
      <c r="GPZ3" s="4"/>
      <c r="GQA3" s="4"/>
      <c r="GQB3" s="4"/>
      <c r="GQC3" s="4"/>
      <c r="GQD3" s="4"/>
      <c r="GQE3" s="4"/>
      <c r="GQF3" s="4"/>
      <c r="GQG3" s="4"/>
      <c r="GQH3" s="4"/>
      <c r="GQI3" s="4"/>
      <c r="GQJ3" s="4"/>
      <c r="GQK3" s="4"/>
      <c r="GQL3" s="4"/>
      <c r="GQM3" s="4"/>
      <c r="GQN3" s="4"/>
      <c r="GQO3" s="4"/>
      <c r="GQP3" s="4"/>
      <c r="GQQ3" s="4"/>
      <c r="GQR3" s="4"/>
      <c r="GQS3" s="4"/>
      <c r="GQT3" s="4"/>
      <c r="GQU3" s="4"/>
      <c r="GQV3" s="4"/>
      <c r="GQW3" s="4"/>
      <c r="GQX3" s="4"/>
      <c r="GQY3" s="4"/>
      <c r="GQZ3" s="4"/>
      <c r="GRA3" s="4"/>
      <c r="GRB3" s="4"/>
      <c r="GRC3" s="4"/>
      <c r="GRD3" s="4"/>
      <c r="GRE3" s="4"/>
      <c r="GRF3" s="4"/>
      <c r="GRG3" s="4"/>
      <c r="GRH3" s="4"/>
      <c r="GRI3" s="4"/>
      <c r="GRJ3" s="4"/>
      <c r="GRK3" s="4"/>
      <c r="GRL3" s="4"/>
      <c r="GRM3" s="4"/>
      <c r="GRN3" s="4"/>
      <c r="GRO3" s="4"/>
      <c r="GRP3" s="4"/>
      <c r="GRQ3" s="4"/>
      <c r="GRR3" s="4"/>
      <c r="GRS3" s="4"/>
      <c r="GRT3" s="4"/>
      <c r="GRU3" s="4"/>
      <c r="GRV3" s="4"/>
      <c r="GRW3" s="4"/>
      <c r="GRX3" s="4"/>
      <c r="GRY3" s="4"/>
      <c r="GRZ3" s="4"/>
      <c r="GSA3" s="4"/>
      <c r="GSB3" s="4"/>
      <c r="GSC3" s="4"/>
      <c r="GSD3" s="4"/>
      <c r="GSE3" s="4"/>
      <c r="GSF3" s="4"/>
      <c r="GSG3" s="4"/>
      <c r="GSH3" s="4"/>
      <c r="GSI3" s="4"/>
      <c r="GSJ3" s="4"/>
      <c r="GSK3" s="4"/>
      <c r="GSL3" s="4"/>
      <c r="GSM3" s="4"/>
      <c r="GSN3" s="4"/>
      <c r="GSO3" s="4"/>
      <c r="GSP3" s="4"/>
      <c r="GSQ3" s="4"/>
      <c r="GSR3" s="4"/>
      <c r="GSS3" s="4"/>
      <c r="GST3" s="4"/>
      <c r="GSU3" s="4"/>
      <c r="GSV3" s="4"/>
      <c r="GSW3" s="4"/>
      <c r="GSX3" s="4"/>
      <c r="GSY3" s="4"/>
      <c r="GSZ3" s="4"/>
      <c r="GTA3" s="4"/>
      <c r="GTB3" s="4"/>
      <c r="GTC3" s="4"/>
      <c r="GTD3" s="4"/>
      <c r="GTE3" s="4"/>
      <c r="GTF3" s="4"/>
      <c r="GTG3" s="4"/>
      <c r="GTH3" s="4"/>
      <c r="GTI3" s="4"/>
      <c r="GTJ3" s="4"/>
      <c r="GTK3" s="4"/>
      <c r="GTL3" s="4"/>
      <c r="GTM3" s="4"/>
      <c r="GTN3" s="4"/>
      <c r="GTO3" s="4"/>
      <c r="GTP3" s="4"/>
      <c r="GTQ3" s="4"/>
      <c r="GTR3" s="4"/>
      <c r="GTS3" s="4"/>
      <c r="GTT3" s="4"/>
      <c r="GTU3" s="4"/>
      <c r="GTV3" s="4"/>
      <c r="GTW3" s="4"/>
      <c r="GTX3" s="4"/>
      <c r="GTY3" s="4"/>
      <c r="GTZ3" s="4"/>
      <c r="GUA3" s="4"/>
      <c r="GUB3" s="4"/>
      <c r="GUC3" s="4"/>
      <c r="GUD3" s="4"/>
      <c r="GUE3" s="4"/>
      <c r="GUF3" s="4"/>
      <c r="GUG3" s="4"/>
      <c r="GUH3" s="4"/>
      <c r="GUI3" s="4"/>
      <c r="GUJ3" s="4"/>
      <c r="GUK3" s="4"/>
      <c r="GUL3" s="4"/>
      <c r="GUM3" s="4"/>
      <c r="GUN3" s="4"/>
      <c r="GUO3" s="4"/>
      <c r="GUP3" s="4"/>
      <c r="GUQ3" s="4"/>
      <c r="GUR3" s="4"/>
      <c r="GUS3" s="4"/>
      <c r="GUT3" s="4"/>
      <c r="GUU3" s="4"/>
      <c r="GUV3" s="4"/>
      <c r="GUW3" s="4"/>
      <c r="GUX3" s="4"/>
      <c r="GUY3" s="4"/>
      <c r="GUZ3" s="4"/>
      <c r="GVA3" s="4"/>
      <c r="GVB3" s="4"/>
      <c r="GVC3" s="4"/>
      <c r="GVD3" s="4"/>
      <c r="GVE3" s="4"/>
      <c r="GVF3" s="4"/>
      <c r="GVG3" s="4"/>
      <c r="GVH3" s="4"/>
      <c r="GVI3" s="4"/>
      <c r="GVJ3" s="4"/>
      <c r="GVK3" s="4"/>
      <c r="GVL3" s="4"/>
      <c r="GVM3" s="4"/>
      <c r="GVN3" s="4"/>
      <c r="GVO3" s="4"/>
      <c r="GVP3" s="4"/>
      <c r="GVQ3" s="4"/>
      <c r="GVR3" s="4"/>
      <c r="GVS3" s="4"/>
      <c r="GVT3" s="4"/>
      <c r="GVU3" s="4"/>
      <c r="GVV3" s="4"/>
      <c r="GVW3" s="4"/>
      <c r="GVX3" s="4"/>
      <c r="GVY3" s="4"/>
      <c r="GVZ3" s="4"/>
      <c r="GWA3" s="4"/>
      <c r="GWB3" s="4"/>
      <c r="GWC3" s="4"/>
      <c r="GWD3" s="4"/>
      <c r="GWE3" s="4"/>
      <c r="GWF3" s="4"/>
      <c r="GWG3" s="4"/>
      <c r="GWH3" s="4"/>
      <c r="GWI3" s="4"/>
      <c r="GWJ3" s="4"/>
      <c r="GWK3" s="4"/>
      <c r="GWL3" s="4"/>
      <c r="GWM3" s="4"/>
      <c r="GWN3" s="4"/>
      <c r="GWO3" s="4"/>
      <c r="GWP3" s="4"/>
      <c r="GWQ3" s="4"/>
      <c r="GWR3" s="4"/>
      <c r="GWS3" s="4"/>
      <c r="GWT3" s="4"/>
      <c r="GWU3" s="4"/>
      <c r="GWV3" s="4"/>
      <c r="GWW3" s="4"/>
      <c r="GWX3" s="4"/>
      <c r="GWY3" s="4"/>
      <c r="GWZ3" s="4"/>
      <c r="GXA3" s="4"/>
      <c r="GXB3" s="4"/>
      <c r="GXC3" s="4"/>
      <c r="GXD3" s="4"/>
      <c r="GXE3" s="4"/>
      <c r="GXF3" s="4"/>
      <c r="GXG3" s="4"/>
      <c r="GXH3" s="4"/>
      <c r="GXI3" s="4"/>
      <c r="GXJ3" s="4"/>
      <c r="GXK3" s="4"/>
      <c r="GXL3" s="4"/>
      <c r="GXM3" s="4"/>
      <c r="GXN3" s="4"/>
      <c r="GXO3" s="4"/>
      <c r="GXP3" s="4"/>
      <c r="GXQ3" s="4"/>
      <c r="GXR3" s="4"/>
      <c r="GXS3" s="4"/>
      <c r="GXT3" s="4"/>
      <c r="GXU3" s="4"/>
      <c r="GXV3" s="4"/>
      <c r="GXW3" s="4"/>
      <c r="GXX3" s="4"/>
      <c r="GXY3" s="4"/>
      <c r="GXZ3" s="4"/>
      <c r="GYA3" s="4"/>
      <c r="GYB3" s="4"/>
      <c r="GYC3" s="4"/>
      <c r="GYD3" s="4"/>
      <c r="GYE3" s="4"/>
      <c r="GYF3" s="4"/>
      <c r="GYG3" s="4"/>
      <c r="GYH3" s="4"/>
      <c r="GYI3" s="4"/>
      <c r="GYJ3" s="4"/>
      <c r="GYK3" s="4"/>
      <c r="GYL3" s="4"/>
      <c r="GYM3" s="4"/>
      <c r="GYN3" s="4"/>
      <c r="GYO3" s="4"/>
      <c r="GYP3" s="4"/>
      <c r="GYQ3" s="4"/>
      <c r="GYR3" s="4"/>
      <c r="GYS3" s="4"/>
      <c r="GYT3" s="4"/>
      <c r="GYU3" s="4"/>
      <c r="GYV3" s="4"/>
      <c r="GYW3" s="4"/>
      <c r="GYX3" s="4"/>
      <c r="GYY3" s="4"/>
      <c r="GYZ3" s="4"/>
      <c r="GZA3" s="4"/>
      <c r="GZB3" s="4"/>
      <c r="GZC3" s="4"/>
      <c r="GZD3" s="4"/>
      <c r="GZE3" s="4"/>
      <c r="GZF3" s="4"/>
      <c r="GZG3" s="4"/>
      <c r="GZH3" s="4"/>
      <c r="GZI3" s="4"/>
      <c r="GZJ3" s="4"/>
      <c r="GZK3" s="4"/>
      <c r="GZL3" s="4"/>
      <c r="GZM3" s="4"/>
      <c r="GZN3" s="4"/>
      <c r="GZO3" s="4"/>
      <c r="GZP3" s="4"/>
      <c r="GZQ3" s="4"/>
      <c r="GZR3" s="4"/>
      <c r="GZS3" s="4"/>
      <c r="GZT3" s="4"/>
      <c r="GZU3" s="4"/>
      <c r="GZV3" s="4"/>
      <c r="GZW3" s="4"/>
      <c r="GZX3" s="4"/>
      <c r="GZY3" s="4"/>
      <c r="GZZ3" s="4"/>
      <c r="HAA3" s="4"/>
      <c r="HAB3" s="4"/>
      <c r="HAC3" s="4"/>
      <c r="HAD3" s="4"/>
      <c r="HAE3" s="4"/>
      <c r="HAF3" s="4"/>
      <c r="HAG3" s="4"/>
      <c r="HAH3" s="4"/>
      <c r="HAI3" s="4"/>
      <c r="HAJ3" s="4"/>
      <c r="HAK3" s="4"/>
      <c r="HAL3" s="4"/>
      <c r="HAM3" s="4"/>
      <c r="HAN3" s="4"/>
      <c r="HAO3" s="4"/>
      <c r="HAP3" s="4"/>
      <c r="HAQ3" s="4"/>
      <c r="HAR3" s="4"/>
      <c r="HAS3" s="4"/>
      <c r="HAT3" s="4"/>
      <c r="HAU3" s="4"/>
      <c r="HAV3" s="4"/>
      <c r="HAW3" s="4"/>
      <c r="HAX3" s="4"/>
      <c r="HAY3" s="4"/>
      <c r="HAZ3" s="4"/>
      <c r="HBA3" s="4"/>
      <c r="HBB3" s="4"/>
      <c r="HBC3" s="4"/>
      <c r="HBD3" s="4"/>
      <c r="HBE3" s="4"/>
      <c r="HBF3" s="4"/>
      <c r="HBG3" s="4"/>
      <c r="HBH3" s="4"/>
      <c r="HBI3" s="4"/>
      <c r="HBJ3" s="4"/>
      <c r="HBK3" s="4"/>
      <c r="HBL3" s="4"/>
      <c r="HBM3" s="4"/>
      <c r="HBN3" s="4"/>
      <c r="HBO3" s="4"/>
      <c r="HBP3" s="4"/>
      <c r="HBQ3" s="4"/>
      <c r="HBR3" s="4"/>
      <c r="HBS3" s="4"/>
      <c r="HBT3" s="4"/>
      <c r="HBU3" s="4"/>
      <c r="HBV3" s="4"/>
      <c r="HBW3" s="4"/>
      <c r="HBX3" s="4"/>
      <c r="HBY3" s="4"/>
      <c r="HBZ3" s="4"/>
      <c r="HCA3" s="4"/>
      <c r="HCB3" s="4"/>
      <c r="HCC3" s="4"/>
      <c r="HCD3" s="4"/>
      <c r="HCE3" s="4"/>
      <c r="HCF3" s="4"/>
      <c r="HCG3" s="4"/>
      <c r="HCH3" s="4"/>
      <c r="HCI3" s="4"/>
      <c r="HCJ3" s="4"/>
      <c r="HCK3" s="4"/>
      <c r="HCL3" s="4"/>
      <c r="HCM3" s="4"/>
      <c r="HCN3" s="4"/>
      <c r="HCO3" s="4"/>
      <c r="HCP3" s="4"/>
      <c r="HCQ3" s="4"/>
      <c r="HCR3" s="4"/>
      <c r="HCS3" s="4"/>
      <c r="HCT3" s="4"/>
      <c r="HCU3" s="4"/>
      <c r="HCV3" s="4"/>
      <c r="HCW3" s="4"/>
      <c r="HCX3" s="4"/>
      <c r="HCY3" s="4"/>
      <c r="HCZ3" s="4"/>
      <c r="HDA3" s="4"/>
      <c r="HDB3" s="4"/>
      <c r="HDC3" s="4"/>
      <c r="HDD3" s="4"/>
      <c r="HDE3" s="4"/>
      <c r="HDF3" s="4"/>
      <c r="HDG3" s="4"/>
      <c r="HDH3" s="4"/>
      <c r="HDI3" s="4"/>
      <c r="HDJ3" s="4"/>
      <c r="HDK3" s="4"/>
      <c r="HDL3" s="4"/>
      <c r="HDM3" s="4"/>
      <c r="HDN3" s="4"/>
      <c r="HDO3" s="4"/>
      <c r="HDP3" s="4"/>
      <c r="HDQ3" s="4"/>
      <c r="HDR3" s="4"/>
      <c r="HDS3" s="4"/>
      <c r="HDT3" s="4"/>
      <c r="HDU3" s="4"/>
      <c r="HDV3" s="4"/>
      <c r="HDW3" s="4"/>
      <c r="HDX3" s="4"/>
      <c r="HDY3" s="4"/>
      <c r="HDZ3" s="4"/>
      <c r="HEA3" s="4"/>
      <c r="HEB3" s="4"/>
      <c r="HEC3" s="4"/>
      <c r="HED3" s="4"/>
      <c r="HEE3" s="4"/>
      <c r="HEF3" s="4"/>
      <c r="HEG3" s="4"/>
      <c r="HEH3" s="4"/>
      <c r="HEI3" s="4"/>
      <c r="HEJ3" s="4"/>
      <c r="HEK3" s="4"/>
      <c r="HEL3" s="4"/>
      <c r="HEM3" s="4"/>
      <c r="HEN3" s="4"/>
      <c r="HEO3" s="4"/>
      <c r="HEP3" s="4"/>
      <c r="HEQ3" s="4"/>
      <c r="HER3" s="4"/>
      <c r="HES3" s="4"/>
      <c r="HET3" s="4"/>
      <c r="HEU3" s="4"/>
      <c r="HEV3" s="4"/>
      <c r="HEW3" s="4"/>
      <c r="HEX3" s="4"/>
      <c r="HEY3" s="4"/>
      <c r="HEZ3" s="4"/>
      <c r="HFA3" s="4"/>
      <c r="HFB3" s="4"/>
      <c r="HFC3" s="4"/>
      <c r="HFD3" s="4"/>
      <c r="HFE3" s="4"/>
      <c r="HFF3" s="4"/>
      <c r="HFG3" s="4"/>
      <c r="HFH3" s="4"/>
      <c r="HFI3" s="4"/>
      <c r="HFJ3" s="4"/>
      <c r="HFK3" s="4"/>
      <c r="HFL3" s="4"/>
      <c r="HFM3" s="4"/>
      <c r="HFN3" s="4"/>
      <c r="HFO3" s="4"/>
      <c r="HFP3" s="4"/>
      <c r="HFQ3" s="4"/>
      <c r="HFR3" s="4"/>
      <c r="HFS3" s="4"/>
      <c r="HFT3" s="4"/>
      <c r="HFU3" s="4"/>
      <c r="HFV3" s="4"/>
      <c r="HFW3" s="4"/>
      <c r="HFX3" s="4"/>
      <c r="HFY3" s="4"/>
      <c r="HFZ3" s="4"/>
      <c r="HGA3" s="4"/>
      <c r="HGB3" s="4"/>
      <c r="HGC3" s="4"/>
      <c r="HGD3" s="4"/>
      <c r="HGE3" s="4"/>
      <c r="HGF3" s="4"/>
      <c r="HGG3" s="4"/>
      <c r="HGH3" s="4"/>
      <c r="HGI3" s="4"/>
      <c r="HGJ3" s="4"/>
      <c r="HGK3" s="4"/>
      <c r="HGL3" s="4"/>
      <c r="HGM3" s="4"/>
      <c r="HGN3" s="4"/>
      <c r="HGO3" s="4"/>
      <c r="HGP3" s="4"/>
      <c r="HGQ3" s="4"/>
      <c r="HGR3" s="4"/>
      <c r="HGS3" s="4"/>
      <c r="HGT3" s="4"/>
      <c r="HGU3" s="4"/>
      <c r="HGV3" s="4"/>
      <c r="HGW3" s="4"/>
      <c r="HGX3" s="4"/>
      <c r="HGY3" s="4"/>
      <c r="HGZ3" s="4"/>
      <c r="HHA3" s="4"/>
      <c r="HHB3" s="4"/>
      <c r="HHC3" s="4"/>
      <c r="HHD3" s="4"/>
      <c r="HHE3" s="4"/>
      <c r="HHF3" s="4"/>
      <c r="HHG3" s="4"/>
      <c r="HHH3" s="4"/>
      <c r="HHI3" s="4"/>
      <c r="HHJ3" s="4"/>
      <c r="HHK3" s="4"/>
      <c r="HHL3" s="4"/>
      <c r="HHM3" s="4"/>
      <c r="HHN3" s="4"/>
      <c r="HHO3" s="4"/>
      <c r="HHP3" s="4"/>
      <c r="HHQ3" s="4"/>
      <c r="HHR3" s="4"/>
      <c r="HHS3" s="4"/>
      <c r="HHT3" s="4"/>
      <c r="HHU3" s="4"/>
      <c r="HHV3" s="4"/>
      <c r="HHW3" s="4"/>
      <c r="HHX3" s="4"/>
      <c r="HHY3" s="4"/>
      <c r="HHZ3" s="4"/>
      <c r="HIA3" s="4"/>
      <c r="HIB3" s="4"/>
      <c r="HIC3" s="4"/>
      <c r="HID3" s="4"/>
      <c r="HIE3" s="4"/>
      <c r="HIF3" s="4"/>
      <c r="HIG3" s="4"/>
      <c r="HIH3" s="4"/>
      <c r="HII3" s="4"/>
      <c r="HIJ3" s="4"/>
      <c r="HIK3" s="4"/>
      <c r="HIL3" s="4"/>
      <c r="HIM3" s="4"/>
      <c r="HIN3" s="4"/>
      <c r="HIO3" s="4"/>
      <c r="HIP3" s="4"/>
      <c r="HIQ3" s="4"/>
      <c r="HIR3" s="4"/>
      <c r="HIS3" s="4"/>
      <c r="HIT3" s="4"/>
      <c r="HIU3" s="4"/>
      <c r="HIV3" s="4"/>
      <c r="HIW3" s="4"/>
      <c r="HIX3" s="4"/>
      <c r="HIY3" s="4"/>
      <c r="HIZ3" s="4"/>
      <c r="HJA3" s="4"/>
      <c r="HJB3" s="4"/>
      <c r="HJC3" s="4"/>
      <c r="HJD3" s="4"/>
      <c r="HJE3" s="4"/>
      <c r="HJF3" s="4"/>
      <c r="HJG3" s="4"/>
      <c r="HJH3" s="4"/>
      <c r="HJI3" s="4"/>
      <c r="HJJ3" s="4"/>
      <c r="HJK3" s="4"/>
      <c r="HJL3" s="4"/>
      <c r="HJM3" s="4"/>
      <c r="HJN3" s="4"/>
      <c r="HJO3" s="4"/>
      <c r="HJP3" s="4"/>
      <c r="HJQ3" s="4"/>
      <c r="HJR3" s="4"/>
      <c r="HJS3" s="4"/>
      <c r="HJT3" s="4"/>
      <c r="HJU3" s="4"/>
      <c r="HJV3" s="4"/>
      <c r="HJW3" s="4"/>
      <c r="HJX3" s="4"/>
      <c r="HJY3" s="4"/>
      <c r="HJZ3" s="4"/>
      <c r="HKA3" s="4"/>
      <c r="HKB3" s="4"/>
      <c r="HKC3" s="4"/>
      <c r="HKD3" s="4"/>
      <c r="HKE3" s="4"/>
      <c r="HKF3" s="4"/>
      <c r="HKG3" s="4"/>
      <c r="HKH3" s="4"/>
      <c r="HKI3" s="4"/>
      <c r="HKJ3" s="4"/>
      <c r="HKK3" s="4"/>
      <c r="HKL3" s="4"/>
      <c r="HKM3" s="4"/>
      <c r="HKN3" s="4"/>
      <c r="HKO3" s="4"/>
      <c r="HKP3" s="4"/>
      <c r="HKQ3" s="4"/>
      <c r="HKR3" s="4"/>
      <c r="HKS3" s="4"/>
      <c r="HKT3" s="4"/>
      <c r="HKU3" s="4"/>
      <c r="HKV3" s="4"/>
      <c r="HKW3" s="4"/>
      <c r="HKX3" s="4"/>
      <c r="HKY3" s="4"/>
      <c r="HKZ3" s="4"/>
      <c r="HLA3" s="4"/>
      <c r="HLB3" s="4"/>
      <c r="HLC3" s="4"/>
      <c r="HLD3" s="4"/>
      <c r="HLE3" s="4"/>
      <c r="HLF3" s="4"/>
      <c r="HLG3" s="4"/>
      <c r="HLH3" s="4"/>
      <c r="HLI3" s="4"/>
      <c r="HLJ3" s="4"/>
      <c r="HLK3" s="4"/>
      <c r="HLL3" s="4"/>
      <c r="HLM3" s="4"/>
      <c r="HLN3" s="4"/>
      <c r="HLO3" s="4"/>
      <c r="HLP3" s="4"/>
      <c r="HLQ3" s="4"/>
      <c r="HLR3" s="4"/>
      <c r="HLS3" s="4"/>
      <c r="HLT3" s="4"/>
      <c r="HLU3" s="4"/>
      <c r="HLV3" s="4"/>
      <c r="HLW3" s="4"/>
      <c r="HLX3" s="4"/>
      <c r="HLY3" s="4"/>
      <c r="HLZ3" s="4"/>
      <c r="HMA3" s="4"/>
      <c r="HMB3" s="4"/>
      <c r="HMC3" s="4"/>
      <c r="HMD3" s="4"/>
      <c r="HME3" s="4"/>
      <c r="HMF3" s="4"/>
      <c r="HMG3" s="4"/>
      <c r="HMH3" s="4"/>
      <c r="HMI3" s="4"/>
      <c r="HMJ3" s="4"/>
      <c r="HMK3" s="4"/>
      <c r="HML3" s="4"/>
      <c r="HMM3" s="4"/>
      <c r="HMN3" s="4"/>
      <c r="HMO3" s="4"/>
      <c r="HMP3" s="4"/>
      <c r="HMQ3" s="4"/>
      <c r="HMR3" s="4"/>
      <c r="HMS3" s="4"/>
      <c r="HMT3" s="4"/>
      <c r="HMU3" s="4"/>
      <c r="HMV3" s="4"/>
      <c r="HMW3" s="4"/>
      <c r="HMX3" s="4"/>
      <c r="HMY3" s="4"/>
      <c r="HMZ3" s="4"/>
      <c r="HNA3" s="4"/>
      <c r="HNB3" s="4"/>
      <c r="HNC3" s="4"/>
      <c r="HND3" s="4"/>
      <c r="HNE3" s="4"/>
      <c r="HNF3" s="4"/>
      <c r="HNG3" s="4"/>
      <c r="HNH3" s="4"/>
      <c r="HNI3" s="4"/>
      <c r="HNJ3" s="4"/>
      <c r="HNK3" s="4"/>
      <c r="HNL3" s="4"/>
      <c r="HNM3" s="4"/>
      <c r="HNN3" s="4"/>
      <c r="HNO3" s="4"/>
      <c r="HNP3" s="4"/>
      <c r="HNQ3" s="4"/>
      <c r="HNR3" s="4"/>
      <c r="HNS3" s="4"/>
      <c r="HNT3" s="4"/>
      <c r="HNU3" s="4"/>
      <c r="HNV3" s="4"/>
      <c r="HNW3" s="4"/>
      <c r="HNX3" s="4"/>
      <c r="HNY3" s="4"/>
      <c r="HNZ3" s="4"/>
      <c r="HOA3" s="4"/>
      <c r="HOB3" s="4"/>
      <c r="HOC3" s="4"/>
      <c r="HOD3" s="4"/>
      <c r="HOE3" s="4"/>
      <c r="HOF3" s="4"/>
      <c r="HOG3" s="4"/>
      <c r="HOH3" s="4"/>
      <c r="HOI3" s="4"/>
      <c r="HOJ3" s="4"/>
      <c r="HOK3" s="4"/>
      <c r="HOL3" s="4"/>
      <c r="HOM3" s="4"/>
      <c r="HON3" s="4"/>
      <c r="HOO3" s="4"/>
      <c r="HOP3" s="4"/>
      <c r="HOQ3" s="4"/>
      <c r="HOR3" s="4"/>
      <c r="HOS3" s="4"/>
      <c r="HOT3" s="4"/>
      <c r="HOU3" s="4"/>
      <c r="HOV3" s="4"/>
      <c r="HOW3" s="4"/>
      <c r="HOX3" s="4"/>
      <c r="HOY3" s="4"/>
      <c r="HOZ3" s="4"/>
      <c r="HPA3" s="4"/>
      <c r="HPB3" s="4"/>
      <c r="HPC3" s="4"/>
      <c r="HPD3" s="4"/>
      <c r="HPE3" s="4"/>
      <c r="HPF3" s="4"/>
      <c r="HPG3" s="4"/>
      <c r="HPH3" s="4"/>
      <c r="HPI3" s="4"/>
      <c r="HPJ3" s="4"/>
      <c r="HPK3" s="4"/>
      <c r="HPL3" s="4"/>
      <c r="HPM3" s="4"/>
      <c r="HPN3" s="4"/>
      <c r="HPO3" s="4"/>
      <c r="HPP3" s="4"/>
      <c r="HPQ3" s="4"/>
      <c r="HPR3" s="4"/>
      <c r="HPS3" s="4"/>
      <c r="HPT3" s="4"/>
      <c r="HPU3" s="4"/>
      <c r="HPV3" s="4"/>
      <c r="HPW3" s="4"/>
      <c r="HPX3" s="4"/>
      <c r="HPY3" s="4"/>
      <c r="HPZ3" s="4"/>
      <c r="HQA3" s="4"/>
      <c r="HQB3" s="4"/>
      <c r="HQC3" s="4"/>
      <c r="HQD3" s="4"/>
      <c r="HQE3" s="4"/>
      <c r="HQF3" s="4"/>
      <c r="HQG3" s="4"/>
      <c r="HQH3" s="4"/>
      <c r="HQI3" s="4"/>
      <c r="HQJ3" s="4"/>
      <c r="HQK3" s="4"/>
      <c r="HQL3" s="4"/>
      <c r="HQM3" s="4"/>
      <c r="HQN3" s="4"/>
      <c r="HQO3" s="4"/>
      <c r="HQP3" s="4"/>
      <c r="HQQ3" s="4"/>
      <c r="HQR3" s="4"/>
      <c r="HQS3" s="4"/>
      <c r="HQT3" s="4"/>
      <c r="HQU3" s="4"/>
      <c r="HQV3" s="4"/>
      <c r="HQW3" s="4"/>
      <c r="HQX3" s="4"/>
      <c r="HQY3" s="4"/>
      <c r="HQZ3" s="4"/>
      <c r="HRA3" s="4"/>
      <c r="HRB3" s="4"/>
      <c r="HRC3" s="4"/>
      <c r="HRD3" s="4"/>
      <c r="HRE3" s="4"/>
      <c r="HRF3" s="4"/>
      <c r="HRG3" s="4"/>
      <c r="HRH3" s="4"/>
      <c r="HRI3" s="4"/>
      <c r="HRJ3" s="4"/>
      <c r="HRK3" s="4"/>
      <c r="HRL3" s="4"/>
      <c r="HRM3" s="4"/>
      <c r="HRN3" s="4"/>
      <c r="HRO3" s="4"/>
      <c r="HRP3" s="4"/>
      <c r="HRQ3" s="4"/>
      <c r="HRR3" s="4"/>
      <c r="HRS3" s="4"/>
      <c r="HRT3" s="4"/>
      <c r="HRU3" s="4"/>
      <c r="HRV3" s="4"/>
      <c r="HRW3" s="4"/>
      <c r="HRX3" s="4"/>
      <c r="HRY3" s="4"/>
      <c r="HRZ3" s="4"/>
      <c r="HSA3" s="4"/>
      <c r="HSB3" s="4"/>
      <c r="HSC3" s="4"/>
      <c r="HSD3" s="4"/>
      <c r="HSE3" s="4"/>
      <c r="HSF3" s="4"/>
      <c r="HSG3" s="4"/>
      <c r="HSH3" s="4"/>
      <c r="HSI3" s="4"/>
      <c r="HSJ3" s="4"/>
      <c r="HSK3" s="4"/>
      <c r="HSL3" s="4"/>
      <c r="HSM3" s="4"/>
      <c r="HSN3" s="4"/>
      <c r="HSO3" s="4"/>
      <c r="HSP3" s="4"/>
      <c r="HSQ3" s="4"/>
      <c r="HSR3" s="4"/>
      <c r="HSS3" s="4"/>
      <c r="HST3" s="4"/>
      <c r="HSU3" s="4"/>
      <c r="HSV3" s="4"/>
      <c r="HSW3" s="4"/>
      <c r="HSX3" s="4"/>
      <c r="HSY3" s="4"/>
      <c r="HSZ3" s="4"/>
      <c r="HTA3" s="4"/>
      <c r="HTB3" s="4"/>
      <c r="HTC3" s="4"/>
      <c r="HTD3" s="4"/>
      <c r="HTE3" s="4"/>
      <c r="HTF3" s="4"/>
      <c r="HTG3" s="4"/>
      <c r="HTH3" s="4"/>
      <c r="HTI3" s="4"/>
      <c r="HTJ3" s="4"/>
      <c r="HTK3" s="4"/>
      <c r="HTL3" s="4"/>
      <c r="HTM3" s="4"/>
      <c r="HTN3" s="4"/>
      <c r="HTO3" s="4"/>
      <c r="HTP3" s="4"/>
      <c r="HTQ3" s="4"/>
      <c r="HTR3" s="4"/>
      <c r="HTS3" s="4"/>
      <c r="HTT3" s="4"/>
      <c r="HTU3" s="4"/>
      <c r="HTV3" s="4"/>
      <c r="HTW3" s="4"/>
      <c r="HTX3" s="4"/>
      <c r="HTY3" s="4"/>
      <c r="HTZ3" s="4"/>
      <c r="HUA3" s="4"/>
      <c r="HUB3" s="4"/>
      <c r="HUC3" s="4"/>
      <c r="HUD3" s="4"/>
      <c r="HUE3" s="4"/>
      <c r="HUF3" s="4"/>
      <c r="HUG3" s="4"/>
      <c r="HUH3" s="4"/>
      <c r="HUI3" s="4"/>
      <c r="HUJ3" s="4"/>
      <c r="HUK3" s="4"/>
      <c r="HUL3" s="4"/>
      <c r="HUM3" s="4"/>
      <c r="HUN3" s="4"/>
      <c r="HUO3" s="4"/>
      <c r="HUP3" s="4"/>
      <c r="HUQ3" s="4"/>
      <c r="HUR3" s="4"/>
      <c r="HUS3" s="4"/>
      <c r="HUT3" s="4"/>
      <c r="HUU3" s="4"/>
      <c r="HUV3" s="4"/>
      <c r="HUW3" s="4"/>
      <c r="HUX3" s="4"/>
      <c r="HUY3" s="4"/>
      <c r="HUZ3" s="4"/>
      <c r="HVA3" s="4"/>
      <c r="HVB3" s="4"/>
      <c r="HVC3" s="4"/>
      <c r="HVD3" s="4"/>
      <c r="HVE3" s="4"/>
      <c r="HVF3" s="4"/>
      <c r="HVG3" s="4"/>
      <c r="HVH3" s="4"/>
      <c r="HVI3" s="4"/>
      <c r="HVJ3" s="4"/>
      <c r="HVK3" s="4"/>
      <c r="HVL3" s="4"/>
      <c r="HVM3" s="4"/>
      <c r="HVN3" s="4"/>
      <c r="HVO3" s="4"/>
      <c r="HVP3" s="4"/>
      <c r="HVQ3" s="4"/>
      <c r="HVR3" s="4"/>
      <c r="HVS3" s="4"/>
      <c r="HVT3" s="4"/>
      <c r="HVU3" s="4"/>
      <c r="HVV3" s="4"/>
      <c r="HVW3" s="4"/>
      <c r="HVX3" s="4"/>
      <c r="HVY3" s="4"/>
      <c r="HVZ3" s="4"/>
      <c r="HWA3" s="4"/>
      <c r="HWB3" s="4"/>
      <c r="HWC3" s="4"/>
      <c r="HWD3" s="4"/>
      <c r="HWE3" s="4"/>
      <c r="HWF3" s="4"/>
      <c r="HWG3" s="4"/>
      <c r="HWH3" s="4"/>
      <c r="HWI3" s="4"/>
      <c r="HWJ3" s="4"/>
      <c r="HWK3" s="4"/>
      <c r="HWL3" s="4"/>
      <c r="HWM3" s="4"/>
      <c r="HWN3" s="4"/>
      <c r="HWO3" s="4"/>
      <c r="HWP3" s="4"/>
      <c r="HWQ3" s="4"/>
      <c r="HWR3" s="4"/>
      <c r="HWS3" s="4"/>
      <c r="HWT3" s="4"/>
      <c r="HWU3" s="4"/>
      <c r="HWV3" s="4"/>
      <c r="HWW3" s="4"/>
      <c r="HWX3" s="4"/>
      <c r="HWY3" s="4"/>
      <c r="HWZ3" s="4"/>
      <c r="HXA3" s="4"/>
      <c r="HXB3" s="4"/>
      <c r="HXC3" s="4"/>
      <c r="HXD3" s="4"/>
      <c r="HXE3" s="4"/>
      <c r="HXF3" s="4"/>
      <c r="HXG3" s="4"/>
      <c r="HXH3" s="4"/>
      <c r="HXI3" s="4"/>
      <c r="HXJ3" s="4"/>
      <c r="HXK3" s="4"/>
      <c r="HXL3" s="4"/>
      <c r="HXM3" s="4"/>
      <c r="HXN3" s="4"/>
      <c r="HXO3" s="4"/>
      <c r="HXP3" s="4"/>
      <c r="HXQ3" s="4"/>
      <c r="HXR3" s="4"/>
      <c r="HXS3" s="4"/>
      <c r="HXT3" s="4"/>
      <c r="HXU3" s="4"/>
      <c r="HXV3" s="4"/>
      <c r="HXW3" s="4"/>
      <c r="HXX3" s="4"/>
      <c r="HXY3" s="4"/>
      <c r="HXZ3" s="4"/>
      <c r="HYA3" s="4"/>
      <c r="HYB3" s="4"/>
      <c r="HYC3" s="4"/>
      <c r="HYD3" s="4"/>
      <c r="HYE3" s="4"/>
      <c r="HYF3" s="4"/>
      <c r="HYG3" s="4"/>
      <c r="HYH3" s="4"/>
      <c r="HYI3" s="4"/>
      <c r="HYJ3" s="4"/>
      <c r="HYK3" s="4"/>
      <c r="HYL3" s="4"/>
      <c r="HYM3" s="4"/>
      <c r="HYN3" s="4"/>
      <c r="HYO3" s="4"/>
      <c r="HYP3" s="4"/>
      <c r="HYQ3" s="4"/>
      <c r="HYR3" s="4"/>
      <c r="HYS3" s="4"/>
      <c r="HYT3" s="4"/>
      <c r="HYU3" s="4"/>
      <c r="HYV3" s="4"/>
      <c r="HYW3" s="4"/>
      <c r="HYX3" s="4"/>
      <c r="HYY3" s="4"/>
      <c r="HYZ3" s="4"/>
      <c r="HZA3" s="4"/>
      <c r="HZB3" s="4"/>
      <c r="HZC3" s="4"/>
      <c r="HZD3" s="4"/>
      <c r="HZE3" s="4"/>
      <c r="HZF3" s="4"/>
      <c r="HZG3" s="4"/>
      <c r="HZH3" s="4"/>
      <c r="HZI3" s="4"/>
      <c r="HZJ3" s="4"/>
      <c r="HZK3" s="4"/>
      <c r="HZL3" s="4"/>
      <c r="HZM3" s="4"/>
      <c r="HZN3" s="4"/>
      <c r="HZO3" s="4"/>
      <c r="HZP3" s="4"/>
      <c r="HZQ3" s="4"/>
      <c r="HZR3" s="4"/>
      <c r="HZS3" s="4"/>
      <c r="HZT3" s="4"/>
      <c r="HZU3" s="4"/>
      <c r="HZV3" s="4"/>
      <c r="HZW3" s="4"/>
      <c r="HZX3" s="4"/>
      <c r="HZY3" s="4"/>
      <c r="HZZ3" s="4"/>
      <c r="IAA3" s="4"/>
      <c r="IAB3" s="4"/>
      <c r="IAC3" s="4"/>
      <c r="IAD3" s="4"/>
      <c r="IAE3" s="4"/>
      <c r="IAF3" s="4"/>
      <c r="IAG3" s="4"/>
      <c r="IAH3" s="4"/>
      <c r="IAI3" s="4"/>
      <c r="IAJ3" s="4"/>
      <c r="IAK3" s="4"/>
      <c r="IAL3" s="4"/>
      <c r="IAM3" s="4"/>
      <c r="IAN3" s="4"/>
      <c r="IAO3" s="4"/>
      <c r="IAP3" s="4"/>
      <c r="IAQ3" s="4"/>
      <c r="IAR3" s="4"/>
      <c r="IAS3" s="4"/>
      <c r="IAT3" s="4"/>
      <c r="IAU3" s="4"/>
      <c r="IAV3" s="4"/>
      <c r="IAW3" s="4"/>
      <c r="IAX3" s="4"/>
      <c r="IAY3" s="4"/>
      <c r="IAZ3" s="4"/>
      <c r="IBA3" s="4"/>
      <c r="IBB3" s="4"/>
      <c r="IBC3" s="4"/>
      <c r="IBD3" s="4"/>
      <c r="IBE3" s="4"/>
      <c r="IBF3" s="4"/>
      <c r="IBG3" s="4"/>
      <c r="IBH3" s="4"/>
      <c r="IBI3" s="4"/>
      <c r="IBJ3" s="4"/>
      <c r="IBK3" s="4"/>
      <c r="IBL3" s="4"/>
      <c r="IBM3" s="4"/>
      <c r="IBN3" s="4"/>
      <c r="IBO3" s="4"/>
      <c r="IBP3" s="4"/>
      <c r="IBQ3" s="4"/>
      <c r="IBR3" s="4"/>
      <c r="IBS3" s="4"/>
      <c r="IBT3" s="4"/>
      <c r="IBU3" s="4"/>
      <c r="IBV3" s="4"/>
      <c r="IBW3" s="4"/>
      <c r="IBX3" s="4"/>
      <c r="IBY3" s="4"/>
      <c r="IBZ3" s="4"/>
      <c r="ICA3" s="4"/>
      <c r="ICB3" s="4"/>
      <c r="ICC3" s="4"/>
      <c r="ICD3" s="4"/>
      <c r="ICE3" s="4"/>
      <c r="ICF3" s="4"/>
      <c r="ICG3" s="4"/>
      <c r="ICH3" s="4"/>
      <c r="ICI3" s="4"/>
      <c r="ICJ3" s="4"/>
      <c r="ICK3" s="4"/>
      <c r="ICL3" s="4"/>
      <c r="ICM3" s="4"/>
      <c r="ICN3" s="4"/>
      <c r="ICO3" s="4"/>
      <c r="ICP3" s="4"/>
      <c r="ICQ3" s="4"/>
      <c r="ICR3" s="4"/>
      <c r="ICS3" s="4"/>
      <c r="ICT3" s="4"/>
      <c r="ICU3" s="4"/>
      <c r="ICV3" s="4"/>
      <c r="ICW3" s="4"/>
      <c r="ICX3" s="4"/>
      <c r="ICY3" s="4"/>
      <c r="ICZ3" s="4"/>
      <c r="IDA3" s="4"/>
      <c r="IDB3" s="4"/>
      <c r="IDC3" s="4"/>
      <c r="IDD3" s="4"/>
      <c r="IDE3" s="4"/>
      <c r="IDF3" s="4"/>
      <c r="IDG3" s="4"/>
      <c r="IDH3" s="4"/>
      <c r="IDI3" s="4"/>
      <c r="IDJ3" s="4"/>
      <c r="IDK3" s="4"/>
      <c r="IDL3" s="4"/>
      <c r="IDM3" s="4"/>
      <c r="IDN3" s="4"/>
      <c r="IDO3" s="4"/>
      <c r="IDP3" s="4"/>
      <c r="IDQ3" s="4"/>
      <c r="IDR3" s="4"/>
      <c r="IDS3" s="4"/>
      <c r="IDT3" s="4"/>
      <c r="IDU3" s="4"/>
      <c r="IDV3" s="4"/>
      <c r="IDW3" s="4"/>
      <c r="IDX3" s="4"/>
      <c r="IDY3" s="4"/>
      <c r="IDZ3" s="4"/>
      <c r="IEA3" s="4"/>
      <c r="IEB3" s="4"/>
      <c r="IEC3" s="4"/>
      <c r="IED3" s="4"/>
      <c r="IEE3" s="4"/>
      <c r="IEF3" s="4"/>
      <c r="IEG3" s="4"/>
      <c r="IEH3" s="4"/>
      <c r="IEI3" s="4"/>
      <c r="IEJ3" s="4"/>
      <c r="IEK3" s="4"/>
      <c r="IEL3" s="4"/>
      <c r="IEM3" s="4"/>
      <c r="IEN3" s="4"/>
      <c r="IEO3" s="4"/>
      <c r="IEP3" s="4"/>
      <c r="IEQ3" s="4"/>
      <c r="IER3" s="4"/>
      <c r="IES3" s="4"/>
      <c r="IET3" s="4"/>
      <c r="IEU3" s="4"/>
      <c r="IEV3" s="4"/>
      <c r="IEW3" s="4"/>
      <c r="IEX3" s="4"/>
      <c r="IEY3" s="4"/>
      <c r="IEZ3" s="4"/>
      <c r="IFA3" s="4"/>
      <c r="IFB3" s="4"/>
      <c r="IFC3" s="4"/>
      <c r="IFD3" s="4"/>
      <c r="IFE3" s="4"/>
      <c r="IFF3" s="4"/>
      <c r="IFG3" s="4"/>
      <c r="IFH3" s="4"/>
      <c r="IFI3" s="4"/>
      <c r="IFJ3" s="4"/>
      <c r="IFK3" s="4"/>
      <c r="IFL3" s="4"/>
      <c r="IFM3" s="4"/>
      <c r="IFN3" s="4"/>
      <c r="IFO3" s="4"/>
      <c r="IFP3" s="4"/>
      <c r="IFQ3" s="4"/>
      <c r="IFR3" s="4"/>
      <c r="IFS3" s="4"/>
      <c r="IFT3" s="4"/>
      <c r="IFU3" s="4"/>
      <c r="IFV3" s="4"/>
      <c r="IFW3" s="4"/>
      <c r="IFX3" s="4"/>
      <c r="IFY3" s="4"/>
      <c r="IFZ3" s="4"/>
      <c r="IGA3" s="4"/>
      <c r="IGB3" s="4"/>
      <c r="IGC3" s="4"/>
      <c r="IGD3" s="4"/>
      <c r="IGE3" s="4"/>
      <c r="IGF3" s="4"/>
      <c r="IGG3" s="4"/>
      <c r="IGH3" s="4"/>
      <c r="IGI3" s="4"/>
      <c r="IGJ3" s="4"/>
      <c r="IGK3" s="4"/>
      <c r="IGL3" s="4"/>
      <c r="IGM3" s="4"/>
      <c r="IGN3" s="4"/>
      <c r="IGO3" s="4"/>
      <c r="IGP3" s="4"/>
      <c r="IGQ3" s="4"/>
      <c r="IGR3" s="4"/>
      <c r="IGS3" s="4"/>
      <c r="IGT3" s="4"/>
      <c r="IGU3" s="4"/>
      <c r="IGV3" s="4"/>
      <c r="IGW3" s="4"/>
      <c r="IGX3" s="4"/>
      <c r="IGY3" s="4"/>
      <c r="IGZ3" s="4"/>
      <c r="IHA3" s="4"/>
      <c r="IHB3" s="4"/>
      <c r="IHC3" s="4"/>
      <c r="IHD3" s="4"/>
      <c r="IHE3" s="4"/>
      <c r="IHF3" s="4"/>
      <c r="IHG3" s="4"/>
      <c r="IHH3" s="4"/>
      <c r="IHI3" s="4"/>
      <c r="IHJ3" s="4"/>
      <c r="IHK3" s="4"/>
      <c r="IHL3" s="4"/>
      <c r="IHM3" s="4"/>
      <c r="IHN3" s="4"/>
      <c r="IHO3" s="4"/>
      <c r="IHP3" s="4"/>
      <c r="IHQ3" s="4"/>
      <c r="IHR3" s="4"/>
      <c r="IHS3" s="4"/>
      <c r="IHT3" s="4"/>
      <c r="IHU3" s="4"/>
      <c r="IHV3" s="4"/>
      <c r="IHW3" s="4"/>
      <c r="IHX3" s="4"/>
      <c r="IHY3" s="4"/>
      <c r="IHZ3" s="4"/>
      <c r="IIA3" s="4"/>
      <c r="IIB3" s="4"/>
      <c r="IIC3" s="4"/>
      <c r="IID3" s="4"/>
      <c r="IIE3" s="4"/>
      <c r="IIF3" s="4"/>
      <c r="IIG3" s="4"/>
      <c r="IIH3" s="4"/>
      <c r="III3" s="4"/>
      <c r="IIJ3" s="4"/>
      <c r="IIK3" s="4"/>
      <c r="IIL3" s="4"/>
      <c r="IIM3" s="4"/>
      <c r="IIN3" s="4"/>
      <c r="IIO3" s="4"/>
      <c r="IIP3" s="4"/>
      <c r="IIQ3" s="4"/>
      <c r="IIR3" s="4"/>
      <c r="IIS3" s="4"/>
      <c r="IIT3" s="4"/>
      <c r="IIU3" s="4"/>
      <c r="IIV3" s="4"/>
      <c r="IIW3" s="4"/>
      <c r="IIX3" s="4"/>
      <c r="IIY3" s="4"/>
      <c r="IIZ3" s="4"/>
      <c r="IJA3" s="4"/>
      <c r="IJB3" s="4"/>
      <c r="IJC3" s="4"/>
      <c r="IJD3" s="4"/>
      <c r="IJE3" s="4"/>
      <c r="IJF3" s="4"/>
      <c r="IJG3" s="4"/>
      <c r="IJH3" s="4"/>
      <c r="IJI3" s="4"/>
      <c r="IJJ3" s="4"/>
      <c r="IJK3" s="4"/>
      <c r="IJL3" s="4"/>
      <c r="IJM3" s="4"/>
      <c r="IJN3" s="4"/>
      <c r="IJO3" s="4"/>
      <c r="IJP3" s="4"/>
      <c r="IJQ3" s="4"/>
      <c r="IJR3" s="4"/>
      <c r="IJS3" s="4"/>
      <c r="IJT3" s="4"/>
      <c r="IJU3" s="4"/>
      <c r="IJV3" s="4"/>
      <c r="IJW3" s="4"/>
      <c r="IJX3" s="4"/>
      <c r="IJY3" s="4"/>
      <c r="IJZ3" s="4"/>
      <c r="IKA3" s="4"/>
      <c r="IKB3" s="4"/>
      <c r="IKC3" s="4"/>
      <c r="IKD3" s="4"/>
      <c r="IKE3" s="4"/>
      <c r="IKF3" s="4"/>
      <c r="IKG3" s="4"/>
      <c r="IKH3" s="4"/>
      <c r="IKI3" s="4"/>
      <c r="IKJ3" s="4"/>
      <c r="IKK3" s="4"/>
      <c r="IKL3" s="4"/>
      <c r="IKM3" s="4"/>
      <c r="IKN3" s="4"/>
      <c r="IKO3" s="4"/>
      <c r="IKP3" s="4"/>
      <c r="IKQ3" s="4"/>
      <c r="IKR3" s="4"/>
      <c r="IKS3" s="4"/>
      <c r="IKT3" s="4"/>
      <c r="IKU3" s="4"/>
      <c r="IKV3" s="4"/>
      <c r="IKW3" s="4"/>
      <c r="IKX3" s="4"/>
      <c r="IKY3" s="4"/>
      <c r="IKZ3" s="4"/>
      <c r="ILA3" s="4"/>
      <c r="ILB3" s="4"/>
      <c r="ILC3" s="4"/>
      <c r="ILD3" s="4"/>
      <c r="ILE3" s="4"/>
      <c r="ILF3" s="4"/>
      <c r="ILG3" s="4"/>
      <c r="ILH3" s="4"/>
      <c r="ILI3" s="4"/>
      <c r="ILJ3" s="4"/>
      <c r="ILK3" s="4"/>
      <c r="ILL3" s="4"/>
      <c r="ILM3" s="4"/>
      <c r="ILN3" s="4"/>
      <c r="ILO3" s="4"/>
      <c r="ILP3" s="4"/>
      <c r="ILQ3" s="4"/>
      <c r="ILR3" s="4"/>
      <c r="ILS3" s="4"/>
      <c r="ILT3" s="4"/>
      <c r="ILU3" s="4"/>
      <c r="ILV3" s="4"/>
      <c r="ILW3" s="4"/>
      <c r="ILX3" s="4"/>
      <c r="ILY3" s="4"/>
      <c r="ILZ3" s="4"/>
      <c r="IMA3" s="4"/>
      <c r="IMB3" s="4"/>
      <c r="IMC3" s="4"/>
      <c r="IMD3" s="4"/>
      <c r="IME3" s="4"/>
      <c r="IMF3" s="4"/>
      <c r="IMG3" s="4"/>
      <c r="IMH3" s="4"/>
      <c r="IMI3" s="4"/>
      <c r="IMJ3" s="4"/>
      <c r="IMK3" s="4"/>
      <c r="IML3" s="4"/>
      <c r="IMM3" s="4"/>
      <c r="IMN3" s="4"/>
      <c r="IMO3" s="4"/>
      <c r="IMP3" s="4"/>
      <c r="IMQ3" s="4"/>
      <c r="IMR3" s="4"/>
      <c r="IMS3" s="4"/>
      <c r="IMT3" s="4"/>
      <c r="IMU3" s="4"/>
      <c r="IMV3" s="4"/>
      <c r="IMW3" s="4"/>
      <c r="IMX3" s="4"/>
      <c r="IMY3" s="4"/>
      <c r="IMZ3" s="4"/>
      <c r="INA3" s="4"/>
      <c r="INB3" s="4"/>
      <c r="INC3" s="4"/>
      <c r="IND3" s="4"/>
      <c r="INE3" s="4"/>
      <c r="INF3" s="4"/>
      <c r="ING3" s="4"/>
      <c r="INH3" s="4"/>
      <c r="INI3" s="4"/>
      <c r="INJ3" s="4"/>
      <c r="INK3" s="4"/>
      <c r="INL3" s="4"/>
      <c r="INM3" s="4"/>
      <c r="INN3" s="4"/>
      <c r="INO3" s="4"/>
      <c r="INP3" s="4"/>
      <c r="INQ3" s="4"/>
      <c r="INR3" s="4"/>
      <c r="INS3" s="4"/>
      <c r="INT3" s="4"/>
      <c r="INU3" s="4"/>
      <c r="INV3" s="4"/>
      <c r="INW3" s="4"/>
      <c r="INX3" s="4"/>
      <c r="INY3" s="4"/>
      <c r="INZ3" s="4"/>
      <c r="IOA3" s="4"/>
      <c r="IOB3" s="4"/>
      <c r="IOC3" s="4"/>
      <c r="IOD3" s="4"/>
      <c r="IOE3" s="4"/>
      <c r="IOF3" s="4"/>
      <c r="IOG3" s="4"/>
      <c r="IOH3" s="4"/>
      <c r="IOI3" s="4"/>
      <c r="IOJ3" s="4"/>
      <c r="IOK3" s="4"/>
      <c r="IOL3" s="4"/>
      <c r="IOM3" s="4"/>
      <c r="ION3" s="4"/>
      <c r="IOO3" s="4"/>
      <c r="IOP3" s="4"/>
      <c r="IOQ3" s="4"/>
      <c r="IOR3" s="4"/>
      <c r="IOS3" s="4"/>
      <c r="IOT3" s="4"/>
      <c r="IOU3" s="4"/>
      <c r="IOV3" s="4"/>
      <c r="IOW3" s="4"/>
      <c r="IOX3" s="4"/>
      <c r="IOY3" s="4"/>
      <c r="IOZ3" s="4"/>
      <c r="IPA3" s="4"/>
      <c r="IPB3" s="4"/>
      <c r="IPC3" s="4"/>
      <c r="IPD3" s="4"/>
      <c r="IPE3" s="4"/>
      <c r="IPF3" s="4"/>
      <c r="IPG3" s="4"/>
      <c r="IPH3" s="4"/>
      <c r="IPI3" s="4"/>
      <c r="IPJ3" s="4"/>
      <c r="IPK3" s="4"/>
      <c r="IPL3" s="4"/>
      <c r="IPM3" s="4"/>
      <c r="IPN3" s="4"/>
      <c r="IPO3" s="4"/>
      <c r="IPP3" s="4"/>
      <c r="IPQ3" s="4"/>
      <c r="IPR3" s="4"/>
      <c r="IPS3" s="4"/>
      <c r="IPT3" s="4"/>
      <c r="IPU3" s="4"/>
      <c r="IPV3" s="4"/>
      <c r="IPW3" s="4"/>
      <c r="IPX3" s="4"/>
      <c r="IPY3" s="4"/>
      <c r="IPZ3" s="4"/>
      <c r="IQA3" s="4"/>
      <c r="IQB3" s="4"/>
      <c r="IQC3" s="4"/>
      <c r="IQD3" s="4"/>
      <c r="IQE3" s="4"/>
      <c r="IQF3" s="4"/>
      <c r="IQG3" s="4"/>
      <c r="IQH3" s="4"/>
      <c r="IQI3" s="4"/>
      <c r="IQJ3" s="4"/>
      <c r="IQK3" s="4"/>
      <c r="IQL3" s="4"/>
      <c r="IQM3" s="4"/>
      <c r="IQN3" s="4"/>
      <c r="IQO3" s="4"/>
      <c r="IQP3" s="4"/>
      <c r="IQQ3" s="4"/>
      <c r="IQR3" s="4"/>
      <c r="IQS3" s="4"/>
      <c r="IQT3" s="4"/>
      <c r="IQU3" s="4"/>
      <c r="IQV3" s="4"/>
      <c r="IQW3" s="4"/>
      <c r="IQX3" s="4"/>
      <c r="IQY3" s="4"/>
      <c r="IQZ3" s="4"/>
      <c r="IRA3" s="4"/>
      <c r="IRB3" s="4"/>
      <c r="IRC3" s="4"/>
      <c r="IRD3" s="4"/>
      <c r="IRE3" s="4"/>
      <c r="IRF3" s="4"/>
      <c r="IRG3" s="4"/>
      <c r="IRH3" s="4"/>
      <c r="IRI3" s="4"/>
      <c r="IRJ3" s="4"/>
      <c r="IRK3" s="4"/>
      <c r="IRL3" s="4"/>
      <c r="IRM3" s="4"/>
      <c r="IRN3" s="4"/>
      <c r="IRO3" s="4"/>
      <c r="IRP3" s="4"/>
      <c r="IRQ3" s="4"/>
      <c r="IRR3" s="4"/>
      <c r="IRS3" s="4"/>
      <c r="IRT3" s="4"/>
      <c r="IRU3" s="4"/>
      <c r="IRV3" s="4"/>
      <c r="IRW3" s="4"/>
      <c r="IRX3" s="4"/>
      <c r="IRY3" s="4"/>
      <c r="IRZ3" s="4"/>
      <c r="ISA3" s="4"/>
      <c r="ISB3" s="4"/>
      <c r="ISC3" s="4"/>
      <c r="ISD3" s="4"/>
      <c r="ISE3" s="4"/>
      <c r="ISF3" s="4"/>
      <c r="ISG3" s="4"/>
      <c r="ISH3" s="4"/>
      <c r="ISI3" s="4"/>
      <c r="ISJ3" s="4"/>
      <c r="ISK3" s="4"/>
      <c r="ISL3" s="4"/>
      <c r="ISM3" s="4"/>
      <c r="ISN3" s="4"/>
      <c r="ISO3" s="4"/>
      <c r="ISP3" s="4"/>
      <c r="ISQ3" s="4"/>
      <c r="ISR3" s="4"/>
      <c r="ISS3" s="4"/>
      <c r="IST3" s="4"/>
      <c r="ISU3" s="4"/>
      <c r="ISV3" s="4"/>
      <c r="ISW3" s="4"/>
      <c r="ISX3" s="4"/>
      <c r="ISY3" s="4"/>
      <c r="ISZ3" s="4"/>
      <c r="ITA3" s="4"/>
      <c r="ITB3" s="4"/>
      <c r="ITC3" s="4"/>
      <c r="ITD3" s="4"/>
      <c r="ITE3" s="4"/>
      <c r="ITF3" s="4"/>
      <c r="ITG3" s="4"/>
      <c r="ITH3" s="4"/>
      <c r="ITI3" s="4"/>
      <c r="ITJ3" s="4"/>
      <c r="ITK3" s="4"/>
      <c r="ITL3" s="4"/>
      <c r="ITM3" s="4"/>
      <c r="ITN3" s="4"/>
      <c r="ITO3" s="4"/>
      <c r="ITP3" s="4"/>
      <c r="ITQ3" s="4"/>
      <c r="ITR3" s="4"/>
      <c r="ITS3" s="4"/>
      <c r="ITT3" s="4"/>
      <c r="ITU3" s="4"/>
      <c r="ITV3" s="4"/>
      <c r="ITW3" s="4"/>
      <c r="ITX3" s="4"/>
      <c r="ITY3" s="4"/>
      <c r="ITZ3" s="4"/>
      <c r="IUA3" s="4"/>
      <c r="IUB3" s="4"/>
      <c r="IUC3" s="4"/>
      <c r="IUD3" s="4"/>
      <c r="IUE3" s="4"/>
      <c r="IUF3" s="4"/>
      <c r="IUG3" s="4"/>
      <c r="IUH3" s="4"/>
      <c r="IUI3" s="4"/>
      <c r="IUJ3" s="4"/>
      <c r="IUK3" s="4"/>
      <c r="IUL3" s="4"/>
      <c r="IUM3" s="4"/>
      <c r="IUN3" s="4"/>
      <c r="IUO3" s="4"/>
      <c r="IUP3" s="4"/>
      <c r="IUQ3" s="4"/>
      <c r="IUR3" s="4"/>
      <c r="IUS3" s="4"/>
      <c r="IUT3" s="4"/>
      <c r="IUU3" s="4"/>
      <c r="IUV3" s="4"/>
      <c r="IUW3" s="4"/>
      <c r="IUX3" s="4"/>
      <c r="IUY3" s="4"/>
      <c r="IUZ3" s="4"/>
      <c r="IVA3" s="4"/>
      <c r="IVB3" s="4"/>
      <c r="IVC3" s="4"/>
      <c r="IVD3" s="4"/>
      <c r="IVE3" s="4"/>
      <c r="IVF3" s="4"/>
      <c r="IVG3" s="4"/>
      <c r="IVH3" s="4"/>
      <c r="IVI3" s="4"/>
      <c r="IVJ3" s="4"/>
      <c r="IVK3" s="4"/>
      <c r="IVL3" s="4"/>
      <c r="IVM3" s="4"/>
      <c r="IVN3" s="4"/>
      <c r="IVO3" s="4"/>
      <c r="IVP3" s="4"/>
      <c r="IVQ3" s="4"/>
      <c r="IVR3" s="4"/>
      <c r="IVS3" s="4"/>
      <c r="IVT3" s="4"/>
      <c r="IVU3" s="4"/>
      <c r="IVV3" s="4"/>
      <c r="IVW3" s="4"/>
      <c r="IVX3" s="4"/>
      <c r="IVY3" s="4"/>
      <c r="IVZ3" s="4"/>
      <c r="IWA3" s="4"/>
      <c r="IWB3" s="4"/>
      <c r="IWC3" s="4"/>
      <c r="IWD3" s="4"/>
      <c r="IWE3" s="4"/>
      <c r="IWF3" s="4"/>
      <c r="IWG3" s="4"/>
      <c r="IWH3" s="4"/>
      <c r="IWI3" s="4"/>
      <c r="IWJ3" s="4"/>
      <c r="IWK3" s="4"/>
      <c r="IWL3" s="4"/>
      <c r="IWM3" s="4"/>
      <c r="IWN3" s="4"/>
      <c r="IWO3" s="4"/>
      <c r="IWP3" s="4"/>
      <c r="IWQ3" s="4"/>
      <c r="IWR3" s="4"/>
      <c r="IWS3" s="4"/>
      <c r="IWT3" s="4"/>
      <c r="IWU3" s="4"/>
      <c r="IWV3" s="4"/>
      <c r="IWW3" s="4"/>
      <c r="IWX3" s="4"/>
      <c r="IWY3" s="4"/>
      <c r="IWZ3" s="4"/>
      <c r="IXA3" s="4"/>
      <c r="IXB3" s="4"/>
      <c r="IXC3" s="4"/>
      <c r="IXD3" s="4"/>
      <c r="IXE3" s="4"/>
      <c r="IXF3" s="4"/>
      <c r="IXG3" s="4"/>
      <c r="IXH3" s="4"/>
      <c r="IXI3" s="4"/>
      <c r="IXJ3" s="4"/>
      <c r="IXK3" s="4"/>
      <c r="IXL3" s="4"/>
      <c r="IXM3" s="4"/>
      <c r="IXN3" s="4"/>
      <c r="IXO3" s="4"/>
      <c r="IXP3" s="4"/>
      <c r="IXQ3" s="4"/>
      <c r="IXR3" s="4"/>
      <c r="IXS3" s="4"/>
      <c r="IXT3" s="4"/>
      <c r="IXU3" s="4"/>
      <c r="IXV3" s="4"/>
      <c r="IXW3" s="4"/>
      <c r="IXX3" s="4"/>
      <c r="IXY3" s="4"/>
      <c r="IXZ3" s="4"/>
      <c r="IYA3" s="4"/>
      <c r="IYB3" s="4"/>
      <c r="IYC3" s="4"/>
      <c r="IYD3" s="4"/>
      <c r="IYE3" s="4"/>
      <c r="IYF3" s="4"/>
      <c r="IYG3" s="4"/>
      <c r="IYH3" s="4"/>
      <c r="IYI3" s="4"/>
      <c r="IYJ3" s="4"/>
      <c r="IYK3" s="4"/>
      <c r="IYL3" s="4"/>
      <c r="IYM3" s="4"/>
      <c r="IYN3" s="4"/>
      <c r="IYO3" s="4"/>
      <c r="IYP3" s="4"/>
      <c r="IYQ3" s="4"/>
      <c r="IYR3" s="4"/>
      <c r="IYS3" s="4"/>
      <c r="IYT3" s="4"/>
      <c r="IYU3" s="4"/>
      <c r="IYV3" s="4"/>
      <c r="IYW3" s="4"/>
      <c r="IYX3" s="4"/>
      <c r="IYY3" s="4"/>
      <c r="IYZ3" s="4"/>
      <c r="IZA3" s="4"/>
      <c r="IZB3" s="4"/>
      <c r="IZC3" s="4"/>
      <c r="IZD3" s="4"/>
      <c r="IZE3" s="4"/>
      <c r="IZF3" s="4"/>
      <c r="IZG3" s="4"/>
      <c r="IZH3" s="4"/>
      <c r="IZI3" s="4"/>
      <c r="IZJ3" s="4"/>
      <c r="IZK3" s="4"/>
      <c r="IZL3" s="4"/>
      <c r="IZM3" s="4"/>
      <c r="IZN3" s="4"/>
      <c r="IZO3" s="4"/>
      <c r="IZP3" s="4"/>
      <c r="IZQ3" s="4"/>
      <c r="IZR3" s="4"/>
      <c r="IZS3" s="4"/>
      <c r="IZT3" s="4"/>
      <c r="IZU3" s="4"/>
      <c r="IZV3" s="4"/>
      <c r="IZW3" s="4"/>
      <c r="IZX3" s="4"/>
      <c r="IZY3" s="4"/>
      <c r="IZZ3" s="4"/>
      <c r="JAA3" s="4"/>
      <c r="JAB3" s="4"/>
      <c r="JAC3" s="4"/>
      <c r="JAD3" s="4"/>
      <c r="JAE3" s="4"/>
      <c r="JAF3" s="4"/>
      <c r="JAG3" s="4"/>
      <c r="JAH3" s="4"/>
      <c r="JAI3" s="4"/>
      <c r="JAJ3" s="4"/>
      <c r="JAK3" s="4"/>
      <c r="JAL3" s="4"/>
      <c r="JAM3" s="4"/>
      <c r="JAN3" s="4"/>
      <c r="JAO3" s="4"/>
      <c r="JAP3" s="4"/>
      <c r="JAQ3" s="4"/>
      <c r="JAR3" s="4"/>
      <c r="JAS3" s="4"/>
      <c r="JAT3" s="4"/>
      <c r="JAU3" s="4"/>
      <c r="JAV3" s="4"/>
      <c r="JAW3" s="4"/>
      <c r="JAX3" s="4"/>
      <c r="JAY3" s="4"/>
      <c r="JAZ3" s="4"/>
      <c r="JBA3" s="4"/>
      <c r="JBB3" s="4"/>
      <c r="JBC3" s="4"/>
      <c r="JBD3" s="4"/>
      <c r="JBE3" s="4"/>
      <c r="JBF3" s="4"/>
      <c r="JBG3" s="4"/>
      <c r="JBH3" s="4"/>
      <c r="JBI3" s="4"/>
      <c r="JBJ3" s="4"/>
      <c r="JBK3" s="4"/>
      <c r="JBL3" s="4"/>
      <c r="JBM3" s="4"/>
      <c r="JBN3" s="4"/>
      <c r="JBO3" s="4"/>
      <c r="JBP3" s="4"/>
      <c r="JBQ3" s="4"/>
      <c r="JBR3" s="4"/>
      <c r="JBS3" s="4"/>
      <c r="JBT3" s="4"/>
      <c r="JBU3" s="4"/>
      <c r="JBV3" s="4"/>
      <c r="JBW3" s="4"/>
      <c r="JBX3" s="4"/>
      <c r="JBY3" s="4"/>
      <c r="JBZ3" s="4"/>
      <c r="JCA3" s="4"/>
      <c r="JCB3" s="4"/>
      <c r="JCC3" s="4"/>
      <c r="JCD3" s="4"/>
      <c r="JCE3" s="4"/>
      <c r="JCF3" s="4"/>
      <c r="JCG3" s="4"/>
      <c r="JCH3" s="4"/>
      <c r="JCI3" s="4"/>
      <c r="JCJ3" s="4"/>
      <c r="JCK3" s="4"/>
      <c r="JCL3" s="4"/>
      <c r="JCM3" s="4"/>
      <c r="JCN3" s="4"/>
      <c r="JCO3" s="4"/>
      <c r="JCP3" s="4"/>
      <c r="JCQ3" s="4"/>
      <c r="JCR3" s="4"/>
      <c r="JCS3" s="4"/>
      <c r="JCT3" s="4"/>
      <c r="JCU3" s="4"/>
      <c r="JCV3" s="4"/>
      <c r="JCW3" s="4"/>
      <c r="JCX3" s="4"/>
      <c r="JCY3" s="4"/>
      <c r="JCZ3" s="4"/>
      <c r="JDA3" s="4"/>
      <c r="JDB3" s="4"/>
      <c r="JDC3" s="4"/>
      <c r="JDD3" s="4"/>
      <c r="JDE3" s="4"/>
      <c r="JDF3" s="4"/>
      <c r="JDG3" s="4"/>
      <c r="JDH3" s="4"/>
      <c r="JDI3" s="4"/>
      <c r="JDJ3" s="4"/>
      <c r="JDK3" s="4"/>
      <c r="JDL3" s="4"/>
      <c r="JDM3" s="4"/>
      <c r="JDN3" s="4"/>
      <c r="JDO3" s="4"/>
      <c r="JDP3" s="4"/>
      <c r="JDQ3" s="4"/>
      <c r="JDR3" s="4"/>
      <c r="JDS3" s="4"/>
      <c r="JDT3" s="4"/>
      <c r="JDU3" s="4"/>
      <c r="JDV3" s="4"/>
      <c r="JDW3" s="4"/>
      <c r="JDX3" s="4"/>
      <c r="JDY3" s="4"/>
      <c r="JDZ3" s="4"/>
      <c r="JEA3" s="4"/>
      <c r="JEB3" s="4"/>
      <c r="JEC3" s="4"/>
      <c r="JED3" s="4"/>
      <c r="JEE3" s="4"/>
      <c r="JEF3" s="4"/>
      <c r="JEG3" s="4"/>
      <c r="JEH3" s="4"/>
      <c r="JEI3" s="4"/>
      <c r="JEJ3" s="4"/>
      <c r="JEK3" s="4"/>
      <c r="JEL3" s="4"/>
      <c r="JEM3" s="4"/>
      <c r="JEN3" s="4"/>
      <c r="JEO3" s="4"/>
      <c r="JEP3" s="4"/>
      <c r="JEQ3" s="4"/>
      <c r="JER3" s="4"/>
      <c r="JES3" s="4"/>
      <c r="JET3" s="4"/>
      <c r="JEU3" s="4"/>
      <c r="JEV3" s="4"/>
      <c r="JEW3" s="4"/>
      <c r="JEX3" s="4"/>
      <c r="JEY3" s="4"/>
      <c r="JEZ3" s="4"/>
      <c r="JFA3" s="4"/>
      <c r="JFB3" s="4"/>
      <c r="JFC3" s="4"/>
      <c r="JFD3" s="4"/>
      <c r="JFE3" s="4"/>
      <c r="JFF3" s="4"/>
      <c r="JFG3" s="4"/>
      <c r="JFH3" s="4"/>
      <c r="JFI3" s="4"/>
      <c r="JFJ3" s="4"/>
      <c r="JFK3" s="4"/>
      <c r="JFL3" s="4"/>
      <c r="JFM3" s="4"/>
      <c r="JFN3" s="4"/>
      <c r="JFO3" s="4"/>
      <c r="JFP3" s="4"/>
      <c r="JFQ3" s="4"/>
      <c r="JFR3" s="4"/>
      <c r="JFS3" s="4"/>
      <c r="JFT3" s="4"/>
      <c r="JFU3" s="4"/>
      <c r="JFV3" s="4"/>
      <c r="JFW3" s="4"/>
      <c r="JFX3" s="4"/>
      <c r="JFY3" s="4"/>
      <c r="JFZ3" s="4"/>
      <c r="JGA3" s="4"/>
      <c r="JGB3" s="4"/>
      <c r="JGC3" s="4"/>
      <c r="JGD3" s="4"/>
      <c r="JGE3" s="4"/>
      <c r="JGF3" s="4"/>
      <c r="JGG3" s="4"/>
      <c r="JGH3" s="4"/>
      <c r="JGI3" s="4"/>
      <c r="JGJ3" s="4"/>
      <c r="JGK3" s="4"/>
      <c r="JGL3" s="4"/>
      <c r="JGM3" s="4"/>
      <c r="JGN3" s="4"/>
      <c r="JGO3" s="4"/>
      <c r="JGP3" s="4"/>
      <c r="JGQ3" s="4"/>
      <c r="JGR3" s="4"/>
      <c r="JGS3" s="4"/>
      <c r="JGT3" s="4"/>
      <c r="JGU3" s="4"/>
      <c r="JGV3" s="4"/>
      <c r="JGW3" s="4"/>
      <c r="JGX3" s="4"/>
      <c r="JGY3" s="4"/>
      <c r="JGZ3" s="4"/>
      <c r="JHA3" s="4"/>
      <c r="JHB3" s="4"/>
      <c r="JHC3" s="4"/>
      <c r="JHD3" s="4"/>
      <c r="JHE3" s="4"/>
      <c r="JHF3" s="4"/>
      <c r="JHG3" s="4"/>
      <c r="JHH3" s="4"/>
      <c r="JHI3" s="4"/>
      <c r="JHJ3" s="4"/>
      <c r="JHK3" s="4"/>
      <c r="JHL3" s="4"/>
      <c r="JHM3" s="4"/>
      <c r="JHN3" s="4"/>
      <c r="JHO3" s="4"/>
      <c r="JHP3" s="4"/>
      <c r="JHQ3" s="4"/>
      <c r="JHR3" s="4"/>
      <c r="JHS3" s="4"/>
      <c r="JHT3" s="4"/>
      <c r="JHU3" s="4"/>
      <c r="JHV3" s="4"/>
      <c r="JHW3" s="4"/>
      <c r="JHX3" s="4"/>
      <c r="JHY3" s="4"/>
      <c r="JHZ3" s="4"/>
      <c r="JIA3" s="4"/>
      <c r="JIB3" s="4"/>
      <c r="JIC3" s="4"/>
      <c r="JID3" s="4"/>
      <c r="JIE3" s="4"/>
      <c r="JIF3" s="4"/>
      <c r="JIG3" s="4"/>
      <c r="JIH3" s="4"/>
      <c r="JII3" s="4"/>
      <c r="JIJ3" s="4"/>
      <c r="JIK3" s="4"/>
      <c r="JIL3" s="4"/>
      <c r="JIM3" s="4"/>
      <c r="JIN3" s="4"/>
      <c r="JIO3" s="4"/>
      <c r="JIP3" s="4"/>
      <c r="JIQ3" s="4"/>
      <c r="JIR3" s="4"/>
      <c r="JIS3" s="4"/>
      <c r="JIT3" s="4"/>
      <c r="JIU3" s="4"/>
      <c r="JIV3" s="4"/>
      <c r="JIW3" s="4"/>
      <c r="JIX3" s="4"/>
      <c r="JIY3" s="4"/>
      <c r="JIZ3" s="4"/>
      <c r="JJA3" s="4"/>
      <c r="JJB3" s="4"/>
      <c r="JJC3" s="4"/>
      <c r="JJD3" s="4"/>
      <c r="JJE3" s="4"/>
      <c r="JJF3" s="4"/>
      <c r="JJG3" s="4"/>
      <c r="JJH3" s="4"/>
      <c r="JJI3" s="4"/>
      <c r="JJJ3" s="4"/>
      <c r="JJK3" s="4"/>
      <c r="JJL3" s="4"/>
      <c r="JJM3" s="4"/>
      <c r="JJN3" s="4"/>
      <c r="JJO3" s="4"/>
      <c r="JJP3" s="4"/>
      <c r="JJQ3" s="4"/>
      <c r="JJR3" s="4"/>
      <c r="JJS3" s="4"/>
      <c r="JJT3" s="4"/>
      <c r="JJU3" s="4"/>
      <c r="JJV3" s="4"/>
      <c r="JJW3" s="4"/>
      <c r="JJX3" s="4"/>
      <c r="JJY3" s="4"/>
      <c r="JJZ3" s="4"/>
      <c r="JKA3" s="4"/>
      <c r="JKB3" s="4"/>
      <c r="JKC3" s="4"/>
      <c r="JKD3" s="4"/>
      <c r="JKE3" s="4"/>
      <c r="JKF3" s="4"/>
      <c r="JKG3" s="4"/>
      <c r="JKH3" s="4"/>
      <c r="JKI3" s="4"/>
      <c r="JKJ3" s="4"/>
      <c r="JKK3" s="4"/>
      <c r="JKL3" s="4"/>
      <c r="JKM3" s="4"/>
      <c r="JKN3" s="4"/>
      <c r="JKO3" s="4"/>
      <c r="JKP3" s="4"/>
      <c r="JKQ3" s="4"/>
      <c r="JKR3" s="4"/>
      <c r="JKS3" s="4"/>
      <c r="JKT3" s="4"/>
      <c r="JKU3" s="4"/>
      <c r="JKV3" s="4"/>
      <c r="JKW3" s="4"/>
      <c r="JKX3" s="4"/>
      <c r="JKY3" s="4"/>
      <c r="JKZ3" s="4"/>
      <c r="JLA3" s="4"/>
      <c r="JLB3" s="4"/>
      <c r="JLC3" s="4"/>
      <c r="JLD3" s="4"/>
      <c r="JLE3" s="4"/>
      <c r="JLF3" s="4"/>
      <c r="JLG3" s="4"/>
      <c r="JLH3" s="4"/>
      <c r="JLI3" s="4"/>
      <c r="JLJ3" s="4"/>
      <c r="JLK3" s="4"/>
      <c r="JLL3" s="4"/>
      <c r="JLM3" s="4"/>
      <c r="JLN3" s="4"/>
      <c r="JLO3" s="4"/>
      <c r="JLP3" s="4"/>
      <c r="JLQ3" s="4"/>
      <c r="JLR3" s="4"/>
      <c r="JLS3" s="4"/>
      <c r="JLT3" s="4"/>
      <c r="JLU3" s="4"/>
      <c r="JLV3" s="4"/>
      <c r="JLW3" s="4"/>
      <c r="JLX3" s="4"/>
      <c r="JLY3" s="4"/>
      <c r="JLZ3" s="4"/>
      <c r="JMA3" s="4"/>
      <c r="JMB3" s="4"/>
      <c r="JMC3" s="4"/>
      <c r="JMD3" s="4"/>
      <c r="JME3" s="4"/>
      <c r="JMF3" s="4"/>
      <c r="JMG3" s="4"/>
      <c r="JMH3" s="4"/>
      <c r="JMI3" s="4"/>
      <c r="JMJ3" s="4"/>
      <c r="JMK3" s="4"/>
      <c r="JML3" s="4"/>
      <c r="JMM3" s="4"/>
      <c r="JMN3" s="4"/>
      <c r="JMO3" s="4"/>
      <c r="JMP3" s="4"/>
      <c r="JMQ3" s="4"/>
      <c r="JMR3" s="4"/>
      <c r="JMS3" s="4"/>
      <c r="JMT3" s="4"/>
      <c r="JMU3" s="4"/>
      <c r="JMV3" s="4"/>
      <c r="JMW3" s="4"/>
      <c r="JMX3" s="4"/>
      <c r="JMY3" s="4"/>
      <c r="JMZ3" s="4"/>
      <c r="JNA3" s="4"/>
      <c r="JNB3" s="4"/>
      <c r="JNC3" s="4"/>
      <c r="JND3" s="4"/>
      <c r="JNE3" s="4"/>
      <c r="JNF3" s="4"/>
      <c r="JNG3" s="4"/>
      <c r="JNH3" s="4"/>
      <c r="JNI3" s="4"/>
      <c r="JNJ3" s="4"/>
      <c r="JNK3" s="4"/>
      <c r="JNL3" s="4"/>
      <c r="JNM3" s="4"/>
      <c r="JNN3" s="4"/>
      <c r="JNO3" s="4"/>
      <c r="JNP3" s="4"/>
      <c r="JNQ3" s="4"/>
      <c r="JNR3" s="4"/>
      <c r="JNS3" s="4"/>
      <c r="JNT3" s="4"/>
      <c r="JNU3" s="4"/>
      <c r="JNV3" s="4"/>
      <c r="JNW3" s="4"/>
      <c r="JNX3" s="4"/>
      <c r="JNY3" s="4"/>
      <c r="JNZ3" s="4"/>
      <c r="JOA3" s="4"/>
      <c r="JOB3" s="4"/>
      <c r="JOC3" s="4"/>
      <c r="JOD3" s="4"/>
      <c r="JOE3" s="4"/>
      <c r="JOF3" s="4"/>
      <c r="JOG3" s="4"/>
      <c r="JOH3" s="4"/>
      <c r="JOI3" s="4"/>
      <c r="JOJ3" s="4"/>
      <c r="JOK3" s="4"/>
      <c r="JOL3" s="4"/>
      <c r="JOM3" s="4"/>
      <c r="JON3" s="4"/>
      <c r="JOO3" s="4"/>
      <c r="JOP3" s="4"/>
      <c r="JOQ3" s="4"/>
      <c r="JOR3" s="4"/>
      <c r="JOS3" s="4"/>
      <c r="JOT3" s="4"/>
      <c r="JOU3" s="4"/>
      <c r="JOV3" s="4"/>
      <c r="JOW3" s="4"/>
      <c r="JOX3" s="4"/>
      <c r="JOY3" s="4"/>
      <c r="JOZ3" s="4"/>
      <c r="JPA3" s="4"/>
      <c r="JPB3" s="4"/>
      <c r="JPC3" s="4"/>
      <c r="JPD3" s="4"/>
      <c r="JPE3" s="4"/>
      <c r="JPF3" s="4"/>
      <c r="JPG3" s="4"/>
      <c r="JPH3" s="4"/>
      <c r="JPI3" s="4"/>
      <c r="JPJ3" s="4"/>
      <c r="JPK3" s="4"/>
      <c r="JPL3" s="4"/>
      <c r="JPM3" s="4"/>
      <c r="JPN3" s="4"/>
      <c r="JPO3" s="4"/>
      <c r="JPP3" s="4"/>
      <c r="JPQ3" s="4"/>
      <c r="JPR3" s="4"/>
      <c r="JPS3" s="4"/>
      <c r="JPT3" s="4"/>
      <c r="JPU3" s="4"/>
      <c r="JPV3" s="4"/>
      <c r="JPW3" s="4"/>
      <c r="JPX3" s="4"/>
      <c r="JPY3" s="4"/>
      <c r="JPZ3" s="4"/>
      <c r="JQA3" s="4"/>
      <c r="JQB3" s="4"/>
      <c r="JQC3" s="4"/>
      <c r="JQD3" s="4"/>
      <c r="JQE3" s="4"/>
      <c r="JQF3" s="4"/>
      <c r="JQG3" s="4"/>
      <c r="JQH3" s="4"/>
      <c r="JQI3" s="4"/>
      <c r="JQJ3" s="4"/>
      <c r="JQK3" s="4"/>
      <c r="JQL3" s="4"/>
      <c r="JQM3" s="4"/>
      <c r="JQN3" s="4"/>
      <c r="JQO3" s="4"/>
      <c r="JQP3" s="4"/>
      <c r="JQQ3" s="4"/>
      <c r="JQR3" s="4"/>
      <c r="JQS3" s="4"/>
      <c r="JQT3" s="4"/>
      <c r="JQU3" s="4"/>
      <c r="JQV3" s="4"/>
      <c r="JQW3" s="4"/>
      <c r="JQX3" s="4"/>
      <c r="JQY3" s="4"/>
      <c r="JQZ3" s="4"/>
      <c r="JRA3" s="4"/>
      <c r="JRB3" s="4"/>
      <c r="JRC3" s="4"/>
      <c r="JRD3" s="4"/>
      <c r="JRE3" s="4"/>
      <c r="JRF3" s="4"/>
      <c r="JRG3" s="4"/>
      <c r="JRH3" s="4"/>
      <c r="JRI3" s="4"/>
      <c r="JRJ3" s="4"/>
      <c r="JRK3" s="4"/>
      <c r="JRL3" s="4"/>
      <c r="JRM3" s="4"/>
      <c r="JRN3" s="4"/>
      <c r="JRO3" s="4"/>
      <c r="JRP3" s="4"/>
      <c r="JRQ3" s="4"/>
      <c r="JRR3" s="4"/>
      <c r="JRS3" s="4"/>
      <c r="JRT3" s="4"/>
      <c r="JRU3" s="4"/>
      <c r="JRV3" s="4"/>
      <c r="JRW3" s="4"/>
      <c r="JRX3" s="4"/>
      <c r="JRY3" s="4"/>
      <c r="JRZ3" s="4"/>
      <c r="JSA3" s="4"/>
      <c r="JSB3" s="4"/>
      <c r="JSC3" s="4"/>
      <c r="JSD3" s="4"/>
      <c r="JSE3" s="4"/>
      <c r="JSF3" s="4"/>
      <c r="JSG3" s="4"/>
      <c r="JSH3" s="4"/>
      <c r="JSI3" s="4"/>
      <c r="JSJ3" s="4"/>
      <c r="JSK3" s="4"/>
      <c r="JSL3" s="4"/>
      <c r="JSM3" s="4"/>
      <c r="JSN3" s="4"/>
      <c r="JSO3" s="4"/>
      <c r="JSP3" s="4"/>
      <c r="JSQ3" s="4"/>
      <c r="JSR3" s="4"/>
      <c r="JSS3" s="4"/>
      <c r="JST3" s="4"/>
      <c r="JSU3" s="4"/>
      <c r="JSV3" s="4"/>
      <c r="JSW3" s="4"/>
      <c r="JSX3" s="4"/>
      <c r="JSY3" s="4"/>
      <c r="JSZ3" s="4"/>
      <c r="JTA3" s="4"/>
      <c r="JTB3" s="4"/>
      <c r="JTC3" s="4"/>
      <c r="JTD3" s="4"/>
      <c r="JTE3" s="4"/>
      <c r="JTF3" s="4"/>
      <c r="JTG3" s="4"/>
      <c r="JTH3" s="4"/>
      <c r="JTI3" s="4"/>
      <c r="JTJ3" s="4"/>
      <c r="JTK3" s="4"/>
      <c r="JTL3" s="4"/>
      <c r="JTM3" s="4"/>
      <c r="JTN3" s="4"/>
      <c r="JTO3" s="4"/>
      <c r="JTP3" s="4"/>
      <c r="JTQ3" s="4"/>
      <c r="JTR3" s="4"/>
      <c r="JTS3" s="4"/>
      <c r="JTT3" s="4"/>
      <c r="JTU3" s="4"/>
      <c r="JTV3" s="4"/>
      <c r="JTW3" s="4"/>
      <c r="JTX3" s="4"/>
      <c r="JTY3" s="4"/>
      <c r="JTZ3" s="4"/>
      <c r="JUA3" s="4"/>
      <c r="JUB3" s="4"/>
      <c r="JUC3" s="4"/>
      <c r="JUD3" s="4"/>
      <c r="JUE3" s="4"/>
      <c r="JUF3" s="4"/>
      <c r="JUG3" s="4"/>
      <c r="JUH3" s="4"/>
      <c r="JUI3" s="4"/>
      <c r="JUJ3" s="4"/>
      <c r="JUK3" s="4"/>
      <c r="JUL3" s="4"/>
      <c r="JUM3" s="4"/>
      <c r="JUN3" s="4"/>
      <c r="JUO3" s="4"/>
      <c r="JUP3" s="4"/>
      <c r="JUQ3" s="4"/>
      <c r="JUR3" s="4"/>
      <c r="JUS3" s="4"/>
      <c r="JUT3" s="4"/>
      <c r="JUU3" s="4"/>
      <c r="JUV3" s="4"/>
      <c r="JUW3" s="4"/>
      <c r="JUX3" s="4"/>
      <c r="JUY3" s="4"/>
      <c r="JUZ3" s="4"/>
      <c r="JVA3" s="4"/>
      <c r="JVB3" s="4"/>
      <c r="JVC3" s="4"/>
      <c r="JVD3" s="4"/>
      <c r="JVE3" s="4"/>
      <c r="JVF3" s="4"/>
      <c r="JVG3" s="4"/>
      <c r="JVH3" s="4"/>
      <c r="JVI3" s="4"/>
      <c r="JVJ3" s="4"/>
      <c r="JVK3" s="4"/>
      <c r="JVL3" s="4"/>
      <c r="JVM3" s="4"/>
      <c r="JVN3" s="4"/>
      <c r="JVO3" s="4"/>
      <c r="JVP3" s="4"/>
      <c r="JVQ3" s="4"/>
      <c r="JVR3" s="4"/>
      <c r="JVS3" s="4"/>
      <c r="JVT3" s="4"/>
      <c r="JVU3" s="4"/>
      <c r="JVV3" s="4"/>
      <c r="JVW3" s="4"/>
      <c r="JVX3" s="4"/>
      <c r="JVY3" s="4"/>
      <c r="JVZ3" s="4"/>
      <c r="JWA3" s="4"/>
      <c r="JWB3" s="4"/>
      <c r="JWC3" s="4"/>
      <c r="JWD3" s="4"/>
      <c r="JWE3" s="4"/>
      <c r="JWF3" s="4"/>
      <c r="JWG3" s="4"/>
      <c r="JWH3" s="4"/>
      <c r="JWI3" s="4"/>
      <c r="JWJ3" s="4"/>
      <c r="JWK3" s="4"/>
      <c r="JWL3" s="4"/>
      <c r="JWM3" s="4"/>
      <c r="JWN3" s="4"/>
      <c r="JWO3" s="4"/>
      <c r="JWP3" s="4"/>
      <c r="JWQ3" s="4"/>
      <c r="JWR3" s="4"/>
      <c r="JWS3" s="4"/>
      <c r="JWT3" s="4"/>
      <c r="JWU3" s="4"/>
      <c r="JWV3" s="4"/>
      <c r="JWW3" s="4"/>
      <c r="JWX3" s="4"/>
      <c r="JWY3" s="4"/>
      <c r="JWZ3" s="4"/>
      <c r="JXA3" s="4"/>
      <c r="JXB3" s="4"/>
      <c r="JXC3" s="4"/>
      <c r="JXD3" s="4"/>
      <c r="JXE3" s="4"/>
      <c r="JXF3" s="4"/>
      <c r="JXG3" s="4"/>
      <c r="JXH3" s="4"/>
      <c r="JXI3" s="4"/>
      <c r="JXJ3" s="4"/>
      <c r="JXK3" s="4"/>
      <c r="JXL3" s="4"/>
      <c r="JXM3" s="4"/>
      <c r="JXN3" s="4"/>
      <c r="JXO3" s="4"/>
      <c r="JXP3" s="4"/>
      <c r="JXQ3" s="4"/>
      <c r="JXR3" s="4"/>
      <c r="JXS3" s="4"/>
      <c r="JXT3" s="4"/>
      <c r="JXU3" s="4"/>
      <c r="JXV3" s="4"/>
      <c r="JXW3" s="4"/>
      <c r="JXX3" s="4"/>
      <c r="JXY3" s="4"/>
      <c r="JXZ3" s="4"/>
      <c r="JYA3" s="4"/>
      <c r="JYB3" s="4"/>
      <c r="JYC3" s="4"/>
      <c r="JYD3" s="4"/>
      <c r="JYE3" s="4"/>
      <c r="JYF3" s="4"/>
      <c r="JYG3" s="4"/>
      <c r="JYH3" s="4"/>
      <c r="JYI3" s="4"/>
      <c r="JYJ3" s="4"/>
      <c r="JYK3" s="4"/>
      <c r="JYL3" s="4"/>
      <c r="JYM3" s="4"/>
      <c r="JYN3" s="4"/>
      <c r="JYO3" s="4"/>
      <c r="JYP3" s="4"/>
      <c r="JYQ3" s="4"/>
      <c r="JYR3" s="4"/>
      <c r="JYS3" s="4"/>
      <c r="JYT3" s="4"/>
      <c r="JYU3" s="4"/>
      <c r="JYV3" s="4"/>
      <c r="JYW3" s="4"/>
      <c r="JYX3" s="4"/>
      <c r="JYY3" s="4"/>
      <c r="JYZ3" s="4"/>
      <c r="JZA3" s="4"/>
      <c r="JZB3" s="4"/>
      <c r="JZC3" s="4"/>
      <c r="JZD3" s="4"/>
      <c r="JZE3" s="4"/>
      <c r="JZF3" s="4"/>
      <c r="JZG3" s="4"/>
      <c r="JZH3" s="4"/>
      <c r="JZI3" s="4"/>
      <c r="JZJ3" s="4"/>
      <c r="JZK3" s="4"/>
      <c r="JZL3" s="4"/>
      <c r="JZM3" s="4"/>
      <c r="JZN3" s="4"/>
      <c r="JZO3" s="4"/>
      <c r="JZP3" s="4"/>
      <c r="JZQ3" s="4"/>
      <c r="JZR3" s="4"/>
      <c r="JZS3" s="4"/>
      <c r="JZT3" s="4"/>
      <c r="JZU3" s="4"/>
      <c r="JZV3" s="4"/>
      <c r="JZW3" s="4"/>
      <c r="JZX3" s="4"/>
      <c r="JZY3" s="4"/>
      <c r="JZZ3" s="4"/>
      <c r="KAA3" s="4"/>
      <c r="KAB3" s="4"/>
      <c r="KAC3" s="4"/>
      <c r="KAD3" s="4"/>
      <c r="KAE3" s="4"/>
      <c r="KAF3" s="4"/>
      <c r="KAG3" s="4"/>
      <c r="KAH3" s="4"/>
      <c r="KAI3" s="4"/>
      <c r="KAJ3" s="4"/>
      <c r="KAK3" s="4"/>
      <c r="KAL3" s="4"/>
      <c r="KAM3" s="4"/>
      <c r="KAN3" s="4"/>
      <c r="KAO3" s="4"/>
      <c r="KAP3" s="4"/>
      <c r="KAQ3" s="4"/>
      <c r="KAR3" s="4"/>
      <c r="KAS3" s="4"/>
      <c r="KAT3" s="4"/>
      <c r="KAU3" s="4"/>
      <c r="KAV3" s="4"/>
      <c r="KAW3" s="4"/>
      <c r="KAX3" s="4"/>
      <c r="KAY3" s="4"/>
      <c r="KAZ3" s="4"/>
      <c r="KBA3" s="4"/>
      <c r="KBB3" s="4"/>
      <c r="KBC3" s="4"/>
      <c r="KBD3" s="4"/>
      <c r="KBE3" s="4"/>
      <c r="KBF3" s="4"/>
      <c r="KBG3" s="4"/>
      <c r="KBH3" s="4"/>
      <c r="KBI3" s="4"/>
      <c r="KBJ3" s="4"/>
      <c r="KBK3" s="4"/>
      <c r="KBL3" s="4"/>
      <c r="KBM3" s="4"/>
      <c r="KBN3" s="4"/>
      <c r="KBO3" s="4"/>
      <c r="KBP3" s="4"/>
      <c r="KBQ3" s="4"/>
      <c r="KBR3" s="4"/>
      <c r="KBS3" s="4"/>
      <c r="KBT3" s="4"/>
      <c r="KBU3" s="4"/>
      <c r="KBV3" s="4"/>
      <c r="KBW3" s="4"/>
      <c r="KBX3" s="4"/>
      <c r="KBY3" s="4"/>
      <c r="KBZ3" s="4"/>
      <c r="KCA3" s="4"/>
      <c r="KCB3" s="4"/>
      <c r="KCC3" s="4"/>
      <c r="KCD3" s="4"/>
      <c r="KCE3" s="4"/>
      <c r="KCF3" s="4"/>
      <c r="KCG3" s="4"/>
      <c r="KCH3" s="4"/>
      <c r="KCI3" s="4"/>
      <c r="KCJ3" s="4"/>
      <c r="KCK3" s="4"/>
      <c r="KCL3" s="4"/>
      <c r="KCM3" s="4"/>
      <c r="KCN3" s="4"/>
      <c r="KCO3" s="4"/>
      <c r="KCP3" s="4"/>
      <c r="KCQ3" s="4"/>
      <c r="KCR3" s="4"/>
      <c r="KCS3" s="4"/>
      <c r="KCT3" s="4"/>
      <c r="KCU3" s="4"/>
      <c r="KCV3" s="4"/>
      <c r="KCW3" s="4"/>
      <c r="KCX3" s="4"/>
      <c r="KCY3" s="4"/>
      <c r="KCZ3" s="4"/>
      <c r="KDA3" s="4"/>
      <c r="KDB3" s="4"/>
      <c r="KDC3" s="4"/>
      <c r="KDD3" s="4"/>
      <c r="KDE3" s="4"/>
      <c r="KDF3" s="4"/>
      <c r="KDG3" s="4"/>
      <c r="KDH3" s="4"/>
      <c r="KDI3" s="4"/>
      <c r="KDJ3" s="4"/>
      <c r="KDK3" s="4"/>
      <c r="KDL3" s="4"/>
      <c r="KDM3" s="4"/>
      <c r="KDN3" s="4"/>
      <c r="KDO3" s="4"/>
      <c r="KDP3" s="4"/>
      <c r="KDQ3" s="4"/>
      <c r="KDR3" s="4"/>
      <c r="KDS3" s="4"/>
      <c r="KDT3" s="4"/>
      <c r="KDU3" s="4"/>
      <c r="KDV3" s="4"/>
      <c r="KDW3" s="4"/>
      <c r="KDX3" s="4"/>
      <c r="KDY3" s="4"/>
      <c r="KDZ3" s="4"/>
      <c r="KEA3" s="4"/>
      <c r="KEB3" s="4"/>
      <c r="KEC3" s="4"/>
      <c r="KED3" s="4"/>
      <c r="KEE3" s="4"/>
      <c r="KEF3" s="4"/>
      <c r="KEG3" s="4"/>
      <c r="KEH3" s="4"/>
      <c r="KEI3" s="4"/>
      <c r="KEJ3" s="4"/>
      <c r="KEK3" s="4"/>
      <c r="KEL3" s="4"/>
      <c r="KEM3" s="4"/>
      <c r="KEN3" s="4"/>
      <c r="KEO3" s="4"/>
      <c r="KEP3" s="4"/>
      <c r="KEQ3" s="4"/>
      <c r="KER3" s="4"/>
      <c r="KES3" s="4"/>
      <c r="KET3" s="4"/>
      <c r="KEU3" s="4"/>
      <c r="KEV3" s="4"/>
      <c r="KEW3" s="4"/>
      <c r="KEX3" s="4"/>
      <c r="KEY3" s="4"/>
      <c r="KEZ3" s="4"/>
      <c r="KFA3" s="4"/>
      <c r="KFB3" s="4"/>
      <c r="KFC3" s="4"/>
      <c r="KFD3" s="4"/>
      <c r="KFE3" s="4"/>
      <c r="KFF3" s="4"/>
      <c r="KFG3" s="4"/>
      <c r="KFH3" s="4"/>
      <c r="KFI3" s="4"/>
      <c r="KFJ3" s="4"/>
      <c r="KFK3" s="4"/>
      <c r="KFL3" s="4"/>
      <c r="KFM3" s="4"/>
      <c r="KFN3" s="4"/>
      <c r="KFO3" s="4"/>
      <c r="KFP3" s="4"/>
      <c r="KFQ3" s="4"/>
      <c r="KFR3" s="4"/>
      <c r="KFS3" s="4"/>
      <c r="KFT3" s="4"/>
      <c r="KFU3" s="4"/>
      <c r="KFV3" s="4"/>
      <c r="KFW3" s="4"/>
      <c r="KFX3" s="4"/>
      <c r="KFY3" s="4"/>
      <c r="KFZ3" s="4"/>
      <c r="KGA3" s="4"/>
      <c r="KGB3" s="4"/>
      <c r="KGC3" s="4"/>
      <c r="KGD3" s="4"/>
      <c r="KGE3" s="4"/>
      <c r="KGF3" s="4"/>
      <c r="KGG3" s="4"/>
      <c r="KGH3" s="4"/>
      <c r="KGI3" s="4"/>
      <c r="KGJ3" s="4"/>
      <c r="KGK3" s="4"/>
      <c r="KGL3" s="4"/>
      <c r="KGM3" s="4"/>
      <c r="KGN3" s="4"/>
      <c r="KGO3" s="4"/>
      <c r="KGP3" s="4"/>
      <c r="KGQ3" s="4"/>
      <c r="KGR3" s="4"/>
      <c r="KGS3" s="4"/>
      <c r="KGT3" s="4"/>
      <c r="KGU3" s="4"/>
      <c r="KGV3" s="4"/>
      <c r="KGW3" s="4"/>
      <c r="KGX3" s="4"/>
      <c r="KGY3" s="4"/>
      <c r="KGZ3" s="4"/>
      <c r="KHA3" s="4"/>
      <c r="KHB3" s="4"/>
      <c r="KHC3" s="4"/>
      <c r="KHD3" s="4"/>
      <c r="KHE3" s="4"/>
      <c r="KHF3" s="4"/>
      <c r="KHG3" s="4"/>
      <c r="KHH3" s="4"/>
      <c r="KHI3" s="4"/>
      <c r="KHJ3" s="4"/>
      <c r="KHK3" s="4"/>
      <c r="KHL3" s="4"/>
      <c r="KHM3" s="4"/>
      <c r="KHN3" s="4"/>
      <c r="KHO3" s="4"/>
      <c r="KHP3" s="4"/>
      <c r="KHQ3" s="4"/>
      <c r="KHR3" s="4"/>
      <c r="KHS3" s="4"/>
      <c r="KHT3" s="4"/>
      <c r="KHU3" s="4"/>
      <c r="KHV3" s="4"/>
      <c r="KHW3" s="4"/>
      <c r="KHX3" s="4"/>
      <c r="KHY3" s="4"/>
      <c r="KHZ3" s="4"/>
      <c r="KIA3" s="4"/>
      <c r="KIB3" s="4"/>
      <c r="KIC3" s="4"/>
      <c r="KID3" s="4"/>
      <c r="KIE3" s="4"/>
      <c r="KIF3" s="4"/>
      <c r="KIG3" s="4"/>
      <c r="KIH3" s="4"/>
      <c r="KII3" s="4"/>
      <c r="KIJ3" s="4"/>
      <c r="KIK3" s="4"/>
      <c r="KIL3" s="4"/>
      <c r="KIM3" s="4"/>
      <c r="KIN3" s="4"/>
      <c r="KIO3" s="4"/>
      <c r="KIP3" s="4"/>
      <c r="KIQ3" s="4"/>
      <c r="KIR3" s="4"/>
      <c r="KIS3" s="4"/>
      <c r="KIT3" s="4"/>
      <c r="KIU3" s="4"/>
      <c r="KIV3" s="4"/>
      <c r="KIW3" s="4"/>
      <c r="KIX3" s="4"/>
      <c r="KIY3" s="4"/>
      <c r="KIZ3" s="4"/>
      <c r="KJA3" s="4"/>
      <c r="KJB3" s="4"/>
      <c r="KJC3" s="4"/>
      <c r="KJD3" s="4"/>
      <c r="KJE3" s="4"/>
      <c r="KJF3" s="4"/>
      <c r="KJG3" s="4"/>
      <c r="KJH3" s="4"/>
      <c r="KJI3" s="4"/>
      <c r="KJJ3" s="4"/>
      <c r="KJK3" s="4"/>
      <c r="KJL3" s="4"/>
      <c r="KJM3" s="4"/>
      <c r="KJN3" s="4"/>
      <c r="KJO3" s="4"/>
      <c r="KJP3" s="4"/>
      <c r="KJQ3" s="4"/>
      <c r="KJR3" s="4"/>
      <c r="KJS3" s="4"/>
      <c r="KJT3" s="4"/>
      <c r="KJU3" s="4"/>
      <c r="KJV3" s="4"/>
      <c r="KJW3" s="4"/>
      <c r="KJX3" s="4"/>
      <c r="KJY3" s="4"/>
      <c r="KJZ3" s="4"/>
      <c r="KKA3" s="4"/>
      <c r="KKB3" s="4"/>
      <c r="KKC3" s="4"/>
      <c r="KKD3" s="4"/>
      <c r="KKE3" s="4"/>
      <c r="KKF3" s="4"/>
      <c r="KKG3" s="4"/>
      <c r="KKH3" s="4"/>
      <c r="KKI3" s="4"/>
      <c r="KKJ3" s="4"/>
      <c r="KKK3" s="4"/>
      <c r="KKL3" s="4"/>
      <c r="KKM3" s="4"/>
      <c r="KKN3" s="4"/>
      <c r="KKO3" s="4"/>
      <c r="KKP3" s="4"/>
      <c r="KKQ3" s="4"/>
      <c r="KKR3" s="4"/>
      <c r="KKS3" s="4"/>
      <c r="KKT3" s="4"/>
      <c r="KKU3" s="4"/>
      <c r="KKV3" s="4"/>
      <c r="KKW3" s="4"/>
      <c r="KKX3" s="4"/>
      <c r="KKY3" s="4"/>
      <c r="KKZ3" s="4"/>
      <c r="KLA3" s="4"/>
      <c r="KLB3" s="4"/>
      <c r="KLC3" s="4"/>
      <c r="KLD3" s="4"/>
      <c r="KLE3" s="4"/>
      <c r="KLF3" s="4"/>
      <c r="KLG3" s="4"/>
      <c r="KLH3" s="4"/>
      <c r="KLI3" s="4"/>
      <c r="KLJ3" s="4"/>
      <c r="KLK3" s="4"/>
      <c r="KLL3" s="4"/>
      <c r="KLM3" s="4"/>
      <c r="KLN3" s="4"/>
      <c r="KLO3" s="4"/>
      <c r="KLP3" s="4"/>
      <c r="KLQ3" s="4"/>
      <c r="KLR3" s="4"/>
      <c r="KLS3" s="4"/>
      <c r="KLT3" s="4"/>
      <c r="KLU3" s="4"/>
      <c r="KLV3" s="4"/>
      <c r="KLW3" s="4"/>
      <c r="KLX3" s="4"/>
      <c r="KLY3" s="4"/>
      <c r="KLZ3" s="4"/>
      <c r="KMA3" s="4"/>
      <c r="KMB3" s="4"/>
      <c r="KMC3" s="4"/>
      <c r="KMD3" s="4"/>
      <c r="KME3" s="4"/>
      <c r="KMF3" s="4"/>
      <c r="KMG3" s="4"/>
      <c r="KMH3" s="4"/>
      <c r="KMI3" s="4"/>
      <c r="KMJ3" s="4"/>
      <c r="KMK3" s="4"/>
      <c r="KML3" s="4"/>
      <c r="KMM3" s="4"/>
      <c r="KMN3" s="4"/>
      <c r="KMO3" s="4"/>
      <c r="KMP3" s="4"/>
      <c r="KMQ3" s="4"/>
      <c r="KMR3" s="4"/>
      <c r="KMS3" s="4"/>
      <c r="KMT3" s="4"/>
      <c r="KMU3" s="4"/>
      <c r="KMV3" s="4"/>
      <c r="KMW3" s="4"/>
      <c r="KMX3" s="4"/>
      <c r="KMY3" s="4"/>
      <c r="KMZ3" s="4"/>
      <c r="KNA3" s="4"/>
      <c r="KNB3" s="4"/>
      <c r="KNC3" s="4"/>
      <c r="KND3" s="4"/>
      <c r="KNE3" s="4"/>
      <c r="KNF3" s="4"/>
      <c r="KNG3" s="4"/>
      <c r="KNH3" s="4"/>
      <c r="KNI3" s="4"/>
      <c r="KNJ3" s="4"/>
      <c r="KNK3" s="4"/>
      <c r="KNL3" s="4"/>
      <c r="KNM3" s="4"/>
      <c r="KNN3" s="4"/>
      <c r="KNO3" s="4"/>
      <c r="KNP3" s="4"/>
      <c r="KNQ3" s="4"/>
      <c r="KNR3" s="4"/>
      <c r="KNS3" s="4"/>
      <c r="KNT3" s="4"/>
      <c r="KNU3" s="4"/>
      <c r="KNV3" s="4"/>
      <c r="KNW3" s="4"/>
      <c r="KNX3" s="4"/>
      <c r="KNY3" s="4"/>
      <c r="KNZ3" s="4"/>
      <c r="KOA3" s="4"/>
      <c r="KOB3" s="4"/>
      <c r="KOC3" s="4"/>
      <c r="KOD3" s="4"/>
      <c r="KOE3" s="4"/>
      <c r="KOF3" s="4"/>
      <c r="KOG3" s="4"/>
      <c r="KOH3" s="4"/>
      <c r="KOI3" s="4"/>
      <c r="KOJ3" s="4"/>
      <c r="KOK3" s="4"/>
      <c r="KOL3" s="4"/>
      <c r="KOM3" s="4"/>
      <c r="KON3" s="4"/>
      <c r="KOO3" s="4"/>
      <c r="KOP3" s="4"/>
      <c r="KOQ3" s="4"/>
      <c r="KOR3" s="4"/>
      <c r="KOS3" s="4"/>
      <c r="KOT3" s="4"/>
      <c r="KOU3" s="4"/>
      <c r="KOV3" s="4"/>
      <c r="KOW3" s="4"/>
      <c r="KOX3" s="4"/>
      <c r="KOY3" s="4"/>
      <c r="KOZ3" s="4"/>
      <c r="KPA3" s="4"/>
      <c r="KPB3" s="4"/>
      <c r="KPC3" s="4"/>
      <c r="KPD3" s="4"/>
      <c r="KPE3" s="4"/>
      <c r="KPF3" s="4"/>
      <c r="KPG3" s="4"/>
      <c r="KPH3" s="4"/>
      <c r="KPI3" s="4"/>
      <c r="KPJ3" s="4"/>
      <c r="KPK3" s="4"/>
      <c r="KPL3" s="4"/>
      <c r="KPM3" s="4"/>
      <c r="KPN3" s="4"/>
      <c r="KPO3" s="4"/>
      <c r="KPP3" s="4"/>
      <c r="KPQ3" s="4"/>
      <c r="KPR3" s="4"/>
      <c r="KPS3" s="4"/>
      <c r="KPT3" s="4"/>
      <c r="KPU3" s="4"/>
      <c r="KPV3" s="4"/>
      <c r="KPW3" s="4"/>
      <c r="KPX3" s="4"/>
      <c r="KPY3" s="4"/>
      <c r="KPZ3" s="4"/>
      <c r="KQA3" s="4"/>
      <c r="KQB3" s="4"/>
      <c r="KQC3" s="4"/>
      <c r="KQD3" s="4"/>
      <c r="KQE3" s="4"/>
      <c r="KQF3" s="4"/>
      <c r="KQG3" s="4"/>
      <c r="KQH3" s="4"/>
      <c r="KQI3" s="4"/>
      <c r="KQJ3" s="4"/>
      <c r="KQK3" s="4"/>
      <c r="KQL3" s="4"/>
      <c r="KQM3" s="4"/>
      <c r="KQN3" s="4"/>
      <c r="KQO3" s="4"/>
      <c r="KQP3" s="4"/>
      <c r="KQQ3" s="4"/>
      <c r="KQR3" s="4"/>
      <c r="KQS3" s="4"/>
      <c r="KQT3" s="4"/>
      <c r="KQU3" s="4"/>
      <c r="KQV3" s="4"/>
      <c r="KQW3" s="4"/>
      <c r="KQX3" s="4"/>
      <c r="KQY3" s="4"/>
      <c r="KQZ3" s="4"/>
      <c r="KRA3" s="4"/>
      <c r="KRB3" s="4"/>
      <c r="KRC3" s="4"/>
      <c r="KRD3" s="4"/>
      <c r="KRE3" s="4"/>
      <c r="KRF3" s="4"/>
      <c r="KRG3" s="4"/>
      <c r="KRH3" s="4"/>
      <c r="KRI3" s="4"/>
      <c r="KRJ3" s="4"/>
      <c r="KRK3" s="4"/>
      <c r="KRL3" s="4"/>
      <c r="KRM3" s="4"/>
      <c r="KRN3" s="4"/>
      <c r="KRO3" s="4"/>
      <c r="KRP3" s="4"/>
      <c r="KRQ3" s="4"/>
      <c r="KRR3" s="4"/>
      <c r="KRS3" s="4"/>
      <c r="KRT3" s="4"/>
      <c r="KRU3" s="4"/>
      <c r="KRV3" s="4"/>
      <c r="KRW3" s="4"/>
      <c r="KRX3" s="4"/>
      <c r="KRY3" s="4"/>
      <c r="KRZ3" s="4"/>
      <c r="KSA3" s="4"/>
      <c r="KSB3" s="4"/>
      <c r="KSC3" s="4"/>
      <c r="KSD3" s="4"/>
      <c r="KSE3" s="4"/>
      <c r="KSF3" s="4"/>
      <c r="KSG3" s="4"/>
      <c r="KSH3" s="4"/>
      <c r="KSI3" s="4"/>
      <c r="KSJ3" s="4"/>
      <c r="KSK3" s="4"/>
      <c r="KSL3" s="4"/>
      <c r="KSM3" s="4"/>
      <c r="KSN3" s="4"/>
      <c r="KSO3" s="4"/>
      <c r="KSP3" s="4"/>
      <c r="KSQ3" s="4"/>
      <c r="KSR3" s="4"/>
      <c r="KSS3" s="4"/>
      <c r="KST3" s="4"/>
      <c r="KSU3" s="4"/>
      <c r="KSV3" s="4"/>
      <c r="KSW3" s="4"/>
      <c r="KSX3" s="4"/>
      <c r="KSY3" s="4"/>
      <c r="KSZ3" s="4"/>
      <c r="KTA3" s="4"/>
      <c r="KTB3" s="4"/>
      <c r="KTC3" s="4"/>
      <c r="KTD3" s="4"/>
      <c r="KTE3" s="4"/>
      <c r="KTF3" s="4"/>
      <c r="KTG3" s="4"/>
      <c r="KTH3" s="4"/>
      <c r="KTI3" s="4"/>
      <c r="KTJ3" s="4"/>
      <c r="KTK3" s="4"/>
      <c r="KTL3" s="4"/>
      <c r="KTM3" s="4"/>
      <c r="KTN3" s="4"/>
      <c r="KTO3" s="4"/>
      <c r="KTP3" s="4"/>
      <c r="KTQ3" s="4"/>
      <c r="KTR3" s="4"/>
      <c r="KTS3" s="4"/>
      <c r="KTT3" s="4"/>
      <c r="KTU3" s="4"/>
      <c r="KTV3" s="4"/>
      <c r="KTW3" s="4"/>
      <c r="KTX3" s="4"/>
      <c r="KTY3" s="4"/>
      <c r="KTZ3" s="4"/>
      <c r="KUA3" s="4"/>
      <c r="KUB3" s="4"/>
      <c r="KUC3" s="4"/>
      <c r="KUD3" s="4"/>
      <c r="KUE3" s="4"/>
      <c r="KUF3" s="4"/>
      <c r="KUG3" s="4"/>
      <c r="KUH3" s="4"/>
      <c r="KUI3" s="4"/>
      <c r="KUJ3" s="4"/>
      <c r="KUK3" s="4"/>
      <c r="KUL3" s="4"/>
      <c r="KUM3" s="4"/>
      <c r="KUN3" s="4"/>
      <c r="KUO3" s="4"/>
      <c r="KUP3" s="4"/>
      <c r="KUQ3" s="4"/>
      <c r="KUR3" s="4"/>
      <c r="KUS3" s="4"/>
      <c r="KUT3" s="4"/>
      <c r="KUU3" s="4"/>
      <c r="KUV3" s="4"/>
      <c r="KUW3" s="4"/>
      <c r="KUX3" s="4"/>
      <c r="KUY3" s="4"/>
      <c r="KUZ3" s="4"/>
      <c r="KVA3" s="4"/>
      <c r="KVB3" s="4"/>
      <c r="KVC3" s="4"/>
      <c r="KVD3" s="4"/>
      <c r="KVE3" s="4"/>
      <c r="KVF3" s="4"/>
      <c r="KVG3" s="4"/>
      <c r="KVH3" s="4"/>
      <c r="KVI3" s="4"/>
      <c r="KVJ3" s="4"/>
      <c r="KVK3" s="4"/>
      <c r="KVL3" s="4"/>
      <c r="KVM3" s="4"/>
      <c r="KVN3" s="4"/>
      <c r="KVO3" s="4"/>
      <c r="KVP3" s="4"/>
      <c r="KVQ3" s="4"/>
      <c r="KVR3" s="4"/>
      <c r="KVS3" s="4"/>
      <c r="KVT3" s="4"/>
      <c r="KVU3" s="4"/>
      <c r="KVV3" s="4"/>
      <c r="KVW3" s="4"/>
      <c r="KVX3" s="4"/>
      <c r="KVY3" s="4"/>
      <c r="KVZ3" s="4"/>
      <c r="KWA3" s="4"/>
      <c r="KWB3" s="4"/>
      <c r="KWC3" s="4"/>
      <c r="KWD3" s="4"/>
      <c r="KWE3" s="4"/>
      <c r="KWF3" s="4"/>
      <c r="KWG3" s="4"/>
      <c r="KWH3" s="4"/>
      <c r="KWI3" s="4"/>
      <c r="KWJ3" s="4"/>
      <c r="KWK3" s="4"/>
      <c r="KWL3" s="4"/>
      <c r="KWM3" s="4"/>
      <c r="KWN3" s="4"/>
      <c r="KWO3" s="4"/>
      <c r="KWP3" s="4"/>
      <c r="KWQ3" s="4"/>
      <c r="KWR3" s="4"/>
      <c r="KWS3" s="4"/>
      <c r="KWT3" s="4"/>
      <c r="KWU3" s="4"/>
      <c r="KWV3" s="4"/>
      <c r="KWW3" s="4"/>
      <c r="KWX3" s="4"/>
      <c r="KWY3" s="4"/>
      <c r="KWZ3" s="4"/>
      <c r="KXA3" s="4"/>
      <c r="KXB3" s="4"/>
      <c r="KXC3" s="4"/>
      <c r="KXD3" s="4"/>
      <c r="KXE3" s="4"/>
      <c r="KXF3" s="4"/>
      <c r="KXG3" s="4"/>
      <c r="KXH3" s="4"/>
      <c r="KXI3" s="4"/>
      <c r="KXJ3" s="4"/>
      <c r="KXK3" s="4"/>
      <c r="KXL3" s="4"/>
      <c r="KXM3" s="4"/>
      <c r="KXN3" s="4"/>
      <c r="KXO3" s="4"/>
      <c r="KXP3" s="4"/>
      <c r="KXQ3" s="4"/>
      <c r="KXR3" s="4"/>
      <c r="KXS3" s="4"/>
      <c r="KXT3" s="4"/>
      <c r="KXU3" s="4"/>
      <c r="KXV3" s="4"/>
      <c r="KXW3" s="4"/>
      <c r="KXX3" s="4"/>
      <c r="KXY3" s="4"/>
      <c r="KXZ3" s="4"/>
      <c r="KYA3" s="4"/>
      <c r="KYB3" s="4"/>
      <c r="KYC3" s="4"/>
      <c r="KYD3" s="4"/>
      <c r="KYE3" s="4"/>
      <c r="KYF3" s="4"/>
      <c r="KYG3" s="4"/>
      <c r="KYH3" s="4"/>
      <c r="KYI3" s="4"/>
      <c r="KYJ3" s="4"/>
      <c r="KYK3" s="4"/>
      <c r="KYL3" s="4"/>
      <c r="KYM3" s="4"/>
      <c r="KYN3" s="4"/>
      <c r="KYO3" s="4"/>
      <c r="KYP3" s="4"/>
      <c r="KYQ3" s="4"/>
      <c r="KYR3" s="4"/>
      <c r="KYS3" s="4"/>
      <c r="KYT3" s="4"/>
      <c r="KYU3" s="4"/>
      <c r="KYV3" s="4"/>
      <c r="KYW3" s="4"/>
      <c r="KYX3" s="4"/>
      <c r="KYY3" s="4"/>
      <c r="KYZ3" s="4"/>
      <c r="KZA3" s="4"/>
      <c r="KZB3" s="4"/>
      <c r="KZC3" s="4"/>
      <c r="KZD3" s="4"/>
      <c r="KZE3" s="4"/>
      <c r="KZF3" s="4"/>
      <c r="KZG3" s="4"/>
      <c r="KZH3" s="4"/>
      <c r="KZI3" s="4"/>
      <c r="KZJ3" s="4"/>
      <c r="KZK3" s="4"/>
      <c r="KZL3" s="4"/>
      <c r="KZM3" s="4"/>
      <c r="KZN3" s="4"/>
      <c r="KZO3" s="4"/>
      <c r="KZP3" s="4"/>
      <c r="KZQ3" s="4"/>
      <c r="KZR3" s="4"/>
      <c r="KZS3" s="4"/>
      <c r="KZT3" s="4"/>
      <c r="KZU3" s="4"/>
      <c r="KZV3" s="4"/>
      <c r="KZW3" s="4"/>
      <c r="KZX3" s="4"/>
      <c r="KZY3" s="4"/>
      <c r="KZZ3" s="4"/>
      <c r="LAA3" s="4"/>
      <c r="LAB3" s="4"/>
      <c r="LAC3" s="4"/>
      <c r="LAD3" s="4"/>
      <c r="LAE3" s="4"/>
      <c r="LAF3" s="4"/>
      <c r="LAG3" s="4"/>
      <c r="LAH3" s="4"/>
      <c r="LAI3" s="4"/>
      <c r="LAJ3" s="4"/>
      <c r="LAK3" s="4"/>
      <c r="LAL3" s="4"/>
      <c r="LAM3" s="4"/>
      <c r="LAN3" s="4"/>
      <c r="LAO3" s="4"/>
      <c r="LAP3" s="4"/>
      <c r="LAQ3" s="4"/>
      <c r="LAR3" s="4"/>
      <c r="LAS3" s="4"/>
      <c r="LAT3" s="4"/>
      <c r="LAU3" s="4"/>
      <c r="LAV3" s="4"/>
      <c r="LAW3" s="4"/>
      <c r="LAX3" s="4"/>
      <c r="LAY3" s="4"/>
      <c r="LAZ3" s="4"/>
      <c r="LBA3" s="4"/>
      <c r="LBB3" s="4"/>
      <c r="LBC3" s="4"/>
      <c r="LBD3" s="4"/>
      <c r="LBE3" s="4"/>
      <c r="LBF3" s="4"/>
      <c r="LBG3" s="4"/>
      <c r="LBH3" s="4"/>
      <c r="LBI3" s="4"/>
      <c r="LBJ3" s="4"/>
      <c r="LBK3" s="4"/>
      <c r="LBL3" s="4"/>
      <c r="LBM3" s="4"/>
      <c r="LBN3" s="4"/>
      <c r="LBO3" s="4"/>
      <c r="LBP3" s="4"/>
      <c r="LBQ3" s="4"/>
      <c r="LBR3" s="4"/>
      <c r="LBS3" s="4"/>
      <c r="LBT3" s="4"/>
      <c r="LBU3" s="4"/>
      <c r="LBV3" s="4"/>
      <c r="LBW3" s="4"/>
      <c r="LBX3" s="4"/>
      <c r="LBY3" s="4"/>
      <c r="LBZ3" s="4"/>
      <c r="LCA3" s="4"/>
      <c r="LCB3" s="4"/>
      <c r="LCC3" s="4"/>
      <c r="LCD3" s="4"/>
      <c r="LCE3" s="4"/>
      <c r="LCF3" s="4"/>
      <c r="LCG3" s="4"/>
      <c r="LCH3" s="4"/>
      <c r="LCI3" s="4"/>
      <c r="LCJ3" s="4"/>
      <c r="LCK3" s="4"/>
      <c r="LCL3" s="4"/>
      <c r="LCM3" s="4"/>
      <c r="LCN3" s="4"/>
      <c r="LCO3" s="4"/>
      <c r="LCP3" s="4"/>
      <c r="LCQ3" s="4"/>
      <c r="LCR3" s="4"/>
      <c r="LCS3" s="4"/>
      <c r="LCT3" s="4"/>
      <c r="LCU3" s="4"/>
      <c r="LCV3" s="4"/>
      <c r="LCW3" s="4"/>
      <c r="LCX3" s="4"/>
      <c r="LCY3" s="4"/>
      <c r="LCZ3" s="4"/>
      <c r="LDA3" s="4"/>
      <c r="LDB3" s="4"/>
      <c r="LDC3" s="4"/>
      <c r="LDD3" s="4"/>
      <c r="LDE3" s="4"/>
      <c r="LDF3" s="4"/>
      <c r="LDG3" s="4"/>
      <c r="LDH3" s="4"/>
      <c r="LDI3" s="4"/>
      <c r="LDJ3" s="4"/>
      <c r="LDK3" s="4"/>
      <c r="LDL3" s="4"/>
      <c r="LDM3" s="4"/>
      <c r="LDN3" s="4"/>
      <c r="LDO3" s="4"/>
      <c r="LDP3" s="4"/>
      <c r="LDQ3" s="4"/>
      <c r="LDR3" s="4"/>
      <c r="LDS3" s="4"/>
      <c r="LDT3" s="4"/>
      <c r="LDU3" s="4"/>
      <c r="LDV3" s="4"/>
      <c r="LDW3" s="4"/>
      <c r="LDX3" s="4"/>
      <c r="LDY3" s="4"/>
      <c r="LDZ3" s="4"/>
      <c r="LEA3" s="4"/>
      <c r="LEB3" s="4"/>
      <c r="LEC3" s="4"/>
      <c r="LED3" s="4"/>
      <c r="LEE3" s="4"/>
      <c r="LEF3" s="4"/>
      <c r="LEG3" s="4"/>
      <c r="LEH3" s="4"/>
      <c r="LEI3" s="4"/>
      <c r="LEJ3" s="4"/>
      <c r="LEK3" s="4"/>
      <c r="LEL3" s="4"/>
      <c r="LEM3" s="4"/>
      <c r="LEN3" s="4"/>
      <c r="LEO3" s="4"/>
      <c r="LEP3" s="4"/>
      <c r="LEQ3" s="4"/>
      <c r="LER3" s="4"/>
      <c r="LES3" s="4"/>
      <c r="LET3" s="4"/>
      <c r="LEU3" s="4"/>
      <c r="LEV3" s="4"/>
      <c r="LEW3" s="4"/>
      <c r="LEX3" s="4"/>
      <c r="LEY3" s="4"/>
      <c r="LEZ3" s="4"/>
      <c r="LFA3" s="4"/>
      <c r="LFB3" s="4"/>
      <c r="LFC3" s="4"/>
      <c r="LFD3" s="4"/>
      <c r="LFE3" s="4"/>
      <c r="LFF3" s="4"/>
      <c r="LFG3" s="4"/>
      <c r="LFH3" s="4"/>
      <c r="LFI3" s="4"/>
      <c r="LFJ3" s="4"/>
      <c r="LFK3" s="4"/>
      <c r="LFL3" s="4"/>
      <c r="LFM3" s="4"/>
      <c r="LFN3" s="4"/>
      <c r="LFO3" s="4"/>
      <c r="LFP3" s="4"/>
      <c r="LFQ3" s="4"/>
      <c r="LFR3" s="4"/>
      <c r="LFS3" s="4"/>
      <c r="LFT3" s="4"/>
      <c r="LFU3" s="4"/>
      <c r="LFV3" s="4"/>
      <c r="LFW3" s="4"/>
      <c r="LFX3" s="4"/>
      <c r="LFY3" s="4"/>
      <c r="LFZ3" s="4"/>
      <c r="LGA3" s="4"/>
      <c r="LGB3" s="4"/>
      <c r="LGC3" s="4"/>
      <c r="LGD3" s="4"/>
      <c r="LGE3" s="4"/>
      <c r="LGF3" s="4"/>
      <c r="LGG3" s="4"/>
      <c r="LGH3" s="4"/>
      <c r="LGI3" s="4"/>
      <c r="LGJ3" s="4"/>
      <c r="LGK3" s="4"/>
      <c r="LGL3" s="4"/>
      <c r="LGM3" s="4"/>
      <c r="LGN3" s="4"/>
      <c r="LGO3" s="4"/>
      <c r="LGP3" s="4"/>
      <c r="LGQ3" s="4"/>
      <c r="LGR3" s="4"/>
      <c r="LGS3" s="4"/>
      <c r="LGT3" s="4"/>
      <c r="LGU3" s="4"/>
      <c r="LGV3" s="4"/>
      <c r="LGW3" s="4"/>
      <c r="LGX3" s="4"/>
      <c r="LGY3" s="4"/>
      <c r="LGZ3" s="4"/>
      <c r="LHA3" s="4"/>
      <c r="LHB3" s="4"/>
      <c r="LHC3" s="4"/>
      <c r="LHD3" s="4"/>
      <c r="LHE3" s="4"/>
      <c r="LHF3" s="4"/>
      <c r="LHG3" s="4"/>
      <c r="LHH3" s="4"/>
      <c r="LHI3" s="4"/>
      <c r="LHJ3" s="4"/>
      <c r="LHK3" s="4"/>
      <c r="LHL3" s="4"/>
      <c r="LHM3" s="4"/>
      <c r="LHN3" s="4"/>
      <c r="LHO3" s="4"/>
      <c r="LHP3" s="4"/>
      <c r="LHQ3" s="4"/>
      <c r="LHR3" s="4"/>
      <c r="LHS3" s="4"/>
      <c r="LHT3" s="4"/>
      <c r="LHU3" s="4"/>
      <c r="LHV3" s="4"/>
      <c r="LHW3" s="4"/>
      <c r="LHX3" s="4"/>
      <c r="LHY3" s="4"/>
      <c r="LHZ3" s="4"/>
      <c r="LIA3" s="4"/>
      <c r="LIB3" s="4"/>
      <c r="LIC3" s="4"/>
      <c r="LID3" s="4"/>
      <c r="LIE3" s="4"/>
      <c r="LIF3" s="4"/>
      <c r="LIG3" s="4"/>
      <c r="LIH3" s="4"/>
      <c r="LII3" s="4"/>
      <c r="LIJ3" s="4"/>
      <c r="LIK3" s="4"/>
      <c r="LIL3" s="4"/>
      <c r="LIM3" s="4"/>
      <c r="LIN3" s="4"/>
      <c r="LIO3" s="4"/>
      <c r="LIP3" s="4"/>
      <c r="LIQ3" s="4"/>
      <c r="LIR3" s="4"/>
      <c r="LIS3" s="4"/>
      <c r="LIT3" s="4"/>
      <c r="LIU3" s="4"/>
      <c r="LIV3" s="4"/>
      <c r="LIW3" s="4"/>
      <c r="LIX3" s="4"/>
      <c r="LIY3" s="4"/>
      <c r="LIZ3" s="4"/>
      <c r="LJA3" s="4"/>
      <c r="LJB3" s="4"/>
      <c r="LJC3" s="4"/>
      <c r="LJD3" s="4"/>
      <c r="LJE3" s="4"/>
      <c r="LJF3" s="4"/>
      <c r="LJG3" s="4"/>
      <c r="LJH3" s="4"/>
      <c r="LJI3" s="4"/>
      <c r="LJJ3" s="4"/>
      <c r="LJK3" s="4"/>
      <c r="LJL3" s="4"/>
      <c r="LJM3" s="4"/>
      <c r="LJN3" s="4"/>
      <c r="LJO3" s="4"/>
      <c r="LJP3" s="4"/>
      <c r="LJQ3" s="4"/>
      <c r="LJR3" s="4"/>
      <c r="LJS3" s="4"/>
      <c r="LJT3" s="4"/>
      <c r="LJU3" s="4"/>
      <c r="LJV3" s="4"/>
      <c r="LJW3" s="4"/>
      <c r="LJX3" s="4"/>
      <c r="LJY3" s="4"/>
      <c r="LJZ3" s="4"/>
      <c r="LKA3" s="4"/>
      <c r="LKB3" s="4"/>
      <c r="LKC3" s="4"/>
      <c r="LKD3" s="4"/>
      <c r="LKE3" s="4"/>
      <c r="LKF3" s="4"/>
      <c r="LKG3" s="4"/>
      <c r="LKH3" s="4"/>
      <c r="LKI3" s="4"/>
      <c r="LKJ3" s="4"/>
      <c r="LKK3" s="4"/>
      <c r="LKL3" s="4"/>
      <c r="LKM3" s="4"/>
      <c r="LKN3" s="4"/>
      <c r="LKO3" s="4"/>
      <c r="LKP3" s="4"/>
      <c r="LKQ3" s="4"/>
      <c r="LKR3" s="4"/>
      <c r="LKS3" s="4"/>
      <c r="LKT3" s="4"/>
      <c r="LKU3" s="4"/>
      <c r="LKV3" s="4"/>
      <c r="LKW3" s="4"/>
      <c r="LKX3" s="4"/>
      <c r="LKY3" s="4"/>
      <c r="LKZ3" s="4"/>
      <c r="LLA3" s="4"/>
      <c r="LLB3" s="4"/>
      <c r="LLC3" s="4"/>
      <c r="LLD3" s="4"/>
      <c r="LLE3" s="4"/>
      <c r="LLF3" s="4"/>
      <c r="LLG3" s="4"/>
      <c r="LLH3" s="4"/>
      <c r="LLI3" s="4"/>
      <c r="LLJ3" s="4"/>
      <c r="LLK3" s="4"/>
      <c r="LLL3" s="4"/>
      <c r="LLM3" s="4"/>
      <c r="LLN3" s="4"/>
      <c r="LLO3" s="4"/>
      <c r="LLP3" s="4"/>
      <c r="LLQ3" s="4"/>
      <c r="LLR3" s="4"/>
      <c r="LLS3" s="4"/>
      <c r="LLT3" s="4"/>
      <c r="LLU3" s="4"/>
      <c r="LLV3" s="4"/>
      <c r="LLW3" s="4"/>
      <c r="LLX3" s="4"/>
      <c r="LLY3" s="4"/>
      <c r="LLZ3" s="4"/>
      <c r="LMA3" s="4"/>
      <c r="LMB3" s="4"/>
      <c r="LMC3" s="4"/>
      <c r="LMD3" s="4"/>
      <c r="LME3" s="4"/>
      <c r="LMF3" s="4"/>
      <c r="LMG3" s="4"/>
      <c r="LMH3" s="4"/>
      <c r="LMI3" s="4"/>
      <c r="LMJ3" s="4"/>
      <c r="LMK3" s="4"/>
      <c r="LML3" s="4"/>
      <c r="LMM3" s="4"/>
      <c r="LMN3" s="4"/>
      <c r="LMO3" s="4"/>
      <c r="LMP3" s="4"/>
      <c r="LMQ3" s="4"/>
      <c r="LMR3" s="4"/>
      <c r="LMS3" s="4"/>
      <c r="LMT3" s="4"/>
      <c r="LMU3" s="4"/>
      <c r="LMV3" s="4"/>
      <c r="LMW3" s="4"/>
      <c r="LMX3" s="4"/>
      <c r="LMY3" s="4"/>
      <c r="LMZ3" s="4"/>
      <c r="LNA3" s="4"/>
      <c r="LNB3" s="4"/>
      <c r="LNC3" s="4"/>
      <c r="LND3" s="4"/>
      <c r="LNE3" s="4"/>
      <c r="LNF3" s="4"/>
      <c r="LNG3" s="4"/>
      <c r="LNH3" s="4"/>
      <c r="LNI3" s="4"/>
      <c r="LNJ3" s="4"/>
      <c r="LNK3" s="4"/>
      <c r="LNL3" s="4"/>
      <c r="LNM3" s="4"/>
      <c r="LNN3" s="4"/>
      <c r="LNO3" s="4"/>
      <c r="LNP3" s="4"/>
      <c r="LNQ3" s="4"/>
      <c r="LNR3" s="4"/>
      <c r="LNS3" s="4"/>
      <c r="LNT3" s="4"/>
      <c r="LNU3" s="4"/>
      <c r="LNV3" s="4"/>
      <c r="LNW3" s="4"/>
      <c r="LNX3" s="4"/>
      <c r="LNY3" s="4"/>
      <c r="LNZ3" s="4"/>
      <c r="LOA3" s="4"/>
      <c r="LOB3" s="4"/>
      <c r="LOC3" s="4"/>
      <c r="LOD3" s="4"/>
      <c r="LOE3" s="4"/>
      <c r="LOF3" s="4"/>
      <c r="LOG3" s="4"/>
      <c r="LOH3" s="4"/>
      <c r="LOI3" s="4"/>
      <c r="LOJ3" s="4"/>
      <c r="LOK3" s="4"/>
      <c r="LOL3" s="4"/>
      <c r="LOM3" s="4"/>
      <c r="LON3" s="4"/>
      <c r="LOO3" s="4"/>
      <c r="LOP3" s="4"/>
      <c r="LOQ3" s="4"/>
      <c r="LOR3" s="4"/>
      <c r="LOS3" s="4"/>
      <c r="LOT3" s="4"/>
      <c r="LOU3" s="4"/>
      <c r="LOV3" s="4"/>
      <c r="LOW3" s="4"/>
      <c r="LOX3" s="4"/>
      <c r="LOY3" s="4"/>
      <c r="LOZ3" s="4"/>
      <c r="LPA3" s="4"/>
      <c r="LPB3" s="4"/>
      <c r="LPC3" s="4"/>
      <c r="LPD3" s="4"/>
      <c r="LPE3" s="4"/>
      <c r="LPF3" s="4"/>
      <c r="LPG3" s="4"/>
      <c r="LPH3" s="4"/>
      <c r="LPI3" s="4"/>
      <c r="LPJ3" s="4"/>
      <c r="LPK3" s="4"/>
      <c r="LPL3" s="4"/>
      <c r="LPM3" s="4"/>
      <c r="LPN3" s="4"/>
      <c r="LPO3" s="4"/>
      <c r="LPP3" s="4"/>
      <c r="LPQ3" s="4"/>
      <c r="LPR3" s="4"/>
      <c r="LPS3" s="4"/>
      <c r="LPT3" s="4"/>
      <c r="LPU3" s="4"/>
      <c r="LPV3" s="4"/>
      <c r="LPW3" s="4"/>
      <c r="LPX3" s="4"/>
      <c r="LPY3" s="4"/>
      <c r="LPZ3" s="4"/>
      <c r="LQA3" s="4"/>
      <c r="LQB3" s="4"/>
      <c r="LQC3" s="4"/>
      <c r="LQD3" s="4"/>
      <c r="LQE3" s="4"/>
      <c r="LQF3" s="4"/>
      <c r="LQG3" s="4"/>
      <c r="LQH3" s="4"/>
      <c r="LQI3" s="4"/>
      <c r="LQJ3" s="4"/>
      <c r="LQK3" s="4"/>
      <c r="LQL3" s="4"/>
      <c r="LQM3" s="4"/>
      <c r="LQN3" s="4"/>
      <c r="LQO3" s="4"/>
      <c r="LQP3" s="4"/>
      <c r="LQQ3" s="4"/>
      <c r="LQR3" s="4"/>
      <c r="LQS3" s="4"/>
      <c r="LQT3" s="4"/>
      <c r="LQU3" s="4"/>
      <c r="LQV3" s="4"/>
      <c r="LQW3" s="4"/>
      <c r="LQX3" s="4"/>
      <c r="LQY3" s="4"/>
      <c r="LQZ3" s="4"/>
      <c r="LRA3" s="4"/>
      <c r="LRB3" s="4"/>
      <c r="LRC3" s="4"/>
      <c r="LRD3" s="4"/>
      <c r="LRE3" s="4"/>
      <c r="LRF3" s="4"/>
      <c r="LRG3" s="4"/>
      <c r="LRH3" s="4"/>
      <c r="LRI3" s="4"/>
      <c r="LRJ3" s="4"/>
      <c r="LRK3" s="4"/>
      <c r="LRL3" s="4"/>
      <c r="LRM3" s="4"/>
      <c r="LRN3" s="4"/>
      <c r="LRO3" s="4"/>
      <c r="LRP3" s="4"/>
      <c r="LRQ3" s="4"/>
      <c r="LRR3" s="4"/>
      <c r="LRS3" s="4"/>
      <c r="LRT3" s="4"/>
      <c r="LRU3" s="4"/>
      <c r="LRV3" s="4"/>
      <c r="LRW3" s="4"/>
      <c r="LRX3" s="4"/>
      <c r="LRY3" s="4"/>
      <c r="LRZ3" s="4"/>
      <c r="LSA3" s="4"/>
      <c r="LSB3" s="4"/>
      <c r="LSC3" s="4"/>
      <c r="LSD3" s="4"/>
      <c r="LSE3" s="4"/>
      <c r="LSF3" s="4"/>
      <c r="LSG3" s="4"/>
      <c r="LSH3" s="4"/>
      <c r="LSI3" s="4"/>
      <c r="LSJ3" s="4"/>
      <c r="LSK3" s="4"/>
      <c r="LSL3" s="4"/>
      <c r="LSM3" s="4"/>
      <c r="LSN3" s="4"/>
      <c r="LSO3" s="4"/>
      <c r="LSP3" s="4"/>
      <c r="LSQ3" s="4"/>
      <c r="LSR3" s="4"/>
      <c r="LSS3" s="4"/>
      <c r="LST3" s="4"/>
      <c r="LSU3" s="4"/>
      <c r="LSV3" s="4"/>
      <c r="LSW3" s="4"/>
      <c r="LSX3" s="4"/>
      <c r="LSY3" s="4"/>
      <c r="LSZ3" s="4"/>
      <c r="LTA3" s="4"/>
      <c r="LTB3" s="4"/>
      <c r="LTC3" s="4"/>
      <c r="LTD3" s="4"/>
      <c r="LTE3" s="4"/>
      <c r="LTF3" s="4"/>
      <c r="LTG3" s="4"/>
      <c r="LTH3" s="4"/>
      <c r="LTI3" s="4"/>
      <c r="LTJ3" s="4"/>
      <c r="LTK3" s="4"/>
      <c r="LTL3" s="4"/>
      <c r="LTM3" s="4"/>
      <c r="LTN3" s="4"/>
      <c r="LTO3" s="4"/>
      <c r="LTP3" s="4"/>
      <c r="LTQ3" s="4"/>
      <c r="LTR3" s="4"/>
      <c r="LTS3" s="4"/>
      <c r="LTT3" s="4"/>
      <c r="LTU3" s="4"/>
      <c r="LTV3" s="4"/>
      <c r="LTW3" s="4"/>
      <c r="LTX3" s="4"/>
      <c r="LTY3" s="4"/>
      <c r="LTZ3" s="4"/>
      <c r="LUA3" s="4"/>
      <c r="LUB3" s="4"/>
      <c r="LUC3" s="4"/>
      <c r="LUD3" s="4"/>
      <c r="LUE3" s="4"/>
      <c r="LUF3" s="4"/>
      <c r="LUG3" s="4"/>
      <c r="LUH3" s="4"/>
      <c r="LUI3" s="4"/>
      <c r="LUJ3" s="4"/>
      <c r="LUK3" s="4"/>
      <c r="LUL3" s="4"/>
      <c r="LUM3" s="4"/>
      <c r="LUN3" s="4"/>
      <c r="LUO3" s="4"/>
      <c r="LUP3" s="4"/>
      <c r="LUQ3" s="4"/>
      <c r="LUR3" s="4"/>
      <c r="LUS3" s="4"/>
      <c r="LUT3" s="4"/>
      <c r="LUU3" s="4"/>
      <c r="LUV3" s="4"/>
      <c r="LUW3" s="4"/>
      <c r="LUX3" s="4"/>
      <c r="LUY3" s="4"/>
      <c r="LUZ3" s="4"/>
      <c r="LVA3" s="4"/>
      <c r="LVB3" s="4"/>
      <c r="LVC3" s="4"/>
      <c r="LVD3" s="4"/>
      <c r="LVE3" s="4"/>
      <c r="LVF3" s="4"/>
      <c r="LVG3" s="4"/>
      <c r="LVH3" s="4"/>
      <c r="LVI3" s="4"/>
      <c r="LVJ3" s="4"/>
      <c r="LVK3" s="4"/>
      <c r="LVL3" s="4"/>
      <c r="LVM3" s="4"/>
      <c r="LVN3" s="4"/>
      <c r="LVO3" s="4"/>
      <c r="LVP3" s="4"/>
      <c r="LVQ3" s="4"/>
      <c r="LVR3" s="4"/>
      <c r="LVS3" s="4"/>
      <c r="LVT3" s="4"/>
      <c r="LVU3" s="4"/>
      <c r="LVV3" s="4"/>
      <c r="LVW3" s="4"/>
      <c r="LVX3" s="4"/>
      <c r="LVY3" s="4"/>
      <c r="LVZ3" s="4"/>
      <c r="LWA3" s="4"/>
      <c r="LWB3" s="4"/>
      <c r="LWC3" s="4"/>
      <c r="LWD3" s="4"/>
      <c r="LWE3" s="4"/>
      <c r="LWF3" s="4"/>
      <c r="LWG3" s="4"/>
      <c r="LWH3" s="4"/>
      <c r="LWI3" s="4"/>
      <c r="LWJ3" s="4"/>
      <c r="LWK3" s="4"/>
      <c r="LWL3" s="4"/>
      <c r="LWM3" s="4"/>
      <c r="LWN3" s="4"/>
      <c r="LWO3" s="4"/>
      <c r="LWP3" s="4"/>
      <c r="LWQ3" s="4"/>
      <c r="LWR3" s="4"/>
      <c r="LWS3" s="4"/>
      <c r="LWT3" s="4"/>
      <c r="LWU3" s="4"/>
      <c r="LWV3" s="4"/>
      <c r="LWW3" s="4"/>
      <c r="LWX3" s="4"/>
      <c r="LWY3" s="4"/>
      <c r="LWZ3" s="4"/>
      <c r="LXA3" s="4"/>
      <c r="LXB3" s="4"/>
      <c r="LXC3" s="4"/>
      <c r="LXD3" s="4"/>
      <c r="LXE3" s="4"/>
      <c r="LXF3" s="4"/>
      <c r="LXG3" s="4"/>
      <c r="LXH3" s="4"/>
      <c r="LXI3" s="4"/>
      <c r="LXJ3" s="4"/>
      <c r="LXK3" s="4"/>
      <c r="LXL3" s="4"/>
      <c r="LXM3" s="4"/>
      <c r="LXN3" s="4"/>
      <c r="LXO3" s="4"/>
      <c r="LXP3" s="4"/>
      <c r="LXQ3" s="4"/>
      <c r="LXR3" s="4"/>
      <c r="LXS3" s="4"/>
      <c r="LXT3" s="4"/>
      <c r="LXU3" s="4"/>
      <c r="LXV3" s="4"/>
      <c r="LXW3" s="4"/>
      <c r="LXX3" s="4"/>
      <c r="LXY3" s="4"/>
      <c r="LXZ3" s="4"/>
      <c r="LYA3" s="4"/>
      <c r="LYB3" s="4"/>
      <c r="LYC3" s="4"/>
      <c r="LYD3" s="4"/>
      <c r="LYE3" s="4"/>
      <c r="LYF3" s="4"/>
      <c r="LYG3" s="4"/>
      <c r="LYH3" s="4"/>
      <c r="LYI3" s="4"/>
      <c r="LYJ3" s="4"/>
      <c r="LYK3" s="4"/>
      <c r="LYL3" s="4"/>
      <c r="LYM3" s="4"/>
      <c r="LYN3" s="4"/>
      <c r="LYO3" s="4"/>
      <c r="LYP3" s="4"/>
      <c r="LYQ3" s="4"/>
      <c r="LYR3" s="4"/>
      <c r="LYS3" s="4"/>
      <c r="LYT3" s="4"/>
      <c r="LYU3" s="4"/>
      <c r="LYV3" s="4"/>
      <c r="LYW3" s="4"/>
      <c r="LYX3" s="4"/>
      <c r="LYY3" s="4"/>
      <c r="LYZ3" s="4"/>
      <c r="LZA3" s="4"/>
      <c r="LZB3" s="4"/>
      <c r="LZC3" s="4"/>
      <c r="LZD3" s="4"/>
      <c r="LZE3" s="4"/>
      <c r="LZF3" s="4"/>
      <c r="LZG3" s="4"/>
      <c r="LZH3" s="4"/>
      <c r="LZI3" s="4"/>
      <c r="LZJ3" s="4"/>
      <c r="LZK3" s="4"/>
      <c r="LZL3" s="4"/>
      <c r="LZM3" s="4"/>
      <c r="LZN3" s="4"/>
      <c r="LZO3" s="4"/>
      <c r="LZP3" s="4"/>
      <c r="LZQ3" s="4"/>
      <c r="LZR3" s="4"/>
      <c r="LZS3" s="4"/>
      <c r="LZT3" s="4"/>
      <c r="LZU3" s="4"/>
      <c r="LZV3" s="4"/>
      <c r="LZW3" s="4"/>
      <c r="LZX3" s="4"/>
      <c r="LZY3" s="4"/>
      <c r="LZZ3" s="4"/>
      <c r="MAA3" s="4"/>
      <c r="MAB3" s="4"/>
      <c r="MAC3" s="4"/>
      <c r="MAD3" s="4"/>
      <c r="MAE3" s="4"/>
      <c r="MAF3" s="4"/>
      <c r="MAG3" s="4"/>
      <c r="MAH3" s="4"/>
      <c r="MAI3" s="4"/>
      <c r="MAJ3" s="4"/>
      <c r="MAK3" s="4"/>
      <c r="MAL3" s="4"/>
      <c r="MAM3" s="4"/>
      <c r="MAN3" s="4"/>
      <c r="MAO3" s="4"/>
      <c r="MAP3" s="4"/>
      <c r="MAQ3" s="4"/>
      <c r="MAR3" s="4"/>
      <c r="MAS3" s="4"/>
      <c r="MAT3" s="4"/>
      <c r="MAU3" s="4"/>
      <c r="MAV3" s="4"/>
      <c r="MAW3" s="4"/>
      <c r="MAX3" s="4"/>
      <c r="MAY3" s="4"/>
      <c r="MAZ3" s="4"/>
      <c r="MBA3" s="4"/>
      <c r="MBB3" s="4"/>
      <c r="MBC3" s="4"/>
      <c r="MBD3" s="4"/>
      <c r="MBE3" s="4"/>
      <c r="MBF3" s="4"/>
      <c r="MBG3" s="4"/>
      <c r="MBH3" s="4"/>
      <c r="MBI3" s="4"/>
      <c r="MBJ3" s="4"/>
      <c r="MBK3" s="4"/>
      <c r="MBL3" s="4"/>
      <c r="MBM3" s="4"/>
      <c r="MBN3" s="4"/>
      <c r="MBO3" s="4"/>
      <c r="MBP3" s="4"/>
      <c r="MBQ3" s="4"/>
      <c r="MBR3" s="4"/>
      <c r="MBS3" s="4"/>
      <c r="MBT3" s="4"/>
      <c r="MBU3" s="4"/>
      <c r="MBV3" s="4"/>
      <c r="MBW3" s="4"/>
      <c r="MBX3" s="4"/>
      <c r="MBY3" s="4"/>
      <c r="MBZ3" s="4"/>
      <c r="MCA3" s="4"/>
      <c r="MCB3" s="4"/>
      <c r="MCC3" s="4"/>
      <c r="MCD3" s="4"/>
      <c r="MCE3" s="4"/>
      <c r="MCF3" s="4"/>
      <c r="MCG3" s="4"/>
      <c r="MCH3" s="4"/>
      <c r="MCI3" s="4"/>
      <c r="MCJ3" s="4"/>
      <c r="MCK3" s="4"/>
      <c r="MCL3" s="4"/>
      <c r="MCM3" s="4"/>
      <c r="MCN3" s="4"/>
      <c r="MCO3" s="4"/>
      <c r="MCP3" s="4"/>
      <c r="MCQ3" s="4"/>
      <c r="MCR3" s="4"/>
      <c r="MCS3" s="4"/>
      <c r="MCT3" s="4"/>
      <c r="MCU3" s="4"/>
      <c r="MCV3" s="4"/>
      <c r="MCW3" s="4"/>
      <c r="MCX3" s="4"/>
      <c r="MCY3" s="4"/>
      <c r="MCZ3" s="4"/>
      <c r="MDA3" s="4"/>
      <c r="MDB3" s="4"/>
      <c r="MDC3" s="4"/>
      <c r="MDD3" s="4"/>
      <c r="MDE3" s="4"/>
      <c r="MDF3" s="4"/>
      <c r="MDG3" s="4"/>
      <c r="MDH3" s="4"/>
      <c r="MDI3" s="4"/>
      <c r="MDJ3" s="4"/>
      <c r="MDK3" s="4"/>
      <c r="MDL3" s="4"/>
      <c r="MDM3" s="4"/>
      <c r="MDN3" s="4"/>
      <c r="MDO3" s="4"/>
      <c r="MDP3" s="4"/>
      <c r="MDQ3" s="4"/>
      <c r="MDR3" s="4"/>
      <c r="MDS3" s="4"/>
      <c r="MDT3" s="4"/>
      <c r="MDU3" s="4"/>
      <c r="MDV3" s="4"/>
      <c r="MDW3" s="4"/>
      <c r="MDX3" s="4"/>
      <c r="MDY3" s="4"/>
      <c r="MDZ3" s="4"/>
      <c r="MEA3" s="4"/>
      <c r="MEB3" s="4"/>
      <c r="MEC3" s="4"/>
      <c r="MED3" s="4"/>
      <c r="MEE3" s="4"/>
      <c r="MEF3" s="4"/>
      <c r="MEG3" s="4"/>
      <c r="MEH3" s="4"/>
      <c r="MEI3" s="4"/>
      <c r="MEJ3" s="4"/>
      <c r="MEK3" s="4"/>
      <c r="MEL3" s="4"/>
      <c r="MEM3" s="4"/>
      <c r="MEN3" s="4"/>
      <c r="MEO3" s="4"/>
      <c r="MEP3" s="4"/>
      <c r="MEQ3" s="4"/>
      <c r="MER3" s="4"/>
      <c r="MES3" s="4"/>
      <c r="MET3" s="4"/>
      <c r="MEU3" s="4"/>
      <c r="MEV3" s="4"/>
      <c r="MEW3" s="4"/>
      <c r="MEX3" s="4"/>
      <c r="MEY3" s="4"/>
      <c r="MEZ3" s="4"/>
      <c r="MFA3" s="4"/>
      <c r="MFB3" s="4"/>
      <c r="MFC3" s="4"/>
      <c r="MFD3" s="4"/>
      <c r="MFE3" s="4"/>
      <c r="MFF3" s="4"/>
      <c r="MFG3" s="4"/>
      <c r="MFH3" s="4"/>
      <c r="MFI3" s="4"/>
      <c r="MFJ3" s="4"/>
      <c r="MFK3" s="4"/>
      <c r="MFL3" s="4"/>
      <c r="MFM3" s="4"/>
      <c r="MFN3" s="4"/>
      <c r="MFO3" s="4"/>
      <c r="MFP3" s="4"/>
      <c r="MFQ3" s="4"/>
      <c r="MFR3" s="4"/>
      <c r="MFS3" s="4"/>
      <c r="MFT3" s="4"/>
      <c r="MFU3" s="4"/>
      <c r="MFV3" s="4"/>
      <c r="MFW3" s="4"/>
      <c r="MFX3" s="4"/>
      <c r="MFY3" s="4"/>
      <c r="MFZ3" s="4"/>
      <c r="MGA3" s="4"/>
      <c r="MGB3" s="4"/>
      <c r="MGC3" s="4"/>
      <c r="MGD3" s="4"/>
      <c r="MGE3" s="4"/>
      <c r="MGF3" s="4"/>
      <c r="MGG3" s="4"/>
      <c r="MGH3" s="4"/>
      <c r="MGI3" s="4"/>
      <c r="MGJ3" s="4"/>
      <c r="MGK3" s="4"/>
      <c r="MGL3" s="4"/>
      <c r="MGM3" s="4"/>
      <c r="MGN3" s="4"/>
      <c r="MGO3" s="4"/>
      <c r="MGP3" s="4"/>
      <c r="MGQ3" s="4"/>
      <c r="MGR3" s="4"/>
      <c r="MGS3" s="4"/>
      <c r="MGT3" s="4"/>
      <c r="MGU3" s="4"/>
      <c r="MGV3" s="4"/>
      <c r="MGW3" s="4"/>
      <c r="MGX3" s="4"/>
      <c r="MGY3" s="4"/>
      <c r="MGZ3" s="4"/>
      <c r="MHA3" s="4"/>
      <c r="MHB3" s="4"/>
      <c r="MHC3" s="4"/>
      <c r="MHD3" s="4"/>
      <c r="MHE3" s="4"/>
      <c r="MHF3" s="4"/>
      <c r="MHG3" s="4"/>
      <c r="MHH3" s="4"/>
      <c r="MHI3" s="4"/>
      <c r="MHJ3" s="4"/>
      <c r="MHK3" s="4"/>
      <c r="MHL3" s="4"/>
      <c r="MHM3" s="4"/>
      <c r="MHN3" s="4"/>
      <c r="MHO3" s="4"/>
      <c r="MHP3" s="4"/>
      <c r="MHQ3" s="4"/>
      <c r="MHR3" s="4"/>
      <c r="MHS3" s="4"/>
      <c r="MHT3" s="4"/>
      <c r="MHU3" s="4"/>
      <c r="MHV3" s="4"/>
      <c r="MHW3" s="4"/>
      <c r="MHX3" s="4"/>
      <c r="MHY3" s="4"/>
      <c r="MHZ3" s="4"/>
      <c r="MIA3" s="4"/>
      <c r="MIB3" s="4"/>
      <c r="MIC3" s="4"/>
      <c r="MID3" s="4"/>
      <c r="MIE3" s="4"/>
      <c r="MIF3" s="4"/>
      <c r="MIG3" s="4"/>
      <c r="MIH3" s="4"/>
      <c r="MII3" s="4"/>
      <c r="MIJ3" s="4"/>
      <c r="MIK3" s="4"/>
      <c r="MIL3" s="4"/>
      <c r="MIM3" s="4"/>
      <c r="MIN3" s="4"/>
      <c r="MIO3" s="4"/>
      <c r="MIP3" s="4"/>
      <c r="MIQ3" s="4"/>
      <c r="MIR3" s="4"/>
      <c r="MIS3" s="4"/>
      <c r="MIT3" s="4"/>
      <c r="MIU3" s="4"/>
      <c r="MIV3" s="4"/>
      <c r="MIW3" s="4"/>
      <c r="MIX3" s="4"/>
      <c r="MIY3" s="4"/>
      <c r="MIZ3" s="4"/>
      <c r="MJA3" s="4"/>
      <c r="MJB3" s="4"/>
      <c r="MJC3" s="4"/>
      <c r="MJD3" s="4"/>
      <c r="MJE3" s="4"/>
      <c r="MJF3" s="4"/>
      <c r="MJG3" s="4"/>
      <c r="MJH3" s="4"/>
      <c r="MJI3" s="4"/>
      <c r="MJJ3" s="4"/>
      <c r="MJK3" s="4"/>
      <c r="MJL3" s="4"/>
      <c r="MJM3" s="4"/>
      <c r="MJN3" s="4"/>
      <c r="MJO3" s="4"/>
      <c r="MJP3" s="4"/>
      <c r="MJQ3" s="4"/>
      <c r="MJR3" s="4"/>
      <c r="MJS3" s="4"/>
      <c r="MJT3" s="4"/>
      <c r="MJU3" s="4"/>
      <c r="MJV3" s="4"/>
      <c r="MJW3" s="4"/>
      <c r="MJX3" s="4"/>
      <c r="MJY3" s="4"/>
      <c r="MJZ3" s="4"/>
      <c r="MKA3" s="4"/>
      <c r="MKB3" s="4"/>
      <c r="MKC3" s="4"/>
      <c r="MKD3" s="4"/>
      <c r="MKE3" s="4"/>
      <c r="MKF3" s="4"/>
      <c r="MKG3" s="4"/>
      <c r="MKH3" s="4"/>
      <c r="MKI3" s="4"/>
      <c r="MKJ3" s="4"/>
      <c r="MKK3" s="4"/>
      <c r="MKL3" s="4"/>
      <c r="MKM3" s="4"/>
      <c r="MKN3" s="4"/>
      <c r="MKO3" s="4"/>
      <c r="MKP3" s="4"/>
      <c r="MKQ3" s="4"/>
      <c r="MKR3" s="4"/>
      <c r="MKS3" s="4"/>
      <c r="MKT3" s="4"/>
      <c r="MKU3" s="4"/>
      <c r="MKV3" s="4"/>
      <c r="MKW3" s="4"/>
      <c r="MKX3" s="4"/>
      <c r="MKY3" s="4"/>
      <c r="MKZ3" s="4"/>
      <c r="MLA3" s="4"/>
      <c r="MLB3" s="4"/>
      <c r="MLC3" s="4"/>
      <c r="MLD3" s="4"/>
      <c r="MLE3" s="4"/>
      <c r="MLF3" s="4"/>
      <c r="MLG3" s="4"/>
      <c r="MLH3" s="4"/>
      <c r="MLI3" s="4"/>
      <c r="MLJ3" s="4"/>
      <c r="MLK3" s="4"/>
      <c r="MLL3" s="4"/>
      <c r="MLM3" s="4"/>
      <c r="MLN3" s="4"/>
      <c r="MLO3" s="4"/>
      <c r="MLP3" s="4"/>
      <c r="MLQ3" s="4"/>
      <c r="MLR3" s="4"/>
      <c r="MLS3" s="4"/>
      <c r="MLT3" s="4"/>
      <c r="MLU3" s="4"/>
      <c r="MLV3" s="4"/>
      <c r="MLW3" s="4"/>
      <c r="MLX3" s="4"/>
      <c r="MLY3" s="4"/>
      <c r="MLZ3" s="4"/>
      <c r="MMA3" s="4"/>
      <c r="MMB3" s="4"/>
      <c r="MMC3" s="4"/>
      <c r="MMD3" s="4"/>
      <c r="MME3" s="4"/>
      <c r="MMF3" s="4"/>
      <c r="MMG3" s="4"/>
      <c r="MMH3" s="4"/>
      <c r="MMI3" s="4"/>
      <c r="MMJ3" s="4"/>
      <c r="MMK3" s="4"/>
      <c r="MML3" s="4"/>
      <c r="MMM3" s="4"/>
      <c r="MMN3" s="4"/>
      <c r="MMO3" s="4"/>
      <c r="MMP3" s="4"/>
      <c r="MMQ3" s="4"/>
      <c r="MMR3" s="4"/>
      <c r="MMS3" s="4"/>
      <c r="MMT3" s="4"/>
      <c r="MMU3" s="4"/>
      <c r="MMV3" s="4"/>
      <c r="MMW3" s="4"/>
      <c r="MMX3" s="4"/>
      <c r="MMY3" s="4"/>
      <c r="MMZ3" s="4"/>
      <c r="MNA3" s="4"/>
      <c r="MNB3" s="4"/>
      <c r="MNC3" s="4"/>
      <c r="MND3" s="4"/>
      <c r="MNE3" s="4"/>
      <c r="MNF3" s="4"/>
      <c r="MNG3" s="4"/>
      <c r="MNH3" s="4"/>
      <c r="MNI3" s="4"/>
      <c r="MNJ3" s="4"/>
      <c r="MNK3" s="4"/>
      <c r="MNL3" s="4"/>
      <c r="MNM3" s="4"/>
      <c r="MNN3" s="4"/>
      <c r="MNO3" s="4"/>
      <c r="MNP3" s="4"/>
      <c r="MNQ3" s="4"/>
      <c r="MNR3" s="4"/>
      <c r="MNS3" s="4"/>
      <c r="MNT3" s="4"/>
      <c r="MNU3" s="4"/>
      <c r="MNV3" s="4"/>
      <c r="MNW3" s="4"/>
      <c r="MNX3" s="4"/>
      <c r="MNY3" s="4"/>
      <c r="MNZ3" s="4"/>
      <c r="MOA3" s="4"/>
      <c r="MOB3" s="4"/>
      <c r="MOC3" s="4"/>
      <c r="MOD3" s="4"/>
      <c r="MOE3" s="4"/>
      <c r="MOF3" s="4"/>
      <c r="MOG3" s="4"/>
      <c r="MOH3" s="4"/>
      <c r="MOI3" s="4"/>
      <c r="MOJ3" s="4"/>
      <c r="MOK3" s="4"/>
      <c r="MOL3" s="4"/>
      <c r="MOM3" s="4"/>
      <c r="MON3" s="4"/>
      <c r="MOO3" s="4"/>
      <c r="MOP3" s="4"/>
      <c r="MOQ3" s="4"/>
      <c r="MOR3" s="4"/>
      <c r="MOS3" s="4"/>
      <c r="MOT3" s="4"/>
      <c r="MOU3" s="4"/>
      <c r="MOV3" s="4"/>
      <c r="MOW3" s="4"/>
      <c r="MOX3" s="4"/>
      <c r="MOY3" s="4"/>
      <c r="MOZ3" s="4"/>
      <c r="MPA3" s="4"/>
      <c r="MPB3" s="4"/>
      <c r="MPC3" s="4"/>
      <c r="MPD3" s="4"/>
      <c r="MPE3" s="4"/>
      <c r="MPF3" s="4"/>
      <c r="MPG3" s="4"/>
      <c r="MPH3" s="4"/>
      <c r="MPI3" s="4"/>
      <c r="MPJ3" s="4"/>
      <c r="MPK3" s="4"/>
      <c r="MPL3" s="4"/>
      <c r="MPM3" s="4"/>
      <c r="MPN3" s="4"/>
      <c r="MPO3" s="4"/>
      <c r="MPP3" s="4"/>
      <c r="MPQ3" s="4"/>
      <c r="MPR3" s="4"/>
      <c r="MPS3" s="4"/>
      <c r="MPT3" s="4"/>
      <c r="MPU3" s="4"/>
      <c r="MPV3" s="4"/>
      <c r="MPW3" s="4"/>
      <c r="MPX3" s="4"/>
      <c r="MPY3" s="4"/>
      <c r="MPZ3" s="4"/>
      <c r="MQA3" s="4"/>
      <c r="MQB3" s="4"/>
      <c r="MQC3" s="4"/>
      <c r="MQD3" s="4"/>
      <c r="MQE3" s="4"/>
      <c r="MQF3" s="4"/>
      <c r="MQG3" s="4"/>
      <c r="MQH3" s="4"/>
      <c r="MQI3" s="4"/>
      <c r="MQJ3" s="4"/>
      <c r="MQK3" s="4"/>
      <c r="MQL3" s="4"/>
      <c r="MQM3" s="4"/>
      <c r="MQN3" s="4"/>
      <c r="MQO3" s="4"/>
      <c r="MQP3" s="4"/>
      <c r="MQQ3" s="4"/>
      <c r="MQR3" s="4"/>
      <c r="MQS3" s="4"/>
      <c r="MQT3" s="4"/>
      <c r="MQU3" s="4"/>
      <c r="MQV3" s="4"/>
      <c r="MQW3" s="4"/>
      <c r="MQX3" s="4"/>
      <c r="MQY3" s="4"/>
      <c r="MQZ3" s="4"/>
      <c r="MRA3" s="4"/>
      <c r="MRB3" s="4"/>
      <c r="MRC3" s="4"/>
      <c r="MRD3" s="4"/>
      <c r="MRE3" s="4"/>
      <c r="MRF3" s="4"/>
      <c r="MRG3" s="4"/>
      <c r="MRH3" s="4"/>
      <c r="MRI3" s="4"/>
      <c r="MRJ3" s="4"/>
      <c r="MRK3" s="4"/>
      <c r="MRL3" s="4"/>
      <c r="MRM3" s="4"/>
      <c r="MRN3" s="4"/>
      <c r="MRO3" s="4"/>
      <c r="MRP3" s="4"/>
      <c r="MRQ3" s="4"/>
      <c r="MRR3" s="4"/>
      <c r="MRS3" s="4"/>
      <c r="MRT3" s="4"/>
      <c r="MRU3" s="4"/>
      <c r="MRV3" s="4"/>
      <c r="MRW3" s="4"/>
      <c r="MRX3" s="4"/>
      <c r="MRY3" s="4"/>
      <c r="MRZ3" s="4"/>
      <c r="MSA3" s="4"/>
      <c r="MSB3" s="4"/>
      <c r="MSC3" s="4"/>
      <c r="MSD3" s="4"/>
      <c r="MSE3" s="4"/>
      <c r="MSF3" s="4"/>
      <c r="MSG3" s="4"/>
      <c r="MSH3" s="4"/>
      <c r="MSI3" s="4"/>
      <c r="MSJ3" s="4"/>
      <c r="MSK3" s="4"/>
      <c r="MSL3" s="4"/>
      <c r="MSM3" s="4"/>
      <c r="MSN3" s="4"/>
      <c r="MSO3" s="4"/>
      <c r="MSP3" s="4"/>
      <c r="MSQ3" s="4"/>
      <c r="MSR3" s="4"/>
      <c r="MSS3" s="4"/>
      <c r="MST3" s="4"/>
      <c r="MSU3" s="4"/>
      <c r="MSV3" s="4"/>
      <c r="MSW3" s="4"/>
      <c r="MSX3" s="4"/>
      <c r="MSY3" s="4"/>
      <c r="MSZ3" s="4"/>
      <c r="MTA3" s="4"/>
      <c r="MTB3" s="4"/>
      <c r="MTC3" s="4"/>
      <c r="MTD3" s="4"/>
      <c r="MTE3" s="4"/>
      <c r="MTF3" s="4"/>
      <c r="MTG3" s="4"/>
      <c r="MTH3" s="4"/>
      <c r="MTI3" s="4"/>
      <c r="MTJ3" s="4"/>
      <c r="MTK3" s="4"/>
      <c r="MTL3" s="4"/>
      <c r="MTM3" s="4"/>
      <c r="MTN3" s="4"/>
      <c r="MTO3" s="4"/>
      <c r="MTP3" s="4"/>
      <c r="MTQ3" s="4"/>
      <c r="MTR3" s="4"/>
      <c r="MTS3" s="4"/>
      <c r="MTT3" s="4"/>
      <c r="MTU3" s="4"/>
      <c r="MTV3" s="4"/>
      <c r="MTW3" s="4"/>
      <c r="MTX3" s="4"/>
      <c r="MTY3" s="4"/>
      <c r="MTZ3" s="4"/>
      <c r="MUA3" s="4"/>
      <c r="MUB3" s="4"/>
      <c r="MUC3" s="4"/>
      <c r="MUD3" s="4"/>
      <c r="MUE3" s="4"/>
      <c r="MUF3" s="4"/>
      <c r="MUG3" s="4"/>
      <c r="MUH3" s="4"/>
      <c r="MUI3" s="4"/>
      <c r="MUJ3" s="4"/>
      <c r="MUK3" s="4"/>
      <c r="MUL3" s="4"/>
      <c r="MUM3" s="4"/>
      <c r="MUN3" s="4"/>
      <c r="MUO3" s="4"/>
      <c r="MUP3" s="4"/>
      <c r="MUQ3" s="4"/>
      <c r="MUR3" s="4"/>
      <c r="MUS3" s="4"/>
      <c r="MUT3" s="4"/>
      <c r="MUU3" s="4"/>
      <c r="MUV3" s="4"/>
      <c r="MUW3" s="4"/>
      <c r="MUX3" s="4"/>
      <c r="MUY3" s="4"/>
      <c r="MUZ3" s="4"/>
      <c r="MVA3" s="4"/>
      <c r="MVB3" s="4"/>
      <c r="MVC3" s="4"/>
      <c r="MVD3" s="4"/>
      <c r="MVE3" s="4"/>
      <c r="MVF3" s="4"/>
      <c r="MVG3" s="4"/>
      <c r="MVH3" s="4"/>
      <c r="MVI3" s="4"/>
      <c r="MVJ3" s="4"/>
      <c r="MVK3" s="4"/>
      <c r="MVL3" s="4"/>
      <c r="MVM3" s="4"/>
      <c r="MVN3" s="4"/>
      <c r="MVO3" s="4"/>
      <c r="MVP3" s="4"/>
      <c r="MVQ3" s="4"/>
      <c r="MVR3" s="4"/>
      <c r="MVS3" s="4"/>
      <c r="MVT3" s="4"/>
      <c r="MVU3" s="4"/>
      <c r="MVV3" s="4"/>
      <c r="MVW3" s="4"/>
      <c r="MVX3" s="4"/>
      <c r="MVY3" s="4"/>
      <c r="MVZ3" s="4"/>
      <c r="MWA3" s="4"/>
      <c r="MWB3" s="4"/>
      <c r="MWC3" s="4"/>
      <c r="MWD3" s="4"/>
      <c r="MWE3" s="4"/>
      <c r="MWF3" s="4"/>
      <c r="MWG3" s="4"/>
      <c r="MWH3" s="4"/>
      <c r="MWI3" s="4"/>
      <c r="MWJ3" s="4"/>
      <c r="MWK3" s="4"/>
      <c r="MWL3" s="4"/>
      <c r="MWM3" s="4"/>
      <c r="MWN3" s="4"/>
      <c r="MWO3" s="4"/>
      <c r="MWP3" s="4"/>
      <c r="MWQ3" s="4"/>
      <c r="MWR3" s="4"/>
      <c r="MWS3" s="4"/>
      <c r="MWT3" s="4"/>
      <c r="MWU3" s="4"/>
      <c r="MWV3" s="4"/>
      <c r="MWW3" s="4"/>
      <c r="MWX3" s="4"/>
      <c r="MWY3" s="4"/>
      <c r="MWZ3" s="4"/>
      <c r="MXA3" s="4"/>
      <c r="MXB3" s="4"/>
      <c r="MXC3" s="4"/>
      <c r="MXD3" s="4"/>
      <c r="MXE3" s="4"/>
      <c r="MXF3" s="4"/>
      <c r="MXG3" s="4"/>
      <c r="MXH3" s="4"/>
      <c r="MXI3" s="4"/>
      <c r="MXJ3" s="4"/>
      <c r="MXK3" s="4"/>
      <c r="MXL3" s="4"/>
      <c r="MXM3" s="4"/>
      <c r="MXN3" s="4"/>
      <c r="MXO3" s="4"/>
      <c r="MXP3" s="4"/>
      <c r="MXQ3" s="4"/>
      <c r="MXR3" s="4"/>
      <c r="MXS3" s="4"/>
      <c r="MXT3" s="4"/>
      <c r="MXU3" s="4"/>
      <c r="MXV3" s="4"/>
      <c r="MXW3" s="4"/>
      <c r="MXX3" s="4"/>
      <c r="MXY3" s="4"/>
      <c r="MXZ3" s="4"/>
      <c r="MYA3" s="4"/>
      <c r="MYB3" s="4"/>
      <c r="MYC3" s="4"/>
      <c r="MYD3" s="4"/>
      <c r="MYE3" s="4"/>
      <c r="MYF3" s="4"/>
      <c r="MYG3" s="4"/>
      <c r="MYH3" s="4"/>
      <c r="MYI3" s="4"/>
      <c r="MYJ3" s="4"/>
      <c r="MYK3" s="4"/>
      <c r="MYL3" s="4"/>
      <c r="MYM3" s="4"/>
      <c r="MYN3" s="4"/>
      <c r="MYO3" s="4"/>
      <c r="MYP3" s="4"/>
      <c r="MYQ3" s="4"/>
      <c r="MYR3" s="4"/>
      <c r="MYS3" s="4"/>
      <c r="MYT3" s="4"/>
      <c r="MYU3" s="4"/>
      <c r="MYV3" s="4"/>
      <c r="MYW3" s="4"/>
      <c r="MYX3" s="4"/>
      <c r="MYY3" s="4"/>
      <c r="MYZ3" s="4"/>
      <c r="MZA3" s="4"/>
      <c r="MZB3" s="4"/>
      <c r="MZC3" s="4"/>
      <c r="MZD3" s="4"/>
      <c r="MZE3" s="4"/>
      <c r="MZF3" s="4"/>
      <c r="MZG3" s="4"/>
      <c r="MZH3" s="4"/>
      <c r="MZI3" s="4"/>
      <c r="MZJ3" s="4"/>
      <c r="MZK3" s="4"/>
      <c r="MZL3" s="4"/>
      <c r="MZM3" s="4"/>
      <c r="MZN3" s="4"/>
      <c r="MZO3" s="4"/>
      <c r="MZP3" s="4"/>
      <c r="MZQ3" s="4"/>
      <c r="MZR3" s="4"/>
      <c r="MZS3" s="4"/>
      <c r="MZT3" s="4"/>
      <c r="MZU3" s="4"/>
      <c r="MZV3" s="4"/>
      <c r="MZW3" s="4"/>
      <c r="MZX3" s="4"/>
      <c r="MZY3" s="4"/>
      <c r="MZZ3" s="4"/>
      <c r="NAA3" s="4"/>
      <c r="NAB3" s="4"/>
      <c r="NAC3" s="4"/>
      <c r="NAD3" s="4"/>
      <c r="NAE3" s="4"/>
      <c r="NAF3" s="4"/>
      <c r="NAG3" s="4"/>
      <c r="NAH3" s="4"/>
      <c r="NAI3" s="4"/>
      <c r="NAJ3" s="4"/>
      <c r="NAK3" s="4"/>
      <c r="NAL3" s="4"/>
      <c r="NAM3" s="4"/>
      <c r="NAN3" s="4"/>
      <c r="NAO3" s="4"/>
      <c r="NAP3" s="4"/>
      <c r="NAQ3" s="4"/>
      <c r="NAR3" s="4"/>
      <c r="NAS3" s="4"/>
      <c r="NAT3" s="4"/>
      <c r="NAU3" s="4"/>
      <c r="NAV3" s="4"/>
      <c r="NAW3" s="4"/>
      <c r="NAX3" s="4"/>
      <c r="NAY3" s="4"/>
      <c r="NAZ3" s="4"/>
      <c r="NBA3" s="4"/>
      <c r="NBB3" s="4"/>
      <c r="NBC3" s="4"/>
      <c r="NBD3" s="4"/>
      <c r="NBE3" s="4"/>
      <c r="NBF3" s="4"/>
      <c r="NBG3" s="4"/>
      <c r="NBH3" s="4"/>
      <c r="NBI3" s="4"/>
      <c r="NBJ3" s="4"/>
      <c r="NBK3" s="4"/>
      <c r="NBL3" s="4"/>
      <c r="NBM3" s="4"/>
      <c r="NBN3" s="4"/>
      <c r="NBO3" s="4"/>
      <c r="NBP3" s="4"/>
      <c r="NBQ3" s="4"/>
      <c r="NBR3" s="4"/>
      <c r="NBS3" s="4"/>
      <c r="NBT3" s="4"/>
      <c r="NBU3" s="4"/>
      <c r="NBV3" s="4"/>
      <c r="NBW3" s="4"/>
      <c r="NBX3" s="4"/>
      <c r="NBY3" s="4"/>
      <c r="NBZ3" s="4"/>
      <c r="NCA3" s="4"/>
      <c r="NCB3" s="4"/>
      <c r="NCC3" s="4"/>
      <c r="NCD3" s="4"/>
      <c r="NCE3" s="4"/>
      <c r="NCF3" s="4"/>
      <c r="NCG3" s="4"/>
      <c r="NCH3" s="4"/>
      <c r="NCI3" s="4"/>
      <c r="NCJ3" s="4"/>
      <c r="NCK3" s="4"/>
      <c r="NCL3" s="4"/>
      <c r="NCM3" s="4"/>
      <c r="NCN3" s="4"/>
      <c r="NCO3" s="4"/>
      <c r="NCP3" s="4"/>
      <c r="NCQ3" s="4"/>
      <c r="NCR3" s="4"/>
      <c r="NCS3" s="4"/>
      <c r="NCT3" s="4"/>
      <c r="NCU3" s="4"/>
      <c r="NCV3" s="4"/>
      <c r="NCW3" s="4"/>
      <c r="NCX3" s="4"/>
      <c r="NCY3" s="4"/>
      <c r="NCZ3" s="4"/>
      <c r="NDA3" s="4"/>
      <c r="NDB3" s="4"/>
      <c r="NDC3" s="4"/>
      <c r="NDD3" s="4"/>
      <c r="NDE3" s="4"/>
      <c r="NDF3" s="4"/>
      <c r="NDG3" s="4"/>
      <c r="NDH3" s="4"/>
      <c r="NDI3" s="4"/>
      <c r="NDJ3" s="4"/>
      <c r="NDK3" s="4"/>
      <c r="NDL3" s="4"/>
      <c r="NDM3" s="4"/>
      <c r="NDN3" s="4"/>
      <c r="NDO3" s="4"/>
      <c r="NDP3" s="4"/>
      <c r="NDQ3" s="4"/>
      <c r="NDR3" s="4"/>
      <c r="NDS3" s="4"/>
      <c r="NDT3" s="4"/>
      <c r="NDU3" s="4"/>
      <c r="NDV3" s="4"/>
      <c r="NDW3" s="4"/>
      <c r="NDX3" s="4"/>
      <c r="NDY3" s="4"/>
      <c r="NDZ3" s="4"/>
      <c r="NEA3" s="4"/>
      <c r="NEB3" s="4"/>
      <c r="NEC3" s="4"/>
      <c r="NED3" s="4"/>
      <c r="NEE3" s="4"/>
      <c r="NEF3" s="4"/>
      <c r="NEG3" s="4"/>
      <c r="NEH3" s="4"/>
      <c r="NEI3" s="4"/>
      <c r="NEJ3" s="4"/>
      <c r="NEK3" s="4"/>
      <c r="NEL3" s="4"/>
      <c r="NEM3" s="4"/>
      <c r="NEN3" s="4"/>
      <c r="NEO3" s="4"/>
      <c r="NEP3" s="4"/>
      <c r="NEQ3" s="4"/>
      <c r="NER3" s="4"/>
      <c r="NES3" s="4"/>
      <c r="NET3" s="4"/>
      <c r="NEU3" s="4"/>
      <c r="NEV3" s="4"/>
      <c r="NEW3" s="4"/>
      <c r="NEX3" s="4"/>
      <c r="NEY3" s="4"/>
      <c r="NEZ3" s="4"/>
      <c r="NFA3" s="4"/>
      <c r="NFB3" s="4"/>
      <c r="NFC3" s="4"/>
      <c r="NFD3" s="4"/>
      <c r="NFE3" s="4"/>
      <c r="NFF3" s="4"/>
      <c r="NFG3" s="4"/>
      <c r="NFH3" s="4"/>
      <c r="NFI3" s="4"/>
      <c r="NFJ3" s="4"/>
      <c r="NFK3" s="4"/>
      <c r="NFL3" s="4"/>
      <c r="NFM3" s="4"/>
      <c r="NFN3" s="4"/>
      <c r="NFO3" s="4"/>
      <c r="NFP3" s="4"/>
      <c r="NFQ3" s="4"/>
      <c r="NFR3" s="4"/>
      <c r="NFS3" s="4"/>
      <c r="NFT3" s="4"/>
      <c r="NFU3" s="4"/>
      <c r="NFV3" s="4"/>
      <c r="NFW3" s="4"/>
      <c r="NFX3" s="4"/>
      <c r="NFY3" s="4"/>
      <c r="NFZ3" s="4"/>
      <c r="NGA3" s="4"/>
      <c r="NGB3" s="4"/>
      <c r="NGC3" s="4"/>
      <c r="NGD3" s="4"/>
      <c r="NGE3" s="4"/>
      <c r="NGF3" s="4"/>
      <c r="NGG3" s="4"/>
      <c r="NGH3" s="4"/>
      <c r="NGI3" s="4"/>
      <c r="NGJ3" s="4"/>
      <c r="NGK3" s="4"/>
      <c r="NGL3" s="4"/>
      <c r="NGM3" s="4"/>
      <c r="NGN3" s="4"/>
      <c r="NGO3" s="4"/>
      <c r="NGP3" s="4"/>
      <c r="NGQ3" s="4"/>
      <c r="NGR3" s="4"/>
      <c r="NGS3" s="4"/>
      <c r="NGT3" s="4"/>
      <c r="NGU3" s="4"/>
      <c r="NGV3" s="4"/>
      <c r="NGW3" s="4"/>
      <c r="NGX3" s="4"/>
      <c r="NGY3" s="4"/>
      <c r="NGZ3" s="4"/>
      <c r="NHA3" s="4"/>
      <c r="NHB3" s="4"/>
      <c r="NHC3" s="4"/>
      <c r="NHD3" s="4"/>
      <c r="NHE3" s="4"/>
      <c r="NHF3" s="4"/>
      <c r="NHG3" s="4"/>
      <c r="NHH3" s="4"/>
      <c r="NHI3" s="4"/>
      <c r="NHJ3" s="4"/>
      <c r="NHK3" s="4"/>
      <c r="NHL3" s="4"/>
      <c r="NHM3" s="4"/>
      <c r="NHN3" s="4"/>
      <c r="NHO3" s="4"/>
      <c r="NHP3" s="4"/>
      <c r="NHQ3" s="4"/>
      <c r="NHR3" s="4"/>
      <c r="NHS3" s="4"/>
      <c r="NHT3" s="4"/>
      <c r="NHU3" s="4"/>
      <c r="NHV3" s="4"/>
      <c r="NHW3" s="4"/>
      <c r="NHX3" s="4"/>
      <c r="NHY3" s="4"/>
      <c r="NHZ3" s="4"/>
      <c r="NIA3" s="4"/>
      <c r="NIB3" s="4"/>
      <c r="NIC3" s="4"/>
      <c r="NID3" s="4"/>
      <c r="NIE3" s="4"/>
      <c r="NIF3" s="4"/>
      <c r="NIG3" s="4"/>
      <c r="NIH3" s="4"/>
      <c r="NII3" s="4"/>
      <c r="NIJ3" s="4"/>
      <c r="NIK3" s="4"/>
      <c r="NIL3" s="4"/>
      <c r="NIM3" s="4"/>
      <c r="NIN3" s="4"/>
      <c r="NIO3" s="4"/>
      <c r="NIP3" s="4"/>
      <c r="NIQ3" s="4"/>
      <c r="NIR3" s="4"/>
      <c r="NIS3" s="4"/>
      <c r="NIT3" s="4"/>
      <c r="NIU3" s="4"/>
      <c r="NIV3" s="4"/>
      <c r="NIW3" s="4"/>
      <c r="NIX3" s="4"/>
      <c r="NIY3" s="4"/>
      <c r="NIZ3" s="4"/>
      <c r="NJA3" s="4"/>
      <c r="NJB3" s="4"/>
      <c r="NJC3" s="4"/>
      <c r="NJD3" s="4"/>
      <c r="NJE3" s="4"/>
      <c r="NJF3" s="4"/>
      <c r="NJG3" s="4"/>
      <c r="NJH3" s="4"/>
      <c r="NJI3" s="4"/>
      <c r="NJJ3" s="4"/>
      <c r="NJK3" s="4"/>
      <c r="NJL3" s="4"/>
      <c r="NJM3" s="4"/>
      <c r="NJN3" s="4"/>
      <c r="NJO3" s="4"/>
      <c r="NJP3" s="4"/>
      <c r="NJQ3" s="4"/>
      <c r="NJR3" s="4"/>
      <c r="NJS3" s="4"/>
      <c r="NJT3" s="4"/>
      <c r="NJU3" s="4"/>
      <c r="NJV3" s="4"/>
      <c r="NJW3" s="4"/>
      <c r="NJX3" s="4"/>
      <c r="NJY3" s="4"/>
      <c r="NJZ3" s="4"/>
      <c r="NKA3" s="4"/>
      <c r="NKB3" s="4"/>
      <c r="NKC3" s="4"/>
      <c r="NKD3" s="4"/>
      <c r="NKE3" s="4"/>
      <c r="NKF3" s="4"/>
      <c r="NKG3" s="4"/>
      <c r="NKH3" s="4"/>
      <c r="NKI3" s="4"/>
      <c r="NKJ3" s="4"/>
      <c r="NKK3" s="4"/>
      <c r="NKL3" s="4"/>
      <c r="NKM3" s="4"/>
      <c r="NKN3" s="4"/>
      <c r="NKO3" s="4"/>
      <c r="NKP3" s="4"/>
      <c r="NKQ3" s="4"/>
      <c r="NKR3" s="4"/>
      <c r="NKS3" s="4"/>
      <c r="NKT3" s="4"/>
      <c r="NKU3" s="4"/>
      <c r="NKV3" s="4"/>
      <c r="NKW3" s="4"/>
      <c r="NKX3" s="4"/>
      <c r="NKY3" s="4"/>
      <c r="NKZ3" s="4"/>
      <c r="NLA3" s="4"/>
      <c r="NLB3" s="4"/>
      <c r="NLC3" s="4"/>
      <c r="NLD3" s="4"/>
      <c r="NLE3" s="4"/>
      <c r="NLF3" s="4"/>
      <c r="NLG3" s="4"/>
      <c r="NLH3" s="4"/>
      <c r="NLI3" s="4"/>
      <c r="NLJ3" s="4"/>
      <c r="NLK3" s="4"/>
      <c r="NLL3" s="4"/>
      <c r="NLM3" s="4"/>
      <c r="NLN3" s="4"/>
      <c r="NLO3" s="4"/>
      <c r="NLP3" s="4"/>
      <c r="NLQ3" s="4"/>
      <c r="NLR3" s="4"/>
      <c r="NLS3" s="4"/>
      <c r="NLT3" s="4"/>
      <c r="NLU3" s="4"/>
      <c r="NLV3" s="4"/>
      <c r="NLW3" s="4"/>
      <c r="NLX3" s="4"/>
      <c r="NLY3" s="4"/>
      <c r="NLZ3" s="4"/>
      <c r="NMA3" s="4"/>
      <c r="NMB3" s="4"/>
      <c r="NMC3" s="4"/>
      <c r="NMD3" s="4"/>
      <c r="NME3" s="4"/>
      <c r="NMF3" s="4"/>
      <c r="NMG3" s="4"/>
      <c r="NMH3" s="4"/>
      <c r="NMI3" s="4"/>
      <c r="NMJ3" s="4"/>
      <c r="NMK3" s="4"/>
      <c r="NML3" s="4"/>
      <c r="NMM3" s="4"/>
      <c r="NMN3" s="4"/>
      <c r="NMO3" s="4"/>
      <c r="NMP3" s="4"/>
      <c r="NMQ3" s="4"/>
      <c r="NMR3" s="4"/>
      <c r="NMS3" s="4"/>
      <c r="NMT3" s="4"/>
      <c r="NMU3" s="4"/>
      <c r="NMV3" s="4"/>
      <c r="NMW3" s="4"/>
      <c r="NMX3" s="4"/>
      <c r="NMY3" s="4"/>
      <c r="NMZ3" s="4"/>
      <c r="NNA3" s="4"/>
      <c r="NNB3" s="4"/>
      <c r="NNC3" s="4"/>
      <c r="NND3" s="4"/>
      <c r="NNE3" s="4"/>
      <c r="NNF3" s="4"/>
      <c r="NNG3" s="4"/>
      <c r="NNH3" s="4"/>
      <c r="NNI3" s="4"/>
      <c r="NNJ3" s="4"/>
      <c r="NNK3" s="4"/>
      <c r="NNL3" s="4"/>
      <c r="NNM3" s="4"/>
      <c r="NNN3" s="4"/>
      <c r="NNO3" s="4"/>
      <c r="NNP3" s="4"/>
      <c r="NNQ3" s="4"/>
      <c r="NNR3" s="4"/>
      <c r="NNS3" s="4"/>
      <c r="NNT3" s="4"/>
      <c r="NNU3" s="4"/>
      <c r="NNV3" s="4"/>
      <c r="NNW3" s="4"/>
      <c r="NNX3" s="4"/>
      <c r="NNY3" s="4"/>
      <c r="NNZ3" s="4"/>
      <c r="NOA3" s="4"/>
      <c r="NOB3" s="4"/>
      <c r="NOC3" s="4"/>
      <c r="NOD3" s="4"/>
      <c r="NOE3" s="4"/>
      <c r="NOF3" s="4"/>
      <c r="NOG3" s="4"/>
      <c r="NOH3" s="4"/>
      <c r="NOI3" s="4"/>
      <c r="NOJ3" s="4"/>
      <c r="NOK3" s="4"/>
      <c r="NOL3" s="4"/>
      <c r="NOM3" s="4"/>
      <c r="NON3" s="4"/>
      <c r="NOO3" s="4"/>
      <c r="NOP3" s="4"/>
      <c r="NOQ3" s="4"/>
      <c r="NOR3" s="4"/>
      <c r="NOS3" s="4"/>
      <c r="NOT3" s="4"/>
      <c r="NOU3" s="4"/>
      <c r="NOV3" s="4"/>
      <c r="NOW3" s="4"/>
      <c r="NOX3" s="4"/>
      <c r="NOY3" s="4"/>
      <c r="NOZ3" s="4"/>
      <c r="NPA3" s="4"/>
      <c r="NPB3" s="4"/>
      <c r="NPC3" s="4"/>
      <c r="NPD3" s="4"/>
      <c r="NPE3" s="4"/>
      <c r="NPF3" s="4"/>
      <c r="NPG3" s="4"/>
      <c r="NPH3" s="4"/>
      <c r="NPI3" s="4"/>
      <c r="NPJ3" s="4"/>
      <c r="NPK3" s="4"/>
      <c r="NPL3" s="4"/>
      <c r="NPM3" s="4"/>
      <c r="NPN3" s="4"/>
      <c r="NPO3" s="4"/>
      <c r="NPP3" s="4"/>
      <c r="NPQ3" s="4"/>
      <c r="NPR3" s="4"/>
      <c r="NPS3" s="4"/>
      <c r="NPT3" s="4"/>
      <c r="NPU3" s="4"/>
      <c r="NPV3" s="4"/>
      <c r="NPW3" s="4"/>
      <c r="NPX3" s="4"/>
      <c r="NPY3" s="4"/>
      <c r="NPZ3" s="4"/>
      <c r="NQA3" s="4"/>
      <c r="NQB3" s="4"/>
      <c r="NQC3" s="4"/>
      <c r="NQD3" s="4"/>
      <c r="NQE3" s="4"/>
      <c r="NQF3" s="4"/>
      <c r="NQG3" s="4"/>
      <c r="NQH3" s="4"/>
      <c r="NQI3" s="4"/>
      <c r="NQJ3" s="4"/>
      <c r="NQK3" s="4"/>
      <c r="NQL3" s="4"/>
      <c r="NQM3" s="4"/>
      <c r="NQN3" s="4"/>
      <c r="NQO3" s="4"/>
      <c r="NQP3" s="4"/>
      <c r="NQQ3" s="4"/>
      <c r="NQR3" s="4"/>
      <c r="NQS3" s="4"/>
      <c r="NQT3" s="4"/>
      <c r="NQU3" s="4"/>
      <c r="NQV3" s="4"/>
      <c r="NQW3" s="4"/>
      <c r="NQX3" s="4"/>
      <c r="NQY3" s="4"/>
      <c r="NQZ3" s="4"/>
      <c r="NRA3" s="4"/>
      <c r="NRB3" s="4"/>
      <c r="NRC3" s="4"/>
      <c r="NRD3" s="4"/>
      <c r="NRE3" s="4"/>
      <c r="NRF3" s="4"/>
      <c r="NRG3" s="4"/>
      <c r="NRH3" s="4"/>
      <c r="NRI3" s="4"/>
      <c r="NRJ3" s="4"/>
      <c r="NRK3" s="4"/>
      <c r="NRL3" s="4"/>
      <c r="NRM3" s="4"/>
      <c r="NRN3" s="4"/>
      <c r="NRO3" s="4"/>
      <c r="NRP3" s="4"/>
      <c r="NRQ3" s="4"/>
      <c r="NRR3" s="4"/>
      <c r="NRS3" s="4"/>
      <c r="NRT3" s="4"/>
      <c r="NRU3" s="4"/>
      <c r="NRV3" s="4"/>
      <c r="NRW3" s="4"/>
      <c r="NRX3" s="4"/>
      <c r="NRY3" s="4"/>
      <c r="NRZ3" s="4"/>
      <c r="NSA3" s="4"/>
      <c r="NSB3" s="4"/>
      <c r="NSC3" s="4"/>
      <c r="NSD3" s="4"/>
      <c r="NSE3" s="4"/>
      <c r="NSF3" s="4"/>
      <c r="NSG3" s="4"/>
      <c r="NSH3" s="4"/>
      <c r="NSI3" s="4"/>
      <c r="NSJ3" s="4"/>
      <c r="NSK3" s="4"/>
      <c r="NSL3" s="4"/>
      <c r="NSM3" s="4"/>
      <c r="NSN3" s="4"/>
      <c r="NSO3" s="4"/>
      <c r="NSP3" s="4"/>
      <c r="NSQ3" s="4"/>
      <c r="NSR3" s="4"/>
      <c r="NSS3" s="4"/>
      <c r="NST3" s="4"/>
      <c r="NSU3" s="4"/>
      <c r="NSV3" s="4"/>
      <c r="NSW3" s="4"/>
      <c r="NSX3" s="4"/>
      <c r="NSY3" s="4"/>
      <c r="NSZ3" s="4"/>
      <c r="NTA3" s="4"/>
      <c r="NTB3" s="4"/>
      <c r="NTC3" s="4"/>
      <c r="NTD3" s="4"/>
      <c r="NTE3" s="4"/>
      <c r="NTF3" s="4"/>
      <c r="NTG3" s="4"/>
      <c r="NTH3" s="4"/>
      <c r="NTI3" s="4"/>
      <c r="NTJ3" s="4"/>
      <c r="NTK3" s="4"/>
      <c r="NTL3" s="4"/>
      <c r="NTM3" s="4"/>
      <c r="NTN3" s="4"/>
      <c r="NTO3" s="4"/>
      <c r="NTP3" s="4"/>
      <c r="NTQ3" s="4"/>
      <c r="NTR3" s="4"/>
      <c r="NTS3" s="4"/>
      <c r="NTT3" s="4"/>
      <c r="NTU3" s="4"/>
      <c r="NTV3" s="4"/>
      <c r="NTW3" s="4"/>
      <c r="NTX3" s="4"/>
      <c r="NTY3" s="4"/>
      <c r="NTZ3" s="4"/>
      <c r="NUA3" s="4"/>
      <c r="NUB3" s="4"/>
      <c r="NUC3" s="4"/>
      <c r="NUD3" s="4"/>
      <c r="NUE3" s="4"/>
      <c r="NUF3" s="4"/>
      <c r="NUG3" s="4"/>
      <c r="NUH3" s="4"/>
      <c r="NUI3" s="4"/>
      <c r="NUJ3" s="4"/>
      <c r="NUK3" s="4"/>
      <c r="NUL3" s="4"/>
      <c r="NUM3" s="4"/>
      <c r="NUN3" s="4"/>
      <c r="NUO3" s="4"/>
      <c r="NUP3" s="4"/>
      <c r="NUQ3" s="4"/>
      <c r="NUR3" s="4"/>
      <c r="NUS3" s="4"/>
      <c r="NUT3" s="4"/>
      <c r="NUU3" s="4"/>
      <c r="NUV3" s="4"/>
      <c r="NUW3" s="4"/>
      <c r="NUX3" s="4"/>
      <c r="NUY3" s="4"/>
      <c r="NUZ3" s="4"/>
      <c r="NVA3" s="4"/>
      <c r="NVB3" s="4"/>
      <c r="NVC3" s="4"/>
      <c r="NVD3" s="4"/>
      <c r="NVE3" s="4"/>
      <c r="NVF3" s="4"/>
      <c r="NVG3" s="4"/>
      <c r="NVH3" s="4"/>
      <c r="NVI3" s="4"/>
      <c r="NVJ3" s="4"/>
      <c r="NVK3" s="4"/>
      <c r="NVL3" s="4"/>
      <c r="NVM3" s="4"/>
      <c r="NVN3" s="4"/>
      <c r="NVO3" s="4"/>
      <c r="NVP3" s="4"/>
      <c r="NVQ3" s="4"/>
      <c r="NVR3" s="4"/>
      <c r="NVS3" s="4"/>
      <c r="NVT3" s="4"/>
      <c r="NVU3" s="4"/>
      <c r="NVV3" s="4"/>
      <c r="NVW3" s="4"/>
      <c r="NVX3" s="4"/>
      <c r="NVY3" s="4"/>
      <c r="NVZ3" s="4"/>
      <c r="NWA3" s="4"/>
      <c r="NWB3" s="4"/>
      <c r="NWC3" s="4"/>
      <c r="NWD3" s="4"/>
      <c r="NWE3" s="4"/>
      <c r="NWF3" s="4"/>
      <c r="NWG3" s="4"/>
      <c r="NWH3" s="4"/>
      <c r="NWI3" s="4"/>
      <c r="NWJ3" s="4"/>
      <c r="NWK3" s="4"/>
      <c r="NWL3" s="4"/>
      <c r="NWM3" s="4"/>
      <c r="NWN3" s="4"/>
      <c r="NWO3" s="4"/>
      <c r="NWP3" s="4"/>
      <c r="NWQ3" s="4"/>
      <c r="NWR3" s="4"/>
      <c r="NWS3" s="4"/>
      <c r="NWT3" s="4"/>
      <c r="NWU3" s="4"/>
      <c r="NWV3" s="4"/>
      <c r="NWW3" s="4"/>
      <c r="NWX3" s="4"/>
      <c r="NWY3" s="4"/>
      <c r="NWZ3" s="4"/>
      <c r="NXA3" s="4"/>
      <c r="NXB3" s="4"/>
      <c r="NXC3" s="4"/>
      <c r="NXD3" s="4"/>
      <c r="NXE3" s="4"/>
      <c r="NXF3" s="4"/>
      <c r="NXG3" s="4"/>
      <c r="NXH3" s="4"/>
      <c r="NXI3" s="4"/>
      <c r="NXJ3" s="4"/>
      <c r="NXK3" s="4"/>
      <c r="NXL3" s="4"/>
      <c r="NXM3" s="4"/>
      <c r="NXN3" s="4"/>
      <c r="NXO3" s="4"/>
      <c r="NXP3" s="4"/>
      <c r="NXQ3" s="4"/>
      <c r="NXR3" s="4"/>
      <c r="NXS3" s="4"/>
      <c r="NXT3" s="4"/>
      <c r="NXU3" s="4"/>
      <c r="NXV3" s="4"/>
      <c r="NXW3" s="4"/>
      <c r="NXX3" s="4"/>
      <c r="NXY3" s="4"/>
      <c r="NXZ3" s="4"/>
      <c r="NYA3" s="4"/>
      <c r="NYB3" s="4"/>
      <c r="NYC3" s="4"/>
      <c r="NYD3" s="4"/>
      <c r="NYE3" s="4"/>
      <c r="NYF3" s="4"/>
      <c r="NYG3" s="4"/>
      <c r="NYH3" s="4"/>
      <c r="NYI3" s="4"/>
      <c r="NYJ3" s="4"/>
      <c r="NYK3" s="4"/>
      <c r="NYL3" s="4"/>
      <c r="NYM3" s="4"/>
      <c r="NYN3" s="4"/>
      <c r="NYO3" s="4"/>
      <c r="NYP3" s="4"/>
      <c r="NYQ3" s="4"/>
      <c r="NYR3" s="4"/>
      <c r="NYS3" s="4"/>
      <c r="NYT3" s="4"/>
      <c r="NYU3" s="4"/>
      <c r="NYV3" s="4"/>
      <c r="NYW3" s="4"/>
      <c r="NYX3" s="4"/>
      <c r="NYY3" s="4"/>
      <c r="NYZ3" s="4"/>
      <c r="NZA3" s="4"/>
      <c r="NZB3" s="4"/>
      <c r="NZC3" s="4"/>
      <c r="NZD3" s="4"/>
      <c r="NZE3" s="4"/>
      <c r="NZF3" s="4"/>
      <c r="NZG3" s="4"/>
      <c r="NZH3" s="4"/>
      <c r="NZI3" s="4"/>
      <c r="NZJ3" s="4"/>
      <c r="NZK3" s="4"/>
      <c r="NZL3" s="4"/>
      <c r="NZM3" s="4"/>
      <c r="NZN3" s="4"/>
      <c r="NZO3" s="4"/>
      <c r="NZP3" s="4"/>
      <c r="NZQ3" s="4"/>
      <c r="NZR3" s="4"/>
      <c r="NZS3" s="4"/>
      <c r="NZT3" s="4"/>
      <c r="NZU3" s="4"/>
      <c r="NZV3" s="4"/>
      <c r="NZW3" s="4"/>
      <c r="NZX3" s="4"/>
      <c r="NZY3" s="4"/>
      <c r="NZZ3" s="4"/>
      <c r="OAA3" s="4"/>
      <c r="OAB3" s="4"/>
      <c r="OAC3" s="4"/>
      <c r="OAD3" s="4"/>
      <c r="OAE3" s="4"/>
      <c r="OAF3" s="4"/>
      <c r="OAG3" s="4"/>
      <c r="OAH3" s="4"/>
      <c r="OAI3" s="4"/>
      <c r="OAJ3" s="4"/>
      <c r="OAK3" s="4"/>
      <c r="OAL3" s="4"/>
      <c r="OAM3" s="4"/>
      <c r="OAN3" s="4"/>
      <c r="OAO3" s="4"/>
      <c r="OAP3" s="4"/>
      <c r="OAQ3" s="4"/>
      <c r="OAR3" s="4"/>
      <c r="OAS3" s="4"/>
      <c r="OAT3" s="4"/>
      <c r="OAU3" s="4"/>
      <c r="OAV3" s="4"/>
      <c r="OAW3" s="4"/>
      <c r="OAX3" s="4"/>
      <c r="OAY3" s="4"/>
      <c r="OAZ3" s="4"/>
      <c r="OBA3" s="4"/>
      <c r="OBB3" s="4"/>
      <c r="OBC3" s="4"/>
      <c r="OBD3" s="4"/>
      <c r="OBE3" s="4"/>
      <c r="OBF3" s="4"/>
      <c r="OBG3" s="4"/>
      <c r="OBH3" s="4"/>
      <c r="OBI3" s="4"/>
      <c r="OBJ3" s="4"/>
      <c r="OBK3" s="4"/>
      <c r="OBL3" s="4"/>
      <c r="OBM3" s="4"/>
      <c r="OBN3" s="4"/>
      <c r="OBO3" s="4"/>
      <c r="OBP3" s="4"/>
      <c r="OBQ3" s="4"/>
      <c r="OBR3" s="4"/>
      <c r="OBS3" s="4"/>
      <c r="OBT3" s="4"/>
      <c r="OBU3" s="4"/>
      <c r="OBV3" s="4"/>
      <c r="OBW3" s="4"/>
      <c r="OBX3" s="4"/>
      <c r="OBY3" s="4"/>
      <c r="OBZ3" s="4"/>
      <c r="OCA3" s="4"/>
      <c r="OCB3" s="4"/>
      <c r="OCC3" s="4"/>
      <c r="OCD3" s="4"/>
      <c r="OCE3" s="4"/>
      <c r="OCF3" s="4"/>
      <c r="OCG3" s="4"/>
      <c r="OCH3" s="4"/>
      <c r="OCI3" s="4"/>
      <c r="OCJ3" s="4"/>
      <c r="OCK3" s="4"/>
      <c r="OCL3" s="4"/>
      <c r="OCM3" s="4"/>
      <c r="OCN3" s="4"/>
      <c r="OCO3" s="4"/>
      <c r="OCP3" s="4"/>
      <c r="OCQ3" s="4"/>
      <c r="OCR3" s="4"/>
      <c r="OCS3" s="4"/>
      <c r="OCT3" s="4"/>
      <c r="OCU3" s="4"/>
      <c r="OCV3" s="4"/>
      <c r="OCW3" s="4"/>
      <c r="OCX3" s="4"/>
      <c r="OCY3" s="4"/>
      <c r="OCZ3" s="4"/>
      <c r="ODA3" s="4"/>
      <c r="ODB3" s="4"/>
      <c r="ODC3" s="4"/>
      <c r="ODD3" s="4"/>
      <c r="ODE3" s="4"/>
      <c r="ODF3" s="4"/>
      <c r="ODG3" s="4"/>
      <c r="ODH3" s="4"/>
      <c r="ODI3" s="4"/>
      <c r="ODJ3" s="4"/>
      <c r="ODK3" s="4"/>
      <c r="ODL3" s="4"/>
      <c r="ODM3" s="4"/>
      <c r="ODN3" s="4"/>
      <c r="ODO3" s="4"/>
      <c r="ODP3" s="4"/>
      <c r="ODQ3" s="4"/>
      <c r="ODR3" s="4"/>
      <c r="ODS3" s="4"/>
      <c r="ODT3" s="4"/>
      <c r="ODU3" s="4"/>
      <c r="ODV3" s="4"/>
      <c r="ODW3" s="4"/>
      <c r="ODX3" s="4"/>
      <c r="ODY3" s="4"/>
      <c r="ODZ3" s="4"/>
      <c r="OEA3" s="4"/>
      <c r="OEB3" s="4"/>
      <c r="OEC3" s="4"/>
      <c r="OED3" s="4"/>
      <c r="OEE3" s="4"/>
      <c r="OEF3" s="4"/>
      <c r="OEG3" s="4"/>
      <c r="OEH3" s="4"/>
      <c r="OEI3" s="4"/>
      <c r="OEJ3" s="4"/>
      <c r="OEK3" s="4"/>
      <c r="OEL3" s="4"/>
      <c r="OEM3" s="4"/>
      <c r="OEN3" s="4"/>
      <c r="OEO3" s="4"/>
      <c r="OEP3" s="4"/>
      <c r="OEQ3" s="4"/>
      <c r="OER3" s="4"/>
      <c r="OES3" s="4"/>
      <c r="OET3" s="4"/>
      <c r="OEU3" s="4"/>
      <c r="OEV3" s="4"/>
      <c r="OEW3" s="4"/>
      <c r="OEX3" s="4"/>
      <c r="OEY3" s="4"/>
      <c r="OEZ3" s="4"/>
      <c r="OFA3" s="4"/>
      <c r="OFB3" s="4"/>
      <c r="OFC3" s="4"/>
      <c r="OFD3" s="4"/>
      <c r="OFE3" s="4"/>
      <c r="OFF3" s="4"/>
      <c r="OFG3" s="4"/>
      <c r="OFH3" s="4"/>
      <c r="OFI3" s="4"/>
      <c r="OFJ3" s="4"/>
      <c r="OFK3" s="4"/>
      <c r="OFL3" s="4"/>
      <c r="OFM3" s="4"/>
      <c r="OFN3" s="4"/>
      <c r="OFO3" s="4"/>
      <c r="OFP3" s="4"/>
      <c r="OFQ3" s="4"/>
      <c r="OFR3" s="4"/>
      <c r="OFS3" s="4"/>
      <c r="OFT3" s="4"/>
      <c r="OFU3" s="4"/>
      <c r="OFV3" s="4"/>
      <c r="OFW3" s="4"/>
      <c r="OFX3" s="4"/>
      <c r="OFY3" s="4"/>
      <c r="OFZ3" s="4"/>
      <c r="OGA3" s="4"/>
      <c r="OGB3" s="4"/>
      <c r="OGC3" s="4"/>
      <c r="OGD3" s="4"/>
      <c r="OGE3" s="4"/>
      <c r="OGF3" s="4"/>
      <c r="OGG3" s="4"/>
      <c r="OGH3" s="4"/>
      <c r="OGI3" s="4"/>
      <c r="OGJ3" s="4"/>
      <c r="OGK3" s="4"/>
      <c r="OGL3" s="4"/>
      <c r="OGM3" s="4"/>
      <c r="OGN3" s="4"/>
      <c r="OGO3" s="4"/>
      <c r="OGP3" s="4"/>
      <c r="OGQ3" s="4"/>
      <c r="OGR3" s="4"/>
      <c r="OGS3" s="4"/>
      <c r="OGT3" s="4"/>
      <c r="OGU3" s="4"/>
      <c r="OGV3" s="4"/>
      <c r="OGW3" s="4"/>
      <c r="OGX3" s="4"/>
      <c r="OGY3" s="4"/>
      <c r="OGZ3" s="4"/>
      <c r="OHA3" s="4"/>
      <c r="OHB3" s="4"/>
      <c r="OHC3" s="4"/>
      <c r="OHD3" s="4"/>
      <c r="OHE3" s="4"/>
      <c r="OHF3" s="4"/>
      <c r="OHG3" s="4"/>
      <c r="OHH3" s="4"/>
      <c r="OHI3" s="4"/>
      <c r="OHJ3" s="4"/>
      <c r="OHK3" s="4"/>
      <c r="OHL3" s="4"/>
      <c r="OHM3" s="4"/>
      <c r="OHN3" s="4"/>
      <c r="OHO3" s="4"/>
      <c r="OHP3" s="4"/>
      <c r="OHQ3" s="4"/>
      <c r="OHR3" s="4"/>
      <c r="OHS3" s="4"/>
      <c r="OHT3" s="4"/>
      <c r="OHU3" s="4"/>
      <c r="OHV3" s="4"/>
      <c r="OHW3" s="4"/>
      <c r="OHX3" s="4"/>
      <c r="OHY3" s="4"/>
      <c r="OHZ3" s="4"/>
      <c r="OIA3" s="4"/>
      <c r="OIB3" s="4"/>
      <c r="OIC3" s="4"/>
      <c r="OID3" s="4"/>
      <c r="OIE3" s="4"/>
      <c r="OIF3" s="4"/>
      <c r="OIG3" s="4"/>
      <c r="OIH3" s="4"/>
      <c r="OII3" s="4"/>
      <c r="OIJ3" s="4"/>
      <c r="OIK3" s="4"/>
      <c r="OIL3" s="4"/>
      <c r="OIM3" s="4"/>
      <c r="OIN3" s="4"/>
      <c r="OIO3" s="4"/>
      <c r="OIP3" s="4"/>
      <c r="OIQ3" s="4"/>
      <c r="OIR3" s="4"/>
      <c r="OIS3" s="4"/>
      <c r="OIT3" s="4"/>
      <c r="OIU3" s="4"/>
      <c r="OIV3" s="4"/>
      <c r="OIW3" s="4"/>
      <c r="OIX3" s="4"/>
      <c r="OIY3" s="4"/>
      <c r="OIZ3" s="4"/>
      <c r="OJA3" s="4"/>
      <c r="OJB3" s="4"/>
      <c r="OJC3" s="4"/>
      <c r="OJD3" s="4"/>
      <c r="OJE3" s="4"/>
      <c r="OJF3" s="4"/>
      <c r="OJG3" s="4"/>
      <c r="OJH3" s="4"/>
      <c r="OJI3" s="4"/>
      <c r="OJJ3" s="4"/>
      <c r="OJK3" s="4"/>
      <c r="OJL3" s="4"/>
      <c r="OJM3" s="4"/>
      <c r="OJN3" s="4"/>
      <c r="OJO3" s="4"/>
      <c r="OJP3" s="4"/>
      <c r="OJQ3" s="4"/>
      <c r="OJR3" s="4"/>
      <c r="OJS3" s="4"/>
      <c r="OJT3" s="4"/>
      <c r="OJU3" s="4"/>
      <c r="OJV3" s="4"/>
      <c r="OJW3" s="4"/>
      <c r="OJX3" s="4"/>
      <c r="OJY3" s="4"/>
      <c r="OJZ3" s="4"/>
      <c r="OKA3" s="4"/>
      <c r="OKB3" s="4"/>
      <c r="OKC3" s="4"/>
      <c r="OKD3" s="4"/>
      <c r="OKE3" s="4"/>
      <c r="OKF3" s="4"/>
      <c r="OKG3" s="4"/>
      <c r="OKH3" s="4"/>
      <c r="OKI3" s="4"/>
      <c r="OKJ3" s="4"/>
      <c r="OKK3" s="4"/>
      <c r="OKL3" s="4"/>
      <c r="OKM3" s="4"/>
      <c r="OKN3" s="4"/>
      <c r="OKO3" s="4"/>
      <c r="OKP3" s="4"/>
      <c r="OKQ3" s="4"/>
      <c r="OKR3" s="4"/>
      <c r="OKS3" s="4"/>
      <c r="OKT3" s="4"/>
      <c r="OKU3" s="4"/>
      <c r="OKV3" s="4"/>
      <c r="OKW3" s="4"/>
      <c r="OKX3" s="4"/>
      <c r="OKY3" s="4"/>
      <c r="OKZ3" s="4"/>
      <c r="OLA3" s="4"/>
      <c r="OLB3" s="4"/>
      <c r="OLC3" s="4"/>
      <c r="OLD3" s="4"/>
      <c r="OLE3" s="4"/>
      <c r="OLF3" s="4"/>
      <c r="OLG3" s="4"/>
      <c r="OLH3" s="4"/>
      <c r="OLI3" s="4"/>
      <c r="OLJ3" s="4"/>
      <c r="OLK3" s="4"/>
      <c r="OLL3" s="4"/>
      <c r="OLM3" s="4"/>
      <c r="OLN3" s="4"/>
      <c r="OLO3" s="4"/>
      <c r="OLP3" s="4"/>
      <c r="OLQ3" s="4"/>
      <c r="OLR3" s="4"/>
      <c r="OLS3" s="4"/>
      <c r="OLT3" s="4"/>
      <c r="OLU3" s="4"/>
      <c r="OLV3" s="4"/>
      <c r="OLW3" s="4"/>
      <c r="OLX3" s="4"/>
      <c r="OLY3" s="4"/>
      <c r="OLZ3" s="4"/>
      <c r="OMA3" s="4"/>
      <c r="OMB3" s="4"/>
      <c r="OMC3" s="4"/>
      <c r="OMD3" s="4"/>
      <c r="OME3" s="4"/>
      <c r="OMF3" s="4"/>
      <c r="OMG3" s="4"/>
      <c r="OMH3" s="4"/>
      <c r="OMI3" s="4"/>
      <c r="OMJ3" s="4"/>
      <c r="OMK3" s="4"/>
      <c r="OML3" s="4"/>
      <c r="OMM3" s="4"/>
      <c r="OMN3" s="4"/>
      <c r="OMO3" s="4"/>
      <c r="OMP3" s="4"/>
      <c r="OMQ3" s="4"/>
      <c r="OMR3" s="4"/>
      <c r="OMS3" s="4"/>
      <c r="OMT3" s="4"/>
      <c r="OMU3" s="4"/>
      <c r="OMV3" s="4"/>
      <c r="OMW3" s="4"/>
      <c r="OMX3" s="4"/>
      <c r="OMY3" s="4"/>
      <c r="OMZ3" s="4"/>
      <c r="ONA3" s="4"/>
      <c r="ONB3" s="4"/>
      <c r="ONC3" s="4"/>
      <c r="OND3" s="4"/>
      <c r="ONE3" s="4"/>
      <c r="ONF3" s="4"/>
      <c r="ONG3" s="4"/>
      <c r="ONH3" s="4"/>
      <c r="ONI3" s="4"/>
      <c r="ONJ3" s="4"/>
      <c r="ONK3" s="4"/>
      <c r="ONL3" s="4"/>
      <c r="ONM3" s="4"/>
      <c r="ONN3" s="4"/>
      <c r="ONO3" s="4"/>
      <c r="ONP3" s="4"/>
      <c r="ONQ3" s="4"/>
      <c r="ONR3" s="4"/>
      <c r="ONS3" s="4"/>
      <c r="ONT3" s="4"/>
      <c r="ONU3" s="4"/>
      <c r="ONV3" s="4"/>
      <c r="ONW3" s="4"/>
      <c r="ONX3" s="4"/>
      <c r="ONY3" s="4"/>
      <c r="ONZ3" s="4"/>
      <c r="OOA3" s="4"/>
      <c r="OOB3" s="4"/>
      <c r="OOC3" s="4"/>
      <c r="OOD3" s="4"/>
      <c r="OOE3" s="4"/>
      <c r="OOF3" s="4"/>
      <c r="OOG3" s="4"/>
      <c r="OOH3" s="4"/>
      <c r="OOI3" s="4"/>
      <c r="OOJ3" s="4"/>
      <c r="OOK3" s="4"/>
      <c r="OOL3" s="4"/>
      <c r="OOM3" s="4"/>
      <c r="OON3" s="4"/>
      <c r="OOO3" s="4"/>
      <c r="OOP3" s="4"/>
      <c r="OOQ3" s="4"/>
      <c r="OOR3" s="4"/>
      <c r="OOS3" s="4"/>
      <c r="OOT3" s="4"/>
      <c r="OOU3" s="4"/>
      <c r="OOV3" s="4"/>
      <c r="OOW3" s="4"/>
      <c r="OOX3" s="4"/>
      <c r="OOY3" s="4"/>
      <c r="OOZ3" s="4"/>
      <c r="OPA3" s="4"/>
      <c r="OPB3" s="4"/>
      <c r="OPC3" s="4"/>
      <c r="OPD3" s="4"/>
      <c r="OPE3" s="4"/>
      <c r="OPF3" s="4"/>
      <c r="OPG3" s="4"/>
      <c r="OPH3" s="4"/>
      <c r="OPI3" s="4"/>
      <c r="OPJ3" s="4"/>
      <c r="OPK3" s="4"/>
      <c r="OPL3" s="4"/>
      <c r="OPM3" s="4"/>
      <c r="OPN3" s="4"/>
      <c r="OPO3" s="4"/>
      <c r="OPP3" s="4"/>
      <c r="OPQ3" s="4"/>
      <c r="OPR3" s="4"/>
      <c r="OPS3" s="4"/>
      <c r="OPT3" s="4"/>
      <c r="OPU3" s="4"/>
      <c r="OPV3" s="4"/>
      <c r="OPW3" s="4"/>
      <c r="OPX3" s="4"/>
      <c r="OPY3" s="4"/>
      <c r="OPZ3" s="4"/>
      <c r="OQA3" s="4"/>
      <c r="OQB3" s="4"/>
      <c r="OQC3" s="4"/>
      <c r="OQD3" s="4"/>
      <c r="OQE3" s="4"/>
      <c r="OQF3" s="4"/>
      <c r="OQG3" s="4"/>
      <c r="OQH3" s="4"/>
      <c r="OQI3" s="4"/>
      <c r="OQJ3" s="4"/>
      <c r="OQK3" s="4"/>
      <c r="OQL3" s="4"/>
      <c r="OQM3" s="4"/>
      <c r="OQN3" s="4"/>
      <c r="OQO3" s="4"/>
      <c r="OQP3" s="4"/>
      <c r="OQQ3" s="4"/>
      <c r="OQR3" s="4"/>
      <c r="OQS3" s="4"/>
      <c r="OQT3" s="4"/>
      <c r="OQU3" s="4"/>
      <c r="OQV3" s="4"/>
      <c r="OQW3" s="4"/>
      <c r="OQX3" s="4"/>
      <c r="OQY3" s="4"/>
      <c r="OQZ3" s="4"/>
      <c r="ORA3" s="4"/>
      <c r="ORB3" s="4"/>
      <c r="ORC3" s="4"/>
      <c r="ORD3" s="4"/>
      <c r="ORE3" s="4"/>
      <c r="ORF3" s="4"/>
      <c r="ORG3" s="4"/>
      <c r="ORH3" s="4"/>
      <c r="ORI3" s="4"/>
      <c r="ORJ3" s="4"/>
      <c r="ORK3" s="4"/>
      <c r="ORL3" s="4"/>
      <c r="ORM3" s="4"/>
      <c r="ORN3" s="4"/>
      <c r="ORO3" s="4"/>
      <c r="ORP3" s="4"/>
      <c r="ORQ3" s="4"/>
      <c r="ORR3" s="4"/>
      <c r="ORS3" s="4"/>
      <c r="ORT3" s="4"/>
      <c r="ORU3" s="4"/>
      <c r="ORV3" s="4"/>
      <c r="ORW3" s="4"/>
      <c r="ORX3" s="4"/>
      <c r="ORY3" s="4"/>
      <c r="ORZ3" s="4"/>
      <c r="OSA3" s="4"/>
      <c r="OSB3" s="4"/>
      <c r="OSC3" s="4"/>
      <c r="OSD3" s="4"/>
      <c r="OSE3" s="4"/>
      <c r="OSF3" s="4"/>
      <c r="OSG3" s="4"/>
      <c r="OSH3" s="4"/>
      <c r="OSI3" s="4"/>
      <c r="OSJ3" s="4"/>
      <c r="OSK3" s="4"/>
      <c r="OSL3" s="4"/>
      <c r="OSM3" s="4"/>
      <c r="OSN3" s="4"/>
      <c r="OSO3" s="4"/>
      <c r="OSP3" s="4"/>
      <c r="OSQ3" s="4"/>
      <c r="OSR3" s="4"/>
      <c r="OSS3" s="4"/>
      <c r="OST3" s="4"/>
      <c r="OSU3" s="4"/>
      <c r="OSV3" s="4"/>
      <c r="OSW3" s="4"/>
      <c r="OSX3" s="4"/>
      <c r="OSY3" s="4"/>
      <c r="OSZ3" s="4"/>
      <c r="OTA3" s="4"/>
      <c r="OTB3" s="4"/>
      <c r="OTC3" s="4"/>
      <c r="OTD3" s="4"/>
      <c r="OTE3" s="4"/>
      <c r="OTF3" s="4"/>
      <c r="OTG3" s="4"/>
      <c r="OTH3" s="4"/>
      <c r="OTI3" s="4"/>
      <c r="OTJ3" s="4"/>
      <c r="OTK3" s="4"/>
      <c r="OTL3" s="4"/>
      <c r="OTM3" s="4"/>
      <c r="OTN3" s="4"/>
      <c r="OTO3" s="4"/>
      <c r="OTP3" s="4"/>
      <c r="OTQ3" s="4"/>
      <c r="OTR3" s="4"/>
      <c r="OTS3" s="4"/>
      <c r="OTT3" s="4"/>
      <c r="OTU3" s="4"/>
      <c r="OTV3" s="4"/>
      <c r="OTW3" s="4"/>
      <c r="OTX3" s="4"/>
      <c r="OTY3" s="4"/>
      <c r="OTZ3" s="4"/>
      <c r="OUA3" s="4"/>
      <c r="OUB3" s="4"/>
      <c r="OUC3" s="4"/>
      <c r="OUD3" s="4"/>
      <c r="OUE3" s="4"/>
      <c r="OUF3" s="4"/>
      <c r="OUG3" s="4"/>
      <c r="OUH3" s="4"/>
      <c r="OUI3" s="4"/>
      <c r="OUJ3" s="4"/>
      <c r="OUK3" s="4"/>
      <c r="OUL3" s="4"/>
      <c r="OUM3" s="4"/>
      <c r="OUN3" s="4"/>
      <c r="OUO3" s="4"/>
      <c r="OUP3" s="4"/>
      <c r="OUQ3" s="4"/>
      <c r="OUR3" s="4"/>
      <c r="OUS3" s="4"/>
      <c r="OUT3" s="4"/>
      <c r="OUU3" s="4"/>
      <c r="OUV3" s="4"/>
      <c r="OUW3" s="4"/>
      <c r="OUX3" s="4"/>
      <c r="OUY3" s="4"/>
      <c r="OUZ3" s="4"/>
      <c r="OVA3" s="4"/>
      <c r="OVB3" s="4"/>
      <c r="OVC3" s="4"/>
      <c r="OVD3" s="4"/>
      <c r="OVE3" s="4"/>
      <c r="OVF3" s="4"/>
      <c r="OVG3" s="4"/>
      <c r="OVH3" s="4"/>
      <c r="OVI3" s="4"/>
      <c r="OVJ3" s="4"/>
      <c r="OVK3" s="4"/>
      <c r="OVL3" s="4"/>
      <c r="OVM3" s="4"/>
      <c r="OVN3" s="4"/>
      <c r="OVO3" s="4"/>
      <c r="OVP3" s="4"/>
      <c r="OVQ3" s="4"/>
      <c r="OVR3" s="4"/>
      <c r="OVS3" s="4"/>
      <c r="OVT3" s="4"/>
      <c r="OVU3" s="4"/>
      <c r="OVV3" s="4"/>
      <c r="OVW3" s="4"/>
      <c r="OVX3" s="4"/>
      <c r="OVY3" s="4"/>
      <c r="OVZ3" s="4"/>
      <c r="OWA3" s="4"/>
      <c r="OWB3" s="4"/>
      <c r="OWC3" s="4"/>
      <c r="OWD3" s="4"/>
      <c r="OWE3" s="4"/>
      <c r="OWF3" s="4"/>
      <c r="OWG3" s="4"/>
      <c r="OWH3" s="4"/>
      <c r="OWI3" s="4"/>
      <c r="OWJ3" s="4"/>
      <c r="OWK3" s="4"/>
      <c r="OWL3" s="4"/>
      <c r="OWM3" s="4"/>
      <c r="OWN3" s="4"/>
      <c r="OWO3" s="4"/>
      <c r="OWP3" s="4"/>
      <c r="OWQ3" s="4"/>
      <c r="OWR3" s="4"/>
      <c r="OWS3" s="4"/>
      <c r="OWT3" s="4"/>
      <c r="OWU3" s="4"/>
      <c r="OWV3" s="4"/>
      <c r="OWW3" s="4"/>
      <c r="OWX3" s="4"/>
      <c r="OWY3" s="4"/>
      <c r="OWZ3" s="4"/>
      <c r="OXA3" s="4"/>
      <c r="OXB3" s="4"/>
      <c r="OXC3" s="4"/>
      <c r="OXD3" s="4"/>
      <c r="OXE3" s="4"/>
      <c r="OXF3" s="4"/>
      <c r="OXG3" s="4"/>
      <c r="OXH3" s="4"/>
      <c r="OXI3" s="4"/>
      <c r="OXJ3" s="4"/>
      <c r="OXK3" s="4"/>
      <c r="OXL3" s="4"/>
      <c r="OXM3" s="4"/>
      <c r="OXN3" s="4"/>
      <c r="OXO3" s="4"/>
      <c r="OXP3" s="4"/>
      <c r="OXQ3" s="4"/>
      <c r="OXR3" s="4"/>
      <c r="OXS3" s="4"/>
      <c r="OXT3" s="4"/>
      <c r="OXU3" s="4"/>
      <c r="OXV3" s="4"/>
      <c r="OXW3" s="4"/>
      <c r="OXX3" s="4"/>
      <c r="OXY3" s="4"/>
      <c r="OXZ3" s="4"/>
      <c r="OYA3" s="4"/>
      <c r="OYB3" s="4"/>
      <c r="OYC3" s="4"/>
      <c r="OYD3" s="4"/>
      <c r="OYE3" s="4"/>
      <c r="OYF3" s="4"/>
      <c r="OYG3" s="4"/>
      <c r="OYH3" s="4"/>
      <c r="OYI3" s="4"/>
      <c r="OYJ3" s="4"/>
      <c r="OYK3" s="4"/>
      <c r="OYL3" s="4"/>
      <c r="OYM3" s="4"/>
      <c r="OYN3" s="4"/>
      <c r="OYO3" s="4"/>
      <c r="OYP3" s="4"/>
      <c r="OYQ3" s="4"/>
      <c r="OYR3" s="4"/>
      <c r="OYS3" s="4"/>
      <c r="OYT3" s="4"/>
      <c r="OYU3" s="4"/>
      <c r="OYV3" s="4"/>
      <c r="OYW3" s="4"/>
      <c r="OYX3" s="4"/>
      <c r="OYY3" s="4"/>
      <c r="OYZ3" s="4"/>
      <c r="OZA3" s="4"/>
      <c r="OZB3" s="4"/>
      <c r="OZC3" s="4"/>
      <c r="OZD3" s="4"/>
      <c r="OZE3" s="4"/>
      <c r="OZF3" s="4"/>
      <c r="OZG3" s="4"/>
      <c r="OZH3" s="4"/>
      <c r="OZI3" s="4"/>
      <c r="OZJ3" s="4"/>
      <c r="OZK3" s="4"/>
      <c r="OZL3" s="4"/>
      <c r="OZM3" s="4"/>
      <c r="OZN3" s="4"/>
      <c r="OZO3" s="4"/>
      <c r="OZP3" s="4"/>
      <c r="OZQ3" s="4"/>
      <c r="OZR3" s="4"/>
      <c r="OZS3" s="4"/>
      <c r="OZT3" s="4"/>
      <c r="OZU3" s="4"/>
      <c r="OZV3" s="4"/>
      <c r="OZW3" s="4"/>
      <c r="OZX3" s="4"/>
      <c r="OZY3" s="4"/>
      <c r="OZZ3" s="4"/>
      <c r="PAA3" s="4"/>
      <c r="PAB3" s="4"/>
      <c r="PAC3" s="4"/>
      <c r="PAD3" s="4"/>
      <c r="PAE3" s="4"/>
      <c r="PAF3" s="4"/>
      <c r="PAG3" s="4"/>
      <c r="PAH3" s="4"/>
      <c r="PAI3" s="4"/>
      <c r="PAJ3" s="4"/>
      <c r="PAK3" s="4"/>
      <c r="PAL3" s="4"/>
      <c r="PAM3" s="4"/>
      <c r="PAN3" s="4"/>
      <c r="PAO3" s="4"/>
      <c r="PAP3" s="4"/>
      <c r="PAQ3" s="4"/>
      <c r="PAR3" s="4"/>
      <c r="PAS3" s="4"/>
      <c r="PAT3" s="4"/>
      <c r="PAU3" s="4"/>
      <c r="PAV3" s="4"/>
      <c r="PAW3" s="4"/>
      <c r="PAX3" s="4"/>
      <c r="PAY3" s="4"/>
      <c r="PAZ3" s="4"/>
      <c r="PBA3" s="4"/>
      <c r="PBB3" s="4"/>
      <c r="PBC3" s="4"/>
      <c r="PBD3" s="4"/>
      <c r="PBE3" s="4"/>
      <c r="PBF3" s="4"/>
      <c r="PBG3" s="4"/>
      <c r="PBH3" s="4"/>
      <c r="PBI3" s="4"/>
      <c r="PBJ3" s="4"/>
      <c r="PBK3" s="4"/>
      <c r="PBL3" s="4"/>
      <c r="PBM3" s="4"/>
      <c r="PBN3" s="4"/>
      <c r="PBO3" s="4"/>
      <c r="PBP3" s="4"/>
      <c r="PBQ3" s="4"/>
      <c r="PBR3" s="4"/>
      <c r="PBS3" s="4"/>
      <c r="PBT3" s="4"/>
      <c r="PBU3" s="4"/>
      <c r="PBV3" s="4"/>
      <c r="PBW3" s="4"/>
      <c r="PBX3" s="4"/>
      <c r="PBY3" s="4"/>
      <c r="PBZ3" s="4"/>
      <c r="PCA3" s="4"/>
      <c r="PCB3" s="4"/>
      <c r="PCC3" s="4"/>
      <c r="PCD3" s="4"/>
      <c r="PCE3" s="4"/>
      <c r="PCF3" s="4"/>
      <c r="PCG3" s="4"/>
      <c r="PCH3" s="4"/>
      <c r="PCI3" s="4"/>
      <c r="PCJ3" s="4"/>
      <c r="PCK3" s="4"/>
      <c r="PCL3" s="4"/>
      <c r="PCM3" s="4"/>
      <c r="PCN3" s="4"/>
      <c r="PCO3" s="4"/>
      <c r="PCP3" s="4"/>
      <c r="PCQ3" s="4"/>
      <c r="PCR3" s="4"/>
      <c r="PCS3" s="4"/>
      <c r="PCT3" s="4"/>
      <c r="PCU3" s="4"/>
      <c r="PCV3" s="4"/>
      <c r="PCW3" s="4"/>
      <c r="PCX3" s="4"/>
      <c r="PCY3" s="4"/>
      <c r="PCZ3" s="4"/>
      <c r="PDA3" s="4"/>
      <c r="PDB3" s="4"/>
      <c r="PDC3" s="4"/>
      <c r="PDD3" s="4"/>
      <c r="PDE3" s="4"/>
      <c r="PDF3" s="4"/>
      <c r="PDG3" s="4"/>
      <c r="PDH3" s="4"/>
      <c r="PDI3" s="4"/>
      <c r="PDJ3" s="4"/>
      <c r="PDK3" s="4"/>
      <c r="PDL3" s="4"/>
      <c r="PDM3" s="4"/>
      <c r="PDN3" s="4"/>
      <c r="PDO3" s="4"/>
      <c r="PDP3" s="4"/>
      <c r="PDQ3" s="4"/>
      <c r="PDR3" s="4"/>
      <c r="PDS3" s="4"/>
      <c r="PDT3" s="4"/>
      <c r="PDU3" s="4"/>
      <c r="PDV3" s="4"/>
      <c r="PDW3" s="4"/>
      <c r="PDX3" s="4"/>
      <c r="PDY3" s="4"/>
      <c r="PDZ3" s="4"/>
      <c r="PEA3" s="4"/>
      <c r="PEB3" s="4"/>
      <c r="PEC3" s="4"/>
      <c r="PED3" s="4"/>
      <c r="PEE3" s="4"/>
      <c r="PEF3" s="4"/>
      <c r="PEG3" s="4"/>
      <c r="PEH3" s="4"/>
      <c r="PEI3" s="4"/>
      <c r="PEJ3" s="4"/>
      <c r="PEK3" s="4"/>
      <c r="PEL3" s="4"/>
      <c r="PEM3" s="4"/>
      <c r="PEN3" s="4"/>
      <c r="PEO3" s="4"/>
      <c r="PEP3" s="4"/>
      <c r="PEQ3" s="4"/>
      <c r="PER3" s="4"/>
      <c r="PES3" s="4"/>
      <c r="PET3" s="4"/>
      <c r="PEU3" s="4"/>
      <c r="PEV3" s="4"/>
      <c r="PEW3" s="4"/>
      <c r="PEX3" s="4"/>
      <c r="PEY3" s="4"/>
      <c r="PEZ3" s="4"/>
      <c r="PFA3" s="4"/>
      <c r="PFB3" s="4"/>
      <c r="PFC3" s="4"/>
      <c r="PFD3" s="4"/>
      <c r="PFE3" s="4"/>
      <c r="PFF3" s="4"/>
      <c r="PFG3" s="4"/>
      <c r="PFH3" s="4"/>
      <c r="PFI3" s="4"/>
      <c r="PFJ3" s="4"/>
      <c r="PFK3" s="4"/>
      <c r="PFL3" s="4"/>
      <c r="PFM3" s="4"/>
      <c r="PFN3" s="4"/>
      <c r="PFO3" s="4"/>
      <c r="PFP3" s="4"/>
      <c r="PFQ3" s="4"/>
      <c r="PFR3" s="4"/>
      <c r="PFS3" s="4"/>
      <c r="PFT3" s="4"/>
      <c r="PFU3" s="4"/>
      <c r="PFV3" s="4"/>
      <c r="PFW3" s="4"/>
      <c r="PFX3" s="4"/>
      <c r="PFY3" s="4"/>
      <c r="PFZ3" s="4"/>
      <c r="PGA3" s="4"/>
      <c r="PGB3" s="4"/>
      <c r="PGC3" s="4"/>
      <c r="PGD3" s="4"/>
      <c r="PGE3" s="4"/>
      <c r="PGF3" s="4"/>
      <c r="PGG3" s="4"/>
      <c r="PGH3" s="4"/>
      <c r="PGI3" s="4"/>
      <c r="PGJ3" s="4"/>
      <c r="PGK3" s="4"/>
      <c r="PGL3" s="4"/>
      <c r="PGM3" s="4"/>
      <c r="PGN3" s="4"/>
      <c r="PGO3" s="4"/>
      <c r="PGP3" s="4"/>
      <c r="PGQ3" s="4"/>
      <c r="PGR3" s="4"/>
      <c r="PGS3" s="4"/>
      <c r="PGT3" s="4"/>
      <c r="PGU3" s="4"/>
      <c r="PGV3" s="4"/>
      <c r="PGW3" s="4"/>
      <c r="PGX3" s="4"/>
      <c r="PGY3" s="4"/>
      <c r="PGZ3" s="4"/>
      <c r="PHA3" s="4"/>
      <c r="PHB3" s="4"/>
      <c r="PHC3" s="4"/>
      <c r="PHD3" s="4"/>
      <c r="PHE3" s="4"/>
      <c r="PHF3" s="4"/>
      <c r="PHG3" s="4"/>
      <c r="PHH3" s="4"/>
      <c r="PHI3" s="4"/>
      <c r="PHJ3" s="4"/>
      <c r="PHK3" s="4"/>
      <c r="PHL3" s="4"/>
      <c r="PHM3" s="4"/>
      <c r="PHN3" s="4"/>
      <c r="PHO3" s="4"/>
      <c r="PHP3" s="4"/>
      <c r="PHQ3" s="4"/>
      <c r="PHR3" s="4"/>
      <c r="PHS3" s="4"/>
      <c r="PHT3" s="4"/>
      <c r="PHU3" s="4"/>
      <c r="PHV3" s="4"/>
      <c r="PHW3" s="4"/>
      <c r="PHX3" s="4"/>
      <c r="PHY3" s="4"/>
      <c r="PHZ3" s="4"/>
      <c r="PIA3" s="4"/>
      <c r="PIB3" s="4"/>
      <c r="PIC3" s="4"/>
      <c r="PID3" s="4"/>
      <c r="PIE3" s="4"/>
      <c r="PIF3" s="4"/>
      <c r="PIG3" s="4"/>
      <c r="PIH3" s="4"/>
      <c r="PII3" s="4"/>
      <c r="PIJ3" s="4"/>
      <c r="PIK3" s="4"/>
      <c r="PIL3" s="4"/>
      <c r="PIM3" s="4"/>
      <c r="PIN3" s="4"/>
      <c r="PIO3" s="4"/>
      <c r="PIP3" s="4"/>
      <c r="PIQ3" s="4"/>
      <c r="PIR3" s="4"/>
      <c r="PIS3" s="4"/>
      <c r="PIT3" s="4"/>
      <c r="PIU3" s="4"/>
      <c r="PIV3" s="4"/>
      <c r="PIW3" s="4"/>
      <c r="PIX3" s="4"/>
      <c r="PIY3" s="4"/>
      <c r="PIZ3" s="4"/>
      <c r="PJA3" s="4"/>
      <c r="PJB3" s="4"/>
      <c r="PJC3" s="4"/>
      <c r="PJD3" s="4"/>
      <c r="PJE3" s="4"/>
      <c r="PJF3" s="4"/>
      <c r="PJG3" s="4"/>
      <c r="PJH3" s="4"/>
      <c r="PJI3" s="4"/>
      <c r="PJJ3" s="4"/>
      <c r="PJK3" s="4"/>
      <c r="PJL3" s="4"/>
      <c r="PJM3" s="4"/>
      <c r="PJN3" s="4"/>
      <c r="PJO3" s="4"/>
      <c r="PJP3" s="4"/>
      <c r="PJQ3" s="4"/>
      <c r="PJR3" s="4"/>
      <c r="PJS3" s="4"/>
      <c r="PJT3" s="4"/>
      <c r="PJU3" s="4"/>
      <c r="PJV3" s="4"/>
      <c r="PJW3" s="4"/>
      <c r="PJX3" s="4"/>
      <c r="PJY3" s="4"/>
      <c r="PJZ3" s="4"/>
      <c r="PKA3" s="4"/>
      <c r="PKB3" s="4"/>
      <c r="PKC3" s="4"/>
      <c r="PKD3" s="4"/>
      <c r="PKE3" s="4"/>
      <c r="PKF3" s="4"/>
      <c r="PKG3" s="4"/>
      <c r="PKH3" s="4"/>
      <c r="PKI3" s="4"/>
      <c r="PKJ3" s="4"/>
      <c r="PKK3" s="4"/>
      <c r="PKL3" s="4"/>
      <c r="PKM3" s="4"/>
      <c r="PKN3" s="4"/>
      <c r="PKO3" s="4"/>
      <c r="PKP3" s="4"/>
      <c r="PKQ3" s="4"/>
      <c r="PKR3" s="4"/>
      <c r="PKS3" s="4"/>
      <c r="PKT3" s="4"/>
      <c r="PKU3" s="4"/>
      <c r="PKV3" s="4"/>
      <c r="PKW3" s="4"/>
      <c r="PKX3" s="4"/>
      <c r="PKY3" s="4"/>
      <c r="PKZ3" s="4"/>
      <c r="PLA3" s="4"/>
      <c r="PLB3" s="4"/>
      <c r="PLC3" s="4"/>
      <c r="PLD3" s="4"/>
      <c r="PLE3" s="4"/>
      <c r="PLF3" s="4"/>
      <c r="PLG3" s="4"/>
      <c r="PLH3" s="4"/>
      <c r="PLI3" s="4"/>
      <c r="PLJ3" s="4"/>
      <c r="PLK3" s="4"/>
      <c r="PLL3" s="4"/>
      <c r="PLM3" s="4"/>
      <c r="PLN3" s="4"/>
      <c r="PLO3" s="4"/>
      <c r="PLP3" s="4"/>
      <c r="PLQ3" s="4"/>
      <c r="PLR3" s="4"/>
      <c r="PLS3" s="4"/>
      <c r="PLT3" s="4"/>
      <c r="PLU3" s="4"/>
      <c r="PLV3" s="4"/>
      <c r="PLW3" s="4"/>
      <c r="PLX3" s="4"/>
      <c r="PLY3" s="4"/>
      <c r="PLZ3" s="4"/>
      <c r="PMA3" s="4"/>
      <c r="PMB3" s="4"/>
      <c r="PMC3" s="4"/>
      <c r="PMD3" s="4"/>
      <c r="PME3" s="4"/>
      <c r="PMF3" s="4"/>
      <c r="PMG3" s="4"/>
      <c r="PMH3" s="4"/>
      <c r="PMI3" s="4"/>
      <c r="PMJ3" s="4"/>
      <c r="PMK3" s="4"/>
      <c r="PML3" s="4"/>
      <c r="PMM3" s="4"/>
      <c r="PMN3" s="4"/>
      <c r="PMO3" s="4"/>
      <c r="PMP3" s="4"/>
      <c r="PMQ3" s="4"/>
      <c r="PMR3" s="4"/>
      <c r="PMS3" s="4"/>
      <c r="PMT3" s="4"/>
      <c r="PMU3" s="4"/>
      <c r="PMV3" s="4"/>
      <c r="PMW3" s="4"/>
      <c r="PMX3" s="4"/>
      <c r="PMY3" s="4"/>
      <c r="PMZ3" s="4"/>
      <c r="PNA3" s="4"/>
      <c r="PNB3" s="4"/>
      <c r="PNC3" s="4"/>
      <c r="PND3" s="4"/>
      <c r="PNE3" s="4"/>
      <c r="PNF3" s="4"/>
      <c r="PNG3" s="4"/>
      <c r="PNH3" s="4"/>
      <c r="PNI3" s="4"/>
      <c r="PNJ3" s="4"/>
      <c r="PNK3" s="4"/>
      <c r="PNL3" s="4"/>
      <c r="PNM3" s="4"/>
      <c r="PNN3" s="4"/>
      <c r="PNO3" s="4"/>
      <c r="PNP3" s="4"/>
      <c r="PNQ3" s="4"/>
      <c r="PNR3" s="4"/>
      <c r="PNS3" s="4"/>
      <c r="PNT3" s="4"/>
      <c r="PNU3" s="4"/>
      <c r="PNV3" s="4"/>
      <c r="PNW3" s="4"/>
      <c r="PNX3" s="4"/>
      <c r="PNY3" s="4"/>
      <c r="PNZ3" s="4"/>
      <c r="POA3" s="4"/>
      <c r="POB3" s="4"/>
      <c r="POC3" s="4"/>
      <c r="POD3" s="4"/>
      <c r="POE3" s="4"/>
      <c r="POF3" s="4"/>
      <c r="POG3" s="4"/>
      <c r="POH3" s="4"/>
      <c r="POI3" s="4"/>
      <c r="POJ3" s="4"/>
      <c r="POK3" s="4"/>
      <c r="POL3" s="4"/>
      <c r="POM3" s="4"/>
      <c r="PON3" s="4"/>
      <c r="POO3" s="4"/>
      <c r="POP3" s="4"/>
      <c r="POQ3" s="4"/>
      <c r="POR3" s="4"/>
      <c r="POS3" s="4"/>
      <c r="POT3" s="4"/>
      <c r="POU3" s="4"/>
      <c r="POV3" s="4"/>
      <c r="POW3" s="4"/>
      <c r="POX3" s="4"/>
      <c r="POY3" s="4"/>
      <c r="POZ3" s="4"/>
      <c r="PPA3" s="4"/>
      <c r="PPB3" s="4"/>
      <c r="PPC3" s="4"/>
      <c r="PPD3" s="4"/>
      <c r="PPE3" s="4"/>
      <c r="PPF3" s="4"/>
      <c r="PPG3" s="4"/>
      <c r="PPH3" s="4"/>
      <c r="PPI3" s="4"/>
      <c r="PPJ3" s="4"/>
      <c r="PPK3" s="4"/>
      <c r="PPL3" s="4"/>
      <c r="PPM3" s="4"/>
      <c r="PPN3" s="4"/>
      <c r="PPO3" s="4"/>
      <c r="PPP3" s="4"/>
      <c r="PPQ3" s="4"/>
      <c r="PPR3" s="4"/>
      <c r="PPS3" s="4"/>
      <c r="PPT3" s="4"/>
      <c r="PPU3" s="4"/>
      <c r="PPV3" s="4"/>
      <c r="PPW3" s="4"/>
      <c r="PPX3" s="4"/>
      <c r="PPY3" s="4"/>
      <c r="PPZ3" s="4"/>
      <c r="PQA3" s="4"/>
      <c r="PQB3" s="4"/>
      <c r="PQC3" s="4"/>
      <c r="PQD3" s="4"/>
      <c r="PQE3" s="4"/>
      <c r="PQF3" s="4"/>
      <c r="PQG3" s="4"/>
      <c r="PQH3" s="4"/>
      <c r="PQI3" s="4"/>
      <c r="PQJ3" s="4"/>
      <c r="PQK3" s="4"/>
      <c r="PQL3" s="4"/>
      <c r="PQM3" s="4"/>
      <c r="PQN3" s="4"/>
      <c r="PQO3" s="4"/>
      <c r="PQP3" s="4"/>
      <c r="PQQ3" s="4"/>
      <c r="PQR3" s="4"/>
      <c r="PQS3" s="4"/>
      <c r="PQT3" s="4"/>
      <c r="PQU3" s="4"/>
      <c r="PQV3" s="4"/>
      <c r="PQW3" s="4"/>
      <c r="PQX3" s="4"/>
      <c r="PQY3" s="4"/>
      <c r="PQZ3" s="4"/>
      <c r="PRA3" s="4"/>
      <c r="PRB3" s="4"/>
      <c r="PRC3" s="4"/>
      <c r="PRD3" s="4"/>
      <c r="PRE3" s="4"/>
      <c r="PRF3" s="4"/>
      <c r="PRG3" s="4"/>
      <c r="PRH3" s="4"/>
      <c r="PRI3" s="4"/>
      <c r="PRJ3" s="4"/>
      <c r="PRK3" s="4"/>
      <c r="PRL3" s="4"/>
      <c r="PRM3" s="4"/>
      <c r="PRN3" s="4"/>
      <c r="PRO3" s="4"/>
      <c r="PRP3" s="4"/>
      <c r="PRQ3" s="4"/>
      <c r="PRR3" s="4"/>
      <c r="PRS3" s="4"/>
      <c r="PRT3" s="4"/>
      <c r="PRU3" s="4"/>
      <c r="PRV3" s="4"/>
      <c r="PRW3" s="4"/>
      <c r="PRX3" s="4"/>
      <c r="PRY3" s="4"/>
      <c r="PRZ3" s="4"/>
      <c r="PSA3" s="4"/>
      <c r="PSB3" s="4"/>
      <c r="PSC3" s="4"/>
      <c r="PSD3" s="4"/>
      <c r="PSE3" s="4"/>
      <c r="PSF3" s="4"/>
      <c r="PSG3" s="4"/>
      <c r="PSH3" s="4"/>
      <c r="PSI3" s="4"/>
      <c r="PSJ3" s="4"/>
      <c r="PSK3" s="4"/>
      <c r="PSL3" s="4"/>
      <c r="PSM3" s="4"/>
      <c r="PSN3" s="4"/>
      <c r="PSO3" s="4"/>
      <c r="PSP3" s="4"/>
      <c r="PSQ3" s="4"/>
      <c r="PSR3" s="4"/>
      <c r="PSS3" s="4"/>
      <c r="PST3" s="4"/>
      <c r="PSU3" s="4"/>
      <c r="PSV3" s="4"/>
      <c r="PSW3" s="4"/>
      <c r="PSX3" s="4"/>
      <c r="PSY3" s="4"/>
      <c r="PSZ3" s="4"/>
      <c r="PTA3" s="4"/>
      <c r="PTB3" s="4"/>
      <c r="PTC3" s="4"/>
      <c r="PTD3" s="4"/>
      <c r="PTE3" s="4"/>
      <c r="PTF3" s="4"/>
      <c r="PTG3" s="4"/>
      <c r="PTH3" s="4"/>
      <c r="PTI3" s="4"/>
      <c r="PTJ3" s="4"/>
      <c r="PTK3" s="4"/>
      <c r="PTL3" s="4"/>
      <c r="PTM3" s="4"/>
      <c r="PTN3" s="4"/>
      <c r="PTO3" s="4"/>
      <c r="PTP3" s="4"/>
      <c r="PTQ3" s="4"/>
      <c r="PTR3" s="4"/>
      <c r="PTS3" s="4"/>
      <c r="PTT3" s="4"/>
      <c r="PTU3" s="4"/>
      <c r="PTV3" s="4"/>
      <c r="PTW3" s="4"/>
      <c r="PTX3" s="4"/>
      <c r="PTY3" s="4"/>
      <c r="PTZ3" s="4"/>
      <c r="PUA3" s="4"/>
      <c r="PUB3" s="4"/>
      <c r="PUC3" s="4"/>
      <c r="PUD3" s="4"/>
      <c r="PUE3" s="4"/>
      <c r="PUF3" s="4"/>
      <c r="PUG3" s="4"/>
      <c r="PUH3" s="4"/>
      <c r="PUI3" s="4"/>
      <c r="PUJ3" s="4"/>
      <c r="PUK3" s="4"/>
      <c r="PUL3" s="4"/>
      <c r="PUM3" s="4"/>
      <c r="PUN3" s="4"/>
      <c r="PUO3" s="4"/>
      <c r="PUP3" s="4"/>
      <c r="PUQ3" s="4"/>
      <c r="PUR3" s="4"/>
      <c r="PUS3" s="4"/>
      <c r="PUT3" s="4"/>
      <c r="PUU3" s="4"/>
      <c r="PUV3" s="4"/>
      <c r="PUW3" s="4"/>
      <c r="PUX3" s="4"/>
      <c r="PUY3" s="4"/>
      <c r="PUZ3" s="4"/>
      <c r="PVA3" s="4"/>
      <c r="PVB3" s="4"/>
      <c r="PVC3" s="4"/>
      <c r="PVD3" s="4"/>
      <c r="PVE3" s="4"/>
      <c r="PVF3" s="4"/>
      <c r="PVG3" s="4"/>
      <c r="PVH3" s="4"/>
      <c r="PVI3" s="4"/>
      <c r="PVJ3" s="4"/>
      <c r="PVK3" s="4"/>
      <c r="PVL3" s="4"/>
      <c r="PVM3" s="4"/>
      <c r="PVN3" s="4"/>
      <c r="PVO3" s="4"/>
      <c r="PVP3" s="4"/>
      <c r="PVQ3" s="4"/>
      <c r="PVR3" s="4"/>
      <c r="PVS3" s="4"/>
      <c r="PVT3" s="4"/>
      <c r="PVU3" s="4"/>
      <c r="PVV3" s="4"/>
      <c r="PVW3" s="4"/>
      <c r="PVX3" s="4"/>
      <c r="PVY3" s="4"/>
      <c r="PVZ3" s="4"/>
      <c r="PWA3" s="4"/>
      <c r="PWB3" s="4"/>
      <c r="PWC3" s="4"/>
      <c r="PWD3" s="4"/>
      <c r="PWE3" s="4"/>
      <c r="PWF3" s="4"/>
      <c r="PWG3" s="4"/>
      <c r="PWH3" s="4"/>
      <c r="PWI3" s="4"/>
      <c r="PWJ3" s="4"/>
      <c r="PWK3" s="4"/>
      <c r="PWL3" s="4"/>
      <c r="PWM3" s="4"/>
      <c r="PWN3" s="4"/>
      <c r="PWO3" s="4"/>
      <c r="PWP3" s="4"/>
      <c r="PWQ3" s="4"/>
      <c r="PWR3" s="4"/>
      <c r="PWS3" s="4"/>
      <c r="PWT3" s="4"/>
      <c r="PWU3" s="4"/>
      <c r="PWV3" s="4"/>
      <c r="PWW3" s="4"/>
      <c r="PWX3" s="4"/>
      <c r="PWY3" s="4"/>
      <c r="PWZ3" s="4"/>
      <c r="PXA3" s="4"/>
      <c r="PXB3" s="4"/>
      <c r="PXC3" s="4"/>
      <c r="PXD3" s="4"/>
      <c r="PXE3" s="4"/>
      <c r="PXF3" s="4"/>
      <c r="PXG3" s="4"/>
      <c r="PXH3" s="4"/>
      <c r="PXI3" s="4"/>
      <c r="PXJ3" s="4"/>
      <c r="PXK3" s="4"/>
      <c r="PXL3" s="4"/>
      <c r="PXM3" s="4"/>
      <c r="PXN3" s="4"/>
      <c r="PXO3" s="4"/>
      <c r="PXP3" s="4"/>
      <c r="PXQ3" s="4"/>
      <c r="PXR3" s="4"/>
      <c r="PXS3" s="4"/>
      <c r="PXT3" s="4"/>
      <c r="PXU3" s="4"/>
      <c r="PXV3" s="4"/>
      <c r="PXW3" s="4"/>
      <c r="PXX3" s="4"/>
      <c r="PXY3" s="4"/>
      <c r="PXZ3" s="4"/>
      <c r="PYA3" s="4"/>
      <c r="PYB3" s="4"/>
      <c r="PYC3" s="4"/>
      <c r="PYD3" s="4"/>
      <c r="PYE3" s="4"/>
      <c r="PYF3" s="4"/>
      <c r="PYG3" s="4"/>
      <c r="PYH3" s="4"/>
      <c r="PYI3" s="4"/>
      <c r="PYJ3" s="4"/>
      <c r="PYK3" s="4"/>
      <c r="PYL3" s="4"/>
      <c r="PYM3" s="4"/>
      <c r="PYN3" s="4"/>
      <c r="PYO3" s="4"/>
      <c r="PYP3" s="4"/>
      <c r="PYQ3" s="4"/>
      <c r="PYR3" s="4"/>
      <c r="PYS3" s="4"/>
      <c r="PYT3" s="4"/>
      <c r="PYU3" s="4"/>
      <c r="PYV3" s="4"/>
      <c r="PYW3" s="4"/>
      <c r="PYX3" s="4"/>
      <c r="PYY3" s="4"/>
      <c r="PYZ3" s="4"/>
      <c r="PZA3" s="4"/>
      <c r="PZB3" s="4"/>
      <c r="PZC3" s="4"/>
      <c r="PZD3" s="4"/>
      <c r="PZE3" s="4"/>
      <c r="PZF3" s="4"/>
      <c r="PZG3" s="4"/>
      <c r="PZH3" s="4"/>
      <c r="PZI3" s="4"/>
      <c r="PZJ3" s="4"/>
      <c r="PZK3" s="4"/>
      <c r="PZL3" s="4"/>
      <c r="PZM3" s="4"/>
      <c r="PZN3" s="4"/>
      <c r="PZO3" s="4"/>
      <c r="PZP3" s="4"/>
      <c r="PZQ3" s="4"/>
      <c r="PZR3" s="4"/>
      <c r="PZS3" s="4"/>
      <c r="PZT3" s="4"/>
      <c r="PZU3" s="4"/>
      <c r="PZV3" s="4"/>
      <c r="PZW3" s="4"/>
      <c r="PZX3" s="4"/>
      <c r="PZY3" s="4"/>
      <c r="PZZ3" s="4"/>
      <c r="QAA3" s="4"/>
      <c r="QAB3" s="4"/>
      <c r="QAC3" s="4"/>
      <c r="QAD3" s="4"/>
      <c r="QAE3" s="4"/>
      <c r="QAF3" s="4"/>
      <c r="QAG3" s="4"/>
      <c r="QAH3" s="4"/>
      <c r="QAI3" s="4"/>
      <c r="QAJ3" s="4"/>
      <c r="QAK3" s="4"/>
      <c r="QAL3" s="4"/>
      <c r="QAM3" s="4"/>
      <c r="QAN3" s="4"/>
      <c r="QAO3" s="4"/>
      <c r="QAP3" s="4"/>
      <c r="QAQ3" s="4"/>
      <c r="QAR3" s="4"/>
      <c r="QAS3" s="4"/>
      <c r="QAT3" s="4"/>
      <c r="QAU3" s="4"/>
      <c r="QAV3" s="4"/>
      <c r="QAW3" s="4"/>
      <c r="QAX3" s="4"/>
      <c r="QAY3" s="4"/>
      <c r="QAZ3" s="4"/>
      <c r="QBA3" s="4"/>
      <c r="QBB3" s="4"/>
      <c r="QBC3" s="4"/>
      <c r="QBD3" s="4"/>
      <c r="QBE3" s="4"/>
      <c r="QBF3" s="4"/>
      <c r="QBG3" s="4"/>
      <c r="QBH3" s="4"/>
      <c r="QBI3" s="4"/>
      <c r="QBJ3" s="4"/>
      <c r="QBK3" s="4"/>
      <c r="QBL3" s="4"/>
      <c r="QBM3" s="4"/>
      <c r="QBN3" s="4"/>
      <c r="QBO3" s="4"/>
      <c r="QBP3" s="4"/>
      <c r="QBQ3" s="4"/>
      <c r="QBR3" s="4"/>
      <c r="QBS3" s="4"/>
      <c r="QBT3" s="4"/>
      <c r="QBU3" s="4"/>
      <c r="QBV3" s="4"/>
      <c r="QBW3" s="4"/>
      <c r="QBX3" s="4"/>
      <c r="QBY3" s="4"/>
      <c r="QBZ3" s="4"/>
      <c r="QCA3" s="4"/>
      <c r="QCB3" s="4"/>
      <c r="QCC3" s="4"/>
      <c r="QCD3" s="4"/>
      <c r="QCE3" s="4"/>
      <c r="QCF3" s="4"/>
      <c r="QCG3" s="4"/>
      <c r="QCH3" s="4"/>
      <c r="QCI3" s="4"/>
      <c r="QCJ3" s="4"/>
      <c r="QCK3" s="4"/>
      <c r="QCL3" s="4"/>
      <c r="QCM3" s="4"/>
      <c r="QCN3" s="4"/>
      <c r="QCO3" s="4"/>
      <c r="QCP3" s="4"/>
      <c r="QCQ3" s="4"/>
      <c r="QCR3" s="4"/>
      <c r="QCS3" s="4"/>
      <c r="QCT3" s="4"/>
      <c r="QCU3" s="4"/>
      <c r="QCV3" s="4"/>
      <c r="QCW3" s="4"/>
      <c r="QCX3" s="4"/>
      <c r="QCY3" s="4"/>
      <c r="QCZ3" s="4"/>
      <c r="QDA3" s="4"/>
      <c r="QDB3" s="4"/>
      <c r="QDC3" s="4"/>
      <c r="QDD3" s="4"/>
      <c r="QDE3" s="4"/>
      <c r="QDF3" s="4"/>
      <c r="QDG3" s="4"/>
      <c r="QDH3" s="4"/>
      <c r="QDI3" s="4"/>
      <c r="QDJ3" s="4"/>
      <c r="QDK3" s="4"/>
      <c r="QDL3" s="4"/>
      <c r="QDM3" s="4"/>
      <c r="QDN3" s="4"/>
      <c r="QDO3" s="4"/>
      <c r="QDP3" s="4"/>
      <c r="QDQ3" s="4"/>
      <c r="QDR3" s="4"/>
      <c r="QDS3" s="4"/>
      <c r="QDT3" s="4"/>
      <c r="QDU3" s="4"/>
      <c r="QDV3" s="4"/>
      <c r="QDW3" s="4"/>
      <c r="QDX3" s="4"/>
      <c r="QDY3" s="4"/>
      <c r="QDZ3" s="4"/>
      <c r="QEA3" s="4"/>
      <c r="QEB3" s="4"/>
      <c r="QEC3" s="4"/>
      <c r="QED3" s="4"/>
      <c r="QEE3" s="4"/>
      <c r="QEF3" s="4"/>
      <c r="QEG3" s="4"/>
      <c r="QEH3" s="4"/>
      <c r="QEI3" s="4"/>
      <c r="QEJ3" s="4"/>
      <c r="QEK3" s="4"/>
      <c r="QEL3" s="4"/>
      <c r="QEM3" s="4"/>
      <c r="QEN3" s="4"/>
      <c r="QEO3" s="4"/>
      <c r="QEP3" s="4"/>
      <c r="QEQ3" s="4"/>
      <c r="QER3" s="4"/>
      <c r="QES3" s="4"/>
      <c r="QET3" s="4"/>
      <c r="QEU3" s="4"/>
      <c r="QEV3" s="4"/>
      <c r="QEW3" s="4"/>
      <c r="QEX3" s="4"/>
      <c r="QEY3" s="4"/>
      <c r="QEZ3" s="4"/>
      <c r="QFA3" s="4"/>
      <c r="QFB3" s="4"/>
      <c r="QFC3" s="4"/>
      <c r="QFD3" s="4"/>
      <c r="QFE3" s="4"/>
      <c r="QFF3" s="4"/>
      <c r="QFG3" s="4"/>
      <c r="QFH3" s="4"/>
      <c r="QFI3" s="4"/>
      <c r="QFJ3" s="4"/>
      <c r="QFK3" s="4"/>
      <c r="QFL3" s="4"/>
      <c r="QFM3" s="4"/>
      <c r="QFN3" s="4"/>
      <c r="QFO3" s="4"/>
      <c r="QFP3" s="4"/>
      <c r="QFQ3" s="4"/>
      <c r="QFR3" s="4"/>
      <c r="QFS3" s="4"/>
      <c r="QFT3" s="4"/>
      <c r="QFU3" s="4"/>
      <c r="QFV3" s="4"/>
      <c r="QFW3" s="4"/>
      <c r="QFX3" s="4"/>
      <c r="QFY3" s="4"/>
      <c r="QFZ3" s="4"/>
      <c r="QGA3" s="4"/>
      <c r="QGB3" s="4"/>
      <c r="QGC3" s="4"/>
      <c r="QGD3" s="4"/>
      <c r="QGE3" s="4"/>
      <c r="QGF3" s="4"/>
      <c r="QGG3" s="4"/>
      <c r="QGH3" s="4"/>
      <c r="QGI3" s="4"/>
      <c r="QGJ3" s="4"/>
      <c r="QGK3" s="4"/>
      <c r="QGL3" s="4"/>
      <c r="QGM3" s="4"/>
      <c r="QGN3" s="4"/>
      <c r="QGO3" s="4"/>
      <c r="QGP3" s="4"/>
      <c r="QGQ3" s="4"/>
      <c r="QGR3" s="4"/>
      <c r="QGS3" s="4"/>
      <c r="QGT3" s="4"/>
      <c r="QGU3" s="4"/>
      <c r="QGV3" s="4"/>
      <c r="QGW3" s="4"/>
      <c r="QGX3" s="4"/>
      <c r="QGY3" s="4"/>
      <c r="QGZ3" s="4"/>
      <c r="QHA3" s="4"/>
      <c r="QHB3" s="4"/>
      <c r="QHC3" s="4"/>
      <c r="QHD3" s="4"/>
      <c r="QHE3" s="4"/>
      <c r="QHF3" s="4"/>
      <c r="QHG3" s="4"/>
      <c r="QHH3" s="4"/>
      <c r="QHI3" s="4"/>
      <c r="QHJ3" s="4"/>
      <c r="QHK3" s="4"/>
      <c r="QHL3" s="4"/>
      <c r="QHM3" s="4"/>
      <c r="QHN3" s="4"/>
      <c r="QHO3" s="4"/>
      <c r="QHP3" s="4"/>
      <c r="QHQ3" s="4"/>
      <c r="QHR3" s="4"/>
      <c r="QHS3" s="4"/>
      <c r="QHT3" s="4"/>
      <c r="QHU3" s="4"/>
      <c r="QHV3" s="4"/>
      <c r="QHW3" s="4"/>
      <c r="QHX3" s="4"/>
      <c r="QHY3" s="4"/>
      <c r="QHZ3" s="4"/>
      <c r="QIA3" s="4"/>
      <c r="QIB3" s="4"/>
      <c r="QIC3" s="4"/>
      <c r="QID3" s="4"/>
      <c r="QIE3" s="4"/>
      <c r="QIF3" s="4"/>
      <c r="QIG3" s="4"/>
      <c r="QIH3" s="4"/>
      <c r="QII3" s="4"/>
      <c r="QIJ3" s="4"/>
      <c r="QIK3" s="4"/>
      <c r="QIL3" s="4"/>
      <c r="QIM3" s="4"/>
      <c r="QIN3" s="4"/>
      <c r="QIO3" s="4"/>
      <c r="QIP3" s="4"/>
      <c r="QIQ3" s="4"/>
      <c r="QIR3" s="4"/>
      <c r="QIS3" s="4"/>
      <c r="QIT3" s="4"/>
      <c r="QIU3" s="4"/>
      <c r="QIV3" s="4"/>
      <c r="QIW3" s="4"/>
      <c r="QIX3" s="4"/>
      <c r="QIY3" s="4"/>
      <c r="QIZ3" s="4"/>
      <c r="QJA3" s="4"/>
      <c r="QJB3" s="4"/>
      <c r="QJC3" s="4"/>
      <c r="QJD3" s="4"/>
      <c r="QJE3" s="4"/>
      <c r="QJF3" s="4"/>
      <c r="QJG3" s="4"/>
      <c r="QJH3" s="4"/>
      <c r="QJI3" s="4"/>
      <c r="QJJ3" s="4"/>
      <c r="QJK3" s="4"/>
      <c r="QJL3" s="4"/>
      <c r="QJM3" s="4"/>
      <c r="QJN3" s="4"/>
      <c r="QJO3" s="4"/>
      <c r="QJP3" s="4"/>
      <c r="QJQ3" s="4"/>
      <c r="QJR3" s="4"/>
      <c r="QJS3" s="4"/>
      <c r="QJT3" s="4"/>
      <c r="QJU3" s="4"/>
      <c r="QJV3" s="4"/>
      <c r="QJW3" s="4"/>
      <c r="QJX3" s="4"/>
      <c r="QJY3" s="4"/>
      <c r="QJZ3" s="4"/>
      <c r="QKA3" s="4"/>
      <c r="QKB3" s="4"/>
      <c r="QKC3" s="4"/>
      <c r="QKD3" s="4"/>
      <c r="QKE3" s="4"/>
      <c r="QKF3" s="4"/>
      <c r="QKG3" s="4"/>
      <c r="QKH3" s="4"/>
      <c r="QKI3" s="4"/>
      <c r="QKJ3" s="4"/>
      <c r="QKK3" s="4"/>
      <c r="QKL3" s="4"/>
      <c r="QKM3" s="4"/>
      <c r="QKN3" s="4"/>
      <c r="QKO3" s="4"/>
      <c r="QKP3" s="4"/>
      <c r="QKQ3" s="4"/>
      <c r="QKR3" s="4"/>
      <c r="QKS3" s="4"/>
      <c r="QKT3" s="4"/>
      <c r="QKU3" s="4"/>
      <c r="QKV3" s="4"/>
      <c r="QKW3" s="4"/>
      <c r="QKX3" s="4"/>
      <c r="QKY3" s="4"/>
      <c r="QKZ3" s="4"/>
      <c r="QLA3" s="4"/>
      <c r="QLB3" s="4"/>
      <c r="QLC3" s="4"/>
      <c r="QLD3" s="4"/>
      <c r="QLE3" s="4"/>
      <c r="QLF3" s="4"/>
      <c r="QLG3" s="4"/>
      <c r="QLH3" s="4"/>
      <c r="QLI3" s="4"/>
      <c r="QLJ3" s="4"/>
      <c r="QLK3" s="4"/>
      <c r="QLL3" s="4"/>
      <c r="QLM3" s="4"/>
      <c r="QLN3" s="4"/>
      <c r="QLO3" s="4"/>
      <c r="QLP3" s="4"/>
      <c r="QLQ3" s="4"/>
      <c r="QLR3" s="4"/>
      <c r="QLS3" s="4"/>
      <c r="QLT3" s="4"/>
      <c r="QLU3" s="4"/>
      <c r="QLV3" s="4"/>
      <c r="QLW3" s="4"/>
      <c r="QLX3" s="4"/>
      <c r="QLY3" s="4"/>
      <c r="QLZ3" s="4"/>
      <c r="QMA3" s="4"/>
      <c r="QMB3" s="4"/>
      <c r="QMC3" s="4"/>
      <c r="QMD3" s="4"/>
      <c r="QME3" s="4"/>
      <c r="QMF3" s="4"/>
      <c r="QMG3" s="4"/>
      <c r="QMH3" s="4"/>
      <c r="QMI3" s="4"/>
      <c r="QMJ3" s="4"/>
      <c r="QMK3" s="4"/>
      <c r="QML3" s="4"/>
      <c r="QMM3" s="4"/>
      <c r="QMN3" s="4"/>
      <c r="QMO3" s="4"/>
      <c r="QMP3" s="4"/>
      <c r="QMQ3" s="4"/>
      <c r="QMR3" s="4"/>
      <c r="QMS3" s="4"/>
      <c r="QMT3" s="4"/>
      <c r="QMU3" s="4"/>
      <c r="QMV3" s="4"/>
      <c r="QMW3" s="4"/>
      <c r="QMX3" s="4"/>
      <c r="QMY3" s="4"/>
      <c r="QMZ3" s="4"/>
      <c r="QNA3" s="4"/>
      <c r="QNB3" s="4"/>
      <c r="QNC3" s="4"/>
      <c r="QND3" s="4"/>
      <c r="QNE3" s="4"/>
      <c r="QNF3" s="4"/>
      <c r="QNG3" s="4"/>
      <c r="QNH3" s="4"/>
      <c r="QNI3" s="4"/>
      <c r="QNJ3" s="4"/>
      <c r="QNK3" s="4"/>
      <c r="QNL3" s="4"/>
      <c r="QNM3" s="4"/>
      <c r="QNN3" s="4"/>
      <c r="QNO3" s="4"/>
      <c r="QNP3" s="4"/>
      <c r="QNQ3" s="4"/>
      <c r="QNR3" s="4"/>
      <c r="QNS3" s="4"/>
      <c r="QNT3" s="4"/>
      <c r="QNU3" s="4"/>
      <c r="QNV3" s="4"/>
      <c r="QNW3" s="4"/>
      <c r="QNX3" s="4"/>
      <c r="QNY3" s="4"/>
      <c r="QNZ3" s="4"/>
      <c r="QOA3" s="4"/>
      <c r="QOB3" s="4"/>
      <c r="QOC3" s="4"/>
      <c r="QOD3" s="4"/>
      <c r="QOE3" s="4"/>
      <c r="QOF3" s="4"/>
      <c r="QOG3" s="4"/>
      <c r="QOH3" s="4"/>
      <c r="QOI3" s="4"/>
      <c r="QOJ3" s="4"/>
      <c r="QOK3" s="4"/>
      <c r="QOL3" s="4"/>
      <c r="QOM3" s="4"/>
      <c r="QON3" s="4"/>
      <c r="QOO3" s="4"/>
      <c r="QOP3" s="4"/>
      <c r="QOQ3" s="4"/>
      <c r="QOR3" s="4"/>
      <c r="QOS3" s="4"/>
      <c r="QOT3" s="4"/>
      <c r="QOU3" s="4"/>
      <c r="QOV3" s="4"/>
      <c r="QOW3" s="4"/>
      <c r="QOX3" s="4"/>
      <c r="QOY3" s="4"/>
      <c r="QOZ3" s="4"/>
      <c r="QPA3" s="4"/>
      <c r="QPB3" s="4"/>
      <c r="QPC3" s="4"/>
      <c r="QPD3" s="4"/>
      <c r="QPE3" s="4"/>
      <c r="QPF3" s="4"/>
      <c r="QPG3" s="4"/>
      <c r="QPH3" s="4"/>
      <c r="QPI3" s="4"/>
      <c r="QPJ3" s="4"/>
      <c r="QPK3" s="4"/>
      <c r="QPL3" s="4"/>
      <c r="QPM3" s="4"/>
      <c r="QPN3" s="4"/>
      <c r="QPO3" s="4"/>
      <c r="QPP3" s="4"/>
      <c r="QPQ3" s="4"/>
      <c r="QPR3" s="4"/>
      <c r="QPS3" s="4"/>
      <c r="QPT3" s="4"/>
      <c r="QPU3" s="4"/>
      <c r="QPV3" s="4"/>
      <c r="QPW3" s="4"/>
      <c r="QPX3" s="4"/>
      <c r="QPY3" s="4"/>
      <c r="QPZ3" s="4"/>
      <c r="QQA3" s="4"/>
      <c r="QQB3" s="4"/>
      <c r="QQC3" s="4"/>
      <c r="QQD3" s="4"/>
      <c r="QQE3" s="4"/>
      <c r="QQF3" s="4"/>
      <c r="QQG3" s="4"/>
      <c r="QQH3" s="4"/>
      <c r="QQI3" s="4"/>
      <c r="QQJ3" s="4"/>
      <c r="QQK3" s="4"/>
      <c r="QQL3" s="4"/>
      <c r="QQM3" s="4"/>
      <c r="QQN3" s="4"/>
      <c r="QQO3" s="4"/>
      <c r="QQP3" s="4"/>
      <c r="QQQ3" s="4"/>
      <c r="QQR3" s="4"/>
      <c r="QQS3" s="4"/>
      <c r="QQT3" s="4"/>
      <c r="QQU3" s="4"/>
      <c r="QQV3" s="4"/>
      <c r="QQW3" s="4"/>
      <c r="QQX3" s="4"/>
      <c r="QQY3" s="4"/>
      <c r="QQZ3" s="4"/>
      <c r="QRA3" s="4"/>
      <c r="QRB3" s="4"/>
      <c r="QRC3" s="4"/>
      <c r="QRD3" s="4"/>
      <c r="QRE3" s="4"/>
      <c r="QRF3" s="4"/>
      <c r="QRG3" s="4"/>
      <c r="QRH3" s="4"/>
      <c r="QRI3" s="4"/>
      <c r="QRJ3" s="4"/>
      <c r="QRK3" s="4"/>
      <c r="QRL3" s="4"/>
      <c r="QRM3" s="4"/>
      <c r="QRN3" s="4"/>
      <c r="QRO3" s="4"/>
      <c r="QRP3" s="4"/>
      <c r="QRQ3" s="4"/>
      <c r="QRR3" s="4"/>
      <c r="QRS3" s="4"/>
      <c r="QRT3" s="4"/>
      <c r="QRU3" s="4"/>
      <c r="QRV3" s="4"/>
      <c r="QRW3" s="4"/>
      <c r="QRX3" s="4"/>
      <c r="QRY3" s="4"/>
      <c r="QRZ3" s="4"/>
      <c r="QSA3" s="4"/>
      <c r="QSB3" s="4"/>
      <c r="QSC3" s="4"/>
      <c r="QSD3" s="4"/>
      <c r="QSE3" s="4"/>
      <c r="QSF3" s="4"/>
      <c r="QSG3" s="4"/>
      <c r="QSH3" s="4"/>
      <c r="QSI3" s="4"/>
      <c r="QSJ3" s="4"/>
      <c r="QSK3" s="4"/>
      <c r="QSL3" s="4"/>
      <c r="QSM3" s="4"/>
      <c r="QSN3" s="4"/>
      <c r="QSO3" s="4"/>
      <c r="QSP3" s="4"/>
      <c r="QSQ3" s="4"/>
      <c r="QSR3" s="4"/>
      <c r="QSS3" s="4"/>
      <c r="QST3" s="4"/>
      <c r="QSU3" s="4"/>
      <c r="QSV3" s="4"/>
      <c r="QSW3" s="4"/>
      <c r="QSX3" s="4"/>
      <c r="QSY3" s="4"/>
      <c r="QSZ3" s="4"/>
      <c r="QTA3" s="4"/>
      <c r="QTB3" s="4"/>
      <c r="QTC3" s="4"/>
      <c r="QTD3" s="4"/>
      <c r="QTE3" s="4"/>
      <c r="QTF3" s="4"/>
      <c r="QTG3" s="4"/>
      <c r="QTH3" s="4"/>
      <c r="QTI3" s="4"/>
      <c r="QTJ3" s="4"/>
      <c r="QTK3" s="4"/>
      <c r="QTL3" s="4"/>
      <c r="QTM3" s="4"/>
      <c r="QTN3" s="4"/>
      <c r="QTO3" s="4"/>
      <c r="QTP3" s="4"/>
      <c r="QTQ3" s="4"/>
      <c r="QTR3" s="4"/>
      <c r="QTS3" s="4"/>
      <c r="QTT3" s="4"/>
      <c r="QTU3" s="4"/>
      <c r="QTV3" s="4"/>
      <c r="QTW3" s="4"/>
      <c r="QTX3" s="4"/>
      <c r="QTY3" s="4"/>
      <c r="QTZ3" s="4"/>
      <c r="QUA3" s="4"/>
      <c r="QUB3" s="4"/>
      <c r="QUC3" s="4"/>
      <c r="QUD3" s="4"/>
      <c r="QUE3" s="4"/>
      <c r="QUF3" s="4"/>
      <c r="QUG3" s="4"/>
      <c r="QUH3" s="4"/>
      <c r="QUI3" s="4"/>
      <c r="QUJ3" s="4"/>
      <c r="QUK3" s="4"/>
      <c r="QUL3" s="4"/>
      <c r="QUM3" s="4"/>
      <c r="QUN3" s="4"/>
      <c r="QUO3" s="4"/>
      <c r="QUP3" s="4"/>
      <c r="QUQ3" s="4"/>
      <c r="QUR3" s="4"/>
      <c r="QUS3" s="4"/>
      <c r="QUT3" s="4"/>
      <c r="QUU3" s="4"/>
      <c r="QUV3" s="4"/>
      <c r="QUW3" s="4"/>
      <c r="QUX3" s="4"/>
      <c r="QUY3" s="4"/>
      <c r="QUZ3" s="4"/>
      <c r="QVA3" s="4"/>
      <c r="QVB3" s="4"/>
      <c r="QVC3" s="4"/>
      <c r="QVD3" s="4"/>
      <c r="QVE3" s="4"/>
      <c r="QVF3" s="4"/>
      <c r="QVG3" s="4"/>
      <c r="QVH3" s="4"/>
      <c r="QVI3" s="4"/>
      <c r="QVJ3" s="4"/>
      <c r="QVK3" s="4"/>
      <c r="QVL3" s="4"/>
      <c r="QVM3" s="4"/>
      <c r="QVN3" s="4"/>
      <c r="QVO3" s="4"/>
      <c r="QVP3" s="4"/>
      <c r="QVQ3" s="4"/>
      <c r="QVR3" s="4"/>
      <c r="QVS3" s="4"/>
      <c r="QVT3" s="4"/>
      <c r="QVU3" s="4"/>
      <c r="QVV3" s="4"/>
      <c r="QVW3" s="4"/>
      <c r="QVX3" s="4"/>
      <c r="QVY3" s="4"/>
      <c r="QVZ3" s="4"/>
      <c r="QWA3" s="4"/>
      <c r="QWB3" s="4"/>
      <c r="QWC3" s="4"/>
      <c r="QWD3" s="4"/>
      <c r="QWE3" s="4"/>
      <c r="QWF3" s="4"/>
      <c r="QWG3" s="4"/>
      <c r="QWH3" s="4"/>
      <c r="QWI3" s="4"/>
      <c r="QWJ3" s="4"/>
      <c r="QWK3" s="4"/>
      <c r="QWL3" s="4"/>
      <c r="QWM3" s="4"/>
      <c r="QWN3" s="4"/>
      <c r="QWO3" s="4"/>
      <c r="QWP3" s="4"/>
      <c r="QWQ3" s="4"/>
      <c r="QWR3" s="4"/>
      <c r="QWS3" s="4"/>
      <c r="QWT3" s="4"/>
      <c r="QWU3" s="4"/>
      <c r="QWV3" s="4"/>
      <c r="QWW3" s="4"/>
      <c r="QWX3" s="4"/>
      <c r="QWY3" s="4"/>
      <c r="QWZ3" s="4"/>
      <c r="QXA3" s="4"/>
      <c r="QXB3" s="4"/>
      <c r="QXC3" s="4"/>
      <c r="QXD3" s="4"/>
      <c r="QXE3" s="4"/>
      <c r="QXF3" s="4"/>
      <c r="QXG3" s="4"/>
      <c r="QXH3" s="4"/>
      <c r="QXI3" s="4"/>
      <c r="QXJ3" s="4"/>
      <c r="QXK3" s="4"/>
      <c r="QXL3" s="4"/>
      <c r="QXM3" s="4"/>
      <c r="QXN3" s="4"/>
      <c r="QXO3" s="4"/>
      <c r="QXP3" s="4"/>
      <c r="QXQ3" s="4"/>
      <c r="QXR3" s="4"/>
      <c r="QXS3" s="4"/>
      <c r="QXT3" s="4"/>
      <c r="QXU3" s="4"/>
      <c r="QXV3" s="4"/>
      <c r="QXW3" s="4"/>
      <c r="QXX3" s="4"/>
      <c r="QXY3" s="4"/>
      <c r="QXZ3" s="4"/>
      <c r="QYA3" s="4"/>
      <c r="QYB3" s="4"/>
      <c r="QYC3" s="4"/>
      <c r="QYD3" s="4"/>
      <c r="QYE3" s="4"/>
      <c r="QYF3" s="4"/>
      <c r="QYG3" s="4"/>
      <c r="QYH3" s="4"/>
      <c r="QYI3" s="4"/>
      <c r="QYJ3" s="4"/>
      <c r="QYK3" s="4"/>
      <c r="QYL3" s="4"/>
      <c r="QYM3" s="4"/>
      <c r="QYN3" s="4"/>
      <c r="QYO3" s="4"/>
      <c r="QYP3" s="4"/>
      <c r="QYQ3" s="4"/>
      <c r="QYR3" s="4"/>
      <c r="QYS3" s="4"/>
      <c r="QYT3" s="4"/>
      <c r="QYU3" s="4"/>
      <c r="QYV3" s="4"/>
      <c r="QYW3" s="4"/>
      <c r="QYX3" s="4"/>
      <c r="QYY3" s="4"/>
      <c r="QYZ3" s="4"/>
      <c r="QZA3" s="4"/>
      <c r="QZB3" s="4"/>
      <c r="QZC3" s="4"/>
      <c r="QZD3" s="4"/>
      <c r="QZE3" s="4"/>
      <c r="QZF3" s="4"/>
      <c r="QZG3" s="4"/>
      <c r="QZH3" s="4"/>
      <c r="QZI3" s="4"/>
      <c r="QZJ3" s="4"/>
      <c r="QZK3" s="4"/>
      <c r="QZL3" s="4"/>
      <c r="QZM3" s="4"/>
      <c r="QZN3" s="4"/>
      <c r="QZO3" s="4"/>
      <c r="QZP3" s="4"/>
      <c r="QZQ3" s="4"/>
      <c r="QZR3" s="4"/>
      <c r="QZS3" s="4"/>
      <c r="QZT3" s="4"/>
      <c r="QZU3" s="4"/>
      <c r="QZV3" s="4"/>
      <c r="QZW3" s="4"/>
      <c r="QZX3" s="4"/>
      <c r="QZY3" s="4"/>
      <c r="QZZ3" s="4"/>
      <c r="RAA3" s="4"/>
      <c r="RAB3" s="4"/>
      <c r="RAC3" s="4"/>
      <c r="RAD3" s="4"/>
      <c r="RAE3" s="4"/>
      <c r="RAF3" s="4"/>
      <c r="RAG3" s="4"/>
      <c r="RAH3" s="4"/>
      <c r="RAI3" s="4"/>
      <c r="RAJ3" s="4"/>
      <c r="RAK3" s="4"/>
      <c r="RAL3" s="4"/>
      <c r="RAM3" s="4"/>
      <c r="RAN3" s="4"/>
      <c r="RAO3" s="4"/>
      <c r="RAP3" s="4"/>
      <c r="RAQ3" s="4"/>
      <c r="RAR3" s="4"/>
      <c r="RAS3" s="4"/>
      <c r="RAT3" s="4"/>
      <c r="RAU3" s="4"/>
      <c r="RAV3" s="4"/>
      <c r="RAW3" s="4"/>
      <c r="RAX3" s="4"/>
      <c r="RAY3" s="4"/>
      <c r="RAZ3" s="4"/>
      <c r="RBA3" s="4"/>
      <c r="RBB3" s="4"/>
      <c r="RBC3" s="4"/>
      <c r="RBD3" s="4"/>
      <c r="RBE3" s="4"/>
      <c r="RBF3" s="4"/>
      <c r="RBG3" s="4"/>
      <c r="RBH3" s="4"/>
      <c r="RBI3" s="4"/>
      <c r="RBJ3" s="4"/>
      <c r="RBK3" s="4"/>
      <c r="RBL3" s="4"/>
      <c r="RBM3" s="4"/>
      <c r="RBN3" s="4"/>
      <c r="RBO3" s="4"/>
      <c r="RBP3" s="4"/>
      <c r="RBQ3" s="4"/>
      <c r="RBR3" s="4"/>
      <c r="RBS3" s="4"/>
      <c r="RBT3" s="4"/>
      <c r="RBU3" s="4"/>
      <c r="RBV3" s="4"/>
      <c r="RBW3" s="4"/>
      <c r="RBX3" s="4"/>
      <c r="RBY3" s="4"/>
      <c r="RBZ3" s="4"/>
      <c r="RCA3" s="4"/>
      <c r="RCB3" s="4"/>
      <c r="RCC3" s="4"/>
      <c r="RCD3" s="4"/>
      <c r="RCE3" s="4"/>
      <c r="RCF3" s="4"/>
      <c r="RCG3" s="4"/>
      <c r="RCH3" s="4"/>
      <c r="RCI3" s="4"/>
      <c r="RCJ3" s="4"/>
      <c r="RCK3" s="4"/>
      <c r="RCL3" s="4"/>
      <c r="RCM3" s="4"/>
      <c r="RCN3" s="4"/>
      <c r="RCO3" s="4"/>
      <c r="RCP3" s="4"/>
      <c r="RCQ3" s="4"/>
      <c r="RCR3" s="4"/>
      <c r="RCS3" s="4"/>
      <c r="RCT3" s="4"/>
      <c r="RCU3" s="4"/>
      <c r="RCV3" s="4"/>
      <c r="RCW3" s="4"/>
      <c r="RCX3" s="4"/>
      <c r="RCY3" s="4"/>
      <c r="RCZ3" s="4"/>
      <c r="RDA3" s="4"/>
      <c r="RDB3" s="4"/>
      <c r="RDC3" s="4"/>
      <c r="RDD3" s="4"/>
      <c r="RDE3" s="4"/>
      <c r="RDF3" s="4"/>
      <c r="RDG3" s="4"/>
      <c r="RDH3" s="4"/>
      <c r="RDI3" s="4"/>
      <c r="RDJ3" s="4"/>
      <c r="RDK3" s="4"/>
      <c r="RDL3" s="4"/>
      <c r="RDM3" s="4"/>
      <c r="RDN3" s="4"/>
      <c r="RDO3" s="4"/>
      <c r="RDP3" s="4"/>
      <c r="RDQ3" s="4"/>
      <c r="RDR3" s="4"/>
      <c r="RDS3" s="4"/>
      <c r="RDT3" s="4"/>
      <c r="RDU3" s="4"/>
      <c r="RDV3" s="4"/>
      <c r="RDW3" s="4"/>
      <c r="RDX3" s="4"/>
      <c r="RDY3" s="4"/>
      <c r="RDZ3" s="4"/>
      <c r="REA3" s="4"/>
      <c r="REB3" s="4"/>
      <c r="REC3" s="4"/>
      <c r="RED3" s="4"/>
      <c r="REE3" s="4"/>
      <c r="REF3" s="4"/>
      <c r="REG3" s="4"/>
      <c r="REH3" s="4"/>
      <c r="REI3" s="4"/>
      <c r="REJ3" s="4"/>
      <c r="REK3" s="4"/>
      <c r="REL3" s="4"/>
      <c r="REM3" s="4"/>
      <c r="REN3" s="4"/>
      <c r="REO3" s="4"/>
      <c r="REP3" s="4"/>
      <c r="REQ3" s="4"/>
      <c r="RER3" s="4"/>
      <c r="RES3" s="4"/>
      <c r="RET3" s="4"/>
      <c r="REU3" s="4"/>
      <c r="REV3" s="4"/>
      <c r="REW3" s="4"/>
      <c r="REX3" s="4"/>
      <c r="REY3" s="4"/>
      <c r="REZ3" s="4"/>
      <c r="RFA3" s="4"/>
      <c r="RFB3" s="4"/>
      <c r="RFC3" s="4"/>
      <c r="RFD3" s="4"/>
      <c r="RFE3" s="4"/>
      <c r="RFF3" s="4"/>
      <c r="RFG3" s="4"/>
      <c r="RFH3" s="4"/>
      <c r="RFI3" s="4"/>
      <c r="RFJ3" s="4"/>
      <c r="RFK3" s="4"/>
      <c r="RFL3" s="4"/>
      <c r="RFM3" s="4"/>
      <c r="RFN3" s="4"/>
      <c r="RFO3" s="4"/>
      <c r="RFP3" s="4"/>
      <c r="RFQ3" s="4"/>
      <c r="RFR3" s="4"/>
      <c r="RFS3" s="4"/>
      <c r="RFT3" s="4"/>
      <c r="RFU3" s="4"/>
      <c r="RFV3" s="4"/>
      <c r="RFW3" s="4"/>
      <c r="RFX3" s="4"/>
      <c r="RFY3" s="4"/>
      <c r="RFZ3" s="4"/>
      <c r="RGA3" s="4"/>
      <c r="RGB3" s="4"/>
      <c r="RGC3" s="4"/>
      <c r="RGD3" s="4"/>
      <c r="RGE3" s="4"/>
      <c r="RGF3" s="4"/>
      <c r="RGG3" s="4"/>
      <c r="RGH3" s="4"/>
      <c r="RGI3" s="4"/>
      <c r="RGJ3" s="4"/>
      <c r="RGK3" s="4"/>
      <c r="RGL3" s="4"/>
      <c r="RGM3" s="4"/>
      <c r="RGN3" s="4"/>
      <c r="RGO3" s="4"/>
      <c r="RGP3" s="4"/>
      <c r="RGQ3" s="4"/>
      <c r="RGR3" s="4"/>
      <c r="RGS3" s="4"/>
      <c r="RGT3" s="4"/>
      <c r="RGU3" s="4"/>
      <c r="RGV3" s="4"/>
      <c r="RGW3" s="4"/>
      <c r="RGX3" s="4"/>
      <c r="RGY3" s="4"/>
      <c r="RGZ3" s="4"/>
      <c r="RHA3" s="4"/>
      <c r="RHB3" s="4"/>
      <c r="RHC3" s="4"/>
      <c r="RHD3" s="4"/>
      <c r="RHE3" s="4"/>
      <c r="RHF3" s="4"/>
      <c r="RHG3" s="4"/>
      <c r="RHH3" s="4"/>
      <c r="RHI3" s="4"/>
      <c r="RHJ3" s="4"/>
      <c r="RHK3" s="4"/>
      <c r="RHL3" s="4"/>
      <c r="RHM3" s="4"/>
      <c r="RHN3" s="4"/>
      <c r="RHO3" s="4"/>
      <c r="RHP3" s="4"/>
      <c r="RHQ3" s="4"/>
      <c r="RHR3" s="4"/>
      <c r="RHS3" s="4"/>
      <c r="RHT3" s="4"/>
      <c r="RHU3" s="4"/>
      <c r="RHV3" s="4"/>
      <c r="RHW3" s="4"/>
      <c r="RHX3" s="4"/>
      <c r="RHY3" s="4"/>
      <c r="RHZ3" s="4"/>
      <c r="RIA3" s="4"/>
      <c r="RIB3" s="4"/>
      <c r="RIC3" s="4"/>
      <c r="RID3" s="4"/>
      <c r="RIE3" s="4"/>
      <c r="RIF3" s="4"/>
      <c r="RIG3" s="4"/>
      <c r="RIH3" s="4"/>
      <c r="RII3" s="4"/>
      <c r="RIJ3" s="4"/>
      <c r="RIK3" s="4"/>
      <c r="RIL3" s="4"/>
      <c r="RIM3" s="4"/>
      <c r="RIN3" s="4"/>
      <c r="RIO3" s="4"/>
      <c r="RIP3" s="4"/>
      <c r="RIQ3" s="4"/>
      <c r="RIR3" s="4"/>
      <c r="RIS3" s="4"/>
      <c r="RIT3" s="4"/>
      <c r="RIU3" s="4"/>
      <c r="RIV3" s="4"/>
      <c r="RIW3" s="4"/>
      <c r="RIX3" s="4"/>
      <c r="RIY3" s="4"/>
      <c r="RIZ3" s="4"/>
      <c r="RJA3" s="4"/>
      <c r="RJB3" s="4"/>
      <c r="RJC3" s="4"/>
      <c r="RJD3" s="4"/>
      <c r="RJE3" s="4"/>
      <c r="RJF3" s="4"/>
      <c r="RJG3" s="4"/>
      <c r="RJH3" s="4"/>
      <c r="RJI3" s="4"/>
      <c r="RJJ3" s="4"/>
      <c r="RJK3" s="4"/>
      <c r="RJL3" s="4"/>
      <c r="RJM3" s="4"/>
      <c r="RJN3" s="4"/>
      <c r="RJO3" s="4"/>
      <c r="RJP3" s="4"/>
      <c r="RJQ3" s="4"/>
      <c r="RJR3" s="4"/>
      <c r="RJS3" s="4"/>
      <c r="RJT3" s="4"/>
      <c r="RJU3" s="4"/>
      <c r="RJV3" s="4"/>
      <c r="RJW3" s="4"/>
      <c r="RJX3" s="4"/>
      <c r="RJY3" s="4"/>
      <c r="RJZ3" s="4"/>
      <c r="RKA3" s="4"/>
      <c r="RKB3" s="4"/>
      <c r="RKC3" s="4"/>
      <c r="RKD3" s="4"/>
      <c r="RKE3" s="4"/>
      <c r="RKF3" s="4"/>
      <c r="RKG3" s="4"/>
      <c r="RKH3" s="4"/>
      <c r="RKI3" s="4"/>
      <c r="RKJ3" s="4"/>
      <c r="RKK3" s="4"/>
      <c r="RKL3" s="4"/>
      <c r="RKM3" s="4"/>
      <c r="RKN3" s="4"/>
      <c r="RKO3" s="4"/>
      <c r="RKP3" s="4"/>
      <c r="RKQ3" s="4"/>
      <c r="RKR3" s="4"/>
      <c r="RKS3" s="4"/>
      <c r="RKT3" s="4"/>
      <c r="RKU3" s="4"/>
      <c r="RKV3" s="4"/>
      <c r="RKW3" s="4"/>
      <c r="RKX3" s="4"/>
      <c r="RKY3" s="4"/>
      <c r="RKZ3" s="4"/>
      <c r="RLA3" s="4"/>
      <c r="RLB3" s="4"/>
      <c r="RLC3" s="4"/>
      <c r="RLD3" s="4"/>
      <c r="RLE3" s="4"/>
      <c r="RLF3" s="4"/>
      <c r="RLG3" s="4"/>
      <c r="RLH3" s="4"/>
      <c r="RLI3" s="4"/>
      <c r="RLJ3" s="4"/>
      <c r="RLK3" s="4"/>
      <c r="RLL3" s="4"/>
      <c r="RLM3" s="4"/>
      <c r="RLN3" s="4"/>
      <c r="RLO3" s="4"/>
      <c r="RLP3" s="4"/>
      <c r="RLQ3" s="4"/>
      <c r="RLR3" s="4"/>
      <c r="RLS3" s="4"/>
      <c r="RLT3" s="4"/>
      <c r="RLU3" s="4"/>
      <c r="RLV3" s="4"/>
      <c r="RLW3" s="4"/>
      <c r="RLX3" s="4"/>
      <c r="RLY3" s="4"/>
      <c r="RLZ3" s="4"/>
      <c r="RMA3" s="4"/>
      <c r="RMB3" s="4"/>
      <c r="RMC3" s="4"/>
      <c r="RMD3" s="4"/>
      <c r="RME3" s="4"/>
      <c r="RMF3" s="4"/>
      <c r="RMG3" s="4"/>
      <c r="RMH3" s="4"/>
      <c r="RMI3" s="4"/>
      <c r="RMJ3" s="4"/>
      <c r="RMK3" s="4"/>
      <c r="RML3" s="4"/>
      <c r="RMM3" s="4"/>
      <c r="RMN3" s="4"/>
      <c r="RMO3" s="4"/>
      <c r="RMP3" s="4"/>
      <c r="RMQ3" s="4"/>
      <c r="RMR3" s="4"/>
      <c r="RMS3" s="4"/>
      <c r="RMT3" s="4"/>
      <c r="RMU3" s="4"/>
      <c r="RMV3" s="4"/>
      <c r="RMW3" s="4"/>
      <c r="RMX3" s="4"/>
      <c r="RMY3" s="4"/>
      <c r="RMZ3" s="4"/>
      <c r="RNA3" s="4"/>
      <c r="RNB3" s="4"/>
      <c r="RNC3" s="4"/>
      <c r="RND3" s="4"/>
      <c r="RNE3" s="4"/>
      <c r="RNF3" s="4"/>
      <c r="RNG3" s="4"/>
      <c r="RNH3" s="4"/>
      <c r="RNI3" s="4"/>
      <c r="RNJ3" s="4"/>
      <c r="RNK3" s="4"/>
      <c r="RNL3" s="4"/>
      <c r="RNM3" s="4"/>
      <c r="RNN3" s="4"/>
      <c r="RNO3" s="4"/>
      <c r="RNP3" s="4"/>
      <c r="RNQ3" s="4"/>
      <c r="RNR3" s="4"/>
      <c r="RNS3" s="4"/>
      <c r="RNT3" s="4"/>
      <c r="RNU3" s="4"/>
      <c r="RNV3" s="4"/>
      <c r="RNW3" s="4"/>
      <c r="RNX3" s="4"/>
      <c r="RNY3" s="4"/>
      <c r="RNZ3" s="4"/>
      <c r="ROA3" s="4"/>
      <c r="ROB3" s="4"/>
      <c r="ROC3" s="4"/>
      <c r="ROD3" s="4"/>
      <c r="ROE3" s="4"/>
      <c r="ROF3" s="4"/>
      <c r="ROG3" s="4"/>
      <c r="ROH3" s="4"/>
      <c r="ROI3" s="4"/>
      <c r="ROJ3" s="4"/>
      <c r="ROK3" s="4"/>
      <c r="ROL3" s="4"/>
      <c r="ROM3" s="4"/>
      <c r="RON3" s="4"/>
      <c r="ROO3" s="4"/>
      <c r="ROP3" s="4"/>
      <c r="ROQ3" s="4"/>
      <c r="ROR3" s="4"/>
      <c r="ROS3" s="4"/>
      <c r="ROT3" s="4"/>
      <c r="ROU3" s="4"/>
      <c r="ROV3" s="4"/>
      <c r="ROW3" s="4"/>
      <c r="ROX3" s="4"/>
      <c r="ROY3" s="4"/>
      <c r="ROZ3" s="4"/>
      <c r="RPA3" s="4"/>
      <c r="RPB3" s="4"/>
      <c r="RPC3" s="4"/>
      <c r="RPD3" s="4"/>
      <c r="RPE3" s="4"/>
      <c r="RPF3" s="4"/>
      <c r="RPG3" s="4"/>
      <c r="RPH3" s="4"/>
      <c r="RPI3" s="4"/>
      <c r="RPJ3" s="4"/>
      <c r="RPK3" s="4"/>
      <c r="RPL3" s="4"/>
      <c r="RPM3" s="4"/>
      <c r="RPN3" s="4"/>
      <c r="RPO3" s="4"/>
      <c r="RPP3" s="4"/>
      <c r="RPQ3" s="4"/>
      <c r="RPR3" s="4"/>
      <c r="RPS3" s="4"/>
      <c r="RPT3" s="4"/>
      <c r="RPU3" s="4"/>
      <c r="RPV3" s="4"/>
      <c r="RPW3" s="4"/>
      <c r="RPX3" s="4"/>
      <c r="RPY3" s="4"/>
      <c r="RPZ3" s="4"/>
      <c r="RQA3" s="4"/>
      <c r="RQB3" s="4"/>
      <c r="RQC3" s="4"/>
      <c r="RQD3" s="4"/>
      <c r="RQE3" s="4"/>
      <c r="RQF3" s="4"/>
      <c r="RQG3" s="4"/>
      <c r="RQH3" s="4"/>
      <c r="RQI3" s="4"/>
      <c r="RQJ3" s="4"/>
      <c r="RQK3" s="4"/>
      <c r="RQL3" s="4"/>
      <c r="RQM3" s="4"/>
      <c r="RQN3" s="4"/>
      <c r="RQO3" s="4"/>
      <c r="RQP3" s="4"/>
      <c r="RQQ3" s="4"/>
      <c r="RQR3" s="4"/>
      <c r="RQS3" s="4"/>
      <c r="RQT3" s="4"/>
      <c r="RQU3" s="4"/>
      <c r="RQV3" s="4"/>
      <c r="RQW3" s="4"/>
      <c r="RQX3" s="4"/>
      <c r="RQY3" s="4"/>
      <c r="RQZ3" s="4"/>
      <c r="RRA3" s="4"/>
      <c r="RRB3" s="4"/>
      <c r="RRC3" s="4"/>
      <c r="RRD3" s="4"/>
      <c r="RRE3" s="4"/>
      <c r="RRF3" s="4"/>
      <c r="RRG3" s="4"/>
      <c r="RRH3" s="4"/>
      <c r="RRI3" s="4"/>
      <c r="RRJ3" s="4"/>
      <c r="RRK3" s="4"/>
      <c r="RRL3" s="4"/>
      <c r="RRM3" s="4"/>
      <c r="RRN3" s="4"/>
      <c r="RRO3" s="4"/>
      <c r="RRP3" s="4"/>
      <c r="RRQ3" s="4"/>
      <c r="RRR3" s="4"/>
      <c r="RRS3" s="4"/>
      <c r="RRT3" s="4"/>
      <c r="RRU3" s="4"/>
      <c r="RRV3" s="4"/>
      <c r="RRW3" s="4"/>
      <c r="RRX3" s="4"/>
      <c r="RRY3" s="4"/>
      <c r="RRZ3" s="4"/>
      <c r="RSA3" s="4"/>
      <c r="RSB3" s="4"/>
      <c r="RSC3" s="4"/>
      <c r="RSD3" s="4"/>
      <c r="RSE3" s="4"/>
      <c r="RSF3" s="4"/>
      <c r="RSG3" s="4"/>
      <c r="RSH3" s="4"/>
      <c r="RSI3" s="4"/>
      <c r="RSJ3" s="4"/>
      <c r="RSK3" s="4"/>
      <c r="RSL3" s="4"/>
      <c r="RSM3" s="4"/>
      <c r="RSN3" s="4"/>
      <c r="RSO3" s="4"/>
      <c r="RSP3" s="4"/>
      <c r="RSQ3" s="4"/>
      <c r="RSR3" s="4"/>
      <c r="RSS3" s="4"/>
      <c r="RST3" s="4"/>
      <c r="RSU3" s="4"/>
      <c r="RSV3" s="4"/>
      <c r="RSW3" s="4"/>
      <c r="RSX3" s="4"/>
      <c r="RSY3" s="4"/>
      <c r="RSZ3" s="4"/>
      <c r="RTA3" s="4"/>
      <c r="RTB3" s="4"/>
      <c r="RTC3" s="4"/>
      <c r="RTD3" s="4"/>
      <c r="RTE3" s="4"/>
      <c r="RTF3" s="4"/>
      <c r="RTG3" s="4"/>
      <c r="RTH3" s="4"/>
      <c r="RTI3" s="4"/>
      <c r="RTJ3" s="4"/>
      <c r="RTK3" s="4"/>
      <c r="RTL3" s="4"/>
      <c r="RTM3" s="4"/>
      <c r="RTN3" s="4"/>
      <c r="RTO3" s="4"/>
      <c r="RTP3" s="4"/>
      <c r="RTQ3" s="4"/>
      <c r="RTR3" s="4"/>
      <c r="RTS3" s="4"/>
      <c r="RTT3" s="4"/>
      <c r="RTU3" s="4"/>
      <c r="RTV3" s="4"/>
      <c r="RTW3" s="4"/>
      <c r="RTX3" s="4"/>
      <c r="RTY3" s="4"/>
      <c r="RTZ3" s="4"/>
      <c r="RUA3" s="4"/>
      <c r="RUB3" s="4"/>
      <c r="RUC3" s="4"/>
      <c r="RUD3" s="4"/>
      <c r="RUE3" s="4"/>
      <c r="RUF3" s="4"/>
      <c r="RUG3" s="4"/>
      <c r="RUH3" s="4"/>
      <c r="RUI3" s="4"/>
      <c r="RUJ3" s="4"/>
      <c r="RUK3" s="4"/>
      <c r="RUL3" s="4"/>
      <c r="RUM3" s="4"/>
      <c r="RUN3" s="4"/>
      <c r="RUO3" s="4"/>
      <c r="RUP3" s="4"/>
      <c r="RUQ3" s="4"/>
      <c r="RUR3" s="4"/>
      <c r="RUS3" s="4"/>
      <c r="RUT3" s="4"/>
      <c r="RUU3" s="4"/>
      <c r="RUV3" s="4"/>
      <c r="RUW3" s="4"/>
      <c r="RUX3" s="4"/>
      <c r="RUY3" s="4"/>
      <c r="RUZ3" s="4"/>
      <c r="RVA3" s="4"/>
      <c r="RVB3" s="4"/>
      <c r="RVC3" s="4"/>
      <c r="RVD3" s="4"/>
      <c r="RVE3" s="4"/>
      <c r="RVF3" s="4"/>
      <c r="RVG3" s="4"/>
      <c r="RVH3" s="4"/>
      <c r="RVI3" s="4"/>
      <c r="RVJ3" s="4"/>
      <c r="RVK3" s="4"/>
      <c r="RVL3" s="4"/>
      <c r="RVM3" s="4"/>
      <c r="RVN3" s="4"/>
      <c r="RVO3" s="4"/>
      <c r="RVP3" s="4"/>
      <c r="RVQ3" s="4"/>
      <c r="RVR3" s="4"/>
      <c r="RVS3" s="4"/>
      <c r="RVT3" s="4"/>
      <c r="RVU3" s="4"/>
      <c r="RVV3" s="4"/>
      <c r="RVW3" s="4"/>
      <c r="RVX3" s="4"/>
      <c r="RVY3" s="4"/>
      <c r="RVZ3" s="4"/>
      <c r="RWA3" s="4"/>
      <c r="RWB3" s="4"/>
      <c r="RWC3" s="4"/>
      <c r="RWD3" s="4"/>
      <c r="RWE3" s="4"/>
      <c r="RWF3" s="4"/>
      <c r="RWG3" s="4"/>
      <c r="RWH3" s="4"/>
      <c r="RWI3" s="4"/>
      <c r="RWJ3" s="4"/>
      <c r="RWK3" s="4"/>
      <c r="RWL3" s="4"/>
      <c r="RWM3" s="4"/>
      <c r="RWN3" s="4"/>
      <c r="RWO3" s="4"/>
      <c r="RWP3" s="4"/>
      <c r="RWQ3" s="4"/>
      <c r="RWR3" s="4"/>
      <c r="RWS3" s="4"/>
      <c r="RWT3" s="4"/>
      <c r="RWU3" s="4"/>
      <c r="RWV3" s="4"/>
      <c r="RWW3" s="4"/>
      <c r="RWX3" s="4"/>
      <c r="RWY3" s="4"/>
      <c r="RWZ3" s="4"/>
      <c r="RXA3" s="4"/>
      <c r="RXB3" s="4"/>
      <c r="RXC3" s="4"/>
      <c r="RXD3" s="4"/>
      <c r="RXE3" s="4"/>
      <c r="RXF3" s="4"/>
      <c r="RXG3" s="4"/>
      <c r="RXH3" s="4"/>
      <c r="RXI3" s="4"/>
      <c r="RXJ3" s="4"/>
      <c r="RXK3" s="4"/>
      <c r="RXL3" s="4"/>
      <c r="RXM3" s="4"/>
      <c r="RXN3" s="4"/>
      <c r="RXO3" s="4"/>
      <c r="RXP3" s="4"/>
      <c r="RXQ3" s="4"/>
      <c r="RXR3" s="4"/>
      <c r="RXS3" s="4"/>
      <c r="RXT3" s="4"/>
      <c r="RXU3" s="4"/>
      <c r="RXV3" s="4"/>
      <c r="RXW3" s="4"/>
      <c r="RXX3" s="4"/>
      <c r="RXY3" s="4"/>
      <c r="RXZ3" s="4"/>
      <c r="RYA3" s="4"/>
      <c r="RYB3" s="4"/>
      <c r="RYC3" s="4"/>
      <c r="RYD3" s="4"/>
      <c r="RYE3" s="4"/>
      <c r="RYF3" s="4"/>
      <c r="RYG3" s="4"/>
      <c r="RYH3" s="4"/>
      <c r="RYI3" s="4"/>
      <c r="RYJ3" s="4"/>
      <c r="RYK3" s="4"/>
      <c r="RYL3" s="4"/>
      <c r="RYM3" s="4"/>
      <c r="RYN3" s="4"/>
      <c r="RYO3" s="4"/>
      <c r="RYP3" s="4"/>
      <c r="RYQ3" s="4"/>
      <c r="RYR3" s="4"/>
      <c r="RYS3" s="4"/>
      <c r="RYT3" s="4"/>
      <c r="RYU3" s="4"/>
      <c r="RYV3" s="4"/>
      <c r="RYW3" s="4"/>
      <c r="RYX3" s="4"/>
      <c r="RYY3" s="4"/>
      <c r="RYZ3" s="4"/>
      <c r="RZA3" s="4"/>
      <c r="RZB3" s="4"/>
      <c r="RZC3" s="4"/>
      <c r="RZD3" s="4"/>
      <c r="RZE3" s="4"/>
      <c r="RZF3" s="4"/>
      <c r="RZG3" s="4"/>
      <c r="RZH3" s="4"/>
      <c r="RZI3" s="4"/>
      <c r="RZJ3" s="4"/>
      <c r="RZK3" s="4"/>
      <c r="RZL3" s="4"/>
      <c r="RZM3" s="4"/>
      <c r="RZN3" s="4"/>
      <c r="RZO3" s="4"/>
      <c r="RZP3" s="4"/>
      <c r="RZQ3" s="4"/>
      <c r="RZR3" s="4"/>
      <c r="RZS3" s="4"/>
      <c r="RZT3" s="4"/>
      <c r="RZU3" s="4"/>
      <c r="RZV3" s="4"/>
      <c r="RZW3" s="4"/>
      <c r="RZX3" s="4"/>
      <c r="RZY3" s="4"/>
      <c r="RZZ3" s="4"/>
      <c r="SAA3" s="4"/>
      <c r="SAB3" s="4"/>
      <c r="SAC3" s="4"/>
      <c r="SAD3" s="4"/>
      <c r="SAE3" s="4"/>
      <c r="SAF3" s="4"/>
      <c r="SAG3" s="4"/>
      <c r="SAH3" s="4"/>
      <c r="SAI3" s="4"/>
      <c r="SAJ3" s="4"/>
      <c r="SAK3" s="4"/>
      <c r="SAL3" s="4"/>
      <c r="SAM3" s="4"/>
      <c r="SAN3" s="4"/>
      <c r="SAO3" s="4"/>
      <c r="SAP3" s="4"/>
      <c r="SAQ3" s="4"/>
      <c r="SAR3" s="4"/>
      <c r="SAS3" s="4"/>
      <c r="SAT3" s="4"/>
      <c r="SAU3" s="4"/>
      <c r="SAV3" s="4"/>
      <c r="SAW3" s="4"/>
      <c r="SAX3" s="4"/>
      <c r="SAY3" s="4"/>
      <c r="SAZ3" s="4"/>
      <c r="SBA3" s="4"/>
      <c r="SBB3" s="4"/>
      <c r="SBC3" s="4"/>
      <c r="SBD3" s="4"/>
      <c r="SBE3" s="4"/>
      <c r="SBF3" s="4"/>
      <c r="SBG3" s="4"/>
      <c r="SBH3" s="4"/>
      <c r="SBI3" s="4"/>
      <c r="SBJ3" s="4"/>
      <c r="SBK3" s="4"/>
      <c r="SBL3" s="4"/>
      <c r="SBM3" s="4"/>
      <c r="SBN3" s="4"/>
      <c r="SBO3" s="4"/>
      <c r="SBP3" s="4"/>
      <c r="SBQ3" s="4"/>
      <c r="SBR3" s="4"/>
      <c r="SBS3" s="4"/>
      <c r="SBT3" s="4"/>
      <c r="SBU3" s="4"/>
      <c r="SBV3" s="4"/>
      <c r="SBW3" s="4"/>
      <c r="SBX3" s="4"/>
      <c r="SBY3" s="4"/>
      <c r="SBZ3" s="4"/>
      <c r="SCA3" s="4"/>
      <c r="SCB3" s="4"/>
      <c r="SCC3" s="4"/>
      <c r="SCD3" s="4"/>
      <c r="SCE3" s="4"/>
      <c r="SCF3" s="4"/>
      <c r="SCG3" s="4"/>
      <c r="SCH3" s="4"/>
      <c r="SCI3" s="4"/>
      <c r="SCJ3" s="4"/>
      <c r="SCK3" s="4"/>
      <c r="SCL3" s="4"/>
      <c r="SCM3" s="4"/>
      <c r="SCN3" s="4"/>
      <c r="SCO3" s="4"/>
      <c r="SCP3" s="4"/>
      <c r="SCQ3" s="4"/>
      <c r="SCR3" s="4"/>
      <c r="SCS3" s="4"/>
      <c r="SCT3" s="4"/>
      <c r="SCU3" s="4"/>
      <c r="SCV3" s="4"/>
      <c r="SCW3" s="4"/>
      <c r="SCX3" s="4"/>
      <c r="SCY3" s="4"/>
      <c r="SCZ3" s="4"/>
      <c r="SDA3" s="4"/>
      <c r="SDB3" s="4"/>
      <c r="SDC3" s="4"/>
      <c r="SDD3" s="4"/>
      <c r="SDE3" s="4"/>
      <c r="SDF3" s="4"/>
      <c r="SDG3" s="4"/>
      <c r="SDH3" s="4"/>
      <c r="SDI3" s="4"/>
      <c r="SDJ3" s="4"/>
      <c r="SDK3" s="4"/>
      <c r="SDL3" s="4"/>
      <c r="SDM3" s="4"/>
      <c r="SDN3" s="4"/>
      <c r="SDO3" s="4"/>
      <c r="SDP3" s="4"/>
      <c r="SDQ3" s="4"/>
      <c r="SDR3" s="4"/>
      <c r="SDS3" s="4"/>
      <c r="SDT3" s="4"/>
      <c r="SDU3" s="4"/>
      <c r="SDV3" s="4"/>
      <c r="SDW3" s="4"/>
      <c r="SDX3" s="4"/>
      <c r="SDY3" s="4"/>
      <c r="SDZ3" s="4"/>
      <c r="SEA3" s="4"/>
      <c r="SEB3" s="4"/>
      <c r="SEC3" s="4"/>
      <c r="SED3" s="4"/>
      <c r="SEE3" s="4"/>
      <c r="SEF3" s="4"/>
      <c r="SEG3" s="4"/>
      <c r="SEH3" s="4"/>
      <c r="SEI3" s="4"/>
      <c r="SEJ3" s="4"/>
      <c r="SEK3" s="4"/>
      <c r="SEL3" s="4"/>
      <c r="SEM3" s="4"/>
      <c r="SEN3" s="4"/>
      <c r="SEO3" s="4"/>
      <c r="SEP3" s="4"/>
      <c r="SEQ3" s="4"/>
      <c r="SER3" s="4"/>
      <c r="SES3" s="4"/>
      <c r="SET3" s="4"/>
      <c r="SEU3" s="4"/>
      <c r="SEV3" s="4"/>
      <c r="SEW3" s="4"/>
      <c r="SEX3" s="4"/>
      <c r="SEY3" s="4"/>
      <c r="SEZ3" s="4"/>
      <c r="SFA3" s="4"/>
      <c r="SFB3" s="4"/>
      <c r="SFC3" s="4"/>
      <c r="SFD3" s="4"/>
      <c r="SFE3" s="4"/>
      <c r="SFF3" s="4"/>
      <c r="SFG3" s="4"/>
      <c r="SFH3" s="4"/>
      <c r="SFI3" s="4"/>
      <c r="SFJ3" s="4"/>
      <c r="SFK3" s="4"/>
      <c r="SFL3" s="4"/>
      <c r="SFM3" s="4"/>
      <c r="SFN3" s="4"/>
      <c r="SFO3" s="4"/>
      <c r="SFP3" s="4"/>
      <c r="SFQ3" s="4"/>
      <c r="SFR3" s="4"/>
      <c r="SFS3" s="4"/>
      <c r="SFT3" s="4"/>
      <c r="SFU3" s="4"/>
      <c r="SFV3" s="4"/>
      <c r="SFW3" s="4"/>
      <c r="SFX3" s="4"/>
      <c r="SFY3" s="4"/>
      <c r="SFZ3" s="4"/>
      <c r="SGA3" s="4"/>
      <c r="SGB3" s="4"/>
      <c r="SGC3" s="4"/>
      <c r="SGD3" s="4"/>
      <c r="SGE3" s="4"/>
      <c r="SGF3" s="4"/>
      <c r="SGG3" s="4"/>
      <c r="SGH3" s="4"/>
      <c r="SGI3" s="4"/>
      <c r="SGJ3" s="4"/>
      <c r="SGK3" s="4"/>
      <c r="SGL3" s="4"/>
      <c r="SGM3" s="4"/>
      <c r="SGN3" s="4"/>
      <c r="SGO3" s="4"/>
      <c r="SGP3" s="4"/>
      <c r="SGQ3" s="4"/>
      <c r="SGR3" s="4"/>
      <c r="SGS3" s="4"/>
      <c r="SGT3" s="4"/>
      <c r="SGU3" s="4"/>
      <c r="SGV3" s="4"/>
      <c r="SGW3" s="4"/>
      <c r="SGX3" s="4"/>
      <c r="SGY3" s="4"/>
      <c r="SGZ3" s="4"/>
      <c r="SHA3" s="4"/>
      <c r="SHB3" s="4"/>
      <c r="SHC3" s="4"/>
      <c r="SHD3" s="4"/>
      <c r="SHE3" s="4"/>
      <c r="SHF3" s="4"/>
      <c r="SHG3" s="4"/>
      <c r="SHH3" s="4"/>
      <c r="SHI3" s="4"/>
      <c r="SHJ3" s="4"/>
      <c r="SHK3" s="4"/>
      <c r="SHL3" s="4"/>
      <c r="SHM3" s="4"/>
      <c r="SHN3" s="4"/>
      <c r="SHO3" s="4"/>
      <c r="SHP3" s="4"/>
      <c r="SHQ3" s="4"/>
      <c r="SHR3" s="4"/>
      <c r="SHS3" s="4"/>
      <c r="SHT3" s="4"/>
      <c r="SHU3" s="4"/>
      <c r="SHV3" s="4"/>
      <c r="SHW3" s="4"/>
      <c r="SHX3" s="4"/>
      <c r="SHY3" s="4"/>
      <c r="SHZ3" s="4"/>
      <c r="SIA3" s="4"/>
      <c r="SIB3" s="4"/>
      <c r="SIC3" s="4"/>
      <c r="SID3" s="4"/>
      <c r="SIE3" s="4"/>
      <c r="SIF3" s="4"/>
      <c r="SIG3" s="4"/>
      <c r="SIH3" s="4"/>
      <c r="SII3" s="4"/>
      <c r="SIJ3" s="4"/>
      <c r="SIK3" s="4"/>
      <c r="SIL3" s="4"/>
      <c r="SIM3" s="4"/>
      <c r="SIN3" s="4"/>
      <c r="SIO3" s="4"/>
      <c r="SIP3" s="4"/>
      <c r="SIQ3" s="4"/>
      <c r="SIR3" s="4"/>
      <c r="SIS3" s="4"/>
      <c r="SIT3" s="4"/>
      <c r="SIU3" s="4"/>
      <c r="SIV3" s="4"/>
      <c r="SIW3" s="4"/>
      <c r="SIX3" s="4"/>
      <c r="SIY3" s="4"/>
      <c r="SIZ3" s="4"/>
      <c r="SJA3" s="4"/>
      <c r="SJB3" s="4"/>
      <c r="SJC3" s="4"/>
      <c r="SJD3" s="4"/>
      <c r="SJE3" s="4"/>
      <c r="SJF3" s="4"/>
      <c r="SJG3" s="4"/>
      <c r="SJH3" s="4"/>
      <c r="SJI3" s="4"/>
      <c r="SJJ3" s="4"/>
      <c r="SJK3" s="4"/>
      <c r="SJL3" s="4"/>
      <c r="SJM3" s="4"/>
      <c r="SJN3" s="4"/>
      <c r="SJO3" s="4"/>
      <c r="SJP3" s="4"/>
      <c r="SJQ3" s="4"/>
      <c r="SJR3" s="4"/>
      <c r="SJS3" s="4"/>
      <c r="SJT3" s="4"/>
      <c r="SJU3" s="4"/>
      <c r="SJV3" s="4"/>
      <c r="SJW3" s="4"/>
      <c r="SJX3" s="4"/>
      <c r="SJY3" s="4"/>
      <c r="SJZ3" s="4"/>
      <c r="SKA3" s="4"/>
      <c r="SKB3" s="4"/>
      <c r="SKC3" s="4"/>
      <c r="SKD3" s="4"/>
      <c r="SKE3" s="4"/>
      <c r="SKF3" s="4"/>
      <c r="SKG3" s="4"/>
      <c r="SKH3" s="4"/>
      <c r="SKI3" s="4"/>
      <c r="SKJ3" s="4"/>
      <c r="SKK3" s="4"/>
      <c r="SKL3" s="4"/>
      <c r="SKM3" s="4"/>
      <c r="SKN3" s="4"/>
      <c r="SKO3" s="4"/>
      <c r="SKP3" s="4"/>
      <c r="SKQ3" s="4"/>
      <c r="SKR3" s="4"/>
      <c r="SKS3" s="4"/>
      <c r="SKT3" s="4"/>
      <c r="SKU3" s="4"/>
      <c r="SKV3" s="4"/>
      <c r="SKW3" s="4"/>
      <c r="SKX3" s="4"/>
      <c r="SKY3" s="4"/>
      <c r="SKZ3" s="4"/>
      <c r="SLA3" s="4"/>
      <c r="SLB3" s="4"/>
      <c r="SLC3" s="4"/>
      <c r="SLD3" s="4"/>
      <c r="SLE3" s="4"/>
      <c r="SLF3" s="4"/>
      <c r="SLG3" s="4"/>
      <c r="SLH3" s="4"/>
      <c r="SLI3" s="4"/>
      <c r="SLJ3" s="4"/>
      <c r="SLK3" s="4"/>
      <c r="SLL3" s="4"/>
      <c r="SLM3" s="4"/>
      <c r="SLN3" s="4"/>
      <c r="SLO3" s="4"/>
      <c r="SLP3" s="4"/>
      <c r="SLQ3" s="4"/>
      <c r="SLR3" s="4"/>
      <c r="SLS3" s="4"/>
      <c r="SLT3" s="4"/>
      <c r="SLU3" s="4"/>
      <c r="SLV3" s="4"/>
      <c r="SLW3" s="4"/>
      <c r="SLX3" s="4"/>
      <c r="SLY3" s="4"/>
      <c r="SLZ3" s="4"/>
      <c r="SMA3" s="4"/>
      <c r="SMB3" s="4"/>
      <c r="SMC3" s="4"/>
      <c r="SMD3" s="4"/>
      <c r="SME3" s="4"/>
      <c r="SMF3" s="4"/>
      <c r="SMG3" s="4"/>
      <c r="SMH3" s="4"/>
      <c r="SMI3" s="4"/>
      <c r="SMJ3" s="4"/>
      <c r="SMK3" s="4"/>
      <c r="SML3" s="4"/>
      <c r="SMM3" s="4"/>
      <c r="SMN3" s="4"/>
      <c r="SMO3" s="4"/>
      <c r="SMP3" s="4"/>
      <c r="SMQ3" s="4"/>
      <c r="SMR3" s="4"/>
      <c r="SMS3" s="4"/>
      <c r="SMT3" s="4"/>
      <c r="SMU3" s="4"/>
      <c r="SMV3" s="4"/>
      <c r="SMW3" s="4"/>
      <c r="SMX3" s="4"/>
      <c r="SMY3" s="4"/>
      <c r="SMZ3" s="4"/>
      <c r="SNA3" s="4"/>
      <c r="SNB3" s="4"/>
      <c r="SNC3" s="4"/>
      <c r="SND3" s="4"/>
      <c r="SNE3" s="4"/>
      <c r="SNF3" s="4"/>
      <c r="SNG3" s="4"/>
      <c r="SNH3" s="4"/>
      <c r="SNI3" s="4"/>
      <c r="SNJ3" s="4"/>
      <c r="SNK3" s="4"/>
      <c r="SNL3" s="4"/>
      <c r="SNM3" s="4"/>
      <c r="SNN3" s="4"/>
      <c r="SNO3" s="4"/>
      <c r="SNP3" s="4"/>
      <c r="SNQ3" s="4"/>
      <c r="SNR3" s="4"/>
      <c r="SNS3" s="4"/>
      <c r="SNT3" s="4"/>
      <c r="SNU3" s="4"/>
      <c r="SNV3" s="4"/>
      <c r="SNW3" s="4"/>
      <c r="SNX3" s="4"/>
      <c r="SNY3" s="4"/>
      <c r="SNZ3" s="4"/>
      <c r="SOA3" s="4"/>
      <c r="SOB3" s="4"/>
      <c r="SOC3" s="4"/>
      <c r="SOD3" s="4"/>
      <c r="SOE3" s="4"/>
      <c r="SOF3" s="4"/>
      <c r="SOG3" s="4"/>
      <c r="SOH3" s="4"/>
      <c r="SOI3" s="4"/>
      <c r="SOJ3" s="4"/>
      <c r="SOK3" s="4"/>
      <c r="SOL3" s="4"/>
      <c r="SOM3" s="4"/>
      <c r="SON3" s="4"/>
      <c r="SOO3" s="4"/>
      <c r="SOP3" s="4"/>
      <c r="SOQ3" s="4"/>
      <c r="SOR3" s="4"/>
      <c r="SOS3" s="4"/>
      <c r="SOT3" s="4"/>
      <c r="SOU3" s="4"/>
      <c r="SOV3" s="4"/>
      <c r="SOW3" s="4"/>
      <c r="SOX3" s="4"/>
      <c r="SOY3" s="4"/>
      <c r="SOZ3" s="4"/>
      <c r="SPA3" s="4"/>
      <c r="SPB3" s="4"/>
      <c r="SPC3" s="4"/>
      <c r="SPD3" s="4"/>
      <c r="SPE3" s="4"/>
      <c r="SPF3" s="4"/>
      <c r="SPG3" s="4"/>
      <c r="SPH3" s="4"/>
      <c r="SPI3" s="4"/>
      <c r="SPJ3" s="4"/>
      <c r="SPK3" s="4"/>
      <c r="SPL3" s="4"/>
      <c r="SPM3" s="4"/>
      <c r="SPN3" s="4"/>
      <c r="SPO3" s="4"/>
      <c r="SPP3" s="4"/>
      <c r="SPQ3" s="4"/>
      <c r="SPR3" s="4"/>
      <c r="SPS3" s="4"/>
      <c r="SPT3" s="4"/>
      <c r="SPU3" s="4"/>
      <c r="SPV3" s="4"/>
      <c r="SPW3" s="4"/>
      <c r="SPX3" s="4"/>
      <c r="SPY3" s="4"/>
      <c r="SPZ3" s="4"/>
      <c r="SQA3" s="4"/>
      <c r="SQB3" s="4"/>
      <c r="SQC3" s="4"/>
      <c r="SQD3" s="4"/>
      <c r="SQE3" s="4"/>
      <c r="SQF3" s="4"/>
      <c r="SQG3" s="4"/>
      <c r="SQH3" s="4"/>
      <c r="SQI3" s="4"/>
      <c r="SQJ3" s="4"/>
      <c r="SQK3" s="4"/>
      <c r="SQL3" s="4"/>
      <c r="SQM3" s="4"/>
      <c r="SQN3" s="4"/>
      <c r="SQO3" s="4"/>
      <c r="SQP3" s="4"/>
      <c r="SQQ3" s="4"/>
      <c r="SQR3" s="4"/>
      <c r="SQS3" s="4"/>
      <c r="SQT3" s="4"/>
      <c r="SQU3" s="4"/>
      <c r="SQV3" s="4"/>
      <c r="SQW3" s="4"/>
      <c r="SQX3" s="4"/>
      <c r="SQY3" s="4"/>
      <c r="SQZ3" s="4"/>
      <c r="SRA3" s="4"/>
      <c r="SRB3" s="4"/>
      <c r="SRC3" s="4"/>
      <c r="SRD3" s="4"/>
      <c r="SRE3" s="4"/>
      <c r="SRF3" s="4"/>
      <c r="SRG3" s="4"/>
      <c r="SRH3" s="4"/>
      <c r="SRI3" s="4"/>
      <c r="SRJ3" s="4"/>
      <c r="SRK3" s="4"/>
      <c r="SRL3" s="4"/>
      <c r="SRM3" s="4"/>
      <c r="SRN3" s="4"/>
      <c r="SRO3" s="4"/>
      <c r="SRP3" s="4"/>
      <c r="SRQ3" s="4"/>
      <c r="SRR3" s="4"/>
      <c r="SRS3" s="4"/>
      <c r="SRT3" s="4"/>
      <c r="SRU3" s="4"/>
      <c r="SRV3" s="4"/>
      <c r="SRW3" s="4"/>
      <c r="SRX3" s="4"/>
      <c r="SRY3" s="4"/>
      <c r="SRZ3" s="4"/>
      <c r="SSA3" s="4"/>
      <c r="SSB3" s="4"/>
      <c r="SSC3" s="4"/>
      <c r="SSD3" s="4"/>
      <c r="SSE3" s="4"/>
      <c r="SSF3" s="4"/>
      <c r="SSG3" s="4"/>
      <c r="SSH3" s="4"/>
      <c r="SSI3" s="4"/>
      <c r="SSJ3" s="4"/>
      <c r="SSK3" s="4"/>
      <c r="SSL3" s="4"/>
      <c r="SSM3" s="4"/>
      <c r="SSN3" s="4"/>
      <c r="SSO3" s="4"/>
      <c r="SSP3" s="4"/>
      <c r="SSQ3" s="4"/>
      <c r="SSR3" s="4"/>
      <c r="SSS3" s="4"/>
      <c r="SST3" s="4"/>
      <c r="SSU3" s="4"/>
      <c r="SSV3" s="4"/>
      <c r="SSW3" s="4"/>
      <c r="SSX3" s="4"/>
      <c r="SSY3" s="4"/>
      <c r="SSZ3" s="4"/>
      <c r="STA3" s="4"/>
      <c r="STB3" s="4"/>
      <c r="STC3" s="4"/>
      <c r="STD3" s="4"/>
      <c r="STE3" s="4"/>
      <c r="STF3" s="4"/>
      <c r="STG3" s="4"/>
      <c r="STH3" s="4"/>
      <c r="STI3" s="4"/>
      <c r="STJ3" s="4"/>
      <c r="STK3" s="4"/>
      <c r="STL3" s="4"/>
      <c r="STM3" s="4"/>
      <c r="STN3" s="4"/>
      <c r="STO3" s="4"/>
      <c r="STP3" s="4"/>
      <c r="STQ3" s="4"/>
      <c r="STR3" s="4"/>
      <c r="STS3" s="4"/>
      <c r="STT3" s="4"/>
      <c r="STU3" s="4"/>
      <c r="STV3" s="4"/>
      <c r="STW3" s="4"/>
      <c r="STX3" s="4"/>
      <c r="STY3" s="4"/>
      <c r="STZ3" s="4"/>
      <c r="SUA3" s="4"/>
      <c r="SUB3" s="4"/>
      <c r="SUC3" s="4"/>
      <c r="SUD3" s="4"/>
      <c r="SUE3" s="4"/>
      <c r="SUF3" s="4"/>
      <c r="SUG3" s="4"/>
      <c r="SUH3" s="4"/>
      <c r="SUI3" s="4"/>
      <c r="SUJ3" s="4"/>
      <c r="SUK3" s="4"/>
      <c r="SUL3" s="4"/>
      <c r="SUM3" s="4"/>
      <c r="SUN3" s="4"/>
      <c r="SUO3" s="4"/>
      <c r="SUP3" s="4"/>
      <c r="SUQ3" s="4"/>
      <c r="SUR3" s="4"/>
      <c r="SUS3" s="4"/>
      <c r="SUT3" s="4"/>
      <c r="SUU3" s="4"/>
      <c r="SUV3" s="4"/>
      <c r="SUW3" s="4"/>
      <c r="SUX3" s="4"/>
      <c r="SUY3" s="4"/>
      <c r="SUZ3" s="4"/>
      <c r="SVA3" s="4"/>
      <c r="SVB3" s="4"/>
      <c r="SVC3" s="4"/>
      <c r="SVD3" s="4"/>
      <c r="SVE3" s="4"/>
      <c r="SVF3" s="4"/>
      <c r="SVG3" s="4"/>
      <c r="SVH3" s="4"/>
      <c r="SVI3" s="4"/>
      <c r="SVJ3" s="4"/>
      <c r="SVK3" s="4"/>
      <c r="SVL3" s="4"/>
      <c r="SVM3" s="4"/>
      <c r="SVN3" s="4"/>
      <c r="SVO3" s="4"/>
      <c r="SVP3" s="4"/>
      <c r="SVQ3" s="4"/>
      <c r="SVR3" s="4"/>
      <c r="SVS3" s="4"/>
      <c r="SVT3" s="4"/>
      <c r="SVU3" s="4"/>
      <c r="SVV3" s="4"/>
      <c r="SVW3" s="4"/>
      <c r="SVX3" s="4"/>
      <c r="SVY3" s="4"/>
      <c r="SVZ3" s="4"/>
      <c r="SWA3" s="4"/>
      <c r="SWB3" s="4"/>
      <c r="SWC3" s="4"/>
      <c r="SWD3" s="4"/>
      <c r="SWE3" s="4"/>
      <c r="SWF3" s="4"/>
      <c r="SWG3" s="4"/>
      <c r="SWH3" s="4"/>
      <c r="SWI3" s="4"/>
      <c r="SWJ3" s="4"/>
      <c r="SWK3" s="4"/>
      <c r="SWL3" s="4"/>
      <c r="SWM3" s="4"/>
      <c r="SWN3" s="4"/>
      <c r="SWO3" s="4"/>
      <c r="SWP3" s="4"/>
      <c r="SWQ3" s="4"/>
      <c r="SWR3" s="4"/>
      <c r="SWS3" s="4"/>
      <c r="SWT3" s="4"/>
      <c r="SWU3" s="4"/>
      <c r="SWV3" s="4"/>
      <c r="SWW3" s="4"/>
      <c r="SWX3" s="4"/>
      <c r="SWY3" s="4"/>
      <c r="SWZ3" s="4"/>
      <c r="SXA3" s="4"/>
      <c r="SXB3" s="4"/>
      <c r="SXC3" s="4"/>
      <c r="SXD3" s="4"/>
      <c r="SXE3" s="4"/>
      <c r="SXF3" s="4"/>
      <c r="SXG3" s="4"/>
      <c r="SXH3" s="4"/>
      <c r="SXI3" s="4"/>
      <c r="SXJ3" s="4"/>
      <c r="SXK3" s="4"/>
      <c r="SXL3" s="4"/>
      <c r="SXM3" s="4"/>
      <c r="SXN3" s="4"/>
      <c r="SXO3" s="4"/>
      <c r="SXP3" s="4"/>
      <c r="SXQ3" s="4"/>
      <c r="SXR3" s="4"/>
      <c r="SXS3" s="4"/>
      <c r="SXT3" s="4"/>
      <c r="SXU3" s="4"/>
      <c r="SXV3" s="4"/>
      <c r="SXW3" s="4"/>
      <c r="SXX3" s="4"/>
      <c r="SXY3" s="4"/>
      <c r="SXZ3" s="4"/>
      <c r="SYA3" s="4"/>
      <c r="SYB3" s="4"/>
      <c r="SYC3" s="4"/>
      <c r="SYD3" s="4"/>
      <c r="SYE3" s="4"/>
      <c r="SYF3" s="4"/>
      <c r="SYG3" s="4"/>
      <c r="SYH3" s="4"/>
      <c r="SYI3" s="4"/>
      <c r="SYJ3" s="4"/>
      <c r="SYK3" s="4"/>
      <c r="SYL3" s="4"/>
      <c r="SYM3" s="4"/>
      <c r="SYN3" s="4"/>
      <c r="SYO3" s="4"/>
      <c r="SYP3" s="4"/>
      <c r="SYQ3" s="4"/>
      <c r="SYR3" s="4"/>
      <c r="SYS3" s="4"/>
      <c r="SYT3" s="4"/>
      <c r="SYU3" s="4"/>
      <c r="SYV3" s="4"/>
      <c r="SYW3" s="4"/>
      <c r="SYX3" s="4"/>
      <c r="SYY3" s="4"/>
      <c r="SYZ3" s="4"/>
      <c r="SZA3" s="4"/>
      <c r="SZB3" s="4"/>
      <c r="SZC3" s="4"/>
      <c r="SZD3" s="4"/>
      <c r="SZE3" s="4"/>
      <c r="SZF3" s="4"/>
      <c r="SZG3" s="4"/>
      <c r="SZH3" s="4"/>
      <c r="SZI3" s="4"/>
      <c r="SZJ3" s="4"/>
      <c r="SZK3" s="4"/>
      <c r="SZL3" s="4"/>
      <c r="SZM3" s="4"/>
      <c r="SZN3" s="4"/>
      <c r="SZO3" s="4"/>
      <c r="SZP3" s="4"/>
      <c r="SZQ3" s="4"/>
      <c r="SZR3" s="4"/>
      <c r="SZS3" s="4"/>
      <c r="SZT3" s="4"/>
      <c r="SZU3" s="4"/>
      <c r="SZV3" s="4"/>
      <c r="SZW3" s="4"/>
      <c r="SZX3" s="4"/>
      <c r="SZY3" s="4"/>
      <c r="SZZ3" s="4"/>
      <c r="TAA3" s="4"/>
      <c r="TAB3" s="4"/>
      <c r="TAC3" s="4"/>
      <c r="TAD3" s="4"/>
      <c r="TAE3" s="4"/>
      <c r="TAF3" s="4"/>
      <c r="TAG3" s="4"/>
      <c r="TAH3" s="4"/>
      <c r="TAI3" s="4"/>
      <c r="TAJ3" s="4"/>
      <c r="TAK3" s="4"/>
      <c r="TAL3" s="4"/>
      <c r="TAM3" s="4"/>
      <c r="TAN3" s="4"/>
      <c r="TAO3" s="4"/>
      <c r="TAP3" s="4"/>
      <c r="TAQ3" s="4"/>
      <c r="TAR3" s="4"/>
      <c r="TAS3" s="4"/>
      <c r="TAT3" s="4"/>
      <c r="TAU3" s="4"/>
      <c r="TAV3" s="4"/>
      <c r="TAW3" s="4"/>
      <c r="TAX3" s="4"/>
      <c r="TAY3" s="4"/>
      <c r="TAZ3" s="4"/>
      <c r="TBA3" s="4"/>
      <c r="TBB3" s="4"/>
      <c r="TBC3" s="4"/>
      <c r="TBD3" s="4"/>
      <c r="TBE3" s="4"/>
      <c r="TBF3" s="4"/>
      <c r="TBG3" s="4"/>
      <c r="TBH3" s="4"/>
      <c r="TBI3" s="4"/>
      <c r="TBJ3" s="4"/>
      <c r="TBK3" s="4"/>
      <c r="TBL3" s="4"/>
      <c r="TBM3" s="4"/>
      <c r="TBN3" s="4"/>
      <c r="TBO3" s="4"/>
      <c r="TBP3" s="4"/>
      <c r="TBQ3" s="4"/>
      <c r="TBR3" s="4"/>
      <c r="TBS3" s="4"/>
      <c r="TBT3" s="4"/>
      <c r="TBU3" s="4"/>
      <c r="TBV3" s="4"/>
      <c r="TBW3" s="4"/>
      <c r="TBX3" s="4"/>
      <c r="TBY3" s="4"/>
      <c r="TBZ3" s="4"/>
      <c r="TCA3" s="4"/>
      <c r="TCB3" s="4"/>
      <c r="TCC3" s="4"/>
      <c r="TCD3" s="4"/>
      <c r="TCE3" s="4"/>
      <c r="TCF3" s="4"/>
      <c r="TCG3" s="4"/>
      <c r="TCH3" s="4"/>
      <c r="TCI3" s="4"/>
      <c r="TCJ3" s="4"/>
      <c r="TCK3" s="4"/>
      <c r="TCL3" s="4"/>
      <c r="TCM3" s="4"/>
      <c r="TCN3" s="4"/>
      <c r="TCO3" s="4"/>
      <c r="TCP3" s="4"/>
      <c r="TCQ3" s="4"/>
      <c r="TCR3" s="4"/>
      <c r="TCS3" s="4"/>
      <c r="TCT3" s="4"/>
      <c r="TCU3" s="4"/>
      <c r="TCV3" s="4"/>
      <c r="TCW3" s="4"/>
      <c r="TCX3" s="4"/>
      <c r="TCY3" s="4"/>
      <c r="TCZ3" s="4"/>
      <c r="TDA3" s="4"/>
      <c r="TDB3" s="4"/>
      <c r="TDC3" s="4"/>
      <c r="TDD3" s="4"/>
      <c r="TDE3" s="4"/>
      <c r="TDF3" s="4"/>
      <c r="TDG3" s="4"/>
      <c r="TDH3" s="4"/>
      <c r="TDI3" s="4"/>
      <c r="TDJ3" s="4"/>
      <c r="TDK3" s="4"/>
      <c r="TDL3" s="4"/>
      <c r="TDM3" s="4"/>
      <c r="TDN3" s="4"/>
      <c r="TDO3" s="4"/>
      <c r="TDP3" s="4"/>
      <c r="TDQ3" s="4"/>
      <c r="TDR3" s="4"/>
      <c r="TDS3" s="4"/>
      <c r="TDT3" s="4"/>
      <c r="TDU3" s="4"/>
      <c r="TDV3" s="4"/>
      <c r="TDW3" s="4"/>
      <c r="TDX3" s="4"/>
      <c r="TDY3" s="4"/>
      <c r="TDZ3" s="4"/>
      <c r="TEA3" s="4"/>
      <c r="TEB3" s="4"/>
      <c r="TEC3" s="4"/>
      <c r="TED3" s="4"/>
      <c r="TEE3" s="4"/>
      <c r="TEF3" s="4"/>
      <c r="TEG3" s="4"/>
      <c r="TEH3" s="4"/>
      <c r="TEI3" s="4"/>
      <c r="TEJ3" s="4"/>
      <c r="TEK3" s="4"/>
      <c r="TEL3" s="4"/>
      <c r="TEM3" s="4"/>
      <c r="TEN3" s="4"/>
      <c r="TEO3" s="4"/>
      <c r="TEP3" s="4"/>
      <c r="TEQ3" s="4"/>
      <c r="TER3" s="4"/>
      <c r="TES3" s="4"/>
      <c r="TET3" s="4"/>
      <c r="TEU3" s="4"/>
      <c r="TEV3" s="4"/>
      <c r="TEW3" s="4"/>
      <c r="TEX3" s="4"/>
      <c r="TEY3" s="4"/>
      <c r="TEZ3" s="4"/>
      <c r="TFA3" s="4"/>
      <c r="TFB3" s="4"/>
      <c r="TFC3" s="4"/>
      <c r="TFD3" s="4"/>
      <c r="TFE3" s="4"/>
      <c r="TFF3" s="4"/>
      <c r="TFG3" s="4"/>
      <c r="TFH3" s="4"/>
      <c r="TFI3" s="4"/>
      <c r="TFJ3" s="4"/>
      <c r="TFK3" s="4"/>
      <c r="TFL3" s="4"/>
      <c r="TFM3" s="4"/>
      <c r="TFN3" s="4"/>
      <c r="TFO3" s="4"/>
      <c r="TFP3" s="4"/>
      <c r="TFQ3" s="4"/>
      <c r="TFR3" s="4"/>
      <c r="TFS3" s="4"/>
      <c r="TFT3" s="4"/>
      <c r="TFU3" s="4"/>
      <c r="TFV3" s="4"/>
      <c r="TFW3" s="4"/>
      <c r="TFX3" s="4"/>
      <c r="TFY3" s="4"/>
      <c r="TFZ3" s="4"/>
      <c r="TGA3" s="4"/>
      <c r="TGB3" s="4"/>
      <c r="TGC3" s="4"/>
      <c r="TGD3" s="4"/>
      <c r="TGE3" s="4"/>
      <c r="TGF3" s="4"/>
      <c r="TGG3" s="4"/>
      <c r="TGH3" s="4"/>
      <c r="TGI3" s="4"/>
      <c r="TGJ3" s="4"/>
      <c r="TGK3" s="4"/>
      <c r="TGL3" s="4"/>
      <c r="TGM3" s="4"/>
      <c r="TGN3" s="4"/>
      <c r="TGO3" s="4"/>
      <c r="TGP3" s="4"/>
      <c r="TGQ3" s="4"/>
      <c r="TGR3" s="4"/>
      <c r="TGS3" s="4"/>
      <c r="TGT3" s="4"/>
      <c r="TGU3" s="4"/>
      <c r="TGV3" s="4"/>
      <c r="TGW3" s="4"/>
      <c r="TGX3" s="4"/>
      <c r="TGY3" s="4"/>
      <c r="TGZ3" s="4"/>
      <c r="THA3" s="4"/>
      <c r="THB3" s="4"/>
      <c r="THC3" s="4"/>
      <c r="THD3" s="4"/>
      <c r="THE3" s="4"/>
      <c r="THF3" s="4"/>
      <c r="THG3" s="4"/>
      <c r="THH3" s="4"/>
      <c r="THI3" s="4"/>
      <c r="THJ3" s="4"/>
      <c r="THK3" s="4"/>
      <c r="THL3" s="4"/>
      <c r="THM3" s="4"/>
      <c r="THN3" s="4"/>
      <c r="THO3" s="4"/>
      <c r="THP3" s="4"/>
      <c r="THQ3" s="4"/>
      <c r="THR3" s="4"/>
      <c r="THS3" s="4"/>
      <c r="THT3" s="4"/>
      <c r="THU3" s="4"/>
      <c r="THV3" s="4"/>
      <c r="THW3" s="4"/>
      <c r="THX3" s="4"/>
      <c r="THY3" s="4"/>
      <c r="THZ3" s="4"/>
      <c r="TIA3" s="4"/>
      <c r="TIB3" s="4"/>
      <c r="TIC3" s="4"/>
      <c r="TID3" s="4"/>
      <c r="TIE3" s="4"/>
      <c r="TIF3" s="4"/>
      <c r="TIG3" s="4"/>
      <c r="TIH3" s="4"/>
      <c r="TII3" s="4"/>
      <c r="TIJ3" s="4"/>
      <c r="TIK3" s="4"/>
      <c r="TIL3" s="4"/>
      <c r="TIM3" s="4"/>
      <c r="TIN3" s="4"/>
      <c r="TIO3" s="4"/>
      <c r="TIP3" s="4"/>
      <c r="TIQ3" s="4"/>
      <c r="TIR3" s="4"/>
      <c r="TIS3" s="4"/>
      <c r="TIT3" s="4"/>
      <c r="TIU3" s="4"/>
      <c r="TIV3" s="4"/>
      <c r="TIW3" s="4"/>
      <c r="TIX3" s="4"/>
      <c r="TIY3" s="4"/>
      <c r="TIZ3" s="4"/>
      <c r="TJA3" s="4"/>
      <c r="TJB3" s="4"/>
      <c r="TJC3" s="4"/>
      <c r="TJD3" s="4"/>
      <c r="TJE3" s="4"/>
      <c r="TJF3" s="4"/>
      <c r="TJG3" s="4"/>
      <c r="TJH3" s="4"/>
      <c r="TJI3" s="4"/>
      <c r="TJJ3" s="4"/>
      <c r="TJK3" s="4"/>
      <c r="TJL3" s="4"/>
      <c r="TJM3" s="4"/>
      <c r="TJN3" s="4"/>
      <c r="TJO3" s="4"/>
      <c r="TJP3" s="4"/>
      <c r="TJQ3" s="4"/>
      <c r="TJR3" s="4"/>
      <c r="TJS3" s="4"/>
      <c r="TJT3" s="4"/>
      <c r="TJU3" s="4"/>
      <c r="TJV3" s="4"/>
      <c r="TJW3" s="4"/>
      <c r="TJX3" s="4"/>
      <c r="TJY3" s="4"/>
      <c r="TJZ3" s="4"/>
      <c r="TKA3" s="4"/>
      <c r="TKB3" s="4"/>
      <c r="TKC3" s="4"/>
      <c r="TKD3" s="4"/>
      <c r="TKE3" s="4"/>
      <c r="TKF3" s="4"/>
      <c r="TKG3" s="4"/>
      <c r="TKH3" s="4"/>
      <c r="TKI3" s="4"/>
      <c r="TKJ3" s="4"/>
      <c r="TKK3" s="4"/>
      <c r="TKL3" s="4"/>
      <c r="TKM3" s="4"/>
      <c r="TKN3" s="4"/>
      <c r="TKO3" s="4"/>
      <c r="TKP3" s="4"/>
      <c r="TKQ3" s="4"/>
      <c r="TKR3" s="4"/>
      <c r="TKS3" s="4"/>
      <c r="TKT3" s="4"/>
      <c r="TKU3" s="4"/>
      <c r="TKV3" s="4"/>
      <c r="TKW3" s="4"/>
      <c r="TKX3" s="4"/>
      <c r="TKY3" s="4"/>
      <c r="TKZ3" s="4"/>
      <c r="TLA3" s="4"/>
      <c r="TLB3" s="4"/>
      <c r="TLC3" s="4"/>
      <c r="TLD3" s="4"/>
      <c r="TLE3" s="4"/>
      <c r="TLF3" s="4"/>
      <c r="TLG3" s="4"/>
      <c r="TLH3" s="4"/>
      <c r="TLI3" s="4"/>
      <c r="TLJ3" s="4"/>
      <c r="TLK3" s="4"/>
      <c r="TLL3" s="4"/>
      <c r="TLM3" s="4"/>
      <c r="TLN3" s="4"/>
      <c r="TLO3" s="4"/>
      <c r="TLP3" s="4"/>
      <c r="TLQ3" s="4"/>
      <c r="TLR3" s="4"/>
      <c r="TLS3" s="4"/>
      <c r="TLT3" s="4"/>
      <c r="TLU3" s="4"/>
      <c r="TLV3" s="4"/>
      <c r="TLW3" s="4"/>
      <c r="TLX3" s="4"/>
      <c r="TLY3" s="4"/>
      <c r="TLZ3" s="4"/>
      <c r="TMA3" s="4"/>
      <c r="TMB3" s="4"/>
      <c r="TMC3" s="4"/>
      <c r="TMD3" s="4"/>
      <c r="TME3" s="4"/>
      <c r="TMF3" s="4"/>
      <c r="TMG3" s="4"/>
      <c r="TMH3" s="4"/>
      <c r="TMI3" s="4"/>
      <c r="TMJ3" s="4"/>
      <c r="TMK3" s="4"/>
      <c r="TML3" s="4"/>
      <c r="TMM3" s="4"/>
      <c r="TMN3" s="4"/>
      <c r="TMO3" s="4"/>
      <c r="TMP3" s="4"/>
      <c r="TMQ3" s="4"/>
      <c r="TMR3" s="4"/>
      <c r="TMS3" s="4"/>
      <c r="TMT3" s="4"/>
      <c r="TMU3" s="4"/>
      <c r="TMV3" s="4"/>
      <c r="TMW3" s="4"/>
      <c r="TMX3" s="4"/>
      <c r="TMY3" s="4"/>
      <c r="TMZ3" s="4"/>
      <c r="TNA3" s="4"/>
      <c r="TNB3" s="4"/>
      <c r="TNC3" s="4"/>
      <c r="TND3" s="4"/>
      <c r="TNE3" s="4"/>
      <c r="TNF3" s="4"/>
      <c r="TNG3" s="4"/>
      <c r="TNH3" s="4"/>
      <c r="TNI3" s="4"/>
      <c r="TNJ3" s="4"/>
      <c r="TNK3" s="4"/>
      <c r="TNL3" s="4"/>
      <c r="TNM3" s="4"/>
      <c r="TNN3" s="4"/>
      <c r="TNO3" s="4"/>
      <c r="TNP3" s="4"/>
      <c r="TNQ3" s="4"/>
      <c r="TNR3" s="4"/>
      <c r="TNS3" s="4"/>
      <c r="TNT3" s="4"/>
      <c r="TNU3" s="4"/>
      <c r="TNV3" s="4"/>
      <c r="TNW3" s="4"/>
      <c r="TNX3" s="4"/>
      <c r="TNY3" s="4"/>
      <c r="TNZ3" s="4"/>
      <c r="TOA3" s="4"/>
      <c r="TOB3" s="4"/>
      <c r="TOC3" s="4"/>
      <c r="TOD3" s="4"/>
      <c r="TOE3" s="4"/>
      <c r="TOF3" s="4"/>
      <c r="TOG3" s="4"/>
      <c r="TOH3" s="4"/>
      <c r="TOI3" s="4"/>
      <c r="TOJ3" s="4"/>
      <c r="TOK3" s="4"/>
      <c r="TOL3" s="4"/>
      <c r="TOM3" s="4"/>
      <c r="TON3" s="4"/>
      <c r="TOO3" s="4"/>
      <c r="TOP3" s="4"/>
      <c r="TOQ3" s="4"/>
      <c r="TOR3" s="4"/>
      <c r="TOS3" s="4"/>
      <c r="TOT3" s="4"/>
      <c r="TOU3" s="4"/>
      <c r="TOV3" s="4"/>
      <c r="TOW3" s="4"/>
      <c r="TOX3" s="4"/>
      <c r="TOY3" s="4"/>
      <c r="TOZ3" s="4"/>
      <c r="TPA3" s="4"/>
      <c r="TPB3" s="4"/>
      <c r="TPC3" s="4"/>
      <c r="TPD3" s="4"/>
      <c r="TPE3" s="4"/>
      <c r="TPF3" s="4"/>
      <c r="TPG3" s="4"/>
      <c r="TPH3" s="4"/>
      <c r="TPI3" s="4"/>
      <c r="TPJ3" s="4"/>
      <c r="TPK3" s="4"/>
      <c r="TPL3" s="4"/>
      <c r="TPM3" s="4"/>
      <c r="TPN3" s="4"/>
      <c r="TPO3" s="4"/>
      <c r="TPP3" s="4"/>
      <c r="TPQ3" s="4"/>
      <c r="TPR3" s="4"/>
      <c r="TPS3" s="4"/>
      <c r="TPT3" s="4"/>
      <c r="TPU3" s="4"/>
      <c r="TPV3" s="4"/>
      <c r="TPW3" s="4"/>
      <c r="TPX3" s="4"/>
      <c r="TPY3" s="4"/>
      <c r="TPZ3" s="4"/>
      <c r="TQA3" s="4"/>
      <c r="TQB3" s="4"/>
      <c r="TQC3" s="4"/>
      <c r="TQD3" s="4"/>
      <c r="TQE3" s="4"/>
      <c r="TQF3" s="4"/>
      <c r="TQG3" s="4"/>
      <c r="TQH3" s="4"/>
      <c r="TQI3" s="4"/>
      <c r="TQJ3" s="4"/>
      <c r="TQK3" s="4"/>
      <c r="TQL3" s="4"/>
      <c r="TQM3" s="4"/>
      <c r="TQN3" s="4"/>
      <c r="TQO3" s="4"/>
      <c r="TQP3" s="4"/>
      <c r="TQQ3" s="4"/>
      <c r="TQR3" s="4"/>
      <c r="TQS3" s="4"/>
      <c r="TQT3" s="4"/>
      <c r="TQU3" s="4"/>
      <c r="TQV3" s="4"/>
      <c r="TQW3" s="4"/>
      <c r="TQX3" s="4"/>
      <c r="TQY3" s="4"/>
      <c r="TQZ3" s="4"/>
      <c r="TRA3" s="4"/>
      <c r="TRB3" s="4"/>
      <c r="TRC3" s="4"/>
      <c r="TRD3" s="4"/>
      <c r="TRE3" s="4"/>
      <c r="TRF3" s="4"/>
      <c r="TRG3" s="4"/>
      <c r="TRH3" s="4"/>
      <c r="TRI3" s="4"/>
      <c r="TRJ3" s="4"/>
      <c r="TRK3" s="4"/>
      <c r="TRL3" s="4"/>
      <c r="TRM3" s="4"/>
      <c r="TRN3" s="4"/>
      <c r="TRO3" s="4"/>
      <c r="TRP3" s="4"/>
      <c r="TRQ3" s="4"/>
      <c r="TRR3" s="4"/>
      <c r="TRS3" s="4"/>
      <c r="TRT3" s="4"/>
      <c r="TRU3" s="4"/>
      <c r="TRV3" s="4"/>
      <c r="TRW3" s="4"/>
      <c r="TRX3" s="4"/>
      <c r="TRY3" s="4"/>
      <c r="TRZ3" s="4"/>
      <c r="TSA3" s="4"/>
      <c r="TSB3" s="4"/>
      <c r="TSC3" s="4"/>
      <c r="TSD3" s="4"/>
      <c r="TSE3" s="4"/>
      <c r="TSF3" s="4"/>
      <c r="TSG3" s="4"/>
      <c r="TSH3" s="4"/>
      <c r="TSI3" s="4"/>
      <c r="TSJ3" s="4"/>
      <c r="TSK3" s="4"/>
      <c r="TSL3" s="4"/>
      <c r="TSM3" s="4"/>
      <c r="TSN3" s="4"/>
      <c r="TSO3" s="4"/>
      <c r="TSP3" s="4"/>
      <c r="TSQ3" s="4"/>
      <c r="TSR3" s="4"/>
      <c r="TSS3" s="4"/>
      <c r="TST3" s="4"/>
      <c r="TSU3" s="4"/>
      <c r="TSV3" s="4"/>
      <c r="TSW3" s="4"/>
      <c r="TSX3" s="4"/>
      <c r="TSY3" s="4"/>
      <c r="TSZ3" s="4"/>
      <c r="TTA3" s="4"/>
      <c r="TTB3" s="4"/>
      <c r="TTC3" s="4"/>
      <c r="TTD3" s="4"/>
      <c r="TTE3" s="4"/>
      <c r="TTF3" s="4"/>
      <c r="TTG3" s="4"/>
      <c r="TTH3" s="4"/>
      <c r="TTI3" s="4"/>
      <c r="TTJ3" s="4"/>
      <c r="TTK3" s="4"/>
      <c r="TTL3" s="4"/>
      <c r="TTM3" s="4"/>
      <c r="TTN3" s="4"/>
      <c r="TTO3" s="4"/>
      <c r="TTP3" s="4"/>
      <c r="TTQ3" s="4"/>
      <c r="TTR3" s="4"/>
      <c r="TTS3" s="4"/>
      <c r="TTT3" s="4"/>
      <c r="TTU3" s="4"/>
      <c r="TTV3" s="4"/>
      <c r="TTW3" s="4"/>
      <c r="TTX3" s="4"/>
      <c r="TTY3" s="4"/>
      <c r="TTZ3" s="4"/>
      <c r="TUA3" s="4"/>
      <c r="TUB3" s="4"/>
      <c r="TUC3" s="4"/>
      <c r="TUD3" s="4"/>
      <c r="TUE3" s="4"/>
      <c r="TUF3" s="4"/>
      <c r="TUG3" s="4"/>
      <c r="TUH3" s="4"/>
      <c r="TUI3" s="4"/>
      <c r="TUJ3" s="4"/>
      <c r="TUK3" s="4"/>
      <c r="TUL3" s="4"/>
      <c r="TUM3" s="4"/>
      <c r="TUN3" s="4"/>
      <c r="TUO3" s="4"/>
      <c r="TUP3" s="4"/>
      <c r="TUQ3" s="4"/>
      <c r="TUR3" s="4"/>
      <c r="TUS3" s="4"/>
      <c r="TUT3" s="4"/>
      <c r="TUU3" s="4"/>
      <c r="TUV3" s="4"/>
      <c r="TUW3" s="4"/>
      <c r="TUX3" s="4"/>
      <c r="TUY3" s="4"/>
      <c r="TUZ3" s="4"/>
      <c r="TVA3" s="4"/>
      <c r="TVB3" s="4"/>
      <c r="TVC3" s="4"/>
      <c r="TVD3" s="4"/>
      <c r="TVE3" s="4"/>
      <c r="TVF3" s="4"/>
      <c r="TVG3" s="4"/>
      <c r="TVH3" s="4"/>
      <c r="TVI3" s="4"/>
      <c r="TVJ3" s="4"/>
      <c r="TVK3" s="4"/>
      <c r="TVL3" s="4"/>
      <c r="TVM3" s="4"/>
      <c r="TVN3" s="4"/>
      <c r="TVO3" s="4"/>
      <c r="TVP3" s="4"/>
      <c r="TVQ3" s="4"/>
      <c r="TVR3" s="4"/>
      <c r="TVS3" s="4"/>
      <c r="TVT3" s="4"/>
      <c r="TVU3" s="4"/>
      <c r="TVV3" s="4"/>
      <c r="TVW3" s="4"/>
      <c r="TVX3" s="4"/>
      <c r="TVY3" s="4"/>
      <c r="TVZ3" s="4"/>
      <c r="TWA3" s="4"/>
      <c r="TWB3" s="4"/>
      <c r="TWC3" s="4"/>
      <c r="TWD3" s="4"/>
      <c r="TWE3" s="4"/>
      <c r="TWF3" s="4"/>
      <c r="TWG3" s="4"/>
      <c r="TWH3" s="4"/>
      <c r="TWI3" s="4"/>
      <c r="TWJ3" s="4"/>
      <c r="TWK3" s="4"/>
      <c r="TWL3" s="4"/>
      <c r="TWM3" s="4"/>
      <c r="TWN3" s="4"/>
      <c r="TWO3" s="4"/>
      <c r="TWP3" s="4"/>
      <c r="TWQ3" s="4"/>
      <c r="TWR3" s="4"/>
      <c r="TWS3" s="4"/>
      <c r="TWT3" s="4"/>
      <c r="TWU3" s="4"/>
      <c r="TWV3" s="4"/>
      <c r="TWW3" s="4"/>
      <c r="TWX3" s="4"/>
      <c r="TWY3" s="4"/>
      <c r="TWZ3" s="4"/>
      <c r="TXA3" s="4"/>
      <c r="TXB3" s="4"/>
      <c r="TXC3" s="4"/>
      <c r="TXD3" s="4"/>
      <c r="TXE3" s="4"/>
      <c r="TXF3" s="4"/>
      <c r="TXG3" s="4"/>
      <c r="TXH3" s="4"/>
      <c r="TXI3" s="4"/>
      <c r="TXJ3" s="4"/>
      <c r="TXK3" s="4"/>
      <c r="TXL3" s="4"/>
      <c r="TXM3" s="4"/>
      <c r="TXN3" s="4"/>
      <c r="TXO3" s="4"/>
      <c r="TXP3" s="4"/>
      <c r="TXQ3" s="4"/>
      <c r="TXR3" s="4"/>
      <c r="TXS3" s="4"/>
      <c r="TXT3" s="4"/>
      <c r="TXU3" s="4"/>
      <c r="TXV3" s="4"/>
      <c r="TXW3" s="4"/>
      <c r="TXX3" s="4"/>
      <c r="TXY3" s="4"/>
      <c r="TXZ3" s="4"/>
      <c r="TYA3" s="4"/>
      <c r="TYB3" s="4"/>
      <c r="TYC3" s="4"/>
      <c r="TYD3" s="4"/>
      <c r="TYE3" s="4"/>
      <c r="TYF3" s="4"/>
      <c r="TYG3" s="4"/>
      <c r="TYH3" s="4"/>
      <c r="TYI3" s="4"/>
      <c r="TYJ3" s="4"/>
      <c r="TYK3" s="4"/>
      <c r="TYL3" s="4"/>
      <c r="TYM3" s="4"/>
      <c r="TYN3" s="4"/>
      <c r="TYO3" s="4"/>
      <c r="TYP3" s="4"/>
      <c r="TYQ3" s="4"/>
      <c r="TYR3" s="4"/>
      <c r="TYS3" s="4"/>
      <c r="TYT3" s="4"/>
      <c r="TYU3" s="4"/>
      <c r="TYV3" s="4"/>
      <c r="TYW3" s="4"/>
      <c r="TYX3" s="4"/>
      <c r="TYY3" s="4"/>
      <c r="TYZ3" s="4"/>
      <c r="TZA3" s="4"/>
      <c r="TZB3" s="4"/>
      <c r="TZC3" s="4"/>
      <c r="TZD3" s="4"/>
      <c r="TZE3" s="4"/>
      <c r="TZF3" s="4"/>
      <c r="TZG3" s="4"/>
      <c r="TZH3" s="4"/>
      <c r="TZI3" s="4"/>
      <c r="TZJ3" s="4"/>
      <c r="TZK3" s="4"/>
      <c r="TZL3" s="4"/>
      <c r="TZM3" s="4"/>
      <c r="TZN3" s="4"/>
      <c r="TZO3" s="4"/>
      <c r="TZP3" s="4"/>
      <c r="TZQ3" s="4"/>
      <c r="TZR3" s="4"/>
      <c r="TZS3" s="4"/>
      <c r="TZT3" s="4"/>
      <c r="TZU3" s="4"/>
      <c r="TZV3" s="4"/>
      <c r="TZW3" s="4"/>
      <c r="TZX3" s="4"/>
      <c r="TZY3" s="4"/>
      <c r="TZZ3" s="4"/>
      <c r="UAA3" s="4"/>
      <c r="UAB3" s="4"/>
      <c r="UAC3" s="4"/>
      <c r="UAD3" s="4"/>
      <c r="UAE3" s="4"/>
      <c r="UAF3" s="4"/>
      <c r="UAG3" s="4"/>
      <c r="UAH3" s="4"/>
      <c r="UAI3" s="4"/>
      <c r="UAJ3" s="4"/>
      <c r="UAK3" s="4"/>
      <c r="UAL3" s="4"/>
      <c r="UAM3" s="4"/>
      <c r="UAN3" s="4"/>
      <c r="UAO3" s="4"/>
      <c r="UAP3" s="4"/>
      <c r="UAQ3" s="4"/>
      <c r="UAR3" s="4"/>
      <c r="UAS3" s="4"/>
      <c r="UAT3" s="4"/>
      <c r="UAU3" s="4"/>
      <c r="UAV3" s="4"/>
      <c r="UAW3" s="4"/>
      <c r="UAX3" s="4"/>
      <c r="UAY3" s="4"/>
      <c r="UAZ3" s="4"/>
      <c r="UBA3" s="4"/>
      <c r="UBB3" s="4"/>
      <c r="UBC3" s="4"/>
      <c r="UBD3" s="4"/>
      <c r="UBE3" s="4"/>
      <c r="UBF3" s="4"/>
      <c r="UBG3" s="4"/>
      <c r="UBH3" s="4"/>
      <c r="UBI3" s="4"/>
      <c r="UBJ3" s="4"/>
      <c r="UBK3" s="4"/>
      <c r="UBL3" s="4"/>
      <c r="UBM3" s="4"/>
      <c r="UBN3" s="4"/>
      <c r="UBO3" s="4"/>
      <c r="UBP3" s="4"/>
      <c r="UBQ3" s="4"/>
      <c r="UBR3" s="4"/>
      <c r="UBS3" s="4"/>
      <c r="UBT3" s="4"/>
      <c r="UBU3" s="4"/>
      <c r="UBV3" s="4"/>
      <c r="UBW3" s="4"/>
      <c r="UBX3" s="4"/>
      <c r="UBY3" s="4"/>
      <c r="UBZ3" s="4"/>
      <c r="UCA3" s="4"/>
      <c r="UCB3" s="4"/>
      <c r="UCC3" s="4"/>
      <c r="UCD3" s="4"/>
      <c r="UCE3" s="4"/>
      <c r="UCF3" s="4"/>
      <c r="UCG3" s="4"/>
      <c r="UCH3" s="4"/>
      <c r="UCI3" s="4"/>
      <c r="UCJ3" s="4"/>
      <c r="UCK3" s="4"/>
      <c r="UCL3" s="4"/>
      <c r="UCM3" s="4"/>
      <c r="UCN3" s="4"/>
      <c r="UCO3" s="4"/>
      <c r="UCP3" s="4"/>
      <c r="UCQ3" s="4"/>
      <c r="UCR3" s="4"/>
      <c r="UCS3" s="4"/>
      <c r="UCT3" s="4"/>
      <c r="UCU3" s="4"/>
      <c r="UCV3" s="4"/>
      <c r="UCW3" s="4"/>
      <c r="UCX3" s="4"/>
      <c r="UCY3" s="4"/>
      <c r="UCZ3" s="4"/>
      <c r="UDA3" s="4"/>
      <c r="UDB3" s="4"/>
      <c r="UDC3" s="4"/>
      <c r="UDD3" s="4"/>
      <c r="UDE3" s="4"/>
      <c r="UDF3" s="4"/>
      <c r="UDG3" s="4"/>
      <c r="UDH3" s="4"/>
      <c r="UDI3" s="4"/>
      <c r="UDJ3" s="4"/>
      <c r="UDK3" s="4"/>
      <c r="UDL3" s="4"/>
      <c r="UDM3" s="4"/>
      <c r="UDN3" s="4"/>
      <c r="UDO3" s="4"/>
      <c r="UDP3" s="4"/>
      <c r="UDQ3" s="4"/>
      <c r="UDR3" s="4"/>
      <c r="UDS3" s="4"/>
      <c r="UDT3" s="4"/>
      <c r="UDU3" s="4"/>
      <c r="UDV3" s="4"/>
      <c r="UDW3" s="4"/>
      <c r="UDX3" s="4"/>
      <c r="UDY3" s="4"/>
      <c r="UDZ3" s="4"/>
      <c r="UEA3" s="4"/>
      <c r="UEB3" s="4"/>
      <c r="UEC3" s="4"/>
      <c r="UED3" s="4"/>
      <c r="UEE3" s="4"/>
      <c r="UEF3" s="4"/>
      <c r="UEG3" s="4"/>
      <c r="UEH3" s="4"/>
      <c r="UEI3" s="4"/>
      <c r="UEJ3" s="4"/>
      <c r="UEK3" s="4"/>
      <c r="UEL3" s="4"/>
      <c r="UEM3" s="4"/>
      <c r="UEN3" s="4"/>
      <c r="UEO3" s="4"/>
      <c r="UEP3" s="4"/>
      <c r="UEQ3" s="4"/>
      <c r="UER3" s="4"/>
      <c r="UES3" s="4"/>
      <c r="UET3" s="4"/>
      <c r="UEU3" s="4"/>
      <c r="UEV3" s="4"/>
      <c r="UEW3" s="4"/>
      <c r="UEX3" s="4"/>
      <c r="UEY3" s="4"/>
      <c r="UEZ3" s="4"/>
      <c r="UFA3" s="4"/>
      <c r="UFB3" s="4"/>
      <c r="UFC3" s="4"/>
      <c r="UFD3" s="4"/>
      <c r="UFE3" s="4"/>
      <c r="UFF3" s="4"/>
      <c r="UFG3" s="4"/>
      <c r="UFH3" s="4"/>
      <c r="UFI3" s="4"/>
      <c r="UFJ3" s="4"/>
      <c r="UFK3" s="4"/>
      <c r="UFL3" s="4"/>
      <c r="UFM3" s="4"/>
      <c r="UFN3" s="4"/>
      <c r="UFO3" s="4"/>
      <c r="UFP3" s="4"/>
      <c r="UFQ3" s="4"/>
      <c r="UFR3" s="4"/>
      <c r="UFS3" s="4"/>
      <c r="UFT3" s="4"/>
      <c r="UFU3" s="4"/>
      <c r="UFV3" s="4"/>
      <c r="UFW3" s="4"/>
      <c r="UFX3" s="4"/>
      <c r="UFY3" s="4"/>
      <c r="UFZ3" s="4"/>
      <c r="UGA3" s="4"/>
      <c r="UGB3" s="4"/>
      <c r="UGC3" s="4"/>
      <c r="UGD3" s="4"/>
      <c r="UGE3" s="4"/>
      <c r="UGF3" s="4"/>
      <c r="UGG3" s="4"/>
      <c r="UGH3" s="4"/>
      <c r="UGI3" s="4"/>
      <c r="UGJ3" s="4"/>
      <c r="UGK3" s="4"/>
      <c r="UGL3" s="4"/>
      <c r="UGM3" s="4"/>
      <c r="UGN3" s="4"/>
      <c r="UGO3" s="4"/>
      <c r="UGP3" s="4"/>
      <c r="UGQ3" s="4"/>
      <c r="UGR3" s="4"/>
      <c r="UGS3" s="4"/>
      <c r="UGT3" s="4"/>
      <c r="UGU3" s="4"/>
      <c r="UGV3" s="4"/>
      <c r="UGW3" s="4"/>
      <c r="UGX3" s="4"/>
      <c r="UGY3" s="4"/>
      <c r="UGZ3" s="4"/>
      <c r="UHA3" s="4"/>
      <c r="UHB3" s="4"/>
      <c r="UHC3" s="4"/>
      <c r="UHD3" s="4"/>
      <c r="UHE3" s="4"/>
      <c r="UHF3" s="4"/>
      <c r="UHG3" s="4"/>
      <c r="UHH3" s="4"/>
      <c r="UHI3" s="4"/>
      <c r="UHJ3" s="4"/>
      <c r="UHK3" s="4"/>
      <c r="UHL3" s="4"/>
      <c r="UHM3" s="4"/>
      <c r="UHN3" s="4"/>
      <c r="UHO3" s="4"/>
      <c r="UHP3" s="4"/>
      <c r="UHQ3" s="4"/>
      <c r="UHR3" s="4"/>
      <c r="UHS3" s="4"/>
      <c r="UHT3" s="4"/>
      <c r="UHU3" s="4"/>
      <c r="UHV3" s="4"/>
      <c r="UHW3" s="4"/>
      <c r="UHX3" s="4"/>
      <c r="UHY3" s="4"/>
      <c r="UHZ3" s="4"/>
      <c r="UIA3" s="4"/>
      <c r="UIB3" s="4"/>
      <c r="UIC3" s="4"/>
      <c r="UID3" s="4"/>
      <c r="UIE3" s="4"/>
      <c r="UIF3" s="4"/>
      <c r="UIG3" s="4"/>
      <c r="UIH3" s="4"/>
      <c r="UII3" s="4"/>
      <c r="UIJ3" s="4"/>
      <c r="UIK3" s="4"/>
      <c r="UIL3" s="4"/>
      <c r="UIM3" s="4"/>
      <c r="UIN3" s="4"/>
      <c r="UIO3" s="4"/>
      <c r="UIP3" s="4"/>
      <c r="UIQ3" s="4"/>
      <c r="UIR3" s="4"/>
      <c r="UIS3" s="4"/>
      <c r="UIT3" s="4"/>
      <c r="UIU3" s="4"/>
      <c r="UIV3" s="4"/>
      <c r="UIW3" s="4"/>
      <c r="UIX3" s="4"/>
      <c r="UIY3" s="4"/>
      <c r="UIZ3" s="4"/>
      <c r="UJA3" s="4"/>
      <c r="UJB3" s="4"/>
      <c r="UJC3" s="4"/>
      <c r="UJD3" s="4"/>
      <c r="UJE3" s="4"/>
      <c r="UJF3" s="4"/>
      <c r="UJG3" s="4"/>
      <c r="UJH3" s="4"/>
      <c r="UJI3" s="4"/>
      <c r="UJJ3" s="4"/>
      <c r="UJK3" s="4"/>
      <c r="UJL3" s="4"/>
      <c r="UJM3" s="4"/>
      <c r="UJN3" s="4"/>
      <c r="UJO3" s="4"/>
      <c r="UJP3" s="4"/>
      <c r="UJQ3" s="4"/>
      <c r="UJR3" s="4"/>
      <c r="UJS3" s="4"/>
      <c r="UJT3" s="4"/>
      <c r="UJU3" s="4"/>
      <c r="UJV3" s="4"/>
      <c r="UJW3" s="4"/>
      <c r="UJX3" s="4"/>
      <c r="UJY3" s="4"/>
      <c r="UJZ3" s="4"/>
      <c r="UKA3" s="4"/>
      <c r="UKB3" s="4"/>
      <c r="UKC3" s="4"/>
      <c r="UKD3" s="4"/>
      <c r="UKE3" s="4"/>
      <c r="UKF3" s="4"/>
      <c r="UKG3" s="4"/>
      <c r="UKH3" s="4"/>
      <c r="UKI3" s="4"/>
      <c r="UKJ3" s="4"/>
      <c r="UKK3" s="4"/>
      <c r="UKL3" s="4"/>
      <c r="UKM3" s="4"/>
      <c r="UKN3" s="4"/>
      <c r="UKO3" s="4"/>
      <c r="UKP3" s="4"/>
      <c r="UKQ3" s="4"/>
      <c r="UKR3" s="4"/>
      <c r="UKS3" s="4"/>
      <c r="UKT3" s="4"/>
      <c r="UKU3" s="4"/>
      <c r="UKV3" s="4"/>
      <c r="UKW3" s="4"/>
      <c r="UKX3" s="4"/>
      <c r="UKY3" s="4"/>
      <c r="UKZ3" s="4"/>
      <c r="ULA3" s="4"/>
      <c r="ULB3" s="4"/>
      <c r="ULC3" s="4"/>
      <c r="ULD3" s="4"/>
      <c r="ULE3" s="4"/>
      <c r="ULF3" s="4"/>
      <c r="ULG3" s="4"/>
      <c r="ULH3" s="4"/>
      <c r="ULI3" s="4"/>
      <c r="ULJ3" s="4"/>
      <c r="ULK3" s="4"/>
      <c r="ULL3" s="4"/>
      <c r="ULM3" s="4"/>
      <c r="ULN3" s="4"/>
      <c r="ULO3" s="4"/>
      <c r="ULP3" s="4"/>
      <c r="ULQ3" s="4"/>
      <c r="ULR3" s="4"/>
      <c r="ULS3" s="4"/>
      <c r="ULT3" s="4"/>
      <c r="ULU3" s="4"/>
      <c r="ULV3" s="4"/>
      <c r="ULW3" s="4"/>
      <c r="ULX3" s="4"/>
      <c r="ULY3" s="4"/>
      <c r="ULZ3" s="4"/>
      <c r="UMA3" s="4"/>
      <c r="UMB3" s="4"/>
      <c r="UMC3" s="4"/>
      <c r="UMD3" s="4"/>
      <c r="UME3" s="4"/>
      <c r="UMF3" s="4"/>
      <c r="UMG3" s="4"/>
      <c r="UMH3" s="4"/>
      <c r="UMI3" s="4"/>
      <c r="UMJ3" s="4"/>
      <c r="UMK3" s="4"/>
      <c r="UML3" s="4"/>
      <c r="UMM3" s="4"/>
      <c r="UMN3" s="4"/>
      <c r="UMO3" s="4"/>
      <c r="UMP3" s="4"/>
      <c r="UMQ3" s="4"/>
      <c r="UMR3" s="4"/>
      <c r="UMS3" s="4"/>
      <c r="UMT3" s="4"/>
      <c r="UMU3" s="4"/>
      <c r="UMV3" s="4"/>
      <c r="UMW3" s="4"/>
      <c r="UMX3" s="4"/>
      <c r="UMY3" s="4"/>
      <c r="UMZ3" s="4"/>
      <c r="UNA3" s="4"/>
      <c r="UNB3" s="4"/>
      <c r="UNC3" s="4"/>
      <c r="UND3" s="4"/>
      <c r="UNE3" s="4"/>
      <c r="UNF3" s="4"/>
      <c r="UNG3" s="4"/>
      <c r="UNH3" s="4"/>
      <c r="UNI3" s="4"/>
      <c r="UNJ3" s="4"/>
      <c r="UNK3" s="4"/>
      <c r="UNL3" s="4"/>
      <c r="UNM3" s="4"/>
      <c r="UNN3" s="4"/>
      <c r="UNO3" s="4"/>
      <c r="UNP3" s="4"/>
      <c r="UNQ3" s="4"/>
      <c r="UNR3" s="4"/>
      <c r="UNS3" s="4"/>
      <c r="UNT3" s="4"/>
      <c r="UNU3" s="4"/>
      <c r="UNV3" s="4"/>
      <c r="UNW3" s="4"/>
      <c r="UNX3" s="4"/>
      <c r="UNY3" s="4"/>
      <c r="UNZ3" s="4"/>
      <c r="UOA3" s="4"/>
      <c r="UOB3" s="4"/>
      <c r="UOC3" s="4"/>
      <c r="UOD3" s="4"/>
      <c r="UOE3" s="4"/>
      <c r="UOF3" s="4"/>
      <c r="UOG3" s="4"/>
      <c r="UOH3" s="4"/>
      <c r="UOI3" s="4"/>
      <c r="UOJ3" s="4"/>
      <c r="UOK3" s="4"/>
      <c r="UOL3" s="4"/>
      <c r="UOM3" s="4"/>
      <c r="UON3" s="4"/>
      <c r="UOO3" s="4"/>
      <c r="UOP3" s="4"/>
      <c r="UOQ3" s="4"/>
      <c r="UOR3" s="4"/>
      <c r="UOS3" s="4"/>
      <c r="UOT3" s="4"/>
      <c r="UOU3" s="4"/>
      <c r="UOV3" s="4"/>
      <c r="UOW3" s="4"/>
      <c r="UOX3" s="4"/>
      <c r="UOY3" s="4"/>
      <c r="UOZ3" s="4"/>
      <c r="UPA3" s="4"/>
      <c r="UPB3" s="4"/>
      <c r="UPC3" s="4"/>
      <c r="UPD3" s="4"/>
      <c r="UPE3" s="4"/>
      <c r="UPF3" s="4"/>
      <c r="UPG3" s="4"/>
      <c r="UPH3" s="4"/>
      <c r="UPI3" s="4"/>
      <c r="UPJ3" s="4"/>
      <c r="UPK3" s="4"/>
      <c r="UPL3" s="4"/>
      <c r="UPM3" s="4"/>
      <c r="UPN3" s="4"/>
      <c r="UPO3" s="4"/>
      <c r="UPP3" s="4"/>
      <c r="UPQ3" s="4"/>
      <c r="UPR3" s="4"/>
      <c r="UPS3" s="4"/>
      <c r="UPT3" s="4"/>
      <c r="UPU3" s="4"/>
      <c r="UPV3" s="4"/>
      <c r="UPW3" s="4"/>
      <c r="UPX3" s="4"/>
      <c r="UPY3" s="4"/>
      <c r="UPZ3" s="4"/>
      <c r="UQA3" s="4"/>
      <c r="UQB3" s="4"/>
      <c r="UQC3" s="4"/>
      <c r="UQD3" s="4"/>
      <c r="UQE3" s="4"/>
      <c r="UQF3" s="4"/>
      <c r="UQG3" s="4"/>
      <c r="UQH3" s="4"/>
      <c r="UQI3" s="4"/>
      <c r="UQJ3" s="4"/>
      <c r="UQK3" s="4"/>
      <c r="UQL3" s="4"/>
      <c r="UQM3" s="4"/>
      <c r="UQN3" s="4"/>
      <c r="UQO3" s="4"/>
      <c r="UQP3" s="4"/>
      <c r="UQQ3" s="4"/>
      <c r="UQR3" s="4"/>
      <c r="UQS3" s="4"/>
      <c r="UQT3" s="4"/>
      <c r="UQU3" s="4"/>
      <c r="UQV3" s="4"/>
      <c r="UQW3" s="4"/>
      <c r="UQX3" s="4"/>
      <c r="UQY3" s="4"/>
      <c r="UQZ3" s="4"/>
      <c r="URA3" s="4"/>
      <c r="URB3" s="4"/>
      <c r="URC3" s="4"/>
      <c r="URD3" s="4"/>
      <c r="URE3" s="4"/>
      <c r="URF3" s="4"/>
      <c r="URG3" s="4"/>
      <c r="URH3" s="4"/>
      <c r="URI3" s="4"/>
      <c r="URJ3" s="4"/>
      <c r="URK3" s="4"/>
      <c r="URL3" s="4"/>
      <c r="URM3" s="4"/>
      <c r="URN3" s="4"/>
      <c r="URO3" s="4"/>
      <c r="URP3" s="4"/>
      <c r="URQ3" s="4"/>
      <c r="URR3" s="4"/>
      <c r="URS3" s="4"/>
      <c r="URT3" s="4"/>
      <c r="URU3" s="4"/>
      <c r="URV3" s="4"/>
      <c r="URW3" s="4"/>
      <c r="URX3" s="4"/>
      <c r="URY3" s="4"/>
      <c r="URZ3" s="4"/>
      <c r="USA3" s="4"/>
      <c r="USB3" s="4"/>
      <c r="USC3" s="4"/>
      <c r="USD3" s="4"/>
      <c r="USE3" s="4"/>
      <c r="USF3" s="4"/>
      <c r="USG3" s="4"/>
      <c r="USH3" s="4"/>
      <c r="USI3" s="4"/>
      <c r="USJ3" s="4"/>
      <c r="USK3" s="4"/>
      <c r="USL3" s="4"/>
      <c r="USM3" s="4"/>
      <c r="USN3" s="4"/>
      <c r="USO3" s="4"/>
      <c r="USP3" s="4"/>
      <c r="USQ3" s="4"/>
      <c r="USR3" s="4"/>
      <c r="USS3" s="4"/>
      <c r="UST3" s="4"/>
      <c r="USU3" s="4"/>
      <c r="USV3" s="4"/>
      <c r="USW3" s="4"/>
      <c r="USX3" s="4"/>
      <c r="USY3" s="4"/>
      <c r="USZ3" s="4"/>
      <c r="UTA3" s="4"/>
      <c r="UTB3" s="4"/>
      <c r="UTC3" s="4"/>
      <c r="UTD3" s="4"/>
      <c r="UTE3" s="4"/>
      <c r="UTF3" s="4"/>
      <c r="UTG3" s="4"/>
      <c r="UTH3" s="4"/>
      <c r="UTI3" s="4"/>
      <c r="UTJ3" s="4"/>
      <c r="UTK3" s="4"/>
      <c r="UTL3" s="4"/>
      <c r="UTM3" s="4"/>
      <c r="UTN3" s="4"/>
      <c r="UTO3" s="4"/>
      <c r="UTP3" s="4"/>
      <c r="UTQ3" s="4"/>
      <c r="UTR3" s="4"/>
      <c r="UTS3" s="4"/>
      <c r="UTT3" s="4"/>
      <c r="UTU3" s="4"/>
      <c r="UTV3" s="4"/>
      <c r="UTW3" s="4"/>
      <c r="UTX3" s="4"/>
      <c r="UTY3" s="4"/>
      <c r="UTZ3" s="4"/>
      <c r="UUA3" s="4"/>
      <c r="UUB3" s="4"/>
      <c r="UUC3" s="4"/>
      <c r="UUD3" s="4"/>
      <c r="UUE3" s="4"/>
      <c r="UUF3" s="4"/>
      <c r="UUG3" s="4"/>
      <c r="UUH3" s="4"/>
      <c r="UUI3" s="4"/>
      <c r="UUJ3" s="4"/>
      <c r="UUK3" s="4"/>
      <c r="UUL3" s="4"/>
      <c r="UUM3" s="4"/>
      <c r="UUN3" s="4"/>
      <c r="UUO3" s="4"/>
      <c r="UUP3" s="4"/>
      <c r="UUQ3" s="4"/>
      <c r="UUR3" s="4"/>
      <c r="UUS3" s="4"/>
      <c r="UUT3" s="4"/>
      <c r="UUU3" s="4"/>
      <c r="UUV3" s="4"/>
      <c r="UUW3" s="4"/>
      <c r="UUX3" s="4"/>
      <c r="UUY3" s="4"/>
      <c r="UUZ3" s="4"/>
      <c r="UVA3" s="4"/>
      <c r="UVB3" s="4"/>
      <c r="UVC3" s="4"/>
      <c r="UVD3" s="4"/>
      <c r="UVE3" s="4"/>
      <c r="UVF3" s="4"/>
      <c r="UVG3" s="4"/>
      <c r="UVH3" s="4"/>
      <c r="UVI3" s="4"/>
      <c r="UVJ3" s="4"/>
      <c r="UVK3" s="4"/>
      <c r="UVL3" s="4"/>
      <c r="UVM3" s="4"/>
      <c r="UVN3" s="4"/>
      <c r="UVO3" s="4"/>
      <c r="UVP3" s="4"/>
      <c r="UVQ3" s="4"/>
      <c r="UVR3" s="4"/>
      <c r="UVS3" s="4"/>
      <c r="UVT3" s="4"/>
      <c r="UVU3" s="4"/>
      <c r="UVV3" s="4"/>
      <c r="UVW3" s="4"/>
      <c r="UVX3" s="4"/>
      <c r="UVY3" s="4"/>
      <c r="UVZ3" s="4"/>
      <c r="UWA3" s="4"/>
      <c r="UWB3" s="4"/>
      <c r="UWC3" s="4"/>
      <c r="UWD3" s="4"/>
      <c r="UWE3" s="4"/>
      <c r="UWF3" s="4"/>
      <c r="UWG3" s="4"/>
      <c r="UWH3" s="4"/>
      <c r="UWI3" s="4"/>
      <c r="UWJ3" s="4"/>
      <c r="UWK3" s="4"/>
      <c r="UWL3" s="4"/>
      <c r="UWM3" s="4"/>
      <c r="UWN3" s="4"/>
      <c r="UWO3" s="4"/>
      <c r="UWP3" s="4"/>
      <c r="UWQ3" s="4"/>
      <c r="UWR3" s="4"/>
      <c r="UWS3" s="4"/>
      <c r="UWT3" s="4"/>
      <c r="UWU3" s="4"/>
      <c r="UWV3" s="4"/>
      <c r="UWW3" s="4"/>
      <c r="UWX3" s="4"/>
      <c r="UWY3" s="4"/>
      <c r="UWZ3" s="4"/>
      <c r="UXA3" s="4"/>
      <c r="UXB3" s="4"/>
      <c r="UXC3" s="4"/>
      <c r="UXD3" s="4"/>
      <c r="UXE3" s="4"/>
      <c r="UXF3" s="4"/>
      <c r="UXG3" s="4"/>
      <c r="UXH3" s="4"/>
      <c r="UXI3" s="4"/>
      <c r="UXJ3" s="4"/>
      <c r="UXK3" s="4"/>
      <c r="UXL3" s="4"/>
      <c r="UXM3" s="4"/>
      <c r="UXN3" s="4"/>
      <c r="UXO3" s="4"/>
      <c r="UXP3" s="4"/>
      <c r="UXQ3" s="4"/>
      <c r="UXR3" s="4"/>
      <c r="UXS3" s="4"/>
      <c r="UXT3" s="4"/>
      <c r="UXU3" s="4"/>
      <c r="UXV3" s="4"/>
      <c r="UXW3" s="4"/>
      <c r="UXX3" s="4"/>
      <c r="UXY3" s="4"/>
      <c r="UXZ3" s="4"/>
      <c r="UYA3" s="4"/>
      <c r="UYB3" s="4"/>
      <c r="UYC3" s="4"/>
      <c r="UYD3" s="4"/>
      <c r="UYE3" s="4"/>
      <c r="UYF3" s="4"/>
      <c r="UYG3" s="4"/>
      <c r="UYH3" s="4"/>
      <c r="UYI3" s="4"/>
      <c r="UYJ3" s="4"/>
      <c r="UYK3" s="4"/>
      <c r="UYL3" s="4"/>
      <c r="UYM3" s="4"/>
      <c r="UYN3" s="4"/>
      <c r="UYO3" s="4"/>
      <c r="UYP3" s="4"/>
      <c r="UYQ3" s="4"/>
      <c r="UYR3" s="4"/>
      <c r="UYS3" s="4"/>
      <c r="UYT3" s="4"/>
      <c r="UYU3" s="4"/>
      <c r="UYV3" s="4"/>
      <c r="UYW3" s="4"/>
      <c r="UYX3" s="4"/>
      <c r="UYY3" s="4"/>
      <c r="UYZ3" s="4"/>
      <c r="UZA3" s="4"/>
      <c r="UZB3" s="4"/>
      <c r="UZC3" s="4"/>
      <c r="UZD3" s="4"/>
      <c r="UZE3" s="4"/>
      <c r="UZF3" s="4"/>
      <c r="UZG3" s="4"/>
      <c r="UZH3" s="4"/>
      <c r="UZI3" s="4"/>
      <c r="UZJ3" s="4"/>
      <c r="UZK3" s="4"/>
      <c r="UZL3" s="4"/>
      <c r="UZM3" s="4"/>
      <c r="UZN3" s="4"/>
      <c r="UZO3" s="4"/>
      <c r="UZP3" s="4"/>
      <c r="UZQ3" s="4"/>
      <c r="UZR3" s="4"/>
      <c r="UZS3" s="4"/>
      <c r="UZT3" s="4"/>
      <c r="UZU3" s="4"/>
      <c r="UZV3" s="4"/>
      <c r="UZW3" s="4"/>
      <c r="UZX3" s="4"/>
      <c r="UZY3" s="4"/>
      <c r="UZZ3" s="4"/>
      <c r="VAA3" s="4"/>
      <c r="VAB3" s="4"/>
      <c r="VAC3" s="4"/>
      <c r="VAD3" s="4"/>
      <c r="VAE3" s="4"/>
      <c r="VAF3" s="4"/>
      <c r="VAG3" s="4"/>
      <c r="VAH3" s="4"/>
      <c r="VAI3" s="4"/>
      <c r="VAJ3" s="4"/>
      <c r="VAK3" s="4"/>
      <c r="VAL3" s="4"/>
      <c r="VAM3" s="4"/>
      <c r="VAN3" s="4"/>
      <c r="VAO3" s="4"/>
      <c r="VAP3" s="4"/>
      <c r="VAQ3" s="4"/>
      <c r="VAR3" s="4"/>
      <c r="VAS3" s="4"/>
      <c r="VAT3" s="4"/>
      <c r="VAU3" s="4"/>
      <c r="VAV3" s="4"/>
      <c r="VAW3" s="4"/>
      <c r="VAX3" s="4"/>
      <c r="VAY3" s="4"/>
      <c r="VAZ3" s="4"/>
      <c r="VBA3" s="4"/>
      <c r="VBB3" s="4"/>
      <c r="VBC3" s="4"/>
      <c r="VBD3" s="4"/>
      <c r="VBE3" s="4"/>
      <c r="VBF3" s="4"/>
      <c r="VBG3" s="4"/>
      <c r="VBH3" s="4"/>
      <c r="VBI3" s="4"/>
      <c r="VBJ3" s="4"/>
      <c r="VBK3" s="4"/>
      <c r="VBL3" s="4"/>
      <c r="VBM3" s="4"/>
      <c r="VBN3" s="4"/>
      <c r="VBO3" s="4"/>
      <c r="VBP3" s="4"/>
      <c r="VBQ3" s="4"/>
      <c r="VBR3" s="4"/>
      <c r="VBS3" s="4"/>
      <c r="VBT3" s="4"/>
      <c r="VBU3" s="4"/>
      <c r="VBV3" s="4"/>
      <c r="VBW3" s="4"/>
      <c r="VBX3" s="4"/>
      <c r="VBY3" s="4"/>
      <c r="VBZ3" s="4"/>
      <c r="VCA3" s="4"/>
      <c r="VCB3" s="4"/>
      <c r="VCC3" s="4"/>
      <c r="VCD3" s="4"/>
      <c r="VCE3" s="4"/>
      <c r="VCF3" s="4"/>
      <c r="VCG3" s="4"/>
      <c r="VCH3" s="4"/>
      <c r="VCI3" s="4"/>
      <c r="VCJ3" s="4"/>
      <c r="VCK3" s="4"/>
      <c r="VCL3" s="4"/>
      <c r="VCM3" s="4"/>
      <c r="VCN3" s="4"/>
      <c r="VCO3" s="4"/>
      <c r="VCP3" s="4"/>
      <c r="VCQ3" s="4"/>
      <c r="VCR3" s="4"/>
      <c r="VCS3" s="4"/>
      <c r="VCT3" s="4"/>
      <c r="VCU3" s="4"/>
      <c r="VCV3" s="4"/>
      <c r="VCW3" s="4"/>
      <c r="VCX3" s="4"/>
      <c r="VCY3" s="4"/>
      <c r="VCZ3" s="4"/>
      <c r="VDA3" s="4"/>
      <c r="VDB3" s="4"/>
      <c r="VDC3" s="4"/>
      <c r="VDD3" s="4"/>
      <c r="VDE3" s="4"/>
      <c r="VDF3" s="4"/>
      <c r="VDG3" s="4"/>
      <c r="VDH3" s="4"/>
      <c r="VDI3" s="4"/>
      <c r="VDJ3" s="4"/>
      <c r="VDK3" s="4"/>
      <c r="VDL3" s="4"/>
      <c r="VDM3" s="4"/>
      <c r="VDN3" s="4"/>
      <c r="VDO3" s="4"/>
      <c r="VDP3" s="4"/>
      <c r="VDQ3" s="4"/>
      <c r="VDR3" s="4"/>
      <c r="VDS3" s="4"/>
      <c r="VDT3" s="4"/>
      <c r="VDU3" s="4"/>
      <c r="VDV3" s="4"/>
      <c r="VDW3" s="4"/>
      <c r="VDX3" s="4"/>
      <c r="VDY3" s="4"/>
      <c r="VDZ3" s="4"/>
      <c r="VEA3" s="4"/>
      <c r="VEB3" s="4"/>
      <c r="VEC3" s="4"/>
      <c r="VED3" s="4"/>
      <c r="VEE3" s="4"/>
      <c r="VEF3" s="4"/>
      <c r="VEG3" s="4"/>
      <c r="VEH3" s="4"/>
      <c r="VEI3" s="4"/>
      <c r="VEJ3" s="4"/>
      <c r="VEK3" s="4"/>
      <c r="VEL3" s="4"/>
      <c r="VEM3" s="4"/>
      <c r="VEN3" s="4"/>
      <c r="VEO3" s="4"/>
      <c r="VEP3" s="4"/>
      <c r="VEQ3" s="4"/>
      <c r="VER3" s="4"/>
      <c r="VES3" s="4"/>
      <c r="VET3" s="4"/>
      <c r="VEU3" s="4"/>
      <c r="VEV3" s="4"/>
      <c r="VEW3" s="4"/>
      <c r="VEX3" s="4"/>
      <c r="VEY3" s="4"/>
      <c r="VEZ3" s="4"/>
      <c r="VFA3" s="4"/>
      <c r="VFB3" s="4"/>
      <c r="VFC3" s="4"/>
      <c r="VFD3" s="4"/>
      <c r="VFE3" s="4"/>
      <c r="VFF3" s="4"/>
      <c r="VFG3" s="4"/>
      <c r="VFH3" s="4"/>
      <c r="VFI3" s="4"/>
      <c r="VFJ3" s="4"/>
      <c r="VFK3" s="4"/>
      <c r="VFL3" s="4"/>
      <c r="VFM3" s="4"/>
      <c r="VFN3" s="4"/>
      <c r="VFO3" s="4"/>
      <c r="VFP3" s="4"/>
      <c r="VFQ3" s="4"/>
      <c r="VFR3" s="4"/>
      <c r="VFS3" s="4"/>
      <c r="VFT3" s="4"/>
      <c r="VFU3" s="4"/>
      <c r="VFV3" s="4"/>
      <c r="VFW3" s="4"/>
      <c r="VFX3" s="4"/>
      <c r="VFY3" s="4"/>
      <c r="VFZ3" s="4"/>
      <c r="VGA3" s="4"/>
      <c r="VGB3" s="4"/>
      <c r="VGC3" s="4"/>
      <c r="VGD3" s="4"/>
      <c r="VGE3" s="4"/>
      <c r="VGF3" s="4"/>
      <c r="VGG3" s="4"/>
      <c r="VGH3" s="4"/>
      <c r="VGI3" s="4"/>
      <c r="VGJ3" s="4"/>
      <c r="VGK3" s="4"/>
      <c r="VGL3" s="4"/>
      <c r="VGM3" s="4"/>
      <c r="VGN3" s="4"/>
      <c r="VGO3" s="4"/>
      <c r="VGP3" s="4"/>
      <c r="VGQ3" s="4"/>
      <c r="VGR3" s="4"/>
      <c r="VGS3" s="4"/>
      <c r="VGT3" s="4"/>
      <c r="VGU3" s="4"/>
      <c r="VGV3" s="4"/>
      <c r="VGW3" s="4"/>
      <c r="VGX3" s="4"/>
      <c r="VGY3" s="4"/>
      <c r="VGZ3" s="4"/>
      <c r="VHA3" s="4"/>
      <c r="VHB3" s="4"/>
      <c r="VHC3" s="4"/>
      <c r="VHD3" s="4"/>
      <c r="VHE3" s="4"/>
      <c r="VHF3" s="4"/>
      <c r="VHG3" s="4"/>
      <c r="VHH3" s="4"/>
      <c r="VHI3" s="4"/>
      <c r="VHJ3" s="4"/>
      <c r="VHK3" s="4"/>
      <c r="VHL3" s="4"/>
      <c r="VHM3" s="4"/>
      <c r="VHN3" s="4"/>
      <c r="VHO3" s="4"/>
      <c r="VHP3" s="4"/>
      <c r="VHQ3" s="4"/>
      <c r="VHR3" s="4"/>
      <c r="VHS3" s="4"/>
      <c r="VHT3" s="4"/>
      <c r="VHU3" s="4"/>
      <c r="VHV3" s="4"/>
      <c r="VHW3" s="4"/>
      <c r="VHX3" s="4"/>
      <c r="VHY3" s="4"/>
      <c r="VHZ3" s="4"/>
      <c r="VIA3" s="4"/>
      <c r="VIB3" s="4"/>
      <c r="VIC3" s="4"/>
      <c r="VID3" s="4"/>
      <c r="VIE3" s="4"/>
      <c r="VIF3" s="4"/>
      <c r="VIG3" s="4"/>
      <c r="VIH3" s="4"/>
      <c r="VII3" s="4"/>
      <c r="VIJ3" s="4"/>
      <c r="VIK3" s="4"/>
      <c r="VIL3" s="4"/>
      <c r="VIM3" s="4"/>
      <c r="VIN3" s="4"/>
      <c r="VIO3" s="4"/>
      <c r="VIP3" s="4"/>
      <c r="VIQ3" s="4"/>
      <c r="VIR3" s="4"/>
      <c r="VIS3" s="4"/>
      <c r="VIT3" s="4"/>
      <c r="VIU3" s="4"/>
      <c r="VIV3" s="4"/>
      <c r="VIW3" s="4"/>
      <c r="VIX3" s="4"/>
      <c r="VIY3" s="4"/>
      <c r="VIZ3" s="4"/>
      <c r="VJA3" s="4"/>
      <c r="VJB3" s="4"/>
      <c r="VJC3" s="4"/>
      <c r="VJD3" s="4"/>
      <c r="VJE3" s="4"/>
      <c r="VJF3" s="4"/>
      <c r="VJG3" s="4"/>
      <c r="VJH3" s="4"/>
      <c r="VJI3" s="4"/>
      <c r="VJJ3" s="4"/>
      <c r="VJK3" s="4"/>
      <c r="VJL3" s="4"/>
      <c r="VJM3" s="4"/>
      <c r="VJN3" s="4"/>
      <c r="VJO3" s="4"/>
      <c r="VJP3" s="4"/>
      <c r="VJQ3" s="4"/>
      <c r="VJR3" s="4"/>
      <c r="VJS3" s="4"/>
      <c r="VJT3" s="4"/>
      <c r="VJU3" s="4"/>
      <c r="VJV3" s="4"/>
      <c r="VJW3" s="4"/>
      <c r="VJX3" s="4"/>
      <c r="VJY3" s="4"/>
      <c r="VJZ3" s="4"/>
      <c r="VKA3" s="4"/>
      <c r="VKB3" s="4"/>
      <c r="VKC3" s="4"/>
      <c r="VKD3" s="4"/>
      <c r="VKE3" s="4"/>
      <c r="VKF3" s="4"/>
      <c r="VKG3" s="4"/>
      <c r="VKH3" s="4"/>
      <c r="VKI3" s="4"/>
      <c r="VKJ3" s="4"/>
      <c r="VKK3" s="4"/>
      <c r="VKL3" s="4"/>
      <c r="VKM3" s="4"/>
      <c r="VKN3" s="4"/>
      <c r="VKO3" s="4"/>
      <c r="VKP3" s="4"/>
      <c r="VKQ3" s="4"/>
      <c r="VKR3" s="4"/>
      <c r="VKS3" s="4"/>
      <c r="VKT3" s="4"/>
      <c r="VKU3" s="4"/>
      <c r="VKV3" s="4"/>
      <c r="VKW3" s="4"/>
      <c r="VKX3" s="4"/>
      <c r="VKY3" s="4"/>
      <c r="VKZ3" s="4"/>
      <c r="VLA3" s="4"/>
      <c r="VLB3" s="4"/>
      <c r="VLC3" s="4"/>
      <c r="VLD3" s="4"/>
      <c r="VLE3" s="4"/>
      <c r="VLF3" s="4"/>
      <c r="VLG3" s="4"/>
      <c r="VLH3" s="4"/>
      <c r="VLI3" s="4"/>
      <c r="VLJ3" s="4"/>
      <c r="VLK3" s="4"/>
      <c r="VLL3" s="4"/>
      <c r="VLM3" s="4"/>
      <c r="VLN3" s="4"/>
      <c r="VLO3" s="4"/>
      <c r="VLP3" s="4"/>
      <c r="VLQ3" s="4"/>
      <c r="VLR3" s="4"/>
      <c r="VLS3" s="4"/>
      <c r="VLT3" s="4"/>
      <c r="VLU3" s="4"/>
      <c r="VLV3" s="4"/>
      <c r="VLW3" s="4"/>
      <c r="VLX3" s="4"/>
      <c r="VLY3" s="4"/>
      <c r="VLZ3" s="4"/>
      <c r="VMA3" s="4"/>
      <c r="VMB3" s="4"/>
      <c r="VMC3" s="4"/>
      <c r="VMD3" s="4"/>
      <c r="VME3" s="4"/>
      <c r="VMF3" s="4"/>
      <c r="VMG3" s="4"/>
      <c r="VMH3" s="4"/>
      <c r="VMI3" s="4"/>
      <c r="VMJ3" s="4"/>
      <c r="VMK3" s="4"/>
      <c r="VML3" s="4"/>
      <c r="VMM3" s="4"/>
      <c r="VMN3" s="4"/>
      <c r="VMO3" s="4"/>
      <c r="VMP3" s="4"/>
      <c r="VMQ3" s="4"/>
      <c r="VMR3" s="4"/>
      <c r="VMS3" s="4"/>
      <c r="VMT3" s="4"/>
      <c r="VMU3" s="4"/>
      <c r="VMV3" s="4"/>
      <c r="VMW3" s="4"/>
      <c r="VMX3" s="4"/>
      <c r="VMY3" s="4"/>
      <c r="VMZ3" s="4"/>
      <c r="VNA3" s="4"/>
      <c r="VNB3" s="4"/>
      <c r="VNC3" s="4"/>
      <c r="VND3" s="4"/>
      <c r="VNE3" s="4"/>
      <c r="VNF3" s="4"/>
      <c r="VNG3" s="4"/>
      <c r="VNH3" s="4"/>
      <c r="VNI3" s="4"/>
      <c r="VNJ3" s="4"/>
      <c r="VNK3" s="4"/>
      <c r="VNL3" s="4"/>
      <c r="VNM3" s="4"/>
      <c r="VNN3" s="4"/>
      <c r="VNO3" s="4"/>
      <c r="VNP3" s="4"/>
      <c r="VNQ3" s="4"/>
      <c r="VNR3" s="4"/>
      <c r="VNS3" s="4"/>
      <c r="VNT3" s="4"/>
      <c r="VNU3" s="4"/>
      <c r="VNV3" s="4"/>
      <c r="VNW3" s="4"/>
      <c r="VNX3" s="4"/>
      <c r="VNY3" s="4"/>
      <c r="VNZ3" s="4"/>
      <c r="VOA3" s="4"/>
      <c r="VOB3" s="4"/>
      <c r="VOC3" s="4"/>
      <c r="VOD3" s="4"/>
      <c r="VOE3" s="4"/>
      <c r="VOF3" s="4"/>
      <c r="VOG3" s="4"/>
      <c r="VOH3" s="4"/>
      <c r="VOI3" s="4"/>
      <c r="VOJ3" s="4"/>
      <c r="VOK3" s="4"/>
      <c r="VOL3" s="4"/>
      <c r="VOM3" s="4"/>
      <c r="VON3" s="4"/>
      <c r="VOO3" s="4"/>
      <c r="VOP3" s="4"/>
      <c r="VOQ3" s="4"/>
      <c r="VOR3" s="4"/>
      <c r="VOS3" s="4"/>
      <c r="VOT3" s="4"/>
      <c r="VOU3" s="4"/>
      <c r="VOV3" s="4"/>
      <c r="VOW3" s="4"/>
      <c r="VOX3" s="4"/>
      <c r="VOY3" s="4"/>
      <c r="VOZ3" s="4"/>
      <c r="VPA3" s="4"/>
      <c r="VPB3" s="4"/>
      <c r="VPC3" s="4"/>
      <c r="VPD3" s="4"/>
      <c r="VPE3" s="4"/>
      <c r="VPF3" s="4"/>
      <c r="VPG3" s="4"/>
      <c r="VPH3" s="4"/>
      <c r="VPI3" s="4"/>
      <c r="VPJ3" s="4"/>
      <c r="VPK3" s="4"/>
      <c r="VPL3" s="4"/>
      <c r="VPM3" s="4"/>
      <c r="VPN3" s="4"/>
      <c r="VPO3" s="4"/>
      <c r="VPP3" s="4"/>
      <c r="VPQ3" s="4"/>
      <c r="VPR3" s="4"/>
      <c r="VPS3" s="4"/>
      <c r="VPT3" s="4"/>
      <c r="VPU3" s="4"/>
      <c r="VPV3" s="4"/>
      <c r="VPW3" s="4"/>
      <c r="VPX3" s="4"/>
      <c r="VPY3" s="4"/>
      <c r="VPZ3" s="4"/>
      <c r="VQA3" s="4"/>
      <c r="VQB3" s="4"/>
      <c r="VQC3" s="4"/>
      <c r="VQD3" s="4"/>
      <c r="VQE3" s="4"/>
      <c r="VQF3" s="4"/>
      <c r="VQG3" s="4"/>
      <c r="VQH3" s="4"/>
      <c r="VQI3" s="4"/>
      <c r="VQJ3" s="4"/>
      <c r="VQK3" s="4"/>
      <c r="VQL3" s="4"/>
      <c r="VQM3" s="4"/>
      <c r="VQN3" s="4"/>
      <c r="VQO3" s="4"/>
      <c r="VQP3" s="4"/>
      <c r="VQQ3" s="4"/>
      <c r="VQR3" s="4"/>
      <c r="VQS3" s="4"/>
      <c r="VQT3" s="4"/>
      <c r="VQU3" s="4"/>
      <c r="VQV3" s="4"/>
      <c r="VQW3" s="4"/>
      <c r="VQX3" s="4"/>
      <c r="VQY3" s="4"/>
      <c r="VQZ3" s="4"/>
      <c r="VRA3" s="4"/>
      <c r="VRB3" s="4"/>
      <c r="VRC3" s="4"/>
      <c r="VRD3" s="4"/>
      <c r="VRE3" s="4"/>
      <c r="VRF3" s="4"/>
      <c r="VRG3" s="4"/>
      <c r="VRH3" s="4"/>
      <c r="VRI3" s="4"/>
      <c r="VRJ3" s="4"/>
      <c r="VRK3" s="4"/>
      <c r="VRL3" s="4"/>
      <c r="VRM3" s="4"/>
      <c r="VRN3" s="4"/>
      <c r="VRO3" s="4"/>
      <c r="VRP3" s="4"/>
      <c r="VRQ3" s="4"/>
      <c r="VRR3" s="4"/>
      <c r="VRS3" s="4"/>
      <c r="VRT3" s="4"/>
      <c r="VRU3" s="4"/>
      <c r="VRV3" s="4"/>
      <c r="VRW3" s="4"/>
      <c r="VRX3" s="4"/>
      <c r="VRY3" s="4"/>
      <c r="VRZ3" s="4"/>
      <c r="VSA3" s="4"/>
      <c r="VSB3" s="4"/>
      <c r="VSC3" s="4"/>
      <c r="VSD3" s="4"/>
      <c r="VSE3" s="4"/>
      <c r="VSF3" s="4"/>
      <c r="VSG3" s="4"/>
      <c r="VSH3" s="4"/>
      <c r="VSI3" s="4"/>
      <c r="VSJ3" s="4"/>
      <c r="VSK3" s="4"/>
      <c r="VSL3" s="4"/>
      <c r="VSM3" s="4"/>
      <c r="VSN3" s="4"/>
      <c r="VSO3" s="4"/>
      <c r="VSP3" s="4"/>
      <c r="VSQ3" s="4"/>
      <c r="VSR3" s="4"/>
      <c r="VSS3" s="4"/>
      <c r="VST3" s="4"/>
      <c r="VSU3" s="4"/>
      <c r="VSV3" s="4"/>
      <c r="VSW3" s="4"/>
      <c r="VSX3" s="4"/>
      <c r="VSY3" s="4"/>
      <c r="VSZ3" s="4"/>
      <c r="VTA3" s="4"/>
      <c r="VTB3" s="4"/>
      <c r="VTC3" s="4"/>
      <c r="VTD3" s="4"/>
      <c r="VTE3" s="4"/>
      <c r="VTF3" s="4"/>
      <c r="VTG3" s="4"/>
      <c r="VTH3" s="4"/>
      <c r="VTI3" s="4"/>
      <c r="VTJ3" s="4"/>
      <c r="VTK3" s="4"/>
      <c r="VTL3" s="4"/>
      <c r="VTM3" s="4"/>
      <c r="VTN3" s="4"/>
      <c r="VTO3" s="4"/>
      <c r="VTP3" s="4"/>
      <c r="VTQ3" s="4"/>
      <c r="VTR3" s="4"/>
      <c r="VTS3" s="4"/>
      <c r="VTT3" s="4"/>
      <c r="VTU3" s="4"/>
      <c r="VTV3" s="4"/>
      <c r="VTW3" s="4"/>
      <c r="VTX3" s="4"/>
      <c r="VTY3" s="4"/>
      <c r="VTZ3" s="4"/>
      <c r="VUA3" s="4"/>
      <c r="VUB3" s="4"/>
      <c r="VUC3" s="4"/>
      <c r="VUD3" s="4"/>
      <c r="VUE3" s="4"/>
      <c r="VUF3" s="4"/>
      <c r="VUG3" s="4"/>
      <c r="VUH3" s="4"/>
      <c r="VUI3" s="4"/>
      <c r="VUJ3" s="4"/>
      <c r="VUK3" s="4"/>
      <c r="VUL3" s="4"/>
      <c r="VUM3" s="4"/>
      <c r="VUN3" s="4"/>
      <c r="VUO3" s="4"/>
      <c r="VUP3" s="4"/>
      <c r="VUQ3" s="4"/>
      <c r="VUR3" s="4"/>
      <c r="VUS3" s="4"/>
      <c r="VUT3" s="4"/>
      <c r="VUU3" s="4"/>
      <c r="VUV3" s="4"/>
      <c r="VUW3" s="4"/>
      <c r="VUX3" s="4"/>
      <c r="VUY3" s="4"/>
      <c r="VUZ3" s="4"/>
      <c r="VVA3" s="4"/>
      <c r="VVB3" s="4"/>
      <c r="VVC3" s="4"/>
      <c r="VVD3" s="4"/>
      <c r="VVE3" s="4"/>
      <c r="VVF3" s="4"/>
      <c r="VVG3" s="4"/>
      <c r="VVH3" s="4"/>
      <c r="VVI3" s="4"/>
      <c r="VVJ3" s="4"/>
      <c r="VVK3" s="4"/>
      <c r="VVL3" s="4"/>
      <c r="VVM3" s="4"/>
      <c r="VVN3" s="4"/>
      <c r="VVO3" s="4"/>
      <c r="VVP3" s="4"/>
      <c r="VVQ3" s="4"/>
      <c r="VVR3" s="4"/>
      <c r="VVS3" s="4"/>
      <c r="VVT3" s="4"/>
      <c r="VVU3" s="4"/>
      <c r="VVV3" s="4"/>
      <c r="VVW3" s="4"/>
      <c r="VVX3" s="4"/>
      <c r="VVY3" s="4"/>
      <c r="VVZ3" s="4"/>
      <c r="VWA3" s="4"/>
      <c r="VWB3" s="4"/>
      <c r="VWC3" s="4"/>
      <c r="VWD3" s="4"/>
      <c r="VWE3" s="4"/>
      <c r="VWF3" s="4"/>
      <c r="VWG3" s="4"/>
      <c r="VWH3" s="4"/>
      <c r="VWI3" s="4"/>
      <c r="VWJ3" s="4"/>
      <c r="VWK3" s="4"/>
      <c r="VWL3" s="4"/>
      <c r="VWM3" s="4"/>
      <c r="VWN3" s="4"/>
      <c r="VWO3" s="4"/>
      <c r="VWP3" s="4"/>
      <c r="VWQ3" s="4"/>
      <c r="VWR3" s="4"/>
      <c r="VWS3" s="4"/>
      <c r="VWT3" s="4"/>
      <c r="VWU3" s="4"/>
      <c r="VWV3" s="4"/>
      <c r="VWW3" s="4"/>
      <c r="VWX3" s="4"/>
      <c r="VWY3" s="4"/>
      <c r="VWZ3" s="4"/>
      <c r="VXA3" s="4"/>
      <c r="VXB3" s="4"/>
      <c r="VXC3" s="4"/>
      <c r="VXD3" s="4"/>
      <c r="VXE3" s="4"/>
      <c r="VXF3" s="4"/>
      <c r="VXG3" s="4"/>
      <c r="VXH3" s="4"/>
      <c r="VXI3" s="4"/>
      <c r="VXJ3" s="4"/>
      <c r="VXK3" s="4"/>
      <c r="VXL3" s="4"/>
      <c r="VXM3" s="4"/>
      <c r="VXN3" s="4"/>
      <c r="VXO3" s="4"/>
      <c r="VXP3" s="4"/>
      <c r="VXQ3" s="4"/>
      <c r="VXR3" s="4"/>
      <c r="VXS3" s="4"/>
      <c r="VXT3" s="4"/>
      <c r="VXU3" s="4"/>
      <c r="VXV3" s="4"/>
      <c r="VXW3" s="4"/>
      <c r="VXX3" s="4"/>
      <c r="VXY3" s="4"/>
      <c r="VXZ3" s="4"/>
      <c r="VYA3" s="4"/>
      <c r="VYB3" s="4"/>
      <c r="VYC3" s="4"/>
      <c r="VYD3" s="4"/>
      <c r="VYE3" s="4"/>
      <c r="VYF3" s="4"/>
      <c r="VYG3" s="4"/>
      <c r="VYH3" s="4"/>
      <c r="VYI3" s="4"/>
      <c r="VYJ3" s="4"/>
      <c r="VYK3" s="4"/>
      <c r="VYL3" s="4"/>
      <c r="VYM3" s="4"/>
      <c r="VYN3" s="4"/>
      <c r="VYO3" s="4"/>
      <c r="VYP3" s="4"/>
      <c r="VYQ3" s="4"/>
      <c r="VYR3" s="4"/>
      <c r="VYS3" s="4"/>
      <c r="VYT3" s="4"/>
      <c r="VYU3" s="4"/>
      <c r="VYV3" s="4"/>
      <c r="VYW3" s="4"/>
      <c r="VYX3" s="4"/>
      <c r="VYY3" s="4"/>
      <c r="VYZ3" s="4"/>
      <c r="VZA3" s="4"/>
      <c r="VZB3" s="4"/>
      <c r="VZC3" s="4"/>
      <c r="VZD3" s="4"/>
      <c r="VZE3" s="4"/>
      <c r="VZF3" s="4"/>
      <c r="VZG3" s="4"/>
      <c r="VZH3" s="4"/>
      <c r="VZI3" s="4"/>
      <c r="VZJ3" s="4"/>
      <c r="VZK3" s="4"/>
      <c r="VZL3" s="4"/>
      <c r="VZM3" s="4"/>
      <c r="VZN3" s="4"/>
      <c r="VZO3" s="4"/>
      <c r="VZP3" s="4"/>
      <c r="VZQ3" s="4"/>
      <c r="VZR3" s="4"/>
      <c r="VZS3" s="4"/>
      <c r="VZT3" s="4"/>
      <c r="VZU3" s="4"/>
      <c r="VZV3" s="4"/>
      <c r="VZW3" s="4"/>
      <c r="VZX3" s="4"/>
      <c r="VZY3" s="4"/>
      <c r="VZZ3" s="4"/>
      <c r="WAA3" s="4"/>
      <c r="WAB3" s="4"/>
      <c r="WAC3" s="4"/>
      <c r="WAD3" s="4"/>
      <c r="WAE3" s="4"/>
      <c r="WAF3" s="4"/>
      <c r="WAG3" s="4"/>
      <c r="WAH3" s="4"/>
      <c r="WAI3" s="4"/>
      <c r="WAJ3" s="4"/>
      <c r="WAK3" s="4"/>
      <c r="WAL3" s="4"/>
      <c r="WAM3" s="4"/>
      <c r="WAN3" s="4"/>
      <c r="WAO3" s="4"/>
      <c r="WAP3" s="4"/>
      <c r="WAQ3" s="4"/>
      <c r="WAR3" s="4"/>
      <c r="WAS3" s="4"/>
      <c r="WAT3" s="4"/>
      <c r="WAU3" s="4"/>
      <c r="WAV3" s="4"/>
      <c r="WAW3" s="4"/>
      <c r="WAX3" s="4"/>
      <c r="WAY3" s="4"/>
      <c r="WAZ3" s="4"/>
      <c r="WBA3" s="4"/>
      <c r="WBB3" s="4"/>
      <c r="WBC3" s="4"/>
      <c r="WBD3" s="4"/>
      <c r="WBE3" s="4"/>
      <c r="WBF3" s="4"/>
      <c r="WBG3" s="4"/>
      <c r="WBH3" s="4"/>
      <c r="WBI3" s="4"/>
      <c r="WBJ3" s="4"/>
      <c r="WBK3" s="4"/>
      <c r="WBL3" s="4"/>
      <c r="WBM3" s="4"/>
      <c r="WBN3" s="4"/>
      <c r="WBO3" s="4"/>
      <c r="WBP3" s="4"/>
      <c r="WBQ3" s="4"/>
      <c r="WBR3" s="4"/>
      <c r="WBS3" s="4"/>
      <c r="WBT3" s="4"/>
      <c r="WBU3" s="4"/>
      <c r="WBV3" s="4"/>
      <c r="WBW3" s="4"/>
      <c r="WBX3" s="4"/>
      <c r="WBY3" s="4"/>
      <c r="WBZ3" s="4"/>
      <c r="WCA3" s="4"/>
      <c r="WCB3" s="4"/>
      <c r="WCC3" s="4"/>
      <c r="WCD3" s="4"/>
      <c r="WCE3" s="4"/>
      <c r="WCF3" s="4"/>
      <c r="WCG3" s="4"/>
      <c r="WCH3" s="4"/>
      <c r="WCI3" s="4"/>
      <c r="WCJ3" s="4"/>
      <c r="WCK3" s="4"/>
      <c r="WCL3" s="4"/>
      <c r="WCM3" s="4"/>
      <c r="WCN3" s="4"/>
      <c r="WCO3" s="4"/>
      <c r="WCP3" s="4"/>
      <c r="WCQ3" s="4"/>
      <c r="WCR3" s="4"/>
      <c r="WCS3" s="4"/>
      <c r="WCT3" s="4"/>
      <c r="WCU3" s="4"/>
      <c r="WCV3" s="4"/>
      <c r="WCW3" s="4"/>
      <c r="WCX3" s="4"/>
      <c r="WCY3" s="4"/>
      <c r="WCZ3" s="4"/>
      <c r="WDA3" s="4"/>
      <c r="WDB3" s="4"/>
      <c r="WDC3" s="4"/>
      <c r="WDD3" s="4"/>
      <c r="WDE3" s="4"/>
      <c r="WDF3" s="4"/>
      <c r="WDG3" s="4"/>
      <c r="WDH3" s="4"/>
      <c r="WDI3" s="4"/>
      <c r="WDJ3" s="4"/>
      <c r="WDK3" s="4"/>
      <c r="WDL3" s="4"/>
      <c r="WDM3" s="4"/>
      <c r="WDN3" s="4"/>
      <c r="WDO3" s="4"/>
      <c r="WDP3" s="4"/>
      <c r="WDQ3" s="4"/>
      <c r="WDR3" s="4"/>
      <c r="WDS3" s="4"/>
      <c r="WDT3" s="4"/>
      <c r="WDU3" s="4"/>
      <c r="WDV3" s="4"/>
      <c r="WDW3" s="4"/>
      <c r="WDX3" s="4"/>
      <c r="WDY3" s="4"/>
      <c r="WDZ3" s="4"/>
      <c r="WEA3" s="4"/>
      <c r="WEB3" s="4"/>
      <c r="WEC3" s="4"/>
      <c r="WED3" s="4"/>
      <c r="WEE3" s="4"/>
      <c r="WEF3" s="4"/>
      <c r="WEG3" s="4"/>
      <c r="WEH3" s="4"/>
      <c r="WEI3" s="4"/>
      <c r="WEJ3" s="4"/>
      <c r="WEK3" s="4"/>
      <c r="WEL3" s="4"/>
      <c r="WEM3" s="4"/>
      <c r="WEN3" s="4"/>
      <c r="WEO3" s="4"/>
      <c r="WEP3" s="4"/>
      <c r="WEQ3" s="4"/>
      <c r="WER3" s="4"/>
      <c r="WES3" s="4"/>
      <c r="WET3" s="4"/>
      <c r="WEU3" s="4"/>
      <c r="WEV3" s="4"/>
      <c r="WEW3" s="4"/>
      <c r="WEX3" s="4"/>
      <c r="WEY3" s="4"/>
      <c r="WEZ3" s="4"/>
      <c r="WFA3" s="4"/>
      <c r="WFB3" s="4"/>
      <c r="WFC3" s="4"/>
      <c r="WFD3" s="4"/>
      <c r="WFE3" s="4"/>
      <c r="WFF3" s="4"/>
      <c r="WFG3" s="4"/>
      <c r="WFH3" s="4"/>
      <c r="WFI3" s="4"/>
      <c r="WFJ3" s="4"/>
      <c r="WFK3" s="4"/>
      <c r="WFL3" s="4"/>
      <c r="WFM3" s="4"/>
      <c r="WFN3" s="4"/>
      <c r="WFO3" s="4"/>
      <c r="WFP3" s="4"/>
      <c r="WFQ3" s="4"/>
      <c r="WFR3" s="4"/>
      <c r="WFS3" s="4"/>
      <c r="WFT3" s="4"/>
      <c r="WFU3" s="4"/>
      <c r="WFV3" s="4"/>
      <c r="WFW3" s="4"/>
      <c r="WFX3" s="4"/>
      <c r="WFY3" s="4"/>
      <c r="WFZ3" s="4"/>
      <c r="WGA3" s="4"/>
      <c r="WGB3" s="4"/>
      <c r="WGC3" s="4"/>
      <c r="WGD3" s="4"/>
      <c r="WGE3" s="4"/>
      <c r="WGF3" s="4"/>
      <c r="WGG3" s="4"/>
      <c r="WGH3" s="4"/>
      <c r="WGI3" s="4"/>
      <c r="WGJ3" s="4"/>
      <c r="WGK3" s="4"/>
      <c r="WGL3" s="4"/>
      <c r="WGM3" s="4"/>
      <c r="WGN3" s="4"/>
      <c r="WGO3" s="4"/>
      <c r="WGP3" s="4"/>
      <c r="WGQ3" s="4"/>
      <c r="WGR3" s="4"/>
      <c r="WGS3" s="4"/>
      <c r="WGT3" s="4"/>
      <c r="WGU3" s="4"/>
      <c r="WGV3" s="4"/>
      <c r="WGW3" s="4"/>
      <c r="WGX3" s="4"/>
      <c r="WGY3" s="4"/>
      <c r="WGZ3" s="4"/>
      <c r="WHA3" s="4"/>
      <c r="WHB3" s="4"/>
      <c r="WHC3" s="4"/>
      <c r="WHD3" s="4"/>
      <c r="WHE3" s="4"/>
      <c r="WHF3" s="4"/>
      <c r="WHG3" s="4"/>
      <c r="WHH3" s="4"/>
      <c r="WHI3" s="4"/>
      <c r="WHJ3" s="4"/>
      <c r="WHK3" s="4"/>
      <c r="WHL3" s="4"/>
      <c r="WHM3" s="4"/>
      <c r="WHN3" s="4"/>
      <c r="WHO3" s="4"/>
      <c r="WHP3" s="4"/>
      <c r="WHQ3" s="4"/>
      <c r="WHR3" s="4"/>
      <c r="WHS3" s="4"/>
      <c r="WHT3" s="4"/>
      <c r="WHU3" s="4"/>
      <c r="WHV3" s="4"/>
      <c r="WHW3" s="4"/>
      <c r="WHX3" s="4"/>
      <c r="WHY3" s="4"/>
      <c r="WHZ3" s="4"/>
      <c r="WIA3" s="4"/>
      <c r="WIB3" s="4"/>
      <c r="WIC3" s="4"/>
      <c r="WID3" s="4"/>
      <c r="WIE3" s="4"/>
      <c r="WIF3" s="4"/>
      <c r="WIG3" s="4"/>
      <c r="WIH3" s="4"/>
      <c r="WII3" s="4"/>
      <c r="WIJ3" s="4"/>
      <c r="WIK3" s="4"/>
      <c r="WIL3" s="4"/>
      <c r="WIM3" s="4"/>
      <c r="WIN3" s="4"/>
      <c r="WIO3" s="4"/>
      <c r="WIP3" s="4"/>
      <c r="WIQ3" s="4"/>
      <c r="WIR3" s="4"/>
      <c r="WIS3" s="4"/>
      <c r="WIT3" s="4"/>
      <c r="WIU3" s="4"/>
      <c r="WIV3" s="4"/>
      <c r="WIW3" s="4"/>
      <c r="WIX3" s="4"/>
      <c r="WIY3" s="4"/>
      <c r="WIZ3" s="4"/>
      <c r="WJA3" s="4"/>
      <c r="WJB3" s="4"/>
      <c r="WJC3" s="4"/>
      <c r="WJD3" s="4"/>
      <c r="WJE3" s="4"/>
      <c r="WJF3" s="4"/>
      <c r="WJG3" s="4"/>
      <c r="WJH3" s="4"/>
      <c r="WJI3" s="4"/>
      <c r="WJJ3" s="4"/>
      <c r="WJK3" s="4"/>
      <c r="WJL3" s="4"/>
      <c r="WJM3" s="4"/>
      <c r="WJN3" s="4"/>
      <c r="WJO3" s="4"/>
      <c r="WJP3" s="4"/>
      <c r="WJQ3" s="4"/>
      <c r="WJR3" s="4"/>
      <c r="WJS3" s="4"/>
      <c r="WJT3" s="4"/>
      <c r="WJU3" s="4"/>
      <c r="WJV3" s="4"/>
      <c r="WJW3" s="4"/>
      <c r="WJX3" s="4"/>
      <c r="WJY3" s="4"/>
      <c r="WJZ3" s="4"/>
      <c r="WKA3" s="4"/>
      <c r="WKB3" s="4"/>
      <c r="WKC3" s="4"/>
      <c r="WKD3" s="4"/>
      <c r="WKE3" s="4"/>
      <c r="WKF3" s="4"/>
      <c r="WKG3" s="4"/>
      <c r="WKH3" s="4"/>
      <c r="WKI3" s="4"/>
      <c r="WKJ3" s="4"/>
      <c r="WKK3" s="4"/>
      <c r="WKL3" s="4"/>
      <c r="WKM3" s="4"/>
      <c r="WKN3" s="4"/>
      <c r="WKO3" s="4"/>
      <c r="WKP3" s="4"/>
      <c r="WKQ3" s="4"/>
      <c r="WKR3" s="4"/>
      <c r="WKS3" s="4"/>
      <c r="WKT3" s="4"/>
      <c r="WKU3" s="4"/>
      <c r="WKV3" s="4"/>
      <c r="WKW3" s="4"/>
      <c r="WKX3" s="4"/>
      <c r="WKY3" s="4"/>
      <c r="WKZ3" s="4"/>
      <c r="WLA3" s="4"/>
      <c r="WLB3" s="4"/>
      <c r="WLC3" s="4"/>
      <c r="WLD3" s="4"/>
      <c r="WLE3" s="4"/>
      <c r="WLF3" s="4"/>
      <c r="WLG3" s="4"/>
      <c r="WLH3" s="4"/>
      <c r="WLI3" s="4"/>
      <c r="WLJ3" s="4"/>
      <c r="WLK3" s="4"/>
      <c r="WLL3" s="4"/>
      <c r="WLM3" s="4"/>
      <c r="WLN3" s="4"/>
      <c r="WLO3" s="4"/>
      <c r="WLP3" s="4"/>
      <c r="WLQ3" s="4"/>
      <c r="WLR3" s="4"/>
      <c r="WLS3" s="4"/>
      <c r="WLT3" s="4"/>
      <c r="WLU3" s="4"/>
      <c r="WLV3" s="4"/>
      <c r="WLW3" s="4"/>
      <c r="WLX3" s="4"/>
      <c r="WLY3" s="4"/>
      <c r="WLZ3" s="4"/>
      <c r="WMA3" s="4"/>
      <c r="WMB3" s="4"/>
      <c r="WMC3" s="4"/>
      <c r="WMD3" s="4"/>
      <c r="WME3" s="4"/>
      <c r="WMF3" s="4"/>
      <c r="WMG3" s="4"/>
      <c r="WMH3" s="4"/>
      <c r="WMI3" s="4"/>
      <c r="WMJ3" s="4"/>
      <c r="WMK3" s="4"/>
      <c r="WML3" s="4"/>
      <c r="WMM3" s="4"/>
      <c r="WMN3" s="4"/>
      <c r="WMO3" s="4"/>
      <c r="WMP3" s="4"/>
      <c r="WMQ3" s="4"/>
      <c r="WMR3" s="4"/>
      <c r="WMS3" s="4"/>
      <c r="WMT3" s="4"/>
      <c r="WMU3" s="4"/>
      <c r="WMV3" s="4"/>
      <c r="WMW3" s="4"/>
      <c r="WMX3" s="4"/>
      <c r="WMY3" s="4"/>
      <c r="WMZ3" s="4"/>
      <c r="WNA3" s="4"/>
      <c r="WNB3" s="4"/>
      <c r="WNC3" s="4"/>
      <c r="WND3" s="4"/>
      <c r="WNE3" s="4"/>
      <c r="WNF3" s="4"/>
      <c r="WNG3" s="4"/>
      <c r="WNH3" s="4"/>
      <c r="WNI3" s="4"/>
      <c r="WNJ3" s="4"/>
      <c r="WNK3" s="4"/>
      <c r="WNL3" s="4"/>
      <c r="WNM3" s="4"/>
      <c r="WNN3" s="4"/>
      <c r="WNO3" s="4"/>
      <c r="WNP3" s="4"/>
      <c r="WNQ3" s="4"/>
      <c r="WNR3" s="4"/>
      <c r="WNS3" s="4"/>
      <c r="WNT3" s="4"/>
      <c r="WNU3" s="4"/>
      <c r="WNV3" s="4"/>
      <c r="WNW3" s="4"/>
      <c r="WNX3" s="4"/>
      <c r="WNY3" s="4"/>
      <c r="WNZ3" s="4"/>
      <c r="WOA3" s="4"/>
      <c r="WOB3" s="4"/>
      <c r="WOC3" s="4"/>
      <c r="WOD3" s="4"/>
      <c r="WOE3" s="4"/>
      <c r="WOF3" s="4"/>
      <c r="WOG3" s="4"/>
      <c r="WOH3" s="4"/>
      <c r="WOI3" s="4"/>
      <c r="WOJ3" s="4"/>
      <c r="WOK3" s="4"/>
      <c r="WOL3" s="4"/>
      <c r="WOM3" s="4"/>
      <c r="WON3" s="4"/>
      <c r="WOO3" s="4"/>
      <c r="WOP3" s="4"/>
      <c r="WOQ3" s="4"/>
      <c r="WOR3" s="4"/>
      <c r="WOS3" s="4"/>
      <c r="WOT3" s="4"/>
      <c r="WOU3" s="4"/>
      <c r="WOV3" s="4"/>
      <c r="WOW3" s="4"/>
      <c r="WOX3" s="4"/>
      <c r="WOY3" s="4"/>
      <c r="WOZ3" s="4"/>
      <c r="WPA3" s="4"/>
      <c r="WPB3" s="4"/>
      <c r="WPC3" s="4"/>
      <c r="WPD3" s="4"/>
      <c r="WPE3" s="4"/>
      <c r="WPF3" s="4"/>
      <c r="WPG3" s="4"/>
      <c r="WPH3" s="4"/>
      <c r="WPI3" s="4"/>
      <c r="WPJ3" s="4"/>
      <c r="WPK3" s="4"/>
      <c r="WPL3" s="4"/>
      <c r="WPM3" s="4"/>
      <c r="WPN3" s="4"/>
      <c r="WPO3" s="4"/>
      <c r="WPP3" s="4"/>
      <c r="WPQ3" s="4"/>
      <c r="WPR3" s="4"/>
      <c r="WPS3" s="4"/>
      <c r="WPT3" s="4"/>
      <c r="WPU3" s="4"/>
      <c r="WPV3" s="4"/>
      <c r="WPW3" s="4"/>
      <c r="WPX3" s="4"/>
      <c r="WPY3" s="4"/>
      <c r="WPZ3" s="4"/>
      <c r="WQA3" s="4"/>
      <c r="WQB3" s="4"/>
      <c r="WQC3" s="4"/>
      <c r="WQD3" s="4"/>
      <c r="WQE3" s="4"/>
      <c r="WQF3" s="4"/>
      <c r="WQG3" s="4"/>
      <c r="WQH3" s="4"/>
      <c r="WQI3" s="4"/>
      <c r="WQJ3" s="4"/>
      <c r="WQK3" s="4"/>
      <c r="WQL3" s="4"/>
      <c r="WQM3" s="4"/>
      <c r="WQN3" s="4"/>
      <c r="WQO3" s="4"/>
      <c r="WQP3" s="4"/>
      <c r="WQQ3" s="4"/>
      <c r="WQR3" s="4"/>
      <c r="WQS3" s="4"/>
      <c r="WQT3" s="4"/>
      <c r="WQU3" s="4"/>
      <c r="WQV3" s="4"/>
      <c r="WQW3" s="4"/>
      <c r="WQX3" s="4"/>
      <c r="WQY3" s="4"/>
      <c r="WQZ3" s="4"/>
      <c r="WRA3" s="4"/>
      <c r="WRB3" s="4"/>
      <c r="WRC3" s="4"/>
      <c r="WRD3" s="4"/>
      <c r="WRE3" s="4"/>
      <c r="WRF3" s="4"/>
      <c r="WRG3" s="4"/>
      <c r="WRH3" s="4"/>
      <c r="WRI3" s="4"/>
      <c r="WRJ3" s="4"/>
      <c r="WRK3" s="4"/>
      <c r="WRL3" s="4"/>
      <c r="WRM3" s="4"/>
      <c r="WRN3" s="4"/>
      <c r="WRO3" s="4"/>
      <c r="WRP3" s="4"/>
      <c r="WRQ3" s="4"/>
      <c r="WRR3" s="4"/>
      <c r="WRS3" s="4"/>
      <c r="WRT3" s="4"/>
      <c r="WRU3" s="4"/>
      <c r="WRV3" s="4"/>
      <c r="WRW3" s="4"/>
      <c r="WRX3" s="4"/>
      <c r="WRY3" s="4"/>
      <c r="WRZ3" s="4"/>
      <c r="WSA3" s="4"/>
      <c r="WSB3" s="4"/>
      <c r="WSC3" s="4"/>
      <c r="WSD3" s="4"/>
      <c r="WSE3" s="4"/>
      <c r="WSF3" s="4"/>
      <c r="WSG3" s="4"/>
      <c r="WSH3" s="4"/>
      <c r="WSI3" s="4"/>
      <c r="WSJ3" s="4"/>
      <c r="WSK3" s="4"/>
      <c r="WSL3" s="4"/>
      <c r="WSM3" s="4"/>
      <c r="WSN3" s="4"/>
      <c r="WSO3" s="4"/>
      <c r="WSP3" s="4"/>
      <c r="WSQ3" s="4"/>
      <c r="WSR3" s="4"/>
      <c r="WSS3" s="4"/>
      <c r="WST3" s="4"/>
      <c r="WSU3" s="4"/>
      <c r="WSV3" s="4"/>
      <c r="WSW3" s="4"/>
      <c r="WSX3" s="4"/>
      <c r="WSY3" s="4"/>
      <c r="WSZ3" s="4"/>
      <c r="WTA3" s="4"/>
      <c r="WTB3" s="4"/>
      <c r="WTC3" s="4"/>
      <c r="WTD3" s="4"/>
      <c r="WTE3" s="4"/>
      <c r="WTF3" s="4"/>
      <c r="WTG3" s="4"/>
      <c r="WTH3" s="4"/>
      <c r="WTI3" s="4"/>
      <c r="WTJ3" s="4"/>
      <c r="WTK3" s="4"/>
      <c r="WTL3" s="4"/>
      <c r="WTM3" s="4"/>
      <c r="WTN3" s="4"/>
      <c r="WTO3" s="4"/>
      <c r="WTP3" s="4"/>
      <c r="WTQ3" s="4"/>
      <c r="WTR3" s="4"/>
      <c r="WTS3" s="4"/>
      <c r="WTT3" s="4"/>
      <c r="WTU3" s="4"/>
      <c r="WTV3" s="4"/>
      <c r="WTW3" s="4"/>
      <c r="WTX3" s="4"/>
      <c r="WTY3" s="4"/>
      <c r="WTZ3" s="4"/>
      <c r="WUA3" s="4"/>
      <c r="WUB3" s="4"/>
      <c r="WUC3" s="4"/>
      <c r="WUD3" s="4"/>
      <c r="WUE3" s="4"/>
      <c r="WUF3" s="4"/>
      <c r="WUG3" s="4"/>
      <c r="WUH3" s="4"/>
      <c r="WUI3" s="4"/>
      <c r="WUJ3" s="4"/>
      <c r="WUK3" s="4"/>
      <c r="WUL3" s="4"/>
      <c r="WUM3" s="4"/>
      <c r="WUN3" s="4"/>
      <c r="WUO3" s="4"/>
      <c r="WUP3" s="4"/>
      <c r="WUQ3" s="4"/>
      <c r="WUR3" s="4"/>
      <c r="WUS3" s="4"/>
      <c r="WUT3" s="4"/>
      <c r="WUU3" s="4"/>
      <c r="WUV3" s="4"/>
      <c r="WUW3" s="4"/>
      <c r="WUX3" s="4"/>
      <c r="WUY3" s="4"/>
      <c r="WUZ3" s="4"/>
      <c r="WVA3" s="4"/>
      <c r="WVB3" s="4"/>
      <c r="WVC3" s="4"/>
      <c r="WVD3" s="4"/>
      <c r="WVE3" s="4"/>
      <c r="WVF3" s="4"/>
      <c r="WVG3" s="4"/>
      <c r="WVH3" s="4"/>
      <c r="WVI3" s="4"/>
      <c r="WVJ3" s="4"/>
      <c r="WVK3" s="4"/>
      <c r="WVL3" s="4"/>
      <c r="WVM3" s="4"/>
      <c r="WVN3" s="4"/>
      <c r="WVO3" s="4"/>
      <c r="WVP3" s="4"/>
      <c r="WVQ3" s="4"/>
      <c r="WVR3" s="4"/>
      <c r="WVS3" s="4"/>
      <c r="WVT3" s="4"/>
      <c r="WVU3" s="4"/>
      <c r="WVV3" s="4"/>
      <c r="WVW3" s="4"/>
      <c r="WVX3" s="4"/>
      <c r="WVY3" s="4"/>
      <c r="WVZ3" s="4"/>
      <c r="WWA3" s="4"/>
      <c r="WWB3" s="4"/>
      <c r="WWC3" s="4"/>
      <c r="WWD3" s="4"/>
      <c r="WWE3" s="4"/>
      <c r="WWF3" s="4"/>
      <c r="WWG3" s="4"/>
      <c r="WWH3" s="4"/>
      <c r="WWI3" s="4"/>
      <c r="WWJ3" s="4"/>
      <c r="WWK3" s="4"/>
      <c r="WWL3" s="4"/>
      <c r="WWM3" s="4"/>
      <c r="WWN3" s="4"/>
      <c r="WWO3" s="4"/>
      <c r="WWP3" s="4"/>
      <c r="WWQ3" s="4"/>
      <c r="WWR3" s="4"/>
      <c r="WWS3" s="4"/>
      <c r="WWT3" s="4"/>
      <c r="WWU3" s="4"/>
      <c r="WWV3" s="4"/>
      <c r="WWW3" s="4"/>
      <c r="WWX3" s="4"/>
      <c r="WWY3" s="4"/>
      <c r="WWZ3" s="4"/>
      <c r="WXA3" s="4"/>
      <c r="WXB3" s="4"/>
      <c r="WXC3" s="4"/>
      <c r="WXD3" s="4"/>
      <c r="WXE3" s="4"/>
      <c r="WXF3" s="4"/>
      <c r="WXG3" s="4"/>
      <c r="WXH3" s="4"/>
      <c r="WXI3" s="4"/>
      <c r="WXJ3" s="4"/>
      <c r="WXK3" s="4"/>
      <c r="WXL3" s="4"/>
      <c r="WXM3" s="4"/>
      <c r="WXN3" s="4"/>
      <c r="WXO3" s="4"/>
      <c r="WXP3" s="4"/>
      <c r="WXQ3" s="4"/>
      <c r="WXR3" s="4"/>
      <c r="WXS3" s="4"/>
      <c r="WXT3" s="4"/>
      <c r="WXU3" s="4"/>
      <c r="WXV3" s="4"/>
      <c r="WXW3" s="4"/>
      <c r="WXX3" s="4"/>
      <c r="WXY3" s="4"/>
      <c r="WXZ3" s="4"/>
      <c r="WYA3" s="4"/>
      <c r="WYB3" s="4"/>
      <c r="WYC3" s="4"/>
      <c r="WYD3" s="4"/>
      <c r="WYE3" s="4"/>
      <c r="WYF3" s="4"/>
      <c r="WYG3" s="4"/>
      <c r="WYH3" s="4"/>
      <c r="WYI3" s="4"/>
      <c r="WYJ3" s="4"/>
      <c r="WYK3" s="4"/>
      <c r="WYL3" s="4"/>
      <c r="WYM3" s="4"/>
      <c r="WYN3" s="4"/>
      <c r="WYO3" s="4"/>
      <c r="WYP3" s="4"/>
      <c r="WYQ3" s="4"/>
      <c r="WYR3" s="4"/>
      <c r="WYS3" s="4"/>
      <c r="WYT3" s="4"/>
      <c r="WYU3" s="4"/>
      <c r="WYV3" s="4"/>
      <c r="WYW3" s="4"/>
      <c r="WYX3" s="4"/>
      <c r="WYY3" s="4"/>
      <c r="WYZ3" s="4"/>
      <c r="WZA3" s="4"/>
      <c r="WZB3" s="4"/>
      <c r="WZC3" s="4"/>
      <c r="WZD3" s="4"/>
      <c r="WZE3" s="4"/>
      <c r="WZF3" s="4"/>
      <c r="WZG3" s="4"/>
      <c r="WZH3" s="4"/>
      <c r="WZI3" s="4"/>
      <c r="WZJ3" s="4"/>
      <c r="WZK3" s="4"/>
      <c r="WZL3" s="4"/>
      <c r="WZM3" s="4"/>
      <c r="WZN3" s="4"/>
      <c r="WZO3" s="4"/>
      <c r="WZP3" s="4"/>
      <c r="WZQ3" s="4"/>
      <c r="WZR3" s="4"/>
      <c r="WZS3" s="4"/>
      <c r="WZT3" s="4"/>
      <c r="WZU3" s="4"/>
      <c r="WZV3" s="4"/>
      <c r="WZW3" s="4"/>
      <c r="WZX3" s="4"/>
      <c r="WZY3" s="4"/>
      <c r="WZZ3" s="4"/>
      <c r="XAA3" s="4"/>
      <c r="XAB3" s="4"/>
      <c r="XAC3" s="4"/>
      <c r="XAD3" s="4"/>
      <c r="XAE3" s="4"/>
      <c r="XAF3" s="4"/>
      <c r="XAG3" s="4"/>
      <c r="XAH3" s="4"/>
      <c r="XAI3" s="4"/>
      <c r="XAJ3" s="4"/>
      <c r="XAK3" s="4"/>
      <c r="XAL3" s="4"/>
      <c r="XAM3" s="4"/>
      <c r="XAN3" s="4"/>
      <c r="XAO3" s="4"/>
      <c r="XAP3" s="4"/>
      <c r="XAQ3" s="4"/>
      <c r="XAR3" s="4"/>
      <c r="XAS3" s="4"/>
      <c r="XAT3" s="4"/>
      <c r="XAU3" s="4"/>
      <c r="XAV3" s="4"/>
      <c r="XAW3" s="4"/>
      <c r="XAX3" s="4"/>
      <c r="XAY3" s="4"/>
      <c r="XAZ3" s="4"/>
      <c r="XBA3" s="4"/>
      <c r="XBB3" s="4"/>
      <c r="XBC3" s="4"/>
      <c r="XBD3" s="4"/>
      <c r="XBE3" s="4"/>
      <c r="XBF3" s="4"/>
      <c r="XBG3" s="4"/>
      <c r="XBH3" s="4"/>
      <c r="XBI3" s="4"/>
      <c r="XBJ3" s="4"/>
      <c r="XBK3" s="4"/>
      <c r="XBL3" s="4"/>
      <c r="XBM3" s="4"/>
      <c r="XBN3" s="4"/>
      <c r="XBO3" s="4"/>
      <c r="XBP3" s="4"/>
      <c r="XBQ3" s="4"/>
      <c r="XBR3" s="4"/>
      <c r="XBS3" s="4"/>
      <c r="XBT3" s="4"/>
      <c r="XBU3" s="4"/>
      <c r="XBV3" s="4"/>
      <c r="XBW3" s="4"/>
      <c r="XBX3" s="4"/>
      <c r="XBY3" s="4"/>
      <c r="XBZ3" s="4"/>
      <c r="XCA3" s="4"/>
      <c r="XCB3" s="4"/>
      <c r="XCC3" s="4"/>
      <c r="XCD3" s="4"/>
      <c r="XCE3" s="4"/>
      <c r="XCF3" s="4"/>
      <c r="XCG3" s="4"/>
      <c r="XCH3" s="4"/>
      <c r="XCI3" s="4"/>
      <c r="XCJ3" s="4"/>
      <c r="XCK3" s="4"/>
      <c r="XCL3" s="4"/>
      <c r="XCM3" s="4"/>
      <c r="XCN3" s="4"/>
      <c r="XCO3" s="4"/>
      <c r="XCP3" s="4"/>
      <c r="XCQ3" s="4"/>
      <c r="XCR3" s="4"/>
      <c r="XCS3" s="4"/>
      <c r="XCT3" s="4"/>
      <c r="XCU3" s="4"/>
      <c r="XCV3" s="4"/>
      <c r="XCW3" s="4"/>
      <c r="XCX3" s="4"/>
      <c r="XCY3" s="4"/>
      <c r="XCZ3" s="4"/>
      <c r="XDA3" s="4"/>
      <c r="XDB3" s="4"/>
      <c r="XDC3" s="4"/>
      <c r="XDD3" s="4"/>
      <c r="XDE3" s="4"/>
      <c r="XDF3" s="4"/>
      <c r="XDG3" s="4"/>
      <c r="XDH3" s="4"/>
      <c r="XDI3" s="4"/>
      <c r="XDJ3" s="4"/>
      <c r="XDK3" s="4"/>
      <c r="XDL3" s="4"/>
      <c r="XDM3" s="4"/>
      <c r="XDN3" s="4"/>
      <c r="XDO3" s="4"/>
      <c r="XDP3" s="4"/>
      <c r="XDQ3" s="4"/>
      <c r="XDR3" s="4"/>
      <c r="XDS3" s="4"/>
      <c r="XDT3" s="4"/>
      <c r="XDU3" s="4"/>
      <c r="XDV3" s="4"/>
      <c r="XDW3" s="4"/>
      <c r="XDX3" s="4"/>
      <c r="XDY3" s="4"/>
      <c r="XDZ3" s="4"/>
      <c r="XEA3" s="4"/>
      <c r="XEB3" s="4"/>
      <c r="XEC3" s="4"/>
      <c r="XED3" s="4"/>
      <c r="XEE3" s="4"/>
      <c r="XEF3" s="4"/>
      <c r="XEG3" s="4"/>
      <c r="XEH3" s="4"/>
      <c r="XEI3" s="4"/>
      <c r="XEJ3" s="4"/>
      <c r="XEK3" s="4"/>
      <c r="XEL3" s="4"/>
      <c r="XEM3" s="4"/>
      <c r="XEN3" s="4"/>
      <c r="XEO3" s="4"/>
      <c r="XEP3" s="4"/>
      <c r="XEQ3" s="4"/>
      <c r="XER3" s="4"/>
      <c r="XES3" s="4"/>
      <c r="XET3" s="4"/>
      <c r="XEU3" s="4"/>
      <c r="XEV3" s="4"/>
      <c r="XEW3" s="4"/>
      <c r="XEX3" s="4"/>
      <c r="XEY3" s="4"/>
      <c r="XEZ3" s="4"/>
      <c r="XFA3" s="4"/>
      <c r="XFB3" s="4"/>
      <c r="XFC3" s="4"/>
      <c r="XFD3" s="4"/>
    </row>
    <row r="4" spans="1:16384" s="5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  <c r="CKH4" s="4"/>
      <c r="CKI4" s="4"/>
      <c r="CKJ4" s="4"/>
      <c r="CKK4" s="4"/>
      <c r="CKL4" s="4"/>
      <c r="CKM4" s="4"/>
      <c r="CKN4" s="4"/>
      <c r="CKO4" s="4"/>
      <c r="CKP4" s="4"/>
      <c r="CKQ4" s="4"/>
      <c r="CKR4" s="4"/>
      <c r="CKS4" s="4"/>
      <c r="CKT4" s="4"/>
      <c r="CKU4" s="4"/>
      <c r="CKV4" s="4"/>
      <c r="CKW4" s="4"/>
      <c r="CKX4" s="4"/>
      <c r="CKY4" s="4"/>
      <c r="CKZ4" s="4"/>
      <c r="CLA4" s="4"/>
      <c r="CLB4" s="4"/>
      <c r="CLC4" s="4"/>
      <c r="CLD4" s="4"/>
      <c r="CLE4" s="4"/>
      <c r="CLF4" s="4"/>
      <c r="CLG4" s="4"/>
      <c r="CLH4" s="4"/>
      <c r="CLI4" s="4"/>
      <c r="CLJ4" s="4"/>
      <c r="CLK4" s="4"/>
      <c r="CLL4" s="4"/>
      <c r="CLM4" s="4"/>
      <c r="CLN4" s="4"/>
      <c r="CLO4" s="4"/>
      <c r="CLP4" s="4"/>
      <c r="CLQ4" s="4"/>
      <c r="CLR4" s="4"/>
      <c r="CLS4" s="4"/>
      <c r="CLT4" s="4"/>
      <c r="CLU4" s="4"/>
      <c r="CLV4" s="4"/>
      <c r="CLW4" s="4"/>
      <c r="CLX4" s="4"/>
      <c r="CLY4" s="4"/>
      <c r="CLZ4" s="4"/>
      <c r="CMA4" s="4"/>
      <c r="CMB4" s="4"/>
      <c r="CMC4" s="4"/>
      <c r="CMD4" s="4"/>
      <c r="CME4" s="4"/>
      <c r="CMF4" s="4"/>
      <c r="CMG4" s="4"/>
      <c r="CMH4" s="4"/>
      <c r="CMI4" s="4"/>
      <c r="CMJ4" s="4"/>
      <c r="CMK4" s="4"/>
      <c r="CML4" s="4"/>
      <c r="CMM4" s="4"/>
      <c r="CMN4" s="4"/>
      <c r="CMO4" s="4"/>
      <c r="CMP4" s="4"/>
      <c r="CMQ4" s="4"/>
      <c r="CMR4" s="4"/>
      <c r="CMS4" s="4"/>
      <c r="CMT4" s="4"/>
      <c r="CMU4" s="4"/>
      <c r="CMV4" s="4"/>
      <c r="CMW4" s="4"/>
      <c r="CMX4" s="4"/>
      <c r="CMY4" s="4"/>
      <c r="CMZ4" s="4"/>
      <c r="CNA4" s="4"/>
      <c r="CNB4" s="4"/>
      <c r="CNC4" s="4"/>
      <c r="CND4" s="4"/>
      <c r="CNE4" s="4"/>
      <c r="CNF4" s="4"/>
      <c r="CNG4" s="4"/>
      <c r="CNH4" s="4"/>
      <c r="CNI4" s="4"/>
      <c r="CNJ4" s="4"/>
      <c r="CNK4" s="4"/>
      <c r="CNL4" s="4"/>
      <c r="CNM4" s="4"/>
      <c r="CNN4" s="4"/>
      <c r="CNO4" s="4"/>
      <c r="CNP4" s="4"/>
      <c r="CNQ4" s="4"/>
      <c r="CNR4" s="4"/>
      <c r="CNS4" s="4"/>
      <c r="CNT4" s="4"/>
      <c r="CNU4" s="4"/>
      <c r="CNV4" s="4"/>
      <c r="CNW4" s="4"/>
      <c r="CNX4" s="4"/>
      <c r="CNY4" s="4"/>
      <c r="CNZ4" s="4"/>
      <c r="COA4" s="4"/>
      <c r="COB4" s="4"/>
      <c r="COC4" s="4"/>
      <c r="COD4" s="4"/>
      <c r="COE4" s="4"/>
      <c r="COF4" s="4"/>
      <c r="COG4" s="4"/>
      <c r="COH4" s="4"/>
      <c r="COI4" s="4"/>
      <c r="COJ4" s="4"/>
      <c r="COK4" s="4"/>
      <c r="COL4" s="4"/>
      <c r="COM4" s="4"/>
      <c r="CON4" s="4"/>
      <c r="COO4" s="4"/>
      <c r="COP4" s="4"/>
      <c r="COQ4" s="4"/>
      <c r="COR4" s="4"/>
      <c r="COS4" s="4"/>
      <c r="COT4" s="4"/>
      <c r="COU4" s="4"/>
      <c r="COV4" s="4"/>
      <c r="COW4" s="4"/>
      <c r="COX4" s="4"/>
      <c r="COY4" s="4"/>
      <c r="COZ4" s="4"/>
      <c r="CPA4" s="4"/>
      <c r="CPB4" s="4"/>
      <c r="CPC4" s="4"/>
      <c r="CPD4" s="4"/>
      <c r="CPE4" s="4"/>
      <c r="CPF4" s="4"/>
      <c r="CPG4" s="4"/>
      <c r="CPH4" s="4"/>
      <c r="CPI4" s="4"/>
      <c r="CPJ4" s="4"/>
      <c r="CPK4" s="4"/>
      <c r="CPL4" s="4"/>
      <c r="CPM4" s="4"/>
      <c r="CPN4" s="4"/>
      <c r="CPO4" s="4"/>
      <c r="CPP4" s="4"/>
      <c r="CPQ4" s="4"/>
      <c r="CPR4" s="4"/>
      <c r="CPS4" s="4"/>
      <c r="CPT4" s="4"/>
      <c r="CPU4" s="4"/>
      <c r="CPV4" s="4"/>
      <c r="CPW4" s="4"/>
      <c r="CPX4" s="4"/>
      <c r="CPY4" s="4"/>
      <c r="CPZ4" s="4"/>
      <c r="CQA4" s="4"/>
      <c r="CQB4" s="4"/>
      <c r="CQC4" s="4"/>
      <c r="CQD4" s="4"/>
      <c r="CQE4" s="4"/>
      <c r="CQF4" s="4"/>
      <c r="CQG4" s="4"/>
      <c r="CQH4" s="4"/>
      <c r="CQI4" s="4"/>
      <c r="CQJ4" s="4"/>
      <c r="CQK4" s="4"/>
      <c r="CQL4" s="4"/>
      <c r="CQM4" s="4"/>
      <c r="CQN4" s="4"/>
      <c r="CQO4" s="4"/>
      <c r="CQP4" s="4"/>
      <c r="CQQ4" s="4"/>
      <c r="CQR4" s="4"/>
      <c r="CQS4" s="4"/>
      <c r="CQT4" s="4"/>
      <c r="CQU4" s="4"/>
      <c r="CQV4" s="4"/>
      <c r="CQW4" s="4"/>
      <c r="CQX4" s="4"/>
      <c r="CQY4" s="4"/>
      <c r="CQZ4" s="4"/>
      <c r="CRA4" s="4"/>
      <c r="CRB4" s="4"/>
      <c r="CRC4" s="4"/>
      <c r="CRD4" s="4"/>
      <c r="CRE4" s="4"/>
      <c r="CRF4" s="4"/>
      <c r="CRG4" s="4"/>
      <c r="CRH4" s="4"/>
      <c r="CRI4" s="4"/>
      <c r="CRJ4" s="4"/>
      <c r="CRK4" s="4"/>
      <c r="CRL4" s="4"/>
      <c r="CRM4" s="4"/>
      <c r="CRN4" s="4"/>
      <c r="CRO4" s="4"/>
      <c r="CRP4" s="4"/>
      <c r="CRQ4" s="4"/>
      <c r="CRR4" s="4"/>
      <c r="CRS4" s="4"/>
      <c r="CRT4" s="4"/>
      <c r="CRU4" s="4"/>
      <c r="CRV4" s="4"/>
      <c r="CRW4" s="4"/>
      <c r="CRX4" s="4"/>
      <c r="CRY4" s="4"/>
      <c r="CRZ4" s="4"/>
      <c r="CSA4" s="4"/>
      <c r="CSB4" s="4"/>
      <c r="CSC4" s="4"/>
      <c r="CSD4" s="4"/>
      <c r="CSE4" s="4"/>
      <c r="CSF4" s="4"/>
      <c r="CSG4" s="4"/>
      <c r="CSH4" s="4"/>
      <c r="CSI4" s="4"/>
      <c r="CSJ4" s="4"/>
      <c r="CSK4" s="4"/>
      <c r="CSL4" s="4"/>
      <c r="CSM4" s="4"/>
      <c r="CSN4" s="4"/>
      <c r="CSO4" s="4"/>
      <c r="CSP4" s="4"/>
      <c r="CSQ4" s="4"/>
      <c r="CSR4" s="4"/>
      <c r="CSS4" s="4"/>
      <c r="CST4" s="4"/>
      <c r="CSU4" s="4"/>
      <c r="CSV4" s="4"/>
      <c r="CSW4" s="4"/>
      <c r="CSX4" s="4"/>
      <c r="CSY4" s="4"/>
      <c r="CSZ4" s="4"/>
      <c r="CTA4" s="4"/>
      <c r="CTB4" s="4"/>
      <c r="CTC4" s="4"/>
      <c r="CTD4" s="4"/>
      <c r="CTE4" s="4"/>
      <c r="CTF4" s="4"/>
      <c r="CTG4" s="4"/>
      <c r="CTH4" s="4"/>
      <c r="CTI4" s="4"/>
      <c r="CTJ4" s="4"/>
      <c r="CTK4" s="4"/>
      <c r="CTL4" s="4"/>
      <c r="CTM4" s="4"/>
      <c r="CTN4" s="4"/>
      <c r="CTO4" s="4"/>
      <c r="CTP4" s="4"/>
      <c r="CTQ4" s="4"/>
      <c r="CTR4" s="4"/>
      <c r="CTS4" s="4"/>
      <c r="CTT4" s="4"/>
      <c r="CTU4" s="4"/>
      <c r="CTV4" s="4"/>
      <c r="CTW4" s="4"/>
      <c r="CTX4" s="4"/>
      <c r="CTY4" s="4"/>
      <c r="CTZ4" s="4"/>
      <c r="CUA4" s="4"/>
      <c r="CUB4" s="4"/>
      <c r="CUC4" s="4"/>
      <c r="CUD4" s="4"/>
      <c r="CUE4" s="4"/>
      <c r="CUF4" s="4"/>
      <c r="CUG4" s="4"/>
      <c r="CUH4" s="4"/>
      <c r="CUI4" s="4"/>
      <c r="CUJ4" s="4"/>
      <c r="CUK4" s="4"/>
      <c r="CUL4" s="4"/>
      <c r="CUM4" s="4"/>
      <c r="CUN4" s="4"/>
      <c r="CUO4" s="4"/>
      <c r="CUP4" s="4"/>
      <c r="CUQ4" s="4"/>
      <c r="CUR4" s="4"/>
      <c r="CUS4" s="4"/>
      <c r="CUT4" s="4"/>
      <c r="CUU4" s="4"/>
      <c r="CUV4" s="4"/>
      <c r="CUW4" s="4"/>
      <c r="CUX4" s="4"/>
      <c r="CUY4" s="4"/>
      <c r="CUZ4" s="4"/>
      <c r="CVA4" s="4"/>
      <c r="CVB4" s="4"/>
      <c r="CVC4" s="4"/>
      <c r="CVD4" s="4"/>
      <c r="CVE4" s="4"/>
      <c r="CVF4" s="4"/>
      <c r="CVG4" s="4"/>
      <c r="CVH4" s="4"/>
      <c r="CVI4" s="4"/>
      <c r="CVJ4" s="4"/>
      <c r="CVK4" s="4"/>
      <c r="CVL4" s="4"/>
      <c r="CVM4" s="4"/>
      <c r="CVN4" s="4"/>
      <c r="CVO4" s="4"/>
      <c r="CVP4" s="4"/>
      <c r="CVQ4" s="4"/>
      <c r="CVR4" s="4"/>
      <c r="CVS4" s="4"/>
      <c r="CVT4" s="4"/>
      <c r="CVU4" s="4"/>
      <c r="CVV4" s="4"/>
      <c r="CVW4" s="4"/>
      <c r="CVX4" s="4"/>
      <c r="CVY4" s="4"/>
      <c r="CVZ4" s="4"/>
      <c r="CWA4" s="4"/>
      <c r="CWB4" s="4"/>
      <c r="CWC4" s="4"/>
      <c r="CWD4" s="4"/>
      <c r="CWE4" s="4"/>
      <c r="CWF4" s="4"/>
      <c r="CWG4" s="4"/>
      <c r="CWH4" s="4"/>
      <c r="CWI4" s="4"/>
      <c r="CWJ4" s="4"/>
      <c r="CWK4" s="4"/>
      <c r="CWL4" s="4"/>
      <c r="CWM4" s="4"/>
      <c r="CWN4" s="4"/>
      <c r="CWO4" s="4"/>
      <c r="CWP4" s="4"/>
      <c r="CWQ4" s="4"/>
      <c r="CWR4" s="4"/>
      <c r="CWS4" s="4"/>
      <c r="CWT4" s="4"/>
      <c r="CWU4" s="4"/>
      <c r="CWV4" s="4"/>
      <c r="CWW4" s="4"/>
      <c r="CWX4" s="4"/>
      <c r="CWY4" s="4"/>
      <c r="CWZ4" s="4"/>
      <c r="CXA4" s="4"/>
      <c r="CXB4" s="4"/>
      <c r="CXC4" s="4"/>
      <c r="CXD4" s="4"/>
      <c r="CXE4" s="4"/>
      <c r="CXF4" s="4"/>
      <c r="CXG4" s="4"/>
      <c r="CXH4" s="4"/>
      <c r="CXI4" s="4"/>
      <c r="CXJ4" s="4"/>
      <c r="CXK4" s="4"/>
      <c r="CXL4" s="4"/>
      <c r="CXM4" s="4"/>
      <c r="CXN4" s="4"/>
      <c r="CXO4" s="4"/>
      <c r="CXP4" s="4"/>
      <c r="CXQ4" s="4"/>
      <c r="CXR4" s="4"/>
      <c r="CXS4" s="4"/>
      <c r="CXT4" s="4"/>
      <c r="CXU4" s="4"/>
      <c r="CXV4" s="4"/>
      <c r="CXW4" s="4"/>
      <c r="CXX4" s="4"/>
      <c r="CXY4" s="4"/>
      <c r="CXZ4" s="4"/>
      <c r="CYA4" s="4"/>
      <c r="CYB4" s="4"/>
      <c r="CYC4" s="4"/>
      <c r="CYD4" s="4"/>
      <c r="CYE4" s="4"/>
      <c r="CYF4" s="4"/>
      <c r="CYG4" s="4"/>
      <c r="CYH4" s="4"/>
      <c r="CYI4" s="4"/>
      <c r="CYJ4" s="4"/>
      <c r="CYK4" s="4"/>
      <c r="CYL4" s="4"/>
      <c r="CYM4" s="4"/>
      <c r="CYN4" s="4"/>
      <c r="CYO4" s="4"/>
      <c r="CYP4" s="4"/>
      <c r="CYQ4" s="4"/>
      <c r="CYR4" s="4"/>
      <c r="CYS4" s="4"/>
      <c r="CYT4" s="4"/>
      <c r="CYU4" s="4"/>
      <c r="CYV4" s="4"/>
      <c r="CYW4" s="4"/>
      <c r="CYX4" s="4"/>
      <c r="CYY4" s="4"/>
      <c r="CYZ4" s="4"/>
      <c r="CZA4" s="4"/>
      <c r="CZB4" s="4"/>
      <c r="CZC4" s="4"/>
      <c r="CZD4" s="4"/>
      <c r="CZE4" s="4"/>
      <c r="CZF4" s="4"/>
      <c r="CZG4" s="4"/>
      <c r="CZH4" s="4"/>
      <c r="CZI4" s="4"/>
      <c r="CZJ4" s="4"/>
      <c r="CZK4" s="4"/>
      <c r="CZL4" s="4"/>
      <c r="CZM4" s="4"/>
      <c r="CZN4" s="4"/>
      <c r="CZO4" s="4"/>
      <c r="CZP4" s="4"/>
      <c r="CZQ4" s="4"/>
      <c r="CZR4" s="4"/>
      <c r="CZS4" s="4"/>
      <c r="CZT4" s="4"/>
      <c r="CZU4" s="4"/>
      <c r="CZV4" s="4"/>
      <c r="CZW4" s="4"/>
      <c r="CZX4" s="4"/>
      <c r="CZY4" s="4"/>
      <c r="CZZ4" s="4"/>
      <c r="DAA4" s="4"/>
      <c r="DAB4" s="4"/>
      <c r="DAC4" s="4"/>
      <c r="DAD4" s="4"/>
      <c r="DAE4" s="4"/>
      <c r="DAF4" s="4"/>
      <c r="DAG4" s="4"/>
      <c r="DAH4" s="4"/>
      <c r="DAI4" s="4"/>
      <c r="DAJ4" s="4"/>
      <c r="DAK4" s="4"/>
      <c r="DAL4" s="4"/>
      <c r="DAM4" s="4"/>
      <c r="DAN4" s="4"/>
      <c r="DAO4" s="4"/>
      <c r="DAP4" s="4"/>
      <c r="DAQ4" s="4"/>
      <c r="DAR4" s="4"/>
      <c r="DAS4" s="4"/>
      <c r="DAT4" s="4"/>
      <c r="DAU4" s="4"/>
      <c r="DAV4" s="4"/>
      <c r="DAW4" s="4"/>
      <c r="DAX4" s="4"/>
      <c r="DAY4" s="4"/>
      <c r="DAZ4" s="4"/>
      <c r="DBA4" s="4"/>
      <c r="DBB4" s="4"/>
      <c r="DBC4" s="4"/>
      <c r="DBD4" s="4"/>
      <c r="DBE4" s="4"/>
      <c r="DBF4" s="4"/>
      <c r="DBG4" s="4"/>
      <c r="DBH4" s="4"/>
      <c r="DBI4" s="4"/>
      <c r="DBJ4" s="4"/>
      <c r="DBK4" s="4"/>
      <c r="DBL4" s="4"/>
      <c r="DBM4" s="4"/>
      <c r="DBN4" s="4"/>
      <c r="DBO4" s="4"/>
      <c r="DBP4" s="4"/>
      <c r="DBQ4" s="4"/>
      <c r="DBR4" s="4"/>
      <c r="DBS4" s="4"/>
      <c r="DBT4" s="4"/>
      <c r="DBU4" s="4"/>
      <c r="DBV4" s="4"/>
      <c r="DBW4" s="4"/>
      <c r="DBX4" s="4"/>
      <c r="DBY4" s="4"/>
      <c r="DBZ4" s="4"/>
      <c r="DCA4" s="4"/>
      <c r="DCB4" s="4"/>
      <c r="DCC4" s="4"/>
      <c r="DCD4" s="4"/>
      <c r="DCE4" s="4"/>
      <c r="DCF4" s="4"/>
      <c r="DCG4" s="4"/>
      <c r="DCH4" s="4"/>
      <c r="DCI4" s="4"/>
      <c r="DCJ4" s="4"/>
      <c r="DCK4" s="4"/>
      <c r="DCL4" s="4"/>
      <c r="DCM4" s="4"/>
      <c r="DCN4" s="4"/>
      <c r="DCO4" s="4"/>
      <c r="DCP4" s="4"/>
      <c r="DCQ4" s="4"/>
      <c r="DCR4" s="4"/>
      <c r="DCS4" s="4"/>
      <c r="DCT4" s="4"/>
      <c r="DCU4" s="4"/>
      <c r="DCV4" s="4"/>
      <c r="DCW4" s="4"/>
      <c r="DCX4" s="4"/>
      <c r="DCY4" s="4"/>
      <c r="DCZ4" s="4"/>
      <c r="DDA4" s="4"/>
      <c r="DDB4" s="4"/>
      <c r="DDC4" s="4"/>
      <c r="DDD4" s="4"/>
      <c r="DDE4" s="4"/>
      <c r="DDF4" s="4"/>
      <c r="DDG4" s="4"/>
      <c r="DDH4" s="4"/>
      <c r="DDI4" s="4"/>
      <c r="DDJ4" s="4"/>
      <c r="DDK4" s="4"/>
      <c r="DDL4" s="4"/>
      <c r="DDM4" s="4"/>
      <c r="DDN4" s="4"/>
      <c r="DDO4" s="4"/>
      <c r="DDP4" s="4"/>
      <c r="DDQ4" s="4"/>
      <c r="DDR4" s="4"/>
      <c r="DDS4" s="4"/>
      <c r="DDT4" s="4"/>
      <c r="DDU4" s="4"/>
      <c r="DDV4" s="4"/>
      <c r="DDW4" s="4"/>
      <c r="DDX4" s="4"/>
      <c r="DDY4" s="4"/>
      <c r="DDZ4" s="4"/>
      <c r="DEA4" s="4"/>
      <c r="DEB4" s="4"/>
      <c r="DEC4" s="4"/>
      <c r="DED4" s="4"/>
      <c r="DEE4" s="4"/>
      <c r="DEF4" s="4"/>
      <c r="DEG4" s="4"/>
      <c r="DEH4" s="4"/>
      <c r="DEI4" s="4"/>
      <c r="DEJ4" s="4"/>
      <c r="DEK4" s="4"/>
      <c r="DEL4" s="4"/>
      <c r="DEM4" s="4"/>
      <c r="DEN4" s="4"/>
      <c r="DEO4" s="4"/>
      <c r="DEP4" s="4"/>
      <c r="DEQ4" s="4"/>
      <c r="DER4" s="4"/>
      <c r="DES4" s="4"/>
      <c r="DET4" s="4"/>
      <c r="DEU4" s="4"/>
      <c r="DEV4" s="4"/>
      <c r="DEW4" s="4"/>
      <c r="DEX4" s="4"/>
      <c r="DEY4" s="4"/>
      <c r="DEZ4" s="4"/>
      <c r="DFA4" s="4"/>
      <c r="DFB4" s="4"/>
      <c r="DFC4" s="4"/>
      <c r="DFD4" s="4"/>
      <c r="DFE4" s="4"/>
      <c r="DFF4" s="4"/>
      <c r="DFG4" s="4"/>
      <c r="DFH4" s="4"/>
      <c r="DFI4" s="4"/>
      <c r="DFJ4" s="4"/>
      <c r="DFK4" s="4"/>
      <c r="DFL4" s="4"/>
      <c r="DFM4" s="4"/>
      <c r="DFN4" s="4"/>
      <c r="DFO4" s="4"/>
      <c r="DFP4" s="4"/>
      <c r="DFQ4" s="4"/>
      <c r="DFR4" s="4"/>
      <c r="DFS4" s="4"/>
      <c r="DFT4" s="4"/>
      <c r="DFU4" s="4"/>
      <c r="DFV4" s="4"/>
      <c r="DFW4" s="4"/>
      <c r="DFX4" s="4"/>
      <c r="DFY4" s="4"/>
      <c r="DFZ4" s="4"/>
      <c r="DGA4" s="4"/>
      <c r="DGB4" s="4"/>
      <c r="DGC4" s="4"/>
      <c r="DGD4" s="4"/>
      <c r="DGE4" s="4"/>
      <c r="DGF4" s="4"/>
      <c r="DGG4" s="4"/>
      <c r="DGH4" s="4"/>
      <c r="DGI4" s="4"/>
      <c r="DGJ4" s="4"/>
      <c r="DGK4" s="4"/>
      <c r="DGL4" s="4"/>
      <c r="DGM4" s="4"/>
      <c r="DGN4" s="4"/>
      <c r="DGO4" s="4"/>
      <c r="DGP4" s="4"/>
      <c r="DGQ4" s="4"/>
      <c r="DGR4" s="4"/>
      <c r="DGS4" s="4"/>
      <c r="DGT4" s="4"/>
      <c r="DGU4" s="4"/>
      <c r="DGV4" s="4"/>
      <c r="DGW4" s="4"/>
      <c r="DGX4" s="4"/>
      <c r="DGY4" s="4"/>
      <c r="DGZ4" s="4"/>
      <c r="DHA4" s="4"/>
      <c r="DHB4" s="4"/>
      <c r="DHC4" s="4"/>
      <c r="DHD4" s="4"/>
      <c r="DHE4" s="4"/>
      <c r="DHF4" s="4"/>
      <c r="DHG4" s="4"/>
      <c r="DHH4" s="4"/>
      <c r="DHI4" s="4"/>
      <c r="DHJ4" s="4"/>
      <c r="DHK4" s="4"/>
      <c r="DHL4" s="4"/>
      <c r="DHM4" s="4"/>
      <c r="DHN4" s="4"/>
      <c r="DHO4" s="4"/>
      <c r="DHP4" s="4"/>
      <c r="DHQ4" s="4"/>
      <c r="DHR4" s="4"/>
      <c r="DHS4" s="4"/>
      <c r="DHT4" s="4"/>
      <c r="DHU4" s="4"/>
      <c r="DHV4" s="4"/>
      <c r="DHW4" s="4"/>
      <c r="DHX4" s="4"/>
      <c r="DHY4" s="4"/>
      <c r="DHZ4" s="4"/>
      <c r="DIA4" s="4"/>
      <c r="DIB4" s="4"/>
      <c r="DIC4" s="4"/>
      <c r="DID4" s="4"/>
      <c r="DIE4" s="4"/>
      <c r="DIF4" s="4"/>
      <c r="DIG4" s="4"/>
      <c r="DIH4" s="4"/>
      <c r="DII4" s="4"/>
      <c r="DIJ4" s="4"/>
      <c r="DIK4" s="4"/>
      <c r="DIL4" s="4"/>
      <c r="DIM4" s="4"/>
      <c r="DIN4" s="4"/>
      <c r="DIO4" s="4"/>
      <c r="DIP4" s="4"/>
      <c r="DIQ4" s="4"/>
      <c r="DIR4" s="4"/>
      <c r="DIS4" s="4"/>
      <c r="DIT4" s="4"/>
      <c r="DIU4" s="4"/>
      <c r="DIV4" s="4"/>
      <c r="DIW4" s="4"/>
      <c r="DIX4" s="4"/>
      <c r="DIY4" s="4"/>
      <c r="DIZ4" s="4"/>
      <c r="DJA4" s="4"/>
      <c r="DJB4" s="4"/>
      <c r="DJC4" s="4"/>
      <c r="DJD4" s="4"/>
      <c r="DJE4" s="4"/>
      <c r="DJF4" s="4"/>
      <c r="DJG4" s="4"/>
      <c r="DJH4" s="4"/>
      <c r="DJI4" s="4"/>
      <c r="DJJ4" s="4"/>
      <c r="DJK4" s="4"/>
      <c r="DJL4" s="4"/>
      <c r="DJM4" s="4"/>
      <c r="DJN4" s="4"/>
      <c r="DJO4" s="4"/>
      <c r="DJP4" s="4"/>
      <c r="DJQ4" s="4"/>
      <c r="DJR4" s="4"/>
      <c r="DJS4" s="4"/>
      <c r="DJT4" s="4"/>
      <c r="DJU4" s="4"/>
      <c r="DJV4" s="4"/>
      <c r="DJW4" s="4"/>
      <c r="DJX4" s="4"/>
      <c r="DJY4" s="4"/>
      <c r="DJZ4" s="4"/>
      <c r="DKA4" s="4"/>
      <c r="DKB4" s="4"/>
      <c r="DKC4" s="4"/>
      <c r="DKD4" s="4"/>
      <c r="DKE4" s="4"/>
      <c r="DKF4" s="4"/>
      <c r="DKG4" s="4"/>
      <c r="DKH4" s="4"/>
      <c r="DKI4" s="4"/>
      <c r="DKJ4" s="4"/>
      <c r="DKK4" s="4"/>
      <c r="DKL4" s="4"/>
      <c r="DKM4" s="4"/>
      <c r="DKN4" s="4"/>
      <c r="DKO4" s="4"/>
      <c r="DKP4" s="4"/>
      <c r="DKQ4" s="4"/>
      <c r="DKR4" s="4"/>
      <c r="DKS4" s="4"/>
      <c r="DKT4" s="4"/>
      <c r="DKU4" s="4"/>
      <c r="DKV4" s="4"/>
      <c r="DKW4" s="4"/>
      <c r="DKX4" s="4"/>
      <c r="DKY4" s="4"/>
      <c r="DKZ4" s="4"/>
      <c r="DLA4" s="4"/>
      <c r="DLB4" s="4"/>
      <c r="DLC4" s="4"/>
      <c r="DLD4" s="4"/>
      <c r="DLE4" s="4"/>
      <c r="DLF4" s="4"/>
      <c r="DLG4" s="4"/>
      <c r="DLH4" s="4"/>
      <c r="DLI4" s="4"/>
      <c r="DLJ4" s="4"/>
      <c r="DLK4" s="4"/>
      <c r="DLL4" s="4"/>
      <c r="DLM4" s="4"/>
      <c r="DLN4" s="4"/>
      <c r="DLO4" s="4"/>
      <c r="DLP4" s="4"/>
      <c r="DLQ4" s="4"/>
      <c r="DLR4" s="4"/>
      <c r="DLS4" s="4"/>
      <c r="DLT4" s="4"/>
      <c r="DLU4" s="4"/>
      <c r="DLV4" s="4"/>
      <c r="DLW4" s="4"/>
      <c r="DLX4" s="4"/>
      <c r="DLY4" s="4"/>
      <c r="DLZ4" s="4"/>
      <c r="DMA4" s="4"/>
      <c r="DMB4" s="4"/>
      <c r="DMC4" s="4"/>
      <c r="DMD4" s="4"/>
      <c r="DME4" s="4"/>
      <c r="DMF4" s="4"/>
      <c r="DMG4" s="4"/>
      <c r="DMH4" s="4"/>
      <c r="DMI4" s="4"/>
      <c r="DMJ4" s="4"/>
      <c r="DMK4" s="4"/>
      <c r="DML4" s="4"/>
      <c r="DMM4" s="4"/>
      <c r="DMN4" s="4"/>
      <c r="DMO4" s="4"/>
      <c r="DMP4" s="4"/>
      <c r="DMQ4" s="4"/>
      <c r="DMR4" s="4"/>
      <c r="DMS4" s="4"/>
      <c r="DMT4" s="4"/>
      <c r="DMU4" s="4"/>
      <c r="DMV4" s="4"/>
      <c r="DMW4" s="4"/>
      <c r="DMX4" s="4"/>
      <c r="DMY4" s="4"/>
      <c r="DMZ4" s="4"/>
      <c r="DNA4" s="4"/>
      <c r="DNB4" s="4"/>
      <c r="DNC4" s="4"/>
      <c r="DND4" s="4"/>
      <c r="DNE4" s="4"/>
      <c r="DNF4" s="4"/>
      <c r="DNG4" s="4"/>
      <c r="DNH4" s="4"/>
      <c r="DNI4" s="4"/>
      <c r="DNJ4" s="4"/>
      <c r="DNK4" s="4"/>
      <c r="DNL4" s="4"/>
      <c r="DNM4" s="4"/>
      <c r="DNN4" s="4"/>
      <c r="DNO4" s="4"/>
      <c r="DNP4" s="4"/>
      <c r="DNQ4" s="4"/>
      <c r="DNR4" s="4"/>
      <c r="DNS4" s="4"/>
      <c r="DNT4" s="4"/>
      <c r="DNU4" s="4"/>
      <c r="DNV4" s="4"/>
      <c r="DNW4" s="4"/>
      <c r="DNX4" s="4"/>
      <c r="DNY4" s="4"/>
      <c r="DNZ4" s="4"/>
      <c r="DOA4" s="4"/>
      <c r="DOB4" s="4"/>
      <c r="DOC4" s="4"/>
      <c r="DOD4" s="4"/>
      <c r="DOE4" s="4"/>
      <c r="DOF4" s="4"/>
      <c r="DOG4" s="4"/>
      <c r="DOH4" s="4"/>
      <c r="DOI4" s="4"/>
      <c r="DOJ4" s="4"/>
      <c r="DOK4" s="4"/>
      <c r="DOL4" s="4"/>
      <c r="DOM4" s="4"/>
      <c r="DON4" s="4"/>
      <c r="DOO4" s="4"/>
      <c r="DOP4" s="4"/>
      <c r="DOQ4" s="4"/>
      <c r="DOR4" s="4"/>
      <c r="DOS4" s="4"/>
      <c r="DOT4" s="4"/>
      <c r="DOU4" s="4"/>
      <c r="DOV4" s="4"/>
      <c r="DOW4" s="4"/>
      <c r="DOX4" s="4"/>
      <c r="DOY4" s="4"/>
      <c r="DOZ4" s="4"/>
      <c r="DPA4" s="4"/>
      <c r="DPB4" s="4"/>
      <c r="DPC4" s="4"/>
      <c r="DPD4" s="4"/>
      <c r="DPE4" s="4"/>
      <c r="DPF4" s="4"/>
      <c r="DPG4" s="4"/>
      <c r="DPH4" s="4"/>
      <c r="DPI4" s="4"/>
      <c r="DPJ4" s="4"/>
      <c r="DPK4" s="4"/>
      <c r="DPL4" s="4"/>
      <c r="DPM4" s="4"/>
      <c r="DPN4" s="4"/>
      <c r="DPO4" s="4"/>
      <c r="DPP4" s="4"/>
      <c r="DPQ4" s="4"/>
      <c r="DPR4" s="4"/>
      <c r="DPS4" s="4"/>
      <c r="DPT4" s="4"/>
      <c r="DPU4" s="4"/>
      <c r="DPV4" s="4"/>
      <c r="DPW4" s="4"/>
      <c r="DPX4" s="4"/>
      <c r="DPY4" s="4"/>
      <c r="DPZ4" s="4"/>
      <c r="DQA4" s="4"/>
      <c r="DQB4" s="4"/>
      <c r="DQC4" s="4"/>
      <c r="DQD4" s="4"/>
      <c r="DQE4" s="4"/>
      <c r="DQF4" s="4"/>
      <c r="DQG4" s="4"/>
      <c r="DQH4" s="4"/>
      <c r="DQI4" s="4"/>
      <c r="DQJ4" s="4"/>
      <c r="DQK4" s="4"/>
      <c r="DQL4" s="4"/>
      <c r="DQM4" s="4"/>
      <c r="DQN4" s="4"/>
      <c r="DQO4" s="4"/>
      <c r="DQP4" s="4"/>
      <c r="DQQ4" s="4"/>
      <c r="DQR4" s="4"/>
      <c r="DQS4" s="4"/>
      <c r="DQT4" s="4"/>
      <c r="DQU4" s="4"/>
      <c r="DQV4" s="4"/>
      <c r="DQW4" s="4"/>
      <c r="DQX4" s="4"/>
      <c r="DQY4" s="4"/>
      <c r="DQZ4" s="4"/>
      <c r="DRA4" s="4"/>
      <c r="DRB4" s="4"/>
      <c r="DRC4" s="4"/>
      <c r="DRD4" s="4"/>
      <c r="DRE4" s="4"/>
      <c r="DRF4" s="4"/>
      <c r="DRG4" s="4"/>
      <c r="DRH4" s="4"/>
      <c r="DRI4" s="4"/>
      <c r="DRJ4" s="4"/>
      <c r="DRK4" s="4"/>
      <c r="DRL4" s="4"/>
      <c r="DRM4" s="4"/>
      <c r="DRN4" s="4"/>
      <c r="DRO4" s="4"/>
      <c r="DRP4" s="4"/>
      <c r="DRQ4" s="4"/>
      <c r="DRR4" s="4"/>
      <c r="DRS4" s="4"/>
      <c r="DRT4" s="4"/>
      <c r="DRU4" s="4"/>
      <c r="DRV4" s="4"/>
      <c r="DRW4" s="4"/>
      <c r="DRX4" s="4"/>
      <c r="DRY4" s="4"/>
      <c r="DRZ4" s="4"/>
      <c r="DSA4" s="4"/>
      <c r="DSB4" s="4"/>
      <c r="DSC4" s="4"/>
      <c r="DSD4" s="4"/>
      <c r="DSE4" s="4"/>
      <c r="DSF4" s="4"/>
      <c r="DSG4" s="4"/>
      <c r="DSH4" s="4"/>
      <c r="DSI4" s="4"/>
      <c r="DSJ4" s="4"/>
      <c r="DSK4" s="4"/>
      <c r="DSL4" s="4"/>
      <c r="DSM4" s="4"/>
      <c r="DSN4" s="4"/>
      <c r="DSO4" s="4"/>
      <c r="DSP4" s="4"/>
      <c r="DSQ4" s="4"/>
      <c r="DSR4" s="4"/>
      <c r="DSS4" s="4"/>
      <c r="DST4" s="4"/>
      <c r="DSU4" s="4"/>
      <c r="DSV4" s="4"/>
      <c r="DSW4" s="4"/>
      <c r="DSX4" s="4"/>
      <c r="DSY4" s="4"/>
      <c r="DSZ4" s="4"/>
      <c r="DTA4" s="4"/>
      <c r="DTB4" s="4"/>
      <c r="DTC4" s="4"/>
      <c r="DTD4" s="4"/>
      <c r="DTE4" s="4"/>
      <c r="DTF4" s="4"/>
      <c r="DTG4" s="4"/>
      <c r="DTH4" s="4"/>
      <c r="DTI4" s="4"/>
      <c r="DTJ4" s="4"/>
      <c r="DTK4" s="4"/>
      <c r="DTL4" s="4"/>
      <c r="DTM4" s="4"/>
      <c r="DTN4" s="4"/>
      <c r="DTO4" s="4"/>
      <c r="DTP4" s="4"/>
      <c r="DTQ4" s="4"/>
      <c r="DTR4" s="4"/>
      <c r="DTS4" s="4"/>
      <c r="DTT4" s="4"/>
      <c r="DTU4" s="4"/>
      <c r="DTV4" s="4"/>
      <c r="DTW4" s="4"/>
      <c r="DTX4" s="4"/>
      <c r="DTY4" s="4"/>
      <c r="DTZ4" s="4"/>
      <c r="DUA4" s="4"/>
      <c r="DUB4" s="4"/>
      <c r="DUC4" s="4"/>
      <c r="DUD4" s="4"/>
      <c r="DUE4" s="4"/>
      <c r="DUF4" s="4"/>
      <c r="DUG4" s="4"/>
      <c r="DUH4" s="4"/>
      <c r="DUI4" s="4"/>
      <c r="DUJ4" s="4"/>
      <c r="DUK4" s="4"/>
      <c r="DUL4" s="4"/>
      <c r="DUM4" s="4"/>
      <c r="DUN4" s="4"/>
      <c r="DUO4" s="4"/>
      <c r="DUP4" s="4"/>
      <c r="DUQ4" s="4"/>
      <c r="DUR4" s="4"/>
      <c r="DUS4" s="4"/>
      <c r="DUT4" s="4"/>
      <c r="DUU4" s="4"/>
      <c r="DUV4" s="4"/>
      <c r="DUW4" s="4"/>
      <c r="DUX4" s="4"/>
      <c r="DUY4" s="4"/>
      <c r="DUZ4" s="4"/>
      <c r="DVA4" s="4"/>
      <c r="DVB4" s="4"/>
      <c r="DVC4" s="4"/>
      <c r="DVD4" s="4"/>
      <c r="DVE4" s="4"/>
      <c r="DVF4" s="4"/>
      <c r="DVG4" s="4"/>
      <c r="DVH4" s="4"/>
      <c r="DVI4" s="4"/>
      <c r="DVJ4" s="4"/>
      <c r="DVK4" s="4"/>
      <c r="DVL4" s="4"/>
      <c r="DVM4" s="4"/>
      <c r="DVN4" s="4"/>
      <c r="DVO4" s="4"/>
      <c r="DVP4" s="4"/>
      <c r="DVQ4" s="4"/>
      <c r="DVR4" s="4"/>
      <c r="DVS4" s="4"/>
      <c r="DVT4" s="4"/>
      <c r="DVU4" s="4"/>
      <c r="DVV4" s="4"/>
      <c r="DVW4" s="4"/>
      <c r="DVX4" s="4"/>
      <c r="DVY4" s="4"/>
      <c r="DVZ4" s="4"/>
      <c r="DWA4" s="4"/>
      <c r="DWB4" s="4"/>
      <c r="DWC4" s="4"/>
      <c r="DWD4" s="4"/>
      <c r="DWE4" s="4"/>
      <c r="DWF4" s="4"/>
      <c r="DWG4" s="4"/>
      <c r="DWH4" s="4"/>
      <c r="DWI4" s="4"/>
      <c r="DWJ4" s="4"/>
      <c r="DWK4" s="4"/>
      <c r="DWL4" s="4"/>
      <c r="DWM4" s="4"/>
      <c r="DWN4" s="4"/>
      <c r="DWO4" s="4"/>
      <c r="DWP4" s="4"/>
      <c r="DWQ4" s="4"/>
      <c r="DWR4" s="4"/>
      <c r="DWS4" s="4"/>
      <c r="DWT4" s="4"/>
      <c r="DWU4" s="4"/>
      <c r="DWV4" s="4"/>
      <c r="DWW4" s="4"/>
      <c r="DWX4" s="4"/>
      <c r="DWY4" s="4"/>
      <c r="DWZ4" s="4"/>
      <c r="DXA4" s="4"/>
      <c r="DXB4" s="4"/>
      <c r="DXC4" s="4"/>
      <c r="DXD4" s="4"/>
      <c r="DXE4" s="4"/>
      <c r="DXF4" s="4"/>
      <c r="DXG4" s="4"/>
      <c r="DXH4" s="4"/>
      <c r="DXI4" s="4"/>
      <c r="DXJ4" s="4"/>
      <c r="DXK4" s="4"/>
      <c r="DXL4" s="4"/>
      <c r="DXM4" s="4"/>
      <c r="DXN4" s="4"/>
      <c r="DXO4" s="4"/>
      <c r="DXP4" s="4"/>
      <c r="DXQ4" s="4"/>
      <c r="DXR4" s="4"/>
      <c r="DXS4" s="4"/>
      <c r="DXT4" s="4"/>
      <c r="DXU4" s="4"/>
      <c r="DXV4" s="4"/>
      <c r="DXW4" s="4"/>
      <c r="DXX4" s="4"/>
      <c r="DXY4" s="4"/>
      <c r="DXZ4" s="4"/>
      <c r="DYA4" s="4"/>
      <c r="DYB4" s="4"/>
      <c r="DYC4" s="4"/>
      <c r="DYD4" s="4"/>
      <c r="DYE4" s="4"/>
      <c r="DYF4" s="4"/>
      <c r="DYG4" s="4"/>
      <c r="DYH4" s="4"/>
      <c r="DYI4" s="4"/>
      <c r="DYJ4" s="4"/>
      <c r="DYK4" s="4"/>
      <c r="DYL4" s="4"/>
      <c r="DYM4" s="4"/>
      <c r="DYN4" s="4"/>
      <c r="DYO4" s="4"/>
      <c r="DYP4" s="4"/>
      <c r="DYQ4" s="4"/>
      <c r="DYR4" s="4"/>
      <c r="DYS4" s="4"/>
      <c r="DYT4" s="4"/>
      <c r="DYU4" s="4"/>
      <c r="DYV4" s="4"/>
      <c r="DYW4" s="4"/>
      <c r="DYX4" s="4"/>
      <c r="DYY4" s="4"/>
      <c r="DYZ4" s="4"/>
      <c r="DZA4" s="4"/>
      <c r="DZB4" s="4"/>
      <c r="DZC4" s="4"/>
      <c r="DZD4" s="4"/>
      <c r="DZE4" s="4"/>
      <c r="DZF4" s="4"/>
      <c r="DZG4" s="4"/>
      <c r="DZH4" s="4"/>
      <c r="DZI4" s="4"/>
      <c r="DZJ4" s="4"/>
      <c r="DZK4" s="4"/>
      <c r="DZL4" s="4"/>
      <c r="DZM4" s="4"/>
      <c r="DZN4" s="4"/>
      <c r="DZO4" s="4"/>
      <c r="DZP4" s="4"/>
      <c r="DZQ4" s="4"/>
      <c r="DZR4" s="4"/>
      <c r="DZS4" s="4"/>
      <c r="DZT4" s="4"/>
      <c r="DZU4" s="4"/>
      <c r="DZV4" s="4"/>
      <c r="DZW4" s="4"/>
      <c r="DZX4" s="4"/>
      <c r="DZY4" s="4"/>
      <c r="DZZ4" s="4"/>
      <c r="EAA4" s="4"/>
      <c r="EAB4" s="4"/>
      <c r="EAC4" s="4"/>
      <c r="EAD4" s="4"/>
      <c r="EAE4" s="4"/>
      <c r="EAF4" s="4"/>
      <c r="EAG4" s="4"/>
      <c r="EAH4" s="4"/>
      <c r="EAI4" s="4"/>
      <c r="EAJ4" s="4"/>
      <c r="EAK4" s="4"/>
      <c r="EAL4" s="4"/>
      <c r="EAM4" s="4"/>
      <c r="EAN4" s="4"/>
      <c r="EAO4" s="4"/>
      <c r="EAP4" s="4"/>
      <c r="EAQ4" s="4"/>
      <c r="EAR4" s="4"/>
      <c r="EAS4" s="4"/>
      <c r="EAT4" s="4"/>
      <c r="EAU4" s="4"/>
      <c r="EAV4" s="4"/>
      <c r="EAW4" s="4"/>
      <c r="EAX4" s="4"/>
      <c r="EAY4" s="4"/>
      <c r="EAZ4" s="4"/>
      <c r="EBA4" s="4"/>
      <c r="EBB4" s="4"/>
      <c r="EBC4" s="4"/>
      <c r="EBD4" s="4"/>
      <c r="EBE4" s="4"/>
      <c r="EBF4" s="4"/>
      <c r="EBG4" s="4"/>
      <c r="EBH4" s="4"/>
      <c r="EBI4" s="4"/>
      <c r="EBJ4" s="4"/>
      <c r="EBK4" s="4"/>
      <c r="EBL4" s="4"/>
      <c r="EBM4" s="4"/>
      <c r="EBN4" s="4"/>
      <c r="EBO4" s="4"/>
      <c r="EBP4" s="4"/>
      <c r="EBQ4" s="4"/>
      <c r="EBR4" s="4"/>
      <c r="EBS4" s="4"/>
      <c r="EBT4" s="4"/>
      <c r="EBU4" s="4"/>
      <c r="EBV4" s="4"/>
      <c r="EBW4" s="4"/>
      <c r="EBX4" s="4"/>
      <c r="EBY4" s="4"/>
      <c r="EBZ4" s="4"/>
      <c r="ECA4" s="4"/>
      <c r="ECB4" s="4"/>
      <c r="ECC4" s="4"/>
      <c r="ECD4" s="4"/>
      <c r="ECE4" s="4"/>
      <c r="ECF4" s="4"/>
      <c r="ECG4" s="4"/>
      <c r="ECH4" s="4"/>
      <c r="ECI4" s="4"/>
      <c r="ECJ4" s="4"/>
      <c r="ECK4" s="4"/>
      <c r="ECL4" s="4"/>
      <c r="ECM4" s="4"/>
      <c r="ECN4" s="4"/>
      <c r="ECO4" s="4"/>
      <c r="ECP4" s="4"/>
      <c r="ECQ4" s="4"/>
      <c r="ECR4" s="4"/>
      <c r="ECS4" s="4"/>
      <c r="ECT4" s="4"/>
      <c r="ECU4" s="4"/>
      <c r="ECV4" s="4"/>
      <c r="ECW4" s="4"/>
      <c r="ECX4" s="4"/>
      <c r="ECY4" s="4"/>
      <c r="ECZ4" s="4"/>
      <c r="EDA4" s="4"/>
      <c r="EDB4" s="4"/>
      <c r="EDC4" s="4"/>
      <c r="EDD4" s="4"/>
      <c r="EDE4" s="4"/>
      <c r="EDF4" s="4"/>
      <c r="EDG4" s="4"/>
      <c r="EDH4" s="4"/>
      <c r="EDI4" s="4"/>
      <c r="EDJ4" s="4"/>
      <c r="EDK4" s="4"/>
      <c r="EDL4" s="4"/>
      <c r="EDM4" s="4"/>
      <c r="EDN4" s="4"/>
      <c r="EDO4" s="4"/>
      <c r="EDP4" s="4"/>
      <c r="EDQ4" s="4"/>
      <c r="EDR4" s="4"/>
      <c r="EDS4" s="4"/>
      <c r="EDT4" s="4"/>
      <c r="EDU4" s="4"/>
      <c r="EDV4" s="4"/>
      <c r="EDW4" s="4"/>
      <c r="EDX4" s="4"/>
      <c r="EDY4" s="4"/>
      <c r="EDZ4" s="4"/>
      <c r="EEA4" s="4"/>
      <c r="EEB4" s="4"/>
      <c r="EEC4" s="4"/>
      <c r="EED4" s="4"/>
      <c r="EEE4" s="4"/>
      <c r="EEF4" s="4"/>
      <c r="EEG4" s="4"/>
      <c r="EEH4" s="4"/>
      <c r="EEI4" s="4"/>
      <c r="EEJ4" s="4"/>
      <c r="EEK4" s="4"/>
      <c r="EEL4" s="4"/>
      <c r="EEM4" s="4"/>
      <c r="EEN4" s="4"/>
      <c r="EEO4" s="4"/>
      <c r="EEP4" s="4"/>
      <c r="EEQ4" s="4"/>
      <c r="EER4" s="4"/>
      <c r="EES4" s="4"/>
      <c r="EET4" s="4"/>
      <c r="EEU4" s="4"/>
      <c r="EEV4" s="4"/>
      <c r="EEW4" s="4"/>
      <c r="EEX4" s="4"/>
      <c r="EEY4" s="4"/>
      <c r="EEZ4" s="4"/>
      <c r="EFA4" s="4"/>
      <c r="EFB4" s="4"/>
      <c r="EFC4" s="4"/>
      <c r="EFD4" s="4"/>
      <c r="EFE4" s="4"/>
      <c r="EFF4" s="4"/>
      <c r="EFG4" s="4"/>
      <c r="EFH4" s="4"/>
      <c r="EFI4" s="4"/>
      <c r="EFJ4" s="4"/>
      <c r="EFK4" s="4"/>
      <c r="EFL4" s="4"/>
      <c r="EFM4" s="4"/>
      <c r="EFN4" s="4"/>
      <c r="EFO4" s="4"/>
      <c r="EFP4" s="4"/>
      <c r="EFQ4" s="4"/>
      <c r="EFR4" s="4"/>
      <c r="EFS4" s="4"/>
      <c r="EFT4" s="4"/>
      <c r="EFU4" s="4"/>
      <c r="EFV4" s="4"/>
      <c r="EFW4" s="4"/>
      <c r="EFX4" s="4"/>
      <c r="EFY4" s="4"/>
      <c r="EFZ4" s="4"/>
      <c r="EGA4" s="4"/>
      <c r="EGB4" s="4"/>
      <c r="EGC4" s="4"/>
      <c r="EGD4" s="4"/>
      <c r="EGE4" s="4"/>
      <c r="EGF4" s="4"/>
      <c r="EGG4" s="4"/>
      <c r="EGH4" s="4"/>
      <c r="EGI4" s="4"/>
      <c r="EGJ4" s="4"/>
      <c r="EGK4" s="4"/>
      <c r="EGL4" s="4"/>
      <c r="EGM4" s="4"/>
      <c r="EGN4" s="4"/>
      <c r="EGO4" s="4"/>
      <c r="EGP4" s="4"/>
      <c r="EGQ4" s="4"/>
      <c r="EGR4" s="4"/>
      <c r="EGS4" s="4"/>
      <c r="EGT4" s="4"/>
      <c r="EGU4" s="4"/>
      <c r="EGV4" s="4"/>
      <c r="EGW4" s="4"/>
      <c r="EGX4" s="4"/>
      <c r="EGY4" s="4"/>
      <c r="EGZ4" s="4"/>
      <c r="EHA4" s="4"/>
      <c r="EHB4" s="4"/>
      <c r="EHC4" s="4"/>
      <c r="EHD4" s="4"/>
      <c r="EHE4" s="4"/>
      <c r="EHF4" s="4"/>
      <c r="EHG4" s="4"/>
      <c r="EHH4" s="4"/>
      <c r="EHI4" s="4"/>
      <c r="EHJ4" s="4"/>
      <c r="EHK4" s="4"/>
      <c r="EHL4" s="4"/>
      <c r="EHM4" s="4"/>
      <c r="EHN4" s="4"/>
      <c r="EHO4" s="4"/>
      <c r="EHP4" s="4"/>
      <c r="EHQ4" s="4"/>
      <c r="EHR4" s="4"/>
      <c r="EHS4" s="4"/>
      <c r="EHT4" s="4"/>
      <c r="EHU4" s="4"/>
      <c r="EHV4" s="4"/>
      <c r="EHW4" s="4"/>
      <c r="EHX4" s="4"/>
      <c r="EHY4" s="4"/>
      <c r="EHZ4" s="4"/>
      <c r="EIA4" s="4"/>
      <c r="EIB4" s="4"/>
      <c r="EIC4" s="4"/>
      <c r="EID4" s="4"/>
      <c r="EIE4" s="4"/>
      <c r="EIF4" s="4"/>
      <c r="EIG4" s="4"/>
      <c r="EIH4" s="4"/>
      <c r="EII4" s="4"/>
      <c r="EIJ4" s="4"/>
      <c r="EIK4" s="4"/>
      <c r="EIL4" s="4"/>
      <c r="EIM4" s="4"/>
      <c r="EIN4" s="4"/>
      <c r="EIO4" s="4"/>
      <c r="EIP4" s="4"/>
      <c r="EIQ4" s="4"/>
      <c r="EIR4" s="4"/>
      <c r="EIS4" s="4"/>
      <c r="EIT4" s="4"/>
      <c r="EIU4" s="4"/>
      <c r="EIV4" s="4"/>
      <c r="EIW4" s="4"/>
      <c r="EIX4" s="4"/>
      <c r="EIY4" s="4"/>
      <c r="EIZ4" s="4"/>
      <c r="EJA4" s="4"/>
      <c r="EJB4" s="4"/>
      <c r="EJC4" s="4"/>
      <c r="EJD4" s="4"/>
      <c r="EJE4" s="4"/>
      <c r="EJF4" s="4"/>
      <c r="EJG4" s="4"/>
      <c r="EJH4" s="4"/>
      <c r="EJI4" s="4"/>
      <c r="EJJ4" s="4"/>
      <c r="EJK4" s="4"/>
      <c r="EJL4" s="4"/>
      <c r="EJM4" s="4"/>
      <c r="EJN4" s="4"/>
      <c r="EJO4" s="4"/>
      <c r="EJP4" s="4"/>
      <c r="EJQ4" s="4"/>
      <c r="EJR4" s="4"/>
      <c r="EJS4" s="4"/>
      <c r="EJT4" s="4"/>
      <c r="EJU4" s="4"/>
      <c r="EJV4" s="4"/>
      <c r="EJW4" s="4"/>
      <c r="EJX4" s="4"/>
      <c r="EJY4" s="4"/>
      <c r="EJZ4" s="4"/>
      <c r="EKA4" s="4"/>
      <c r="EKB4" s="4"/>
      <c r="EKC4" s="4"/>
      <c r="EKD4" s="4"/>
      <c r="EKE4" s="4"/>
      <c r="EKF4" s="4"/>
      <c r="EKG4" s="4"/>
      <c r="EKH4" s="4"/>
      <c r="EKI4" s="4"/>
      <c r="EKJ4" s="4"/>
      <c r="EKK4" s="4"/>
      <c r="EKL4" s="4"/>
      <c r="EKM4" s="4"/>
      <c r="EKN4" s="4"/>
      <c r="EKO4" s="4"/>
      <c r="EKP4" s="4"/>
      <c r="EKQ4" s="4"/>
      <c r="EKR4" s="4"/>
      <c r="EKS4" s="4"/>
      <c r="EKT4" s="4"/>
      <c r="EKU4" s="4"/>
      <c r="EKV4" s="4"/>
      <c r="EKW4" s="4"/>
      <c r="EKX4" s="4"/>
      <c r="EKY4" s="4"/>
      <c r="EKZ4" s="4"/>
      <c r="ELA4" s="4"/>
      <c r="ELB4" s="4"/>
      <c r="ELC4" s="4"/>
      <c r="ELD4" s="4"/>
      <c r="ELE4" s="4"/>
      <c r="ELF4" s="4"/>
      <c r="ELG4" s="4"/>
      <c r="ELH4" s="4"/>
      <c r="ELI4" s="4"/>
      <c r="ELJ4" s="4"/>
      <c r="ELK4" s="4"/>
      <c r="ELL4" s="4"/>
      <c r="ELM4" s="4"/>
      <c r="ELN4" s="4"/>
      <c r="ELO4" s="4"/>
      <c r="ELP4" s="4"/>
      <c r="ELQ4" s="4"/>
      <c r="ELR4" s="4"/>
      <c r="ELS4" s="4"/>
      <c r="ELT4" s="4"/>
      <c r="ELU4" s="4"/>
      <c r="ELV4" s="4"/>
      <c r="ELW4" s="4"/>
      <c r="ELX4" s="4"/>
      <c r="ELY4" s="4"/>
      <c r="ELZ4" s="4"/>
      <c r="EMA4" s="4"/>
      <c r="EMB4" s="4"/>
      <c r="EMC4" s="4"/>
      <c r="EMD4" s="4"/>
      <c r="EME4" s="4"/>
      <c r="EMF4" s="4"/>
      <c r="EMG4" s="4"/>
      <c r="EMH4" s="4"/>
      <c r="EMI4" s="4"/>
      <c r="EMJ4" s="4"/>
      <c r="EMK4" s="4"/>
      <c r="EML4" s="4"/>
      <c r="EMM4" s="4"/>
      <c r="EMN4" s="4"/>
      <c r="EMO4" s="4"/>
      <c r="EMP4" s="4"/>
      <c r="EMQ4" s="4"/>
      <c r="EMR4" s="4"/>
      <c r="EMS4" s="4"/>
      <c r="EMT4" s="4"/>
      <c r="EMU4" s="4"/>
      <c r="EMV4" s="4"/>
      <c r="EMW4" s="4"/>
      <c r="EMX4" s="4"/>
      <c r="EMY4" s="4"/>
      <c r="EMZ4" s="4"/>
      <c r="ENA4" s="4"/>
      <c r="ENB4" s="4"/>
      <c r="ENC4" s="4"/>
      <c r="END4" s="4"/>
      <c r="ENE4" s="4"/>
      <c r="ENF4" s="4"/>
      <c r="ENG4" s="4"/>
      <c r="ENH4" s="4"/>
      <c r="ENI4" s="4"/>
      <c r="ENJ4" s="4"/>
      <c r="ENK4" s="4"/>
      <c r="ENL4" s="4"/>
      <c r="ENM4" s="4"/>
      <c r="ENN4" s="4"/>
      <c r="ENO4" s="4"/>
      <c r="ENP4" s="4"/>
      <c r="ENQ4" s="4"/>
      <c r="ENR4" s="4"/>
      <c r="ENS4" s="4"/>
      <c r="ENT4" s="4"/>
      <c r="ENU4" s="4"/>
      <c r="ENV4" s="4"/>
      <c r="ENW4" s="4"/>
      <c r="ENX4" s="4"/>
      <c r="ENY4" s="4"/>
      <c r="ENZ4" s="4"/>
      <c r="EOA4" s="4"/>
      <c r="EOB4" s="4"/>
      <c r="EOC4" s="4"/>
      <c r="EOD4" s="4"/>
      <c r="EOE4" s="4"/>
      <c r="EOF4" s="4"/>
      <c r="EOG4" s="4"/>
      <c r="EOH4" s="4"/>
      <c r="EOI4" s="4"/>
      <c r="EOJ4" s="4"/>
      <c r="EOK4" s="4"/>
      <c r="EOL4" s="4"/>
      <c r="EOM4" s="4"/>
      <c r="EON4" s="4"/>
      <c r="EOO4" s="4"/>
      <c r="EOP4" s="4"/>
      <c r="EOQ4" s="4"/>
      <c r="EOR4" s="4"/>
      <c r="EOS4" s="4"/>
      <c r="EOT4" s="4"/>
      <c r="EOU4" s="4"/>
      <c r="EOV4" s="4"/>
      <c r="EOW4" s="4"/>
      <c r="EOX4" s="4"/>
      <c r="EOY4" s="4"/>
      <c r="EOZ4" s="4"/>
      <c r="EPA4" s="4"/>
      <c r="EPB4" s="4"/>
      <c r="EPC4" s="4"/>
      <c r="EPD4" s="4"/>
      <c r="EPE4" s="4"/>
      <c r="EPF4" s="4"/>
      <c r="EPG4" s="4"/>
      <c r="EPH4" s="4"/>
      <c r="EPI4" s="4"/>
      <c r="EPJ4" s="4"/>
      <c r="EPK4" s="4"/>
      <c r="EPL4" s="4"/>
      <c r="EPM4" s="4"/>
      <c r="EPN4" s="4"/>
      <c r="EPO4" s="4"/>
      <c r="EPP4" s="4"/>
      <c r="EPQ4" s="4"/>
      <c r="EPR4" s="4"/>
      <c r="EPS4" s="4"/>
      <c r="EPT4" s="4"/>
      <c r="EPU4" s="4"/>
      <c r="EPV4" s="4"/>
      <c r="EPW4" s="4"/>
      <c r="EPX4" s="4"/>
      <c r="EPY4" s="4"/>
      <c r="EPZ4" s="4"/>
      <c r="EQA4" s="4"/>
      <c r="EQB4" s="4"/>
      <c r="EQC4" s="4"/>
      <c r="EQD4" s="4"/>
      <c r="EQE4" s="4"/>
      <c r="EQF4" s="4"/>
      <c r="EQG4" s="4"/>
      <c r="EQH4" s="4"/>
      <c r="EQI4" s="4"/>
      <c r="EQJ4" s="4"/>
      <c r="EQK4" s="4"/>
      <c r="EQL4" s="4"/>
      <c r="EQM4" s="4"/>
      <c r="EQN4" s="4"/>
      <c r="EQO4" s="4"/>
      <c r="EQP4" s="4"/>
      <c r="EQQ4" s="4"/>
      <c r="EQR4" s="4"/>
      <c r="EQS4" s="4"/>
      <c r="EQT4" s="4"/>
      <c r="EQU4" s="4"/>
      <c r="EQV4" s="4"/>
      <c r="EQW4" s="4"/>
      <c r="EQX4" s="4"/>
      <c r="EQY4" s="4"/>
      <c r="EQZ4" s="4"/>
      <c r="ERA4" s="4"/>
      <c r="ERB4" s="4"/>
      <c r="ERC4" s="4"/>
      <c r="ERD4" s="4"/>
      <c r="ERE4" s="4"/>
      <c r="ERF4" s="4"/>
      <c r="ERG4" s="4"/>
      <c r="ERH4" s="4"/>
      <c r="ERI4" s="4"/>
      <c r="ERJ4" s="4"/>
      <c r="ERK4" s="4"/>
      <c r="ERL4" s="4"/>
      <c r="ERM4" s="4"/>
      <c r="ERN4" s="4"/>
      <c r="ERO4" s="4"/>
      <c r="ERP4" s="4"/>
      <c r="ERQ4" s="4"/>
      <c r="ERR4" s="4"/>
      <c r="ERS4" s="4"/>
      <c r="ERT4" s="4"/>
      <c r="ERU4" s="4"/>
      <c r="ERV4" s="4"/>
      <c r="ERW4" s="4"/>
      <c r="ERX4" s="4"/>
      <c r="ERY4" s="4"/>
      <c r="ERZ4" s="4"/>
      <c r="ESA4" s="4"/>
      <c r="ESB4" s="4"/>
      <c r="ESC4" s="4"/>
      <c r="ESD4" s="4"/>
      <c r="ESE4" s="4"/>
      <c r="ESF4" s="4"/>
      <c r="ESG4" s="4"/>
      <c r="ESH4" s="4"/>
      <c r="ESI4" s="4"/>
      <c r="ESJ4" s="4"/>
      <c r="ESK4" s="4"/>
      <c r="ESL4" s="4"/>
      <c r="ESM4" s="4"/>
      <c r="ESN4" s="4"/>
      <c r="ESO4" s="4"/>
      <c r="ESP4" s="4"/>
      <c r="ESQ4" s="4"/>
      <c r="ESR4" s="4"/>
      <c r="ESS4" s="4"/>
      <c r="EST4" s="4"/>
      <c r="ESU4" s="4"/>
      <c r="ESV4" s="4"/>
      <c r="ESW4" s="4"/>
      <c r="ESX4" s="4"/>
      <c r="ESY4" s="4"/>
      <c r="ESZ4" s="4"/>
      <c r="ETA4" s="4"/>
      <c r="ETB4" s="4"/>
      <c r="ETC4" s="4"/>
      <c r="ETD4" s="4"/>
      <c r="ETE4" s="4"/>
      <c r="ETF4" s="4"/>
      <c r="ETG4" s="4"/>
      <c r="ETH4" s="4"/>
      <c r="ETI4" s="4"/>
      <c r="ETJ4" s="4"/>
      <c r="ETK4" s="4"/>
      <c r="ETL4" s="4"/>
      <c r="ETM4" s="4"/>
      <c r="ETN4" s="4"/>
      <c r="ETO4" s="4"/>
      <c r="ETP4" s="4"/>
      <c r="ETQ4" s="4"/>
      <c r="ETR4" s="4"/>
      <c r="ETS4" s="4"/>
      <c r="ETT4" s="4"/>
      <c r="ETU4" s="4"/>
      <c r="ETV4" s="4"/>
      <c r="ETW4" s="4"/>
      <c r="ETX4" s="4"/>
      <c r="ETY4" s="4"/>
      <c r="ETZ4" s="4"/>
      <c r="EUA4" s="4"/>
      <c r="EUB4" s="4"/>
      <c r="EUC4" s="4"/>
      <c r="EUD4" s="4"/>
      <c r="EUE4" s="4"/>
      <c r="EUF4" s="4"/>
      <c r="EUG4" s="4"/>
      <c r="EUH4" s="4"/>
      <c r="EUI4" s="4"/>
      <c r="EUJ4" s="4"/>
      <c r="EUK4" s="4"/>
      <c r="EUL4" s="4"/>
      <c r="EUM4" s="4"/>
      <c r="EUN4" s="4"/>
      <c r="EUO4" s="4"/>
      <c r="EUP4" s="4"/>
      <c r="EUQ4" s="4"/>
      <c r="EUR4" s="4"/>
      <c r="EUS4" s="4"/>
      <c r="EUT4" s="4"/>
      <c r="EUU4" s="4"/>
      <c r="EUV4" s="4"/>
      <c r="EUW4" s="4"/>
      <c r="EUX4" s="4"/>
      <c r="EUY4" s="4"/>
      <c r="EUZ4" s="4"/>
      <c r="EVA4" s="4"/>
      <c r="EVB4" s="4"/>
      <c r="EVC4" s="4"/>
      <c r="EVD4" s="4"/>
      <c r="EVE4" s="4"/>
      <c r="EVF4" s="4"/>
      <c r="EVG4" s="4"/>
      <c r="EVH4" s="4"/>
      <c r="EVI4" s="4"/>
      <c r="EVJ4" s="4"/>
      <c r="EVK4" s="4"/>
      <c r="EVL4" s="4"/>
      <c r="EVM4" s="4"/>
      <c r="EVN4" s="4"/>
      <c r="EVO4" s="4"/>
      <c r="EVP4" s="4"/>
      <c r="EVQ4" s="4"/>
      <c r="EVR4" s="4"/>
      <c r="EVS4" s="4"/>
      <c r="EVT4" s="4"/>
      <c r="EVU4" s="4"/>
      <c r="EVV4" s="4"/>
      <c r="EVW4" s="4"/>
      <c r="EVX4" s="4"/>
      <c r="EVY4" s="4"/>
      <c r="EVZ4" s="4"/>
      <c r="EWA4" s="4"/>
      <c r="EWB4" s="4"/>
      <c r="EWC4" s="4"/>
      <c r="EWD4" s="4"/>
      <c r="EWE4" s="4"/>
      <c r="EWF4" s="4"/>
      <c r="EWG4" s="4"/>
      <c r="EWH4" s="4"/>
      <c r="EWI4" s="4"/>
      <c r="EWJ4" s="4"/>
      <c r="EWK4" s="4"/>
      <c r="EWL4" s="4"/>
      <c r="EWM4" s="4"/>
      <c r="EWN4" s="4"/>
      <c r="EWO4" s="4"/>
      <c r="EWP4" s="4"/>
      <c r="EWQ4" s="4"/>
      <c r="EWR4" s="4"/>
      <c r="EWS4" s="4"/>
      <c r="EWT4" s="4"/>
      <c r="EWU4" s="4"/>
      <c r="EWV4" s="4"/>
      <c r="EWW4" s="4"/>
      <c r="EWX4" s="4"/>
      <c r="EWY4" s="4"/>
      <c r="EWZ4" s="4"/>
      <c r="EXA4" s="4"/>
      <c r="EXB4" s="4"/>
      <c r="EXC4" s="4"/>
      <c r="EXD4" s="4"/>
      <c r="EXE4" s="4"/>
      <c r="EXF4" s="4"/>
      <c r="EXG4" s="4"/>
      <c r="EXH4" s="4"/>
      <c r="EXI4" s="4"/>
      <c r="EXJ4" s="4"/>
      <c r="EXK4" s="4"/>
      <c r="EXL4" s="4"/>
      <c r="EXM4" s="4"/>
      <c r="EXN4" s="4"/>
      <c r="EXO4" s="4"/>
      <c r="EXP4" s="4"/>
      <c r="EXQ4" s="4"/>
      <c r="EXR4" s="4"/>
      <c r="EXS4" s="4"/>
      <c r="EXT4" s="4"/>
      <c r="EXU4" s="4"/>
      <c r="EXV4" s="4"/>
      <c r="EXW4" s="4"/>
      <c r="EXX4" s="4"/>
      <c r="EXY4" s="4"/>
      <c r="EXZ4" s="4"/>
      <c r="EYA4" s="4"/>
      <c r="EYB4" s="4"/>
      <c r="EYC4" s="4"/>
      <c r="EYD4" s="4"/>
      <c r="EYE4" s="4"/>
      <c r="EYF4" s="4"/>
      <c r="EYG4" s="4"/>
      <c r="EYH4" s="4"/>
      <c r="EYI4" s="4"/>
      <c r="EYJ4" s="4"/>
      <c r="EYK4" s="4"/>
      <c r="EYL4" s="4"/>
      <c r="EYM4" s="4"/>
      <c r="EYN4" s="4"/>
      <c r="EYO4" s="4"/>
      <c r="EYP4" s="4"/>
      <c r="EYQ4" s="4"/>
      <c r="EYR4" s="4"/>
      <c r="EYS4" s="4"/>
      <c r="EYT4" s="4"/>
      <c r="EYU4" s="4"/>
      <c r="EYV4" s="4"/>
      <c r="EYW4" s="4"/>
      <c r="EYX4" s="4"/>
      <c r="EYY4" s="4"/>
      <c r="EYZ4" s="4"/>
      <c r="EZA4" s="4"/>
      <c r="EZB4" s="4"/>
      <c r="EZC4" s="4"/>
      <c r="EZD4" s="4"/>
      <c r="EZE4" s="4"/>
      <c r="EZF4" s="4"/>
      <c r="EZG4" s="4"/>
      <c r="EZH4" s="4"/>
      <c r="EZI4" s="4"/>
      <c r="EZJ4" s="4"/>
      <c r="EZK4" s="4"/>
      <c r="EZL4" s="4"/>
      <c r="EZM4" s="4"/>
      <c r="EZN4" s="4"/>
      <c r="EZO4" s="4"/>
      <c r="EZP4" s="4"/>
      <c r="EZQ4" s="4"/>
      <c r="EZR4" s="4"/>
      <c r="EZS4" s="4"/>
      <c r="EZT4" s="4"/>
      <c r="EZU4" s="4"/>
      <c r="EZV4" s="4"/>
      <c r="EZW4" s="4"/>
      <c r="EZX4" s="4"/>
      <c r="EZY4" s="4"/>
      <c r="EZZ4" s="4"/>
      <c r="FAA4" s="4"/>
      <c r="FAB4" s="4"/>
      <c r="FAC4" s="4"/>
      <c r="FAD4" s="4"/>
      <c r="FAE4" s="4"/>
      <c r="FAF4" s="4"/>
      <c r="FAG4" s="4"/>
      <c r="FAH4" s="4"/>
      <c r="FAI4" s="4"/>
      <c r="FAJ4" s="4"/>
      <c r="FAK4" s="4"/>
      <c r="FAL4" s="4"/>
      <c r="FAM4" s="4"/>
      <c r="FAN4" s="4"/>
      <c r="FAO4" s="4"/>
      <c r="FAP4" s="4"/>
      <c r="FAQ4" s="4"/>
      <c r="FAR4" s="4"/>
      <c r="FAS4" s="4"/>
      <c r="FAT4" s="4"/>
      <c r="FAU4" s="4"/>
      <c r="FAV4" s="4"/>
      <c r="FAW4" s="4"/>
      <c r="FAX4" s="4"/>
      <c r="FAY4" s="4"/>
      <c r="FAZ4" s="4"/>
      <c r="FBA4" s="4"/>
      <c r="FBB4" s="4"/>
      <c r="FBC4" s="4"/>
      <c r="FBD4" s="4"/>
      <c r="FBE4" s="4"/>
      <c r="FBF4" s="4"/>
      <c r="FBG4" s="4"/>
      <c r="FBH4" s="4"/>
      <c r="FBI4" s="4"/>
      <c r="FBJ4" s="4"/>
      <c r="FBK4" s="4"/>
      <c r="FBL4" s="4"/>
      <c r="FBM4" s="4"/>
      <c r="FBN4" s="4"/>
      <c r="FBO4" s="4"/>
      <c r="FBP4" s="4"/>
      <c r="FBQ4" s="4"/>
      <c r="FBR4" s="4"/>
      <c r="FBS4" s="4"/>
      <c r="FBT4" s="4"/>
      <c r="FBU4" s="4"/>
      <c r="FBV4" s="4"/>
      <c r="FBW4" s="4"/>
      <c r="FBX4" s="4"/>
      <c r="FBY4" s="4"/>
      <c r="FBZ4" s="4"/>
      <c r="FCA4" s="4"/>
      <c r="FCB4" s="4"/>
      <c r="FCC4" s="4"/>
      <c r="FCD4" s="4"/>
      <c r="FCE4" s="4"/>
      <c r="FCF4" s="4"/>
      <c r="FCG4" s="4"/>
      <c r="FCH4" s="4"/>
      <c r="FCI4" s="4"/>
      <c r="FCJ4" s="4"/>
      <c r="FCK4" s="4"/>
      <c r="FCL4" s="4"/>
      <c r="FCM4" s="4"/>
      <c r="FCN4" s="4"/>
      <c r="FCO4" s="4"/>
      <c r="FCP4" s="4"/>
      <c r="FCQ4" s="4"/>
      <c r="FCR4" s="4"/>
      <c r="FCS4" s="4"/>
      <c r="FCT4" s="4"/>
      <c r="FCU4" s="4"/>
      <c r="FCV4" s="4"/>
      <c r="FCW4" s="4"/>
      <c r="FCX4" s="4"/>
      <c r="FCY4" s="4"/>
      <c r="FCZ4" s="4"/>
      <c r="FDA4" s="4"/>
      <c r="FDB4" s="4"/>
      <c r="FDC4" s="4"/>
      <c r="FDD4" s="4"/>
      <c r="FDE4" s="4"/>
      <c r="FDF4" s="4"/>
      <c r="FDG4" s="4"/>
      <c r="FDH4" s="4"/>
      <c r="FDI4" s="4"/>
      <c r="FDJ4" s="4"/>
      <c r="FDK4" s="4"/>
      <c r="FDL4" s="4"/>
      <c r="FDM4" s="4"/>
      <c r="FDN4" s="4"/>
      <c r="FDO4" s="4"/>
      <c r="FDP4" s="4"/>
      <c r="FDQ4" s="4"/>
      <c r="FDR4" s="4"/>
      <c r="FDS4" s="4"/>
      <c r="FDT4" s="4"/>
      <c r="FDU4" s="4"/>
      <c r="FDV4" s="4"/>
      <c r="FDW4" s="4"/>
      <c r="FDX4" s="4"/>
      <c r="FDY4" s="4"/>
      <c r="FDZ4" s="4"/>
      <c r="FEA4" s="4"/>
      <c r="FEB4" s="4"/>
      <c r="FEC4" s="4"/>
      <c r="FED4" s="4"/>
      <c r="FEE4" s="4"/>
      <c r="FEF4" s="4"/>
      <c r="FEG4" s="4"/>
      <c r="FEH4" s="4"/>
      <c r="FEI4" s="4"/>
      <c r="FEJ4" s="4"/>
      <c r="FEK4" s="4"/>
      <c r="FEL4" s="4"/>
      <c r="FEM4" s="4"/>
      <c r="FEN4" s="4"/>
      <c r="FEO4" s="4"/>
      <c r="FEP4" s="4"/>
      <c r="FEQ4" s="4"/>
      <c r="FER4" s="4"/>
      <c r="FES4" s="4"/>
      <c r="FET4" s="4"/>
      <c r="FEU4" s="4"/>
      <c r="FEV4" s="4"/>
      <c r="FEW4" s="4"/>
      <c r="FEX4" s="4"/>
      <c r="FEY4" s="4"/>
      <c r="FEZ4" s="4"/>
      <c r="FFA4" s="4"/>
      <c r="FFB4" s="4"/>
      <c r="FFC4" s="4"/>
      <c r="FFD4" s="4"/>
      <c r="FFE4" s="4"/>
      <c r="FFF4" s="4"/>
      <c r="FFG4" s="4"/>
      <c r="FFH4" s="4"/>
      <c r="FFI4" s="4"/>
      <c r="FFJ4" s="4"/>
      <c r="FFK4" s="4"/>
      <c r="FFL4" s="4"/>
      <c r="FFM4" s="4"/>
      <c r="FFN4" s="4"/>
      <c r="FFO4" s="4"/>
      <c r="FFP4" s="4"/>
      <c r="FFQ4" s="4"/>
      <c r="FFR4" s="4"/>
      <c r="FFS4" s="4"/>
      <c r="FFT4" s="4"/>
      <c r="FFU4" s="4"/>
      <c r="FFV4" s="4"/>
      <c r="FFW4" s="4"/>
      <c r="FFX4" s="4"/>
      <c r="FFY4" s="4"/>
      <c r="FFZ4" s="4"/>
      <c r="FGA4" s="4"/>
      <c r="FGB4" s="4"/>
      <c r="FGC4" s="4"/>
      <c r="FGD4" s="4"/>
      <c r="FGE4" s="4"/>
      <c r="FGF4" s="4"/>
      <c r="FGG4" s="4"/>
      <c r="FGH4" s="4"/>
      <c r="FGI4" s="4"/>
      <c r="FGJ4" s="4"/>
      <c r="FGK4" s="4"/>
      <c r="FGL4" s="4"/>
      <c r="FGM4" s="4"/>
      <c r="FGN4" s="4"/>
      <c r="FGO4" s="4"/>
      <c r="FGP4" s="4"/>
      <c r="FGQ4" s="4"/>
      <c r="FGR4" s="4"/>
      <c r="FGS4" s="4"/>
      <c r="FGT4" s="4"/>
      <c r="FGU4" s="4"/>
      <c r="FGV4" s="4"/>
      <c r="FGW4" s="4"/>
      <c r="FGX4" s="4"/>
      <c r="FGY4" s="4"/>
      <c r="FGZ4" s="4"/>
      <c r="FHA4" s="4"/>
      <c r="FHB4" s="4"/>
      <c r="FHC4" s="4"/>
      <c r="FHD4" s="4"/>
      <c r="FHE4" s="4"/>
      <c r="FHF4" s="4"/>
      <c r="FHG4" s="4"/>
      <c r="FHH4" s="4"/>
      <c r="FHI4" s="4"/>
      <c r="FHJ4" s="4"/>
      <c r="FHK4" s="4"/>
      <c r="FHL4" s="4"/>
      <c r="FHM4" s="4"/>
      <c r="FHN4" s="4"/>
      <c r="FHO4" s="4"/>
      <c r="FHP4" s="4"/>
      <c r="FHQ4" s="4"/>
      <c r="FHR4" s="4"/>
      <c r="FHS4" s="4"/>
      <c r="FHT4" s="4"/>
      <c r="FHU4" s="4"/>
      <c r="FHV4" s="4"/>
      <c r="FHW4" s="4"/>
      <c r="FHX4" s="4"/>
      <c r="FHY4" s="4"/>
      <c r="FHZ4" s="4"/>
      <c r="FIA4" s="4"/>
      <c r="FIB4" s="4"/>
      <c r="FIC4" s="4"/>
      <c r="FID4" s="4"/>
      <c r="FIE4" s="4"/>
      <c r="FIF4" s="4"/>
      <c r="FIG4" s="4"/>
      <c r="FIH4" s="4"/>
      <c r="FII4" s="4"/>
      <c r="FIJ4" s="4"/>
      <c r="FIK4" s="4"/>
      <c r="FIL4" s="4"/>
      <c r="FIM4" s="4"/>
      <c r="FIN4" s="4"/>
      <c r="FIO4" s="4"/>
      <c r="FIP4" s="4"/>
      <c r="FIQ4" s="4"/>
      <c r="FIR4" s="4"/>
      <c r="FIS4" s="4"/>
      <c r="FIT4" s="4"/>
      <c r="FIU4" s="4"/>
      <c r="FIV4" s="4"/>
      <c r="FIW4" s="4"/>
      <c r="FIX4" s="4"/>
      <c r="FIY4" s="4"/>
      <c r="FIZ4" s="4"/>
      <c r="FJA4" s="4"/>
      <c r="FJB4" s="4"/>
      <c r="FJC4" s="4"/>
      <c r="FJD4" s="4"/>
      <c r="FJE4" s="4"/>
      <c r="FJF4" s="4"/>
      <c r="FJG4" s="4"/>
      <c r="FJH4" s="4"/>
      <c r="FJI4" s="4"/>
      <c r="FJJ4" s="4"/>
      <c r="FJK4" s="4"/>
      <c r="FJL4" s="4"/>
      <c r="FJM4" s="4"/>
      <c r="FJN4" s="4"/>
      <c r="FJO4" s="4"/>
      <c r="FJP4" s="4"/>
      <c r="FJQ4" s="4"/>
      <c r="FJR4" s="4"/>
      <c r="FJS4" s="4"/>
      <c r="FJT4" s="4"/>
      <c r="FJU4" s="4"/>
      <c r="FJV4" s="4"/>
      <c r="FJW4" s="4"/>
      <c r="FJX4" s="4"/>
      <c r="FJY4" s="4"/>
      <c r="FJZ4" s="4"/>
      <c r="FKA4" s="4"/>
      <c r="FKB4" s="4"/>
      <c r="FKC4" s="4"/>
      <c r="FKD4" s="4"/>
      <c r="FKE4" s="4"/>
      <c r="FKF4" s="4"/>
      <c r="FKG4" s="4"/>
      <c r="FKH4" s="4"/>
      <c r="FKI4" s="4"/>
      <c r="FKJ4" s="4"/>
      <c r="FKK4" s="4"/>
      <c r="FKL4" s="4"/>
      <c r="FKM4" s="4"/>
      <c r="FKN4" s="4"/>
      <c r="FKO4" s="4"/>
      <c r="FKP4" s="4"/>
      <c r="FKQ4" s="4"/>
      <c r="FKR4" s="4"/>
      <c r="FKS4" s="4"/>
      <c r="FKT4" s="4"/>
      <c r="FKU4" s="4"/>
      <c r="FKV4" s="4"/>
      <c r="FKW4" s="4"/>
      <c r="FKX4" s="4"/>
      <c r="FKY4" s="4"/>
      <c r="FKZ4" s="4"/>
      <c r="FLA4" s="4"/>
      <c r="FLB4" s="4"/>
      <c r="FLC4" s="4"/>
      <c r="FLD4" s="4"/>
      <c r="FLE4" s="4"/>
      <c r="FLF4" s="4"/>
      <c r="FLG4" s="4"/>
      <c r="FLH4" s="4"/>
      <c r="FLI4" s="4"/>
      <c r="FLJ4" s="4"/>
      <c r="FLK4" s="4"/>
      <c r="FLL4" s="4"/>
      <c r="FLM4" s="4"/>
      <c r="FLN4" s="4"/>
      <c r="FLO4" s="4"/>
      <c r="FLP4" s="4"/>
      <c r="FLQ4" s="4"/>
      <c r="FLR4" s="4"/>
      <c r="FLS4" s="4"/>
      <c r="FLT4" s="4"/>
      <c r="FLU4" s="4"/>
      <c r="FLV4" s="4"/>
      <c r="FLW4" s="4"/>
      <c r="FLX4" s="4"/>
      <c r="FLY4" s="4"/>
      <c r="FLZ4" s="4"/>
      <c r="FMA4" s="4"/>
      <c r="FMB4" s="4"/>
      <c r="FMC4" s="4"/>
      <c r="FMD4" s="4"/>
      <c r="FME4" s="4"/>
      <c r="FMF4" s="4"/>
      <c r="FMG4" s="4"/>
      <c r="FMH4" s="4"/>
      <c r="FMI4" s="4"/>
      <c r="FMJ4" s="4"/>
      <c r="FMK4" s="4"/>
      <c r="FML4" s="4"/>
      <c r="FMM4" s="4"/>
      <c r="FMN4" s="4"/>
      <c r="FMO4" s="4"/>
      <c r="FMP4" s="4"/>
      <c r="FMQ4" s="4"/>
      <c r="FMR4" s="4"/>
      <c r="FMS4" s="4"/>
      <c r="FMT4" s="4"/>
      <c r="FMU4" s="4"/>
      <c r="FMV4" s="4"/>
      <c r="FMW4" s="4"/>
      <c r="FMX4" s="4"/>
      <c r="FMY4" s="4"/>
      <c r="FMZ4" s="4"/>
      <c r="FNA4" s="4"/>
      <c r="FNB4" s="4"/>
      <c r="FNC4" s="4"/>
      <c r="FND4" s="4"/>
      <c r="FNE4" s="4"/>
      <c r="FNF4" s="4"/>
      <c r="FNG4" s="4"/>
      <c r="FNH4" s="4"/>
      <c r="FNI4" s="4"/>
      <c r="FNJ4" s="4"/>
      <c r="FNK4" s="4"/>
      <c r="FNL4" s="4"/>
      <c r="FNM4" s="4"/>
      <c r="FNN4" s="4"/>
      <c r="FNO4" s="4"/>
      <c r="FNP4" s="4"/>
      <c r="FNQ4" s="4"/>
      <c r="FNR4" s="4"/>
      <c r="FNS4" s="4"/>
      <c r="FNT4" s="4"/>
      <c r="FNU4" s="4"/>
      <c r="FNV4" s="4"/>
      <c r="FNW4" s="4"/>
      <c r="FNX4" s="4"/>
      <c r="FNY4" s="4"/>
      <c r="FNZ4" s="4"/>
      <c r="FOA4" s="4"/>
      <c r="FOB4" s="4"/>
      <c r="FOC4" s="4"/>
      <c r="FOD4" s="4"/>
      <c r="FOE4" s="4"/>
      <c r="FOF4" s="4"/>
      <c r="FOG4" s="4"/>
      <c r="FOH4" s="4"/>
      <c r="FOI4" s="4"/>
      <c r="FOJ4" s="4"/>
      <c r="FOK4" s="4"/>
      <c r="FOL4" s="4"/>
      <c r="FOM4" s="4"/>
      <c r="FON4" s="4"/>
      <c r="FOO4" s="4"/>
      <c r="FOP4" s="4"/>
      <c r="FOQ4" s="4"/>
      <c r="FOR4" s="4"/>
      <c r="FOS4" s="4"/>
      <c r="FOT4" s="4"/>
      <c r="FOU4" s="4"/>
      <c r="FOV4" s="4"/>
      <c r="FOW4" s="4"/>
      <c r="FOX4" s="4"/>
      <c r="FOY4" s="4"/>
      <c r="FOZ4" s="4"/>
      <c r="FPA4" s="4"/>
      <c r="FPB4" s="4"/>
      <c r="FPC4" s="4"/>
      <c r="FPD4" s="4"/>
      <c r="FPE4" s="4"/>
      <c r="FPF4" s="4"/>
      <c r="FPG4" s="4"/>
      <c r="FPH4" s="4"/>
      <c r="FPI4" s="4"/>
      <c r="FPJ4" s="4"/>
      <c r="FPK4" s="4"/>
      <c r="FPL4" s="4"/>
      <c r="FPM4" s="4"/>
      <c r="FPN4" s="4"/>
      <c r="FPO4" s="4"/>
      <c r="FPP4" s="4"/>
      <c r="FPQ4" s="4"/>
      <c r="FPR4" s="4"/>
      <c r="FPS4" s="4"/>
      <c r="FPT4" s="4"/>
      <c r="FPU4" s="4"/>
      <c r="FPV4" s="4"/>
      <c r="FPW4" s="4"/>
      <c r="FPX4" s="4"/>
      <c r="FPY4" s="4"/>
      <c r="FPZ4" s="4"/>
      <c r="FQA4" s="4"/>
      <c r="FQB4" s="4"/>
      <c r="FQC4" s="4"/>
      <c r="FQD4" s="4"/>
      <c r="FQE4" s="4"/>
      <c r="FQF4" s="4"/>
      <c r="FQG4" s="4"/>
      <c r="FQH4" s="4"/>
      <c r="FQI4" s="4"/>
      <c r="FQJ4" s="4"/>
      <c r="FQK4" s="4"/>
      <c r="FQL4" s="4"/>
      <c r="FQM4" s="4"/>
      <c r="FQN4" s="4"/>
      <c r="FQO4" s="4"/>
      <c r="FQP4" s="4"/>
      <c r="FQQ4" s="4"/>
      <c r="FQR4" s="4"/>
      <c r="FQS4" s="4"/>
      <c r="FQT4" s="4"/>
      <c r="FQU4" s="4"/>
      <c r="FQV4" s="4"/>
      <c r="FQW4" s="4"/>
      <c r="FQX4" s="4"/>
      <c r="FQY4" s="4"/>
      <c r="FQZ4" s="4"/>
      <c r="FRA4" s="4"/>
      <c r="FRB4" s="4"/>
      <c r="FRC4" s="4"/>
      <c r="FRD4" s="4"/>
      <c r="FRE4" s="4"/>
      <c r="FRF4" s="4"/>
      <c r="FRG4" s="4"/>
      <c r="FRH4" s="4"/>
      <c r="FRI4" s="4"/>
      <c r="FRJ4" s="4"/>
      <c r="FRK4" s="4"/>
      <c r="FRL4" s="4"/>
      <c r="FRM4" s="4"/>
      <c r="FRN4" s="4"/>
      <c r="FRO4" s="4"/>
      <c r="FRP4" s="4"/>
      <c r="FRQ4" s="4"/>
      <c r="FRR4" s="4"/>
      <c r="FRS4" s="4"/>
      <c r="FRT4" s="4"/>
      <c r="FRU4" s="4"/>
      <c r="FRV4" s="4"/>
      <c r="FRW4" s="4"/>
      <c r="FRX4" s="4"/>
      <c r="FRY4" s="4"/>
      <c r="FRZ4" s="4"/>
      <c r="FSA4" s="4"/>
      <c r="FSB4" s="4"/>
      <c r="FSC4" s="4"/>
      <c r="FSD4" s="4"/>
      <c r="FSE4" s="4"/>
      <c r="FSF4" s="4"/>
      <c r="FSG4" s="4"/>
      <c r="FSH4" s="4"/>
      <c r="FSI4" s="4"/>
      <c r="FSJ4" s="4"/>
      <c r="FSK4" s="4"/>
      <c r="FSL4" s="4"/>
      <c r="FSM4" s="4"/>
      <c r="FSN4" s="4"/>
      <c r="FSO4" s="4"/>
      <c r="FSP4" s="4"/>
      <c r="FSQ4" s="4"/>
      <c r="FSR4" s="4"/>
      <c r="FSS4" s="4"/>
      <c r="FST4" s="4"/>
      <c r="FSU4" s="4"/>
      <c r="FSV4" s="4"/>
      <c r="FSW4" s="4"/>
      <c r="FSX4" s="4"/>
      <c r="FSY4" s="4"/>
      <c r="FSZ4" s="4"/>
      <c r="FTA4" s="4"/>
      <c r="FTB4" s="4"/>
      <c r="FTC4" s="4"/>
      <c r="FTD4" s="4"/>
      <c r="FTE4" s="4"/>
      <c r="FTF4" s="4"/>
      <c r="FTG4" s="4"/>
      <c r="FTH4" s="4"/>
      <c r="FTI4" s="4"/>
      <c r="FTJ4" s="4"/>
      <c r="FTK4" s="4"/>
      <c r="FTL4" s="4"/>
      <c r="FTM4" s="4"/>
      <c r="FTN4" s="4"/>
      <c r="FTO4" s="4"/>
      <c r="FTP4" s="4"/>
      <c r="FTQ4" s="4"/>
      <c r="FTR4" s="4"/>
      <c r="FTS4" s="4"/>
      <c r="FTT4" s="4"/>
      <c r="FTU4" s="4"/>
      <c r="FTV4" s="4"/>
      <c r="FTW4" s="4"/>
      <c r="FTX4" s="4"/>
      <c r="FTY4" s="4"/>
      <c r="FTZ4" s="4"/>
      <c r="FUA4" s="4"/>
      <c r="FUB4" s="4"/>
      <c r="FUC4" s="4"/>
      <c r="FUD4" s="4"/>
      <c r="FUE4" s="4"/>
      <c r="FUF4" s="4"/>
      <c r="FUG4" s="4"/>
      <c r="FUH4" s="4"/>
      <c r="FUI4" s="4"/>
      <c r="FUJ4" s="4"/>
      <c r="FUK4" s="4"/>
      <c r="FUL4" s="4"/>
      <c r="FUM4" s="4"/>
      <c r="FUN4" s="4"/>
      <c r="FUO4" s="4"/>
      <c r="FUP4" s="4"/>
      <c r="FUQ4" s="4"/>
      <c r="FUR4" s="4"/>
      <c r="FUS4" s="4"/>
      <c r="FUT4" s="4"/>
      <c r="FUU4" s="4"/>
      <c r="FUV4" s="4"/>
      <c r="FUW4" s="4"/>
      <c r="FUX4" s="4"/>
      <c r="FUY4" s="4"/>
      <c r="FUZ4" s="4"/>
      <c r="FVA4" s="4"/>
      <c r="FVB4" s="4"/>
      <c r="FVC4" s="4"/>
      <c r="FVD4" s="4"/>
      <c r="FVE4" s="4"/>
      <c r="FVF4" s="4"/>
      <c r="FVG4" s="4"/>
      <c r="FVH4" s="4"/>
      <c r="FVI4" s="4"/>
      <c r="FVJ4" s="4"/>
      <c r="FVK4" s="4"/>
      <c r="FVL4" s="4"/>
      <c r="FVM4" s="4"/>
      <c r="FVN4" s="4"/>
      <c r="FVO4" s="4"/>
      <c r="FVP4" s="4"/>
      <c r="FVQ4" s="4"/>
      <c r="FVR4" s="4"/>
      <c r="FVS4" s="4"/>
      <c r="FVT4" s="4"/>
      <c r="FVU4" s="4"/>
      <c r="FVV4" s="4"/>
      <c r="FVW4" s="4"/>
      <c r="FVX4" s="4"/>
      <c r="FVY4" s="4"/>
      <c r="FVZ4" s="4"/>
      <c r="FWA4" s="4"/>
      <c r="FWB4" s="4"/>
      <c r="FWC4" s="4"/>
      <c r="FWD4" s="4"/>
      <c r="FWE4" s="4"/>
      <c r="FWF4" s="4"/>
      <c r="FWG4" s="4"/>
      <c r="FWH4" s="4"/>
      <c r="FWI4" s="4"/>
      <c r="FWJ4" s="4"/>
      <c r="FWK4" s="4"/>
      <c r="FWL4" s="4"/>
      <c r="FWM4" s="4"/>
      <c r="FWN4" s="4"/>
      <c r="FWO4" s="4"/>
      <c r="FWP4" s="4"/>
      <c r="FWQ4" s="4"/>
      <c r="FWR4" s="4"/>
      <c r="FWS4" s="4"/>
      <c r="FWT4" s="4"/>
      <c r="FWU4" s="4"/>
      <c r="FWV4" s="4"/>
      <c r="FWW4" s="4"/>
      <c r="FWX4" s="4"/>
      <c r="FWY4" s="4"/>
      <c r="FWZ4" s="4"/>
      <c r="FXA4" s="4"/>
      <c r="FXB4" s="4"/>
      <c r="FXC4" s="4"/>
      <c r="FXD4" s="4"/>
      <c r="FXE4" s="4"/>
      <c r="FXF4" s="4"/>
      <c r="FXG4" s="4"/>
      <c r="FXH4" s="4"/>
      <c r="FXI4" s="4"/>
      <c r="FXJ4" s="4"/>
      <c r="FXK4" s="4"/>
      <c r="FXL4" s="4"/>
      <c r="FXM4" s="4"/>
      <c r="FXN4" s="4"/>
      <c r="FXO4" s="4"/>
      <c r="FXP4" s="4"/>
      <c r="FXQ4" s="4"/>
      <c r="FXR4" s="4"/>
      <c r="FXS4" s="4"/>
      <c r="FXT4" s="4"/>
      <c r="FXU4" s="4"/>
      <c r="FXV4" s="4"/>
      <c r="FXW4" s="4"/>
      <c r="FXX4" s="4"/>
      <c r="FXY4" s="4"/>
      <c r="FXZ4" s="4"/>
      <c r="FYA4" s="4"/>
      <c r="FYB4" s="4"/>
      <c r="FYC4" s="4"/>
      <c r="FYD4" s="4"/>
      <c r="FYE4" s="4"/>
      <c r="FYF4" s="4"/>
      <c r="FYG4" s="4"/>
      <c r="FYH4" s="4"/>
      <c r="FYI4" s="4"/>
      <c r="FYJ4" s="4"/>
      <c r="FYK4" s="4"/>
      <c r="FYL4" s="4"/>
      <c r="FYM4" s="4"/>
      <c r="FYN4" s="4"/>
      <c r="FYO4" s="4"/>
      <c r="FYP4" s="4"/>
      <c r="FYQ4" s="4"/>
      <c r="FYR4" s="4"/>
      <c r="FYS4" s="4"/>
      <c r="FYT4" s="4"/>
      <c r="FYU4" s="4"/>
      <c r="FYV4" s="4"/>
      <c r="FYW4" s="4"/>
      <c r="FYX4" s="4"/>
      <c r="FYY4" s="4"/>
      <c r="FYZ4" s="4"/>
      <c r="FZA4" s="4"/>
      <c r="FZB4" s="4"/>
      <c r="FZC4" s="4"/>
      <c r="FZD4" s="4"/>
      <c r="FZE4" s="4"/>
      <c r="FZF4" s="4"/>
      <c r="FZG4" s="4"/>
      <c r="FZH4" s="4"/>
      <c r="FZI4" s="4"/>
      <c r="FZJ4" s="4"/>
      <c r="FZK4" s="4"/>
      <c r="FZL4" s="4"/>
      <c r="FZM4" s="4"/>
      <c r="FZN4" s="4"/>
      <c r="FZO4" s="4"/>
      <c r="FZP4" s="4"/>
      <c r="FZQ4" s="4"/>
      <c r="FZR4" s="4"/>
      <c r="FZS4" s="4"/>
      <c r="FZT4" s="4"/>
      <c r="FZU4" s="4"/>
      <c r="FZV4" s="4"/>
      <c r="FZW4" s="4"/>
      <c r="FZX4" s="4"/>
      <c r="FZY4" s="4"/>
      <c r="FZZ4" s="4"/>
      <c r="GAA4" s="4"/>
      <c r="GAB4" s="4"/>
      <c r="GAC4" s="4"/>
      <c r="GAD4" s="4"/>
      <c r="GAE4" s="4"/>
      <c r="GAF4" s="4"/>
      <c r="GAG4" s="4"/>
      <c r="GAH4" s="4"/>
      <c r="GAI4" s="4"/>
      <c r="GAJ4" s="4"/>
      <c r="GAK4" s="4"/>
      <c r="GAL4" s="4"/>
      <c r="GAM4" s="4"/>
      <c r="GAN4" s="4"/>
      <c r="GAO4" s="4"/>
      <c r="GAP4" s="4"/>
      <c r="GAQ4" s="4"/>
      <c r="GAR4" s="4"/>
      <c r="GAS4" s="4"/>
      <c r="GAT4" s="4"/>
      <c r="GAU4" s="4"/>
      <c r="GAV4" s="4"/>
      <c r="GAW4" s="4"/>
      <c r="GAX4" s="4"/>
      <c r="GAY4" s="4"/>
      <c r="GAZ4" s="4"/>
      <c r="GBA4" s="4"/>
      <c r="GBB4" s="4"/>
      <c r="GBC4" s="4"/>
      <c r="GBD4" s="4"/>
      <c r="GBE4" s="4"/>
      <c r="GBF4" s="4"/>
      <c r="GBG4" s="4"/>
      <c r="GBH4" s="4"/>
      <c r="GBI4" s="4"/>
      <c r="GBJ4" s="4"/>
      <c r="GBK4" s="4"/>
      <c r="GBL4" s="4"/>
      <c r="GBM4" s="4"/>
      <c r="GBN4" s="4"/>
      <c r="GBO4" s="4"/>
      <c r="GBP4" s="4"/>
      <c r="GBQ4" s="4"/>
      <c r="GBR4" s="4"/>
      <c r="GBS4" s="4"/>
      <c r="GBT4" s="4"/>
      <c r="GBU4" s="4"/>
      <c r="GBV4" s="4"/>
      <c r="GBW4" s="4"/>
      <c r="GBX4" s="4"/>
      <c r="GBY4" s="4"/>
      <c r="GBZ4" s="4"/>
      <c r="GCA4" s="4"/>
      <c r="GCB4" s="4"/>
      <c r="GCC4" s="4"/>
      <c r="GCD4" s="4"/>
      <c r="GCE4" s="4"/>
      <c r="GCF4" s="4"/>
      <c r="GCG4" s="4"/>
      <c r="GCH4" s="4"/>
      <c r="GCI4" s="4"/>
      <c r="GCJ4" s="4"/>
      <c r="GCK4" s="4"/>
      <c r="GCL4" s="4"/>
      <c r="GCM4" s="4"/>
      <c r="GCN4" s="4"/>
      <c r="GCO4" s="4"/>
      <c r="GCP4" s="4"/>
      <c r="GCQ4" s="4"/>
      <c r="GCR4" s="4"/>
      <c r="GCS4" s="4"/>
      <c r="GCT4" s="4"/>
      <c r="GCU4" s="4"/>
      <c r="GCV4" s="4"/>
      <c r="GCW4" s="4"/>
      <c r="GCX4" s="4"/>
      <c r="GCY4" s="4"/>
      <c r="GCZ4" s="4"/>
      <c r="GDA4" s="4"/>
      <c r="GDB4" s="4"/>
      <c r="GDC4" s="4"/>
      <c r="GDD4" s="4"/>
      <c r="GDE4" s="4"/>
      <c r="GDF4" s="4"/>
      <c r="GDG4" s="4"/>
      <c r="GDH4" s="4"/>
      <c r="GDI4" s="4"/>
      <c r="GDJ4" s="4"/>
      <c r="GDK4" s="4"/>
      <c r="GDL4" s="4"/>
      <c r="GDM4" s="4"/>
      <c r="GDN4" s="4"/>
      <c r="GDO4" s="4"/>
      <c r="GDP4" s="4"/>
      <c r="GDQ4" s="4"/>
      <c r="GDR4" s="4"/>
      <c r="GDS4" s="4"/>
      <c r="GDT4" s="4"/>
      <c r="GDU4" s="4"/>
      <c r="GDV4" s="4"/>
      <c r="GDW4" s="4"/>
      <c r="GDX4" s="4"/>
      <c r="GDY4" s="4"/>
      <c r="GDZ4" s="4"/>
      <c r="GEA4" s="4"/>
      <c r="GEB4" s="4"/>
      <c r="GEC4" s="4"/>
      <c r="GED4" s="4"/>
      <c r="GEE4" s="4"/>
      <c r="GEF4" s="4"/>
      <c r="GEG4" s="4"/>
      <c r="GEH4" s="4"/>
      <c r="GEI4" s="4"/>
      <c r="GEJ4" s="4"/>
      <c r="GEK4" s="4"/>
      <c r="GEL4" s="4"/>
      <c r="GEM4" s="4"/>
      <c r="GEN4" s="4"/>
      <c r="GEO4" s="4"/>
      <c r="GEP4" s="4"/>
      <c r="GEQ4" s="4"/>
      <c r="GER4" s="4"/>
      <c r="GES4" s="4"/>
      <c r="GET4" s="4"/>
      <c r="GEU4" s="4"/>
      <c r="GEV4" s="4"/>
      <c r="GEW4" s="4"/>
      <c r="GEX4" s="4"/>
      <c r="GEY4" s="4"/>
      <c r="GEZ4" s="4"/>
      <c r="GFA4" s="4"/>
      <c r="GFB4" s="4"/>
      <c r="GFC4" s="4"/>
      <c r="GFD4" s="4"/>
      <c r="GFE4" s="4"/>
      <c r="GFF4" s="4"/>
      <c r="GFG4" s="4"/>
      <c r="GFH4" s="4"/>
      <c r="GFI4" s="4"/>
      <c r="GFJ4" s="4"/>
      <c r="GFK4" s="4"/>
      <c r="GFL4" s="4"/>
      <c r="GFM4" s="4"/>
      <c r="GFN4" s="4"/>
      <c r="GFO4" s="4"/>
      <c r="GFP4" s="4"/>
      <c r="GFQ4" s="4"/>
      <c r="GFR4" s="4"/>
      <c r="GFS4" s="4"/>
      <c r="GFT4" s="4"/>
      <c r="GFU4" s="4"/>
      <c r="GFV4" s="4"/>
      <c r="GFW4" s="4"/>
      <c r="GFX4" s="4"/>
      <c r="GFY4" s="4"/>
      <c r="GFZ4" s="4"/>
      <c r="GGA4" s="4"/>
      <c r="GGB4" s="4"/>
      <c r="GGC4" s="4"/>
      <c r="GGD4" s="4"/>
      <c r="GGE4" s="4"/>
      <c r="GGF4" s="4"/>
      <c r="GGG4" s="4"/>
      <c r="GGH4" s="4"/>
      <c r="GGI4" s="4"/>
      <c r="GGJ4" s="4"/>
      <c r="GGK4" s="4"/>
      <c r="GGL4" s="4"/>
      <c r="GGM4" s="4"/>
      <c r="GGN4" s="4"/>
      <c r="GGO4" s="4"/>
      <c r="GGP4" s="4"/>
      <c r="GGQ4" s="4"/>
      <c r="GGR4" s="4"/>
      <c r="GGS4" s="4"/>
      <c r="GGT4" s="4"/>
      <c r="GGU4" s="4"/>
      <c r="GGV4" s="4"/>
      <c r="GGW4" s="4"/>
      <c r="GGX4" s="4"/>
      <c r="GGY4" s="4"/>
      <c r="GGZ4" s="4"/>
      <c r="GHA4" s="4"/>
      <c r="GHB4" s="4"/>
      <c r="GHC4" s="4"/>
      <c r="GHD4" s="4"/>
      <c r="GHE4" s="4"/>
      <c r="GHF4" s="4"/>
      <c r="GHG4" s="4"/>
      <c r="GHH4" s="4"/>
      <c r="GHI4" s="4"/>
      <c r="GHJ4" s="4"/>
      <c r="GHK4" s="4"/>
      <c r="GHL4" s="4"/>
      <c r="GHM4" s="4"/>
      <c r="GHN4" s="4"/>
      <c r="GHO4" s="4"/>
      <c r="GHP4" s="4"/>
      <c r="GHQ4" s="4"/>
      <c r="GHR4" s="4"/>
      <c r="GHS4" s="4"/>
      <c r="GHT4" s="4"/>
      <c r="GHU4" s="4"/>
      <c r="GHV4" s="4"/>
      <c r="GHW4" s="4"/>
      <c r="GHX4" s="4"/>
      <c r="GHY4" s="4"/>
      <c r="GHZ4" s="4"/>
      <c r="GIA4" s="4"/>
      <c r="GIB4" s="4"/>
      <c r="GIC4" s="4"/>
      <c r="GID4" s="4"/>
      <c r="GIE4" s="4"/>
      <c r="GIF4" s="4"/>
      <c r="GIG4" s="4"/>
      <c r="GIH4" s="4"/>
      <c r="GII4" s="4"/>
      <c r="GIJ4" s="4"/>
      <c r="GIK4" s="4"/>
      <c r="GIL4" s="4"/>
      <c r="GIM4" s="4"/>
      <c r="GIN4" s="4"/>
      <c r="GIO4" s="4"/>
      <c r="GIP4" s="4"/>
      <c r="GIQ4" s="4"/>
      <c r="GIR4" s="4"/>
      <c r="GIS4" s="4"/>
      <c r="GIT4" s="4"/>
      <c r="GIU4" s="4"/>
      <c r="GIV4" s="4"/>
      <c r="GIW4" s="4"/>
      <c r="GIX4" s="4"/>
      <c r="GIY4" s="4"/>
      <c r="GIZ4" s="4"/>
      <c r="GJA4" s="4"/>
      <c r="GJB4" s="4"/>
      <c r="GJC4" s="4"/>
      <c r="GJD4" s="4"/>
      <c r="GJE4" s="4"/>
      <c r="GJF4" s="4"/>
      <c r="GJG4" s="4"/>
      <c r="GJH4" s="4"/>
      <c r="GJI4" s="4"/>
      <c r="GJJ4" s="4"/>
      <c r="GJK4" s="4"/>
      <c r="GJL4" s="4"/>
      <c r="GJM4" s="4"/>
      <c r="GJN4" s="4"/>
      <c r="GJO4" s="4"/>
      <c r="GJP4" s="4"/>
      <c r="GJQ4" s="4"/>
      <c r="GJR4" s="4"/>
      <c r="GJS4" s="4"/>
      <c r="GJT4" s="4"/>
      <c r="GJU4" s="4"/>
      <c r="GJV4" s="4"/>
      <c r="GJW4" s="4"/>
      <c r="GJX4" s="4"/>
      <c r="GJY4" s="4"/>
      <c r="GJZ4" s="4"/>
      <c r="GKA4" s="4"/>
      <c r="GKB4" s="4"/>
      <c r="GKC4" s="4"/>
      <c r="GKD4" s="4"/>
      <c r="GKE4" s="4"/>
      <c r="GKF4" s="4"/>
      <c r="GKG4" s="4"/>
      <c r="GKH4" s="4"/>
      <c r="GKI4" s="4"/>
      <c r="GKJ4" s="4"/>
      <c r="GKK4" s="4"/>
      <c r="GKL4" s="4"/>
      <c r="GKM4" s="4"/>
      <c r="GKN4" s="4"/>
      <c r="GKO4" s="4"/>
      <c r="GKP4" s="4"/>
      <c r="GKQ4" s="4"/>
      <c r="GKR4" s="4"/>
      <c r="GKS4" s="4"/>
      <c r="GKT4" s="4"/>
      <c r="GKU4" s="4"/>
      <c r="GKV4" s="4"/>
      <c r="GKW4" s="4"/>
      <c r="GKX4" s="4"/>
      <c r="GKY4" s="4"/>
      <c r="GKZ4" s="4"/>
      <c r="GLA4" s="4"/>
      <c r="GLB4" s="4"/>
      <c r="GLC4" s="4"/>
      <c r="GLD4" s="4"/>
      <c r="GLE4" s="4"/>
      <c r="GLF4" s="4"/>
      <c r="GLG4" s="4"/>
      <c r="GLH4" s="4"/>
      <c r="GLI4" s="4"/>
      <c r="GLJ4" s="4"/>
      <c r="GLK4" s="4"/>
      <c r="GLL4" s="4"/>
      <c r="GLM4" s="4"/>
      <c r="GLN4" s="4"/>
      <c r="GLO4" s="4"/>
      <c r="GLP4" s="4"/>
      <c r="GLQ4" s="4"/>
      <c r="GLR4" s="4"/>
      <c r="GLS4" s="4"/>
      <c r="GLT4" s="4"/>
      <c r="GLU4" s="4"/>
      <c r="GLV4" s="4"/>
      <c r="GLW4" s="4"/>
      <c r="GLX4" s="4"/>
      <c r="GLY4" s="4"/>
      <c r="GLZ4" s="4"/>
      <c r="GMA4" s="4"/>
      <c r="GMB4" s="4"/>
      <c r="GMC4" s="4"/>
      <c r="GMD4" s="4"/>
      <c r="GME4" s="4"/>
      <c r="GMF4" s="4"/>
      <c r="GMG4" s="4"/>
      <c r="GMH4" s="4"/>
      <c r="GMI4" s="4"/>
      <c r="GMJ4" s="4"/>
      <c r="GMK4" s="4"/>
      <c r="GML4" s="4"/>
      <c r="GMM4" s="4"/>
      <c r="GMN4" s="4"/>
      <c r="GMO4" s="4"/>
      <c r="GMP4" s="4"/>
      <c r="GMQ4" s="4"/>
      <c r="GMR4" s="4"/>
      <c r="GMS4" s="4"/>
      <c r="GMT4" s="4"/>
      <c r="GMU4" s="4"/>
      <c r="GMV4" s="4"/>
      <c r="GMW4" s="4"/>
      <c r="GMX4" s="4"/>
      <c r="GMY4" s="4"/>
      <c r="GMZ4" s="4"/>
      <c r="GNA4" s="4"/>
      <c r="GNB4" s="4"/>
      <c r="GNC4" s="4"/>
      <c r="GND4" s="4"/>
      <c r="GNE4" s="4"/>
      <c r="GNF4" s="4"/>
      <c r="GNG4" s="4"/>
      <c r="GNH4" s="4"/>
      <c r="GNI4" s="4"/>
      <c r="GNJ4" s="4"/>
      <c r="GNK4" s="4"/>
      <c r="GNL4" s="4"/>
      <c r="GNM4" s="4"/>
      <c r="GNN4" s="4"/>
      <c r="GNO4" s="4"/>
      <c r="GNP4" s="4"/>
      <c r="GNQ4" s="4"/>
      <c r="GNR4" s="4"/>
      <c r="GNS4" s="4"/>
      <c r="GNT4" s="4"/>
      <c r="GNU4" s="4"/>
      <c r="GNV4" s="4"/>
      <c r="GNW4" s="4"/>
      <c r="GNX4" s="4"/>
      <c r="GNY4" s="4"/>
      <c r="GNZ4" s="4"/>
      <c r="GOA4" s="4"/>
      <c r="GOB4" s="4"/>
      <c r="GOC4" s="4"/>
      <c r="GOD4" s="4"/>
      <c r="GOE4" s="4"/>
      <c r="GOF4" s="4"/>
      <c r="GOG4" s="4"/>
      <c r="GOH4" s="4"/>
      <c r="GOI4" s="4"/>
      <c r="GOJ4" s="4"/>
      <c r="GOK4" s="4"/>
      <c r="GOL4" s="4"/>
      <c r="GOM4" s="4"/>
      <c r="GON4" s="4"/>
      <c r="GOO4" s="4"/>
      <c r="GOP4" s="4"/>
      <c r="GOQ4" s="4"/>
      <c r="GOR4" s="4"/>
      <c r="GOS4" s="4"/>
      <c r="GOT4" s="4"/>
      <c r="GOU4" s="4"/>
      <c r="GOV4" s="4"/>
      <c r="GOW4" s="4"/>
      <c r="GOX4" s="4"/>
      <c r="GOY4" s="4"/>
      <c r="GOZ4" s="4"/>
      <c r="GPA4" s="4"/>
      <c r="GPB4" s="4"/>
      <c r="GPC4" s="4"/>
      <c r="GPD4" s="4"/>
      <c r="GPE4" s="4"/>
      <c r="GPF4" s="4"/>
      <c r="GPG4" s="4"/>
      <c r="GPH4" s="4"/>
      <c r="GPI4" s="4"/>
      <c r="GPJ4" s="4"/>
      <c r="GPK4" s="4"/>
      <c r="GPL4" s="4"/>
      <c r="GPM4" s="4"/>
      <c r="GPN4" s="4"/>
      <c r="GPO4" s="4"/>
      <c r="GPP4" s="4"/>
      <c r="GPQ4" s="4"/>
      <c r="GPR4" s="4"/>
      <c r="GPS4" s="4"/>
      <c r="GPT4" s="4"/>
      <c r="GPU4" s="4"/>
      <c r="GPV4" s="4"/>
      <c r="GPW4" s="4"/>
      <c r="GPX4" s="4"/>
      <c r="GPY4" s="4"/>
      <c r="GPZ4" s="4"/>
      <c r="GQA4" s="4"/>
      <c r="GQB4" s="4"/>
      <c r="GQC4" s="4"/>
      <c r="GQD4" s="4"/>
      <c r="GQE4" s="4"/>
      <c r="GQF4" s="4"/>
      <c r="GQG4" s="4"/>
      <c r="GQH4" s="4"/>
      <c r="GQI4" s="4"/>
      <c r="GQJ4" s="4"/>
      <c r="GQK4" s="4"/>
      <c r="GQL4" s="4"/>
      <c r="GQM4" s="4"/>
      <c r="GQN4" s="4"/>
      <c r="GQO4" s="4"/>
      <c r="GQP4" s="4"/>
      <c r="GQQ4" s="4"/>
      <c r="GQR4" s="4"/>
      <c r="GQS4" s="4"/>
      <c r="GQT4" s="4"/>
      <c r="GQU4" s="4"/>
      <c r="GQV4" s="4"/>
      <c r="GQW4" s="4"/>
      <c r="GQX4" s="4"/>
      <c r="GQY4" s="4"/>
      <c r="GQZ4" s="4"/>
      <c r="GRA4" s="4"/>
      <c r="GRB4" s="4"/>
      <c r="GRC4" s="4"/>
      <c r="GRD4" s="4"/>
      <c r="GRE4" s="4"/>
      <c r="GRF4" s="4"/>
      <c r="GRG4" s="4"/>
      <c r="GRH4" s="4"/>
      <c r="GRI4" s="4"/>
      <c r="GRJ4" s="4"/>
      <c r="GRK4" s="4"/>
      <c r="GRL4" s="4"/>
      <c r="GRM4" s="4"/>
      <c r="GRN4" s="4"/>
      <c r="GRO4" s="4"/>
      <c r="GRP4" s="4"/>
      <c r="GRQ4" s="4"/>
      <c r="GRR4" s="4"/>
      <c r="GRS4" s="4"/>
      <c r="GRT4" s="4"/>
      <c r="GRU4" s="4"/>
      <c r="GRV4" s="4"/>
      <c r="GRW4" s="4"/>
      <c r="GRX4" s="4"/>
      <c r="GRY4" s="4"/>
      <c r="GRZ4" s="4"/>
      <c r="GSA4" s="4"/>
      <c r="GSB4" s="4"/>
      <c r="GSC4" s="4"/>
      <c r="GSD4" s="4"/>
      <c r="GSE4" s="4"/>
      <c r="GSF4" s="4"/>
      <c r="GSG4" s="4"/>
      <c r="GSH4" s="4"/>
      <c r="GSI4" s="4"/>
      <c r="GSJ4" s="4"/>
      <c r="GSK4" s="4"/>
      <c r="GSL4" s="4"/>
      <c r="GSM4" s="4"/>
      <c r="GSN4" s="4"/>
      <c r="GSO4" s="4"/>
      <c r="GSP4" s="4"/>
      <c r="GSQ4" s="4"/>
      <c r="GSR4" s="4"/>
      <c r="GSS4" s="4"/>
      <c r="GST4" s="4"/>
      <c r="GSU4" s="4"/>
      <c r="GSV4" s="4"/>
      <c r="GSW4" s="4"/>
      <c r="GSX4" s="4"/>
      <c r="GSY4" s="4"/>
      <c r="GSZ4" s="4"/>
      <c r="GTA4" s="4"/>
      <c r="GTB4" s="4"/>
      <c r="GTC4" s="4"/>
      <c r="GTD4" s="4"/>
      <c r="GTE4" s="4"/>
      <c r="GTF4" s="4"/>
      <c r="GTG4" s="4"/>
      <c r="GTH4" s="4"/>
      <c r="GTI4" s="4"/>
      <c r="GTJ4" s="4"/>
      <c r="GTK4" s="4"/>
      <c r="GTL4" s="4"/>
      <c r="GTM4" s="4"/>
      <c r="GTN4" s="4"/>
      <c r="GTO4" s="4"/>
      <c r="GTP4" s="4"/>
      <c r="GTQ4" s="4"/>
      <c r="GTR4" s="4"/>
      <c r="GTS4" s="4"/>
      <c r="GTT4" s="4"/>
      <c r="GTU4" s="4"/>
      <c r="GTV4" s="4"/>
      <c r="GTW4" s="4"/>
      <c r="GTX4" s="4"/>
      <c r="GTY4" s="4"/>
      <c r="GTZ4" s="4"/>
      <c r="GUA4" s="4"/>
      <c r="GUB4" s="4"/>
      <c r="GUC4" s="4"/>
      <c r="GUD4" s="4"/>
      <c r="GUE4" s="4"/>
      <c r="GUF4" s="4"/>
      <c r="GUG4" s="4"/>
      <c r="GUH4" s="4"/>
      <c r="GUI4" s="4"/>
      <c r="GUJ4" s="4"/>
      <c r="GUK4" s="4"/>
      <c r="GUL4" s="4"/>
      <c r="GUM4" s="4"/>
      <c r="GUN4" s="4"/>
      <c r="GUO4" s="4"/>
      <c r="GUP4" s="4"/>
      <c r="GUQ4" s="4"/>
      <c r="GUR4" s="4"/>
      <c r="GUS4" s="4"/>
      <c r="GUT4" s="4"/>
      <c r="GUU4" s="4"/>
      <c r="GUV4" s="4"/>
      <c r="GUW4" s="4"/>
      <c r="GUX4" s="4"/>
      <c r="GUY4" s="4"/>
      <c r="GUZ4" s="4"/>
      <c r="GVA4" s="4"/>
      <c r="GVB4" s="4"/>
      <c r="GVC4" s="4"/>
      <c r="GVD4" s="4"/>
      <c r="GVE4" s="4"/>
      <c r="GVF4" s="4"/>
      <c r="GVG4" s="4"/>
      <c r="GVH4" s="4"/>
      <c r="GVI4" s="4"/>
      <c r="GVJ4" s="4"/>
      <c r="GVK4" s="4"/>
      <c r="GVL4" s="4"/>
      <c r="GVM4" s="4"/>
      <c r="GVN4" s="4"/>
      <c r="GVO4" s="4"/>
      <c r="GVP4" s="4"/>
      <c r="GVQ4" s="4"/>
      <c r="GVR4" s="4"/>
      <c r="GVS4" s="4"/>
      <c r="GVT4" s="4"/>
      <c r="GVU4" s="4"/>
      <c r="GVV4" s="4"/>
      <c r="GVW4" s="4"/>
      <c r="GVX4" s="4"/>
      <c r="GVY4" s="4"/>
      <c r="GVZ4" s="4"/>
      <c r="GWA4" s="4"/>
      <c r="GWB4" s="4"/>
      <c r="GWC4" s="4"/>
      <c r="GWD4" s="4"/>
      <c r="GWE4" s="4"/>
      <c r="GWF4" s="4"/>
      <c r="GWG4" s="4"/>
      <c r="GWH4" s="4"/>
      <c r="GWI4" s="4"/>
      <c r="GWJ4" s="4"/>
      <c r="GWK4" s="4"/>
      <c r="GWL4" s="4"/>
      <c r="GWM4" s="4"/>
      <c r="GWN4" s="4"/>
      <c r="GWO4" s="4"/>
      <c r="GWP4" s="4"/>
      <c r="GWQ4" s="4"/>
      <c r="GWR4" s="4"/>
      <c r="GWS4" s="4"/>
      <c r="GWT4" s="4"/>
      <c r="GWU4" s="4"/>
      <c r="GWV4" s="4"/>
      <c r="GWW4" s="4"/>
      <c r="GWX4" s="4"/>
      <c r="GWY4" s="4"/>
      <c r="GWZ4" s="4"/>
      <c r="GXA4" s="4"/>
      <c r="GXB4" s="4"/>
      <c r="GXC4" s="4"/>
      <c r="GXD4" s="4"/>
      <c r="GXE4" s="4"/>
      <c r="GXF4" s="4"/>
      <c r="GXG4" s="4"/>
      <c r="GXH4" s="4"/>
      <c r="GXI4" s="4"/>
      <c r="GXJ4" s="4"/>
      <c r="GXK4" s="4"/>
      <c r="GXL4" s="4"/>
      <c r="GXM4" s="4"/>
      <c r="GXN4" s="4"/>
      <c r="GXO4" s="4"/>
      <c r="GXP4" s="4"/>
      <c r="GXQ4" s="4"/>
      <c r="GXR4" s="4"/>
      <c r="GXS4" s="4"/>
      <c r="GXT4" s="4"/>
      <c r="GXU4" s="4"/>
      <c r="GXV4" s="4"/>
      <c r="GXW4" s="4"/>
      <c r="GXX4" s="4"/>
      <c r="GXY4" s="4"/>
      <c r="GXZ4" s="4"/>
      <c r="GYA4" s="4"/>
      <c r="GYB4" s="4"/>
      <c r="GYC4" s="4"/>
      <c r="GYD4" s="4"/>
      <c r="GYE4" s="4"/>
      <c r="GYF4" s="4"/>
      <c r="GYG4" s="4"/>
      <c r="GYH4" s="4"/>
      <c r="GYI4" s="4"/>
      <c r="GYJ4" s="4"/>
      <c r="GYK4" s="4"/>
      <c r="GYL4" s="4"/>
      <c r="GYM4" s="4"/>
      <c r="GYN4" s="4"/>
      <c r="GYO4" s="4"/>
      <c r="GYP4" s="4"/>
      <c r="GYQ4" s="4"/>
      <c r="GYR4" s="4"/>
      <c r="GYS4" s="4"/>
      <c r="GYT4" s="4"/>
      <c r="GYU4" s="4"/>
      <c r="GYV4" s="4"/>
      <c r="GYW4" s="4"/>
      <c r="GYX4" s="4"/>
      <c r="GYY4" s="4"/>
      <c r="GYZ4" s="4"/>
      <c r="GZA4" s="4"/>
      <c r="GZB4" s="4"/>
      <c r="GZC4" s="4"/>
      <c r="GZD4" s="4"/>
      <c r="GZE4" s="4"/>
      <c r="GZF4" s="4"/>
      <c r="GZG4" s="4"/>
      <c r="GZH4" s="4"/>
      <c r="GZI4" s="4"/>
      <c r="GZJ4" s="4"/>
      <c r="GZK4" s="4"/>
      <c r="GZL4" s="4"/>
      <c r="GZM4" s="4"/>
      <c r="GZN4" s="4"/>
      <c r="GZO4" s="4"/>
      <c r="GZP4" s="4"/>
      <c r="GZQ4" s="4"/>
      <c r="GZR4" s="4"/>
      <c r="GZS4" s="4"/>
      <c r="GZT4" s="4"/>
      <c r="GZU4" s="4"/>
      <c r="GZV4" s="4"/>
      <c r="GZW4" s="4"/>
      <c r="GZX4" s="4"/>
      <c r="GZY4" s="4"/>
      <c r="GZZ4" s="4"/>
      <c r="HAA4" s="4"/>
      <c r="HAB4" s="4"/>
      <c r="HAC4" s="4"/>
      <c r="HAD4" s="4"/>
      <c r="HAE4" s="4"/>
      <c r="HAF4" s="4"/>
      <c r="HAG4" s="4"/>
      <c r="HAH4" s="4"/>
      <c r="HAI4" s="4"/>
      <c r="HAJ4" s="4"/>
      <c r="HAK4" s="4"/>
      <c r="HAL4" s="4"/>
      <c r="HAM4" s="4"/>
      <c r="HAN4" s="4"/>
      <c r="HAO4" s="4"/>
      <c r="HAP4" s="4"/>
      <c r="HAQ4" s="4"/>
      <c r="HAR4" s="4"/>
      <c r="HAS4" s="4"/>
      <c r="HAT4" s="4"/>
      <c r="HAU4" s="4"/>
      <c r="HAV4" s="4"/>
      <c r="HAW4" s="4"/>
      <c r="HAX4" s="4"/>
      <c r="HAY4" s="4"/>
      <c r="HAZ4" s="4"/>
      <c r="HBA4" s="4"/>
      <c r="HBB4" s="4"/>
      <c r="HBC4" s="4"/>
      <c r="HBD4" s="4"/>
      <c r="HBE4" s="4"/>
      <c r="HBF4" s="4"/>
      <c r="HBG4" s="4"/>
      <c r="HBH4" s="4"/>
      <c r="HBI4" s="4"/>
      <c r="HBJ4" s="4"/>
      <c r="HBK4" s="4"/>
      <c r="HBL4" s="4"/>
      <c r="HBM4" s="4"/>
      <c r="HBN4" s="4"/>
      <c r="HBO4" s="4"/>
      <c r="HBP4" s="4"/>
      <c r="HBQ4" s="4"/>
      <c r="HBR4" s="4"/>
      <c r="HBS4" s="4"/>
      <c r="HBT4" s="4"/>
      <c r="HBU4" s="4"/>
      <c r="HBV4" s="4"/>
      <c r="HBW4" s="4"/>
      <c r="HBX4" s="4"/>
      <c r="HBY4" s="4"/>
      <c r="HBZ4" s="4"/>
      <c r="HCA4" s="4"/>
      <c r="HCB4" s="4"/>
      <c r="HCC4" s="4"/>
      <c r="HCD4" s="4"/>
      <c r="HCE4" s="4"/>
      <c r="HCF4" s="4"/>
      <c r="HCG4" s="4"/>
      <c r="HCH4" s="4"/>
      <c r="HCI4" s="4"/>
      <c r="HCJ4" s="4"/>
      <c r="HCK4" s="4"/>
      <c r="HCL4" s="4"/>
      <c r="HCM4" s="4"/>
      <c r="HCN4" s="4"/>
      <c r="HCO4" s="4"/>
      <c r="HCP4" s="4"/>
      <c r="HCQ4" s="4"/>
      <c r="HCR4" s="4"/>
      <c r="HCS4" s="4"/>
      <c r="HCT4" s="4"/>
      <c r="HCU4" s="4"/>
      <c r="HCV4" s="4"/>
      <c r="HCW4" s="4"/>
      <c r="HCX4" s="4"/>
      <c r="HCY4" s="4"/>
      <c r="HCZ4" s="4"/>
      <c r="HDA4" s="4"/>
      <c r="HDB4" s="4"/>
      <c r="HDC4" s="4"/>
      <c r="HDD4" s="4"/>
      <c r="HDE4" s="4"/>
      <c r="HDF4" s="4"/>
      <c r="HDG4" s="4"/>
      <c r="HDH4" s="4"/>
      <c r="HDI4" s="4"/>
      <c r="HDJ4" s="4"/>
      <c r="HDK4" s="4"/>
      <c r="HDL4" s="4"/>
      <c r="HDM4" s="4"/>
      <c r="HDN4" s="4"/>
      <c r="HDO4" s="4"/>
      <c r="HDP4" s="4"/>
      <c r="HDQ4" s="4"/>
      <c r="HDR4" s="4"/>
      <c r="HDS4" s="4"/>
      <c r="HDT4" s="4"/>
      <c r="HDU4" s="4"/>
      <c r="HDV4" s="4"/>
      <c r="HDW4" s="4"/>
      <c r="HDX4" s="4"/>
      <c r="HDY4" s="4"/>
      <c r="HDZ4" s="4"/>
      <c r="HEA4" s="4"/>
      <c r="HEB4" s="4"/>
      <c r="HEC4" s="4"/>
      <c r="HED4" s="4"/>
      <c r="HEE4" s="4"/>
      <c r="HEF4" s="4"/>
      <c r="HEG4" s="4"/>
      <c r="HEH4" s="4"/>
      <c r="HEI4" s="4"/>
      <c r="HEJ4" s="4"/>
      <c r="HEK4" s="4"/>
      <c r="HEL4" s="4"/>
      <c r="HEM4" s="4"/>
      <c r="HEN4" s="4"/>
      <c r="HEO4" s="4"/>
      <c r="HEP4" s="4"/>
      <c r="HEQ4" s="4"/>
      <c r="HER4" s="4"/>
      <c r="HES4" s="4"/>
      <c r="HET4" s="4"/>
      <c r="HEU4" s="4"/>
      <c r="HEV4" s="4"/>
      <c r="HEW4" s="4"/>
      <c r="HEX4" s="4"/>
      <c r="HEY4" s="4"/>
      <c r="HEZ4" s="4"/>
      <c r="HFA4" s="4"/>
      <c r="HFB4" s="4"/>
      <c r="HFC4" s="4"/>
      <c r="HFD4" s="4"/>
      <c r="HFE4" s="4"/>
      <c r="HFF4" s="4"/>
      <c r="HFG4" s="4"/>
      <c r="HFH4" s="4"/>
      <c r="HFI4" s="4"/>
      <c r="HFJ4" s="4"/>
      <c r="HFK4" s="4"/>
      <c r="HFL4" s="4"/>
      <c r="HFM4" s="4"/>
      <c r="HFN4" s="4"/>
      <c r="HFO4" s="4"/>
      <c r="HFP4" s="4"/>
      <c r="HFQ4" s="4"/>
      <c r="HFR4" s="4"/>
      <c r="HFS4" s="4"/>
      <c r="HFT4" s="4"/>
      <c r="HFU4" s="4"/>
      <c r="HFV4" s="4"/>
      <c r="HFW4" s="4"/>
      <c r="HFX4" s="4"/>
      <c r="HFY4" s="4"/>
      <c r="HFZ4" s="4"/>
      <c r="HGA4" s="4"/>
      <c r="HGB4" s="4"/>
      <c r="HGC4" s="4"/>
      <c r="HGD4" s="4"/>
      <c r="HGE4" s="4"/>
      <c r="HGF4" s="4"/>
      <c r="HGG4" s="4"/>
      <c r="HGH4" s="4"/>
      <c r="HGI4" s="4"/>
      <c r="HGJ4" s="4"/>
      <c r="HGK4" s="4"/>
      <c r="HGL4" s="4"/>
      <c r="HGM4" s="4"/>
      <c r="HGN4" s="4"/>
      <c r="HGO4" s="4"/>
      <c r="HGP4" s="4"/>
      <c r="HGQ4" s="4"/>
      <c r="HGR4" s="4"/>
      <c r="HGS4" s="4"/>
      <c r="HGT4" s="4"/>
      <c r="HGU4" s="4"/>
      <c r="HGV4" s="4"/>
      <c r="HGW4" s="4"/>
      <c r="HGX4" s="4"/>
      <c r="HGY4" s="4"/>
      <c r="HGZ4" s="4"/>
      <c r="HHA4" s="4"/>
      <c r="HHB4" s="4"/>
      <c r="HHC4" s="4"/>
      <c r="HHD4" s="4"/>
      <c r="HHE4" s="4"/>
      <c r="HHF4" s="4"/>
      <c r="HHG4" s="4"/>
      <c r="HHH4" s="4"/>
      <c r="HHI4" s="4"/>
      <c r="HHJ4" s="4"/>
      <c r="HHK4" s="4"/>
      <c r="HHL4" s="4"/>
      <c r="HHM4" s="4"/>
      <c r="HHN4" s="4"/>
      <c r="HHO4" s="4"/>
      <c r="HHP4" s="4"/>
      <c r="HHQ4" s="4"/>
      <c r="HHR4" s="4"/>
      <c r="HHS4" s="4"/>
      <c r="HHT4" s="4"/>
      <c r="HHU4" s="4"/>
      <c r="HHV4" s="4"/>
      <c r="HHW4" s="4"/>
      <c r="HHX4" s="4"/>
      <c r="HHY4" s="4"/>
      <c r="HHZ4" s="4"/>
      <c r="HIA4" s="4"/>
      <c r="HIB4" s="4"/>
      <c r="HIC4" s="4"/>
      <c r="HID4" s="4"/>
      <c r="HIE4" s="4"/>
      <c r="HIF4" s="4"/>
      <c r="HIG4" s="4"/>
      <c r="HIH4" s="4"/>
      <c r="HII4" s="4"/>
      <c r="HIJ4" s="4"/>
      <c r="HIK4" s="4"/>
      <c r="HIL4" s="4"/>
      <c r="HIM4" s="4"/>
      <c r="HIN4" s="4"/>
      <c r="HIO4" s="4"/>
      <c r="HIP4" s="4"/>
      <c r="HIQ4" s="4"/>
      <c r="HIR4" s="4"/>
      <c r="HIS4" s="4"/>
      <c r="HIT4" s="4"/>
      <c r="HIU4" s="4"/>
      <c r="HIV4" s="4"/>
      <c r="HIW4" s="4"/>
      <c r="HIX4" s="4"/>
      <c r="HIY4" s="4"/>
      <c r="HIZ4" s="4"/>
      <c r="HJA4" s="4"/>
      <c r="HJB4" s="4"/>
      <c r="HJC4" s="4"/>
      <c r="HJD4" s="4"/>
      <c r="HJE4" s="4"/>
      <c r="HJF4" s="4"/>
      <c r="HJG4" s="4"/>
      <c r="HJH4" s="4"/>
      <c r="HJI4" s="4"/>
      <c r="HJJ4" s="4"/>
      <c r="HJK4" s="4"/>
      <c r="HJL4" s="4"/>
      <c r="HJM4" s="4"/>
      <c r="HJN4" s="4"/>
      <c r="HJO4" s="4"/>
      <c r="HJP4" s="4"/>
      <c r="HJQ4" s="4"/>
      <c r="HJR4" s="4"/>
      <c r="HJS4" s="4"/>
      <c r="HJT4" s="4"/>
      <c r="HJU4" s="4"/>
      <c r="HJV4" s="4"/>
      <c r="HJW4" s="4"/>
      <c r="HJX4" s="4"/>
      <c r="HJY4" s="4"/>
      <c r="HJZ4" s="4"/>
      <c r="HKA4" s="4"/>
      <c r="HKB4" s="4"/>
      <c r="HKC4" s="4"/>
      <c r="HKD4" s="4"/>
      <c r="HKE4" s="4"/>
      <c r="HKF4" s="4"/>
      <c r="HKG4" s="4"/>
      <c r="HKH4" s="4"/>
      <c r="HKI4" s="4"/>
      <c r="HKJ4" s="4"/>
      <c r="HKK4" s="4"/>
      <c r="HKL4" s="4"/>
      <c r="HKM4" s="4"/>
      <c r="HKN4" s="4"/>
      <c r="HKO4" s="4"/>
      <c r="HKP4" s="4"/>
      <c r="HKQ4" s="4"/>
      <c r="HKR4" s="4"/>
      <c r="HKS4" s="4"/>
      <c r="HKT4" s="4"/>
      <c r="HKU4" s="4"/>
      <c r="HKV4" s="4"/>
      <c r="HKW4" s="4"/>
      <c r="HKX4" s="4"/>
      <c r="HKY4" s="4"/>
      <c r="HKZ4" s="4"/>
      <c r="HLA4" s="4"/>
      <c r="HLB4" s="4"/>
      <c r="HLC4" s="4"/>
      <c r="HLD4" s="4"/>
      <c r="HLE4" s="4"/>
      <c r="HLF4" s="4"/>
      <c r="HLG4" s="4"/>
      <c r="HLH4" s="4"/>
      <c r="HLI4" s="4"/>
      <c r="HLJ4" s="4"/>
      <c r="HLK4" s="4"/>
      <c r="HLL4" s="4"/>
      <c r="HLM4" s="4"/>
      <c r="HLN4" s="4"/>
      <c r="HLO4" s="4"/>
      <c r="HLP4" s="4"/>
      <c r="HLQ4" s="4"/>
      <c r="HLR4" s="4"/>
      <c r="HLS4" s="4"/>
      <c r="HLT4" s="4"/>
      <c r="HLU4" s="4"/>
      <c r="HLV4" s="4"/>
      <c r="HLW4" s="4"/>
      <c r="HLX4" s="4"/>
      <c r="HLY4" s="4"/>
      <c r="HLZ4" s="4"/>
      <c r="HMA4" s="4"/>
      <c r="HMB4" s="4"/>
      <c r="HMC4" s="4"/>
      <c r="HMD4" s="4"/>
      <c r="HME4" s="4"/>
      <c r="HMF4" s="4"/>
      <c r="HMG4" s="4"/>
      <c r="HMH4" s="4"/>
      <c r="HMI4" s="4"/>
      <c r="HMJ4" s="4"/>
      <c r="HMK4" s="4"/>
      <c r="HML4" s="4"/>
      <c r="HMM4" s="4"/>
      <c r="HMN4" s="4"/>
      <c r="HMO4" s="4"/>
      <c r="HMP4" s="4"/>
      <c r="HMQ4" s="4"/>
      <c r="HMR4" s="4"/>
      <c r="HMS4" s="4"/>
      <c r="HMT4" s="4"/>
      <c r="HMU4" s="4"/>
      <c r="HMV4" s="4"/>
      <c r="HMW4" s="4"/>
      <c r="HMX4" s="4"/>
      <c r="HMY4" s="4"/>
      <c r="HMZ4" s="4"/>
      <c r="HNA4" s="4"/>
      <c r="HNB4" s="4"/>
      <c r="HNC4" s="4"/>
      <c r="HND4" s="4"/>
      <c r="HNE4" s="4"/>
      <c r="HNF4" s="4"/>
      <c r="HNG4" s="4"/>
      <c r="HNH4" s="4"/>
      <c r="HNI4" s="4"/>
      <c r="HNJ4" s="4"/>
      <c r="HNK4" s="4"/>
      <c r="HNL4" s="4"/>
      <c r="HNM4" s="4"/>
      <c r="HNN4" s="4"/>
      <c r="HNO4" s="4"/>
      <c r="HNP4" s="4"/>
      <c r="HNQ4" s="4"/>
      <c r="HNR4" s="4"/>
      <c r="HNS4" s="4"/>
      <c r="HNT4" s="4"/>
      <c r="HNU4" s="4"/>
      <c r="HNV4" s="4"/>
      <c r="HNW4" s="4"/>
      <c r="HNX4" s="4"/>
      <c r="HNY4" s="4"/>
      <c r="HNZ4" s="4"/>
      <c r="HOA4" s="4"/>
      <c r="HOB4" s="4"/>
      <c r="HOC4" s="4"/>
      <c r="HOD4" s="4"/>
      <c r="HOE4" s="4"/>
      <c r="HOF4" s="4"/>
      <c r="HOG4" s="4"/>
      <c r="HOH4" s="4"/>
      <c r="HOI4" s="4"/>
      <c r="HOJ4" s="4"/>
      <c r="HOK4" s="4"/>
      <c r="HOL4" s="4"/>
      <c r="HOM4" s="4"/>
      <c r="HON4" s="4"/>
      <c r="HOO4" s="4"/>
      <c r="HOP4" s="4"/>
      <c r="HOQ4" s="4"/>
      <c r="HOR4" s="4"/>
      <c r="HOS4" s="4"/>
      <c r="HOT4" s="4"/>
      <c r="HOU4" s="4"/>
      <c r="HOV4" s="4"/>
      <c r="HOW4" s="4"/>
      <c r="HOX4" s="4"/>
      <c r="HOY4" s="4"/>
      <c r="HOZ4" s="4"/>
      <c r="HPA4" s="4"/>
      <c r="HPB4" s="4"/>
      <c r="HPC4" s="4"/>
      <c r="HPD4" s="4"/>
      <c r="HPE4" s="4"/>
      <c r="HPF4" s="4"/>
      <c r="HPG4" s="4"/>
      <c r="HPH4" s="4"/>
      <c r="HPI4" s="4"/>
      <c r="HPJ4" s="4"/>
      <c r="HPK4" s="4"/>
      <c r="HPL4" s="4"/>
      <c r="HPM4" s="4"/>
      <c r="HPN4" s="4"/>
      <c r="HPO4" s="4"/>
      <c r="HPP4" s="4"/>
      <c r="HPQ4" s="4"/>
      <c r="HPR4" s="4"/>
      <c r="HPS4" s="4"/>
      <c r="HPT4" s="4"/>
      <c r="HPU4" s="4"/>
      <c r="HPV4" s="4"/>
      <c r="HPW4" s="4"/>
      <c r="HPX4" s="4"/>
      <c r="HPY4" s="4"/>
      <c r="HPZ4" s="4"/>
      <c r="HQA4" s="4"/>
      <c r="HQB4" s="4"/>
      <c r="HQC4" s="4"/>
      <c r="HQD4" s="4"/>
      <c r="HQE4" s="4"/>
      <c r="HQF4" s="4"/>
      <c r="HQG4" s="4"/>
      <c r="HQH4" s="4"/>
      <c r="HQI4" s="4"/>
      <c r="HQJ4" s="4"/>
      <c r="HQK4" s="4"/>
      <c r="HQL4" s="4"/>
      <c r="HQM4" s="4"/>
      <c r="HQN4" s="4"/>
      <c r="HQO4" s="4"/>
      <c r="HQP4" s="4"/>
      <c r="HQQ4" s="4"/>
      <c r="HQR4" s="4"/>
      <c r="HQS4" s="4"/>
      <c r="HQT4" s="4"/>
      <c r="HQU4" s="4"/>
      <c r="HQV4" s="4"/>
      <c r="HQW4" s="4"/>
      <c r="HQX4" s="4"/>
      <c r="HQY4" s="4"/>
      <c r="HQZ4" s="4"/>
      <c r="HRA4" s="4"/>
      <c r="HRB4" s="4"/>
      <c r="HRC4" s="4"/>
      <c r="HRD4" s="4"/>
      <c r="HRE4" s="4"/>
      <c r="HRF4" s="4"/>
      <c r="HRG4" s="4"/>
      <c r="HRH4" s="4"/>
      <c r="HRI4" s="4"/>
      <c r="HRJ4" s="4"/>
      <c r="HRK4" s="4"/>
      <c r="HRL4" s="4"/>
      <c r="HRM4" s="4"/>
      <c r="HRN4" s="4"/>
      <c r="HRO4" s="4"/>
      <c r="HRP4" s="4"/>
      <c r="HRQ4" s="4"/>
      <c r="HRR4" s="4"/>
      <c r="HRS4" s="4"/>
      <c r="HRT4" s="4"/>
      <c r="HRU4" s="4"/>
      <c r="HRV4" s="4"/>
      <c r="HRW4" s="4"/>
      <c r="HRX4" s="4"/>
      <c r="HRY4" s="4"/>
      <c r="HRZ4" s="4"/>
      <c r="HSA4" s="4"/>
      <c r="HSB4" s="4"/>
      <c r="HSC4" s="4"/>
      <c r="HSD4" s="4"/>
      <c r="HSE4" s="4"/>
      <c r="HSF4" s="4"/>
      <c r="HSG4" s="4"/>
      <c r="HSH4" s="4"/>
      <c r="HSI4" s="4"/>
      <c r="HSJ4" s="4"/>
      <c r="HSK4" s="4"/>
      <c r="HSL4" s="4"/>
      <c r="HSM4" s="4"/>
      <c r="HSN4" s="4"/>
      <c r="HSO4" s="4"/>
      <c r="HSP4" s="4"/>
      <c r="HSQ4" s="4"/>
      <c r="HSR4" s="4"/>
      <c r="HSS4" s="4"/>
      <c r="HST4" s="4"/>
      <c r="HSU4" s="4"/>
      <c r="HSV4" s="4"/>
      <c r="HSW4" s="4"/>
      <c r="HSX4" s="4"/>
      <c r="HSY4" s="4"/>
      <c r="HSZ4" s="4"/>
      <c r="HTA4" s="4"/>
      <c r="HTB4" s="4"/>
      <c r="HTC4" s="4"/>
      <c r="HTD4" s="4"/>
      <c r="HTE4" s="4"/>
      <c r="HTF4" s="4"/>
      <c r="HTG4" s="4"/>
      <c r="HTH4" s="4"/>
      <c r="HTI4" s="4"/>
      <c r="HTJ4" s="4"/>
      <c r="HTK4" s="4"/>
      <c r="HTL4" s="4"/>
      <c r="HTM4" s="4"/>
      <c r="HTN4" s="4"/>
      <c r="HTO4" s="4"/>
      <c r="HTP4" s="4"/>
      <c r="HTQ4" s="4"/>
      <c r="HTR4" s="4"/>
      <c r="HTS4" s="4"/>
      <c r="HTT4" s="4"/>
      <c r="HTU4" s="4"/>
      <c r="HTV4" s="4"/>
      <c r="HTW4" s="4"/>
      <c r="HTX4" s="4"/>
      <c r="HTY4" s="4"/>
      <c r="HTZ4" s="4"/>
      <c r="HUA4" s="4"/>
      <c r="HUB4" s="4"/>
      <c r="HUC4" s="4"/>
      <c r="HUD4" s="4"/>
      <c r="HUE4" s="4"/>
      <c r="HUF4" s="4"/>
      <c r="HUG4" s="4"/>
      <c r="HUH4" s="4"/>
      <c r="HUI4" s="4"/>
      <c r="HUJ4" s="4"/>
      <c r="HUK4" s="4"/>
      <c r="HUL4" s="4"/>
      <c r="HUM4" s="4"/>
      <c r="HUN4" s="4"/>
      <c r="HUO4" s="4"/>
      <c r="HUP4" s="4"/>
      <c r="HUQ4" s="4"/>
      <c r="HUR4" s="4"/>
      <c r="HUS4" s="4"/>
      <c r="HUT4" s="4"/>
      <c r="HUU4" s="4"/>
      <c r="HUV4" s="4"/>
      <c r="HUW4" s="4"/>
      <c r="HUX4" s="4"/>
      <c r="HUY4" s="4"/>
      <c r="HUZ4" s="4"/>
      <c r="HVA4" s="4"/>
      <c r="HVB4" s="4"/>
      <c r="HVC4" s="4"/>
      <c r="HVD4" s="4"/>
      <c r="HVE4" s="4"/>
      <c r="HVF4" s="4"/>
      <c r="HVG4" s="4"/>
      <c r="HVH4" s="4"/>
      <c r="HVI4" s="4"/>
      <c r="HVJ4" s="4"/>
      <c r="HVK4" s="4"/>
      <c r="HVL4" s="4"/>
      <c r="HVM4" s="4"/>
      <c r="HVN4" s="4"/>
      <c r="HVO4" s="4"/>
      <c r="HVP4" s="4"/>
      <c r="HVQ4" s="4"/>
      <c r="HVR4" s="4"/>
      <c r="HVS4" s="4"/>
      <c r="HVT4" s="4"/>
      <c r="HVU4" s="4"/>
      <c r="HVV4" s="4"/>
      <c r="HVW4" s="4"/>
      <c r="HVX4" s="4"/>
      <c r="HVY4" s="4"/>
      <c r="HVZ4" s="4"/>
      <c r="HWA4" s="4"/>
      <c r="HWB4" s="4"/>
      <c r="HWC4" s="4"/>
      <c r="HWD4" s="4"/>
      <c r="HWE4" s="4"/>
      <c r="HWF4" s="4"/>
      <c r="HWG4" s="4"/>
      <c r="HWH4" s="4"/>
      <c r="HWI4" s="4"/>
      <c r="HWJ4" s="4"/>
      <c r="HWK4" s="4"/>
      <c r="HWL4" s="4"/>
      <c r="HWM4" s="4"/>
      <c r="HWN4" s="4"/>
      <c r="HWO4" s="4"/>
      <c r="HWP4" s="4"/>
      <c r="HWQ4" s="4"/>
      <c r="HWR4" s="4"/>
      <c r="HWS4" s="4"/>
      <c r="HWT4" s="4"/>
      <c r="HWU4" s="4"/>
      <c r="HWV4" s="4"/>
      <c r="HWW4" s="4"/>
      <c r="HWX4" s="4"/>
      <c r="HWY4" s="4"/>
      <c r="HWZ4" s="4"/>
      <c r="HXA4" s="4"/>
      <c r="HXB4" s="4"/>
      <c r="HXC4" s="4"/>
      <c r="HXD4" s="4"/>
      <c r="HXE4" s="4"/>
      <c r="HXF4" s="4"/>
      <c r="HXG4" s="4"/>
      <c r="HXH4" s="4"/>
      <c r="HXI4" s="4"/>
      <c r="HXJ4" s="4"/>
      <c r="HXK4" s="4"/>
      <c r="HXL4" s="4"/>
      <c r="HXM4" s="4"/>
      <c r="HXN4" s="4"/>
      <c r="HXO4" s="4"/>
      <c r="HXP4" s="4"/>
      <c r="HXQ4" s="4"/>
      <c r="HXR4" s="4"/>
      <c r="HXS4" s="4"/>
      <c r="HXT4" s="4"/>
      <c r="HXU4" s="4"/>
      <c r="HXV4" s="4"/>
      <c r="HXW4" s="4"/>
      <c r="HXX4" s="4"/>
      <c r="HXY4" s="4"/>
      <c r="HXZ4" s="4"/>
      <c r="HYA4" s="4"/>
      <c r="HYB4" s="4"/>
      <c r="HYC4" s="4"/>
      <c r="HYD4" s="4"/>
      <c r="HYE4" s="4"/>
      <c r="HYF4" s="4"/>
      <c r="HYG4" s="4"/>
      <c r="HYH4" s="4"/>
      <c r="HYI4" s="4"/>
      <c r="HYJ4" s="4"/>
      <c r="HYK4" s="4"/>
      <c r="HYL4" s="4"/>
      <c r="HYM4" s="4"/>
      <c r="HYN4" s="4"/>
      <c r="HYO4" s="4"/>
      <c r="HYP4" s="4"/>
      <c r="HYQ4" s="4"/>
      <c r="HYR4" s="4"/>
      <c r="HYS4" s="4"/>
      <c r="HYT4" s="4"/>
      <c r="HYU4" s="4"/>
      <c r="HYV4" s="4"/>
      <c r="HYW4" s="4"/>
      <c r="HYX4" s="4"/>
      <c r="HYY4" s="4"/>
      <c r="HYZ4" s="4"/>
      <c r="HZA4" s="4"/>
      <c r="HZB4" s="4"/>
      <c r="HZC4" s="4"/>
      <c r="HZD4" s="4"/>
      <c r="HZE4" s="4"/>
      <c r="HZF4" s="4"/>
      <c r="HZG4" s="4"/>
      <c r="HZH4" s="4"/>
      <c r="HZI4" s="4"/>
      <c r="HZJ4" s="4"/>
      <c r="HZK4" s="4"/>
      <c r="HZL4" s="4"/>
      <c r="HZM4" s="4"/>
      <c r="HZN4" s="4"/>
      <c r="HZO4" s="4"/>
      <c r="HZP4" s="4"/>
      <c r="HZQ4" s="4"/>
      <c r="HZR4" s="4"/>
      <c r="HZS4" s="4"/>
      <c r="HZT4" s="4"/>
      <c r="HZU4" s="4"/>
      <c r="HZV4" s="4"/>
      <c r="HZW4" s="4"/>
      <c r="HZX4" s="4"/>
      <c r="HZY4" s="4"/>
      <c r="HZZ4" s="4"/>
      <c r="IAA4" s="4"/>
      <c r="IAB4" s="4"/>
      <c r="IAC4" s="4"/>
      <c r="IAD4" s="4"/>
      <c r="IAE4" s="4"/>
      <c r="IAF4" s="4"/>
      <c r="IAG4" s="4"/>
      <c r="IAH4" s="4"/>
      <c r="IAI4" s="4"/>
      <c r="IAJ4" s="4"/>
      <c r="IAK4" s="4"/>
      <c r="IAL4" s="4"/>
      <c r="IAM4" s="4"/>
      <c r="IAN4" s="4"/>
      <c r="IAO4" s="4"/>
      <c r="IAP4" s="4"/>
      <c r="IAQ4" s="4"/>
      <c r="IAR4" s="4"/>
      <c r="IAS4" s="4"/>
      <c r="IAT4" s="4"/>
      <c r="IAU4" s="4"/>
      <c r="IAV4" s="4"/>
      <c r="IAW4" s="4"/>
      <c r="IAX4" s="4"/>
      <c r="IAY4" s="4"/>
      <c r="IAZ4" s="4"/>
      <c r="IBA4" s="4"/>
      <c r="IBB4" s="4"/>
      <c r="IBC4" s="4"/>
      <c r="IBD4" s="4"/>
      <c r="IBE4" s="4"/>
      <c r="IBF4" s="4"/>
      <c r="IBG4" s="4"/>
      <c r="IBH4" s="4"/>
      <c r="IBI4" s="4"/>
      <c r="IBJ4" s="4"/>
      <c r="IBK4" s="4"/>
      <c r="IBL4" s="4"/>
      <c r="IBM4" s="4"/>
      <c r="IBN4" s="4"/>
      <c r="IBO4" s="4"/>
      <c r="IBP4" s="4"/>
      <c r="IBQ4" s="4"/>
      <c r="IBR4" s="4"/>
      <c r="IBS4" s="4"/>
      <c r="IBT4" s="4"/>
      <c r="IBU4" s="4"/>
      <c r="IBV4" s="4"/>
      <c r="IBW4" s="4"/>
      <c r="IBX4" s="4"/>
      <c r="IBY4" s="4"/>
      <c r="IBZ4" s="4"/>
      <c r="ICA4" s="4"/>
      <c r="ICB4" s="4"/>
      <c r="ICC4" s="4"/>
      <c r="ICD4" s="4"/>
      <c r="ICE4" s="4"/>
      <c r="ICF4" s="4"/>
      <c r="ICG4" s="4"/>
      <c r="ICH4" s="4"/>
      <c r="ICI4" s="4"/>
      <c r="ICJ4" s="4"/>
      <c r="ICK4" s="4"/>
      <c r="ICL4" s="4"/>
      <c r="ICM4" s="4"/>
      <c r="ICN4" s="4"/>
      <c r="ICO4" s="4"/>
      <c r="ICP4" s="4"/>
      <c r="ICQ4" s="4"/>
      <c r="ICR4" s="4"/>
      <c r="ICS4" s="4"/>
      <c r="ICT4" s="4"/>
      <c r="ICU4" s="4"/>
      <c r="ICV4" s="4"/>
      <c r="ICW4" s="4"/>
      <c r="ICX4" s="4"/>
      <c r="ICY4" s="4"/>
      <c r="ICZ4" s="4"/>
      <c r="IDA4" s="4"/>
      <c r="IDB4" s="4"/>
      <c r="IDC4" s="4"/>
      <c r="IDD4" s="4"/>
      <c r="IDE4" s="4"/>
      <c r="IDF4" s="4"/>
      <c r="IDG4" s="4"/>
      <c r="IDH4" s="4"/>
      <c r="IDI4" s="4"/>
      <c r="IDJ4" s="4"/>
      <c r="IDK4" s="4"/>
      <c r="IDL4" s="4"/>
      <c r="IDM4" s="4"/>
      <c r="IDN4" s="4"/>
      <c r="IDO4" s="4"/>
      <c r="IDP4" s="4"/>
      <c r="IDQ4" s="4"/>
      <c r="IDR4" s="4"/>
      <c r="IDS4" s="4"/>
      <c r="IDT4" s="4"/>
      <c r="IDU4" s="4"/>
      <c r="IDV4" s="4"/>
      <c r="IDW4" s="4"/>
      <c r="IDX4" s="4"/>
      <c r="IDY4" s="4"/>
      <c r="IDZ4" s="4"/>
      <c r="IEA4" s="4"/>
      <c r="IEB4" s="4"/>
      <c r="IEC4" s="4"/>
      <c r="IED4" s="4"/>
      <c r="IEE4" s="4"/>
      <c r="IEF4" s="4"/>
      <c r="IEG4" s="4"/>
      <c r="IEH4" s="4"/>
      <c r="IEI4" s="4"/>
      <c r="IEJ4" s="4"/>
      <c r="IEK4" s="4"/>
      <c r="IEL4" s="4"/>
      <c r="IEM4" s="4"/>
      <c r="IEN4" s="4"/>
      <c r="IEO4" s="4"/>
      <c r="IEP4" s="4"/>
      <c r="IEQ4" s="4"/>
      <c r="IER4" s="4"/>
      <c r="IES4" s="4"/>
      <c r="IET4" s="4"/>
      <c r="IEU4" s="4"/>
      <c r="IEV4" s="4"/>
      <c r="IEW4" s="4"/>
      <c r="IEX4" s="4"/>
      <c r="IEY4" s="4"/>
      <c r="IEZ4" s="4"/>
      <c r="IFA4" s="4"/>
      <c r="IFB4" s="4"/>
      <c r="IFC4" s="4"/>
      <c r="IFD4" s="4"/>
      <c r="IFE4" s="4"/>
      <c r="IFF4" s="4"/>
      <c r="IFG4" s="4"/>
      <c r="IFH4" s="4"/>
      <c r="IFI4" s="4"/>
      <c r="IFJ4" s="4"/>
      <c r="IFK4" s="4"/>
      <c r="IFL4" s="4"/>
      <c r="IFM4" s="4"/>
      <c r="IFN4" s="4"/>
      <c r="IFO4" s="4"/>
      <c r="IFP4" s="4"/>
      <c r="IFQ4" s="4"/>
      <c r="IFR4" s="4"/>
      <c r="IFS4" s="4"/>
      <c r="IFT4" s="4"/>
      <c r="IFU4" s="4"/>
      <c r="IFV4" s="4"/>
      <c r="IFW4" s="4"/>
      <c r="IFX4" s="4"/>
      <c r="IFY4" s="4"/>
      <c r="IFZ4" s="4"/>
      <c r="IGA4" s="4"/>
      <c r="IGB4" s="4"/>
      <c r="IGC4" s="4"/>
      <c r="IGD4" s="4"/>
      <c r="IGE4" s="4"/>
      <c r="IGF4" s="4"/>
      <c r="IGG4" s="4"/>
      <c r="IGH4" s="4"/>
      <c r="IGI4" s="4"/>
      <c r="IGJ4" s="4"/>
      <c r="IGK4" s="4"/>
      <c r="IGL4" s="4"/>
      <c r="IGM4" s="4"/>
      <c r="IGN4" s="4"/>
      <c r="IGO4" s="4"/>
      <c r="IGP4" s="4"/>
      <c r="IGQ4" s="4"/>
      <c r="IGR4" s="4"/>
      <c r="IGS4" s="4"/>
      <c r="IGT4" s="4"/>
      <c r="IGU4" s="4"/>
      <c r="IGV4" s="4"/>
      <c r="IGW4" s="4"/>
      <c r="IGX4" s="4"/>
      <c r="IGY4" s="4"/>
      <c r="IGZ4" s="4"/>
      <c r="IHA4" s="4"/>
      <c r="IHB4" s="4"/>
      <c r="IHC4" s="4"/>
      <c r="IHD4" s="4"/>
      <c r="IHE4" s="4"/>
      <c r="IHF4" s="4"/>
      <c r="IHG4" s="4"/>
      <c r="IHH4" s="4"/>
      <c r="IHI4" s="4"/>
      <c r="IHJ4" s="4"/>
      <c r="IHK4" s="4"/>
      <c r="IHL4" s="4"/>
      <c r="IHM4" s="4"/>
      <c r="IHN4" s="4"/>
      <c r="IHO4" s="4"/>
      <c r="IHP4" s="4"/>
      <c r="IHQ4" s="4"/>
      <c r="IHR4" s="4"/>
      <c r="IHS4" s="4"/>
      <c r="IHT4" s="4"/>
      <c r="IHU4" s="4"/>
      <c r="IHV4" s="4"/>
      <c r="IHW4" s="4"/>
      <c r="IHX4" s="4"/>
      <c r="IHY4" s="4"/>
      <c r="IHZ4" s="4"/>
      <c r="IIA4" s="4"/>
      <c r="IIB4" s="4"/>
      <c r="IIC4" s="4"/>
      <c r="IID4" s="4"/>
      <c r="IIE4" s="4"/>
      <c r="IIF4" s="4"/>
      <c r="IIG4" s="4"/>
      <c r="IIH4" s="4"/>
      <c r="III4" s="4"/>
      <c r="IIJ4" s="4"/>
      <c r="IIK4" s="4"/>
      <c r="IIL4" s="4"/>
      <c r="IIM4" s="4"/>
      <c r="IIN4" s="4"/>
      <c r="IIO4" s="4"/>
      <c r="IIP4" s="4"/>
      <c r="IIQ4" s="4"/>
      <c r="IIR4" s="4"/>
      <c r="IIS4" s="4"/>
      <c r="IIT4" s="4"/>
      <c r="IIU4" s="4"/>
      <c r="IIV4" s="4"/>
      <c r="IIW4" s="4"/>
      <c r="IIX4" s="4"/>
      <c r="IIY4" s="4"/>
      <c r="IIZ4" s="4"/>
      <c r="IJA4" s="4"/>
      <c r="IJB4" s="4"/>
      <c r="IJC4" s="4"/>
      <c r="IJD4" s="4"/>
      <c r="IJE4" s="4"/>
      <c r="IJF4" s="4"/>
      <c r="IJG4" s="4"/>
      <c r="IJH4" s="4"/>
      <c r="IJI4" s="4"/>
      <c r="IJJ4" s="4"/>
      <c r="IJK4" s="4"/>
      <c r="IJL4" s="4"/>
      <c r="IJM4" s="4"/>
      <c r="IJN4" s="4"/>
      <c r="IJO4" s="4"/>
      <c r="IJP4" s="4"/>
      <c r="IJQ4" s="4"/>
      <c r="IJR4" s="4"/>
      <c r="IJS4" s="4"/>
      <c r="IJT4" s="4"/>
      <c r="IJU4" s="4"/>
      <c r="IJV4" s="4"/>
      <c r="IJW4" s="4"/>
      <c r="IJX4" s="4"/>
      <c r="IJY4" s="4"/>
      <c r="IJZ4" s="4"/>
      <c r="IKA4" s="4"/>
      <c r="IKB4" s="4"/>
      <c r="IKC4" s="4"/>
      <c r="IKD4" s="4"/>
      <c r="IKE4" s="4"/>
      <c r="IKF4" s="4"/>
      <c r="IKG4" s="4"/>
      <c r="IKH4" s="4"/>
      <c r="IKI4" s="4"/>
      <c r="IKJ4" s="4"/>
      <c r="IKK4" s="4"/>
      <c r="IKL4" s="4"/>
      <c r="IKM4" s="4"/>
      <c r="IKN4" s="4"/>
      <c r="IKO4" s="4"/>
      <c r="IKP4" s="4"/>
      <c r="IKQ4" s="4"/>
      <c r="IKR4" s="4"/>
      <c r="IKS4" s="4"/>
      <c r="IKT4" s="4"/>
      <c r="IKU4" s="4"/>
      <c r="IKV4" s="4"/>
      <c r="IKW4" s="4"/>
      <c r="IKX4" s="4"/>
      <c r="IKY4" s="4"/>
      <c r="IKZ4" s="4"/>
      <c r="ILA4" s="4"/>
      <c r="ILB4" s="4"/>
      <c r="ILC4" s="4"/>
      <c r="ILD4" s="4"/>
      <c r="ILE4" s="4"/>
      <c r="ILF4" s="4"/>
      <c r="ILG4" s="4"/>
      <c r="ILH4" s="4"/>
      <c r="ILI4" s="4"/>
      <c r="ILJ4" s="4"/>
      <c r="ILK4" s="4"/>
      <c r="ILL4" s="4"/>
      <c r="ILM4" s="4"/>
      <c r="ILN4" s="4"/>
      <c r="ILO4" s="4"/>
      <c r="ILP4" s="4"/>
      <c r="ILQ4" s="4"/>
      <c r="ILR4" s="4"/>
      <c r="ILS4" s="4"/>
      <c r="ILT4" s="4"/>
      <c r="ILU4" s="4"/>
      <c r="ILV4" s="4"/>
      <c r="ILW4" s="4"/>
      <c r="ILX4" s="4"/>
      <c r="ILY4" s="4"/>
      <c r="ILZ4" s="4"/>
      <c r="IMA4" s="4"/>
      <c r="IMB4" s="4"/>
      <c r="IMC4" s="4"/>
      <c r="IMD4" s="4"/>
      <c r="IME4" s="4"/>
      <c r="IMF4" s="4"/>
      <c r="IMG4" s="4"/>
      <c r="IMH4" s="4"/>
      <c r="IMI4" s="4"/>
      <c r="IMJ4" s="4"/>
      <c r="IMK4" s="4"/>
      <c r="IML4" s="4"/>
      <c r="IMM4" s="4"/>
      <c r="IMN4" s="4"/>
      <c r="IMO4" s="4"/>
      <c r="IMP4" s="4"/>
      <c r="IMQ4" s="4"/>
      <c r="IMR4" s="4"/>
      <c r="IMS4" s="4"/>
      <c r="IMT4" s="4"/>
      <c r="IMU4" s="4"/>
      <c r="IMV4" s="4"/>
      <c r="IMW4" s="4"/>
      <c r="IMX4" s="4"/>
      <c r="IMY4" s="4"/>
      <c r="IMZ4" s="4"/>
      <c r="INA4" s="4"/>
      <c r="INB4" s="4"/>
      <c r="INC4" s="4"/>
      <c r="IND4" s="4"/>
      <c r="INE4" s="4"/>
      <c r="INF4" s="4"/>
      <c r="ING4" s="4"/>
      <c r="INH4" s="4"/>
      <c r="INI4" s="4"/>
      <c r="INJ4" s="4"/>
      <c r="INK4" s="4"/>
      <c r="INL4" s="4"/>
      <c r="INM4" s="4"/>
      <c r="INN4" s="4"/>
      <c r="INO4" s="4"/>
      <c r="INP4" s="4"/>
      <c r="INQ4" s="4"/>
      <c r="INR4" s="4"/>
      <c r="INS4" s="4"/>
      <c r="INT4" s="4"/>
      <c r="INU4" s="4"/>
      <c r="INV4" s="4"/>
      <c r="INW4" s="4"/>
      <c r="INX4" s="4"/>
      <c r="INY4" s="4"/>
      <c r="INZ4" s="4"/>
      <c r="IOA4" s="4"/>
      <c r="IOB4" s="4"/>
      <c r="IOC4" s="4"/>
      <c r="IOD4" s="4"/>
      <c r="IOE4" s="4"/>
      <c r="IOF4" s="4"/>
      <c r="IOG4" s="4"/>
      <c r="IOH4" s="4"/>
      <c r="IOI4" s="4"/>
      <c r="IOJ4" s="4"/>
      <c r="IOK4" s="4"/>
      <c r="IOL4" s="4"/>
      <c r="IOM4" s="4"/>
      <c r="ION4" s="4"/>
      <c r="IOO4" s="4"/>
      <c r="IOP4" s="4"/>
      <c r="IOQ4" s="4"/>
      <c r="IOR4" s="4"/>
      <c r="IOS4" s="4"/>
      <c r="IOT4" s="4"/>
      <c r="IOU4" s="4"/>
      <c r="IOV4" s="4"/>
      <c r="IOW4" s="4"/>
      <c r="IOX4" s="4"/>
      <c r="IOY4" s="4"/>
      <c r="IOZ4" s="4"/>
      <c r="IPA4" s="4"/>
      <c r="IPB4" s="4"/>
      <c r="IPC4" s="4"/>
      <c r="IPD4" s="4"/>
      <c r="IPE4" s="4"/>
      <c r="IPF4" s="4"/>
      <c r="IPG4" s="4"/>
      <c r="IPH4" s="4"/>
      <c r="IPI4" s="4"/>
      <c r="IPJ4" s="4"/>
      <c r="IPK4" s="4"/>
      <c r="IPL4" s="4"/>
      <c r="IPM4" s="4"/>
      <c r="IPN4" s="4"/>
      <c r="IPO4" s="4"/>
      <c r="IPP4" s="4"/>
      <c r="IPQ4" s="4"/>
      <c r="IPR4" s="4"/>
      <c r="IPS4" s="4"/>
      <c r="IPT4" s="4"/>
      <c r="IPU4" s="4"/>
      <c r="IPV4" s="4"/>
      <c r="IPW4" s="4"/>
      <c r="IPX4" s="4"/>
      <c r="IPY4" s="4"/>
      <c r="IPZ4" s="4"/>
      <c r="IQA4" s="4"/>
      <c r="IQB4" s="4"/>
      <c r="IQC4" s="4"/>
      <c r="IQD4" s="4"/>
      <c r="IQE4" s="4"/>
      <c r="IQF4" s="4"/>
      <c r="IQG4" s="4"/>
      <c r="IQH4" s="4"/>
      <c r="IQI4" s="4"/>
      <c r="IQJ4" s="4"/>
      <c r="IQK4" s="4"/>
      <c r="IQL4" s="4"/>
      <c r="IQM4" s="4"/>
      <c r="IQN4" s="4"/>
      <c r="IQO4" s="4"/>
      <c r="IQP4" s="4"/>
      <c r="IQQ4" s="4"/>
      <c r="IQR4" s="4"/>
      <c r="IQS4" s="4"/>
      <c r="IQT4" s="4"/>
      <c r="IQU4" s="4"/>
      <c r="IQV4" s="4"/>
      <c r="IQW4" s="4"/>
      <c r="IQX4" s="4"/>
      <c r="IQY4" s="4"/>
      <c r="IQZ4" s="4"/>
      <c r="IRA4" s="4"/>
      <c r="IRB4" s="4"/>
      <c r="IRC4" s="4"/>
      <c r="IRD4" s="4"/>
      <c r="IRE4" s="4"/>
      <c r="IRF4" s="4"/>
      <c r="IRG4" s="4"/>
      <c r="IRH4" s="4"/>
      <c r="IRI4" s="4"/>
      <c r="IRJ4" s="4"/>
      <c r="IRK4" s="4"/>
      <c r="IRL4" s="4"/>
      <c r="IRM4" s="4"/>
      <c r="IRN4" s="4"/>
      <c r="IRO4" s="4"/>
      <c r="IRP4" s="4"/>
      <c r="IRQ4" s="4"/>
      <c r="IRR4" s="4"/>
      <c r="IRS4" s="4"/>
      <c r="IRT4" s="4"/>
      <c r="IRU4" s="4"/>
      <c r="IRV4" s="4"/>
      <c r="IRW4" s="4"/>
      <c r="IRX4" s="4"/>
      <c r="IRY4" s="4"/>
      <c r="IRZ4" s="4"/>
      <c r="ISA4" s="4"/>
      <c r="ISB4" s="4"/>
      <c r="ISC4" s="4"/>
      <c r="ISD4" s="4"/>
      <c r="ISE4" s="4"/>
      <c r="ISF4" s="4"/>
      <c r="ISG4" s="4"/>
      <c r="ISH4" s="4"/>
      <c r="ISI4" s="4"/>
      <c r="ISJ4" s="4"/>
      <c r="ISK4" s="4"/>
      <c r="ISL4" s="4"/>
      <c r="ISM4" s="4"/>
      <c r="ISN4" s="4"/>
      <c r="ISO4" s="4"/>
      <c r="ISP4" s="4"/>
      <c r="ISQ4" s="4"/>
      <c r="ISR4" s="4"/>
      <c r="ISS4" s="4"/>
      <c r="IST4" s="4"/>
      <c r="ISU4" s="4"/>
      <c r="ISV4" s="4"/>
      <c r="ISW4" s="4"/>
      <c r="ISX4" s="4"/>
      <c r="ISY4" s="4"/>
      <c r="ISZ4" s="4"/>
      <c r="ITA4" s="4"/>
      <c r="ITB4" s="4"/>
      <c r="ITC4" s="4"/>
      <c r="ITD4" s="4"/>
      <c r="ITE4" s="4"/>
      <c r="ITF4" s="4"/>
      <c r="ITG4" s="4"/>
      <c r="ITH4" s="4"/>
      <c r="ITI4" s="4"/>
      <c r="ITJ4" s="4"/>
      <c r="ITK4" s="4"/>
      <c r="ITL4" s="4"/>
      <c r="ITM4" s="4"/>
      <c r="ITN4" s="4"/>
      <c r="ITO4" s="4"/>
      <c r="ITP4" s="4"/>
      <c r="ITQ4" s="4"/>
      <c r="ITR4" s="4"/>
      <c r="ITS4" s="4"/>
      <c r="ITT4" s="4"/>
      <c r="ITU4" s="4"/>
      <c r="ITV4" s="4"/>
      <c r="ITW4" s="4"/>
      <c r="ITX4" s="4"/>
      <c r="ITY4" s="4"/>
      <c r="ITZ4" s="4"/>
      <c r="IUA4" s="4"/>
      <c r="IUB4" s="4"/>
      <c r="IUC4" s="4"/>
      <c r="IUD4" s="4"/>
      <c r="IUE4" s="4"/>
      <c r="IUF4" s="4"/>
      <c r="IUG4" s="4"/>
      <c r="IUH4" s="4"/>
      <c r="IUI4" s="4"/>
      <c r="IUJ4" s="4"/>
      <c r="IUK4" s="4"/>
      <c r="IUL4" s="4"/>
      <c r="IUM4" s="4"/>
      <c r="IUN4" s="4"/>
      <c r="IUO4" s="4"/>
      <c r="IUP4" s="4"/>
      <c r="IUQ4" s="4"/>
      <c r="IUR4" s="4"/>
      <c r="IUS4" s="4"/>
      <c r="IUT4" s="4"/>
      <c r="IUU4" s="4"/>
      <c r="IUV4" s="4"/>
      <c r="IUW4" s="4"/>
      <c r="IUX4" s="4"/>
      <c r="IUY4" s="4"/>
      <c r="IUZ4" s="4"/>
      <c r="IVA4" s="4"/>
      <c r="IVB4" s="4"/>
      <c r="IVC4" s="4"/>
      <c r="IVD4" s="4"/>
      <c r="IVE4" s="4"/>
      <c r="IVF4" s="4"/>
      <c r="IVG4" s="4"/>
      <c r="IVH4" s="4"/>
      <c r="IVI4" s="4"/>
      <c r="IVJ4" s="4"/>
      <c r="IVK4" s="4"/>
      <c r="IVL4" s="4"/>
      <c r="IVM4" s="4"/>
      <c r="IVN4" s="4"/>
      <c r="IVO4" s="4"/>
      <c r="IVP4" s="4"/>
      <c r="IVQ4" s="4"/>
      <c r="IVR4" s="4"/>
      <c r="IVS4" s="4"/>
      <c r="IVT4" s="4"/>
      <c r="IVU4" s="4"/>
      <c r="IVV4" s="4"/>
      <c r="IVW4" s="4"/>
      <c r="IVX4" s="4"/>
      <c r="IVY4" s="4"/>
      <c r="IVZ4" s="4"/>
      <c r="IWA4" s="4"/>
      <c r="IWB4" s="4"/>
      <c r="IWC4" s="4"/>
      <c r="IWD4" s="4"/>
      <c r="IWE4" s="4"/>
      <c r="IWF4" s="4"/>
      <c r="IWG4" s="4"/>
      <c r="IWH4" s="4"/>
      <c r="IWI4" s="4"/>
      <c r="IWJ4" s="4"/>
      <c r="IWK4" s="4"/>
      <c r="IWL4" s="4"/>
      <c r="IWM4" s="4"/>
      <c r="IWN4" s="4"/>
      <c r="IWO4" s="4"/>
      <c r="IWP4" s="4"/>
      <c r="IWQ4" s="4"/>
      <c r="IWR4" s="4"/>
      <c r="IWS4" s="4"/>
      <c r="IWT4" s="4"/>
      <c r="IWU4" s="4"/>
      <c r="IWV4" s="4"/>
      <c r="IWW4" s="4"/>
      <c r="IWX4" s="4"/>
      <c r="IWY4" s="4"/>
      <c r="IWZ4" s="4"/>
      <c r="IXA4" s="4"/>
      <c r="IXB4" s="4"/>
      <c r="IXC4" s="4"/>
      <c r="IXD4" s="4"/>
      <c r="IXE4" s="4"/>
      <c r="IXF4" s="4"/>
      <c r="IXG4" s="4"/>
      <c r="IXH4" s="4"/>
      <c r="IXI4" s="4"/>
      <c r="IXJ4" s="4"/>
      <c r="IXK4" s="4"/>
      <c r="IXL4" s="4"/>
      <c r="IXM4" s="4"/>
      <c r="IXN4" s="4"/>
      <c r="IXO4" s="4"/>
      <c r="IXP4" s="4"/>
      <c r="IXQ4" s="4"/>
      <c r="IXR4" s="4"/>
      <c r="IXS4" s="4"/>
      <c r="IXT4" s="4"/>
      <c r="IXU4" s="4"/>
      <c r="IXV4" s="4"/>
      <c r="IXW4" s="4"/>
      <c r="IXX4" s="4"/>
      <c r="IXY4" s="4"/>
      <c r="IXZ4" s="4"/>
      <c r="IYA4" s="4"/>
      <c r="IYB4" s="4"/>
      <c r="IYC4" s="4"/>
      <c r="IYD4" s="4"/>
      <c r="IYE4" s="4"/>
      <c r="IYF4" s="4"/>
      <c r="IYG4" s="4"/>
      <c r="IYH4" s="4"/>
      <c r="IYI4" s="4"/>
      <c r="IYJ4" s="4"/>
      <c r="IYK4" s="4"/>
      <c r="IYL4" s="4"/>
      <c r="IYM4" s="4"/>
      <c r="IYN4" s="4"/>
      <c r="IYO4" s="4"/>
      <c r="IYP4" s="4"/>
      <c r="IYQ4" s="4"/>
      <c r="IYR4" s="4"/>
      <c r="IYS4" s="4"/>
      <c r="IYT4" s="4"/>
      <c r="IYU4" s="4"/>
      <c r="IYV4" s="4"/>
      <c r="IYW4" s="4"/>
      <c r="IYX4" s="4"/>
      <c r="IYY4" s="4"/>
      <c r="IYZ4" s="4"/>
      <c r="IZA4" s="4"/>
      <c r="IZB4" s="4"/>
      <c r="IZC4" s="4"/>
      <c r="IZD4" s="4"/>
      <c r="IZE4" s="4"/>
      <c r="IZF4" s="4"/>
      <c r="IZG4" s="4"/>
      <c r="IZH4" s="4"/>
      <c r="IZI4" s="4"/>
      <c r="IZJ4" s="4"/>
      <c r="IZK4" s="4"/>
      <c r="IZL4" s="4"/>
      <c r="IZM4" s="4"/>
      <c r="IZN4" s="4"/>
      <c r="IZO4" s="4"/>
      <c r="IZP4" s="4"/>
      <c r="IZQ4" s="4"/>
      <c r="IZR4" s="4"/>
      <c r="IZS4" s="4"/>
      <c r="IZT4" s="4"/>
      <c r="IZU4" s="4"/>
      <c r="IZV4" s="4"/>
      <c r="IZW4" s="4"/>
      <c r="IZX4" s="4"/>
      <c r="IZY4" s="4"/>
      <c r="IZZ4" s="4"/>
      <c r="JAA4" s="4"/>
      <c r="JAB4" s="4"/>
      <c r="JAC4" s="4"/>
      <c r="JAD4" s="4"/>
      <c r="JAE4" s="4"/>
      <c r="JAF4" s="4"/>
      <c r="JAG4" s="4"/>
      <c r="JAH4" s="4"/>
      <c r="JAI4" s="4"/>
      <c r="JAJ4" s="4"/>
      <c r="JAK4" s="4"/>
      <c r="JAL4" s="4"/>
      <c r="JAM4" s="4"/>
      <c r="JAN4" s="4"/>
      <c r="JAO4" s="4"/>
      <c r="JAP4" s="4"/>
      <c r="JAQ4" s="4"/>
      <c r="JAR4" s="4"/>
      <c r="JAS4" s="4"/>
      <c r="JAT4" s="4"/>
      <c r="JAU4" s="4"/>
      <c r="JAV4" s="4"/>
      <c r="JAW4" s="4"/>
      <c r="JAX4" s="4"/>
      <c r="JAY4" s="4"/>
      <c r="JAZ4" s="4"/>
      <c r="JBA4" s="4"/>
      <c r="JBB4" s="4"/>
      <c r="JBC4" s="4"/>
      <c r="JBD4" s="4"/>
      <c r="JBE4" s="4"/>
      <c r="JBF4" s="4"/>
      <c r="JBG4" s="4"/>
      <c r="JBH4" s="4"/>
      <c r="JBI4" s="4"/>
      <c r="JBJ4" s="4"/>
      <c r="JBK4" s="4"/>
      <c r="JBL4" s="4"/>
      <c r="JBM4" s="4"/>
      <c r="JBN4" s="4"/>
      <c r="JBO4" s="4"/>
      <c r="JBP4" s="4"/>
      <c r="JBQ4" s="4"/>
      <c r="JBR4" s="4"/>
      <c r="JBS4" s="4"/>
      <c r="JBT4" s="4"/>
      <c r="JBU4" s="4"/>
      <c r="JBV4" s="4"/>
      <c r="JBW4" s="4"/>
      <c r="JBX4" s="4"/>
      <c r="JBY4" s="4"/>
      <c r="JBZ4" s="4"/>
      <c r="JCA4" s="4"/>
      <c r="JCB4" s="4"/>
      <c r="JCC4" s="4"/>
      <c r="JCD4" s="4"/>
      <c r="JCE4" s="4"/>
      <c r="JCF4" s="4"/>
      <c r="JCG4" s="4"/>
      <c r="JCH4" s="4"/>
      <c r="JCI4" s="4"/>
      <c r="JCJ4" s="4"/>
      <c r="JCK4" s="4"/>
      <c r="JCL4" s="4"/>
      <c r="JCM4" s="4"/>
      <c r="JCN4" s="4"/>
      <c r="JCO4" s="4"/>
      <c r="JCP4" s="4"/>
      <c r="JCQ4" s="4"/>
      <c r="JCR4" s="4"/>
      <c r="JCS4" s="4"/>
      <c r="JCT4" s="4"/>
      <c r="JCU4" s="4"/>
      <c r="JCV4" s="4"/>
      <c r="JCW4" s="4"/>
      <c r="JCX4" s="4"/>
      <c r="JCY4" s="4"/>
      <c r="JCZ4" s="4"/>
      <c r="JDA4" s="4"/>
      <c r="JDB4" s="4"/>
      <c r="JDC4" s="4"/>
      <c r="JDD4" s="4"/>
      <c r="JDE4" s="4"/>
      <c r="JDF4" s="4"/>
      <c r="JDG4" s="4"/>
      <c r="JDH4" s="4"/>
      <c r="JDI4" s="4"/>
      <c r="JDJ4" s="4"/>
      <c r="JDK4" s="4"/>
      <c r="JDL4" s="4"/>
      <c r="JDM4" s="4"/>
      <c r="JDN4" s="4"/>
      <c r="JDO4" s="4"/>
      <c r="JDP4" s="4"/>
      <c r="JDQ4" s="4"/>
      <c r="JDR4" s="4"/>
      <c r="JDS4" s="4"/>
      <c r="JDT4" s="4"/>
      <c r="JDU4" s="4"/>
      <c r="JDV4" s="4"/>
      <c r="JDW4" s="4"/>
      <c r="JDX4" s="4"/>
      <c r="JDY4" s="4"/>
      <c r="JDZ4" s="4"/>
      <c r="JEA4" s="4"/>
      <c r="JEB4" s="4"/>
      <c r="JEC4" s="4"/>
      <c r="JED4" s="4"/>
      <c r="JEE4" s="4"/>
      <c r="JEF4" s="4"/>
      <c r="JEG4" s="4"/>
      <c r="JEH4" s="4"/>
      <c r="JEI4" s="4"/>
      <c r="JEJ4" s="4"/>
      <c r="JEK4" s="4"/>
      <c r="JEL4" s="4"/>
      <c r="JEM4" s="4"/>
      <c r="JEN4" s="4"/>
      <c r="JEO4" s="4"/>
      <c r="JEP4" s="4"/>
      <c r="JEQ4" s="4"/>
      <c r="JER4" s="4"/>
      <c r="JES4" s="4"/>
      <c r="JET4" s="4"/>
      <c r="JEU4" s="4"/>
      <c r="JEV4" s="4"/>
      <c r="JEW4" s="4"/>
      <c r="JEX4" s="4"/>
      <c r="JEY4" s="4"/>
      <c r="JEZ4" s="4"/>
      <c r="JFA4" s="4"/>
      <c r="JFB4" s="4"/>
      <c r="JFC4" s="4"/>
      <c r="JFD4" s="4"/>
      <c r="JFE4" s="4"/>
      <c r="JFF4" s="4"/>
      <c r="JFG4" s="4"/>
      <c r="JFH4" s="4"/>
      <c r="JFI4" s="4"/>
      <c r="JFJ4" s="4"/>
      <c r="JFK4" s="4"/>
      <c r="JFL4" s="4"/>
      <c r="JFM4" s="4"/>
      <c r="JFN4" s="4"/>
      <c r="JFO4" s="4"/>
      <c r="JFP4" s="4"/>
      <c r="JFQ4" s="4"/>
      <c r="JFR4" s="4"/>
      <c r="JFS4" s="4"/>
      <c r="JFT4" s="4"/>
      <c r="JFU4" s="4"/>
      <c r="JFV4" s="4"/>
      <c r="JFW4" s="4"/>
      <c r="JFX4" s="4"/>
      <c r="JFY4" s="4"/>
      <c r="JFZ4" s="4"/>
      <c r="JGA4" s="4"/>
      <c r="JGB4" s="4"/>
      <c r="JGC4" s="4"/>
      <c r="JGD4" s="4"/>
      <c r="JGE4" s="4"/>
      <c r="JGF4" s="4"/>
      <c r="JGG4" s="4"/>
      <c r="JGH4" s="4"/>
      <c r="JGI4" s="4"/>
      <c r="JGJ4" s="4"/>
      <c r="JGK4" s="4"/>
      <c r="JGL4" s="4"/>
      <c r="JGM4" s="4"/>
      <c r="JGN4" s="4"/>
      <c r="JGO4" s="4"/>
      <c r="JGP4" s="4"/>
      <c r="JGQ4" s="4"/>
      <c r="JGR4" s="4"/>
      <c r="JGS4" s="4"/>
      <c r="JGT4" s="4"/>
      <c r="JGU4" s="4"/>
      <c r="JGV4" s="4"/>
      <c r="JGW4" s="4"/>
      <c r="JGX4" s="4"/>
      <c r="JGY4" s="4"/>
      <c r="JGZ4" s="4"/>
      <c r="JHA4" s="4"/>
      <c r="JHB4" s="4"/>
      <c r="JHC4" s="4"/>
      <c r="JHD4" s="4"/>
      <c r="JHE4" s="4"/>
      <c r="JHF4" s="4"/>
      <c r="JHG4" s="4"/>
      <c r="JHH4" s="4"/>
      <c r="JHI4" s="4"/>
      <c r="JHJ4" s="4"/>
      <c r="JHK4" s="4"/>
      <c r="JHL4" s="4"/>
      <c r="JHM4" s="4"/>
      <c r="JHN4" s="4"/>
      <c r="JHO4" s="4"/>
      <c r="JHP4" s="4"/>
      <c r="JHQ4" s="4"/>
      <c r="JHR4" s="4"/>
      <c r="JHS4" s="4"/>
      <c r="JHT4" s="4"/>
      <c r="JHU4" s="4"/>
      <c r="JHV4" s="4"/>
      <c r="JHW4" s="4"/>
      <c r="JHX4" s="4"/>
      <c r="JHY4" s="4"/>
      <c r="JHZ4" s="4"/>
      <c r="JIA4" s="4"/>
      <c r="JIB4" s="4"/>
      <c r="JIC4" s="4"/>
      <c r="JID4" s="4"/>
      <c r="JIE4" s="4"/>
      <c r="JIF4" s="4"/>
      <c r="JIG4" s="4"/>
      <c r="JIH4" s="4"/>
      <c r="JII4" s="4"/>
      <c r="JIJ4" s="4"/>
      <c r="JIK4" s="4"/>
      <c r="JIL4" s="4"/>
      <c r="JIM4" s="4"/>
      <c r="JIN4" s="4"/>
      <c r="JIO4" s="4"/>
      <c r="JIP4" s="4"/>
      <c r="JIQ4" s="4"/>
      <c r="JIR4" s="4"/>
      <c r="JIS4" s="4"/>
      <c r="JIT4" s="4"/>
      <c r="JIU4" s="4"/>
      <c r="JIV4" s="4"/>
      <c r="JIW4" s="4"/>
      <c r="JIX4" s="4"/>
      <c r="JIY4" s="4"/>
      <c r="JIZ4" s="4"/>
      <c r="JJA4" s="4"/>
      <c r="JJB4" s="4"/>
      <c r="JJC4" s="4"/>
      <c r="JJD4" s="4"/>
      <c r="JJE4" s="4"/>
      <c r="JJF4" s="4"/>
      <c r="JJG4" s="4"/>
      <c r="JJH4" s="4"/>
      <c r="JJI4" s="4"/>
      <c r="JJJ4" s="4"/>
      <c r="JJK4" s="4"/>
      <c r="JJL4" s="4"/>
      <c r="JJM4" s="4"/>
      <c r="JJN4" s="4"/>
      <c r="JJO4" s="4"/>
      <c r="JJP4" s="4"/>
      <c r="JJQ4" s="4"/>
      <c r="JJR4" s="4"/>
      <c r="JJS4" s="4"/>
      <c r="JJT4" s="4"/>
      <c r="JJU4" s="4"/>
      <c r="JJV4" s="4"/>
      <c r="JJW4" s="4"/>
      <c r="JJX4" s="4"/>
      <c r="JJY4" s="4"/>
      <c r="JJZ4" s="4"/>
      <c r="JKA4" s="4"/>
      <c r="JKB4" s="4"/>
      <c r="JKC4" s="4"/>
      <c r="JKD4" s="4"/>
      <c r="JKE4" s="4"/>
      <c r="JKF4" s="4"/>
      <c r="JKG4" s="4"/>
      <c r="JKH4" s="4"/>
      <c r="JKI4" s="4"/>
      <c r="JKJ4" s="4"/>
      <c r="JKK4" s="4"/>
      <c r="JKL4" s="4"/>
      <c r="JKM4" s="4"/>
      <c r="JKN4" s="4"/>
      <c r="JKO4" s="4"/>
      <c r="JKP4" s="4"/>
      <c r="JKQ4" s="4"/>
      <c r="JKR4" s="4"/>
      <c r="JKS4" s="4"/>
      <c r="JKT4" s="4"/>
      <c r="JKU4" s="4"/>
      <c r="JKV4" s="4"/>
      <c r="JKW4" s="4"/>
      <c r="JKX4" s="4"/>
      <c r="JKY4" s="4"/>
      <c r="JKZ4" s="4"/>
      <c r="JLA4" s="4"/>
      <c r="JLB4" s="4"/>
      <c r="JLC4" s="4"/>
      <c r="JLD4" s="4"/>
      <c r="JLE4" s="4"/>
      <c r="JLF4" s="4"/>
      <c r="JLG4" s="4"/>
      <c r="JLH4" s="4"/>
      <c r="JLI4" s="4"/>
      <c r="JLJ4" s="4"/>
      <c r="JLK4" s="4"/>
      <c r="JLL4" s="4"/>
      <c r="JLM4" s="4"/>
      <c r="JLN4" s="4"/>
      <c r="JLO4" s="4"/>
      <c r="JLP4" s="4"/>
      <c r="JLQ4" s="4"/>
      <c r="JLR4" s="4"/>
      <c r="JLS4" s="4"/>
      <c r="JLT4" s="4"/>
      <c r="JLU4" s="4"/>
      <c r="JLV4" s="4"/>
      <c r="JLW4" s="4"/>
      <c r="JLX4" s="4"/>
      <c r="JLY4" s="4"/>
      <c r="JLZ4" s="4"/>
      <c r="JMA4" s="4"/>
      <c r="JMB4" s="4"/>
      <c r="JMC4" s="4"/>
      <c r="JMD4" s="4"/>
      <c r="JME4" s="4"/>
      <c r="JMF4" s="4"/>
      <c r="JMG4" s="4"/>
      <c r="JMH4" s="4"/>
      <c r="JMI4" s="4"/>
      <c r="JMJ4" s="4"/>
      <c r="JMK4" s="4"/>
      <c r="JML4" s="4"/>
      <c r="JMM4" s="4"/>
      <c r="JMN4" s="4"/>
      <c r="JMO4" s="4"/>
      <c r="JMP4" s="4"/>
      <c r="JMQ4" s="4"/>
      <c r="JMR4" s="4"/>
      <c r="JMS4" s="4"/>
      <c r="JMT4" s="4"/>
      <c r="JMU4" s="4"/>
      <c r="JMV4" s="4"/>
      <c r="JMW4" s="4"/>
      <c r="JMX4" s="4"/>
      <c r="JMY4" s="4"/>
      <c r="JMZ4" s="4"/>
      <c r="JNA4" s="4"/>
      <c r="JNB4" s="4"/>
      <c r="JNC4" s="4"/>
      <c r="JND4" s="4"/>
      <c r="JNE4" s="4"/>
      <c r="JNF4" s="4"/>
      <c r="JNG4" s="4"/>
      <c r="JNH4" s="4"/>
      <c r="JNI4" s="4"/>
      <c r="JNJ4" s="4"/>
      <c r="JNK4" s="4"/>
      <c r="JNL4" s="4"/>
      <c r="JNM4" s="4"/>
      <c r="JNN4" s="4"/>
      <c r="JNO4" s="4"/>
      <c r="JNP4" s="4"/>
      <c r="JNQ4" s="4"/>
      <c r="JNR4" s="4"/>
      <c r="JNS4" s="4"/>
      <c r="JNT4" s="4"/>
      <c r="JNU4" s="4"/>
      <c r="JNV4" s="4"/>
      <c r="JNW4" s="4"/>
      <c r="JNX4" s="4"/>
      <c r="JNY4" s="4"/>
      <c r="JNZ4" s="4"/>
      <c r="JOA4" s="4"/>
      <c r="JOB4" s="4"/>
      <c r="JOC4" s="4"/>
      <c r="JOD4" s="4"/>
      <c r="JOE4" s="4"/>
      <c r="JOF4" s="4"/>
      <c r="JOG4" s="4"/>
      <c r="JOH4" s="4"/>
      <c r="JOI4" s="4"/>
      <c r="JOJ4" s="4"/>
      <c r="JOK4" s="4"/>
      <c r="JOL4" s="4"/>
      <c r="JOM4" s="4"/>
      <c r="JON4" s="4"/>
      <c r="JOO4" s="4"/>
      <c r="JOP4" s="4"/>
      <c r="JOQ4" s="4"/>
      <c r="JOR4" s="4"/>
      <c r="JOS4" s="4"/>
      <c r="JOT4" s="4"/>
      <c r="JOU4" s="4"/>
      <c r="JOV4" s="4"/>
      <c r="JOW4" s="4"/>
      <c r="JOX4" s="4"/>
      <c r="JOY4" s="4"/>
      <c r="JOZ4" s="4"/>
      <c r="JPA4" s="4"/>
      <c r="JPB4" s="4"/>
      <c r="JPC4" s="4"/>
      <c r="JPD4" s="4"/>
      <c r="JPE4" s="4"/>
      <c r="JPF4" s="4"/>
      <c r="JPG4" s="4"/>
      <c r="JPH4" s="4"/>
      <c r="JPI4" s="4"/>
      <c r="JPJ4" s="4"/>
      <c r="JPK4" s="4"/>
      <c r="JPL4" s="4"/>
      <c r="JPM4" s="4"/>
      <c r="JPN4" s="4"/>
      <c r="JPO4" s="4"/>
      <c r="JPP4" s="4"/>
      <c r="JPQ4" s="4"/>
      <c r="JPR4" s="4"/>
      <c r="JPS4" s="4"/>
      <c r="JPT4" s="4"/>
      <c r="JPU4" s="4"/>
      <c r="JPV4" s="4"/>
      <c r="JPW4" s="4"/>
      <c r="JPX4" s="4"/>
      <c r="JPY4" s="4"/>
      <c r="JPZ4" s="4"/>
      <c r="JQA4" s="4"/>
      <c r="JQB4" s="4"/>
      <c r="JQC4" s="4"/>
      <c r="JQD4" s="4"/>
      <c r="JQE4" s="4"/>
      <c r="JQF4" s="4"/>
      <c r="JQG4" s="4"/>
      <c r="JQH4" s="4"/>
      <c r="JQI4" s="4"/>
      <c r="JQJ4" s="4"/>
      <c r="JQK4" s="4"/>
      <c r="JQL4" s="4"/>
      <c r="JQM4" s="4"/>
      <c r="JQN4" s="4"/>
      <c r="JQO4" s="4"/>
      <c r="JQP4" s="4"/>
      <c r="JQQ4" s="4"/>
      <c r="JQR4" s="4"/>
      <c r="JQS4" s="4"/>
      <c r="JQT4" s="4"/>
      <c r="JQU4" s="4"/>
      <c r="JQV4" s="4"/>
      <c r="JQW4" s="4"/>
      <c r="JQX4" s="4"/>
      <c r="JQY4" s="4"/>
      <c r="JQZ4" s="4"/>
      <c r="JRA4" s="4"/>
      <c r="JRB4" s="4"/>
      <c r="JRC4" s="4"/>
      <c r="JRD4" s="4"/>
      <c r="JRE4" s="4"/>
      <c r="JRF4" s="4"/>
      <c r="JRG4" s="4"/>
      <c r="JRH4" s="4"/>
      <c r="JRI4" s="4"/>
      <c r="JRJ4" s="4"/>
      <c r="JRK4" s="4"/>
      <c r="JRL4" s="4"/>
      <c r="JRM4" s="4"/>
      <c r="JRN4" s="4"/>
      <c r="JRO4" s="4"/>
      <c r="JRP4" s="4"/>
      <c r="JRQ4" s="4"/>
      <c r="JRR4" s="4"/>
      <c r="JRS4" s="4"/>
      <c r="JRT4" s="4"/>
      <c r="JRU4" s="4"/>
      <c r="JRV4" s="4"/>
      <c r="JRW4" s="4"/>
      <c r="JRX4" s="4"/>
      <c r="JRY4" s="4"/>
      <c r="JRZ4" s="4"/>
      <c r="JSA4" s="4"/>
      <c r="JSB4" s="4"/>
      <c r="JSC4" s="4"/>
      <c r="JSD4" s="4"/>
      <c r="JSE4" s="4"/>
      <c r="JSF4" s="4"/>
      <c r="JSG4" s="4"/>
      <c r="JSH4" s="4"/>
      <c r="JSI4" s="4"/>
      <c r="JSJ4" s="4"/>
      <c r="JSK4" s="4"/>
      <c r="JSL4" s="4"/>
      <c r="JSM4" s="4"/>
      <c r="JSN4" s="4"/>
      <c r="JSO4" s="4"/>
      <c r="JSP4" s="4"/>
      <c r="JSQ4" s="4"/>
      <c r="JSR4" s="4"/>
      <c r="JSS4" s="4"/>
      <c r="JST4" s="4"/>
      <c r="JSU4" s="4"/>
      <c r="JSV4" s="4"/>
      <c r="JSW4" s="4"/>
      <c r="JSX4" s="4"/>
      <c r="JSY4" s="4"/>
      <c r="JSZ4" s="4"/>
      <c r="JTA4" s="4"/>
      <c r="JTB4" s="4"/>
      <c r="JTC4" s="4"/>
      <c r="JTD4" s="4"/>
      <c r="JTE4" s="4"/>
      <c r="JTF4" s="4"/>
      <c r="JTG4" s="4"/>
      <c r="JTH4" s="4"/>
      <c r="JTI4" s="4"/>
      <c r="JTJ4" s="4"/>
      <c r="JTK4" s="4"/>
      <c r="JTL4" s="4"/>
      <c r="JTM4" s="4"/>
      <c r="JTN4" s="4"/>
      <c r="JTO4" s="4"/>
      <c r="JTP4" s="4"/>
      <c r="JTQ4" s="4"/>
      <c r="JTR4" s="4"/>
      <c r="JTS4" s="4"/>
      <c r="JTT4" s="4"/>
      <c r="JTU4" s="4"/>
      <c r="JTV4" s="4"/>
      <c r="JTW4" s="4"/>
      <c r="JTX4" s="4"/>
      <c r="JTY4" s="4"/>
      <c r="JTZ4" s="4"/>
      <c r="JUA4" s="4"/>
      <c r="JUB4" s="4"/>
      <c r="JUC4" s="4"/>
      <c r="JUD4" s="4"/>
      <c r="JUE4" s="4"/>
      <c r="JUF4" s="4"/>
      <c r="JUG4" s="4"/>
      <c r="JUH4" s="4"/>
      <c r="JUI4" s="4"/>
      <c r="JUJ4" s="4"/>
      <c r="JUK4" s="4"/>
      <c r="JUL4" s="4"/>
      <c r="JUM4" s="4"/>
      <c r="JUN4" s="4"/>
      <c r="JUO4" s="4"/>
      <c r="JUP4" s="4"/>
      <c r="JUQ4" s="4"/>
      <c r="JUR4" s="4"/>
      <c r="JUS4" s="4"/>
      <c r="JUT4" s="4"/>
      <c r="JUU4" s="4"/>
      <c r="JUV4" s="4"/>
      <c r="JUW4" s="4"/>
      <c r="JUX4" s="4"/>
      <c r="JUY4" s="4"/>
      <c r="JUZ4" s="4"/>
      <c r="JVA4" s="4"/>
      <c r="JVB4" s="4"/>
      <c r="JVC4" s="4"/>
      <c r="JVD4" s="4"/>
      <c r="JVE4" s="4"/>
      <c r="JVF4" s="4"/>
      <c r="JVG4" s="4"/>
      <c r="JVH4" s="4"/>
      <c r="JVI4" s="4"/>
      <c r="JVJ4" s="4"/>
      <c r="JVK4" s="4"/>
      <c r="JVL4" s="4"/>
      <c r="JVM4" s="4"/>
      <c r="JVN4" s="4"/>
      <c r="JVO4" s="4"/>
      <c r="JVP4" s="4"/>
      <c r="JVQ4" s="4"/>
      <c r="JVR4" s="4"/>
      <c r="JVS4" s="4"/>
      <c r="JVT4" s="4"/>
      <c r="JVU4" s="4"/>
      <c r="JVV4" s="4"/>
      <c r="JVW4" s="4"/>
      <c r="JVX4" s="4"/>
      <c r="JVY4" s="4"/>
      <c r="JVZ4" s="4"/>
      <c r="JWA4" s="4"/>
      <c r="JWB4" s="4"/>
      <c r="JWC4" s="4"/>
      <c r="JWD4" s="4"/>
      <c r="JWE4" s="4"/>
      <c r="JWF4" s="4"/>
      <c r="JWG4" s="4"/>
      <c r="JWH4" s="4"/>
      <c r="JWI4" s="4"/>
      <c r="JWJ4" s="4"/>
      <c r="JWK4" s="4"/>
      <c r="JWL4" s="4"/>
      <c r="JWM4" s="4"/>
      <c r="JWN4" s="4"/>
      <c r="JWO4" s="4"/>
      <c r="JWP4" s="4"/>
      <c r="JWQ4" s="4"/>
      <c r="JWR4" s="4"/>
      <c r="JWS4" s="4"/>
      <c r="JWT4" s="4"/>
      <c r="JWU4" s="4"/>
      <c r="JWV4" s="4"/>
      <c r="JWW4" s="4"/>
      <c r="JWX4" s="4"/>
      <c r="JWY4" s="4"/>
      <c r="JWZ4" s="4"/>
      <c r="JXA4" s="4"/>
      <c r="JXB4" s="4"/>
      <c r="JXC4" s="4"/>
      <c r="JXD4" s="4"/>
      <c r="JXE4" s="4"/>
      <c r="JXF4" s="4"/>
      <c r="JXG4" s="4"/>
      <c r="JXH4" s="4"/>
      <c r="JXI4" s="4"/>
      <c r="JXJ4" s="4"/>
      <c r="JXK4" s="4"/>
      <c r="JXL4" s="4"/>
      <c r="JXM4" s="4"/>
      <c r="JXN4" s="4"/>
      <c r="JXO4" s="4"/>
      <c r="JXP4" s="4"/>
      <c r="JXQ4" s="4"/>
      <c r="JXR4" s="4"/>
      <c r="JXS4" s="4"/>
      <c r="JXT4" s="4"/>
      <c r="JXU4" s="4"/>
      <c r="JXV4" s="4"/>
      <c r="JXW4" s="4"/>
      <c r="JXX4" s="4"/>
      <c r="JXY4" s="4"/>
      <c r="JXZ4" s="4"/>
      <c r="JYA4" s="4"/>
      <c r="JYB4" s="4"/>
      <c r="JYC4" s="4"/>
      <c r="JYD4" s="4"/>
      <c r="JYE4" s="4"/>
      <c r="JYF4" s="4"/>
      <c r="JYG4" s="4"/>
      <c r="JYH4" s="4"/>
      <c r="JYI4" s="4"/>
      <c r="JYJ4" s="4"/>
      <c r="JYK4" s="4"/>
      <c r="JYL4" s="4"/>
      <c r="JYM4" s="4"/>
      <c r="JYN4" s="4"/>
      <c r="JYO4" s="4"/>
      <c r="JYP4" s="4"/>
      <c r="JYQ4" s="4"/>
      <c r="JYR4" s="4"/>
      <c r="JYS4" s="4"/>
      <c r="JYT4" s="4"/>
      <c r="JYU4" s="4"/>
      <c r="JYV4" s="4"/>
      <c r="JYW4" s="4"/>
      <c r="JYX4" s="4"/>
      <c r="JYY4" s="4"/>
      <c r="JYZ4" s="4"/>
      <c r="JZA4" s="4"/>
      <c r="JZB4" s="4"/>
      <c r="JZC4" s="4"/>
      <c r="JZD4" s="4"/>
      <c r="JZE4" s="4"/>
      <c r="JZF4" s="4"/>
      <c r="JZG4" s="4"/>
      <c r="JZH4" s="4"/>
      <c r="JZI4" s="4"/>
      <c r="JZJ4" s="4"/>
      <c r="JZK4" s="4"/>
      <c r="JZL4" s="4"/>
      <c r="JZM4" s="4"/>
      <c r="JZN4" s="4"/>
      <c r="JZO4" s="4"/>
      <c r="JZP4" s="4"/>
      <c r="JZQ4" s="4"/>
      <c r="JZR4" s="4"/>
      <c r="JZS4" s="4"/>
      <c r="JZT4" s="4"/>
      <c r="JZU4" s="4"/>
      <c r="JZV4" s="4"/>
      <c r="JZW4" s="4"/>
      <c r="JZX4" s="4"/>
      <c r="JZY4" s="4"/>
      <c r="JZZ4" s="4"/>
      <c r="KAA4" s="4"/>
      <c r="KAB4" s="4"/>
      <c r="KAC4" s="4"/>
      <c r="KAD4" s="4"/>
      <c r="KAE4" s="4"/>
      <c r="KAF4" s="4"/>
      <c r="KAG4" s="4"/>
      <c r="KAH4" s="4"/>
      <c r="KAI4" s="4"/>
      <c r="KAJ4" s="4"/>
      <c r="KAK4" s="4"/>
      <c r="KAL4" s="4"/>
      <c r="KAM4" s="4"/>
      <c r="KAN4" s="4"/>
      <c r="KAO4" s="4"/>
      <c r="KAP4" s="4"/>
      <c r="KAQ4" s="4"/>
      <c r="KAR4" s="4"/>
      <c r="KAS4" s="4"/>
      <c r="KAT4" s="4"/>
      <c r="KAU4" s="4"/>
      <c r="KAV4" s="4"/>
      <c r="KAW4" s="4"/>
      <c r="KAX4" s="4"/>
      <c r="KAY4" s="4"/>
      <c r="KAZ4" s="4"/>
      <c r="KBA4" s="4"/>
      <c r="KBB4" s="4"/>
      <c r="KBC4" s="4"/>
      <c r="KBD4" s="4"/>
      <c r="KBE4" s="4"/>
      <c r="KBF4" s="4"/>
      <c r="KBG4" s="4"/>
      <c r="KBH4" s="4"/>
      <c r="KBI4" s="4"/>
      <c r="KBJ4" s="4"/>
      <c r="KBK4" s="4"/>
      <c r="KBL4" s="4"/>
      <c r="KBM4" s="4"/>
      <c r="KBN4" s="4"/>
      <c r="KBO4" s="4"/>
      <c r="KBP4" s="4"/>
      <c r="KBQ4" s="4"/>
      <c r="KBR4" s="4"/>
      <c r="KBS4" s="4"/>
      <c r="KBT4" s="4"/>
      <c r="KBU4" s="4"/>
      <c r="KBV4" s="4"/>
      <c r="KBW4" s="4"/>
      <c r="KBX4" s="4"/>
      <c r="KBY4" s="4"/>
      <c r="KBZ4" s="4"/>
      <c r="KCA4" s="4"/>
      <c r="KCB4" s="4"/>
      <c r="KCC4" s="4"/>
      <c r="KCD4" s="4"/>
      <c r="KCE4" s="4"/>
      <c r="KCF4" s="4"/>
      <c r="KCG4" s="4"/>
      <c r="KCH4" s="4"/>
      <c r="KCI4" s="4"/>
      <c r="KCJ4" s="4"/>
      <c r="KCK4" s="4"/>
      <c r="KCL4" s="4"/>
      <c r="KCM4" s="4"/>
      <c r="KCN4" s="4"/>
      <c r="KCO4" s="4"/>
      <c r="KCP4" s="4"/>
      <c r="KCQ4" s="4"/>
      <c r="KCR4" s="4"/>
      <c r="KCS4" s="4"/>
      <c r="KCT4" s="4"/>
      <c r="KCU4" s="4"/>
      <c r="KCV4" s="4"/>
      <c r="KCW4" s="4"/>
      <c r="KCX4" s="4"/>
      <c r="KCY4" s="4"/>
      <c r="KCZ4" s="4"/>
      <c r="KDA4" s="4"/>
      <c r="KDB4" s="4"/>
      <c r="KDC4" s="4"/>
      <c r="KDD4" s="4"/>
      <c r="KDE4" s="4"/>
      <c r="KDF4" s="4"/>
      <c r="KDG4" s="4"/>
      <c r="KDH4" s="4"/>
      <c r="KDI4" s="4"/>
      <c r="KDJ4" s="4"/>
      <c r="KDK4" s="4"/>
      <c r="KDL4" s="4"/>
      <c r="KDM4" s="4"/>
      <c r="KDN4" s="4"/>
      <c r="KDO4" s="4"/>
      <c r="KDP4" s="4"/>
      <c r="KDQ4" s="4"/>
      <c r="KDR4" s="4"/>
      <c r="KDS4" s="4"/>
      <c r="KDT4" s="4"/>
      <c r="KDU4" s="4"/>
      <c r="KDV4" s="4"/>
      <c r="KDW4" s="4"/>
      <c r="KDX4" s="4"/>
      <c r="KDY4" s="4"/>
      <c r="KDZ4" s="4"/>
      <c r="KEA4" s="4"/>
      <c r="KEB4" s="4"/>
      <c r="KEC4" s="4"/>
      <c r="KED4" s="4"/>
      <c r="KEE4" s="4"/>
      <c r="KEF4" s="4"/>
      <c r="KEG4" s="4"/>
      <c r="KEH4" s="4"/>
      <c r="KEI4" s="4"/>
      <c r="KEJ4" s="4"/>
      <c r="KEK4" s="4"/>
      <c r="KEL4" s="4"/>
      <c r="KEM4" s="4"/>
      <c r="KEN4" s="4"/>
      <c r="KEO4" s="4"/>
      <c r="KEP4" s="4"/>
      <c r="KEQ4" s="4"/>
      <c r="KER4" s="4"/>
      <c r="KES4" s="4"/>
      <c r="KET4" s="4"/>
      <c r="KEU4" s="4"/>
      <c r="KEV4" s="4"/>
      <c r="KEW4" s="4"/>
      <c r="KEX4" s="4"/>
      <c r="KEY4" s="4"/>
      <c r="KEZ4" s="4"/>
      <c r="KFA4" s="4"/>
      <c r="KFB4" s="4"/>
      <c r="KFC4" s="4"/>
      <c r="KFD4" s="4"/>
      <c r="KFE4" s="4"/>
      <c r="KFF4" s="4"/>
      <c r="KFG4" s="4"/>
      <c r="KFH4" s="4"/>
      <c r="KFI4" s="4"/>
      <c r="KFJ4" s="4"/>
      <c r="KFK4" s="4"/>
      <c r="KFL4" s="4"/>
      <c r="KFM4" s="4"/>
      <c r="KFN4" s="4"/>
      <c r="KFO4" s="4"/>
      <c r="KFP4" s="4"/>
      <c r="KFQ4" s="4"/>
      <c r="KFR4" s="4"/>
      <c r="KFS4" s="4"/>
      <c r="KFT4" s="4"/>
      <c r="KFU4" s="4"/>
      <c r="KFV4" s="4"/>
      <c r="KFW4" s="4"/>
      <c r="KFX4" s="4"/>
      <c r="KFY4" s="4"/>
      <c r="KFZ4" s="4"/>
      <c r="KGA4" s="4"/>
      <c r="KGB4" s="4"/>
      <c r="KGC4" s="4"/>
      <c r="KGD4" s="4"/>
      <c r="KGE4" s="4"/>
      <c r="KGF4" s="4"/>
      <c r="KGG4" s="4"/>
      <c r="KGH4" s="4"/>
      <c r="KGI4" s="4"/>
      <c r="KGJ4" s="4"/>
      <c r="KGK4" s="4"/>
      <c r="KGL4" s="4"/>
      <c r="KGM4" s="4"/>
      <c r="KGN4" s="4"/>
      <c r="KGO4" s="4"/>
      <c r="KGP4" s="4"/>
      <c r="KGQ4" s="4"/>
      <c r="KGR4" s="4"/>
      <c r="KGS4" s="4"/>
      <c r="KGT4" s="4"/>
      <c r="KGU4" s="4"/>
      <c r="KGV4" s="4"/>
      <c r="KGW4" s="4"/>
      <c r="KGX4" s="4"/>
      <c r="KGY4" s="4"/>
      <c r="KGZ4" s="4"/>
      <c r="KHA4" s="4"/>
      <c r="KHB4" s="4"/>
      <c r="KHC4" s="4"/>
      <c r="KHD4" s="4"/>
      <c r="KHE4" s="4"/>
      <c r="KHF4" s="4"/>
      <c r="KHG4" s="4"/>
      <c r="KHH4" s="4"/>
      <c r="KHI4" s="4"/>
      <c r="KHJ4" s="4"/>
      <c r="KHK4" s="4"/>
      <c r="KHL4" s="4"/>
      <c r="KHM4" s="4"/>
      <c r="KHN4" s="4"/>
      <c r="KHO4" s="4"/>
      <c r="KHP4" s="4"/>
      <c r="KHQ4" s="4"/>
      <c r="KHR4" s="4"/>
      <c r="KHS4" s="4"/>
      <c r="KHT4" s="4"/>
      <c r="KHU4" s="4"/>
      <c r="KHV4" s="4"/>
      <c r="KHW4" s="4"/>
      <c r="KHX4" s="4"/>
      <c r="KHY4" s="4"/>
      <c r="KHZ4" s="4"/>
      <c r="KIA4" s="4"/>
      <c r="KIB4" s="4"/>
      <c r="KIC4" s="4"/>
      <c r="KID4" s="4"/>
      <c r="KIE4" s="4"/>
      <c r="KIF4" s="4"/>
      <c r="KIG4" s="4"/>
      <c r="KIH4" s="4"/>
      <c r="KII4" s="4"/>
      <c r="KIJ4" s="4"/>
      <c r="KIK4" s="4"/>
      <c r="KIL4" s="4"/>
      <c r="KIM4" s="4"/>
      <c r="KIN4" s="4"/>
      <c r="KIO4" s="4"/>
      <c r="KIP4" s="4"/>
      <c r="KIQ4" s="4"/>
      <c r="KIR4" s="4"/>
      <c r="KIS4" s="4"/>
      <c r="KIT4" s="4"/>
      <c r="KIU4" s="4"/>
      <c r="KIV4" s="4"/>
      <c r="KIW4" s="4"/>
      <c r="KIX4" s="4"/>
      <c r="KIY4" s="4"/>
      <c r="KIZ4" s="4"/>
      <c r="KJA4" s="4"/>
      <c r="KJB4" s="4"/>
      <c r="KJC4" s="4"/>
      <c r="KJD4" s="4"/>
      <c r="KJE4" s="4"/>
      <c r="KJF4" s="4"/>
      <c r="KJG4" s="4"/>
      <c r="KJH4" s="4"/>
      <c r="KJI4" s="4"/>
      <c r="KJJ4" s="4"/>
      <c r="KJK4" s="4"/>
      <c r="KJL4" s="4"/>
      <c r="KJM4" s="4"/>
      <c r="KJN4" s="4"/>
      <c r="KJO4" s="4"/>
      <c r="KJP4" s="4"/>
      <c r="KJQ4" s="4"/>
      <c r="KJR4" s="4"/>
      <c r="KJS4" s="4"/>
      <c r="KJT4" s="4"/>
      <c r="KJU4" s="4"/>
      <c r="KJV4" s="4"/>
      <c r="KJW4" s="4"/>
      <c r="KJX4" s="4"/>
      <c r="KJY4" s="4"/>
      <c r="KJZ4" s="4"/>
      <c r="KKA4" s="4"/>
      <c r="KKB4" s="4"/>
      <c r="KKC4" s="4"/>
      <c r="KKD4" s="4"/>
      <c r="KKE4" s="4"/>
      <c r="KKF4" s="4"/>
      <c r="KKG4" s="4"/>
      <c r="KKH4" s="4"/>
      <c r="KKI4" s="4"/>
      <c r="KKJ4" s="4"/>
      <c r="KKK4" s="4"/>
      <c r="KKL4" s="4"/>
      <c r="KKM4" s="4"/>
      <c r="KKN4" s="4"/>
      <c r="KKO4" s="4"/>
      <c r="KKP4" s="4"/>
      <c r="KKQ4" s="4"/>
      <c r="KKR4" s="4"/>
      <c r="KKS4" s="4"/>
      <c r="KKT4" s="4"/>
      <c r="KKU4" s="4"/>
      <c r="KKV4" s="4"/>
      <c r="KKW4" s="4"/>
      <c r="KKX4" s="4"/>
      <c r="KKY4" s="4"/>
      <c r="KKZ4" s="4"/>
      <c r="KLA4" s="4"/>
      <c r="KLB4" s="4"/>
      <c r="KLC4" s="4"/>
      <c r="KLD4" s="4"/>
      <c r="KLE4" s="4"/>
      <c r="KLF4" s="4"/>
      <c r="KLG4" s="4"/>
      <c r="KLH4" s="4"/>
      <c r="KLI4" s="4"/>
      <c r="KLJ4" s="4"/>
      <c r="KLK4" s="4"/>
      <c r="KLL4" s="4"/>
      <c r="KLM4" s="4"/>
      <c r="KLN4" s="4"/>
      <c r="KLO4" s="4"/>
      <c r="KLP4" s="4"/>
      <c r="KLQ4" s="4"/>
      <c r="KLR4" s="4"/>
      <c r="KLS4" s="4"/>
      <c r="KLT4" s="4"/>
      <c r="KLU4" s="4"/>
      <c r="KLV4" s="4"/>
      <c r="KLW4" s="4"/>
      <c r="KLX4" s="4"/>
      <c r="KLY4" s="4"/>
      <c r="KLZ4" s="4"/>
      <c r="KMA4" s="4"/>
      <c r="KMB4" s="4"/>
      <c r="KMC4" s="4"/>
      <c r="KMD4" s="4"/>
      <c r="KME4" s="4"/>
      <c r="KMF4" s="4"/>
      <c r="KMG4" s="4"/>
      <c r="KMH4" s="4"/>
      <c r="KMI4" s="4"/>
      <c r="KMJ4" s="4"/>
      <c r="KMK4" s="4"/>
      <c r="KML4" s="4"/>
      <c r="KMM4" s="4"/>
      <c r="KMN4" s="4"/>
      <c r="KMO4" s="4"/>
      <c r="KMP4" s="4"/>
      <c r="KMQ4" s="4"/>
      <c r="KMR4" s="4"/>
      <c r="KMS4" s="4"/>
      <c r="KMT4" s="4"/>
      <c r="KMU4" s="4"/>
      <c r="KMV4" s="4"/>
      <c r="KMW4" s="4"/>
      <c r="KMX4" s="4"/>
      <c r="KMY4" s="4"/>
      <c r="KMZ4" s="4"/>
      <c r="KNA4" s="4"/>
      <c r="KNB4" s="4"/>
      <c r="KNC4" s="4"/>
      <c r="KND4" s="4"/>
      <c r="KNE4" s="4"/>
      <c r="KNF4" s="4"/>
      <c r="KNG4" s="4"/>
      <c r="KNH4" s="4"/>
      <c r="KNI4" s="4"/>
      <c r="KNJ4" s="4"/>
      <c r="KNK4" s="4"/>
      <c r="KNL4" s="4"/>
      <c r="KNM4" s="4"/>
      <c r="KNN4" s="4"/>
      <c r="KNO4" s="4"/>
      <c r="KNP4" s="4"/>
      <c r="KNQ4" s="4"/>
      <c r="KNR4" s="4"/>
      <c r="KNS4" s="4"/>
      <c r="KNT4" s="4"/>
      <c r="KNU4" s="4"/>
      <c r="KNV4" s="4"/>
      <c r="KNW4" s="4"/>
      <c r="KNX4" s="4"/>
      <c r="KNY4" s="4"/>
      <c r="KNZ4" s="4"/>
      <c r="KOA4" s="4"/>
      <c r="KOB4" s="4"/>
      <c r="KOC4" s="4"/>
      <c r="KOD4" s="4"/>
      <c r="KOE4" s="4"/>
      <c r="KOF4" s="4"/>
      <c r="KOG4" s="4"/>
      <c r="KOH4" s="4"/>
      <c r="KOI4" s="4"/>
      <c r="KOJ4" s="4"/>
      <c r="KOK4" s="4"/>
      <c r="KOL4" s="4"/>
      <c r="KOM4" s="4"/>
      <c r="KON4" s="4"/>
      <c r="KOO4" s="4"/>
      <c r="KOP4" s="4"/>
      <c r="KOQ4" s="4"/>
      <c r="KOR4" s="4"/>
      <c r="KOS4" s="4"/>
      <c r="KOT4" s="4"/>
      <c r="KOU4" s="4"/>
      <c r="KOV4" s="4"/>
      <c r="KOW4" s="4"/>
      <c r="KOX4" s="4"/>
      <c r="KOY4" s="4"/>
      <c r="KOZ4" s="4"/>
      <c r="KPA4" s="4"/>
      <c r="KPB4" s="4"/>
      <c r="KPC4" s="4"/>
      <c r="KPD4" s="4"/>
      <c r="KPE4" s="4"/>
      <c r="KPF4" s="4"/>
      <c r="KPG4" s="4"/>
      <c r="KPH4" s="4"/>
      <c r="KPI4" s="4"/>
      <c r="KPJ4" s="4"/>
      <c r="KPK4" s="4"/>
      <c r="KPL4" s="4"/>
      <c r="KPM4" s="4"/>
      <c r="KPN4" s="4"/>
      <c r="KPO4" s="4"/>
      <c r="KPP4" s="4"/>
      <c r="KPQ4" s="4"/>
      <c r="KPR4" s="4"/>
      <c r="KPS4" s="4"/>
      <c r="KPT4" s="4"/>
      <c r="KPU4" s="4"/>
      <c r="KPV4" s="4"/>
      <c r="KPW4" s="4"/>
      <c r="KPX4" s="4"/>
      <c r="KPY4" s="4"/>
      <c r="KPZ4" s="4"/>
      <c r="KQA4" s="4"/>
      <c r="KQB4" s="4"/>
      <c r="KQC4" s="4"/>
      <c r="KQD4" s="4"/>
      <c r="KQE4" s="4"/>
      <c r="KQF4" s="4"/>
      <c r="KQG4" s="4"/>
      <c r="KQH4" s="4"/>
      <c r="KQI4" s="4"/>
      <c r="KQJ4" s="4"/>
      <c r="KQK4" s="4"/>
      <c r="KQL4" s="4"/>
      <c r="KQM4" s="4"/>
      <c r="KQN4" s="4"/>
      <c r="KQO4" s="4"/>
      <c r="KQP4" s="4"/>
      <c r="KQQ4" s="4"/>
      <c r="KQR4" s="4"/>
      <c r="KQS4" s="4"/>
      <c r="KQT4" s="4"/>
      <c r="KQU4" s="4"/>
      <c r="KQV4" s="4"/>
      <c r="KQW4" s="4"/>
      <c r="KQX4" s="4"/>
      <c r="KQY4" s="4"/>
      <c r="KQZ4" s="4"/>
      <c r="KRA4" s="4"/>
      <c r="KRB4" s="4"/>
      <c r="KRC4" s="4"/>
      <c r="KRD4" s="4"/>
      <c r="KRE4" s="4"/>
      <c r="KRF4" s="4"/>
      <c r="KRG4" s="4"/>
      <c r="KRH4" s="4"/>
      <c r="KRI4" s="4"/>
      <c r="KRJ4" s="4"/>
      <c r="KRK4" s="4"/>
      <c r="KRL4" s="4"/>
      <c r="KRM4" s="4"/>
      <c r="KRN4" s="4"/>
      <c r="KRO4" s="4"/>
      <c r="KRP4" s="4"/>
      <c r="KRQ4" s="4"/>
      <c r="KRR4" s="4"/>
      <c r="KRS4" s="4"/>
      <c r="KRT4" s="4"/>
      <c r="KRU4" s="4"/>
      <c r="KRV4" s="4"/>
      <c r="KRW4" s="4"/>
      <c r="KRX4" s="4"/>
      <c r="KRY4" s="4"/>
      <c r="KRZ4" s="4"/>
      <c r="KSA4" s="4"/>
      <c r="KSB4" s="4"/>
      <c r="KSC4" s="4"/>
      <c r="KSD4" s="4"/>
      <c r="KSE4" s="4"/>
      <c r="KSF4" s="4"/>
      <c r="KSG4" s="4"/>
      <c r="KSH4" s="4"/>
      <c r="KSI4" s="4"/>
      <c r="KSJ4" s="4"/>
      <c r="KSK4" s="4"/>
      <c r="KSL4" s="4"/>
      <c r="KSM4" s="4"/>
      <c r="KSN4" s="4"/>
      <c r="KSO4" s="4"/>
      <c r="KSP4" s="4"/>
      <c r="KSQ4" s="4"/>
      <c r="KSR4" s="4"/>
      <c r="KSS4" s="4"/>
      <c r="KST4" s="4"/>
      <c r="KSU4" s="4"/>
      <c r="KSV4" s="4"/>
      <c r="KSW4" s="4"/>
      <c r="KSX4" s="4"/>
      <c r="KSY4" s="4"/>
      <c r="KSZ4" s="4"/>
      <c r="KTA4" s="4"/>
      <c r="KTB4" s="4"/>
      <c r="KTC4" s="4"/>
      <c r="KTD4" s="4"/>
      <c r="KTE4" s="4"/>
      <c r="KTF4" s="4"/>
      <c r="KTG4" s="4"/>
      <c r="KTH4" s="4"/>
      <c r="KTI4" s="4"/>
      <c r="KTJ4" s="4"/>
      <c r="KTK4" s="4"/>
      <c r="KTL4" s="4"/>
      <c r="KTM4" s="4"/>
      <c r="KTN4" s="4"/>
      <c r="KTO4" s="4"/>
      <c r="KTP4" s="4"/>
      <c r="KTQ4" s="4"/>
      <c r="KTR4" s="4"/>
      <c r="KTS4" s="4"/>
      <c r="KTT4" s="4"/>
      <c r="KTU4" s="4"/>
      <c r="KTV4" s="4"/>
      <c r="KTW4" s="4"/>
      <c r="KTX4" s="4"/>
      <c r="KTY4" s="4"/>
      <c r="KTZ4" s="4"/>
      <c r="KUA4" s="4"/>
      <c r="KUB4" s="4"/>
      <c r="KUC4" s="4"/>
      <c r="KUD4" s="4"/>
      <c r="KUE4" s="4"/>
      <c r="KUF4" s="4"/>
      <c r="KUG4" s="4"/>
      <c r="KUH4" s="4"/>
      <c r="KUI4" s="4"/>
      <c r="KUJ4" s="4"/>
      <c r="KUK4" s="4"/>
      <c r="KUL4" s="4"/>
      <c r="KUM4" s="4"/>
      <c r="KUN4" s="4"/>
      <c r="KUO4" s="4"/>
      <c r="KUP4" s="4"/>
      <c r="KUQ4" s="4"/>
      <c r="KUR4" s="4"/>
      <c r="KUS4" s="4"/>
      <c r="KUT4" s="4"/>
      <c r="KUU4" s="4"/>
      <c r="KUV4" s="4"/>
      <c r="KUW4" s="4"/>
      <c r="KUX4" s="4"/>
      <c r="KUY4" s="4"/>
      <c r="KUZ4" s="4"/>
      <c r="KVA4" s="4"/>
      <c r="KVB4" s="4"/>
      <c r="KVC4" s="4"/>
      <c r="KVD4" s="4"/>
      <c r="KVE4" s="4"/>
      <c r="KVF4" s="4"/>
      <c r="KVG4" s="4"/>
      <c r="KVH4" s="4"/>
      <c r="KVI4" s="4"/>
      <c r="KVJ4" s="4"/>
      <c r="KVK4" s="4"/>
      <c r="KVL4" s="4"/>
      <c r="KVM4" s="4"/>
      <c r="KVN4" s="4"/>
      <c r="KVO4" s="4"/>
      <c r="KVP4" s="4"/>
      <c r="KVQ4" s="4"/>
      <c r="KVR4" s="4"/>
      <c r="KVS4" s="4"/>
      <c r="KVT4" s="4"/>
      <c r="KVU4" s="4"/>
      <c r="KVV4" s="4"/>
      <c r="KVW4" s="4"/>
      <c r="KVX4" s="4"/>
      <c r="KVY4" s="4"/>
      <c r="KVZ4" s="4"/>
      <c r="KWA4" s="4"/>
      <c r="KWB4" s="4"/>
      <c r="KWC4" s="4"/>
      <c r="KWD4" s="4"/>
      <c r="KWE4" s="4"/>
      <c r="KWF4" s="4"/>
      <c r="KWG4" s="4"/>
      <c r="KWH4" s="4"/>
      <c r="KWI4" s="4"/>
      <c r="KWJ4" s="4"/>
      <c r="KWK4" s="4"/>
      <c r="KWL4" s="4"/>
      <c r="KWM4" s="4"/>
      <c r="KWN4" s="4"/>
      <c r="KWO4" s="4"/>
      <c r="KWP4" s="4"/>
      <c r="KWQ4" s="4"/>
      <c r="KWR4" s="4"/>
      <c r="KWS4" s="4"/>
      <c r="KWT4" s="4"/>
      <c r="KWU4" s="4"/>
      <c r="KWV4" s="4"/>
      <c r="KWW4" s="4"/>
      <c r="KWX4" s="4"/>
      <c r="KWY4" s="4"/>
      <c r="KWZ4" s="4"/>
      <c r="KXA4" s="4"/>
      <c r="KXB4" s="4"/>
      <c r="KXC4" s="4"/>
      <c r="KXD4" s="4"/>
      <c r="KXE4" s="4"/>
      <c r="KXF4" s="4"/>
      <c r="KXG4" s="4"/>
      <c r="KXH4" s="4"/>
      <c r="KXI4" s="4"/>
      <c r="KXJ4" s="4"/>
      <c r="KXK4" s="4"/>
      <c r="KXL4" s="4"/>
      <c r="KXM4" s="4"/>
      <c r="KXN4" s="4"/>
      <c r="KXO4" s="4"/>
      <c r="KXP4" s="4"/>
      <c r="KXQ4" s="4"/>
      <c r="KXR4" s="4"/>
      <c r="KXS4" s="4"/>
      <c r="KXT4" s="4"/>
      <c r="KXU4" s="4"/>
      <c r="KXV4" s="4"/>
      <c r="KXW4" s="4"/>
      <c r="KXX4" s="4"/>
      <c r="KXY4" s="4"/>
      <c r="KXZ4" s="4"/>
      <c r="KYA4" s="4"/>
      <c r="KYB4" s="4"/>
      <c r="KYC4" s="4"/>
      <c r="KYD4" s="4"/>
      <c r="KYE4" s="4"/>
      <c r="KYF4" s="4"/>
      <c r="KYG4" s="4"/>
      <c r="KYH4" s="4"/>
      <c r="KYI4" s="4"/>
      <c r="KYJ4" s="4"/>
      <c r="KYK4" s="4"/>
      <c r="KYL4" s="4"/>
      <c r="KYM4" s="4"/>
      <c r="KYN4" s="4"/>
      <c r="KYO4" s="4"/>
      <c r="KYP4" s="4"/>
      <c r="KYQ4" s="4"/>
      <c r="KYR4" s="4"/>
      <c r="KYS4" s="4"/>
      <c r="KYT4" s="4"/>
      <c r="KYU4" s="4"/>
      <c r="KYV4" s="4"/>
      <c r="KYW4" s="4"/>
      <c r="KYX4" s="4"/>
      <c r="KYY4" s="4"/>
      <c r="KYZ4" s="4"/>
      <c r="KZA4" s="4"/>
      <c r="KZB4" s="4"/>
      <c r="KZC4" s="4"/>
      <c r="KZD4" s="4"/>
      <c r="KZE4" s="4"/>
      <c r="KZF4" s="4"/>
      <c r="KZG4" s="4"/>
      <c r="KZH4" s="4"/>
      <c r="KZI4" s="4"/>
      <c r="KZJ4" s="4"/>
      <c r="KZK4" s="4"/>
      <c r="KZL4" s="4"/>
      <c r="KZM4" s="4"/>
      <c r="KZN4" s="4"/>
      <c r="KZO4" s="4"/>
      <c r="KZP4" s="4"/>
      <c r="KZQ4" s="4"/>
      <c r="KZR4" s="4"/>
      <c r="KZS4" s="4"/>
      <c r="KZT4" s="4"/>
      <c r="KZU4" s="4"/>
      <c r="KZV4" s="4"/>
      <c r="KZW4" s="4"/>
      <c r="KZX4" s="4"/>
      <c r="KZY4" s="4"/>
      <c r="KZZ4" s="4"/>
      <c r="LAA4" s="4"/>
      <c r="LAB4" s="4"/>
      <c r="LAC4" s="4"/>
      <c r="LAD4" s="4"/>
      <c r="LAE4" s="4"/>
      <c r="LAF4" s="4"/>
      <c r="LAG4" s="4"/>
      <c r="LAH4" s="4"/>
      <c r="LAI4" s="4"/>
      <c r="LAJ4" s="4"/>
      <c r="LAK4" s="4"/>
      <c r="LAL4" s="4"/>
      <c r="LAM4" s="4"/>
      <c r="LAN4" s="4"/>
      <c r="LAO4" s="4"/>
      <c r="LAP4" s="4"/>
      <c r="LAQ4" s="4"/>
      <c r="LAR4" s="4"/>
      <c r="LAS4" s="4"/>
      <c r="LAT4" s="4"/>
      <c r="LAU4" s="4"/>
      <c r="LAV4" s="4"/>
      <c r="LAW4" s="4"/>
      <c r="LAX4" s="4"/>
      <c r="LAY4" s="4"/>
      <c r="LAZ4" s="4"/>
      <c r="LBA4" s="4"/>
      <c r="LBB4" s="4"/>
      <c r="LBC4" s="4"/>
      <c r="LBD4" s="4"/>
      <c r="LBE4" s="4"/>
      <c r="LBF4" s="4"/>
      <c r="LBG4" s="4"/>
      <c r="LBH4" s="4"/>
      <c r="LBI4" s="4"/>
      <c r="LBJ4" s="4"/>
      <c r="LBK4" s="4"/>
      <c r="LBL4" s="4"/>
      <c r="LBM4" s="4"/>
      <c r="LBN4" s="4"/>
      <c r="LBO4" s="4"/>
      <c r="LBP4" s="4"/>
      <c r="LBQ4" s="4"/>
      <c r="LBR4" s="4"/>
      <c r="LBS4" s="4"/>
      <c r="LBT4" s="4"/>
      <c r="LBU4" s="4"/>
      <c r="LBV4" s="4"/>
      <c r="LBW4" s="4"/>
      <c r="LBX4" s="4"/>
      <c r="LBY4" s="4"/>
      <c r="LBZ4" s="4"/>
      <c r="LCA4" s="4"/>
      <c r="LCB4" s="4"/>
      <c r="LCC4" s="4"/>
      <c r="LCD4" s="4"/>
      <c r="LCE4" s="4"/>
      <c r="LCF4" s="4"/>
      <c r="LCG4" s="4"/>
      <c r="LCH4" s="4"/>
      <c r="LCI4" s="4"/>
      <c r="LCJ4" s="4"/>
      <c r="LCK4" s="4"/>
      <c r="LCL4" s="4"/>
      <c r="LCM4" s="4"/>
      <c r="LCN4" s="4"/>
      <c r="LCO4" s="4"/>
      <c r="LCP4" s="4"/>
      <c r="LCQ4" s="4"/>
      <c r="LCR4" s="4"/>
      <c r="LCS4" s="4"/>
      <c r="LCT4" s="4"/>
      <c r="LCU4" s="4"/>
      <c r="LCV4" s="4"/>
      <c r="LCW4" s="4"/>
      <c r="LCX4" s="4"/>
      <c r="LCY4" s="4"/>
      <c r="LCZ4" s="4"/>
      <c r="LDA4" s="4"/>
      <c r="LDB4" s="4"/>
      <c r="LDC4" s="4"/>
      <c r="LDD4" s="4"/>
      <c r="LDE4" s="4"/>
      <c r="LDF4" s="4"/>
      <c r="LDG4" s="4"/>
      <c r="LDH4" s="4"/>
      <c r="LDI4" s="4"/>
      <c r="LDJ4" s="4"/>
      <c r="LDK4" s="4"/>
      <c r="LDL4" s="4"/>
      <c r="LDM4" s="4"/>
      <c r="LDN4" s="4"/>
      <c r="LDO4" s="4"/>
      <c r="LDP4" s="4"/>
      <c r="LDQ4" s="4"/>
      <c r="LDR4" s="4"/>
      <c r="LDS4" s="4"/>
      <c r="LDT4" s="4"/>
      <c r="LDU4" s="4"/>
      <c r="LDV4" s="4"/>
      <c r="LDW4" s="4"/>
      <c r="LDX4" s="4"/>
      <c r="LDY4" s="4"/>
      <c r="LDZ4" s="4"/>
      <c r="LEA4" s="4"/>
      <c r="LEB4" s="4"/>
      <c r="LEC4" s="4"/>
      <c r="LED4" s="4"/>
      <c r="LEE4" s="4"/>
      <c r="LEF4" s="4"/>
      <c r="LEG4" s="4"/>
      <c r="LEH4" s="4"/>
      <c r="LEI4" s="4"/>
      <c r="LEJ4" s="4"/>
      <c r="LEK4" s="4"/>
      <c r="LEL4" s="4"/>
      <c r="LEM4" s="4"/>
      <c r="LEN4" s="4"/>
      <c r="LEO4" s="4"/>
      <c r="LEP4" s="4"/>
      <c r="LEQ4" s="4"/>
      <c r="LER4" s="4"/>
      <c r="LES4" s="4"/>
      <c r="LET4" s="4"/>
      <c r="LEU4" s="4"/>
      <c r="LEV4" s="4"/>
      <c r="LEW4" s="4"/>
      <c r="LEX4" s="4"/>
      <c r="LEY4" s="4"/>
      <c r="LEZ4" s="4"/>
      <c r="LFA4" s="4"/>
      <c r="LFB4" s="4"/>
      <c r="LFC4" s="4"/>
      <c r="LFD4" s="4"/>
      <c r="LFE4" s="4"/>
      <c r="LFF4" s="4"/>
      <c r="LFG4" s="4"/>
      <c r="LFH4" s="4"/>
      <c r="LFI4" s="4"/>
      <c r="LFJ4" s="4"/>
      <c r="LFK4" s="4"/>
      <c r="LFL4" s="4"/>
      <c r="LFM4" s="4"/>
      <c r="LFN4" s="4"/>
      <c r="LFO4" s="4"/>
      <c r="LFP4" s="4"/>
      <c r="LFQ4" s="4"/>
      <c r="LFR4" s="4"/>
      <c r="LFS4" s="4"/>
      <c r="LFT4" s="4"/>
      <c r="LFU4" s="4"/>
      <c r="LFV4" s="4"/>
      <c r="LFW4" s="4"/>
      <c r="LFX4" s="4"/>
      <c r="LFY4" s="4"/>
      <c r="LFZ4" s="4"/>
      <c r="LGA4" s="4"/>
      <c r="LGB4" s="4"/>
      <c r="LGC4" s="4"/>
      <c r="LGD4" s="4"/>
      <c r="LGE4" s="4"/>
      <c r="LGF4" s="4"/>
      <c r="LGG4" s="4"/>
      <c r="LGH4" s="4"/>
      <c r="LGI4" s="4"/>
      <c r="LGJ4" s="4"/>
      <c r="LGK4" s="4"/>
      <c r="LGL4" s="4"/>
      <c r="LGM4" s="4"/>
      <c r="LGN4" s="4"/>
      <c r="LGO4" s="4"/>
      <c r="LGP4" s="4"/>
      <c r="LGQ4" s="4"/>
      <c r="LGR4" s="4"/>
      <c r="LGS4" s="4"/>
      <c r="LGT4" s="4"/>
      <c r="LGU4" s="4"/>
      <c r="LGV4" s="4"/>
      <c r="LGW4" s="4"/>
      <c r="LGX4" s="4"/>
      <c r="LGY4" s="4"/>
      <c r="LGZ4" s="4"/>
      <c r="LHA4" s="4"/>
      <c r="LHB4" s="4"/>
      <c r="LHC4" s="4"/>
      <c r="LHD4" s="4"/>
      <c r="LHE4" s="4"/>
      <c r="LHF4" s="4"/>
      <c r="LHG4" s="4"/>
      <c r="LHH4" s="4"/>
      <c r="LHI4" s="4"/>
      <c r="LHJ4" s="4"/>
      <c r="LHK4" s="4"/>
      <c r="LHL4" s="4"/>
      <c r="LHM4" s="4"/>
      <c r="LHN4" s="4"/>
      <c r="LHO4" s="4"/>
      <c r="LHP4" s="4"/>
      <c r="LHQ4" s="4"/>
      <c r="LHR4" s="4"/>
      <c r="LHS4" s="4"/>
      <c r="LHT4" s="4"/>
      <c r="LHU4" s="4"/>
      <c r="LHV4" s="4"/>
      <c r="LHW4" s="4"/>
      <c r="LHX4" s="4"/>
      <c r="LHY4" s="4"/>
      <c r="LHZ4" s="4"/>
      <c r="LIA4" s="4"/>
      <c r="LIB4" s="4"/>
      <c r="LIC4" s="4"/>
      <c r="LID4" s="4"/>
      <c r="LIE4" s="4"/>
      <c r="LIF4" s="4"/>
      <c r="LIG4" s="4"/>
      <c r="LIH4" s="4"/>
      <c r="LII4" s="4"/>
      <c r="LIJ4" s="4"/>
      <c r="LIK4" s="4"/>
      <c r="LIL4" s="4"/>
      <c r="LIM4" s="4"/>
      <c r="LIN4" s="4"/>
      <c r="LIO4" s="4"/>
      <c r="LIP4" s="4"/>
      <c r="LIQ4" s="4"/>
      <c r="LIR4" s="4"/>
      <c r="LIS4" s="4"/>
      <c r="LIT4" s="4"/>
      <c r="LIU4" s="4"/>
      <c r="LIV4" s="4"/>
      <c r="LIW4" s="4"/>
      <c r="LIX4" s="4"/>
      <c r="LIY4" s="4"/>
      <c r="LIZ4" s="4"/>
      <c r="LJA4" s="4"/>
      <c r="LJB4" s="4"/>
      <c r="LJC4" s="4"/>
      <c r="LJD4" s="4"/>
      <c r="LJE4" s="4"/>
      <c r="LJF4" s="4"/>
      <c r="LJG4" s="4"/>
      <c r="LJH4" s="4"/>
      <c r="LJI4" s="4"/>
      <c r="LJJ4" s="4"/>
      <c r="LJK4" s="4"/>
      <c r="LJL4" s="4"/>
      <c r="LJM4" s="4"/>
      <c r="LJN4" s="4"/>
      <c r="LJO4" s="4"/>
      <c r="LJP4" s="4"/>
      <c r="LJQ4" s="4"/>
      <c r="LJR4" s="4"/>
      <c r="LJS4" s="4"/>
      <c r="LJT4" s="4"/>
      <c r="LJU4" s="4"/>
      <c r="LJV4" s="4"/>
      <c r="LJW4" s="4"/>
      <c r="LJX4" s="4"/>
      <c r="LJY4" s="4"/>
      <c r="LJZ4" s="4"/>
      <c r="LKA4" s="4"/>
      <c r="LKB4" s="4"/>
      <c r="LKC4" s="4"/>
      <c r="LKD4" s="4"/>
      <c r="LKE4" s="4"/>
      <c r="LKF4" s="4"/>
      <c r="LKG4" s="4"/>
      <c r="LKH4" s="4"/>
      <c r="LKI4" s="4"/>
      <c r="LKJ4" s="4"/>
      <c r="LKK4" s="4"/>
      <c r="LKL4" s="4"/>
      <c r="LKM4" s="4"/>
      <c r="LKN4" s="4"/>
      <c r="LKO4" s="4"/>
      <c r="LKP4" s="4"/>
      <c r="LKQ4" s="4"/>
      <c r="LKR4" s="4"/>
      <c r="LKS4" s="4"/>
      <c r="LKT4" s="4"/>
      <c r="LKU4" s="4"/>
      <c r="LKV4" s="4"/>
      <c r="LKW4" s="4"/>
      <c r="LKX4" s="4"/>
      <c r="LKY4" s="4"/>
      <c r="LKZ4" s="4"/>
      <c r="LLA4" s="4"/>
      <c r="LLB4" s="4"/>
      <c r="LLC4" s="4"/>
      <c r="LLD4" s="4"/>
      <c r="LLE4" s="4"/>
      <c r="LLF4" s="4"/>
      <c r="LLG4" s="4"/>
      <c r="LLH4" s="4"/>
      <c r="LLI4" s="4"/>
      <c r="LLJ4" s="4"/>
      <c r="LLK4" s="4"/>
      <c r="LLL4" s="4"/>
      <c r="LLM4" s="4"/>
      <c r="LLN4" s="4"/>
      <c r="LLO4" s="4"/>
      <c r="LLP4" s="4"/>
      <c r="LLQ4" s="4"/>
      <c r="LLR4" s="4"/>
      <c r="LLS4" s="4"/>
      <c r="LLT4" s="4"/>
      <c r="LLU4" s="4"/>
      <c r="LLV4" s="4"/>
      <c r="LLW4" s="4"/>
      <c r="LLX4" s="4"/>
      <c r="LLY4" s="4"/>
      <c r="LLZ4" s="4"/>
      <c r="LMA4" s="4"/>
      <c r="LMB4" s="4"/>
      <c r="LMC4" s="4"/>
      <c r="LMD4" s="4"/>
      <c r="LME4" s="4"/>
      <c r="LMF4" s="4"/>
      <c r="LMG4" s="4"/>
      <c r="LMH4" s="4"/>
      <c r="LMI4" s="4"/>
      <c r="LMJ4" s="4"/>
      <c r="LMK4" s="4"/>
      <c r="LML4" s="4"/>
      <c r="LMM4" s="4"/>
      <c r="LMN4" s="4"/>
      <c r="LMO4" s="4"/>
      <c r="LMP4" s="4"/>
      <c r="LMQ4" s="4"/>
      <c r="LMR4" s="4"/>
      <c r="LMS4" s="4"/>
      <c r="LMT4" s="4"/>
      <c r="LMU4" s="4"/>
      <c r="LMV4" s="4"/>
      <c r="LMW4" s="4"/>
      <c r="LMX4" s="4"/>
      <c r="LMY4" s="4"/>
      <c r="LMZ4" s="4"/>
      <c r="LNA4" s="4"/>
      <c r="LNB4" s="4"/>
      <c r="LNC4" s="4"/>
      <c r="LND4" s="4"/>
      <c r="LNE4" s="4"/>
      <c r="LNF4" s="4"/>
      <c r="LNG4" s="4"/>
      <c r="LNH4" s="4"/>
      <c r="LNI4" s="4"/>
      <c r="LNJ4" s="4"/>
      <c r="LNK4" s="4"/>
      <c r="LNL4" s="4"/>
      <c r="LNM4" s="4"/>
      <c r="LNN4" s="4"/>
      <c r="LNO4" s="4"/>
      <c r="LNP4" s="4"/>
      <c r="LNQ4" s="4"/>
      <c r="LNR4" s="4"/>
      <c r="LNS4" s="4"/>
      <c r="LNT4" s="4"/>
      <c r="LNU4" s="4"/>
      <c r="LNV4" s="4"/>
      <c r="LNW4" s="4"/>
      <c r="LNX4" s="4"/>
      <c r="LNY4" s="4"/>
      <c r="LNZ4" s="4"/>
      <c r="LOA4" s="4"/>
      <c r="LOB4" s="4"/>
      <c r="LOC4" s="4"/>
      <c r="LOD4" s="4"/>
      <c r="LOE4" s="4"/>
      <c r="LOF4" s="4"/>
      <c r="LOG4" s="4"/>
      <c r="LOH4" s="4"/>
      <c r="LOI4" s="4"/>
      <c r="LOJ4" s="4"/>
      <c r="LOK4" s="4"/>
      <c r="LOL4" s="4"/>
      <c r="LOM4" s="4"/>
      <c r="LON4" s="4"/>
      <c r="LOO4" s="4"/>
      <c r="LOP4" s="4"/>
      <c r="LOQ4" s="4"/>
      <c r="LOR4" s="4"/>
      <c r="LOS4" s="4"/>
      <c r="LOT4" s="4"/>
      <c r="LOU4" s="4"/>
      <c r="LOV4" s="4"/>
      <c r="LOW4" s="4"/>
      <c r="LOX4" s="4"/>
      <c r="LOY4" s="4"/>
      <c r="LOZ4" s="4"/>
      <c r="LPA4" s="4"/>
      <c r="LPB4" s="4"/>
      <c r="LPC4" s="4"/>
      <c r="LPD4" s="4"/>
      <c r="LPE4" s="4"/>
      <c r="LPF4" s="4"/>
      <c r="LPG4" s="4"/>
      <c r="LPH4" s="4"/>
      <c r="LPI4" s="4"/>
      <c r="LPJ4" s="4"/>
      <c r="LPK4" s="4"/>
      <c r="LPL4" s="4"/>
      <c r="LPM4" s="4"/>
      <c r="LPN4" s="4"/>
      <c r="LPO4" s="4"/>
      <c r="LPP4" s="4"/>
      <c r="LPQ4" s="4"/>
      <c r="LPR4" s="4"/>
      <c r="LPS4" s="4"/>
      <c r="LPT4" s="4"/>
      <c r="LPU4" s="4"/>
      <c r="LPV4" s="4"/>
      <c r="LPW4" s="4"/>
      <c r="LPX4" s="4"/>
      <c r="LPY4" s="4"/>
      <c r="LPZ4" s="4"/>
      <c r="LQA4" s="4"/>
      <c r="LQB4" s="4"/>
      <c r="LQC4" s="4"/>
      <c r="LQD4" s="4"/>
      <c r="LQE4" s="4"/>
      <c r="LQF4" s="4"/>
      <c r="LQG4" s="4"/>
      <c r="LQH4" s="4"/>
      <c r="LQI4" s="4"/>
      <c r="LQJ4" s="4"/>
      <c r="LQK4" s="4"/>
      <c r="LQL4" s="4"/>
      <c r="LQM4" s="4"/>
      <c r="LQN4" s="4"/>
      <c r="LQO4" s="4"/>
      <c r="LQP4" s="4"/>
      <c r="LQQ4" s="4"/>
      <c r="LQR4" s="4"/>
      <c r="LQS4" s="4"/>
      <c r="LQT4" s="4"/>
      <c r="LQU4" s="4"/>
      <c r="LQV4" s="4"/>
      <c r="LQW4" s="4"/>
      <c r="LQX4" s="4"/>
      <c r="LQY4" s="4"/>
      <c r="LQZ4" s="4"/>
      <c r="LRA4" s="4"/>
      <c r="LRB4" s="4"/>
      <c r="LRC4" s="4"/>
      <c r="LRD4" s="4"/>
      <c r="LRE4" s="4"/>
      <c r="LRF4" s="4"/>
      <c r="LRG4" s="4"/>
      <c r="LRH4" s="4"/>
      <c r="LRI4" s="4"/>
      <c r="LRJ4" s="4"/>
      <c r="LRK4" s="4"/>
      <c r="LRL4" s="4"/>
      <c r="LRM4" s="4"/>
      <c r="LRN4" s="4"/>
      <c r="LRO4" s="4"/>
      <c r="LRP4" s="4"/>
      <c r="LRQ4" s="4"/>
      <c r="LRR4" s="4"/>
      <c r="LRS4" s="4"/>
      <c r="LRT4" s="4"/>
      <c r="LRU4" s="4"/>
      <c r="LRV4" s="4"/>
      <c r="LRW4" s="4"/>
      <c r="LRX4" s="4"/>
      <c r="LRY4" s="4"/>
      <c r="LRZ4" s="4"/>
      <c r="LSA4" s="4"/>
      <c r="LSB4" s="4"/>
      <c r="LSC4" s="4"/>
      <c r="LSD4" s="4"/>
      <c r="LSE4" s="4"/>
      <c r="LSF4" s="4"/>
      <c r="LSG4" s="4"/>
      <c r="LSH4" s="4"/>
      <c r="LSI4" s="4"/>
      <c r="LSJ4" s="4"/>
      <c r="LSK4" s="4"/>
      <c r="LSL4" s="4"/>
      <c r="LSM4" s="4"/>
      <c r="LSN4" s="4"/>
      <c r="LSO4" s="4"/>
      <c r="LSP4" s="4"/>
      <c r="LSQ4" s="4"/>
      <c r="LSR4" s="4"/>
      <c r="LSS4" s="4"/>
      <c r="LST4" s="4"/>
      <c r="LSU4" s="4"/>
      <c r="LSV4" s="4"/>
      <c r="LSW4" s="4"/>
      <c r="LSX4" s="4"/>
      <c r="LSY4" s="4"/>
      <c r="LSZ4" s="4"/>
      <c r="LTA4" s="4"/>
      <c r="LTB4" s="4"/>
      <c r="LTC4" s="4"/>
      <c r="LTD4" s="4"/>
      <c r="LTE4" s="4"/>
      <c r="LTF4" s="4"/>
      <c r="LTG4" s="4"/>
      <c r="LTH4" s="4"/>
      <c r="LTI4" s="4"/>
      <c r="LTJ4" s="4"/>
      <c r="LTK4" s="4"/>
      <c r="LTL4" s="4"/>
      <c r="LTM4" s="4"/>
      <c r="LTN4" s="4"/>
      <c r="LTO4" s="4"/>
      <c r="LTP4" s="4"/>
      <c r="LTQ4" s="4"/>
      <c r="LTR4" s="4"/>
      <c r="LTS4" s="4"/>
      <c r="LTT4" s="4"/>
      <c r="LTU4" s="4"/>
      <c r="LTV4" s="4"/>
      <c r="LTW4" s="4"/>
      <c r="LTX4" s="4"/>
      <c r="LTY4" s="4"/>
      <c r="LTZ4" s="4"/>
      <c r="LUA4" s="4"/>
      <c r="LUB4" s="4"/>
      <c r="LUC4" s="4"/>
      <c r="LUD4" s="4"/>
      <c r="LUE4" s="4"/>
      <c r="LUF4" s="4"/>
      <c r="LUG4" s="4"/>
      <c r="LUH4" s="4"/>
      <c r="LUI4" s="4"/>
      <c r="LUJ4" s="4"/>
      <c r="LUK4" s="4"/>
      <c r="LUL4" s="4"/>
      <c r="LUM4" s="4"/>
      <c r="LUN4" s="4"/>
      <c r="LUO4" s="4"/>
      <c r="LUP4" s="4"/>
      <c r="LUQ4" s="4"/>
      <c r="LUR4" s="4"/>
      <c r="LUS4" s="4"/>
      <c r="LUT4" s="4"/>
      <c r="LUU4" s="4"/>
      <c r="LUV4" s="4"/>
      <c r="LUW4" s="4"/>
      <c r="LUX4" s="4"/>
      <c r="LUY4" s="4"/>
      <c r="LUZ4" s="4"/>
      <c r="LVA4" s="4"/>
      <c r="LVB4" s="4"/>
      <c r="LVC4" s="4"/>
      <c r="LVD4" s="4"/>
      <c r="LVE4" s="4"/>
      <c r="LVF4" s="4"/>
      <c r="LVG4" s="4"/>
      <c r="LVH4" s="4"/>
      <c r="LVI4" s="4"/>
      <c r="LVJ4" s="4"/>
      <c r="LVK4" s="4"/>
      <c r="LVL4" s="4"/>
      <c r="LVM4" s="4"/>
      <c r="LVN4" s="4"/>
      <c r="LVO4" s="4"/>
      <c r="LVP4" s="4"/>
      <c r="LVQ4" s="4"/>
      <c r="LVR4" s="4"/>
      <c r="LVS4" s="4"/>
      <c r="LVT4" s="4"/>
      <c r="LVU4" s="4"/>
      <c r="LVV4" s="4"/>
      <c r="LVW4" s="4"/>
      <c r="LVX4" s="4"/>
      <c r="LVY4" s="4"/>
      <c r="LVZ4" s="4"/>
      <c r="LWA4" s="4"/>
      <c r="LWB4" s="4"/>
      <c r="LWC4" s="4"/>
      <c r="LWD4" s="4"/>
      <c r="LWE4" s="4"/>
      <c r="LWF4" s="4"/>
      <c r="LWG4" s="4"/>
      <c r="LWH4" s="4"/>
      <c r="LWI4" s="4"/>
      <c r="LWJ4" s="4"/>
      <c r="LWK4" s="4"/>
      <c r="LWL4" s="4"/>
      <c r="LWM4" s="4"/>
      <c r="LWN4" s="4"/>
      <c r="LWO4" s="4"/>
      <c r="LWP4" s="4"/>
      <c r="LWQ4" s="4"/>
      <c r="LWR4" s="4"/>
      <c r="LWS4" s="4"/>
      <c r="LWT4" s="4"/>
      <c r="LWU4" s="4"/>
      <c r="LWV4" s="4"/>
      <c r="LWW4" s="4"/>
      <c r="LWX4" s="4"/>
      <c r="LWY4" s="4"/>
      <c r="LWZ4" s="4"/>
      <c r="LXA4" s="4"/>
      <c r="LXB4" s="4"/>
      <c r="LXC4" s="4"/>
      <c r="LXD4" s="4"/>
      <c r="LXE4" s="4"/>
      <c r="LXF4" s="4"/>
      <c r="LXG4" s="4"/>
      <c r="LXH4" s="4"/>
      <c r="LXI4" s="4"/>
      <c r="LXJ4" s="4"/>
      <c r="LXK4" s="4"/>
      <c r="LXL4" s="4"/>
      <c r="LXM4" s="4"/>
      <c r="LXN4" s="4"/>
      <c r="LXO4" s="4"/>
      <c r="LXP4" s="4"/>
      <c r="LXQ4" s="4"/>
      <c r="LXR4" s="4"/>
      <c r="LXS4" s="4"/>
      <c r="LXT4" s="4"/>
      <c r="LXU4" s="4"/>
      <c r="LXV4" s="4"/>
      <c r="LXW4" s="4"/>
      <c r="LXX4" s="4"/>
      <c r="LXY4" s="4"/>
      <c r="LXZ4" s="4"/>
      <c r="LYA4" s="4"/>
      <c r="LYB4" s="4"/>
      <c r="LYC4" s="4"/>
      <c r="LYD4" s="4"/>
      <c r="LYE4" s="4"/>
      <c r="LYF4" s="4"/>
      <c r="LYG4" s="4"/>
      <c r="LYH4" s="4"/>
      <c r="LYI4" s="4"/>
      <c r="LYJ4" s="4"/>
      <c r="LYK4" s="4"/>
      <c r="LYL4" s="4"/>
      <c r="LYM4" s="4"/>
      <c r="LYN4" s="4"/>
      <c r="LYO4" s="4"/>
      <c r="LYP4" s="4"/>
      <c r="LYQ4" s="4"/>
      <c r="LYR4" s="4"/>
      <c r="LYS4" s="4"/>
      <c r="LYT4" s="4"/>
      <c r="LYU4" s="4"/>
      <c r="LYV4" s="4"/>
      <c r="LYW4" s="4"/>
      <c r="LYX4" s="4"/>
      <c r="LYY4" s="4"/>
      <c r="LYZ4" s="4"/>
      <c r="LZA4" s="4"/>
      <c r="LZB4" s="4"/>
      <c r="LZC4" s="4"/>
      <c r="LZD4" s="4"/>
      <c r="LZE4" s="4"/>
      <c r="LZF4" s="4"/>
      <c r="LZG4" s="4"/>
      <c r="LZH4" s="4"/>
      <c r="LZI4" s="4"/>
      <c r="LZJ4" s="4"/>
      <c r="LZK4" s="4"/>
      <c r="LZL4" s="4"/>
      <c r="LZM4" s="4"/>
      <c r="LZN4" s="4"/>
      <c r="LZO4" s="4"/>
      <c r="LZP4" s="4"/>
      <c r="LZQ4" s="4"/>
      <c r="LZR4" s="4"/>
      <c r="LZS4" s="4"/>
      <c r="LZT4" s="4"/>
      <c r="LZU4" s="4"/>
      <c r="LZV4" s="4"/>
      <c r="LZW4" s="4"/>
      <c r="LZX4" s="4"/>
      <c r="LZY4" s="4"/>
      <c r="LZZ4" s="4"/>
      <c r="MAA4" s="4"/>
      <c r="MAB4" s="4"/>
      <c r="MAC4" s="4"/>
      <c r="MAD4" s="4"/>
      <c r="MAE4" s="4"/>
      <c r="MAF4" s="4"/>
      <c r="MAG4" s="4"/>
      <c r="MAH4" s="4"/>
      <c r="MAI4" s="4"/>
      <c r="MAJ4" s="4"/>
      <c r="MAK4" s="4"/>
      <c r="MAL4" s="4"/>
      <c r="MAM4" s="4"/>
      <c r="MAN4" s="4"/>
      <c r="MAO4" s="4"/>
      <c r="MAP4" s="4"/>
      <c r="MAQ4" s="4"/>
      <c r="MAR4" s="4"/>
      <c r="MAS4" s="4"/>
      <c r="MAT4" s="4"/>
      <c r="MAU4" s="4"/>
      <c r="MAV4" s="4"/>
      <c r="MAW4" s="4"/>
      <c r="MAX4" s="4"/>
      <c r="MAY4" s="4"/>
      <c r="MAZ4" s="4"/>
      <c r="MBA4" s="4"/>
      <c r="MBB4" s="4"/>
      <c r="MBC4" s="4"/>
      <c r="MBD4" s="4"/>
      <c r="MBE4" s="4"/>
      <c r="MBF4" s="4"/>
      <c r="MBG4" s="4"/>
      <c r="MBH4" s="4"/>
      <c r="MBI4" s="4"/>
      <c r="MBJ4" s="4"/>
      <c r="MBK4" s="4"/>
      <c r="MBL4" s="4"/>
      <c r="MBM4" s="4"/>
      <c r="MBN4" s="4"/>
      <c r="MBO4" s="4"/>
      <c r="MBP4" s="4"/>
      <c r="MBQ4" s="4"/>
      <c r="MBR4" s="4"/>
      <c r="MBS4" s="4"/>
      <c r="MBT4" s="4"/>
      <c r="MBU4" s="4"/>
      <c r="MBV4" s="4"/>
      <c r="MBW4" s="4"/>
      <c r="MBX4" s="4"/>
      <c r="MBY4" s="4"/>
      <c r="MBZ4" s="4"/>
      <c r="MCA4" s="4"/>
      <c r="MCB4" s="4"/>
      <c r="MCC4" s="4"/>
      <c r="MCD4" s="4"/>
      <c r="MCE4" s="4"/>
      <c r="MCF4" s="4"/>
      <c r="MCG4" s="4"/>
      <c r="MCH4" s="4"/>
      <c r="MCI4" s="4"/>
      <c r="MCJ4" s="4"/>
      <c r="MCK4" s="4"/>
      <c r="MCL4" s="4"/>
      <c r="MCM4" s="4"/>
      <c r="MCN4" s="4"/>
      <c r="MCO4" s="4"/>
      <c r="MCP4" s="4"/>
      <c r="MCQ4" s="4"/>
      <c r="MCR4" s="4"/>
      <c r="MCS4" s="4"/>
      <c r="MCT4" s="4"/>
      <c r="MCU4" s="4"/>
      <c r="MCV4" s="4"/>
      <c r="MCW4" s="4"/>
      <c r="MCX4" s="4"/>
      <c r="MCY4" s="4"/>
      <c r="MCZ4" s="4"/>
      <c r="MDA4" s="4"/>
      <c r="MDB4" s="4"/>
      <c r="MDC4" s="4"/>
      <c r="MDD4" s="4"/>
      <c r="MDE4" s="4"/>
      <c r="MDF4" s="4"/>
      <c r="MDG4" s="4"/>
      <c r="MDH4" s="4"/>
      <c r="MDI4" s="4"/>
      <c r="MDJ4" s="4"/>
      <c r="MDK4" s="4"/>
      <c r="MDL4" s="4"/>
      <c r="MDM4" s="4"/>
      <c r="MDN4" s="4"/>
      <c r="MDO4" s="4"/>
      <c r="MDP4" s="4"/>
      <c r="MDQ4" s="4"/>
      <c r="MDR4" s="4"/>
      <c r="MDS4" s="4"/>
      <c r="MDT4" s="4"/>
      <c r="MDU4" s="4"/>
      <c r="MDV4" s="4"/>
      <c r="MDW4" s="4"/>
      <c r="MDX4" s="4"/>
      <c r="MDY4" s="4"/>
      <c r="MDZ4" s="4"/>
      <c r="MEA4" s="4"/>
      <c r="MEB4" s="4"/>
      <c r="MEC4" s="4"/>
      <c r="MED4" s="4"/>
      <c r="MEE4" s="4"/>
      <c r="MEF4" s="4"/>
      <c r="MEG4" s="4"/>
      <c r="MEH4" s="4"/>
      <c r="MEI4" s="4"/>
      <c r="MEJ4" s="4"/>
      <c r="MEK4" s="4"/>
      <c r="MEL4" s="4"/>
      <c r="MEM4" s="4"/>
      <c r="MEN4" s="4"/>
      <c r="MEO4" s="4"/>
      <c r="MEP4" s="4"/>
      <c r="MEQ4" s="4"/>
      <c r="MER4" s="4"/>
      <c r="MES4" s="4"/>
      <c r="MET4" s="4"/>
      <c r="MEU4" s="4"/>
      <c r="MEV4" s="4"/>
      <c r="MEW4" s="4"/>
      <c r="MEX4" s="4"/>
      <c r="MEY4" s="4"/>
      <c r="MEZ4" s="4"/>
      <c r="MFA4" s="4"/>
      <c r="MFB4" s="4"/>
      <c r="MFC4" s="4"/>
      <c r="MFD4" s="4"/>
      <c r="MFE4" s="4"/>
      <c r="MFF4" s="4"/>
      <c r="MFG4" s="4"/>
      <c r="MFH4" s="4"/>
      <c r="MFI4" s="4"/>
      <c r="MFJ4" s="4"/>
      <c r="MFK4" s="4"/>
      <c r="MFL4" s="4"/>
      <c r="MFM4" s="4"/>
      <c r="MFN4" s="4"/>
      <c r="MFO4" s="4"/>
      <c r="MFP4" s="4"/>
      <c r="MFQ4" s="4"/>
      <c r="MFR4" s="4"/>
      <c r="MFS4" s="4"/>
      <c r="MFT4" s="4"/>
      <c r="MFU4" s="4"/>
      <c r="MFV4" s="4"/>
      <c r="MFW4" s="4"/>
      <c r="MFX4" s="4"/>
      <c r="MFY4" s="4"/>
      <c r="MFZ4" s="4"/>
      <c r="MGA4" s="4"/>
      <c r="MGB4" s="4"/>
      <c r="MGC4" s="4"/>
      <c r="MGD4" s="4"/>
      <c r="MGE4" s="4"/>
      <c r="MGF4" s="4"/>
      <c r="MGG4" s="4"/>
      <c r="MGH4" s="4"/>
      <c r="MGI4" s="4"/>
      <c r="MGJ4" s="4"/>
      <c r="MGK4" s="4"/>
      <c r="MGL4" s="4"/>
      <c r="MGM4" s="4"/>
      <c r="MGN4" s="4"/>
      <c r="MGO4" s="4"/>
      <c r="MGP4" s="4"/>
      <c r="MGQ4" s="4"/>
      <c r="MGR4" s="4"/>
      <c r="MGS4" s="4"/>
      <c r="MGT4" s="4"/>
      <c r="MGU4" s="4"/>
      <c r="MGV4" s="4"/>
      <c r="MGW4" s="4"/>
      <c r="MGX4" s="4"/>
      <c r="MGY4" s="4"/>
      <c r="MGZ4" s="4"/>
      <c r="MHA4" s="4"/>
      <c r="MHB4" s="4"/>
      <c r="MHC4" s="4"/>
      <c r="MHD4" s="4"/>
      <c r="MHE4" s="4"/>
      <c r="MHF4" s="4"/>
      <c r="MHG4" s="4"/>
      <c r="MHH4" s="4"/>
      <c r="MHI4" s="4"/>
      <c r="MHJ4" s="4"/>
      <c r="MHK4" s="4"/>
      <c r="MHL4" s="4"/>
      <c r="MHM4" s="4"/>
      <c r="MHN4" s="4"/>
      <c r="MHO4" s="4"/>
      <c r="MHP4" s="4"/>
      <c r="MHQ4" s="4"/>
      <c r="MHR4" s="4"/>
      <c r="MHS4" s="4"/>
      <c r="MHT4" s="4"/>
      <c r="MHU4" s="4"/>
      <c r="MHV4" s="4"/>
      <c r="MHW4" s="4"/>
      <c r="MHX4" s="4"/>
      <c r="MHY4" s="4"/>
      <c r="MHZ4" s="4"/>
      <c r="MIA4" s="4"/>
      <c r="MIB4" s="4"/>
      <c r="MIC4" s="4"/>
      <c r="MID4" s="4"/>
      <c r="MIE4" s="4"/>
      <c r="MIF4" s="4"/>
      <c r="MIG4" s="4"/>
      <c r="MIH4" s="4"/>
      <c r="MII4" s="4"/>
      <c r="MIJ4" s="4"/>
      <c r="MIK4" s="4"/>
      <c r="MIL4" s="4"/>
      <c r="MIM4" s="4"/>
      <c r="MIN4" s="4"/>
      <c r="MIO4" s="4"/>
      <c r="MIP4" s="4"/>
      <c r="MIQ4" s="4"/>
      <c r="MIR4" s="4"/>
      <c r="MIS4" s="4"/>
      <c r="MIT4" s="4"/>
      <c r="MIU4" s="4"/>
      <c r="MIV4" s="4"/>
      <c r="MIW4" s="4"/>
      <c r="MIX4" s="4"/>
      <c r="MIY4" s="4"/>
      <c r="MIZ4" s="4"/>
      <c r="MJA4" s="4"/>
      <c r="MJB4" s="4"/>
      <c r="MJC4" s="4"/>
      <c r="MJD4" s="4"/>
      <c r="MJE4" s="4"/>
      <c r="MJF4" s="4"/>
      <c r="MJG4" s="4"/>
      <c r="MJH4" s="4"/>
      <c r="MJI4" s="4"/>
      <c r="MJJ4" s="4"/>
      <c r="MJK4" s="4"/>
      <c r="MJL4" s="4"/>
      <c r="MJM4" s="4"/>
      <c r="MJN4" s="4"/>
      <c r="MJO4" s="4"/>
      <c r="MJP4" s="4"/>
      <c r="MJQ4" s="4"/>
      <c r="MJR4" s="4"/>
      <c r="MJS4" s="4"/>
      <c r="MJT4" s="4"/>
      <c r="MJU4" s="4"/>
      <c r="MJV4" s="4"/>
      <c r="MJW4" s="4"/>
      <c r="MJX4" s="4"/>
      <c r="MJY4" s="4"/>
      <c r="MJZ4" s="4"/>
      <c r="MKA4" s="4"/>
      <c r="MKB4" s="4"/>
      <c r="MKC4" s="4"/>
      <c r="MKD4" s="4"/>
      <c r="MKE4" s="4"/>
      <c r="MKF4" s="4"/>
      <c r="MKG4" s="4"/>
      <c r="MKH4" s="4"/>
      <c r="MKI4" s="4"/>
      <c r="MKJ4" s="4"/>
      <c r="MKK4" s="4"/>
      <c r="MKL4" s="4"/>
      <c r="MKM4" s="4"/>
      <c r="MKN4" s="4"/>
      <c r="MKO4" s="4"/>
      <c r="MKP4" s="4"/>
      <c r="MKQ4" s="4"/>
      <c r="MKR4" s="4"/>
      <c r="MKS4" s="4"/>
      <c r="MKT4" s="4"/>
      <c r="MKU4" s="4"/>
      <c r="MKV4" s="4"/>
      <c r="MKW4" s="4"/>
      <c r="MKX4" s="4"/>
      <c r="MKY4" s="4"/>
      <c r="MKZ4" s="4"/>
      <c r="MLA4" s="4"/>
      <c r="MLB4" s="4"/>
      <c r="MLC4" s="4"/>
      <c r="MLD4" s="4"/>
      <c r="MLE4" s="4"/>
      <c r="MLF4" s="4"/>
      <c r="MLG4" s="4"/>
      <c r="MLH4" s="4"/>
      <c r="MLI4" s="4"/>
      <c r="MLJ4" s="4"/>
      <c r="MLK4" s="4"/>
      <c r="MLL4" s="4"/>
      <c r="MLM4" s="4"/>
      <c r="MLN4" s="4"/>
      <c r="MLO4" s="4"/>
      <c r="MLP4" s="4"/>
      <c r="MLQ4" s="4"/>
      <c r="MLR4" s="4"/>
      <c r="MLS4" s="4"/>
      <c r="MLT4" s="4"/>
      <c r="MLU4" s="4"/>
      <c r="MLV4" s="4"/>
      <c r="MLW4" s="4"/>
      <c r="MLX4" s="4"/>
      <c r="MLY4" s="4"/>
      <c r="MLZ4" s="4"/>
      <c r="MMA4" s="4"/>
      <c r="MMB4" s="4"/>
      <c r="MMC4" s="4"/>
      <c r="MMD4" s="4"/>
      <c r="MME4" s="4"/>
      <c r="MMF4" s="4"/>
      <c r="MMG4" s="4"/>
      <c r="MMH4" s="4"/>
      <c r="MMI4" s="4"/>
      <c r="MMJ4" s="4"/>
      <c r="MMK4" s="4"/>
      <c r="MML4" s="4"/>
      <c r="MMM4" s="4"/>
      <c r="MMN4" s="4"/>
      <c r="MMO4" s="4"/>
      <c r="MMP4" s="4"/>
      <c r="MMQ4" s="4"/>
      <c r="MMR4" s="4"/>
      <c r="MMS4" s="4"/>
      <c r="MMT4" s="4"/>
      <c r="MMU4" s="4"/>
      <c r="MMV4" s="4"/>
      <c r="MMW4" s="4"/>
      <c r="MMX4" s="4"/>
      <c r="MMY4" s="4"/>
      <c r="MMZ4" s="4"/>
      <c r="MNA4" s="4"/>
      <c r="MNB4" s="4"/>
      <c r="MNC4" s="4"/>
      <c r="MND4" s="4"/>
      <c r="MNE4" s="4"/>
      <c r="MNF4" s="4"/>
      <c r="MNG4" s="4"/>
      <c r="MNH4" s="4"/>
      <c r="MNI4" s="4"/>
      <c r="MNJ4" s="4"/>
      <c r="MNK4" s="4"/>
      <c r="MNL4" s="4"/>
      <c r="MNM4" s="4"/>
      <c r="MNN4" s="4"/>
      <c r="MNO4" s="4"/>
      <c r="MNP4" s="4"/>
      <c r="MNQ4" s="4"/>
      <c r="MNR4" s="4"/>
      <c r="MNS4" s="4"/>
      <c r="MNT4" s="4"/>
      <c r="MNU4" s="4"/>
      <c r="MNV4" s="4"/>
      <c r="MNW4" s="4"/>
      <c r="MNX4" s="4"/>
      <c r="MNY4" s="4"/>
      <c r="MNZ4" s="4"/>
      <c r="MOA4" s="4"/>
      <c r="MOB4" s="4"/>
      <c r="MOC4" s="4"/>
      <c r="MOD4" s="4"/>
      <c r="MOE4" s="4"/>
      <c r="MOF4" s="4"/>
      <c r="MOG4" s="4"/>
      <c r="MOH4" s="4"/>
      <c r="MOI4" s="4"/>
      <c r="MOJ4" s="4"/>
      <c r="MOK4" s="4"/>
      <c r="MOL4" s="4"/>
      <c r="MOM4" s="4"/>
      <c r="MON4" s="4"/>
      <c r="MOO4" s="4"/>
      <c r="MOP4" s="4"/>
      <c r="MOQ4" s="4"/>
      <c r="MOR4" s="4"/>
      <c r="MOS4" s="4"/>
      <c r="MOT4" s="4"/>
      <c r="MOU4" s="4"/>
      <c r="MOV4" s="4"/>
      <c r="MOW4" s="4"/>
      <c r="MOX4" s="4"/>
      <c r="MOY4" s="4"/>
      <c r="MOZ4" s="4"/>
      <c r="MPA4" s="4"/>
      <c r="MPB4" s="4"/>
      <c r="MPC4" s="4"/>
      <c r="MPD4" s="4"/>
      <c r="MPE4" s="4"/>
      <c r="MPF4" s="4"/>
      <c r="MPG4" s="4"/>
      <c r="MPH4" s="4"/>
      <c r="MPI4" s="4"/>
      <c r="MPJ4" s="4"/>
      <c r="MPK4" s="4"/>
      <c r="MPL4" s="4"/>
      <c r="MPM4" s="4"/>
      <c r="MPN4" s="4"/>
      <c r="MPO4" s="4"/>
      <c r="MPP4" s="4"/>
      <c r="MPQ4" s="4"/>
      <c r="MPR4" s="4"/>
      <c r="MPS4" s="4"/>
      <c r="MPT4" s="4"/>
      <c r="MPU4" s="4"/>
      <c r="MPV4" s="4"/>
      <c r="MPW4" s="4"/>
      <c r="MPX4" s="4"/>
      <c r="MPY4" s="4"/>
      <c r="MPZ4" s="4"/>
      <c r="MQA4" s="4"/>
      <c r="MQB4" s="4"/>
      <c r="MQC4" s="4"/>
      <c r="MQD4" s="4"/>
      <c r="MQE4" s="4"/>
      <c r="MQF4" s="4"/>
      <c r="MQG4" s="4"/>
      <c r="MQH4" s="4"/>
      <c r="MQI4" s="4"/>
      <c r="MQJ4" s="4"/>
      <c r="MQK4" s="4"/>
      <c r="MQL4" s="4"/>
      <c r="MQM4" s="4"/>
      <c r="MQN4" s="4"/>
      <c r="MQO4" s="4"/>
      <c r="MQP4" s="4"/>
      <c r="MQQ4" s="4"/>
      <c r="MQR4" s="4"/>
      <c r="MQS4" s="4"/>
      <c r="MQT4" s="4"/>
      <c r="MQU4" s="4"/>
      <c r="MQV4" s="4"/>
      <c r="MQW4" s="4"/>
      <c r="MQX4" s="4"/>
      <c r="MQY4" s="4"/>
      <c r="MQZ4" s="4"/>
      <c r="MRA4" s="4"/>
      <c r="MRB4" s="4"/>
      <c r="MRC4" s="4"/>
      <c r="MRD4" s="4"/>
      <c r="MRE4" s="4"/>
      <c r="MRF4" s="4"/>
      <c r="MRG4" s="4"/>
      <c r="MRH4" s="4"/>
      <c r="MRI4" s="4"/>
      <c r="MRJ4" s="4"/>
      <c r="MRK4" s="4"/>
      <c r="MRL4" s="4"/>
      <c r="MRM4" s="4"/>
      <c r="MRN4" s="4"/>
      <c r="MRO4" s="4"/>
      <c r="MRP4" s="4"/>
      <c r="MRQ4" s="4"/>
      <c r="MRR4" s="4"/>
      <c r="MRS4" s="4"/>
      <c r="MRT4" s="4"/>
      <c r="MRU4" s="4"/>
      <c r="MRV4" s="4"/>
      <c r="MRW4" s="4"/>
      <c r="MRX4" s="4"/>
      <c r="MRY4" s="4"/>
      <c r="MRZ4" s="4"/>
      <c r="MSA4" s="4"/>
      <c r="MSB4" s="4"/>
      <c r="MSC4" s="4"/>
      <c r="MSD4" s="4"/>
      <c r="MSE4" s="4"/>
      <c r="MSF4" s="4"/>
      <c r="MSG4" s="4"/>
      <c r="MSH4" s="4"/>
      <c r="MSI4" s="4"/>
      <c r="MSJ4" s="4"/>
      <c r="MSK4" s="4"/>
      <c r="MSL4" s="4"/>
      <c r="MSM4" s="4"/>
      <c r="MSN4" s="4"/>
      <c r="MSO4" s="4"/>
      <c r="MSP4" s="4"/>
      <c r="MSQ4" s="4"/>
      <c r="MSR4" s="4"/>
      <c r="MSS4" s="4"/>
      <c r="MST4" s="4"/>
      <c r="MSU4" s="4"/>
      <c r="MSV4" s="4"/>
      <c r="MSW4" s="4"/>
      <c r="MSX4" s="4"/>
      <c r="MSY4" s="4"/>
      <c r="MSZ4" s="4"/>
      <c r="MTA4" s="4"/>
      <c r="MTB4" s="4"/>
      <c r="MTC4" s="4"/>
      <c r="MTD4" s="4"/>
      <c r="MTE4" s="4"/>
      <c r="MTF4" s="4"/>
      <c r="MTG4" s="4"/>
      <c r="MTH4" s="4"/>
      <c r="MTI4" s="4"/>
      <c r="MTJ4" s="4"/>
      <c r="MTK4" s="4"/>
      <c r="MTL4" s="4"/>
      <c r="MTM4" s="4"/>
      <c r="MTN4" s="4"/>
      <c r="MTO4" s="4"/>
      <c r="MTP4" s="4"/>
      <c r="MTQ4" s="4"/>
      <c r="MTR4" s="4"/>
      <c r="MTS4" s="4"/>
      <c r="MTT4" s="4"/>
      <c r="MTU4" s="4"/>
      <c r="MTV4" s="4"/>
      <c r="MTW4" s="4"/>
      <c r="MTX4" s="4"/>
      <c r="MTY4" s="4"/>
      <c r="MTZ4" s="4"/>
      <c r="MUA4" s="4"/>
      <c r="MUB4" s="4"/>
      <c r="MUC4" s="4"/>
      <c r="MUD4" s="4"/>
      <c r="MUE4" s="4"/>
      <c r="MUF4" s="4"/>
      <c r="MUG4" s="4"/>
      <c r="MUH4" s="4"/>
      <c r="MUI4" s="4"/>
      <c r="MUJ4" s="4"/>
      <c r="MUK4" s="4"/>
      <c r="MUL4" s="4"/>
      <c r="MUM4" s="4"/>
      <c r="MUN4" s="4"/>
      <c r="MUO4" s="4"/>
      <c r="MUP4" s="4"/>
      <c r="MUQ4" s="4"/>
      <c r="MUR4" s="4"/>
      <c r="MUS4" s="4"/>
      <c r="MUT4" s="4"/>
      <c r="MUU4" s="4"/>
      <c r="MUV4" s="4"/>
      <c r="MUW4" s="4"/>
      <c r="MUX4" s="4"/>
      <c r="MUY4" s="4"/>
      <c r="MUZ4" s="4"/>
      <c r="MVA4" s="4"/>
      <c r="MVB4" s="4"/>
      <c r="MVC4" s="4"/>
      <c r="MVD4" s="4"/>
      <c r="MVE4" s="4"/>
      <c r="MVF4" s="4"/>
      <c r="MVG4" s="4"/>
      <c r="MVH4" s="4"/>
      <c r="MVI4" s="4"/>
      <c r="MVJ4" s="4"/>
      <c r="MVK4" s="4"/>
      <c r="MVL4" s="4"/>
      <c r="MVM4" s="4"/>
      <c r="MVN4" s="4"/>
      <c r="MVO4" s="4"/>
      <c r="MVP4" s="4"/>
      <c r="MVQ4" s="4"/>
      <c r="MVR4" s="4"/>
      <c r="MVS4" s="4"/>
      <c r="MVT4" s="4"/>
      <c r="MVU4" s="4"/>
      <c r="MVV4" s="4"/>
      <c r="MVW4" s="4"/>
      <c r="MVX4" s="4"/>
      <c r="MVY4" s="4"/>
      <c r="MVZ4" s="4"/>
      <c r="MWA4" s="4"/>
      <c r="MWB4" s="4"/>
      <c r="MWC4" s="4"/>
      <c r="MWD4" s="4"/>
      <c r="MWE4" s="4"/>
      <c r="MWF4" s="4"/>
      <c r="MWG4" s="4"/>
      <c r="MWH4" s="4"/>
      <c r="MWI4" s="4"/>
      <c r="MWJ4" s="4"/>
      <c r="MWK4" s="4"/>
      <c r="MWL4" s="4"/>
      <c r="MWM4" s="4"/>
      <c r="MWN4" s="4"/>
      <c r="MWO4" s="4"/>
      <c r="MWP4" s="4"/>
      <c r="MWQ4" s="4"/>
      <c r="MWR4" s="4"/>
      <c r="MWS4" s="4"/>
      <c r="MWT4" s="4"/>
      <c r="MWU4" s="4"/>
      <c r="MWV4" s="4"/>
      <c r="MWW4" s="4"/>
      <c r="MWX4" s="4"/>
      <c r="MWY4" s="4"/>
      <c r="MWZ4" s="4"/>
      <c r="MXA4" s="4"/>
      <c r="MXB4" s="4"/>
      <c r="MXC4" s="4"/>
      <c r="MXD4" s="4"/>
      <c r="MXE4" s="4"/>
      <c r="MXF4" s="4"/>
      <c r="MXG4" s="4"/>
      <c r="MXH4" s="4"/>
      <c r="MXI4" s="4"/>
      <c r="MXJ4" s="4"/>
      <c r="MXK4" s="4"/>
      <c r="MXL4" s="4"/>
      <c r="MXM4" s="4"/>
      <c r="MXN4" s="4"/>
      <c r="MXO4" s="4"/>
      <c r="MXP4" s="4"/>
      <c r="MXQ4" s="4"/>
      <c r="MXR4" s="4"/>
      <c r="MXS4" s="4"/>
      <c r="MXT4" s="4"/>
      <c r="MXU4" s="4"/>
      <c r="MXV4" s="4"/>
      <c r="MXW4" s="4"/>
      <c r="MXX4" s="4"/>
      <c r="MXY4" s="4"/>
      <c r="MXZ4" s="4"/>
      <c r="MYA4" s="4"/>
      <c r="MYB4" s="4"/>
      <c r="MYC4" s="4"/>
      <c r="MYD4" s="4"/>
      <c r="MYE4" s="4"/>
      <c r="MYF4" s="4"/>
      <c r="MYG4" s="4"/>
      <c r="MYH4" s="4"/>
      <c r="MYI4" s="4"/>
      <c r="MYJ4" s="4"/>
      <c r="MYK4" s="4"/>
      <c r="MYL4" s="4"/>
      <c r="MYM4" s="4"/>
      <c r="MYN4" s="4"/>
      <c r="MYO4" s="4"/>
      <c r="MYP4" s="4"/>
      <c r="MYQ4" s="4"/>
      <c r="MYR4" s="4"/>
      <c r="MYS4" s="4"/>
      <c r="MYT4" s="4"/>
      <c r="MYU4" s="4"/>
      <c r="MYV4" s="4"/>
      <c r="MYW4" s="4"/>
      <c r="MYX4" s="4"/>
      <c r="MYY4" s="4"/>
      <c r="MYZ4" s="4"/>
      <c r="MZA4" s="4"/>
      <c r="MZB4" s="4"/>
      <c r="MZC4" s="4"/>
      <c r="MZD4" s="4"/>
      <c r="MZE4" s="4"/>
      <c r="MZF4" s="4"/>
      <c r="MZG4" s="4"/>
      <c r="MZH4" s="4"/>
      <c r="MZI4" s="4"/>
      <c r="MZJ4" s="4"/>
      <c r="MZK4" s="4"/>
      <c r="MZL4" s="4"/>
      <c r="MZM4" s="4"/>
      <c r="MZN4" s="4"/>
      <c r="MZO4" s="4"/>
      <c r="MZP4" s="4"/>
      <c r="MZQ4" s="4"/>
      <c r="MZR4" s="4"/>
      <c r="MZS4" s="4"/>
      <c r="MZT4" s="4"/>
      <c r="MZU4" s="4"/>
      <c r="MZV4" s="4"/>
      <c r="MZW4" s="4"/>
      <c r="MZX4" s="4"/>
      <c r="MZY4" s="4"/>
      <c r="MZZ4" s="4"/>
      <c r="NAA4" s="4"/>
      <c r="NAB4" s="4"/>
      <c r="NAC4" s="4"/>
      <c r="NAD4" s="4"/>
      <c r="NAE4" s="4"/>
      <c r="NAF4" s="4"/>
      <c r="NAG4" s="4"/>
      <c r="NAH4" s="4"/>
      <c r="NAI4" s="4"/>
      <c r="NAJ4" s="4"/>
      <c r="NAK4" s="4"/>
      <c r="NAL4" s="4"/>
      <c r="NAM4" s="4"/>
      <c r="NAN4" s="4"/>
      <c r="NAO4" s="4"/>
      <c r="NAP4" s="4"/>
      <c r="NAQ4" s="4"/>
      <c r="NAR4" s="4"/>
      <c r="NAS4" s="4"/>
      <c r="NAT4" s="4"/>
      <c r="NAU4" s="4"/>
      <c r="NAV4" s="4"/>
      <c r="NAW4" s="4"/>
      <c r="NAX4" s="4"/>
      <c r="NAY4" s="4"/>
      <c r="NAZ4" s="4"/>
      <c r="NBA4" s="4"/>
      <c r="NBB4" s="4"/>
      <c r="NBC4" s="4"/>
      <c r="NBD4" s="4"/>
      <c r="NBE4" s="4"/>
      <c r="NBF4" s="4"/>
      <c r="NBG4" s="4"/>
      <c r="NBH4" s="4"/>
      <c r="NBI4" s="4"/>
      <c r="NBJ4" s="4"/>
      <c r="NBK4" s="4"/>
      <c r="NBL4" s="4"/>
      <c r="NBM4" s="4"/>
      <c r="NBN4" s="4"/>
      <c r="NBO4" s="4"/>
      <c r="NBP4" s="4"/>
      <c r="NBQ4" s="4"/>
      <c r="NBR4" s="4"/>
      <c r="NBS4" s="4"/>
      <c r="NBT4" s="4"/>
      <c r="NBU4" s="4"/>
      <c r="NBV4" s="4"/>
      <c r="NBW4" s="4"/>
      <c r="NBX4" s="4"/>
      <c r="NBY4" s="4"/>
      <c r="NBZ4" s="4"/>
      <c r="NCA4" s="4"/>
      <c r="NCB4" s="4"/>
      <c r="NCC4" s="4"/>
      <c r="NCD4" s="4"/>
      <c r="NCE4" s="4"/>
      <c r="NCF4" s="4"/>
      <c r="NCG4" s="4"/>
      <c r="NCH4" s="4"/>
      <c r="NCI4" s="4"/>
      <c r="NCJ4" s="4"/>
      <c r="NCK4" s="4"/>
      <c r="NCL4" s="4"/>
      <c r="NCM4" s="4"/>
      <c r="NCN4" s="4"/>
      <c r="NCO4" s="4"/>
      <c r="NCP4" s="4"/>
      <c r="NCQ4" s="4"/>
      <c r="NCR4" s="4"/>
      <c r="NCS4" s="4"/>
      <c r="NCT4" s="4"/>
      <c r="NCU4" s="4"/>
      <c r="NCV4" s="4"/>
      <c r="NCW4" s="4"/>
      <c r="NCX4" s="4"/>
      <c r="NCY4" s="4"/>
      <c r="NCZ4" s="4"/>
      <c r="NDA4" s="4"/>
      <c r="NDB4" s="4"/>
      <c r="NDC4" s="4"/>
      <c r="NDD4" s="4"/>
      <c r="NDE4" s="4"/>
      <c r="NDF4" s="4"/>
      <c r="NDG4" s="4"/>
      <c r="NDH4" s="4"/>
      <c r="NDI4" s="4"/>
      <c r="NDJ4" s="4"/>
      <c r="NDK4" s="4"/>
      <c r="NDL4" s="4"/>
      <c r="NDM4" s="4"/>
      <c r="NDN4" s="4"/>
      <c r="NDO4" s="4"/>
      <c r="NDP4" s="4"/>
      <c r="NDQ4" s="4"/>
      <c r="NDR4" s="4"/>
      <c r="NDS4" s="4"/>
      <c r="NDT4" s="4"/>
      <c r="NDU4" s="4"/>
      <c r="NDV4" s="4"/>
      <c r="NDW4" s="4"/>
      <c r="NDX4" s="4"/>
      <c r="NDY4" s="4"/>
      <c r="NDZ4" s="4"/>
      <c r="NEA4" s="4"/>
      <c r="NEB4" s="4"/>
      <c r="NEC4" s="4"/>
      <c r="NED4" s="4"/>
      <c r="NEE4" s="4"/>
      <c r="NEF4" s="4"/>
      <c r="NEG4" s="4"/>
      <c r="NEH4" s="4"/>
      <c r="NEI4" s="4"/>
      <c r="NEJ4" s="4"/>
      <c r="NEK4" s="4"/>
      <c r="NEL4" s="4"/>
      <c r="NEM4" s="4"/>
      <c r="NEN4" s="4"/>
      <c r="NEO4" s="4"/>
      <c r="NEP4" s="4"/>
      <c r="NEQ4" s="4"/>
      <c r="NER4" s="4"/>
      <c r="NES4" s="4"/>
      <c r="NET4" s="4"/>
      <c r="NEU4" s="4"/>
      <c r="NEV4" s="4"/>
      <c r="NEW4" s="4"/>
      <c r="NEX4" s="4"/>
      <c r="NEY4" s="4"/>
      <c r="NEZ4" s="4"/>
      <c r="NFA4" s="4"/>
      <c r="NFB4" s="4"/>
      <c r="NFC4" s="4"/>
      <c r="NFD4" s="4"/>
      <c r="NFE4" s="4"/>
      <c r="NFF4" s="4"/>
      <c r="NFG4" s="4"/>
      <c r="NFH4" s="4"/>
      <c r="NFI4" s="4"/>
      <c r="NFJ4" s="4"/>
      <c r="NFK4" s="4"/>
      <c r="NFL4" s="4"/>
      <c r="NFM4" s="4"/>
      <c r="NFN4" s="4"/>
      <c r="NFO4" s="4"/>
      <c r="NFP4" s="4"/>
      <c r="NFQ4" s="4"/>
      <c r="NFR4" s="4"/>
      <c r="NFS4" s="4"/>
      <c r="NFT4" s="4"/>
      <c r="NFU4" s="4"/>
      <c r="NFV4" s="4"/>
      <c r="NFW4" s="4"/>
      <c r="NFX4" s="4"/>
      <c r="NFY4" s="4"/>
      <c r="NFZ4" s="4"/>
      <c r="NGA4" s="4"/>
      <c r="NGB4" s="4"/>
      <c r="NGC4" s="4"/>
      <c r="NGD4" s="4"/>
      <c r="NGE4" s="4"/>
      <c r="NGF4" s="4"/>
      <c r="NGG4" s="4"/>
      <c r="NGH4" s="4"/>
      <c r="NGI4" s="4"/>
      <c r="NGJ4" s="4"/>
      <c r="NGK4" s="4"/>
      <c r="NGL4" s="4"/>
      <c r="NGM4" s="4"/>
      <c r="NGN4" s="4"/>
      <c r="NGO4" s="4"/>
      <c r="NGP4" s="4"/>
      <c r="NGQ4" s="4"/>
      <c r="NGR4" s="4"/>
      <c r="NGS4" s="4"/>
      <c r="NGT4" s="4"/>
      <c r="NGU4" s="4"/>
      <c r="NGV4" s="4"/>
      <c r="NGW4" s="4"/>
      <c r="NGX4" s="4"/>
      <c r="NGY4" s="4"/>
      <c r="NGZ4" s="4"/>
      <c r="NHA4" s="4"/>
      <c r="NHB4" s="4"/>
      <c r="NHC4" s="4"/>
      <c r="NHD4" s="4"/>
      <c r="NHE4" s="4"/>
      <c r="NHF4" s="4"/>
      <c r="NHG4" s="4"/>
      <c r="NHH4" s="4"/>
      <c r="NHI4" s="4"/>
      <c r="NHJ4" s="4"/>
      <c r="NHK4" s="4"/>
      <c r="NHL4" s="4"/>
      <c r="NHM4" s="4"/>
      <c r="NHN4" s="4"/>
      <c r="NHO4" s="4"/>
      <c r="NHP4" s="4"/>
      <c r="NHQ4" s="4"/>
      <c r="NHR4" s="4"/>
      <c r="NHS4" s="4"/>
      <c r="NHT4" s="4"/>
      <c r="NHU4" s="4"/>
      <c r="NHV4" s="4"/>
      <c r="NHW4" s="4"/>
      <c r="NHX4" s="4"/>
      <c r="NHY4" s="4"/>
      <c r="NHZ4" s="4"/>
      <c r="NIA4" s="4"/>
      <c r="NIB4" s="4"/>
      <c r="NIC4" s="4"/>
      <c r="NID4" s="4"/>
      <c r="NIE4" s="4"/>
      <c r="NIF4" s="4"/>
      <c r="NIG4" s="4"/>
      <c r="NIH4" s="4"/>
      <c r="NII4" s="4"/>
      <c r="NIJ4" s="4"/>
      <c r="NIK4" s="4"/>
      <c r="NIL4" s="4"/>
      <c r="NIM4" s="4"/>
      <c r="NIN4" s="4"/>
      <c r="NIO4" s="4"/>
      <c r="NIP4" s="4"/>
      <c r="NIQ4" s="4"/>
      <c r="NIR4" s="4"/>
      <c r="NIS4" s="4"/>
      <c r="NIT4" s="4"/>
      <c r="NIU4" s="4"/>
      <c r="NIV4" s="4"/>
      <c r="NIW4" s="4"/>
      <c r="NIX4" s="4"/>
      <c r="NIY4" s="4"/>
      <c r="NIZ4" s="4"/>
      <c r="NJA4" s="4"/>
      <c r="NJB4" s="4"/>
      <c r="NJC4" s="4"/>
      <c r="NJD4" s="4"/>
      <c r="NJE4" s="4"/>
      <c r="NJF4" s="4"/>
      <c r="NJG4" s="4"/>
      <c r="NJH4" s="4"/>
      <c r="NJI4" s="4"/>
      <c r="NJJ4" s="4"/>
      <c r="NJK4" s="4"/>
      <c r="NJL4" s="4"/>
      <c r="NJM4" s="4"/>
      <c r="NJN4" s="4"/>
      <c r="NJO4" s="4"/>
      <c r="NJP4" s="4"/>
      <c r="NJQ4" s="4"/>
      <c r="NJR4" s="4"/>
      <c r="NJS4" s="4"/>
      <c r="NJT4" s="4"/>
      <c r="NJU4" s="4"/>
      <c r="NJV4" s="4"/>
      <c r="NJW4" s="4"/>
      <c r="NJX4" s="4"/>
      <c r="NJY4" s="4"/>
      <c r="NJZ4" s="4"/>
      <c r="NKA4" s="4"/>
      <c r="NKB4" s="4"/>
      <c r="NKC4" s="4"/>
      <c r="NKD4" s="4"/>
      <c r="NKE4" s="4"/>
      <c r="NKF4" s="4"/>
      <c r="NKG4" s="4"/>
      <c r="NKH4" s="4"/>
      <c r="NKI4" s="4"/>
      <c r="NKJ4" s="4"/>
      <c r="NKK4" s="4"/>
      <c r="NKL4" s="4"/>
      <c r="NKM4" s="4"/>
      <c r="NKN4" s="4"/>
      <c r="NKO4" s="4"/>
      <c r="NKP4" s="4"/>
      <c r="NKQ4" s="4"/>
      <c r="NKR4" s="4"/>
      <c r="NKS4" s="4"/>
      <c r="NKT4" s="4"/>
      <c r="NKU4" s="4"/>
      <c r="NKV4" s="4"/>
      <c r="NKW4" s="4"/>
      <c r="NKX4" s="4"/>
      <c r="NKY4" s="4"/>
      <c r="NKZ4" s="4"/>
      <c r="NLA4" s="4"/>
      <c r="NLB4" s="4"/>
      <c r="NLC4" s="4"/>
      <c r="NLD4" s="4"/>
      <c r="NLE4" s="4"/>
      <c r="NLF4" s="4"/>
      <c r="NLG4" s="4"/>
      <c r="NLH4" s="4"/>
      <c r="NLI4" s="4"/>
      <c r="NLJ4" s="4"/>
      <c r="NLK4" s="4"/>
      <c r="NLL4" s="4"/>
      <c r="NLM4" s="4"/>
      <c r="NLN4" s="4"/>
      <c r="NLO4" s="4"/>
      <c r="NLP4" s="4"/>
      <c r="NLQ4" s="4"/>
      <c r="NLR4" s="4"/>
      <c r="NLS4" s="4"/>
      <c r="NLT4" s="4"/>
      <c r="NLU4" s="4"/>
      <c r="NLV4" s="4"/>
      <c r="NLW4" s="4"/>
      <c r="NLX4" s="4"/>
      <c r="NLY4" s="4"/>
      <c r="NLZ4" s="4"/>
      <c r="NMA4" s="4"/>
      <c r="NMB4" s="4"/>
      <c r="NMC4" s="4"/>
      <c r="NMD4" s="4"/>
      <c r="NME4" s="4"/>
      <c r="NMF4" s="4"/>
      <c r="NMG4" s="4"/>
      <c r="NMH4" s="4"/>
      <c r="NMI4" s="4"/>
      <c r="NMJ4" s="4"/>
      <c r="NMK4" s="4"/>
      <c r="NML4" s="4"/>
      <c r="NMM4" s="4"/>
      <c r="NMN4" s="4"/>
      <c r="NMO4" s="4"/>
      <c r="NMP4" s="4"/>
      <c r="NMQ4" s="4"/>
      <c r="NMR4" s="4"/>
      <c r="NMS4" s="4"/>
      <c r="NMT4" s="4"/>
      <c r="NMU4" s="4"/>
      <c r="NMV4" s="4"/>
      <c r="NMW4" s="4"/>
      <c r="NMX4" s="4"/>
      <c r="NMY4" s="4"/>
      <c r="NMZ4" s="4"/>
      <c r="NNA4" s="4"/>
      <c r="NNB4" s="4"/>
      <c r="NNC4" s="4"/>
      <c r="NND4" s="4"/>
      <c r="NNE4" s="4"/>
      <c r="NNF4" s="4"/>
      <c r="NNG4" s="4"/>
      <c r="NNH4" s="4"/>
      <c r="NNI4" s="4"/>
      <c r="NNJ4" s="4"/>
      <c r="NNK4" s="4"/>
      <c r="NNL4" s="4"/>
      <c r="NNM4" s="4"/>
      <c r="NNN4" s="4"/>
      <c r="NNO4" s="4"/>
      <c r="NNP4" s="4"/>
      <c r="NNQ4" s="4"/>
      <c r="NNR4" s="4"/>
      <c r="NNS4" s="4"/>
      <c r="NNT4" s="4"/>
      <c r="NNU4" s="4"/>
      <c r="NNV4" s="4"/>
      <c r="NNW4" s="4"/>
      <c r="NNX4" s="4"/>
      <c r="NNY4" s="4"/>
      <c r="NNZ4" s="4"/>
      <c r="NOA4" s="4"/>
      <c r="NOB4" s="4"/>
      <c r="NOC4" s="4"/>
      <c r="NOD4" s="4"/>
      <c r="NOE4" s="4"/>
      <c r="NOF4" s="4"/>
      <c r="NOG4" s="4"/>
      <c r="NOH4" s="4"/>
      <c r="NOI4" s="4"/>
      <c r="NOJ4" s="4"/>
      <c r="NOK4" s="4"/>
      <c r="NOL4" s="4"/>
      <c r="NOM4" s="4"/>
      <c r="NON4" s="4"/>
      <c r="NOO4" s="4"/>
      <c r="NOP4" s="4"/>
      <c r="NOQ4" s="4"/>
      <c r="NOR4" s="4"/>
      <c r="NOS4" s="4"/>
      <c r="NOT4" s="4"/>
      <c r="NOU4" s="4"/>
      <c r="NOV4" s="4"/>
      <c r="NOW4" s="4"/>
      <c r="NOX4" s="4"/>
      <c r="NOY4" s="4"/>
      <c r="NOZ4" s="4"/>
      <c r="NPA4" s="4"/>
      <c r="NPB4" s="4"/>
      <c r="NPC4" s="4"/>
      <c r="NPD4" s="4"/>
      <c r="NPE4" s="4"/>
      <c r="NPF4" s="4"/>
      <c r="NPG4" s="4"/>
      <c r="NPH4" s="4"/>
      <c r="NPI4" s="4"/>
      <c r="NPJ4" s="4"/>
      <c r="NPK4" s="4"/>
      <c r="NPL4" s="4"/>
      <c r="NPM4" s="4"/>
      <c r="NPN4" s="4"/>
      <c r="NPO4" s="4"/>
      <c r="NPP4" s="4"/>
      <c r="NPQ4" s="4"/>
      <c r="NPR4" s="4"/>
      <c r="NPS4" s="4"/>
      <c r="NPT4" s="4"/>
      <c r="NPU4" s="4"/>
      <c r="NPV4" s="4"/>
      <c r="NPW4" s="4"/>
      <c r="NPX4" s="4"/>
      <c r="NPY4" s="4"/>
      <c r="NPZ4" s="4"/>
      <c r="NQA4" s="4"/>
      <c r="NQB4" s="4"/>
      <c r="NQC4" s="4"/>
      <c r="NQD4" s="4"/>
      <c r="NQE4" s="4"/>
      <c r="NQF4" s="4"/>
      <c r="NQG4" s="4"/>
      <c r="NQH4" s="4"/>
      <c r="NQI4" s="4"/>
      <c r="NQJ4" s="4"/>
      <c r="NQK4" s="4"/>
      <c r="NQL4" s="4"/>
      <c r="NQM4" s="4"/>
      <c r="NQN4" s="4"/>
      <c r="NQO4" s="4"/>
      <c r="NQP4" s="4"/>
      <c r="NQQ4" s="4"/>
      <c r="NQR4" s="4"/>
      <c r="NQS4" s="4"/>
      <c r="NQT4" s="4"/>
      <c r="NQU4" s="4"/>
      <c r="NQV4" s="4"/>
      <c r="NQW4" s="4"/>
      <c r="NQX4" s="4"/>
      <c r="NQY4" s="4"/>
      <c r="NQZ4" s="4"/>
      <c r="NRA4" s="4"/>
      <c r="NRB4" s="4"/>
      <c r="NRC4" s="4"/>
      <c r="NRD4" s="4"/>
      <c r="NRE4" s="4"/>
      <c r="NRF4" s="4"/>
      <c r="NRG4" s="4"/>
      <c r="NRH4" s="4"/>
      <c r="NRI4" s="4"/>
      <c r="NRJ4" s="4"/>
      <c r="NRK4" s="4"/>
      <c r="NRL4" s="4"/>
      <c r="NRM4" s="4"/>
      <c r="NRN4" s="4"/>
      <c r="NRO4" s="4"/>
      <c r="NRP4" s="4"/>
      <c r="NRQ4" s="4"/>
      <c r="NRR4" s="4"/>
      <c r="NRS4" s="4"/>
      <c r="NRT4" s="4"/>
      <c r="NRU4" s="4"/>
      <c r="NRV4" s="4"/>
      <c r="NRW4" s="4"/>
      <c r="NRX4" s="4"/>
      <c r="NRY4" s="4"/>
      <c r="NRZ4" s="4"/>
      <c r="NSA4" s="4"/>
      <c r="NSB4" s="4"/>
      <c r="NSC4" s="4"/>
      <c r="NSD4" s="4"/>
      <c r="NSE4" s="4"/>
      <c r="NSF4" s="4"/>
      <c r="NSG4" s="4"/>
      <c r="NSH4" s="4"/>
      <c r="NSI4" s="4"/>
      <c r="NSJ4" s="4"/>
      <c r="NSK4" s="4"/>
      <c r="NSL4" s="4"/>
      <c r="NSM4" s="4"/>
      <c r="NSN4" s="4"/>
      <c r="NSO4" s="4"/>
      <c r="NSP4" s="4"/>
      <c r="NSQ4" s="4"/>
      <c r="NSR4" s="4"/>
      <c r="NSS4" s="4"/>
      <c r="NST4" s="4"/>
      <c r="NSU4" s="4"/>
      <c r="NSV4" s="4"/>
      <c r="NSW4" s="4"/>
      <c r="NSX4" s="4"/>
      <c r="NSY4" s="4"/>
      <c r="NSZ4" s="4"/>
      <c r="NTA4" s="4"/>
      <c r="NTB4" s="4"/>
      <c r="NTC4" s="4"/>
      <c r="NTD4" s="4"/>
      <c r="NTE4" s="4"/>
      <c r="NTF4" s="4"/>
      <c r="NTG4" s="4"/>
      <c r="NTH4" s="4"/>
      <c r="NTI4" s="4"/>
      <c r="NTJ4" s="4"/>
      <c r="NTK4" s="4"/>
      <c r="NTL4" s="4"/>
      <c r="NTM4" s="4"/>
      <c r="NTN4" s="4"/>
      <c r="NTO4" s="4"/>
      <c r="NTP4" s="4"/>
      <c r="NTQ4" s="4"/>
      <c r="NTR4" s="4"/>
      <c r="NTS4" s="4"/>
      <c r="NTT4" s="4"/>
      <c r="NTU4" s="4"/>
      <c r="NTV4" s="4"/>
      <c r="NTW4" s="4"/>
      <c r="NTX4" s="4"/>
      <c r="NTY4" s="4"/>
      <c r="NTZ4" s="4"/>
      <c r="NUA4" s="4"/>
      <c r="NUB4" s="4"/>
      <c r="NUC4" s="4"/>
      <c r="NUD4" s="4"/>
      <c r="NUE4" s="4"/>
      <c r="NUF4" s="4"/>
      <c r="NUG4" s="4"/>
      <c r="NUH4" s="4"/>
      <c r="NUI4" s="4"/>
      <c r="NUJ4" s="4"/>
      <c r="NUK4" s="4"/>
      <c r="NUL4" s="4"/>
      <c r="NUM4" s="4"/>
      <c r="NUN4" s="4"/>
      <c r="NUO4" s="4"/>
      <c r="NUP4" s="4"/>
      <c r="NUQ4" s="4"/>
      <c r="NUR4" s="4"/>
      <c r="NUS4" s="4"/>
      <c r="NUT4" s="4"/>
      <c r="NUU4" s="4"/>
      <c r="NUV4" s="4"/>
      <c r="NUW4" s="4"/>
      <c r="NUX4" s="4"/>
      <c r="NUY4" s="4"/>
      <c r="NUZ4" s="4"/>
      <c r="NVA4" s="4"/>
      <c r="NVB4" s="4"/>
      <c r="NVC4" s="4"/>
      <c r="NVD4" s="4"/>
      <c r="NVE4" s="4"/>
      <c r="NVF4" s="4"/>
      <c r="NVG4" s="4"/>
      <c r="NVH4" s="4"/>
      <c r="NVI4" s="4"/>
      <c r="NVJ4" s="4"/>
      <c r="NVK4" s="4"/>
      <c r="NVL4" s="4"/>
      <c r="NVM4" s="4"/>
      <c r="NVN4" s="4"/>
      <c r="NVO4" s="4"/>
      <c r="NVP4" s="4"/>
      <c r="NVQ4" s="4"/>
      <c r="NVR4" s="4"/>
      <c r="NVS4" s="4"/>
      <c r="NVT4" s="4"/>
      <c r="NVU4" s="4"/>
      <c r="NVV4" s="4"/>
      <c r="NVW4" s="4"/>
      <c r="NVX4" s="4"/>
      <c r="NVY4" s="4"/>
      <c r="NVZ4" s="4"/>
      <c r="NWA4" s="4"/>
      <c r="NWB4" s="4"/>
      <c r="NWC4" s="4"/>
      <c r="NWD4" s="4"/>
      <c r="NWE4" s="4"/>
      <c r="NWF4" s="4"/>
      <c r="NWG4" s="4"/>
      <c r="NWH4" s="4"/>
      <c r="NWI4" s="4"/>
      <c r="NWJ4" s="4"/>
      <c r="NWK4" s="4"/>
      <c r="NWL4" s="4"/>
      <c r="NWM4" s="4"/>
      <c r="NWN4" s="4"/>
      <c r="NWO4" s="4"/>
      <c r="NWP4" s="4"/>
      <c r="NWQ4" s="4"/>
      <c r="NWR4" s="4"/>
      <c r="NWS4" s="4"/>
      <c r="NWT4" s="4"/>
      <c r="NWU4" s="4"/>
      <c r="NWV4" s="4"/>
      <c r="NWW4" s="4"/>
      <c r="NWX4" s="4"/>
      <c r="NWY4" s="4"/>
      <c r="NWZ4" s="4"/>
      <c r="NXA4" s="4"/>
      <c r="NXB4" s="4"/>
      <c r="NXC4" s="4"/>
      <c r="NXD4" s="4"/>
      <c r="NXE4" s="4"/>
      <c r="NXF4" s="4"/>
      <c r="NXG4" s="4"/>
      <c r="NXH4" s="4"/>
      <c r="NXI4" s="4"/>
      <c r="NXJ4" s="4"/>
      <c r="NXK4" s="4"/>
      <c r="NXL4" s="4"/>
      <c r="NXM4" s="4"/>
      <c r="NXN4" s="4"/>
      <c r="NXO4" s="4"/>
      <c r="NXP4" s="4"/>
      <c r="NXQ4" s="4"/>
      <c r="NXR4" s="4"/>
      <c r="NXS4" s="4"/>
      <c r="NXT4" s="4"/>
      <c r="NXU4" s="4"/>
      <c r="NXV4" s="4"/>
      <c r="NXW4" s="4"/>
      <c r="NXX4" s="4"/>
      <c r="NXY4" s="4"/>
      <c r="NXZ4" s="4"/>
      <c r="NYA4" s="4"/>
      <c r="NYB4" s="4"/>
      <c r="NYC4" s="4"/>
      <c r="NYD4" s="4"/>
      <c r="NYE4" s="4"/>
      <c r="NYF4" s="4"/>
      <c r="NYG4" s="4"/>
      <c r="NYH4" s="4"/>
      <c r="NYI4" s="4"/>
      <c r="NYJ4" s="4"/>
      <c r="NYK4" s="4"/>
      <c r="NYL4" s="4"/>
      <c r="NYM4" s="4"/>
      <c r="NYN4" s="4"/>
      <c r="NYO4" s="4"/>
      <c r="NYP4" s="4"/>
      <c r="NYQ4" s="4"/>
      <c r="NYR4" s="4"/>
      <c r="NYS4" s="4"/>
      <c r="NYT4" s="4"/>
      <c r="NYU4" s="4"/>
      <c r="NYV4" s="4"/>
      <c r="NYW4" s="4"/>
      <c r="NYX4" s="4"/>
      <c r="NYY4" s="4"/>
      <c r="NYZ4" s="4"/>
      <c r="NZA4" s="4"/>
      <c r="NZB4" s="4"/>
      <c r="NZC4" s="4"/>
      <c r="NZD4" s="4"/>
      <c r="NZE4" s="4"/>
      <c r="NZF4" s="4"/>
      <c r="NZG4" s="4"/>
      <c r="NZH4" s="4"/>
      <c r="NZI4" s="4"/>
      <c r="NZJ4" s="4"/>
      <c r="NZK4" s="4"/>
      <c r="NZL4" s="4"/>
      <c r="NZM4" s="4"/>
      <c r="NZN4" s="4"/>
      <c r="NZO4" s="4"/>
      <c r="NZP4" s="4"/>
      <c r="NZQ4" s="4"/>
      <c r="NZR4" s="4"/>
      <c r="NZS4" s="4"/>
      <c r="NZT4" s="4"/>
      <c r="NZU4" s="4"/>
      <c r="NZV4" s="4"/>
      <c r="NZW4" s="4"/>
      <c r="NZX4" s="4"/>
      <c r="NZY4" s="4"/>
      <c r="NZZ4" s="4"/>
      <c r="OAA4" s="4"/>
      <c r="OAB4" s="4"/>
      <c r="OAC4" s="4"/>
      <c r="OAD4" s="4"/>
      <c r="OAE4" s="4"/>
      <c r="OAF4" s="4"/>
      <c r="OAG4" s="4"/>
      <c r="OAH4" s="4"/>
      <c r="OAI4" s="4"/>
      <c r="OAJ4" s="4"/>
      <c r="OAK4" s="4"/>
      <c r="OAL4" s="4"/>
      <c r="OAM4" s="4"/>
      <c r="OAN4" s="4"/>
      <c r="OAO4" s="4"/>
      <c r="OAP4" s="4"/>
      <c r="OAQ4" s="4"/>
      <c r="OAR4" s="4"/>
      <c r="OAS4" s="4"/>
      <c r="OAT4" s="4"/>
      <c r="OAU4" s="4"/>
      <c r="OAV4" s="4"/>
      <c r="OAW4" s="4"/>
      <c r="OAX4" s="4"/>
      <c r="OAY4" s="4"/>
      <c r="OAZ4" s="4"/>
      <c r="OBA4" s="4"/>
      <c r="OBB4" s="4"/>
      <c r="OBC4" s="4"/>
      <c r="OBD4" s="4"/>
      <c r="OBE4" s="4"/>
      <c r="OBF4" s="4"/>
      <c r="OBG4" s="4"/>
      <c r="OBH4" s="4"/>
      <c r="OBI4" s="4"/>
      <c r="OBJ4" s="4"/>
      <c r="OBK4" s="4"/>
      <c r="OBL4" s="4"/>
      <c r="OBM4" s="4"/>
      <c r="OBN4" s="4"/>
      <c r="OBO4" s="4"/>
      <c r="OBP4" s="4"/>
      <c r="OBQ4" s="4"/>
      <c r="OBR4" s="4"/>
      <c r="OBS4" s="4"/>
      <c r="OBT4" s="4"/>
      <c r="OBU4" s="4"/>
      <c r="OBV4" s="4"/>
      <c r="OBW4" s="4"/>
      <c r="OBX4" s="4"/>
      <c r="OBY4" s="4"/>
      <c r="OBZ4" s="4"/>
      <c r="OCA4" s="4"/>
      <c r="OCB4" s="4"/>
      <c r="OCC4" s="4"/>
      <c r="OCD4" s="4"/>
      <c r="OCE4" s="4"/>
      <c r="OCF4" s="4"/>
      <c r="OCG4" s="4"/>
      <c r="OCH4" s="4"/>
      <c r="OCI4" s="4"/>
      <c r="OCJ4" s="4"/>
      <c r="OCK4" s="4"/>
      <c r="OCL4" s="4"/>
      <c r="OCM4" s="4"/>
      <c r="OCN4" s="4"/>
      <c r="OCO4" s="4"/>
      <c r="OCP4" s="4"/>
      <c r="OCQ4" s="4"/>
      <c r="OCR4" s="4"/>
      <c r="OCS4" s="4"/>
      <c r="OCT4" s="4"/>
      <c r="OCU4" s="4"/>
      <c r="OCV4" s="4"/>
      <c r="OCW4" s="4"/>
      <c r="OCX4" s="4"/>
      <c r="OCY4" s="4"/>
      <c r="OCZ4" s="4"/>
      <c r="ODA4" s="4"/>
      <c r="ODB4" s="4"/>
      <c r="ODC4" s="4"/>
      <c r="ODD4" s="4"/>
      <c r="ODE4" s="4"/>
      <c r="ODF4" s="4"/>
      <c r="ODG4" s="4"/>
      <c r="ODH4" s="4"/>
      <c r="ODI4" s="4"/>
      <c r="ODJ4" s="4"/>
      <c r="ODK4" s="4"/>
      <c r="ODL4" s="4"/>
      <c r="ODM4" s="4"/>
      <c r="ODN4" s="4"/>
      <c r="ODO4" s="4"/>
      <c r="ODP4" s="4"/>
      <c r="ODQ4" s="4"/>
      <c r="ODR4" s="4"/>
      <c r="ODS4" s="4"/>
      <c r="ODT4" s="4"/>
      <c r="ODU4" s="4"/>
      <c r="ODV4" s="4"/>
      <c r="ODW4" s="4"/>
      <c r="ODX4" s="4"/>
      <c r="ODY4" s="4"/>
      <c r="ODZ4" s="4"/>
      <c r="OEA4" s="4"/>
      <c r="OEB4" s="4"/>
      <c r="OEC4" s="4"/>
      <c r="OED4" s="4"/>
      <c r="OEE4" s="4"/>
      <c r="OEF4" s="4"/>
      <c r="OEG4" s="4"/>
      <c r="OEH4" s="4"/>
      <c r="OEI4" s="4"/>
      <c r="OEJ4" s="4"/>
      <c r="OEK4" s="4"/>
      <c r="OEL4" s="4"/>
      <c r="OEM4" s="4"/>
      <c r="OEN4" s="4"/>
      <c r="OEO4" s="4"/>
      <c r="OEP4" s="4"/>
      <c r="OEQ4" s="4"/>
      <c r="OER4" s="4"/>
      <c r="OES4" s="4"/>
      <c r="OET4" s="4"/>
      <c r="OEU4" s="4"/>
      <c r="OEV4" s="4"/>
      <c r="OEW4" s="4"/>
      <c r="OEX4" s="4"/>
      <c r="OEY4" s="4"/>
      <c r="OEZ4" s="4"/>
      <c r="OFA4" s="4"/>
      <c r="OFB4" s="4"/>
      <c r="OFC4" s="4"/>
      <c r="OFD4" s="4"/>
      <c r="OFE4" s="4"/>
      <c r="OFF4" s="4"/>
      <c r="OFG4" s="4"/>
      <c r="OFH4" s="4"/>
      <c r="OFI4" s="4"/>
      <c r="OFJ4" s="4"/>
      <c r="OFK4" s="4"/>
      <c r="OFL4" s="4"/>
      <c r="OFM4" s="4"/>
      <c r="OFN4" s="4"/>
      <c r="OFO4" s="4"/>
      <c r="OFP4" s="4"/>
      <c r="OFQ4" s="4"/>
      <c r="OFR4" s="4"/>
      <c r="OFS4" s="4"/>
      <c r="OFT4" s="4"/>
      <c r="OFU4" s="4"/>
      <c r="OFV4" s="4"/>
      <c r="OFW4" s="4"/>
      <c r="OFX4" s="4"/>
      <c r="OFY4" s="4"/>
      <c r="OFZ4" s="4"/>
      <c r="OGA4" s="4"/>
      <c r="OGB4" s="4"/>
      <c r="OGC4" s="4"/>
      <c r="OGD4" s="4"/>
      <c r="OGE4" s="4"/>
      <c r="OGF4" s="4"/>
      <c r="OGG4" s="4"/>
      <c r="OGH4" s="4"/>
      <c r="OGI4" s="4"/>
      <c r="OGJ4" s="4"/>
      <c r="OGK4" s="4"/>
      <c r="OGL4" s="4"/>
      <c r="OGM4" s="4"/>
      <c r="OGN4" s="4"/>
      <c r="OGO4" s="4"/>
      <c r="OGP4" s="4"/>
      <c r="OGQ4" s="4"/>
      <c r="OGR4" s="4"/>
      <c r="OGS4" s="4"/>
      <c r="OGT4" s="4"/>
      <c r="OGU4" s="4"/>
      <c r="OGV4" s="4"/>
      <c r="OGW4" s="4"/>
      <c r="OGX4" s="4"/>
      <c r="OGY4" s="4"/>
      <c r="OGZ4" s="4"/>
      <c r="OHA4" s="4"/>
      <c r="OHB4" s="4"/>
      <c r="OHC4" s="4"/>
      <c r="OHD4" s="4"/>
      <c r="OHE4" s="4"/>
      <c r="OHF4" s="4"/>
      <c r="OHG4" s="4"/>
      <c r="OHH4" s="4"/>
      <c r="OHI4" s="4"/>
      <c r="OHJ4" s="4"/>
      <c r="OHK4" s="4"/>
      <c r="OHL4" s="4"/>
      <c r="OHM4" s="4"/>
      <c r="OHN4" s="4"/>
      <c r="OHO4" s="4"/>
      <c r="OHP4" s="4"/>
      <c r="OHQ4" s="4"/>
      <c r="OHR4" s="4"/>
      <c r="OHS4" s="4"/>
      <c r="OHT4" s="4"/>
      <c r="OHU4" s="4"/>
      <c r="OHV4" s="4"/>
      <c r="OHW4" s="4"/>
      <c r="OHX4" s="4"/>
      <c r="OHY4" s="4"/>
      <c r="OHZ4" s="4"/>
      <c r="OIA4" s="4"/>
      <c r="OIB4" s="4"/>
      <c r="OIC4" s="4"/>
      <c r="OID4" s="4"/>
      <c r="OIE4" s="4"/>
      <c r="OIF4" s="4"/>
      <c r="OIG4" s="4"/>
      <c r="OIH4" s="4"/>
      <c r="OII4" s="4"/>
      <c r="OIJ4" s="4"/>
      <c r="OIK4" s="4"/>
      <c r="OIL4" s="4"/>
      <c r="OIM4" s="4"/>
      <c r="OIN4" s="4"/>
      <c r="OIO4" s="4"/>
      <c r="OIP4" s="4"/>
      <c r="OIQ4" s="4"/>
      <c r="OIR4" s="4"/>
      <c r="OIS4" s="4"/>
      <c r="OIT4" s="4"/>
      <c r="OIU4" s="4"/>
      <c r="OIV4" s="4"/>
      <c r="OIW4" s="4"/>
      <c r="OIX4" s="4"/>
      <c r="OIY4" s="4"/>
      <c r="OIZ4" s="4"/>
      <c r="OJA4" s="4"/>
      <c r="OJB4" s="4"/>
      <c r="OJC4" s="4"/>
      <c r="OJD4" s="4"/>
      <c r="OJE4" s="4"/>
      <c r="OJF4" s="4"/>
      <c r="OJG4" s="4"/>
      <c r="OJH4" s="4"/>
      <c r="OJI4" s="4"/>
      <c r="OJJ4" s="4"/>
      <c r="OJK4" s="4"/>
      <c r="OJL4" s="4"/>
      <c r="OJM4" s="4"/>
      <c r="OJN4" s="4"/>
      <c r="OJO4" s="4"/>
      <c r="OJP4" s="4"/>
      <c r="OJQ4" s="4"/>
      <c r="OJR4" s="4"/>
      <c r="OJS4" s="4"/>
      <c r="OJT4" s="4"/>
      <c r="OJU4" s="4"/>
      <c r="OJV4" s="4"/>
      <c r="OJW4" s="4"/>
      <c r="OJX4" s="4"/>
      <c r="OJY4" s="4"/>
      <c r="OJZ4" s="4"/>
      <c r="OKA4" s="4"/>
      <c r="OKB4" s="4"/>
      <c r="OKC4" s="4"/>
      <c r="OKD4" s="4"/>
      <c r="OKE4" s="4"/>
      <c r="OKF4" s="4"/>
      <c r="OKG4" s="4"/>
      <c r="OKH4" s="4"/>
      <c r="OKI4" s="4"/>
      <c r="OKJ4" s="4"/>
      <c r="OKK4" s="4"/>
      <c r="OKL4" s="4"/>
      <c r="OKM4" s="4"/>
      <c r="OKN4" s="4"/>
      <c r="OKO4" s="4"/>
      <c r="OKP4" s="4"/>
      <c r="OKQ4" s="4"/>
      <c r="OKR4" s="4"/>
      <c r="OKS4" s="4"/>
      <c r="OKT4" s="4"/>
      <c r="OKU4" s="4"/>
      <c r="OKV4" s="4"/>
      <c r="OKW4" s="4"/>
      <c r="OKX4" s="4"/>
      <c r="OKY4" s="4"/>
      <c r="OKZ4" s="4"/>
      <c r="OLA4" s="4"/>
      <c r="OLB4" s="4"/>
      <c r="OLC4" s="4"/>
      <c r="OLD4" s="4"/>
      <c r="OLE4" s="4"/>
      <c r="OLF4" s="4"/>
      <c r="OLG4" s="4"/>
      <c r="OLH4" s="4"/>
      <c r="OLI4" s="4"/>
      <c r="OLJ4" s="4"/>
      <c r="OLK4" s="4"/>
      <c r="OLL4" s="4"/>
      <c r="OLM4" s="4"/>
      <c r="OLN4" s="4"/>
      <c r="OLO4" s="4"/>
      <c r="OLP4" s="4"/>
      <c r="OLQ4" s="4"/>
      <c r="OLR4" s="4"/>
      <c r="OLS4" s="4"/>
      <c r="OLT4" s="4"/>
      <c r="OLU4" s="4"/>
      <c r="OLV4" s="4"/>
      <c r="OLW4" s="4"/>
      <c r="OLX4" s="4"/>
      <c r="OLY4" s="4"/>
      <c r="OLZ4" s="4"/>
      <c r="OMA4" s="4"/>
      <c r="OMB4" s="4"/>
      <c r="OMC4" s="4"/>
      <c r="OMD4" s="4"/>
      <c r="OME4" s="4"/>
      <c r="OMF4" s="4"/>
      <c r="OMG4" s="4"/>
      <c r="OMH4" s="4"/>
      <c r="OMI4" s="4"/>
      <c r="OMJ4" s="4"/>
      <c r="OMK4" s="4"/>
      <c r="OML4" s="4"/>
      <c r="OMM4" s="4"/>
      <c r="OMN4" s="4"/>
      <c r="OMO4" s="4"/>
      <c r="OMP4" s="4"/>
      <c r="OMQ4" s="4"/>
      <c r="OMR4" s="4"/>
      <c r="OMS4" s="4"/>
      <c r="OMT4" s="4"/>
      <c r="OMU4" s="4"/>
      <c r="OMV4" s="4"/>
      <c r="OMW4" s="4"/>
      <c r="OMX4" s="4"/>
      <c r="OMY4" s="4"/>
      <c r="OMZ4" s="4"/>
      <c r="ONA4" s="4"/>
      <c r="ONB4" s="4"/>
      <c r="ONC4" s="4"/>
      <c r="OND4" s="4"/>
      <c r="ONE4" s="4"/>
      <c r="ONF4" s="4"/>
      <c r="ONG4" s="4"/>
      <c r="ONH4" s="4"/>
      <c r="ONI4" s="4"/>
      <c r="ONJ4" s="4"/>
      <c r="ONK4" s="4"/>
      <c r="ONL4" s="4"/>
      <c r="ONM4" s="4"/>
      <c r="ONN4" s="4"/>
      <c r="ONO4" s="4"/>
      <c r="ONP4" s="4"/>
      <c r="ONQ4" s="4"/>
      <c r="ONR4" s="4"/>
      <c r="ONS4" s="4"/>
      <c r="ONT4" s="4"/>
      <c r="ONU4" s="4"/>
      <c r="ONV4" s="4"/>
      <c r="ONW4" s="4"/>
      <c r="ONX4" s="4"/>
      <c r="ONY4" s="4"/>
      <c r="ONZ4" s="4"/>
      <c r="OOA4" s="4"/>
      <c r="OOB4" s="4"/>
      <c r="OOC4" s="4"/>
      <c r="OOD4" s="4"/>
      <c r="OOE4" s="4"/>
      <c r="OOF4" s="4"/>
      <c r="OOG4" s="4"/>
      <c r="OOH4" s="4"/>
      <c r="OOI4" s="4"/>
      <c r="OOJ4" s="4"/>
      <c r="OOK4" s="4"/>
      <c r="OOL4" s="4"/>
      <c r="OOM4" s="4"/>
      <c r="OON4" s="4"/>
      <c r="OOO4" s="4"/>
      <c r="OOP4" s="4"/>
      <c r="OOQ4" s="4"/>
      <c r="OOR4" s="4"/>
      <c r="OOS4" s="4"/>
      <c r="OOT4" s="4"/>
      <c r="OOU4" s="4"/>
      <c r="OOV4" s="4"/>
      <c r="OOW4" s="4"/>
      <c r="OOX4" s="4"/>
      <c r="OOY4" s="4"/>
      <c r="OOZ4" s="4"/>
      <c r="OPA4" s="4"/>
      <c r="OPB4" s="4"/>
      <c r="OPC4" s="4"/>
      <c r="OPD4" s="4"/>
      <c r="OPE4" s="4"/>
      <c r="OPF4" s="4"/>
      <c r="OPG4" s="4"/>
      <c r="OPH4" s="4"/>
      <c r="OPI4" s="4"/>
      <c r="OPJ4" s="4"/>
      <c r="OPK4" s="4"/>
      <c r="OPL4" s="4"/>
      <c r="OPM4" s="4"/>
      <c r="OPN4" s="4"/>
      <c r="OPO4" s="4"/>
      <c r="OPP4" s="4"/>
      <c r="OPQ4" s="4"/>
      <c r="OPR4" s="4"/>
      <c r="OPS4" s="4"/>
      <c r="OPT4" s="4"/>
      <c r="OPU4" s="4"/>
      <c r="OPV4" s="4"/>
      <c r="OPW4" s="4"/>
      <c r="OPX4" s="4"/>
      <c r="OPY4" s="4"/>
      <c r="OPZ4" s="4"/>
      <c r="OQA4" s="4"/>
      <c r="OQB4" s="4"/>
      <c r="OQC4" s="4"/>
      <c r="OQD4" s="4"/>
      <c r="OQE4" s="4"/>
      <c r="OQF4" s="4"/>
      <c r="OQG4" s="4"/>
      <c r="OQH4" s="4"/>
      <c r="OQI4" s="4"/>
      <c r="OQJ4" s="4"/>
      <c r="OQK4" s="4"/>
      <c r="OQL4" s="4"/>
      <c r="OQM4" s="4"/>
      <c r="OQN4" s="4"/>
      <c r="OQO4" s="4"/>
      <c r="OQP4" s="4"/>
      <c r="OQQ4" s="4"/>
      <c r="OQR4" s="4"/>
      <c r="OQS4" s="4"/>
      <c r="OQT4" s="4"/>
      <c r="OQU4" s="4"/>
      <c r="OQV4" s="4"/>
      <c r="OQW4" s="4"/>
      <c r="OQX4" s="4"/>
      <c r="OQY4" s="4"/>
      <c r="OQZ4" s="4"/>
      <c r="ORA4" s="4"/>
      <c r="ORB4" s="4"/>
      <c r="ORC4" s="4"/>
      <c r="ORD4" s="4"/>
      <c r="ORE4" s="4"/>
      <c r="ORF4" s="4"/>
      <c r="ORG4" s="4"/>
      <c r="ORH4" s="4"/>
      <c r="ORI4" s="4"/>
      <c r="ORJ4" s="4"/>
      <c r="ORK4" s="4"/>
      <c r="ORL4" s="4"/>
      <c r="ORM4" s="4"/>
      <c r="ORN4" s="4"/>
      <c r="ORO4" s="4"/>
      <c r="ORP4" s="4"/>
      <c r="ORQ4" s="4"/>
      <c r="ORR4" s="4"/>
      <c r="ORS4" s="4"/>
      <c r="ORT4" s="4"/>
      <c r="ORU4" s="4"/>
      <c r="ORV4" s="4"/>
      <c r="ORW4" s="4"/>
      <c r="ORX4" s="4"/>
      <c r="ORY4" s="4"/>
      <c r="ORZ4" s="4"/>
      <c r="OSA4" s="4"/>
      <c r="OSB4" s="4"/>
      <c r="OSC4" s="4"/>
      <c r="OSD4" s="4"/>
      <c r="OSE4" s="4"/>
      <c r="OSF4" s="4"/>
      <c r="OSG4" s="4"/>
      <c r="OSH4" s="4"/>
      <c r="OSI4" s="4"/>
      <c r="OSJ4" s="4"/>
      <c r="OSK4" s="4"/>
      <c r="OSL4" s="4"/>
      <c r="OSM4" s="4"/>
      <c r="OSN4" s="4"/>
      <c r="OSO4" s="4"/>
      <c r="OSP4" s="4"/>
      <c r="OSQ4" s="4"/>
      <c r="OSR4" s="4"/>
      <c r="OSS4" s="4"/>
      <c r="OST4" s="4"/>
      <c r="OSU4" s="4"/>
      <c r="OSV4" s="4"/>
      <c r="OSW4" s="4"/>
      <c r="OSX4" s="4"/>
      <c r="OSY4" s="4"/>
      <c r="OSZ4" s="4"/>
      <c r="OTA4" s="4"/>
      <c r="OTB4" s="4"/>
      <c r="OTC4" s="4"/>
      <c r="OTD4" s="4"/>
      <c r="OTE4" s="4"/>
      <c r="OTF4" s="4"/>
      <c r="OTG4" s="4"/>
      <c r="OTH4" s="4"/>
      <c r="OTI4" s="4"/>
      <c r="OTJ4" s="4"/>
      <c r="OTK4" s="4"/>
      <c r="OTL4" s="4"/>
      <c r="OTM4" s="4"/>
      <c r="OTN4" s="4"/>
      <c r="OTO4" s="4"/>
      <c r="OTP4" s="4"/>
      <c r="OTQ4" s="4"/>
      <c r="OTR4" s="4"/>
      <c r="OTS4" s="4"/>
      <c r="OTT4" s="4"/>
      <c r="OTU4" s="4"/>
      <c r="OTV4" s="4"/>
      <c r="OTW4" s="4"/>
      <c r="OTX4" s="4"/>
      <c r="OTY4" s="4"/>
      <c r="OTZ4" s="4"/>
      <c r="OUA4" s="4"/>
      <c r="OUB4" s="4"/>
      <c r="OUC4" s="4"/>
      <c r="OUD4" s="4"/>
      <c r="OUE4" s="4"/>
      <c r="OUF4" s="4"/>
      <c r="OUG4" s="4"/>
      <c r="OUH4" s="4"/>
      <c r="OUI4" s="4"/>
      <c r="OUJ4" s="4"/>
      <c r="OUK4" s="4"/>
      <c r="OUL4" s="4"/>
      <c r="OUM4" s="4"/>
      <c r="OUN4" s="4"/>
      <c r="OUO4" s="4"/>
      <c r="OUP4" s="4"/>
      <c r="OUQ4" s="4"/>
      <c r="OUR4" s="4"/>
      <c r="OUS4" s="4"/>
      <c r="OUT4" s="4"/>
      <c r="OUU4" s="4"/>
      <c r="OUV4" s="4"/>
      <c r="OUW4" s="4"/>
      <c r="OUX4" s="4"/>
      <c r="OUY4" s="4"/>
      <c r="OUZ4" s="4"/>
      <c r="OVA4" s="4"/>
      <c r="OVB4" s="4"/>
      <c r="OVC4" s="4"/>
      <c r="OVD4" s="4"/>
      <c r="OVE4" s="4"/>
      <c r="OVF4" s="4"/>
      <c r="OVG4" s="4"/>
      <c r="OVH4" s="4"/>
      <c r="OVI4" s="4"/>
      <c r="OVJ4" s="4"/>
      <c r="OVK4" s="4"/>
      <c r="OVL4" s="4"/>
      <c r="OVM4" s="4"/>
      <c r="OVN4" s="4"/>
      <c r="OVO4" s="4"/>
      <c r="OVP4" s="4"/>
      <c r="OVQ4" s="4"/>
      <c r="OVR4" s="4"/>
      <c r="OVS4" s="4"/>
      <c r="OVT4" s="4"/>
      <c r="OVU4" s="4"/>
      <c r="OVV4" s="4"/>
      <c r="OVW4" s="4"/>
      <c r="OVX4" s="4"/>
      <c r="OVY4" s="4"/>
      <c r="OVZ4" s="4"/>
      <c r="OWA4" s="4"/>
      <c r="OWB4" s="4"/>
      <c r="OWC4" s="4"/>
      <c r="OWD4" s="4"/>
      <c r="OWE4" s="4"/>
      <c r="OWF4" s="4"/>
      <c r="OWG4" s="4"/>
      <c r="OWH4" s="4"/>
      <c r="OWI4" s="4"/>
      <c r="OWJ4" s="4"/>
      <c r="OWK4" s="4"/>
      <c r="OWL4" s="4"/>
      <c r="OWM4" s="4"/>
      <c r="OWN4" s="4"/>
      <c r="OWO4" s="4"/>
      <c r="OWP4" s="4"/>
      <c r="OWQ4" s="4"/>
      <c r="OWR4" s="4"/>
      <c r="OWS4" s="4"/>
      <c r="OWT4" s="4"/>
      <c r="OWU4" s="4"/>
      <c r="OWV4" s="4"/>
      <c r="OWW4" s="4"/>
      <c r="OWX4" s="4"/>
      <c r="OWY4" s="4"/>
      <c r="OWZ4" s="4"/>
      <c r="OXA4" s="4"/>
      <c r="OXB4" s="4"/>
      <c r="OXC4" s="4"/>
      <c r="OXD4" s="4"/>
      <c r="OXE4" s="4"/>
      <c r="OXF4" s="4"/>
      <c r="OXG4" s="4"/>
      <c r="OXH4" s="4"/>
      <c r="OXI4" s="4"/>
      <c r="OXJ4" s="4"/>
      <c r="OXK4" s="4"/>
      <c r="OXL4" s="4"/>
      <c r="OXM4" s="4"/>
      <c r="OXN4" s="4"/>
      <c r="OXO4" s="4"/>
      <c r="OXP4" s="4"/>
      <c r="OXQ4" s="4"/>
      <c r="OXR4" s="4"/>
      <c r="OXS4" s="4"/>
      <c r="OXT4" s="4"/>
      <c r="OXU4" s="4"/>
      <c r="OXV4" s="4"/>
      <c r="OXW4" s="4"/>
      <c r="OXX4" s="4"/>
      <c r="OXY4" s="4"/>
      <c r="OXZ4" s="4"/>
      <c r="OYA4" s="4"/>
      <c r="OYB4" s="4"/>
      <c r="OYC4" s="4"/>
      <c r="OYD4" s="4"/>
      <c r="OYE4" s="4"/>
      <c r="OYF4" s="4"/>
      <c r="OYG4" s="4"/>
      <c r="OYH4" s="4"/>
      <c r="OYI4" s="4"/>
      <c r="OYJ4" s="4"/>
      <c r="OYK4" s="4"/>
      <c r="OYL4" s="4"/>
      <c r="OYM4" s="4"/>
      <c r="OYN4" s="4"/>
      <c r="OYO4" s="4"/>
      <c r="OYP4" s="4"/>
      <c r="OYQ4" s="4"/>
      <c r="OYR4" s="4"/>
      <c r="OYS4" s="4"/>
      <c r="OYT4" s="4"/>
      <c r="OYU4" s="4"/>
      <c r="OYV4" s="4"/>
      <c r="OYW4" s="4"/>
      <c r="OYX4" s="4"/>
      <c r="OYY4" s="4"/>
      <c r="OYZ4" s="4"/>
      <c r="OZA4" s="4"/>
      <c r="OZB4" s="4"/>
      <c r="OZC4" s="4"/>
      <c r="OZD4" s="4"/>
      <c r="OZE4" s="4"/>
      <c r="OZF4" s="4"/>
      <c r="OZG4" s="4"/>
      <c r="OZH4" s="4"/>
      <c r="OZI4" s="4"/>
      <c r="OZJ4" s="4"/>
      <c r="OZK4" s="4"/>
      <c r="OZL4" s="4"/>
      <c r="OZM4" s="4"/>
      <c r="OZN4" s="4"/>
      <c r="OZO4" s="4"/>
      <c r="OZP4" s="4"/>
      <c r="OZQ4" s="4"/>
      <c r="OZR4" s="4"/>
      <c r="OZS4" s="4"/>
      <c r="OZT4" s="4"/>
      <c r="OZU4" s="4"/>
      <c r="OZV4" s="4"/>
      <c r="OZW4" s="4"/>
      <c r="OZX4" s="4"/>
      <c r="OZY4" s="4"/>
      <c r="OZZ4" s="4"/>
      <c r="PAA4" s="4"/>
      <c r="PAB4" s="4"/>
      <c r="PAC4" s="4"/>
      <c r="PAD4" s="4"/>
      <c r="PAE4" s="4"/>
      <c r="PAF4" s="4"/>
      <c r="PAG4" s="4"/>
      <c r="PAH4" s="4"/>
      <c r="PAI4" s="4"/>
      <c r="PAJ4" s="4"/>
      <c r="PAK4" s="4"/>
      <c r="PAL4" s="4"/>
      <c r="PAM4" s="4"/>
      <c r="PAN4" s="4"/>
      <c r="PAO4" s="4"/>
      <c r="PAP4" s="4"/>
      <c r="PAQ4" s="4"/>
      <c r="PAR4" s="4"/>
      <c r="PAS4" s="4"/>
      <c r="PAT4" s="4"/>
      <c r="PAU4" s="4"/>
      <c r="PAV4" s="4"/>
      <c r="PAW4" s="4"/>
      <c r="PAX4" s="4"/>
      <c r="PAY4" s="4"/>
      <c r="PAZ4" s="4"/>
      <c r="PBA4" s="4"/>
      <c r="PBB4" s="4"/>
      <c r="PBC4" s="4"/>
      <c r="PBD4" s="4"/>
      <c r="PBE4" s="4"/>
      <c r="PBF4" s="4"/>
      <c r="PBG4" s="4"/>
      <c r="PBH4" s="4"/>
      <c r="PBI4" s="4"/>
      <c r="PBJ4" s="4"/>
      <c r="PBK4" s="4"/>
      <c r="PBL4" s="4"/>
      <c r="PBM4" s="4"/>
      <c r="PBN4" s="4"/>
      <c r="PBO4" s="4"/>
      <c r="PBP4" s="4"/>
      <c r="PBQ4" s="4"/>
      <c r="PBR4" s="4"/>
      <c r="PBS4" s="4"/>
      <c r="PBT4" s="4"/>
      <c r="PBU4" s="4"/>
      <c r="PBV4" s="4"/>
      <c r="PBW4" s="4"/>
      <c r="PBX4" s="4"/>
      <c r="PBY4" s="4"/>
      <c r="PBZ4" s="4"/>
      <c r="PCA4" s="4"/>
      <c r="PCB4" s="4"/>
      <c r="PCC4" s="4"/>
      <c r="PCD4" s="4"/>
      <c r="PCE4" s="4"/>
      <c r="PCF4" s="4"/>
      <c r="PCG4" s="4"/>
      <c r="PCH4" s="4"/>
      <c r="PCI4" s="4"/>
      <c r="PCJ4" s="4"/>
      <c r="PCK4" s="4"/>
      <c r="PCL4" s="4"/>
      <c r="PCM4" s="4"/>
      <c r="PCN4" s="4"/>
      <c r="PCO4" s="4"/>
      <c r="PCP4" s="4"/>
      <c r="PCQ4" s="4"/>
      <c r="PCR4" s="4"/>
      <c r="PCS4" s="4"/>
      <c r="PCT4" s="4"/>
      <c r="PCU4" s="4"/>
      <c r="PCV4" s="4"/>
      <c r="PCW4" s="4"/>
      <c r="PCX4" s="4"/>
      <c r="PCY4" s="4"/>
      <c r="PCZ4" s="4"/>
      <c r="PDA4" s="4"/>
      <c r="PDB4" s="4"/>
      <c r="PDC4" s="4"/>
      <c r="PDD4" s="4"/>
      <c r="PDE4" s="4"/>
      <c r="PDF4" s="4"/>
      <c r="PDG4" s="4"/>
      <c r="PDH4" s="4"/>
      <c r="PDI4" s="4"/>
      <c r="PDJ4" s="4"/>
      <c r="PDK4" s="4"/>
      <c r="PDL4" s="4"/>
      <c r="PDM4" s="4"/>
      <c r="PDN4" s="4"/>
      <c r="PDO4" s="4"/>
      <c r="PDP4" s="4"/>
      <c r="PDQ4" s="4"/>
      <c r="PDR4" s="4"/>
      <c r="PDS4" s="4"/>
      <c r="PDT4" s="4"/>
      <c r="PDU4" s="4"/>
      <c r="PDV4" s="4"/>
      <c r="PDW4" s="4"/>
      <c r="PDX4" s="4"/>
      <c r="PDY4" s="4"/>
      <c r="PDZ4" s="4"/>
      <c r="PEA4" s="4"/>
      <c r="PEB4" s="4"/>
      <c r="PEC4" s="4"/>
      <c r="PED4" s="4"/>
      <c r="PEE4" s="4"/>
      <c r="PEF4" s="4"/>
      <c r="PEG4" s="4"/>
      <c r="PEH4" s="4"/>
      <c r="PEI4" s="4"/>
      <c r="PEJ4" s="4"/>
      <c r="PEK4" s="4"/>
      <c r="PEL4" s="4"/>
      <c r="PEM4" s="4"/>
      <c r="PEN4" s="4"/>
      <c r="PEO4" s="4"/>
      <c r="PEP4" s="4"/>
      <c r="PEQ4" s="4"/>
      <c r="PER4" s="4"/>
      <c r="PES4" s="4"/>
      <c r="PET4" s="4"/>
      <c r="PEU4" s="4"/>
      <c r="PEV4" s="4"/>
      <c r="PEW4" s="4"/>
      <c r="PEX4" s="4"/>
      <c r="PEY4" s="4"/>
      <c r="PEZ4" s="4"/>
      <c r="PFA4" s="4"/>
      <c r="PFB4" s="4"/>
      <c r="PFC4" s="4"/>
      <c r="PFD4" s="4"/>
      <c r="PFE4" s="4"/>
      <c r="PFF4" s="4"/>
      <c r="PFG4" s="4"/>
      <c r="PFH4" s="4"/>
      <c r="PFI4" s="4"/>
      <c r="PFJ4" s="4"/>
      <c r="PFK4" s="4"/>
      <c r="PFL4" s="4"/>
      <c r="PFM4" s="4"/>
      <c r="PFN4" s="4"/>
      <c r="PFO4" s="4"/>
      <c r="PFP4" s="4"/>
      <c r="PFQ4" s="4"/>
      <c r="PFR4" s="4"/>
      <c r="PFS4" s="4"/>
      <c r="PFT4" s="4"/>
      <c r="PFU4" s="4"/>
      <c r="PFV4" s="4"/>
      <c r="PFW4" s="4"/>
      <c r="PFX4" s="4"/>
      <c r="PFY4" s="4"/>
      <c r="PFZ4" s="4"/>
      <c r="PGA4" s="4"/>
      <c r="PGB4" s="4"/>
      <c r="PGC4" s="4"/>
      <c r="PGD4" s="4"/>
      <c r="PGE4" s="4"/>
      <c r="PGF4" s="4"/>
      <c r="PGG4" s="4"/>
      <c r="PGH4" s="4"/>
      <c r="PGI4" s="4"/>
      <c r="PGJ4" s="4"/>
      <c r="PGK4" s="4"/>
      <c r="PGL4" s="4"/>
      <c r="PGM4" s="4"/>
      <c r="PGN4" s="4"/>
      <c r="PGO4" s="4"/>
      <c r="PGP4" s="4"/>
      <c r="PGQ4" s="4"/>
      <c r="PGR4" s="4"/>
      <c r="PGS4" s="4"/>
      <c r="PGT4" s="4"/>
      <c r="PGU4" s="4"/>
      <c r="PGV4" s="4"/>
      <c r="PGW4" s="4"/>
      <c r="PGX4" s="4"/>
      <c r="PGY4" s="4"/>
      <c r="PGZ4" s="4"/>
      <c r="PHA4" s="4"/>
      <c r="PHB4" s="4"/>
      <c r="PHC4" s="4"/>
      <c r="PHD4" s="4"/>
      <c r="PHE4" s="4"/>
      <c r="PHF4" s="4"/>
      <c r="PHG4" s="4"/>
      <c r="PHH4" s="4"/>
      <c r="PHI4" s="4"/>
      <c r="PHJ4" s="4"/>
      <c r="PHK4" s="4"/>
      <c r="PHL4" s="4"/>
      <c r="PHM4" s="4"/>
      <c r="PHN4" s="4"/>
      <c r="PHO4" s="4"/>
      <c r="PHP4" s="4"/>
      <c r="PHQ4" s="4"/>
      <c r="PHR4" s="4"/>
      <c r="PHS4" s="4"/>
      <c r="PHT4" s="4"/>
      <c r="PHU4" s="4"/>
      <c r="PHV4" s="4"/>
      <c r="PHW4" s="4"/>
      <c r="PHX4" s="4"/>
      <c r="PHY4" s="4"/>
      <c r="PHZ4" s="4"/>
      <c r="PIA4" s="4"/>
      <c r="PIB4" s="4"/>
      <c r="PIC4" s="4"/>
      <c r="PID4" s="4"/>
      <c r="PIE4" s="4"/>
      <c r="PIF4" s="4"/>
      <c r="PIG4" s="4"/>
      <c r="PIH4" s="4"/>
      <c r="PII4" s="4"/>
      <c r="PIJ4" s="4"/>
      <c r="PIK4" s="4"/>
      <c r="PIL4" s="4"/>
      <c r="PIM4" s="4"/>
      <c r="PIN4" s="4"/>
      <c r="PIO4" s="4"/>
      <c r="PIP4" s="4"/>
      <c r="PIQ4" s="4"/>
      <c r="PIR4" s="4"/>
      <c r="PIS4" s="4"/>
      <c r="PIT4" s="4"/>
      <c r="PIU4" s="4"/>
      <c r="PIV4" s="4"/>
      <c r="PIW4" s="4"/>
      <c r="PIX4" s="4"/>
      <c r="PIY4" s="4"/>
      <c r="PIZ4" s="4"/>
      <c r="PJA4" s="4"/>
      <c r="PJB4" s="4"/>
      <c r="PJC4" s="4"/>
      <c r="PJD4" s="4"/>
      <c r="PJE4" s="4"/>
      <c r="PJF4" s="4"/>
      <c r="PJG4" s="4"/>
      <c r="PJH4" s="4"/>
      <c r="PJI4" s="4"/>
      <c r="PJJ4" s="4"/>
      <c r="PJK4" s="4"/>
      <c r="PJL4" s="4"/>
      <c r="PJM4" s="4"/>
      <c r="PJN4" s="4"/>
      <c r="PJO4" s="4"/>
      <c r="PJP4" s="4"/>
      <c r="PJQ4" s="4"/>
      <c r="PJR4" s="4"/>
      <c r="PJS4" s="4"/>
      <c r="PJT4" s="4"/>
      <c r="PJU4" s="4"/>
      <c r="PJV4" s="4"/>
      <c r="PJW4" s="4"/>
      <c r="PJX4" s="4"/>
      <c r="PJY4" s="4"/>
      <c r="PJZ4" s="4"/>
      <c r="PKA4" s="4"/>
      <c r="PKB4" s="4"/>
      <c r="PKC4" s="4"/>
      <c r="PKD4" s="4"/>
      <c r="PKE4" s="4"/>
      <c r="PKF4" s="4"/>
      <c r="PKG4" s="4"/>
      <c r="PKH4" s="4"/>
      <c r="PKI4" s="4"/>
      <c r="PKJ4" s="4"/>
      <c r="PKK4" s="4"/>
      <c r="PKL4" s="4"/>
      <c r="PKM4" s="4"/>
      <c r="PKN4" s="4"/>
      <c r="PKO4" s="4"/>
      <c r="PKP4" s="4"/>
      <c r="PKQ4" s="4"/>
      <c r="PKR4" s="4"/>
      <c r="PKS4" s="4"/>
      <c r="PKT4" s="4"/>
      <c r="PKU4" s="4"/>
      <c r="PKV4" s="4"/>
      <c r="PKW4" s="4"/>
      <c r="PKX4" s="4"/>
      <c r="PKY4" s="4"/>
      <c r="PKZ4" s="4"/>
      <c r="PLA4" s="4"/>
      <c r="PLB4" s="4"/>
      <c r="PLC4" s="4"/>
      <c r="PLD4" s="4"/>
      <c r="PLE4" s="4"/>
      <c r="PLF4" s="4"/>
      <c r="PLG4" s="4"/>
      <c r="PLH4" s="4"/>
      <c r="PLI4" s="4"/>
      <c r="PLJ4" s="4"/>
      <c r="PLK4" s="4"/>
      <c r="PLL4" s="4"/>
      <c r="PLM4" s="4"/>
      <c r="PLN4" s="4"/>
      <c r="PLO4" s="4"/>
      <c r="PLP4" s="4"/>
      <c r="PLQ4" s="4"/>
      <c r="PLR4" s="4"/>
      <c r="PLS4" s="4"/>
      <c r="PLT4" s="4"/>
      <c r="PLU4" s="4"/>
      <c r="PLV4" s="4"/>
      <c r="PLW4" s="4"/>
      <c r="PLX4" s="4"/>
      <c r="PLY4" s="4"/>
      <c r="PLZ4" s="4"/>
      <c r="PMA4" s="4"/>
      <c r="PMB4" s="4"/>
      <c r="PMC4" s="4"/>
      <c r="PMD4" s="4"/>
      <c r="PME4" s="4"/>
      <c r="PMF4" s="4"/>
      <c r="PMG4" s="4"/>
      <c r="PMH4" s="4"/>
      <c r="PMI4" s="4"/>
      <c r="PMJ4" s="4"/>
      <c r="PMK4" s="4"/>
      <c r="PML4" s="4"/>
      <c r="PMM4" s="4"/>
      <c r="PMN4" s="4"/>
      <c r="PMO4" s="4"/>
      <c r="PMP4" s="4"/>
      <c r="PMQ4" s="4"/>
      <c r="PMR4" s="4"/>
      <c r="PMS4" s="4"/>
      <c r="PMT4" s="4"/>
      <c r="PMU4" s="4"/>
      <c r="PMV4" s="4"/>
      <c r="PMW4" s="4"/>
      <c r="PMX4" s="4"/>
      <c r="PMY4" s="4"/>
      <c r="PMZ4" s="4"/>
      <c r="PNA4" s="4"/>
      <c r="PNB4" s="4"/>
      <c r="PNC4" s="4"/>
      <c r="PND4" s="4"/>
      <c r="PNE4" s="4"/>
      <c r="PNF4" s="4"/>
      <c r="PNG4" s="4"/>
      <c r="PNH4" s="4"/>
      <c r="PNI4" s="4"/>
      <c r="PNJ4" s="4"/>
      <c r="PNK4" s="4"/>
      <c r="PNL4" s="4"/>
      <c r="PNM4" s="4"/>
      <c r="PNN4" s="4"/>
      <c r="PNO4" s="4"/>
      <c r="PNP4" s="4"/>
      <c r="PNQ4" s="4"/>
      <c r="PNR4" s="4"/>
      <c r="PNS4" s="4"/>
      <c r="PNT4" s="4"/>
      <c r="PNU4" s="4"/>
      <c r="PNV4" s="4"/>
      <c r="PNW4" s="4"/>
      <c r="PNX4" s="4"/>
      <c r="PNY4" s="4"/>
      <c r="PNZ4" s="4"/>
      <c r="POA4" s="4"/>
      <c r="POB4" s="4"/>
      <c r="POC4" s="4"/>
      <c r="POD4" s="4"/>
      <c r="POE4" s="4"/>
      <c r="POF4" s="4"/>
      <c r="POG4" s="4"/>
      <c r="POH4" s="4"/>
      <c r="POI4" s="4"/>
      <c r="POJ4" s="4"/>
      <c r="POK4" s="4"/>
      <c r="POL4" s="4"/>
      <c r="POM4" s="4"/>
      <c r="PON4" s="4"/>
      <c r="POO4" s="4"/>
      <c r="POP4" s="4"/>
      <c r="POQ4" s="4"/>
      <c r="POR4" s="4"/>
      <c r="POS4" s="4"/>
      <c r="POT4" s="4"/>
      <c r="POU4" s="4"/>
      <c r="POV4" s="4"/>
      <c r="POW4" s="4"/>
      <c r="POX4" s="4"/>
      <c r="POY4" s="4"/>
      <c r="POZ4" s="4"/>
      <c r="PPA4" s="4"/>
      <c r="PPB4" s="4"/>
      <c r="PPC4" s="4"/>
      <c r="PPD4" s="4"/>
      <c r="PPE4" s="4"/>
      <c r="PPF4" s="4"/>
      <c r="PPG4" s="4"/>
      <c r="PPH4" s="4"/>
      <c r="PPI4" s="4"/>
      <c r="PPJ4" s="4"/>
      <c r="PPK4" s="4"/>
      <c r="PPL4" s="4"/>
      <c r="PPM4" s="4"/>
      <c r="PPN4" s="4"/>
      <c r="PPO4" s="4"/>
      <c r="PPP4" s="4"/>
      <c r="PPQ4" s="4"/>
      <c r="PPR4" s="4"/>
      <c r="PPS4" s="4"/>
      <c r="PPT4" s="4"/>
      <c r="PPU4" s="4"/>
      <c r="PPV4" s="4"/>
      <c r="PPW4" s="4"/>
      <c r="PPX4" s="4"/>
      <c r="PPY4" s="4"/>
      <c r="PPZ4" s="4"/>
      <c r="PQA4" s="4"/>
      <c r="PQB4" s="4"/>
      <c r="PQC4" s="4"/>
      <c r="PQD4" s="4"/>
      <c r="PQE4" s="4"/>
      <c r="PQF4" s="4"/>
      <c r="PQG4" s="4"/>
      <c r="PQH4" s="4"/>
      <c r="PQI4" s="4"/>
      <c r="PQJ4" s="4"/>
      <c r="PQK4" s="4"/>
      <c r="PQL4" s="4"/>
      <c r="PQM4" s="4"/>
      <c r="PQN4" s="4"/>
      <c r="PQO4" s="4"/>
      <c r="PQP4" s="4"/>
      <c r="PQQ4" s="4"/>
      <c r="PQR4" s="4"/>
      <c r="PQS4" s="4"/>
      <c r="PQT4" s="4"/>
      <c r="PQU4" s="4"/>
      <c r="PQV4" s="4"/>
      <c r="PQW4" s="4"/>
      <c r="PQX4" s="4"/>
      <c r="PQY4" s="4"/>
      <c r="PQZ4" s="4"/>
      <c r="PRA4" s="4"/>
      <c r="PRB4" s="4"/>
      <c r="PRC4" s="4"/>
      <c r="PRD4" s="4"/>
      <c r="PRE4" s="4"/>
      <c r="PRF4" s="4"/>
      <c r="PRG4" s="4"/>
      <c r="PRH4" s="4"/>
      <c r="PRI4" s="4"/>
      <c r="PRJ4" s="4"/>
      <c r="PRK4" s="4"/>
      <c r="PRL4" s="4"/>
      <c r="PRM4" s="4"/>
      <c r="PRN4" s="4"/>
      <c r="PRO4" s="4"/>
      <c r="PRP4" s="4"/>
      <c r="PRQ4" s="4"/>
      <c r="PRR4" s="4"/>
      <c r="PRS4" s="4"/>
      <c r="PRT4" s="4"/>
      <c r="PRU4" s="4"/>
      <c r="PRV4" s="4"/>
      <c r="PRW4" s="4"/>
      <c r="PRX4" s="4"/>
      <c r="PRY4" s="4"/>
      <c r="PRZ4" s="4"/>
      <c r="PSA4" s="4"/>
      <c r="PSB4" s="4"/>
      <c r="PSC4" s="4"/>
      <c r="PSD4" s="4"/>
      <c r="PSE4" s="4"/>
      <c r="PSF4" s="4"/>
      <c r="PSG4" s="4"/>
      <c r="PSH4" s="4"/>
      <c r="PSI4" s="4"/>
      <c r="PSJ4" s="4"/>
      <c r="PSK4" s="4"/>
      <c r="PSL4" s="4"/>
      <c r="PSM4" s="4"/>
      <c r="PSN4" s="4"/>
      <c r="PSO4" s="4"/>
      <c r="PSP4" s="4"/>
      <c r="PSQ4" s="4"/>
      <c r="PSR4" s="4"/>
      <c r="PSS4" s="4"/>
      <c r="PST4" s="4"/>
      <c r="PSU4" s="4"/>
      <c r="PSV4" s="4"/>
      <c r="PSW4" s="4"/>
      <c r="PSX4" s="4"/>
      <c r="PSY4" s="4"/>
      <c r="PSZ4" s="4"/>
      <c r="PTA4" s="4"/>
      <c r="PTB4" s="4"/>
      <c r="PTC4" s="4"/>
      <c r="PTD4" s="4"/>
      <c r="PTE4" s="4"/>
      <c r="PTF4" s="4"/>
      <c r="PTG4" s="4"/>
      <c r="PTH4" s="4"/>
      <c r="PTI4" s="4"/>
      <c r="PTJ4" s="4"/>
      <c r="PTK4" s="4"/>
      <c r="PTL4" s="4"/>
      <c r="PTM4" s="4"/>
      <c r="PTN4" s="4"/>
      <c r="PTO4" s="4"/>
      <c r="PTP4" s="4"/>
      <c r="PTQ4" s="4"/>
      <c r="PTR4" s="4"/>
      <c r="PTS4" s="4"/>
      <c r="PTT4" s="4"/>
      <c r="PTU4" s="4"/>
      <c r="PTV4" s="4"/>
      <c r="PTW4" s="4"/>
      <c r="PTX4" s="4"/>
      <c r="PTY4" s="4"/>
      <c r="PTZ4" s="4"/>
      <c r="PUA4" s="4"/>
      <c r="PUB4" s="4"/>
      <c r="PUC4" s="4"/>
      <c r="PUD4" s="4"/>
      <c r="PUE4" s="4"/>
      <c r="PUF4" s="4"/>
      <c r="PUG4" s="4"/>
      <c r="PUH4" s="4"/>
      <c r="PUI4" s="4"/>
      <c r="PUJ4" s="4"/>
      <c r="PUK4" s="4"/>
      <c r="PUL4" s="4"/>
      <c r="PUM4" s="4"/>
      <c r="PUN4" s="4"/>
      <c r="PUO4" s="4"/>
      <c r="PUP4" s="4"/>
      <c r="PUQ4" s="4"/>
      <c r="PUR4" s="4"/>
      <c r="PUS4" s="4"/>
      <c r="PUT4" s="4"/>
      <c r="PUU4" s="4"/>
      <c r="PUV4" s="4"/>
      <c r="PUW4" s="4"/>
      <c r="PUX4" s="4"/>
      <c r="PUY4" s="4"/>
      <c r="PUZ4" s="4"/>
      <c r="PVA4" s="4"/>
      <c r="PVB4" s="4"/>
      <c r="PVC4" s="4"/>
      <c r="PVD4" s="4"/>
      <c r="PVE4" s="4"/>
      <c r="PVF4" s="4"/>
      <c r="PVG4" s="4"/>
      <c r="PVH4" s="4"/>
      <c r="PVI4" s="4"/>
      <c r="PVJ4" s="4"/>
      <c r="PVK4" s="4"/>
      <c r="PVL4" s="4"/>
      <c r="PVM4" s="4"/>
      <c r="PVN4" s="4"/>
      <c r="PVO4" s="4"/>
      <c r="PVP4" s="4"/>
      <c r="PVQ4" s="4"/>
      <c r="PVR4" s="4"/>
      <c r="PVS4" s="4"/>
      <c r="PVT4" s="4"/>
      <c r="PVU4" s="4"/>
      <c r="PVV4" s="4"/>
      <c r="PVW4" s="4"/>
      <c r="PVX4" s="4"/>
      <c r="PVY4" s="4"/>
      <c r="PVZ4" s="4"/>
      <c r="PWA4" s="4"/>
      <c r="PWB4" s="4"/>
      <c r="PWC4" s="4"/>
      <c r="PWD4" s="4"/>
      <c r="PWE4" s="4"/>
      <c r="PWF4" s="4"/>
      <c r="PWG4" s="4"/>
      <c r="PWH4" s="4"/>
      <c r="PWI4" s="4"/>
      <c r="PWJ4" s="4"/>
      <c r="PWK4" s="4"/>
      <c r="PWL4" s="4"/>
      <c r="PWM4" s="4"/>
      <c r="PWN4" s="4"/>
      <c r="PWO4" s="4"/>
      <c r="PWP4" s="4"/>
      <c r="PWQ4" s="4"/>
      <c r="PWR4" s="4"/>
      <c r="PWS4" s="4"/>
      <c r="PWT4" s="4"/>
      <c r="PWU4" s="4"/>
      <c r="PWV4" s="4"/>
      <c r="PWW4" s="4"/>
      <c r="PWX4" s="4"/>
      <c r="PWY4" s="4"/>
      <c r="PWZ4" s="4"/>
      <c r="PXA4" s="4"/>
      <c r="PXB4" s="4"/>
      <c r="PXC4" s="4"/>
      <c r="PXD4" s="4"/>
      <c r="PXE4" s="4"/>
      <c r="PXF4" s="4"/>
      <c r="PXG4" s="4"/>
      <c r="PXH4" s="4"/>
      <c r="PXI4" s="4"/>
      <c r="PXJ4" s="4"/>
      <c r="PXK4" s="4"/>
      <c r="PXL4" s="4"/>
      <c r="PXM4" s="4"/>
      <c r="PXN4" s="4"/>
      <c r="PXO4" s="4"/>
      <c r="PXP4" s="4"/>
      <c r="PXQ4" s="4"/>
      <c r="PXR4" s="4"/>
      <c r="PXS4" s="4"/>
      <c r="PXT4" s="4"/>
      <c r="PXU4" s="4"/>
      <c r="PXV4" s="4"/>
      <c r="PXW4" s="4"/>
      <c r="PXX4" s="4"/>
      <c r="PXY4" s="4"/>
      <c r="PXZ4" s="4"/>
      <c r="PYA4" s="4"/>
      <c r="PYB4" s="4"/>
      <c r="PYC4" s="4"/>
      <c r="PYD4" s="4"/>
      <c r="PYE4" s="4"/>
      <c r="PYF4" s="4"/>
      <c r="PYG4" s="4"/>
      <c r="PYH4" s="4"/>
      <c r="PYI4" s="4"/>
      <c r="PYJ4" s="4"/>
      <c r="PYK4" s="4"/>
      <c r="PYL4" s="4"/>
      <c r="PYM4" s="4"/>
      <c r="PYN4" s="4"/>
      <c r="PYO4" s="4"/>
      <c r="PYP4" s="4"/>
      <c r="PYQ4" s="4"/>
      <c r="PYR4" s="4"/>
      <c r="PYS4" s="4"/>
      <c r="PYT4" s="4"/>
      <c r="PYU4" s="4"/>
      <c r="PYV4" s="4"/>
      <c r="PYW4" s="4"/>
      <c r="PYX4" s="4"/>
      <c r="PYY4" s="4"/>
      <c r="PYZ4" s="4"/>
      <c r="PZA4" s="4"/>
      <c r="PZB4" s="4"/>
      <c r="PZC4" s="4"/>
      <c r="PZD4" s="4"/>
      <c r="PZE4" s="4"/>
      <c r="PZF4" s="4"/>
      <c r="PZG4" s="4"/>
      <c r="PZH4" s="4"/>
      <c r="PZI4" s="4"/>
      <c r="PZJ4" s="4"/>
      <c r="PZK4" s="4"/>
      <c r="PZL4" s="4"/>
      <c r="PZM4" s="4"/>
      <c r="PZN4" s="4"/>
      <c r="PZO4" s="4"/>
      <c r="PZP4" s="4"/>
      <c r="PZQ4" s="4"/>
      <c r="PZR4" s="4"/>
      <c r="PZS4" s="4"/>
      <c r="PZT4" s="4"/>
      <c r="PZU4" s="4"/>
      <c r="PZV4" s="4"/>
      <c r="PZW4" s="4"/>
      <c r="PZX4" s="4"/>
      <c r="PZY4" s="4"/>
      <c r="PZZ4" s="4"/>
      <c r="QAA4" s="4"/>
      <c r="QAB4" s="4"/>
      <c r="QAC4" s="4"/>
      <c r="QAD4" s="4"/>
      <c r="QAE4" s="4"/>
      <c r="QAF4" s="4"/>
      <c r="QAG4" s="4"/>
      <c r="QAH4" s="4"/>
      <c r="QAI4" s="4"/>
      <c r="QAJ4" s="4"/>
      <c r="QAK4" s="4"/>
      <c r="QAL4" s="4"/>
      <c r="QAM4" s="4"/>
      <c r="QAN4" s="4"/>
      <c r="QAO4" s="4"/>
      <c r="QAP4" s="4"/>
      <c r="QAQ4" s="4"/>
      <c r="QAR4" s="4"/>
      <c r="QAS4" s="4"/>
      <c r="QAT4" s="4"/>
      <c r="QAU4" s="4"/>
      <c r="QAV4" s="4"/>
      <c r="QAW4" s="4"/>
      <c r="QAX4" s="4"/>
      <c r="QAY4" s="4"/>
      <c r="QAZ4" s="4"/>
      <c r="QBA4" s="4"/>
      <c r="QBB4" s="4"/>
      <c r="QBC4" s="4"/>
      <c r="QBD4" s="4"/>
      <c r="QBE4" s="4"/>
      <c r="QBF4" s="4"/>
      <c r="QBG4" s="4"/>
      <c r="QBH4" s="4"/>
      <c r="QBI4" s="4"/>
      <c r="QBJ4" s="4"/>
      <c r="QBK4" s="4"/>
      <c r="QBL4" s="4"/>
      <c r="QBM4" s="4"/>
      <c r="QBN4" s="4"/>
      <c r="QBO4" s="4"/>
      <c r="QBP4" s="4"/>
      <c r="QBQ4" s="4"/>
      <c r="QBR4" s="4"/>
      <c r="QBS4" s="4"/>
      <c r="QBT4" s="4"/>
      <c r="QBU4" s="4"/>
      <c r="QBV4" s="4"/>
      <c r="QBW4" s="4"/>
      <c r="QBX4" s="4"/>
      <c r="QBY4" s="4"/>
      <c r="QBZ4" s="4"/>
      <c r="QCA4" s="4"/>
      <c r="QCB4" s="4"/>
      <c r="QCC4" s="4"/>
      <c r="QCD4" s="4"/>
      <c r="QCE4" s="4"/>
      <c r="QCF4" s="4"/>
      <c r="QCG4" s="4"/>
      <c r="QCH4" s="4"/>
      <c r="QCI4" s="4"/>
      <c r="QCJ4" s="4"/>
      <c r="QCK4" s="4"/>
      <c r="QCL4" s="4"/>
      <c r="QCM4" s="4"/>
      <c r="QCN4" s="4"/>
      <c r="QCO4" s="4"/>
      <c r="QCP4" s="4"/>
      <c r="QCQ4" s="4"/>
      <c r="QCR4" s="4"/>
      <c r="QCS4" s="4"/>
      <c r="QCT4" s="4"/>
      <c r="QCU4" s="4"/>
      <c r="QCV4" s="4"/>
      <c r="QCW4" s="4"/>
      <c r="QCX4" s="4"/>
      <c r="QCY4" s="4"/>
      <c r="QCZ4" s="4"/>
      <c r="QDA4" s="4"/>
      <c r="QDB4" s="4"/>
      <c r="QDC4" s="4"/>
      <c r="QDD4" s="4"/>
      <c r="QDE4" s="4"/>
      <c r="QDF4" s="4"/>
      <c r="QDG4" s="4"/>
      <c r="QDH4" s="4"/>
      <c r="QDI4" s="4"/>
      <c r="QDJ4" s="4"/>
      <c r="QDK4" s="4"/>
      <c r="QDL4" s="4"/>
      <c r="QDM4" s="4"/>
      <c r="QDN4" s="4"/>
      <c r="QDO4" s="4"/>
      <c r="QDP4" s="4"/>
      <c r="QDQ4" s="4"/>
      <c r="QDR4" s="4"/>
      <c r="QDS4" s="4"/>
      <c r="QDT4" s="4"/>
      <c r="QDU4" s="4"/>
      <c r="QDV4" s="4"/>
      <c r="QDW4" s="4"/>
      <c r="QDX4" s="4"/>
      <c r="QDY4" s="4"/>
      <c r="QDZ4" s="4"/>
      <c r="QEA4" s="4"/>
      <c r="QEB4" s="4"/>
      <c r="QEC4" s="4"/>
      <c r="QED4" s="4"/>
      <c r="QEE4" s="4"/>
      <c r="QEF4" s="4"/>
      <c r="QEG4" s="4"/>
      <c r="QEH4" s="4"/>
      <c r="QEI4" s="4"/>
      <c r="QEJ4" s="4"/>
      <c r="QEK4" s="4"/>
      <c r="QEL4" s="4"/>
      <c r="QEM4" s="4"/>
      <c r="QEN4" s="4"/>
      <c r="QEO4" s="4"/>
      <c r="QEP4" s="4"/>
      <c r="QEQ4" s="4"/>
      <c r="QER4" s="4"/>
      <c r="QES4" s="4"/>
      <c r="QET4" s="4"/>
      <c r="QEU4" s="4"/>
      <c r="QEV4" s="4"/>
      <c r="QEW4" s="4"/>
      <c r="QEX4" s="4"/>
      <c r="QEY4" s="4"/>
      <c r="QEZ4" s="4"/>
      <c r="QFA4" s="4"/>
      <c r="QFB4" s="4"/>
      <c r="QFC4" s="4"/>
      <c r="QFD4" s="4"/>
      <c r="QFE4" s="4"/>
      <c r="QFF4" s="4"/>
      <c r="QFG4" s="4"/>
      <c r="QFH4" s="4"/>
      <c r="QFI4" s="4"/>
      <c r="QFJ4" s="4"/>
      <c r="QFK4" s="4"/>
      <c r="QFL4" s="4"/>
      <c r="QFM4" s="4"/>
      <c r="QFN4" s="4"/>
      <c r="QFO4" s="4"/>
      <c r="QFP4" s="4"/>
      <c r="QFQ4" s="4"/>
      <c r="QFR4" s="4"/>
      <c r="QFS4" s="4"/>
      <c r="QFT4" s="4"/>
      <c r="QFU4" s="4"/>
      <c r="QFV4" s="4"/>
      <c r="QFW4" s="4"/>
      <c r="QFX4" s="4"/>
      <c r="QFY4" s="4"/>
      <c r="QFZ4" s="4"/>
      <c r="QGA4" s="4"/>
      <c r="QGB4" s="4"/>
      <c r="QGC4" s="4"/>
      <c r="QGD4" s="4"/>
      <c r="QGE4" s="4"/>
      <c r="QGF4" s="4"/>
      <c r="QGG4" s="4"/>
      <c r="QGH4" s="4"/>
      <c r="QGI4" s="4"/>
      <c r="QGJ4" s="4"/>
      <c r="QGK4" s="4"/>
      <c r="QGL4" s="4"/>
      <c r="QGM4" s="4"/>
      <c r="QGN4" s="4"/>
      <c r="QGO4" s="4"/>
      <c r="QGP4" s="4"/>
      <c r="QGQ4" s="4"/>
      <c r="QGR4" s="4"/>
      <c r="QGS4" s="4"/>
      <c r="QGT4" s="4"/>
      <c r="QGU4" s="4"/>
      <c r="QGV4" s="4"/>
      <c r="QGW4" s="4"/>
      <c r="QGX4" s="4"/>
      <c r="QGY4" s="4"/>
      <c r="QGZ4" s="4"/>
      <c r="QHA4" s="4"/>
      <c r="QHB4" s="4"/>
      <c r="QHC4" s="4"/>
      <c r="QHD4" s="4"/>
      <c r="QHE4" s="4"/>
      <c r="QHF4" s="4"/>
      <c r="QHG4" s="4"/>
      <c r="QHH4" s="4"/>
      <c r="QHI4" s="4"/>
      <c r="QHJ4" s="4"/>
      <c r="QHK4" s="4"/>
      <c r="QHL4" s="4"/>
      <c r="QHM4" s="4"/>
      <c r="QHN4" s="4"/>
      <c r="QHO4" s="4"/>
      <c r="QHP4" s="4"/>
      <c r="QHQ4" s="4"/>
      <c r="QHR4" s="4"/>
      <c r="QHS4" s="4"/>
      <c r="QHT4" s="4"/>
      <c r="QHU4" s="4"/>
      <c r="QHV4" s="4"/>
      <c r="QHW4" s="4"/>
      <c r="QHX4" s="4"/>
      <c r="QHY4" s="4"/>
      <c r="QHZ4" s="4"/>
      <c r="QIA4" s="4"/>
      <c r="QIB4" s="4"/>
      <c r="QIC4" s="4"/>
      <c r="QID4" s="4"/>
      <c r="QIE4" s="4"/>
      <c r="QIF4" s="4"/>
      <c r="QIG4" s="4"/>
      <c r="QIH4" s="4"/>
      <c r="QII4" s="4"/>
      <c r="QIJ4" s="4"/>
      <c r="QIK4" s="4"/>
      <c r="QIL4" s="4"/>
      <c r="QIM4" s="4"/>
      <c r="QIN4" s="4"/>
      <c r="QIO4" s="4"/>
      <c r="QIP4" s="4"/>
      <c r="QIQ4" s="4"/>
      <c r="QIR4" s="4"/>
      <c r="QIS4" s="4"/>
      <c r="QIT4" s="4"/>
      <c r="QIU4" s="4"/>
      <c r="QIV4" s="4"/>
      <c r="QIW4" s="4"/>
      <c r="QIX4" s="4"/>
      <c r="QIY4" s="4"/>
      <c r="QIZ4" s="4"/>
      <c r="QJA4" s="4"/>
      <c r="QJB4" s="4"/>
      <c r="QJC4" s="4"/>
      <c r="QJD4" s="4"/>
      <c r="QJE4" s="4"/>
      <c r="QJF4" s="4"/>
      <c r="QJG4" s="4"/>
      <c r="QJH4" s="4"/>
      <c r="QJI4" s="4"/>
      <c r="QJJ4" s="4"/>
      <c r="QJK4" s="4"/>
      <c r="QJL4" s="4"/>
      <c r="QJM4" s="4"/>
      <c r="QJN4" s="4"/>
      <c r="QJO4" s="4"/>
      <c r="QJP4" s="4"/>
      <c r="QJQ4" s="4"/>
      <c r="QJR4" s="4"/>
      <c r="QJS4" s="4"/>
      <c r="QJT4" s="4"/>
      <c r="QJU4" s="4"/>
      <c r="QJV4" s="4"/>
      <c r="QJW4" s="4"/>
      <c r="QJX4" s="4"/>
      <c r="QJY4" s="4"/>
      <c r="QJZ4" s="4"/>
      <c r="QKA4" s="4"/>
      <c r="QKB4" s="4"/>
      <c r="QKC4" s="4"/>
      <c r="QKD4" s="4"/>
      <c r="QKE4" s="4"/>
      <c r="QKF4" s="4"/>
      <c r="QKG4" s="4"/>
      <c r="QKH4" s="4"/>
      <c r="QKI4" s="4"/>
      <c r="QKJ4" s="4"/>
      <c r="QKK4" s="4"/>
      <c r="QKL4" s="4"/>
      <c r="QKM4" s="4"/>
      <c r="QKN4" s="4"/>
      <c r="QKO4" s="4"/>
      <c r="QKP4" s="4"/>
      <c r="QKQ4" s="4"/>
      <c r="QKR4" s="4"/>
      <c r="QKS4" s="4"/>
      <c r="QKT4" s="4"/>
      <c r="QKU4" s="4"/>
      <c r="QKV4" s="4"/>
      <c r="QKW4" s="4"/>
      <c r="QKX4" s="4"/>
      <c r="QKY4" s="4"/>
      <c r="QKZ4" s="4"/>
      <c r="QLA4" s="4"/>
      <c r="QLB4" s="4"/>
      <c r="QLC4" s="4"/>
      <c r="QLD4" s="4"/>
      <c r="QLE4" s="4"/>
      <c r="QLF4" s="4"/>
      <c r="QLG4" s="4"/>
      <c r="QLH4" s="4"/>
      <c r="QLI4" s="4"/>
      <c r="QLJ4" s="4"/>
      <c r="QLK4" s="4"/>
      <c r="QLL4" s="4"/>
      <c r="QLM4" s="4"/>
      <c r="QLN4" s="4"/>
      <c r="QLO4" s="4"/>
      <c r="QLP4" s="4"/>
      <c r="QLQ4" s="4"/>
      <c r="QLR4" s="4"/>
      <c r="QLS4" s="4"/>
      <c r="QLT4" s="4"/>
      <c r="QLU4" s="4"/>
      <c r="QLV4" s="4"/>
      <c r="QLW4" s="4"/>
      <c r="QLX4" s="4"/>
      <c r="QLY4" s="4"/>
      <c r="QLZ4" s="4"/>
      <c r="QMA4" s="4"/>
      <c r="QMB4" s="4"/>
      <c r="QMC4" s="4"/>
      <c r="QMD4" s="4"/>
      <c r="QME4" s="4"/>
      <c r="QMF4" s="4"/>
      <c r="QMG4" s="4"/>
      <c r="QMH4" s="4"/>
      <c r="QMI4" s="4"/>
      <c r="QMJ4" s="4"/>
      <c r="QMK4" s="4"/>
      <c r="QML4" s="4"/>
      <c r="QMM4" s="4"/>
      <c r="QMN4" s="4"/>
      <c r="QMO4" s="4"/>
      <c r="QMP4" s="4"/>
      <c r="QMQ4" s="4"/>
      <c r="QMR4" s="4"/>
      <c r="QMS4" s="4"/>
      <c r="QMT4" s="4"/>
      <c r="QMU4" s="4"/>
      <c r="QMV4" s="4"/>
      <c r="QMW4" s="4"/>
      <c r="QMX4" s="4"/>
      <c r="QMY4" s="4"/>
      <c r="QMZ4" s="4"/>
      <c r="QNA4" s="4"/>
      <c r="QNB4" s="4"/>
      <c r="QNC4" s="4"/>
      <c r="QND4" s="4"/>
      <c r="QNE4" s="4"/>
      <c r="QNF4" s="4"/>
      <c r="QNG4" s="4"/>
      <c r="QNH4" s="4"/>
      <c r="QNI4" s="4"/>
      <c r="QNJ4" s="4"/>
      <c r="QNK4" s="4"/>
      <c r="QNL4" s="4"/>
      <c r="QNM4" s="4"/>
      <c r="QNN4" s="4"/>
      <c r="QNO4" s="4"/>
      <c r="QNP4" s="4"/>
      <c r="QNQ4" s="4"/>
      <c r="QNR4" s="4"/>
      <c r="QNS4" s="4"/>
      <c r="QNT4" s="4"/>
      <c r="QNU4" s="4"/>
      <c r="QNV4" s="4"/>
      <c r="QNW4" s="4"/>
      <c r="QNX4" s="4"/>
      <c r="QNY4" s="4"/>
      <c r="QNZ4" s="4"/>
      <c r="QOA4" s="4"/>
      <c r="QOB4" s="4"/>
      <c r="QOC4" s="4"/>
      <c r="QOD4" s="4"/>
      <c r="QOE4" s="4"/>
      <c r="QOF4" s="4"/>
      <c r="QOG4" s="4"/>
      <c r="QOH4" s="4"/>
      <c r="QOI4" s="4"/>
      <c r="QOJ4" s="4"/>
      <c r="QOK4" s="4"/>
      <c r="QOL4" s="4"/>
      <c r="QOM4" s="4"/>
      <c r="QON4" s="4"/>
      <c r="QOO4" s="4"/>
      <c r="QOP4" s="4"/>
      <c r="QOQ4" s="4"/>
      <c r="QOR4" s="4"/>
      <c r="QOS4" s="4"/>
      <c r="QOT4" s="4"/>
      <c r="QOU4" s="4"/>
      <c r="QOV4" s="4"/>
      <c r="QOW4" s="4"/>
      <c r="QOX4" s="4"/>
      <c r="QOY4" s="4"/>
      <c r="QOZ4" s="4"/>
      <c r="QPA4" s="4"/>
      <c r="QPB4" s="4"/>
      <c r="QPC4" s="4"/>
      <c r="QPD4" s="4"/>
      <c r="QPE4" s="4"/>
      <c r="QPF4" s="4"/>
      <c r="QPG4" s="4"/>
      <c r="QPH4" s="4"/>
      <c r="QPI4" s="4"/>
      <c r="QPJ4" s="4"/>
      <c r="QPK4" s="4"/>
      <c r="QPL4" s="4"/>
      <c r="QPM4" s="4"/>
      <c r="QPN4" s="4"/>
      <c r="QPO4" s="4"/>
      <c r="QPP4" s="4"/>
      <c r="QPQ4" s="4"/>
      <c r="QPR4" s="4"/>
      <c r="QPS4" s="4"/>
      <c r="QPT4" s="4"/>
      <c r="QPU4" s="4"/>
      <c r="QPV4" s="4"/>
      <c r="QPW4" s="4"/>
      <c r="QPX4" s="4"/>
      <c r="QPY4" s="4"/>
      <c r="QPZ4" s="4"/>
      <c r="QQA4" s="4"/>
      <c r="QQB4" s="4"/>
      <c r="QQC4" s="4"/>
      <c r="QQD4" s="4"/>
      <c r="QQE4" s="4"/>
      <c r="QQF4" s="4"/>
      <c r="QQG4" s="4"/>
      <c r="QQH4" s="4"/>
      <c r="QQI4" s="4"/>
      <c r="QQJ4" s="4"/>
      <c r="QQK4" s="4"/>
      <c r="QQL4" s="4"/>
      <c r="QQM4" s="4"/>
      <c r="QQN4" s="4"/>
      <c r="QQO4" s="4"/>
      <c r="QQP4" s="4"/>
      <c r="QQQ4" s="4"/>
      <c r="QQR4" s="4"/>
      <c r="QQS4" s="4"/>
      <c r="QQT4" s="4"/>
      <c r="QQU4" s="4"/>
      <c r="QQV4" s="4"/>
      <c r="QQW4" s="4"/>
      <c r="QQX4" s="4"/>
      <c r="QQY4" s="4"/>
      <c r="QQZ4" s="4"/>
      <c r="QRA4" s="4"/>
      <c r="QRB4" s="4"/>
      <c r="QRC4" s="4"/>
      <c r="QRD4" s="4"/>
      <c r="QRE4" s="4"/>
      <c r="QRF4" s="4"/>
      <c r="QRG4" s="4"/>
      <c r="QRH4" s="4"/>
      <c r="QRI4" s="4"/>
      <c r="QRJ4" s="4"/>
      <c r="QRK4" s="4"/>
      <c r="QRL4" s="4"/>
      <c r="QRM4" s="4"/>
      <c r="QRN4" s="4"/>
      <c r="QRO4" s="4"/>
      <c r="QRP4" s="4"/>
      <c r="QRQ4" s="4"/>
      <c r="QRR4" s="4"/>
      <c r="QRS4" s="4"/>
      <c r="QRT4" s="4"/>
      <c r="QRU4" s="4"/>
      <c r="QRV4" s="4"/>
      <c r="QRW4" s="4"/>
      <c r="QRX4" s="4"/>
      <c r="QRY4" s="4"/>
      <c r="QRZ4" s="4"/>
      <c r="QSA4" s="4"/>
      <c r="QSB4" s="4"/>
      <c r="QSC4" s="4"/>
      <c r="QSD4" s="4"/>
      <c r="QSE4" s="4"/>
      <c r="QSF4" s="4"/>
      <c r="QSG4" s="4"/>
      <c r="QSH4" s="4"/>
      <c r="QSI4" s="4"/>
      <c r="QSJ4" s="4"/>
      <c r="QSK4" s="4"/>
      <c r="QSL4" s="4"/>
      <c r="QSM4" s="4"/>
      <c r="QSN4" s="4"/>
      <c r="QSO4" s="4"/>
      <c r="QSP4" s="4"/>
      <c r="QSQ4" s="4"/>
      <c r="QSR4" s="4"/>
      <c r="QSS4" s="4"/>
      <c r="QST4" s="4"/>
      <c r="QSU4" s="4"/>
      <c r="QSV4" s="4"/>
      <c r="QSW4" s="4"/>
      <c r="QSX4" s="4"/>
      <c r="QSY4" s="4"/>
      <c r="QSZ4" s="4"/>
      <c r="QTA4" s="4"/>
      <c r="QTB4" s="4"/>
      <c r="QTC4" s="4"/>
      <c r="QTD4" s="4"/>
      <c r="QTE4" s="4"/>
      <c r="QTF4" s="4"/>
      <c r="QTG4" s="4"/>
      <c r="QTH4" s="4"/>
      <c r="QTI4" s="4"/>
      <c r="QTJ4" s="4"/>
      <c r="QTK4" s="4"/>
      <c r="QTL4" s="4"/>
      <c r="QTM4" s="4"/>
      <c r="QTN4" s="4"/>
      <c r="QTO4" s="4"/>
      <c r="QTP4" s="4"/>
      <c r="QTQ4" s="4"/>
      <c r="QTR4" s="4"/>
      <c r="QTS4" s="4"/>
      <c r="QTT4" s="4"/>
      <c r="QTU4" s="4"/>
      <c r="QTV4" s="4"/>
      <c r="QTW4" s="4"/>
      <c r="QTX4" s="4"/>
      <c r="QTY4" s="4"/>
      <c r="QTZ4" s="4"/>
      <c r="QUA4" s="4"/>
      <c r="QUB4" s="4"/>
      <c r="QUC4" s="4"/>
      <c r="QUD4" s="4"/>
      <c r="QUE4" s="4"/>
      <c r="QUF4" s="4"/>
      <c r="QUG4" s="4"/>
      <c r="QUH4" s="4"/>
      <c r="QUI4" s="4"/>
      <c r="QUJ4" s="4"/>
      <c r="QUK4" s="4"/>
      <c r="QUL4" s="4"/>
      <c r="QUM4" s="4"/>
      <c r="QUN4" s="4"/>
      <c r="QUO4" s="4"/>
      <c r="QUP4" s="4"/>
      <c r="QUQ4" s="4"/>
      <c r="QUR4" s="4"/>
      <c r="QUS4" s="4"/>
      <c r="QUT4" s="4"/>
      <c r="QUU4" s="4"/>
      <c r="QUV4" s="4"/>
      <c r="QUW4" s="4"/>
      <c r="QUX4" s="4"/>
      <c r="QUY4" s="4"/>
      <c r="QUZ4" s="4"/>
      <c r="QVA4" s="4"/>
      <c r="QVB4" s="4"/>
      <c r="QVC4" s="4"/>
      <c r="QVD4" s="4"/>
      <c r="QVE4" s="4"/>
      <c r="QVF4" s="4"/>
      <c r="QVG4" s="4"/>
      <c r="QVH4" s="4"/>
      <c r="QVI4" s="4"/>
      <c r="QVJ4" s="4"/>
      <c r="QVK4" s="4"/>
      <c r="QVL4" s="4"/>
      <c r="QVM4" s="4"/>
      <c r="QVN4" s="4"/>
      <c r="QVO4" s="4"/>
      <c r="QVP4" s="4"/>
      <c r="QVQ4" s="4"/>
      <c r="QVR4" s="4"/>
      <c r="QVS4" s="4"/>
      <c r="QVT4" s="4"/>
      <c r="QVU4" s="4"/>
      <c r="QVV4" s="4"/>
      <c r="QVW4" s="4"/>
      <c r="QVX4" s="4"/>
      <c r="QVY4" s="4"/>
      <c r="QVZ4" s="4"/>
      <c r="QWA4" s="4"/>
      <c r="QWB4" s="4"/>
      <c r="QWC4" s="4"/>
      <c r="QWD4" s="4"/>
      <c r="QWE4" s="4"/>
      <c r="QWF4" s="4"/>
      <c r="QWG4" s="4"/>
      <c r="QWH4" s="4"/>
      <c r="QWI4" s="4"/>
      <c r="QWJ4" s="4"/>
      <c r="QWK4" s="4"/>
      <c r="QWL4" s="4"/>
      <c r="QWM4" s="4"/>
      <c r="QWN4" s="4"/>
      <c r="QWO4" s="4"/>
      <c r="QWP4" s="4"/>
      <c r="QWQ4" s="4"/>
      <c r="QWR4" s="4"/>
      <c r="QWS4" s="4"/>
      <c r="QWT4" s="4"/>
      <c r="QWU4" s="4"/>
      <c r="QWV4" s="4"/>
      <c r="QWW4" s="4"/>
      <c r="QWX4" s="4"/>
      <c r="QWY4" s="4"/>
      <c r="QWZ4" s="4"/>
      <c r="QXA4" s="4"/>
      <c r="QXB4" s="4"/>
      <c r="QXC4" s="4"/>
      <c r="QXD4" s="4"/>
      <c r="QXE4" s="4"/>
      <c r="QXF4" s="4"/>
      <c r="QXG4" s="4"/>
      <c r="QXH4" s="4"/>
      <c r="QXI4" s="4"/>
      <c r="QXJ4" s="4"/>
      <c r="QXK4" s="4"/>
      <c r="QXL4" s="4"/>
      <c r="QXM4" s="4"/>
      <c r="QXN4" s="4"/>
      <c r="QXO4" s="4"/>
      <c r="QXP4" s="4"/>
      <c r="QXQ4" s="4"/>
      <c r="QXR4" s="4"/>
      <c r="QXS4" s="4"/>
      <c r="QXT4" s="4"/>
      <c r="QXU4" s="4"/>
      <c r="QXV4" s="4"/>
      <c r="QXW4" s="4"/>
      <c r="QXX4" s="4"/>
      <c r="QXY4" s="4"/>
      <c r="QXZ4" s="4"/>
      <c r="QYA4" s="4"/>
      <c r="QYB4" s="4"/>
      <c r="QYC4" s="4"/>
      <c r="QYD4" s="4"/>
      <c r="QYE4" s="4"/>
      <c r="QYF4" s="4"/>
      <c r="QYG4" s="4"/>
      <c r="QYH4" s="4"/>
      <c r="QYI4" s="4"/>
      <c r="QYJ4" s="4"/>
      <c r="QYK4" s="4"/>
      <c r="QYL4" s="4"/>
      <c r="QYM4" s="4"/>
      <c r="QYN4" s="4"/>
      <c r="QYO4" s="4"/>
      <c r="QYP4" s="4"/>
      <c r="QYQ4" s="4"/>
      <c r="QYR4" s="4"/>
      <c r="QYS4" s="4"/>
      <c r="QYT4" s="4"/>
      <c r="QYU4" s="4"/>
      <c r="QYV4" s="4"/>
      <c r="QYW4" s="4"/>
      <c r="QYX4" s="4"/>
      <c r="QYY4" s="4"/>
      <c r="QYZ4" s="4"/>
      <c r="QZA4" s="4"/>
      <c r="QZB4" s="4"/>
      <c r="QZC4" s="4"/>
      <c r="QZD4" s="4"/>
      <c r="QZE4" s="4"/>
      <c r="QZF4" s="4"/>
      <c r="QZG4" s="4"/>
      <c r="QZH4" s="4"/>
      <c r="QZI4" s="4"/>
      <c r="QZJ4" s="4"/>
      <c r="QZK4" s="4"/>
      <c r="QZL4" s="4"/>
      <c r="QZM4" s="4"/>
      <c r="QZN4" s="4"/>
      <c r="QZO4" s="4"/>
      <c r="QZP4" s="4"/>
      <c r="QZQ4" s="4"/>
      <c r="QZR4" s="4"/>
      <c r="QZS4" s="4"/>
      <c r="QZT4" s="4"/>
      <c r="QZU4" s="4"/>
      <c r="QZV4" s="4"/>
      <c r="QZW4" s="4"/>
      <c r="QZX4" s="4"/>
      <c r="QZY4" s="4"/>
      <c r="QZZ4" s="4"/>
      <c r="RAA4" s="4"/>
      <c r="RAB4" s="4"/>
      <c r="RAC4" s="4"/>
      <c r="RAD4" s="4"/>
      <c r="RAE4" s="4"/>
      <c r="RAF4" s="4"/>
      <c r="RAG4" s="4"/>
      <c r="RAH4" s="4"/>
      <c r="RAI4" s="4"/>
      <c r="RAJ4" s="4"/>
      <c r="RAK4" s="4"/>
      <c r="RAL4" s="4"/>
      <c r="RAM4" s="4"/>
      <c r="RAN4" s="4"/>
      <c r="RAO4" s="4"/>
      <c r="RAP4" s="4"/>
      <c r="RAQ4" s="4"/>
      <c r="RAR4" s="4"/>
      <c r="RAS4" s="4"/>
      <c r="RAT4" s="4"/>
      <c r="RAU4" s="4"/>
      <c r="RAV4" s="4"/>
      <c r="RAW4" s="4"/>
      <c r="RAX4" s="4"/>
      <c r="RAY4" s="4"/>
      <c r="RAZ4" s="4"/>
      <c r="RBA4" s="4"/>
      <c r="RBB4" s="4"/>
      <c r="RBC4" s="4"/>
      <c r="RBD4" s="4"/>
      <c r="RBE4" s="4"/>
      <c r="RBF4" s="4"/>
      <c r="RBG4" s="4"/>
      <c r="RBH4" s="4"/>
      <c r="RBI4" s="4"/>
      <c r="RBJ4" s="4"/>
      <c r="RBK4" s="4"/>
      <c r="RBL4" s="4"/>
      <c r="RBM4" s="4"/>
      <c r="RBN4" s="4"/>
      <c r="RBO4" s="4"/>
      <c r="RBP4" s="4"/>
      <c r="RBQ4" s="4"/>
      <c r="RBR4" s="4"/>
      <c r="RBS4" s="4"/>
      <c r="RBT4" s="4"/>
      <c r="RBU4" s="4"/>
      <c r="RBV4" s="4"/>
      <c r="RBW4" s="4"/>
      <c r="RBX4" s="4"/>
      <c r="RBY4" s="4"/>
      <c r="RBZ4" s="4"/>
      <c r="RCA4" s="4"/>
      <c r="RCB4" s="4"/>
      <c r="RCC4" s="4"/>
      <c r="RCD4" s="4"/>
      <c r="RCE4" s="4"/>
      <c r="RCF4" s="4"/>
      <c r="RCG4" s="4"/>
      <c r="RCH4" s="4"/>
      <c r="RCI4" s="4"/>
      <c r="RCJ4" s="4"/>
      <c r="RCK4" s="4"/>
      <c r="RCL4" s="4"/>
      <c r="RCM4" s="4"/>
      <c r="RCN4" s="4"/>
      <c r="RCO4" s="4"/>
      <c r="RCP4" s="4"/>
      <c r="RCQ4" s="4"/>
      <c r="RCR4" s="4"/>
      <c r="RCS4" s="4"/>
      <c r="RCT4" s="4"/>
      <c r="RCU4" s="4"/>
      <c r="RCV4" s="4"/>
      <c r="RCW4" s="4"/>
      <c r="RCX4" s="4"/>
      <c r="RCY4" s="4"/>
      <c r="RCZ4" s="4"/>
      <c r="RDA4" s="4"/>
      <c r="RDB4" s="4"/>
      <c r="RDC4" s="4"/>
      <c r="RDD4" s="4"/>
      <c r="RDE4" s="4"/>
      <c r="RDF4" s="4"/>
      <c r="RDG4" s="4"/>
      <c r="RDH4" s="4"/>
      <c r="RDI4" s="4"/>
      <c r="RDJ4" s="4"/>
      <c r="RDK4" s="4"/>
      <c r="RDL4" s="4"/>
      <c r="RDM4" s="4"/>
      <c r="RDN4" s="4"/>
      <c r="RDO4" s="4"/>
      <c r="RDP4" s="4"/>
      <c r="RDQ4" s="4"/>
      <c r="RDR4" s="4"/>
      <c r="RDS4" s="4"/>
      <c r="RDT4" s="4"/>
      <c r="RDU4" s="4"/>
      <c r="RDV4" s="4"/>
      <c r="RDW4" s="4"/>
      <c r="RDX4" s="4"/>
      <c r="RDY4" s="4"/>
      <c r="RDZ4" s="4"/>
      <c r="REA4" s="4"/>
      <c r="REB4" s="4"/>
      <c r="REC4" s="4"/>
      <c r="RED4" s="4"/>
      <c r="REE4" s="4"/>
      <c r="REF4" s="4"/>
      <c r="REG4" s="4"/>
      <c r="REH4" s="4"/>
      <c r="REI4" s="4"/>
      <c r="REJ4" s="4"/>
      <c r="REK4" s="4"/>
      <c r="REL4" s="4"/>
      <c r="REM4" s="4"/>
      <c r="REN4" s="4"/>
      <c r="REO4" s="4"/>
      <c r="REP4" s="4"/>
      <c r="REQ4" s="4"/>
      <c r="RER4" s="4"/>
      <c r="RES4" s="4"/>
      <c r="RET4" s="4"/>
      <c r="REU4" s="4"/>
      <c r="REV4" s="4"/>
      <c r="REW4" s="4"/>
      <c r="REX4" s="4"/>
      <c r="REY4" s="4"/>
      <c r="REZ4" s="4"/>
      <c r="RFA4" s="4"/>
      <c r="RFB4" s="4"/>
      <c r="RFC4" s="4"/>
      <c r="RFD4" s="4"/>
      <c r="RFE4" s="4"/>
      <c r="RFF4" s="4"/>
      <c r="RFG4" s="4"/>
      <c r="RFH4" s="4"/>
      <c r="RFI4" s="4"/>
      <c r="RFJ4" s="4"/>
      <c r="RFK4" s="4"/>
      <c r="RFL4" s="4"/>
      <c r="RFM4" s="4"/>
      <c r="RFN4" s="4"/>
      <c r="RFO4" s="4"/>
      <c r="RFP4" s="4"/>
      <c r="RFQ4" s="4"/>
      <c r="RFR4" s="4"/>
      <c r="RFS4" s="4"/>
      <c r="RFT4" s="4"/>
      <c r="RFU4" s="4"/>
      <c r="RFV4" s="4"/>
      <c r="RFW4" s="4"/>
      <c r="RFX4" s="4"/>
      <c r="RFY4" s="4"/>
      <c r="RFZ4" s="4"/>
      <c r="RGA4" s="4"/>
      <c r="RGB4" s="4"/>
      <c r="RGC4" s="4"/>
      <c r="RGD4" s="4"/>
      <c r="RGE4" s="4"/>
      <c r="RGF4" s="4"/>
      <c r="RGG4" s="4"/>
      <c r="RGH4" s="4"/>
      <c r="RGI4" s="4"/>
      <c r="RGJ4" s="4"/>
      <c r="RGK4" s="4"/>
      <c r="RGL4" s="4"/>
      <c r="RGM4" s="4"/>
      <c r="RGN4" s="4"/>
      <c r="RGO4" s="4"/>
      <c r="RGP4" s="4"/>
      <c r="RGQ4" s="4"/>
      <c r="RGR4" s="4"/>
      <c r="RGS4" s="4"/>
      <c r="RGT4" s="4"/>
      <c r="RGU4" s="4"/>
      <c r="RGV4" s="4"/>
      <c r="RGW4" s="4"/>
      <c r="RGX4" s="4"/>
      <c r="RGY4" s="4"/>
      <c r="RGZ4" s="4"/>
      <c r="RHA4" s="4"/>
      <c r="RHB4" s="4"/>
      <c r="RHC4" s="4"/>
      <c r="RHD4" s="4"/>
      <c r="RHE4" s="4"/>
      <c r="RHF4" s="4"/>
      <c r="RHG4" s="4"/>
      <c r="RHH4" s="4"/>
      <c r="RHI4" s="4"/>
      <c r="RHJ4" s="4"/>
      <c r="RHK4" s="4"/>
      <c r="RHL4" s="4"/>
      <c r="RHM4" s="4"/>
      <c r="RHN4" s="4"/>
      <c r="RHO4" s="4"/>
      <c r="RHP4" s="4"/>
      <c r="RHQ4" s="4"/>
      <c r="RHR4" s="4"/>
      <c r="RHS4" s="4"/>
      <c r="RHT4" s="4"/>
      <c r="RHU4" s="4"/>
      <c r="RHV4" s="4"/>
      <c r="RHW4" s="4"/>
      <c r="RHX4" s="4"/>
      <c r="RHY4" s="4"/>
      <c r="RHZ4" s="4"/>
      <c r="RIA4" s="4"/>
      <c r="RIB4" s="4"/>
      <c r="RIC4" s="4"/>
      <c r="RID4" s="4"/>
      <c r="RIE4" s="4"/>
      <c r="RIF4" s="4"/>
      <c r="RIG4" s="4"/>
      <c r="RIH4" s="4"/>
      <c r="RII4" s="4"/>
      <c r="RIJ4" s="4"/>
      <c r="RIK4" s="4"/>
      <c r="RIL4" s="4"/>
      <c r="RIM4" s="4"/>
      <c r="RIN4" s="4"/>
      <c r="RIO4" s="4"/>
      <c r="RIP4" s="4"/>
      <c r="RIQ4" s="4"/>
      <c r="RIR4" s="4"/>
      <c r="RIS4" s="4"/>
      <c r="RIT4" s="4"/>
      <c r="RIU4" s="4"/>
      <c r="RIV4" s="4"/>
      <c r="RIW4" s="4"/>
      <c r="RIX4" s="4"/>
      <c r="RIY4" s="4"/>
      <c r="RIZ4" s="4"/>
      <c r="RJA4" s="4"/>
      <c r="RJB4" s="4"/>
      <c r="RJC4" s="4"/>
      <c r="RJD4" s="4"/>
      <c r="RJE4" s="4"/>
      <c r="RJF4" s="4"/>
      <c r="RJG4" s="4"/>
      <c r="RJH4" s="4"/>
      <c r="RJI4" s="4"/>
      <c r="RJJ4" s="4"/>
      <c r="RJK4" s="4"/>
      <c r="RJL4" s="4"/>
      <c r="RJM4" s="4"/>
      <c r="RJN4" s="4"/>
      <c r="RJO4" s="4"/>
      <c r="RJP4" s="4"/>
      <c r="RJQ4" s="4"/>
      <c r="RJR4" s="4"/>
      <c r="RJS4" s="4"/>
      <c r="RJT4" s="4"/>
      <c r="RJU4" s="4"/>
      <c r="RJV4" s="4"/>
      <c r="RJW4" s="4"/>
      <c r="RJX4" s="4"/>
      <c r="RJY4" s="4"/>
      <c r="RJZ4" s="4"/>
      <c r="RKA4" s="4"/>
      <c r="RKB4" s="4"/>
      <c r="RKC4" s="4"/>
      <c r="RKD4" s="4"/>
      <c r="RKE4" s="4"/>
      <c r="RKF4" s="4"/>
      <c r="RKG4" s="4"/>
      <c r="RKH4" s="4"/>
      <c r="RKI4" s="4"/>
      <c r="RKJ4" s="4"/>
      <c r="RKK4" s="4"/>
      <c r="RKL4" s="4"/>
      <c r="RKM4" s="4"/>
      <c r="RKN4" s="4"/>
      <c r="RKO4" s="4"/>
      <c r="RKP4" s="4"/>
      <c r="RKQ4" s="4"/>
      <c r="RKR4" s="4"/>
      <c r="RKS4" s="4"/>
      <c r="RKT4" s="4"/>
      <c r="RKU4" s="4"/>
      <c r="RKV4" s="4"/>
      <c r="RKW4" s="4"/>
      <c r="RKX4" s="4"/>
      <c r="RKY4" s="4"/>
      <c r="RKZ4" s="4"/>
      <c r="RLA4" s="4"/>
      <c r="RLB4" s="4"/>
      <c r="RLC4" s="4"/>
      <c r="RLD4" s="4"/>
      <c r="RLE4" s="4"/>
      <c r="RLF4" s="4"/>
      <c r="RLG4" s="4"/>
      <c r="RLH4" s="4"/>
      <c r="RLI4" s="4"/>
      <c r="RLJ4" s="4"/>
      <c r="RLK4" s="4"/>
      <c r="RLL4" s="4"/>
      <c r="RLM4" s="4"/>
      <c r="RLN4" s="4"/>
      <c r="RLO4" s="4"/>
      <c r="RLP4" s="4"/>
      <c r="RLQ4" s="4"/>
      <c r="RLR4" s="4"/>
      <c r="RLS4" s="4"/>
      <c r="RLT4" s="4"/>
      <c r="RLU4" s="4"/>
      <c r="RLV4" s="4"/>
      <c r="RLW4" s="4"/>
      <c r="RLX4" s="4"/>
      <c r="RLY4" s="4"/>
      <c r="RLZ4" s="4"/>
      <c r="RMA4" s="4"/>
      <c r="RMB4" s="4"/>
      <c r="RMC4" s="4"/>
      <c r="RMD4" s="4"/>
      <c r="RME4" s="4"/>
      <c r="RMF4" s="4"/>
      <c r="RMG4" s="4"/>
      <c r="RMH4" s="4"/>
      <c r="RMI4" s="4"/>
      <c r="RMJ4" s="4"/>
      <c r="RMK4" s="4"/>
      <c r="RML4" s="4"/>
      <c r="RMM4" s="4"/>
      <c r="RMN4" s="4"/>
      <c r="RMO4" s="4"/>
      <c r="RMP4" s="4"/>
      <c r="RMQ4" s="4"/>
      <c r="RMR4" s="4"/>
      <c r="RMS4" s="4"/>
      <c r="RMT4" s="4"/>
      <c r="RMU4" s="4"/>
      <c r="RMV4" s="4"/>
      <c r="RMW4" s="4"/>
      <c r="RMX4" s="4"/>
      <c r="RMY4" s="4"/>
      <c r="RMZ4" s="4"/>
      <c r="RNA4" s="4"/>
      <c r="RNB4" s="4"/>
      <c r="RNC4" s="4"/>
      <c r="RND4" s="4"/>
      <c r="RNE4" s="4"/>
      <c r="RNF4" s="4"/>
      <c r="RNG4" s="4"/>
      <c r="RNH4" s="4"/>
      <c r="RNI4" s="4"/>
      <c r="RNJ4" s="4"/>
      <c r="RNK4" s="4"/>
      <c r="RNL4" s="4"/>
      <c r="RNM4" s="4"/>
      <c r="RNN4" s="4"/>
      <c r="RNO4" s="4"/>
      <c r="RNP4" s="4"/>
      <c r="RNQ4" s="4"/>
      <c r="RNR4" s="4"/>
      <c r="RNS4" s="4"/>
      <c r="RNT4" s="4"/>
      <c r="RNU4" s="4"/>
      <c r="RNV4" s="4"/>
      <c r="RNW4" s="4"/>
      <c r="RNX4" s="4"/>
      <c r="RNY4" s="4"/>
      <c r="RNZ4" s="4"/>
      <c r="ROA4" s="4"/>
      <c r="ROB4" s="4"/>
      <c r="ROC4" s="4"/>
      <c r="ROD4" s="4"/>
      <c r="ROE4" s="4"/>
      <c r="ROF4" s="4"/>
      <c r="ROG4" s="4"/>
      <c r="ROH4" s="4"/>
      <c r="ROI4" s="4"/>
      <c r="ROJ4" s="4"/>
      <c r="ROK4" s="4"/>
      <c r="ROL4" s="4"/>
      <c r="ROM4" s="4"/>
      <c r="RON4" s="4"/>
      <c r="ROO4" s="4"/>
      <c r="ROP4" s="4"/>
      <c r="ROQ4" s="4"/>
      <c r="ROR4" s="4"/>
      <c r="ROS4" s="4"/>
      <c r="ROT4" s="4"/>
      <c r="ROU4" s="4"/>
      <c r="ROV4" s="4"/>
      <c r="ROW4" s="4"/>
      <c r="ROX4" s="4"/>
      <c r="ROY4" s="4"/>
      <c r="ROZ4" s="4"/>
      <c r="RPA4" s="4"/>
      <c r="RPB4" s="4"/>
      <c r="RPC4" s="4"/>
      <c r="RPD4" s="4"/>
      <c r="RPE4" s="4"/>
      <c r="RPF4" s="4"/>
      <c r="RPG4" s="4"/>
      <c r="RPH4" s="4"/>
      <c r="RPI4" s="4"/>
      <c r="RPJ4" s="4"/>
      <c r="RPK4" s="4"/>
      <c r="RPL4" s="4"/>
      <c r="RPM4" s="4"/>
      <c r="RPN4" s="4"/>
      <c r="RPO4" s="4"/>
      <c r="RPP4" s="4"/>
      <c r="RPQ4" s="4"/>
      <c r="RPR4" s="4"/>
      <c r="RPS4" s="4"/>
      <c r="RPT4" s="4"/>
      <c r="RPU4" s="4"/>
      <c r="RPV4" s="4"/>
      <c r="RPW4" s="4"/>
      <c r="RPX4" s="4"/>
      <c r="RPY4" s="4"/>
      <c r="RPZ4" s="4"/>
      <c r="RQA4" s="4"/>
      <c r="RQB4" s="4"/>
      <c r="RQC4" s="4"/>
      <c r="RQD4" s="4"/>
      <c r="RQE4" s="4"/>
      <c r="RQF4" s="4"/>
      <c r="RQG4" s="4"/>
      <c r="RQH4" s="4"/>
      <c r="RQI4" s="4"/>
      <c r="RQJ4" s="4"/>
      <c r="RQK4" s="4"/>
      <c r="RQL4" s="4"/>
      <c r="RQM4" s="4"/>
      <c r="RQN4" s="4"/>
      <c r="RQO4" s="4"/>
      <c r="RQP4" s="4"/>
      <c r="RQQ4" s="4"/>
      <c r="RQR4" s="4"/>
      <c r="RQS4" s="4"/>
      <c r="RQT4" s="4"/>
      <c r="RQU4" s="4"/>
      <c r="RQV4" s="4"/>
      <c r="RQW4" s="4"/>
      <c r="RQX4" s="4"/>
      <c r="RQY4" s="4"/>
      <c r="RQZ4" s="4"/>
      <c r="RRA4" s="4"/>
      <c r="RRB4" s="4"/>
      <c r="RRC4" s="4"/>
      <c r="RRD4" s="4"/>
      <c r="RRE4" s="4"/>
      <c r="RRF4" s="4"/>
      <c r="RRG4" s="4"/>
      <c r="RRH4" s="4"/>
      <c r="RRI4" s="4"/>
      <c r="RRJ4" s="4"/>
      <c r="RRK4" s="4"/>
      <c r="RRL4" s="4"/>
      <c r="RRM4" s="4"/>
      <c r="RRN4" s="4"/>
      <c r="RRO4" s="4"/>
      <c r="RRP4" s="4"/>
      <c r="RRQ4" s="4"/>
      <c r="RRR4" s="4"/>
      <c r="RRS4" s="4"/>
      <c r="RRT4" s="4"/>
      <c r="RRU4" s="4"/>
      <c r="RRV4" s="4"/>
      <c r="RRW4" s="4"/>
      <c r="RRX4" s="4"/>
      <c r="RRY4" s="4"/>
      <c r="RRZ4" s="4"/>
      <c r="RSA4" s="4"/>
      <c r="RSB4" s="4"/>
      <c r="RSC4" s="4"/>
      <c r="RSD4" s="4"/>
      <c r="RSE4" s="4"/>
      <c r="RSF4" s="4"/>
      <c r="RSG4" s="4"/>
      <c r="RSH4" s="4"/>
      <c r="RSI4" s="4"/>
      <c r="RSJ4" s="4"/>
      <c r="RSK4" s="4"/>
      <c r="RSL4" s="4"/>
      <c r="RSM4" s="4"/>
      <c r="RSN4" s="4"/>
      <c r="RSO4" s="4"/>
      <c r="RSP4" s="4"/>
      <c r="RSQ4" s="4"/>
      <c r="RSR4" s="4"/>
      <c r="RSS4" s="4"/>
      <c r="RST4" s="4"/>
      <c r="RSU4" s="4"/>
      <c r="RSV4" s="4"/>
      <c r="RSW4" s="4"/>
      <c r="RSX4" s="4"/>
      <c r="RSY4" s="4"/>
      <c r="RSZ4" s="4"/>
      <c r="RTA4" s="4"/>
      <c r="RTB4" s="4"/>
      <c r="RTC4" s="4"/>
      <c r="RTD4" s="4"/>
      <c r="RTE4" s="4"/>
      <c r="RTF4" s="4"/>
      <c r="RTG4" s="4"/>
      <c r="RTH4" s="4"/>
      <c r="RTI4" s="4"/>
      <c r="RTJ4" s="4"/>
      <c r="RTK4" s="4"/>
      <c r="RTL4" s="4"/>
      <c r="RTM4" s="4"/>
      <c r="RTN4" s="4"/>
      <c r="RTO4" s="4"/>
      <c r="RTP4" s="4"/>
      <c r="RTQ4" s="4"/>
      <c r="RTR4" s="4"/>
      <c r="RTS4" s="4"/>
      <c r="RTT4" s="4"/>
      <c r="RTU4" s="4"/>
      <c r="RTV4" s="4"/>
      <c r="RTW4" s="4"/>
      <c r="RTX4" s="4"/>
      <c r="RTY4" s="4"/>
      <c r="RTZ4" s="4"/>
      <c r="RUA4" s="4"/>
      <c r="RUB4" s="4"/>
      <c r="RUC4" s="4"/>
      <c r="RUD4" s="4"/>
      <c r="RUE4" s="4"/>
      <c r="RUF4" s="4"/>
      <c r="RUG4" s="4"/>
      <c r="RUH4" s="4"/>
      <c r="RUI4" s="4"/>
      <c r="RUJ4" s="4"/>
      <c r="RUK4" s="4"/>
      <c r="RUL4" s="4"/>
      <c r="RUM4" s="4"/>
      <c r="RUN4" s="4"/>
      <c r="RUO4" s="4"/>
      <c r="RUP4" s="4"/>
      <c r="RUQ4" s="4"/>
      <c r="RUR4" s="4"/>
      <c r="RUS4" s="4"/>
      <c r="RUT4" s="4"/>
      <c r="RUU4" s="4"/>
      <c r="RUV4" s="4"/>
      <c r="RUW4" s="4"/>
      <c r="RUX4" s="4"/>
      <c r="RUY4" s="4"/>
      <c r="RUZ4" s="4"/>
      <c r="RVA4" s="4"/>
      <c r="RVB4" s="4"/>
      <c r="RVC4" s="4"/>
      <c r="RVD4" s="4"/>
      <c r="RVE4" s="4"/>
      <c r="RVF4" s="4"/>
      <c r="RVG4" s="4"/>
      <c r="RVH4" s="4"/>
      <c r="RVI4" s="4"/>
      <c r="RVJ4" s="4"/>
      <c r="RVK4" s="4"/>
      <c r="RVL4" s="4"/>
      <c r="RVM4" s="4"/>
      <c r="RVN4" s="4"/>
      <c r="RVO4" s="4"/>
      <c r="RVP4" s="4"/>
      <c r="RVQ4" s="4"/>
      <c r="RVR4" s="4"/>
      <c r="RVS4" s="4"/>
      <c r="RVT4" s="4"/>
      <c r="RVU4" s="4"/>
      <c r="RVV4" s="4"/>
      <c r="RVW4" s="4"/>
      <c r="RVX4" s="4"/>
      <c r="RVY4" s="4"/>
      <c r="RVZ4" s="4"/>
      <c r="RWA4" s="4"/>
      <c r="RWB4" s="4"/>
      <c r="RWC4" s="4"/>
      <c r="RWD4" s="4"/>
      <c r="RWE4" s="4"/>
      <c r="RWF4" s="4"/>
      <c r="RWG4" s="4"/>
      <c r="RWH4" s="4"/>
      <c r="RWI4" s="4"/>
      <c r="RWJ4" s="4"/>
      <c r="RWK4" s="4"/>
      <c r="RWL4" s="4"/>
      <c r="RWM4" s="4"/>
      <c r="RWN4" s="4"/>
      <c r="RWO4" s="4"/>
      <c r="RWP4" s="4"/>
      <c r="RWQ4" s="4"/>
      <c r="RWR4" s="4"/>
      <c r="RWS4" s="4"/>
      <c r="RWT4" s="4"/>
      <c r="RWU4" s="4"/>
      <c r="RWV4" s="4"/>
      <c r="RWW4" s="4"/>
      <c r="RWX4" s="4"/>
      <c r="RWY4" s="4"/>
      <c r="RWZ4" s="4"/>
      <c r="RXA4" s="4"/>
      <c r="RXB4" s="4"/>
      <c r="RXC4" s="4"/>
      <c r="RXD4" s="4"/>
      <c r="RXE4" s="4"/>
      <c r="RXF4" s="4"/>
      <c r="RXG4" s="4"/>
      <c r="RXH4" s="4"/>
      <c r="RXI4" s="4"/>
      <c r="RXJ4" s="4"/>
      <c r="RXK4" s="4"/>
      <c r="RXL4" s="4"/>
      <c r="RXM4" s="4"/>
      <c r="RXN4" s="4"/>
      <c r="RXO4" s="4"/>
      <c r="RXP4" s="4"/>
      <c r="RXQ4" s="4"/>
      <c r="RXR4" s="4"/>
      <c r="RXS4" s="4"/>
      <c r="RXT4" s="4"/>
      <c r="RXU4" s="4"/>
      <c r="RXV4" s="4"/>
      <c r="RXW4" s="4"/>
      <c r="RXX4" s="4"/>
      <c r="RXY4" s="4"/>
      <c r="RXZ4" s="4"/>
      <c r="RYA4" s="4"/>
      <c r="RYB4" s="4"/>
      <c r="RYC4" s="4"/>
      <c r="RYD4" s="4"/>
      <c r="RYE4" s="4"/>
      <c r="RYF4" s="4"/>
      <c r="RYG4" s="4"/>
      <c r="RYH4" s="4"/>
      <c r="RYI4" s="4"/>
      <c r="RYJ4" s="4"/>
      <c r="RYK4" s="4"/>
      <c r="RYL4" s="4"/>
      <c r="RYM4" s="4"/>
      <c r="RYN4" s="4"/>
      <c r="RYO4" s="4"/>
      <c r="RYP4" s="4"/>
      <c r="RYQ4" s="4"/>
      <c r="RYR4" s="4"/>
      <c r="RYS4" s="4"/>
      <c r="RYT4" s="4"/>
      <c r="RYU4" s="4"/>
      <c r="RYV4" s="4"/>
      <c r="RYW4" s="4"/>
      <c r="RYX4" s="4"/>
      <c r="RYY4" s="4"/>
      <c r="RYZ4" s="4"/>
      <c r="RZA4" s="4"/>
      <c r="RZB4" s="4"/>
      <c r="RZC4" s="4"/>
      <c r="RZD4" s="4"/>
      <c r="RZE4" s="4"/>
      <c r="RZF4" s="4"/>
      <c r="RZG4" s="4"/>
      <c r="RZH4" s="4"/>
      <c r="RZI4" s="4"/>
      <c r="RZJ4" s="4"/>
      <c r="RZK4" s="4"/>
      <c r="RZL4" s="4"/>
      <c r="RZM4" s="4"/>
      <c r="RZN4" s="4"/>
      <c r="RZO4" s="4"/>
      <c r="RZP4" s="4"/>
      <c r="RZQ4" s="4"/>
      <c r="RZR4" s="4"/>
      <c r="RZS4" s="4"/>
      <c r="RZT4" s="4"/>
      <c r="RZU4" s="4"/>
      <c r="RZV4" s="4"/>
      <c r="RZW4" s="4"/>
      <c r="RZX4" s="4"/>
      <c r="RZY4" s="4"/>
      <c r="RZZ4" s="4"/>
      <c r="SAA4" s="4"/>
      <c r="SAB4" s="4"/>
      <c r="SAC4" s="4"/>
      <c r="SAD4" s="4"/>
      <c r="SAE4" s="4"/>
      <c r="SAF4" s="4"/>
      <c r="SAG4" s="4"/>
      <c r="SAH4" s="4"/>
      <c r="SAI4" s="4"/>
      <c r="SAJ4" s="4"/>
      <c r="SAK4" s="4"/>
      <c r="SAL4" s="4"/>
      <c r="SAM4" s="4"/>
      <c r="SAN4" s="4"/>
      <c r="SAO4" s="4"/>
      <c r="SAP4" s="4"/>
      <c r="SAQ4" s="4"/>
      <c r="SAR4" s="4"/>
      <c r="SAS4" s="4"/>
      <c r="SAT4" s="4"/>
      <c r="SAU4" s="4"/>
      <c r="SAV4" s="4"/>
      <c r="SAW4" s="4"/>
      <c r="SAX4" s="4"/>
      <c r="SAY4" s="4"/>
      <c r="SAZ4" s="4"/>
      <c r="SBA4" s="4"/>
      <c r="SBB4" s="4"/>
      <c r="SBC4" s="4"/>
      <c r="SBD4" s="4"/>
      <c r="SBE4" s="4"/>
      <c r="SBF4" s="4"/>
      <c r="SBG4" s="4"/>
      <c r="SBH4" s="4"/>
      <c r="SBI4" s="4"/>
      <c r="SBJ4" s="4"/>
      <c r="SBK4" s="4"/>
      <c r="SBL4" s="4"/>
      <c r="SBM4" s="4"/>
      <c r="SBN4" s="4"/>
      <c r="SBO4" s="4"/>
      <c r="SBP4" s="4"/>
      <c r="SBQ4" s="4"/>
      <c r="SBR4" s="4"/>
      <c r="SBS4" s="4"/>
      <c r="SBT4" s="4"/>
      <c r="SBU4" s="4"/>
      <c r="SBV4" s="4"/>
      <c r="SBW4" s="4"/>
      <c r="SBX4" s="4"/>
      <c r="SBY4" s="4"/>
      <c r="SBZ4" s="4"/>
      <c r="SCA4" s="4"/>
      <c r="SCB4" s="4"/>
      <c r="SCC4" s="4"/>
      <c r="SCD4" s="4"/>
      <c r="SCE4" s="4"/>
      <c r="SCF4" s="4"/>
      <c r="SCG4" s="4"/>
      <c r="SCH4" s="4"/>
      <c r="SCI4" s="4"/>
      <c r="SCJ4" s="4"/>
      <c r="SCK4" s="4"/>
      <c r="SCL4" s="4"/>
      <c r="SCM4" s="4"/>
      <c r="SCN4" s="4"/>
      <c r="SCO4" s="4"/>
      <c r="SCP4" s="4"/>
      <c r="SCQ4" s="4"/>
      <c r="SCR4" s="4"/>
      <c r="SCS4" s="4"/>
      <c r="SCT4" s="4"/>
      <c r="SCU4" s="4"/>
      <c r="SCV4" s="4"/>
      <c r="SCW4" s="4"/>
      <c r="SCX4" s="4"/>
      <c r="SCY4" s="4"/>
      <c r="SCZ4" s="4"/>
      <c r="SDA4" s="4"/>
      <c r="SDB4" s="4"/>
      <c r="SDC4" s="4"/>
      <c r="SDD4" s="4"/>
      <c r="SDE4" s="4"/>
      <c r="SDF4" s="4"/>
      <c r="SDG4" s="4"/>
      <c r="SDH4" s="4"/>
      <c r="SDI4" s="4"/>
      <c r="SDJ4" s="4"/>
      <c r="SDK4" s="4"/>
      <c r="SDL4" s="4"/>
      <c r="SDM4" s="4"/>
      <c r="SDN4" s="4"/>
      <c r="SDO4" s="4"/>
      <c r="SDP4" s="4"/>
      <c r="SDQ4" s="4"/>
      <c r="SDR4" s="4"/>
      <c r="SDS4" s="4"/>
      <c r="SDT4" s="4"/>
      <c r="SDU4" s="4"/>
      <c r="SDV4" s="4"/>
      <c r="SDW4" s="4"/>
      <c r="SDX4" s="4"/>
      <c r="SDY4" s="4"/>
      <c r="SDZ4" s="4"/>
      <c r="SEA4" s="4"/>
      <c r="SEB4" s="4"/>
      <c r="SEC4" s="4"/>
      <c r="SED4" s="4"/>
      <c r="SEE4" s="4"/>
      <c r="SEF4" s="4"/>
      <c r="SEG4" s="4"/>
      <c r="SEH4" s="4"/>
      <c r="SEI4" s="4"/>
      <c r="SEJ4" s="4"/>
      <c r="SEK4" s="4"/>
      <c r="SEL4" s="4"/>
      <c r="SEM4" s="4"/>
      <c r="SEN4" s="4"/>
      <c r="SEO4" s="4"/>
      <c r="SEP4" s="4"/>
      <c r="SEQ4" s="4"/>
      <c r="SER4" s="4"/>
      <c r="SES4" s="4"/>
      <c r="SET4" s="4"/>
      <c r="SEU4" s="4"/>
      <c r="SEV4" s="4"/>
      <c r="SEW4" s="4"/>
      <c r="SEX4" s="4"/>
      <c r="SEY4" s="4"/>
      <c r="SEZ4" s="4"/>
      <c r="SFA4" s="4"/>
      <c r="SFB4" s="4"/>
      <c r="SFC4" s="4"/>
      <c r="SFD4" s="4"/>
      <c r="SFE4" s="4"/>
      <c r="SFF4" s="4"/>
      <c r="SFG4" s="4"/>
      <c r="SFH4" s="4"/>
      <c r="SFI4" s="4"/>
      <c r="SFJ4" s="4"/>
      <c r="SFK4" s="4"/>
      <c r="SFL4" s="4"/>
      <c r="SFM4" s="4"/>
      <c r="SFN4" s="4"/>
      <c r="SFO4" s="4"/>
      <c r="SFP4" s="4"/>
      <c r="SFQ4" s="4"/>
      <c r="SFR4" s="4"/>
      <c r="SFS4" s="4"/>
      <c r="SFT4" s="4"/>
      <c r="SFU4" s="4"/>
      <c r="SFV4" s="4"/>
      <c r="SFW4" s="4"/>
      <c r="SFX4" s="4"/>
      <c r="SFY4" s="4"/>
      <c r="SFZ4" s="4"/>
      <c r="SGA4" s="4"/>
      <c r="SGB4" s="4"/>
      <c r="SGC4" s="4"/>
      <c r="SGD4" s="4"/>
      <c r="SGE4" s="4"/>
      <c r="SGF4" s="4"/>
      <c r="SGG4" s="4"/>
      <c r="SGH4" s="4"/>
      <c r="SGI4" s="4"/>
      <c r="SGJ4" s="4"/>
      <c r="SGK4" s="4"/>
      <c r="SGL4" s="4"/>
      <c r="SGM4" s="4"/>
      <c r="SGN4" s="4"/>
      <c r="SGO4" s="4"/>
      <c r="SGP4" s="4"/>
      <c r="SGQ4" s="4"/>
      <c r="SGR4" s="4"/>
      <c r="SGS4" s="4"/>
      <c r="SGT4" s="4"/>
      <c r="SGU4" s="4"/>
      <c r="SGV4" s="4"/>
      <c r="SGW4" s="4"/>
      <c r="SGX4" s="4"/>
      <c r="SGY4" s="4"/>
      <c r="SGZ4" s="4"/>
      <c r="SHA4" s="4"/>
      <c r="SHB4" s="4"/>
      <c r="SHC4" s="4"/>
      <c r="SHD4" s="4"/>
      <c r="SHE4" s="4"/>
      <c r="SHF4" s="4"/>
      <c r="SHG4" s="4"/>
      <c r="SHH4" s="4"/>
      <c r="SHI4" s="4"/>
      <c r="SHJ4" s="4"/>
      <c r="SHK4" s="4"/>
      <c r="SHL4" s="4"/>
      <c r="SHM4" s="4"/>
      <c r="SHN4" s="4"/>
      <c r="SHO4" s="4"/>
      <c r="SHP4" s="4"/>
      <c r="SHQ4" s="4"/>
      <c r="SHR4" s="4"/>
      <c r="SHS4" s="4"/>
      <c r="SHT4" s="4"/>
      <c r="SHU4" s="4"/>
      <c r="SHV4" s="4"/>
      <c r="SHW4" s="4"/>
      <c r="SHX4" s="4"/>
      <c r="SHY4" s="4"/>
      <c r="SHZ4" s="4"/>
      <c r="SIA4" s="4"/>
      <c r="SIB4" s="4"/>
      <c r="SIC4" s="4"/>
      <c r="SID4" s="4"/>
      <c r="SIE4" s="4"/>
      <c r="SIF4" s="4"/>
      <c r="SIG4" s="4"/>
      <c r="SIH4" s="4"/>
      <c r="SII4" s="4"/>
      <c r="SIJ4" s="4"/>
      <c r="SIK4" s="4"/>
      <c r="SIL4" s="4"/>
      <c r="SIM4" s="4"/>
      <c r="SIN4" s="4"/>
      <c r="SIO4" s="4"/>
      <c r="SIP4" s="4"/>
      <c r="SIQ4" s="4"/>
      <c r="SIR4" s="4"/>
      <c r="SIS4" s="4"/>
      <c r="SIT4" s="4"/>
      <c r="SIU4" s="4"/>
      <c r="SIV4" s="4"/>
      <c r="SIW4" s="4"/>
      <c r="SIX4" s="4"/>
      <c r="SIY4" s="4"/>
      <c r="SIZ4" s="4"/>
      <c r="SJA4" s="4"/>
      <c r="SJB4" s="4"/>
      <c r="SJC4" s="4"/>
      <c r="SJD4" s="4"/>
      <c r="SJE4" s="4"/>
      <c r="SJF4" s="4"/>
      <c r="SJG4" s="4"/>
      <c r="SJH4" s="4"/>
      <c r="SJI4" s="4"/>
      <c r="SJJ4" s="4"/>
      <c r="SJK4" s="4"/>
      <c r="SJL4" s="4"/>
      <c r="SJM4" s="4"/>
      <c r="SJN4" s="4"/>
      <c r="SJO4" s="4"/>
      <c r="SJP4" s="4"/>
      <c r="SJQ4" s="4"/>
      <c r="SJR4" s="4"/>
      <c r="SJS4" s="4"/>
      <c r="SJT4" s="4"/>
      <c r="SJU4" s="4"/>
      <c r="SJV4" s="4"/>
      <c r="SJW4" s="4"/>
      <c r="SJX4" s="4"/>
      <c r="SJY4" s="4"/>
      <c r="SJZ4" s="4"/>
      <c r="SKA4" s="4"/>
      <c r="SKB4" s="4"/>
      <c r="SKC4" s="4"/>
      <c r="SKD4" s="4"/>
      <c r="SKE4" s="4"/>
      <c r="SKF4" s="4"/>
      <c r="SKG4" s="4"/>
      <c r="SKH4" s="4"/>
      <c r="SKI4" s="4"/>
      <c r="SKJ4" s="4"/>
      <c r="SKK4" s="4"/>
      <c r="SKL4" s="4"/>
      <c r="SKM4" s="4"/>
      <c r="SKN4" s="4"/>
      <c r="SKO4" s="4"/>
      <c r="SKP4" s="4"/>
      <c r="SKQ4" s="4"/>
      <c r="SKR4" s="4"/>
      <c r="SKS4" s="4"/>
      <c r="SKT4" s="4"/>
      <c r="SKU4" s="4"/>
      <c r="SKV4" s="4"/>
      <c r="SKW4" s="4"/>
      <c r="SKX4" s="4"/>
      <c r="SKY4" s="4"/>
      <c r="SKZ4" s="4"/>
      <c r="SLA4" s="4"/>
      <c r="SLB4" s="4"/>
      <c r="SLC4" s="4"/>
      <c r="SLD4" s="4"/>
      <c r="SLE4" s="4"/>
      <c r="SLF4" s="4"/>
      <c r="SLG4" s="4"/>
      <c r="SLH4" s="4"/>
      <c r="SLI4" s="4"/>
      <c r="SLJ4" s="4"/>
      <c r="SLK4" s="4"/>
      <c r="SLL4" s="4"/>
      <c r="SLM4" s="4"/>
      <c r="SLN4" s="4"/>
      <c r="SLO4" s="4"/>
      <c r="SLP4" s="4"/>
      <c r="SLQ4" s="4"/>
      <c r="SLR4" s="4"/>
      <c r="SLS4" s="4"/>
      <c r="SLT4" s="4"/>
      <c r="SLU4" s="4"/>
      <c r="SLV4" s="4"/>
      <c r="SLW4" s="4"/>
      <c r="SLX4" s="4"/>
      <c r="SLY4" s="4"/>
      <c r="SLZ4" s="4"/>
      <c r="SMA4" s="4"/>
      <c r="SMB4" s="4"/>
      <c r="SMC4" s="4"/>
      <c r="SMD4" s="4"/>
      <c r="SME4" s="4"/>
      <c r="SMF4" s="4"/>
      <c r="SMG4" s="4"/>
      <c r="SMH4" s="4"/>
      <c r="SMI4" s="4"/>
      <c r="SMJ4" s="4"/>
      <c r="SMK4" s="4"/>
      <c r="SML4" s="4"/>
      <c r="SMM4" s="4"/>
      <c r="SMN4" s="4"/>
      <c r="SMO4" s="4"/>
      <c r="SMP4" s="4"/>
      <c r="SMQ4" s="4"/>
      <c r="SMR4" s="4"/>
      <c r="SMS4" s="4"/>
      <c r="SMT4" s="4"/>
      <c r="SMU4" s="4"/>
      <c r="SMV4" s="4"/>
      <c r="SMW4" s="4"/>
      <c r="SMX4" s="4"/>
      <c r="SMY4" s="4"/>
      <c r="SMZ4" s="4"/>
      <c r="SNA4" s="4"/>
      <c r="SNB4" s="4"/>
      <c r="SNC4" s="4"/>
      <c r="SND4" s="4"/>
      <c r="SNE4" s="4"/>
      <c r="SNF4" s="4"/>
      <c r="SNG4" s="4"/>
      <c r="SNH4" s="4"/>
      <c r="SNI4" s="4"/>
      <c r="SNJ4" s="4"/>
      <c r="SNK4" s="4"/>
      <c r="SNL4" s="4"/>
      <c r="SNM4" s="4"/>
      <c r="SNN4" s="4"/>
      <c r="SNO4" s="4"/>
      <c r="SNP4" s="4"/>
      <c r="SNQ4" s="4"/>
      <c r="SNR4" s="4"/>
      <c r="SNS4" s="4"/>
      <c r="SNT4" s="4"/>
      <c r="SNU4" s="4"/>
      <c r="SNV4" s="4"/>
      <c r="SNW4" s="4"/>
      <c r="SNX4" s="4"/>
      <c r="SNY4" s="4"/>
      <c r="SNZ4" s="4"/>
      <c r="SOA4" s="4"/>
      <c r="SOB4" s="4"/>
      <c r="SOC4" s="4"/>
      <c r="SOD4" s="4"/>
      <c r="SOE4" s="4"/>
      <c r="SOF4" s="4"/>
      <c r="SOG4" s="4"/>
      <c r="SOH4" s="4"/>
      <c r="SOI4" s="4"/>
      <c r="SOJ4" s="4"/>
      <c r="SOK4" s="4"/>
      <c r="SOL4" s="4"/>
      <c r="SOM4" s="4"/>
      <c r="SON4" s="4"/>
      <c r="SOO4" s="4"/>
      <c r="SOP4" s="4"/>
      <c r="SOQ4" s="4"/>
      <c r="SOR4" s="4"/>
      <c r="SOS4" s="4"/>
      <c r="SOT4" s="4"/>
      <c r="SOU4" s="4"/>
      <c r="SOV4" s="4"/>
      <c r="SOW4" s="4"/>
      <c r="SOX4" s="4"/>
      <c r="SOY4" s="4"/>
      <c r="SOZ4" s="4"/>
      <c r="SPA4" s="4"/>
      <c r="SPB4" s="4"/>
      <c r="SPC4" s="4"/>
      <c r="SPD4" s="4"/>
      <c r="SPE4" s="4"/>
      <c r="SPF4" s="4"/>
      <c r="SPG4" s="4"/>
      <c r="SPH4" s="4"/>
      <c r="SPI4" s="4"/>
      <c r="SPJ4" s="4"/>
      <c r="SPK4" s="4"/>
      <c r="SPL4" s="4"/>
      <c r="SPM4" s="4"/>
      <c r="SPN4" s="4"/>
      <c r="SPO4" s="4"/>
      <c r="SPP4" s="4"/>
      <c r="SPQ4" s="4"/>
      <c r="SPR4" s="4"/>
      <c r="SPS4" s="4"/>
      <c r="SPT4" s="4"/>
      <c r="SPU4" s="4"/>
      <c r="SPV4" s="4"/>
      <c r="SPW4" s="4"/>
      <c r="SPX4" s="4"/>
      <c r="SPY4" s="4"/>
      <c r="SPZ4" s="4"/>
      <c r="SQA4" s="4"/>
      <c r="SQB4" s="4"/>
      <c r="SQC4" s="4"/>
      <c r="SQD4" s="4"/>
      <c r="SQE4" s="4"/>
      <c r="SQF4" s="4"/>
      <c r="SQG4" s="4"/>
      <c r="SQH4" s="4"/>
      <c r="SQI4" s="4"/>
      <c r="SQJ4" s="4"/>
      <c r="SQK4" s="4"/>
      <c r="SQL4" s="4"/>
      <c r="SQM4" s="4"/>
      <c r="SQN4" s="4"/>
      <c r="SQO4" s="4"/>
      <c r="SQP4" s="4"/>
      <c r="SQQ4" s="4"/>
      <c r="SQR4" s="4"/>
      <c r="SQS4" s="4"/>
      <c r="SQT4" s="4"/>
      <c r="SQU4" s="4"/>
      <c r="SQV4" s="4"/>
      <c r="SQW4" s="4"/>
      <c r="SQX4" s="4"/>
      <c r="SQY4" s="4"/>
      <c r="SQZ4" s="4"/>
      <c r="SRA4" s="4"/>
      <c r="SRB4" s="4"/>
      <c r="SRC4" s="4"/>
      <c r="SRD4" s="4"/>
      <c r="SRE4" s="4"/>
      <c r="SRF4" s="4"/>
      <c r="SRG4" s="4"/>
      <c r="SRH4" s="4"/>
      <c r="SRI4" s="4"/>
      <c r="SRJ4" s="4"/>
      <c r="SRK4" s="4"/>
      <c r="SRL4" s="4"/>
      <c r="SRM4" s="4"/>
      <c r="SRN4" s="4"/>
      <c r="SRO4" s="4"/>
      <c r="SRP4" s="4"/>
      <c r="SRQ4" s="4"/>
      <c r="SRR4" s="4"/>
      <c r="SRS4" s="4"/>
      <c r="SRT4" s="4"/>
      <c r="SRU4" s="4"/>
      <c r="SRV4" s="4"/>
      <c r="SRW4" s="4"/>
      <c r="SRX4" s="4"/>
      <c r="SRY4" s="4"/>
      <c r="SRZ4" s="4"/>
      <c r="SSA4" s="4"/>
      <c r="SSB4" s="4"/>
      <c r="SSC4" s="4"/>
      <c r="SSD4" s="4"/>
      <c r="SSE4" s="4"/>
      <c r="SSF4" s="4"/>
      <c r="SSG4" s="4"/>
      <c r="SSH4" s="4"/>
      <c r="SSI4" s="4"/>
      <c r="SSJ4" s="4"/>
      <c r="SSK4" s="4"/>
      <c r="SSL4" s="4"/>
      <c r="SSM4" s="4"/>
      <c r="SSN4" s="4"/>
      <c r="SSO4" s="4"/>
      <c r="SSP4" s="4"/>
      <c r="SSQ4" s="4"/>
      <c r="SSR4" s="4"/>
      <c r="SSS4" s="4"/>
      <c r="SST4" s="4"/>
      <c r="SSU4" s="4"/>
      <c r="SSV4" s="4"/>
      <c r="SSW4" s="4"/>
      <c r="SSX4" s="4"/>
      <c r="SSY4" s="4"/>
      <c r="SSZ4" s="4"/>
      <c r="STA4" s="4"/>
      <c r="STB4" s="4"/>
      <c r="STC4" s="4"/>
      <c r="STD4" s="4"/>
      <c r="STE4" s="4"/>
      <c r="STF4" s="4"/>
      <c r="STG4" s="4"/>
      <c r="STH4" s="4"/>
      <c r="STI4" s="4"/>
      <c r="STJ4" s="4"/>
      <c r="STK4" s="4"/>
      <c r="STL4" s="4"/>
      <c r="STM4" s="4"/>
      <c r="STN4" s="4"/>
      <c r="STO4" s="4"/>
      <c r="STP4" s="4"/>
      <c r="STQ4" s="4"/>
      <c r="STR4" s="4"/>
      <c r="STS4" s="4"/>
      <c r="STT4" s="4"/>
      <c r="STU4" s="4"/>
      <c r="STV4" s="4"/>
      <c r="STW4" s="4"/>
      <c r="STX4" s="4"/>
      <c r="STY4" s="4"/>
      <c r="STZ4" s="4"/>
      <c r="SUA4" s="4"/>
      <c r="SUB4" s="4"/>
      <c r="SUC4" s="4"/>
      <c r="SUD4" s="4"/>
      <c r="SUE4" s="4"/>
      <c r="SUF4" s="4"/>
      <c r="SUG4" s="4"/>
      <c r="SUH4" s="4"/>
      <c r="SUI4" s="4"/>
      <c r="SUJ4" s="4"/>
      <c r="SUK4" s="4"/>
      <c r="SUL4" s="4"/>
      <c r="SUM4" s="4"/>
      <c r="SUN4" s="4"/>
      <c r="SUO4" s="4"/>
      <c r="SUP4" s="4"/>
      <c r="SUQ4" s="4"/>
      <c r="SUR4" s="4"/>
      <c r="SUS4" s="4"/>
      <c r="SUT4" s="4"/>
      <c r="SUU4" s="4"/>
      <c r="SUV4" s="4"/>
      <c r="SUW4" s="4"/>
      <c r="SUX4" s="4"/>
      <c r="SUY4" s="4"/>
      <c r="SUZ4" s="4"/>
      <c r="SVA4" s="4"/>
      <c r="SVB4" s="4"/>
      <c r="SVC4" s="4"/>
      <c r="SVD4" s="4"/>
      <c r="SVE4" s="4"/>
      <c r="SVF4" s="4"/>
      <c r="SVG4" s="4"/>
      <c r="SVH4" s="4"/>
      <c r="SVI4" s="4"/>
      <c r="SVJ4" s="4"/>
      <c r="SVK4" s="4"/>
      <c r="SVL4" s="4"/>
      <c r="SVM4" s="4"/>
      <c r="SVN4" s="4"/>
      <c r="SVO4" s="4"/>
      <c r="SVP4" s="4"/>
      <c r="SVQ4" s="4"/>
      <c r="SVR4" s="4"/>
      <c r="SVS4" s="4"/>
      <c r="SVT4" s="4"/>
      <c r="SVU4" s="4"/>
      <c r="SVV4" s="4"/>
      <c r="SVW4" s="4"/>
      <c r="SVX4" s="4"/>
      <c r="SVY4" s="4"/>
      <c r="SVZ4" s="4"/>
      <c r="SWA4" s="4"/>
      <c r="SWB4" s="4"/>
      <c r="SWC4" s="4"/>
      <c r="SWD4" s="4"/>
      <c r="SWE4" s="4"/>
      <c r="SWF4" s="4"/>
      <c r="SWG4" s="4"/>
      <c r="SWH4" s="4"/>
      <c r="SWI4" s="4"/>
      <c r="SWJ4" s="4"/>
      <c r="SWK4" s="4"/>
      <c r="SWL4" s="4"/>
      <c r="SWM4" s="4"/>
      <c r="SWN4" s="4"/>
      <c r="SWO4" s="4"/>
      <c r="SWP4" s="4"/>
      <c r="SWQ4" s="4"/>
      <c r="SWR4" s="4"/>
      <c r="SWS4" s="4"/>
      <c r="SWT4" s="4"/>
      <c r="SWU4" s="4"/>
      <c r="SWV4" s="4"/>
      <c r="SWW4" s="4"/>
      <c r="SWX4" s="4"/>
      <c r="SWY4" s="4"/>
      <c r="SWZ4" s="4"/>
      <c r="SXA4" s="4"/>
      <c r="SXB4" s="4"/>
      <c r="SXC4" s="4"/>
      <c r="SXD4" s="4"/>
      <c r="SXE4" s="4"/>
      <c r="SXF4" s="4"/>
      <c r="SXG4" s="4"/>
      <c r="SXH4" s="4"/>
      <c r="SXI4" s="4"/>
      <c r="SXJ4" s="4"/>
      <c r="SXK4" s="4"/>
      <c r="SXL4" s="4"/>
      <c r="SXM4" s="4"/>
      <c r="SXN4" s="4"/>
      <c r="SXO4" s="4"/>
      <c r="SXP4" s="4"/>
      <c r="SXQ4" s="4"/>
      <c r="SXR4" s="4"/>
      <c r="SXS4" s="4"/>
      <c r="SXT4" s="4"/>
      <c r="SXU4" s="4"/>
      <c r="SXV4" s="4"/>
      <c r="SXW4" s="4"/>
      <c r="SXX4" s="4"/>
      <c r="SXY4" s="4"/>
      <c r="SXZ4" s="4"/>
      <c r="SYA4" s="4"/>
      <c r="SYB4" s="4"/>
      <c r="SYC4" s="4"/>
      <c r="SYD4" s="4"/>
      <c r="SYE4" s="4"/>
      <c r="SYF4" s="4"/>
      <c r="SYG4" s="4"/>
      <c r="SYH4" s="4"/>
      <c r="SYI4" s="4"/>
      <c r="SYJ4" s="4"/>
      <c r="SYK4" s="4"/>
      <c r="SYL4" s="4"/>
      <c r="SYM4" s="4"/>
      <c r="SYN4" s="4"/>
      <c r="SYO4" s="4"/>
      <c r="SYP4" s="4"/>
      <c r="SYQ4" s="4"/>
      <c r="SYR4" s="4"/>
      <c r="SYS4" s="4"/>
      <c r="SYT4" s="4"/>
      <c r="SYU4" s="4"/>
      <c r="SYV4" s="4"/>
      <c r="SYW4" s="4"/>
      <c r="SYX4" s="4"/>
      <c r="SYY4" s="4"/>
      <c r="SYZ4" s="4"/>
      <c r="SZA4" s="4"/>
      <c r="SZB4" s="4"/>
      <c r="SZC4" s="4"/>
      <c r="SZD4" s="4"/>
      <c r="SZE4" s="4"/>
      <c r="SZF4" s="4"/>
      <c r="SZG4" s="4"/>
      <c r="SZH4" s="4"/>
      <c r="SZI4" s="4"/>
      <c r="SZJ4" s="4"/>
      <c r="SZK4" s="4"/>
      <c r="SZL4" s="4"/>
      <c r="SZM4" s="4"/>
      <c r="SZN4" s="4"/>
      <c r="SZO4" s="4"/>
      <c r="SZP4" s="4"/>
      <c r="SZQ4" s="4"/>
      <c r="SZR4" s="4"/>
      <c r="SZS4" s="4"/>
      <c r="SZT4" s="4"/>
      <c r="SZU4" s="4"/>
      <c r="SZV4" s="4"/>
      <c r="SZW4" s="4"/>
      <c r="SZX4" s="4"/>
      <c r="SZY4" s="4"/>
      <c r="SZZ4" s="4"/>
      <c r="TAA4" s="4"/>
      <c r="TAB4" s="4"/>
      <c r="TAC4" s="4"/>
      <c r="TAD4" s="4"/>
      <c r="TAE4" s="4"/>
      <c r="TAF4" s="4"/>
      <c r="TAG4" s="4"/>
      <c r="TAH4" s="4"/>
      <c r="TAI4" s="4"/>
      <c r="TAJ4" s="4"/>
      <c r="TAK4" s="4"/>
      <c r="TAL4" s="4"/>
      <c r="TAM4" s="4"/>
      <c r="TAN4" s="4"/>
      <c r="TAO4" s="4"/>
      <c r="TAP4" s="4"/>
      <c r="TAQ4" s="4"/>
      <c r="TAR4" s="4"/>
      <c r="TAS4" s="4"/>
      <c r="TAT4" s="4"/>
      <c r="TAU4" s="4"/>
      <c r="TAV4" s="4"/>
      <c r="TAW4" s="4"/>
      <c r="TAX4" s="4"/>
      <c r="TAY4" s="4"/>
      <c r="TAZ4" s="4"/>
      <c r="TBA4" s="4"/>
      <c r="TBB4" s="4"/>
      <c r="TBC4" s="4"/>
      <c r="TBD4" s="4"/>
      <c r="TBE4" s="4"/>
      <c r="TBF4" s="4"/>
      <c r="TBG4" s="4"/>
      <c r="TBH4" s="4"/>
      <c r="TBI4" s="4"/>
      <c r="TBJ4" s="4"/>
      <c r="TBK4" s="4"/>
      <c r="TBL4" s="4"/>
      <c r="TBM4" s="4"/>
      <c r="TBN4" s="4"/>
      <c r="TBO4" s="4"/>
      <c r="TBP4" s="4"/>
      <c r="TBQ4" s="4"/>
      <c r="TBR4" s="4"/>
      <c r="TBS4" s="4"/>
      <c r="TBT4" s="4"/>
      <c r="TBU4" s="4"/>
      <c r="TBV4" s="4"/>
      <c r="TBW4" s="4"/>
      <c r="TBX4" s="4"/>
      <c r="TBY4" s="4"/>
      <c r="TBZ4" s="4"/>
      <c r="TCA4" s="4"/>
      <c r="TCB4" s="4"/>
      <c r="TCC4" s="4"/>
      <c r="TCD4" s="4"/>
      <c r="TCE4" s="4"/>
      <c r="TCF4" s="4"/>
      <c r="TCG4" s="4"/>
      <c r="TCH4" s="4"/>
      <c r="TCI4" s="4"/>
      <c r="TCJ4" s="4"/>
      <c r="TCK4" s="4"/>
      <c r="TCL4" s="4"/>
      <c r="TCM4" s="4"/>
      <c r="TCN4" s="4"/>
      <c r="TCO4" s="4"/>
      <c r="TCP4" s="4"/>
      <c r="TCQ4" s="4"/>
      <c r="TCR4" s="4"/>
      <c r="TCS4" s="4"/>
      <c r="TCT4" s="4"/>
      <c r="TCU4" s="4"/>
      <c r="TCV4" s="4"/>
      <c r="TCW4" s="4"/>
      <c r="TCX4" s="4"/>
      <c r="TCY4" s="4"/>
      <c r="TCZ4" s="4"/>
      <c r="TDA4" s="4"/>
      <c r="TDB4" s="4"/>
      <c r="TDC4" s="4"/>
      <c r="TDD4" s="4"/>
      <c r="TDE4" s="4"/>
      <c r="TDF4" s="4"/>
      <c r="TDG4" s="4"/>
      <c r="TDH4" s="4"/>
      <c r="TDI4" s="4"/>
      <c r="TDJ4" s="4"/>
      <c r="TDK4" s="4"/>
      <c r="TDL4" s="4"/>
      <c r="TDM4" s="4"/>
      <c r="TDN4" s="4"/>
      <c r="TDO4" s="4"/>
      <c r="TDP4" s="4"/>
      <c r="TDQ4" s="4"/>
      <c r="TDR4" s="4"/>
      <c r="TDS4" s="4"/>
      <c r="TDT4" s="4"/>
      <c r="TDU4" s="4"/>
      <c r="TDV4" s="4"/>
      <c r="TDW4" s="4"/>
      <c r="TDX4" s="4"/>
      <c r="TDY4" s="4"/>
      <c r="TDZ4" s="4"/>
      <c r="TEA4" s="4"/>
      <c r="TEB4" s="4"/>
      <c r="TEC4" s="4"/>
      <c r="TED4" s="4"/>
      <c r="TEE4" s="4"/>
      <c r="TEF4" s="4"/>
      <c r="TEG4" s="4"/>
      <c r="TEH4" s="4"/>
      <c r="TEI4" s="4"/>
      <c r="TEJ4" s="4"/>
      <c r="TEK4" s="4"/>
      <c r="TEL4" s="4"/>
      <c r="TEM4" s="4"/>
      <c r="TEN4" s="4"/>
      <c r="TEO4" s="4"/>
      <c r="TEP4" s="4"/>
      <c r="TEQ4" s="4"/>
      <c r="TER4" s="4"/>
      <c r="TES4" s="4"/>
      <c r="TET4" s="4"/>
      <c r="TEU4" s="4"/>
      <c r="TEV4" s="4"/>
      <c r="TEW4" s="4"/>
      <c r="TEX4" s="4"/>
      <c r="TEY4" s="4"/>
      <c r="TEZ4" s="4"/>
      <c r="TFA4" s="4"/>
      <c r="TFB4" s="4"/>
      <c r="TFC4" s="4"/>
      <c r="TFD4" s="4"/>
      <c r="TFE4" s="4"/>
      <c r="TFF4" s="4"/>
      <c r="TFG4" s="4"/>
      <c r="TFH4" s="4"/>
      <c r="TFI4" s="4"/>
      <c r="TFJ4" s="4"/>
      <c r="TFK4" s="4"/>
      <c r="TFL4" s="4"/>
      <c r="TFM4" s="4"/>
      <c r="TFN4" s="4"/>
      <c r="TFO4" s="4"/>
      <c r="TFP4" s="4"/>
      <c r="TFQ4" s="4"/>
      <c r="TFR4" s="4"/>
      <c r="TFS4" s="4"/>
      <c r="TFT4" s="4"/>
      <c r="TFU4" s="4"/>
      <c r="TFV4" s="4"/>
      <c r="TFW4" s="4"/>
      <c r="TFX4" s="4"/>
      <c r="TFY4" s="4"/>
      <c r="TFZ4" s="4"/>
      <c r="TGA4" s="4"/>
      <c r="TGB4" s="4"/>
      <c r="TGC4" s="4"/>
      <c r="TGD4" s="4"/>
      <c r="TGE4" s="4"/>
      <c r="TGF4" s="4"/>
      <c r="TGG4" s="4"/>
      <c r="TGH4" s="4"/>
      <c r="TGI4" s="4"/>
      <c r="TGJ4" s="4"/>
      <c r="TGK4" s="4"/>
      <c r="TGL4" s="4"/>
      <c r="TGM4" s="4"/>
      <c r="TGN4" s="4"/>
      <c r="TGO4" s="4"/>
      <c r="TGP4" s="4"/>
      <c r="TGQ4" s="4"/>
      <c r="TGR4" s="4"/>
      <c r="TGS4" s="4"/>
      <c r="TGT4" s="4"/>
      <c r="TGU4" s="4"/>
      <c r="TGV4" s="4"/>
      <c r="TGW4" s="4"/>
      <c r="TGX4" s="4"/>
      <c r="TGY4" s="4"/>
      <c r="TGZ4" s="4"/>
      <c r="THA4" s="4"/>
      <c r="THB4" s="4"/>
      <c r="THC4" s="4"/>
      <c r="THD4" s="4"/>
      <c r="THE4" s="4"/>
      <c r="THF4" s="4"/>
      <c r="THG4" s="4"/>
      <c r="THH4" s="4"/>
      <c r="THI4" s="4"/>
      <c r="THJ4" s="4"/>
      <c r="THK4" s="4"/>
      <c r="THL4" s="4"/>
      <c r="THM4" s="4"/>
      <c r="THN4" s="4"/>
      <c r="THO4" s="4"/>
      <c r="THP4" s="4"/>
      <c r="THQ4" s="4"/>
      <c r="THR4" s="4"/>
      <c r="THS4" s="4"/>
      <c r="THT4" s="4"/>
      <c r="THU4" s="4"/>
      <c r="THV4" s="4"/>
      <c r="THW4" s="4"/>
      <c r="THX4" s="4"/>
      <c r="THY4" s="4"/>
      <c r="THZ4" s="4"/>
      <c r="TIA4" s="4"/>
      <c r="TIB4" s="4"/>
      <c r="TIC4" s="4"/>
      <c r="TID4" s="4"/>
      <c r="TIE4" s="4"/>
      <c r="TIF4" s="4"/>
      <c r="TIG4" s="4"/>
      <c r="TIH4" s="4"/>
      <c r="TII4" s="4"/>
      <c r="TIJ4" s="4"/>
      <c r="TIK4" s="4"/>
      <c r="TIL4" s="4"/>
      <c r="TIM4" s="4"/>
      <c r="TIN4" s="4"/>
      <c r="TIO4" s="4"/>
      <c r="TIP4" s="4"/>
      <c r="TIQ4" s="4"/>
      <c r="TIR4" s="4"/>
      <c r="TIS4" s="4"/>
      <c r="TIT4" s="4"/>
      <c r="TIU4" s="4"/>
      <c r="TIV4" s="4"/>
      <c r="TIW4" s="4"/>
      <c r="TIX4" s="4"/>
      <c r="TIY4" s="4"/>
      <c r="TIZ4" s="4"/>
      <c r="TJA4" s="4"/>
      <c r="TJB4" s="4"/>
      <c r="TJC4" s="4"/>
      <c r="TJD4" s="4"/>
      <c r="TJE4" s="4"/>
      <c r="TJF4" s="4"/>
      <c r="TJG4" s="4"/>
      <c r="TJH4" s="4"/>
      <c r="TJI4" s="4"/>
      <c r="TJJ4" s="4"/>
      <c r="TJK4" s="4"/>
      <c r="TJL4" s="4"/>
      <c r="TJM4" s="4"/>
      <c r="TJN4" s="4"/>
      <c r="TJO4" s="4"/>
      <c r="TJP4" s="4"/>
      <c r="TJQ4" s="4"/>
      <c r="TJR4" s="4"/>
      <c r="TJS4" s="4"/>
      <c r="TJT4" s="4"/>
      <c r="TJU4" s="4"/>
      <c r="TJV4" s="4"/>
      <c r="TJW4" s="4"/>
      <c r="TJX4" s="4"/>
      <c r="TJY4" s="4"/>
      <c r="TJZ4" s="4"/>
      <c r="TKA4" s="4"/>
      <c r="TKB4" s="4"/>
      <c r="TKC4" s="4"/>
      <c r="TKD4" s="4"/>
      <c r="TKE4" s="4"/>
      <c r="TKF4" s="4"/>
      <c r="TKG4" s="4"/>
      <c r="TKH4" s="4"/>
      <c r="TKI4" s="4"/>
      <c r="TKJ4" s="4"/>
      <c r="TKK4" s="4"/>
      <c r="TKL4" s="4"/>
      <c r="TKM4" s="4"/>
      <c r="TKN4" s="4"/>
      <c r="TKO4" s="4"/>
      <c r="TKP4" s="4"/>
      <c r="TKQ4" s="4"/>
      <c r="TKR4" s="4"/>
      <c r="TKS4" s="4"/>
      <c r="TKT4" s="4"/>
      <c r="TKU4" s="4"/>
      <c r="TKV4" s="4"/>
      <c r="TKW4" s="4"/>
      <c r="TKX4" s="4"/>
      <c r="TKY4" s="4"/>
      <c r="TKZ4" s="4"/>
      <c r="TLA4" s="4"/>
      <c r="TLB4" s="4"/>
      <c r="TLC4" s="4"/>
      <c r="TLD4" s="4"/>
      <c r="TLE4" s="4"/>
      <c r="TLF4" s="4"/>
      <c r="TLG4" s="4"/>
      <c r="TLH4" s="4"/>
      <c r="TLI4" s="4"/>
      <c r="TLJ4" s="4"/>
      <c r="TLK4" s="4"/>
      <c r="TLL4" s="4"/>
      <c r="TLM4" s="4"/>
      <c r="TLN4" s="4"/>
      <c r="TLO4" s="4"/>
      <c r="TLP4" s="4"/>
      <c r="TLQ4" s="4"/>
      <c r="TLR4" s="4"/>
      <c r="TLS4" s="4"/>
      <c r="TLT4" s="4"/>
      <c r="TLU4" s="4"/>
      <c r="TLV4" s="4"/>
      <c r="TLW4" s="4"/>
      <c r="TLX4" s="4"/>
      <c r="TLY4" s="4"/>
      <c r="TLZ4" s="4"/>
      <c r="TMA4" s="4"/>
      <c r="TMB4" s="4"/>
      <c r="TMC4" s="4"/>
      <c r="TMD4" s="4"/>
      <c r="TME4" s="4"/>
      <c r="TMF4" s="4"/>
      <c r="TMG4" s="4"/>
      <c r="TMH4" s="4"/>
      <c r="TMI4" s="4"/>
      <c r="TMJ4" s="4"/>
      <c r="TMK4" s="4"/>
      <c r="TML4" s="4"/>
      <c r="TMM4" s="4"/>
      <c r="TMN4" s="4"/>
      <c r="TMO4" s="4"/>
      <c r="TMP4" s="4"/>
      <c r="TMQ4" s="4"/>
      <c r="TMR4" s="4"/>
      <c r="TMS4" s="4"/>
      <c r="TMT4" s="4"/>
      <c r="TMU4" s="4"/>
      <c r="TMV4" s="4"/>
      <c r="TMW4" s="4"/>
      <c r="TMX4" s="4"/>
      <c r="TMY4" s="4"/>
      <c r="TMZ4" s="4"/>
      <c r="TNA4" s="4"/>
      <c r="TNB4" s="4"/>
      <c r="TNC4" s="4"/>
      <c r="TND4" s="4"/>
      <c r="TNE4" s="4"/>
      <c r="TNF4" s="4"/>
      <c r="TNG4" s="4"/>
      <c r="TNH4" s="4"/>
      <c r="TNI4" s="4"/>
      <c r="TNJ4" s="4"/>
      <c r="TNK4" s="4"/>
      <c r="TNL4" s="4"/>
      <c r="TNM4" s="4"/>
      <c r="TNN4" s="4"/>
      <c r="TNO4" s="4"/>
      <c r="TNP4" s="4"/>
      <c r="TNQ4" s="4"/>
      <c r="TNR4" s="4"/>
      <c r="TNS4" s="4"/>
      <c r="TNT4" s="4"/>
      <c r="TNU4" s="4"/>
      <c r="TNV4" s="4"/>
      <c r="TNW4" s="4"/>
      <c r="TNX4" s="4"/>
      <c r="TNY4" s="4"/>
      <c r="TNZ4" s="4"/>
      <c r="TOA4" s="4"/>
      <c r="TOB4" s="4"/>
      <c r="TOC4" s="4"/>
      <c r="TOD4" s="4"/>
      <c r="TOE4" s="4"/>
      <c r="TOF4" s="4"/>
      <c r="TOG4" s="4"/>
      <c r="TOH4" s="4"/>
      <c r="TOI4" s="4"/>
      <c r="TOJ4" s="4"/>
      <c r="TOK4" s="4"/>
      <c r="TOL4" s="4"/>
      <c r="TOM4" s="4"/>
      <c r="TON4" s="4"/>
      <c r="TOO4" s="4"/>
      <c r="TOP4" s="4"/>
      <c r="TOQ4" s="4"/>
      <c r="TOR4" s="4"/>
      <c r="TOS4" s="4"/>
      <c r="TOT4" s="4"/>
      <c r="TOU4" s="4"/>
      <c r="TOV4" s="4"/>
      <c r="TOW4" s="4"/>
      <c r="TOX4" s="4"/>
      <c r="TOY4" s="4"/>
      <c r="TOZ4" s="4"/>
      <c r="TPA4" s="4"/>
      <c r="TPB4" s="4"/>
      <c r="TPC4" s="4"/>
      <c r="TPD4" s="4"/>
      <c r="TPE4" s="4"/>
      <c r="TPF4" s="4"/>
      <c r="TPG4" s="4"/>
      <c r="TPH4" s="4"/>
      <c r="TPI4" s="4"/>
      <c r="TPJ4" s="4"/>
      <c r="TPK4" s="4"/>
      <c r="TPL4" s="4"/>
      <c r="TPM4" s="4"/>
      <c r="TPN4" s="4"/>
      <c r="TPO4" s="4"/>
      <c r="TPP4" s="4"/>
      <c r="TPQ4" s="4"/>
      <c r="TPR4" s="4"/>
      <c r="TPS4" s="4"/>
      <c r="TPT4" s="4"/>
      <c r="TPU4" s="4"/>
      <c r="TPV4" s="4"/>
      <c r="TPW4" s="4"/>
      <c r="TPX4" s="4"/>
      <c r="TPY4" s="4"/>
      <c r="TPZ4" s="4"/>
      <c r="TQA4" s="4"/>
      <c r="TQB4" s="4"/>
      <c r="TQC4" s="4"/>
      <c r="TQD4" s="4"/>
      <c r="TQE4" s="4"/>
      <c r="TQF4" s="4"/>
      <c r="TQG4" s="4"/>
      <c r="TQH4" s="4"/>
      <c r="TQI4" s="4"/>
      <c r="TQJ4" s="4"/>
      <c r="TQK4" s="4"/>
      <c r="TQL4" s="4"/>
      <c r="TQM4" s="4"/>
      <c r="TQN4" s="4"/>
      <c r="TQO4" s="4"/>
      <c r="TQP4" s="4"/>
      <c r="TQQ4" s="4"/>
      <c r="TQR4" s="4"/>
      <c r="TQS4" s="4"/>
      <c r="TQT4" s="4"/>
      <c r="TQU4" s="4"/>
      <c r="TQV4" s="4"/>
      <c r="TQW4" s="4"/>
      <c r="TQX4" s="4"/>
      <c r="TQY4" s="4"/>
      <c r="TQZ4" s="4"/>
      <c r="TRA4" s="4"/>
      <c r="TRB4" s="4"/>
      <c r="TRC4" s="4"/>
      <c r="TRD4" s="4"/>
      <c r="TRE4" s="4"/>
      <c r="TRF4" s="4"/>
      <c r="TRG4" s="4"/>
      <c r="TRH4" s="4"/>
      <c r="TRI4" s="4"/>
      <c r="TRJ4" s="4"/>
      <c r="TRK4" s="4"/>
      <c r="TRL4" s="4"/>
      <c r="TRM4" s="4"/>
      <c r="TRN4" s="4"/>
      <c r="TRO4" s="4"/>
      <c r="TRP4" s="4"/>
      <c r="TRQ4" s="4"/>
      <c r="TRR4" s="4"/>
      <c r="TRS4" s="4"/>
      <c r="TRT4" s="4"/>
      <c r="TRU4" s="4"/>
      <c r="TRV4" s="4"/>
      <c r="TRW4" s="4"/>
      <c r="TRX4" s="4"/>
      <c r="TRY4" s="4"/>
      <c r="TRZ4" s="4"/>
      <c r="TSA4" s="4"/>
      <c r="TSB4" s="4"/>
      <c r="TSC4" s="4"/>
      <c r="TSD4" s="4"/>
      <c r="TSE4" s="4"/>
      <c r="TSF4" s="4"/>
      <c r="TSG4" s="4"/>
      <c r="TSH4" s="4"/>
      <c r="TSI4" s="4"/>
      <c r="TSJ4" s="4"/>
      <c r="TSK4" s="4"/>
      <c r="TSL4" s="4"/>
      <c r="TSM4" s="4"/>
      <c r="TSN4" s="4"/>
      <c r="TSO4" s="4"/>
      <c r="TSP4" s="4"/>
      <c r="TSQ4" s="4"/>
      <c r="TSR4" s="4"/>
      <c r="TSS4" s="4"/>
      <c r="TST4" s="4"/>
      <c r="TSU4" s="4"/>
      <c r="TSV4" s="4"/>
      <c r="TSW4" s="4"/>
      <c r="TSX4" s="4"/>
      <c r="TSY4" s="4"/>
      <c r="TSZ4" s="4"/>
      <c r="TTA4" s="4"/>
      <c r="TTB4" s="4"/>
      <c r="TTC4" s="4"/>
      <c r="TTD4" s="4"/>
      <c r="TTE4" s="4"/>
      <c r="TTF4" s="4"/>
      <c r="TTG4" s="4"/>
      <c r="TTH4" s="4"/>
      <c r="TTI4" s="4"/>
      <c r="TTJ4" s="4"/>
      <c r="TTK4" s="4"/>
      <c r="TTL4" s="4"/>
      <c r="TTM4" s="4"/>
      <c r="TTN4" s="4"/>
      <c r="TTO4" s="4"/>
      <c r="TTP4" s="4"/>
      <c r="TTQ4" s="4"/>
      <c r="TTR4" s="4"/>
      <c r="TTS4" s="4"/>
      <c r="TTT4" s="4"/>
      <c r="TTU4" s="4"/>
      <c r="TTV4" s="4"/>
      <c r="TTW4" s="4"/>
      <c r="TTX4" s="4"/>
      <c r="TTY4" s="4"/>
      <c r="TTZ4" s="4"/>
      <c r="TUA4" s="4"/>
      <c r="TUB4" s="4"/>
      <c r="TUC4" s="4"/>
      <c r="TUD4" s="4"/>
      <c r="TUE4" s="4"/>
      <c r="TUF4" s="4"/>
      <c r="TUG4" s="4"/>
      <c r="TUH4" s="4"/>
      <c r="TUI4" s="4"/>
      <c r="TUJ4" s="4"/>
      <c r="TUK4" s="4"/>
      <c r="TUL4" s="4"/>
      <c r="TUM4" s="4"/>
      <c r="TUN4" s="4"/>
      <c r="TUO4" s="4"/>
      <c r="TUP4" s="4"/>
      <c r="TUQ4" s="4"/>
      <c r="TUR4" s="4"/>
      <c r="TUS4" s="4"/>
      <c r="TUT4" s="4"/>
      <c r="TUU4" s="4"/>
      <c r="TUV4" s="4"/>
      <c r="TUW4" s="4"/>
      <c r="TUX4" s="4"/>
      <c r="TUY4" s="4"/>
      <c r="TUZ4" s="4"/>
      <c r="TVA4" s="4"/>
      <c r="TVB4" s="4"/>
      <c r="TVC4" s="4"/>
      <c r="TVD4" s="4"/>
      <c r="TVE4" s="4"/>
      <c r="TVF4" s="4"/>
      <c r="TVG4" s="4"/>
      <c r="TVH4" s="4"/>
      <c r="TVI4" s="4"/>
      <c r="TVJ4" s="4"/>
      <c r="TVK4" s="4"/>
      <c r="TVL4" s="4"/>
      <c r="TVM4" s="4"/>
      <c r="TVN4" s="4"/>
      <c r="TVO4" s="4"/>
      <c r="TVP4" s="4"/>
      <c r="TVQ4" s="4"/>
      <c r="TVR4" s="4"/>
      <c r="TVS4" s="4"/>
      <c r="TVT4" s="4"/>
      <c r="TVU4" s="4"/>
      <c r="TVV4" s="4"/>
      <c r="TVW4" s="4"/>
      <c r="TVX4" s="4"/>
      <c r="TVY4" s="4"/>
      <c r="TVZ4" s="4"/>
      <c r="TWA4" s="4"/>
      <c r="TWB4" s="4"/>
      <c r="TWC4" s="4"/>
      <c r="TWD4" s="4"/>
      <c r="TWE4" s="4"/>
      <c r="TWF4" s="4"/>
      <c r="TWG4" s="4"/>
      <c r="TWH4" s="4"/>
      <c r="TWI4" s="4"/>
      <c r="TWJ4" s="4"/>
      <c r="TWK4" s="4"/>
      <c r="TWL4" s="4"/>
      <c r="TWM4" s="4"/>
      <c r="TWN4" s="4"/>
      <c r="TWO4" s="4"/>
      <c r="TWP4" s="4"/>
      <c r="TWQ4" s="4"/>
      <c r="TWR4" s="4"/>
      <c r="TWS4" s="4"/>
      <c r="TWT4" s="4"/>
      <c r="TWU4" s="4"/>
      <c r="TWV4" s="4"/>
      <c r="TWW4" s="4"/>
      <c r="TWX4" s="4"/>
      <c r="TWY4" s="4"/>
      <c r="TWZ4" s="4"/>
      <c r="TXA4" s="4"/>
      <c r="TXB4" s="4"/>
      <c r="TXC4" s="4"/>
      <c r="TXD4" s="4"/>
      <c r="TXE4" s="4"/>
      <c r="TXF4" s="4"/>
      <c r="TXG4" s="4"/>
      <c r="TXH4" s="4"/>
      <c r="TXI4" s="4"/>
      <c r="TXJ4" s="4"/>
      <c r="TXK4" s="4"/>
      <c r="TXL4" s="4"/>
      <c r="TXM4" s="4"/>
      <c r="TXN4" s="4"/>
      <c r="TXO4" s="4"/>
      <c r="TXP4" s="4"/>
      <c r="TXQ4" s="4"/>
      <c r="TXR4" s="4"/>
      <c r="TXS4" s="4"/>
      <c r="TXT4" s="4"/>
      <c r="TXU4" s="4"/>
      <c r="TXV4" s="4"/>
      <c r="TXW4" s="4"/>
      <c r="TXX4" s="4"/>
      <c r="TXY4" s="4"/>
      <c r="TXZ4" s="4"/>
      <c r="TYA4" s="4"/>
      <c r="TYB4" s="4"/>
      <c r="TYC4" s="4"/>
      <c r="TYD4" s="4"/>
      <c r="TYE4" s="4"/>
      <c r="TYF4" s="4"/>
      <c r="TYG4" s="4"/>
      <c r="TYH4" s="4"/>
      <c r="TYI4" s="4"/>
      <c r="TYJ4" s="4"/>
      <c r="TYK4" s="4"/>
      <c r="TYL4" s="4"/>
      <c r="TYM4" s="4"/>
      <c r="TYN4" s="4"/>
      <c r="TYO4" s="4"/>
      <c r="TYP4" s="4"/>
      <c r="TYQ4" s="4"/>
      <c r="TYR4" s="4"/>
      <c r="TYS4" s="4"/>
      <c r="TYT4" s="4"/>
      <c r="TYU4" s="4"/>
      <c r="TYV4" s="4"/>
      <c r="TYW4" s="4"/>
      <c r="TYX4" s="4"/>
      <c r="TYY4" s="4"/>
      <c r="TYZ4" s="4"/>
      <c r="TZA4" s="4"/>
      <c r="TZB4" s="4"/>
      <c r="TZC4" s="4"/>
      <c r="TZD4" s="4"/>
      <c r="TZE4" s="4"/>
      <c r="TZF4" s="4"/>
      <c r="TZG4" s="4"/>
      <c r="TZH4" s="4"/>
      <c r="TZI4" s="4"/>
      <c r="TZJ4" s="4"/>
      <c r="TZK4" s="4"/>
      <c r="TZL4" s="4"/>
      <c r="TZM4" s="4"/>
      <c r="TZN4" s="4"/>
      <c r="TZO4" s="4"/>
      <c r="TZP4" s="4"/>
      <c r="TZQ4" s="4"/>
      <c r="TZR4" s="4"/>
      <c r="TZS4" s="4"/>
      <c r="TZT4" s="4"/>
      <c r="TZU4" s="4"/>
      <c r="TZV4" s="4"/>
      <c r="TZW4" s="4"/>
      <c r="TZX4" s="4"/>
      <c r="TZY4" s="4"/>
      <c r="TZZ4" s="4"/>
      <c r="UAA4" s="4"/>
      <c r="UAB4" s="4"/>
      <c r="UAC4" s="4"/>
      <c r="UAD4" s="4"/>
      <c r="UAE4" s="4"/>
      <c r="UAF4" s="4"/>
      <c r="UAG4" s="4"/>
      <c r="UAH4" s="4"/>
      <c r="UAI4" s="4"/>
      <c r="UAJ4" s="4"/>
      <c r="UAK4" s="4"/>
      <c r="UAL4" s="4"/>
      <c r="UAM4" s="4"/>
      <c r="UAN4" s="4"/>
      <c r="UAO4" s="4"/>
      <c r="UAP4" s="4"/>
      <c r="UAQ4" s="4"/>
      <c r="UAR4" s="4"/>
      <c r="UAS4" s="4"/>
      <c r="UAT4" s="4"/>
      <c r="UAU4" s="4"/>
      <c r="UAV4" s="4"/>
      <c r="UAW4" s="4"/>
      <c r="UAX4" s="4"/>
      <c r="UAY4" s="4"/>
      <c r="UAZ4" s="4"/>
      <c r="UBA4" s="4"/>
      <c r="UBB4" s="4"/>
      <c r="UBC4" s="4"/>
      <c r="UBD4" s="4"/>
      <c r="UBE4" s="4"/>
      <c r="UBF4" s="4"/>
      <c r="UBG4" s="4"/>
      <c r="UBH4" s="4"/>
      <c r="UBI4" s="4"/>
      <c r="UBJ4" s="4"/>
      <c r="UBK4" s="4"/>
      <c r="UBL4" s="4"/>
      <c r="UBM4" s="4"/>
      <c r="UBN4" s="4"/>
      <c r="UBO4" s="4"/>
      <c r="UBP4" s="4"/>
      <c r="UBQ4" s="4"/>
      <c r="UBR4" s="4"/>
      <c r="UBS4" s="4"/>
      <c r="UBT4" s="4"/>
      <c r="UBU4" s="4"/>
      <c r="UBV4" s="4"/>
      <c r="UBW4" s="4"/>
      <c r="UBX4" s="4"/>
      <c r="UBY4" s="4"/>
      <c r="UBZ4" s="4"/>
      <c r="UCA4" s="4"/>
      <c r="UCB4" s="4"/>
      <c r="UCC4" s="4"/>
      <c r="UCD4" s="4"/>
      <c r="UCE4" s="4"/>
      <c r="UCF4" s="4"/>
      <c r="UCG4" s="4"/>
      <c r="UCH4" s="4"/>
      <c r="UCI4" s="4"/>
      <c r="UCJ4" s="4"/>
      <c r="UCK4" s="4"/>
      <c r="UCL4" s="4"/>
      <c r="UCM4" s="4"/>
      <c r="UCN4" s="4"/>
      <c r="UCO4" s="4"/>
      <c r="UCP4" s="4"/>
      <c r="UCQ4" s="4"/>
      <c r="UCR4" s="4"/>
      <c r="UCS4" s="4"/>
      <c r="UCT4" s="4"/>
      <c r="UCU4" s="4"/>
      <c r="UCV4" s="4"/>
      <c r="UCW4" s="4"/>
      <c r="UCX4" s="4"/>
      <c r="UCY4" s="4"/>
      <c r="UCZ4" s="4"/>
      <c r="UDA4" s="4"/>
      <c r="UDB4" s="4"/>
      <c r="UDC4" s="4"/>
      <c r="UDD4" s="4"/>
      <c r="UDE4" s="4"/>
      <c r="UDF4" s="4"/>
      <c r="UDG4" s="4"/>
      <c r="UDH4" s="4"/>
      <c r="UDI4" s="4"/>
      <c r="UDJ4" s="4"/>
      <c r="UDK4" s="4"/>
      <c r="UDL4" s="4"/>
      <c r="UDM4" s="4"/>
      <c r="UDN4" s="4"/>
      <c r="UDO4" s="4"/>
      <c r="UDP4" s="4"/>
      <c r="UDQ4" s="4"/>
      <c r="UDR4" s="4"/>
      <c r="UDS4" s="4"/>
      <c r="UDT4" s="4"/>
      <c r="UDU4" s="4"/>
      <c r="UDV4" s="4"/>
      <c r="UDW4" s="4"/>
      <c r="UDX4" s="4"/>
      <c r="UDY4" s="4"/>
      <c r="UDZ4" s="4"/>
      <c r="UEA4" s="4"/>
      <c r="UEB4" s="4"/>
      <c r="UEC4" s="4"/>
      <c r="UED4" s="4"/>
      <c r="UEE4" s="4"/>
      <c r="UEF4" s="4"/>
      <c r="UEG4" s="4"/>
      <c r="UEH4" s="4"/>
      <c r="UEI4" s="4"/>
      <c r="UEJ4" s="4"/>
      <c r="UEK4" s="4"/>
      <c r="UEL4" s="4"/>
      <c r="UEM4" s="4"/>
      <c r="UEN4" s="4"/>
      <c r="UEO4" s="4"/>
      <c r="UEP4" s="4"/>
      <c r="UEQ4" s="4"/>
      <c r="UER4" s="4"/>
      <c r="UES4" s="4"/>
      <c r="UET4" s="4"/>
      <c r="UEU4" s="4"/>
      <c r="UEV4" s="4"/>
      <c r="UEW4" s="4"/>
      <c r="UEX4" s="4"/>
      <c r="UEY4" s="4"/>
      <c r="UEZ4" s="4"/>
      <c r="UFA4" s="4"/>
      <c r="UFB4" s="4"/>
      <c r="UFC4" s="4"/>
      <c r="UFD4" s="4"/>
      <c r="UFE4" s="4"/>
      <c r="UFF4" s="4"/>
      <c r="UFG4" s="4"/>
      <c r="UFH4" s="4"/>
      <c r="UFI4" s="4"/>
      <c r="UFJ4" s="4"/>
      <c r="UFK4" s="4"/>
      <c r="UFL4" s="4"/>
      <c r="UFM4" s="4"/>
      <c r="UFN4" s="4"/>
      <c r="UFO4" s="4"/>
      <c r="UFP4" s="4"/>
      <c r="UFQ4" s="4"/>
      <c r="UFR4" s="4"/>
      <c r="UFS4" s="4"/>
      <c r="UFT4" s="4"/>
      <c r="UFU4" s="4"/>
      <c r="UFV4" s="4"/>
      <c r="UFW4" s="4"/>
      <c r="UFX4" s="4"/>
      <c r="UFY4" s="4"/>
      <c r="UFZ4" s="4"/>
      <c r="UGA4" s="4"/>
      <c r="UGB4" s="4"/>
      <c r="UGC4" s="4"/>
      <c r="UGD4" s="4"/>
      <c r="UGE4" s="4"/>
      <c r="UGF4" s="4"/>
      <c r="UGG4" s="4"/>
      <c r="UGH4" s="4"/>
      <c r="UGI4" s="4"/>
      <c r="UGJ4" s="4"/>
      <c r="UGK4" s="4"/>
      <c r="UGL4" s="4"/>
      <c r="UGM4" s="4"/>
      <c r="UGN4" s="4"/>
      <c r="UGO4" s="4"/>
      <c r="UGP4" s="4"/>
      <c r="UGQ4" s="4"/>
      <c r="UGR4" s="4"/>
      <c r="UGS4" s="4"/>
      <c r="UGT4" s="4"/>
      <c r="UGU4" s="4"/>
      <c r="UGV4" s="4"/>
      <c r="UGW4" s="4"/>
      <c r="UGX4" s="4"/>
      <c r="UGY4" s="4"/>
      <c r="UGZ4" s="4"/>
      <c r="UHA4" s="4"/>
      <c r="UHB4" s="4"/>
      <c r="UHC4" s="4"/>
      <c r="UHD4" s="4"/>
      <c r="UHE4" s="4"/>
      <c r="UHF4" s="4"/>
      <c r="UHG4" s="4"/>
      <c r="UHH4" s="4"/>
      <c r="UHI4" s="4"/>
      <c r="UHJ4" s="4"/>
      <c r="UHK4" s="4"/>
      <c r="UHL4" s="4"/>
      <c r="UHM4" s="4"/>
      <c r="UHN4" s="4"/>
      <c r="UHO4" s="4"/>
      <c r="UHP4" s="4"/>
      <c r="UHQ4" s="4"/>
      <c r="UHR4" s="4"/>
      <c r="UHS4" s="4"/>
      <c r="UHT4" s="4"/>
      <c r="UHU4" s="4"/>
      <c r="UHV4" s="4"/>
      <c r="UHW4" s="4"/>
      <c r="UHX4" s="4"/>
      <c r="UHY4" s="4"/>
      <c r="UHZ4" s="4"/>
      <c r="UIA4" s="4"/>
      <c r="UIB4" s="4"/>
      <c r="UIC4" s="4"/>
      <c r="UID4" s="4"/>
      <c r="UIE4" s="4"/>
      <c r="UIF4" s="4"/>
      <c r="UIG4" s="4"/>
      <c r="UIH4" s="4"/>
      <c r="UII4" s="4"/>
      <c r="UIJ4" s="4"/>
      <c r="UIK4" s="4"/>
      <c r="UIL4" s="4"/>
      <c r="UIM4" s="4"/>
      <c r="UIN4" s="4"/>
      <c r="UIO4" s="4"/>
      <c r="UIP4" s="4"/>
      <c r="UIQ4" s="4"/>
      <c r="UIR4" s="4"/>
      <c r="UIS4" s="4"/>
      <c r="UIT4" s="4"/>
      <c r="UIU4" s="4"/>
      <c r="UIV4" s="4"/>
      <c r="UIW4" s="4"/>
      <c r="UIX4" s="4"/>
      <c r="UIY4" s="4"/>
      <c r="UIZ4" s="4"/>
      <c r="UJA4" s="4"/>
      <c r="UJB4" s="4"/>
      <c r="UJC4" s="4"/>
      <c r="UJD4" s="4"/>
      <c r="UJE4" s="4"/>
      <c r="UJF4" s="4"/>
      <c r="UJG4" s="4"/>
      <c r="UJH4" s="4"/>
      <c r="UJI4" s="4"/>
      <c r="UJJ4" s="4"/>
      <c r="UJK4" s="4"/>
      <c r="UJL4" s="4"/>
      <c r="UJM4" s="4"/>
      <c r="UJN4" s="4"/>
      <c r="UJO4" s="4"/>
      <c r="UJP4" s="4"/>
      <c r="UJQ4" s="4"/>
      <c r="UJR4" s="4"/>
      <c r="UJS4" s="4"/>
      <c r="UJT4" s="4"/>
      <c r="UJU4" s="4"/>
      <c r="UJV4" s="4"/>
      <c r="UJW4" s="4"/>
      <c r="UJX4" s="4"/>
      <c r="UJY4" s="4"/>
      <c r="UJZ4" s="4"/>
      <c r="UKA4" s="4"/>
      <c r="UKB4" s="4"/>
      <c r="UKC4" s="4"/>
      <c r="UKD4" s="4"/>
      <c r="UKE4" s="4"/>
      <c r="UKF4" s="4"/>
      <c r="UKG4" s="4"/>
      <c r="UKH4" s="4"/>
      <c r="UKI4" s="4"/>
      <c r="UKJ4" s="4"/>
      <c r="UKK4" s="4"/>
      <c r="UKL4" s="4"/>
      <c r="UKM4" s="4"/>
      <c r="UKN4" s="4"/>
      <c r="UKO4" s="4"/>
      <c r="UKP4" s="4"/>
      <c r="UKQ4" s="4"/>
      <c r="UKR4" s="4"/>
      <c r="UKS4" s="4"/>
      <c r="UKT4" s="4"/>
      <c r="UKU4" s="4"/>
      <c r="UKV4" s="4"/>
      <c r="UKW4" s="4"/>
      <c r="UKX4" s="4"/>
      <c r="UKY4" s="4"/>
      <c r="UKZ4" s="4"/>
      <c r="ULA4" s="4"/>
      <c r="ULB4" s="4"/>
      <c r="ULC4" s="4"/>
      <c r="ULD4" s="4"/>
      <c r="ULE4" s="4"/>
      <c r="ULF4" s="4"/>
      <c r="ULG4" s="4"/>
      <c r="ULH4" s="4"/>
      <c r="ULI4" s="4"/>
      <c r="ULJ4" s="4"/>
      <c r="ULK4" s="4"/>
      <c r="ULL4" s="4"/>
      <c r="ULM4" s="4"/>
      <c r="ULN4" s="4"/>
      <c r="ULO4" s="4"/>
      <c r="ULP4" s="4"/>
      <c r="ULQ4" s="4"/>
      <c r="ULR4" s="4"/>
      <c r="ULS4" s="4"/>
      <c r="ULT4" s="4"/>
      <c r="ULU4" s="4"/>
      <c r="ULV4" s="4"/>
      <c r="ULW4" s="4"/>
      <c r="ULX4" s="4"/>
      <c r="ULY4" s="4"/>
      <c r="ULZ4" s="4"/>
      <c r="UMA4" s="4"/>
      <c r="UMB4" s="4"/>
      <c r="UMC4" s="4"/>
      <c r="UMD4" s="4"/>
      <c r="UME4" s="4"/>
      <c r="UMF4" s="4"/>
      <c r="UMG4" s="4"/>
      <c r="UMH4" s="4"/>
      <c r="UMI4" s="4"/>
      <c r="UMJ4" s="4"/>
      <c r="UMK4" s="4"/>
      <c r="UML4" s="4"/>
      <c r="UMM4" s="4"/>
      <c r="UMN4" s="4"/>
      <c r="UMO4" s="4"/>
      <c r="UMP4" s="4"/>
      <c r="UMQ4" s="4"/>
      <c r="UMR4" s="4"/>
      <c r="UMS4" s="4"/>
      <c r="UMT4" s="4"/>
      <c r="UMU4" s="4"/>
      <c r="UMV4" s="4"/>
      <c r="UMW4" s="4"/>
      <c r="UMX4" s="4"/>
      <c r="UMY4" s="4"/>
      <c r="UMZ4" s="4"/>
      <c r="UNA4" s="4"/>
      <c r="UNB4" s="4"/>
      <c r="UNC4" s="4"/>
      <c r="UND4" s="4"/>
      <c r="UNE4" s="4"/>
      <c r="UNF4" s="4"/>
      <c r="UNG4" s="4"/>
      <c r="UNH4" s="4"/>
      <c r="UNI4" s="4"/>
      <c r="UNJ4" s="4"/>
      <c r="UNK4" s="4"/>
      <c r="UNL4" s="4"/>
      <c r="UNM4" s="4"/>
      <c r="UNN4" s="4"/>
      <c r="UNO4" s="4"/>
      <c r="UNP4" s="4"/>
      <c r="UNQ4" s="4"/>
      <c r="UNR4" s="4"/>
      <c r="UNS4" s="4"/>
      <c r="UNT4" s="4"/>
      <c r="UNU4" s="4"/>
      <c r="UNV4" s="4"/>
      <c r="UNW4" s="4"/>
      <c r="UNX4" s="4"/>
      <c r="UNY4" s="4"/>
      <c r="UNZ4" s="4"/>
      <c r="UOA4" s="4"/>
      <c r="UOB4" s="4"/>
      <c r="UOC4" s="4"/>
      <c r="UOD4" s="4"/>
      <c r="UOE4" s="4"/>
      <c r="UOF4" s="4"/>
      <c r="UOG4" s="4"/>
      <c r="UOH4" s="4"/>
      <c r="UOI4" s="4"/>
      <c r="UOJ4" s="4"/>
      <c r="UOK4" s="4"/>
      <c r="UOL4" s="4"/>
      <c r="UOM4" s="4"/>
      <c r="UON4" s="4"/>
      <c r="UOO4" s="4"/>
      <c r="UOP4" s="4"/>
      <c r="UOQ4" s="4"/>
      <c r="UOR4" s="4"/>
      <c r="UOS4" s="4"/>
      <c r="UOT4" s="4"/>
      <c r="UOU4" s="4"/>
      <c r="UOV4" s="4"/>
      <c r="UOW4" s="4"/>
      <c r="UOX4" s="4"/>
      <c r="UOY4" s="4"/>
      <c r="UOZ4" s="4"/>
      <c r="UPA4" s="4"/>
      <c r="UPB4" s="4"/>
      <c r="UPC4" s="4"/>
      <c r="UPD4" s="4"/>
      <c r="UPE4" s="4"/>
      <c r="UPF4" s="4"/>
      <c r="UPG4" s="4"/>
      <c r="UPH4" s="4"/>
      <c r="UPI4" s="4"/>
      <c r="UPJ4" s="4"/>
      <c r="UPK4" s="4"/>
      <c r="UPL4" s="4"/>
      <c r="UPM4" s="4"/>
      <c r="UPN4" s="4"/>
      <c r="UPO4" s="4"/>
      <c r="UPP4" s="4"/>
      <c r="UPQ4" s="4"/>
      <c r="UPR4" s="4"/>
      <c r="UPS4" s="4"/>
      <c r="UPT4" s="4"/>
      <c r="UPU4" s="4"/>
      <c r="UPV4" s="4"/>
      <c r="UPW4" s="4"/>
      <c r="UPX4" s="4"/>
      <c r="UPY4" s="4"/>
      <c r="UPZ4" s="4"/>
      <c r="UQA4" s="4"/>
      <c r="UQB4" s="4"/>
      <c r="UQC4" s="4"/>
      <c r="UQD4" s="4"/>
      <c r="UQE4" s="4"/>
      <c r="UQF4" s="4"/>
      <c r="UQG4" s="4"/>
      <c r="UQH4" s="4"/>
      <c r="UQI4" s="4"/>
      <c r="UQJ4" s="4"/>
      <c r="UQK4" s="4"/>
      <c r="UQL4" s="4"/>
      <c r="UQM4" s="4"/>
      <c r="UQN4" s="4"/>
      <c r="UQO4" s="4"/>
      <c r="UQP4" s="4"/>
      <c r="UQQ4" s="4"/>
      <c r="UQR4" s="4"/>
      <c r="UQS4" s="4"/>
      <c r="UQT4" s="4"/>
      <c r="UQU4" s="4"/>
      <c r="UQV4" s="4"/>
      <c r="UQW4" s="4"/>
      <c r="UQX4" s="4"/>
      <c r="UQY4" s="4"/>
      <c r="UQZ4" s="4"/>
      <c r="URA4" s="4"/>
      <c r="URB4" s="4"/>
      <c r="URC4" s="4"/>
      <c r="URD4" s="4"/>
      <c r="URE4" s="4"/>
      <c r="URF4" s="4"/>
      <c r="URG4" s="4"/>
      <c r="URH4" s="4"/>
      <c r="URI4" s="4"/>
      <c r="URJ4" s="4"/>
      <c r="URK4" s="4"/>
      <c r="URL4" s="4"/>
      <c r="URM4" s="4"/>
      <c r="URN4" s="4"/>
      <c r="URO4" s="4"/>
      <c r="URP4" s="4"/>
      <c r="URQ4" s="4"/>
      <c r="URR4" s="4"/>
      <c r="URS4" s="4"/>
      <c r="URT4" s="4"/>
      <c r="URU4" s="4"/>
      <c r="URV4" s="4"/>
      <c r="URW4" s="4"/>
      <c r="URX4" s="4"/>
      <c r="URY4" s="4"/>
      <c r="URZ4" s="4"/>
      <c r="USA4" s="4"/>
      <c r="USB4" s="4"/>
      <c r="USC4" s="4"/>
      <c r="USD4" s="4"/>
      <c r="USE4" s="4"/>
      <c r="USF4" s="4"/>
      <c r="USG4" s="4"/>
      <c r="USH4" s="4"/>
      <c r="USI4" s="4"/>
      <c r="USJ4" s="4"/>
      <c r="USK4" s="4"/>
      <c r="USL4" s="4"/>
      <c r="USM4" s="4"/>
      <c r="USN4" s="4"/>
      <c r="USO4" s="4"/>
      <c r="USP4" s="4"/>
      <c r="USQ4" s="4"/>
      <c r="USR4" s="4"/>
      <c r="USS4" s="4"/>
      <c r="UST4" s="4"/>
      <c r="USU4" s="4"/>
      <c r="USV4" s="4"/>
      <c r="USW4" s="4"/>
      <c r="USX4" s="4"/>
      <c r="USY4" s="4"/>
      <c r="USZ4" s="4"/>
      <c r="UTA4" s="4"/>
      <c r="UTB4" s="4"/>
      <c r="UTC4" s="4"/>
      <c r="UTD4" s="4"/>
      <c r="UTE4" s="4"/>
      <c r="UTF4" s="4"/>
      <c r="UTG4" s="4"/>
      <c r="UTH4" s="4"/>
      <c r="UTI4" s="4"/>
      <c r="UTJ4" s="4"/>
      <c r="UTK4" s="4"/>
      <c r="UTL4" s="4"/>
      <c r="UTM4" s="4"/>
      <c r="UTN4" s="4"/>
      <c r="UTO4" s="4"/>
      <c r="UTP4" s="4"/>
      <c r="UTQ4" s="4"/>
      <c r="UTR4" s="4"/>
      <c r="UTS4" s="4"/>
      <c r="UTT4" s="4"/>
      <c r="UTU4" s="4"/>
      <c r="UTV4" s="4"/>
      <c r="UTW4" s="4"/>
      <c r="UTX4" s="4"/>
      <c r="UTY4" s="4"/>
      <c r="UTZ4" s="4"/>
      <c r="UUA4" s="4"/>
      <c r="UUB4" s="4"/>
      <c r="UUC4" s="4"/>
      <c r="UUD4" s="4"/>
      <c r="UUE4" s="4"/>
      <c r="UUF4" s="4"/>
      <c r="UUG4" s="4"/>
      <c r="UUH4" s="4"/>
      <c r="UUI4" s="4"/>
      <c r="UUJ4" s="4"/>
      <c r="UUK4" s="4"/>
      <c r="UUL4" s="4"/>
      <c r="UUM4" s="4"/>
      <c r="UUN4" s="4"/>
      <c r="UUO4" s="4"/>
      <c r="UUP4" s="4"/>
      <c r="UUQ4" s="4"/>
      <c r="UUR4" s="4"/>
      <c r="UUS4" s="4"/>
      <c r="UUT4" s="4"/>
      <c r="UUU4" s="4"/>
      <c r="UUV4" s="4"/>
      <c r="UUW4" s="4"/>
      <c r="UUX4" s="4"/>
      <c r="UUY4" s="4"/>
      <c r="UUZ4" s="4"/>
      <c r="UVA4" s="4"/>
      <c r="UVB4" s="4"/>
      <c r="UVC4" s="4"/>
      <c r="UVD4" s="4"/>
      <c r="UVE4" s="4"/>
      <c r="UVF4" s="4"/>
      <c r="UVG4" s="4"/>
      <c r="UVH4" s="4"/>
      <c r="UVI4" s="4"/>
      <c r="UVJ4" s="4"/>
      <c r="UVK4" s="4"/>
      <c r="UVL4" s="4"/>
      <c r="UVM4" s="4"/>
      <c r="UVN4" s="4"/>
      <c r="UVO4" s="4"/>
      <c r="UVP4" s="4"/>
      <c r="UVQ4" s="4"/>
      <c r="UVR4" s="4"/>
      <c r="UVS4" s="4"/>
      <c r="UVT4" s="4"/>
      <c r="UVU4" s="4"/>
      <c r="UVV4" s="4"/>
      <c r="UVW4" s="4"/>
      <c r="UVX4" s="4"/>
      <c r="UVY4" s="4"/>
      <c r="UVZ4" s="4"/>
      <c r="UWA4" s="4"/>
      <c r="UWB4" s="4"/>
      <c r="UWC4" s="4"/>
      <c r="UWD4" s="4"/>
      <c r="UWE4" s="4"/>
      <c r="UWF4" s="4"/>
      <c r="UWG4" s="4"/>
      <c r="UWH4" s="4"/>
      <c r="UWI4" s="4"/>
      <c r="UWJ4" s="4"/>
      <c r="UWK4" s="4"/>
      <c r="UWL4" s="4"/>
      <c r="UWM4" s="4"/>
      <c r="UWN4" s="4"/>
      <c r="UWO4" s="4"/>
      <c r="UWP4" s="4"/>
      <c r="UWQ4" s="4"/>
      <c r="UWR4" s="4"/>
      <c r="UWS4" s="4"/>
      <c r="UWT4" s="4"/>
      <c r="UWU4" s="4"/>
      <c r="UWV4" s="4"/>
      <c r="UWW4" s="4"/>
      <c r="UWX4" s="4"/>
      <c r="UWY4" s="4"/>
      <c r="UWZ4" s="4"/>
      <c r="UXA4" s="4"/>
      <c r="UXB4" s="4"/>
      <c r="UXC4" s="4"/>
      <c r="UXD4" s="4"/>
      <c r="UXE4" s="4"/>
      <c r="UXF4" s="4"/>
      <c r="UXG4" s="4"/>
      <c r="UXH4" s="4"/>
      <c r="UXI4" s="4"/>
      <c r="UXJ4" s="4"/>
      <c r="UXK4" s="4"/>
      <c r="UXL4" s="4"/>
      <c r="UXM4" s="4"/>
      <c r="UXN4" s="4"/>
      <c r="UXO4" s="4"/>
      <c r="UXP4" s="4"/>
      <c r="UXQ4" s="4"/>
      <c r="UXR4" s="4"/>
      <c r="UXS4" s="4"/>
      <c r="UXT4" s="4"/>
      <c r="UXU4" s="4"/>
      <c r="UXV4" s="4"/>
      <c r="UXW4" s="4"/>
      <c r="UXX4" s="4"/>
      <c r="UXY4" s="4"/>
      <c r="UXZ4" s="4"/>
      <c r="UYA4" s="4"/>
      <c r="UYB4" s="4"/>
      <c r="UYC4" s="4"/>
      <c r="UYD4" s="4"/>
      <c r="UYE4" s="4"/>
      <c r="UYF4" s="4"/>
      <c r="UYG4" s="4"/>
      <c r="UYH4" s="4"/>
      <c r="UYI4" s="4"/>
      <c r="UYJ4" s="4"/>
      <c r="UYK4" s="4"/>
      <c r="UYL4" s="4"/>
      <c r="UYM4" s="4"/>
      <c r="UYN4" s="4"/>
      <c r="UYO4" s="4"/>
      <c r="UYP4" s="4"/>
      <c r="UYQ4" s="4"/>
      <c r="UYR4" s="4"/>
      <c r="UYS4" s="4"/>
      <c r="UYT4" s="4"/>
      <c r="UYU4" s="4"/>
      <c r="UYV4" s="4"/>
      <c r="UYW4" s="4"/>
      <c r="UYX4" s="4"/>
      <c r="UYY4" s="4"/>
      <c r="UYZ4" s="4"/>
      <c r="UZA4" s="4"/>
      <c r="UZB4" s="4"/>
      <c r="UZC4" s="4"/>
      <c r="UZD4" s="4"/>
      <c r="UZE4" s="4"/>
      <c r="UZF4" s="4"/>
      <c r="UZG4" s="4"/>
      <c r="UZH4" s="4"/>
      <c r="UZI4" s="4"/>
      <c r="UZJ4" s="4"/>
      <c r="UZK4" s="4"/>
      <c r="UZL4" s="4"/>
      <c r="UZM4" s="4"/>
      <c r="UZN4" s="4"/>
      <c r="UZO4" s="4"/>
      <c r="UZP4" s="4"/>
      <c r="UZQ4" s="4"/>
      <c r="UZR4" s="4"/>
      <c r="UZS4" s="4"/>
      <c r="UZT4" s="4"/>
      <c r="UZU4" s="4"/>
      <c r="UZV4" s="4"/>
      <c r="UZW4" s="4"/>
      <c r="UZX4" s="4"/>
      <c r="UZY4" s="4"/>
      <c r="UZZ4" s="4"/>
      <c r="VAA4" s="4"/>
      <c r="VAB4" s="4"/>
      <c r="VAC4" s="4"/>
      <c r="VAD4" s="4"/>
      <c r="VAE4" s="4"/>
      <c r="VAF4" s="4"/>
      <c r="VAG4" s="4"/>
      <c r="VAH4" s="4"/>
      <c r="VAI4" s="4"/>
      <c r="VAJ4" s="4"/>
      <c r="VAK4" s="4"/>
      <c r="VAL4" s="4"/>
      <c r="VAM4" s="4"/>
      <c r="VAN4" s="4"/>
      <c r="VAO4" s="4"/>
      <c r="VAP4" s="4"/>
      <c r="VAQ4" s="4"/>
      <c r="VAR4" s="4"/>
      <c r="VAS4" s="4"/>
      <c r="VAT4" s="4"/>
      <c r="VAU4" s="4"/>
      <c r="VAV4" s="4"/>
      <c r="VAW4" s="4"/>
      <c r="VAX4" s="4"/>
      <c r="VAY4" s="4"/>
      <c r="VAZ4" s="4"/>
      <c r="VBA4" s="4"/>
      <c r="VBB4" s="4"/>
      <c r="VBC4" s="4"/>
      <c r="VBD4" s="4"/>
      <c r="VBE4" s="4"/>
      <c r="VBF4" s="4"/>
      <c r="VBG4" s="4"/>
      <c r="VBH4" s="4"/>
      <c r="VBI4" s="4"/>
      <c r="VBJ4" s="4"/>
      <c r="VBK4" s="4"/>
      <c r="VBL4" s="4"/>
      <c r="VBM4" s="4"/>
      <c r="VBN4" s="4"/>
      <c r="VBO4" s="4"/>
      <c r="VBP4" s="4"/>
      <c r="VBQ4" s="4"/>
      <c r="VBR4" s="4"/>
      <c r="VBS4" s="4"/>
      <c r="VBT4" s="4"/>
      <c r="VBU4" s="4"/>
      <c r="VBV4" s="4"/>
      <c r="VBW4" s="4"/>
      <c r="VBX4" s="4"/>
      <c r="VBY4" s="4"/>
      <c r="VBZ4" s="4"/>
      <c r="VCA4" s="4"/>
      <c r="VCB4" s="4"/>
      <c r="VCC4" s="4"/>
      <c r="VCD4" s="4"/>
      <c r="VCE4" s="4"/>
      <c r="VCF4" s="4"/>
      <c r="VCG4" s="4"/>
      <c r="VCH4" s="4"/>
      <c r="VCI4" s="4"/>
      <c r="VCJ4" s="4"/>
      <c r="VCK4" s="4"/>
      <c r="VCL4" s="4"/>
      <c r="VCM4" s="4"/>
      <c r="VCN4" s="4"/>
      <c r="VCO4" s="4"/>
      <c r="VCP4" s="4"/>
      <c r="VCQ4" s="4"/>
      <c r="VCR4" s="4"/>
      <c r="VCS4" s="4"/>
      <c r="VCT4" s="4"/>
      <c r="VCU4" s="4"/>
      <c r="VCV4" s="4"/>
      <c r="VCW4" s="4"/>
      <c r="VCX4" s="4"/>
      <c r="VCY4" s="4"/>
      <c r="VCZ4" s="4"/>
      <c r="VDA4" s="4"/>
      <c r="VDB4" s="4"/>
      <c r="VDC4" s="4"/>
      <c r="VDD4" s="4"/>
      <c r="VDE4" s="4"/>
      <c r="VDF4" s="4"/>
      <c r="VDG4" s="4"/>
      <c r="VDH4" s="4"/>
      <c r="VDI4" s="4"/>
      <c r="VDJ4" s="4"/>
      <c r="VDK4" s="4"/>
      <c r="VDL4" s="4"/>
      <c r="VDM4" s="4"/>
      <c r="VDN4" s="4"/>
      <c r="VDO4" s="4"/>
      <c r="VDP4" s="4"/>
      <c r="VDQ4" s="4"/>
      <c r="VDR4" s="4"/>
      <c r="VDS4" s="4"/>
      <c r="VDT4" s="4"/>
      <c r="VDU4" s="4"/>
      <c r="VDV4" s="4"/>
      <c r="VDW4" s="4"/>
      <c r="VDX4" s="4"/>
      <c r="VDY4" s="4"/>
      <c r="VDZ4" s="4"/>
      <c r="VEA4" s="4"/>
      <c r="VEB4" s="4"/>
      <c r="VEC4" s="4"/>
      <c r="VED4" s="4"/>
      <c r="VEE4" s="4"/>
      <c r="VEF4" s="4"/>
      <c r="VEG4" s="4"/>
      <c r="VEH4" s="4"/>
      <c r="VEI4" s="4"/>
      <c r="VEJ4" s="4"/>
      <c r="VEK4" s="4"/>
      <c r="VEL4" s="4"/>
      <c r="VEM4" s="4"/>
      <c r="VEN4" s="4"/>
      <c r="VEO4" s="4"/>
      <c r="VEP4" s="4"/>
      <c r="VEQ4" s="4"/>
      <c r="VER4" s="4"/>
      <c r="VES4" s="4"/>
      <c r="VET4" s="4"/>
      <c r="VEU4" s="4"/>
      <c r="VEV4" s="4"/>
      <c r="VEW4" s="4"/>
      <c r="VEX4" s="4"/>
      <c r="VEY4" s="4"/>
      <c r="VEZ4" s="4"/>
      <c r="VFA4" s="4"/>
      <c r="VFB4" s="4"/>
      <c r="VFC4" s="4"/>
      <c r="VFD4" s="4"/>
      <c r="VFE4" s="4"/>
      <c r="VFF4" s="4"/>
      <c r="VFG4" s="4"/>
      <c r="VFH4" s="4"/>
      <c r="VFI4" s="4"/>
      <c r="VFJ4" s="4"/>
      <c r="VFK4" s="4"/>
      <c r="VFL4" s="4"/>
      <c r="VFM4" s="4"/>
      <c r="VFN4" s="4"/>
      <c r="VFO4" s="4"/>
      <c r="VFP4" s="4"/>
      <c r="VFQ4" s="4"/>
      <c r="VFR4" s="4"/>
      <c r="VFS4" s="4"/>
      <c r="VFT4" s="4"/>
      <c r="VFU4" s="4"/>
      <c r="VFV4" s="4"/>
      <c r="VFW4" s="4"/>
      <c r="VFX4" s="4"/>
      <c r="VFY4" s="4"/>
      <c r="VFZ4" s="4"/>
      <c r="VGA4" s="4"/>
      <c r="VGB4" s="4"/>
      <c r="VGC4" s="4"/>
      <c r="VGD4" s="4"/>
      <c r="VGE4" s="4"/>
      <c r="VGF4" s="4"/>
      <c r="VGG4" s="4"/>
      <c r="VGH4" s="4"/>
      <c r="VGI4" s="4"/>
      <c r="VGJ4" s="4"/>
      <c r="VGK4" s="4"/>
      <c r="VGL4" s="4"/>
      <c r="VGM4" s="4"/>
      <c r="VGN4" s="4"/>
      <c r="VGO4" s="4"/>
      <c r="VGP4" s="4"/>
      <c r="VGQ4" s="4"/>
      <c r="VGR4" s="4"/>
      <c r="VGS4" s="4"/>
      <c r="VGT4" s="4"/>
      <c r="VGU4" s="4"/>
      <c r="VGV4" s="4"/>
      <c r="VGW4" s="4"/>
      <c r="VGX4" s="4"/>
      <c r="VGY4" s="4"/>
      <c r="VGZ4" s="4"/>
      <c r="VHA4" s="4"/>
      <c r="VHB4" s="4"/>
      <c r="VHC4" s="4"/>
      <c r="VHD4" s="4"/>
      <c r="VHE4" s="4"/>
      <c r="VHF4" s="4"/>
      <c r="VHG4" s="4"/>
      <c r="VHH4" s="4"/>
      <c r="VHI4" s="4"/>
      <c r="VHJ4" s="4"/>
      <c r="VHK4" s="4"/>
      <c r="VHL4" s="4"/>
      <c r="VHM4" s="4"/>
      <c r="VHN4" s="4"/>
      <c r="VHO4" s="4"/>
      <c r="VHP4" s="4"/>
      <c r="VHQ4" s="4"/>
      <c r="VHR4" s="4"/>
      <c r="VHS4" s="4"/>
      <c r="VHT4" s="4"/>
      <c r="VHU4" s="4"/>
      <c r="VHV4" s="4"/>
      <c r="VHW4" s="4"/>
      <c r="VHX4" s="4"/>
      <c r="VHY4" s="4"/>
      <c r="VHZ4" s="4"/>
      <c r="VIA4" s="4"/>
      <c r="VIB4" s="4"/>
      <c r="VIC4" s="4"/>
      <c r="VID4" s="4"/>
      <c r="VIE4" s="4"/>
      <c r="VIF4" s="4"/>
      <c r="VIG4" s="4"/>
      <c r="VIH4" s="4"/>
      <c r="VII4" s="4"/>
      <c r="VIJ4" s="4"/>
      <c r="VIK4" s="4"/>
      <c r="VIL4" s="4"/>
      <c r="VIM4" s="4"/>
      <c r="VIN4" s="4"/>
      <c r="VIO4" s="4"/>
      <c r="VIP4" s="4"/>
      <c r="VIQ4" s="4"/>
      <c r="VIR4" s="4"/>
      <c r="VIS4" s="4"/>
      <c r="VIT4" s="4"/>
      <c r="VIU4" s="4"/>
      <c r="VIV4" s="4"/>
      <c r="VIW4" s="4"/>
      <c r="VIX4" s="4"/>
      <c r="VIY4" s="4"/>
      <c r="VIZ4" s="4"/>
      <c r="VJA4" s="4"/>
      <c r="VJB4" s="4"/>
      <c r="VJC4" s="4"/>
      <c r="VJD4" s="4"/>
      <c r="VJE4" s="4"/>
      <c r="VJF4" s="4"/>
      <c r="VJG4" s="4"/>
      <c r="VJH4" s="4"/>
      <c r="VJI4" s="4"/>
      <c r="VJJ4" s="4"/>
      <c r="VJK4" s="4"/>
      <c r="VJL4" s="4"/>
      <c r="VJM4" s="4"/>
      <c r="VJN4" s="4"/>
      <c r="VJO4" s="4"/>
      <c r="VJP4" s="4"/>
      <c r="VJQ4" s="4"/>
      <c r="VJR4" s="4"/>
      <c r="VJS4" s="4"/>
      <c r="VJT4" s="4"/>
      <c r="VJU4" s="4"/>
      <c r="VJV4" s="4"/>
      <c r="VJW4" s="4"/>
      <c r="VJX4" s="4"/>
      <c r="VJY4" s="4"/>
      <c r="VJZ4" s="4"/>
      <c r="VKA4" s="4"/>
      <c r="VKB4" s="4"/>
      <c r="VKC4" s="4"/>
      <c r="VKD4" s="4"/>
      <c r="VKE4" s="4"/>
      <c r="VKF4" s="4"/>
      <c r="VKG4" s="4"/>
      <c r="VKH4" s="4"/>
      <c r="VKI4" s="4"/>
      <c r="VKJ4" s="4"/>
      <c r="VKK4" s="4"/>
      <c r="VKL4" s="4"/>
      <c r="VKM4" s="4"/>
      <c r="VKN4" s="4"/>
      <c r="VKO4" s="4"/>
      <c r="VKP4" s="4"/>
      <c r="VKQ4" s="4"/>
      <c r="VKR4" s="4"/>
      <c r="VKS4" s="4"/>
      <c r="VKT4" s="4"/>
      <c r="VKU4" s="4"/>
      <c r="VKV4" s="4"/>
      <c r="VKW4" s="4"/>
      <c r="VKX4" s="4"/>
      <c r="VKY4" s="4"/>
      <c r="VKZ4" s="4"/>
      <c r="VLA4" s="4"/>
      <c r="VLB4" s="4"/>
      <c r="VLC4" s="4"/>
      <c r="VLD4" s="4"/>
      <c r="VLE4" s="4"/>
      <c r="VLF4" s="4"/>
      <c r="VLG4" s="4"/>
      <c r="VLH4" s="4"/>
      <c r="VLI4" s="4"/>
      <c r="VLJ4" s="4"/>
      <c r="VLK4" s="4"/>
      <c r="VLL4" s="4"/>
      <c r="VLM4" s="4"/>
      <c r="VLN4" s="4"/>
      <c r="VLO4" s="4"/>
      <c r="VLP4" s="4"/>
      <c r="VLQ4" s="4"/>
      <c r="VLR4" s="4"/>
      <c r="VLS4" s="4"/>
      <c r="VLT4" s="4"/>
      <c r="VLU4" s="4"/>
      <c r="VLV4" s="4"/>
      <c r="VLW4" s="4"/>
      <c r="VLX4" s="4"/>
      <c r="VLY4" s="4"/>
      <c r="VLZ4" s="4"/>
      <c r="VMA4" s="4"/>
      <c r="VMB4" s="4"/>
      <c r="VMC4" s="4"/>
      <c r="VMD4" s="4"/>
      <c r="VME4" s="4"/>
      <c r="VMF4" s="4"/>
      <c r="VMG4" s="4"/>
      <c r="VMH4" s="4"/>
      <c r="VMI4" s="4"/>
      <c r="VMJ4" s="4"/>
      <c r="VMK4" s="4"/>
      <c r="VML4" s="4"/>
      <c r="VMM4" s="4"/>
      <c r="VMN4" s="4"/>
      <c r="VMO4" s="4"/>
      <c r="VMP4" s="4"/>
      <c r="VMQ4" s="4"/>
      <c r="VMR4" s="4"/>
      <c r="VMS4" s="4"/>
      <c r="VMT4" s="4"/>
      <c r="VMU4" s="4"/>
      <c r="VMV4" s="4"/>
      <c r="VMW4" s="4"/>
      <c r="VMX4" s="4"/>
      <c r="VMY4" s="4"/>
      <c r="VMZ4" s="4"/>
      <c r="VNA4" s="4"/>
      <c r="VNB4" s="4"/>
      <c r="VNC4" s="4"/>
      <c r="VND4" s="4"/>
      <c r="VNE4" s="4"/>
      <c r="VNF4" s="4"/>
      <c r="VNG4" s="4"/>
      <c r="VNH4" s="4"/>
      <c r="VNI4" s="4"/>
      <c r="VNJ4" s="4"/>
      <c r="VNK4" s="4"/>
      <c r="VNL4" s="4"/>
      <c r="VNM4" s="4"/>
      <c r="VNN4" s="4"/>
      <c r="VNO4" s="4"/>
      <c r="VNP4" s="4"/>
      <c r="VNQ4" s="4"/>
      <c r="VNR4" s="4"/>
      <c r="VNS4" s="4"/>
      <c r="VNT4" s="4"/>
      <c r="VNU4" s="4"/>
      <c r="VNV4" s="4"/>
      <c r="VNW4" s="4"/>
      <c r="VNX4" s="4"/>
      <c r="VNY4" s="4"/>
      <c r="VNZ4" s="4"/>
      <c r="VOA4" s="4"/>
      <c r="VOB4" s="4"/>
      <c r="VOC4" s="4"/>
      <c r="VOD4" s="4"/>
      <c r="VOE4" s="4"/>
      <c r="VOF4" s="4"/>
      <c r="VOG4" s="4"/>
      <c r="VOH4" s="4"/>
      <c r="VOI4" s="4"/>
      <c r="VOJ4" s="4"/>
      <c r="VOK4" s="4"/>
      <c r="VOL4" s="4"/>
      <c r="VOM4" s="4"/>
      <c r="VON4" s="4"/>
      <c r="VOO4" s="4"/>
      <c r="VOP4" s="4"/>
      <c r="VOQ4" s="4"/>
      <c r="VOR4" s="4"/>
      <c r="VOS4" s="4"/>
      <c r="VOT4" s="4"/>
      <c r="VOU4" s="4"/>
      <c r="VOV4" s="4"/>
      <c r="VOW4" s="4"/>
      <c r="VOX4" s="4"/>
      <c r="VOY4" s="4"/>
      <c r="VOZ4" s="4"/>
      <c r="VPA4" s="4"/>
      <c r="VPB4" s="4"/>
      <c r="VPC4" s="4"/>
      <c r="VPD4" s="4"/>
      <c r="VPE4" s="4"/>
      <c r="VPF4" s="4"/>
      <c r="VPG4" s="4"/>
      <c r="VPH4" s="4"/>
      <c r="VPI4" s="4"/>
      <c r="VPJ4" s="4"/>
      <c r="VPK4" s="4"/>
      <c r="VPL4" s="4"/>
      <c r="VPM4" s="4"/>
      <c r="VPN4" s="4"/>
      <c r="VPO4" s="4"/>
      <c r="VPP4" s="4"/>
      <c r="VPQ4" s="4"/>
      <c r="VPR4" s="4"/>
      <c r="VPS4" s="4"/>
      <c r="VPT4" s="4"/>
      <c r="VPU4" s="4"/>
      <c r="VPV4" s="4"/>
      <c r="VPW4" s="4"/>
      <c r="VPX4" s="4"/>
      <c r="VPY4" s="4"/>
      <c r="VPZ4" s="4"/>
      <c r="VQA4" s="4"/>
      <c r="VQB4" s="4"/>
      <c r="VQC4" s="4"/>
      <c r="VQD4" s="4"/>
      <c r="VQE4" s="4"/>
      <c r="VQF4" s="4"/>
      <c r="VQG4" s="4"/>
      <c r="VQH4" s="4"/>
      <c r="VQI4" s="4"/>
      <c r="VQJ4" s="4"/>
      <c r="VQK4" s="4"/>
      <c r="VQL4" s="4"/>
      <c r="VQM4" s="4"/>
      <c r="VQN4" s="4"/>
      <c r="VQO4" s="4"/>
      <c r="VQP4" s="4"/>
      <c r="VQQ4" s="4"/>
      <c r="VQR4" s="4"/>
      <c r="VQS4" s="4"/>
      <c r="VQT4" s="4"/>
      <c r="VQU4" s="4"/>
      <c r="VQV4" s="4"/>
      <c r="VQW4" s="4"/>
      <c r="VQX4" s="4"/>
      <c r="VQY4" s="4"/>
      <c r="VQZ4" s="4"/>
      <c r="VRA4" s="4"/>
      <c r="VRB4" s="4"/>
      <c r="VRC4" s="4"/>
      <c r="VRD4" s="4"/>
      <c r="VRE4" s="4"/>
      <c r="VRF4" s="4"/>
      <c r="VRG4" s="4"/>
      <c r="VRH4" s="4"/>
      <c r="VRI4" s="4"/>
      <c r="VRJ4" s="4"/>
      <c r="VRK4" s="4"/>
      <c r="VRL4" s="4"/>
      <c r="VRM4" s="4"/>
      <c r="VRN4" s="4"/>
      <c r="VRO4" s="4"/>
      <c r="VRP4" s="4"/>
      <c r="VRQ4" s="4"/>
      <c r="VRR4" s="4"/>
      <c r="VRS4" s="4"/>
      <c r="VRT4" s="4"/>
      <c r="VRU4" s="4"/>
      <c r="VRV4" s="4"/>
      <c r="VRW4" s="4"/>
      <c r="VRX4" s="4"/>
      <c r="VRY4" s="4"/>
      <c r="VRZ4" s="4"/>
      <c r="VSA4" s="4"/>
      <c r="VSB4" s="4"/>
      <c r="VSC4" s="4"/>
      <c r="VSD4" s="4"/>
      <c r="VSE4" s="4"/>
      <c r="VSF4" s="4"/>
      <c r="VSG4" s="4"/>
      <c r="VSH4" s="4"/>
      <c r="VSI4" s="4"/>
      <c r="VSJ4" s="4"/>
      <c r="VSK4" s="4"/>
      <c r="VSL4" s="4"/>
      <c r="VSM4" s="4"/>
      <c r="VSN4" s="4"/>
      <c r="VSO4" s="4"/>
      <c r="VSP4" s="4"/>
      <c r="VSQ4" s="4"/>
      <c r="VSR4" s="4"/>
      <c r="VSS4" s="4"/>
      <c r="VST4" s="4"/>
      <c r="VSU4" s="4"/>
      <c r="VSV4" s="4"/>
      <c r="VSW4" s="4"/>
      <c r="VSX4" s="4"/>
      <c r="VSY4" s="4"/>
      <c r="VSZ4" s="4"/>
      <c r="VTA4" s="4"/>
      <c r="VTB4" s="4"/>
      <c r="VTC4" s="4"/>
      <c r="VTD4" s="4"/>
      <c r="VTE4" s="4"/>
      <c r="VTF4" s="4"/>
      <c r="VTG4" s="4"/>
      <c r="VTH4" s="4"/>
      <c r="VTI4" s="4"/>
      <c r="VTJ4" s="4"/>
      <c r="VTK4" s="4"/>
      <c r="VTL4" s="4"/>
      <c r="VTM4" s="4"/>
      <c r="VTN4" s="4"/>
      <c r="VTO4" s="4"/>
      <c r="VTP4" s="4"/>
      <c r="VTQ4" s="4"/>
      <c r="VTR4" s="4"/>
      <c r="VTS4" s="4"/>
      <c r="VTT4" s="4"/>
      <c r="VTU4" s="4"/>
      <c r="VTV4" s="4"/>
      <c r="VTW4" s="4"/>
      <c r="VTX4" s="4"/>
      <c r="VTY4" s="4"/>
      <c r="VTZ4" s="4"/>
      <c r="VUA4" s="4"/>
      <c r="VUB4" s="4"/>
      <c r="VUC4" s="4"/>
      <c r="VUD4" s="4"/>
      <c r="VUE4" s="4"/>
      <c r="VUF4" s="4"/>
      <c r="VUG4" s="4"/>
      <c r="VUH4" s="4"/>
      <c r="VUI4" s="4"/>
      <c r="VUJ4" s="4"/>
      <c r="VUK4" s="4"/>
      <c r="VUL4" s="4"/>
      <c r="VUM4" s="4"/>
      <c r="VUN4" s="4"/>
      <c r="VUO4" s="4"/>
      <c r="VUP4" s="4"/>
      <c r="VUQ4" s="4"/>
      <c r="VUR4" s="4"/>
      <c r="VUS4" s="4"/>
      <c r="VUT4" s="4"/>
      <c r="VUU4" s="4"/>
      <c r="VUV4" s="4"/>
      <c r="VUW4" s="4"/>
      <c r="VUX4" s="4"/>
      <c r="VUY4" s="4"/>
      <c r="VUZ4" s="4"/>
      <c r="VVA4" s="4"/>
      <c r="VVB4" s="4"/>
      <c r="VVC4" s="4"/>
      <c r="VVD4" s="4"/>
      <c r="VVE4" s="4"/>
      <c r="VVF4" s="4"/>
      <c r="VVG4" s="4"/>
      <c r="VVH4" s="4"/>
      <c r="VVI4" s="4"/>
      <c r="VVJ4" s="4"/>
      <c r="VVK4" s="4"/>
      <c r="VVL4" s="4"/>
      <c r="VVM4" s="4"/>
      <c r="VVN4" s="4"/>
      <c r="VVO4" s="4"/>
      <c r="VVP4" s="4"/>
      <c r="VVQ4" s="4"/>
      <c r="VVR4" s="4"/>
      <c r="VVS4" s="4"/>
      <c r="VVT4" s="4"/>
      <c r="VVU4" s="4"/>
      <c r="VVV4" s="4"/>
      <c r="VVW4" s="4"/>
      <c r="VVX4" s="4"/>
      <c r="VVY4" s="4"/>
      <c r="VVZ4" s="4"/>
      <c r="VWA4" s="4"/>
      <c r="VWB4" s="4"/>
      <c r="VWC4" s="4"/>
      <c r="VWD4" s="4"/>
      <c r="VWE4" s="4"/>
      <c r="VWF4" s="4"/>
      <c r="VWG4" s="4"/>
      <c r="VWH4" s="4"/>
      <c r="VWI4" s="4"/>
      <c r="VWJ4" s="4"/>
      <c r="VWK4" s="4"/>
      <c r="VWL4" s="4"/>
      <c r="VWM4" s="4"/>
      <c r="VWN4" s="4"/>
      <c r="VWO4" s="4"/>
      <c r="VWP4" s="4"/>
      <c r="VWQ4" s="4"/>
      <c r="VWR4" s="4"/>
      <c r="VWS4" s="4"/>
      <c r="VWT4" s="4"/>
      <c r="VWU4" s="4"/>
      <c r="VWV4" s="4"/>
      <c r="VWW4" s="4"/>
      <c r="VWX4" s="4"/>
      <c r="VWY4" s="4"/>
      <c r="VWZ4" s="4"/>
      <c r="VXA4" s="4"/>
      <c r="VXB4" s="4"/>
      <c r="VXC4" s="4"/>
      <c r="VXD4" s="4"/>
      <c r="VXE4" s="4"/>
      <c r="VXF4" s="4"/>
      <c r="VXG4" s="4"/>
      <c r="VXH4" s="4"/>
      <c r="VXI4" s="4"/>
      <c r="VXJ4" s="4"/>
      <c r="VXK4" s="4"/>
      <c r="VXL4" s="4"/>
      <c r="VXM4" s="4"/>
      <c r="VXN4" s="4"/>
      <c r="VXO4" s="4"/>
      <c r="VXP4" s="4"/>
      <c r="VXQ4" s="4"/>
      <c r="VXR4" s="4"/>
      <c r="VXS4" s="4"/>
      <c r="VXT4" s="4"/>
      <c r="VXU4" s="4"/>
      <c r="VXV4" s="4"/>
      <c r="VXW4" s="4"/>
      <c r="VXX4" s="4"/>
      <c r="VXY4" s="4"/>
      <c r="VXZ4" s="4"/>
      <c r="VYA4" s="4"/>
      <c r="VYB4" s="4"/>
      <c r="VYC4" s="4"/>
      <c r="VYD4" s="4"/>
      <c r="VYE4" s="4"/>
      <c r="VYF4" s="4"/>
      <c r="VYG4" s="4"/>
      <c r="VYH4" s="4"/>
      <c r="VYI4" s="4"/>
      <c r="VYJ4" s="4"/>
      <c r="VYK4" s="4"/>
      <c r="VYL4" s="4"/>
      <c r="VYM4" s="4"/>
      <c r="VYN4" s="4"/>
      <c r="VYO4" s="4"/>
      <c r="VYP4" s="4"/>
      <c r="VYQ4" s="4"/>
      <c r="VYR4" s="4"/>
      <c r="VYS4" s="4"/>
      <c r="VYT4" s="4"/>
      <c r="VYU4" s="4"/>
      <c r="VYV4" s="4"/>
      <c r="VYW4" s="4"/>
      <c r="VYX4" s="4"/>
      <c r="VYY4" s="4"/>
      <c r="VYZ4" s="4"/>
      <c r="VZA4" s="4"/>
      <c r="VZB4" s="4"/>
      <c r="VZC4" s="4"/>
      <c r="VZD4" s="4"/>
      <c r="VZE4" s="4"/>
      <c r="VZF4" s="4"/>
      <c r="VZG4" s="4"/>
      <c r="VZH4" s="4"/>
      <c r="VZI4" s="4"/>
      <c r="VZJ4" s="4"/>
      <c r="VZK4" s="4"/>
      <c r="VZL4" s="4"/>
      <c r="VZM4" s="4"/>
      <c r="VZN4" s="4"/>
      <c r="VZO4" s="4"/>
      <c r="VZP4" s="4"/>
      <c r="VZQ4" s="4"/>
      <c r="VZR4" s="4"/>
      <c r="VZS4" s="4"/>
      <c r="VZT4" s="4"/>
      <c r="VZU4" s="4"/>
      <c r="VZV4" s="4"/>
      <c r="VZW4" s="4"/>
      <c r="VZX4" s="4"/>
      <c r="VZY4" s="4"/>
      <c r="VZZ4" s="4"/>
      <c r="WAA4" s="4"/>
      <c r="WAB4" s="4"/>
      <c r="WAC4" s="4"/>
      <c r="WAD4" s="4"/>
      <c r="WAE4" s="4"/>
      <c r="WAF4" s="4"/>
      <c r="WAG4" s="4"/>
      <c r="WAH4" s="4"/>
      <c r="WAI4" s="4"/>
      <c r="WAJ4" s="4"/>
      <c r="WAK4" s="4"/>
      <c r="WAL4" s="4"/>
      <c r="WAM4" s="4"/>
      <c r="WAN4" s="4"/>
      <c r="WAO4" s="4"/>
      <c r="WAP4" s="4"/>
      <c r="WAQ4" s="4"/>
      <c r="WAR4" s="4"/>
      <c r="WAS4" s="4"/>
      <c r="WAT4" s="4"/>
      <c r="WAU4" s="4"/>
      <c r="WAV4" s="4"/>
      <c r="WAW4" s="4"/>
      <c r="WAX4" s="4"/>
      <c r="WAY4" s="4"/>
      <c r="WAZ4" s="4"/>
      <c r="WBA4" s="4"/>
      <c r="WBB4" s="4"/>
      <c r="WBC4" s="4"/>
      <c r="WBD4" s="4"/>
      <c r="WBE4" s="4"/>
      <c r="WBF4" s="4"/>
      <c r="WBG4" s="4"/>
      <c r="WBH4" s="4"/>
      <c r="WBI4" s="4"/>
      <c r="WBJ4" s="4"/>
      <c r="WBK4" s="4"/>
      <c r="WBL4" s="4"/>
      <c r="WBM4" s="4"/>
      <c r="WBN4" s="4"/>
      <c r="WBO4" s="4"/>
      <c r="WBP4" s="4"/>
      <c r="WBQ4" s="4"/>
      <c r="WBR4" s="4"/>
      <c r="WBS4" s="4"/>
      <c r="WBT4" s="4"/>
      <c r="WBU4" s="4"/>
      <c r="WBV4" s="4"/>
      <c r="WBW4" s="4"/>
      <c r="WBX4" s="4"/>
      <c r="WBY4" s="4"/>
      <c r="WBZ4" s="4"/>
      <c r="WCA4" s="4"/>
      <c r="WCB4" s="4"/>
      <c r="WCC4" s="4"/>
      <c r="WCD4" s="4"/>
      <c r="WCE4" s="4"/>
      <c r="WCF4" s="4"/>
      <c r="WCG4" s="4"/>
      <c r="WCH4" s="4"/>
      <c r="WCI4" s="4"/>
      <c r="WCJ4" s="4"/>
      <c r="WCK4" s="4"/>
      <c r="WCL4" s="4"/>
      <c r="WCM4" s="4"/>
      <c r="WCN4" s="4"/>
      <c r="WCO4" s="4"/>
      <c r="WCP4" s="4"/>
      <c r="WCQ4" s="4"/>
      <c r="WCR4" s="4"/>
      <c r="WCS4" s="4"/>
      <c r="WCT4" s="4"/>
      <c r="WCU4" s="4"/>
      <c r="WCV4" s="4"/>
      <c r="WCW4" s="4"/>
      <c r="WCX4" s="4"/>
      <c r="WCY4" s="4"/>
      <c r="WCZ4" s="4"/>
      <c r="WDA4" s="4"/>
      <c r="WDB4" s="4"/>
      <c r="WDC4" s="4"/>
      <c r="WDD4" s="4"/>
      <c r="WDE4" s="4"/>
      <c r="WDF4" s="4"/>
      <c r="WDG4" s="4"/>
      <c r="WDH4" s="4"/>
      <c r="WDI4" s="4"/>
      <c r="WDJ4" s="4"/>
      <c r="WDK4" s="4"/>
      <c r="WDL4" s="4"/>
      <c r="WDM4" s="4"/>
      <c r="WDN4" s="4"/>
      <c r="WDO4" s="4"/>
      <c r="WDP4" s="4"/>
      <c r="WDQ4" s="4"/>
      <c r="WDR4" s="4"/>
      <c r="WDS4" s="4"/>
      <c r="WDT4" s="4"/>
      <c r="WDU4" s="4"/>
      <c r="WDV4" s="4"/>
      <c r="WDW4" s="4"/>
      <c r="WDX4" s="4"/>
      <c r="WDY4" s="4"/>
      <c r="WDZ4" s="4"/>
      <c r="WEA4" s="4"/>
      <c r="WEB4" s="4"/>
      <c r="WEC4" s="4"/>
      <c r="WED4" s="4"/>
      <c r="WEE4" s="4"/>
      <c r="WEF4" s="4"/>
      <c r="WEG4" s="4"/>
      <c r="WEH4" s="4"/>
      <c r="WEI4" s="4"/>
      <c r="WEJ4" s="4"/>
      <c r="WEK4" s="4"/>
      <c r="WEL4" s="4"/>
      <c r="WEM4" s="4"/>
      <c r="WEN4" s="4"/>
      <c r="WEO4" s="4"/>
      <c r="WEP4" s="4"/>
      <c r="WEQ4" s="4"/>
      <c r="WER4" s="4"/>
      <c r="WES4" s="4"/>
      <c r="WET4" s="4"/>
      <c r="WEU4" s="4"/>
      <c r="WEV4" s="4"/>
      <c r="WEW4" s="4"/>
      <c r="WEX4" s="4"/>
      <c r="WEY4" s="4"/>
      <c r="WEZ4" s="4"/>
      <c r="WFA4" s="4"/>
      <c r="WFB4" s="4"/>
      <c r="WFC4" s="4"/>
      <c r="WFD4" s="4"/>
      <c r="WFE4" s="4"/>
      <c r="WFF4" s="4"/>
      <c r="WFG4" s="4"/>
      <c r="WFH4" s="4"/>
      <c r="WFI4" s="4"/>
      <c r="WFJ4" s="4"/>
      <c r="WFK4" s="4"/>
      <c r="WFL4" s="4"/>
      <c r="WFM4" s="4"/>
      <c r="WFN4" s="4"/>
      <c r="WFO4" s="4"/>
      <c r="WFP4" s="4"/>
      <c r="WFQ4" s="4"/>
      <c r="WFR4" s="4"/>
      <c r="WFS4" s="4"/>
      <c r="WFT4" s="4"/>
      <c r="WFU4" s="4"/>
      <c r="WFV4" s="4"/>
      <c r="WFW4" s="4"/>
      <c r="WFX4" s="4"/>
      <c r="WFY4" s="4"/>
      <c r="WFZ4" s="4"/>
      <c r="WGA4" s="4"/>
      <c r="WGB4" s="4"/>
      <c r="WGC4" s="4"/>
      <c r="WGD4" s="4"/>
      <c r="WGE4" s="4"/>
      <c r="WGF4" s="4"/>
      <c r="WGG4" s="4"/>
      <c r="WGH4" s="4"/>
      <c r="WGI4" s="4"/>
      <c r="WGJ4" s="4"/>
      <c r="WGK4" s="4"/>
      <c r="WGL4" s="4"/>
      <c r="WGM4" s="4"/>
      <c r="WGN4" s="4"/>
      <c r="WGO4" s="4"/>
      <c r="WGP4" s="4"/>
      <c r="WGQ4" s="4"/>
      <c r="WGR4" s="4"/>
      <c r="WGS4" s="4"/>
      <c r="WGT4" s="4"/>
      <c r="WGU4" s="4"/>
      <c r="WGV4" s="4"/>
      <c r="WGW4" s="4"/>
      <c r="WGX4" s="4"/>
      <c r="WGY4" s="4"/>
      <c r="WGZ4" s="4"/>
      <c r="WHA4" s="4"/>
      <c r="WHB4" s="4"/>
      <c r="WHC4" s="4"/>
      <c r="WHD4" s="4"/>
      <c r="WHE4" s="4"/>
      <c r="WHF4" s="4"/>
      <c r="WHG4" s="4"/>
      <c r="WHH4" s="4"/>
      <c r="WHI4" s="4"/>
      <c r="WHJ4" s="4"/>
      <c r="WHK4" s="4"/>
      <c r="WHL4" s="4"/>
      <c r="WHM4" s="4"/>
      <c r="WHN4" s="4"/>
      <c r="WHO4" s="4"/>
      <c r="WHP4" s="4"/>
      <c r="WHQ4" s="4"/>
      <c r="WHR4" s="4"/>
      <c r="WHS4" s="4"/>
      <c r="WHT4" s="4"/>
      <c r="WHU4" s="4"/>
      <c r="WHV4" s="4"/>
      <c r="WHW4" s="4"/>
      <c r="WHX4" s="4"/>
      <c r="WHY4" s="4"/>
      <c r="WHZ4" s="4"/>
      <c r="WIA4" s="4"/>
      <c r="WIB4" s="4"/>
      <c r="WIC4" s="4"/>
      <c r="WID4" s="4"/>
      <c r="WIE4" s="4"/>
      <c r="WIF4" s="4"/>
      <c r="WIG4" s="4"/>
      <c r="WIH4" s="4"/>
      <c r="WII4" s="4"/>
      <c r="WIJ4" s="4"/>
      <c r="WIK4" s="4"/>
      <c r="WIL4" s="4"/>
      <c r="WIM4" s="4"/>
      <c r="WIN4" s="4"/>
      <c r="WIO4" s="4"/>
      <c r="WIP4" s="4"/>
      <c r="WIQ4" s="4"/>
      <c r="WIR4" s="4"/>
      <c r="WIS4" s="4"/>
      <c r="WIT4" s="4"/>
      <c r="WIU4" s="4"/>
      <c r="WIV4" s="4"/>
      <c r="WIW4" s="4"/>
      <c r="WIX4" s="4"/>
      <c r="WIY4" s="4"/>
      <c r="WIZ4" s="4"/>
      <c r="WJA4" s="4"/>
      <c r="WJB4" s="4"/>
      <c r="WJC4" s="4"/>
      <c r="WJD4" s="4"/>
      <c r="WJE4" s="4"/>
      <c r="WJF4" s="4"/>
      <c r="WJG4" s="4"/>
      <c r="WJH4" s="4"/>
      <c r="WJI4" s="4"/>
      <c r="WJJ4" s="4"/>
      <c r="WJK4" s="4"/>
      <c r="WJL4" s="4"/>
      <c r="WJM4" s="4"/>
      <c r="WJN4" s="4"/>
      <c r="WJO4" s="4"/>
      <c r="WJP4" s="4"/>
      <c r="WJQ4" s="4"/>
      <c r="WJR4" s="4"/>
      <c r="WJS4" s="4"/>
      <c r="WJT4" s="4"/>
      <c r="WJU4" s="4"/>
      <c r="WJV4" s="4"/>
      <c r="WJW4" s="4"/>
      <c r="WJX4" s="4"/>
      <c r="WJY4" s="4"/>
      <c r="WJZ4" s="4"/>
      <c r="WKA4" s="4"/>
      <c r="WKB4" s="4"/>
      <c r="WKC4" s="4"/>
      <c r="WKD4" s="4"/>
      <c r="WKE4" s="4"/>
      <c r="WKF4" s="4"/>
      <c r="WKG4" s="4"/>
      <c r="WKH4" s="4"/>
      <c r="WKI4" s="4"/>
      <c r="WKJ4" s="4"/>
      <c r="WKK4" s="4"/>
      <c r="WKL4" s="4"/>
      <c r="WKM4" s="4"/>
      <c r="WKN4" s="4"/>
      <c r="WKO4" s="4"/>
      <c r="WKP4" s="4"/>
      <c r="WKQ4" s="4"/>
      <c r="WKR4" s="4"/>
      <c r="WKS4" s="4"/>
      <c r="WKT4" s="4"/>
      <c r="WKU4" s="4"/>
      <c r="WKV4" s="4"/>
      <c r="WKW4" s="4"/>
      <c r="WKX4" s="4"/>
      <c r="WKY4" s="4"/>
      <c r="WKZ4" s="4"/>
      <c r="WLA4" s="4"/>
      <c r="WLB4" s="4"/>
      <c r="WLC4" s="4"/>
      <c r="WLD4" s="4"/>
      <c r="WLE4" s="4"/>
      <c r="WLF4" s="4"/>
      <c r="WLG4" s="4"/>
      <c r="WLH4" s="4"/>
      <c r="WLI4" s="4"/>
      <c r="WLJ4" s="4"/>
      <c r="WLK4" s="4"/>
      <c r="WLL4" s="4"/>
      <c r="WLM4" s="4"/>
      <c r="WLN4" s="4"/>
      <c r="WLO4" s="4"/>
      <c r="WLP4" s="4"/>
      <c r="WLQ4" s="4"/>
      <c r="WLR4" s="4"/>
      <c r="WLS4" s="4"/>
      <c r="WLT4" s="4"/>
      <c r="WLU4" s="4"/>
      <c r="WLV4" s="4"/>
      <c r="WLW4" s="4"/>
      <c r="WLX4" s="4"/>
      <c r="WLY4" s="4"/>
      <c r="WLZ4" s="4"/>
      <c r="WMA4" s="4"/>
      <c r="WMB4" s="4"/>
      <c r="WMC4" s="4"/>
      <c r="WMD4" s="4"/>
      <c r="WME4" s="4"/>
      <c r="WMF4" s="4"/>
      <c r="WMG4" s="4"/>
      <c r="WMH4" s="4"/>
      <c r="WMI4" s="4"/>
      <c r="WMJ4" s="4"/>
      <c r="WMK4" s="4"/>
      <c r="WML4" s="4"/>
      <c r="WMM4" s="4"/>
      <c r="WMN4" s="4"/>
      <c r="WMO4" s="4"/>
      <c r="WMP4" s="4"/>
      <c r="WMQ4" s="4"/>
      <c r="WMR4" s="4"/>
      <c r="WMS4" s="4"/>
      <c r="WMT4" s="4"/>
      <c r="WMU4" s="4"/>
      <c r="WMV4" s="4"/>
      <c r="WMW4" s="4"/>
      <c r="WMX4" s="4"/>
      <c r="WMY4" s="4"/>
      <c r="WMZ4" s="4"/>
      <c r="WNA4" s="4"/>
      <c r="WNB4" s="4"/>
      <c r="WNC4" s="4"/>
      <c r="WND4" s="4"/>
      <c r="WNE4" s="4"/>
      <c r="WNF4" s="4"/>
      <c r="WNG4" s="4"/>
      <c r="WNH4" s="4"/>
      <c r="WNI4" s="4"/>
      <c r="WNJ4" s="4"/>
      <c r="WNK4" s="4"/>
      <c r="WNL4" s="4"/>
      <c r="WNM4" s="4"/>
      <c r="WNN4" s="4"/>
      <c r="WNO4" s="4"/>
      <c r="WNP4" s="4"/>
      <c r="WNQ4" s="4"/>
      <c r="WNR4" s="4"/>
      <c r="WNS4" s="4"/>
      <c r="WNT4" s="4"/>
      <c r="WNU4" s="4"/>
      <c r="WNV4" s="4"/>
      <c r="WNW4" s="4"/>
      <c r="WNX4" s="4"/>
      <c r="WNY4" s="4"/>
      <c r="WNZ4" s="4"/>
      <c r="WOA4" s="4"/>
      <c r="WOB4" s="4"/>
      <c r="WOC4" s="4"/>
      <c r="WOD4" s="4"/>
      <c r="WOE4" s="4"/>
      <c r="WOF4" s="4"/>
      <c r="WOG4" s="4"/>
      <c r="WOH4" s="4"/>
      <c r="WOI4" s="4"/>
      <c r="WOJ4" s="4"/>
      <c r="WOK4" s="4"/>
      <c r="WOL4" s="4"/>
      <c r="WOM4" s="4"/>
      <c r="WON4" s="4"/>
      <c r="WOO4" s="4"/>
      <c r="WOP4" s="4"/>
      <c r="WOQ4" s="4"/>
      <c r="WOR4" s="4"/>
      <c r="WOS4" s="4"/>
      <c r="WOT4" s="4"/>
      <c r="WOU4" s="4"/>
      <c r="WOV4" s="4"/>
      <c r="WOW4" s="4"/>
      <c r="WOX4" s="4"/>
      <c r="WOY4" s="4"/>
      <c r="WOZ4" s="4"/>
      <c r="WPA4" s="4"/>
      <c r="WPB4" s="4"/>
      <c r="WPC4" s="4"/>
      <c r="WPD4" s="4"/>
      <c r="WPE4" s="4"/>
      <c r="WPF4" s="4"/>
      <c r="WPG4" s="4"/>
      <c r="WPH4" s="4"/>
      <c r="WPI4" s="4"/>
      <c r="WPJ4" s="4"/>
      <c r="WPK4" s="4"/>
      <c r="WPL4" s="4"/>
      <c r="WPM4" s="4"/>
      <c r="WPN4" s="4"/>
      <c r="WPO4" s="4"/>
      <c r="WPP4" s="4"/>
      <c r="WPQ4" s="4"/>
      <c r="WPR4" s="4"/>
      <c r="WPS4" s="4"/>
      <c r="WPT4" s="4"/>
      <c r="WPU4" s="4"/>
      <c r="WPV4" s="4"/>
      <c r="WPW4" s="4"/>
      <c r="WPX4" s="4"/>
      <c r="WPY4" s="4"/>
      <c r="WPZ4" s="4"/>
      <c r="WQA4" s="4"/>
      <c r="WQB4" s="4"/>
      <c r="WQC4" s="4"/>
      <c r="WQD4" s="4"/>
      <c r="WQE4" s="4"/>
      <c r="WQF4" s="4"/>
      <c r="WQG4" s="4"/>
      <c r="WQH4" s="4"/>
      <c r="WQI4" s="4"/>
      <c r="WQJ4" s="4"/>
      <c r="WQK4" s="4"/>
      <c r="WQL4" s="4"/>
      <c r="WQM4" s="4"/>
      <c r="WQN4" s="4"/>
      <c r="WQO4" s="4"/>
      <c r="WQP4" s="4"/>
      <c r="WQQ4" s="4"/>
      <c r="WQR4" s="4"/>
      <c r="WQS4" s="4"/>
      <c r="WQT4" s="4"/>
      <c r="WQU4" s="4"/>
      <c r="WQV4" s="4"/>
      <c r="WQW4" s="4"/>
      <c r="WQX4" s="4"/>
      <c r="WQY4" s="4"/>
      <c r="WQZ4" s="4"/>
      <c r="WRA4" s="4"/>
      <c r="WRB4" s="4"/>
      <c r="WRC4" s="4"/>
      <c r="WRD4" s="4"/>
      <c r="WRE4" s="4"/>
      <c r="WRF4" s="4"/>
      <c r="WRG4" s="4"/>
      <c r="WRH4" s="4"/>
      <c r="WRI4" s="4"/>
      <c r="WRJ4" s="4"/>
      <c r="WRK4" s="4"/>
      <c r="WRL4" s="4"/>
      <c r="WRM4" s="4"/>
      <c r="WRN4" s="4"/>
      <c r="WRO4" s="4"/>
      <c r="WRP4" s="4"/>
      <c r="WRQ4" s="4"/>
      <c r="WRR4" s="4"/>
      <c r="WRS4" s="4"/>
      <c r="WRT4" s="4"/>
      <c r="WRU4" s="4"/>
      <c r="WRV4" s="4"/>
      <c r="WRW4" s="4"/>
      <c r="WRX4" s="4"/>
      <c r="WRY4" s="4"/>
      <c r="WRZ4" s="4"/>
      <c r="WSA4" s="4"/>
      <c r="WSB4" s="4"/>
      <c r="WSC4" s="4"/>
      <c r="WSD4" s="4"/>
      <c r="WSE4" s="4"/>
      <c r="WSF4" s="4"/>
      <c r="WSG4" s="4"/>
      <c r="WSH4" s="4"/>
      <c r="WSI4" s="4"/>
      <c r="WSJ4" s="4"/>
      <c r="WSK4" s="4"/>
      <c r="WSL4" s="4"/>
      <c r="WSM4" s="4"/>
      <c r="WSN4" s="4"/>
      <c r="WSO4" s="4"/>
      <c r="WSP4" s="4"/>
      <c r="WSQ4" s="4"/>
      <c r="WSR4" s="4"/>
      <c r="WSS4" s="4"/>
      <c r="WST4" s="4"/>
      <c r="WSU4" s="4"/>
      <c r="WSV4" s="4"/>
      <c r="WSW4" s="4"/>
      <c r="WSX4" s="4"/>
      <c r="WSY4" s="4"/>
      <c r="WSZ4" s="4"/>
      <c r="WTA4" s="4"/>
      <c r="WTB4" s="4"/>
      <c r="WTC4" s="4"/>
      <c r="WTD4" s="4"/>
      <c r="WTE4" s="4"/>
      <c r="WTF4" s="4"/>
      <c r="WTG4" s="4"/>
      <c r="WTH4" s="4"/>
      <c r="WTI4" s="4"/>
      <c r="WTJ4" s="4"/>
      <c r="WTK4" s="4"/>
      <c r="WTL4" s="4"/>
      <c r="WTM4" s="4"/>
      <c r="WTN4" s="4"/>
      <c r="WTO4" s="4"/>
      <c r="WTP4" s="4"/>
      <c r="WTQ4" s="4"/>
      <c r="WTR4" s="4"/>
      <c r="WTS4" s="4"/>
      <c r="WTT4" s="4"/>
      <c r="WTU4" s="4"/>
      <c r="WTV4" s="4"/>
      <c r="WTW4" s="4"/>
      <c r="WTX4" s="4"/>
      <c r="WTY4" s="4"/>
      <c r="WTZ4" s="4"/>
      <c r="WUA4" s="4"/>
      <c r="WUB4" s="4"/>
      <c r="WUC4" s="4"/>
      <c r="WUD4" s="4"/>
      <c r="WUE4" s="4"/>
      <c r="WUF4" s="4"/>
      <c r="WUG4" s="4"/>
      <c r="WUH4" s="4"/>
      <c r="WUI4" s="4"/>
      <c r="WUJ4" s="4"/>
      <c r="WUK4" s="4"/>
      <c r="WUL4" s="4"/>
      <c r="WUM4" s="4"/>
      <c r="WUN4" s="4"/>
      <c r="WUO4" s="4"/>
      <c r="WUP4" s="4"/>
      <c r="WUQ4" s="4"/>
      <c r="WUR4" s="4"/>
      <c r="WUS4" s="4"/>
      <c r="WUT4" s="4"/>
      <c r="WUU4" s="4"/>
      <c r="WUV4" s="4"/>
      <c r="WUW4" s="4"/>
      <c r="WUX4" s="4"/>
      <c r="WUY4" s="4"/>
      <c r="WUZ4" s="4"/>
      <c r="WVA4" s="4"/>
      <c r="WVB4" s="4"/>
      <c r="WVC4" s="4"/>
      <c r="WVD4" s="4"/>
      <c r="WVE4" s="4"/>
      <c r="WVF4" s="4"/>
      <c r="WVG4" s="4"/>
      <c r="WVH4" s="4"/>
      <c r="WVI4" s="4"/>
      <c r="WVJ4" s="4"/>
      <c r="WVK4" s="4"/>
      <c r="WVL4" s="4"/>
      <c r="WVM4" s="4"/>
      <c r="WVN4" s="4"/>
      <c r="WVO4" s="4"/>
      <c r="WVP4" s="4"/>
      <c r="WVQ4" s="4"/>
      <c r="WVR4" s="4"/>
      <c r="WVS4" s="4"/>
      <c r="WVT4" s="4"/>
      <c r="WVU4" s="4"/>
      <c r="WVV4" s="4"/>
      <c r="WVW4" s="4"/>
      <c r="WVX4" s="4"/>
      <c r="WVY4" s="4"/>
      <c r="WVZ4" s="4"/>
      <c r="WWA4" s="4"/>
      <c r="WWB4" s="4"/>
      <c r="WWC4" s="4"/>
      <c r="WWD4" s="4"/>
      <c r="WWE4" s="4"/>
      <c r="WWF4" s="4"/>
      <c r="WWG4" s="4"/>
      <c r="WWH4" s="4"/>
      <c r="WWI4" s="4"/>
      <c r="WWJ4" s="4"/>
      <c r="WWK4" s="4"/>
      <c r="WWL4" s="4"/>
      <c r="WWM4" s="4"/>
      <c r="WWN4" s="4"/>
      <c r="WWO4" s="4"/>
      <c r="WWP4" s="4"/>
      <c r="WWQ4" s="4"/>
      <c r="WWR4" s="4"/>
      <c r="WWS4" s="4"/>
      <c r="WWT4" s="4"/>
      <c r="WWU4" s="4"/>
      <c r="WWV4" s="4"/>
      <c r="WWW4" s="4"/>
      <c r="WWX4" s="4"/>
      <c r="WWY4" s="4"/>
      <c r="WWZ4" s="4"/>
      <c r="WXA4" s="4"/>
      <c r="WXB4" s="4"/>
      <c r="WXC4" s="4"/>
      <c r="WXD4" s="4"/>
      <c r="WXE4" s="4"/>
      <c r="WXF4" s="4"/>
      <c r="WXG4" s="4"/>
      <c r="WXH4" s="4"/>
      <c r="WXI4" s="4"/>
      <c r="WXJ4" s="4"/>
      <c r="WXK4" s="4"/>
      <c r="WXL4" s="4"/>
      <c r="WXM4" s="4"/>
      <c r="WXN4" s="4"/>
      <c r="WXO4" s="4"/>
      <c r="WXP4" s="4"/>
      <c r="WXQ4" s="4"/>
      <c r="WXR4" s="4"/>
      <c r="WXS4" s="4"/>
      <c r="WXT4" s="4"/>
      <c r="WXU4" s="4"/>
      <c r="WXV4" s="4"/>
      <c r="WXW4" s="4"/>
      <c r="WXX4" s="4"/>
      <c r="WXY4" s="4"/>
      <c r="WXZ4" s="4"/>
      <c r="WYA4" s="4"/>
      <c r="WYB4" s="4"/>
      <c r="WYC4" s="4"/>
      <c r="WYD4" s="4"/>
      <c r="WYE4" s="4"/>
      <c r="WYF4" s="4"/>
      <c r="WYG4" s="4"/>
      <c r="WYH4" s="4"/>
      <c r="WYI4" s="4"/>
      <c r="WYJ4" s="4"/>
      <c r="WYK4" s="4"/>
      <c r="WYL4" s="4"/>
      <c r="WYM4" s="4"/>
      <c r="WYN4" s="4"/>
      <c r="WYO4" s="4"/>
      <c r="WYP4" s="4"/>
      <c r="WYQ4" s="4"/>
      <c r="WYR4" s="4"/>
      <c r="WYS4" s="4"/>
      <c r="WYT4" s="4"/>
      <c r="WYU4" s="4"/>
      <c r="WYV4" s="4"/>
      <c r="WYW4" s="4"/>
      <c r="WYX4" s="4"/>
      <c r="WYY4" s="4"/>
      <c r="WYZ4" s="4"/>
      <c r="WZA4" s="4"/>
      <c r="WZB4" s="4"/>
      <c r="WZC4" s="4"/>
      <c r="WZD4" s="4"/>
      <c r="WZE4" s="4"/>
      <c r="WZF4" s="4"/>
      <c r="WZG4" s="4"/>
      <c r="WZH4" s="4"/>
      <c r="WZI4" s="4"/>
      <c r="WZJ4" s="4"/>
      <c r="WZK4" s="4"/>
      <c r="WZL4" s="4"/>
      <c r="WZM4" s="4"/>
      <c r="WZN4" s="4"/>
      <c r="WZO4" s="4"/>
      <c r="WZP4" s="4"/>
      <c r="WZQ4" s="4"/>
      <c r="WZR4" s="4"/>
      <c r="WZS4" s="4"/>
      <c r="WZT4" s="4"/>
      <c r="WZU4" s="4"/>
      <c r="WZV4" s="4"/>
      <c r="WZW4" s="4"/>
      <c r="WZX4" s="4"/>
      <c r="WZY4" s="4"/>
      <c r="WZZ4" s="4"/>
      <c r="XAA4" s="4"/>
      <c r="XAB4" s="4"/>
      <c r="XAC4" s="4"/>
      <c r="XAD4" s="4"/>
      <c r="XAE4" s="4"/>
      <c r="XAF4" s="4"/>
      <c r="XAG4" s="4"/>
      <c r="XAH4" s="4"/>
      <c r="XAI4" s="4"/>
      <c r="XAJ4" s="4"/>
      <c r="XAK4" s="4"/>
      <c r="XAL4" s="4"/>
      <c r="XAM4" s="4"/>
      <c r="XAN4" s="4"/>
      <c r="XAO4" s="4"/>
      <c r="XAP4" s="4"/>
      <c r="XAQ4" s="4"/>
      <c r="XAR4" s="4"/>
      <c r="XAS4" s="4"/>
      <c r="XAT4" s="4"/>
      <c r="XAU4" s="4"/>
      <c r="XAV4" s="4"/>
      <c r="XAW4" s="4"/>
      <c r="XAX4" s="4"/>
      <c r="XAY4" s="4"/>
      <c r="XAZ4" s="4"/>
      <c r="XBA4" s="4"/>
      <c r="XBB4" s="4"/>
      <c r="XBC4" s="4"/>
      <c r="XBD4" s="4"/>
      <c r="XBE4" s="4"/>
      <c r="XBF4" s="4"/>
      <c r="XBG4" s="4"/>
      <c r="XBH4" s="4"/>
      <c r="XBI4" s="4"/>
      <c r="XBJ4" s="4"/>
      <c r="XBK4" s="4"/>
      <c r="XBL4" s="4"/>
      <c r="XBM4" s="4"/>
      <c r="XBN4" s="4"/>
      <c r="XBO4" s="4"/>
      <c r="XBP4" s="4"/>
      <c r="XBQ4" s="4"/>
      <c r="XBR4" s="4"/>
      <c r="XBS4" s="4"/>
      <c r="XBT4" s="4"/>
      <c r="XBU4" s="4"/>
      <c r="XBV4" s="4"/>
      <c r="XBW4" s="4"/>
      <c r="XBX4" s="4"/>
      <c r="XBY4" s="4"/>
      <c r="XBZ4" s="4"/>
      <c r="XCA4" s="4"/>
      <c r="XCB4" s="4"/>
      <c r="XCC4" s="4"/>
      <c r="XCD4" s="4"/>
      <c r="XCE4" s="4"/>
      <c r="XCF4" s="4"/>
      <c r="XCG4" s="4"/>
      <c r="XCH4" s="4"/>
      <c r="XCI4" s="4"/>
      <c r="XCJ4" s="4"/>
      <c r="XCK4" s="4"/>
      <c r="XCL4" s="4"/>
      <c r="XCM4" s="4"/>
      <c r="XCN4" s="4"/>
      <c r="XCO4" s="4"/>
      <c r="XCP4" s="4"/>
      <c r="XCQ4" s="4"/>
      <c r="XCR4" s="4"/>
      <c r="XCS4" s="4"/>
      <c r="XCT4" s="4"/>
      <c r="XCU4" s="4"/>
      <c r="XCV4" s="4"/>
      <c r="XCW4" s="4"/>
      <c r="XCX4" s="4"/>
      <c r="XCY4" s="4"/>
      <c r="XCZ4" s="4"/>
      <c r="XDA4" s="4"/>
      <c r="XDB4" s="4"/>
      <c r="XDC4" s="4"/>
      <c r="XDD4" s="4"/>
      <c r="XDE4" s="4"/>
      <c r="XDF4" s="4"/>
      <c r="XDG4" s="4"/>
      <c r="XDH4" s="4"/>
      <c r="XDI4" s="4"/>
      <c r="XDJ4" s="4"/>
      <c r="XDK4" s="4"/>
      <c r="XDL4" s="4"/>
      <c r="XDM4" s="4"/>
      <c r="XDN4" s="4"/>
      <c r="XDO4" s="4"/>
      <c r="XDP4" s="4"/>
      <c r="XDQ4" s="4"/>
      <c r="XDR4" s="4"/>
      <c r="XDS4" s="4"/>
      <c r="XDT4" s="4"/>
      <c r="XDU4" s="4"/>
      <c r="XDV4" s="4"/>
      <c r="XDW4" s="4"/>
      <c r="XDX4" s="4"/>
      <c r="XDY4" s="4"/>
      <c r="XDZ4" s="4"/>
      <c r="XEA4" s="4"/>
      <c r="XEB4" s="4"/>
      <c r="XEC4" s="4"/>
      <c r="XED4" s="4"/>
      <c r="XEE4" s="4"/>
      <c r="XEF4" s="4"/>
      <c r="XEG4" s="4"/>
      <c r="XEH4" s="4"/>
      <c r="XEI4" s="4"/>
      <c r="XEJ4" s="4"/>
      <c r="XEK4" s="4"/>
      <c r="XEL4" s="4"/>
      <c r="XEM4" s="4"/>
      <c r="XEN4" s="4"/>
      <c r="XEO4" s="4"/>
      <c r="XEP4" s="4"/>
      <c r="XEQ4" s="4"/>
      <c r="XER4" s="4"/>
      <c r="XES4" s="4"/>
      <c r="XET4" s="4"/>
      <c r="XEU4" s="4"/>
      <c r="XEV4" s="4"/>
      <c r="XEW4" s="4"/>
      <c r="XEX4" s="4"/>
      <c r="XEY4" s="4"/>
      <c r="XEZ4" s="4"/>
      <c r="XFA4" s="4"/>
      <c r="XFB4" s="4"/>
      <c r="XFC4" s="4"/>
      <c r="XFD4" s="4"/>
    </row>
    <row r="5" spans="1:16384" s="17" customFormat="1" ht="15" thickTop="1" x14ac:dyDescent="0.3">
      <c r="A5" s="15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16384" s="11" customFormat="1" ht="15" customHeight="1" x14ac:dyDescent="0.3">
      <c r="A6" s="8"/>
      <c r="B6" s="24" t="s">
        <v>126</v>
      </c>
      <c r="C6" s="25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10"/>
    </row>
    <row r="7" spans="1:16384" s="11" customFormat="1" ht="7.95" customHeight="1" x14ac:dyDescent="0.3">
      <c r="A7" s="8"/>
      <c r="B7" s="18"/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16384" s="17" customFormat="1" ht="14.4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3" t="s">
        <v>31</v>
      </c>
      <c r="C24" s="103"/>
      <c r="D24" s="103"/>
      <c r="E24" s="19"/>
      <c r="F24" s="104" t="s">
        <v>128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20"/>
      <c r="R24" s="20"/>
      <c r="S24" s="20"/>
      <c r="T24" s="20"/>
    </row>
    <row r="25" spans="2:20" ht="13.2" customHeight="1" x14ac:dyDescent="0.3">
      <c r="B25" s="103"/>
      <c r="C25" s="103"/>
      <c r="D25" s="103"/>
      <c r="E25" s="19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20"/>
      <c r="R25" s="20"/>
      <c r="S25" s="20"/>
      <c r="T25" s="20"/>
    </row>
    <row r="26" spans="2:20" ht="7.95" customHeight="1" x14ac:dyDescent="0.3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</row>
    <row r="27" spans="2:20" ht="12" customHeight="1" x14ac:dyDescent="0.3">
      <c r="B27" s="21"/>
      <c r="C27" s="101" t="s">
        <v>32</v>
      </c>
      <c r="D27" s="101"/>
      <c r="E27" s="101"/>
      <c r="F27" s="101"/>
      <c r="G27" s="19"/>
      <c r="H27" s="102" t="s">
        <v>124</v>
      </c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2:20" ht="12" customHeight="1" x14ac:dyDescent="0.3">
      <c r="B28" s="21"/>
      <c r="C28" s="101"/>
      <c r="D28" s="101"/>
      <c r="E28" s="101"/>
      <c r="F28" s="101"/>
      <c r="G28" s="19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2:20" ht="3" customHeight="1" x14ac:dyDescent="0.3">
      <c r="B29" s="21"/>
      <c r="C29" s="22"/>
      <c r="D29" s="22"/>
      <c r="E29" s="22"/>
      <c r="F29" s="22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</row>
    <row r="30" spans="2:20" ht="12" customHeight="1" x14ac:dyDescent="0.3">
      <c r="B30" s="21"/>
      <c r="C30" s="101" t="s">
        <v>33</v>
      </c>
      <c r="D30" s="101"/>
      <c r="E30" s="101"/>
      <c r="F30" s="101"/>
      <c r="G30" s="19"/>
      <c r="H30" s="23" t="s">
        <v>51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</row>
    <row r="31" spans="2:20" ht="12" customHeight="1" x14ac:dyDescent="0.3">
      <c r="B31" s="21"/>
      <c r="C31" s="101"/>
      <c r="D31" s="101"/>
      <c r="E31" s="101"/>
      <c r="F31" s="101"/>
      <c r="G31" s="19"/>
      <c r="H31" s="23" t="s">
        <v>34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</row>
    <row r="32" spans="2:20" ht="12" customHeight="1" x14ac:dyDescent="0.3">
      <c r="B32" s="21"/>
      <c r="C32" s="101"/>
      <c r="D32" s="101"/>
      <c r="E32" s="101"/>
      <c r="F32" s="101"/>
      <c r="G32" s="19"/>
      <c r="H32" s="23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</row>
    <row r="33" spans="2:20" ht="12" customHeight="1" x14ac:dyDescent="0.3">
      <c r="B33" s="21"/>
      <c r="C33" s="101"/>
      <c r="D33" s="101"/>
      <c r="E33" s="101"/>
      <c r="F33" s="101"/>
      <c r="G33" s="19"/>
      <c r="H33" s="23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</row>
    <row r="34" spans="2:20" ht="12" customHeight="1" x14ac:dyDescent="0.3">
      <c r="B34" s="21"/>
      <c r="C34" s="101"/>
      <c r="D34" s="101"/>
      <c r="E34" s="101"/>
      <c r="F34" s="101"/>
      <c r="G34" s="19"/>
      <c r="H34" s="23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</row>
    <row r="35" spans="2:20" ht="12" customHeight="1" x14ac:dyDescent="0.3">
      <c r="B35" s="21"/>
      <c r="C35" s="101"/>
      <c r="D35" s="101"/>
      <c r="E35" s="101"/>
      <c r="F35" s="101"/>
      <c r="G35" s="19"/>
      <c r="H35" s="23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</row>
    <row r="36" spans="2:20" ht="12" customHeight="1" x14ac:dyDescent="0.3">
      <c r="B36" s="21"/>
      <c r="C36" s="101"/>
      <c r="D36" s="101"/>
      <c r="E36" s="101"/>
      <c r="F36" s="101"/>
      <c r="G36" s="19"/>
      <c r="H36" s="23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</row>
    <row r="37" spans="2:20" ht="3" customHeight="1" x14ac:dyDescent="0.3"/>
    <row r="38" spans="2:20" ht="12" customHeight="1" x14ac:dyDescent="0.3">
      <c r="B38" s="21"/>
      <c r="C38" s="101" t="s">
        <v>35</v>
      </c>
      <c r="D38" s="101"/>
      <c r="E38" s="101"/>
      <c r="F38" s="101"/>
      <c r="G38" s="19"/>
      <c r="H38" s="23" t="s">
        <v>36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</row>
    <row r="39" spans="2:20" ht="12" customHeight="1" x14ac:dyDescent="0.3">
      <c r="B39" s="21"/>
      <c r="C39" s="101"/>
      <c r="D39" s="101"/>
      <c r="E39" s="101"/>
      <c r="F39" s="101"/>
      <c r="G39" s="19"/>
      <c r="H39" s="23" t="s">
        <v>37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</row>
    <row r="40" spans="2:20" ht="3" customHeight="1" x14ac:dyDescent="0.3"/>
    <row r="41" spans="2:20" ht="12" customHeight="1" x14ac:dyDescent="0.3">
      <c r="B41" s="21"/>
      <c r="C41" s="101" t="s">
        <v>38</v>
      </c>
      <c r="D41" s="101"/>
      <c r="E41" s="101"/>
      <c r="F41" s="101"/>
      <c r="G41" s="19"/>
      <c r="H41" s="23" t="s">
        <v>39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</row>
    <row r="42" spans="2:20" ht="12" customHeight="1" x14ac:dyDescent="0.3">
      <c r="B42" s="21"/>
      <c r="C42" s="101"/>
      <c r="D42" s="101"/>
      <c r="E42" s="101"/>
      <c r="F42" s="101"/>
      <c r="G42" s="19"/>
      <c r="H42" s="23" t="s">
        <v>40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</row>
    <row r="43" spans="2:20" ht="10.199999999999999" customHeight="1" x14ac:dyDescent="0.3"/>
    <row r="44" spans="2:20" ht="13.2" customHeight="1" x14ac:dyDescent="0.3">
      <c r="B44" s="103" t="s">
        <v>41</v>
      </c>
      <c r="C44" s="103"/>
      <c r="D44" s="103"/>
      <c r="E44" s="19"/>
      <c r="F44" s="104" t="s">
        <v>48</v>
      </c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20"/>
      <c r="R44" s="20"/>
      <c r="S44" s="20"/>
      <c r="T44" s="20"/>
    </row>
    <row r="45" spans="2:20" ht="13.2" customHeight="1" x14ac:dyDescent="0.3">
      <c r="B45" s="103"/>
      <c r="C45" s="103"/>
      <c r="D45" s="103"/>
      <c r="E45" s="19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20"/>
      <c r="R45" s="20"/>
      <c r="S45" s="20"/>
      <c r="T45" s="20"/>
    </row>
    <row r="46" spans="2:20" ht="7.95" customHeight="1" x14ac:dyDescent="0.3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</row>
    <row r="47" spans="2:20" ht="12" customHeight="1" x14ac:dyDescent="0.3">
      <c r="B47" s="21"/>
      <c r="C47" s="101" t="s">
        <v>42</v>
      </c>
      <c r="D47" s="101"/>
      <c r="E47" s="101"/>
      <c r="F47" s="101"/>
      <c r="G47" s="19"/>
      <c r="H47" s="102" t="s">
        <v>43</v>
      </c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2:20" ht="12" customHeight="1" x14ac:dyDescent="0.3">
      <c r="B48" s="21"/>
      <c r="C48" s="101"/>
      <c r="D48" s="101"/>
      <c r="E48" s="101"/>
      <c r="F48" s="101"/>
      <c r="G48" s="19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2:20" ht="3" customHeight="1" x14ac:dyDescent="0.3"/>
    <row r="50" spans="2:20" ht="12" customHeight="1" x14ac:dyDescent="0.3">
      <c r="B50" s="21"/>
      <c r="C50" s="101" t="s">
        <v>44</v>
      </c>
      <c r="D50" s="101"/>
      <c r="E50" s="101"/>
      <c r="F50" s="101"/>
      <c r="G50" s="19"/>
      <c r="H50" s="102" t="s">
        <v>49</v>
      </c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2:20" ht="12" customHeight="1" x14ac:dyDescent="0.3">
      <c r="B51" s="21"/>
      <c r="C51" s="101"/>
      <c r="D51" s="101"/>
      <c r="E51" s="101"/>
      <c r="F51" s="101"/>
      <c r="G51" s="19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2:20" ht="3" customHeight="1" x14ac:dyDescent="0.3"/>
    <row r="53" spans="2:20" ht="12" customHeight="1" x14ac:dyDescent="0.3">
      <c r="B53" s="21"/>
      <c r="C53" s="101" t="s">
        <v>45</v>
      </c>
      <c r="D53" s="101"/>
      <c r="E53" s="101"/>
      <c r="F53" s="101"/>
      <c r="G53" s="19"/>
      <c r="H53" s="102" t="s">
        <v>50</v>
      </c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2:20" ht="12" customHeight="1" x14ac:dyDescent="0.3">
      <c r="B54" s="21"/>
      <c r="C54" s="101"/>
      <c r="D54" s="101"/>
      <c r="E54" s="101"/>
      <c r="F54" s="101"/>
      <c r="G54" s="19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2:20" ht="3" customHeight="1" x14ac:dyDescent="0.3"/>
    <row r="56" spans="2:20" ht="12" customHeight="1" x14ac:dyDescent="0.3">
      <c r="B56" s="21"/>
      <c r="C56" s="101" t="s">
        <v>46</v>
      </c>
      <c r="D56" s="101"/>
      <c r="E56" s="101"/>
      <c r="F56" s="101"/>
      <c r="G56" s="19"/>
      <c r="H56" s="102" t="s">
        <v>125</v>
      </c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2:20" ht="12" customHeight="1" x14ac:dyDescent="0.3">
      <c r="B57" s="21"/>
      <c r="C57" s="101"/>
      <c r="D57" s="101"/>
      <c r="E57" s="101"/>
      <c r="F57" s="101"/>
      <c r="G57" s="19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2:20" ht="10.199999999999999" customHeight="1" x14ac:dyDescent="0.3"/>
    <row r="59" spans="2:20" ht="13.2" customHeight="1" x14ac:dyDescent="0.3">
      <c r="B59" s="103" t="s">
        <v>47</v>
      </c>
      <c r="C59" s="103"/>
      <c r="D59" s="103"/>
      <c r="E59" s="19"/>
      <c r="F59" s="104" t="s">
        <v>127</v>
      </c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20"/>
      <c r="R59" s="20"/>
      <c r="S59" s="20"/>
      <c r="T59" s="20"/>
    </row>
    <row r="60" spans="2:20" ht="13.2" customHeight="1" x14ac:dyDescent="0.3">
      <c r="B60" s="103"/>
      <c r="C60" s="103"/>
      <c r="D60" s="103"/>
      <c r="E60" s="19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20"/>
      <c r="R60" s="20"/>
      <c r="S60" s="20"/>
      <c r="T60" s="20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6" customWidth="1"/>
    <col min="3" max="4" width="10.6640625" style="56" customWidth="1"/>
    <col min="5" max="5" width="5.6640625" style="56" customWidth="1"/>
    <col min="6" max="6" width="10.6640625" style="56" customWidth="1"/>
    <col min="7" max="7" width="8.6640625" style="56" customWidth="1"/>
    <col min="8" max="8" width="3.6640625" style="56" customWidth="1"/>
    <col min="9" max="13" width="10.6640625" style="56" hidden="1" customWidth="1"/>
    <col min="14" max="16384" width="8.77734375" style="56" hidden="1"/>
  </cols>
  <sheetData>
    <row r="1" spans="1:8" s="28" customFormat="1" ht="14.4" x14ac:dyDescent="0.3"/>
    <row r="2" spans="1:8" s="28" customFormat="1" ht="4.95" customHeight="1" x14ac:dyDescent="0.3"/>
    <row r="3" spans="1:8" s="28" customFormat="1" ht="14.4" x14ac:dyDescent="0.3"/>
    <row r="4" spans="1:8" s="28" customFormat="1" ht="4.95" customHeight="1" thickBot="1" x14ac:dyDescent="0.35">
      <c r="A4" s="29"/>
      <c r="B4" s="30"/>
      <c r="C4" s="30"/>
      <c r="D4" s="30"/>
      <c r="E4" s="30"/>
      <c r="F4" s="30"/>
      <c r="G4" s="30"/>
    </row>
    <row r="5" spans="1:8" s="28" customFormat="1" ht="7.95" customHeight="1" thickTop="1" x14ac:dyDescent="0.3">
      <c r="A5" s="31"/>
      <c r="B5" s="31"/>
      <c r="C5" s="31"/>
      <c r="D5" s="31"/>
      <c r="E5" s="31"/>
      <c r="F5" s="31"/>
      <c r="G5" s="31"/>
      <c r="H5" s="31"/>
    </row>
    <row r="6" spans="1:8" s="36" customFormat="1" ht="14.4" x14ac:dyDescent="0.3">
      <c r="A6" s="32"/>
      <c r="B6" s="33" t="s">
        <v>27</v>
      </c>
      <c r="C6" s="34"/>
      <c r="D6" s="34"/>
      <c r="E6" s="34"/>
      <c r="F6" s="34"/>
      <c r="G6" s="34"/>
      <c r="H6" s="35"/>
    </row>
    <row r="7" spans="1:8" s="36" customFormat="1" ht="4.05" customHeight="1" x14ac:dyDescent="0.3">
      <c r="A7" s="32"/>
      <c r="B7" s="37"/>
      <c r="C7" s="38"/>
      <c r="D7" s="38"/>
      <c r="E7" s="38"/>
      <c r="F7" s="38"/>
      <c r="G7" s="38"/>
      <c r="H7" s="35"/>
    </row>
    <row r="8" spans="1:8" s="36" customFormat="1" ht="7.95" customHeight="1" x14ac:dyDescent="0.3">
      <c r="A8" s="32"/>
      <c r="B8" s="39"/>
      <c r="C8" s="40"/>
      <c r="D8" s="40"/>
      <c r="E8" s="40"/>
      <c r="F8" s="40"/>
      <c r="G8" s="41"/>
      <c r="H8" s="35"/>
    </row>
    <row r="9" spans="1:8" s="49" customFormat="1" ht="14.4" x14ac:dyDescent="0.3">
      <c r="A9" s="42"/>
      <c r="B9" s="43"/>
      <c r="C9" s="44" t="s">
        <v>28</v>
      </c>
      <c r="D9" s="44"/>
      <c r="E9" s="45"/>
      <c r="F9" s="46">
        <v>45657</v>
      </c>
      <c r="G9" s="47"/>
      <c r="H9" s="48"/>
    </row>
    <row r="10" spans="1:8" s="49" customFormat="1" ht="7.95" customHeight="1" x14ac:dyDescent="0.3">
      <c r="A10" s="42"/>
      <c r="B10" s="43"/>
      <c r="C10" s="50"/>
      <c r="D10" s="50"/>
      <c r="E10" s="58"/>
      <c r="F10" s="27" t="str">
        <f>YEAR(F9)&amp;"-"&amp;TEXT(MONTH(F9),"00")&amp;"-"&amp;TEXT(DAY(F9),"00")</f>
        <v>2024-12-31</v>
      </c>
      <c r="G10" s="59"/>
      <c r="H10" s="48"/>
    </row>
    <row r="11" spans="1:8" s="49" customFormat="1" ht="7.95" customHeight="1" x14ac:dyDescent="0.3">
      <c r="A11" s="42"/>
      <c r="B11" s="43"/>
      <c r="C11" s="51"/>
      <c r="D11" s="51"/>
      <c r="E11" s="51"/>
      <c r="F11" s="51"/>
      <c r="G11" s="47"/>
      <c r="H11" s="48"/>
    </row>
    <row r="12" spans="1:8" s="49" customFormat="1" ht="14.4" x14ac:dyDescent="0.3">
      <c r="A12" s="42"/>
      <c r="B12" s="43"/>
      <c r="C12" s="44" t="s">
        <v>29</v>
      </c>
      <c r="D12" s="44"/>
      <c r="E12" s="45"/>
      <c r="F12" s="45"/>
      <c r="G12" s="47"/>
      <c r="H12" s="48"/>
    </row>
    <row r="13" spans="1:8" s="49" customFormat="1" ht="7.95" customHeight="1" x14ac:dyDescent="0.3">
      <c r="A13" s="42"/>
      <c r="B13" s="43"/>
      <c r="C13" s="51"/>
      <c r="D13" s="51"/>
      <c r="E13" s="51"/>
      <c r="F13" s="51"/>
      <c r="G13" s="47"/>
      <c r="H13" s="48"/>
    </row>
    <row r="14" spans="1:8" s="49" customFormat="1" ht="7.95" customHeight="1" x14ac:dyDescent="0.3">
      <c r="A14" s="42"/>
      <c r="B14" s="43"/>
      <c r="C14" s="51"/>
      <c r="D14" s="51"/>
      <c r="E14" s="51"/>
      <c r="F14" s="51"/>
      <c r="G14" s="47"/>
      <c r="H14" s="48"/>
    </row>
    <row r="15" spans="1:8" s="49" customFormat="1" ht="14.4" x14ac:dyDescent="0.3">
      <c r="A15" s="42"/>
      <c r="B15" s="43"/>
      <c r="C15" s="44" t="s">
        <v>30</v>
      </c>
      <c r="D15" s="44"/>
      <c r="E15" s="45"/>
      <c r="F15" s="45"/>
      <c r="G15" s="47"/>
      <c r="H15" s="48"/>
    </row>
    <row r="16" spans="1:8" s="49" customFormat="1" ht="7.95" customHeight="1" x14ac:dyDescent="0.3">
      <c r="A16" s="42"/>
      <c r="B16" s="43"/>
      <c r="C16" s="51"/>
      <c r="D16" s="51"/>
      <c r="E16" s="51"/>
      <c r="F16" s="51"/>
      <c r="G16" s="47"/>
      <c r="H16" s="48"/>
    </row>
    <row r="17" spans="1:8" s="49" customFormat="1" ht="7.95" customHeight="1" x14ac:dyDescent="0.3">
      <c r="A17" s="42"/>
      <c r="B17" s="52"/>
      <c r="C17" s="53"/>
      <c r="D17" s="53"/>
      <c r="E17" s="53"/>
      <c r="F17" s="53"/>
      <c r="G17" s="54"/>
      <c r="H17" s="48"/>
    </row>
    <row r="18" spans="1:8" s="49" customFormat="1" ht="14.4" x14ac:dyDescent="0.3">
      <c r="A18" s="42"/>
      <c r="B18" s="42"/>
      <c r="C18" s="42"/>
      <c r="D18" s="42"/>
      <c r="E18" s="42"/>
      <c r="F18" s="42"/>
      <c r="G18" s="42"/>
      <c r="H18" s="48"/>
    </row>
    <row r="19" spans="1:8" ht="14.4" hidden="1" x14ac:dyDescent="0.3">
      <c r="A19" s="55"/>
      <c r="B19" s="55"/>
      <c r="C19" s="55"/>
      <c r="D19" s="55"/>
      <c r="E19" s="55"/>
      <c r="F19" s="55"/>
      <c r="G19" s="55"/>
    </row>
    <row r="20" spans="1:8" ht="14.4" hidden="1" x14ac:dyDescent="0.3">
      <c r="A20" s="55"/>
      <c r="B20" s="55"/>
      <c r="C20" s="55"/>
      <c r="D20" s="55"/>
      <c r="E20" s="55"/>
      <c r="F20" s="55"/>
      <c r="G20" s="55"/>
    </row>
    <row r="21" spans="1:8" ht="14.4" hidden="1" x14ac:dyDescent="0.3">
      <c r="A21" s="55"/>
      <c r="B21" s="55"/>
      <c r="C21" s="55"/>
      <c r="D21" s="55"/>
      <c r="E21" s="55"/>
      <c r="F21" s="55"/>
      <c r="G21" s="55"/>
    </row>
    <row r="22" spans="1:8" ht="14.4" hidden="1" x14ac:dyDescent="0.3">
      <c r="B22" s="55"/>
      <c r="C22" s="55"/>
      <c r="D22" s="55"/>
      <c r="E22" s="55"/>
      <c r="F22" s="57"/>
      <c r="G22" s="57"/>
    </row>
    <row r="23" spans="1:8" ht="14.4" hidden="1" x14ac:dyDescent="0.3">
      <c r="B23" s="55"/>
      <c r="C23" s="55"/>
      <c r="D23" s="55"/>
      <c r="E23" s="55"/>
      <c r="F23" s="55"/>
      <c r="G23" s="55"/>
    </row>
    <row r="24" spans="1:8" ht="14.4" hidden="1" x14ac:dyDescent="0.3">
      <c r="B24" s="55"/>
      <c r="C24" s="55"/>
      <c r="D24" s="55"/>
      <c r="E24" s="55"/>
      <c r="F24" s="55"/>
      <c r="G24" s="55"/>
    </row>
    <row r="25" spans="1:8" ht="14.4" hidden="1" x14ac:dyDescent="0.3">
      <c r="B25" s="55"/>
      <c r="C25" s="55"/>
      <c r="D25" s="55"/>
      <c r="E25" s="55"/>
      <c r="F25" s="55"/>
      <c r="G25" s="55"/>
    </row>
    <row r="26" spans="1:8" ht="14.4" hidden="1" x14ac:dyDescent="0.3">
      <c r="B26" s="55"/>
      <c r="C26" s="55"/>
      <c r="D26" s="55"/>
      <c r="E26" s="55"/>
      <c r="F26" s="55"/>
      <c r="G26" s="55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5632"/>
  <sheetViews>
    <sheetView showGridLines="0" workbookViewId="0">
      <pane ySplit="4" topLeftCell="A5" activePane="bottomLeft" state="frozen"/>
      <selection pane="bottomLeft" activeCell="C7" sqref="C7:M5631"/>
    </sheetView>
  </sheetViews>
  <sheetFormatPr defaultColWidth="0" defaultRowHeight="14.4" zeroHeight="1" x14ac:dyDescent="0.3"/>
  <cols>
    <col min="1" max="2" width="3.6640625" style="4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4" customWidth="1"/>
    <col min="12" max="13" width="14.77734375" customWidth="1"/>
    <col min="14" max="15" width="3.6640625" customWidth="1"/>
    <col min="16" max="16384" width="8.77734375" hidden="1"/>
  </cols>
  <sheetData>
    <row r="1" spans="1:15" s="4" customForma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5" s="4" customForma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s="4" customForma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</row>
    <row r="4" spans="1:15" s="4" customFormat="1" ht="15" thickBot="1" x14ac:dyDescent="0.35">
      <c r="A4" s="6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5"/>
    </row>
    <row r="5" spans="1:15" s="11" customFormat="1" ht="15" thickTop="1" x14ac:dyDescent="0.3">
      <c r="A5" s="8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</row>
    <row r="6" spans="1:15" x14ac:dyDescent="0.3">
      <c r="C6" s="12" t="s">
        <v>52</v>
      </c>
      <c r="D6" s="13" t="s">
        <v>53</v>
      </c>
      <c r="E6" s="12" t="s">
        <v>54</v>
      </c>
      <c r="F6" s="13" t="s">
        <v>21</v>
      </c>
      <c r="G6" s="12" t="s">
        <v>55</v>
      </c>
      <c r="H6" s="12" t="s">
        <v>56</v>
      </c>
      <c r="I6" s="12" t="s">
        <v>57</v>
      </c>
      <c r="J6" s="12" t="s">
        <v>58</v>
      </c>
      <c r="K6" s="12" t="s">
        <v>59</v>
      </c>
      <c r="L6" s="14" t="s">
        <v>22</v>
      </c>
      <c r="M6" s="13" t="s">
        <v>60</v>
      </c>
      <c r="N6" s="4"/>
    </row>
    <row r="7" spans="1:15" x14ac:dyDescent="0.3">
      <c r="C7" t="s">
        <v>70</v>
      </c>
      <c r="D7" t="s">
        <v>67</v>
      </c>
      <c r="E7" t="s">
        <v>63</v>
      </c>
      <c r="F7" t="s">
        <v>72</v>
      </c>
      <c r="G7" s="4">
        <v>-1</v>
      </c>
      <c r="H7" s="4" t="s">
        <v>64</v>
      </c>
      <c r="I7" s="4" t="s">
        <v>69</v>
      </c>
      <c r="J7" s="4" t="s">
        <v>66</v>
      </c>
      <c r="K7" s="4">
        <v>0</v>
      </c>
      <c r="L7" s="94">
        <v>-839</v>
      </c>
      <c r="M7" s="94">
        <v>0</v>
      </c>
    </row>
    <row r="8" spans="1:15" x14ac:dyDescent="0.3">
      <c r="C8" t="s">
        <v>70</v>
      </c>
      <c r="D8" t="s">
        <v>67</v>
      </c>
      <c r="E8" t="s">
        <v>68</v>
      </c>
      <c r="F8" t="s">
        <v>26</v>
      </c>
      <c r="G8" s="4">
        <v>4</v>
      </c>
      <c r="H8" s="4" t="s">
        <v>12</v>
      </c>
      <c r="I8" s="4" t="s">
        <v>69</v>
      </c>
      <c r="J8" s="4" t="s">
        <v>73</v>
      </c>
      <c r="K8" s="4">
        <v>1</v>
      </c>
      <c r="L8" s="94">
        <v>824580</v>
      </c>
      <c r="M8" s="94">
        <v>3298320</v>
      </c>
    </row>
    <row r="9" spans="1:15" x14ac:dyDescent="0.3">
      <c r="C9" t="s">
        <v>61</v>
      </c>
      <c r="D9" t="s">
        <v>67</v>
      </c>
      <c r="E9" t="s">
        <v>68</v>
      </c>
      <c r="F9" t="s">
        <v>25</v>
      </c>
      <c r="G9" s="4">
        <v>16</v>
      </c>
      <c r="H9" s="4" t="s">
        <v>18</v>
      </c>
      <c r="I9" s="4" t="s">
        <v>69</v>
      </c>
      <c r="J9" s="4" t="s">
        <v>66</v>
      </c>
      <c r="K9" s="4">
        <v>0</v>
      </c>
      <c r="L9" s="94">
        <v>1154600</v>
      </c>
      <c r="M9" s="94">
        <v>18473600</v>
      </c>
    </row>
    <row r="10" spans="1:15" x14ac:dyDescent="0.3">
      <c r="C10" t="s">
        <v>70</v>
      </c>
      <c r="D10" t="s">
        <v>67</v>
      </c>
      <c r="E10" t="s">
        <v>68</v>
      </c>
      <c r="F10" t="s">
        <v>25</v>
      </c>
      <c r="G10" s="4">
        <v>16</v>
      </c>
      <c r="H10" s="4" t="s">
        <v>14</v>
      </c>
      <c r="I10" s="4" t="s">
        <v>69</v>
      </c>
      <c r="J10" s="4" t="s">
        <v>66</v>
      </c>
      <c r="K10" s="4">
        <v>1</v>
      </c>
      <c r="L10" s="94">
        <v>478576</v>
      </c>
      <c r="M10" s="94">
        <v>7657216</v>
      </c>
    </row>
    <row r="11" spans="1:15" x14ac:dyDescent="0.3">
      <c r="C11" t="s">
        <v>61</v>
      </c>
      <c r="D11" t="s">
        <v>67</v>
      </c>
      <c r="E11" t="s">
        <v>63</v>
      </c>
      <c r="F11" t="s">
        <v>26</v>
      </c>
      <c r="G11" s="4">
        <v>1</v>
      </c>
      <c r="H11" s="4" t="s">
        <v>12</v>
      </c>
      <c r="I11" s="4" t="s">
        <v>69</v>
      </c>
      <c r="J11" s="4" t="s">
        <v>66</v>
      </c>
      <c r="K11" s="4">
        <v>0</v>
      </c>
      <c r="L11" s="94">
        <v>-9002</v>
      </c>
      <c r="M11" s="94">
        <v>0</v>
      </c>
    </row>
    <row r="12" spans="1:15" x14ac:dyDescent="0.3">
      <c r="C12" t="s">
        <v>70</v>
      </c>
      <c r="D12" t="s">
        <v>67</v>
      </c>
      <c r="E12" t="s">
        <v>68</v>
      </c>
      <c r="F12" t="s">
        <v>25</v>
      </c>
      <c r="G12" s="4">
        <v>10</v>
      </c>
      <c r="H12" s="4" t="s">
        <v>18</v>
      </c>
      <c r="I12" s="4" t="s">
        <v>69</v>
      </c>
      <c r="J12" s="4" t="s">
        <v>66</v>
      </c>
      <c r="K12" s="4">
        <v>1</v>
      </c>
      <c r="L12" s="94">
        <v>170117</v>
      </c>
      <c r="M12" s="94">
        <v>1701170</v>
      </c>
    </row>
    <row r="13" spans="1:15" x14ac:dyDescent="0.3">
      <c r="C13" t="s">
        <v>70</v>
      </c>
      <c r="D13" t="s">
        <v>67</v>
      </c>
      <c r="E13" t="s">
        <v>68</v>
      </c>
      <c r="F13" t="s">
        <v>26</v>
      </c>
      <c r="G13" s="4">
        <v>4</v>
      </c>
      <c r="H13" s="4" t="s">
        <v>17</v>
      </c>
      <c r="I13" s="4" t="s">
        <v>65</v>
      </c>
      <c r="J13" s="4" t="s">
        <v>66</v>
      </c>
      <c r="K13" s="4">
        <v>1</v>
      </c>
      <c r="L13" s="94">
        <v>23755</v>
      </c>
      <c r="M13" s="94">
        <v>95020</v>
      </c>
    </row>
    <row r="14" spans="1:15" x14ac:dyDescent="0.3">
      <c r="C14" t="s">
        <v>70</v>
      </c>
      <c r="D14" t="s">
        <v>67</v>
      </c>
      <c r="E14" t="s">
        <v>68</v>
      </c>
      <c r="F14" t="s">
        <v>25</v>
      </c>
      <c r="G14" s="4">
        <v>17</v>
      </c>
      <c r="H14" s="4" t="s">
        <v>74</v>
      </c>
      <c r="I14" s="4" t="s">
        <v>69</v>
      </c>
      <c r="J14" s="4" t="s">
        <v>66</v>
      </c>
      <c r="K14" s="4">
        <v>0</v>
      </c>
      <c r="L14" s="94">
        <v>59206</v>
      </c>
      <c r="M14" s="94">
        <v>1006502</v>
      </c>
    </row>
    <row r="15" spans="1:15" x14ac:dyDescent="0.3">
      <c r="C15" t="s">
        <v>71</v>
      </c>
      <c r="D15" t="s">
        <v>62</v>
      </c>
      <c r="E15" t="s">
        <v>68</v>
      </c>
      <c r="F15" t="s">
        <v>24</v>
      </c>
      <c r="G15" s="4">
        <v>17</v>
      </c>
      <c r="I15" s="4" t="s">
        <v>65</v>
      </c>
      <c r="J15" s="4" t="s">
        <v>66</v>
      </c>
      <c r="K15" s="4">
        <v>1</v>
      </c>
      <c r="L15" s="94">
        <v>32428</v>
      </c>
      <c r="M15" s="94">
        <v>551276</v>
      </c>
    </row>
    <row r="16" spans="1:15" x14ac:dyDescent="0.3">
      <c r="C16" t="s">
        <v>70</v>
      </c>
      <c r="D16" t="s">
        <v>67</v>
      </c>
      <c r="E16" t="s">
        <v>63</v>
      </c>
      <c r="F16" t="s">
        <v>25</v>
      </c>
      <c r="G16" s="4">
        <v>6</v>
      </c>
      <c r="H16" s="4" t="s">
        <v>74</v>
      </c>
      <c r="I16" s="4" t="s">
        <v>69</v>
      </c>
      <c r="J16" s="4" t="s">
        <v>66</v>
      </c>
      <c r="K16" s="4">
        <v>0</v>
      </c>
      <c r="L16" s="94">
        <v>-24573</v>
      </c>
      <c r="M16" s="94">
        <v>0</v>
      </c>
    </row>
    <row r="17" spans="3:13" x14ac:dyDescent="0.3">
      <c r="C17" t="s">
        <v>61</v>
      </c>
      <c r="D17" t="s">
        <v>67</v>
      </c>
      <c r="E17" t="s">
        <v>68</v>
      </c>
      <c r="F17" t="s">
        <v>72</v>
      </c>
      <c r="G17" s="4">
        <v>1</v>
      </c>
      <c r="H17" s="4" t="s">
        <v>78</v>
      </c>
      <c r="I17" s="4" t="s">
        <v>69</v>
      </c>
      <c r="J17" s="4" t="s">
        <v>66</v>
      </c>
      <c r="K17" s="4">
        <v>0</v>
      </c>
      <c r="L17" s="94">
        <v>110041</v>
      </c>
      <c r="M17" s="94">
        <v>110041</v>
      </c>
    </row>
    <row r="18" spans="3:13" x14ac:dyDescent="0.3">
      <c r="C18" t="s">
        <v>61</v>
      </c>
      <c r="D18" t="s">
        <v>67</v>
      </c>
      <c r="E18" t="s">
        <v>63</v>
      </c>
      <c r="F18" t="s">
        <v>25</v>
      </c>
      <c r="G18" s="4">
        <v>6</v>
      </c>
      <c r="H18" s="4" t="s">
        <v>75</v>
      </c>
      <c r="I18" s="4" t="s">
        <v>69</v>
      </c>
      <c r="J18" s="4" t="s">
        <v>66</v>
      </c>
      <c r="K18" s="4">
        <v>0</v>
      </c>
      <c r="L18" s="94">
        <v>-101850</v>
      </c>
      <c r="M18" s="94">
        <v>0</v>
      </c>
    </row>
    <row r="19" spans="3:13" x14ac:dyDescent="0.3">
      <c r="C19" t="s">
        <v>70</v>
      </c>
      <c r="D19" t="s">
        <v>67</v>
      </c>
      <c r="E19" t="s">
        <v>63</v>
      </c>
      <c r="F19" t="s">
        <v>26</v>
      </c>
      <c r="G19" s="4">
        <v>3</v>
      </c>
      <c r="H19" s="4" t="s">
        <v>82</v>
      </c>
      <c r="I19" s="4" t="s">
        <v>69</v>
      </c>
      <c r="J19" s="4" t="s">
        <v>66</v>
      </c>
      <c r="K19" s="4">
        <v>0</v>
      </c>
      <c r="L19" s="94">
        <v>-434540</v>
      </c>
      <c r="M19" s="94">
        <v>0</v>
      </c>
    </row>
    <row r="20" spans="3:13" x14ac:dyDescent="0.3">
      <c r="C20" t="s">
        <v>71</v>
      </c>
      <c r="D20" t="s">
        <v>67</v>
      </c>
      <c r="E20" t="s">
        <v>63</v>
      </c>
      <c r="F20" t="s">
        <v>26</v>
      </c>
      <c r="G20" s="4">
        <v>-4</v>
      </c>
      <c r="H20" s="4" t="s">
        <v>77</v>
      </c>
      <c r="I20" s="4" t="s">
        <v>69</v>
      </c>
      <c r="J20" s="4" t="s">
        <v>66</v>
      </c>
      <c r="K20" s="4">
        <v>0</v>
      </c>
      <c r="L20" s="94">
        <v>-321209</v>
      </c>
      <c r="M20" s="94">
        <v>0</v>
      </c>
    </row>
    <row r="21" spans="3:13" x14ac:dyDescent="0.3">
      <c r="C21" t="s">
        <v>70</v>
      </c>
      <c r="D21" t="s">
        <v>67</v>
      </c>
      <c r="E21" t="s">
        <v>68</v>
      </c>
      <c r="F21" t="s">
        <v>26</v>
      </c>
      <c r="G21" s="4">
        <v>5</v>
      </c>
      <c r="H21" s="4" t="s">
        <v>16</v>
      </c>
      <c r="I21" s="4" t="s">
        <v>65</v>
      </c>
      <c r="J21" s="4" t="s">
        <v>66</v>
      </c>
      <c r="K21" s="4">
        <v>1</v>
      </c>
      <c r="L21" s="94">
        <v>258445</v>
      </c>
      <c r="M21" s="94">
        <v>1292225</v>
      </c>
    </row>
    <row r="22" spans="3:13" x14ac:dyDescent="0.3">
      <c r="C22" t="s">
        <v>71</v>
      </c>
      <c r="D22" t="s">
        <v>62</v>
      </c>
      <c r="E22" t="s">
        <v>63</v>
      </c>
      <c r="F22" t="s">
        <v>24</v>
      </c>
      <c r="G22" s="4">
        <v>39</v>
      </c>
      <c r="I22" s="4" t="s">
        <v>69</v>
      </c>
      <c r="J22" s="4" t="s">
        <v>66</v>
      </c>
      <c r="K22" s="4">
        <v>0</v>
      </c>
      <c r="L22" s="94">
        <v>-495013</v>
      </c>
      <c r="M22" s="94">
        <v>0</v>
      </c>
    </row>
    <row r="23" spans="3:13" x14ac:dyDescent="0.3">
      <c r="C23" t="s">
        <v>61</v>
      </c>
      <c r="D23" t="s">
        <v>67</v>
      </c>
      <c r="E23" t="s">
        <v>63</v>
      </c>
      <c r="F23" t="s">
        <v>25</v>
      </c>
      <c r="G23" s="4">
        <v>-4</v>
      </c>
      <c r="H23" s="4" t="s">
        <v>74</v>
      </c>
      <c r="I23" s="4" t="s">
        <v>69</v>
      </c>
      <c r="J23" s="4" t="s">
        <v>66</v>
      </c>
      <c r="K23" s="4">
        <v>0</v>
      </c>
      <c r="L23" s="94">
        <v>0</v>
      </c>
      <c r="M23" s="94">
        <v>0</v>
      </c>
    </row>
    <row r="24" spans="3:13" x14ac:dyDescent="0.3">
      <c r="C24" t="s">
        <v>61</v>
      </c>
      <c r="D24" t="s">
        <v>67</v>
      </c>
      <c r="E24" t="s">
        <v>68</v>
      </c>
      <c r="F24" t="s">
        <v>26</v>
      </c>
      <c r="G24" s="4">
        <v>3</v>
      </c>
      <c r="H24" s="4" t="s">
        <v>12</v>
      </c>
      <c r="I24" s="4" t="s">
        <v>69</v>
      </c>
      <c r="J24" s="4" t="s">
        <v>66</v>
      </c>
      <c r="K24" s="4">
        <v>0</v>
      </c>
      <c r="L24" s="94">
        <v>2770415</v>
      </c>
      <c r="M24" s="94">
        <v>8311245</v>
      </c>
    </row>
    <row r="25" spans="3:13" x14ac:dyDescent="0.3">
      <c r="C25" t="s">
        <v>71</v>
      </c>
      <c r="D25" t="s">
        <v>67</v>
      </c>
      <c r="E25" t="s">
        <v>63</v>
      </c>
      <c r="F25" t="s">
        <v>26</v>
      </c>
      <c r="G25" s="4">
        <v>-1</v>
      </c>
      <c r="H25" s="4" t="s">
        <v>76</v>
      </c>
      <c r="I25" s="4" t="s">
        <v>69</v>
      </c>
      <c r="J25" s="4" t="s">
        <v>66</v>
      </c>
      <c r="K25" s="4">
        <v>0</v>
      </c>
      <c r="L25" s="94">
        <v>-1960843</v>
      </c>
      <c r="M25" s="94">
        <v>0</v>
      </c>
    </row>
    <row r="26" spans="3:13" x14ac:dyDescent="0.3">
      <c r="C26" t="s">
        <v>61</v>
      </c>
      <c r="D26" t="s">
        <v>67</v>
      </c>
      <c r="E26" t="s">
        <v>68</v>
      </c>
      <c r="F26" t="s">
        <v>72</v>
      </c>
      <c r="G26" s="4">
        <v>6</v>
      </c>
      <c r="H26" s="4" t="s">
        <v>82</v>
      </c>
      <c r="I26" s="4" t="s">
        <v>69</v>
      </c>
      <c r="J26" s="4" t="s">
        <v>66</v>
      </c>
      <c r="K26" s="4">
        <v>0</v>
      </c>
      <c r="L26" s="94">
        <v>1402838</v>
      </c>
      <c r="M26" s="94">
        <v>8417028</v>
      </c>
    </row>
    <row r="27" spans="3:13" x14ac:dyDescent="0.3">
      <c r="C27" t="s">
        <v>70</v>
      </c>
      <c r="D27" t="s">
        <v>67</v>
      </c>
      <c r="E27" t="s">
        <v>68</v>
      </c>
      <c r="F27" t="s">
        <v>72</v>
      </c>
      <c r="G27" s="4">
        <v>1</v>
      </c>
      <c r="H27" s="4" t="s">
        <v>18</v>
      </c>
      <c r="I27" s="4" t="s">
        <v>69</v>
      </c>
      <c r="J27" s="4" t="s">
        <v>73</v>
      </c>
      <c r="K27" s="4">
        <v>1</v>
      </c>
      <c r="L27" s="94">
        <v>71556</v>
      </c>
      <c r="M27" s="94">
        <v>71556</v>
      </c>
    </row>
    <row r="28" spans="3:13" x14ac:dyDescent="0.3">
      <c r="C28" t="s">
        <v>70</v>
      </c>
      <c r="D28" t="s">
        <v>67</v>
      </c>
      <c r="E28" t="s">
        <v>68</v>
      </c>
      <c r="F28" t="s">
        <v>25</v>
      </c>
      <c r="G28" s="4">
        <v>-4</v>
      </c>
      <c r="H28" s="4" t="s">
        <v>17</v>
      </c>
      <c r="I28" s="4" t="s">
        <v>69</v>
      </c>
      <c r="J28" s="4" t="s">
        <v>66</v>
      </c>
      <c r="K28" s="4">
        <v>0</v>
      </c>
      <c r="L28" s="94">
        <v>60932</v>
      </c>
      <c r="M28" s="94">
        <v>0</v>
      </c>
    </row>
    <row r="29" spans="3:13" x14ac:dyDescent="0.3">
      <c r="C29" t="s">
        <v>61</v>
      </c>
      <c r="D29" t="s">
        <v>67</v>
      </c>
      <c r="E29" t="s">
        <v>63</v>
      </c>
      <c r="F29" t="s">
        <v>26</v>
      </c>
      <c r="G29" s="4">
        <v>-1</v>
      </c>
      <c r="H29" s="4" t="s">
        <v>81</v>
      </c>
      <c r="I29" s="4" t="s">
        <v>69</v>
      </c>
      <c r="J29" s="4" t="s">
        <v>66</v>
      </c>
      <c r="K29" s="4">
        <v>0</v>
      </c>
      <c r="L29" s="94">
        <v>-2301</v>
      </c>
      <c r="M29" s="94">
        <v>0</v>
      </c>
    </row>
    <row r="30" spans="3:13" x14ac:dyDescent="0.3">
      <c r="C30" t="s">
        <v>61</v>
      </c>
      <c r="D30" t="s">
        <v>67</v>
      </c>
      <c r="E30" t="s">
        <v>68</v>
      </c>
      <c r="F30" t="s">
        <v>72</v>
      </c>
      <c r="G30" s="4">
        <v>7</v>
      </c>
      <c r="H30" s="4" t="s">
        <v>12</v>
      </c>
      <c r="I30" s="4" t="s">
        <v>69</v>
      </c>
      <c r="J30" s="4" t="s">
        <v>73</v>
      </c>
      <c r="K30" s="4">
        <v>1</v>
      </c>
      <c r="L30" s="94">
        <v>1304233</v>
      </c>
      <c r="M30" s="94">
        <v>9129631</v>
      </c>
    </row>
    <row r="31" spans="3:13" x14ac:dyDescent="0.3">
      <c r="C31" t="s">
        <v>70</v>
      </c>
      <c r="D31" t="s">
        <v>67</v>
      </c>
      <c r="E31" t="s">
        <v>63</v>
      </c>
      <c r="F31" t="s">
        <v>25</v>
      </c>
      <c r="G31" s="4">
        <v>1</v>
      </c>
      <c r="H31" s="4" t="s">
        <v>14</v>
      </c>
      <c r="I31" s="4" t="s">
        <v>69</v>
      </c>
      <c r="J31" s="4" t="s">
        <v>66</v>
      </c>
      <c r="K31" s="4">
        <v>0</v>
      </c>
      <c r="L31" s="94">
        <v>-2595</v>
      </c>
      <c r="M31" s="94">
        <v>0</v>
      </c>
    </row>
    <row r="32" spans="3:13" x14ac:dyDescent="0.3">
      <c r="C32" t="s">
        <v>61</v>
      </c>
      <c r="D32" t="s">
        <v>67</v>
      </c>
      <c r="E32" t="s">
        <v>63</v>
      </c>
      <c r="F32" t="s">
        <v>25</v>
      </c>
      <c r="G32" s="4">
        <v>8</v>
      </c>
      <c r="H32" s="4" t="s">
        <v>16</v>
      </c>
      <c r="I32" s="4" t="s">
        <v>69</v>
      </c>
      <c r="J32" s="4" t="s">
        <v>66</v>
      </c>
      <c r="K32" s="4">
        <v>0</v>
      </c>
      <c r="L32" s="94">
        <v>-1295</v>
      </c>
      <c r="M32" s="94">
        <v>0</v>
      </c>
    </row>
    <row r="33" spans="3:13" x14ac:dyDescent="0.3">
      <c r="C33" t="s">
        <v>61</v>
      </c>
      <c r="D33" t="s">
        <v>67</v>
      </c>
      <c r="E33" t="s">
        <v>63</v>
      </c>
      <c r="F33" t="s">
        <v>25</v>
      </c>
      <c r="G33" s="4">
        <v>5</v>
      </c>
      <c r="H33" s="4" t="s">
        <v>17</v>
      </c>
      <c r="I33" s="4" t="s">
        <v>69</v>
      </c>
      <c r="J33" s="4" t="s">
        <v>66</v>
      </c>
      <c r="K33" s="4">
        <v>1</v>
      </c>
      <c r="L33" s="94">
        <v>-41</v>
      </c>
      <c r="M33" s="94">
        <v>0</v>
      </c>
    </row>
    <row r="34" spans="3:13" x14ac:dyDescent="0.3">
      <c r="C34" t="s">
        <v>61</v>
      </c>
      <c r="D34" t="s">
        <v>67</v>
      </c>
      <c r="E34" t="s">
        <v>63</v>
      </c>
      <c r="F34" t="s">
        <v>72</v>
      </c>
      <c r="G34" s="4">
        <v>-1</v>
      </c>
      <c r="H34" s="4" t="s">
        <v>64</v>
      </c>
      <c r="I34" s="4" t="s">
        <v>69</v>
      </c>
      <c r="J34" s="4" t="s">
        <v>66</v>
      </c>
      <c r="K34" s="4">
        <v>0</v>
      </c>
      <c r="L34" s="94">
        <v>-656</v>
      </c>
      <c r="M34" s="94">
        <v>0</v>
      </c>
    </row>
    <row r="35" spans="3:13" x14ac:dyDescent="0.3">
      <c r="C35" t="s">
        <v>71</v>
      </c>
      <c r="D35" t="s">
        <v>67</v>
      </c>
      <c r="E35" t="s">
        <v>63</v>
      </c>
      <c r="F35" t="s">
        <v>72</v>
      </c>
      <c r="G35" s="4">
        <v>3</v>
      </c>
      <c r="H35" s="4" t="s">
        <v>83</v>
      </c>
      <c r="I35" s="4" t="s">
        <v>69</v>
      </c>
      <c r="J35" s="4" t="s">
        <v>66</v>
      </c>
      <c r="K35" s="4">
        <v>0</v>
      </c>
      <c r="L35" s="94">
        <v>-32824</v>
      </c>
      <c r="M35" s="94">
        <v>0</v>
      </c>
    </row>
    <row r="36" spans="3:13" x14ac:dyDescent="0.3">
      <c r="C36" t="s">
        <v>70</v>
      </c>
      <c r="D36" t="s">
        <v>67</v>
      </c>
      <c r="E36" t="s">
        <v>63</v>
      </c>
      <c r="F36" t="s">
        <v>25</v>
      </c>
      <c r="G36" s="4">
        <v>5</v>
      </c>
      <c r="H36" s="4" t="s">
        <v>18</v>
      </c>
      <c r="I36" s="4" t="s">
        <v>69</v>
      </c>
      <c r="J36" s="4" t="s">
        <v>66</v>
      </c>
      <c r="K36" s="4">
        <v>1</v>
      </c>
      <c r="L36" s="94">
        <v>-1298</v>
      </c>
      <c r="M36" s="94">
        <v>0</v>
      </c>
    </row>
    <row r="37" spans="3:13" x14ac:dyDescent="0.3">
      <c r="C37" t="s">
        <v>71</v>
      </c>
      <c r="D37" t="s">
        <v>67</v>
      </c>
      <c r="E37" t="s">
        <v>68</v>
      </c>
      <c r="F37" t="s">
        <v>26</v>
      </c>
      <c r="G37" s="4">
        <v>4</v>
      </c>
      <c r="H37" s="4" t="s">
        <v>17</v>
      </c>
      <c r="I37" s="4" t="s">
        <v>69</v>
      </c>
      <c r="J37" s="4" t="s">
        <v>66</v>
      </c>
      <c r="K37" s="4">
        <v>0</v>
      </c>
      <c r="L37" s="94">
        <v>1024281</v>
      </c>
      <c r="M37" s="94">
        <v>4097124</v>
      </c>
    </row>
    <row r="38" spans="3:13" x14ac:dyDescent="0.3">
      <c r="C38" t="s">
        <v>61</v>
      </c>
      <c r="D38" t="s">
        <v>67</v>
      </c>
      <c r="E38" t="s">
        <v>68</v>
      </c>
      <c r="F38" t="s">
        <v>25</v>
      </c>
      <c r="G38" s="4">
        <v>4</v>
      </c>
      <c r="H38" s="4" t="s">
        <v>14</v>
      </c>
      <c r="I38" s="4" t="s">
        <v>69</v>
      </c>
      <c r="J38" s="4" t="s">
        <v>66</v>
      </c>
      <c r="K38" s="4">
        <v>1</v>
      </c>
      <c r="L38" s="94">
        <v>2907645</v>
      </c>
      <c r="M38" s="94">
        <v>11630580</v>
      </c>
    </row>
    <row r="39" spans="3:13" x14ac:dyDescent="0.3">
      <c r="C39" t="s">
        <v>70</v>
      </c>
      <c r="D39" t="s">
        <v>67</v>
      </c>
      <c r="E39" t="s">
        <v>68</v>
      </c>
      <c r="F39" t="s">
        <v>72</v>
      </c>
      <c r="G39" s="4">
        <v>2</v>
      </c>
      <c r="H39" s="4" t="s">
        <v>74</v>
      </c>
      <c r="I39" s="4" t="s">
        <v>69</v>
      </c>
      <c r="J39" s="4" t="s">
        <v>66</v>
      </c>
      <c r="K39" s="4">
        <v>0</v>
      </c>
      <c r="L39" s="94">
        <v>503250</v>
      </c>
      <c r="M39" s="94">
        <v>1006500</v>
      </c>
    </row>
    <row r="40" spans="3:13" x14ac:dyDescent="0.3">
      <c r="C40" t="s">
        <v>70</v>
      </c>
      <c r="D40" t="s">
        <v>67</v>
      </c>
      <c r="E40" t="s">
        <v>68</v>
      </c>
      <c r="F40" t="s">
        <v>25</v>
      </c>
      <c r="G40" s="4">
        <v>4</v>
      </c>
      <c r="H40" s="4" t="s">
        <v>18</v>
      </c>
      <c r="I40" s="4" t="s">
        <v>69</v>
      </c>
      <c r="J40" s="4" t="s">
        <v>66</v>
      </c>
      <c r="K40" s="4">
        <v>0</v>
      </c>
      <c r="L40" s="94">
        <v>1135074</v>
      </c>
      <c r="M40" s="94">
        <v>4540296</v>
      </c>
    </row>
    <row r="41" spans="3:13" x14ac:dyDescent="0.3">
      <c r="C41" t="s">
        <v>71</v>
      </c>
      <c r="D41" t="s">
        <v>67</v>
      </c>
      <c r="E41" t="s">
        <v>68</v>
      </c>
      <c r="F41" t="s">
        <v>72</v>
      </c>
      <c r="G41" s="4">
        <v>3</v>
      </c>
      <c r="H41" s="4" t="s">
        <v>64</v>
      </c>
      <c r="I41" s="4" t="s">
        <v>69</v>
      </c>
      <c r="J41" s="4" t="s">
        <v>66</v>
      </c>
      <c r="K41" s="4">
        <v>0</v>
      </c>
      <c r="L41" s="94">
        <v>111740</v>
      </c>
      <c r="M41" s="94">
        <v>335220</v>
      </c>
    </row>
    <row r="42" spans="3:13" x14ac:dyDescent="0.3">
      <c r="C42" t="s">
        <v>61</v>
      </c>
      <c r="D42" t="s">
        <v>67</v>
      </c>
      <c r="E42" t="s">
        <v>63</v>
      </c>
      <c r="F42" t="s">
        <v>25</v>
      </c>
      <c r="G42" s="4">
        <v>11</v>
      </c>
      <c r="H42" s="4" t="s">
        <v>76</v>
      </c>
      <c r="I42" s="4" t="s">
        <v>69</v>
      </c>
      <c r="J42" s="4" t="s">
        <v>66</v>
      </c>
      <c r="K42" s="4">
        <v>0</v>
      </c>
      <c r="L42" s="94">
        <v>-98309</v>
      </c>
      <c r="M42" s="94">
        <v>0</v>
      </c>
    </row>
    <row r="43" spans="3:13" x14ac:dyDescent="0.3">
      <c r="C43" t="s">
        <v>70</v>
      </c>
      <c r="D43" t="s">
        <v>62</v>
      </c>
      <c r="E43" t="s">
        <v>68</v>
      </c>
      <c r="F43" t="s">
        <v>24</v>
      </c>
      <c r="G43" s="4">
        <v>37</v>
      </c>
      <c r="I43" s="4" t="s">
        <v>69</v>
      </c>
      <c r="J43" s="4" t="s">
        <v>66</v>
      </c>
      <c r="K43" s="4">
        <v>0</v>
      </c>
      <c r="L43" s="94">
        <v>67290603</v>
      </c>
      <c r="M43" s="94">
        <v>2489752311</v>
      </c>
    </row>
    <row r="44" spans="3:13" x14ac:dyDescent="0.3">
      <c r="C44" t="s">
        <v>61</v>
      </c>
      <c r="D44" t="s">
        <v>67</v>
      </c>
      <c r="E44" t="s">
        <v>68</v>
      </c>
      <c r="F44" t="s">
        <v>26</v>
      </c>
      <c r="G44" s="4">
        <v>-1</v>
      </c>
      <c r="H44" s="4" t="s">
        <v>14</v>
      </c>
      <c r="I44" s="4" t="s">
        <v>69</v>
      </c>
      <c r="J44" s="4" t="s">
        <v>66</v>
      </c>
      <c r="K44" s="4">
        <v>0</v>
      </c>
      <c r="L44" s="94">
        <v>75940862</v>
      </c>
      <c r="M44" s="94">
        <v>0</v>
      </c>
    </row>
    <row r="45" spans="3:13" x14ac:dyDescent="0.3">
      <c r="C45" t="s">
        <v>61</v>
      </c>
      <c r="D45" t="s">
        <v>67</v>
      </c>
      <c r="E45" t="s">
        <v>63</v>
      </c>
      <c r="F45" t="s">
        <v>26</v>
      </c>
      <c r="G45" s="4">
        <v>0</v>
      </c>
      <c r="H45" s="4" t="s">
        <v>77</v>
      </c>
      <c r="I45" s="4" t="s">
        <v>69</v>
      </c>
      <c r="J45" s="4" t="s">
        <v>66</v>
      </c>
      <c r="K45" s="4">
        <v>0</v>
      </c>
      <c r="L45" s="94">
        <v>-67480</v>
      </c>
      <c r="M45" s="94">
        <v>0</v>
      </c>
    </row>
    <row r="46" spans="3:13" x14ac:dyDescent="0.3">
      <c r="C46" t="s">
        <v>71</v>
      </c>
      <c r="D46" t="s">
        <v>62</v>
      </c>
      <c r="E46" t="s">
        <v>68</v>
      </c>
      <c r="F46" t="s">
        <v>24</v>
      </c>
      <c r="G46" s="4">
        <v>29</v>
      </c>
      <c r="I46" s="4" t="s">
        <v>69</v>
      </c>
      <c r="J46" s="4" t="s">
        <v>66</v>
      </c>
      <c r="K46" s="4">
        <v>1</v>
      </c>
      <c r="L46" s="94">
        <v>47410</v>
      </c>
      <c r="M46" s="94">
        <v>1374890</v>
      </c>
    </row>
    <row r="47" spans="3:13" x14ac:dyDescent="0.3">
      <c r="C47" t="s">
        <v>70</v>
      </c>
      <c r="D47" t="s">
        <v>67</v>
      </c>
      <c r="E47" t="s">
        <v>63</v>
      </c>
      <c r="F47" t="s">
        <v>72</v>
      </c>
      <c r="G47" s="4">
        <v>1</v>
      </c>
      <c r="H47" s="4" t="s">
        <v>17</v>
      </c>
      <c r="I47" s="4" t="s">
        <v>69</v>
      </c>
      <c r="J47" s="4" t="s">
        <v>66</v>
      </c>
      <c r="K47" s="4">
        <v>0</v>
      </c>
      <c r="L47" s="94">
        <v>-29777</v>
      </c>
      <c r="M47" s="94">
        <v>0</v>
      </c>
    </row>
    <row r="48" spans="3:13" x14ac:dyDescent="0.3">
      <c r="C48" t="s">
        <v>61</v>
      </c>
      <c r="D48" t="s">
        <v>67</v>
      </c>
      <c r="E48" t="s">
        <v>68</v>
      </c>
      <c r="F48" t="s">
        <v>25</v>
      </c>
      <c r="G48" s="4">
        <v>7</v>
      </c>
      <c r="H48" s="4" t="s">
        <v>18</v>
      </c>
      <c r="I48" s="4" t="s">
        <v>65</v>
      </c>
      <c r="J48" s="4" t="s">
        <v>66</v>
      </c>
      <c r="K48" s="4">
        <v>1</v>
      </c>
      <c r="L48" s="94">
        <v>71745</v>
      </c>
      <c r="M48" s="94">
        <v>502215</v>
      </c>
    </row>
    <row r="49" spans="3:13" x14ac:dyDescent="0.3">
      <c r="C49" t="s">
        <v>70</v>
      </c>
      <c r="D49" t="s">
        <v>67</v>
      </c>
      <c r="E49" t="s">
        <v>63</v>
      </c>
      <c r="F49" t="s">
        <v>26</v>
      </c>
      <c r="G49" s="4">
        <v>2</v>
      </c>
      <c r="H49" s="4" t="s">
        <v>18</v>
      </c>
      <c r="I49" s="4" t="s">
        <v>69</v>
      </c>
      <c r="J49" s="4" t="s">
        <v>73</v>
      </c>
      <c r="K49" s="4">
        <v>1</v>
      </c>
      <c r="L49" s="94">
        <v>-98308</v>
      </c>
      <c r="M49" s="94">
        <v>0</v>
      </c>
    </row>
    <row r="50" spans="3:13" x14ac:dyDescent="0.3">
      <c r="C50" t="s">
        <v>71</v>
      </c>
      <c r="D50" t="s">
        <v>67</v>
      </c>
      <c r="E50" t="s">
        <v>68</v>
      </c>
      <c r="F50" t="s">
        <v>25</v>
      </c>
      <c r="G50" s="4">
        <v>6</v>
      </c>
      <c r="H50" s="4" t="s">
        <v>17</v>
      </c>
      <c r="I50" s="4" t="s">
        <v>69</v>
      </c>
      <c r="J50" s="4" t="s">
        <v>66</v>
      </c>
      <c r="K50" s="4">
        <v>0</v>
      </c>
      <c r="L50" s="94">
        <v>169548</v>
      </c>
      <c r="M50" s="94">
        <v>1017288</v>
      </c>
    </row>
    <row r="51" spans="3:13" x14ac:dyDescent="0.3">
      <c r="C51" t="s">
        <v>61</v>
      </c>
      <c r="D51" t="s">
        <v>67</v>
      </c>
      <c r="E51" t="s">
        <v>63</v>
      </c>
      <c r="F51" t="s">
        <v>26</v>
      </c>
      <c r="G51" s="4">
        <v>0</v>
      </c>
      <c r="H51" s="4" t="s">
        <v>12</v>
      </c>
      <c r="I51" s="4" t="s">
        <v>65</v>
      </c>
      <c r="J51" s="4" t="s">
        <v>73</v>
      </c>
      <c r="K51" s="4">
        <v>1</v>
      </c>
      <c r="L51" s="94">
        <v>-724</v>
      </c>
      <c r="M51" s="94">
        <v>0</v>
      </c>
    </row>
    <row r="52" spans="3:13" x14ac:dyDescent="0.3">
      <c r="C52" t="s">
        <v>70</v>
      </c>
      <c r="D52" t="s">
        <v>62</v>
      </c>
      <c r="E52" t="s">
        <v>68</v>
      </c>
      <c r="F52" t="s">
        <v>24</v>
      </c>
      <c r="G52" s="4">
        <v>39</v>
      </c>
      <c r="I52" s="4" t="s">
        <v>65</v>
      </c>
      <c r="J52" s="4" t="s">
        <v>66</v>
      </c>
      <c r="K52" s="4">
        <v>1</v>
      </c>
      <c r="L52" s="94">
        <v>556514</v>
      </c>
      <c r="M52" s="94">
        <v>21704046</v>
      </c>
    </row>
    <row r="53" spans="3:13" x14ac:dyDescent="0.3">
      <c r="C53" t="s">
        <v>70</v>
      </c>
      <c r="D53" t="s">
        <v>62</v>
      </c>
      <c r="E53" t="s">
        <v>68</v>
      </c>
      <c r="F53" t="s">
        <v>24</v>
      </c>
      <c r="G53" s="4">
        <v>11</v>
      </c>
      <c r="I53" s="4" t="s">
        <v>69</v>
      </c>
      <c r="J53" s="4" t="s">
        <v>66</v>
      </c>
      <c r="K53" s="4">
        <v>1</v>
      </c>
      <c r="L53" s="94">
        <v>229278</v>
      </c>
      <c r="M53" s="94">
        <v>2522058</v>
      </c>
    </row>
    <row r="54" spans="3:13" x14ac:dyDescent="0.3">
      <c r="C54" t="s">
        <v>71</v>
      </c>
      <c r="D54" t="s">
        <v>67</v>
      </c>
      <c r="E54" t="s">
        <v>68</v>
      </c>
      <c r="F54" t="s">
        <v>26</v>
      </c>
      <c r="G54" s="4">
        <v>2</v>
      </c>
      <c r="H54" s="4" t="s">
        <v>14</v>
      </c>
      <c r="I54" s="4" t="s">
        <v>69</v>
      </c>
      <c r="J54" s="4" t="s">
        <v>66</v>
      </c>
      <c r="K54" s="4">
        <v>0</v>
      </c>
      <c r="L54" s="94">
        <v>4392465</v>
      </c>
      <c r="M54" s="94">
        <v>8784930</v>
      </c>
    </row>
    <row r="55" spans="3:13" x14ac:dyDescent="0.3">
      <c r="C55" t="s">
        <v>71</v>
      </c>
      <c r="D55" t="s">
        <v>67</v>
      </c>
      <c r="E55" t="s">
        <v>63</v>
      </c>
      <c r="F55" t="s">
        <v>25</v>
      </c>
      <c r="G55" s="4">
        <v>11</v>
      </c>
      <c r="H55" s="4" t="s">
        <v>80</v>
      </c>
      <c r="I55" s="4" t="s">
        <v>69</v>
      </c>
      <c r="J55" s="4" t="s">
        <v>66</v>
      </c>
      <c r="K55" s="4">
        <v>0</v>
      </c>
      <c r="L55" s="94">
        <v>-22652</v>
      </c>
      <c r="M55" s="94">
        <v>0</v>
      </c>
    </row>
    <row r="56" spans="3:13" x14ac:dyDescent="0.3">
      <c r="C56" t="s">
        <v>71</v>
      </c>
      <c r="D56" t="s">
        <v>85</v>
      </c>
      <c r="E56" t="s">
        <v>68</v>
      </c>
      <c r="F56" t="s">
        <v>25</v>
      </c>
      <c r="G56" s="4">
        <v>13</v>
      </c>
      <c r="H56" s="4" t="s">
        <v>81</v>
      </c>
      <c r="I56" s="4" t="s">
        <v>69</v>
      </c>
      <c r="J56" s="4" t="s">
        <v>66</v>
      </c>
      <c r="K56" s="4">
        <v>0</v>
      </c>
      <c r="L56" s="94">
        <v>372596</v>
      </c>
      <c r="M56" s="94">
        <v>4843748</v>
      </c>
    </row>
    <row r="57" spans="3:13" x14ac:dyDescent="0.3">
      <c r="C57" t="s">
        <v>71</v>
      </c>
      <c r="D57" t="s">
        <v>67</v>
      </c>
      <c r="E57" t="s">
        <v>68</v>
      </c>
      <c r="F57" t="s">
        <v>26</v>
      </c>
      <c r="G57" s="4">
        <v>-4</v>
      </c>
      <c r="H57" s="4" t="s">
        <v>18</v>
      </c>
      <c r="I57" s="4" t="s">
        <v>69</v>
      </c>
      <c r="J57" s="4" t="s">
        <v>73</v>
      </c>
      <c r="K57" s="4">
        <v>1</v>
      </c>
      <c r="L57" s="94">
        <v>106157</v>
      </c>
      <c r="M57" s="94">
        <v>0</v>
      </c>
    </row>
    <row r="58" spans="3:13" x14ac:dyDescent="0.3">
      <c r="C58" t="s">
        <v>70</v>
      </c>
      <c r="D58" t="s">
        <v>84</v>
      </c>
      <c r="E58" t="s">
        <v>63</v>
      </c>
      <c r="F58" t="s">
        <v>25</v>
      </c>
      <c r="G58" s="4">
        <v>7</v>
      </c>
      <c r="H58" s="4" t="s">
        <v>81</v>
      </c>
      <c r="I58" s="4" t="s">
        <v>69</v>
      </c>
      <c r="J58" s="4" t="s">
        <v>66</v>
      </c>
      <c r="K58" s="4">
        <v>0</v>
      </c>
      <c r="L58" s="94">
        <v>-10654</v>
      </c>
      <c r="M58" s="94">
        <v>0</v>
      </c>
    </row>
    <row r="59" spans="3:13" x14ac:dyDescent="0.3">
      <c r="C59" t="s">
        <v>71</v>
      </c>
      <c r="D59" t="s">
        <v>67</v>
      </c>
      <c r="E59" t="s">
        <v>63</v>
      </c>
      <c r="F59" t="s">
        <v>26</v>
      </c>
      <c r="G59" s="4">
        <v>14</v>
      </c>
      <c r="H59" s="4" t="s">
        <v>14</v>
      </c>
      <c r="I59" s="4" t="s">
        <v>69</v>
      </c>
      <c r="J59" s="4" t="s">
        <v>66</v>
      </c>
      <c r="K59" s="4">
        <v>0</v>
      </c>
      <c r="L59" s="94">
        <v>-1134019</v>
      </c>
      <c r="M59" s="94">
        <v>0</v>
      </c>
    </row>
    <row r="60" spans="3:13" x14ac:dyDescent="0.3">
      <c r="C60" t="s">
        <v>70</v>
      </c>
      <c r="D60" t="s">
        <v>67</v>
      </c>
      <c r="E60" t="s">
        <v>63</v>
      </c>
      <c r="F60" t="s">
        <v>26</v>
      </c>
      <c r="G60" s="4">
        <v>5</v>
      </c>
      <c r="H60" s="4" t="s">
        <v>12</v>
      </c>
      <c r="I60" s="4" t="s">
        <v>69</v>
      </c>
      <c r="J60" s="4" t="s">
        <v>66</v>
      </c>
      <c r="K60" s="4">
        <v>0</v>
      </c>
      <c r="L60" s="94">
        <v>-18419</v>
      </c>
      <c r="M60" s="94">
        <v>0</v>
      </c>
    </row>
    <row r="61" spans="3:13" x14ac:dyDescent="0.3">
      <c r="C61" t="s">
        <v>61</v>
      </c>
      <c r="D61" t="s">
        <v>67</v>
      </c>
      <c r="E61" t="s">
        <v>68</v>
      </c>
      <c r="F61" t="s">
        <v>26</v>
      </c>
      <c r="G61" s="4">
        <v>1</v>
      </c>
      <c r="H61" s="4" t="s">
        <v>13</v>
      </c>
      <c r="I61" s="4" t="s">
        <v>69</v>
      </c>
      <c r="J61" s="4" t="s">
        <v>73</v>
      </c>
      <c r="K61" s="4">
        <v>1</v>
      </c>
      <c r="L61" s="94">
        <v>353956</v>
      </c>
      <c r="M61" s="94">
        <v>353956</v>
      </c>
    </row>
    <row r="62" spans="3:13" x14ac:dyDescent="0.3">
      <c r="C62" t="s">
        <v>61</v>
      </c>
      <c r="D62" t="s">
        <v>67</v>
      </c>
      <c r="E62" t="s">
        <v>68</v>
      </c>
      <c r="F62" t="s">
        <v>25</v>
      </c>
      <c r="G62" s="4">
        <v>5</v>
      </c>
      <c r="H62" s="4" t="s">
        <v>14</v>
      </c>
      <c r="I62" s="4" t="s">
        <v>69</v>
      </c>
      <c r="J62" s="4" t="s">
        <v>66</v>
      </c>
      <c r="K62" s="4">
        <v>1</v>
      </c>
      <c r="L62" s="94">
        <v>2330092</v>
      </c>
      <c r="M62" s="94">
        <v>11650460</v>
      </c>
    </row>
    <row r="63" spans="3:13" x14ac:dyDescent="0.3">
      <c r="C63" t="s">
        <v>61</v>
      </c>
      <c r="D63" t="s">
        <v>67</v>
      </c>
      <c r="E63" t="s">
        <v>68</v>
      </c>
      <c r="F63" t="s">
        <v>26</v>
      </c>
      <c r="G63" s="4">
        <v>11</v>
      </c>
      <c r="H63" s="4" t="s">
        <v>64</v>
      </c>
      <c r="I63" s="4" t="s">
        <v>69</v>
      </c>
      <c r="J63" s="4" t="s">
        <v>66</v>
      </c>
      <c r="K63" s="4">
        <v>0</v>
      </c>
      <c r="L63" s="94">
        <v>114365</v>
      </c>
      <c r="M63" s="94">
        <v>1258015</v>
      </c>
    </row>
    <row r="64" spans="3:13" x14ac:dyDescent="0.3">
      <c r="C64" t="s">
        <v>61</v>
      </c>
      <c r="D64" t="s">
        <v>67</v>
      </c>
      <c r="E64" t="s">
        <v>68</v>
      </c>
      <c r="F64" t="s">
        <v>26</v>
      </c>
      <c r="G64" s="4">
        <v>0</v>
      </c>
      <c r="H64" s="4" t="s">
        <v>89</v>
      </c>
      <c r="I64" s="4" t="s">
        <v>69</v>
      </c>
      <c r="J64" s="4" t="s">
        <v>66</v>
      </c>
      <c r="K64" s="4">
        <v>0</v>
      </c>
      <c r="L64" s="94">
        <v>29873</v>
      </c>
      <c r="M64" s="94">
        <v>0</v>
      </c>
    </row>
    <row r="65" spans="3:13" x14ac:dyDescent="0.3">
      <c r="C65" t="s">
        <v>70</v>
      </c>
      <c r="D65" t="s">
        <v>67</v>
      </c>
      <c r="E65" t="s">
        <v>68</v>
      </c>
      <c r="F65" t="s">
        <v>25</v>
      </c>
      <c r="G65" s="4">
        <v>2</v>
      </c>
      <c r="H65" s="4" t="s">
        <v>14</v>
      </c>
      <c r="I65" s="4" t="s">
        <v>69</v>
      </c>
      <c r="J65" s="4" t="s">
        <v>66</v>
      </c>
      <c r="K65" s="4">
        <v>0</v>
      </c>
      <c r="L65" s="94">
        <v>293769</v>
      </c>
      <c r="M65" s="94">
        <v>587538</v>
      </c>
    </row>
    <row r="66" spans="3:13" x14ac:dyDescent="0.3">
      <c r="C66" t="s">
        <v>70</v>
      </c>
      <c r="D66" t="s">
        <v>67</v>
      </c>
      <c r="E66" t="s">
        <v>68</v>
      </c>
      <c r="F66" t="s">
        <v>25</v>
      </c>
      <c r="G66" s="4">
        <v>11</v>
      </c>
      <c r="H66" s="4" t="s">
        <v>78</v>
      </c>
      <c r="I66" s="4" t="s">
        <v>69</v>
      </c>
      <c r="J66" s="4" t="s">
        <v>66</v>
      </c>
      <c r="K66" s="4">
        <v>0</v>
      </c>
      <c r="L66" s="94">
        <v>102746</v>
      </c>
      <c r="M66" s="94">
        <v>1130206</v>
      </c>
    </row>
    <row r="67" spans="3:13" x14ac:dyDescent="0.3">
      <c r="C67" t="s">
        <v>61</v>
      </c>
      <c r="D67" t="s">
        <v>67</v>
      </c>
      <c r="E67" t="s">
        <v>63</v>
      </c>
      <c r="F67" t="s">
        <v>25</v>
      </c>
      <c r="G67" s="4">
        <v>0</v>
      </c>
      <c r="H67" s="4" t="s">
        <v>12</v>
      </c>
      <c r="I67" s="4" t="s">
        <v>69</v>
      </c>
      <c r="J67" s="4" t="s">
        <v>66</v>
      </c>
      <c r="K67" s="4">
        <v>1</v>
      </c>
      <c r="L67" s="94">
        <v>-14</v>
      </c>
      <c r="M67" s="94">
        <v>0</v>
      </c>
    </row>
    <row r="68" spans="3:13" x14ac:dyDescent="0.3">
      <c r="C68" t="s">
        <v>61</v>
      </c>
      <c r="D68" t="s">
        <v>67</v>
      </c>
      <c r="E68" t="s">
        <v>68</v>
      </c>
      <c r="F68" t="s">
        <v>25</v>
      </c>
      <c r="G68" s="4">
        <v>2</v>
      </c>
      <c r="H68" s="4" t="s">
        <v>18</v>
      </c>
      <c r="I68" s="4" t="s">
        <v>69</v>
      </c>
      <c r="J68" s="4" t="s">
        <v>66</v>
      </c>
      <c r="K68" s="4">
        <v>1</v>
      </c>
      <c r="L68" s="94">
        <v>1638291</v>
      </c>
      <c r="M68" s="94">
        <v>3276582</v>
      </c>
    </row>
    <row r="69" spans="3:13" x14ac:dyDescent="0.3">
      <c r="C69" t="s">
        <v>61</v>
      </c>
      <c r="D69" t="s">
        <v>62</v>
      </c>
      <c r="E69" t="s">
        <v>68</v>
      </c>
      <c r="F69" t="s">
        <v>24</v>
      </c>
      <c r="G69" s="4">
        <v>39</v>
      </c>
      <c r="I69" s="4" t="s">
        <v>69</v>
      </c>
      <c r="J69" s="4" t="s">
        <v>66</v>
      </c>
      <c r="K69" s="4">
        <v>0</v>
      </c>
      <c r="L69" s="94">
        <v>390351290</v>
      </c>
      <c r="M69" s="94">
        <v>15223700310</v>
      </c>
    </row>
    <row r="70" spans="3:13" x14ac:dyDescent="0.3">
      <c r="C70" t="s">
        <v>70</v>
      </c>
      <c r="D70" t="s">
        <v>67</v>
      </c>
      <c r="E70" t="s">
        <v>63</v>
      </c>
      <c r="F70" t="s">
        <v>25</v>
      </c>
      <c r="G70" s="4">
        <v>6</v>
      </c>
      <c r="H70" s="4" t="s">
        <v>80</v>
      </c>
      <c r="I70" s="4" t="s">
        <v>69</v>
      </c>
      <c r="J70" s="4" t="s">
        <v>66</v>
      </c>
      <c r="K70" s="4">
        <v>0</v>
      </c>
      <c r="L70" s="94">
        <v>-266</v>
      </c>
      <c r="M70" s="94">
        <v>0</v>
      </c>
    </row>
    <row r="71" spans="3:13" x14ac:dyDescent="0.3">
      <c r="C71" t="s">
        <v>71</v>
      </c>
      <c r="D71" t="s">
        <v>67</v>
      </c>
      <c r="E71" t="s">
        <v>68</v>
      </c>
      <c r="F71" t="s">
        <v>26</v>
      </c>
      <c r="G71" s="4">
        <v>9</v>
      </c>
      <c r="H71" s="4" t="s">
        <v>18</v>
      </c>
      <c r="I71" s="4" t="s">
        <v>69</v>
      </c>
      <c r="J71" s="4" t="s">
        <v>66</v>
      </c>
      <c r="K71" s="4">
        <v>0</v>
      </c>
      <c r="L71" s="94">
        <v>4715721</v>
      </c>
      <c r="M71" s="94">
        <v>42441489</v>
      </c>
    </row>
    <row r="72" spans="3:13" x14ac:dyDescent="0.3">
      <c r="C72" t="s">
        <v>61</v>
      </c>
      <c r="D72" t="s">
        <v>67</v>
      </c>
      <c r="E72" t="s">
        <v>63</v>
      </c>
      <c r="F72" t="s">
        <v>25</v>
      </c>
      <c r="G72" s="4">
        <v>6</v>
      </c>
      <c r="H72" s="4" t="s">
        <v>83</v>
      </c>
      <c r="I72" s="4" t="s">
        <v>69</v>
      </c>
      <c r="J72" s="4" t="s">
        <v>66</v>
      </c>
      <c r="K72" s="4">
        <v>0</v>
      </c>
      <c r="L72" s="94">
        <v>-344</v>
      </c>
      <c r="M72" s="94">
        <v>0</v>
      </c>
    </row>
    <row r="73" spans="3:13" x14ac:dyDescent="0.3">
      <c r="C73" t="s">
        <v>61</v>
      </c>
      <c r="D73" t="s">
        <v>67</v>
      </c>
      <c r="E73" t="s">
        <v>63</v>
      </c>
      <c r="F73" t="s">
        <v>26</v>
      </c>
      <c r="G73" s="4">
        <v>3</v>
      </c>
      <c r="H73" s="4" t="s">
        <v>13</v>
      </c>
      <c r="I73" s="4" t="s">
        <v>69</v>
      </c>
      <c r="J73" s="4" t="s">
        <v>73</v>
      </c>
      <c r="K73" s="4">
        <v>1</v>
      </c>
      <c r="L73" s="94">
        <v>-3457</v>
      </c>
      <c r="M73" s="94">
        <v>0</v>
      </c>
    </row>
    <row r="74" spans="3:13" x14ac:dyDescent="0.3">
      <c r="C74" t="s">
        <v>71</v>
      </c>
      <c r="D74" t="s">
        <v>67</v>
      </c>
      <c r="E74" t="s">
        <v>68</v>
      </c>
      <c r="F74" t="s">
        <v>26</v>
      </c>
      <c r="G74" s="4">
        <v>6</v>
      </c>
      <c r="H74" s="4" t="s">
        <v>64</v>
      </c>
      <c r="I74" s="4" t="s">
        <v>69</v>
      </c>
      <c r="J74" s="4" t="s">
        <v>66</v>
      </c>
      <c r="K74" s="4">
        <v>0</v>
      </c>
      <c r="L74" s="94">
        <v>18128</v>
      </c>
      <c r="M74" s="94">
        <v>108768</v>
      </c>
    </row>
    <row r="75" spans="3:13" x14ac:dyDescent="0.3">
      <c r="C75" t="s">
        <v>70</v>
      </c>
      <c r="D75" t="s">
        <v>67</v>
      </c>
      <c r="E75" t="s">
        <v>68</v>
      </c>
      <c r="F75" t="s">
        <v>26</v>
      </c>
      <c r="G75" s="4">
        <v>2</v>
      </c>
      <c r="H75" s="4" t="s">
        <v>14</v>
      </c>
      <c r="I75" s="4" t="s">
        <v>65</v>
      </c>
      <c r="J75" s="4" t="s">
        <v>66</v>
      </c>
      <c r="K75" s="4">
        <v>1</v>
      </c>
      <c r="L75" s="94">
        <v>29954</v>
      </c>
      <c r="M75" s="94">
        <v>59908</v>
      </c>
    </row>
    <row r="76" spans="3:13" x14ac:dyDescent="0.3">
      <c r="C76" t="s">
        <v>71</v>
      </c>
      <c r="D76" t="s">
        <v>67</v>
      </c>
      <c r="E76" t="s">
        <v>63</v>
      </c>
      <c r="F76" t="s">
        <v>26</v>
      </c>
      <c r="G76" s="4">
        <v>-4</v>
      </c>
      <c r="H76" s="4" t="s">
        <v>12</v>
      </c>
      <c r="I76" s="4" t="s">
        <v>65</v>
      </c>
      <c r="J76" s="4" t="s">
        <v>73</v>
      </c>
      <c r="K76" s="4">
        <v>1</v>
      </c>
      <c r="L76" s="94">
        <v>-221145</v>
      </c>
      <c r="M76" s="94">
        <v>0</v>
      </c>
    </row>
    <row r="77" spans="3:13" x14ac:dyDescent="0.3">
      <c r="C77" t="s">
        <v>61</v>
      </c>
      <c r="D77" t="s">
        <v>67</v>
      </c>
      <c r="E77" t="s">
        <v>68</v>
      </c>
      <c r="F77" t="s">
        <v>26</v>
      </c>
      <c r="G77" s="4">
        <v>7</v>
      </c>
      <c r="H77" s="4" t="s">
        <v>18</v>
      </c>
      <c r="I77" s="4" t="s">
        <v>69</v>
      </c>
      <c r="J77" s="4" t="s">
        <v>66</v>
      </c>
      <c r="K77" s="4">
        <v>0</v>
      </c>
      <c r="L77" s="94">
        <v>6046684</v>
      </c>
      <c r="M77" s="94">
        <v>42326788</v>
      </c>
    </row>
    <row r="78" spans="3:13" x14ac:dyDescent="0.3">
      <c r="C78" t="s">
        <v>61</v>
      </c>
      <c r="D78" t="s">
        <v>67</v>
      </c>
      <c r="E78" t="s">
        <v>63</v>
      </c>
      <c r="F78" t="s">
        <v>26</v>
      </c>
      <c r="G78" s="4">
        <v>0</v>
      </c>
      <c r="H78" s="4" t="s">
        <v>89</v>
      </c>
      <c r="I78" s="4" t="s">
        <v>69</v>
      </c>
      <c r="J78" s="4" t="s">
        <v>66</v>
      </c>
      <c r="K78" s="4">
        <v>0</v>
      </c>
      <c r="L78" s="94">
        <v>-335</v>
      </c>
      <c r="M78" s="94">
        <v>0</v>
      </c>
    </row>
    <row r="79" spans="3:13" x14ac:dyDescent="0.3">
      <c r="C79" t="s">
        <v>61</v>
      </c>
      <c r="D79" t="s">
        <v>67</v>
      </c>
      <c r="E79" t="s">
        <v>68</v>
      </c>
      <c r="F79" t="s">
        <v>72</v>
      </c>
      <c r="G79" s="4">
        <v>3</v>
      </c>
      <c r="H79" s="4" t="s">
        <v>16</v>
      </c>
      <c r="I79" s="4" t="s">
        <v>69</v>
      </c>
      <c r="J79" s="4" t="s">
        <v>66</v>
      </c>
      <c r="K79" s="4">
        <v>0</v>
      </c>
      <c r="L79" s="94">
        <v>355675</v>
      </c>
      <c r="M79" s="94">
        <v>1067025</v>
      </c>
    </row>
    <row r="80" spans="3:13" x14ac:dyDescent="0.3">
      <c r="C80" t="s">
        <v>70</v>
      </c>
      <c r="D80" t="s">
        <v>67</v>
      </c>
      <c r="E80" t="s">
        <v>68</v>
      </c>
      <c r="F80" t="s">
        <v>72</v>
      </c>
      <c r="G80" s="4">
        <v>-1</v>
      </c>
      <c r="H80" s="4" t="s">
        <v>14</v>
      </c>
      <c r="I80" s="4" t="s">
        <v>69</v>
      </c>
      <c r="J80" s="4" t="s">
        <v>66</v>
      </c>
      <c r="K80" s="4">
        <v>0</v>
      </c>
      <c r="L80" s="94">
        <v>1189626</v>
      </c>
      <c r="M80" s="94">
        <v>0</v>
      </c>
    </row>
    <row r="81" spans="3:13" x14ac:dyDescent="0.3">
      <c r="C81" t="s">
        <v>61</v>
      </c>
      <c r="D81" t="s">
        <v>67</v>
      </c>
      <c r="E81" t="s">
        <v>63</v>
      </c>
      <c r="F81" t="s">
        <v>25</v>
      </c>
      <c r="G81" s="4">
        <v>12</v>
      </c>
      <c r="H81" s="4" t="s">
        <v>82</v>
      </c>
      <c r="I81" s="4" t="s">
        <v>69</v>
      </c>
      <c r="J81" s="4" t="s">
        <v>66</v>
      </c>
      <c r="K81" s="4">
        <v>0</v>
      </c>
      <c r="L81" s="94">
        <v>-568</v>
      </c>
      <c r="M81" s="94">
        <v>0</v>
      </c>
    </row>
    <row r="82" spans="3:13" x14ac:dyDescent="0.3">
      <c r="C82" t="s">
        <v>70</v>
      </c>
      <c r="D82" t="s">
        <v>67</v>
      </c>
      <c r="E82" t="s">
        <v>68</v>
      </c>
      <c r="F82" t="s">
        <v>26</v>
      </c>
      <c r="G82" s="4">
        <v>1</v>
      </c>
      <c r="H82" s="4" t="s">
        <v>86</v>
      </c>
      <c r="I82" s="4" t="s">
        <v>69</v>
      </c>
      <c r="J82" s="4" t="s">
        <v>66</v>
      </c>
      <c r="K82" s="4">
        <v>0</v>
      </c>
      <c r="L82" s="94">
        <v>29643</v>
      </c>
      <c r="M82" s="94">
        <v>29643</v>
      </c>
    </row>
    <row r="83" spans="3:13" x14ac:dyDescent="0.3">
      <c r="C83" t="s">
        <v>71</v>
      </c>
      <c r="D83" t="s">
        <v>67</v>
      </c>
      <c r="E83" t="s">
        <v>68</v>
      </c>
      <c r="F83" t="s">
        <v>26</v>
      </c>
      <c r="G83" s="4">
        <v>8</v>
      </c>
      <c r="H83" s="4" t="s">
        <v>14</v>
      </c>
      <c r="I83" s="4" t="s">
        <v>69</v>
      </c>
      <c r="J83" s="4" t="s">
        <v>66</v>
      </c>
      <c r="K83" s="4">
        <v>0</v>
      </c>
      <c r="L83" s="94">
        <v>1073286</v>
      </c>
      <c r="M83" s="94">
        <v>8586288</v>
      </c>
    </row>
    <row r="84" spans="3:13" x14ac:dyDescent="0.3">
      <c r="C84" t="s">
        <v>71</v>
      </c>
      <c r="D84" t="s">
        <v>67</v>
      </c>
      <c r="E84" t="s">
        <v>63</v>
      </c>
      <c r="F84" t="s">
        <v>26</v>
      </c>
      <c r="G84" s="4">
        <v>8</v>
      </c>
      <c r="H84" s="4" t="s">
        <v>16</v>
      </c>
      <c r="I84" s="4" t="s">
        <v>69</v>
      </c>
      <c r="J84" s="4" t="s">
        <v>66</v>
      </c>
      <c r="K84" s="4">
        <v>0</v>
      </c>
      <c r="L84" s="94">
        <v>-407175</v>
      </c>
      <c r="M84" s="94">
        <v>0</v>
      </c>
    </row>
    <row r="85" spans="3:13" x14ac:dyDescent="0.3">
      <c r="C85" t="s">
        <v>61</v>
      </c>
      <c r="D85" t="s">
        <v>67</v>
      </c>
      <c r="E85" t="s">
        <v>68</v>
      </c>
      <c r="F85" t="s">
        <v>25</v>
      </c>
      <c r="G85" s="4">
        <v>15</v>
      </c>
      <c r="H85" s="4" t="s">
        <v>76</v>
      </c>
      <c r="I85" s="4" t="s">
        <v>69</v>
      </c>
      <c r="J85" s="4" t="s">
        <v>66</v>
      </c>
      <c r="K85" s="4">
        <v>0</v>
      </c>
      <c r="L85" s="94">
        <v>38950614</v>
      </c>
      <c r="M85" s="94">
        <v>584259210</v>
      </c>
    </row>
    <row r="86" spans="3:13" x14ac:dyDescent="0.3">
      <c r="C86" t="s">
        <v>61</v>
      </c>
      <c r="D86" t="s">
        <v>67</v>
      </c>
      <c r="E86" t="s">
        <v>63</v>
      </c>
      <c r="F86" t="s">
        <v>25</v>
      </c>
      <c r="G86" s="4">
        <v>3</v>
      </c>
      <c r="H86" s="4" t="s">
        <v>14</v>
      </c>
      <c r="I86" s="4" t="s">
        <v>69</v>
      </c>
      <c r="J86" s="4" t="s">
        <v>66</v>
      </c>
      <c r="K86" s="4">
        <v>1</v>
      </c>
      <c r="L86" s="94">
        <v>-1987</v>
      </c>
      <c r="M86" s="94">
        <v>0</v>
      </c>
    </row>
    <row r="87" spans="3:13" x14ac:dyDescent="0.3">
      <c r="C87" t="s">
        <v>71</v>
      </c>
      <c r="D87" t="s">
        <v>67</v>
      </c>
      <c r="E87" t="s">
        <v>68</v>
      </c>
      <c r="F87" t="s">
        <v>26</v>
      </c>
      <c r="G87" s="4">
        <v>7</v>
      </c>
      <c r="H87" s="4" t="s">
        <v>74</v>
      </c>
      <c r="I87" s="4" t="s">
        <v>69</v>
      </c>
      <c r="J87" s="4" t="s">
        <v>66</v>
      </c>
      <c r="K87" s="4">
        <v>0</v>
      </c>
      <c r="L87" s="94">
        <v>273084</v>
      </c>
      <c r="M87" s="94">
        <v>1911588</v>
      </c>
    </row>
    <row r="88" spans="3:13" x14ac:dyDescent="0.3">
      <c r="C88" t="s">
        <v>61</v>
      </c>
      <c r="D88" t="s">
        <v>67</v>
      </c>
      <c r="E88" t="s">
        <v>68</v>
      </c>
      <c r="F88" t="s">
        <v>25</v>
      </c>
      <c r="G88" s="4">
        <v>-1</v>
      </c>
      <c r="H88" s="4" t="s">
        <v>17</v>
      </c>
      <c r="I88" s="4" t="s">
        <v>69</v>
      </c>
      <c r="J88" s="4" t="s">
        <v>66</v>
      </c>
      <c r="K88" s="4">
        <v>0</v>
      </c>
      <c r="L88" s="94">
        <v>2780867</v>
      </c>
      <c r="M88" s="94">
        <v>0</v>
      </c>
    </row>
    <row r="89" spans="3:13" x14ac:dyDescent="0.3">
      <c r="C89" t="s">
        <v>70</v>
      </c>
      <c r="D89" t="s">
        <v>67</v>
      </c>
      <c r="E89" t="s">
        <v>68</v>
      </c>
      <c r="F89" t="s">
        <v>25</v>
      </c>
      <c r="G89" s="4">
        <v>-1</v>
      </c>
      <c r="H89" s="4" t="s">
        <v>13</v>
      </c>
      <c r="I89" s="4" t="s">
        <v>69</v>
      </c>
      <c r="J89" s="4" t="s">
        <v>66</v>
      </c>
      <c r="K89" s="4">
        <v>1</v>
      </c>
      <c r="L89" s="94">
        <v>1</v>
      </c>
      <c r="M89" s="94">
        <v>0</v>
      </c>
    </row>
    <row r="90" spans="3:13" x14ac:dyDescent="0.3">
      <c r="C90" t="s">
        <v>70</v>
      </c>
      <c r="D90" t="s">
        <v>62</v>
      </c>
      <c r="E90" t="s">
        <v>68</v>
      </c>
      <c r="F90" t="s">
        <v>24</v>
      </c>
      <c r="G90" s="4">
        <v>13</v>
      </c>
      <c r="I90" s="4" t="s">
        <v>65</v>
      </c>
      <c r="J90" s="4" t="s">
        <v>66</v>
      </c>
      <c r="K90" s="4">
        <v>1</v>
      </c>
      <c r="L90" s="94">
        <v>297707</v>
      </c>
      <c r="M90" s="94">
        <v>3870191</v>
      </c>
    </row>
    <row r="91" spans="3:13" x14ac:dyDescent="0.3">
      <c r="C91" t="s">
        <v>61</v>
      </c>
      <c r="D91" t="s">
        <v>67</v>
      </c>
      <c r="E91" t="s">
        <v>68</v>
      </c>
      <c r="F91" t="s">
        <v>26</v>
      </c>
      <c r="G91" s="4">
        <v>0</v>
      </c>
      <c r="H91" s="4" t="s">
        <v>14</v>
      </c>
      <c r="I91" s="4" t="s">
        <v>65</v>
      </c>
      <c r="J91" s="4" t="s">
        <v>73</v>
      </c>
      <c r="K91" s="4">
        <v>1</v>
      </c>
      <c r="L91" s="94">
        <v>12894306</v>
      </c>
      <c r="M91" s="94">
        <v>0</v>
      </c>
    </row>
    <row r="92" spans="3:13" x14ac:dyDescent="0.3">
      <c r="C92" t="s">
        <v>61</v>
      </c>
      <c r="D92" t="s">
        <v>67</v>
      </c>
      <c r="E92" t="s">
        <v>68</v>
      </c>
      <c r="F92" t="s">
        <v>26</v>
      </c>
      <c r="G92" s="4">
        <v>8</v>
      </c>
      <c r="H92" s="4" t="s">
        <v>76</v>
      </c>
      <c r="I92" s="4" t="s">
        <v>69</v>
      </c>
      <c r="J92" s="4" t="s">
        <v>66</v>
      </c>
      <c r="K92" s="4">
        <v>0</v>
      </c>
      <c r="L92" s="94">
        <v>2904891</v>
      </c>
      <c r="M92" s="94">
        <v>23239128</v>
      </c>
    </row>
    <row r="93" spans="3:13" x14ac:dyDescent="0.3">
      <c r="C93" t="s">
        <v>61</v>
      </c>
      <c r="D93" t="s">
        <v>67</v>
      </c>
      <c r="E93" t="s">
        <v>63</v>
      </c>
      <c r="F93" t="s">
        <v>25</v>
      </c>
      <c r="G93" s="4">
        <v>11</v>
      </c>
      <c r="H93" s="4" t="s">
        <v>14</v>
      </c>
      <c r="I93" s="4" t="s">
        <v>65</v>
      </c>
      <c r="J93" s="4" t="s">
        <v>66</v>
      </c>
      <c r="K93" s="4">
        <v>1</v>
      </c>
      <c r="L93" s="94">
        <v>-2829</v>
      </c>
      <c r="M93" s="94">
        <v>0</v>
      </c>
    </row>
    <row r="94" spans="3:13" x14ac:dyDescent="0.3">
      <c r="C94" t="s">
        <v>70</v>
      </c>
      <c r="D94" t="s">
        <v>67</v>
      </c>
      <c r="E94" t="s">
        <v>68</v>
      </c>
      <c r="F94" t="s">
        <v>72</v>
      </c>
      <c r="G94" s="4">
        <v>2</v>
      </c>
      <c r="H94" s="4" t="s">
        <v>80</v>
      </c>
      <c r="I94" s="4" t="s">
        <v>69</v>
      </c>
      <c r="J94" s="4" t="s">
        <v>66</v>
      </c>
      <c r="K94" s="4">
        <v>0</v>
      </c>
      <c r="L94" s="94">
        <v>88202</v>
      </c>
      <c r="M94" s="94">
        <v>176404</v>
      </c>
    </row>
    <row r="95" spans="3:13" x14ac:dyDescent="0.3">
      <c r="C95" t="s">
        <v>71</v>
      </c>
      <c r="D95" t="s">
        <v>62</v>
      </c>
      <c r="E95" t="s">
        <v>63</v>
      </c>
      <c r="F95" t="s">
        <v>24</v>
      </c>
      <c r="G95" s="4">
        <v>35</v>
      </c>
      <c r="I95" s="4" t="s">
        <v>69</v>
      </c>
      <c r="J95" s="4" t="s">
        <v>66</v>
      </c>
      <c r="K95" s="4">
        <v>0</v>
      </c>
      <c r="L95" s="94">
        <v>-1836196</v>
      </c>
      <c r="M95" s="94">
        <v>0</v>
      </c>
    </row>
    <row r="96" spans="3:13" x14ac:dyDescent="0.3">
      <c r="C96" t="s">
        <v>61</v>
      </c>
      <c r="D96" t="s">
        <v>67</v>
      </c>
      <c r="E96" t="s">
        <v>68</v>
      </c>
      <c r="F96" t="s">
        <v>25</v>
      </c>
      <c r="G96" s="4">
        <v>20</v>
      </c>
      <c r="H96" s="4" t="s">
        <v>18</v>
      </c>
      <c r="I96" s="4" t="s">
        <v>69</v>
      </c>
      <c r="J96" s="4" t="s">
        <v>66</v>
      </c>
      <c r="K96" s="4">
        <v>0</v>
      </c>
      <c r="L96" s="94">
        <v>153301</v>
      </c>
      <c r="M96" s="94">
        <v>3066020</v>
      </c>
    </row>
    <row r="97" spans="3:13" x14ac:dyDescent="0.3">
      <c r="C97" t="s">
        <v>61</v>
      </c>
      <c r="D97" t="s">
        <v>67</v>
      </c>
      <c r="E97" t="s">
        <v>68</v>
      </c>
      <c r="F97" t="s">
        <v>25</v>
      </c>
      <c r="G97" s="4">
        <v>10</v>
      </c>
      <c r="H97" s="4" t="s">
        <v>80</v>
      </c>
      <c r="I97" s="4" t="s">
        <v>69</v>
      </c>
      <c r="J97" s="4" t="s">
        <v>66</v>
      </c>
      <c r="K97" s="4">
        <v>0</v>
      </c>
      <c r="L97" s="94">
        <v>7247609</v>
      </c>
      <c r="M97" s="94">
        <v>72476090</v>
      </c>
    </row>
    <row r="98" spans="3:13" x14ac:dyDescent="0.3">
      <c r="C98" t="s">
        <v>70</v>
      </c>
      <c r="D98" t="s">
        <v>67</v>
      </c>
      <c r="E98" t="s">
        <v>63</v>
      </c>
      <c r="F98" t="s">
        <v>26</v>
      </c>
      <c r="G98" s="4">
        <v>4</v>
      </c>
      <c r="H98" s="4" t="s">
        <v>17</v>
      </c>
      <c r="I98" s="4" t="s">
        <v>69</v>
      </c>
      <c r="J98" s="4" t="s">
        <v>73</v>
      </c>
      <c r="K98" s="4">
        <v>1</v>
      </c>
      <c r="L98" s="94">
        <v>-5600</v>
      </c>
      <c r="M98" s="94">
        <v>0</v>
      </c>
    </row>
    <row r="99" spans="3:13" x14ac:dyDescent="0.3">
      <c r="C99" t="s">
        <v>61</v>
      </c>
      <c r="D99" t="s">
        <v>67</v>
      </c>
      <c r="E99" t="s">
        <v>63</v>
      </c>
      <c r="F99" t="s">
        <v>26</v>
      </c>
      <c r="G99" s="4">
        <v>4</v>
      </c>
      <c r="H99" s="4" t="s">
        <v>83</v>
      </c>
      <c r="I99" s="4" t="s">
        <v>69</v>
      </c>
      <c r="J99" s="4" t="s">
        <v>66</v>
      </c>
      <c r="K99" s="4">
        <v>0</v>
      </c>
      <c r="L99" s="94">
        <v>-7551</v>
      </c>
      <c r="M99" s="94">
        <v>0</v>
      </c>
    </row>
    <row r="100" spans="3:13" x14ac:dyDescent="0.3">
      <c r="C100" t="s">
        <v>70</v>
      </c>
      <c r="D100" t="s">
        <v>62</v>
      </c>
      <c r="E100" t="s">
        <v>63</v>
      </c>
      <c r="F100" t="s">
        <v>24</v>
      </c>
      <c r="G100" s="4">
        <v>44</v>
      </c>
      <c r="I100" s="4" t="s">
        <v>65</v>
      </c>
      <c r="J100" s="4" t="s">
        <v>66</v>
      </c>
      <c r="K100" s="4">
        <v>1</v>
      </c>
      <c r="L100" s="94">
        <v>-6353</v>
      </c>
      <c r="M100" s="94">
        <v>0</v>
      </c>
    </row>
    <row r="101" spans="3:13" x14ac:dyDescent="0.3">
      <c r="C101" t="s">
        <v>61</v>
      </c>
      <c r="D101" t="s">
        <v>67</v>
      </c>
      <c r="E101" t="s">
        <v>68</v>
      </c>
      <c r="F101" t="s">
        <v>26</v>
      </c>
      <c r="G101" s="4">
        <v>-4</v>
      </c>
      <c r="H101" s="4" t="s">
        <v>14</v>
      </c>
      <c r="I101" s="4" t="s">
        <v>69</v>
      </c>
      <c r="J101" s="4" t="s">
        <v>73</v>
      </c>
      <c r="K101" s="4">
        <v>1</v>
      </c>
      <c r="L101" s="94">
        <v>12146</v>
      </c>
      <c r="M101" s="94">
        <v>0</v>
      </c>
    </row>
    <row r="102" spans="3:13" x14ac:dyDescent="0.3">
      <c r="C102" t="s">
        <v>61</v>
      </c>
      <c r="D102" t="s">
        <v>67</v>
      </c>
      <c r="E102" t="s">
        <v>68</v>
      </c>
      <c r="F102" t="s">
        <v>72</v>
      </c>
      <c r="G102" s="4">
        <v>-4</v>
      </c>
      <c r="H102" s="4" t="s">
        <v>14</v>
      </c>
      <c r="I102" s="4" t="s">
        <v>69</v>
      </c>
      <c r="J102" s="4" t="s">
        <v>66</v>
      </c>
      <c r="K102" s="4">
        <v>0</v>
      </c>
      <c r="L102" s="94">
        <v>155</v>
      </c>
      <c r="M102" s="94">
        <v>0</v>
      </c>
    </row>
    <row r="103" spans="3:13" x14ac:dyDescent="0.3">
      <c r="C103" t="s">
        <v>61</v>
      </c>
      <c r="D103" t="s">
        <v>84</v>
      </c>
      <c r="E103" t="s">
        <v>63</v>
      </c>
      <c r="F103" t="s">
        <v>25</v>
      </c>
      <c r="G103" s="4">
        <v>3</v>
      </c>
      <c r="H103" s="4" t="s">
        <v>75</v>
      </c>
      <c r="I103" s="4" t="s">
        <v>69</v>
      </c>
      <c r="J103" s="4" t="s">
        <v>66</v>
      </c>
      <c r="K103" s="4">
        <v>0</v>
      </c>
      <c r="L103" s="94">
        <v>-7551</v>
      </c>
      <c r="M103" s="94">
        <v>0</v>
      </c>
    </row>
    <row r="104" spans="3:13" x14ac:dyDescent="0.3">
      <c r="C104" t="s">
        <v>61</v>
      </c>
      <c r="D104" t="s">
        <v>62</v>
      </c>
      <c r="E104" t="s">
        <v>63</v>
      </c>
      <c r="F104" t="s">
        <v>24</v>
      </c>
      <c r="G104" s="4">
        <v>23</v>
      </c>
      <c r="I104" s="4" t="s">
        <v>69</v>
      </c>
      <c r="J104" s="4" t="s">
        <v>66</v>
      </c>
      <c r="K104" s="4">
        <v>0</v>
      </c>
      <c r="L104" s="94">
        <v>-294395</v>
      </c>
      <c r="M104" s="94">
        <v>0</v>
      </c>
    </row>
    <row r="105" spans="3:13" x14ac:dyDescent="0.3">
      <c r="C105" t="s">
        <v>70</v>
      </c>
      <c r="D105" t="s">
        <v>67</v>
      </c>
      <c r="E105" t="s">
        <v>63</v>
      </c>
      <c r="F105" t="s">
        <v>25</v>
      </c>
      <c r="G105" s="4">
        <v>9</v>
      </c>
      <c r="H105" s="4" t="s">
        <v>12</v>
      </c>
      <c r="I105" s="4" t="s">
        <v>69</v>
      </c>
      <c r="J105" s="4" t="s">
        <v>66</v>
      </c>
      <c r="K105" s="4">
        <v>1</v>
      </c>
      <c r="L105" s="94">
        <v>-28628</v>
      </c>
      <c r="M105" s="94">
        <v>0</v>
      </c>
    </row>
    <row r="106" spans="3:13" x14ac:dyDescent="0.3">
      <c r="C106" t="s">
        <v>70</v>
      </c>
      <c r="D106" t="s">
        <v>67</v>
      </c>
      <c r="E106" t="s">
        <v>68</v>
      </c>
      <c r="F106" t="s">
        <v>25</v>
      </c>
      <c r="G106" s="4">
        <v>5</v>
      </c>
      <c r="H106" s="4" t="s">
        <v>76</v>
      </c>
      <c r="I106" s="4" t="s">
        <v>69</v>
      </c>
      <c r="J106" s="4" t="s">
        <v>66</v>
      </c>
      <c r="K106" s="4">
        <v>0</v>
      </c>
      <c r="L106" s="94">
        <v>2834390</v>
      </c>
      <c r="M106" s="94">
        <v>14171950</v>
      </c>
    </row>
    <row r="107" spans="3:13" x14ac:dyDescent="0.3">
      <c r="C107" t="s">
        <v>70</v>
      </c>
      <c r="D107" t="s">
        <v>62</v>
      </c>
      <c r="E107" t="s">
        <v>63</v>
      </c>
      <c r="F107" t="s">
        <v>24</v>
      </c>
      <c r="G107" s="4">
        <v>31</v>
      </c>
      <c r="I107" s="4" t="s">
        <v>69</v>
      </c>
      <c r="J107" s="4" t="s">
        <v>66</v>
      </c>
      <c r="K107" s="4">
        <v>0</v>
      </c>
      <c r="L107" s="94">
        <v>-1082672</v>
      </c>
      <c r="M107" s="94">
        <v>0</v>
      </c>
    </row>
    <row r="108" spans="3:13" x14ac:dyDescent="0.3">
      <c r="C108" t="s">
        <v>61</v>
      </c>
      <c r="D108" t="s">
        <v>67</v>
      </c>
      <c r="E108" t="s">
        <v>63</v>
      </c>
      <c r="F108" t="s">
        <v>26</v>
      </c>
      <c r="G108" s="4">
        <v>1</v>
      </c>
      <c r="H108" s="4" t="s">
        <v>79</v>
      </c>
      <c r="I108" s="4" t="s">
        <v>69</v>
      </c>
      <c r="J108" s="4" t="s">
        <v>66</v>
      </c>
      <c r="K108" s="4">
        <v>0</v>
      </c>
      <c r="L108" s="94">
        <v>-36568</v>
      </c>
      <c r="M108" s="94">
        <v>0</v>
      </c>
    </row>
    <row r="109" spans="3:13" x14ac:dyDescent="0.3">
      <c r="C109" t="s">
        <v>61</v>
      </c>
      <c r="D109" t="s">
        <v>67</v>
      </c>
      <c r="E109" t="s">
        <v>68</v>
      </c>
      <c r="F109" t="s">
        <v>25</v>
      </c>
      <c r="G109" s="4">
        <v>6</v>
      </c>
      <c r="H109" s="4" t="s">
        <v>64</v>
      </c>
      <c r="I109" s="4" t="s">
        <v>69</v>
      </c>
      <c r="J109" s="4" t="s">
        <v>66</v>
      </c>
      <c r="K109" s="4">
        <v>0</v>
      </c>
      <c r="L109" s="94">
        <v>3383108</v>
      </c>
      <c r="M109" s="94">
        <v>20298648</v>
      </c>
    </row>
    <row r="110" spans="3:13" x14ac:dyDescent="0.3">
      <c r="C110" t="s">
        <v>61</v>
      </c>
      <c r="D110" t="s">
        <v>62</v>
      </c>
      <c r="E110" t="s">
        <v>63</v>
      </c>
      <c r="F110" t="s">
        <v>24</v>
      </c>
      <c r="G110" s="4">
        <v>2</v>
      </c>
      <c r="I110" s="4" t="s">
        <v>69</v>
      </c>
      <c r="J110" s="4" t="s">
        <v>66</v>
      </c>
      <c r="K110" s="4">
        <v>1</v>
      </c>
      <c r="L110" s="94">
        <v>-54</v>
      </c>
      <c r="M110" s="94">
        <v>0</v>
      </c>
    </row>
    <row r="111" spans="3:13" x14ac:dyDescent="0.3">
      <c r="C111" t="s">
        <v>71</v>
      </c>
      <c r="D111" t="s">
        <v>67</v>
      </c>
      <c r="E111" t="s">
        <v>68</v>
      </c>
      <c r="F111" t="s">
        <v>25</v>
      </c>
      <c r="G111" s="4">
        <v>3</v>
      </c>
      <c r="H111" s="4" t="s">
        <v>75</v>
      </c>
      <c r="I111" s="4" t="s">
        <v>69</v>
      </c>
      <c r="J111" s="4" t="s">
        <v>66</v>
      </c>
      <c r="K111" s="4">
        <v>0</v>
      </c>
      <c r="L111" s="94">
        <v>788606</v>
      </c>
      <c r="M111" s="94">
        <v>2365818</v>
      </c>
    </row>
    <row r="112" spans="3:13" x14ac:dyDescent="0.3">
      <c r="C112" t="s">
        <v>61</v>
      </c>
      <c r="D112" t="s">
        <v>67</v>
      </c>
      <c r="E112" t="s">
        <v>68</v>
      </c>
      <c r="F112" t="s">
        <v>26</v>
      </c>
      <c r="G112" s="4">
        <v>9</v>
      </c>
      <c r="H112" s="4" t="s">
        <v>14</v>
      </c>
      <c r="I112" s="4" t="s">
        <v>69</v>
      </c>
      <c r="J112" s="4" t="s">
        <v>66</v>
      </c>
      <c r="K112" s="4">
        <v>0</v>
      </c>
      <c r="L112" s="94">
        <v>31627392</v>
      </c>
      <c r="M112" s="94">
        <v>284646528</v>
      </c>
    </row>
    <row r="113" spans="3:13" x14ac:dyDescent="0.3">
      <c r="C113" t="s">
        <v>70</v>
      </c>
      <c r="D113" t="s">
        <v>67</v>
      </c>
      <c r="E113" t="s">
        <v>68</v>
      </c>
      <c r="F113" t="s">
        <v>26</v>
      </c>
      <c r="G113" s="4">
        <v>6</v>
      </c>
      <c r="H113" s="4" t="s">
        <v>18</v>
      </c>
      <c r="I113" s="4" t="s">
        <v>69</v>
      </c>
      <c r="J113" s="4" t="s">
        <v>73</v>
      </c>
      <c r="K113" s="4">
        <v>1</v>
      </c>
      <c r="L113" s="94">
        <v>800846</v>
      </c>
      <c r="M113" s="94">
        <v>4805076</v>
      </c>
    </row>
    <row r="114" spans="3:13" x14ac:dyDescent="0.3">
      <c r="C114" t="s">
        <v>71</v>
      </c>
      <c r="D114" t="s">
        <v>67</v>
      </c>
      <c r="E114" t="s">
        <v>68</v>
      </c>
      <c r="F114" t="s">
        <v>25</v>
      </c>
      <c r="G114" s="4">
        <v>0</v>
      </c>
      <c r="H114" s="4" t="s">
        <v>17</v>
      </c>
      <c r="I114" s="4" t="s">
        <v>69</v>
      </c>
      <c r="J114" s="4" t="s">
        <v>66</v>
      </c>
      <c r="K114" s="4">
        <v>1</v>
      </c>
      <c r="L114" s="94">
        <v>25291</v>
      </c>
      <c r="M114" s="94">
        <v>0</v>
      </c>
    </row>
    <row r="115" spans="3:13" x14ac:dyDescent="0.3">
      <c r="C115" t="s">
        <v>71</v>
      </c>
      <c r="D115" t="s">
        <v>67</v>
      </c>
      <c r="E115" t="s">
        <v>68</v>
      </c>
      <c r="F115" t="s">
        <v>26</v>
      </c>
      <c r="G115" s="4">
        <v>0</v>
      </c>
      <c r="H115" s="4" t="s">
        <v>78</v>
      </c>
      <c r="I115" s="4" t="s">
        <v>69</v>
      </c>
      <c r="J115" s="4" t="s">
        <v>66</v>
      </c>
      <c r="K115" s="4">
        <v>0</v>
      </c>
      <c r="L115" s="94">
        <v>6541</v>
      </c>
      <c r="M115" s="94">
        <v>0</v>
      </c>
    </row>
    <row r="116" spans="3:13" x14ac:dyDescent="0.3">
      <c r="C116" t="s">
        <v>71</v>
      </c>
      <c r="D116" t="s">
        <v>67</v>
      </c>
      <c r="E116" t="s">
        <v>68</v>
      </c>
      <c r="F116" t="s">
        <v>26</v>
      </c>
      <c r="G116" s="4">
        <v>11</v>
      </c>
      <c r="H116" s="4" t="s">
        <v>77</v>
      </c>
      <c r="I116" s="4" t="s">
        <v>69</v>
      </c>
      <c r="J116" s="4" t="s">
        <v>66</v>
      </c>
      <c r="K116" s="4">
        <v>0</v>
      </c>
      <c r="L116" s="94">
        <v>43020</v>
      </c>
      <c r="M116" s="94">
        <v>473220</v>
      </c>
    </row>
    <row r="117" spans="3:13" x14ac:dyDescent="0.3">
      <c r="C117" t="s">
        <v>70</v>
      </c>
      <c r="D117" t="s">
        <v>62</v>
      </c>
      <c r="E117" t="s">
        <v>63</v>
      </c>
      <c r="F117" t="s">
        <v>24</v>
      </c>
      <c r="G117" s="4">
        <v>3</v>
      </c>
      <c r="I117" s="4" t="s">
        <v>69</v>
      </c>
      <c r="J117" s="4" t="s">
        <v>66</v>
      </c>
      <c r="K117" s="4">
        <v>1</v>
      </c>
      <c r="L117" s="94">
        <v>-5580</v>
      </c>
      <c r="M117" s="94">
        <v>0</v>
      </c>
    </row>
    <row r="118" spans="3:13" x14ac:dyDescent="0.3">
      <c r="C118" t="s">
        <v>70</v>
      </c>
      <c r="D118" t="s">
        <v>67</v>
      </c>
      <c r="E118" t="s">
        <v>63</v>
      </c>
      <c r="F118" t="s">
        <v>26</v>
      </c>
      <c r="G118" s="4">
        <v>5</v>
      </c>
      <c r="H118" s="4" t="s">
        <v>86</v>
      </c>
      <c r="I118" s="4" t="s">
        <v>69</v>
      </c>
      <c r="J118" s="4" t="s">
        <v>66</v>
      </c>
      <c r="K118" s="4">
        <v>0</v>
      </c>
      <c r="L118" s="94">
        <v>-2312</v>
      </c>
      <c r="M118" s="94">
        <v>0</v>
      </c>
    </row>
    <row r="119" spans="3:13" x14ac:dyDescent="0.3">
      <c r="C119" t="s">
        <v>61</v>
      </c>
      <c r="D119" t="s">
        <v>67</v>
      </c>
      <c r="E119" t="s">
        <v>68</v>
      </c>
      <c r="F119" t="s">
        <v>72</v>
      </c>
      <c r="G119" s="4">
        <v>5</v>
      </c>
      <c r="H119" s="4" t="s">
        <v>78</v>
      </c>
      <c r="I119" s="4" t="s">
        <v>69</v>
      </c>
      <c r="J119" s="4" t="s">
        <v>66</v>
      </c>
      <c r="K119" s="4">
        <v>0</v>
      </c>
      <c r="L119" s="94">
        <v>87358</v>
      </c>
      <c r="M119" s="94">
        <v>436790</v>
      </c>
    </row>
    <row r="120" spans="3:13" x14ac:dyDescent="0.3">
      <c r="C120" t="s">
        <v>71</v>
      </c>
      <c r="D120" t="s">
        <v>67</v>
      </c>
      <c r="E120" t="s">
        <v>68</v>
      </c>
      <c r="F120" t="s">
        <v>26</v>
      </c>
      <c r="G120" s="4">
        <v>2</v>
      </c>
      <c r="H120" s="4" t="s">
        <v>74</v>
      </c>
      <c r="I120" s="4" t="s">
        <v>69</v>
      </c>
      <c r="J120" s="4" t="s">
        <v>66</v>
      </c>
      <c r="K120" s="4">
        <v>0</v>
      </c>
      <c r="L120" s="94">
        <v>517347</v>
      </c>
      <c r="M120" s="94">
        <v>1034694</v>
      </c>
    </row>
    <row r="121" spans="3:13" x14ac:dyDescent="0.3">
      <c r="C121" t="s">
        <v>70</v>
      </c>
      <c r="D121" t="s">
        <v>67</v>
      </c>
      <c r="E121" t="s">
        <v>63</v>
      </c>
      <c r="F121" t="s">
        <v>26</v>
      </c>
      <c r="G121" s="4">
        <v>-1</v>
      </c>
      <c r="H121" s="4" t="s">
        <v>82</v>
      </c>
      <c r="I121" s="4" t="s">
        <v>65</v>
      </c>
      <c r="J121" s="4" t="s">
        <v>66</v>
      </c>
      <c r="K121" s="4">
        <v>1</v>
      </c>
      <c r="L121" s="94">
        <v>-16582</v>
      </c>
      <c r="M121" s="94">
        <v>0</v>
      </c>
    </row>
    <row r="122" spans="3:13" x14ac:dyDescent="0.3">
      <c r="C122" t="s">
        <v>61</v>
      </c>
      <c r="D122" t="s">
        <v>62</v>
      </c>
      <c r="E122" t="s">
        <v>68</v>
      </c>
      <c r="F122" t="s">
        <v>24</v>
      </c>
      <c r="G122" s="4">
        <v>45</v>
      </c>
      <c r="I122" s="4" t="s">
        <v>69</v>
      </c>
      <c r="J122" s="4" t="s">
        <v>66</v>
      </c>
      <c r="K122" s="4">
        <v>0</v>
      </c>
      <c r="L122" s="94">
        <v>1606622</v>
      </c>
      <c r="M122" s="94">
        <v>72297990</v>
      </c>
    </row>
    <row r="123" spans="3:13" x14ac:dyDescent="0.3">
      <c r="C123" t="s">
        <v>71</v>
      </c>
      <c r="D123" t="s">
        <v>62</v>
      </c>
      <c r="E123" t="s">
        <v>63</v>
      </c>
      <c r="F123" t="s">
        <v>24</v>
      </c>
      <c r="G123" s="4">
        <v>31</v>
      </c>
      <c r="I123" s="4" t="s">
        <v>69</v>
      </c>
      <c r="J123" s="4" t="s">
        <v>66</v>
      </c>
      <c r="K123" s="4">
        <v>0</v>
      </c>
      <c r="L123" s="94">
        <v>-1147750</v>
      </c>
      <c r="M123" s="94">
        <v>0</v>
      </c>
    </row>
    <row r="124" spans="3:13" x14ac:dyDescent="0.3">
      <c r="C124" t="s">
        <v>70</v>
      </c>
      <c r="D124" t="s">
        <v>67</v>
      </c>
      <c r="E124" t="s">
        <v>63</v>
      </c>
      <c r="F124" t="s">
        <v>25</v>
      </c>
      <c r="G124" s="4">
        <v>15</v>
      </c>
      <c r="H124" s="4" t="s">
        <v>81</v>
      </c>
      <c r="I124" s="4" t="s">
        <v>69</v>
      </c>
      <c r="J124" s="4" t="s">
        <v>66</v>
      </c>
      <c r="K124" s="4">
        <v>0</v>
      </c>
      <c r="L124" s="94">
        <v>-5753</v>
      </c>
      <c r="M124" s="94">
        <v>0</v>
      </c>
    </row>
    <row r="125" spans="3:13" x14ac:dyDescent="0.3">
      <c r="C125" t="s">
        <v>61</v>
      </c>
      <c r="D125" t="s">
        <v>67</v>
      </c>
      <c r="E125" t="s">
        <v>68</v>
      </c>
      <c r="F125" t="s">
        <v>25</v>
      </c>
      <c r="G125" s="4">
        <v>-1</v>
      </c>
      <c r="H125" s="4" t="s">
        <v>82</v>
      </c>
      <c r="I125" s="4" t="s">
        <v>69</v>
      </c>
      <c r="J125" s="4" t="s">
        <v>66</v>
      </c>
      <c r="K125" s="4">
        <v>0</v>
      </c>
      <c r="L125" s="94">
        <v>10</v>
      </c>
      <c r="M125" s="94">
        <v>0</v>
      </c>
    </row>
    <row r="126" spans="3:13" x14ac:dyDescent="0.3">
      <c r="C126" t="s">
        <v>71</v>
      </c>
      <c r="D126" t="s">
        <v>67</v>
      </c>
      <c r="E126" t="s">
        <v>68</v>
      </c>
      <c r="F126" t="s">
        <v>26</v>
      </c>
      <c r="G126" s="4">
        <v>7</v>
      </c>
      <c r="H126" s="4" t="s">
        <v>14</v>
      </c>
      <c r="I126" s="4" t="s">
        <v>69</v>
      </c>
      <c r="J126" s="4" t="s">
        <v>66</v>
      </c>
      <c r="K126" s="4">
        <v>0</v>
      </c>
      <c r="L126" s="94">
        <v>802235</v>
      </c>
      <c r="M126" s="94">
        <v>5615645</v>
      </c>
    </row>
    <row r="127" spans="3:13" x14ac:dyDescent="0.3">
      <c r="C127" t="s">
        <v>61</v>
      </c>
      <c r="D127" t="s">
        <v>67</v>
      </c>
      <c r="E127" t="s">
        <v>68</v>
      </c>
      <c r="F127" t="s">
        <v>26</v>
      </c>
      <c r="G127" s="4">
        <v>6</v>
      </c>
      <c r="H127" s="4" t="s">
        <v>77</v>
      </c>
      <c r="I127" s="4" t="s">
        <v>69</v>
      </c>
      <c r="J127" s="4" t="s">
        <v>66</v>
      </c>
      <c r="K127" s="4">
        <v>0</v>
      </c>
      <c r="L127" s="94">
        <v>33909</v>
      </c>
      <c r="M127" s="94">
        <v>203454</v>
      </c>
    </row>
    <row r="128" spans="3:13" x14ac:dyDescent="0.3">
      <c r="C128" t="s">
        <v>61</v>
      </c>
      <c r="D128" t="s">
        <v>67</v>
      </c>
      <c r="E128" t="s">
        <v>68</v>
      </c>
      <c r="F128" t="s">
        <v>72</v>
      </c>
      <c r="G128" s="4">
        <v>9</v>
      </c>
      <c r="H128" s="4" t="s">
        <v>74</v>
      </c>
      <c r="I128" s="4" t="s">
        <v>69</v>
      </c>
      <c r="J128" s="4" t="s">
        <v>66</v>
      </c>
      <c r="K128" s="4">
        <v>0</v>
      </c>
      <c r="L128" s="94">
        <v>501781</v>
      </c>
      <c r="M128" s="94">
        <v>4516029</v>
      </c>
    </row>
    <row r="129" spans="3:13" x14ac:dyDescent="0.3">
      <c r="C129" t="s">
        <v>61</v>
      </c>
      <c r="D129" t="s">
        <v>62</v>
      </c>
      <c r="E129" t="s">
        <v>63</v>
      </c>
      <c r="F129" t="s">
        <v>25</v>
      </c>
      <c r="G129" s="4">
        <v>31</v>
      </c>
      <c r="I129" s="4" t="s">
        <v>65</v>
      </c>
      <c r="J129" s="4" t="s">
        <v>66</v>
      </c>
      <c r="K129" s="4">
        <v>1</v>
      </c>
      <c r="L129" s="94">
        <v>-206</v>
      </c>
      <c r="M129" s="94">
        <v>0</v>
      </c>
    </row>
    <row r="130" spans="3:13" x14ac:dyDescent="0.3">
      <c r="C130" t="s">
        <v>61</v>
      </c>
      <c r="D130" t="s">
        <v>62</v>
      </c>
      <c r="E130" t="s">
        <v>63</v>
      </c>
      <c r="F130" t="s">
        <v>25</v>
      </c>
      <c r="G130" s="4">
        <v>-4</v>
      </c>
      <c r="I130" s="4" t="s">
        <v>69</v>
      </c>
      <c r="J130" s="4" t="s">
        <v>66</v>
      </c>
      <c r="K130" s="4">
        <v>0</v>
      </c>
      <c r="L130" s="94">
        <v>-405</v>
      </c>
      <c r="M130" s="94">
        <v>0</v>
      </c>
    </row>
    <row r="131" spans="3:13" x14ac:dyDescent="0.3">
      <c r="C131" t="s">
        <v>61</v>
      </c>
      <c r="D131" t="s">
        <v>62</v>
      </c>
      <c r="E131" t="s">
        <v>63</v>
      </c>
      <c r="F131" t="s">
        <v>24</v>
      </c>
      <c r="G131" s="4">
        <v>38</v>
      </c>
      <c r="I131" s="4" t="s">
        <v>69</v>
      </c>
      <c r="J131" s="4" t="s">
        <v>66</v>
      </c>
      <c r="K131" s="4">
        <v>1</v>
      </c>
      <c r="L131" s="94">
        <v>-420</v>
      </c>
      <c r="M131" s="94">
        <v>0</v>
      </c>
    </row>
    <row r="132" spans="3:13" x14ac:dyDescent="0.3">
      <c r="C132" t="s">
        <v>71</v>
      </c>
      <c r="D132" t="s">
        <v>67</v>
      </c>
      <c r="E132" t="s">
        <v>63</v>
      </c>
      <c r="F132" t="s">
        <v>26</v>
      </c>
      <c r="G132" s="4">
        <v>1</v>
      </c>
      <c r="H132" s="4" t="s">
        <v>80</v>
      </c>
      <c r="I132" s="4" t="s">
        <v>69</v>
      </c>
      <c r="J132" s="4" t="s">
        <v>66</v>
      </c>
      <c r="K132" s="4">
        <v>0</v>
      </c>
      <c r="L132" s="94">
        <v>-158055</v>
      </c>
      <c r="M132" s="94">
        <v>0</v>
      </c>
    </row>
    <row r="133" spans="3:13" x14ac:dyDescent="0.3">
      <c r="C133" t="s">
        <v>70</v>
      </c>
      <c r="D133" t="s">
        <v>62</v>
      </c>
      <c r="E133" t="s">
        <v>63</v>
      </c>
      <c r="F133" t="s">
        <v>24</v>
      </c>
      <c r="G133" s="4">
        <v>14</v>
      </c>
      <c r="I133" s="4" t="s">
        <v>69</v>
      </c>
      <c r="J133" s="4" t="s">
        <v>66</v>
      </c>
      <c r="K133" s="4">
        <v>1</v>
      </c>
      <c r="L133" s="94">
        <v>-2247</v>
      </c>
      <c r="M133" s="94">
        <v>0</v>
      </c>
    </row>
    <row r="134" spans="3:13" x14ac:dyDescent="0.3">
      <c r="C134" t="s">
        <v>70</v>
      </c>
      <c r="D134" t="s">
        <v>67</v>
      </c>
      <c r="E134" t="s">
        <v>68</v>
      </c>
      <c r="F134" t="s">
        <v>72</v>
      </c>
      <c r="G134" s="4">
        <v>4</v>
      </c>
      <c r="H134" s="4" t="s">
        <v>64</v>
      </c>
      <c r="I134" s="4" t="s">
        <v>69</v>
      </c>
      <c r="J134" s="4" t="s">
        <v>66</v>
      </c>
      <c r="K134" s="4">
        <v>0</v>
      </c>
      <c r="L134" s="94">
        <v>511674</v>
      </c>
      <c r="M134" s="94">
        <v>2046696</v>
      </c>
    </row>
    <row r="135" spans="3:13" x14ac:dyDescent="0.3">
      <c r="C135" t="s">
        <v>61</v>
      </c>
      <c r="D135" t="s">
        <v>62</v>
      </c>
      <c r="E135" t="s">
        <v>63</v>
      </c>
      <c r="F135" t="s">
        <v>24</v>
      </c>
      <c r="G135" s="4">
        <v>10</v>
      </c>
      <c r="I135" s="4" t="s">
        <v>69</v>
      </c>
      <c r="J135" s="4" t="s">
        <v>66</v>
      </c>
      <c r="K135" s="4">
        <v>1</v>
      </c>
      <c r="L135" s="94">
        <v>-849</v>
      </c>
      <c r="M135" s="94">
        <v>0</v>
      </c>
    </row>
    <row r="136" spans="3:13" x14ac:dyDescent="0.3">
      <c r="C136" t="s">
        <v>61</v>
      </c>
      <c r="D136" t="s">
        <v>67</v>
      </c>
      <c r="E136" t="s">
        <v>68</v>
      </c>
      <c r="F136" t="s">
        <v>25</v>
      </c>
      <c r="G136" s="4">
        <v>15</v>
      </c>
      <c r="H136" s="4" t="s">
        <v>18</v>
      </c>
      <c r="I136" s="4" t="s">
        <v>69</v>
      </c>
      <c r="J136" s="4" t="s">
        <v>66</v>
      </c>
      <c r="K136" s="4">
        <v>0</v>
      </c>
      <c r="L136" s="94">
        <v>2798367</v>
      </c>
      <c r="M136" s="94">
        <v>41975505</v>
      </c>
    </row>
    <row r="137" spans="3:13" x14ac:dyDescent="0.3">
      <c r="C137" t="s">
        <v>70</v>
      </c>
      <c r="D137" t="s">
        <v>67</v>
      </c>
      <c r="E137" t="s">
        <v>68</v>
      </c>
      <c r="F137" t="s">
        <v>72</v>
      </c>
      <c r="G137" s="4">
        <v>5</v>
      </c>
      <c r="H137" s="4" t="s">
        <v>18</v>
      </c>
      <c r="I137" s="4" t="s">
        <v>69</v>
      </c>
      <c r="J137" s="4" t="s">
        <v>73</v>
      </c>
      <c r="K137" s="4">
        <v>1</v>
      </c>
      <c r="L137" s="94">
        <v>279381</v>
      </c>
      <c r="M137" s="94">
        <v>1396905</v>
      </c>
    </row>
    <row r="138" spans="3:13" x14ac:dyDescent="0.3">
      <c r="C138" t="s">
        <v>71</v>
      </c>
      <c r="D138" t="s">
        <v>67</v>
      </c>
      <c r="E138" t="s">
        <v>68</v>
      </c>
      <c r="F138" t="s">
        <v>26</v>
      </c>
      <c r="G138" s="4">
        <v>8</v>
      </c>
      <c r="H138" s="4" t="s">
        <v>74</v>
      </c>
      <c r="I138" s="4" t="s">
        <v>69</v>
      </c>
      <c r="J138" s="4" t="s">
        <v>66</v>
      </c>
      <c r="K138" s="4">
        <v>0</v>
      </c>
      <c r="L138" s="94">
        <v>539849</v>
      </c>
      <c r="M138" s="94">
        <v>4318792</v>
      </c>
    </row>
    <row r="139" spans="3:13" x14ac:dyDescent="0.3">
      <c r="C139" t="s">
        <v>61</v>
      </c>
      <c r="D139" t="s">
        <v>67</v>
      </c>
      <c r="E139" t="s">
        <v>63</v>
      </c>
      <c r="F139" t="s">
        <v>25</v>
      </c>
      <c r="G139" s="4">
        <v>1</v>
      </c>
      <c r="H139" s="4" t="s">
        <v>17</v>
      </c>
      <c r="I139" s="4" t="s">
        <v>65</v>
      </c>
      <c r="J139" s="4" t="s">
        <v>66</v>
      </c>
      <c r="K139" s="4">
        <v>1</v>
      </c>
      <c r="L139" s="94">
        <v>-1176</v>
      </c>
      <c r="M139" s="94">
        <v>0</v>
      </c>
    </row>
    <row r="140" spans="3:13" x14ac:dyDescent="0.3">
      <c r="C140" t="s">
        <v>70</v>
      </c>
      <c r="D140" t="s">
        <v>67</v>
      </c>
      <c r="E140" t="s">
        <v>63</v>
      </c>
      <c r="F140" t="s">
        <v>26</v>
      </c>
      <c r="G140" s="4">
        <v>6</v>
      </c>
      <c r="H140" s="4" t="s">
        <v>76</v>
      </c>
      <c r="I140" s="4" t="s">
        <v>69</v>
      </c>
      <c r="J140" s="4" t="s">
        <v>66</v>
      </c>
      <c r="K140" s="4">
        <v>0</v>
      </c>
      <c r="L140" s="94">
        <v>-62073</v>
      </c>
      <c r="M140" s="94">
        <v>0</v>
      </c>
    </row>
    <row r="141" spans="3:13" x14ac:dyDescent="0.3">
      <c r="C141" t="s">
        <v>61</v>
      </c>
      <c r="D141" t="s">
        <v>67</v>
      </c>
      <c r="E141" t="s">
        <v>63</v>
      </c>
      <c r="F141" t="s">
        <v>72</v>
      </c>
      <c r="G141" s="4">
        <v>3</v>
      </c>
      <c r="H141" s="4" t="s">
        <v>13</v>
      </c>
      <c r="I141" s="4" t="s">
        <v>69</v>
      </c>
      <c r="J141" s="4" t="s">
        <v>73</v>
      </c>
      <c r="K141" s="4">
        <v>1</v>
      </c>
      <c r="L141" s="94">
        <v>-599</v>
      </c>
      <c r="M141" s="94">
        <v>0</v>
      </c>
    </row>
    <row r="142" spans="3:13" x14ac:dyDescent="0.3">
      <c r="C142" t="s">
        <v>71</v>
      </c>
      <c r="D142" t="s">
        <v>67</v>
      </c>
      <c r="E142" t="s">
        <v>63</v>
      </c>
      <c r="F142" t="s">
        <v>26</v>
      </c>
      <c r="G142" s="4">
        <v>4</v>
      </c>
      <c r="H142" s="4" t="s">
        <v>78</v>
      </c>
      <c r="I142" s="4" t="s">
        <v>69</v>
      </c>
      <c r="J142" s="4" t="s">
        <v>66</v>
      </c>
      <c r="K142" s="4">
        <v>0</v>
      </c>
      <c r="L142" s="94">
        <v>-108257</v>
      </c>
      <c r="M142" s="94">
        <v>0</v>
      </c>
    </row>
    <row r="143" spans="3:13" x14ac:dyDescent="0.3">
      <c r="C143" t="s">
        <v>61</v>
      </c>
      <c r="D143" t="s">
        <v>67</v>
      </c>
      <c r="E143" t="s">
        <v>68</v>
      </c>
      <c r="F143" t="s">
        <v>72</v>
      </c>
      <c r="G143" s="4">
        <v>0</v>
      </c>
      <c r="H143" s="4" t="s">
        <v>77</v>
      </c>
      <c r="I143" s="4" t="s">
        <v>69</v>
      </c>
      <c r="J143" s="4" t="s">
        <v>66</v>
      </c>
      <c r="K143" s="4">
        <v>0</v>
      </c>
      <c r="L143" s="94">
        <v>58557</v>
      </c>
      <c r="M143" s="94">
        <v>0</v>
      </c>
    </row>
    <row r="144" spans="3:13" x14ac:dyDescent="0.3">
      <c r="C144" t="s">
        <v>70</v>
      </c>
      <c r="D144" t="s">
        <v>67</v>
      </c>
      <c r="E144" t="s">
        <v>68</v>
      </c>
      <c r="F144" t="s">
        <v>72</v>
      </c>
      <c r="G144" s="4">
        <v>-1</v>
      </c>
      <c r="H144" s="4" t="s">
        <v>74</v>
      </c>
      <c r="I144" s="4" t="s">
        <v>69</v>
      </c>
      <c r="J144" s="4" t="s">
        <v>66</v>
      </c>
      <c r="K144" s="4">
        <v>0</v>
      </c>
      <c r="L144" s="94">
        <v>505197</v>
      </c>
      <c r="M144" s="94">
        <v>0</v>
      </c>
    </row>
    <row r="145" spans="3:13" x14ac:dyDescent="0.3">
      <c r="C145" t="s">
        <v>61</v>
      </c>
      <c r="D145" t="s">
        <v>67</v>
      </c>
      <c r="E145" t="s">
        <v>68</v>
      </c>
      <c r="F145" t="s">
        <v>72</v>
      </c>
      <c r="G145" s="4">
        <v>-1</v>
      </c>
      <c r="H145" s="4" t="s">
        <v>15</v>
      </c>
      <c r="I145" s="4" t="s">
        <v>69</v>
      </c>
      <c r="J145" s="4" t="s">
        <v>73</v>
      </c>
      <c r="K145" s="4">
        <v>1</v>
      </c>
      <c r="L145" s="94">
        <v>140475</v>
      </c>
      <c r="M145" s="94">
        <v>0</v>
      </c>
    </row>
    <row r="146" spans="3:13" x14ac:dyDescent="0.3">
      <c r="C146" t="s">
        <v>70</v>
      </c>
      <c r="D146" t="s">
        <v>67</v>
      </c>
      <c r="E146" t="s">
        <v>68</v>
      </c>
      <c r="F146" t="s">
        <v>72</v>
      </c>
      <c r="G146" s="4">
        <v>3</v>
      </c>
      <c r="H146" s="4" t="s">
        <v>13</v>
      </c>
      <c r="I146" s="4" t="s">
        <v>69</v>
      </c>
      <c r="J146" s="4" t="s">
        <v>73</v>
      </c>
      <c r="K146" s="4">
        <v>1</v>
      </c>
      <c r="L146" s="94">
        <v>177420</v>
      </c>
      <c r="M146" s="94">
        <v>532260</v>
      </c>
    </row>
    <row r="147" spans="3:13" x14ac:dyDescent="0.3">
      <c r="C147" t="s">
        <v>71</v>
      </c>
      <c r="D147" t="s">
        <v>67</v>
      </c>
      <c r="E147" t="s">
        <v>68</v>
      </c>
      <c r="F147" t="s">
        <v>72</v>
      </c>
      <c r="G147" s="4">
        <v>2</v>
      </c>
      <c r="H147" s="4" t="s">
        <v>12</v>
      </c>
      <c r="I147" s="4" t="s">
        <v>69</v>
      </c>
      <c r="J147" s="4" t="s">
        <v>73</v>
      </c>
      <c r="K147" s="4">
        <v>1</v>
      </c>
      <c r="L147" s="94">
        <v>10527</v>
      </c>
      <c r="M147" s="94">
        <v>21054</v>
      </c>
    </row>
    <row r="148" spans="3:13" x14ac:dyDescent="0.3">
      <c r="C148" t="s">
        <v>70</v>
      </c>
      <c r="D148" t="s">
        <v>67</v>
      </c>
      <c r="E148" t="s">
        <v>68</v>
      </c>
      <c r="F148" t="s">
        <v>72</v>
      </c>
      <c r="G148" s="4">
        <v>0</v>
      </c>
      <c r="H148" s="4" t="s">
        <v>14</v>
      </c>
      <c r="I148" s="4" t="s">
        <v>69</v>
      </c>
      <c r="J148" s="4" t="s">
        <v>73</v>
      </c>
      <c r="K148" s="4">
        <v>1</v>
      </c>
      <c r="L148" s="94">
        <v>148237</v>
      </c>
      <c r="M148" s="94">
        <v>0</v>
      </c>
    </row>
    <row r="149" spans="3:13" x14ac:dyDescent="0.3">
      <c r="C149" t="s">
        <v>61</v>
      </c>
      <c r="D149" t="s">
        <v>67</v>
      </c>
      <c r="E149" t="s">
        <v>68</v>
      </c>
      <c r="F149" t="s">
        <v>25</v>
      </c>
      <c r="G149" s="4">
        <v>6</v>
      </c>
      <c r="H149" s="4" t="s">
        <v>78</v>
      </c>
      <c r="I149" s="4" t="s">
        <v>69</v>
      </c>
      <c r="J149" s="4" t="s">
        <v>66</v>
      </c>
      <c r="K149" s="4">
        <v>0</v>
      </c>
      <c r="L149" s="94">
        <v>7743104</v>
      </c>
      <c r="M149" s="94">
        <v>46458624</v>
      </c>
    </row>
    <row r="150" spans="3:13" x14ac:dyDescent="0.3">
      <c r="C150" t="s">
        <v>61</v>
      </c>
      <c r="D150" t="s">
        <v>67</v>
      </c>
      <c r="E150" t="s">
        <v>63</v>
      </c>
      <c r="F150" t="s">
        <v>25</v>
      </c>
      <c r="G150" s="4">
        <v>-4</v>
      </c>
      <c r="H150" s="4" t="s">
        <v>14</v>
      </c>
      <c r="I150" s="4" t="s">
        <v>69</v>
      </c>
      <c r="J150" s="4" t="s">
        <v>66</v>
      </c>
      <c r="K150" s="4">
        <v>0</v>
      </c>
      <c r="L150" s="94">
        <v>0</v>
      </c>
      <c r="M150" s="94">
        <v>0</v>
      </c>
    </row>
    <row r="151" spans="3:13" x14ac:dyDescent="0.3">
      <c r="C151" t="s">
        <v>70</v>
      </c>
      <c r="D151" t="s">
        <v>67</v>
      </c>
      <c r="E151" t="s">
        <v>63</v>
      </c>
      <c r="F151" t="s">
        <v>72</v>
      </c>
      <c r="G151" s="4">
        <v>2</v>
      </c>
      <c r="H151" s="4" t="s">
        <v>15</v>
      </c>
      <c r="I151" s="4" t="s">
        <v>69</v>
      </c>
      <c r="J151" s="4" t="s">
        <v>73</v>
      </c>
      <c r="K151" s="4">
        <v>1</v>
      </c>
      <c r="L151" s="94">
        <v>-2215</v>
      </c>
      <c r="M151" s="94">
        <v>0</v>
      </c>
    </row>
    <row r="152" spans="3:13" x14ac:dyDescent="0.3">
      <c r="C152" t="s">
        <v>71</v>
      </c>
      <c r="D152" t="s">
        <v>62</v>
      </c>
      <c r="E152" t="s">
        <v>68</v>
      </c>
      <c r="F152" t="s">
        <v>24</v>
      </c>
      <c r="G152" s="4">
        <v>2</v>
      </c>
      <c r="I152" s="4" t="s">
        <v>69</v>
      </c>
      <c r="J152" s="4" t="s">
        <v>66</v>
      </c>
      <c r="K152" s="4">
        <v>0</v>
      </c>
      <c r="L152" s="94">
        <v>292839</v>
      </c>
      <c r="M152" s="94">
        <v>585678</v>
      </c>
    </row>
    <row r="153" spans="3:13" x14ac:dyDescent="0.3">
      <c r="C153" t="s">
        <v>71</v>
      </c>
      <c r="D153" t="s">
        <v>67</v>
      </c>
      <c r="E153" t="s">
        <v>63</v>
      </c>
      <c r="F153" t="s">
        <v>26</v>
      </c>
      <c r="G153" s="4">
        <v>7</v>
      </c>
      <c r="H153" s="4" t="s">
        <v>82</v>
      </c>
      <c r="I153" s="4" t="s">
        <v>69</v>
      </c>
      <c r="J153" s="4" t="s">
        <v>66</v>
      </c>
      <c r="K153" s="4">
        <v>0</v>
      </c>
      <c r="L153" s="94">
        <v>-2174400</v>
      </c>
      <c r="M153" s="94">
        <v>0</v>
      </c>
    </row>
    <row r="154" spans="3:13" x14ac:dyDescent="0.3">
      <c r="C154" t="s">
        <v>71</v>
      </c>
      <c r="D154" t="s">
        <v>67</v>
      </c>
      <c r="E154" t="s">
        <v>68</v>
      </c>
      <c r="F154" t="s">
        <v>72</v>
      </c>
      <c r="G154" s="4">
        <v>2</v>
      </c>
      <c r="H154" s="4" t="s">
        <v>17</v>
      </c>
      <c r="I154" s="4" t="s">
        <v>65</v>
      </c>
      <c r="J154" s="4" t="s">
        <v>66</v>
      </c>
      <c r="K154" s="4">
        <v>1</v>
      </c>
      <c r="L154" s="94">
        <v>9759</v>
      </c>
      <c r="M154" s="94">
        <v>19518</v>
      </c>
    </row>
    <row r="155" spans="3:13" x14ac:dyDescent="0.3">
      <c r="C155" t="s">
        <v>70</v>
      </c>
      <c r="D155" t="s">
        <v>67</v>
      </c>
      <c r="E155" t="s">
        <v>68</v>
      </c>
      <c r="F155" t="s">
        <v>25</v>
      </c>
      <c r="G155" s="4">
        <v>12</v>
      </c>
      <c r="H155" s="4" t="s">
        <v>77</v>
      </c>
      <c r="I155" s="4" t="s">
        <v>69</v>
      </c>
      <c r="J155" s="4" t="s">
        <v>66</v>
      </c>
      <c r="K155" s="4">
        <v>0</v>
      </c>
      <c r="L155" s="94">
        <v>89790</v>
      </c>
      <c r="M155" s="94">
        <v>1077480</v>
      </c>
    </row>
    <row r="156" spans="3:13" x14ac:dyDescent="0.3">
      <c r="C156" t="s">
        <v>71</v>
      </c>
      <c r="D156" t="s">
        <v>62</v>
      </c>
      <c r="E156" t="s">
        <v>63</v>
      </c>
      <c r="F156" t="s">
        <v>24</v>
      </c>
      <c r="G156" s="4">
        <v>29</v>
      </c>
      <c r="I156" s="4" t="s">
        <v>69</v>
      </c>
      <c r="J156" s="4" t="s">
        <v>66</v>
      </c>
      <c r="K156" s="4">
        <v>0</v>
      </c>
      <c r="L156" s="94">
        <v>-2945547</v>
      </c>
      <c r="M156" s="94">
        <v>0</v>
      </c>
    </row>
    <row r="157" spans="3:13" x14ac:dyDescent="0.3">
      <c r="C157" t="s">
        <v>61</v>
      </c>
      <c r="D157" t="s">
        <v>67</v>
      </c>
      <c r="E157" t="s">
        <v>68</v>
      </c>
      <c r="F157" t="s">
        <v>72</v>
      </c>
      <c r="G157" s="4">
        <v>4</v>
      </c>
      <c r="H157" s="4" t="s">
        <v>18</v>
      </c>
      <c r="I157" s="4" t="s">
        <v>69</v>
      </c>
      <c r="J157" s="4" t="s">
        <v>73</v>
      </c>
      <c r="K157" s="4">
        <v>1</v>
      </c>
      <c r="L157" s="94">
        <v>1275726</v>
      </c>
      <c r="M157" s="94">
        <v>5102904</v>
      </c>
    </row>
    <row r="158" spans="3:13" x14ac:dyDescent="0.3">
      <c r="C158" t="s">
        <v>71</v>
      </c>
      <c r="D158" t="s">
        <v>62</v>
      </c>
      <c r="E158" t="s">
        <v>63</v>
      </c>
      <c r="F158" t="s">
        <v>25</v>
      </c>
      <c r="G158" s="4">
        <v>16</v>
      </c>
      <c r="I158" s="4" t="s">
        <v>69</v>
      </c>
      <c r="J158" s="4" t="s">
        <v>66</v>
      </c>
      <c r="K158" s="4">
        <v>0</v>
      </c>
      <c r="L158" s="94">
        <v>-21865</v>
      </c>
      <c r="M158" s="94">
        <v>0</v>
      </c>
    </row>
    <row r="159" spans="3:13" x14ac:dyDescent="0.3">
      <c r="C159" t="s">
        <v>61</v>
      </c>
      <c r="D159" t="s">
        <v>67</v>
      </c>
      <c r="E159" t="s">
        <v>68</v>
      </c>
      <c r="F159" t="s">
        <v>25</v>
      </c>
      <c r="G159" s="4">
        <v>13</v>
      </c>
      <c r="H159" s="4" t="s">
        <v>18</v>
      </c>
      <c r="I159" s="4" t="s">
        <v>69</v>
      </c>
      <c r="J159" s="4" t="s">
        <v>66</v>
      </c>
      <c r="K159" s="4">
        <v>0</v>
      </c>
      <c r="L159" s="94">
        <v>1604919</v>
      </c>
      <c r="M159" s="94">
        <v>20863947</v>
      </c>
    </row>
    <row r="160" spans="3:13" x14ac:dyDescent="0.3">
      <c r="C160" t="s">
        <v>71</v>
      </c>
      <c r="D160" t="s">
        <v>67</v>
      </c>
      <c r="E160" t="s">
        <v>68</v>
      </c>
      <c r="F160" t="s">
        <v>26</v>
      </c>
      <c r="G160" s="4">
        <v>2</v>
      </c>
      <c r="H160" s="4" t="s">
        <v>80</v>
      </c>
      <c r="I160" s="4" t="s">
        <v>69</v>
      </c>
      <c r="J160" s="4" t="s">
        <v>66</v>
      </c>
      <c r="K160" s="4">
        <v>0</v>
      </c>
      <c r="L160" s="94">
        <v>221182</v>
      </c>
      <c r="M160" s="94">
        <v>442364</v>
      </c>
    </row>
    <row r="161" spans="3:13" x14ac:dyDescent="0.3">
      <c r="C161" t="s">
        <v>61</v>
      </c>
      <c r="D161" t="s">
        <v>62</v>
      </c>
      <c r="E161" t="s">
        <v>63</v>
      </c>
      <c r="F161" t="s">
        <v>24</v>
      </c>
      <c r="G161" s="4">
        <v>11</v>
      </c>
      <c r="I161" s="4" t="s">
        <v>69</v>
      </c>
      <c r="J161" s="4" t="s">
        <v>66</v>
      </c>
      <c r="K161" s="4">
        <v>1</v>
      </c>
      <c r="L161" s="94">
        <v>-676</v>
      </c>
      <c r="M161" s="94">
        <v>0</v>
      </c>
    </row>
    <row r="162" spans="3:13" x14ac:dyDescent="0.3">
      <c r="C162" t="s">
        <v>71</v>
      </c>
      <c r="D162" t="s">
        <v>67</v>
      </c>
      <c r="E162" t="s">
        <v>68</v>
      </c>
      <c r="F162" t="s">
        <v>26</v>
      </c>
      <c r="G162" s="4">
        <v>3</v>
      </c>
      <c r="H162" s="4" t="s">
        <v>16</v>
      </c>
      <c r="I162" s="4" t="s">
        <v>69</v>
      </c>
      <c r="J162" s="4" t="s">
        <v>66</v>
      </c>
      <c r="K162" s="4">
        <v>0</v>
      </c>
      <c r="L162" s="94">
        <v>335216</v>
      </c>
      <c r="M162" s="94">
        <v>1005648</v>
      </c>
    </row>
    <row r="163" spans="3:13" x14ac:dyDescent="0.3">
      <c r="C163" t="s">
        <v>61</v>
      </c>
      <c r="D163" t="s">
        <v>62</v>
      </c>
      <c r="E163" t="s">
        <v>68</v>
      </c>
      <c r="F163" t="s">
        <v>24</v>
      </c>
      <c r="G163" s="4">
        <v>9</v>
      </c>
      <c r="I163" s="4" t="s">
        <v>69</v>
      </c>
      <c r="J163" s="4" t="s">
        <v>66</v>
      </c>
      <c r="K163" s="4">
        <v>1</v>
      </c>
      <c r="L163" s="94">
        <v>1343982</v>
      </c>
      <c r="M163" s="94">
        <v>12095838</v>
      </c>
    </row>
    <row r="164" spans="3:13" x14ac:dyDescent="0.3">
      <c r="C164" t="s">
        <v>71</v>
      </c>
      <c r="D164" t="s">
        <v>67</v>
      </c>
      <c r="E164" t="s">
        <v>63</v>
      </c>
      <c r="F164" t="s">
        <v>72</v>
      </c>
      <c r="G164" s="4">
        <v>0</v>
      </c>
      <c r="H164" s="4" t="s">
        <v>64</v>
      </c>
      <c r="I164" s="4" t="s">
        <v>69</v>
      </c>
      <c r="J164" s="4" t="s">
        <v>66</v>
      </c>
      <c r="K164" s="4">
        <v>0</v>
      </c>
      <c r="L164" s="94">
        <v>-15992</v>
      </c>
      <c r="M164" s="94">
        <v>0</v>
      </c>
    </row>
    <row r="165" spans="3:13" x14ac:dyDescent="0.3">
      <c r="C165" t="s">
        <v>70</v>
      </c>
      <c r="D165" t="s">
        <v>62</v>
      </c>
      <c r="E165" t="s">
        <v>63</v>
      </c>
      <c r="F165" t="s">
        <v>24</v>
      </c>
      <c r="G165" s="4">
        <v>15</v>
      </c>
      <c r="I165" s="4" t="s">
        <v>69</v>
      </c>
      <c r="J165" s="4" t="s">
        <v>66</v>
      </c>
      <c r="K165" s="4">
        <v>1</v>
      </c>
      <c r="L165" s="94">
        <v>-1432</v>
      </c>
      <c r="M165" s="94">
        <v>0</v>
      </c>
    </row>
    <row r="166" spans="3:13" x14ac:dyDescent="0.3">
      <c r="C166" t="s">
        <v>70</v>
      </c>
      <c r="D166" t="s">
        <v>67</v>
      </c>
      <c r="E166" t="s">
        <v>63</v>
      </c>
      <c r="F166" t="s">
        <v>25</v>
      </c>
      <c r="G166" s="4">
        <v>4</v>
      </c>
      <c r="H166" s="4" t="s">
        <v>14</v>
      </c>
      <c r="I166" s="4" t="s">
        <v>69</v>
      </c>
      <c r="J166" s="4" t="s">
        <v>73</v>
      </c>
      <c r="K166" s="4">
        <v>1</v>
      </c>
      <c r="L166" s="94">
        <v>-6836</v>
      </c>
      <c r="M166" s="94">
        <v>0</v>
      </c>
    </row>
    <row r="167" spans="3:13" x14ac:dyDescent="0.3">
      <c r="C167" t="s">
        <v>61</v>
      </c>
      <c r="D167" t="s">
        <v>67</v>
      </c>
      <c r="E167" t="s">
        <v>63</v>
      </c>
      <c r="F167" t="s">
        <v>26</v>
      </c>
      <c r="G167" s="4">
        <v>4</v>
      </c>
      <c r="H167" s="4" t="s">
        <v>75</v>
      </c>
      <c r="I167" s="4" t="s">
        <v>69</v>
      </c>
      <c r="J167" s="4" t="s">
        <v>66</v>
      </c>
      <c r="K167" s="4">
        <v>0</v>
      </c>
      <c r="L167" s="94">
        <v>-20441</v>
      </c>
      <c r="M167" s="94">
        <v>0</v>
      </c>
    </row>
    <row r="168" spans="3:13" x14ac:dyDescent="0.3">
      <c r="C168" t="s">
        <v>70</v>
      </c>
      <c r="D168" t="s">
        <v>67</v>
      </c>
      <c r="E168" t="s">
        <v>63</v>
      </c>
      <c r="F168" t="s">
        <v>26</v>
      </c>
      <c r="G168" s="4">
        <v>3</v>
      </c>
      <c r="H168" s="4" t="s">
        <v>17</v>
      </c>
      <c r="I168" s="4" t="s">
        <v>69</v>
      </c>
      <c r="J168" s="4" t="s">
        <v>66</v>
      </c>
      <c r="K168" s="4">
        <v>0</v>
      </c>
      <c r="L168" s="94">
        <v>-750885</v>
      </c>
      <c r="M168" s="94">
        <v>0</v>
      </c>
    </row>
    <row r="169" spans="3:13" x14ac:dyDescent="0.3">
      <c r="C169" t="s">
        <v>70</v>
      </c>
      <c r="D169" t="s">
        <v>62</v>
      </c>
      <c r="E169" t="s">
        <v>68</v>
      </c>
      <c r="F169" t="s">
        <v>25</v>
      </c>
      <c r="G169" s="4">
        <v>7</v>
      </c>
      <c r="I169" s="4" t="s">
        <v>69</v>
      </c>
      <c r="J169" s="4" t="s">
        <v>66</v>
      </c>
      <c r="K169" s="4">
        <v>0</v>
      </c>
      <c r="L169" s="94">
        <v>604966</v>
      </c>
      <c r="M169" s="94">
        <v>4234762</v>
      </c>
    </row>
    <row r="170" spans="3:13" x14ac:dyDescent="0.3">
      <c r="C170" t="s">
        <v>61</v>
      </c>
      <c r="D170" t="s">
        <v>67</v>
      </c>
      <c r="E170" t="s">
        <v>63</v>
      </c>
      <c r="F170" t="s">
        <v>26</v>
      </c>
      <c r="G170" s="4">
        <v>9</v>
      </c>
      <c r="H170" s="4" t="s">
        <v>76</v>
      </c>
      <c r="I170" s="4" t="s">
        <v>69</v>
      </c>
      <c r="J170" s="4" t="s">
        <v>66</v>
      </c>
      <c r="K170" s="4">
        <v>0</v>
      </c>
      <c r="L170" s="94">
        <v>-10448</v>
      </c>
      <c r="M170" s="94">
        <v>0</v>
      </c>
    </row>
    <row r="171" spans="3:13" x14ac:dyDescent="0.3">
      <c r="C171" t="s">
        <v>70</v>
      </c>
      <c r="D171" t="s">
        <v>67</v>
      </c>
      <c r="E171" t="s">
        <v>63</v>
      </c>
      <c r="F171" t="s">
        <v>26</v>
      </c>
      <c r="G171" s="4">
        <v>8</v>
      </c>
      <c r="H171" s="4" t="s">
        <v>14</v>
      </c>
      <c r="I171" s="4" t="s">
        <v>69</v>
      </c>
      <c r="J171" s="4" t="s">
        <v>73</v>
      </c>
      <c r="K171" s="4">
        <v>1</v>
      </c>
      <c r="L171" s="94">
        <v>-73695</v>
      </c>
      <c r="M171" s="94">
        <v>0</v>
      </c>
    </row>
    <row r="172" spans="3:13" x14ac:dyDescent="0.3">
      <c r="C172" t="s">
        <v>71</v>
      </c>
      <c r="D172" t="s">
        <v>67</v>
      </c>
      <c r="E172" t="s">
        <v>68</v>
      </c>
      <c r="F172" t="s">
        <v>25</v>
      </c>
      <c r="G172" s="4">
        <v>-1</v>
      </c>
      <c r="H172" s="4" t="s">
        <v>64</v>
      </c>
      <c r="I172" s="4" t="s">
        <v>69</v>
      </c>
      <c r="J172" s="4" t="s">
        <v>66</v>
      </c>
      <c r="K172" s="4">
        <v>0</v>
      </c>
      <c r="L172" s="94">
        <v>16492</v>
      </c>
      <c r="M172" s="94">
        <v>0</v>
      </c>
    </row>
    <row r="173" spans="3:13" x14ac:dyDescent="0.3">
      <c r="C173" t="s">
        <v>61</v>
      </c>
      <c r="D173" t="s">
        <v>67</v>
      </c>
      <c r="E173" t="s">
        <v>68</v>
      </c>
      <c r="F173" t="s">
        <v>26</v>
      </c>
      <c r="G173" s="4">
        <v>4</v>
      </c>
      <c r="H173" s="4" t="s">
        <v>13</v>
      </c>
      <c r="I173" s="4" t="s">
        <v>69</v>
      </c>
      <c r="J173" s="4" t="s">
        <v>66</v>
      </c>
      <c r="K173" s="4">
        <v>0</v>
      </c>
      <c r="L173" s="94">
        <v>98104</v>
      </c>
      <c r="M173" s="94">
        <v>392416</v>
      </c>
    </row>
    <row r="174" spans="3:13" x14ac:dyDescent="0.3">
      <c r="C174" t="s">
        <v>70</v>
      </c>
      <c r="D174" t="s">
        <v>67</v>
      </c>
      <c r="E174" t="s">
        <v>63</v>
      </c>
      <c r="F174" t="s">
        <v>72</v>
      </c>
      <c r="G174" s="4">
        <v>1</v>
      </c>
      <c r="H174" s="4" t="s">
        <v>82</v>
      </c>
      <c r="I174" s="4" t="s">
        <v>69</v>
      </c>
      <c r="J174" s="4" t="s">
        <v>66</v>
      </c>
      <c r="K174" s="4">
        <v>0</v>
      </c>
      <c r="L174" s="94">
        <v>-33055</v>
      </c>
      <c r="M174" s="94">
        <v>0</v>
      </c>
    </row>
    <row r="175" spans="3:13" x14ac:dyDescent="0.3">
      <c r="C175" t="s">
        <v>71</v>
      </c>
      <c r="D175" t="s">
        <v>67</v>
      </c>
      <c r="E175" t="s">
        <v>63</v>
      </c>
      <c r="F175" t="s">
        <v>25</v>
      </c>
      <c r="G175" s="4">
        <v>-4</v>
      </c>
      <c r="H175" s="4" t="s">
        <v>18</v>
      </c>
      <c r="I175" s="4" t="s">
        <v>69</v>
      </c>
      <c r="J175" s="4" t="s">
        <v>66</v>
      </c>
      <c r="K175" s="4">
        <v>0</v>
      </c>
      <c r="L175" s="94">
        <v>-198436</v>
      </c>
      <c r="M175" s="94">
        <v>0</v>
      </c>
    </row>
    <row r="176" spans="3:13" x14ac:dyDescent="0.3">
      <c r="C176" t="s">
        <v>61</v>
      </c>
      <c r="D176" t="s">
        <v>67</v>
      </c>
      <c r="E176" t="s">
        <v>68</v>
      </c>
      <c r="F176" t="s">
        <v>25</v>
      </c>
      <c r="G176" s="4">
        <v>7</v>
      </c>
      <c r="H176" s="4" t="s">
        <v>76</v>
      </c>
      <c r="I176" s="4" t="s">
        <v>65</v>
      </c>
      <c r="J176" s="4" t="s">
        <v>66</v>
      </c>
      <c r="K176" s="4">
        <v>1</v>
      </c>
      <c r="L176" s="94">
        <v>375447</v>
      </c>
      <c r="M176" s="94">
        <v>2628129</v>
      </c>
    </row>
    <row r="177" spans="3:13" x14ac:dyDescent="0.3">
      <c r="C177" t="s">
        <v>70</v>
      </c>
      <c r="D177" t="s">
        <v>67</v>
      </c>
      <c r="E177" t="s">
        <v>68</v>
      </c>
      <c r="F177" t="s">
        <v>72</v>
      </c>
      <c r="G177" s="4">
        <v>4</v>
      </c>
      <c r="H177" s="4" t="s">
        <v>78</v>
      </c>
      <c r="I177" s="4" t="s">
        <v>69</v>
      </c>
      <c r="J177" s="4" t="s">
        <v>66</v>
      </c>
      <c r="K177" s="4">
        <v>0</v>
      </c>
      <c r="L177" s="94">
        <v>90791</v>
      </c>
      <c r="M177" s="94">
        <v>363164</v>
      </c>
    </row>
    <row r="178" spans="3:13" x14ac:dyDescent="0.3">
      <c r="C178" t="s">
        <v>71</v>
      </c>
      <c r="D178" t="s">
        <v>67</v>
      </c>
      <c r="E178" t="s">
        <v>63</v>
      </c>
      <c r="F178" t="s">
        <v>26</v>
      </c>
      <c r="G178" s="4">
        <v>4</v>
      </c>
      <c r="H178" s="4" t="s">
        <v>64</v>
      </c>
      <c r="I178" s="4" t="s">
        <v>69</v>
      </c>
      <c r="J178" s="4" t="s">
        <v>66</v>
      </c>
      <c r="K178" s="4">
        <v>0</v>
      </c>
      <c r="L178" s="94">
        <v>-105133</v>
      </c>
      <c r="M178" s="94">
        <v>0</v>
      </c>
    </row>
    <row r="179" spans="3:13" x14ac:dyDescent="0.3">
      <c r="C179" t="s">
        <v>70</v>
      </c>
      <c r="D179" t="s">
        <v>62</v>
      </c>
      <c r="E179" t="s">
        <v>63</v>
      </c>
      <c r="F179" t="s">
        <v>24</v>
      </c>
      <c r="G179" s="4">
        <v>29</v>
      </c>
      <c r="I179" s="4" t="s">
        <v>69</v>
      </c>
      <c r="J179" s="4" t="s">
        <v>66</v>
      </c>
      <c r="K179" s="4">
        <v>0</v>
      </c>
      <c r="L179" s="94">
        <v>-1826647</v>
      </c>
      <c r="M179" s="94">
        <v>0</v>
      </c>
    </row>
    <row r="180" spans="3:13" x14ac:dyDescent="0.3">
      <c r="C180" t="s">
        <v>70</v>
      </c>
      <c r="D180" t="s">
        <v>67</v>
      </c>
      <c r="E180" t="s">
        <v>63</v>
      </c>
      <c r="F180" t="s">
        <v>25</v>
      </c>
      <c r="G180" s="4">
        <v>2</v>
      </c>
      <c r="H180" s="4" t="s">
        <v>12</v>
      </c>
      <c r="I180" s="4" t="s">
        <v>69</v>
      </c>
      <c r="J180" s="4" t="s">
        <v>66</v>
      </c>
      <c r="K180" s="4">
        <v>1</v>
      </c>
      <c r="L180" s="94">
        <v>-1207</v>
      </c>
      <c r="M180" s="94">
        <v>0</v>
      </c>
    </row>
    <row r="181" spans="3:13" x14ac:dyDescent="0.3">
      <c r="C181" t="s">
        <v>61</v>
      </c>
      <c r="D181" t="s">
        <v>67</v>
      </c>
      <c r="E181" t="s">
        <v>68</v>
      </c>
      <c r="F181" t="s">
        <v>25</v>
      </c>
      <c r="G181" s="4">
        <v>7</v>
      </c>
      <c r="H181" s="4" t="s">
        <v>64</v>
      </c>
      <c r="I181" s="4" t="s">
        <v>69</v>
      </c>
      <c r="J181" s="4" t="s">
        <v>66</v>
      </c>
      <c r="K181" s="4">
        <v>0</v>
      </c>
      <c r="L181" s="94">
        <v>506793</v>
      </c>
      <c r="M181" s="94">
        <v>3547551</v>
      </c>
    </row>
    <row r="182" spans="3:13" x14ac:dyDescent="0.3">
      <c r="C182" t="s">
        <v>70</v>
      </c>
      <c r="D182" t="s">
        <v>67</v>
      </c>
      <c r="E182" t="s">
        <v>63</v>
      </c>
      <c r="F182" t="s">
        <v>25</v>
      </c>
      <c r="G182" s="4">
        <v>11</v>
      </c>
      <c r="H182" s="4" t="s">
        <v>17</v>
      </c>
      <c r="I182" s="4" t="s">
        <v>69</v>
      </c>
      <c r="J182" s="4" t="s">
        <v>66</v>
      </c>
      <c r="K182" s="4">
        <v>0</v>
      </c>
      <c r="L182" s="94">
        <v>-54020</v>
      </c>
      <c r="M182" s="94">
        <v>0</v>
      </c>
    </row>
    <row r="183" spans="3:13" x14ac:dyDescent="0.3">
      <c r="C183" t="s">
        <v>61</v>
      </c>
      <c r="D183" t="s">
        <v>67</v>
      </c>
      <c r="E183" t="s">
        <v>63</v>
      </c>
      <c r="F183" t="s">
        <v>26</v>
      </c>
      <c r="G183" s="4">
        <v>0</v>
      </c>
      <c r="H183" s="4" t="s">
        <v>15</v>
      </c>
      <c r="I183" s="4" t="s">
        <v>69</v>
      </c>
      <c r="J183" s="4" t="s">
        <v>66</v>
      </c>
      <c r="K183" s="4">
        <v>0</v>
      </c>
      <c r="L183" s="94">
        <v>-50586</v>
      </c>
      <c r="M183" s="94">
        <v>0</v>
      </c>
    </row>
    <row r="184" spans="3:13" x14ac:dyDescent="0.3">
      <c r="C184" t="s">
        <v>61</v>
      </c>
      <c r="D184" t="s">
        <v>84</v>
      </c>
      <c r="E184" t="s">
        <v>63</v>
      </c>
      <c r="F184" t="s">
        <v>25</v>
      </c>
      <c r="G184" s="4">
        <v>13</v>
      </c>
      <c r="H184" s="4" t="s">
        <v>75</v>
      </c>
      <c r="I184" s="4" t="s">
        <v>69</v>
      </c>
      <c r="J184" s="4" t="s">
        <v>66</v>
      </c>
      <c r="K184" s="4">
        <v>0</v>
      </c>
      <c r="L184" s="94">
        <v>-17604</v>
      </c>
      <c r="M184" s="94">
        <v>0</v>
      </c>
    </row>
    <row r="185" spans="3:13" x14ac:dyDescent="0.3">
      <c r="C185" t="s">
        <v>61</v>
      </c>
      <c r="D185" t="s">
        <v>67</v>
      </c>
      <c r="E185" t="s">
        <v>63</v>
      </c>
      <c r="F185" t="s">
        <v>25</v>
      </c>
      <c r="G185" s="4">
        <v>8</v>
      </c>
      <c r="H185" s="4" t="s">
        <v>81</v>
      </c>
      <c r="I185" s="4" t="s">
        <v>69</v>
      </c>
      <c r="J185" s="4" t="s">
        <v>66</v>
      </c>
      <c r="K185" s="4">
        <v>0</v>
      </c>
      <c r="L185" s="94">
        <v>-739</v>
      </c>
      <c r="M185" s="94">
        <v>0</v>
      </c>
    </row>
    <row r="186" spans="3:13" x14ac:dyDescent="0.3">
      <c r="C186" t="s">
        <v>71</v>
      </c>
      <c r="D186" t="s">
        <v>67</v>
      </c>
      <c r="E186" t="s">
        <v>63</v>
      </c>
      <c r="F186" t="s">
        <v>25</v>
      </c>
      <c r="G186" s="4">
        <v>6</v>
      </c>
      <c r="H186" s="4" t="s">
        <v>17</v>
      </c>
      <c r="I186" s="4" t="s">
        <v>69</v>
      </c>
      <c r="J186" s="4" t="s">
        <v>66</v>
      </c>
      <c r="K186" s="4">
        <v>0</v>
      </c>
      <c r="L186" s="94">
        <v>-118181</v>
      </c>
      <c r="M186" s="94">
        <v>0</v>
      </c>
    </row>
    <row r="187" spans="3:13" x14ac:dyDescent="0.3">
      <c r="C187" t="s">
        <v>61</v>
      </c>
      <c r="D187" t="s">
        <v>62</v>
      </c>
      <c r="E187" t="s">
        <v>68</v>
      </c>
      <c r="F187" t="s">
        <v>25</v>
      </c>
      <c r="G187" s="4">
        <v>12</v>
      </c>
      <c r="I187" s="4" t="s">
        <v>69</v>
      </c>
      <c r="J187" s="4" t="s">
        <v>66</v>
      </c>
      <c r="K187" s="4">
        <v>0</v>
      </c>
      <c r="L187" s="94">
        <v>8803670</v>
      </c>
      <c r="M187" s="94">
        <v>105644040</v>
      </c>
    </row>
    <row r="188" spans="3:13" x14ac:dyDescent="0.3">
      <c r="C188" t="s">
        <v>70</v>
      </c>
      <c r="D188" t="s">
        <v>62</v>
      </c>
      <c r="E188" t="s">
        <v>63</v>
      </c>
      <c r="F188" t="s">
        <v>25</v>
      </c>
      <c r="G188" s="4">
        <v>24</v>
      </c>
      <c r="I188" s="4" t="s">
        <v>69</v>
      </c>
      <c r="J188" s="4" t="s">
        <v>66</v>
      </c>
      <c r="K188" s="4">
        <v>0</v>
      </c>
      <c r="L188" s="94">
        <v>-222</v>
      </c>
      <c r="M188" s="94">
        <v>0</v>
      </c>
    </row>
    <row r="189" spans="3:13" x14ac:dyDescent="0.3">
      <c r="C189" t="s">
        <v>70</v>
      </c>
      <c r="D189" t="s">
        <v>67</v>
      </c>
      <c r="E189" t="s">
        <v>68</v>
      </c>
      <c r="F189" t="s">
        <v>25</v>
      </c>
      <c r="G189" s="4">
        <v>-4</v>
      </c>
      <c r="H189" s="4" t="s">
        <v>82</v>
      </c>
      <c r="I189" s="4" t="s">
        <v>69</v>
      </c>
      <c r="J189" s="4" t="s">
        <v>66</v>
      </c>
      <c r="K189" s="4">
        <v>0</v>
      </c>
      <c r="L189" s="94">
        <v>191057</v>
      </c>
      <c r="M189" s="94">
        <v>0</v>
      </c>
    </row>
    <row r="190" spans="3:13" x14ac:dyDescent="0.3">
      <c r="C190" t="s">
        <v>71</v>
      </c>
      <c r="D190" t="s">
        <v>67</v>
      </c>
      <c r="E190" t="s">
        <v>63</v>
      </c>
      <c r="F190" t="s">
        <v>72</v>
      </c>
      <c r="G190" s="4">
        <v>-4</v>
      </c>
      <c r="H190" s="4" t="s">
        <v>12</v>
      </c>
      <c r="I190" s="4" t="s">
        <v>65</v>
      </c>
      <c r="J190" s="4" t="s">
        <v>73</v>
      </c>
      <c r="K190" s="4">
        <v>1</v>
      </c>
      <c r="L190" s="94">
        <v>-1681</v>
      </c>
      <c r="M190" s="94">
        <v>0</v>
      </c>
    </row>
    <row r="191" spans="3:13" x14ac:dyDescent="0.3">
      <c r="C191" t="s">
        <v>61</v>
      </c>
      <c r="D191" t="s">
        <v>67</v>
      </c>
      <c r="E191" t="s">
        <v>68</v>
      </c>
      <c r="F191" t="s">
        <v>72</v>
      </c>
      <c r="G191" s="4">
        <v>8</v>
      </c>
      <c r="H191" s="4" t="s">
        <v>64</v>
      </c>
      <c r="I191" s="4" t="s">
        <v>69</v>
      </c>
      <c r="J191" s="4" t="s">
        <v>66</v>
      </c>
      <c r="K191" s="4">
        <v>0</v>
      </c>
      <c r="L191" s="94">
        <v>4308217</v>
      </c>
      <c r="M191" s="94">
        <v>34465736</v>
      </c>
    </row>
    <row r="192" spans="3:13" x14ac:dyDescent="0.3">
      <c r="C192" t="s">
        <v>61</v>
      </c>
      <c r="D192" t="s">
        <v>67</v>
      </c>
      <c r="E192" t="s">
        <v>63</v>
      </c>
      <c r="F192" t="s">
        <v>25</v>
      </c>
      <c r="G192" s="4">
        <v>1</v>
      </c>
      <c r="H192" s="4" t="s">
        <v>75</v>
      </c>
      <c r="I192" s="4" t="s">
        <v>69</v>
      </c>
      <c r="J192" s="4" t="s">
        <v>66</v>
      </c>
      <c r="K192" s="4">
        <v>0</v>
      </c>
      <c r="L192" s="94">
        <v>-126262</v>
      </c>
      <c r="M192" s="94">
        <v>0</v>
      </c>
    </row>
    <row r="193" spans="3:13" x14ac:dyDescent="0.3">
      <c r="C193" t="s">
        <v>70</v>
      </c>
      <c r="D193" t="s">
        <v>67</v>
      </c>
      <c r="E193" t="s">
        <v>63</v>
      </c>
      <c r="F193" t="s">
        <v>25</v>
      </c>
      <c r="G193" s="4">
        <v>1</v>
      </c>
      <c r="H193" s="4" t="s">
        <v>74</v>
      </c>
      <c r="I193" s="4" t="s">
        <v>69</v>
      </c>
      <c r="J193" s="4" t="s">
        <v>66</v>
      </c>
      <c r="K193" s="4">
        <v>0</v>
      </c>
      <c r="L193" s="94">
        <v>-3677</v>
      </c>
      <c r="M193" s="94">
        <v>0</v>
      </c>
    </row>
    <row r="194" spans="3:13" x14ac:dyDescent="0.3">
      <c r="C194" t="s">
        <v>71</v>
      </c>
      <c r="D194" t="s">
        <v>67</v>
      </c>
      <c r="E194" t="s">
        <v>63</v>
      </c>
      <c r="F194" t="s">
        <v>26</v>
      </c>
      <c r="G194" s="4">
        <v>2</v>
      </c>
      <c r="H194" s="4" t="s">
        <v>79</v>
      </c>
      <c r="I194" s="4" t="s">
        <v>69</v>
      </c>
      <c r="J194" s="4" t="s">
        <v>66</v>
      </c>
      <c r="K194" s="4">
        <v>0</v>
      </c>
      <c r="L194" s="94">
        <v>-477421</v>
      </c>
      <c r="M194" s="94">
        <v>0</v>
      </c>
    </row>
    <row r="195" spans="3:13" x14ac:dyDescent="0.3">
      <c r="C195" t="s">
        <v>61</v>
      </c>
      <c r="D195" t="s">
        <v>67</v>
      </c>
      <c r="E195" t="s">
        <v>68</v>
      </c>
      <c r="F195" t="s">
        <v>72</v>
      </c>
      <c r="G195" s="4">
        <v>-4</v>
      </c>
      <c r="H195" s="4" t="s">
        <v>80</v>
      </c>
      <c r="I195" s="4" t="s">
        <v>69</v>
      </c>
      <c r="J195" s="4" t="s">
        <v>66</v>
      </c>
      <c r="K195" s="4">
        <v>0</v>
      </c>
      <c r="L195" s="94">
        <v>73</v>
      </c>
      <c r="M195" s="94">
        <v>0</v>
      </c>
    </row>
    <row r="196" spans="3:13" x14ac:dyDescent="0.3">
      <c r="C196" t="s">
        <v>71</v>
      </c>
      <c r="D196" t="s">
        <v>67</v>
      </c>
      <c r="E196" t="s">
        <v>63</v>
      </c>
      <c r="F196" t="s">
        <v>25</v>
      </c>
      <c r="G196" s="4">
        <v>1</v>
      </c>
      <c r="H196" s="4" t="s">
        <v>17</v>
      </c>
      <c r="I196" s="4" t="s">
        <v>69</v>
      </c>
      <c r="J196" s="4" t="s">
        <v>66</v>
      </c>
      <c r="K196" s="4">
        <v>0</v>
      </c>
      <c r="L196" s="94">
        <v>-37515</v>
      </c>
      <c r="M196" s="94">
        <v>0</v>
      </c>
    </row>
    <row r="197" spans="3:13" x14ac:dyDescent="0.3">
      <c r="C197" t="s">
        <v>61</v>
      </c>
      <c r="D197" t="s">
        <v>67</v>
      </c>
      <c r="E197" t="s">
        <v>68</v>
      </c>
      <c r="F197" t="s">
        <v>72</v>
      </c>
      <c r="G197" s="4">
        <v>0</v>
      </c>
      <c r="H197" s="4" t="s">
        <v>17</v>
      </c>
      <c r="I197" s="4" t="s">
        <v>65</v>
      </c>
      <c r="J197" s="4" t="s">
        <v>73</v>
      </c>
      <c r="K197" s="4">
        <v>1</v>
      </c>
      <c r="L197" s="94">
        <v>205199</v>
      </c>
      <c r="M197" s="94">
        <v>0</v>
      </c>
    </row>
    <row r="198" spans="3:13" x14ac:dyDescent="0.3">
      <c r="C198" t="s">
        <v>70</v>
      </c>
      <c r="D198" t="s">
        <v>67</v>
      </c>
      <c r="E198" t="s">
        <v>68</v>
      </c>
      <c r="F198" t="s">
        <v>25</v>
      </c>
      <c r="G198" s="4">
        <v>11</v>
      </c>
      <c r="H198" s="4" t="s">
        <v>64</v>
      </c>
      <c r="I198" s="4" t="s">
        <v>69</v>
      </c>
      <c r="J198" s="4" t="s">
        <v>66</v>
      </c>
      <c r="K198" s="4">
        <v>0</v>
      </c>
      <c r="L198" s="94">
        <v>17576146</v>
      </c>
      <c r="M198" s="94">
        <v>193337606</v>
      </c>
    </row>
    <row r="199" spans="3:13" x14ac:dyDescent="0.3">
      <c r="C199" t="s">
        <v>61</v>
      </c>
      <c r="D199" t="s">
        <v>67</v>
      </c>
      <c r="E199" t="s">
        <v>68</v>
      </c>
      <c r="F199" t="s">
        <v>26</v>
      </c>
      <c r="G199" s="4">
        <v>0</v>
      </c>
      <c r="H199" s="4" t="s">
        <v>77</v>
      </c>
      <c r="I199" s="4" t="s">
        <v>69</v>
      </c>
      <c r="J199" s="4" t="s">
        <v>66</v>
      </c>
      <c r="K199" s="4">
        <v>0</v>
      </c>
      <c r="L199" s="94">
        <v>33502671</v>
      </c>
      <c r="M199" s="94">
        <v>0</v>
      </c>
    </row>
    <row r="200" spans="3:13" x14ac:dyDescent="0.3">
      <c r="C200" t="s">
        <v>61</v>
      </c>
      <c r="D200" t="s">
        <v>67</v>
      </c>
      <c r="E200" t="s">
        <v>68</v>
      </c>
      <c r="F200" t="s">
        <v>25</v>
      </c>
      <c r="G200" s="4">
        <v>10</v>
      </c>
      <c r="H200" s="4" t="s">
        <v>14</v>
      </c>
      <c r="I200" s="4" t="s">
        <v>69</v>
      </c>
      <c r="J200" s="4" t="s">
        <v>66</v>
      </c>
      <c r="K200" s="4">
        <v>0</v>
      </c>
      <c r="L200" s="94">
        <v>2799688</v>
      </c>
      <c r="M200" s="94">
        <v>27996880</v>
      </c>
    </row>
    <row r="201" spans="3:13" x14ac:dyDescent="0.3">
      <c r="C201" t="s">
        <v>71</v>
      </c>
      <c r="D201" t="s">
        <v>67</v>
      </c>
      <c r="E201" t="s">
        <v>63</v>
      </c>
      <c r="F201" t="s">
        <v>26</v>
      </c>
      <c r="G201" s="4">
        <v>0</v>
      </c>
      <c r="H201" s="4" t="s">
        <v>82</v>
      </c>
      <c r="I201" s="4" t="s">
        <v>69</v>
      </c>
      <c r="J201" s="4" t="s">
        <v>66</v>
      </c>
      <c r="K201" s="4">
        <v>0</v>
      </c>
      <c r="L201" s="94">
        <v>-132607</v>
      </c>
      <c r="M201" s="94">
        <v>0</v>
      </c>
    </row>
    <row r="202" spans="3:13" x14ac:dyDescent="0.3">
      <c r="C202" t="s">
        <v>61</v>
      </c>
      <c r="D202" t="s">
        <v>67</v>
      </c>
      <c r="E202" t="s">
        <v>63</v>
      </c>
      <c r="F202" t="s">
        <v>26</v>
      </c>
      <c r="G202" s="4">
        <v>4</v>
      </c>
      <c r="H202" s="4" t="s">
        <v>13</v>
      </c>
      <c r="I202" s="4" t="s">
        <v>69</v>
      </c>
      <c r="J202" s="4" t="s">
        <v>66</v>
      </c>
      <c r="K202" s="4">
        <v>0</v>
      </c>
      <c r="L202" s="94">
        <v>-657</v>
      </c>
      <c r="M202" s="94">
        <v>0</v>
      </c>
    </row>
    <row r="203" spans="3:13" x14ac:dyDescent="0.3">
      <c r="C203" t="s">
        <v>71</v>
      </c>
      <c r="D203" t="s">
        <v>67</v>
      </c>
      <c r="E203" t="s">
        <v>63</v>
      </c>
      <c r="F203" t="s">
        <v>72</v>
      </c>
      <c r="G203" s="4">
        <v>4</v>
      </c>
      <c r="H203" s="4" t="s">
        <v>75</v>
      </c>
      <c r="I203" s="4" t="s">
        <v>69</v>
      </c>
      <c r="J203" s="4" t="s">
        <v>66</v>
      </c>
      <c r="K203" s="4">
        <v>0</v>
      </c>
      <c r="L203" s="94">
        <v>-27685</v>
      </c>
      <c r="M203" s="94">
        <v>0</v>
      </c>
    </row>
    <row r="204" spans="3:13" x14ac:dyDescent="0.3">
      <c r="C204" t="s">
        <v>71</v>
      </c>
      <c r="D204" t="s">
        <v>67</v>
      </c>
      <c r="E204" t="s">
        <v>63</v>
      </c>
      <c r="F204" t="s">
        <v>26</v>
      </c>
      <c r="G204" s="4">
        <v>7</v>
      </c>
      <c r="H204" s="4" t="s">
        <v>17</v>
      </c>
      <c r="I204" s="4" t="s">
        <v>69</v>
      </c>
      <c r="J204" s="4" t="s">
        <v>66</v>
      </c>
      <c r="K204" s="4">
        <v>0</v>
      </c>
      <c r="L204" s="94">
        <v>-30301</v>
      </c>
      <c r="M204" s="94">
        <v>0</v>
      </c>
    </row>
    <row r="205" spans="3:13" x14ac:dyDescent="0.3">
      <c r="C205" t="s">
        <v>70</v>
      </c>
      <c r="D205" t="s">
        <v>67</v>
      </c>
      <c r="E205" t="s">
        <v>68</v>
      </c>
      <c r="F205" t="s">
        <v>26</v>
      </c>
      <c r="G205" s="4">
        <v>1</v>
      </c>
      <c r="H205" s="4" t="s">
        <v>17</v>
      </c>
      <c r="I205" s="4" t="s">
        <v>65</v>
      </c>
      <c r="J205" s="4" t="s">
        <v>73</v>
      </c>
      <c r="K205" s="4">
        <v>1</v>
      </c>
      <c r="L205" s="94">
        <v>93897</v>
      </c>
      <c r="M205" s="94">
        <v>93897</v>
      </c>
    </row>
    <row r="206" spans="3:13" x14ac:dyDescent="0.3">
      <c r="C206" t="s">
        <v>71</v>
      </c>
      <c r="D206" t="s">
        <v>67</v>
      </c>
      <c r="E206" t="s">
        <v>68</v>
      </c>
      <c r="F206" t="s">
        <v>72</v>
      </c>
      <c r="G206" s="4">
        <v>2</v>
      </c>
      <c r="H206" s="4" t="s">
        <v>82</v>
      </c>
      <c r="I206" s="4" t="s">
        <v>65</v>
      </c>
      <c r="J206" s="4" t="s">
        <v>66</v>
      </c>
      <c r="K206" s="4">
        <v>1</v>
      </c>
      <c r="L206" s="94">
        <v>163862</v>
      </c>
      <c r="M206" s="94">
        <v>327724</v>
      </c>
    </row>
    <row r="207" spans="3:13" x14ac:dyDescent="0.3">
      <c r="C207" t="s">
        <v>61</v>
      </c>
      <c r="D207" t="s">
        <v>67</v>
      </c>
      <c r="E207" t="s">
        <v>63</v>
      </c>
      <c r="F207" t="s">
        <v>72</v>
      </c>
      <c r="G207" s="4">
        <v>1</v>
      </c>
      <c r="H207" s="4" t="s">
        <v>17</v>
      </c>
      <c r="I207" s="4" t="s">
        <v>69</v>
      </c>
      <c r="J207" s="4" t="s">
        <v>66</v>
      </c>
      <c r="K207" s="4">
        <v>0</v>
      </c>
      <c r="L207" s="94">
        <v>-10983</v>
      </c>
      <c r="M207" s="94">
        <v>0</v>
      </c>
    </row>
    <row r="208" spans="3:13" x14ac:dyDescent="0.3">
      <c r="C208" t="s">
        <v>71</v>
      </c>
      <c r="D208" t="s">
        <v>67</v>
      </c>
      <c r="E208" t="s">
        <v>68</v>
      </c>
      <c r="F208" t="s">
        <v>72</v>
      </c>
      <c r="G208" s="4">
        <v>1</v>
      </c>
      <c r="H208" s="4" t="s">
        <v>16</v>
      </c>
      <c r="I208" s="4" t="s">
        <v>69</v>
      </c>
      <c r="J208" s="4" t="s">
        <v>66</v>
      </c>
      <c r="K208" s="4">
        <v>0</v>
      </c>
      <c r="L208" s="94">
        <v>1996</v>
      </c>
      <c r="M208" s="94">
        <v>1996</v>
      </c>
    </row>
    <row r="209" spans="3:13" x14ac:dyDescent="0.3">
      <c r="C209" t="s">
        <v>61</v>
      </c>
      <c r="D209" t="s">
        <v>67</v>
      </c>
      <c r="E209" t="s">
        <v>63</v>
      </c>
      <c r="F209" t="s">
        <v>25</v>
      </c>
      <c r="G209" s="4">
        <v>13</v>
      </c>
      <c r="H209" s="4" t="s">
        <v>14</v>
      </c>
      <c r="I209" s="4" t="s">
        <v>69</v>
      </c>
      <c r="J209" s="4" t="s">
        <v>66</v>
      </c>
      <c r="K209" s="4">
        <v>1</v>
      </c>
      <c r="L209" s="94">
        <v>-1557</v>
      </c>
      <c r="M209" s="94">
        <v>0</v>
      </c>
    </row>
    <row r="210" spans="3:13" x14ac:dyDescent="0.3">
      <c r="C210" t="s">
        <v>61</v>
      </c>
      <c r="D210" t="s">
        <v>67</v>
      </c>
      <c r="E210" t="s">
        <v>68</v>
      </c>
      <c r="F210" t="s">
        <v>25</v>
      </c>
      <c r="G210" s="4">
        <v>13</v>
      </c>
      <c r="H210" s="4" t="s">
        <v>76</v>
      </c>
      <c r="I210" s="4" t="s">
        <v>69</v>
      </c>
      <c r="J210" s="4" t="s">
        <v>66</v>
      </c>
      <c r="K210" s="4">
        <v>0</v>
      </c>
      <c r="L210" s="94">
        <v>5875732</v>
      </c>
      <c r="M210" s="94">
        <v>76384516</v>
      </c>
    </row>
    <row r="211" spans="3:13" x14ac:dyDescent="0.3">
      <c r="C211" t="s">
        <v>61</v>
      </c>
      <c r="D211" t="s">
        <v>62</v>
      </c>
      <c r="E211" t="s">
        <v>63</v>
      </c>
      <c r="F211" t="s">
        <v>25</v>
      </c>
      <c r="G211" s="4">
        <v>25</v>
      </c>
      <c r="I211" s="4" t="s">
        <v>69</v>
      </c>
      <c r="J211" s="4" t="s">
        <v>66</v>
      </c>
      <c r="K211" s="4">
        <v>0</v>
      </c>
      <c r="L211" s="94">
        <v>-192</v>
      </c>
      <c r="M211" s="94">
        <v>0</v>
      </c>
    </row>
    <row r="212" spans="3:13" x14ac:dyDescent="0.3">
      <c r="C212" t="s">
        <v>71</v>
      </c>
      <c r="D212" t="s">
        <v>67</v>
      </c>
      <c r="E212" t="s">
        <v>68</v>
      </c>
      <c r="F212" t="s">
        <v>72</v>
      </c>
      <c r="G212" s="4">
        <v>-4</v>
      </c>
      <c r="H212" s="4" t="s">
        <v>17</v>
      </c>
      <c r="I212" s="4" t="s">
        <v>69</v>
      </c>
      <c r="J212" s="4" t="s">
        <v>66</v>
      </c>
      <c r="K212" s="4">
        <v>0</v>
      </c>
      <c r="L212" s="94">
        <v>540563</v>
      </c>
      <c r="M212" s="94">
        <v>0</v>
      </c>
    </row>
    <row r="213" spans="3:13" x14ac:dyDescent="0.3">
      <c r="C213" t="s">
        <v>61</v>
      </c>
      <c r="D213" t="s">
        <v>67</v>
      </c>
      <c r="E213" t="s">
        <v>63</v>
      </c>
      <c r="F213" t="s">
        <v>26</v>
      </c>
      <c r="G213" s="4">
        <v>2</v>
      </c>
      <c r="H213" s="4" t="s">
        <v>17</v>
      </c>
      <c r="I213" s="4" t="s">
        <v>65</v>
      </c>
      <c r="J213" s="4" t="s">
        <v>73</v>
      </c>
      <c r="K213" s="4">
        <v>1</v>
      </c>
      <c r="L213" s="94">
        <v>-5648</v>
      </c>
      <c r="M213" s="94">
        <v>0</v>
      </c>
    </row>
    <row r="214" spans="3:13" x14ac:dyDescent="0.3">
      <c r="C214" t="s">
        <v>70</v>
      </c>
      <c r="D214" t="s">
        <v>67</v>
      </c>
      <c r="E214" t="s">
        <v>63</v>
      </c>
      <c r="F214" t="s">
        <v>25</v>
      </c>
      <c r="G214" s="4">
        <v>-4</v>
      </c>
      <c r="H214" s="4" t="s">
        <v>75</v>
      </c>
      <c r="I214" s="4" t="s">
        <v>69</v>
      </c>
      <c r="J214" s="4" t="s">
        <v>66</v>
      </c>
      <c r="K214" s="4">
        <v>0</v>
      </c>
      <c r="L214" s="94">
        <v>-132</v>
      </c>
      <c r="M214" s="94">
        <v>0</v>
      </c>
    </row>
    <row r="215" spans="3:13" x14ac:dyDescent="0.3">
      <c r="C215" t="s">
        <v>61</v>
      </c>
      <c r="D215" t="s">
        <v>62</v>
      </c>
      <c r="E215" t="s">
        <v>68</v>
      </c>
      <c r="F215" t="s">
        <v>25</v>
      </c>
      <c r="G215" s="4">
        <v>17</v>
      </c>
      <c r="I215" s="4" t="s">
        <v>69</v>
      </c>
      <c r="J215" s="4" t="s">
        <v>66</v>
      </c>
      <c r="K215" s="4">
        <v>0</v>
      </c>
      <c r="L215" s="94">
        <v>902192</v>
      </c>
      <c r="M215" s="94">
        <v>15337264</v>
      </c>
    </row>
    <row r="216" spans="3:13" x14ac:dyDescent="0.3">
      <c r="C216" t="s">
        <v>71</v>
      </c>
      <c r="D216" t="s">
        <v>67</v>
      </c>
      <c r="E216" t="s">
        <v>68</v>
      </c>
      <c r="F216" t="s">
        <v>26</v>
      </c>
      <c r="G216" s="4">
        <v>-1</v>
      </c>
      <c r="H216" s="4" t="s">
        <v>76</v>
      </c>
      <c r="I216" s="4" t="s">
        <v>69</v>
      </c>
      <c r="J216" s="4" t="s">
        <v>66</v>
      </c>
      <c r="K216" s="4">
        <v>0</v>
      </c>
      <c r="L216" s="94">
        <v>2537387</v>
      </c>
      <c r="M216" s="94">
        <v>0</v>
      </c>
    </row>
    <row r="217" spans="3:13" x14ac:dyDescent="0.3">
      <c r="C217" t="s">
        <v>61</v>
      </c>
      <c r="D217" t="s">
        <v>67</v>
      </c>
      <c r="E217" t="s">
        <v>63</v>
      </c>
      <c r="F217" t="s">
        <v>25</v>
      </c>
      <c r="G217" s="4">
        <v>-1</v>
      </c>
      <c r="H217" s="4" t="s">
        <v>78</v>
      </c>
      <c r="I217" s="4" t="s">
        <v>69</v>
      </c>
      <c r="J217" s="4" t="s">
        <v>66</v>
      </c>
      <c r="K217" s="4">
        <v>0</v>
      </c>
      <c r="L217" s="94">
        <v>-1567</v>
      </c>
      <c r="M217" s="94">
        <v>0</v>
      </c>
    </row>
    <row r="218" spans="3:13" x14ac:dyDescent="0.3">
      <c r="C218" t="s">
        <v>61</v>
      </c>
      <c r="D218" t="s">
        <v>62</v>
      </c>
      <c r="E218" t="s">
        <v>68</v>
      </c>
      <c r="F218" t="s">
        <v>24</v>
      </c>
      <c r="G218" s="4">
        <v>37</v>
      </c>
      <c r="I218" s="4" t="s">
        <v>65</v>
      </c>
      <c r="J218" s="4" t="s">
        <v>66</v>
      </c>
      <c r="K218" s="4">
        <v>1</v>
      </c>
      <c r="L218" s="94">
        <v>19223514</v>
      </c>
      <c r="M218" s="94">
        <v>711270018</v>
      </c>
    </row>
    <row r="219" spans="3:13" x14ac:dyDescent="0.3">
      <c r="C219" t="s">
        <v>70</v>
      </c>
      <c r="D219" t="s">
        <v>67</v>
      </c>
      <c r="E219" t="s">
        <v>68</v>
      </c>
      <c r="F219" t="s">
        <v>26</v>
      </c>
      <c r="G219" s="4">
        <v>0</v>
      </c>
      <c r="H219" s="4" t="s">
        <v>18</v>
      </c>
      <c r="I219" s="4" t="s">
        <v>69</v>
      </c>
      <c r="J219" s="4" t="s">
        <v>73</v>
      </c>
      <c r="K219" s="4">
        <v>1</v>
      </c>
      <c r="L219" s="94">
        <v>768364</v>
      </c>
      <c r="M219" s="94">
        <v>0</v>
      </c>
    </row>
    <row r="220" spans="3:13" x14ac:dyDescent="0.3">
      <c r="C220" t="s">
        <v>70</v>
      </c>
      <c r="D220" t="s">
        <v>62</v>
      </c>
      <c r="E220" t="s">
        <v>68</v>
      </c>
      <c r="F220" t="s">
        <v>24</v>
      </c>
      <c r="G220" s="4">
        <v>34</v>
      </c>
      <c r="I220" s="4" t="s">
        <v>69</v>
      </c>
      <c r="J220" s="4" t="s">
        <v>73</v>
      </c>
      <c r="K220" s="4">
        <v>1</v>
      </c>
      <c r="L220" s="94">
        <v>6301</v>
      </c>
      <c r="M220" s="94">
        <v>214234</v>
      </c>
    </row>
    <row r="221" spans="3:13" x14ac:dyDescent="0.3">
      <c r="C221" t="s">
        <v>70</v>
      </c>
      <c r="D221" t="s">
        <v>67</v>
      </c>
      <c r="E221" t="s">
        <v>63</v>
      </c>
      <c r="F221" t="s">
        <v>25</v>
      </c>
      <c r="G221" s="4">
        <v>11</v>
      </c>
      <c r="H221" s="4" t="s">
        <v>82</v>
      </c>
      <c r="I221" s="4" t="s">
        <v>69</v>
      </c>
      <c r="J221" s="4" t="s">
        <v>66</v>
      </c>
      <c r="K221" s="4">
        <v>0</v>
      </c>
      <c r="L221" s="94">
        <v>-7330</v>
      </c>
      <c r="M221" s="94">
        <v>0</v>
      </c>
    </row>
    <row r="222" spans="3:13" x14ac:dyDescent="0.3">
      <c r="C222" t="s">
        <v>61</v>
      </c>
      <c r="D222" t="s">
        <v>84</v>
      </c>
      <c r="E222" t="s">
        <v>68</v>
      </c>
      <c r="F222" t="s">
        <v>25</v>
      </c>
      <c r="G222" s="4">
        <v>2</v>
      </c>
      <c r="H222" s="4" t="s">
        <v>76</v>
      </c>
      <c r="I222" s="4" t="s">
        <v>69</v>
      </c>
      <c r="J222" s="4" t="s">
        <v>66</v>
      </c>
      <c r="K222" s="4">
        <v>0</v>
      </c>
      <c r="L222" s="94">
        <v>13594120</v>
      </c>
      <c r="M222" s="94">
        <v>27188240</v>
      </c>
    </row>
    <row r="223" spans="3:13" x14ac:dyDescent="0.3">
      <c r="C223" t="s">
        <v>61</v>
      </c>
      <c r="D223" t="s">
        <v>67</v>
      </c>
      <c r="E223" t="s">
        <v>68</v>
      </c>
      <c r="F223" t="s">
        <v>26</v>
      </c>
      <c r="G223" s="4">
        <v>4</v>
      </c>
      <c r="H223" s="4" t="s">
        <v>75</v>
      </c>
      <c r="I223" s="4" t="s">
        <v>69</v>
      </c>
      <c r="J223" s="4" t="s">
        <v>66</v>
      </c>
      <c r="K223" s="4">
        <v>0</v>
      </c>
      <c r="L223" s="94">
        <v>8701639</v>
      </c>
      <c r="M223" s="94">
        <v>34806556</v>
      </c>
    </row>
    <row r="224" spans="3:13" x14ac:dyDescent="0.3">
      <c r="C224" t="s">
        <v>71</v>
      </c>
      <c r="D224" t="s">
        <v>67</v>
      </c>
      <c r="E224" t="s">
        <v>63</v>
      </c>
      <c r="F224" t="s">
        <v>26</v>
      </c>
      <c r="G224" s="4">
        <v>1</v>
      </c>
      <c r="H224" s="4" t="s">
        <v>14</v>
      </c>
      <c r="I224" s="4" t="s">
        <v>69</v>
      </c>
      <c r="J224" s="4" t="s">
        <v>66</v>
      </c>
      <c r="K224" s="4">
        <v>0</v>
      </c>
      <c r="L224" s="94">
        <v>-1949722</v>
      </c>
      <c r="M224" s="94">
        <v>0</v>
      </c>
    </row>
    <row r="225" spans="3:13" x14ac:dyDescent="0.3">
      <c r="C225" t="s">
        <v>71</v>
      </c>
      <c r="D225" t="s">
        <v>67</v>
      </c>
      <c r="E225" t="s">
        <v>63</v>
      </c>
      <c r="F225" t="s">
        <v>25</v>
      </c>
      <c r="G225" s="4">
        <v>-4</v>
      </c>
      <c r="H225" s="4" t="s">
        <v>76</v>
      </c>
      <c r="I225" s="4" t="s">
        <v>69</v>
      </c>
      <c r="J225" s="4" t="s">
        <v>66</v>
      </c>
      <c r="K225" s="4">
        <v>0</v>
      </c>
      <c r="L225" s="94">
        <v>-114805</v>
      </c>
      <c r="M225" s="94">
        <v>0</v>
      </c>
    </row>
    <row r="226" spans="3:13" x14ac:dyDescent="0.3">
      <c r="C226" t="s">
        <v>61</v>
      </c>
      <c r="D226" t="s">
        <v>67</v>
      </c>
      <c r="E226" t="s">
        <v>63</v>
      </c>
      <c r="F226" t="s">
        <v>26</v>
      </c>
      <c r="G226" s="4">
        <v>2</v>
      </c>
      <c r="H226" s="4" t="s">
        <v>80</v>
      </c>
      <c r="I226" s="4" t="s">
        <v>69</v>
      </c>
      <c r="J226" s="4" t="s">
        <v>66</v>
      </c>
      <c r="K226" s="4">
        <v>0</v>
      </c>
      <c r="L226" s="94">
        <v>-15900</v>
      </c>
      <c r="M226" s="94">
        <v>0</v>
      </c>
    </row>
    <row r="227" spans="3:13" x14ac:dyDescent="0.3">
      <c r="C227" t="s">
        <v>70</v>
      </c>
      <c r="D227" t="s">
        <v>67</v>
      </c>
      <c r="E227" t="s">
        <v>63</v>
      </c>
      <c r="F227" t="s">
        <v>25</v>
      </c>
      <c r="G227" s="4">
        <v>17</v>
      </c>
      <c r="H227" s="4" t="s">
        <v>74</v>
      </c>
      <c r="I227" s="4" t="s">
        <v>69</v>
      </c>
      <c r="J227" s="4" t="s">
        <v>66</v>
      </c>
      <c r="K227" s="4">
        <v>0</v>
      </c>
      <c r="L227" s="94">
        <v>-463</v>
      </c>
      <c r="M227" s="94">
        <v>0</v>
      </c>
    </row>
    <row r="228" spans="3:13" x14ac:dyDescent="0.3">
      <c r="C228" t="s">
        <v>70</v>
      </c>
      <c r="D228" t="s">
        <v>67</v>
      </c>
      <c r="E228" t="s">
        <v>68</v>
      </c>
      <c r="F228" t="s">
        <v>26</v>
      </c>
      <c r="G228" s="4">
        <v>1</v>
      </c>
      <c r="H228" s="4" t="s">
        <v>79</v>
      </c>
      <c r="I228" s="4" t="s">
        <v>69</v>
      </c>
      <c r="J228" s="4" t="s">
        <v>66</v>
      </c>
      <c r="K228" s="4">
        <v>0</v>
      </c>
      <c r="L228" s="94">
        <v>1758078</v>
      </c>
      <c r="M228" s="94">
        <v>1758078</v>
      </c>
    </row>
    <row r="229" spans="3:13" x14ac:dyDescent="0.3">
      <c r="C229" t="s">
        <v>61</v>
      </c>
      <c r="D229" t="s">
        <v>67</v>
      </c>
      <c r="E229" t="s">
        <v>63</v>
      </c>
      <c r="F229" t="s">
        <v>25</v>
      </c>
      <c r="G229" s="4">
        <v>17</v>
      </c>
      <c r="H229" s="4" t="s">
        <v>75</v>
      </c>
      <c r="I229" s="4" t="s">
        <v>69</v>
      </c>
      <c r="J229" s="4" t="s">
        <v>66</v>
      </c>
      <c r="K229" s="4">
        <v>0</v>
      </c>
      <c r="L229" s="94">
        <v>-5789</v>
      </c>
      <c r="M229" s="94">
        <v>0</v>
      </c>
    </row>
    <row r="230" spans="3:13" x14ac:dyDescent="0.3">
      <c r="C230" t="s">
        <v>71</v>
      </c>
      <c r="D230" t="s">
        <v>67</v>
      </c>
      <c r="E230" t="s">
        <v>68</v>
      </c>
      <c r="F230" t="s">
        <v>26</v>
      </c>
      <c r="G230" s="4">
        <v>5</v>
      </c>
      <c r="H230" s="4" t="s">
        <v>16</v>
      </c>
      <c r="I230" s="4" t="s">
        <v>69</v>
      </c>
      <c r="J230" s="4" t="s">
        <v>66</v>
      </c>
      <c r="K230" s="4">
        <v>0</v>
      </c>
      <c r="L230" s="94">
        <v>23149</v>
      </c>
      <c r="M230" s="94">
        <v>115745</v>
      </c>
    </row>
    <row r="231" spans="3:13" x14ac:dyDescent="0.3">
      <c r="C231" t="s">
        <v>70</v>
      </c>
      <c r="D231" t="s">
        <v>62</v>
      </c>
      <c r="E231" t="s">
        <v>63</v>
      </c>
      <c r="F231" t="s">
        <v>24</v>
      </c>
      <c r="G231" s="4">
        <v>39</v>
      </c>
      <c r="I231" s="4" t="s">
        <v>69</v>
      </c>
      <c r="J231" s="4" t="s">
        <v>66</v>
      </c>
      <c r="K231" s="4">
        <v>0</v>
      </c>
      <c r="L231" s="94">
        <v>-789463</v>
      </c>
      <c r="M231" s="94">
        <v>0</v>
      </c>
    </row>
    <row r="232" spans="3:13" x14ac:dyDescent="0.3">
      <c r="C232" t="s">
        <v>71</v>
      </c>
      <c r="D232" t="s">
        <v>67</v>
      </c>
      <c r="E232" t="s">
        <v>68</v>
      </c>
      <c r="F232" t="s">
        <v>26</v>
      </c>
      <c r="G232" s="4">
        <v>1</v>
      </c>
      <c r="H232" s="4" t="s">
        <v>82</v>
      </c>
      <c r="I232" s="4" t="s">
        <v>69</v>
      </c>
      <c r="J232" s="4" t="s">
        <v>73</v>
      </c>
      <c r="K232" s="4">
        <v>1</v>
      </c>
      <c r="L232" s="94">
        <v>18347</v>
      </c>
      <c r="M232" s="94">
        <v>18347</v>
      </c>
    </row>
    <row r="233" spans="3:13" x14ac:dyDescent="0.3">
      <c r="C233" t="s">
        <v>61</v>
      </c>
      <c r="D233" t="s">
        <v>67</v>
      </c>
      <c r="E233" t="s">
        <v>68</v>
      </c>
      <c r="F233" t="s">
        <v>25</v>
      </c>
      <c r="G233" s="4">
        <v>6</v>
      </c>
      <c r="H233" s="4" t="s">
        <v>18</v>
      </c>
      <c r="I233" s="4" t="s">
        <v>65</v>
      </c>
      <c r="J233" s="4" t="s">
        <v>66</v>
      </c>
      <c r="K233" s="4">
        <v>1</v>
      </c>
      <c r="L233" s="94">
        <v>166662</v>
      </c>
      <c r="M233" s="94">
        <v>999972</v>
      </c>
    </row>
    <row r="234" spans="3:13" x14ac:dyDescent="0.3">
      <c r="C234" t="s">
        <v>61</v>
      </c>
      <c r="D234" t="s">
        <v>67</v>
      </c>
      <c r="E234" t="s">
        <v>68</v>
      </c>
      <c r="F234" t="s">
        <v>26</v>
      </c>
      <c r="G234" s="4">
        <v>9</v>
      </c>
      <c r="H234" s="4" t="s">
        <v>74</v>
      </c>
      <c r="I234" s="4" t="s">
        <v>69</v>
      </c>
      <c r="J234" s="4" t="s">
        <v>66</v>
      </c>
      <c r="K234" s="4">
        <v>0</v>
      </c>
      <c r="L234" s="94">
        <v>235138</v>
      </c>
      <c r="M234" s="94">
        <v>2116242</v>
      </c>
    </row>
    <row r="235" spans="3:13" x14ac:dyDescent="0.3">
      <c r="C235" t="s">
        <v>70</v>
      </c>
      <c r="D235" t="s">
        <v>67</v>
      </c>
      <c r="E235" t="s">
        <v>63</v>
      </c>
      <c r="F235" t="s">
        <v>25</v>
      </c>
      <c r="G235" s="4">
        <v>10</v>
      </c>
      <c r="H235" s="4" t="s">
        <v>14</v>
      </c>
      <c r="I235" s="4" t="s">
        <v>69</v>
      </c>
      <c r="J235" s="4" t="s">
        <v>66</v>
      </c>
      <c r="K235" s="4">
        <v>1</v>
      </c>
      <c r="L235" s="94">
        <v>-32635</v>
      </c>
      <c r="M235" s="94">
        <v>0</v>
      </c>
    </row>
    <row r="236" spans="3:13" x14ac:dyDescent="0.3">
      <c r="C236" t="s">
        <v>61</v>
      </c>
      <c r="D236" t="s">
        <v>67</v>
      </c>
      <c r="E236" t="s">
        <v>63</v>
      </c>
      <c r="F236" t="s">
        <v>25</v>
      </c>
      <c r="G236" s="4">
        <v>-4</v>
      </c>
      <c r="H236" s="4" t="s">
        <v>80</v>
      </c>
      <c r="I236" s="4" t="s">
        <v>69</v>
      </c>
      <c r="J236" s="4" t="s">
        <v>66</v>
      </c>
      <c r="K236" s="4">
        <v>0</v>
      </c>
      <c r="L236" s="94">
        <v>-22</v>
      </c>
      <c r="M236" s="94">
        <v>0</v>
      </c>
    </row>
    <row r="237" spans="3:13" x14ac:dyDescent="0.3">
      <c r="C237" t="s">
        <v>70</v>
      </c>
      <c r="D237" t="s">
        <v>67</v>
      </c>
      <c r="E237" t="s">
        <v>63</v>
      </c>
      <c r="F237" t="s">
        <v>25</v>
      </c>
      <c r="G237" s="4">
        <v>-4</v>
      </c>
      <c r="H237" s="4" t="s">
        <v>83</v>
      </c>
      <c r="I237" s="4" t="s">
        <v>69</v>
      </c>
      <c r="J237" s="4" t="s">
        <v>66</v>
      </c>
      <c r="K237" s="4">
        <v>0</v>
      </c>
      <c r="L237" s="94">
        <v>-9</v>
      </c>
      <c r="M237" s="94">
        <v>0</v>
      </c>
    </row>
    <row r="238" spans="3:13" x14ac:dyDescent="0.3">
      <c r="C238" t="s">
        <v>70</v>
      </c>
      <c r="D238" t="s">
        <v>67</v>
      </c>
      <c r="E238" t="s">
        <v>63</v>
      </c>
      <c r="F238" t="s">
        <v>72</v>
      </c>
      <c r="G238" s="4">
        <v>-1</v>
      </c>
      <c r="H238" s="4" t="s">
        <v>78</v>
      </c>
      <c r="I238" s="4" t="s">
        <v>69</v>
      </c>
      <c r="J238" s="4" t="s">
        <v>66</v>
      </c>
      <c r="K238" s="4">
        <v>0</v>
      </c>
      <c r="L238" s="94">
        <v>-1064</v>
      </c>
      <c r="M238" s="94">
        <v>0</v>
      </c>
    </row>
    <row r="239" spans="3:13" x14ac:dyDescent="0.3">
      <c r="C239" t="s">
        <v>61</v>
      </c>
      <c r="D239" t="s">
        <v>67</v>
      </c>
      <c r="E239" t="s">
        <v>63</v>
      </c>
      <c r="F239" t="s">
        <v>26</v>
      </c>
      <c r="G239" s="4">
        <v>8</v>
      </c>
      <c r="H239" s="4" t="s">
        <v>18</v>
      </c>
      <c r="I239" s="4" t="s">
        <v>69</v>
      </c>
      <c r="J239" s="4" t="s">
        <v>66</v>
      </c>
      <c r="K239" s="4">
        <v>0</v>
      </c>
      <c r="L239" s="94">
        <v>-4756</v>
      </c>
      <c r="M239" s="94">
        <v>0</v>
      </c>
    </row>
    <row r="240" spans="3:13" x14ac:dyDescent="0.3">
      <c r="C240" t="s">
        <v>61</v>
      </c>
      <c r="D240" t="s">
        <v>67</v>
      </c>
      <c r="E240" t="s">
        <v>68</v>
      </c>
      <c r="F240" t="s">
        <v>72</v>
      </c>
      <c r="G240" s="4">
        <v>-4</v>
      </c>
      <c r="H240" s="4" t="s">
        <v>74</v>
      </c>
      <c r="I240" s="4" t="s">
        <v>69</v>
      </c>
      <c r="J240" s="4" t="s">
        <v>66</v>
      </c>
      <c r="K240" s="4">
        <v>0</v>
      </c>
      <c r="L240" s="94">
        <v>238</v>
      </c>
      <c r="M240" s="94">
        <v>0</v>
      </c>
    </row>
    <row r="241" spans="3:13" x14ac:dyDescent="0.3">
      <c r="C241" t="s">
        <v>61</v>
      </c>
      <c r="D241" t="s">
        <v>67</v>
      </c>
      <c r="E241" t="s">
        <v>68</v>
      </c>
      <c r="F241" t="s">
        <v>26</v>
      </c>
      <c r="G241" s="4">
        <v>2</v>
      </c>
      <c r="H241" s="4" t="s">
        <v>76</v>
      </c>
      <c r="I241" s="4" t="s">
        <v>69</v>
      </c>
      <c r="J241" s="4" t="s">
        <v>66</v>
      </c>
      <c r="K241" s="4">
        <v>0</v>
      </c>
      <c r="L241" s="94">
        <v>34336844</v>
      </c>
      <c r="M241" s="94">
        <v>68673688</v>
      </c>
    </row>
    <row r="242" spans="3:13" x14ac:dyDescent="0.3">
      <c r="C242" t="s">
        <v>71</v>
      </c>
      <c r="D242" t="s">
        <v>62</v>
      </c>
      <c r="E242" t="s">
        <v>63</v>
      </c>
      <c r="F242" t="s">
        <v>25</v>
      </c>
      <c r="G242" s="4">
        <v>7</v>
      </c>
      <c r="I242" s="4" t="s">
        <v>69</v>
      </c>
      <c r="J242" s="4" t="s">
        <v>66</v>
      </c>
      <c r="K242" s="4">
        <v>0</v>
      </c>
      <c r="L242" s="94">
        <v>-151883</v>
      </c>
      <c r="M242" s="94">
        <v>0</v>
      </c>
    </row>
    <row r="243" spans="3:13" x14ac:dyDescent="0.3">
      <c r="C243" t="s">
        <v>61</v>
      </c>
      <c r="D243" t="s">
        <v>67</v>
      </c>
      <c r="E243" t="s">
        <v>63</v>
      </c>
      <c r="F243" t="s">
        <v>26</v>
      </c>
      <c r="G243" s="4">
        <v>3</v>
      </c>
      <c r="H243" s="4" t="s">
        <v>16</v>
      </c>
      <c r="I243" s="4" t="s">
        <v>65</v>
      </c>
      <c r="J243" s="4" t="s">
        <v>66</v>
      </c>
      <c r="K243" s="4">
        <v>1</v>
      </c>
      <c r="L243" s="94">
        <v>-220</v>
      </c>
      <c r="M243" s="94">
        <v>0</v>
      </c>
    </row>
    <row r="244" spans="3:13" x14ac:dyDescent="0.3">
      <c r="C244" t="s">
        <v>70</v>
      </c>
      <c r="D244" t="s">
        <v>67</v>
      </c>
      <c r="E244" t="s">
        <v>68</v>
      </c>
      <c r="F244" t="s">
        <v>25</v>
      </c>
      <c r="G244" s="4">
        <v>5</v>
      </c>
      <c r="H244" s="4" t="s">
        <v>18</v>
      </c>
      <c r="I244" s="4" t="s">
        <v>69</v>
      </c>
      <c r="J244" s="4" t="s">
        <v>66</v>
      </c>
      <c r="K244" s="4">
        <v>0</v>
      </c>
      <c r="L244" s="94">
        <v>2371345</v>
      </c>
      <c r="M244" s="94">
        <v>11856725</v>
      </c>
    </row>
    <row r="245" spans="3:13" x14ac:dyDescent="0.3">
      <c r="C245" t="s">
        <v>61</v>
      </c>
      <c r="D245" t="s">
        <v>67</v>
      </c>
      <c r="E245" t="s">
        <v>68</v>
      </c>
      <c r="F245" t="s">
        <v>26</v>
      </c>
      <c r="G245" s="4">
        <v>5</v>
      </c>
      <c r="H245" s="4" t="s">
        <v>17</v>
      </c>
      <c r="I245" s="4" t="s">
        <v>65</v>
      </c>
      <c r="J245" s="4" t="s">
        <v>73</v>
      </c>
      <c r="K245" s="4">
        <v>1</v>
      </c>
      <c r="L245" s="94">
        <v>3804666</v>
      </c>
      <c r="M245" s="94">
        <v>19023330</v>
      </c>
    </row>
    <row r="246" spans="3:13" x14ac:dyDescent="0.3">
      <c r="C246" t="s">
        <v>70</v>
      </c>
      <c r="D246" t="s">
        <v>62</v>
      </c>
      <c r="E246" t="s">
        <v>63</v>
      </c>
      <c r="F246" t="s">
        <v>24</v>
      </c>
      <c r="G246" s="4">
        <v>35</v>
      </c>
      <c r="I246" s="4" t="s">
        <v>69</v>
      </c>
      <c r="J246" s="4" t="s">
        <v>66</v>
      </c>
      <c r="K246" s="4">
        <v>0</v>
      </c>
      <c r="L246" s="94">
        <v>-1627100</v>
      </c>
      <c r="M246" s="94">
        <v>0</v>
      </c>
    </row>
    <row r="247" spans="3:13" x14ac:dyDescent="0.3">
      <c r="C247" t="s">
        <v>70</v>
      </c>
      <c r="D247" t="s">
        <v>67</v>
      </c>
      <c r="E247" t="s">
        <v>68</v>
      </c>
      <c r="F247" t="s">
        <v>72</v>
      </c>
      <c r="G247" s="4">
        <v>7</v>
      </c>
      <c r="H247" s="4" t="s">
        <v>82</v>
      </c>
      <c r="I247" s="4" t="s">
        <v>69</v>
      </c>
      <c r="J247" s="4" t="s">
        <v>66</v>
      </c>
      <c r="K247" s="4">
        <v>0</v>
      </c>
      <c r="L247" s="94">
        <v>676599</v>
      </c>
      <c r="M247" s="94">
        <v>4736193</v>
      </c>
    </row>
    <row r="248" spans="3:13" x14ac:dyDescent="0.3">
      <c r="C248" t="s">
        <v>71</v>
      </c>
      <c r="D248" t="s">
        <v>67</v>
      </c>
      <c r="E248" t="s">
        <v>63</v>
      </c>
      <c r="F248" t="s">
        <v>72</v>
      </c>
      <c r="G248" s="4">
        <v>4</v>
      </c>
      <c r="H248" s="4" t="s">
        <v>83</v>
      </c>
      <c r="I248" s="4" t="s">
        <v>69</v>
      </c>
      <c r="J248" s="4" t="s">
        <v>66</v>
      </c>
      <c r="K248" s="4">
        <v>0</v>
      </c>
      <c r="L248" s="94">
        <v>-42039</v>
      </c>
      <c r="M248" s="94">
        <v>0</v>
      </c>
    </row>
    <row r="249" spans="3:13" x14ac:dyDescent="0.3">
      <c r="C249" t="s">
        <v>70</v>
      </c>
      <c r="D249" t="s">
        <v>67</v>
      </c>
      <c r="E249" t="s">
        <v>68</v>
      </c>
      <c r="F249" t="s">
        <v>72</v>
      </c>
      <c r="G249" s="4">
        <v>6</v>
      </c>
      <c r="H249" s="4" t="s">
        <v>12</v>
      </c>
      <c r="I249" s="4" t="s">
        <v>69</v>
      </c>
      <c r="J249" s="4" t="s">
        <v>73</v>
      </c>
      <c r="K249" s="4">
        <v>1</v>
      </c>
      <c r="L249" s="94">
        <v>87642</v>
      </c>
      <c r="M249" s="94">
        <v>525852</v>
      </c>
    </row>
    <row r="250" spans="3:13" x14ac:dyDescent="0.3">
      <c r="C250" t="s">
        <v>61</v>
      </c>
      <c r="D250" t="s">
        <v>67</v>
      </c>
      <c r="E250" t="s">
        <v>68</v>
      </c>
      <c r="F250" t="s">
        <v>72</v>
      </c>
      <c r="G250" s="4">
        <v>1</v>
      </c>
      <c r="H250" s="4" t="s">
        <v>64</v>
      </c>
      <c r="I250" s="4" t="s">
        <v>69</v>
      </c>
      <c r="J250" s="4" t="s">
        <v>66</v>
      </c>
      <c r="K250" s="4">
        <v>0</v>
      </c>
      <c r="L250" s="94">
        <v>29634234</v>
      </c>
      <c r="M250" s="94">
        <v>29634234</v>
      </c>
    </row>
    <row r="251" spans="3:13" x14ac:dyDescent="0.3">
      <c r="C251" t="s">
        <v>71</v>
      </c>
      <c r="D251" t="s">
        <v>62</v>
      </c>
      <c r="E251" t="s">
        <v>68</v>
      </c>
      <c r="F251" t="s">
        <v>25</v>
      </c>
      <c r="G251" s="4">
        <v>6</v>
      </c>
      <c r="I251" s="4" t="s">
        <v>69</v>
      </c>
      <c r="J251" s="4" t="s">
        <v>66</v>
      </c>
      <c r="K251" s="4">
        <v>0</v>
      </c>
      <c r="L251" s="94">
        <v>27048</v>
      </c>
      <c r="M251" s="94">
        <v>162288</v>
      </c>
    </row>
    <row r="252" spans="3:13" x14ac:dyDescent="0.3">
      <c r="C252" t="s">
        <v>61</v>
      </c>
      <c r="D252" t="s">
        <v>67</v>
      </c>
      <c r="E252" t="s">
        <v>68</v>
      </c>
      <c r="F252" t="s">
        <v>72</v>
      </c>
      <c r="G252" s="4">
        <v>0</v>
      </c>
      <c r="H252" s="4" t="s">
        <v>15</v>
      </c>
      <c r="I252" s="4" t="s">
        <v>69</v>
      </c>
      <c r="J252" s="4" t="s">
        <v>66</v>
      </c>
      <c r="K252" s="4">
        <v>0</v>
      </c>
      <c r="L252" s="94">
        <v>4770</v>
      </c>
      <c r="M252" s="94">
        <v>0</v>
      </c>
    </row>
    <row r="253" spans="3:13" x14ac:dyDescent="0.3">
      <c r="C253" t="s">
        <v>61</v>
      </c>
      <c r="D253" t="s">
        <v>67</v>
      </c>
      <c r="E253" t="s">
        <v>68</v>
      </c>
      <c r="F253" t="s">
        <v>26</v>
      </c>
      <c r="G253" s="4">
        <v>4</v>
      </c>
      <c r="H253" s="4" t="s">
        <v>83</v>
      </c>
      <c r="I253" s="4" t="s">
        <v>69</v>
      </c>
      <c r="J253" s="4" t="s">
        <v>66</v>
      </c>
      <c r="K253" s="4">
        <v>0</v>
      </c>
      <c r="L253" s="94">
        <v>2602414</v>
      </c>
      <c r="M253" s="94">
        <v>10409656</v>
      </c>
    </row>
    <row r="254" spans="3:13" x14ac:dyDescent="0.3">
      <c r="C254" t="s">
        <v>61</v>
      </c>
      <c r="D254" t="s">
        <v>62</v>
      </c>
      <c r="E254" t="s">
        <v>68</v>
      </c>
      <c r="F254" t="s">
        <v>24</v>
      </c>
      <c r="G254" s="4">
        <v>13</v>
      </c>
      <c r="I254" s="4" t="s">
        <v>69</v>
      </c>
      <c r="J254" s="4" t="s">
        <v>66</v>
      </c>
      <c r="K254" s="4">
        <v>0</v>
      </c>
      <c r="L254" s="94">
        <v>201537710</v>
      </c>
      <c r="M254" s="94">
        <v>2619990230</v>
      </c>
    </row>
    <row r="255" spans="3:13" x14ac:dyDescent="0.3">
      <c r="C255" t="s">
        <v>70</v>
      </c>
      <c r="D255" t="s">
        <v>67</v>
      </c>
      <c r="E255" t="s">
        <v>68</v>
      </c>
      <c r="F255" t="s">
        <v>26</v>
      </c>
      <c r="G255" s="4">
        <v>2</v>
      </c>
      <c r="H255" s="4" t="s">
        <v>15</v>
      </c>
      <c r="I255" s="4" t="s">
        <v>69</v>
      </c>
      <c r="J255" s="4" t="s">
        <v>73</v>
      </c>
      <c r="K255" s="4">
        <v>1</v>
      </c>
      <c r="L255" s="94">
        <v>15816</v>
      </c>
      <c r="M255" s="94">
        <v>31632</v>
      </c>
    </row>
    <row r="256" spans="3:13" x14ac:dyDescent="0.3">
      <c r="C256" t="s">
        <v>70</v>
      </c>
      <c r="D256" t="s">
        <v>67</v>
      </c>
      <c r="E256" t="s">
        <v>63</v>
      </c>
      <c r="F256" t="s">
        <v>25</v>
      </c>
      <c r="G256" s="4">
        <v>12</v>
      </c>
      <c r="H256" s="4" t="s">
        <v>76</v>
      </c>
      <c r="I256" s="4" t="s">
        <v>69</v>
      </c>
      <c r="J256" s="4" t="s">
        <v>66</v>
      </c>
      <c r="K256" s="4">
        <v>0</v>
      </c>
      <c r="L256" s="94">
        <v>-60568</v>
      </c>
      <c r="M256" s="94">
        <v>0</v>
      </c>
    </row>
    <row r="257" spans="3:13" x14ac:dyDescent="0.3">
      <c r="C257" t="s">
        <v>70</v>
      </c>
      <c r="D257" t="s">
        <v>62</v>
      </c>
      <c r="E257" t="s">
        <v>63</v>
      </c>
      <c r="F257" t="s">
        <v>25</v>
      </c>
      <c r="G257" s="4">
        <v>5</v>
      </c>
      <c r="I257" s="4" t="s">
        <v>69</v>
      </c>
      <c r="J257" s="4" t="s">
        <v>66</v>
      </c>
      <c r="K257" s="4">
        <v>0</v>
      </c>
      <c r="L257" s="94">
        <v>-79403</v>
      </c>
      <c r="M257" s="94">
        <v>0</v>
      </c>
    </row>
    <row r="258" spans="3:13" x14ac:dyDescent="0.3">
      <c r="C258" t="s">
        <v>70</v>
      </c>
      <c r="D258" t="s">
        <v>67</v>
      </c>
      <c r="E258" t="s">
        <v>63</v>
      </c>
      <c r="F258" t="s">
        <v>72</v>
      </c>
      <c r="G258" s="4">
        <v>5</v>
      </c>
      <c r="H258" s="4" t="s">
        <v>13</v>
      </c>
      <c r="I258" s="4" t="s">
        <v>69</v>
      </c>
      <c r="J258" s="4" t="s">
        <v>73</v>
      </c>
      <c r="K258" s="4">
        <v>1</v>
      </c>
      <c r="L258" s="94">
        <v>-7179</v>
      </c>
      <c r="M258" s="94">
        <v>0</v>
      </c>
    </row>
    <row r="259" spans="3:13" x14ac:dyDescent="0.3">
      <c r="C259" t="s">
        <v>61</v>
      </c>
      <c r="D259" t="s">
        <v>67</v>
      </c>
      <c r="E259" t="s">
        <v>63</v>
      </c>
      <c r="F259" t="s">
        <v>26</v>
      </c>
      <c r="G259" s="4">
        <v>2</v>
      </c>
      <c r="H259" s="4" t="s">
        <v>74</v>
      </c>
      <c r="I259" s="4" t="s">
        <v>69</v>
      </c>
      <c r="J259" s="4" t="s">
        <v>66</v>
      </c>
      <c r="K259" s="4">
        <v>0</v>
      </c>
      <c r="L259" s="94">
        <v>-87598</v>
      </c>
      <c r="M259" s="94">
        <v>0</v>
      </c>
    </row>
    <row r="260" spans="3:13" x14ac:dyDescent="0.3">
      <c r="C260" t="s">
        <v>70</v>
      </c>
      <c r="D260" t="s">
        <v>67</v>
      </c>
      <c r="E260" t="s">
        <v>63</v>
      </c>
      <c r="F260" t="s">
        <v>26</v>
      </c>
      <c r="G260" s="4">
        <v>0</v>
      </c>
      <c r="H260" s="4" t="s">
        <v>18</v>
      </c>
      <c r="I260" s="4" t="s">
        <v>65</v>
      </c>
      <c r="J260" s="4" t="s">
        <v>66</v>
      </c>
      <c r="K260" s="4">
        <v>1</v>
      </c>
      <c r="L260" s="94">
        <v>-142</v>
      </c>
      <c r="M260" s="94">
        <v>0</v>
      </c>
    </row>
    <row r="261" spans="3:13" x14ac:dyDescent="0.3">
      <c r="C261" t="s">
        <v>70</v>
      </c>
      <c r="D261" t="s">
        <v>67</v>
      </c>
      <c r="E261" t="s">
        <v>63</v>
      </c>
      <c r="F261" t="s">
        <v>26</v>
      </c>
      <c r="G261" s="4">
        <v>6</v>
      </c>
      <c r="H261" s="4" t="s">
        <v>18</v>
      </c>
      <c r="I261" s="4" t="s">
        <v>69</v>
      </c>
      <c r="J261" s="4" t="s">
        <v>66</v>
      </c>
      <c r="K261" s="4">
        <v>0</v>
      </c>
      <c r="L261" s="94">
        <v>-271743</v>
      </c>
      <c r="M261" s="94">
        <v>0</v>
      </c>
    </row>
    <row r="262" spans="3:13" x14ac:dyDescent="0.3">
      <c r="C262" t="s">
        <v>71</v>
      </c>
      <c r="D262" t="s">
        <v>67</v>
      </c>
      <c r="E262" t="s">
        <v>63</v>
      </c>
      <c r="F262" t="s">
        <v>25</v>
      </c>
      <c r="G262" s="4">
        <v>-4</v>
      </c>
      <c r="H262" s="4" t="s">
        <v>14</v>
      </c>
      <c r="I262" s="4" t="s">
        <v>65</v>
      </c>
      <c r="J262" s="4" t="s">
        <v>66</v>
      </c>
      <c r="K262" s="4">
        <v>1</v>
      </c>
      <c r="L262" s="94">
        <v>-20650</v>
      </c>
      <c r="M262" s="94">
        <v>0</v>
      </c>
    </row>
    <row r="263" spans="3:13" x14ac:dyDescent="0.3">
      <c r="C263" t="s">
        <v>61</v>
      </c>
      <c r="D263" t="s">
        <v>67</v>
      </c>
      <c r="E263" t="s">
        <v>63</v>
      </c>
      <c r="F263" t="s">
        <v>26</v>
      </c>
      <c r="G263" s="4">
        <v>-1</v>
      </c>
      <c r="H263" s="4" t="s">
        <v>87</v>
      </c>
      <c r="I263" s="4" t="s">
        <v>69</v>
      </c>
      <c r="J263" s="4" t="s">
        <v>66</v>
      </c>
      <c r="K263" s="4">
        <v>0</v>
      </c>
      <c r="L263" s="94">
        <v>-1</v>
      </c>
      <c r="M263" s="94">
        <v>0</v>
      </c>
    </row>
    <row r="264" spans="3:13" x14ac:dyDescent="0.3">
      <c r="C264" t="s">
        <v>61</v>
      </c>
      <c r="D264" t="s">
        <v>67</v>
      </c>
      <c r="E264" t="s">
        <v>68</v>
      </c>
      <c r="F264" t="s">
        <v>25</v>
      </c>
      <c r="G264" s="4">
        <v>8</v>
      </c>
      <c r="H264" s="4" t="s">
        <v>14</v>
      </c>
      <c r="I264" s="4" t="s">
        <v>69</v>
      </c>
      <c r="J264" s="4" t="s">
        <v>66</v>
      </c>
      <c r="K264" s="4">
        <v>0</v>
      </c>
      <c r="L264" s="94">
        <v>3056005</v>
      </c>
      <c r="M264" s="94">
        <v>24448040</v>
      </c>
    </row>
    <row r="265" spans="3:13" x14ac:dyDescent="0.3">
      <c r="C265" t="s">
        <v>70</v>
      </c>
      <c r="D265" t="s">
        <v>67</v>
      </c>
      <c r="E265" t="s">
        <v>63</v>
      </c>
      <c r="F265" t="s">
        <v>26</v>
      </c>
      <c r="G265" s="4">
        <v>-1</v>
      </c>
      <c r="H265" s="4" t="s">
        <v>12</v>
      </c>
      <c r="I265" s="4" t="s">
        <v>69</v>
      </c>
      <c r="J265" s="4" t="s">
        <v>73</v>
      </c>
      <c r="K265" s="4">
        <v>1</v>
      </c>
      <c r="L265" s="94">
        <v>-299925</v>
      </c>
      <c r="M265" s="94">
        <v>0</v>
      </c>
    </row>
    <row r="266" spans="3:13" x14ac:dyDescent="0.3">
      <c r="C266" t="s">
        <v>70</v>
      </c>
      <c r="D266" t="s">
        <v>62</v>
      </c>
      <c r="E266" t="s">
        <v>68</v>
      </c>
      <c r="F266" t="s">
        <v>25</v>
      </c>
      <c r="G266" s="4">
        <v>6</v>
      </c>
      <c r="I266" s="4" t="s">
        <v>69</v>
      </c>
      <c r="J266" s="4" t="s">
        <v>66</v>
      </c>
      <c r="K266" s="4">
        <v>1</v>
      </c>
      <c r="L266" s="94">
        <v>41989</v>
      </c>
      <c r="M266" s="94">
        <v>251934</v>
      </c>
    </row>
    <row r="267" spans="3:13" x14ac:dyDescent="0.3">
      <c r="C267" t="s">
        <v>71</v>
      </c>
      <c r="D267" t="s">
        <v>62</v>
      </c>
      <c r="E267" t="s">
        <v>68</v>
      </c>
      <c r="F267" t="s">
        <v>24</v>
      </c>
      <c r="G267" s="4">
        <v>3</v>
      </c>
      <c r="I267" s="4" t="s">
        <v>69</v>
      </c>
      <c r="J267" s="4" t="s">
        <v>66</v>
      </c>
      <c r="K267" s="4">
        <v>1</v>
      </c>
      <c r="L267" s="94">
        <v>12188</v>
      </c>
      <c r="M267" s="94">
        <v>36564</v>
      </c>
    </row>
    <row r="268" spans="3:13" x14ac:dyDescent="0.3">
      <c r="C268" t="s">
        <v>61</v>
      </c>
      <c r="D268" t="s">
        <v>84</v>
      </c>
      <c r="E268" t="s">
        <v>63</v>
      </c>
      <c r="F268" t="s">
        <v>25</v>
      </c>
      <c r="G268" s="4">
        <v>16</v>
      </c>
      <c r="H268" s="4" t="s">
        <v>81</v>
      </c>
      <c r="I268" s="4" t="s">
        <v>69</v>
      </c>
      <c r="J268" s="4" t="s">
        <v>66</v>
      </c>
      <c r="K268" s="4">
        <v>0</v>
      </c>
      <c r="L268" s="94">
        <v>-6165</v>
      </c>
      <c r="M268" s="94">
        <v>0</v>
      </c>
    </row>
    <row r="269" spans="3:13" x14ac:dyDescent="0.3">
      <c r="C269" t="s">
        <v>71</v>
      </c>
      <c r="D269" t="s">
        <v>67</v>
      </c>
      <c r="E269" t="s">
        <v>63</v>
      </c>
      <c r="F269" t="s">
        <v>72</v>
      </c>
      <c r="G269" s="4">
        <v>3</v>
      </c>
      <c r="H269" s="4" t="s">
        <v>75</v>
      </c>
      <c r="I269" s="4" t="s">
        <v>69</v>
      </c>
      <c r="J269" s="4" t="s">
        <v>66</v>
      </c>
      <c r="K269" s="4">
        <v>0</v>
      </c>
      <c r="L269" s="94">
        <v>-23595</v>
      </c>
      <c r="M269" s="94">
        <v>0</v>
      </c>
    </row>
    <row r="270" spans="3:13" x14ac:dyDescent="0.3">
      <c r="C270" t="s">
        <v>70</v>
      </c>
      <c r="D270" t="s">
        <v>67</v>
      </c>
      <c r="E270" t="s">
        <v>63</v>
      </c>
      <c r="F270" t="s">
        <v>26</v>
      </c>
      <c r="G270" s="4">
        <v>-1</v>
      </c>
      <c r="H270" s="4" t="s">
        <v>17</v>
      </c>
      <c r="I270" s="4" t="s">
        <v>65</v>
      </c>
      <c r="J270" s="4" t="s">
        <v>66</v>
      </c>
      <c r="K270" s="4">
        <v>1</v>
      </c>
      <c r="L270" s="94">
        <v>-26721</v>
      </c>
      <c r="M270" s="94">
        <v>0</v>
      </c>
    </row>
    <row r="271" spans="3:13" x14ac:dyDescent="0.3">
      <c r="C271" t="s">
        <v>70</v>
      </c>
      <c r="D271" t="s">
        <v>67</v>
      </c>
      <c r="E271" t="s">
        <v>63</v>
      </c>
      <c r="F271" t="s">
        <v>26</v>
      </c>
      <c r="G271" s="4">
        <v>3</v>
      </c>
      <c r="H271" s="4" t="s">
        <v>14</v>
      </c>
      <c r="I271" s="4" t="s">
        <v>65</v>
      </c>
      <c r="J271" s="4" t="s">
        <v>73</v>
      </c>
      <c r="K271" s="4">
        <v>1</v>
      </c>
      <c r="L271" s="94">
        <v>-1544</v>
      </c>
      <c r="M271" s="94">
        <v>0</v>
      </c>
    </row>
    <row r="272" spans="3:13" x14ac:dyDescent="0.3">
      <c r="C272" t="s">
        <v>61</v>
      </c>
      <c r="D272" t="s">
        <v>67</v>
      </c>
      <c r="E272" t="s">
        <v>68</v>
      </c>
      <c r="F272" t="s">
        <v>26</v>
      </c>
      <c r="G272" s="4">
        <v>5</v>
      </c>
      <c r="H272" s="4" t="s">
        <v>79</v>
      </c>
      <c r="I272" s="4" t="s">
        <v>69</v>
      </c>
      <c r="J272" s="4" t="s">
        <v>66</v>
      </c>
      <c r="K272" s="4">
        <v>0</v>
      </c>
      <c r="L272" s="94">
        <v>4587404</v>
      </c>
      <c r="M272" s="94">
        <v>22937020</v>
      </c>
    </row>
    <row r="273" spans="3:13" x14ac:dyDescent="0.3">
      <c r="C273" t="s">
        <v>61</v>
      </c>
      <c r="D273" t="s">
        <v>67</v>
      </c>
      <c r="E273" t="s">
        <v>68</v>
      </c>
      <c r="F273" t="s">
        <v>25</v>
      </c>
      <c r="G273" s="4">
        <v>1</v>
      </c>
      <c r="H273" s="4" t="s">
        <v>18</v>
      </c>
      <c r="I273" s="4" t="s">
        <v>69</v>
      </c>
      <c r="J273" s="4" t="s">
        <v>66</v>
      </c>
      <c r="K273" s="4">
        <v>0</v>
      </c>
      <c r="L273" s="94">
        <v>3276106</v>
      </c>
      <c r="M273" s="94">
        <v>3276106</v>
      </c>
    </row>
    <row r="274" spans="3:13" x14ac:dyDescent="0.3">
      <c r="C274" t="s">
        <v>71</v>
      </c>
      <c r="D274" t="s">
        <v>62</v>
      </c>
      <c r="E274" t="s">
        <v>68</v>
      </c>
      <c r="F274" t="s">
        <v>24</v>
      </c>
      <c r="G274" s="4">
        <v>16</v>
      </c>
      <c r="I274" s="4" t="s">
        <v>69</v>
      </c>
      <c r="J274" s="4" t="s">
        <v>66</v>
      </c>
      <c r="K274" s="4">
        <v>0</v>
      </c>
      <c r="L274" s="94">
        <v>4474378</v>
      </c>
      <c r="M274" s="94">
        <v>71590048</v>
      </c>
    </row>
    <row r="275" spans="3:13" x14ac:dyDescent="0.3">
      <c r="C275" t="s">
        <v>70</v>
      </c>
      <c r="D275" t="s">
        <v>67</v>
      </c>
      <c r="E275" t="s">
        <v>68</v>
      </c>
      <c r="F275" t="s">
        <v>25</v>
      </c>
      <c r="G275" s="4">
        <v>1</v>
      </c>
      <c r="H275" s="4" t="s">
        <v>14</v>
      </c>
      <c r="I275" s="4" t="s">
        <v>69</v>
      </c>
      <c r="J275" s="4" t="s">
        <v>66</v>
      </c>
      <c r="K275" s="4">
        <v>1</v>
      </c>
      <c r="L275" s="94">
        <v>1327505</v>
      </c>
      <c r="M275" s="94">
        <v>1327505</v>
      </c>
    </row>
    <row r="276" spans="3:13" x14ac:dyDescent="0.3">
      <c r="C276" t="s">
        <v>70</v>
      </c>
      <c r="D276" t="s">
        <v>67</v>
      </c>
      <c r="E276" t="s">
        <v>68</v>
      </c>
      <c r="F276" t="s">
        <v>25</v>
      </c>
      <c r="G276" s="4">
        <v>2</v>
      </c>
      <c r="H276" s="4" t="s">
        <v>74</v>
      </c>
      <c r="I276" s="4" t="s">
        <v>69</v>
      </c>
      <c r="J276" s="4" t="s">
        <v>66</v>
      </c>
      <c r="K276" s="4">
        <v>0</v>
      </c>
      <c r="L276" s="94">
        <v>32390</v>
      </c>
      <c r="M276" s="94">
        <v>64780</v>
      </c>
    </row>
    <row r="277" spans="3:13" x14ac:dyDescent="0.3">
      <c r="C277" t="s">
        <v>70</v>
      </c>
      <c r="D277" t="s">
        <v>67</v>
      </c>
      <c r="E277" t="s">
        <v>68</v>
      </c>
      <c r="F277" t="s">
        <v>72</v>
      </c>
      <c r="G277" s="4">
        <v>7</v>
      </c>
      <c r="H277" s="4" t="s">
        <v>17</v>
      </c>
      <c r="I277" s="4" t="s">
        <v>69</v>
      </c>
      <c r="J277" s="4" t="s">
        <v>66</v>
      </c>
      <c r="K277" s="4">
        <v>0</v>
      </c>
      <c r="L277" s="94">
        <v>226719</v>
      </c>
      <c r="M277" s="94">
        <v>1587033</v>
      </c>
    </row>
    <row r="278" spans="3:13" x14ac:dyDescent="0.3">
      <c r="C278" t="s">
        <v>71</v>
      </c>
      <c r="D278" t="s">
        <v>67</v>
      </c>
      <c r="E278" t="s">
        <v>68</v>
      </c>
      <c r="F278" t="s">
        <v>25</v>
      </c>
      <c r="G278" s="4">
        <v>1</v>
      </c>
      <c r="H278" s="4" t="s">
        <v>79</v>
      </c>
      <c r="I278" s="4" t="s">
        <v>69</v>
      </c>
      <c r="J278" s="4" t="s">
        <v>66</v>
      </c>
      <c r="K278" s="4">
        <v>0</v>
      </c>
      <c r="L278" s="94">
        <v>3195</v>
      </c>
      <c r="M278" s="94">
        <v>3195</v>
      </c>
    </row>
    <row r="279" spans="3:13" x14ac:dyDescent="0.3">
      <c r="C279" t="s">
        <v>71</v>
      </c>
      <c r="D279" t="s">
        <v>67</v>
      </c>
      <c r="E279" t="s">
        <v>63</v>
      </c>
      <c r="F279" t="s">
        <v>72</v>
      </c>
      <c r="G279" s="4">
        <v>5</v>
      </c>
      <c r="H279" s="4" t="s">
        <v>75</v>
      </c>
      <c r="I279" s="4" t="s">
        <v>69</v>
      </c>
      <c r="J279" s="4" t="s">
        <v>66</v>
      </c>
      <c r="K279" s="4">
        <v>0</v>
      </c>
      <c r="L279" s="94">
        <v>-25202</v>
      </c>
      <c r="M279" s="94">
        <v>0</v>
      </c>
    </row>
    <row r="280" spans="3:13" x14ac:dyDescent="0.3">
      <c r="C280" t="s">
        <v>71</v>
      </c>
      <c r="D280" t="s">
        <v>67</v>
      </c>
      <c r="E280" t="s">
        <v>63</v>
      </c>
      <c r="F280" t="s">
        <v>72</v>
      </c>
      <c r="G280" s="4">
        <v>0</v>
      </c>
      <c r="H280" s="4" t="s">
        <v>78</v>
      </c>
      <c r="I280" s="4" t="s">
        <v>69</v>
      </c>
      <c r="J280" s="4" t="s">
        <v>66</v>
      </c>
      <c r="K280" s="4">
        <v>0</v>
      </c>
      <c r="L280" s="94">
        <v>-3734</v>
      </c>
      <c r="M280" s="94">
        <v>0</v>
      </c>
    </row>
    <row r="281" spans="3:13" x14ac:dyDescent="0.3">
      <c r="C281" t="s">
        <v>71</v>
      </c>
      <c r="D281" t="s">
        <v>62</v>
      </c>
      <c r="E281" t="s">
        <v>68</v>
      </c>
      <c r="F281" t="s">
        <v>24</v>
      </c>
      <c r="G281" s="4">
        <v>21</v>
      </c>
      <c r="I281" s="4" t="s">
        <v>69</v>
      </c>
      <c r="J281" s="4" t="s">
        <v>66</v>
      </c>
      <c r="K281" s="4">
        <v>0</v>
      </c>
      <c r="L281" s="94">
        <v>8970997</v>
      </c>
      <c r="M281" s="94">
        <v>188390937</v>
      </c>
    </row>
    <row r="282" spans="3:13" x14ac:dyDescent="0.3">
      <c r="C282" t="s">
        <v>71</v>
      </c>
      <c r="D282" t="s">
        <v>67</v>
      </c>
      <c r="E282" t="s">
        <v>63</v>
      </c>
      <c r="F282" t="s">
        <v>26</v>
      </c>
      <c r="G282" s="4">
        <v>2</v>
      </c>
      <c r="H282" s="4" t="s">
        <v>12</v>
      </c>
      <c r="I282" s="4" t="s">
        <v>69</v>
      </c>
      <c r="J282" s="4" t="s">
        <v>66</v>
      </c>
      <c r="K282" s="4">
        <v>0</v>
      </c>
      <c r="L282" s="94">
        <v>-66700</v>
      </c>
      <c r="M282" s="94">
        <v>0</v>
      </c>
    </row>
    <row r="283" spans="3:13" x14ac:dyDescent="0.3">
      <c r="C283" t="s">
        <v>70</v>
      </c>
      <c r="D283" t="s">
        <v>84</v>
      </c>
      <c r="E283" t="s">
        <v>63</v>
      </c>
      <c r="F283" t="s">
        <v>25</v>
      </c>
      <c r="G283" s="4">
        <v>3</v>
      </c>
      <c r="H283" s="4" t="s">
        <v>74</v>
      </c>
      <c r="I283" s="4" t="s">
        <v>69</v>
      </c>
      <c r="J283" s="4" t="s">
        <v>66</v>
      </c>
      <c r="K283" s="4">
        <v>0</v>
      </c>
      <c r="L283" s="94">
        <v>-2595</v>
      </c>
      <c r="M283" s="94">
        <v>0</v>
      </c>
    </row>
    <row r="284" spans="3:13" x14ac:dyDescent="0.3">
      <c r="C284" t="s">
        <v>61</v>
      </c>
      <c r="D284" t="s">
        <v>67</v>
      </c>
      <c r="E284" t="s">
        <v>63</v>
      </c>
      <c r="F284" t="s">
        <v>26</v>
      </c>
      <c r="G284" s="4">
        <v>8</v>
      </c>
      <c r="H284" s="4" t="s">
        <v>76</v>
      </c>
      <c r="I284" s="4" t="s">
        <v>69</v>
      </c>
      <c r="J284" s="4" t="s">
        <v>66</v>
      </c>
      <c r="K284" s="4">
        <v>0</v>
      </c>
      <c r="L284" s="94">
        <v>-6934</v>
      </c>
      <c r="M284" s="94">
        <v>0</v>
      </c>
    </row>
    <row r="285" spans="3:13" x14ac:dyDescent="0.3">
      <c r="C285" t="s">
        <v>70</v>
      </c>
      <c r="D285" t="s">
        <v>67</v>
      </c>
      <c r="E285" t="s">
        <v>63</v>
      </c>
      <c r="F285" t="s">
        <v>26</v>
      </c>
      <c r="G285" s="4">
        <v>9</v>
      </c>
      <c r="H285" s="4" t="s">
        <v>14</v>
      </c>
      <c r="I285" s="4" t="s">
        <v>69</v>
      </c>
      <c r="J285" s="4" t="s">
        <v>73</v>
      </c>
      <c r="K285" s="4">
        <v>1</v>
      </c>
      <c r="L285" s="94">
        <v>-23338</v>
      </c>
      <c r="M285" s="94">
        <v>0</v>
      </c>
    </row>
    <row r="286" spans="3:13" x14ac:dyDescent="0.3">
      <c r="C286" t="s">
        <v>61</v>
      </c>
      <c r="D286" t="s">
        <v>67</v>
      </c>
      <c r="E286" t="s">
        <v>68</v>
      </c>
      <c r="F286" t="s">
        <v>26</v>
      </c>
      <c r="G286" s="4">
        <v>2</v>
      </c>
      <c r="H286" s="4" t="s">
        <v>18</v>
      </c>
      <c r="I286" s="4" t="s">
        <v>69</v>
      </c>
      <c r="J286" s="4" t="s">
        <v>66</v>
      </c>
      <c r="K286" s="4">
        <v>0</v>
      </c>
      <c r="L286" s="94">
        <v>79418492</v>
      </c>
      <c r="M286" s="94">
        <v>158836984</v>
      </c>
    </row>
    <row r="287" spans="3:13" x14ac:dyDescent="0.3">
      <c r="C287" t="s">
        <v>70</v>
      </c>
      <c r="D287" t="s">
        <v>67</v>
      </c>
      <c r="E287" t="s">
        <v>63</v>
      </c>
      <c r="F287" t="s">
        <v>72</v>
      </c>
      <c r="G287" s="4">
        <v>3</v>
      </c>
      <c r="H287" s="4" t="s">
        <v>13</v>
      </c>
      <c r="I287" s="4" t="s">
        <v>69</v>
      </c>
      <c r="J287" s="4" t="s">
        <v>73</v>
      </c>
      <c r="K287" s="4">
        <v>1</v>
      </c>
      <c r="L287" s="94">
        <v>-5733</v>
      </c>
      <c r="M287" s="94">
        <v>0</v>
      </c>
    </row>
    <row r="288" spans="3:13" x14ac:dyDescent="0.3">
      <c r="C288" t="s">
        <v>70</v>
      </c>
      <c r="D288" t="s">
        <v>67</v>
      </c>
      <c r="E288" t="s">
        <v>63</v>
      </c>
      <c r="F288" t="s">
        <v>25</v>
      </c>
      <c r="G288" s="4">
        <v>4</v>
      </c>
      <c r="H288" s="4" t="s">
        <v>64</v>
      </c>
      <c r="I288" s="4" t="s">
        <v>69</v>
      </c>
      <c r="J288" s="4" t="s">
        <v>66</v>
      </c>
      <c r="K288" s="4">
        <v>0</v>
      </c>
      <c r="L288" s="94">
        <v>-1061</v>
      </c>
      <c r="M288" s="94">
        <v>0</v>
      </c>
    </row>
    <row r="289" spans="3:13" x14ac:dyDescent="0.3">
      <c r="C289" t="s">
        <v>61</v>
      </c>
      <c r="D289" t="s">
        <v>67</v>
      </c>
      <c r="E289" t="s">
        <v>68</v>
      </c>
      <c r="F289" t="s">
        <v>26</v>
      </c>
      <c r="G289" s="4">
        <v>3</v>
      </c>
      <c r="H289" s="4" t="s">
        <v>79</v>
      </c>
      <c r="I289" s="4" t="s">
        <v>69</v>
      </c>
      <c r="J289" s="4" t="s">
        <v>66</v>
      </c>
      <c r="K289" s="4">
        <v>0</v>
      </c>
      <c r="L289" s="94">
        <v>9458195</v>
      </c>
      <c r="M289" s="94">
        <v>28374585</v>
      </c>
    </row>
    <row r="290" spans="3:13" x14ac:dyDescent="0.3">
      <c r="C290" t="s">
        <v>70</v>
      </c>
      <c r="D290" t="s">
        <v>67</v>
      </c>
      <c r="E290" t="s">
        <v>68</v>
      </c>
      <c r="F290" t="s">
        <v>72</v>
      </c>
      <c r="G290" s="4">
        <v>2</v>
      </c>
      <c r="H290" s="4" t="s">
        <v>12</v>
      </c>
      <c r="I290" s="4" t="s">
        <v>65</v>
      </c>
      <c r="J290" s="4" t="s">
        <v>73</v>
      </c>
      <c r="K290" s="4">
        <v>1</v>
      </c>
      <c r="L290" s="94">
        <v>53449</v>
      </c>
      <c r="M290" s="94">
        <v>106898</v>
      </c>
    </row>
    <row r="291" spans="3:13" x14ac:dyDescent="0.3">
      <c r="C291" t="s">
        <v>71</v>
      </c>
      <c r="D291" t="s">
        <v>67</v>
      </c>
      <c r="E291" t="s">
        <v>68</v>
      </c>
      <c r="F291" t="s">
        <v>26</v>
      </c>
      <c r="G291" s="4">
        <v>1</v>
      </c>
      <c r="H291" s="4" t="s">
        <v>17</v>
      </c>
      <c r="I291" s="4" t="s">
        <v>69</v>
      </c>
      <c r="J291" s="4" t="s">
        <v>73</v>
      </c>
      <c r="K291" s="4">
        <v>1</v>
      </c>
      <c r="L291" s="94">
        <v>89791</v>
      </c>
      <c r="M291" s="94">
        <v>89791</v>
      </c>
    </row>
    <row r="292" spans="3:13" x14ac:dyDescent="0.3">
      <c r="C292" t="s">
        <v>71</v>
      </c>
      <c r="D292" t="s">
        <v>67</v>
      </c>
      <c r="E292" t="s">
        <v>68</v>
      </c>
      <c r="F292" t="s">
        <v>25</v>
      </c>
      <c r="G292" s="4">
        <v>7</v>
      </c>
      <c r="H292" s="4" t="s">
        <v>82</v>
      </c>
      <c r="I292" s="4" t="s">
        <v>69</v>
      </c>
      <c r="J292" s="4" t="s">
        <v>66</v>
      </c>
      <c r="K292" s="4">
        <v>0</v>
      </c>
      <c r="L292" s="94">
        <v>602049</v>
      </c>
      <c r="M292" s="94">
        <v>4214343</v>
      </c>
    </row>
    <row r="293" spans="3:13" x14ac:dyDescent="0.3">
      <c r="C293" t="s">
        <v>70</v>
      </c>
      <c r="D293" t="s">
        <v>67</v>
      </c>
      <c r="E293" t="s">
        <v>68</v>
      </c>
      <c r="F293" t="s">
        <v>25</v>
      </c>
      <c r="G293" s="4">
        <v>-4</v>
      </c>
      <c r="H293" s="4" t="s">
        <v>79</v>
      </c>
      <c r="I293" s="4" t="s">
        <v>65</v>
      </c>
      <c r="J293" s="4" t="s">
        <v>66</v>
      </c>
      <c r="K293" s="4">
        <v>1</v>
      </c>
      <c r="L293" s="94">
        <v>377</v>
      </c>
      <c r="M293" s="94">
        <v>0</v>
      </c>
    </row>
    <row r="294" spans="3:13" x14ac:dyDescent="0.3">
      <c r="C294" t="s">
        <v>61</v>
      </c>
      <c r="D294" t="s">
        <v>67</v>
      </c>
      <c r="E294" t="s">
        <v>68</v>
      </c>
      <c r="F294" t="s">
        <v>26</v>
      </c>
      <c r="G294" s="4">
        <v>8</v>
      </c>
      <c r="H294" s="4" t="s">
        <v>18</v>
      </c>
      <c r="I294" s="4" t="s">
        <v>69</v>
      </c>
      <c r="J294" s="4" t="s">
        <v>66</v>
      </c>
      <c r="K294" s="4">
        <v>0</v>
      </c>
      <c r="L294" s="94">
        <v>3176526</v>
      </c>
      <c r="M294" s="94">
        <v>25412208</v>
      </c>
    </row>
    <row r="295" spans="3:13" x14ac:dyDescent="0.3">
      <c r="C295" t="s">
        <v>61</v>
      </c>
      <c r="D295" t="s">
        <v>67</v>
      </c>
      <c r="E295" t="s">
        <v>68</v>
      </c>
      <c r="F295" t="s">
        <v>25</v>
      </c>
      <c r="G295" s="4">
        <v>1</v>
      </c>
      <c r="H295" s="4" t="s">
        <v>76</v>
      </c>
      <c r="I295" s="4" t="s">
        <v>69</v>
      </c>
      <c r="J295" s="4" t="s">
        <v>66</v>
      </c>
      <c r="K295" s="4">
        <v>0</v>
      </c>
      <c r="L295" s="94">
        <v>18093633</v>
      </c>
      <c r="M295" s="94">
        <v>18093633</v>
      </c>
    </row>
    <row r="296" spans="3:13" x14ac:dyDescent="0.3">
      <c r="C296" t="s">
        <v>70</v>
      </c>
      <c r="D296" t="s">
        <v>62</v>
      </c>
      <c r="E296" t="s">
        <v>63</v>
      </c>
      <c r="F296" t="s">
        <v>25</v>
      </c>
      <c r="G296" s="4">
        <v>9</v>
      </c>
      <c r="I296" s="4" t="s">
        <v>69</v>
      </c>
      <c r="J296" s="4" t="s">
        <v>66</v>
      </c>
      <c r="K296" s="4">
        <v>0</v>
      </c>
      <c r="L296" s="94">
        <v>-24174</v>
      </c>
      <c r="M296" s="94">
        <v>0</v>
      </c>
    </row>
    <row r="297" spans="3:13" x14ac:dyDescent="0.3">
      <c r="C297" t="s">
        <v>61</v>
      </c>
      <c r="D297" t="s">
        <v>67</v>
      </c>
      <c r="E297" t="s">
        <v>63</v>
      </c>
      <c r="F297" t="s">
        <v>26</v>
      </c>
      <c r="G297" s="4">
        <v>1</v>
      </c>
      <c r="H297" s="4" t="s">
        <v>15</v>
      </c>
      <c r="I297" s="4" t="s">
        <v>65</v>
      </c>
      <c r="J297" s="4" t="s">
        <v>73</v>
      </c>
      <c r="K297" s="4">
        <v>1</v>
      </c>
      <c r="L297" s="94">
        <v>-121</v>
      </c>
      <c r="M297" s="94">
        <v>0</v>
      </c>
    </row>
    <row r="298" spans="3:13" x14ac:dyDescent="0.3">
      <c r="C298" t="s">
        <v>61</v>
      </c>
      <c r="D298" t="s">
        <v>88</v>
      </c>
      <c r="E298" t="s">
        <v>68</v>
      </c>
      <c r="F298" t="s">
        <v>25</v>
      </c>
      <c r="G298" s="4">
        <v>3</v>
      </c>
      <c r="H298" s="4" t="s">
        <v>74</v>
      </c>
      <c r="I298" s="4" t="s">
        <v>69</v>
      </c>
      <c r="J298" s="4" t="s">
        <v>66</v>
      </c>
      <c r="K298" s="4">
        <v>0</v>
      </c>
      <c r="L298" s="94">
        <v>142145</v>
      </c>
      <c r="M298" s="94">
        <v>426435</v>
      </c>
    </row>
    <row r="299" spans="3:13" x14ac:dyDescent="0.3">
      <c r="C299" t="s">
        <v>61</v>
      </c>
      <c r="D299" t="s">
        <v>67</v>
      </c>
      <c r="E299" t="s">
        <v>68</v>
      </c>
      <c r="F299" t="s">
        <v>25</v>
      </c>
      <c r="G299" s="4">
        <v>8</v>
      </c>
      <c r="H299" s="4" t="s">
        <v>74</v>
      </c>
      <c r="I299" s="4" t="s">
        <v>69</v>
      </c>
      <c r="J299" s="4" t="s">
        <v>66</v>
      </c>
      <c r="K299" s="4">
        <v>0</v>
      </c>
      <c r="L299" s="94">
        <v>3413846</v>
      </c>
      <c r="M299" s="94">
        <v>27310768</v>
      </c>
    </row>
    <row r="300" spans="3:13" x14ac:dyDescent="0.3">
      <c r="C300" t="s">
        <v>61</v>
      </c>
      <c r="D300" t="s">
        <v>62</v>
      </c>
      <c r="E300" t="s">
        <v>63</v>
      </c>
      <c r="F300" t="s">
        <v>24</v>
      </c>
      <c r="G300" s="4">
        <v>22</v>
      </c>
      <c r="I300" s="4" t="s">
        <v>65</v>
      </c>
      <c r="J300" s="4" t="s">
        <v>73</v>
      </c>
      <c r="K300" s="4">
        <v>1</v>
      </c>
      <c r="L300" s="94">
        <v>0</v>
      </c>
      <c r="M300" s="94">
        <v>0</v>
      </c>
    </row>
    <row r="301" spans="3:13" x14ac:dyDescent="0.3">
      <c r="C301" t="s">
        <v>61</v>
      </c>
      <c r="D301" t="s">
        <v>67</v>
      </c>
      <c r="E301" t="s">
        <v>63</v>
      </c>
      <c r="F301" t="s">
        <v>25</v>
      </c>
      <c r="G301" s="4">
        <v>1</v>
      </c>
      <c r="H301" s="4" t="s">
        <v>83</v>
      </c>
      <c r="I301" s="4" t="s">
        <v>69</v>
      </c>
      <c r="J301" s="4" t="s">
        <v>66</v>
      </c>
      <c r="K301" s="4">
        <v>0</v>
      </c>
      <c r="L301" s="94">
        <v>-25</v>
      </c>
      <c r="M301" s="94">
        <v>0</v>
      </c>
    </row>
    <row r="302" spans="3:13" x14ac:dyDescent="0.3">
      <c r="C302" t="s">
        <v>70</v>
      </c>
      <c r="D302" t="s">
        <v>67</v>
      </c>
      <c r="E302" t="s">
        <v>63</v>
      </c>
      <c r="F302" t="s">
        <v>25</v>
      </c>
      <c r="G302" s="4">
        <v>1</v>
      </c>
      <c r="H302" s="4" t="s">
        <v>80</v>
      </c>
      <c r="I302" s="4" t="s">
        <v>69</v>
      </c>
      <c r="J302" s="4" t="s">
        <v>66</v>
      </c>
      <c r="K302" s="4">
        <v>0</v>
      </c>
      <c r="L302" s="94">
        <v>-116</v>
      </c>
      <c r="M302" s="94">
        <v>0</v>
      </c>
    </row>
    <row r="303" spans="3:13" x14ac:dyDescent="0.3">
      <c r="C303" t="s">
        <v>61</v>
      </c>
      <c r="D303" t="s">
        <v>67</v>
      </c>
      <c r="E303" t="s">
        <v>63</v>
      </c>
      <c r="F303" t="s">
        <v>25</v>
      </c>
      <c r="G303" s="4">
        <v>12</v>
      </c>
      <c r="H303" s="4" t="s">
        <v>17</v>
      </c>
      <c r="I303" s="4" t="s">
        <v>69</v>
      </c>
      <c r="J303" s="4" t="s">
        <v>66</v>
      </c>
      <c r="K303" s="4">
        <v>0</v>
      </c>
      <c r="L303" s="94">
        <v>-9268</v>
      </c>
      <c r="M303" s="94">
        <v>0</v>
      </c>
    </row>
    <row r="304" spans="3:13" x14ac:dyDescent="0.3">
      <c r="C304" t="s">
        <v>71</v>
      </c>
      <c r="D304" t="s">
        <v>62</v>
      </c>
      <c r="E304" t="s">
        <v>63</v>
      </c>
      <c r="F304" t="s">
        <v>24</v>
      </c>
      <c r="G304" s="4">
        <v>3</v>
      </c>
      <c r="I304" s="4" t="s">
        <v>69</v>
      </c>
      <c r="J304" s="4" t="s">
        <v>66</v>
      </c>
      <c r="K304" s="4">
        <v>1</v>
      </c>
      <c r="L304" s="94">
        <v>-12188</v>
      </c>
      <c r="M304" s="94">
        <v>0</v>
      </c>
    </row>
    <row r="305" spans="3:13" x14ac:dyDescent="0.3">
      <c r="C305" t="s">
        <v>70</v>
      </c>
      <c r="D305" t="s">
        <v>67</v>
      </c>
      <c r="E305" t="s">
        <v>63</v>
      </c>
      <c r="F305" t="s">
        <v>25</v>
      </c>
      <c r="G305" s="4">
        <v>12</v>
      </c>
      <c r="H305" s="4" t="s">
        <v>18</v>
      </c>
      <c r="I305" s="4" t="s">
        <v>69</v>
      </c>
      <c r="J305" s="4" t="s">
        <v>66</v>
      </c>
      <c r="K305" s="4">
        <v>0</v>
      </c>
      <c r="L305" s="94">
        <v>-279314</v>
      </c>
      <c r="M305" s="94">
        <v>0</v>
      </c>
    </row>
    <row r="306" spans="3:13" x14ac:dyDescent="0.3">
      <c r="C306" t="s">
        <v>61</v>
      </c>
      <c r="D306" t="s">
        <v>67</v>
      </c>
      <c r="E306" t="s">
        <v>63</v>
      </c>
      <c r="F306" t="s">
        <v>26</v>
      </c>
      <c r="G306" s="4">
        <v>2</v>
      </c>
      <c r="H306" s="4" t="s">
        <v>14</v>
      </c>
      <c r="I306" s="4" t="s">
        <v>69</v>
      </c>
      <c r="J306" s="4" t="s">
        <v>66</v>
      </c>
      <c r="K306" s="4">
        <v>0</v>
      </c>
      <c r="L306" s="94">
        <v>-201316</v>
      </c>
      <c r="M306" s="94">
        <v>0</v>
      </c>
    </row>
    <row r="307" spans="3:13" x14ac:dyDescent="0.3">
      <c r="C307" t="s">
        <v>70</v>
      </c>
      <c r="D307" t="s">
        <v>67</v>
      </c>
      <c r="E307" t="s">
        <v>68</v>
      </c>
      <c r="F307" t="s">
        <v>26</v>
      </c>
      <c r="G307" s="4">
        <v>1</v>
      </c>
      <c r="H307" s="4" t="s">
        <v>12</v>
      </c>
      <c r="I307" s="4" t="s">
        <v>69</v>
      </c>
      <c r="J307" s="4" t="s">
        <v>66</v>
      </c>
      <c r="K307" s="4">
        <v>0</v>
      </c>
      <c r="L307" s="94">
        <v>732409</v>
      </c>
      <c r="M307" s="94">
        <v>732409</v>
      </c>
    </row>
    <row r="308" spans="3:13" x14ac:dyDescent="0.3">
      <c r="C308" t="s">
        <v>70</v>
      </c>
      <c r="D308" t="s">
        <v>62</v>
      </c>
      <c r="E308" t="s">
        <v>68</v>
      </c>
      <c r="F308" t="s">
        <v>25</v>
      </c>
      <c r="G308" s="4">
        <v>-1</v>
      </c>
      <c r="I308" s="4" t="s">
        <v>69</v>
      </c>
      <c r="J308" s="4" t="s">
        <v>66</v>
      </c>
      <c r="K308" s="4">
        <v>0</v>
      </c>
      <c r="L308" s="94">
        <v>10834</v>
      </c>
      <c r="M308" s="94">
        <v>0</v>
      </c>
    </row>
    <row r="309" spans="3:13" x14ac:dyDescent="0.3">
      <c r="C309" t="s">
        <v>61</v>
      </c>
      <c r="D309" t="s">
        <v>67</v>
      </c>
      <c r="E309" t="s">
        <v>68</v>
      </c>
      <c r="F309" t="s">
        <v>26</v>
      </c>
      <c r="G309" s="4">
        <v>-1</v>
      </c>
      <c r="H309" s="4" t="s">
        <v>80</v>
      </c>
      <c r="I309" s="4" t="s">
        <v>69</v>
      </c>
      <c r="J309" s="4" t="s">
        <v>66</v>
      </c>
      <c r="K309" s="4">
        <v>0</v>
      </c>
      <c r="L309" s="94">
        <v>3579735</v>
      </c>
      <c r="M309" s="94">
        <v>0</v>
      </c>
    </row>
    <row r="310" spans="3:13" x14ac:dyDescent="0.3">
      <c r="C310" t="s">
        <v>61</v>
      </c>
      <c r="D310" t="s">
        <v>67</v>
      </c>
      <c r="E310" t="s">
        <v>68</v>
      </c>
      <c r="F310" t="s">
        <v>25</v>
      </c>
      <c r="G310" s="4">
        <v>7</v>
      </c>
      <c r="H310" s="4" t="s">
        <v>78</v>
      </c>
      <c r="I310" s="4" t="s">
        <v>69</v>
      </c>
      <c r="J310" s="4" t="s">
        <v>66</v>
      </c>
      <c r="K310" s="4">
        <v>0</v>
      </c>
      <c r="L310" s="94">
        <v>681712</v>
      </c>
      <c r="M310" s="94">
        <v>4771984</v>
      </c>
    </row>
    <row r="311" spans="3:13" x14ac:dyDescent="0.3">
      <c r="C311" t="s">
        <v>61</v>
      </c>
      <c r="D311" t="s">
        <v>67</v>
      </c>
      <c r="E311" t="s">
        <v>68</v>
      </c>
      <c r="F311" t="s">
        <v>26</v>
      </c>
      <c r="G311" s="4">
        <v>3</v>
      </c>
      <c r="H311" s="4" t="s">
        <v>17</v>
      </c>
      <c r="I311" s="4" t="s">
        <v>65</v>
      </c>
      <c r="J311" s="4" t="s">
        <v>73</v>
      </c>
      <c r="K311" s="4">
        <v>1</v>
      </c>
      <c r="L311" s="94">
        <v>2449373</v>
      </c>
      <c r="M311" s="94">
        <v>7348119</v>
      </c>
    </row>
    <row r="312" spans="3:13" x14ac:dyDescent="0.3">
      <c r="C312" t="s">
        <v>71</v>
      </c>
      <c r="D312" t="s">
        <v>62</v>
      </c>
      <c r="E312" t="s">
        <v>63</v>
      </c>
      <c r="F312" t="s">
        <v>24</v>
      </c>
      <c r="G312" s="4">
        <v>19</v>
      </c>
      <c r="I312" s="4" t="s">
        <v>69</v>
      </c>
      <c r="J312" s="4" t="s">
        <v>73</v>
      </c>
      <c r="K312" s="4">
        <v>1</v>
      </c>
      <c r="L312" s="94">
        <v>-1681</v>
      </c>
      <c r="M312" s="94">
        <v>0</v>
      </c>
    </row>
    <row r="313" spans="3:13" x14ac:dyDescent="0.3">
      <c r="C313" t="s">
        <v>70</v>
      </c>
      <c r="D313" t="s">
        <v>67</v>
      </c>
      <c r="E313" t="s">
        <v>68</v>
      </c>
      <c r="F313" t="s">
        <v>26</v>
      </c>
      <c r="G313" s="4">
        <v>-4</v>
      </c>
      <c r="H313" s="4" t="s">
        <v>64</v>
      </c>
      <c r="I313" s="4" t="s">
        <v>69</v>
      </c>
      <c r="J313" s="4" t="s">
        <v>66</v>
      </c>
      <c r="K313" s="4">
        <v>0</v>
      </c>
      <c r="L313" s="94">
        <v>3520</v>
      </c>
      <c r="M313" s="94">
        <v>0</v>
      </c>
    </row>
    <row r="314" spans="3:13" x14ac:dyDescent="0.3">
      <c r="C314" t="s">
        <v>61</v>
      </c>
      <c r="D314" t="s">
        <v>67</v>
      </c>
      <c r="E314" t="s">
        <v>68</v>
      </c>
      <c r="F314" t="s">
        <v>26</v>
      </c>
      <c r="G314" s="4">
        <v>7</v>
      </c>
      <c r="H314" s="4" t="s">
        <v>76</v>
      </c>
      <c r="I314" s="4" t="s">
        <v>69</v>
      </c>
      <c r="J314" s="4" t="s">
        <v>66</v>
      </c>
      <c r="K314" s="4">
        <v>0</v>
      </c>
      <c r="L314" s="94">
        <v>4192739</v>
      </c>
      <c r="M314" s="94">
        <v>29349173</v>
      </c>
    </row>
    <row r="315" spans="3:13" x14ac:dyDescent="0.3">
      <c r="C315" t="s">
        <v>71</v>
      </c>
      <c r="D315" t="s">
        <v>67</v>
      </c>
      <c r="E315" t="s">
        <v>68</v>
      </c>
      <c r="F315" t="s">
        <v>72</v>
      </c>
      <c r="G315" s="4">
        <v>-4</v>
      </c>
      <c r="H315" s="4" t="s">
        <v>82</v>
      </c>
      <c r="I315" s="4" t="s">
        <v>69</v>
      </c>
      <c r="J315" s="4" t="s">
        <v>66</v>
      </c>
      <c r="K315" s="4">
        <v>0</v>
      </c>
      <c r="L315" s="94">
        <v>1282377</v>
      </c>
      <c r="M315" s="94">
        <v>0</v>
      </c>
    </row>
    <row r="316" spans="3:13" x14ac:dyDescent="0.3">
      <c r="C316" t="s">
        <v>71</v>
      </c>
      <c r="D316" t="s">
        <v>62</v>
      </c>
      <c r="E316" t="s">
        <v>68</v>
      </c>
      <c r="F316" t="s">
        <v>24</v>
      </c>
      <c r="G316" s="4">
        <v>24</v>
      </c>
      <c r="I316" s="4" t="s">
        <v>69</v>
      </c>
      <c r="J316" s="4" t="s">
        <v>66</v>
      </c>
      <c r="K316" s="4">
        <v>1</v>
      </c>
      <c r="L316" s="94">
        <v>48098</v>
      </c>
      <c r="M316" s="94">
        <v>1154352</v>
      </c>
    </row>
    <row r="317" spans="3:13" x14ac:dyDescent="0.3">
      <c r="C317" t="s">
        <v>71</v>
      </c>
      <c r="D317" t="s">
        <v>67</v>
      </c>
      <c r="E317" t="s">
        <v>68</v>
      </c>
      <c r="F317" t="s">
        <v>26</v>
      </c>
      <c r="G317" s="4">
        <v>0</v>
      </c>
      <c r="H317" s="4" t="s">
        <v>64</v>
      </c>
      <c r="I317" s="4" t="s">
        <v>69</v>
      </c>
      <c r="J317" s="4" t="s">
        <v>66</v>
      </c>
      <c r="K317" s="4">
        <v>0</v>
      </c>
      <c r="L317" s="94">
        <v>13591</v>
      </c>
      <c r="M317" s="94">
        <v>0</v>
      </c>
    </row>
    <row r="318" spans="3:13" x14ac:dyDescent="0.3">
      <c r="C318" t="s">
        <v>61</v>
      </c>
      <c r="D318" t="s">
        <v>67</v>
      </c>
      <c r="E318" t="s">
        <v>63</v>
      </c>
      <c r="F318" t="s">
        <v>25</v>
      </c>
      <c r="G318" s="4">
        <v>4</v>
      </c>
      <c r="H318" s="4" t="s">
        <v>79</v>
      </c>
      <c r="I318" s="4" t="s">
        <v>69</v>
      </c>
      <c r="J318" s="4" t="s">
        <v>66</v>
      </c>
      <c r="K318" s="4">
        <v>0</v>
      </c>
      <c r="L318" s="94">
        <v>-2519</v>
      </c>
      <c r="M318" s="94">
        <v>0</v>
      </c>
    </row>
    <row r="319" spans="3:13" x14ac:dyDescent="0.3">
      <c r="C319" t="s">
        <v>71</v>
      </c>
      <c r="D319" t="s">
        <v>67</v>
      </c>
      <c r="E319" t="s">
        <v>63</v>
      </c>
      <c r="F319" t="s">
        <v>26</v>
      </c>
      <c r="G319" s="4">
        <v>-1</v>
      </c>
      <c r="H319" s="4" t="s">
        <v>18</v>
      </c>
      <c r="I319" s="4" t="s">
        <v>69</v>
      </c>
      <c r="J319" s="4" t="s">
        <v>66</v>
      </c>
      <c r="K319" s="4">
        <v>0</v>
      </c>
      <c r="L319" s="94">
        <v>-8059349</v>
      </c>
      <c r="M319" s="94">
        <v>0</v>
      </c>
    </row>
    <row r="320" spans="3:13" x14ac:dyDescent="0.3">
      <c r="C320" t="s">
        <v>61</v>
      </c>
      <c r="D320" t="s">
        <v>67</v>
      </c>
      <c r="E320" t="s">
        <v>68</v>
      </c>
      <c r="F320" t="s">
        <v>26</v>
      </c>
      <c r="G320" s="4">
        <v>3</v>
      </c>
      <c r="H320" s="4" t="s">
        <v>86</v>
      </c>
      <c r="I320" s="4" t="s">
        <v>69</v>
      </c>
      <c r="J320" s="4" t="s">
        <v>66</v>
      </c>
      <c r="K320" s="4">
        <v>0</v>
      </c>
      <c r="L320" s="94">
        <v>73104</v>
      </c>
      <c r="M320" s="94">
        <v>219312</v>
      </c>
    </row>
    <row r="321" spans="3:13" x14ac:dyDescent="0.3">
      <c r="C321" t="s">
        <v>70</v>
      </c>
      <c r="D321" t="s">
        <v>67</v>
      </c>
      <c r="E321" t="s">
        <v>63</v>
      </c>
      <c r="F321" t="s">
        <v>26</v>
      </c>
      <c r="G321" s="4">
        <v>5</v>
      </c>
      <c r="H321" s="4" t="s">
        <v>79</v>
      </c>
      <c r="I321" s="4" t="s">
        <v>69</v>
      </c>
      <c r="J321" s="4" t="s">
        <v>66</v>
      </c>
      <c r="K321" s="4">
        <v>0</v>
      </c>
      <c r="L321" s="94">
        <v>-33978</v>
      </c>
      <c r="M321" s="94">
        <v>0</v>
      </c>
    </row>
    <row r="322" spans="3:13" x14ac:dyDescent="0.3">
      <c r="C322" t="s">
        <v>61</v>
      </c>
      <c r="D322" t="s">
        <v>67</v>
      </c>
      <c r="E322" t="s">
        <v>68</v>
      </c>
      <c r="F322" t="s">
        <v>72</v>
      </c>
      <c r="G322" s="4">
        <v>5</v>
      </c>
      <c r="H322" s="4" t="s">
        <v>64</v>
      </c>
      <c r="I322" s="4" t="s">
        <v>69</v>
      </c>
      <c r="J322" s="4" t="s">
        <v>66</v>
      </c>
      <c r="K322" s="4">
        <v>0</v>
      </c>
      <c r="L322" s="94">
        <v>4071772</v>
      </c>
      <c r="M322" s="94">
        <v>20358860</v>
      </c>
    </row>
    <row r="323" spans="3:13" x14ac:dyDescent="0.3">
      <c r="C323" t="s">
        <v>61</v>
      </c>
      <c r="D323" t="s">
        <v>67</v>
      </c>
      <c r="E323" t="s">
        <v>63</v>
      </c>
      <c r="F323" t="s">
        <v>72</v>
      </c>
      <c r="G323" s="4">
        <v>1</v>
      </c>
      <c r="H323" s="4" t="s">
        <v>82</v>
      </c>
      <c r="I323" s="4" t="s">
        <v>69</v>
      </c>
      <c r="J323" s="4" t="s">
        <v>66</v>
      </c>
      <c r="K323" s="4">
        <v>0</v>
      </c>
      <c r="L323" s="94">
        <v>-19160</v>
      </c>
      <c r="M323" s="94">
        <v>0</v>
      </c>
    </row>
    <row r="324" spans="3:13" x14ac:dyDescent="0.3">
      <c r="C324" t="s">
        <v>61</v>
      </c>
      <c r="D324" t="s">
        <v>67</v>
      </c>
      <c r="E324" t="s">
        <v>68</v>
      </c>
      <c r="F324" t="s">
        <v>72</v>
      </c>
      <c r="G324" s="4">
        <v>-1</v>
      </c>
      <c r="H324" s="4" t="s">
        <v>14</v>
      </c>
      <c r="I324" s="4" t="s">
        <v>65</v>
      </c>
      <c r="J324" s="4" t="s">
        <v>66</v>
      </c>
      <c r="K324" s="4">
        <v>1</v>
      </c>
      <c r="L324" s="94">
        <v>101247</v>
      </c>
      <c r="M324" s="94">
        <v>0</v>
      </c>
    </row>
    <row r="325" spans="3:13" x14ac:dyDescent="0.3">
      <c r="C325" t="s">
        <v>70</v>
      </c>
      <c r="D325" t="s">
        <v>62</v>
      </c>
      <c r="E325" t="s">
        <v>68</v>
      </c>
      <c r="F325" t="s">
        <v>24</v>
      </c>
      <c r="G325" s="4">
        <v>47</v>
      </c>
      <c r="I325" s="4" t="s">
        <v>69</v>
      </c>
      <c r="J325" s="4" t="s">
        <v>66</v>
      </c>
      <c r="K325" s="4">
        <v>0</v>
      </c>
      <c r="L325" s="94">
        <v>228045</v>
      </c>
      <c r="M325" s="94">
        <v>10718115</v>
      </c>
    </row>
    <row r="326" spans="3:13" x14ac:dyDescent="0.3">
      <c r="C326" t="s">
        <v>61</v>
      </c>
      <c r="D326" t="s">
        <v>62</v>
      </c>
      <c r="E326" t="s">
        <v>68</v>
      </c>
      <c r="F326" t="s">
        <v>25</v>
      </c>
      <c r="G326" s="4">
        <v>3</v>
      </c>
      <c r="I326" s="4" t="s">
        <v>69</v>
      </c>
      <c r="J326" s="4" t="s">
        <v>66</v>
      </c>
      <c r="K326" s="4">
        <v>0</v>
      </c>
      <c r="L326" s="94">
        <v>15818319</v>
      </c>
      <c r="M326" s="94">
        <v>47454957</v>
      </c>
    </row>
    <row r="327" spans="3:13" x14ac:dyDescent="0.3">
      <c r="C327" t="s">
        <v>61</v>
      </c>
      <c r="D327" t="s">
        <v>67</v>
      </c>
      <c r="E327" t="s">
        <v>63</v>
      </c>
      <c r="F327" t="s">
        <v>72</v>
      </c>
      <c r="G327" s="4">
        <v>4</v>
      </c>
      <c r="H327" s="4" t="s">
        <v>13</v>
      </c>
      <c r="I327" s="4" t="s">
        <v>69</v>
      </c>
      <c r="J327" s="4" t="s">
        <v>73</v>
      </c>
      <c r="K327" s="4">
        <v>1</v>
      </c>
      <c r="L327" s="94">
        <v>-765</v>
      </c>
      <c r="M327" s="94">
        <v>0</v>
      </c>
    </row>
    <row r="328" spans="3:13" x14ac:dyDescent="0.3">
      <c r="C328" t="s">
        <v>71</v>
      </c>
      <c r="D328" t="s">
        <v>67</v>
      </c>
      <c r="E328" t="s">
        <v>63</v>
      </c>
      <c r="F328" t="s">
        <v>26</v>
      </c>
      <c r="G328" s="4">
        <v>-4</v>
      </c>
      <c r="H328" s="4" t="s">
        <v>15</v>
      </c>
      <c r="I328" s="4" t="s">
        <v>69</v>
      </c>
      <c r="J328" s="4" t="s">
        <v>66</v>
      </c>
      <c r="K328" s="4">
        <v>0</v>
      </c>
      <c r="L328" s="94">
        <v>-42866</v>
      </c>
      <c r="M328" s="94">
        <v>0</v>
      </c>
    </row>
    <row r="329" spans="3:13" x14ac:dyDescent="0.3">
      <c r="C329" t="s">
        <v>61</v>
      </c>
      <c r="D329" t="s">
        <v>67</v>
      </c>
      <c r="E329" t="s">
        <v>68</v>
      </c>
      <c r="F329" t="s">
        <v>26</v>
      </c>
      <c r="G329" s="4">
        <v>0</v>
      </c>
      <c r="H329" s="4" t="s">
        <v>15</v>
      </c>
      <c r="I329" s="4" t="s">
        <v>69</v>
      </c>
      <c r="J329" s="4" t="s">
        <v>66</v>
      </c>
      <c r="K329" s="4">
        <v>0</v>
      </c>
      <c r="L329" s="94">
        <v>56370497</v>
      </c>
      <c r="M329" s="94">
        <v>0</v>
      </c>
    </row>
    <row r="330" spans="3:13" x14ac:dyDescent="0.3">
      <c r="C330" t="s">
        <v>70</v>
      </c>
      <c r="D330" t="s">
        <v>67</v>
      </c>
      <c r="E330" t="s">
        <v>68</v>
      </c>
      <c r="F330" t="s">
        <v>25</v>
      </c>
      <c r="G330" s="4">
        <v>2</v>
      </c>
      <c r="H330" s="4" t="s">
        <v>80</v>
      </c>
      <c r="I330" s="4" t="s">
        <v>69</v>
      </c>
      <c r="J330" s="4" t="s">
        <v>66</v>
      </c>
      <c r="K330" s="4">
        <v>0</v>
      </c>
      <c r="L330" s="94">
        <v>150232</v>
      </c>
      <c r="M330" s="94">
        <v>300464</v>
      </c>
    </row>
    <row r="331" spans="3:13" x14ac:dyDescent="0.3">
      <c r="C331" t="s">
        <v>61</v>
      </c>
      <c r="D331" t="s">
        <v>67</v>
      </c>
      <c r="E331" t="s">
        <v>68</v>
      </c>
      <c r="F331" t="s">
        <v>25</v>
      </c>
      <c r="G331" s="4">
        <v>10</v>
      </c>
      <c r="H331" s="4" t="s">
        <v>74</v>
      </c>
      <c r="I331" s="4" t="s">
        <v>69</v>
      </c>
      <c r="J331" s="4" t="s">
        <v>66</v>
      </c>
      <c r="K331" s="4">
        <v>0</v>
      </c>
      <c r="L331" s="94">
        <v>3186523</v>
      </c>
      <c r="M331" s="94">
        <v>31865230</v>
      </c>
    </row>
    <row r="332" spans="3:13" x14ac:dyDescent="0.3">
      <c r="C332" t="s">
        <v>71</v>
      </c>
      <c r="D332" t="s">
        <v>67</v>
      </c>
      <c r="E332" t="s">
        <v>63</v>
      </c>
      <c r="F332" t="s">
        <v>26</v>
      </c>
      <c r="G332" s="4">
        <v>0</v>
      </c>
      <c r="H332" s="4" t="s">
        <v>17</v>
      </c>
      <c r="I332" s="4" t="s">
        <v>69</v>
      </c>
      <c r="J332" s="4" t="s">
        <v>66</v>
      </c>
      <c r="K332" s="4">
        <v>0</v>
      </c>
      <c r="L332" s="94">
        <v>-491595</v>
      </c>
      <c r="M332" s="94">
        <v>0</v>
      </c>
    </row>
    <row r="333" spans="3:13" x14ac:dyDescent="0.3">
      <c r="C333" t="s">
        <v>70</v>
      </c>
      <c r="D333" t="s">
        <v>67</v>
      </c>
      <c r="E333" t="s">
        <v>63</v>
      </c>
      <c r="F333" t="s">
        <v>25</v>
      </c>
      <c r="G333" s="4">
        <v>6</v>
      </c>
      <c r="H333" s="4" t="s">
        <v>14</v>
      </c>
      <c r="I333" s="4" t="s">
        <v>69</v>
      </c>
      <c r="J333" s="4" t="s">
        <v>66</v>
      </c>
      <c r="K333" s="4">
        <v>0</v>
      </c>
      <c r="L333" s="94">
        <v>-77265</v>
      </c>
      <c r="M333" s="94">
        <v>0</v>
      </c>
    </row>
    <row r="334" spans="3:13" x14ac:dyDescent="0.3">
      <c r="C334" t="s">
        <v>61</v>
      </c>
      <c r="D334" t="s">
        <v>62</v>
      </c>
      <c r="E334" t="s">
        <v>63</v>
      </c>
      <c r="F334" t="s">
        <v>24</v>
      </c>
      <c r="G334" s="4">
        <v>34</v>
      </c>
      <c r="I334" s="4" t="s">
        <v>69</v>
      </c>
      <c r="J334" s="4" t="s">
        <v>66</v>
      </c>
      <c r="K334" s="4">
        <v>1</v>
      </c>
      <c r="L334" s="94">
        <v>-549</v>
      </c>
      <c r="M334" s="94">
        <v>0</v>
      </c>
    </row>
    <row r="335" spans="3:13" x14ac:dyDescent="0.3">
      <c r="C335" t="s">
        <v>61</v>
      </c>
      <c r="D335" t="s">
        <v>67</v>
      </c>
      <c r="E335" t="s">
        <v>63</v>
      </c>
      <c r="F335" t="s">
        <v>25</v>
      </c>
      <c r="G335" s="4">
        <v>14</v>
      </c>
      <c r="H335" s="4" t="s">
        <v>12</v>
      </c>
      <c r="I335" s="4" t="s">
        <v>69</v>
      </c>
      <c r="J335" s="4" t="s">
        <v>66</v>
      </c>
      <c r="K335" s="4">
        <v>1</v>
      </c>
      <c r="L335" s="94">
        <v>-33646</v>
      </c>
      <c r="M335" s="94">
        <v>0</v>
      </c>
    </row>
    <row r="336" spans="3:13" x14ac:dyDescent="0.3">
      <c r="C336" t="s">
        <v>70</v>
      </c>
      <c r="D336" t="s">
        <v>67</v>
      </c>
      <c r="E336" t="s">
        <v>68</v>
      </c>
      <c r="F336" t="s">
        <v>26</v>
      </c>
      <c r="G336" s="4">
        <v>-1</v>
      </c>
      <c r="H336" s="4" t="s">
        <v>18</v>
      </c>
      <c r="I336" s="4" t="s">
        <v>65</v>
      </c>
      <c r="J336" s="4" t="s">
        <v>66</v>
      </c>
      <c r="K336" s="4">
        <v>1</v>
      </c>
      <c r="L336" s="94">
        <v>587948</v>
      </c>
      <c r="M336" s="94">
        <v>0</v>
      </c>
    </row>
    <row r="337" spans="3:13" x14ac:dyDescent="0.3">
      <c r="C337" t="s">
        <v>71</v>
      </c>
      <c r="D337" t="s">
        <v>67</v>
      </c>
      <c r="E337" t="s">
        <v>63</v>
      </c>
      <c r="F337" t="s">
        <v>25</v>
      </c>
      <c r="G337" s="4">
        <v>1</v>
      </c>
      <c r="H337" s="4" t="s">
        <v>82</v>
      </c>
      <c r="I337" s="4" t="s">
        <v>69</v>
      </c>
      <c r="J337" s="4" t="s">
        <v>66</v>
      </c>
      <c r="K337" s="4">
        <v>0</v>
      </c>
      <c r="L337" s="94">
        <v>-12276</v>
      </c>
      <c r="M337" s="94">
        <v>0</v>
      </c>
    </row>
    <row r="338" spans="3:13" x14ac:dyDescent="0.3">
      <c r="C338" t="s">
        <v>71</v>
      </c>
      <c r="D338" t="s">
        <v>67</v>
      </c>
      <c r="E338" t="s">
        <v>63</v>
      </c>
      <c r="F338" t="s">
        <v>26</v>
      </c>
      <c r="G338" s="4">
        <v>6</v>
      </c>
      <c r="H338" s="4" t="s">
        <v>12</v>
      </c>
      <c r="I338" s="4" t="s">
        <v>69</v>
      </c>
      <c r="J338" s="4" t="s">
        <v>73</v>
      </c>
      <c r="K338" s="4">
        <v>1</v>
      </c>
      <c r="L338" s="94">
        <v>-7802</v>
      </c>
      <c r="M338" s="94">
        <v>0</v>
      </c>
    </row>
    <row r="339" spans="3:13" x14ac:dyDescent="0.3">
      <c r="C339" t="s">
        <v>61</v>
      </c>
      <c r="D339" t="s">
        <v>67</v>
      </c>
      <c r="E339" t="s">
        <v>68</v>
      </c>
      <c r="F339" t="s">
        <v>25</v>
      </c>
      <c r="G339" s="4">
        <v>16</v>
      </c>
      <c r="H339" s="4" t="s">
        <v>76</v>
      </c>
      <c r="I339" s="4" t="s">
        <v>69</v>
      </c>
      <c r="J339" s="4" t="s">
        <v>66</v>
      </c>
      <c r="K339" s="4">
        <v>0</v>
      </c>
      <c r="L339" s="94">
        <v>11826865</v>
      </c>
      <c r="M339" s="94">
        <v>189229840</v>
      </c>
    </row>
    <row r="340" spans="3:13" x14ac:dyDescent="0.3">
      <c r="C340" t="s">
        <v>61</v>
      </c>
      <c r="D340" t="s">
        <v>67</v>
      </c>
      <c r="E340" t="s">
        <v>63</v>
      </c>
      <c r="F340" t="s">
        <v>72</v>
      </c>
      <c r="G340" s="4">
        <v>1</v>
      </c>
      <c r="H340" s="4" t="s">
        <v>14</v>
      </c>
      <c r="I340" s="4" t="s">
        <v>65</v>
      </c>
      <c r="J340" s="4" t="s">
        <v>73</v>
      </c>
      <c r="K340" s="4">
        <v>1</v>
      </c>
      <c r="L340" s="94">
        <v>-120</v>
      </c>
      <c r="M340" s="94">
        <v>0</v>
      </c>
    </row>
    <row r="341" spans="3:13" x14ac:dyDescent="0.3">
      <c r="C341" t="s">
        <v>70</v>
      </c>
      <c r="D341" t="s">
        <v>62</v>
      </c>
      <c r="E341" t="s">
        <v>63</v>
      </c>
      <c r="F341" t="s">
        <v>24</v>
      </c>
      <c r="G341" s="4">
        <v>40</v>
      </c>
      <c r="I341" s="4" t="s">
        <v>65</v>
      </c>
      <c r="J341" s="4" t="s">
        <v>66</v>
      </c>
      <c r="K341" s="4">
        <v>1</v>
      </c>
      <c r="L341" s="94">
        <v>-8383</v>
      </c>
      <c r="M341" s="94">
        <v>0</v>
      </c>
    </row>
    <row r="342" spans="3:13" x14ac:dyDescent="0.3">
      <c r="C342" t="s">
        <v>61</v>
      </c>
      <c r="D342" t="s">
        <v>62</v>
      </c>
      <c r="E342" t="s">
        <v>68</v>
      </c>
      <c r="F342" t="s">
        <v>24</v>
      </c>
      <c r="G342" s="4">
        <v>15</v>
      </c>
      <c r="I342" s="4" t="s">
        <v>65</v>
      </c>
      <c r="J342" s="4" t="s">
        <v>66</v>
      </c>
      <c r="K342" s="4">
        <v>1</v>
      </c>
      <c r="L342" s="94">
        <v>3960755</v>
      </c>
      <c r="M342" s="94">
        <v>59411325</v>
      </c>
    </row>
    <row r="343" spans="3:13" x14ac:dyDescent="0.3">
      <c r="C343" t="s">
        <v>71</v>
      </c>
      <c r="D343" t="s">
        <v>67</v>
      </c>
      <c r="E343" t="s">
        <v>63</v>
      </c>
      <c r="F343" t="s">
        <v>26</v>
      </c>
      <c r="G343" s="4">
        <v>1</v>
      </c>
      <c r="H343" s="4" t="s">
        <v>74</v>
      </c>
      <c r="I343" s="4" t="s">
        <v>69</v>
      </c>
      <c r="J343" s="4" t="s">
        <v>66</v>
      </c>
      <c r="K343" s="4">
        <v>0</v>
      </c>
      <c r="L343" s="94">
        <v>-2215794</v>
      </c>
      <c r="M343" s="94">
        <v>0</v>
      </c>
    </row>
    <row r="344" spans="3:13" x14ac:dyDescent="0.3">
      <c r="C344" t="s">
        <v>70</v>
      </c>
      <c r="D344" t="s">
        <v>67</v>
      </c>
      <c r="E344" t="s">
        <v>63</v>
      </c>
      <c r="F344" t="s">
        <v>72</v>
      </c>
      <c r="G344" s="4">
        <v>4</v>
      </c>
      <c r="H344" s="4" t="s">
        <v>13</v>
      </c>
      <c r="I344" s="4" t="s">
        <v>69</v>
      </c>
      <c r="J344" s="4" t="s">
        <v>73</v>
      </c>
      <c r="K344" s="4">
        <v>1</v>
      </c>
      <c r="L344" s="94">
        <v>-3632</v>
      </c>
      <c r="M344" s="94">
        <v>0</v>
      </c>
    </row>
    <row r="345" spans="3:13" x14ac:dyDescent="0.3">
      <c r="C345" t="s">
        <v>61</v>
      </c>
      <c r="D345" t="s">
        <v>67</v>
      </c>
      <c r="E345" t="s">
        <v>63</v>
      </c>
      <c r="F345" t="s">
        <v>26</v>
      </c>
      <c r="G345" s="4">
        <v>6</v>
      </c>
      <c r="H345" s="4" t="s">
        <v>14</v>
      </c>
      <c r="I345" s="4" t="s">
        <v>69</v>
      </c>
      <c r="J345" s="4" t="s">
        <v>73</v>
      </c>
      <c r="K345" s="4">
        <v>1</v>
      </c>
      <c r="L345" s="94">
        <v>-68586</v>
      </c>
      <c r="M345" s="94">
        <v>0</v>
      </c>
    </row>
    <row r="346" spans="3:13" x14ac:dyDescent="0.3">
      <c r="C346" t="s">
        <v>61</v>
      </c>
      <c r="D346" t="s">
        <v>67</v>
      </c>
      <c r="E346" t="s">
        <v>68</v>
      </c>
      <c r="F346" t="s">
        <v>25</v>
      </c>
      <c r="G346" s="4">
        <v>3</v>
      </c>
      <c r="H346" s="4" t="s">
        <v>77</v>
      </c>
      <c r="I346" s="4" t="s">
        <v>69</v>
      </c>
      <c r="J346" s="4" t="s">
        <v>66</v>
      </c>
      <c r="K346" s="4">
        <v>0</v>
      </c>
      <c r="L346" s="94">
        <v>138484</v>
      </c>
      <c r="M346" s="94">
        <v>415452</v>
      </c>
    </row>
    <row r="347" spans="3:13" x14ac:dyDescent="0.3">
      <c r="C347" t="s">
        <v>61</v>
      </c>
      <c r="D347" t="s">
        <v>67</v>
      </c>
      <c r="E347" t="s">
        <v>63</v>
      </c>
      <c r="F347" t="s">
        <v>25</v>
      </c>
      <c r="G347" s="4">
        <v>11</v>
      </c>
      <c r="H347" s="4" t="s">
        <v>18</v>
      </c>
      <c r="I347" s="4" t="s">
        <v>69</v>
      </c>
      <c r="J347" s="4" t="s">
        <v>66</v>
      </c>
      <c r="K347" s="4">
        <v>0</v>
      </c>
      <c r="L347" s="94">
        <v>-11116</v>
      </c>
      <c r="M347" s="94">
        <v>0</v>
      </c>
    </row>
    <row r="348" spans="3:13" x14ac:dyDescent="0.3">
      <c r="C348" t="s">
        <v>61</v>
      </c>
      <c r="D348" t="s">
        <v>67</v>
      </c>
      <c r="E348" t="s">
        <v>68</v>
      </c>
      <c r="F348" t="s">
        <v>26</v>
      </c>
      <c r="G348" s="4">
        <v>-1</v>
      </c>
      <c r="H348" s="4" t="s">
        <v>74</v>
      </c>
      <c r="I348" s="4" t="s">
        <v>69</v>
      </c>
      <c r="J348" s="4" t="s">
        <v>66</v>
      </c>
      <c r="K348" s="4">
        <v>0</v>
      </c>
      <c r="L348" s="94">
        <v>77130736</v>
      </c>
      <c r="M348" s="94">
        <v>0</v>
      </c>
    </row>
    <row r="349" spans="3:13" x14ac:dyDescent="0.3">
      <c r="C349" t="s">
        <v>61</v>
      </c>
      <c r="D349" t="s">
        <v>62</v>
      </c>
      <c r="E349" t="s">
        <v>63</v>
      </c>
      <c r="F349" t="s">
        <v>24</v>
      </c>
      <c r="G349" s="4">
        <v>21</v>
      </c>
      <c r="I349" s="4" t="s">
        <v>69</v>
      </c>
      <c r="J349" s="4" t="s">
        <v>66</v>
      </c>
      <c r="K349" s="4">
        <v>0</v>
      </c>
      <c r="L349" s="94">
        <v>-370739</v>
      </c>
      <c r="M349" s="94">
        <v>0</v>
      </c>
    </row>
    <row r="350" spans="3:13" x14ac:dyDescent="0.3">
      <c r="C350" t="s">
        <v>71</v>
      </c>
      <c r="D350" t="s">
        <v>67</v>
      </c>
      <c r="E350" t="s">
        <v>63</v>
      </c>
      <c r="F350" t="s">
        <v>72</v>
      </c>
      <c r="G350" s="4">
        <v>-4</v>
      </c>
      <c r="H350" s="4" t="s">
        <v>77</v>
      </c>
      <c r="I350" s="4" t="s">
        <v>69</v>
      </c>
      <c r="J350" s="4" t="s">
        <v>66</v>
      </c>
      <c r="K350" s="4">
        <v>0</v>
      </c>
      <c r="L350" s="94">
        <v>-29846</v>
      </c>
      <c r="M350" s="94">
        <v>0</v>
      </c>
    </row>
    <row r="351" spans="3:13" x14ac:dyDescent="0.3">
      <c r="C351" t="s">
        <v>71</v>
      </c>
      <c r="D351" t="s">
        <v>62</v>
      </c>
      <c r="E351" t="s">
        <v>63</v>
      </c>
      <c r="F351" t="s">
        <v>24</v>
      </c>
      <c r="G351" s="4">
        <v>15</v>
      </c>
      <c r="I351" s="4" t="s">
        <v>69</v>
      </c>
      <c r="J351" s="4" t="s">
        <v>66</v>
      </c>
      <c r="K351" s="4">
        <v>1</v>
      </c>
      <c r="L351" s="94">
        <v>-47418</v>
      </c>
      <c r="M351" s="94">
        <v>0</v>
      </c>
    </row>
    <row r="352" spans="3:13" x14ac:dyDescent="0.3">
      <c r="C352" t="s">
        <v>61</v>
      </c>
      <c r="D352" t="s">
        <v>67</v>
      </c>
      <c r="E352" t="s">
        <v>68</v>
      </c>
      <c r="F352" t="s">
        <v>26</v>
      </c>
      <c r="G352" s="4">
        <v>5</v>
      </c>
      <c r="H352" s="4" t="s">
        <v>12</v>
      </c>
      <c r="I352" s="4" t="s">
        <v>69</v>
      </c>
      <c r="J352" s="4" t="s">
        <v>66</v>
      </c>
      <c r="K352" s="4">
        <v>0</v>
      </c>
      <c r="L352" s="94">
        <v>718269</v>
      </c>
      <c r="M352" s="94">
        <v>3591345</v>
      </c>
    </row>
    <row r="353" spans="3:13" x14ac:dyDescent="0.3">
      <c r="C353" t="s">
        <v>71</v>
      </c>
      <c r="D353" t="s">
        <v>62</v>
      </c>
      <c r="E353" t="s">
        <v>68</v>
      </c>
      <c r="F353" t="s">
        <v>24</v>
      </c>
      <c r="G353" s="4">
        <v>20</v>
      </c>
      <c r="I353" s="4" t="s">
        <v>65</v>
      </c>
      <c r="J353" s="4" t="s">
        <v>66</v>
      </c>
      <c r="K353" s="4">
        <v>1</v>
      </c>
      <c r="L353" s="94">
        <v>57680</v>
      </c>
      <c r="M353" s="94">
        <v>1153600</v>
      </c>
    </row>
    <row r="354" spans="3:13" x14ac:dyDescent="0.3">
      <c r="C354" t="s">
        <v>70</v>
      </c>
      <c r="D354" t="s">
        <v>67</v>
      </c>
      <c r="E354" t="s">
        <v>68</v>
      </c>
      <c r="F354" t="s">
        <v>25</v>
      </c>
      <c r="G354" s="4">
        <v>4</v>
      </c>
      <c r="H354" s="4" t="s">
        <v>76</v>
      </c>
      <c r="I354" s="4" t="s">
        <v>69</v>
      </c>
      <c r="J354" s="4" t="s">
        <v>66</v>
      </c>
      <c r="K354" s="4">
        <v>0</v>
      </c>
      <c r="L354" s="94">
        <v>1459115</v>
      </c>
      <c r="M354" s="94">
        <v>5836460</v>
      </c>
    </row>
    <row r="355" spans="3:13" x14ac:dyDescent="0.3">
      <c r="C355" t="s">
        <v>71</v>
      </c>
      <c r="D355" t="s">
        <v>67</v>
      </c>
      <c r="E355" t="s">
        <v>68</v>
      </c>
      <c r="F355" t="s">
        <v>26</v>
      </c>
      <c r="G355" s="4">
        <v>4</v>
      </c>
      <c r="H355" s="4" t="s">
        <v>82</v>
      </c>
      <c r="I355" s="4" t="s">
        <v>69</v>
      </c>
      <c r="J355" s="4" t="s">
        <v>66</v>
      </c>
      <c r="K355" s="4">
        <v>0</v>
      </c>
      <c r="L355" s="94">
        <v>353830</v>
      </c>
      <c r="M355" s="94">
        <v>1415320</v>
      </c>
    </row>
    <row r="356" spans="3:13" x14ac:dyDescent="0.3">
      <c r="C356" t="s">
        <v>70</v>
      </c>
      <c r="D356" t="s">
        <v>67</v>
      </c>
      <c r="E356" t="s">
        <v>68</v>
      </c>
      <c r="F356" t="s">
        <v>72</v>
      </c>
      <c r="G356" s="4">
        <v>2</v>
      </c>
      <c r="H356" s="4" t="s">
        <v>14</v>
      </c>
      <c r="I356" s="4" t="s">
        <v>69</v>
      </c>
      <c r="J356" s="4" t="s">
        <v>66</v>
      </c>
      <c r="K356" s="4">
        <v>0</v>
      </c>
      <c r="L356" s="94">
        <v>890145</v>
      </c>
      <c r="M356" s="94">
        <v>1780290</v>
      </c>
    </row>
    <row r="357" spans="3:13" x14ac:dyDescent="0.3">
      <c r="C357" t="s">
        <v>70</v>
      </c>
      <c r="D357" t="s">
        <v>62</v>
      </c>
      <c r="E357" t="s">
        <v>68</v>
      </c>
      <c r="F357" t="s">
        <v>24</v>
      </c>
      <c r="G357" s="4">
        <v>-1</v>
      </c>
      <c r="I357" s="4" t="s">
        <v>69</v>
      </c>
      <c r="J357" s="4" t="s">
        <v>66</v>
      </c>
      <c r="K357" s="4">
        <v>0</v>
      </c>
      <c r="L357" s="94">
        <v>63615</v>
      </c>
      <c r="M357" s="94">
        <v>0</v>
      </c>
    </row>
    <row r="358" spans="3:13" x14ac:dyDescent="0.3">
      <c r="C358" t="s">
        <v>61</v>
      </c>
      <c r="D358" t="s">
        <v>67</v>
      </c>
      <c r="E358" t="s">
        <v>68</v>
      </c>
      <c r="F358" t="s">
        <v>72</v>
      </c>
      <c r="G358" s="4">
        <v>6</v>
      </c>
      <c r="H358" s="4" t="s">
        <v>17</v>
      </c>
      <c r="I358" s="4" t="s">
        <v>69</v>
      </c>
      <c r="J358" s="4" t="s">
        <v>66</v>
      </c>
      <c r="K358" s="4">
        <v>0</v>
      </c>
      <c r="L358" s="94">
        <v>772199</v>
      </c>
      <c r="M358" s="94">
        <v>4633194</v>
      </c>
    </row>
    <row r="359" spans="3:13" x14ac:dyDescent="0.3">
      <c r="C359" t="s">
        <v>70</v>
      </c>
      <c r="D359" t="s">
        <v>62</v>
      </c>
      <c r="E359" t="s">
        <v>68</v>
      </c>
      <c r="F359" t="s">
        <v>24</v>
      </c>
      <c r="G359" s="4">
        <v>15</v>
      </c>
      <c r="I359" s="4" t="s">
        <v>69</v>
      </c>
      <c r="J359" s="4" t="s">
        <v>66</v>
      </c>
      <c r="K359" s="4">
        <v>0</v>
      </c>
      <c r="L359" s="94">
        <v>22246585</v>
      </c>
      <c r="M359" s="94">
        <v>333698775</v>
      </c>
    </row>
    <row r="360" spans="3:13" x14ac:dyDescent="0.3">
      <c r="C360" t="s">
        <v>71</v>
      </c>
      <c r="D360" t="s">
        <v>67</v>
      </c>
      <c r="E360" t="s">
        <v>63</v>
      </c>
      <c r="F360" t="s">
        <v>26</v>
      </c>
      <c r="G360" s="4">
        <v>5</v>
      </c>
      <c r="H360" s="4" t="s">
        <v>18</v>
      </c>
      <c r="I360" s="4" t="s">
        <v>69</v>
      </c>
      <c r="J360" s="4" t="s">
        <v>73</v>
      </c>
      <c r="K360" s="4">
        <v>1</v>
      </c>
      <c r="L360" s="94">
        <v>-18663</v>
      </c>
      <c r="M360" s="94">
        <v>0</v>
      </c>
    </row>
    <row r="361" spans="3:13" x14ac:dyDescent="0.3">
      <c r="C361" t="s">
        <v>61</v>
      </c>
      <c r="D361" t="s">
        <v>67</v>
      </c>
      <c r="E361" t="s">
        <v>63</v>
      </c>
      <c r="F361" t="s">
        <v>26</v>
      </c>
      <c r="G361" s="4">
        <v>-1</v>
      </c>
      <c r="H361" s="4" t="s">
        <v>16</v>
      </c>
      <c r="I361" s="4" t="s">
        <v>69</v>
      </c>
      <c r="J361" s="4" t="s">
        <v>66</v>
      </c>
      <c r="K361" s="4">
        <v>0</v>
      </c>
      <c r="L361" s="94">
        <v>-36947</v>
      </c>
      <c r="M361" s="94">
        <v>0</v>
      </c>
    </row>
    <row r="362" spans="3:13" x14ac:dyDescent="0.3">
      <c r="C362" t="s">
        <v>61</v>
      </c>
      <c r="D362" t="s">
        <v>67</v>
      </c>
      <c r="E362" t="s">
        <v>68</v>
      </c>
      <c r="F362" t="s">
        <v>25</v>
      </c>
      <c r="G362" s="4">
        <v>8</v>
      </c>
      <c r="H362" s="4" t="s">
        <v>80</v>
      </c>
      <c r="I362" s="4" t="s">
        <v>69</v>
      </c>
      <c r="J362" s="4" t="s">
        <v>66</v>
      </c>
      <c r="K362" s="4">
        <v>0</v>
      </c>
      <c r="L362" s="94">
        <v>666753</v>
      </c>
      <c r="M362" s="94">
        <v>5334024</v>
      </c>
    </row>
    <row r="363" spans="3:13" x14ac:dyDescent="0.3">
      <c r="C363" t="s">
        <v>61</v>
      </c>
      <c r="D363" t="s">
        <v>67</v>
      </c>
      <c r="E363" t="s">
        <v>68</v>
      </c>
      <c r="F363" t="s">
        <v>26</v>
      </c>
      <c r="G363" s="4">
        <v>14</v>
      </c>
      <c r="H363" s="4" t="s">
        <v>75</v>
      </c>
      <c r="I363" s="4" t="s">
        <v>69</v>
      </c>
      <c r="J363" s="4" t="s">
        <v>66</v>
      </c>
      <c r="K363" s="4">
        <v>0</v>
      </c>
      <c r="L363" s="94">
        <v>130326</v>
      </c>
      <c r="M363" s="94">
        <v>1824564</v>
      </c>
    </row>
    <row r="364" spans="3:13" x14ac:dyDescent="0.3">
      <c r="C364" t="s">
        <v>71</v>
      </c>
      <c r="D364" t="s">
        <v>67</v>
      </c>
      <c r="E364" t="s">
        <v>68</v>
      </c>
      <c r="F364" t="s">
        <v>26</v>
      </c>
      <c r="G364" s="4">
        <v>-1</v>
      </c>
      <c r="H364" s="4" t="s">
        <v>18</v>
      </c>
      <c r="I364" s="4" t="s">
        <v>69</v>
      </c>
      <c r="J364" s="4" t="s">
        <v>66</v>
      </c>
      <c r="K364" s="4">
        <v>0</v>
      </c>
      <c r="L364" s="94">
        <v>10568204</v>
      </c>
      <c r="M364" s="94">
        <v>0</v>
      </c>
    </row>
    <row r="365" spans="3:13" x14ac:dyDescent="0.3">
      <c r="C365" t="s">
        <v>70</v>
      </c>
      <c r="D365" t="s">
        <v>67</v>
      </c>
      <c r="E365" t="s">
        <v>68</v>
      </c>
      <c r="F365" t="s">
        <v>26</v>
      </c>
      <c r="G365" s="4">
        <v>3</v>
      </c>
      <c r="H365" s="4" t="s">
        <v>13</v>
      </c>
      <c r="I365" s="4" t="s">
        <v>69</v>
      </c>
      <c r="J365" s="4" t="s">
        <v>73</v>
      </c>
      <c r="K365" s="4">
        <v>1</v>
      </c>
      <c r="L365" s="94">
        <v>138364</v>
      </c>
      <c r="M365" s="94">
        <v>415092</v>
      </c>
    </row>
    <row r="366" spans="3:13" x14ac:dyDescent="0.3">
      <c r="C366" t="s">
        <v>61</v>
      </c>
      <c r="D366" t="s">
        <v>67</v>
      </c>
      <c r="E366" t="s">
        <v>68</v>
      </c>
      <c r="F366" t="s">
        <v>26</v>
      </c>
      <c r="G366" s="4">
        <v>-1</v>
      </c>
      <c r="H366" s="4" t="s">
        <v>86</v>
      </c>
      <c r="I366" s="4" t="s">
        <v>69</v>
      </c>
      <c r="J366" s="4" t="s">
        <v>66</v>
      </c>
      <c r="K366" s="4">
        <v>0</v>
      </c>
      <c r="L366" s="94">
        <v>209</v>
      </c>
      <c r="M366" s="94">
        <v>0</v>
      </c>
    </row>
    <row r="367" spans="3:13" x14ac:dyDescent="0.3">
      <c r="C367" t="s">
        <v>70</v>
      </c>
      <c r="D367" t="s">
        <v>67</v>
      </c>
      <c r="E367" t="s">
        <v>63</v>
      </c>
      <c r="F367" t="s">
        <v>25</v>
      </c>
      <c r="G367" s="4">
        <v>2</v>
      </c>
      <c r="H367" s="4" t="s">
        <v>14</v>
      </c>
      <c r="I367" s="4" t="s">
        <v>69</v>
      </c>
      <c r="J367" s="4" t="s">
        <v>66</v>
      </c>
      <c r="K367" s="4">
        <v>1</v>
      </c>
      <c r="L367" s="94">
        <v>-3759</v>
      </c>
      <c r="M367" s="94">
        <v>0</v>
      </c>
    </row>
    <row r="368" spans="3:13" x14ac:dyDescent="0.3">
      <c r="C368" t="s">
        <v>61</v>
      </c>
      <c r="D368" t="s">
        <v>67</v>
      </c>
      <c r="E368" t="s">
        <v>63</v>
      </c>
      <c r="F368" t="s">
        <v>25</v>
      </c>
      <c r="G368" s="4">
        <v>11</v>
      </c>
      <c r="H368" s="4" t="s">
        <v>16</v>
      </c>
      <c r="I368" s="4" t="s">
        <v>69</v>
      </c>
      <c r="J368" s="4" t="s">
        <v>66</v>
      </c>
      <c r="K368" s="4">
        <v>0</v>
      </c>
      <c r="L368" s="94">
        <v>-384</v>
      </c>
      <c r="M368" s="94">
        <v>0</v>
      </c>
    </row>
    <row r="369" spans="3:13" x14ac:dyDescent="0.3">
      <c r="C369" t="s">
        <v>71</v>
      </c>
      <c r="D369" t="s">
        <v>67</v>
      </c>
      <c r="E369" t="s">
        <v>63</v>
      </c>
      <c r="F369" t="s">
        <v>26</v>
      </c>
      <c r="G369" s="4">
        <v>4</v>
      </c>
      <c r="H369" s="4" t="s">
        <v>75</v>
      </c>
      <c r="I369" s="4" t="s">
        <v>69</v>
      </c>
      <c r="J369" s="4" t="s">
        <v>66</v>
      </c>
      <c r="K369" s="4">
        <v>0</v>
      </c>
      <c r="L369" s="94">
        <v>-756678</v>
      </c>
      <c r="M369" s="94">
        <v>0</v>
      </c>
    </row>
    <row r="370" spans="3:13" x14ac:dyDescent="0.3">
      <c r="C370" t="s">
        <v>71</v>
      </c>
      <c r="D370" t="s">
        <v>62</v>
      </c>
      <c r="E370" t="s">
        <v>68</v>
      </c>
      <c r="F370" t="s">
        <v>24</v>
      </c>
      <c r="G370" s="4">
        <v>26</v>
      </c>
      <c r="I370" s="4" t="s">
        <v>65</v>
      </c>
      <c r="J370" s="4" t="s">
        <v>66</v>
      </c>
      <c r="K370" s="4">
        <v>1</v>
      </c>
      <c r="L370" s="94">
        <v>140732</v>
      </c>
      <c r="M370" s="94">
        <v>3659032</v>
      </c>
    </row>
    <row r="371" spans="3:13" x14ac:dyDescent="0.3">
      <c r="C371" t="s">
        <v>71</v>
      </c>
      <c r="D371" t="s">
        <v>67</v>
      </c>
      <c r="E371" t="s">
        <v>63</v>
      </c>
      <c r="F371" t="s">
        <v>72</v>
      </c>
      <c r="G371" s="4">
        <v>-4</v>
      </c>
      <c r="H371" s="4" t="s">
        <v>82</v>
      </c>
      <c r="I371" s="4" t="s">
        <v>69</v>
      </c>
      <c r="J371" s="4" t="s">
        <v>66</v>
      </c>
      <c r="K371" s="4">
        <v>0</v>
      </c>
      <c r="L371" s="94">
        <v>-1096396</v>
      </c>
      <c r="M371" s="94">
        <v>0</v>
      </c>
    </row>
    <row r="372" spans="3:13" x14ac:dyDescent="0.3">
      <c r="C372" t="s">
        <v>70</v>
      </c>
      <c r="D372" t="s">
        <v>67</v>
      </c>
      <c r="E372" t="s">
        <v>68</v>
      </c>
      <c r="F372" t="s">
        <v>72</v>
      </c>
      <c r="G372" s="4">
        <v>-1</v>
      </c>
      <c r="H372" s="4" t="s">
        <v>79</v>
      </c>
      <c r="I372" s="4" t="s">
        <v>69</v>
      </c>
      <c r="J372" s="4" t="s">
        <v>66</v>
      </c>
      <c r="K372" s="4">
        <v>0</v>
      </c>
      <c r="L372" s="94">
        <v>15016</v>
      </c>
      <c r="M372" s="94">
        <v>0</v>
      </c>
    </row>
    <row r="373" spans="3:13" x14ac:dyDescent="0.3">
      <c r="C373" t="s">
        <v>61</v>
      </c>
      <c r="D373" t="s">
        <v>67</v>
      </c>
      <c r="E373" t="s">
        <v>63</v>
      </c>
      <c r="F373" t="s">
        <v>26</v>
      </c>
      <c r="G373" s="4">
        <v>0</v>
      </c>
      <c r="H373" s="4" t="s">
        <v>17</v>
      </c>
      <c r="I373" s="4" t="s">
        <v>69</v>
      </c>
      <c r="J373" s="4" t="s">
        <v>66</v>
      </c>
      <c r="K373" s="4">
        <v>0</v>
      </c>
      <c r="L373" s="94">
        <v>-450665</v>
      </c>
      <c r="M373" s="94">
        <v>0</v>
      </c>
    </row>
    <row r="374" spans="3:13" x14ac:dyDescent="0.3">
      <c r="C374" t="s">
        <v>71</v>
      </c>
      <c r="D374" t="s">
        <v>62</v>
      </c>
      <c r="E374" t="s">
        <v>63</v>
      </c>
      <c r="F374" t="s">
        <v>24</v>
      </c>
      <c r="G374" s="4">
        <v>11</v>
      </c>
      <c r="I374" s="4" t="s">
        <v>69</v>
      </c>
      <c r="J374" s="4" t="s">
        <v>66</v>
      </c>
      <c r="K374" s="4">
        <v>1</v>
      </c>
      <c r="L374" s="94">
        <v>-7554</v>
      </c>
      <c r="M374" s="94">
        <v>0</v>
      </c>
    </row>
    <row r="375" spans="3:13" x14ac:dyDescent="0.3">
      <c r="C375" t="s">
        <v>70</v>
      </c>
      <c r="D375" t="s">
        <v>67</v>
      </c>
      <c r="E375" t="s">
        <v>63</v>
      </c>
      <c r="F375" t="s">
        <v>26</v>
      </c>
      <c r="G375" s="4">
        <v>5</v>
      </c>
      <c r="H375" s="4" t="s">
        <v>17</v>
      </c>
      <c r="I375" s="4" t="s">
        <v>65</v>
      </c>
      <c r="J375" s="4" t="s">
        <v>73</v>
      </c>
      <c r="K375" s="4">
        <v>1</v>
      </c>
      <c r="L375" s="94">
        <v>-16367</v>
      </c>
      <c r="M375" s="94">
        <v>0</v>
      </c>
    </row>
    <row r="376" spans="3:13" x14ac:dyDescent="0.3">
      <c r="C376" t="s">
        <v>70</v>
      </c>
      <c r="D376" t="s">
        <v>67</v>
      </c>
      <c r="E376" t="s">
        <v>68</v>
      </c>
      <c r="F376" t="s">
        <v>25</v>
      </c>
      <c r="G376" s="4">
        <v>0</v>
      </c>
      <c r="H376" s="4" t="s">
        <v>17</v>
      </c>
      <c r="I376" s="4" t="s">
        <v>69</v>
      </c>
      <c r="J376" s="4" t="s">
        <v>66</v>
      </c>
      <c r="K376" s="4">
        <v>0</v>
      </c>
      <c r="L376" s="94">
        <v>4520781</v>
      </c>
      <c r="M376" s="94">
        <v>0</v>
      </c>
    </row>
    <row r="377" spans="3:13" x14ac:dyDescent="0.3">
      <c r="C377" t="s">
        <v>61</v>
      </c>
      <c r="D377" t="s">
        <v>67</v>
      </c>
      <c r="E377" t="s">
        <v>68</v>
      </c>
      <c r="F377" t="s">
        <v>25</v>
      </c>
      <c r="G377" s="4">
        <v>3</v>
      </c>
      <c r="H377" s="4" t="s">
        <v>82</v>
      </c>
      <c r="I377" s="4" t="s">
        <v>69</v>
      </c>
      <c r="J377" s="4" t="s">
        <v>66</v>
      </c>
      <c r="K377" s="4">
        <v>0</v>
      </c>
      <c r="L377" s="94">
        <v>573860</v>
      </c>
      <c r="M377" s="94">
        <v>1721580</v>
      </c>
    </row>
    <row r="378" spans="3:13" x14ac:dyDescent="0.3">
      <c r="C378" t="s">
        <v>71</v>
      </c>
      <c r="D378" t="s">
        <v>67</v>
      </c>
      <c r="E378" t="s">
        <v>68</v>
      </c>
      <c r="F378" t="s">
        <v>26</v>
      </c>
      <c r="G378" s="4">
        <v>5</v>
      </c>
      <c r="H378" s="4" t="s">
        <v>76</v>
      </c>
      <c r="I378" s="4" t="s">
        <v>69</v>
      </c>
      <c r="J378" s="4" t="s">
        <v>66</v>
      </c>
      <c r="K378" s="4">
        <v>0</v>
      </c>
      <c r="L378" s="94">
        <v>194436</v>
      </c>
      <c r="M378" s="94">
        <v>972180</v>
      </c>
    </row>
    <row r="379" spans="3:13" x14ac:dyDescent="0.3">
      <c r="C379" t="s">
        <v>70</v>
      </c>
      <c r="D379" t="s">
        <v>62</v>
      </c>
      <c r="E379" t="s">
        <v>68</v>
      </c>
      <c r="F379" t="s">
        <v>24</v>
      </c>
      <c r="G379" s="4">
        <v>8</v>
      </c>
      <c r="I379" s="4" t="s">
        <v>69</v>
      </c>
      <c r="J379" s="4" t="s">
        <v>66</v>
      </c>
      <c r="K379" s="4">
        <v>0</v>
      </c>
      <c r="L379" s="94">
        <v>19849709</v>
      </c>
      <c r="M379" s="94">
        <v>158797672</v>
      </c>
    </row>
    <row r="380" spans="3:13" x14ac:dyDescent="0.3">
      <c r="C380" t="s">
        <v>61</v>
      </c>
      <c r="D380" t="s">
        <v>67</v>
      </c>
      <c r="E380" t="s">
        <v>63</v>
      </c>
      <c r="F380" t="s">
        <v>26</v>
      </c>
      <c r="G380" s="4">
        <v>15</v>
      </c>
      <c r="H380" s="4" t="s">
        <v>74</v>
      </c>
      <c r="I380" s="4" t="s">
        <v>69</v>
      </c>
      <c r="J380" s="4" t="s">
        <v>66</v>
      </c>
      <c r="K380" s="4">
        <v>0</v>
      </c>
      <c r="L380" s="94">
        <v>-36688</v>
      </c>
      <c r="M380" s="94">
        <v>0</v>
      </c>
    </row>
    <row r="381" spans="3:13" x14ac:dyDescent="0.3">
      <c r="C381" t="s">
        <v>61</v>
      </c>
      <c r="D381" t="s">
        <v>67</v>
      </c>
      <c r="E381" t="s">
        <v>63</v>
      </c>
      <c r="F381" t="s">
        <v>26</v>
      </c>
      <c r="G381" s="4">
        <v>-1</v>
      </c>
      <c r="H381" s="4" t="s">
        <v>18</v>
      </c>
      <c r="I381" s="4" t="s">
        <v>69</v>
      </c>
      <c r="J381" s="4" t="s">
        <v>66</v>
      </c>
      <c r="K381" s="4">
        <v>0</v>
      </c>
      <c r="L381" s="94">
        <v>-1195919</v>
      </c>
      <c r="M381" s="94">
        <v>0</v>
      </c>
    </row>
    <row r="382" spans="3:13" x14ac:dyDescent="0.3">
      <c r="C382" t="s">
        <v>71</v>
      </c>
      <c r="D382" t="s">
        <v>67</v>
      </c>
      <c r="E382" t="s">
        <v>68</v>
      </c>
      <c r="F382" t="s">
        <v>26</v>
      </c>
      <c r="G382" s="4">
        <v>12</v>
      </c>
      <c r="H382" s="4" t="s">
        <v>18</v>
      </c>
      <c r="I382" s="4" t="s">
        <v>69</v>
      </c>
      <c r="J382" s="4" t="s">
        <v>66</v>
      </c>
      <c r="K382" s="4">
        <v>0</v>
      </c>
      <c r="L382" s="94">
        <v>34379</v>
      </c>
      <c r="M382" s="94">
        <v>412548</v>
      </c>
    </row>
    <row r="383" spans="3:13" x14ac:dyDescent="0.3">
      <c r="C383" t="s">
        <v>70</v>
      </c>
      <c r="D383" t="s">
        <v>67</v>
      </c>
      <c r="E383" t="s">
        <v>68</v>
      </c>
      <c r="F383" t="s">
        <v>25</v>
      </c>
      <c r="G383" s="4">
        <v>-4</v>
      </c>
      <c r="H383" s="4" t="s">
        <v>77</v>
      </c>
      <c r="I383" s="4" t="s">
        <v>69</v>
      </c>
      <c r="J383" s="4" t="s">
        <v>66</v>
      </c>
      <c r="K383" s="4">
        <v>0</v>
      </c>
      <c r="L383" s="94">
        <v>2265</v>
      </c>
      <c r="M383" s="94">
        <v>0</v>
      </c>
    </row>
    <row r="384" spans="3:13" x14ac:dyDescent="0.3">
      <c r="C384" t="s">
        <v>61</v>
      </c>
      <c r="D384" t="s">
        <v>67</v>
      </c>
      <c r="E384" t="s">
        <v>63</v>
      </c>
      <c r="F384" t="s">
        <v>25</v>
      </c>
      <c r="G384" s="4">
        <v>1</v>
      </c>
      <c r="H384" s="4" t="s">
        <v>64</v>
      </c>
      <c r="I384" s="4" t="s">
        <v>69</v>
      </c>
      <c r="J384" s="4" t="s">
        <v>66</v>
      </c>
      <c r="K384" s="4">
        <v>0</v>
      </c>
      <c r="L384" s="94">
        <v>-231</v>
      </c>
      <c r="M384" s="94">
        <v>0</v>
      </c>
    </row>
    <row r="385" spans="3:13" x14ac:dyDescent="0.3">
      <c r="C385" t="s">
        <v>70</v>
      </c>
      <c r="D385" t="s">
        <v>67</v>
      </c>
      <c r="E385" t="s">
        <v>63</v>
      </c>
      <c r="F385" t="s">
        <v>25</v>
      </c>
      <c r="G385" s="4">
        <v>8</v>
      </c>
      <c r="H385" s="4" t="s">
        <v>82</v>
      </c>
      <c r="I385" s="4" t="s">
        <v>69</v>
      </c>
      <c r="J385" s="4" t="s">
        <v>66</v>
      </c>
      <c r="K385" s="4">
        <v>0</v>
      </c>
      <c r="L385" s="94">
        <v>-8732</v>
      </c>
      <c r="M385" s="94">
        <v>0</v>
      </c>
    </row>
    <row r="386" spans="3:13" x14ac:dyDescent="0.3">
      <c r="C386" t="s">
        <v>61</v>
      </c>
      <c r="D386" t="s">
        <v>67</v>
      </c>
      <c r="E386" t="s">
        <v>68</v>
      </c>
      <c r="F386" t="s">
        <v>26</v>
      </c>
      <c r="G386" s="4">
        <v>5</v>
      </c>
      <c r="H386" s="4" t="s">
        <v>14</v>
      </c>
      <c r="I386" s="4" t="s">
        <v>69</v>
      </c>
      <c r="J386" s="4" t="s">
        <v>66</v>
      </c>
      <c r="K386" s="4">
        <v>0</v>
      </c>
      <c r="L386" s="94">
        <v>13533428</v>
      </c>
      <c r="M386" s="94">
        <v>67667140</v>
      </c>
    </row>
    <row r="387" spans="3:13" x14ac:dyDescent="0.3">
      <c r="C387" t="s">
        <v>61</v>
      </c>
      <c r="D387" t="s">
        <v>67</v>
      </c>
      <c r="E387" t="s">
        <v>63</v>
      </c>
      <c r="F387" t="s">
        <v>72</v>
      </c>
      <c r="G387" s="4">
        <v>-1</v>
      </c>
      <c r="H387" s="4" t="s">
        <v>13</v>
      </c>
      <c r="I387" s="4" t="s">
        <v>69</v>
      </c>
      <c r="J387" s="4" t="s">
        <v>66</v>
      </c>
      <c r="K387" s="4">
        <v>0</v>
      </c>
      <c r="L387" s="94">
        <v>-7</v>
      </c>
      <c r="M387" s="94">
        <v>0</v>
      </c>
    </row>
    <row r="388" spans="3:13" x14ac:dyDescent="0.3">
      <c r="C388" t="s">
        <v>61</v>
      </c>
      <c r="D388" t="s">
        <v>67</v>
      </c>
      <c r="E388" t="s">
        <v>63</v>
      </c>
      <c r="F388" t="s">
        <v>25</v>
      </c>
      <c r="G388" s="4">
        <v>8</v>
      </c>
      <c r="H388" s="4" t="s">
        <v>76</v>
      </c>
      <c r="I388" s="4" t="s">
        <v>69</v>
      </c>
      <c r="J388" s="4" t="s">
        <v>66</v>
      </c>
      <c r="K388" s="4">
        <v>0</v>
      </c>
      <c r="L388" s="94">
        <v>-50412</v>
      </c>
      <c r="M388" s="94">
        <v>0</v>
      </c>
    </row>
    <row r="389" spans="3:13" x14ac:dyDescent="0.3">
      <c r="C389" t="s">
        <v>70</v>
      </c>
      <c r="D389" t="s">
        <v>67</v>
      </c>
      <c r="E389" t="s">
        <v>63</v>
      </c>
      <c r="F389" t="s">
        <v>72</v>
      </c>
      <c r="G389" s="4">
        <v>1</v>
      </c>
      <c r="H389" s="4" t="s">
        <v>12</v>
      </c>
      <c r="I389" s="4" t="s">
        <v>65</v>
      </c>
      <c r="J389" s="4" t="s">
        <v>73</v>
      </c>
      <c r="K389" s="4">
        <v>1</v>
      </c>
      <c r="L389" s="94">
        <v>-321</v>
      </c>
      <c r="M389" s="94">
        <v>0</v>
      </c>
    </row>
    <row r="390" spans="3:13" x14ac:dyDescent="0.3">
      <c r="C390" t="s">
        <v>61</v>
      </c>
      <c r="D390" t="s">
        <v>67</v>
      </c>
      <c r="E390" t="s">
        <v>63</v>
      </c>
      <c r="F390" t="s">
        <v>26</v>
      </c>
      <c r="G390" s="4">
        <v>7</v>
      </c>
      <c r="H390" s="4" t="s">
        <v>82</v>
      </c>
      <c r="I390" s="4" t="s">
        <v>69</v>
      </c>
      <c r="J390" s="4" t="s">
        <v>66</v>
      </c>
      <c r="K390" s="4">
        <v>0</v>
      </c>
      <c r="L390" s="94">
        <v>-131717</v>
      </c>
      <c r="M390" s="94">
        <v>0</v>
      </c>
    </row>
    <row r="391" spans="3:13" x14ac:dyDescent="0.3">
      <c r="C391" t="s">
        <v>71</v>
      </c>
      <c r="D391" t="s">
        <v>67</v>
      </c>
      <c r="E391" t="s">
        <v>63</v>
      </c>
      <c r="F391" t="s">
        <v>72</v>
      </c>
      <c r="G391" s="4">
        <v>2</v>
      </c>
      <c r="H391" s="4" t="s">
        <v>17</v>
      </c>
      <c r="I391" s="4" t="s">
        <v>69</v>
      </c>
      <c r="J391" s="4" t="s">
        <v>66</v>
      </c>
      <c r="K391" s="4">
        <v>0</v>
      </c>
      <c r="L391" s="94">
        <v>-107762</v>
      </c>
      <c r="M391" s="94">
        <v>0</v>
      </c>
    </row>
    <row r="392" spans="3:13" x14ac:dyDescent="0.3">
      <c r="C392" t="s">
        <v>70</v>
      </c>
      <c r="D392" t="s">
        <v>67</v>
      </c>
      <c r="E392" t="s">
        <v>68</v>
      </c>
      <c r="F392" t="s">
        <v>72</v>
      </c>
      <c r="G392" s="4">
        <v>2</v>
      </c>
      <c r="H392" s="4" t="s">
        <v>12</v>
      </c>
      <c r="I392" s="4" t="s">
        <v>69</v>
      </c>
      <c r="J392" s="4" t="s">
        <v>66</v>
      </c>
      <c r="K392" s="4">
        <v>0</v>
      </c>
      <c r="L392" s="94">
        <v>105090</v>
      </c>
      <c r="M392" s="94">
        <v>210180</v>
      </c>
    </row>
    <row r="393" spans="3:13" x14ac:dyDescent="0.3">
      <c r="C393" t="s">
        <v>71</v>
      </c>
      <c r="D393" t="s">
        <v>67</v>
      </c>
      <c r="E393" t="s">
        <v>68</v>
      </c>
      <c r="F393" t="s">
        <v>26</v>
      </c>
      <c r="G393" s="4">
        <v>4</v>
      </c>
      <c r="H393" s="4" t="s">
        <v>77</v>
      </c>
      <c r="I393" s="4" t="s">
        <v>69</v>
      </c>
      <c r="J393" s="4" t="s">
        <v>66</v>
      </c>
      <c r="K393" s="4">
        <v>0</v>
      </c>
      <c r="L393" s="94">
        <v>251840</v>
      </c>
      <c r="M393" s="94">
        <v>1007360</v>
      </c>
    </row>
    <row r="394" spans="3:13" x14ac:dyDescent="0.3">
      <c r="C394" t="s">
        <v>71</v>
      </c>
      <c r="D394" t="s">
        <v>67</v>
      </c>
      <c r="E394" t="s">
        <v>68</v>
      </c>
      <c r="F394" t="s">
        <v>26</v>
      </c>
      <c r="G394" s="4">
        <v>13</v>
      </c>
      <c r="H394" s="4" t="s">
        <v>14</v>
      </c>
      <c r="I394" s="4" t="s">
        <v>69</v>
      </c>
      <c r="J394" s="4" t="s">
        <v>66</v>
      </c>
      <c r="K394" s="4">
        <v>0</v>
      </c>
      <c r="L394" s="94">
        <v>183974</v>
      </c>
      <c r="M394" s="94">
        <v>2391662</v>
      </c>
    </row>
    <row r="395" spans="3:13" x14ac:dyDescent="0.3">
      <c r="C395" t="s">
        <v>61</v>
      </c>
      <c r="D395" t="s">
        <v>62</v>
      </c>
      <c r="E395" t="s">
        <v>68</v>
      </c>
      <c r="F395" t="s">
        <v>24</v>
      </c>
      <c r="G395" s="4">
        <v>14</v>
      </c>
      <c r="I395" s="4" t="s">
        <v>69</v>
      </c>
      <c r="J395" s="4" t="s">
        <v>66</v>
      </c>
      <c r="K395" s="4">
        <v>1</v>
      </c>
      <c r="L395" s="94">
        <v>1948348</v>
      </c>
      <c r="M395" s="94">
        <v>27276872</v>
      </c>
    </row>
    <row r="396" spans="3:13" x14ac:dyDescent="0.3">
      <c r="C396" t="s">
        <v>71</v>
      </c>
      <c r="D396" t="s">
        <v>67</v>
      </c>
      <c r="E396" t="s">
        <v>68</v>
      </c>
      <c r="F396" t="s">
        <v>72</v>
      </c>
      <c r="G396" s="4">
        <v>1</v>
      </c>
      <c r="H396" s="4" t="s">
        <v>76</v>
      </c>
      <c r="I396" s="4" t="s">
        <v>69</v>
      </c>
      <c r="J396" s="4" t="s">
        <v>66</v>
      </c>
      <c r="K396" s="4">
        <v>0</v>
      </c>
      <c r="L396" s="94">
        <v>58471</v>
      </c>
      <c r="M396" s="94">
        <v>58471</v>
      </c>
    </row>
    <row r="397" spans="3:13" x14ac:dyDescent="0.3">
      <c r="C397" t="s">
        <v>70</v>
      </c>
      <c r="D397" t="s">
        <v>67</v>
      </c>
      <c r="E397" t="s">
        <v>68</v>
      </c>
      <c r="F397" t="s">
        <v>72</v>
      </c>
      <c r="G397" s="4">
        <v>0</v>
      </c>
      <c r="H397" s="4" t="s">
        <v>12</v>
      </c>
      <c r="I397" s="4" t="s">
        <v>69</v>
      </c>
      <c r="J397" s="4" t="s">
        <v>73</v>
      </c>
      <c r="K397" s="4">
        <v>1</v>
      </c>
      <c r="L397" s="94">
        <v>53734</v>
      </c>
      <c r="M397" s="94">
        <v>0</v>
      </c>
    </row>
    <row r="398" spans="3:13" x14ac:dyDescent="0.3">
      <c r="C398" t="s">
        <v>61</v>
      </c>
      <c r="D398" t="s">
        <v>67</v>
      </c>
      <c r="E398" t="s">
        <v>68</v>
      </c>
      <c r="F398" t="s">
        <v>72</v>
      </c>
      <c r="G398" s="4">
        <v>-1</v>
      </c>
      <c r="H398" s="4" t="s">
        <v>17</v>
      </c>
      <c r="I398" s="4" t="s">
        <v>69</v>
      </c>
      <c r="J398" s="4" t="s">
        <v>73</v>
      </c>
      <c r="K398" s="4">
        <v>1</v>
      </c>
      <c r="L398" s="94">
        <v>501753</v>
      </c>
      <c r="M398" s="94">
        <v>0</v>
      </c>
    </row>
    <row r="399" spans="3:13" x14ac:dyDescent="0.3">
      <c r="C399" t="s">
        <v>61</v>
      </c>
      <c r="D399" t="s">
        <v>67</v>
      </c>
      <c r="E399" t="s">
        <v>68</v>
      </c>
      <c r="F399" t="s">
        <v>26</v>
      </c>
      <c r="G399" s="4">
        <v>3</v>
      </c>
      <c r="H399" s="4" t="s">
        <v>74</v>
      </c>
      <c r="I399" s="4" t="s">
        <v>69</v>
      </c>
      <c r="J399" s="4" t="s">
        <v>66</v>
      </c>
      <c r="K399" s="4">
        <v>0</v>
      </c>
      <c r="L399" s="94">
        <v>120497854</v>
      </c>
      <c r="M399" s="94">
        <v>361493562</v>
      </c>
    </row>
    <row r="400" spans="3:13" x14ac:dyDescent="0.3">
      <c r="C400" t="s">
        <v>71</v>
      </c>
      <c r="D400" t="s">
        <v>67</v>
      </c>
      <c r="E400" t="s">
        <v>63</v>
      </c>
      <c r="F400" t="s">
        <v>26</v>
      </c>
      <c r="G400" s="4">
        <v>-1</v>
      </c>
      <c r="H400" s="4" t="s">
        <v>16</v>
      </c>
      <c r="I400" s="4" t="s">
        <v>69</v>
      </c>
      <c r="J400" s="4" t="s">
        <v>66</v>
      </c>
      <c r="K400" s="4">
        <v>0</v>
      </c>
      <c r="L400" s="94">
        <v>-57871</v>
      </c>
      <c r="M400" s="94">
        <v>0</v>
      </c>
    </row>
    <row r="401" spans="3:13" x14ac:dyDescent="0.3">
      <c r="C401" t="s">
        <v>70</v>
      </c>
      <c r="D401" t="s">
        <v>67</v>
      </c>
      <c r="E401" t="s">
        <v>63</v>
      </c>
      <c r="F401" t="s">
        <v>26</v>
      </c>
      <c r="G401" s="4">
        <v>5</v>
      </c>
      <c r="H401" s="4" t="s">
        <v>80</v>
      </c>
      <c r="I401" s="4" t="s">
        <v>69</v>
      </c>
      <c r="J401" s="4" t="s">
        <v>66</v>
      </c>
      <c r="K401" s="4">
        <v>0</v>
      </c>
      <c r="L401" s="94">
        <v>-23333</v>
      </c>
      <c r="M401" s="94">
        <v>0</v>
      </c>
    </row>
    <row r="402" spans="3:13" x14ac:dyDescent="0.3">
      <c r="C402" t="s">
        <v>70</v>
      </c>
      <c r="D402" t="s">
        <v>67</v>
      </c>
      <c r="E402" t="s">
        <v>63</v>
      </c>
      <c r="F402" t="s">
        <v>72</v>
      </c>
      <c r="G402" s="4">
        <v>2</v>
      </c>
      <c r="H402" s="4" t="s">
        <v>17</v>
      </c>
      <c r="I402" s="4" t="s">
        <v>69</v>
      </c>
      <c r="J402" s="4" t="s">
        <v>73</v>
      </c>
      <c r="K402" s="4">
        <v>1</v>
      </c>
      <c r="L402" s="94">
        <v>-395</v>
      </c>
      <c r="M402" s="94">
        <v>0</v>
      </c>
    </row>
    <row r="403" spans="3:13" x14ac:dyDescent="0.3">
      <c r="C403" t="s">
        <v>70</v>
      </c>
      <c r="D403" t="s">
        <v>67</v>
      </c>
      <c r="E403" t="s">
        <v>63</v>
      </c>
      <c r="F403" t="s">
        <v>26</v>
      </c>
      <c r="G403" s="4">
        <v>8</v>
      </c>
      <c r="H403" s="4" t="s">
        <v>12</v>
      </c>
      <c r="I403" s="4" t="s">
        <v>69</v>
      </c>
      <c r="J403" s="4" t="s">
        <v>73</v>
      </c>
      <c r="K403" s="4">
        <v>1</v>
      </c>
      <c r="L403" s="94">
        <v>-7395</v>
      </c>
      <c r="M403" s="94">
        <v>0</v>
      </c>
    </row>
    <row r="404" spans="3:13" x14ac:dyDescent="0.3">
      <c r="C404" t="s">
        <v>70</v>
      </c>
      <c r="D404" t="s">
        <v>62</v>
      </c>
      <c r="E404" t="s">
        <v>68</v>
      </c>
      <c r="F404" t="s">
        <v>24</v>
      </c>
      <c r="G404" s="4">
        <v>5</v>
      </c>
      <c r="I404" s="4" t="s">
        <v>65</v>
      </c>
      <c r="J404" s="4" t="s">
        <v>66</v>
      </c>
      <c r="K404" s="4">
        <v>1</v>
      </c>
      <c r="L404" s="94">
        <v>126520</v>
      </c>
      <c r="M404" s="94">
        <v>632600</v>
      </c>
    </row>
    <row r="405" spans="3:13" x14ac:dyDescent="0.3">
      <c r="C405" t="s">
        <v>71</v>
      </c>
      <c r="D405" t="s">
        <v>62</v>
      </c>
      <c r="E405" t="s">
        <v>63</v>
      </c>
      <c r="F405" t="s">
        <v>24</v>
      </c>
      <c r="G405" s="4">
        <v>21</v>
      </c>
      <c r="I405" s="4" t="s">
        <v>69</v>
      </c>
      <c r="J405" s="4" t="s">
        <v>66</v>
      </c>
      <c r="K405" s="4">
        <v>0</v>
      </c>
      <c r="L405" s="94">
        <v>-2762160</v>
      </c>
      <c r="M405" s="94">
        <v>0</v>
      </c>
    </row>
    <row r="406" spans="3:13" x14ac:dyDescent="0.3">
      <c r="C406" t="s">
        <v>61</v>
      </c>
      <c r="D406" t="s">
        <v>67</v>
      </c>
      <c r="E406" t="s">
        <v>63</v>
      </c>
      <c r="F406" t="s">
        <v>72</v>
      </c>
      <c r="G406" s="4">
        <v>1</v>
      </c>
      <c r="H406" s="4" t="s">
        <v>12</v>
      </c>
      <c r="I406" s="4" t="s">
        <v>65</v>
      </c>
      <c r="J406" s="4" t="s">
        <v>73</v>
      </c>
      <c r="K406" s="4">
        <v>1</v>
      </c>
      <c r="L406" s="94">
        <v>-410</v>
      </c>
      <c r="M406" s="94">
        <v>0</v>
      </c>
    </row>
    <row r="407" spans="3:13" x14ac:dyDescent="0.3">
      <c r="C407" t="s">
        <v>71</v>
      </c>
      <c r="D407" t="s">
        <v>67</v>
      </c>
      <c r="E407" t="s">
        <v>68</v>
      </c>
      <c r="F407" t="s">
        <v>25</v>
      </c>
      <c r="G407" s="4">
        <v>-1</v>
      </c>
      <c r="H407" s="4" t="s">
        <v>75</v>
      </c>
      <c r="I407" s="4" t="s">
        <v>69</v>
      </c>
      <c r="J407" s="4" t="s">
        <v>66</v>
      </c>
      <c r="K407" s="4">
        <v>0</v>
      </c>
      <c r="L407" s="94">
        <v>2</v>
      </c>
      <c r="M407" s="94">
        <v>0</v>
      </c>
    </row>
    <row r="408" spans="3:13" x14ac:dyDescent="0.3">
      <c r="D408" t="s">
        <v>67</v>
      </c>
      <c r="E408" t="s">
        <v>68</v>
      </c>
      <c r="G408" s="4">
        <v>-3</v>
      </c>
      <c r="H408" s="4" t="s">
        <v>80</v>
      </c>
      <c r="I408" s="4" t="s">
        <v>69</v>
      </c>
      <c r="J408" s="4" t="s">
        <v>66</v>
      </c>
      <c r="K408" s="4">
        <v>0</v>
      </c>
      <c r="L408" s="94">
        <v>22684</v>
      </c>
      <c r="M408" s="94">
        <v>0</v>
      </c>
    </row>
    <row r="409" spans="3:13" x14ac:dyDescent="0.3">
      <c r="C409" t="s">
        <v>71</v>
      </c>
      <c r="D409" t="s">
        <v>67</v>
      </c>
      <c r="E409" t="s">
        <v>68</v>
      </c>
      <c r="F409" t="s">
        <v>26</v>
      </c>
      <c r="G409" s="4">
        <v>3</v>
      </c>
      <c r="H409" s="4" t="s">
        <v>18</v>
      </c>
      <c r="I409" s="4" t="s">
        <v>69</v>
      </c>
      <c r="J409" s="4" t="s">
        <v>66</v>
      </c>
      <c r="K409" s="4">
        <v>0</v>
      </c>
      <c r="L409" s="94">
        <v>4062801</v>
      </c>
      <c r="M409" s="94">
        <v>12188403</v>
      </c>
    </row>
    <row r="410" spans="3:13" x14ac:dyDescent="0.3">
      <c r="C410" t="s">
        <v>70</v>
      </c>
      <c r="D410" t="s">
        <v>67</v>
      </c>
      <c r="E410" t="s">
        <v>68</v>
      </c>
      <c r="F410" t="s">
        <v>26</v>
      </c>
      <c r="G410" s="4">
        <v>-1</v>
      </c>
      <c r="H410" s="4" t="s">
        <v>13</v>
      </c>
      <c r="I410" s="4" t="s">
        <v>69</v>
      </c>
      <c r="J410" s="4" t="s">
        <v>73</v>
      </c>
      <c r="K410" s="4">
        <v>1</v>
      </c>
      <c r="L410" s="94">
        <v>574222</v>
      </c>
      <c r="M410" s="94">
        <v>0</v>
      </c>
    </row>
    <row r="411" spans="3:13" x14ac:dyDescent="0.3">
      <c r="C411" t="s">
        <v>61</v>
      </c>
      <c r="D411" t="s">
        <v>67</v>
      </c>
      <c r="E411" t="s">
        <v>68</v>
      </c>
      <c r="F411" t="s">
        <v>25</v>
      </c>
      <c r="G411" s="4">
        <v>11</v>
      </c>
      <c r="H411" s="4" t="s">
        <v>17</v>
      </c>
      <c r="I411" s="4" t="s">
        <v>69</v>
      </c>
      <c r="J411" s="4" t="s">
        <v>66</v>
      </c>
      <c r="K411" s="4">
        <v>1</v>
      </c>
      <c r="L411" s="94">
        <v>247245</v>
      </c>
      <c r="M411" s="94">
        <v>2719695</v>
      </c>
    </row>
    <row r="412" spans="3:13" x14ac:dyDescent="0.3">
      <c r="C412" t="s">
        <v>71</v>
      </c>
      <c r="D412" t="s">
        <v>67</v>
      </c>
      <c r="E412" t="s">
        <v>63</v>
      </c>
      <c r="F412" t="s">
        <v>72</v>
      </c>
      <c r="G412" s="4">
        <v>7</v>
      </c>
      <c r="H412" s="4" t="s">
        <v>82</v>
      </c>
      <c r="I412" s="4" t="s">
        <v>69</v>
      </c>
      <c r="J412" s="4" t="s">
        <v>66</v>
      </c>
      <c r="K412" s="4">
        <v>0</v>
      </c>
      <c r="L412" s="94">
        <v>-5030</v>
      </c>
      <c r="M412" s="94">
        <v>0</v>
      </c>
    </row>
    <row r="413" spans="3:13" x14ac:dyDescent="0.3">
      <c r="C413" t="s">
        <v>71</v>
      </c>
      <c r="D413" t="s">
        <v>67</v>
      </c>
      <c r="E413" t="s">
        <v>63</v>
      </c>
      <c r="F413" t="s">
        <v>25</v>
      </c>
      <c r="G413" s="4">
        <v>8</v>
      </c>
      <c r="H413" s="4" t="s">
        <v>74</v>
      </c>
      <c r="I413" s="4" t="s">
        <v>69</v>
      </c>
      <c r="J413" s="4" t="s">
        <v>66</v>
      </c>
      <c r="K413" s="4">
        <v>0</v>
      </c>
      <c r="L413" s="94">
        <v>-32401</v>
      </c>
      <c r="M413" s="94">
        <v>0</v>
      </c>
    </row>
    <row r="414" spans="3:13" x14ac:dyDescent="0.3">
      <c r="C414" t="s">
        <v>71</v>
      </c>
      <c r="D414" t="s">
        <v>62</v>
      </c>
      <c r="E414" t="s">
        <v>68</v>
      </c>
      <c r="F414" t="s">
        <v>24</v>
      </c>
      <c r="G414" s="4">
        <v>34</v>
      </c>
      <c r="I414" s="4" t="s">
        <v>65</v>
      </c>
      <c r="J414" s="4" t="s">
        <v>66</v>
      </c>
      <c r="K414" s="4">
        <v>1</v>
      </c>
      <c r="L414" s="94">
        <v>224194</v>
      </c>
      <c r="M414" s="94">
        <v>7622596</v>
      </c>
    </row>
    <row r="415" spans="3:13" x14ac:dyDescent="0.3">
      <c r="C415" t="s">
        <v>61</v>
      </c>
      <c r="D415" t="s">
        <v>67</v>
      </c>
      <c r="E415" t="s">
        <v>68</v>
      </c>
      <c r="F415" t="s">
        <v>25</v>
      </c>
      <c r="G415" s="4">
        <v>19</v>
      </c>
      <c r="H415" s="4" t="s">
        <v>75</v>
      </c>
      <c r="I415" s="4" t="s">
        <v>69</v>
      </c>
      <c r="J415" s="4" t="s">
        <v>66</v>
      </c>
      <c r="K415" s="4">
        <v>0</v>
      </c>
      <c r="L415" s="94">
        <v>5747036</v>
      </c>
      <c r="M415" s="94">
        <v>109193684</v>
      </c>
    </row>
    <row r="416" spans="3:13" x14ac:dyDescent="0.3">
      <c r="C416" t="s">
        <v>61</v>
      </c>
      <c r="D416" t="s">
        <v>67</v>
      </c>
      <c r="E416" t="s">
        <v>63</v>
      </c>
      <c r="F416" t="s">
        <v>26</v>
      </c>
      <c r="G416" s="4">
        <v>4</v>
      </c>
      <c r="H416" s="4" t="s">
        <v>64</v>
      </c>
      <c r="I416" s="4" t="s">
        <v>69</v>
      </c>
      <c r="J416" s="4" t="s">
        <v>66</v>
      </c>
      <c r="K416" s="4">
        <v>0</v>
      </c>
      <c r="L416" s="94">
        <v>-23927</v>
      </c>
      <c r="M416" s="94">
        <v>0</v>
      </c>
    </row>
    <row r="417" spans="3:13" x14ac:dyDescent="0.3">
      <c r="C417" t="s">
        <v>61</v>
      </c>
      <c r="D417" t="s">
        <v>88</v>
      </c>
      <c r="E417" t="s">
        <v>68</v>
      </c>
      <c r="F417" t="s">
        <v>25</v>
      </c>
      <c r="G417" s="4">
        <v>3</v>
      </c>
      <c r="H417" s="4" t="s">
        <v>86</v>
      </c>
      <c r="I417" s="4" t="s">
        <v>69</v>
      </c>
      <c r="J417" s="4" t="s">
        <v>66</v>
      </c>
      <c r="K417" s="4">
        <v>0</v>
      </c>
      <c r="L417" s="94">
        <v>80638</v>
      </c>
      <c r="M417" s="94">
        <v>241914</v>
      </c>
    </row>
    <row r="418" spans="3:13" x14ac:dyDescent="0.3">
      <c r="C418" t="s">
        <v>61</v>
      </c>
      <c r="D418" t="s">
        <v>67</v>
      </c>
      <c r="E418" t="s">
        <v>68</v>
      </c>
      <c r="F418" t="s">
        <v>25</v>
      </c>
      <c r="G418" s="4">
        <v>-1</v>
      </c>
      <c r="H418" s="4" t="s">
        <v>77</v>
      </c>
      <c r="I418" s="4" t="s">
        <v>69</v>
      </c>
      <c r="J418" s="4" t="s">
        <v>66</v>
      </c>
      <c r="K418" s="4">
        <v>0</v>
      </c>
      <c r="L418" s="94">
        <v>200652</v>
      </c>
      <c r="M418" s="94">
        <v>0</v>
      </c>
    </row>
    <row r="419" spans="3:13" x14ac:dyDescent="0.3">
      <c r="C419" t="s">
        <v>70</v>
      </c>
      <c r="D419" t="s">
        <v>67</v>
      </c>
      <c r="E419" t="s">
        <v>63</v>
      </c>
      <c r="F419" t="s">
        <v>25</v>
      </c>
      <c r="G419" s="4">
        <v>15</v>
      </c>
      <c r="H419" s="4" t="s">
        <v>76</v>
      </c>
      <c r="I419" s="4" t="s">
        <v>69</v>
      </c>
      <c r="J419" s="4" t="s">
        <v>66</v>
      </c>
      <c r="K419" s="4">
        <v>0</v>
      </c>
      <c r="L419" s="94">
        <v>-45327</v>
      </c>
      <c r="M419" s="94">
        <v>0</v>
      </c>
    </row>
    <row r="420" spans="3:13" x14ac:dyDescent="0.3">
      <c r="C420" t="s">
        <v>61</v>
      </c>
      <c r="D420" t="s">
        <v>67</v>
      </c>
      <c r="E420" t="s">
        <v>63</v>
      </c>
      <c r="F420" t="s">
        <v>26</v>
      </c>
      <c r="G420" s="4">
        <v>1</v>
      </c>
      <c r="H420" s="4" t="s">
        <v>17</v>
      </c>
      <c r="I420" s="4" t="s">
        <v>65</v>
      </c>
      <c r="J420" s="4" t="s">
        <v>73</v>
      </c>
      <c r="K420" s="4">
        <v>1</v>
      </c>
      <c r="L420" s="94">
        <v>-2386</v>
      </c>
      <c r="M420" s="94">
        <v>0</v>
      </c>
    </row>
    <row r="421" spans="3:13" x14ac:dyDescent="0.3">
      <c r="C421" t="s">
        <v>70</v>
      </c>
      <c r="D421" t="s">
        <v>62</v>
      </c>
      <c r="E421" t="s">
        <v>68</v>
      </c>
      <c r="F421" t="s">
        <v>25</v>
      </c>
      <c r="G421" s="4">
        <v>0</v>
      </c>
      <c r="I421" s="4" t="s">
        <v>65</v>
      </c>
      <c r="J421" s="4" t="s">
        <v>66</v>
      </c>
      <c r="K421" s="4">
        <v>1</v>
      </c>
      <c r="L421" s="94">
        <v>1981</v>
      </c>
      <c r="M421" s="94">
        <v>0</v>
      </c>
    </row>
    <row r="422" spans="3:13" x14ac:dyDescent="0.3">
      <c r="C422" t="s">
        <v>61</v>
      </c>
      <c r="D422" t="s">
        <v>67</v>
      </c>
      <c r="E422" t="s">
        <v>63</v>
      </c>
      <c r="F422" t="s">
        <v>25</v>
      </c>
      <c r="G422" s="4">
        <v>15</v>
      </c>
      <c r="H422" s="4" t="s">
        <v>82</v>
      </c>
      <c r="I422" s="4" t="s">
        <v>69</v>
      </c>
      <c r="J422" s="4" t="s">
        <v>66</v>
      </c>
      <c r="K422" s="4">
        <v>0</v>
      </c>
      <c r="L422" s="94">
        <v>-3956</v>
      </c>
      <c r="M422" s="94">
        <v>0</v>
      </c>
    </row>
    <row r="423" spans="3:13" x14ac:dyDescent="0.3">
      <c r="C423" t="s">
        <v>61</v>
      </c>
      <c r="D423" t="s">
        <v>67</v>
      </c>
      <c r="E423" t="s">
        <v>68</v>
      </c>
      <c r="F423" t="s">
        <v>25</v>
      </c>
      <c r="G423" s="4">
        <v>9</v>
      </c>
      <c r="H423" s="4" t="s">
        <v>17</v>
      </c>
      <c r="I423" s="4" t="s">
        <v>69</v>
      </c>
      <c r="J423" s="4" t="s">
        <v>66</v>
      </c>
      <c r="K423" s="4">
        <v>1</v>
      </c>
      <c r="L423" s="94">
        <v>280890</v>
      </c>
      <c r="M423" s="94">
        <v>2528010</v>
      </c>
    </row>
    <row r="424" spans="3:13" x14ac:dyDescent="0.3">
      <c r="C424" t="s">
        <v>71</v>
      </c>
      <c r="D424" t="s">
        <v>62</v>
      </c>
      <c r="E424" t="s">
        <v>63</v>
      </c>
      <c r="F424" t="s">
        <v>24</v>
      </c>
      <c r="G424" s="4">
        <v>2</v>
      </c>
      <c r="I424" s="4" t="s">
        <v>69</v>
      </c>
      <c r="J424" s="4" t="s">
        <v>66</v>
      </c>
      <c r="K424" s="4">
        <v>1</v>
      </c>
      <c r="L424" s="94">
        <v>0</v>
      </c>
      <c r="M424" s="94">
        <v>0</v>
      </c>
    </row>
    <row r="425" spans="3:13" x14ac:dyDescent="0.3">
      <c r="C425" t="s">
        <v>70</v>
      </c>
      <c r="D425" t="s">
        <v>62</v>
      </c>
      <c r="E425" t="s">
        <v>63</v>
      </c>
      <c r="F425" t="s">
        <v>24</v>
      </c>
      <c r="G425" s="4">
        <v>38</v>
      </c>
      <c r="I425" s="4" t="s">
        <v>69</v>
      </c>
      <c r="J425" s="4" t="s">
        <v>66</v>
      </c>
      <c r="K425" s="4">
        <v>1</v>
      </c>
      <c r="L425" s="94">
        <v>-1397</v>
      </c>
      <c r="M425" s="94">
        <v>0</v>
      </c>
    </row>
    <row r="426" spans="3:13" x14ac:dyDescent="0.3">
      <c r="C426" t="s">
        <v>61</v>
      </c>
      <c r="D426" t="s">
        <v>67</v>
      </c>
      <c r="E426" t="s">
        <v>68</v>
      </c>
      <c r="F426" t="s">
        <v>26</v>
      </c>
      <c r="G426" s="4">
        <v>-1</v>
      </c>
      <c r="H426" s="4" t="s">
        <v>79</v>
      </c>
      <c r="I426" s="4" t="s">
        <v>69</v>
      </c>
      <c r="J426" s="4" t="s">
        <v>66</v>
      </c>
      <c r="K426" s="4">
        <v>0</v>
      </c>
      <c r="L426" s="94">
        <v>11770684</v>
      </c>
      <c r="M426" s="94">
        <v>0</v>
      </c>
    </row>
    <row r="427" spans="3:13" x14ac:dyDescent="0.3">
      <c r="C427" t="s">
        <v>70</v>
      </c>
      <c r="D427" t="s">
        <v>67</v>
      </c>
      <c r="E427" t="s">
        <v>68</v>
      </c>
      <c r="F427" t="s">
        <v>26</v>
      </c>
      <c r="G427" s="4">
        <v>-4</v>
      </c>
      <c r="H427" s="4" t="s">
        <v>75</v>
      </c>
      <c r="I427" s="4" t="s">
        <v>69</v>
      </c>
      <c r="J427" s="4" t="s">
        <v>66</v>
      </c>
      <c r="K427" s="4">
        <v>0</v>
      </c>
      <c r="L427" s="94">
        <v>39380</v>
      </c>
      <c r="M427" s="94">
        <v>0</v>
      </c>
    </row>
    <row r="428" spans="3:13" x14ac:dyDescent="0.3">
      <c r="C428" t="s">
        <v>61</v>
      </c>
      <c r="D428" t="s">
        <v>67</v>
      </c>
      <c r="E428" t="s">
        <v>68</v>
      </c>
      <c r="F428" t="s">
        <v>72</v>
      </c>
      <c r="G428" s="4">
        <v>3</v>
      </c>
      <c r="H428" s="4" t="s">
        <v>76</v>
      </c>
      <c r="I428" s="4" t="s">
        <v>69</v>
      </c>
      <c r="J428" s="4" t="s">
        <v>66</v>
      </c>
      <c r="K428" s="4">
        <v>0</v>
      </c>
      <c r="L428" s="94">
        <v>1991392</v>
      </c>
      <c r="M428" s="94">
        <v>5974176</v>
      </c>
    </row>
    <row r="429" spans="3:13" x14ac:dyDescent="0.3">
      <c r="C429" t="s">
        <v>61</v>
      </c>
      <c r="D429" t="s">
        <v>67</v>
      </c>
      <c r="E429" t="s">
        <v>68</v>
      </c>
      <c r="F429" t="s">
        <v>72</v>
      </c>
      <c r="G429" s="4">
        <v>0</v>
      </c>
      <c r="H429" s="4" t="s">
        <v>82</v>
      </c>
      <c r="I429" s="4" t="s">
        <v>69</v>
      </c>
      <c r="J429" s="4" t="s">
        <v>66</v>
      </c>
      <c r="K429" s="4">
        <v>0</v>
      </c>
      <c r="L429" s="94">
        <v>1365839</v>
      </c>
      <c r="M429" s="94">
        <v>0</v>
      </c>
    </row>
    <row r="430" spans="3:13" x14ac:dyDescent="0.3">
      <c r="C430" t="s">
        <v>71</v>
      </c>
      <c r="D430" t="s">
        <v>67</v>
      </c>
      <c r="E430" t="s">
        <v>63</v>
      </c>
      <c r="F430" t="s">
        <v>26</v>
      </c>
      <c r="G430" s="4">
        <v>1</v>
      </c>
      <c r="H430" s="4" t="s">
        <v>79</v>
      </c>
      <c r="I430" s="4" t="s">
        <v>69</v>
      </c>
      <c r="J430" s="4" t="s">
        <v>66</v>
      </c>
      <c r="K430" s="4">
        <v>0</v>
      </c>
      <c r="L430" s="94">
        <v>-61205</v>
      </c>
      <c r="M430" s="94">
        <v>0</v>
      </c>
    </row>
    <row r="431" spans="3:13" x14ac:dyDescent="0.3">
      <c r="C431" t="s">
        <v>70</v>
      </c>
      <c r="D431" t="s">
        <v>67</v>
      </c>
      <c r="E431" t="s">
        <v>63</v>
      </c>
      <c r="F431" t="s">
        <v>25</v>
      </c>
      <c r="G431" s="4">
        <v>7</v>
      </c>
      <c r="H431" s="4" t="s">
        <v>17</v>
      </c>
      <c r="I431" s="4" t="s">
        <v>69</v>
      </c>
      <c r="J431" s="4" t="s">
        <v>66</v>
      </c>
      <c r="K431" s="4">
        <v>1</v>
      </c>
      <c r="L431" s="94">
        <v>-11477</v>
      </c>
      <c r="M431" s="94">
        <v>0</v>
      </c>
    </row>
    <row r="432" spans="3:13" x14ac:dyDescent="0.3">
      <c r="C432" t="s">
        <v>70</v>
      </c>
      <c r="D432" t="s">
        <v>67</v>
      </c>
      <c r="E432" t="s">
        <v>68</v>
      </c>
      <c r="F432" t="s">
        <v>26</v>
      </c>
      <c r="G432" s="4">
        <v>2</v>
      </c>
      <c r="H432" s="4" t="s">
        <v>82</v>
      </c>
      <c r="I432" s="4" t="s">
        <v>69</v>
      </c>
      <c r="J432" s="4" t="s">
        <v>73</v>
      </c>
      <c r="K432" s="4">
        <v>1</v>
      </c>
      <c r="L432" s="94">
        <v>33991</v>
      </c>
      <c r="M432" s="94">
        <v>67982</v>
      </c>
    </row>
    <row r="433" spans="3:13" x14ac:dyDescent="0.3">
      <c r="C433" t="s">
        <v>61</v>
      </c>
      <c r="D433" t="s">
        <v>62</v>
      </c>
      <c r="E433" t="s">
        <v>68</v>
      </c>
      <c r="F433" t="s">
        <v>25</v>
      </c>
      <c r="G433" s="4">
        <v>11</v>
      </c>
      <c r="I433" s="4" t="s">
        <v>69</v>
      </c>
      <c r="J433" s="4" t="s">
        <v>66</v>
      </c>
      <c r="K433" s="4">
        <v>1</v>
      </c>
      <c r="L433" s="94">
        <v>64191</v>
      </c>
      <c r="M433" s="94">
        <v>706101</v>
      </c>
    </row>
    <row r="434" spans="3:13" x14ac:dyDescent="0.3">
      <c r="C434" t="s">
        <v>61</v>
      </c>
      <c r="D434" t="s">
        <v>67</v>
      </c>
      <c r="E434" t="s">
        <v>68</v>
      </c>
      <c r="F434" t="s">
        <v>26</v>
      </c>
      <c r="G434" s="4">
        <v>10</v>
      </c>
      <c r="H434" s="4" t="s">
        <v>17</v>
      </c>
      <c r="I434" s="4" t="s">
        <v>69</v>
      </c>
      <c r="J434" s="4" t="s">
        <v>66</v>
      </c>
      <c r="K434" s="4">
        <v>0</v>
      </c>
      <c r="L434" s="94">
        <v>1704043</v>
      </c>
      <c r="M434" s="94">
        <v>17040430</v>
      </c>
    </row>
    <row r="435" spans="3:13" x14ac:dyDescent="0.3">
      <c r="C435" t="s">
        <v>71</v>
      </c>
      <c r="D435" t="s">
        <v>67</v>
      </c>
      <c r="E435" t="s">
        <v>63</v>
      </c>
      <c r="F435" t="s">
        <v>25</v>
      </c>
      <c r="G435" s="4">
        <v>-1</v>
      </c>
      <c r="H435" s="4" t="s">
        <v>17</v>
      </c>
      <c r="I435" s="4" t="s">
        <v>69</v>
      </c>
      <c r="J435" s="4" t="s">
        <v>66</v>
      </c>
      <c r="K435" s="4">
        <v>0</v>
      </c>
      <c r="L435" s="94">
        <v>-4349</v>
      </c>
      <c r="M435" s="94">
        <v>0</v>
      </c>
    </row>
    <row r="436" spans="3:13" x14ac:dyDescent="0.3">
      <c r="C436" t="s">
        <v>71</v>
      </c>
      <c r="D436" t="s">
        <v>67</v>
      </c>
      <c r="E436" t="s">
        <v>63</v>
      </c>
      <c r="F436" t="s">
        <v>26</v>
      </c>
      <c r="G436" s="4">
        <v>2</v>
      </c>
      <c r="H436" s="4" t="s">
        <v>14</v>
      </c>
      <c r="I436" s="4" t="s">
        <v>69</v>
      </c>
      <c r="J436" s="4" t="s">
        <v>66</v>
      </c>
      <c r="K436" s="4">
        <v>0</v>
      </c>
      <c r="L436" s="94">
        <v>-2925854</v>
      </c>
      <c r="M436" s="94">
        <v>0</v>
      </c>
    </row>
    <row r="437" spans="3:13" x14ac:dyDescent="0.3">
      <c r="C437" t="s">
        <v>61</v>
      </c>
      <c r="D437" t="s">
        <v>62</v>
      </c>
      <c r="E437" t="s">
        <v>63</v>
      </c>
      <c r="F437" t="s">
        <v>24</v>
      </c>
      <c r="G437" s="4">
        <v>19</v>
      </c>
      <c r="I437" s="4" t="s">
        <v>69</v>
      </c>
      <c r="J437" s="4" t="s">
        <v>73</v>
      </c>
      <c r="K437" s="4">
        <v>1</v>
      </c>
      <c r="L437" s="94">
        <v>-7</v>
      </c>
      <c r="M437" s="94">
        <v>0</v>
      </c>
    </row>
    <row r="438" spans="3:13" x14ac:dyDescent="0.3">
      <c r="C438" t="s">
        <v>71</v>
      </c>
      <c r="D438" t="s">
        <v>62</v>
      </c>
      <c r="E438" t="s">
        <v>68</v>
      </c>
      <c r="F438" t="s">
        <v>25</v>
      </c>
      <c r="G438" s="4">
        <v>18</v>
      </c>
      <c r="I438" s="4" t="s">
        <v>69</v>
      </c>
      <c r="J438" s="4" t="s">
        <v>66</v>
      </c>
      <c r="K438" s="4">
        <v>0</v>
      </c>
      <c r="L438" s="94">
        <v>27004</v>
      </c>
      <c r="M438" s="94">
        <v>486072</v>
      </c>
    </row>
    <row r="439" spans="3:13" x14ac:dyDescent="0.3">
      <c r="C439" t="s">
        <v>70</v>
      </c>
      <c r="D439" t="s">
        <v>67</v>
      </c>
      <c r="E439" t="s">
        <v>63</v>
      </c>
      <c r="F439" t="s">
        <v>26</v>
      </c>
      <c r="G439" s="4">
        <v>1</v>
      </c>
      <c r="H439" s="4" t="s">
        <v>18</v>
      </c>
      <c r="I439" s="4" t="s">
        <v>69</v>
      </c>
      <c r="J439" s="4" t="s">
        <v>73</v>
      </c>
      <c r="K439" s="4">
        <v>1</v>
      </c>
      <c r="L439" s="94">
        <v>-27592</v>
      </c>
      <c r="M439" s="94">
        <v>0</v>
      </c>
    </row>
    <row r="440" spans="3:13" x14ac:dyDescent="0.3">
      <c r="C440" t="s">
        <v>61</v>
      </c>
      <c r="D440" t="s">
        <v>67</v>
      </c>
      <c r="E440" t="s">
        <v>63</v>
      </c>
      <c r="F440" t="s">
        <v>26</v>
      </c>
      <c r="G440" s="4">
        <v>1</v>
      </c>
      <c r="H440" s="4" t="s">
        <v>80</v>
      </c>
      <c r="I440" s="4" t="s">
        <v>69</v>
      </c>
      <c r="J440" s="4" t="s">
        <v>66</v>
      </c>
      <c r="K440" s="4">
        <v>0</v>
      </c>
      <c r="L440" s="94">
        <v>-5694</v>
      </c>
      <c r="M440" s="94">
        <v>0</v>
      </c>
    </row>
    <row r="441" spans="3:13" x14ac:dyDescent="0.3">
      <c r="C441" t="s">
        <v>61</v>
      </c>
      <c r="D441" t="s">
        <v>67</v>
      </c>
      <c r="E441" t="s">
        <v>68</v>
      </c>
      <c r="F441" t="s">
        <v>25</v>
      </c>
      <c r="G441" s="4">
        <v>10</v>
      </c>
      <c r="H441" s="4" t="s">
        <v>79</v>
      </c>
      <c r="I441" s="4" t="s">
        <v>69</v>
      </c>
      <c r="J441" s="4" t="s">
        <v>66</v>
      </c>
      <c r="K441" s="4">
        <v>0</v>
      </c>
      <c r="L441" s="94">
        <v>6974898</v>
      </c>
      <c r="M441" s="94">
        <v>69748980</v>
      </c>
    </row>
    <row r="442" spans="3:13" x14ac:dyDescent="0.3">
      <c r="C442" t="s">
        <v>61</v>
      </c>
      <c r="D442" t="s">
        <v>67</v>
      </c>
      <c r="E442" t="s">
        <v>68</v>
      </c>
      <c r="F442" t="s">
        <v>72</v>
      </c>
      <c r="G442" s="4">
        <v>1</v>
      </c>
      <c r="H442" s="4" t="s">
        <v>13</v>
      </c>
      <c r="I442" s="4" t="s">
        <v>69</v>
      </c>
      <c r="J442" s="4" t="s">
        <v>66</v>
      </c>
      <c r="K442" s="4">
        <v>0</v>
      </c>
      <c r="L442" s="94">
        <v>126949</v>
      </c>
      <c r="M442" s="94">
        <v>126949</v>
      </c>
    </row>
    <row r="443" spans="3:13" x14ac:dyDescent="0.3">
      <c r="C443" t="s">
        <v>71</v>
      </c>
      <c r="D443" t="s">
        <v>62</v>
      </c>
      <c r="E443" t="s">
        <v>63</v>
      </c>
      <c r="F443" t="s">
        <v>24</v>
      </c>
      <c r="G443" s="4">
        <v>10</v>
      </c>
      <c r="I443" s="4" t="s">
        <v>69</v>
      </c>
      <c r="J443" s="4" t="s">
        <v>66</v>
      </c>
      <c r="K443" s="4">
        <v>1</v>
      </c>
      <c r="L443" s="94">
        <v>-48951</v>
      </c>
      <c r="M443" s="94">
        <v>0</v>
      </c>
    </row>
    <row r="444" spans="3:13" x14ac:dyDescent="0.3">
      <c r="C444" t="s">
        <v>71</v>
      </c>
      <c r="D444" t="s">
        <v>67</v>
      </c>
      <c r="E444" t="s">
        <v>68</v>
      </c>
      <c r="F444" t="s">
        <v>72</v>
      </c>
      <c r="G444" s="4">
        <v>0</v>
      </c>
      <c r="H444" s="4" t="s">
        <v>12</v>
      </c>
      <c r="I444" s="4" t="s">
        <v>65</v>
      </c>
      <c r="J444" s="4" t="s">
        <v>73</v>
      </c>
      <c r="K444" s="4">
        <v>1</v>
      </c>
      <c r="L444" s="94">
        <v>5813</v>
      </c>
      <c r="M444" s="94">
        <v>0</v>
      </c>
    </row>
    <row r="445" spans="3:13" x14ac:dyDescent="0.3">
      <c r="C445" t="s">
        <v>71</v>
      </c>
      <c r="D445" t="s">
        <v>67</v>
      </c>
      <c r="E445" t="s">
        <v>68</v>
      </c>
      <c r="F445" t="s">
        <v>25</v>
      </c>
      <c r="G445" s="4">
        <v>3</v>
      </c>
      <c r="H445" s="4" t="s">
        <v>76</v>
      </c>
      <c r="I445" s="4" t="s">
        <v>65</v>
      </c>
      <c r="J445" s="4" t="s">
        <v>66</v>
      </c>
      <c r="K445" s="4">
        <v>1</v>
      </c>
      <c r="L445" s="94">
        <v>24109</v>
      </c>
      <c r="M445" s="94">
        <v>72327</v>
      </c>
    </row>
    <row r="446" spans="3:13" x14ac:dyDescent="0.3">
      <c r="C446" t="s">
        <v>61</v>
      </c>
      <c r="D446" t="s">
        <v>62</v>
      </c>
      <c r="E446" t="s">
        <v>63</v>
      </c>
      <c r="F446" t="s">
        <v>24</v>
      </c>
      <c r="G446" s="4">
        <v>31</v>
      </c>
      <c r="I446" s="4" t="s">
        <v>69</v>
      </c>
      <c r="J446" s="4" t="s">
        <v>66</v>
      </c>
      <c r="K446" s="4">
        <v>0</v>
      </c>
      <c r="L446" s="94">
        <v>-334272</v>
      </c>
      <c r="M446" s="94">
        <v>0</v>
      </c>
    </row>
    <row r="447" spans="3:13" x14ac:dyDescent="0.3">
      <c r="C447" t="s">
        <v>61</v>
      </c>
      <c r="D447" t="s">
        <v>85</v>
      </c>
      <c r="E447" t="s">
        <v>63</v>
      </c>
      <c r="F447" t="s">
        <v>25</v>
      </c>
      <c r="G447" s="4">
        <v>1</v>
      </c>
      <c r="H447" s="4" t="s">
        <v>81</v>
      </c>
      <c r="I447" s="4" t="s">
        <v>69</v>
      </c>
      <c r="J447" s="4" t="s">
        <v>66</v>
      </c>
      <c r="K447" s="4">
        <v>0</v>
      </c>
      <c r="L447" s="94">
        <v>-12</v>
      </c>
      <c r="M447" s="94">
        <v>0</v>
      </c>
    </row>
    <row r="448" spans="3:13" x14ac:dyDescent="0.3">
      <c r="C448" t="s">
        <v>61</v>
      </c>
      <c r="D448" t="s">
        <v>67</v>
      </c>
      <c r="E448" t="s">
        <v>68</v>
      </c>
      <c r="F448" t="s">
        <v>26</v>
      </c>
      <c r="G448" s="4">
        <v>-1</v>
      </c>
      <c r="H448" s="4" t="s">
        <v>17</v>
      </c>
      <c r="I448" s="4" t="s">
        <v>65</v>
      </c>
      <c r="J448" s="4" t="s">
        <v>73</v>
      </c>
      <c r="K448" s="4">
        <v>1</v>
      </c>
      <c r="L448" s="94">
        <v>1264747</v>
      </c>
      <c r="M448" s="94">
        <v>0</v>
      </c>
    </row>
    <row r="449" spans="3:13" x14ac:dyDescent="0.3">
      <c r="C449" t="s">
        <v>61</v>
      </c>
      <c r="D449" t="s">
        <v>67</v>
      </c>
      <c r="E449" t="s">
        <v>68</v>
      </c>
      <c r="F449" t="s">
        <v>26</v>
      </c>
      <c r="G449" s="4">
        <v>3</v>
      </c>
      <c r="H449" s="4" t="s">
        <v>80</v>
      </c>
      <c r="I449" s="4" t="s">
        <v>69</v>
      </c>
      <c r="J449" s="4" t="s">
        <v>66</v>
      </c>
      <c r="K449" s="4">
        <v>0</v>
      </c>
      <c r="L449" s="94">
        <v>1794781</v>
      </c>
      <c r="M449" s="94">
        <v>5384343</v>
      </c>
    </row>
    <row r="450" spans="3:13" x14ac:dyDescent="0.3">
      <c r="C450" t="s">
        <v>61</v>
      </c>
      <c r="D450" t="s">
        <v>67</v>
      </c>
      <c r="E450" t="s">
        <v>63</v>
      </c>
      <c r="F450" t="s">
        <v>25</v>
      </c>
      <c r="G450" s="4">
        <v>4</v>
      </c>
      <c r="H450" s="4" t="s">
        <v>74</v>
      </c>
      <c r="I450" s="4" t="s">
        <v>69</v>
      </c>
      <c r="J450" s="4" t="s">
        <v>66</v>
      </c>
      <c r="K450" s="4">
        <v>0</v>
      </c>
      <c r="L450" s="94">
        <v>-9179</v>
      </c>
      <c r="M450" s="94">
        <v>0</v>
      </c>
    </row>
    <row r="451" spans="3:13" x14ac:dyDescent="0.3">
      <c r="C451" t="s">
        <v>71</v>
      </c>
      <c r="D451" t="s">
        <v>67</v>
      </c>
      <c r="E451" t="s">
        <v>63</v>
      </c>
      <c r="F451" t="s">
        <v>25</v>
      </c>
      <c r="G451" s="4">
        <v>7</v>
      </c>
      <c r="H451" s="4" t="s">
        <v>14</v>
      </c>
      <c r="I451" s="4" t="s">
        <v>69</v>
      </c>
      <c r="J451" s="4" t="s">
        <v>66</v>
      </c>
      <c r="K451" s="4">
        <v>1</v>
      </c>
      <c r="L451" s="94">
        <v>-154647</v>
      </c>
      <c r="M451" s="94">
        <v>0</v>
      </c>
    </row>
    <row r="452" spans="3:13" x14ac:dyDescent="0.3">
      <c r="C452" t="s">
        <v>71</v>
      </c>
      <c r="D452" t="s">
        <v>67</v>
      </c>
      <c r="E452" t="s">
        <v>68</v>
      </c>
      <c r="F452" t="s">
        <v>26</v>
      </c>
      <c r="G452" s="4">
        <v>0</v>
      </c>
      <c r="H452" s="4" t="s">
        <v>83</v>
      </c>
      <c r="I452" s="4" t="s">
        <v>69</v>
      </c>
      <c r="J452" s="4" t="s">
        <v>66</v>
      </c>
      <c r="K452" s="4">
        <v>0</v>
      </c>
      <c r="L452" s="94">
        <v>38837</v>
      </c>
      <c r="M452" s="94">
        <v>0</v>
      </c>
    </row>
    <row r="453" spans="3:13" x14ac:dyDescent="0.3">
      <c r="C453" t="s">
        <v>70</v>
      </c>
      <c r="D453" t="s">
        <v>67</v>
      </c>
      <c r="E453" t="s">
        <v>63</v>
      </c>
      <c r="F453" t="s">
        <v>25</v>
      </c>
      <c r="G453" s="4">
        <v>4</v>
      </c>
      <c r="H453" s="4" t="s">
        <v>75</v>
      </c>
      <c r="I453" s="4" t="s">
        <v>69</v>
      </c>
      <c r="J453" s="4" t="s">
        <v>66</v>
      </c>
      <c r="K453" s="4">
        <v>0</v>
      </c>
      <c r="L453" s="94">
        <v>-268796</v>
      </c>
      <c r="M453" s="94">
        <v>0</v>
      </c>
    </row>
    <row r="454" spans="3:13" x14ac:dyDescent="0.3">
      <c r="C454" t="s">
        <v>71</v>
      </c>
      <c r="D454" t="s">
        <v>62</v>
      </c>
      <c r="E454" t="s">
        <v>63</v>
      </c>
      <c r="F454" t="s">
        <v>25</v>
      </c>
      <c r="G454" s="4">
        <v>19</v>
      </c>
      <c r="I454" s="4" t="s">
        <v>69</v>
      </c>
      <c r="J454" s="4" t="s">
        <v>66</v>
      </c>
      <c r="K454" s="4">
        <v>0</v>
      </c>
      <c r="L454" s="94">
        <v>-114202</v>
      </c>
      <c r="M454" s="94">
        <v>0</v>
      </c>
    </row>
    <row r="455" spans="3:13" x14ac:dyDescent="0.3">
      <c r="C455" t="s">
        <v>61</v>
      </c>
      <c r="D455" t="s">
        <v>67</v>
      </c>
      <c r="E455" t="s">
        <v>68</v>
      </c>
      <c r="F455" t="s">
        <v>72</v>
      </c>
      <c r="G455" s="4">
        <v>6</v>
      </c>
      <c r="H455" s="4" t="s">
        <v>17</v>
      </c>
      <c r="I455" s="4" t="s">
        <v>65</v>
      </c>
      <c r="J455" s="4" t="s">
        <v>73</v>
      </c>
      <c r="K455" s="4">
        <v>1</v>
      </c>
      <c r="L455" s="94">
        <v>91942</v>
      </c>
      <c r="M455" s="94">
        <v>551652</v>
      </c>
    </row>
    <row r="456" spans="3:13" x14ac:dyDescent="0.3">
      <c r="C456" t="s">
        <v>70</v>
      </c>
      <c r="D456" t="s">
        <v>62</v>
      </c>
      <c r="E456" t="s">
        <v>63</v>
      </c>
      <c r="F456" t="s">
        <v>25</v>
      </c>
      <c r="G456" s="4">
        <v>6</v>
      </c>
      <c r="I456" s="4" t="s">
        <v>69</v>
      </c>
      <c r="J456" s="4" t="s">
        <v>66</v>
      </c>
      <c r="K456" s="4">
        <v>1</v>
      </c>
      <c r="L456" s="94">
        <v>-1396</v>
      </c>
      <c r="M456" s="94">
        <v>0</v>
      </c>
    </row>
    <row r="457" spans="3:13" x14ac:dyDescent="0.3">
      <c r="C457" t="s">
        <v>61</v>
      </c>
      <c r="D457" t="s">
        <v>67</v>
      </c>
      <c r="E457" t="s">
        <v>68</v>
      </c>
      <c r="F457" t="s">
        <v>26</v>
      </c>
      <c r="G457" s="4">
        <v>10</v>
      </c>
      <c r="H457" s="4" t="s">
        <v>82</v>
      </c>
      <c r="I457" s="4" t="s">
        <v>69</v>
      </c>
      <c r="J457" s="4" t="s">
        <v>66</v>
      </c>
      <c r="K457" s="4">
        <v>0</v>
      </c>
      <c r="L457" s="94">
        <v>1177433</v>
      </c>
      <c r="M457" s="94">
        <v>11774330</v>
      </c>
    </row>
    <row r="458" spans="3:13" x14ac:dyDescent="0.3">
      <c r="C458" t="s">
        <v>61</v>
      </c>
      <c r="D458" t="s">
        <v>67</v>
      </c>
      <c r="E458" t="s">
        <v>68</v>
      </c>
      <c r="F458" t="s">
        <v>26</v>
      </c>
      <c r="G458" s="4">
        <v>4</v>
      </c>
      <c r="H458" s="4" t="s">
        <v>78</v>
      </c>
      <c r="I458" s="4" t="s">
        <v>69</v>
      </c>
      <c r="J458" s="4" t="s">
        <v>66</v>
      </c>
      <c r="K458" s="4">
        <v>0</v>
      </c>
      <c r="L458" s="94">
        <v>1820843</v>
      </c>
      <c r="M458" s="94">
        <v>7283372</v>
      </c>
    </row>
    <row r="459" spans="3:13" x14ac:dyDescent="0.3">
      <c r="C459" t="s">
        <v>71</v>
      </c>
      <c r="D459" t="s">
        <v>62</v>
      </c>
      <c r="E459" t="s">
        <v>63</v>
      </c>
      <c r="F459" t="s">
        <v>25</v>
      </c>
      <c r="G459" s="4">
        <v>34</v>
      </c>
      <c r="I459" s="4" t="s">
        <v>69</v>
      </c>
      <c r="J459" s="4" t="s">
        <v>66</v>
      </c>
      <c r="K459" s="4">
        <v>0</v>
      </c>
      <c r="L459" s="94">
        <v>-32484</v>
      </c>
      <c r="M459" s="94">
        <v>0</v>
      </c>
    </row>
    <row r="460" spans="3:13" x14ac:dyDescent="0.3">
      <c r="C460" t="s">
        <v>70</v>
      </c>
      <c r="D460" t="s">
        <v>62</v>
      </c>
      <c r="E460" t="s">
        <v>68</v>
      </c>
      <c r="F460" t="s">
        <v>24</v>
      </c>
      <c r="G460" s="4">
        <v>10</v>
      </c>
      <c r="I460" s="4" t="s">
        <v>65</v>
      </c>
      <c r="J460" s="4" t="s">
        <v>66</v>
      </c>
      <c r="K460" s="4">
        <v>1</v>
      </c>
      <c r="L460" s="94">
        <v>316943</v>
      </c>
      <c r="M460" s="94">
        <v>3169430</v>
      </c>
    </row>
    <row r="461" spans="3:13" x14ac:dyDescent="0.3">
      <c r="C461" t="s">
        <v>70</v>
      </c>
      <c r="D461" t="s">
        <v>67</v>
      </c>
      <c r="E461" t="s">
        <v>68</v>
      </c>
      <c r="F461" t="s">
        <v>25</v>
      </c>
      <c r="G461" s="4">
        <v>14</v>
      </c>
      <c r="H461" s="4" t="s">
        <v>17</v>
      </c>
      <c r="I461" s="4" t="s">
        <v>69</v>
      </c>
      <c r="J461" s="4" t="s">
        <v>66</v>
      </c>
      <c r="K461" s="4">
        <v>0</v>
      </c>
      <c r="L461" s="94">
        <v>1232667</v>
      </c>
      <c r="M461" s="94">
        <v>17257338</v>
      </c>
    </row>
    <row r="462" spans="3:13" x14ac:dyDescent="0.3">
      <c r="C462" t="s">
        <v>71</v>
      </c>
      <c r="D462" t="s">
        <v>67</v>
      </c>
      <c r="E462" t="s">
        <v>63</v>
      </c>
      <c r="F462" t="s">
        <v>26</v>
      </c>
      <c r="G462" s="4">
        <v>3</v>
      </c>
      <c r="H462" s="4" t="s">
        <v>13</v>
      </c>
      <c r="I462" s="4" t="s">
        <v>69</v>
      </c>
      <c r="J462" s="4" t="s">
        <v>73</v>
      </c>
      <c r="K462" s="4">
        <v>1</v>
      </c>
      <c r="L462" s="94">
        <v>-261098</v>
      </c>
      <c r="M462" s="94">
        <v>0</v>
      </c>
    </row>
    <row r="463" spans="3:13" x14ac:dyDescent="0.3">
      <c r="C463" t="s">
        <v>70</v>
      </c>
      <c r="D463" t="s">
        <v>67</v>
      </c>
      <c r="E463" t="s">
        <v>68</v>
      </c>
      <c r="F463" t="s">
        <v>26</v>
      </c>
      <c r="G463" s="4">
        <v>11</v>
      </c>
      <c r="H463" s="4" t="s">
        <v>12</v>
      </c>
      <c r="I463" s="4" t="s">
        <v>69</v>
      </c>
      <c r="J463" s="4" t="s">
        <v>73</v>
      </c>
      <c r="K463" s="4">
        <v>1</v>
      </c>
      <c r="L463" s="94">
        <v>140148</v>
      </c>
      <c r="M463" s="94">
        <v>1541628</v>
      </c>
    </row>
    <row r="464" spans="3:13" x14ac:dyDescent="0.3">
      <c r="C464" t="s">
        <v>61</v>
      </c>
      <c r="D464" t="s">
        <v>84</v>
      </c>
      <c r="E464" t="s">
        <v>68</v>
      </c>
      <c r="F464" t="s">
        <v>25</v>
      </c>
      <c r="G464" s="4">
        <v>12</v>
      </c>
      <c r="H464" s="4" t="s">
        <v>75</v>
      </c>
      <c r="I464" s="4" t="s">
        <v>69</v>
      </c>
      <c r="J464" s="4" t="s">
        <v>66</v>
      </c>
      <c r="K464" s="4">
        <v>0</v>
      </c>
      <c r="L464" s="94">
        <v>14087542</v>
      </c>
      <c r="M464" s="94">
        <v>169050504</v>
      </c>
    </row>
    <row r="465" spans="3:13" x14ac:dyDescent="0.3">
      <c r="C465" t="s">
        <v>70</v>
      </c>
      <c r="D465" t="s">
        <v>67</v>
      </c>
      <c r="E465" t="s">
        <v>63</v>
      </c>
      <c r="F465" t="s">
        <v>26</v>
      </c>
      <c r="G465" s="4">
        <v>3</v>
      </c>
      <c r="H465" s="4" t="s">
        <v>12</v>
      </c>
      <c r="I465" s="4" t="s">
        <v>65</v>
      </c>
      <c r="J465" s="4" t="s">
        <v>73</v>
      </c>
      <c r="K465" s="4">
        <v>1</v>
      </c>
      <c r="L465" s="94">
        <v>-49131</v>
      </c>
      <c r="M465" s="94">
        <v>0</v>
      </c>
    </row>
    <row r="466" spans="3:13" x14ac:dyDescent="0.3">
      <c r="C466" t="s">
        <v>61</v>
      </c>
      <c r="D466" t="s">
        <v>67</v>
      </c>
      <c r="E466" t="s">
        <v>63</v>
      </c>
      <c r="F466" t="s">
        <v>72</v>
      </c>
      <c r="G466" s="4">
        <v>-1</v>
      </c>
      <c r="H466" s="4" t="s">
        <v>83</v>
      </c>
      <c r="I466" s="4" t="s">
        <v>69</v>
      </c>
      <c r="J466" s="4" t="s">
        <v>66</v>
      </c>
      <c r="K466" s="4">
        <v>0</v>
      </c>
      <c r="L466" s="94">
        <v>-165</v>
      </c>
      <c r="M466" s="94">
        <v>0</v>
      </c>
    </row>
    <row r="467" spans="3:13" x14ac:dyDescent="0.3">
      <c r="C467" t="s">
        <v>71</v>
      </c>
      <c r="D467" t="s">
        <v>67</v>
      </c>
      <c r="E467" t="s">
        <v>68</v>
      </c>
      <c r="F467" t="s">
        <v>25</v>
      </c>
      <c r="G467" s="4">
        <v>10</v>
      </c>
      <c r="H467" s="4" t="s">
        <v>18</v>
      </c>
      <c r="I467" s="4" t="s">
        <v>69</v>
      </c>
      <c r="J467" s="4" t="s">
        <v>66</v>
      </c>
      <c r="K467" s="4">
        <v>0</v>
      </c>
      <c r="L467" s="94">
        <v>179815</v>
      </c>
      <c r="M467" s="94">
        <v>1798150</v>
      </c>
    </row>
    <row r="468" spans="3:13" x14ac:dyDescent="0.3">
      <c r="C468" t="s">
        <v>70</v>
      </c>
      <c r="D468" t="s">
        <v>67</v>
      </c>
      <c r="E468" t="s">
        <v>63</v>
      </c>
      <c r="F468" t="s">
        <v>26</v>
      </c>
      <c r="G468" s="4">
        <v>-1</v>
      </c>
      <c r="H468" s="4" t="s">
        <v>14</v>
      </c>
      <c r="I468" s="4" t="s">
        <v>69</v>
      </c>
      <c r="J468" s="4" t="s">
        <v>73</v>
      </c>
      <c r="K468" s="4">
        <v>1</v>
      </c>
      <c r="L468" s="94">
        <v>-980718</v>
      </c>
      <c r="M468" s="94">
        <v>0</v>
      </c>
    </row>
    <row r="469" spans="3:13" x14ac:dyDescent="0.3">
      <c r="C469" t="s">
        <v>61</v>
      </c>
      <c r="D469" t="s">
        <v>67</v>
      </c>
      <c r="E469" t="s">
        <v>68</v>
      </c>
      <c r="F469" t="s">
        <v>25</v>
      </c>
      <c r="G469" s="4">
        <v>8</v>
      </c>
      <c r="H469" s="4" t="s">
        <v>12</v>
      </c>
      <c r="I469" s="4" t="s">
        <v>69</v>
      </c>
      <c r="J469" s="4" t="s">
        <v>66</v>
      </c>
      <c r="K469" s="4">
        <v>0</v>
      </c>
      <c r="L469" s="94">
        <v>725015</v>
      </c>
      <c r="M469" s="94">
        <v>5800120</v>
      </c>
    </row>
    <row r="470" spans="3:13" x14ac:dyDescent="0.3">
      <c r="C470" t="s">
        <v>61</v>
      </c>
      <c r="D470" t="s">
        <v>67</v>
      </c>
      <c r="E470" t="s">
        <v>63</v>
      </c>
      <c r="F470" t="s">
        <v>25</v>
      </c>
      <c r="G470" s="4">
        <v>15</v>
      </c>
      <c r="H470" s="4" t="s">
        <v>17</v>
      </c>
      <c r="I470" s="4" t="s">
        <v>69</v>
      </c>
      <c r="J470" s="4" t="s">
        <v>66</v>
      </c>
      <c r="K470" s="4">
        <v>0</v>
      </c>
      <c r="L470" s="94">
        <v>-37055</v>
      </c>
      <c r="M470" s="94">
        <v>0</v>
      </c>
    </row>
    <row r="471" spans="3:13" x14ac:dyDescent="0.3">
      <c r="C471" t="s">
        <v>61</v>
      </c>
      <c r="D471" t="s">
        <v>67</v>
      </c>
      <c r="E471" t="s">
        <v>63</v>
      </c>
      <c r="F471" t="s">
        <v>25</v>
      </c>
      <c r="G471" s="4">
        <v>-1</v>
      </c>
      <c r="H471" s="4" t="s">
        <v>75</v>
      </c>
      <c r="I471" s="4" t="s">
        <v>69</v>
      </c>
      <c r="J471" s="4" t="s">
        <v>66</v>
      </c>
      <c r="K471" s="4">
        <v>0</v>
      </c>
      <c r="L471" s="94">
        <v>-12917</v>
      </c>
      <c r="M471" s="94">
        <v>0</v>
      </c>
    </row>
    <row r="472" spans="3:13" x14ac:dyDescent="0.3">
      <c r="C472" t="s">
        <v>71</v>
      </c>
      <c r="D472" t="s">
        <v>67</v>
      </c>
      <c r="E472" t="s">
        <v>68</v>
      </c>
      <c r="F472" t="s">
        <v>26</v>
      </c>
      <c r="G472" s="4">
        <v>-1</v>
      </c>
      <c r="H472" s="4" t="s">
        <v>87</v>
      </c>
      <c r="I472" s="4" t="s">
        <v>69</v>
      </c>
      <c r="J472" s="4" t="s">
        <v>66</v>
      </c>
      <c r="K472" s="4">
        <v>0</v>
      </c>
      <c r="L472" s="94">
        <v>0</v>
      </c>
      <c r="M472" s="94">
        <v>0</v>
      </c>
    </row>
    <row r="473" spans="3:13" x14ac:dyDescent="0.3">
      <c r="C473" t="s">
        <v>61</v>
      </c>
      <c r="D473" t="s">
        <v>67</v>
      </c>
      <c r="E473" t="s">
        <v>68</v>
      </c>
      <c r="F473" t="s">
        <v>26</v>
      </c>
      <c r="G473" s="4">
        <v>6</v>
      </c>
      <c r="H473" s="4" t="s">
        <v>17</v>
      </c>
      <c r="I473" s="4" t="s">
        <v>69</v>
      </c>
      <c r="J473" s="4" t="s">
        <v>66</v>
      </c>
      <c r="K473" s="4">
        <v>0</v>
      </c>
      <c r="L473" s="94">
        <v>259552</v>
      </c>
      <c r="M473" s="94">
        <v>1557312</v>
      </c>
    </row>
    <row r="474" spans="3:13" x14ac:dyDescent="0.3">
      <c r="C474" t="s">
        <v>61</v>
      </c>
      <c r="D474" t="s">
        <v>62</v>
      </c>
      <c r="E474" t="s">
        <v>68</v>
      </c>
      <c r="F474" t="s">
        <v>24</v>
      </c>
      <c r="G474" s="4">
        <v>10</v>
      </c>
      <c r="I474" s="4" t="s">
        <v>69</v>
      </c>
      <c r="J474" s="4" t="s">
        <v>66</v>
      </c>
      <c r="K474" s="4">
        <v>0</v>
      </c>
      <c r="L474" s="94">
        <v>182149243</v>
      </c>
      <c r="M474" s="94">
        <v>1821492430</v>
      </c>
    </row>
    <row r="475" spans="3:13" x14ac:dyDescent="0.3">
      <c r="C475" t="s">
        <v>70</v>
      </c>
      <c r="D475" t="s">
        <v>67</v>
      </c>
      <c r="E475" t="s">
        <v>68</v>
      </c>
      <c r="F475" t="s">
        <v>25</v>
      </c>
      <c r="G475" s="4">
        <v>6</v>
      </c>
      <c r="H475" s="4" t="s">
        <v>17</v>
      </c>
      <c r="I475" s="4" t="s">
        <v>69</v>
      </c>
      <c r="J475" s="4" t="s">
        <v>66</v>
      </c>
      <c r="K475" s="4">
        <v>1</v>
      </c>
      <c r="L475" s="94">
        <v>22165</v>
      </c>
      <c r="M475" s="94">
        <v>132990</v>
      </c>
    </row>
    <row r="476" spans="3:13" x14ac:dyDescent="0.3">
      <c r="C476" t="s">
        <v>61</v>
      </c>
      <c r="D476" t="s">
        <v>62</v>
      </c>
      <c r="E476" t="s">
        <v>68</v>
      </c>
      <c r="F476" t="s">
        <v>24</v>
      </c>
      <c r="G476" s="4">
        <v>4</v>
      </c>
      <c r="I476" s="4" t="s">
        <v>65</v>
      </c>
      <c r="J476" s="4" t="s">
        <v>66</v>
      </c>
      <c r="K476" s="4">
        <v>1</v>
      </c>
      <c r="L476" s="94">
        <v>758401</v>
      </c>
      <c r="M476" s="94">
        <v>3033604</v>
      </c>
    </row>
    <row r="477" spans="3:13" x14ac:dyDescent="0.3">
      <c r="C477" t="s">
        <v>71</v>
      </c>
      <c r="D477" t="s">
        <v>67</v>
      </c>
      <c r="E477" t="s">
        <v>63</v>
      </c>
      <c r="F477" t="s">
        <v>26</v>
      </c>
      <c r="G477" s="4">
        <v>-1</v>
      </c>
      <c r="H477" s="4" t="s">
        <v>87</v>
      </c>
      <c r="I477" s="4" t="s">
        <v>69</v>
      </c>
      <c r="J477" s="4" t="s">
        <v>66</v>
      </c>
      <c r="K477" s="4">
        <v>0</v>
      </c>
      <c r="L477" s="94">
        <v>0</v>
      </c>
      <c r="M477" s="94">
        <v>0</v>
      </c>
    </row>
    <row r="478" spans="3:13" x14ac:dyDescent="0.3">
      <c r="C478" t="s">
        <v>61</v>
      </c>
      <c r="D478" t="s">
        <v>67</v>
      </c>
      <c r="E478" t="s">
        <v>63</v>
      </c>
      <c r="F478" t="s">
        <v>25</v>
      </c>
      <c r="G478" s="4">
        <v>4</v>
      </c>
      <c r="H478" s="4" t="s">
        <v>14</v>
      </c>
      <c r="I478" s="4" t="s">
        <v>69</v>
      </c>
      <c r="J478" s="4" t="s">
        <v>66</v>
      </c>
      <c r="K478" s="4">
        <v>0</v>
      </c>
      <c r="L478" s="94">
        <v>-7807</v>
      </c>
      <c r="M478" s="94">
        <v>0</v>
      </c>
    </row>
    <row r="479" spans="3:13" x14ac:dyDescent="0.3">
      <c r="C479" t="s">
        <v>70</v>
      </c>
      <c r="D479" t="s">
        <v>67</v>
      </c>
      <c r="E479" t="s">
        <v>63</v>
      </c>
      <c r="F479" t="s">
        <v>26</v>
      </c>
      <c r="G479" s="4">
        <v>5</v>
      </c>
      <c r="H479" s="4" t="s">
        <v>14</v>
      </c>
      <c r="I479" s="4" t="s">
        <v>69</v>
      </c>
      <c r="J479" s="4" t="s">
        <v>66</v>
      </c>
      <c r="K479" s="4">
        <v>0</v>
      </c>
      <c r="L479" s="94">
        <v>-231011</v>
      </c>
      <c r="M479" s="94">
        <v>0</v>
      </c>
    </row>
    <row r="480" spans="3:13" x14ac:dyDescent="0.3">
      <c r="C480" t="s">
        <v>61</v>
      </c>
      <c r="D480" t="s">
        <v>67</v>
      </c>
      <c r="E480" t="s">
        <v>63</v>
      </c>
      <c r="F480" t="s">
        <v>25</v>
      </c>
      <c r="G480" s="4">
        <v>6</v>
      </c>
      <c r="H480" s="4" t="s">
        <v>14</v>
      </c>
      <c r="I480" s="4" t="s">
        <v>69</v>
      </c>
      <c r="J480" s="4" t="s">
        <v>73</v>
      </c>
      <c r="K480" s="4">
        <v>1</v>
      </c>
      <c r="L480" s="94">
        <v>-40</v>
      </c>
      <c r="M480" s="94">
        <v>0</v>
      </c>
    </row>
    <row r="481" spans="3:13" x14ac:dyDescent="0.3">
      <c r="C481" t="s">
        <v>61</v>
      </c>
      <c r="D481" t="s">
        <v>62</v>
      </c>
      <c r="E481" t="s">
        <v>63</v>
      </c>
      <c r="F481" t="s">
        <v>24</v>
      </c>
      <c r="G481" s="4">
        <v>35</v>
      </c>
      <c r="I481" s="4" t="s">
        <v>69</v>
      </c>
      <c r="J481" s="4" t="s">
        <v>66</v>
      </c>
      <c r="K481" s="4">
        <v>0</v>
      </c>
      <c r="L481" s="94">
        <v>-759740</v>
      </c>
      <c r="M481" s="94">
        <v>0</v>
      </c>
    </row>
    <row r="482" spans="3:13" x14ac:dyDescent="0.3">
      <c r="C482" t="s">
        <v>70</v>
      </c>
      <c r="D482" t="s">
        <v>67</v>
      </c>
      <c r="E482" t="s">
        <v>63</v>
      </c>
      <c r="F482" t="s">
        <v>25</v>
      </c>
      <c r="G482" s="4">
        <v>10</v>
      </c>
      <c r="H482" s="4" t="s">
        <v>12</v>
      </c>
      <c r="I482" s="4" t="s">
        <v>69</v>
      </c>
      <c r="J482" s="4" t="s">
        <v>66</v>
      </c>
      <c r="K482" s="4">
        <v>1</v>
      </c>
      <c r="L482" s="94">
        <v>-50874</v>
      </c>
      <c r="M482" s="94">
        <v>0</v>
      </c>
    </row>
    <row r="483" spans="3:13" x14ac:dyDescent="0.3">
      <c r="C483" t="s">
        <v>61</v>
      </c>
      <c r="D483" t="s">
        <v>67</v>
      </c>
      <c r="E483" t="s">
        <v>63</v>
      </c>
      <c r="F483" t="s">
        <v>26</v>
      </c>
      <c r="G483" s="4">
        <v>0</v>
      </c>
      <c r="H483" s="4" t="s">
        <v>14</v>
      </c>
      <c r="I483" s="4" t="s">
        <v>65</v>
      </c>
      <c r="J483" s="4" t="s">
        <v>73</v>
      </c>
      <c r="K483" s="4">
        <v>1</v>
      </c>
      <c r="L483" s="94">
        <v>-21928</v>
      </c>
      <c r="M483" s="94">
        <v>0</v>
      </c>
    </row>
    <row r="484" spans="3:13" x14ac:dyDescent="0.3">
      <c r="C484" t="s">
        <v>61</v>
      </c>
      <c r="D484" t="s">
        <v>62</v>
      </c>
      <c r="E484" t="s">
        <v>63</v>
      </c>
      <c r="F484" t="s">
        <v>25</v>
      </c>
      <c r="G484" s="4">
        <v>26</v>
      </c>
      <c r="I484" s="4" t="s">
        <v>69</v>
      </c>
      <c r="J484" s="4" t="s">
        <v>66</v>
      </c>
      <c r="K484" s="4">
        <v>0</v>
      </c>
      <c r="L484" s="94">
        <v>-475</v>
      </c>
      <c r="M484" s="94">
        <v>0</v>
      </c>
    </row>
    <row r="485" spans="3:13" x14ac:dyDescent="0.3">
      <c r="C485" t="s">
        <v>71</v>
      </c>
      <c r="D485" t="s">
        <v>67</v>
      </c>
      <c r="E485" t="s">
        <v>68</v>
      </c>
      <c r="F485" t="s">
        <v>26</v>
      </c>
      <c r="G485" s="4">
        <v>2</v>
      </c>
      <c r="H485" s="4" t="s">
        <v>12</v>
      </c>
      <c r="I485" s="4" t="s">
        <v>69</v>
      </c>
      <c r="J485" s="4" t="s">
        <v>66</v>
      </c>
      <c r="K485" s="4">
        <v>0</v>
      </c>
      <c r="L485" s="94">
        <v>82528</v>
      </c>
      <c r="M485" s="94">
        <v>165056</v>
      </c>
    </row>
    <row r="486" spans="3:13" x14ac:dyDescent="0.3">
      <c r="C486" t="s">
        <v>70</v>
      </c>
      <c r="D486" t="s">
        <v>67</v>
      </c>
      <c r="E486" t="s">
        <v>68</v>
      </c>
      <c r="F486" t="s">
        <v>72</v>
      </c>
      <c r="G486" s="4">
        <v>7</v>
      </c>
      <c r="H486" s="4" t="s">
        <v>77</v>
      </c>
      <c r="I486" s="4" t="s">
        <v>69</v>
      </c>
      <c r="J486" s="4" t="s">
        <v>66</v>
      </c>
      <c r="K486" s="4">
        <v>0</v>
      </c>
      <c r="L486" s="94">
        <v>117012</v>
      </c>
      <c r="M486" s="94">
        <v>819084</v>
      </c>
    </row>
    <row r="487" spans="3:13" x14ac:dyDescent="0.3">
      <c r="C487" t="s">
        <v>70</v>
      </c>
      <c r="D487" t="s">
        <v>62</v>
      </c>
      <c r="E487" t="s">
        <v>68</v>
      </c>
      <c r="F487" t="s">
        <v>24</v>
      </c>
      <c r="G487" s="4">
        <v>12</v>
      </c>
      <c r="I487" s="4" t="s">
        <v>69</v>
      </c>
      <c r="J487" s="4" t="s">
        <v>66</v>
      </c>
      <c r="K487" s="4">
        <v>1</v>
      </c>
      <c r="L487" s="94">
        <v>124032</v>
      </c>
      <c r="M487" s="94">
        <v>1488384</v>
      </c>
    </row>
    <row r="488" spans="3:13" x14ac:dyDescent="0.3">
      <c r="C488" t="s">
        <v>61</v>
      </c>
      <c r="D488" t="s">
        <v>67</v>
      </c>
      <c r="E488" t="s">
        <v>63</v>
      </c>
      <c r="F488" t="s">
        <v>25</v>
      </c>
      <c r="G488" s="4">
        <v>0</v>
      </c>
      <c r="H488" s="4" t="s">
        <v>14</v>
      </c>
      <c r="I488" s="4" t="s">
        <v>69</v>
      </c>
      <c r="J488" s="4" t="s">
        <v>66</v>
      </c>
      <c r="K488" s="4">
        <v>1</v>
      </c>
      <c r="L488" s="94">
        <v>-541</v>
      </c>
      <c r="M488" s="94">
        <v>0</v>
      </c>
    </row>
    <row r="489" spans="3:13" x14ac:dyDescent="0.3">
      <c r="C489" t="s">
        <v>70</v>
      </c>
      <c r="D489" t="s">
        <v>67</v>
      </c>
      <c r="E489" t="s">
        <v>68</v>
      </c>
      <c r="F489" t="s">
        <v>72</v>
      </c>
      <c r="G489" s="4">
        <v>6</v>
      </c>
      <c r="H489" s="4" t="s">
        <v>14</v>
      </c>
      <c r="I489" s="4" t="s">
        <v>69</v>
      </c>
      <c r="J489" s="4" t="s">
        <v>73</v>
      </c>
      <c r="K489" s="4">
        <v>1</v>
      </c>
      <c r="L489" s="94">
        <v>145215</v>
      </c>
      <c r="M489" s="94">
        <v>871290</v>
      </c>
    </row>
    <row r="490" spans="3:13" x14ac:dyDescent="0.3">
      <c r="C490" t="s">
        <v>61</v>
      </c>
      <c r="D490" t="s">
        <v>67</v>
      </c>
      <c r="E490" t="s">
        <v>68</v>
      </c>
      <c r="F490" t="s">
        <v>26</v>
      </c>
      <c r="G490" s="4">
        <v>1</v>
      </c>
      <c r="H490" s="4" t="s">
        <v>18</v>
      </c>
      <c r="I490" s="4" t="s">
        <v>65</v>
      </c>
      <c r="J490" s="4" t="s">
        <v>66</v>
      </c>
      <c r="K490" s="4">
        <v>1</v>
      </c>
      <c r="L490" s="94">
        <v>185677</v>
      </c>
      <c r="M490" s="94">
        <v>185677</v>
      </c>
    </row>
    <row r="491" spans="3:13" x14ac:dyDescent="0.3">
      <c r="C491" t="s">
        <v>61</v>
      </c>
      <c r="D491" t="s">
        <v>67</v>
      </c>
      <c r="E491" t="s">
        <v>63</v>
      </c>
      <c r="F491" t="s">
        <v>25</v>
      </c>
      <c r="G491" s="4">
        <v>6</v>
      </c>
      <c r="H491" s="4" t="s">
        <v>78</v>
      </c>
      <c r="I491" s="4" t="s">
        <v>69</v>
      </c>
      <c r="J491" s="4" t="s">
        <v>66</v>
      </c>
      <c r="K491" s="4">
        <v>0</v>
      </c>
      <c r="L491" s="94">
        <v>-5859</v>
      </c>
      <c r="M491" s="94">
        <v>0</v>
      </c>
    </row>
    <row r="492" spans="3:13" x14ac:dyDescent="0.3">
      <c r="C492" t="s">
        <v>61</v>
      </c>
      <c r="D492" t="s">
        <v>67</v>
      </c>
      <c r="E492" t="s">
        <v>68</v>
      </c>
      <c r="F492" t="s">
        <v>72</v>
      </c>
      <c r="G492" s="4">
        <v>1</v>
      </c>
      <c r="H492" s="4" t="s">
        <v>75</v>
      </c>
      <c r="I492" s="4" t="s">
        <v>69</v>
      </c>
      <c r="J492" s="4" t="s">
        <v>66</v>
      </c>
      <c r="K492" s="4">
        <v>0</v>
      </c>
      <c r="L492" s="94">
        <v>3752250</v>
      </c>
      <c r="M492" s="94">
        <v>3752250</v>
      </c>
    </row>
    <row r="493" spans="3:13" x14ac:dyDescent="0.3">
      <c r="C493" t="s">
        <v>61</v>
      </c>
      <c r="D493" t="s">
        <v>67</v>
      </c>
      <c r="E493" t="s">
        <v>68</v>
      </c>
      <c r="F493" t="s">
        <v>25</v>
      </c>
      <c r="G493" s="4">
        <v>5</v>
      </c>
      <c r="H493" s="4" t="s">
        <v>12</v>
      </c>
      <c r="I493" s="4" t="s">
        <v>69</v>
      </c>
      <c r="J493" s="4" t="s">
        <v>66</v>
      </c>
      <c r="K493" s="4">
        <v>1</v>
      </c>
      <c r="L493" s="94">
        <v>13545544</v>
      </c>
      <c r="M493" s="94">
        <v>67727720</v>
      </c>
    </row>
    <row r="494" spans="3:13" x14ac:dyDescent="0.3">
      <c r="D494" t="s">
        <v>67</v>
      </c>
      <c r="E494" t="s">
        <v>68</v>
      </c>
      <c r="G494" s="4">
        <v>-3</v>
      </c>
      <c r="H494" s="4" t="s">
        <v>14</v>
      </c>
      <c r="I494" s="4" t="s">
        <v>69</v>
      </c>
      <c r="J494" s="4" t="s">
        <v>66</v>
      </c>
      <c r="K494" s="4">
        <v>0</v>
      </c>
      <c r="L494" s="94">
        <v>35578</v>
      </c>
      <c r="M494" s="94">
        <v>0</v>
      </c>
    </row>
    <row r="495" spans="3:13" x14ac:dyDescent="0.3">
      <c r="C495" t="s">
        <v>70</v>
      </c>
      <c r="D495" t="s">
        <v>67</v>
      </c>
      <c r="E495" t="s">
        <v>63</v>
      </c>
      <c r="F495" t="s">
        <v>25</v>
      </c>
      <c r="G495" s="4">
        <v>8</v>
      </c>
      <c r="H495" s="4" t="s">
        <v>17</v>
      </c>
      <c r="I495" s="4" t="s">
        <v>69</v>
      </c>
      <c r="J495" s="4" t="s">
        <v>66</v>
      </c>
      <c r="K495" s="4">
        <v>0</v>
      </c>
      <c r="L495" s="94">
        <v>-33355</v>
      </c>
      <c r="M495" s="94">
        <v>0</v>
      </c>
    </row>
    <row r="496" spans="3:13" x14ac:dyDescent="0.3">
      <c r="C496" t="s">
        <v>61</v>
      </c>
      <c r="D496" t="s">
        <v>84</v>
      </c>
      <c r="E496" t="s">
        <v>63</v>
      </c>
      <c r="F496" t="s">
        <v>25</v>
      </c>
      <c r="G496" s="4">
        <v>14</v>
      </c>
      <c r="H496" s="4" t="s">
        <v>75</v>
      </c>
      <c r="I496" s="4" t="s">
        <v>69</v>
      </c>
      <c r="J496" s="4" t="s">
        <v>66</v>
      </c>
      <c r="K496" s="4">
        <v>0</v>
      </c>
      <c r="L496" s="94">
        <v>-2561</v>
      </c>
      <c r="M496" s="94">
        <v>0</v>
      </c>
    </row>
    <row r="497" spans="3:13" x14ac:dyDescent="0.3">
      <c r="C497" t="s">
        <v>70</v>
      </c>
      <c r="D497" t="s">
        <v>62</v>
      </c>
      <c r="E497" t="s">
        <v>63</v>
      </c>
      <c r="F497" t="s">
        <v>24</v>
      </c>
      <c r="G497" s="4">
        <v>55</v>
      </c>
      <c r="I497" s="4" t="s">
        <v>69</v>
      </c>
      <c r="J497" s="4" t="s">
        <v>66</v>
      </c>
      <c r="K497" s="4">
        <v>0</v>
      </c>
      <c r="L497" s="94">
        <v>-800</v>
      </c>
      <c r="M497" s="94">
        <v>0</v>
      </c>
    </row>
    <row r="498" spans="3:13" x14ac:dyDescent="0.3">
      <c r="C498" t="s">
        <v>61</v>
      </c>
      <c r="D498" t="s">
        <v>67</v>
      </c>
      <c r="E498" t="s">
        <v>63</v>
      </c>
      <c r="F498" t="s">
        <v>26</v>
      </c>
      <c r="G498" s="4">
        <v>7</v>
      </c>
      <c r="H498" s="4" t="s">
        <v>17</v>
      </c>
      <c r="I498" s="4" t="s">
        <v>69</v>
      </c>
      <c r="J498" s="4" t="s">
        <v>66</v>
      </c>
      <c r="K498" s="4">
        <v>0</v>
      </c>
      <c r="L498" s="94">
        <v>-3163</v>
      </c>
      <c r="M498" s="94">
        <v>0</v>
      </c>
    </row>
    <row r="499" spans="3:13" x14ac:dyDescent="0.3">
      <c r="C499" t="s">
        <v>70</v>
      </c>
      <c r="D499" t="s">
        <v>67</v>
      </c>
      <c r="E499" t="s">
        <v>68</v>
      </c>
      <c r="F499" t="s">
        <v>72</v>
      </c>
      <c r="G499" s="4">
        <v>-4</v>
      </c>
      <c r="H499" s="4" t="s">
        <v>17</v>
      </c>
      <c r="I499" s="4" t="s">
        <v>69</v>
      </c>
      <c r="J499" s="4" t="s">
        <v>73</v>
      </c>
      <c r="K499" s="4">
        <v>1</v>
      </c>
      <c r="L499" s="94">
        <v>416</v>
      </c>
      <c r="M499" s="94">
        <v>0</v>
      </c>
    </row>
    <row r="500" spans="3:13" x14ac:dyDescent="0.3">
      <c r="C500" t="s">
        <v>71</v>
      </c>
      <c r="D500" t="s">
        <v>67</v>
      </c>
      <c r="E500" t="s">
        <v>63</v>
      </c>
      <c r="F500" t="s">
        <v>72</v>
      </c>
      <c r="G500" s="4">
        <v>2</v>
      </c>
      <c r="H500" s="4" t="s">
        <v>82</v>
      </c>
      <c r="I500" s="4" t="s">
        <v>69</v>
      </c>
      <c r="J500" s="4" t="s">
        <v>66</v>
      </c>
      <c r="K500" s="4">
        <v>0</v>
      </c>
      <c r="L500" s="94">
        <v>-98587</v>
      </c>
      <c r="M500" s="94">
        <v>0</v>
      </c>
    </row>
    <row r="501" spans="3:13" x14ac:dyDescent="0.3">
      <c r="C501" t="s">
        <v>61</v>
      </c>
      <c r="D501" t="s">
        <v>67</v>
      </c>
      <c r="E501" t="s">
        <v>63</v>
      </c>
      <c r="F501" t="s">
        <v>26</v>
      </c>
      <c r="G501" s="4">
        <v>-1</v>
      </c>
      <c r="H501" s="4" t="s">
        <v>76</v>
      </c>
      <c r="I501" s="4" t="s">
        <v>69</v>
      </c>
      <c r="J501" s="4" t="s">
        <v>66</v>
      </c>
      <c r="K501" s="4">
        <v>0</v>
      </c>
      <c r="L501" s="94">
        <v>-177030</v>
      </c>
      <c r="M501" s="94">
        <v>0</v>
      </c>
    </row>
    <row r="502" spans="3:13" x14ac:dyDescent="0.3">
      <c r="C502" t="s">
        <v>71</v>
      </c>
      <c r="D502" t="s">
        <v>67</v>
      </c>
      <c r="E502" t="s">
        <v>68</v>
      </c>
      <c r="F502" t="s">
        <v>25</v>
      </c>
      <c r="G502" s="4">
        <v>5</v>
      </c>
      <c r="H502" s="4" t="s">
        <v>18</v>
      </c>
      <c r="I502" s="4" t="s">
        <v>69</v>
      </c>
      <c r="J502" s="4" t="s">
        <v>66</v>
      </c>
      <c r="K502" s="4">
        <v>1</v>
      </c>
      <c r="L502" s="94">
        <v>71691</v>
      </c>
      <c r="M502" s="94">
        <v>358455</v>
      </c>
    </row>
    <row r="503" spans="3:13" x14ac:dyDescent="0.3">
      <c r="C503" t="s">
        <v>71</v>
      </c>
      <c r="D503" t="s">
        <v>67</v>
      </c>
      <c r="E503" t="s">
        <v>63</v>
      </c>
      <c r="F503" t="s">
        <v>26</v>
      </c>
      <c r="G503" s="4">
        <v>2</v>
      </c>
      <c r="H503" s="4" t="s">
        <v>17</v>
      </c>
      <c r="I503" s="4" t="s">
        <v>65</v>
      </c>
      <c r="J503" s="4" t="s">
        <v>73</v>
      </c>
      <c r="K503" s="4">
        <v>1</v>
      </c>
      <c r="L503" s="94">
        <v>-20461</v>
      </c>
      <c r="M503" s="94">
        <v>0</v>
      </c>
    </row>
    <row r="504" spans="3:13" x14ac:dyDescent="0.3">
      <c r="C504" t="s">
        <v>61</v>
      </c>
      <c r="D504" t="s">
        <v>67</v>
      </c>
      <c r="E504" t="s">
        <v>63</v>
      </c>
      <c r="F504" t="s">
        <v>25</v>
      </c>
      <c r="G504" s="4">
        <v>-1</v>
      </c>
      <c r="H504" s="4" t="s">
        <v>83</v>
      </c>
      <c r="I504" s="4" t="s">
        <v>69</v>
      </c>
      <c r="J504" s="4" t="s">
        <v>66</v>
      </c>
      <c r="K504" s="4">
        <v>0</v>
      </c>
      <c r="L504" s="94">
        <v>-820</v>
      </c>
      <c r="M504" s="94">
        <v>0</v>
      </c>
    </row>
    <row r="505" spans="3:13" x14ac:dyDescent="0.3">
      <c r="C505" t="s">
        <v>71</v>
      </c>
      <c r="D505" t="s">
        <v>67</v>
      </c>
      <c r="E505" t="s">
        <v>63</v>
      </c>
      <c r="F505" t="s">
        <v>26</v>
      </c>
      <c r="G505" s="4">
        <v>1</v>
      </c>
      <c r="H505" s="4" t="s">
        <v>12</v>
      </c>
      <c r="I505" s="4" t="s">
        <v>69</v>
      </c>
      <c r="J505" s="4" t="s">
        <v>66</v>
      </c>
      <c r="K505" s="4">
        <v>0</v>
      </c>
      <c r="L505" s="94">
        <v>-102120</v>
      </c>
      <c r="M505" s="94">
        <v>0</v>
      </c>
    </row>
    <row r="506" spans="3:13" x14ac:dyDescent="0.3">
      <c r="C506" t="s">
        <v>70</v>
      </c>
      <c r="D506" t="s">
        <v>67</v>
      </c>
      <c r="E506" t="s">
        <v>68</v>
      </c>
      <c r="F506" t="s">
        <v>25</v>
      </c>
      <c r="G506" s="4">
        <v>0</v>
      </c>
      <c r="H506" s="4" t="s">
        <v>82</v>
      </c>
      <c r="I506" s="4" t="s">
        <v>69</v>
      </c>
      <c r="J506" s="4" t="s">
        <v>66</v>
      </c>
      <c r="K506" s="4">
        <v>0</v>
      </c>
      <c r="L506" s="94">
        <v>24447</v>
      </c>
      <c r="M506" s="94">
        <v>0</v>
      </c>
    </row>
    <row r="507" spans="3:13" x14ac:dyDescent="0.3">
      <c r="C507" t="s">
        <v>70</v>
      </c>
      <c r="D507" t="s">
        <v>67</v>
      </c>
      <c r="E507" t="s">
        <v>68</v>
      </c>
      <c r="F507" t="s">
        <v>26</v>
      </c>
      <c r="G507" s="4">
        <v>1</v>
      </c>
      <c r="H507" s="4" t="s">
        <v>80</v>
      </c>
      <c r="I507" s="4" t="s">
        <v>69</v>
      </c>
      <c r="J507" s="4" t="s">
        <v>66</v>
      </c>
      <c r="K507" s="4">
        <v>0</v>
      </c>
      <c r="L507" s="94">
        <v>298436</v>
      </c>
      <c r="M507" s="94">
        <v>298436</v>
      </c>
    </row>
    <row r="508" spans="3:13" x14ac:dyDescent="0.3">
      <c r="C508" t="s">
        <v>61</v>
      </c>
      <c r="D508" t="s">
        <v>67</v>
      </c>
      <c r="E508" t="s">
        <v>63</v>
      </c>
      <c r="F508" t="s">
        <v>26</v>
      </c>
      <c r="G508" s="4">
        <v>2</v>
      </c>
      <c r="H508" s="4" t="s">
        <v>79</v>
      </c>
      <c r="I508" s="4" t="s">
        <v>69</v>
      </c>
      <c r="J508" s="4" t="s">
        <v>66</v>
      </c>
      <c r="K508" s="4">
        <v>0</v>
      </c>
      <c r="L508" s="94">
        <v>-48750</v>
      </c>
      <c r="M508" s="94">
        <v>0</v>
      </c>
    </row>
    <row r="509" spans="3:13" x14ac:dyDescent="0.3">
      <c r="C509" t="s">
        <v>71</v>
      </c>
      <c r="D509" t="s">
        <v>67</v>
      </c>
      <c r="E509" t="s">
        <v>63</v>
      </c>
      <c r="F509" t="s">
        <v>72</v>
      </c>
      <c r="G509" s="4">
        <v>-4</v>
      </c>
      <c r="H509" s="4" t="s">
        <v>17</v>
      </c>
      <c r="I509" s="4" t="s">
        <v>69</v>
      </c>
      <c r="J509" s="4" t="s">
        <v>66</v>
      </c>
      <c r="K509" s="4">
        <v>0</v>
      </c>
      <c r="L509" s="94">
        <v>-431608</v>
      </c>
      <c r="M509" s="94">
        <v>0</v>
      </c>
    </row>
    <row r="510" spans="3:13" x14ac:dyDescent="0.3">
      <c r="C510" t="s">
        <v>61</v>
      </c>
      <c r="D510" t="s">
        <v>84</v>
      </c>
      <c r="E510" t="s">
        <v>68</v>
      </c>
      <c r="F510" t="s">
        <v>25</v>
      </c>
      <c r="G510" s="4">
        <v>2</v>
      </c>
      <c r="H510" s="4" t="s">
        <v>81</v>
      </c>
      <c r="I510" s="4" t="s">
        <v>69</v>
      </c>
      <c r="J510" s="4" t="s">
        <v>66</v>
      </c>
      <c r="K510" s="4">
        <v>0</v>
      </c>
      <c r="L510" s="94">
        <v>19254529</v>
      </c>
      <c r="M510" s="94">
        <v>38509058</v>
      </c>
    </row>
    <row r="511" spans="3:13" x14ac:dyDescent="0.3">
      <c r="C511" t="s">
        <v>71</v>
      </c>
      <c r="D511" t="s">
        <v>62</v>
      </c>
      <c r="E511" t="s">
        <v>68</v>
      </c>
      <c r="F511" t="s">
        <v>25</v>
      </c>
      <c r="G511" s="4">
        <v>1</v>
      </c>
      <c r="I511" s="4" t="s">
        <v>69</v>
      </c>
      <c r="J511" s="4" t="s">
        <v>66</v>
      </c>
      <c r="K511" s="4">
        <v>0</v>
      </c>
      <c r="L511" s="94">
        <v>15548</v>
      </c>
      <c r="M511" s="94">
        <v>15548</v>
      </c>
    </row>
    <row r="512" spans="3:13" x14ac:dyDescent="0.3">
      <c r="C512" t="s">
        <v>71</v>
      </c>
      <c r="D512" t="s">
        <v>67</v>
      </c>
      <c r="E512" t="s">
        <v>68</v>
      </c>
      <c r="F512" t="s">
        <v>25</v>
      </c>
      <c r="G512" s="4">
        <v>1</v>
      </c>
      <c r="H512" s="4" t="s">
        <v>14</v>
      </c>
      <c r="I512" s="4" t="s">
        <v>69</v>
      </c>
      <c r="J512" s="4" t="s">
        <v>66</v>
      </c>
      <c r="K512" s="4">
        <v>0</v>
      </c>
      <c r="L512" s="94">
        <v>261749</v>
      </c>
      <c r="M512" s="94">
        <v>261749</v>
      </c>
    </row>
    <row r="513" spans="3:13" x14ac:dyDescent="0.3">
      <c r="C513" t="s">
        <v>71</v>
      </c>
      <c r="D513" t="s">
        <v>67</v>
      </c>
      <c r="E513" t="s">
        <v>63</v>
      </c>
      <c r="F513" t="s">
        <v>26</v>
      </c>
      <c r="G513" s="4">
        <v>0</v>
      </c>
      <c r="H513" s="4" t="s">
        <v>77</v>
      </c>
      <c r="I513" s="4" t="s">
        <v>69</v>
      </c>
      <c r="J513" s="4" t="s">
        <v>66</v>
      </c>
      <c r="K513" s="4">
        <v>0</v>
      </c>
      <c r="L513" s="94">
        <v>-105122</v>
      </c>
      <c r="M513" s="94">
        <v>0</v>
      </c>
    </row>
    <row r="514" spans="3:13" x14ac:dyDescent="0.3">
      <c r="C514" t="s">
        <v>71</v>
      </c>
      <c r="D514" t="s">
        <v>67</v>
      </c>
      <c r="E514" t="s">
        <v>68</v>
      </c>
      <c r="F514" t="s">
        <v>26</v>
      </c>
      <c r="G514" s="4">
        <v>3</v>
      </c>
      <c r="H514" s="4" t="s">
        <v>76</v>
      </c>
      <c r="I514" s="4" t="s">
        <v>69</v>
      </c>
      <c r="J514" s="4" t="s">
        <v>66</v>
      </c>
      <c r="K514" s="4">
        <v>0</v>
      </c>
      <c r="L514" s="94">
        <v>1109683</v>
      </c>
      <c r="M514" s="94">
        <v>3329049</v>
      </c>
    </row>
    <row r="515" spans="3:13" x14ac:dyDescent="0.3">
      <c r="C515" t="s">
        <v>71</v>
      </c>
      <c r="D515" t="s">
        <v>67</v>
      </c>
      <c r="E515" t="s">
        <v>68</v>
      </c>
      <c r="F515" t="s">
        <v>25</v>
      </c>
      <c r="G515" s="4">
        <v>1</v>
      </c>
      <c r="H515" s="4" t="s">
        <v>14</v>
      </c>
      <c r="I515" s="4" t="s">
        <v>69</v>
      </c>
      <c r="J515" s="4" t="s">
        <v>73</v>
      </c>
      <c r="K515" s="4">
        <v>1</v>
      </c>
      <c r="L515" s="94">
        <v>339154</v>
      </c>
      <c r="M515" s="94">
        <v>339154</v>
      </c>
    </row>
    <row r="516" spans="3:13" x14ac:dyDescent="0.3">
      <c r="C516" t="s">
        <v>70</v>
      </c>
      <c r="D516" t="s">
        <v>62</v>
      </c>
      <c r="E516" t="s">
        <v>68</v>
      </c>
      <c r="F516" t="s">
        <v>25</v>
      </c>
      <c r="G516" s="4">
        <v>22</v>
      </c>
      <c r="I516" s="4" t="s">
        <v>69</v>
      </c>
      <c r="J516" s="4" t="s">
        <v>66</v>
      </c>
      <c r="K516" s="4">
        <v>0</v>
      </c>
      <c r="L516" s="94">
        <v>191075</v>
      </c>
      <c r="M516" s="94">
        <v>4203650</v>
      </c>
    </row>
    <row r="517" spans="3:13" x14ac:dyDescent="0.3">
      <c r="C517" t="s">
        <v>61</v>
      </c>
      <c r="D517" t="s">
        <v>62</v>
      </c>
      <c r="E517" t="s">
        <v>68</v>
      </c>
      <c r="F517" t="s">
        <v>25</v>
      </c>
      <c r="G517" s="4">
        <v>0</v>
      </c>
      <c r="I517" s="4" t="s">
        <v>69</v>
      </c>
      <c r="J517" s="4" t="s">
        <v>66</v>
      </c>
      <c r="K517" s="4">
        <v>1</v>
      </c>
      <c r="L517" s="94">
        <v>34312</v>
      </c>
      <c r="M517" s="94">
        <v>0</v>
      </c>
    </row>
    <row r="518" spans="3:13" x14ac:dyDescent="0.3">
      <c r="C518" t="s">
        <v>70</v>
      </c>
      <c r="D518" t="s">
        <v>67</v>
      </c>
      <c r="E518" t="s">
        <v>68</v>
      </c>
      <c r="F518" t="s">
        <v>25</v>
      </c>
      <c r="G518" s="4">
        <v>11</v>
      </c>
      <c r="H518" s="4" t="s">
        <v>75</v>
      </c>
      <c r="I518" s="4" t="s">
        <v>69</v>
      </c>
      <c r="J518" s="4" t="s">
        <v>66</v>
      </c>
      <c r="K518" s="4">
        <v>0</v>
      </c>
      <c r="L518" s="94">
        <v>4406937</v>
      </c>
      <c r="M518" s="94">
        <v>48476307</v>
      </c>
    </row>
    <row r="519" spans="3:13" x14ac:dyDescent="0.3">
      <c r="C519" t="s">
        <v>61</v>
      </c>
      <c r="D519" t="s">
        <v>67</v>
      </c>
      <c r="E519" t="s">
        <v>68</v>
      </c>
      <c r="F519" t="s">
        <v>72</v>
      </c>
      <c r="G519" s="4">
        <v>1</v>
      </c>
      <c r="H519" s="4" t="s">
        <v>83</v>
      </c>
      <c r="I519" s="4" t="s">
        <v>69</v>
      </c>
      <c r="J519" s="4" t="s">
        <v>66</v>
      </c>
      <c r="K519" s="4">
        <v>0</v>
      </c>
      <c r="L519" s="94">
        <v>205819</v>
      </c>
      <c r="M519" s="94">
        <v>205819</v>
      </c>
    </row>
    <row r="520" spans="3:13" x14ac:dyDescent="0.3">
      <c r="C520" t="s">
        <v>71</v>
      </c>
      <c r="D520" t="s">
        <v>67</v>
      </c>
      <c r="E520" t="s">
        <v>63</v>
      </c>
      <c r="F520" t="s">
        <v>25</v>
      </c>
      <c r="G520" s="4">
        <v>8</v>
      </c>
      <c r="H520" s="4" t="s">
        <v>14</v>
      </c>
      <c r="I520" s="4" t="s">
        <v>69</v>
      </c>
      <c r="J520" s="4" t="s">
        <v>66</v>
      </c>
      <c r="K520" s="4">
        <v>0</v>
      </c>
      <c r="L520" s="94">
        <v>-561933</v>
      </c>
      <c r="M520" s="94">
        <v>0</v>
      </c>
    </row>
    <row r="521" spans="3:13" x14ac:dyDescent="0.3">
      <c r="C521" t="s">
        <v>71</v>
      </c>
      <c r="D521" t="s">
        <v>67</v>
      </c>
      <c r="E521" t="s">
        <v>68</v>
      </c>
      <c r="F521" t="s">
        <v>26</v>
      </c>
      <c r="G521" s="4">
        <v>7</v>
      </c>
      <c r="H521" s="4" t="s">
        <v>17</v>
      </c>
      <c r="I521" s="4" t="s">
        <v>65</v>
      </c>
      <c r="J521" s="4" t="s">
        <v>73</v>
      </c>
      <c r="K521" s="4">
        <v>1</v>
      </c>
      <c r="L521" s="94">
        <v>12474</v>
      </c>
      <c r="M521" s="94">
        <v>87318</v>
      </c>
    </row>
    <row r="522" spans="3:13" x14ac:dyDescent="0.3">
      <c r="C522" t="s">
        <v>61</v>
      </c>
      <c r="D522" t="s">
        <v>67</v>
      </c>
      <c r="E522" t="s">
        <v>63</v>
      </c>
      <c r="F522" t="s">
        <v>25</v>
      </c>
      <c r="G522" s="4">
        <v>6</v>
      </c>
      <c r="H522" s="4" t="s">
        <v>64</v>
      </c>
      <c r="I522" s="4" t="s">
        <v>69</v>
      </c>
      <c r="J522" s="4" t="s">
        <v>66</v>
      </c>
      <c r="K522" s="4">
        <v>0</v>
      </c>
      <c r="L522" s="94">
        <v>-8788</v>
      </c>
      <c r="M522" s="94">
        <v>0</v>
      </c>
    </row>
    <row r="523" spans="3:13" x14ac:dyDescent="0.3">
      <c r="C523" t="s">
        <v>71</v>
      </c>
      <c r="D523" t="s">
        <v>67</v>
      </c>
      <c r="E523" t="s">
        <v>63</v>
      </c>
      <c r="F523" t="s">
        <v>72</v>
      </c>
      <c r="G523" s="4">
        <v>4</v>
      </c>
      <c r="H523" s="4" t="s">
        <v>64</v>
      </c>
      <c r="I523" s="4" t="s">
        <v>69</v>
      </c>
      <c r="J523" s="4" t="s">
        <v>66</v>
      </c>
      <c r="K523" s="4">
        <v>0</v>
      </c>
      <c r="L523" s="94">
        <v>-24357</v>
      </c>
      <c r="M523" s="94">
        <v>0</v>
      </c>
    </row>
    <row r="524" spans="3:13" x14ac:dyDescent="0.3">
      <c r="C524" t="s">
        <v>61</v>
      </c>
      <c r="D524" t="s">
        <v>67</v>
      </c>
      <c r="E524" t="s">
        <v>68</v>
      </c>
      <c r="F524" t="s">
        <v>26</v>
      </c>
      <c r="G524" s="4">
        <v>2</v>
      </c>
      <c r="H524" s="4" t="s">
        <v>87</v>
      </c>
      <c r="I524" s="4" t="s">
        <v>69</v>
      </c>
      <c r="J524" s="4" t="s">
        <v>66</v>
      </c>
      <c r="K524" s="4">
        <v>0</v>
      </c>
      <c r="L524" s="94">
        <v>113065</v>
      </c>
      <c r="M524" s="94">
        <v>226130</v>
      </c>
    </row>
    <row r="525" spans="3:13" x14ac:dyDescent="0.3">
      <c r="C525" t="s">
        <v>71</v>
      </c>
      <c r="D525" t="s">
        <v>67</v>
      </c>
      <c r="E525" t="s">
        <v>63</v>
      </c>
      <c r="F525" t="s">
        <v>72</v>
      </c>
      <c r="G525" s="4">
        <v>1</v>
      </c>
      <c r="H525" s="4" t="s">
        <v>14</v>
      </c>
      <c r="I525" s="4" t="s">
        <v>65</v>
      </c>
      <c r="J525" s="4" t="s">
        <v>66</v>
      </c>
      <c r="K525" s="4">
        <v>1</v>
      </c>
      <c r="L525" s="94">
        <v>-16314</v>
      </c>
      <c r="M525" s="94">
        <v>0</v>
      </c>
    </row>
    <row r="526" spans="3:13" x14ac:dyDescent="0.3">
      <c r="C526" t="s">
        <v>70</v>
      </c>
      <c r="D526" t="s">
        <v>67</v>
      </c>
      <c r="E526" t="s">
        <v>63</v>
      </c>
      <c r="F526" t="s">
        <v>72</v>
      </c>
      <c r="G526" s="4">
        <v>-1</v>
      </c>
      <c r="H526" s="4" t="s">
        <v>75</v>
      </c>
      <c r="I526" s="4" t="s">
        <v>69</v>
      </c>
      <c r="J526" s="4" t="s">
        <v>66</v>
      </c>
      <c r="K526" s="4">
        <v>0</v>
      </c>
      <c r="L526" s="94">
        <v>-39128</v>
      </c>
      <c r="M526" s="94">
        <v>0</v>
      </c>
    </row>
    <row r="527" spans="3:13" x14ac:dyDescent="0.3">
      <c r="C527" t="s">
        <v>71</v>
      </c>
      <c r="D527" t="s">
        <v>67</v>
      </c>
      <c r="E527" t="s">
        <v>68</v>
      </c>
      <c r="F527" t="s">
        <v>25</v>
      </c>
      <c r="G527" s="4">
        <v>8</v>
      </c>
      <c r="H527" s="4" t="s">
        <v>18</v>
      </c>
      <c r="I527" s="4" t="s">
        <v>69</v>
      </c>
      <c r="J527" s="4" t="s">
        <v>66</v>
      </c>
      <c r="K527" s="4">
        <v>0</v>
      </c>
      <c r="L527" s="94">
        <v>191262</v>
      </c>
      <c r="M527" s="94">
        <v>1530096</v>
      </c>
    </row>
    <row r="528" spans="3:13" x14ac:dyDescent="0.3">
      <c r="C528" t="s">
        <v>70</v>
      </c>
      <c r="D528" t="s">
        <v>67</v>
      </c>
      <c r="E528" t="s">
        <v>68</v>
      </c>
      <c r="F528" t="s">
        <v>25</v>
      </c>
      <c r="G528" s="4">
        <v>16</v>
      </c>
      <c r="H528" s="4" t="s">
        <v>12</v>
      </c>
      <c r="I528" s="4" t="s">
        <v>69</v>
      </c>
      <c r="J528" s="4" t="s">
        <v>66</v>
      </c>
      <c r="K528" s="4">
        <v>1</v>
      </c>
      <c r="L528" s="94">
        <v>486827</v>
      </c>
      <c r="M528" s="94">
        <v>7789232</v>
      </c>
    </row>
    <row r="529" spans="3:13" x14ac:dyDescent="0.3">
      <c r="C529" t="s">
        <v>61</v>
      </c>
      <c r="D529" t="s">
        <v>62</v>
      </c>
      <c r="E529" t="s">
        <v>68</v>
      </c>
      <c r="F529" t="s">
        <v>25</v>
      </c>
      <c r="G529" s="4">
        <v>18</v>
      </c>
      <c r="I529" s="4" t="s">
        <v>65</v>
      </c>
      <c r="J529" s="4" t="s">
        <v>66</v>
      </c>
      <c r="K529" s="4">
        <v>1</v>
      </c>
      <c r="L529" s="94">
        <v>25730</v>
      </c>
      <c r="M529" s="94">
        <v>463140</v>
      </c>
    </row>
    <row r="530" spans="3:13" x14ac:dyDescent="0.3">
      <c r="C530" t="s">
        <v>61</v>
      </c>
      <c r="D530" t="s">
        <v>67</v>
      </c>
      <c r="E530" t="s">
        <v>68</v>
      </c>
      <c r="F530" t="s">
        <v>26</v>
      </c>
      <c r="G530" s="4">
        <v>9</v>
      </c>
      <c r="H530" s="4" t="s">
        <v>79</v>
      </c>
      <c r="I530" s="4" t="s">
        <v>69</v>
      </c>
      <c r="J530" s="4" t="s">
        <v>66</v>
      </c>
      <c r="K530" s="4">
        <v>0</v>
      </c>
      <c r="L530" s="94">
        <v>419973</v>
      </c>
      <c r="M530" s="94">
        <v>3779757</v>
      </c>
    </row>
    <row r="531" spans="3:13" x14ac:dyDescent="0.3">
      <c r="C531" t="s">
        <v>70</v>
      </c>
      <c r="D531" t="s">
        <v>62</v>
      </c>
      <c r="E531" t="s">
        <v>68</v>
      </c>
      <c r="F531" t="s">
        <v>25</v>
      </c>
      <c r="G531" s="4">
        <v>1</v>
      </c>
      <c r="I531" s="4" t="s">
        <v>69</v>
      </c>
      <c r="J531" s="4" t="s">
        <v>66</v>
      </c>
      <c r="K531" s="4">
        <v>1</v>
      </c>
      <c r="L531" s="94">
        <v>547</v>
      </c>
      <c r="M531" s="94">
        <v>547</v>
      </c>
    </row>
    <row r="532" spans="3:13" x14ac:dyDescent="0.3">
      <c r="C532" t="s">
        <v>61</v>
      </c>
      <c r="D532" t="s">
        <v>67</v>
      </c>
      <c r="E532" t="s">
        <v>68</v>
      </c>
      <c r="F532" t="s">
        <v>26</v>
      </c>
      <c r="G532" s="4">
        <v>3</v>
      </c>
      <c r="H532" s="4" t="s">
        <v>14</v>
      </c>
      <c r="I532" s="4" t="s">
        <v>69</v>
      </c>
      <c r="J532" s="4" t="s">
        <v>66</v>
      </c>
      <c r="K532" s="4">
        <v>0</v>
      </c>
      <c r="L532" s="94">
        <v>36149613</v>
      </c>
      <c r="M532" s="94">
        <v>108448839</v>
      </c>
    </row>
    <row r="533" spans="3:13" x14ac:dyDescent="0.3">
      <c r="C533" t="s">
        <v>61</v>
      </c>
      <c r="D533" t="s">
        <v>62</v>
      </c>
      <c r="E533" t="s">
        <v>68</v>
      </c>
      <c r="F533" t="s">
        <v>25</v>
      </c>
      <c r="G533" s="4">
        <v>9</v>
      </c>
      <c r="I533" s="4" t="s">
        <v>69</v>
      </c>
      <c r="J533" s="4" t="s">
        <v>66</v>
      </c>
      <c r="K533" s="4">
        <v>0</v>
      </c>
      <c r="L533" s="94">
        <v>4780299</v>
      </c>
      <c r="M533" s="94">
        <v>43022691</v>
      </c>
    </row>
    <row r="534" spans="3:13" x14ac:dyDescent="0.3">
      <c r="C534" t="s">
        <v>61</v>
      </c>
      <c r="D534" t="s">
        <v>67</v>
      </c>
      <c r="E534" t="s">
        <v>63</v>
      </c>
      <c r="F534" t="s">
        <v>72</v>
      </c>
      <c r="G534" s="4">
        <v>1</v>
      </c>
      <c r="H534" s="4" t="s">
        <v>15</v>
      </c>
      <c r="I534" s="4" t="s">
        <v>69</v>
      </c>
      <c r="J534" s="4" t="s">
        <v>66</v>
      </c>
      <c r="K534" s="4">
        <v>0</v>
      </c>
      <c r="L534" s="94">
        <v>-46</v>
      </c>
      <c r="M534" s="94">
        <v>0</v>
      </c>
    </row>
    <row r="535" spans="3:13" x14ac:dyDescent="0.3">
      <c r="C535" t="s">
        <v>61</v>
      </c>
      <c r="D535" t="s">
        <v>67</v>
      </c>
      <c r="E535" t="s">
        <v>63</v>
      </c>
      <c r="F535" t="s">
        <v>72</v>
      </c>
      <c r="G535" s="4">
        <v>7</v>
      </c>
      <c r="H535" s="4" t="s">
        <v>17</v>
      </c>
      <c r="I535" s="4" t="s">
        <v>69</v>
      </c>
      <c r="J535" s="4" t="s">
        <v>73</v>
      </c>
      <c r="K535" s="4">
        <v>1</v>
      </c>
      <c r="L535" s="94">
        <v>-222</v>
      </c>
      <c r="M535" s="94">
        <v>0</v>
      </c>
    </row>
    <row r="536" spans="3:13" x14ac:dyDescent="0.3">
      <c r="C536" t="s">
        <v>70</v>
      </c>
      <c r="D536" t="s">
        <v>67</v>
      </c>
      <c r="E536" t="s">
        <v>68</v>
      </c>
      <c r="F536" t="s">
        <v>25</v>
      </c>
      <c r="G536" s="4">
        <v>12</v>
      </c>
      <c r="H536" s="4" t="s">
        <v>17</v>
      </c>
      <c r="I536" s="4" t="s">
        <v>69</v>
      </c>
      <c r="J536" s="4" t="s">
        <v>66</v>
      </c>
      <c r="K536" s="4">
        <v>0</v>
      </c>
      <c r="L536" s="94">
        <v>1096489</v>
      </c>
      <c r="M536" s="94">
        <v>13157868</v>
      </c>
    </row>
    <row r="537" spans="3:13" x14ac:dyDescent="0.3">
      <c r="C537" t="s">
        <v>71</v>
      </c>
      <c r="D537" t="s">
        <v>67</v>
      </c>
      <c r="E537" t="s">
        <v>68</v>
      </c>
      <c r="F537" t="s">
        <v>25</v>
      </c>
      <c r="G537" s="4">
        <v>-1</v>
      </c>
      <c r="H537" s="4" t="s">
        <v>17</v>
      </c>
      <c r="I537" s="4" t="s">
        <v>69</v>
      </c>
      <c r="J537" s="4" t="s">
        <v>66</v>
      </c>
      <c r="K537" s="4">
        <v>1</v>
      </c>
      <c r="L537" s="94">
        <v>158</v>
      </c>
      <c r="M537" s="94">
        <v>0</v>
      </c>
    </row>
    <row r="538" spans="3:13" x14ac:dyDescent="0.3">
      <c r="C538" t="s">
        <v>70</v>
      </c>
      <c r="D538" t="s">
        <v>67</v>
      </c>
      <c r="E538" t="s">
        <v>63</v>
      </c>
      <c r="F538" t="s">
        <v>26</v>
      </c>
      <c r="G538" s="4">
        <v>-4</v>
      </c>
      <c r="H538" s="4" t="s">
        <v>82</v>
      </c>
      <c r="I538" s="4" t="s">
        <v>69</v>
      </c>
      <c r="J538" s="4" t="s">
        <v>66</v>
      </c>
      <c r="K538" s="4">
        <v>0</v>
      </c>
      <c r="L538" s="94">
        <v>-18268</v>
      </c>
      <c r="M538" s="94">
        <v>0</v>
      </c>
    </row>
    <row r="539" spans="3:13" x14ac:dyDescent="0.3">
      <c r="C539" t="s">
        <v>61</v>
      </c>
      <c r="D539" t="s">
        <v>67</v>
      </c>
      <c r="E539" t="s">
        <v>68</v>
      </c>
      <c r="F539" t="s">
        <v>25</v>
      </c>
      <c r="G539" s="4">
        <v>18</v>
      </c>
      <c r="H539" s="4" t="s">
        <v>82</v>
      </c>
      <c r="I539" s="4" t="s">
        <v>69</v>
      </c>
      <c r="J539" s="4" t="s">
        <v>66</v>
      </c>
      <c r="K539" s="4">
        <v>0</v>
      </c>
      <c r="L539" s="94">
        <v>349653</v>
      </c>
      <c r="M539" s="94">
        <v>6293754</v>
      </c>
    </row>
    <row r="540" spans="3:13" x14ac:dyDescent="0.3">
      <c r="C540" t="s">
        <v>61</v>
      </c>
      <c r="D540" t="s">
        <v>67</v>
      </c>
      <c r="E540" t="s">
        <v>68</v>
      </c>
      <c r="F540" t="s">
        <v>72</v>
      </c>
      <c r="G540" s="4">
        <v>3</v>
      </c>
      <c r="H540" s="4" t="s">
        <v>17</v>
      </c>
      <c r="I540" s="4" t="s">
        <v>69</v>
      </c>
      <c r="J540" s="4" t="s">
        <v>73</v>
      </c>
      <c r="K540" s="4">
        <v>1</v>
      </c>
      <c r="L540" s="94">
        <v>332307</v>
      </c>
      <c r="M540" s="94">
        <v>996921</v>
      </c>
    </row>
    <row r="541" spans="3:13" x14ac:dyDescent="0.3">
      <c r="C541" t="s">
        <v>61</v>
      </c>
      <c r="D541" t="s">
        <v>67</v>
      </c>
      <c r="E541" t="s">
        <v>63</v>
      </c>
      <c r="F541" t="s">
        <v>25</v>
      </c>
      <c r="G541" s="4">
        <v>19</v>
      </c>
      <c r="H541" s="4" t="s">
        <v>75</v>
      </c>
      <c r="I541" s="4" t="s">
        <v>69</v>
      </c>
      <c r="J541" s="4" t="s">
        <v>66</v>
      </c>
      <c r="K541" s="4">
        <v>0</v>
      </c>
      <c r="L541" s="94">
        <v>-9370</v>
      </c>
      <c r="M541" s="94">
        <v>0</v>
      </c>
    </row>
    <row r="542" spans="3:13" x14ac:dyDescent="0.3">
      <c r="C542" t="s">
        <v>61</v>
      </c>
      <c r="D542" t="s">
        <v>67</v>
      </c>
      <c r="E542" t="s">
        <v>68</v>
      </c>
      <c r="F542" t="s">
        <v>72</v>
      </c>
      <c r="G542" s="4">
        <v>0</v>
      </c>
      <c r="H542" s="4" t="s">
        <v>18</v>
      </c>
      <c r="I542" s="4" t="s">
        <v>69</v>
      </c>
      <c r="J542" s="4" t="s">
        <v>73</v>
      </c>
      <c r="K542" s="4">
        <v>1</v>
      </c>
      <c r="L542" s="94">
        <v>210456</v>
      </c>
      <c r="M542" s="94">
        <v>0</v>
      </c>
    </row>
    <row r="543" spans="3:13" x14ac:dyDescent="0.3">
      <c r="C543" t="s">
        <v>70</v>
      </c>
      <c r="D543" t="s">
        <v>67</v>
      </c>
      <c r="E543" t="s">
        <v>63</v>
      </c>
      <c r="F543" t="s">
        <v>25</v>
      </c>
      <c r="G543" s="4">
        <v>10</v>
      </c>
      <c r="H543" s="4" t="s">
        <v>82</v>
      </c>
      <c r="I543" s="4" t="s">
        <v>69</v>
      </c>
      <c r="J543" s="4" t="s">
        <v>66</v>
      </c>
      <c r="K543" s="4">
        <v>0</v>
      </c>
      <c r="L543" s="94">
        <v>-13480</v>
      </c>
      <c r="M543" s="94">
        <v>0</v>
      </c>
    </row>
    <row r="544" spans="3:13" x14ac:dyDescent="0.3">
      <c r="C544" t="s">
        <v>70</v>
      </c>
      <c r="D544" t="s">
        <v>67</v>
      </c>
      <c r="E544" t="s">
        <v>68</v>
      </c>
      <c r="F544" t="s">
        <v>72</v>
      </c>
      <c r="G544" s="4">
        <v>4</v>
      </c>
      <c r="H544" s="4" t="s">
        <v>14</v>
      </c>
      <c r="I544" s="4" t="s">
        <v>69</v>
      </c>
      <c r="J544" s="4" t="s">
        <v>73</v>
      </c>
      <c r="K544" s="4">
        <v>1</v>
      </c>
      <c r="L544" s="94">
        <v>2242614</v>
      </c>
      <c r="M544" s="94">
        <v>8970456</v>
      </c>
    </row>
    <row r="545" spans="3:13" x14ac:dyDescent="0.3">
      <c r="C545" t="s">
        <v>61</v>
      </c>
      <c r="D545" t="s">
        <v>67</v>
      </c>
      <c r="E545" t="s">
        <v>63</v>
      </c>
      <c r="F545" t="s">
        <v>72</v>
      </c>
      <c r="G545" s="4">
        <v>7</v>
      </c>
      <c r="H545" s="4" t="s">
        <v>64</v>
      </c>
      <c r="I545" s="4" t="s">
        <v>69</v>
      </c>
      <c r="J545" s="4" t="s">
        <v>66</v>
      </c>
      <c r="K545" s="4">
        <v>0</v>
      </c>
      <c r="L545" s="94">
        <v>-4643</v>
      </c>
      <c r="M545" s="94">
        <v>0</v>
      </c>
    </row>
    <row r="546" spans="3:13" x14ac:dyDescent="0.3">
      <c r="C546" t="s">
        <v>61</v>
      </c>
      <c r="D546" t="s">
        <v>67</v>
      </c>
      <c r="E546" t="s">
        <v>63</v>
      </c>
      <c r="F546" t="s">
        <v>25</v>
      </c>
      <c r="G546" s="4">
        <v>10</v>
      </c>
      <c r="H546" s="4" t="s">
        <v>76</v>
      </c>
      <c r="I546" s="4" t="s">
        <v>69</v>
      </c>
      <c r="J546" s="4" t="s">
        <v>66</v>
      </c>
      <c r="K546" s="4">
        <v>0</v>
      </c>
      <c r="L546" s="94">
        <v>-67602</v>
      </c>
      <c r="M546" s="94">
        <v>0</v>
      </c>
    </row>
    <row r="547" spans="3:13" x14ac:dyDescent="0.3">
      <c r="C547" t="s">
        <v>70</v>
      </c>
      <c r="D547" t="s">
        <v>67</v>
      </c>
      <c r="E547" t="s">
        <v>68</v>
      </c>
      <c r="F547" t="s">
        <v>72</v>
      </c>
      <c r="G547" s="4">
        <v>5</v>
      </c>
      <c r="H547" s="4" t="s">
        <v>77</v>
      </c>
      <c r="I547" s="4" t="s">
        <v>69</v>
      </c>
      <c r="J547" s="4" t="s">
        <v>66</v>
      </c>
      <c r="K547" s="4">
        <v>0</v>
      </c>
      <c r="L547" s="94">
        <v>548927</v>
      </c>
      <c r="M547" s="94">
        <v>2744635</v>
      </c>
    </row>
    <row r="548" spans="3:13" x14ac:dyDescent="0.3">
      <c r="C548" t="s">
        <v>70</v>
      </c>
      <c r="D548" t="s">
        <v>67</v>
      </c>
      <c r="E548" t="s">
        <v>68</v>
      </c>
      <c r="F548" t="s">
        <v>25</v>
      </c>
      <c r="G548" s="4">
        <v>10</v>
      </c>
      <c r="H548" s="4" t="s">
        <v>12</v>
      </c>
      <c r="I548" s="4" t="s">
        <v>69</v>
      </c>
      <c r="J548" s="4" t="s">
        <v>66</v>
      </c>
      <c r="K548" s="4">
        <v>0</v>
      </c>
      <c r="L548" s="94">
        <v>79407</v>
      </c>
      <c r="M548" s="94">
        <v>794070</v>
      </c>
    </row>
    <row r="549" spans="3:13" x14ac:dyDescent="0.3">
      <c r="C549" t="s">
        <v>61</v>
      </c>
      <c r="D549" t="s">
        <v>67</v>
      </c>
      <c r="E549" t="s">
        <v>68</v>
      </c>
      <c r="F549" t="s">
        <v>25</v>
      </c>
      <c r="G549" s="4">
        <v>11</v>
      </c>
      <c r="H549" s="4" t="s">
        <v>75</v>
      </c>
      <c r="I549" s="4" t="s">
        <v>69</v>
      </c>
      <c r="J549" s="4" t="s">
        <v>66</v>
      </c>
      <c r="K549" s="4">
        <v>0</v>
      </c>
      <c r="L549" s="94">
        <v>33931520</v>
      </c>
      <c r="M549" s="94">
        <v>373246720</v>
      </c>
    </row>
    <row r="550" spans="3:13" x14ac:dyDescent="0.3">
      <c r="C550" t="s">
        <v>61</v>
      </c>
      <c r="D550" t="s">
        <v>67</v>
      </c>
      <c r="E550" t="s">
        <v>63</v>
      </c>
      <c r="F550" t="s">
        <v>72</v>
      </c>
      <c r="G550" s="4">
        <v>4</v>
      </c>
      <c r="H550" s="4" t="s">
        <v>17</v>
      </c>
      <c r="I550" s="4" t="s">
        <v>69</v>
      </c>
      <c r="J550" s="4" t="s">
        <v>66</v>
      </c>
      <c r="K550" s="4">
        <v>0</v>
      </c>
      <c r="L550" s="94">
        <v>-27478</v>
      </c>
      <c r="M550" s="94">
        <v>0</v>
      </c>
    </row>
    <row r="551" spans="3:13" x14ac:dyDescent="0.3">
      <c r="C551" t="s">
        <v>61</v>
      </c>
      <c r="D551" t="s">
        <v>62</v>
      </c>
      <c r="E551" t="s">
        <v>63</v>
      </c>
      <c r="F551" t="s">
        <v>24</v>
      </c>
      <c r="G551" s="4">
        <v>41</v>
      </c>
      <c r="I551" s="4" t="s">
        <v>65</v>
      </c>
      <c r="J551" s="4" t="s">
        <v>66</v>
      </c>
      <c r="K551" s="4">
        <v>1</v>
      </c>
      <c r="L551" s="94">
        <v>-391</v>
      </c>
      <c r="M551" s="94">
        <v>0</v>
      </c>
    </row>
    <row r="552" spans="3:13" x14ac:dyDescent="0.3">
      <c r="C552" t="s">
        <v>61</v>
      </c>
      <c r="D552" t="s">
        <v>67</v>
      </c>
      <c r="E552" t="s">
        <v>68</v>
      </c>
      <c r="F552" t="s">
        <v>25</v>
      </c>
      <c r="G552" s="4">
        <v>12</v>
      </c>
      <c r="H552" s="4" t="s">
        <v>17</v>
      </c>
      <c r="I552" s="4" t="s">
        <v>69</v>
      </c>
      <c r="J552" s="4" t="s">
        <v>66</v>
      </c>
      <c r="K552" s="4">
        <v>0</v>
      </c>
      <c r="L552" s="94">
        <v>4305215</v>
      </c>
      <c r="M552" s="94">
        <v>51662580</v>
      </c>
    </row>
    <row r="553" spans="3:13" x14ac:dyDescent="0.3">
      <c r="C553" t="s">
        <v>71</v>
      </c>
      <c r="D553" t="s">
        <v>67</v>
      </c>
      <c r="E553" t="s">
        <v>68</v>
      </c>
      <c r="F553" t="s">
        <v>26</v>
      </c>
      <c r="G553" s="4">
        <v>6</v>
      </c>
      <c r="H553" s="4" t="s">
        <v>17</v>
      </c>
      <c r="I553" s="4" t="s">
        <v>69</v>
      </c>
      <c r="J553" s="4" t="s">
        <v>73</v>
      </c>
      <c r="K553" s="4">
        <v>1</v>
      </c>
      <c r="L553" s="94">
        <v>50291</v>
      </c>
      <c r="M553" s="94">
        <v>301746</v>
      </c>
    </row>
    <row r="554" spans="3:13" x14ac:dyDescent="0.3">
      <c r="C554" t="s">
        <v>61</v>
      </c>
      <c r="D554" t="s">
        <v>67</v>
      </c>
      <c r="E554" t="s">
        <v>63</v>
      </c>
      <c r="F554" t="s">
        <v>25</v>
      </c>
      <c r="G554" s="4">
        <v>9</v>
      </c>
      <c r="H554" s="4" t="s">
        <v>16</v>
      </c>
      <c r="I554" s="4" t="s">
        <v>69</v>
      </c>
      <c r="J554" s="4" t="s">
        <v>66</v>
      </c>
      <c r="K554" s="4">
        <v>0</v>
      </c>
      <c r="L554" s="94">
        <v>-92</v>
      </c>
      <c r="M554" s="94">
        <v>0</v>
      </c>
    </row>
    <row r="555" spans="3:13" x14ac:dyDescent="0.3">
      <c r="C555" t="s">
        <v>61</v>
      </c>
      <c r="D555" t="s">
        <v>67</v>
      </c>
      <c r="E555" t="s">
        <v>63</v>
      </c>
      <c r="F555" t="s">
        <v>26</v>
      </c>
      <c r="G555" s="4">
        <v>2</v>
      </c>
      <c r="H555" s="4" t="s">
        <v>18</v>
      </c>
      <c r="I555" s="4" t="s">
        <v>69</v>
      </c>
      <c r="J555" s="4" t="s">
        <v>73</v>
      </c>
      <c r="K555" s="4">
        <v>1</v>
      </c>
      <c r="L555" s="94">
        <v>-27061</v>
      </c>
      <c r="M555" s="94">
        <v>0</v>
      </c>
    </row>
    <row r="556" spans="3:13" x14ac:dyDescent="0.3">
      <c r="C556" t="s">
        <v>70</v>
      </c>
      <c r="D556" t="s">
        <v>67</v>
      </c>
      <c r="E556" t="s">
        <v>63</v>
      </c>
      <c r="F556" t="s">
        <v>26</v>
      </c>
      <c r="G556" s="4">
        <v>2</v>
      </c>
      <c r="H556" s="4" t="s">
        <v>80</v>
      </c>
      <c r="I556" s="4" t="s">
        <v>69</v>
      </c>
      <c r="J556" s="4" t="s">
        <v>66</v>
      </c>
      <c r="K556" s="4">
        <v>0</v>
      </c>
      <c r="L556" s="94">
        <v>-59314</v>
      </c>
      <c r="M556" s="94">
        <v>0</v>
      </c>
    </row>
    <row r="557" spans="3:13" x14ac:dyDescent="0.3">
      <c r="C557" t="s">
        <v>71</v>
      </c>
      <c r="D557" t="s">
        <v>67</v>
      </c>
      <c r="E557" t="s">
        <v>63</v>
      </c>
      <c r="F557" t="s">
        <v>26</v>
      </c>
      <c r="G557" s="4">
        <v>3</v>
      </c>
      <c r="H557" s="4" t="s">
        <v>77</v>
      </c>
      <c r="I557" s="4" t="s">
        <v>69</v>
      </c>
      <c r="J557" s="4" t="s">
        <v>66</v>
      </c>
      <c r="K557" s="4">
        <v>0</v>
      </c>
      <c r="L557" s="94">
        <v>-145230</v>
      </c>
      <c r="M557" s="94">
        <v>0</v>
      </c>
    </row>
    <row r="558" spans="3:13" x14ac:dyDescent="0.3">
      <c r="C558" t="s">
        <v>70</v>
      </c>
      <c r="D558" t="s">
        <v>67</v>
      </c>
      <c r="E558" t="s">
        <v>63</v>
      </c>
      <c r="F558" t="s">
        <v>26</v>
      </c>
      <c r="G558" s="4">
        <v>0</v>
      </c>
      <c r="H558" s="4" t="s">
        <v>77</v>
      </c>
      <c r="I558" s="4" t="s">
        <v>69</v>
      </c>
      <c r="J558" s="4" t="s">
        <v>66</v>
      </c>
      <c r="K558" s="4">
        <v>0</v>
      </c>
      <c r="L558" s="94">
        <v>-33462</v>
      </c>
      <c r="M558" s="94">
        <v>0</v>
      </c>
    </row>
    <row r="559" spans="3:13" x14ac:dyDescent="0.3">
      <c r="C559" t="s">
        <v>70</v>
      </c>
      <c r="D559" t="s">
        <v>67</v>
      </c>
      <c r="E559" t="s">
        <v>63</v>
      </c>
      <c r="F559" t="s">
        <v>72</v>
      </c>
      <c r="G559" s="4">
        <v>7</v>
      </c>
      <c r="H559" s="4" t="s">
        <v>64</v>
      </c>
      <c r="I559" s="4" t="s">
        <v>69</v>
      </c>
      <c r="J559" s="4" t="s">
        <v>66</v>
      </c>
      <c r="K559" s="4">
        <v>0</v>
      </c>
      <c r="L559" s="94">
        <v>-9548</v>
      </c>
      <c r="M559" s="94">
        <v>0</v>
      </c>
    </row>
    <row r="560" spans="3:13" x14ac:dyDescent="0.3">
      <c r="C560" t="s">
        <v>70</v>
      </c>
      <c r="D560" t="s">
        <v>67</v>
      </c>
      <c r="E560" t="s">
        <v>63</v>
      </c>
      <c r="F560" t="s">
        <v>72</v>
      </c>
      <c r="G560" s="4">
        <v>0</v>
      </c>
      <c r="H560" s="4" t="s">
        <v>77</v>
      </c>
      <c r="I560" s="4" t="s">
        <v>69</v>
      </c>
      <c r="J560" s="4" t="s">
        <v>66</v>
      </c>
      <c r="K560" s="4">
        <v>0</v>
      </c>
      <c r="L560" s="94">
        <v>-35</v>
      </c>
      <c r="M560" s="94">
        <v>0</v>
      </c>
    </row>
    <row r="561" spans="3:13" x14ac:dyDescent="0.3">
      <c r="C561" t="s">
        <v>61</v>
      </c>
      <c r="D561" t="s">
        <v>62</v>
      </c>
      <c r="E561" t="s">
        <v>63</v>
      </c>
      <c r="F561" t="s">
        <v>25</v>
      </c>
      <c r="G561" s="4">
        <v>23</v>
      </c>
      <c r="I561" s="4" t="s">
        <v>69</v>
      </c>
      <c r="J561" s="4" t="s">
        <v>66</v>
      </c>
      <c r="K561" s="4">
        <v>0</v>
      </c>
      <c r="L561" s="94">
        <v>-607</v>
      </c>
      <c r="M561" s="94">
        <v>0</v>
      </c>
    </row>
    <row r="562" spans="3:13" x14ac:dyDescent="0.3">
      <c r="C562" t="s">
        <v>61</v>
      </c>
      <c r="D562" t="s">
        <v>67</v>
      </c>
      <c r="E562" t="s">
        <v>68</v>
      </c>
      <c r="F562" t="s">
        <v>26</v>
      </c>
      <c r="G562" s="4">
        <v>1</v>
      </c>
      <c r="H562" s="4" t="s">
        <v>77</v>
      </c>
      <c r="I562" s="4" t="s">
        <v>69</v>
      </c>
      <c r="J562" s="4" t="s">
        <v>66</v>
      </c>
      <c r="K562" s="4">
        <v>0</v>
      </c>
      <c r="L562" s="94">
        <v>5975321</v>
      </c>
      <c r="M562" s="94">
        <v>5975321</v>
      </c>
    </row>
    <row r="563" spans="3:13" x14ac:dyDescent="0.3">
      <c r="C563" t="s">
        <v>61</v>
      </c>
      <c r="D563" t="s">
        <v>67</v>
      </c>
      <c r="E563" t="s">
        <v>68</v>
      </c>
      <c r="F563" t="s">
        <v>25</v>
      </c>
      <c r="G563" s="4">
        <v>9</v>
      </c>
      <c r="H563" s="4" t="s">
        <v>83</v>
      </c>
      <c r="I563" s="4" t="s">
        <v>69</v>
      </c>
      <c r="J563" s="4" t="s">
        <v>66</v>
      </c>
      <c r="K563" s="4">
        <v>0</v>
      </c>
      <c r="L563" s="94">
        <v>1252602</v>
      </c>
      <c r="M563" s="94">
        <v>11273418</v>
      </c>
    </row>
    <row r="564" spans="3:13" x14ac:dyDescent="0.3">
      <c r="C564" t="s">
        <v>61</v>
      </c>
      <c r="D564" t="s">
        <v>67</v>
      </c>
      <c r="E564" t="s">
        <v>63</v>
      </c>
      <c r="F564" t="s">
        <v>25</v>
      </c>
      <c r="G564" s="4">
        <v>12</v>
      </c>
      <c r="H564" s="4" t="s">
        <v>14</v>
      </c>
      <c r="I564" s="4" t="s">
        <v>69</v>
      </c>
      <c r="J564" s="4" t="s">
        <v>66</v>
      </c>
      <c r="K564" s="4">
        <v>1</v>
      </c>
      <c r="L564" s="94">
        <v>-5147</v>
      </c>
      <c r="M564" s="94">
        <v>0</v>
      </c>
    </row>
    <row r="565" spans="3:13" x14ac:dyDescent="0.3">
      <c r="C565" t="s">
        <v>70</v>
      </c>
      <c r="D565" t="s">
        <v>67</v>
      </c>
      <c r="E565" t="s">
        <v>63</v>
      </c>
      <c r="F565" t="s">
        <v>26</v>
      </c>
      <c r="G565" s="4">
        <v>1</v>
      </c>
      <c r="H565" s="4" t="s">
        <v>12</v>
      </c>
      <c r="I565" s="4" t="s">
        <v>69</v>
      </c>
      <c r="J565" s="4" t="s">
        <v>66</v>
      </c>
      <c r="K565" s="4">
        <v>0</v>
      </c>
      <c r="L565" s="94">
        <v>-24401</v>
      </c>
      <c r="M565" s="94">
        <v>0</v>
      </c>
    </row>
    <row r="566" spans="3:13" x14ac:dyDescent="0.3">
      <c r="C566" t="s">
        <v>61</v>
      </c>
      <c r="D566" t="s">
        <v>67</v>
      </c>
      <c r="E566" t="s">
        <v>68</v>
      </c>
      <c r="F566" t="s">
        <v>25</v>
      </c>
      <c r="G566" s="4">
        <v>-4</v>
      </c>
      <c r="H566" s="4" t="s">
        <v>14</v>
      </c>
      <c r="I566" s="4" t="s">
        <v>65</v>
      </c>
      <c r="J566" s="4" t="s">
        <v>66</v>
      </c>
      <c r="K566" s="4">
        <v>1</v>
      </c>
      <c r="L566" s="94">
        <v>2953</v>
      </c>
      <c r="M566" s="94">
        <v>0</v>
      </c>
    </row>
    <row r="567" spans="3:13" x14ac:dyDescent="0.3">
      <c r="C567" t="s">
        <v>70</v>
      </c>
      <c r="D567" t="s">
        <v>67</v>
      </c>
      <c r="E567" t="s">
        <v>68</v>
      </c>
      <c r="F567" t="s">
        <v>26</v>
      </c>
      <c r="G567" s="4">
        <v>8</v>
      </c>
      <c r="H567" s="4" t="s">
        <v>75</v>
      </c>
      <c r="I567" s="4" t="s">
        <v>69</v>
      </c>
      <c r="J567" s="4" t="s">
        <v>66</v>
      </c>
      <c r="K567" s="4">
        <v>0</v>
      </c>
      <c r="L567" s="94">
        <v>114975</v>
      </c>
      <c r="M567" s="94">
        <v>919800</v>
      </c>
    </row>
    <row r="568" spans="3:13" x14ac:dyDescent="0.3">
      <c r="C568" t="s">
        <v>70</v>
      </c>
      <c r="D568" t="s">
        <v>67</v>
      </c>
      <c r="E568" t="s">
        <v>63</v>
      </c>
      <c r="F568" t="s">
        <v>72</v>
      </c>
      <c r="G568" s="4">
        <v>0</v>
      </c>
      <c r="H568" s="4" t="s">
        <v>12</v>
      </c>
      <c r="I568" s="4" t="s">
        <v>65</v>
      </c>
      <c r="J568" s="4" t="s">
        <v>73</v>
      </c>
      <c r="K568" s="4">
        <v>1</v>
      </c>
      <c r="L568" s="94">
        <v>-55</v>
      </c>
      <c r="M568" s="94">
        <v>0</v>
      </c>
    </row>
    <row r="569" spans="3:13" x14ac:dyDescent="0.3">
      <c r="C569" t="s">
        <v>61</v>
      </c>
      <c r="D569" t="s">
        <v>67</v>
      </c>
      <c r="E569" t="s">
        <v>63</v>
      </c>
      <c r="F569" t="s">
        <v>72</v>
      </c>
      <c r="G569" s="4">
        <v>-4</v>
      </c>
      <c r="H569" s="4" t="s">
        <v>64</v>
      </c>
      <c r="I569" s="4" t="s">
        <v>69</v>
      </c>
      <c r="J569" s="4" t="s">
        <v>66</v>
      </c>
      <c r="K569" s="4">
        <v>0</v>
      </c>
      <c r="L569" s="94">
        <v>-2</v>
      </c>
      <c r="M569" s="94">
        <v>0</v>
      </c>
    </row>
    <row r="570" spans="3:13" x14ac:dyDescent="0.3">
      <c r="C570" t="s">
        <v>61</v>
      </c>
      <c r="D570" t="s">
        <v>67</v>
      </c>
      <c r="E570" t="s">
        <v>63</v>
      </c>
      <c r="F570" t="s">
        <v>25</v>
      </c>
      <c r="G570" s="4">
        <v>3</v>
      </c>
      <c r="H570" s="4" t="s">
        <v>82</v>
      </c>
      <c r="I570" s="4" t="s">
        <v>69</v>
      </c>
      <c r="J570" s="4" t="s">
        <v>66</v>
      </c>
      <c r="K570" s="4">
        <v>0</v>
      </c>
      <c r="L570" s="94">
        <v>-382</v>
      </c>
      <c r="M570" s="94">
        <v>0</v>
      </c>
    </row>
    <row r="571" spans="3:13" x14ac:dyDescent="0.3">
      <c r="C571" t="s">
        <v>71</v>
      </c>
      <c r="D571" t="s">
        <v>62</v>
      </c>
      <c r="E571" t="s">
        <v>63</v>
      </c>
      <c r="F571" t="s">
        <v>25</v>
      </c>
      <c r="G571" s="4">
        <v>3</v>
      </c>
      <c r="I571" s="4" t="s">
        <v>69</v>
      </c>
      <c r="J571" s="4" t="s">
        <v>66</v>
      </c>
      <c r="K571" s="4">
        <v>0</v>
      </c>
      <c r="L571" s="94">
        <v>-1028738</v>
      </c>
      <c r="M571" s="94">
        <v>0</v>
      </c>
    </row>
    <row r="572" spans="3:13" x14ac:dyDescent="0.3">
      <c r="C572" t="s">
        <v>70</v>
      </c>
      <c r="D572" t="s">
        <v>62</v>
      </c>
      <c r="E572" t="s">
        <v>63</v>
      </c>
      <c r="F572" t="s">
        <v>25</v>
      </c>
      <c r="G572" s="4">
        <v>-4</v>
      </c>
      <c r="I572" s="4" t="s">
        <v>69</v>
      </c>
      <c r="J572" s="4" t="s">
        <v>66</v>
      </c>
      <c r="K572" s="4">
        <v>1</v>
      </c>
      <c r="L572" s="94">
        <v>-62</v>
      </c>
      <c r="M572" s="94">
        <v>0</v>
      </c>
    </row>
    <row r="573" spans="3:13" x14ac:dyDescent="0.3">
      <c r="C573" t="s">
        <v>71</v>
      </c>
      <c r="D573" t="s">
        <v>62</v>
      </c>
      <c r="E573" t="s">
        <v>68</v>
      </c>
      <c r="F573" t="s">
        <v>24</v>
      </c>
      <c r="G573" s="4">
        <v>44</v>
      </c>
      <c r="I573" s="4" t="s">
        <v>69</v>
      </c>
      <c r="J573" s="4" t="s">
        <v>66</v>
      </c>
      <c r="K573" s="4">
        <v>0</v>
      </c>
      <c r="L573" s="94">
        <v>109447</v>
      </c>
      <c r="M573" s="94">
        <v>4815668</v>
      </c>
    </row>
    <row r="574" spans="3:13" x14ac:dyDescent="0.3">
      <c r="C574" t="s">
        <v>70</v>
      </c>
      <c r="D574" t="s">
        <v>67</v>
      </c>
      <c r="E574" t="s">
        <v>68</v>
      </c>
      <c r="F574" t="s">
        <v>26</v>
      </c>
      <c r="G574" s="4">
        <v>0</v>
      </c>
      <c r="H574" s="4" t="s">
        <v>17</v>
      </c>
      <c r="I574" s="4" t="s">
        <v>65</v>
      </c>
      <c r="J574" s="4" t="s">
        <v>73</v>
      </c>
      <c r="K574" s="4">
        <v>1</v>
      </c>
      <c r="L574" s="94">
        <v>41419</v>
      </c>
      <c r="M574" s="94">
        <v>0</v>
      </c>
    </row>
    <row r="575" spans="3:13" x14ac:dyDescent="0.3">
      <c r="C575" t="s">
        <v>61</v>
      </c>
      <c r="D575" t="s">
        <v>67</v>
      </c>
      <c r="E575" t="s">
        <v>68</v>
      </c>
      <c r="F575" t="s">
        <v>25</v>
      </c>
      <c r="G575" s="4">
        <v>0</v>
      </c>
      <c r="H575" s="4" t="s">
        <v>82</v>
      </c>
      <c r="I575" s="4" t="s">
        <v>69</v>
      </c>
      <c r="J575" s="4" t="s">
        <v>66</v>
      </c>
      <c r="K575" s="4">
        <v>0</v>
      </c>
      <c r="L575" s="94">
        <v>18610</v>
      </c>
      <c r="M575" s="94">
        <v>0</v>
      </c>
    </row>
    <row r="576" spans="3:13" x14ac:dyDescent="0.3">
      <c r="C576" t="s">
        <v>61</v>
      </c>
      <c r="D576" t="s">
        <v>67</v>
      </c>
      <c r="E576" t="s">
        <v>68</v>
      </c>
      <c r="F576" t="s">
        <v>26</v>
      </c>
      <c r="G576" s="4">
        <v>4</v>
      </c>
      <c r="H576" s="4" t="s">
        <v>14</v>
      </c>
      <c r="I576" s="4" t="s">
        <v>65</v>
      </c>
      <c r="J576" s="4" t="s">
        <v>66</v>
      </c>
      <c r="K576" s="4">
        <v>1</v>
      </c>
      <c r="L576" s="94">
        <v>830293</v>
      </c>
      <c r="M576" s="94">
        <v>3321172</v>
      </c>
    </row>
    <row r="577" spans="3:13" x14ac:dyDescent="0.3">
      <c r="C577" t="s">
        <v>71</v>
      </c>
      <c r="D577" t="s">
        <v>67</v>
      </c>
      <c r="E577" t="s">
        <v>68</v>
      </c>
      <c r="F577" t="s">
        <v>26</v>
      </c>
      <c r="G577" s="4">
        <v>-4</v>
      </c>
      <c r="H577" s="4" t="s">
        <v>17</v>
      </c>
      <c r="I577" s="4" t="s">
        <v>65</v>
      </c>
      <c r="J577" s="4" t="s">
        <v>73</v>
      </c>
      <c r="K577" s="4">
        <v>1</v>
      </c>
      <c r="L577" s="94">
        <v>63454</v>
      </c>
      <c r="M577" s="94">
        <v>0</v>
      </c>
    </row>
    <row r="578" spans="3:13" x14ac:dyDescent="0.3">
      <c r="C578" t="s">
        <v>61</v>
      </c>
      <c r="D578" t="s">
        <v>62</v>
      </c>
      <c r="E578" t="s">
        <v>68</v>
      </c>
      <c r="F578" t="s">
        <v>25</v>
      </c>
      <c r="G578" s="4">
        <v>6</v>
      </c>
      <c r="I578" s="4" t="s">
        <v>69</v>
      </c>
      <c r="J578" s="4" t="s">
        <v>66</v>
      </c>
      <c r="K578" s="4">
        <v>0</v>
      </c>
      <c r="L578" s="94">
        <v>4961369</v>
      </c>
      <c r="M578" s="94">
        <v>29768214</v>
      </c>
    </row>
    <row r="579" spans="3:13" x14ac:dyDescent="0.3">
      <c r="C579" t="s">
        <v>61</v>
      </c>
      <c r="D579" t="s">
        <v>67</v>
      </c>
      <c r="E579" t="s">
        <v>63</v>
      </c>
      <c r="F579" t="s">
        <v>26</v>
      </c>
      <c r="G579" s="4">
        <v>6</v>
      </c>
      <c r="H579" s="4" t="s">
        <v>18</v>
      </c>
      <c r="I579" s="4" t="s">
        <v>69</v>
      </c>
      <c r="J579" s="4" t="s">
        <v>66</v>
      </c>
      <c r="K579" s="4">
        <v>0</v>
      </c>
      <c r="L579" s="94">
        <v>-36078</v>
      </c>
      <c r="M579" s="94">
        <v>0</v>
      </c>
    </row>
    <row r="580" spans="3:13" x14ac:dyDescent="0.3">
      <c r="C580" t="s">
        <v>71</v>
      </c>
      <c r="D580" t="s">
        <v>62</v>
      </c>
      <c r="E580" t="s">
        <v>68</v>
      </c>
      <c r="F580" t="s">
        <v>24</v>
      </c>
      <c r="G580" s="4">
        <v>16</v>
      </c>
      <c r="I580" s="4" t="s">
        <v>69</v>
      </c>
      <c r="J580" s="4" t="s">
        <v>66</v>
      </c>
      <c r="K580" s="4">
        <v>1</v>
      </c>
      <c r="L580" s="94">
        <v>164155</v>
      </c>
      <c r="M580" s="94">
        <v>2626480</v>
      </c>
    </row>
    <row r="581" spans="3:13" x14ac:dyDescent="0.3">
      <c r="C581" t="s">
        <v>61</v>
      </c>
      <c r="D581" t="s">
        <v>67</v>
      </c>
      <c r="E581" t="s">
        <v>63</v>
      </c>
      <c r="F581" t="s">
        <v>25</v>
      </c>
      <c r="G581" s="4">
        <v>6</v>
      </c>
      <c r="H581" s="4" t="s">
        <v>18</v>
      </c>
      <c r="I581" s="4" t="s">
        <v>69</v>
      </c>
      <c r="J581" s="4" t="s">
        <v>66</v>
      </c>
      <c r="K581" s="4">
        <v>1</v>
      </c>
      <c r="L581" s="94">
        <v>-1805</v>
      </c>
      <c r="M581" s="94">
        <v>0</v>
      </c>
    </row>
    <row r="582" spans="3:13" x14ac:dyDescent="0.3">
      <c r="C582" t="s">
        <v>61</v>
      </c>
      <c r="D582" t="s">
        <v>67</v>
      </c>
      <c r="E582" t="s">
        <v>68</v>
      </c>
      <c r="F582" t="s">
        <v>26</v>
      </c>
      <c r="G582" s="4">
        <v>4</v>
      </c>
      <c r="H582" s="4" t="s">
        <v>15</v>
      </c>
      <c r="I582" s="4" t="s">
        <v>69</v>
      </c>
      <c r="J582" s="4" t="s">
        <v>73</v>
      </c>
      <c r="K582" s="4">
        <v>1</v>
      </c>
      <c r="L582" s="94">
        <v>16780447</v>
      </c>
      <c r="M582" s="94">
        <v>67121788</v>
      </c>
    </row>
    <row r="583" spans="3:13" x14ac:dyDescent="0.3">
      <c r="C583" t="s">
        <v>61</v>
      </c>
      <c r="D583" t="s">
        <v>67</v>
      </c>
      <c r="E583" t="s">
        <v>68</v>
      </c>
      <c r="F583" t="s">
        <v>25</v>
      </c>
      <c r="G583" s="4">
        <v>6</v>
      </c>
      <c r="H583" s="4" t="s">
        <v>17</v>
      </c>
      <c r="I583" s="4" t="s">
        <v>69</v>
      </c>
      <c r="J583" s="4" t="s">
        <v>66</v>
      </c>
      <c r="K583" s="4">
        <v>1</v>
      </c>
      <c r="L583" s="94">
        <v>244987</v>
      </c>
      <c r="M583" s="94">
        <v>1469922</v>
      </c>
    </row>
    <row r="584" spans="3:13" x14ac:dyDescent="0.3">
      <c r="C584" t="s">
        <v>70</v>
      </c>
      <c r="D584" t="s">
        <v>67</v>
      </c>
      <c r="E584" t="s">
        <v>63</v>
      </c>
      <c r="F584" t="s">
        <v>25</v>
      </c>
      <c r="G584" s="4">
        <v>13</v>
      </c>
      <c r="H584" s="4" t="s">
        <v>76</v>
      </c>
      <c r="I584" s="4" t="s">
        <v>69</v>
      </c>
      <c r="J584" s="4" t="s">
        <v>66</v>
      </c>
      <c r="K584" s="4">
        <v>0</v>
      </c>
      <c r="L584" s="94">
        <v>-59427</v>
      </c>
      <c r="M584" s="94">
        <v>0</v>
      </c>
    </row>
    <row r="585" spans="3:13" x14ac:dyDescent="0.3">
      <c r="C585" t="s">
        <v>71</v>
      </c>
      <c r="D585" t="s">
        <v>67</v>
      </c>
      <c r="E585" t="s">
        <v>68</v>
      </c>
      <c r="F585" t="s">
        <v>26</v>
      </c>
      <c r="G585" s="4">
        <v>12</v>
      </c>
      <c r="H585" s="4" t="s">
        <v>14</v>
      </c>
      <c r="I585" s="4" t="s">
        <v>69</v>
      </c>
      <c r="J585" s="4" t="s">
        <v>73</v>
      </c>
      <c r="K585" s="4">
        <v>1</v>
      </c>
      <c r="L585" s="94">
        <v>991615</v>
      </c>
      <c r="M585" s="94">
        <v>11899380</v>
      </c>
    </row>
    <row r="586" spans="3:13" x14ac:dyDescent="0.3">
      <c r="C586" t="s">
        <v>61</v>
      </c>
      <c r="D586" t="s">
        <v>67</v>
      </c>
      <c r="E586" t="s">
        <v>68</v>
      </c>
      <c r="F586" t="s">
        <v>25</v>
      </c>
      <c r="G586" s="4">
        <v>5</v>
      </c>
      <c r="H586" s="4" t="s">
        <v>16</v>
      </c>
      <c r="I586" s="4" t="s">
        <v>69</v>
      </c>
      <c r="J586" s="4" t="s">
        <v>66</v>
      </c>
      <c r="K586" s="4">
        <v>0</v>
      </c>
      <c r="L586" s="94">
        <v>237460</v>
      </c>
      <c r="M586" s="94">
        <v>1187300</v>
      </c>
    </row>
    <row r="587" spans="3:13" x14ac:dyDescent="0.3">
      <c r="C587" t="s">
        <v>61</v>
      </c>
      <c r="D587" t="s">
        <v>67</v>
      </c>
      <c r="E587" t="s">
        <v>63</v>
      </c>
      <c r="F587" t="s">
        <v>25</v>
      </c>
      <c r="G587" s="4">
        <v>13</v>
      </c>
      <c r="H587" s="4" t="s">
        <v>82</v>
      </c>
      <c r="I587" s="4" t="s">
        <v>69</v>
      </c>
      <c r="J587" s="4" t="s">
        <v>66</v>
      </c>
      <c r="K587" s="4">
        <v>0</v>
      </c>
      <c r="L587" s="94">
        <v>-292</v>
      </c>
      <c r="M587" s="94">
        <v>0</v>
      </c>
    </row>
    <row r="588" spans="3:13" x14ac:dyDescent="0.3">
      <c r="C588" t="s">
        <v>70</v>
      </c>
      <c r="D588" t="s">
        <v>67</v>
      </c>
      <c r="E588" t="s">
        <v>63</v>
      </c>
      <c r="F588" t="s">
        <v>72</v>
      </c>
      <c r="G588" s="4">
        <v>3</v>
      </c>
      <c r="H588" s="4" t="s">
        <v>17</v>
      </c>
      <c r="I588" s="4" t="s">
        <v>69</v>
      </c>
      <c r="J588" s="4" t="s">
        <v>66</v>
      </c>
      <c r="K588" s="4">
        <v>0</v>
      </c>
      <c r="L588" s="94">
        <v>-106998</v>
      </c>
      <c r="M588" s="94">
        <v>0</v>
      </c>
    </row>
    <row r="589" spans="3:13" x14ac:dyDescent="0.3">
      <c r="C589" t="s">
        <v>61</v>
      </c>
      <c r="D589" t="s">
        <v>67</v>
      </c>
      <c r="E589" t="s">
        <v>68</v>
      </c>
      <c r="F589" t="s">
        <v>25</v>
      </c>
      <c r="G589" s="4">
        <v>17</v>
      </c>
      <c r="H589" s="4" t="s">
        <v>79</v>
      </c>
      <c r="I589" s="4" t="s">
        <v>69</v>
      </c>
      <c r="J589" s="4" t="s">
        <v>66</v>
      </c>
      <c r="K589" s="4">
        <v>0</v>
      </c>
      <c r="L589" s="94">
        <v>315165</v>
      </c>
      <c r="M589" s="94">
        <v>5357805</v>
      </c>
    </row>
    <row r="590" spans="3:13" x14ac:dyDescent="0.3">
      <c r="C590" t="s">
        <v>70</v>
      </c>
      <c r="D590" t="s">
        <v>67</v>
      </c>
      <c r="E590" t="s">
        <v>63</v>
      </c>
      <c r="F590" t="s">
        <v>25</v>
      </c>
      <c r="G590" s="4">
        <v>-4</v>
      </c>
      <c r="H590" s="4" t="s">
        <v>18</v>
      </c>
      <c r="I590" s="4" t="s">
        <v>69</v>
      </c>
      <c r="J590" s="4" t="s">
        <v>66</v>
      </c>
      <c r="K590" s="4">
        <v>1</v>
      </c>
      <c r="L590" s="94">
        <v>-13</v>
      </c>
      <c r="M590" s="94">
        <v>0</v>
      </c>
    </row>
    <row r="591" spans="3:13" x14ac:dyDescent="0.3">
      <c r="C591" t="s">
        <v>61</v>
      </c>
      <c r="D591" t="s">
        <v>67</v>
      </c>
      <c r="E591" t="s">
        <v>63</v>
      </c>
      <c r="F591" t="s">
        <v>72</v>
      </c>
      <c r="G591" s="4">
        <v>7</v>
      </c>
      <c r="H591" s="4" t="s">
        <v>78</v>
      </c>
      <c r="I591" s="4" t="s">
        <v>69</v>
      </c>
      <c r="J591" s="4" t="s">
        <v>66</v>
      </c>
      <c r="K591" s="4">
        <v>0</v>
      </c>
      <c r="L591" s="94">
        <v>-158</v>
      </c>
      <c r="M591" s="94">
        <v>0</v>
      </c>
    </row>
    <row r="592" spans="3:13" x14ac:dyDescent="0.3">
      <c r="C592" t="s">
        <v>71</v>
      </c>
      <c r="D592" t="s">
        <v>67</v>
      </c>
      <c r="E592" t="s">
        <v>63</v>
      </c>
      <c r="F592" t="s">
        <v>26</v>
      </c>
      <c r="G592" s="4">
        <v>5</v>
      </c>
      <c r="H592" s="4" t="s">
        <v>14</v>
      </c>
      <c r="I592" s="4" t="s">
        <v>69</v>
      </c>
      <c r="J592" s="4" t="s">
        <v>66</v>
      </c>
      <c r="K592" s="4">
        <v>0</v>
      </c>
      <c r="L592" s="94">
        <v>-1921913</v>
      </c>
      <c r="M592" s="94">
        <v>0</v>
      </c>
    </row>
    <row r="593" spans="3:13" x14ac:dyDescent="0.3">
      <c r="C593" t="s">
        <v>71</v>
      </c>
      <c r="D593" t="s">
        <v>67</v>
      </c>
      <c r="E593" t="s">
        <v>68</v>
      </c>
      <c r="F593" t="s">
        <v>26</v>
      </c>
      <c r="G593" s="4">
        <v>-1</v>
      </c>
      <c r="H593" s="4" t="s">
        <v>17</v>
      </c>
      <c r="I593" s="4" t="s">
        <v>65</v>
      </c>
      <c r="J593" s="4" t="s">
        <v>66</v>
      </c>
      <c r="K593" s="4">
        <v>1</v>
      </c>
      <c r="L593" s="94">
        <v>104334</v>
      </c>
      <c r="M593" s="94">
        <v>0</v>
      </c>
    </row>
    <row r="594" spans="3:13" x14ac:dyDescent="0.3">
      <c r="C594" t="s">
        <v>61</v>
      </c>
      <c r="D594" t="s">
        <v>62</v>
      </c>
      <c r="E594" t="s">
        <v>68</v>
      </c>
      <c r="F594" t="s">
        <v>24</v>
      </c>
      <c r="G594" s="4">
        <v>39</v>
      </c>
      <c r="I594" s="4" t="s">
        <v>69</v>
      </c>
      <c r="J594" s="4" t="s">
        <v>66</v>
      </c>
      <c r="K594" s="4">
        <v>1</v>
      </c>
      <c r="L594" s="94">
        <v>783057</v>
      </c>
      <c r="M594" s="94">
        <v>30539223</v>
      </c>
    </row>
    <row r="595" spans="3:13" x14ac:dyDescent="0.3">
      <c r="C595" t="s">
        <v>61</v>
      </c>
      <c r="D595" t="s">
        <v>84</v>
      </c>
      <c r="E595" t="s">
        <v>68</v>
      </c>
      <c r="F595" t="s">
        <v>25</v>
      </c>
      <c r="G595" s="4">
        <v>10</v>
      </c>
      <c r="H595" s="4" t="s">
        <v>81</v>
      </c>
      <c r="I595" s="4" t="s">
        <v>69</v>
      </c>
      <c r="J595" s="4" t="s">
        <v>66</v>
      </c>
      <c r="K595" s="4">
        <v>0</v>
      </c>
      <c r="L595" s="94">
        <v>151981</v>
      </c>
      <c r="M595" s="94">
        <v>1519810</v>
      </c>
    </row>
    <row r="596" spans="3:13" x14ac:dyDescent="0.3">
      <c r="C596" t="s">
        <v>61</v>
      </c>
      <c r="D596" t="s">
        <v>67</v>
      </c>
      <c r="E596" t="s">
        <v>63</v>
      </c>
      <c r="F596" t="s">
        <v>26</v>
      </c>
      <c r="G596" s="4">
        <v>5</v>
      </c>
      <c r="H596" s="4" t="s">
        <v>12</v>
      </c>
      <c r="I596" s="4" t="s">
        <v>69</v>
      </c>
      <c r="J596" s="4" t="s">
        <v>66</v>
      </c>
      <c r="K596" s="4">
        <v>0</v>
      </c>
      <c r="L596" s="94">
        <v>-1965</v>
      </c>
      <c r="M596" s="94">
        <v>0</v>
      </c>
    </row>
    <row r="597" spans="3:13" x14ac:dyDescent="0.3">
      <c r="C597" t="s">
        <v>71</v>
      </c>
      <c r="D597" t="s">
        <v>67</v>
      </c>
      <c r="E597" t="s">
        <v>63</v>
      </c>
      <c r="F597" t="s">
        <v>26</v>
      </c>
      <c r="G597" s="4">
        <v>-4</v>
      </c>
      <c r="H597" s="4" t="s">
        <v>18</v>
      </c>
      <c r="I597" s="4" t="s">
        <v>65</v>
      </c>
      <c r="J597" s="4" t="s">
        <v>66</v>
      </c>
      <c r="K597" s="4">
        <v>1</v>
      </c>
      <c r="L597" s="94">
        <v>-221</v>
      </c>
      <c r="M597" s="94">
        <v>0</v>
      </c>
    </row>
    <row r="598" spans="3:13" x14ac:dyDescent="0.3">
      <c r="C598" t="s">
        <v>61</v>
      </c>
      <c r="D598" t="s">
        <v>62</v>
      </c>
      <c r="E598" t="s">
        <v>68</v>
      </c>
      <c r="F598" t="s">
        <v>24</v>
      </c>
      <c r="G598" s="4">
        <v>11</v>
      </c>
      <c r="I598" s="4" t="s">
        <v>65</v>
      </c>
      <c r="J598" s="4" t="s">
        <v>66</v>
      </c>
      <c r="K598" s="4">
        <v>1</v>
      </c>
      <c r="L598" s="94">
        <v>2507563</v>
      </c>
      <c r="M598" s="94">
        <v>27583193</v>
      </c>
    </row>
    <row r="599" spans="3:13" x14ac:dyDescent="0.3">
      <c r="C599" t="s">
        <v>71</v>
      </c>
      <c r="D599" t="s">
        <v>67</v>
      </c>
      <c r="E599" t="s">
        <v>63</v>
      </c>
      <c r="F599" t="s">
        <v>26</v>
      </c>
      <c r="G599" s="4">
        <v>-1</v>
      </c>
      <c r="H599" s="4" t="s">
        <v>14</v>
      </c>
      <c r="I599" s="4" t="s">
        <v>69</v>
      </c>
      <c r="J599" s="4" t="s">
        <v>73</v>
      </c>
      <c r="K599" s="4">
        <v>1</v>
      </c>
      <c r="L599" s="94">
        <v>-3829780</v>
      </c>
      <c r="M599" s="94">
        <v>0</v>
      </c>
    </row>
    <row r="600" spans="3:13" x14ac:dyDescent="0.3">
      <c r="C600" t="s">
        <v>71</v>
      </c>
      <c r="D600" t="s">
        <v>67</v>
      </c>
      <c r="E600" t="s">
        <v>68</v>
      </c>
      <c r="F600" t="s">
        <v>26</v>
      </c>
      <c r="G600" s="4">
        <v>-4</v>
      </c>
      <c r="H600" s="4" t="s">
        <v>79</v>
      </c>
      <c r="I600" s="4" t="s">
        <v>69</v>
      </c>
      <c r="J600" s="4" t="s">
        <v>66</v>
      </c>
      <c r="K600" s="4">
        <v>0</v>
      </c>
      <c r="L600" s="94">
        <v>234564</v>
      </c>
      <c r="M600" s="94">
        <v>0</v>
      </c>
    </row>
    <row r="601" spans="3:13" x14ac:dyDescent="0.3">
      <c r="C601" t="s">
        <v>61</v>
      </c>
      <c r="D601" t="s">
        <v>67</v>
      </c>
      <c r="E601" t="s">
        <v>68</v>
      </c>
      <c r="F601" t="s">
        <v>25</v>
      </c>
      <c r="G601" s="4">
        <v>14</v>
      </c>
      <c r="H601" s="4" t="s">
        <v>17</v>
      </c>
      <c r="I601" s="4" t="s">
        <v>69</v>
      </c>
      <c r="J601" s="4" t="s">
        <v>66</v>
      </c>
      <c r="K601" s="4">
        <v>0</v>
      </c>
      <c r="L601" s="94">
        <v>798615</v>
      </c>
      <c r="M601" s="94">
        <v>11180610</v>
      </c>
    </row>
    <row r="602" spans="3:13" x14ac:dyDescent="0.3">
      <c r="C602" t="s">
        <v>61</v>
      </c>
      <c r="D602" t="s">
        <v>67</v>
      </c>
      <c r="E602" t="s">
        <v>63</v>
      </c>
      <c r="F602" t="s">
        <v>25</v>
      </c>
      <c r="G602" s="4">
        <v>5</v>
      </c>
      <c r="H602" s="4" t="s">
        <v>74</v>
      </c>
      <c r="I602" s="4" t="s">
        <v>69</v>
      </c>
      <c r="J602" s="4" t="s">
        <v>66</v>
      </c>
      <c r="K602" s="4">
        <v>0</v>
      </c>
      <c r="L602" s="94">
        <v>-8839</v>
      </c>
      <c r="M602" s="94">
        <v>0</v>
      </c>
    </row>
    <row r="603" spans="3:13" x14ac:dyDescent="0.3">
      <c r="C603" t="s">
        <v>71</v>
      </c>
      <c r="D603" t="s">
        <v>67</v>
      </c>
      <c r="E603" t="s">
        <v>63</v>
      </c>
      <c r="F603" t="s">
        <v>26</v>
      </c>
      <c r="G603" s="4">
        <v>3</v>
      </c>
      <c r="H603" s="4" t="s">
        <v>12</v>
      </c>
      <c r="I603" s="4" t="s">
        <v>65</v>
      </c>
      <c r="J603" s="4" t="s">
        <v>73</v>
      </c>
      <c r="K603" s="4">
        <v>1</v>
      </c>
      <c r="L603" s="94">
        <v>-7748</v>
      </c>
      <c r="M603" s="94">
        <v>0</v>
      </c>
    </row>
    <row r="604" spans="3:13" x14ac:dyDescent="0.3">
      <c r="C604" t="s">
        <v>70</v>
      </c>
      <c r="D604" t="s">
        <v>67</v>
      </c>
      <c r="E604" t="s">
        <v>63</v>
      </c>
      <c r="F604" t="s">
        <v>25</v>
      </c>
      <c r="G604" s="4">
        <v>5</v>
      </c>
      <c r="H604" s="4" t="s">
        <v>75</v>
      </c>
      <c r="I604" s="4" t="s">
        <v>69</v>
      </c>
      <c r="J604" s="4" t="s">
        <v>66</v>
      </c>
      <c r="K604" s="4">
        <v>0</v>
      </c>
      <c r="L604" s="94">
        <v>-181429</v>
      </c>
      <c r="M604" s="94">
        <v>0</v>
      </c>
    </row>
    <row r="605" spans="3:13" x14ac:dyDescent="0.3">
      <c r="C605" t="s">
        <v>61</v>
      </c>
      <c r="D605" t="s">
        <v>67</v>
      </c>
      <c r="E605" t="s">
        <v>68</v>
      </c>
      <c r="F605" t="s">
        <v>72</v>
      </c>
      <c r="G605" s="4">
        <v>5</v>
      </c>
      <c r="H605" s="4" t="s">
        <v>14</v>
      </c>
      <c r="I605" s="4" t="s">
        <v>69</v>
      </c>
      <c r="J605" s="4" t="s">
        <v>73</v>
      </c>
      <c r="K605" s="4">
        <v>1</v>
      </c>
      <c r="L605" s="94">
        <v>6358629</v>
      </c>
      <c r="M605" s="94">
        <v>31793145</v>
      </c>
    </row>
    <row r="606" spans="3:13" x14ac:dyDescent="0.3">
      <c r="C606" t="s">
        <v>70</v>
      </c>
      <c r="D606" t="s">
        <v>67</v>
      </c>
      <c r="E606" t="s">
        <v>63</v>
      </c>
      <c r="F606" t="s">
        <v>26</v>
      </c>
      <c r="G606" s="4">
        <v>3</v>
      </c>
      <c r="H606" s="4" t="s">
        <v>13</v>
      </c>
      <c r="I606" s="4" t="s">
        <v>69</v>
      </c>
      <c r="J606" s="4" t="s">
        <v>73</v>
      </c>
      <c r="K606" s="4">
        <v>1</v>
      </c>
      <c r="L606" s="94">
        <v>-6602</v>
      </c>
      <c r="M606" s="94">
        <v>0</v>
      </c>
    </row>
    <row r="607" spans="3:13" x14ac:dyDescent="0.3">
      <c r="C607" t="s">
        <v>61</v>
      </c>
      <c r="D607" t="s">
        <v>67</v>
      </c>
      <c r="E607" t="s">
        <v>68</v>
      </c>
      <c r="F607" t="s">
        <v>72</v>
      </c>
      <c r="G607" s="4">
        <v>4</v>
      </c>
      <c r="H607" s="4" t="s">
        <v>77</v>
      </c>
      <c r="I607" s="4" t="s">
        <v>69</v>
      </c>
      <c r="J607" s="4" t="s">
        <v>66</v>
      </c>
      <c r="K607" s="4">
        <v>0</v>
      </c>
      <c r="L607" s="94">
        <v>1121997</v>
      </c>
      <c r="M607" s="94">
        <v>4487988</v>
      </c>
    </row>
    <row r="608" spans="3:13" x14ac:dyDescent="0.3">
      <c r="C608" t="s">
        <v>70</v>
      </c>
      <c r="D608" t="s">
        <v>67</v>
      </c>
      <c r="E608" t="s">
        <v>63</v>
      </c>
      <c r="F608" t="s">
        <v>72</v>
      </c>
      <c r="G608" s="4">
        <v>5</v>
      </c>
      <c r="H608" s="4" t="s">
        <v>82</v>
      </c>
      <c r="I608" s="4" t="s">
        <v>69</v>
      </c>
      <c r="J608" s="4" t="s">
        <v>66</v>
      </c>
      <c r="K608" s="4">
        <v>0</v>
      </c>
      <c r="L608" s="94">
        <v>-149146</v>
      </c>
      <c r="M608" s="94">
        <v>0</v>
      </c>
    </row>
    <row r="609" spans="3:13" x14ac:dyDescent="0.3">
      <c r="C609" t="s">
        <v>71</v>
      </c>
      <c r="D609" t="s">
        <v>67</v>
      </c>
      <c r="E609" t="s">
        <v>68</v>
      </c>
      <c r="F609" t="s">
        <v>26</v>
      </c>
      <c r="G609" s="4">
        <v>3</v>
      </c>
      <c r="H609" s="4" t="s">
        <v>14</v>
      </c>
      <c r="I609" s="4" t="s">
        <v>69</v>
      </c>
      <c r="J609" s="4" t="s">
        <v>73</v>
      </c>
      <c r="K609" s="4">
        <v>1</v>
      </c>
      <c r="L609" s="94">
        <v>3414383</v>
      </c>
      <c r="M609" s="94">
        <v>10243149</v>
      </c>
    </row>
    <row r="610" spans="3:13" x14ac:dyDescent="0.3">
      <c r="C610" t="s">
        <v>61</v>
      </c>
      <c r="D610" t="s">
        <v>67</v>
      </c>
      <c r="E610" t="s">
        <v>68</v>
      </c>
      <c r="F610" t="s">
        <v>25</v>
      </c>
      <c r="G610" s="4">
        <v>1</v>
      </c>
      <c r="H610" s="4" t="s">
        <v>12</v>
      </c>
      <c r="I610" s="4" t="s">
        <v>69</v>
      </c>
      <c r="J610" s="4" t="s">
        <v>66</v>
      </c>
      <c r="K610" s="4">
        <v>1</v>
      </c>
      <c r="L610" s="94">
        <v>1381122</v>
      </c>
      <c r="M610" s="94">
        <v>1381122</v>
      </c>
    </row>
    <row r="611" spans="3:13" x14ac:dyDescent="0.3">
      <c r="C611" t="s">
        <v>70</v>
      </c>
      <c r="D611" t="s">
        <v>67</v>
      </c>
      <c r="E611" t="s">
        <v>68</v>
      </c>
      <c r="F611" t="s">
        <v>26</v>
      </c>
      <c r="G611" s="4">
        <v>-1</v>
      </c>
      <c r="H611" s="4" t="s">
        <v>17</v>
      </c>
      <c r="I611" s="4" t="s">
        <v>69</v>
      </c>
      <c r="J611" s="4" t="s">
        <v>66</v>
      </c>
      <c r="K611" s="4">
        <v>0</v>
      </c>
      <c r="L611" s="94">
        <v>19718704</v>
      </c>
      <c r="M611" s="94">
        <v>0</v>
      </c>
    </row>
    <row r="612" spans="3:13" x14ac:dyDescent="0.3">
      <c r="C612" t="s">
        <v>61</v>
      </c>
      <c r="D612" t="s">
        <v>62</v>
      </c>
      <c r="E612" t="s">
        <v>68</v>
      </c>
      <c r="F612" t="s">
        <v>25</v>
      </c>
      <c r="G612" s="4">
        <v>24</v>
      </c>
      <c r="I612" s="4" t="s">
        <v>69</v>
      </c>
      <c r="J612" s="4" t="s">
        <v>66</v>
      </c>
      <c r="K612" s="4">
        <v>0</v>
      </c>
      <c r="L612" s="94">
        <v>496124</v>
      </c>
      <c r="M612" s="94">
        <v>11906976</v>
      </c>
    </row>
    <row r="613" spans="3:13" x14ac:dyDescent="0.3">
      <c r="C613" t="s">
        <v>71</v>
      </c>
      <c r="D613" t="s">
        <v>67</v>
      </c>
      <c r="E613" t="s">
        <v>63</v>
      </c>
      <c r="F613" t="s">
        <v>25</v>
      </c>
      <c r="G613" s="4">
        <v>29</v>
      </c>
      <c r="H613" s="4" t="s">
        <v>76</v>
      </c>
      <c r="I613" s="4" t="s">
        <v>69</v>
      </c>
      <c r="J613" s="4" t="s">
        <v>66</v>
      </c>
      <c r="K613" s="4">
        <v>0</v>
      </c>
      <c r="L613" s="94">
        <v>-9166485</v>
      </c>
      <c r="M613" s="94">
        <v>0</v>
      </c>
    </row>
    <row r="614" spans="3:13" x14ac:dyDescent="0.3">
      <c r="C614" t="s">
        <v>71</v>
      </c>
      <c r="D614" t="s">
        <v>67</v>
      </c>
      <c r="E614" t="s">
        <v>68</v>
      </c>
      <c r="F614" t="s">
        <v>72</v>
      </c>
      <c r="G614" s="4">
        <v>2</v>
      </c>
      <c r="H614" s="4" t="s">
        <v>75</v>
      </c>
      <c r="I614" s="4" t="s">
        <v>69</v>
      </c>
      <c r="J614" s="4" t="s">
        <v>66</v>
      </c>
      <c r="K614" s="4">
        <v>0</v>
      </c>
      <c r="L614" s="94">
        <v>30391</v>
      </c>
      <c r="M614" s="94">
        <v>60782</v>
      </c>
    </row>
    <row r="615" spans="3:13" x14ac:dyDescent="0.3">
      <c r="C615" t="s">
        <v>61</v>
      </c>
      <c r="D615" t="s">
        <v>67</v>
      </c>
      <c r="E615" t="s">
        <v>63</v>
      </c>
      <c r="F615" t="s">
        <v>72</v>
      </c>
      <c r="G615" s="4">
        <v>3</v>
      </c>
      <c r="H615" s="4" t="s">
        <v>17</v>
      </c>
      <c r="I615" s="4" t="s">
        <v>69</v>
      </c>
      <c r="J615" s="4" t="s">
        <v>66</v>
      </c>
      <c r="K615" s="4">
        <v>0</v>
      </c>
      <c r="L615" s="94">
        <v>-25932</v>
      </c>
      <c r="M615" s="94">
        <v>0</v>
      </c>
    </row>
    <row r="616" spans="3:13" x14ac:dyDescent="0.3">
      <c r="C616" t="s">
        <v>70</v>
      </c>
      <c r="D616" t="s">
        <v>67</v>
      </c>
      <c r="E616" t="s">
        <v>63</v>
      </c>
      <c r="F616" t="s">
        <v>26</v>
      </c>
      <c r="G616" s="4">
        <v>8</v>
      </c>
      <c r="H616" s="4" t="s">
        <v>18</v>
      </c>
      <c r="I616" s="4" t="s">
        <v>69</v>
      </c>
      <c r="J616" s="4" t="s">
        <v>66</v>
      </c>
      <c r="K616" s="4">
        <v>0</v>
      </c>
      <c r="L616" s="94">
        <v>-256369</v>
      </c>
      <c r="M616" s="94">
        <v>0</v>
      </c>
    </row>
    <row r="617" spans="3:13" x14ac:dyDescent="0.3">
      <c r="C617" t="s">
        <v>61</v>
      </c>
      <c r="D617" t="s">
        <v>67</v>
      </c>
      <c r="E617" t="s">
        <v>68</v>
      </c>
      <c r="F617" t="s">
        <v>72</v>
      </c>
      <c r="G617" s="4">
        <v>-1</v>
      </c>
      <c r="H617" s="4" t="s">
        <v>76</v>
      </c>
      <c r="I617" s="4" t="s">
        <v>69</v>
      </c>
      <c r="J617" s="4" t="s">
        <v>66</v>
      </c>
      <c r="K617" s="4">
        <v>0</v>
      </c>
      <c r="L617" s="94">
        <v>1854842</v>
      </c>
      <c r="M617" s="94">
        <v>0</v>
      </c>
    </row>
    <row r="618" spans="3:13" x14ac:dyDescent="0.3">
      <c r="C618" t="s">
        <v>70</v>
      </c>
      <c r="D618" t="s">
        <v>62</v>
      </c>
      <c r="E618" t="s">
        <v>68</v>
      </c>
      <c r="F618" t="s">
        <v>24</v>
      </c>
      <c r="G618" s="4">
        <v>11</v>
      </c>
      <c r="I618" s="4" t="s">
        <v>69</v>
      </c>
      <c r="J618" s="4" t="s">
        <v>66</v>
      </c>
      <c r="K618" s="4">
        <v>0</v>
      </c>
      <c r="L618" s="94">
        <v>14687488</v>
      </c>
      <c r="M618" s="94">
        <v>161562368</v>
      </c>
    </row>
    <row r="619" spans="3:13" x14ac:dyDescent="0.3">
      <c r="C619" t="s">
        <v>71</v>
      </c>
      <c r="D619" t="s">
        <v>67</v>
      </c>
      <c r="E619" t="s">
        <v>63</v>
      </c>
      <c r="F619" t="s">
        <v>25</v>
      </c>
      <c r="G619" s="4">
        <v>-4</v>
      </c>
      <c r="H619" s="4" t="s">
        <v>13</v>
      </c>
      <c r="I619" s="4" t="s">
        <v>69</v>
      </c>
      <c r="J619" s="4" t="s">
        <v>66</v>
      </c>
      <c r="K619" s="4">
        <v>1</v>
      </c>
      <c r="L619" s="94">
        <v>-30666</v>
      </c>
      <c r="M619" s="94">
        <v>0</v>
      </c>
    </row>
    <row r="620" spans="3:13" x14ac:dyDescent="0.3">
      <c r="C620" t="s">
        <v>71</v>
      </c>
      <c r="D620" t="s">
        <v>67</v>
      </c>
      <c r="E620" t="s">
        <v>63</v>
      </c>
      <c r="F620" t="s">
        <v>26</v>
      </c>
      <c r="G620" s="4">
        <v>5</v>
      </c>
      <c r="H620" s="4" t="s">
        <v>74</v>
      </c>
      <c r="I620" s="4" t="s">
        <v>69</v>
      </c>
      <c r="J620" s="4" t="s">
        <v>66</v>
      </c>
      <c r="K620" s="4">
        <v>0</v>
      </c>
      <c r="L620" s="94">
        <v>-236926</v>
      </c>
      <c r="M620" s="94">
        <v>0</v>
      </c>
    </row>
    <row r="621" spans="3:13" x14ac:dyDescent="0.3">
      <c r="C621" t="s">
        <v>61</v>
      </c>
      <c r="D621" t="s">
        <v>67</v>
      </c>
      <c r="E621" t="s">
        <v>63</v>
      </c>
      <c r="F621" t="s">
        <v>72</v>
      </c>
      <c r="G621" s="4">
        <v>6</v>
      </c>
      <c r="H621" s="4" t="s">
        <v>64</v>
      </c>
      <c r="I621" s="4" t="s">
        <v>69</v>
      </c>
      <c r="J621" s="4" t="s">
        <v>66</v>
      </c>
      <c r="K621" s="4">
        <v>0</v>
      </c>
      <c r="L621" s="94">
        <v>-1131</v>
      </c>
      <c r="M621" s="94">
        <v>0</v>
      </c>
    </row>
    <row r="622" spans="3:13" x14ac:dyDescent="0.3">
      <c r="C622" t="s">
        <v>61</v>
      </c>
      <c r="D622" t="s">
        <v>67</v>
      </c>
      <c r="E622" t="s">
        <v>68</v>
      </c>
      <c r="F622" t="s">
        <v>25</v>
      </c>
      <c r="G622" s="4">
        <v>5</v>
      </c>
      <c r="H622" s="4" t="s">
        <v>75</v>
      </c>
      <c r="I622" s="4" t="s">
        <v>65</v>
      </c>
      <c r="J622" s="4" t="s">
        <v>66</v>
      </c>
      <c r="K622" s="4">
        <v>1</v>
      </c>
      <c r="L622" s="94">
        <v>478012</v>
      </c>
      <c r="M622" s="94">
        <v>2390060</v>
      </c>
    </row>
    <row r="623" spans="3:13" x14ac:dyDescent="0.3">
      <c r="C623" t="s">
        <v>70</v>
      </c>
      <c r="D623" t="s">
        <v>67</v>
      </c>
      <c r="E623" t="s">
        <v>68</v>
      </c>
      <c r="F623" t="s">
        <v>25</v>
      </c>
      <c r="G623" s="4">
        <v>10</v>
      </c>
      <c r="H623" s="4" t="s">
        <v>79</v>
      </c>
      <c r="I623" s="4" t="s">
        <v>69</v>
      </c>
      <c r="J623" s="4" t="s">
        <v>66</v>
      </c>
      <c r="K623" s="4">
        <v>0</v>
      </c>
      <c r="L623" s="94">
        <v>395986</v>
      </c>
      <c r="M623" s="94">
        <v>3959860</v>
      </c>
    </row>
    <row r="624" spans="3:13" x14ac:dyDescent="0.3">
      <c r="C624" t="s">
        <v>61</v>
      </c>
      <c r="D624" t="s">
        <v>67</v>
      </c>
      <c r="E624" t="s">
        <v>63</v>
      </c>
      <c r="F624" t="s">
        <v>72</v>
      </c>
      <c r="G624" s="4">
        <v>5</v>
      </c>
      <c r="H624" s="4" t="s">
        <v>17</v>
      </c>
      <c r="I624" s="4" t="s">
        <v>69</v>
      </c>
      <c r="J624" s="4" t="s">
        <v>66</v>
      </c>
      <c r="K624" s="4">
        <v>0</v>
      </c>
      <c r="L624" s="94">
        <v>-16479</v>
      </c>
      <c r="M624" s="94">
        <v>0</v>
      </c>
    </row>
    <row r="625" spans="3:13" x14ac:dyDescent="0.3">
      <c r="C625" t="s">
        <v>71</v>
      </c>
      <c r="D625" t="s">
        <v>67</v>
      </c>
      <c r="E625" t="s">
        <v>68</v>
      </c>
      <c r="F625" t="s">
        <v>26</v>
      </c>
      <c r="G625" s="4">
        <v>-1</v>
      </c>
      <c r="H625" s="4" t="s">
        <v>82</v>
      </c>
      <c r="I625" s="4" t="s">
        <v>65</v>
      </c>
      <c r="J625" s="4" t="s">
        <v>66</v>
      </c>
      <c r="K625" s="4">
        <v>1</v>
      </c>
      <c r="L625" s="94">
        <v>72241</v>
      </c>
      <c r="M625" s="94">
        <v>0</v>
      </c>
    </row>
    <row r="626" spans="3:13" x14ac:dyDescent="0.3">
      <c r="C626" t="s">
        <v>71</v>
      </c>
      <c r="D626" t="s">
        <v>67</v>
      </c>
      <c r="E626" t="s">
        <v>68</v>
      </c>
      <c r="F626" t="s">
        <v>25</v>
      </c>
      <c r="G626" s="4">
        <v>4</v>
      </c>
      <c r="H626" s="4" t="s">
        <v>74</v>
      </c>
      <c r="I626" s="4" t="s">
        <v>69</v>
      </c>
      <c r="J626" s="4" t="s">
        <v>66</v>
      </c>
      <c r="K626" s="4">
        <v>0</v>
      </c>
      <c r="L626" s="94">
        <v>36107</v>
      </c>
      <c r="M626" s="94">
        <v>144428</v>
      </c>
    </row>
    <row r="627" spans="3:13" x14ac:dyDescent="0.3">
      <c r="C627" t="s">
        <v>71</v>
      </c>
      <c r="D627" t="s">
        <v>85</v>
      </c>
      <c r="E627" t="s">
        <v>63</v>
      </c>
      <c r="F627" t="s">
        <v>25</v>
      </c>
      <c r="G627" s="4">
        <v>13</v>
      </c>
      <c r="H627" s="4" t="s">
        <v>81</v>
      </c>
      <c r="I627" s="4" t="s">
        <v>69</v>
      </c>
      <c r="J627" s="4" t="s">
        <v>66</v>
      </c>
      <c r="K627" s="4">
        <v>0</v>
      </c>
      <c r="L627" s="94">
        <v>-120622</v>
      </c>
      <c r="M627" s="94">
        <v>0</v>
      </c>
    </row>
    <row r="628" spans="3:13" x14ac:dyDescent="0.3">
      <c r="C628" t="s">
        <v>71</v>
      </c>
      <c r="D628" t="s">
        <v>62</v>
      </c>
      <c r="E628" t="s">
        <v>68</v>
      </c>
      <c r="F628" t="s">
        <v>24</v>
      </c>
      <c r="G628" s="4">
        <v>25</v>
      </c>
      <c r="I628" s="4" t="s">
        <v>65</v>
      </c>
      <c r="J628" s="4" t="s">
        <v>66</v>
      </c>
      <c r="K628" s="4">
        <v>1</v>
      </c>
      <c r="L628" s="94">
        <v>99468</v>
      </c>
      <c r="M628" s="94">
        <v>2486700</v>
      </c>
    </row>
    <row r="629" spans="3:13" x14ac:dyDescent="0.3">
      <c r="C629" t="s">
        <v>70</v>
      </c>
      <c r="D629" t="s">
        <v>62</v>
      </c>
      <c r="E629" t="s">
        <v>63</v>
      </c>
      <c r="F629" t="s">
        <v>24</v>
      </c>
      <c r="G629" s="4">
        <v>29</v>
      </c>
      <c r="I629" s="4" t="s">
        <v>69</v>
      </c>
      <c r="J629" s="4" t="s">
        <v>66</v>
      </c>
      <c r="K629" s="4">
        <v>1</v>
      </c>
      <c r="L629" s="94">
        <v>-10639</v>
      </c>
      <c r="M629" s="94">
        <v>0</v>
      </c>
    </row>
    <row r="630" spans="3:13" x14ac:dyDescent="0.3">
      <c r="C630" t="s">
        <v>71</v>
      </c>
      <c r="D630" t="s">
        <v>67</v>
      </c>
      <c r="E630" t="s">
        <v>63</v>
      </c>
      <c r="F630" t="s">
        <v>26</v>
      </c>
      <c r="G630" s="4">
        <v>11</v>
      </c>
      <c r="H630" s="4" t="s">
        <v>82</v>
      </c>
      <c r="I630" s="4" t="s">
        <v>69</v>
      </c>
      <c r="J630" s="4" t="s">
        <v>66</v>
      </c>
      <c r="K630" s="4">
        <v>0</v>
      </c>
      <c r="L630" s="94">
        <v>-12456154</v>
      </c>
      <c r="M630" s="94">
        <v>0</v>
      </c>
    </row>
    <row r="631" spans="3:13" x14ac:dyDescent="0.3">
      <c r="C631" t="s">
        <v>70</v>
      </c>
      <c r="D631" t="s">
        <v>67</v>
      </c>
      <c r="E631" t="s">
        <v>68</v>
      </c>
      <c r="F631" t="s">
        <v>26</v>
      </c>
      <c r="G631" s="4">
        <v>3</v>
      </c>
      <c r="H631" s="4" t="s">
        <v>77</v>
      </c>
      <c r="I631" s="4" t="s">
        <v>69</v>
      </c>
      <c r="J631" s="4" t="s">
        <v>66</v>
      </c>
      <c r="K631" s="4">
        <v>0</v>
      </c>
      <c r="L631" s="94">
        <v>1803411</v>
      </c>
      <c r="M631" s="94">
        <v>5410233</v>
      </c>
    </row>
    <row r="632" spans="3:13" x14ac:dyDescent="0.3">
      <c r="C632" t="s">
        <v>61</v>
      </c>
      <c r="D632" t="s">
        <v>67</v>
      </c>
      <c r="E632" t="s">
        <v>68</v>
      </c>
      <c r="F632" t="s">
        <v>26</v>
      </c>
      <c r="G632" s="4">
        <v>14</v>
      </c>
      <c r="H632" s="4" t="s">
        <v>15</v>
      </c>
      <c r="I632" s="4" t="s">
        <v>69</v>
      </c>
      <c r="J632" s="4" t="s">
        <v>73</v>
      </c>
      <c r="K632" s="4">
        <v>1</v>
      </c>
      <c r="L632" s="94">
        <v>500278</v>
      </c>
      <c r="M632" s="94">
        <v>7003892</v>
      </c>
    </row>
    <row r="633" spans="3:13" x14ac:dyDescent="0.3">
      <c r="C633" t="s">
        <v>61</v>
      </c>
      <c r="D633" t="s">
        <v>62</v>
      </c>
      <c r="E633" t="s">
        <v>63</v>
      </c>
      <c r="F633" t="s">
        <v>25</v>
      </c>
      <c r="G633" s="4">
        <v>17</v>
      </c>
      <c r="I633" s="4" t="s">
        <v>65</v>
      </c>
      <c r="J633" s="4" t="s">
        <v>66</v>
      </c>
      <c r="K633" s="4">
        <v>1</v>
      </c>
      <c r="L633" s="94">
        <v>-194</v>
      </c>
      <c r="M633" s="94">
        <v>0</v>
      </c>
    </row>
    <row r="634" spans="3:13" x14ac:dyDescent="0.3">
      <c r="C634" t="s">
        <v>71</v>
      </c>
      <c r="D634" t="s">
        <v>67</v>
      </c>
      <c r="E634" t="s">
        <v>63</v>
      </c>
      <c r="F634" t="s">
        <v>25</v>
      </c>
      <c r="G634" s="4">
        <v>5</v>
      </c>
      <c r="H634" s="4" t="s">
        <v>18</v>
      </c>
      <c r="I634" s="4" t="s">
        <v>69</v>
      </c>
      <c r="J634" s="4" t="s">
        <v>66</v>
      </c>
      <c r="K634" s="4">
        <v>0</v>
      </c>
      <c r="L634" s="94">
        <v>-349233</v>
      </c>
      <c r="M634" s="94">
        <v>0</v>
      </c>
    </row>
    <row r="635" spans="3:13" x14ac:dyDescent="0.3">
      <c r="C635" t="s">
        <v>61</v>
      </c>
      <c r="D635" t="s">
        <v>67</v>
      </c>
      <c r="E635" t="s">
        <v>63</v>
      </c>
      <c r="F635" t="s">
        <v>25</v>
      </c>
      <c r="G635" s="4">
        <v>14</v>
      </c>
      <c r="H635" s="4" t="s">
        <v>77</v>
      </c>
      <c r="I635" s="4" t="s">
        <v>69</v>
      </c>
      <c r="J635" s="4" t="s">
        <v>66</v>
      </c>
      <c r="K635" s="4">
        <v>0</v>
      </c>
      <c r="L635" s="94">
        <v>-1541</v>
      </c>
      <c r="M635" s="94">
        <v>0</v>
      </c>
    </row>
    <row r="636" spans="3:13" x14ac:dyDescent="0.3">
      <c r="C636" t="s">
        <v>71</v>
      </c>
      <c r="D636" t="s">
        <v>62</v>
      </c>
      <c r="E636" t="s">
        <v>63</v>
      </c>
      <c r="F636" t="s">
        <v>24</v>
      </c>
      <c r="G636" s="4">
        <v>15</v>
      </c>
      <c r="I636" s="4" t="s">
        <v>69</v>
      </c>
      <c r="J636" s="4" t="s">
        <v>66</v>
      </c>
      <c r="K636" s="4">
        <v>0</v>
      </c>
      <c r="L636" s="94">
        <v>-1423144</v>
      </c>
      <c r="M636" s="94">
        <v>0</v>
      </c>
    </row>
    <row r="637" spans="3:13" x14ac:dyDescent="0.3">
      <c r="C637" t="s">
        <v>70</v>
      </c>
      <c r="D637" t="s">
        <v>67</v>
      </c>
      <c r="E637" t="s">
        <v>68</v>
      </c>
      <c r="F637" t="s">
        <v>25</v>
      </c>
      <c r="G637" s="4">
        <v>6</v>
      </c>
      <c r="H637" s="4" t="s">
        <v>75</v>
      </c>
      <c r="I637" s="4" t="s">
        <v>69</v>
      </c>
      <c r="J637" s="4" t="s">
        <v>66</v>
      </c>
      <c r="K637" s="4">
        <v>0</v>
      </c>
      <c r="L637" s="94">
        <v>3652114</v>
      </c>
      <c r="M637" s="94">
        <v>21912684</v>
      </c>
    </row>
    <row r="638" spans="3:13" x14ac:dyDescent="0.3">
      <c r="C638" t="s">
        <v>70</v>
      </c>
      <c r="D638" t="s">
        <v>62</v>
      </c>
      <c r="E638" t="s">
        <v>63</v>
      </c>
      <c r="F638" t="s">
        <v>25</v>
      </c>
      <c r="G638" s="4">
        <v>14</v>
      </c>
      <c r="I638" s="4" t="s">
        <v>69</v>
      </c>
      <c r="J638" s="4" t="s">
        <v>66</v>
      </c>
      <c r="K638" s="4">
        <v>0</v>
      </c>
      <c r="L638" s="94">
        <v>-19388</v>
      </c>
      <c r="M638" s="94">
        <v>0</v>
      </c>
    </row>
    <row r="639" spans="3:13" x14ac:dyDescent="0.3">
      <c r="C639" t="s">
        <v>61</v>
      </c>
      <c r="D639" t="s">
        <v>67</v>
      </c>
      <c r="E639" t="s">
        <v>63</v>
      </c>
      <c r="F639" t="s">
        <v>25</v>
      </c>
      <c r="G639" s="4">
        <v>16</v>
      </c>
      <c r="H639" s="4" t="s">
        <v>79</v>
      </c>
      <c r="I639" s="4" t="s">
        <v>69</v>
      </c>
      <c r="J639" s="4" t="s">
        <v>66</v>
      </c>
      <c r="K639" s="4">
        <v>0</v>
      </c>
      <c r="L639" s="94">
        <v>-4255</v>
      </c>
      <c r="M639" s="94">
        <v>0</v>
      </c>
    </row>
    <row r="640" spans="3:13" x14ac:dyDescent="0.3">
      <c r="C640" t="s">
        <v>61</v>
      </c>
      <c r="D640" t="s">
        <v>67</v>
      </c>
      <c r="E640" t="s">
        <v>63</v>
      </c>
      <c r="F640" t="s">
        <v>25</v>
      </c>
      <c r="G640" s="4">
        <v>10</v>
      </c>
      <c r="H640" s="4" t="s">
        <v>74</v>
      </c>
      <c r="I640" s="4" t="s">
        <v>65</v>
      </c>
      <c r="J640" s="4" t="s">
        <v>66</v>
      </c>
      <c r="K640" s="4">
        <v>1</v>
      </c>
      <c r="L640" s="94">
        <v>-86</v>
      </c>
      <c r="M640" s="94">
        <v>0</v>
      </c>
    </row>
    <row r="641" spans="3:13" x14ac:dyDescent="0.3">
      <c r="C641" t="s">
        <v>71</v>
      </c>
      <c r="D641" t="s">
        <v>67</v>
      </c>
      <c r="E641" t="s">
        <v>63</v>
      </c>
      <c r="F641" t="s">
        <v>26</v>
      </c>
      <c r="G641" s="4">
        <v>1</v>
      </c>
      <c r="H641" s="4" t="s">
        <v>18</v>
      </c>
      <c r="I641" s="4" t="s">
        <v>69</v>
      </c>
      <c r="J641" s="4" t="s">
        <v>73</v>
      </c>
      <c r="K641" s="4">
        <v>1</v>
      </c>
      <c r="L641" s="94">
        <v>-85401</v>
      </c>
      <c r="M641" s="94">
        <v>0</v>
      </c>
    </row>
    <row r="642" spans="3:13" x14ac:dyDescent="0.3">
      <c r="C642" t="s">
        <v>70</v>
      </c>
      <c r="D642" t="s">
        <v>67</v>
      </c>
      <c r="E642" t="s">
        <v>63</v>
      </c>
      <c r="F642" t="s">
        <v>26</v>
      </c>
      <c r="G642" s="4">
        <v>2</v>
      </c>
      <c r="H642" s="4" t="s">
        <v>14</v>
      </c>
      <c r="I642" s="4" t="s">
        <v>69</v>
      </c>
      <c r="J642" s="4" t="s">
        <v>66</v>
      </c>
      <c r="K642" s="4">
        <v>0</v>
      </c>
      <c r="L642" s="94">
        <v>-515050</v>
      </c>
      <c r="M642" s="94">
        <v>0</v>
      </c>
    </row>
    <row r="643" spans="3:13" x14ac:dyDescent="0.3">
      <c r="C643" t="s">
        <v>70</v>
      </c>
      <c r="D643" t="s">
        <v>67</v>
      </c>
      <c r="E643" t="s">
        <v>68</v>
      </c>
      <c r="F643" t="s">
        <v>72</v>
      </c>
      <c r="G643" s="4">
        <v>2</v>
      </c>
      <c r="H643" s="4" t="s">
        <v>18</v>
      </c>
      <c r="I643" s="4" t="s">
        <v>65</v>
      </c>
      <c r="J643" s="4" t="s">
        <v>66</v>
      </c>
      <c r="K643" s="4">
        <v>1</v>
      </c>
      <c r="L643" s="94">
        <v>1920</v>
      </c>
      <c r="M643" s="94">
        <v>3840</v>
      </c>
    </row>
    <row r="644" spans="3:13" x14ac:dyDescent="0.3">
      <c r="C644" t="s">
        <v>71</v>
      </c>
      <c r="D644" t="s">
        <v>62</v>
      </c>
      <c r="E644" t="s">
        <v>63</v>
      </c>
      <c r="F644" t="s">
        <v>24</v>
      </c>
      <c r="G644" s="4">
        <v>16</v>
      </c>
      <c r="I644" s="4" t="s">
        <v>65</v>
      </c>
      <c r="J644" s="4" t="s">
        <v>66</v>
      </c>
      <c r="K644" s="4">
        <v>1</v>
      </c>
      <c r="L644" s="94">
        <v>-56798</v>
      </c>
      <c r="M644" s="94">
        <v>0</v>
      </c>
    </row>
    <row r="645" spans="3:13" x14ac:dyDescent="0.3">
      <c r="C645" t="s">
        <v>61</v>
      </c>
      <c r="D645" t="s">
        <v>67</v>
      </c>
      <c r="E645" t="s">
        <v>63</v>
      </c>
      <c r="F645" t="s">
        <v>26</v>
      </c>
      <c r="G645" s="4">
        <v>6</v>
      </c>
      <c r="H645" s="4" t="s">
        <v>76</v>
      </c>
      <c r="I645" s="4" t="s">
        <v>69</v>
      </c>
      <c r="J645" s="4" t="s">
        <v>66</v>
      </c>
      <c r="K645" s="4">
        <v>0</v>
      </c>
      <c r="L645" s="94">
        <v>-6501</v>
      </c>
      <c r="M645" s="94">
        <v>0</v>
      </c>
    </row>
    <row r="646" spans="3:13" x14ac:dyDescent="0.3">
      <c r="C646" t="s">
        <v>61</v>
      </c>
      <c r="D646" t="s">
        <v>67</v>
      </c>
      <c r="E646" t="s">
        <v>68</v>
      </c>
      <c r="F646" t="s">
        <v>72</v>
      </c>
      <c r="G646" s="4">
        <v>7</v>
      </c>
      <c r="H646" s="4" t="s">
        <v>75</v>
      </c>
      <c r="I646" s="4" t="s">
        <v>69</v>
      </c>
      <c r="J646" s="4" t="s">
        <v>66</v>
      </c>
      <c r="K646" s="4">
        <v>0</v>
      </c>
      <c r="L646" s="94">
        <v>2352191</v>
      </c>
      <c r="M646" s="94">
        <v>16465337</v>
      </c>
    </row>
    <row r="647" spans="3:13" x14ac:dyDescent="0.3">
      <c r="C647" t="s">
        <v>70</v>
      </c>
      <c r="D647" t="s">
        <v>62</v>
      </c>
      <c r="E647" t="s">
        <v>63</v>
      </c>
      <c r="F647" t="s">
        <v>24</v>
      </c>
      <c r="G647" s="4">
        <v>5</v>
      </c>
      <c r="I647" s="4" t="s">
        <v>65</v>
      </c>
      <c r="J647" s="4" t="s">
        <v>66</v>
      </c>
      <c r="K647" s="4">
        <v>1</v>
      </c>
      <c r="L647" s="94">
        <v>-2517</v>
      </c>
      <c r="M647" s="94">
        <v>0</v>
      </c>
    </row>
    <row r="648" spans="3:13" x14ac:dyDescent="0.3">
      <c r="C648" t="s">
        <v>70</v>
      </c>
      <c r="D648" t="s">
        <v>67</v>
      </c>
      <c r="E648" t="s">
        <v>63</v>
      </c>
      <c r="F648" t="s">
        <v>26</v>
      </c>
      <c r="G648" s="4">
        <v>8</v>
      </c>
      <c r="H648" s="4" t="s">
        <v>76</v>
      </c>
      <c r="I648" s="4" t="s">
        <v>69</v>
      </c>
      <c r="J648" s="4" t="s">
        <v>66</v>
      </c>
      <c r="K648" s="4">
        <v>0</v>
      </c>
      <c r="L648" s="94">
        <v>-119997</v>
      </c>
      <c r="M648" s="94">
        <v>0</v>
      </c>
    </row>
    <row r="649" spans="3:13" x14ac:dyDescent="0.3">
      <c r="C649" t="s">
        <v>70</v>
      </c>
      <c r="D649" t="s">
        <v>67</v>
      </c>
      <c r="E649" t="s">
        <v>63</v>
      </c>
      <c r="F649" t="s">
        <v>26</v>
      </c>
      <c r="G649" s="4">
        <v>1</v>
      </c>
      <c r="H649" s="4" t="s">
        <v>79</v>
      </c>
      <c r="I649" s="4" t="s">
        <v>69</v>
      </c>
      <c r="J649" s="4" t="s">
        <v>66</v>
      </c>
      <c r="K649" s="4">
        <v>0</v>
      </c>
      <c r="L649" s="94">
        <v>-61654</v>
      </c>
      <c r="M649" s="94">
        <v>0</v>
      </c>
    </row>
    <row r="650" spans="3:13" x14ac:dyDescent="0.3">
      <c r="C650" t="s">
        <v>61</v>
      </c>
      <c r="D650" t="s">
        <v>67</v>
      </c>
      <c r="E650" t="s">
        <v>63</v>
      </c>
      <c r="F650" t="s">
        <v>26</v>
      </c>
      <c r="G650" s="4">
        <v>4</v>
      </c>
      <c r="H650" s="4" t="s">
        <v>17</v>
      </c>
      <c r="I650" s="4" t="s">
        <v>69</v>
      </c>
      <c r="J650" s="4" t="s">
        <v>73</v>
      </c>
      <c r="K650" s="4">
        <v>1</v>
      </c>
      <c r="L650" s="94">
        <v>-1493</v>
      </c>
      <c r="M650" s="94">
        <v>0</v>
      </c>
    </row>
    <row r="651" spans="3:13" x14ac:dyDescent="0.3">
      <c r="C651" t="s">
        <v>71</v>
      </c>
      <c r="D651" t="s">
        <v>62</v>
      </c>
      <c r="E651" t="s">
        <v>63</v>
      </c>
      <c r="F651" t="s">
        <v>24</v>
      </c>
      <c r="G651" s="4">
        <v>29</v>
      </c>
      <c r="I651" s="4" t="s">
        <v>69</v>
      </c>
      <c r="J651" s="4" t="s">
        <v>66</v>
      </c>
      <c r="K651" s="4">
        <v>1</v>
      </c>
      <c r="L651" s="94">
        <v>-9260</v>
      </c>
      <c r="M651" s="94">
        <v>0</v>
      </c>
    </row>
    <row r="652" spans="3:13" x14ac:dyDescent="0.3">
      <c r="C652" t="s">
        <v>70</v>
      </c>
      <c r="D652" t="s">
        <v>67</v>
      </c>
      <c r="E652" t="s">
        <v>63</v>
      </c>
      <c r="F652" t="s">
        <v>72</v>
      </c>
      <c r="G652" s="4">
        <v>5</v>
      </c>
      <c r="H652" s="4" t="s">
        <v>17</v>
      </c>
      <c r="I652" s="4" t="s">
        <v>69</v>
      </c>
      <c r="J652" s="4" t="s">
        <v>66</v>
      </c>
      <c r="K652" s="4">
        <v>0</v>
      </c>
      <c r="L652" s="94">
        <v>-93209</v>
      </c>
      <c r="M652" s="94">
        <v>0</v>
      </c>
    </row>
    <row r="653" spans="3:13" x14ac:dyDescent="0.3">
      <c r="C653" t="s">
        <v>71</v>
      </c>
      <c r="D653" t="s">
        <v>62</v>
      </c>
      <c r="E653" t="s">
        <v>63</v>
      </c>
      <c r="F653" t="s">
        <v>25</v>
      </c>
      <c r="G653" s="4">
        <v>10</v>
      </c>
      <c r="I653" s="4" t="s">
        <v>69</v>
      </c>
      <c r="J653" s="4" t="s">
        <v>66</v>
      </c>
      <c r="K653" s="4">
        <v>0</v>
      </c>
      <c r="L653" s="94">
        <v>-6714</v>
      </c>
      <c r="M653" s="94">
        <v>0</v>
      </c>
    </row>
    <row r="654" spans="3:13" x14ac:dyDescent="0.3">
      <c r="C654" t="s">
        <v>61</v>
      </c>
      <c r="D654" t="s">
        <v>62</v>
      </c>
      <c r="E654" t="s">
        <v>68</v>
      </c>
      <c r="F654" t="s">
        <v>25</v>
      </c>
      <c r="G654" s="4">
        <v>17</v>
      </c>
      <c r="I654" s="4" t="s">
        <v>65</v>
      </c>
      <c r="J654" s="4" t="s">
        <v>66</v>
      </c>
      <c r="K654" s="4">
        <v>1</v>
      </c>
      <c r="L654" s="94">
        <v>24475</v>
      </c>
      <c r="M654" s="94">
        <v>416075</v>
      </c>
    </row>
    <row r="655" spans="3:13" x14ac:dyDescent="0.3">
      <c r="C655" t="s">
        <v>61</v>
      </c>
      <c r="D655" t="s">
        <v>67</v>
      </c>
      <c r="E655" t="s">
        <v>68</v>
      </c>
      <c r="F655" t="s">
        <v>25</v>
      </c>
      <c r="G655" s="4">
        <v>14</v>
      </c>
      <c r="H655" s="4" t="s">
        <v>82</v>
      </c>
      <c r="I655" s="4" t="s">
        <v>69</v>
      </c>
      <c r="J655" s="4" t="s">
        <v>66</v>
      </c>
      <c r="K655" s="4">
        <v>0</v>
      </c>
      <c r="L655" s="94">
        <v>428673</v>
      </c>
      <c r="M655" s="94">
        <v>6001422</v>
      </c>
    </row>
    <row r="656" spans="3:13" x14ac:dyDescent="0.3">
      <c r="C656" t="s">
        <v>70</v>
      </c>
      <c r="D656" t="s">
        <v>67</v>
      </c>
      <c r="E656" t="s">
        <v>68</v>
      </c>
      <c r="F656" t="s">
        <v>72</v>
      </c>
      <c r="G656" s="4">
        <v>6</v>
      </c>
      <c r="H656" s="4" t="s">
        <v>83</v>
      </c>
      <c r="I656" s="4" t="s">
        <v>69</v>
      </c>
      <c r="J656" s="4" t="s">
        <v>66</v>
      </c>
      <c r="K656" s="4">
        <v>0</v>
      </c>
      <c r="L656" s="94">
        <v>100997</v>
      </c>
      <c r="M656" s="94">
        <v>605982</v>
      </c>
    </row>
    <row r="657" spans="3:13" x14ac:dyDescent="0.3">
      <c r="C657" t="s">
        <v>71</v>
      </c>
      <c r="D657" t="s">
        <v>67</v>
      </c>
      <c r="E657" t="s">
        <v>63</v>
      </c>
      <c r="F657" t="s">
        <v>25</v>
      </c>
      <c r="G657" s="4">
        <v>14</v>
      </c>
      <c r="H657" s="4" t="s">
        <v>64</v>
      </c>
      <c r="I657" s="4" t="s">
        <v>69</v>
      </c>
      <c r="J657" s="4" t="s">
        <v>66</v>
      </c>
      <c r="K657" s="4">
        <v>0</v>
      </c>
      <c r="L657" s="94">
        <v>-48073</v>
      </c>
      <c r="M657" s="94">
        <v>0</v>
      </c>
    </row>
    <row r="658" spans="3:13" x14ac:dyDescent="0.3">
      <c r="C658" t="s">
        <v>61</v>
      </c>
      <c r="D658" t="s">
        <v>67</v>
      </c>
      <c r="E658" t="s">
        <v>63</v>
      </c>
      <c r="F658" t="s">
        <v>25</v>
      </c>
      <c r="G658" s="4">
        <v>5</v>
      </c>
      <c r="H658" s="4" t="s">
        <v>14</v>
      </c>
      <c r="I658" s="4" t="s">
        <v>69</v>
      </c>
      <c r="J658" s="4" t="s">
        <v>66</v>
      </c>
      <c r="K658" s="4">
        <v>0</v>
      </c>
      <c r="L658" s="94">
        <v>-17248</v>
      </c>
      <c r="M658" s="94">
        <v>0</v>
      </c>
    </row>
    <row r="659" spans="3:13" x14ac:dyDescent="0.3">
      <c r="C659" t="s">
        <v>71</v>
      </c>
      <c r="D659" t="s">
        <v>62</v>
      </c>
      <c r="E659" t="s">
        <v>68</v>
      </c>
      <c r="F659" t="s">
        <v>24</v>
      </c>
      <c r="G659" s="4">
        <v>36</v>
      </c>
      <c r="I659" s="4" t="s">
        <v>65</v>
      </c>
      <c r="J659" s="4" t="s">
        <v>66</v>
      </c>
      <c r="K659" s="4">
        <v>1</v>
      </c>
      <c r="L659" s="94">
        <v>142613</v>
      </c>
      <c r="M659" s="94">
        <v>5134068</v>
      </c>
    </row>
    <row r="660" spans="3:13" x14ac:dyDescent="0.3">
      <c r="C660" t="s">
        <v>71</v>
      </c>
      <c r="D660" t="s">
        <v>67</v>
      </c>
      <c r="E660" t="s">
        <v>68</v>
      </c>
      <c r="F660" t="s">
        <v>26</v>
      </c>
      <c r="G660" s="4">
        <v>0</v>
      </c>
      <c r="H660" s="4" t="s">
        <v>17</v>
      </c>
      <c r="I660" s="4" t="s">
        <v>69</v>
      </c>
      <c r="J660" s="4" t="s">
        <v>73</v>
      </c>
      <c r="K660" s="4">
        <v>1</v>
      </c>
      <c r="L660" s="94">
        <v>14818</v>
      </c>
      <c r="M660" s="94">
        <v>0</v>
      </c>
    </row>
    <row r="661" spans="3:13" x14ac:dyDescent="0.3">
      <c r="C661" t="s">
        <v>61</v>
      </c>
      <c r="D661" t="s">
        <v>62</v>
      </c>
      <c r="E661" t="s">
        <v>63</v>
      </c>
      <c r="F661" t="s">
        <v>24</v>
      </c>
      <c r="G661" s="4">
        <v>34</v>
      </c>
      <c r="I661" s="4" t="s">
        <v>69</v>
      </c>
      <c r="J661" s="4" t="s">
        <v>66</v>
      </c>
      <c r="K661" s="4">
        <v>0</v>
      </c>
      <c r="L661" s="94">
        <v>-566579</v>
      </c>
      <c r="M661" s="94">
        <v>0</v>
      </c>
    </row>
    <row r="662" spans="3:13" x14ac:dyDescent="0.3">
      <c r="C662" t="s">
        <v>61</v>
      </c>
      <c r="D662" t="s">
        <v>67</v>
      </c>
      <c r="E662" t="s">
        <v>63</v>
      </c>
      <c r="F662" t="s">
        <v>25</v>
      </c>
      <c r="G662" s="4">
        <v>1</v>
      </c>
      <c r="H662" s="4" t="s">
        <v>18</v>
      </c>
      <c r="I662" s="4" t="s">
        <v>69</v>
      </c>
      <c r="J662" s="4" t="s">
        <v>66</v>
      </c>
      <c r="K662" s="4">
        <v>1</v>
      </c>
      <c r="L662" s="94">
        <v>-390</v>
      </c>
      <c r="M662" s="94">
        <v>0</v>
      </c>
    </row>
    <row r="663" spans="3:13" x14ac:dyDescent="0.3">
      <c r="C663" t="s">
        <v>70</v>
      </c>
      <c r="D663" t="s">
        <v>62</v>
      </c>
      <c r="E663" t="s">
        <v>68</v>
      </c>
      <c r="F663" t="s">
        <v>24</v>
      </c>
      <c r="G663" s="4">
        <v>-4</v>
      </c>
      <c r="I663" s="4" t="s">
        <v>69</v>
      </c>
      <c r="J663" s="4" t="s">
        <v>66</v>
      </c>
      <c r="K663" s="4">
        <v>0</v>
      </c>
      <c r="L663" s="94">
        <v>1720</v>
      </c>
      <c r="M663" s="94">
        <v>0</v>
      </c>
    </row>
    <row r="664" spans="3:13" x14ac:dyDescent="0.3">
      <c r="C664" t="s">
        <v>70</v>
      </c>
      <c r="D664" t="s">
        <v>67</v>
      </c>
      <c r="E664" t="s">
        <v>63</v>
      </c>
      <c r="F664" t="s">
        <v>25</v>
      </c>
      <c r="G664" s="4">
        <v>1</v>
      </c>
      <c r="H664" s="4" t="s">
        <v>17</v>
      </c>
      <c r="I664" s="4" t="s">
        <v>69</v>
      </c>
      <c r="J664" s="4" t="s">
        <v>66</v>
      </c>
      <c r="K664" s="4">
        <v>1</v>
      </c>
      <c r="L664" s="94">
        <v>-1293</v>
      </c>
      <c r="M664" s="94">
        <v>0</v>
      </c>
    </row>
    <row r="665" spans="3:13" x14ac:dyDescent="0.3">
      <c r="C665" t="s">
        <v>71</v>
      </c>
      <c r="D665" t="s">
        <v>67</v>
      </c>
      <c r="E665" t="s">
        <v>68</v>
      </c>
      <c r="F665" t="s">
        <v>26</v>
      </c>
      <c r="G665" s="4">
        <v>1</v>
      </c>
      <c r="H665" s="4" t="s">
        <v>78</v>
      </c>
      <c r="I665" s="4" t="s">
        <v>69</v>
      </c>
      <c r="J665" s="4" t="s">
        <v>66</v>
      </c>
      <c r="K665" s="4">
        <v>0</v>
      </c>
      <c r="L665" s="94">
        <v>212366</v>
      </c>
      <c r="M665" s="94">
        <v>212366</v>
      </c>
    </row>
    <row r="666" spans="3:13" x14ac:dyDescent="0.3">
      <c r="C666" t="s">
        <v>70</v>
      </c>
      <c r="D666" t="s">
        <v>62</v>
      </c>
      <c r="E666" t="s">
        <v>68</v>
      </c>
      <c r="F666" t="s">
        <v>25</v>
      </c>
      <c r="G666" s="4">
        <v>21</v>
      </c>
      <c r="I666" s="4" t="s">
        <v>69</v>
      </c>
      <c r="J666" s="4" t="s">
        <v>66</v>
      </c>
      <c r="K666" s="4">
        <v>0</v>
      </c>
      <c r="L666" s="94">
        <v>193568</v>
      </c>
      <c r="M666" s="94">
        <v>4064928</v>
      </c>
    </row>
    <row r="667" spans="3:13" x14ac:dyDescent="0.3">
      <c r="C667" t="s">
        <v>70</v>
      </c>
      <c r="D667" t="s">
        <v>67</v>
      </c>
      <c r="E667" t="s">
        <v>68</v>
      </c>
      <c r="F667" t="s">
        <v>25</v>
      </c>
      <c r="G667" s="4">
        <v>7</v>
      </c>
      <c r="H667" s="4" t="s">
        <v>83</v>
      </c>
      <c r="I667" s="4" t="s">
        <v>69</v>
      </c>
      <c r="J667" s="4" t="s">
        <v>66</v>
      </c>
      <c r="K667" s="4">
        <v>0</v>
      </c>
      <c r="L667" s="94">
        <v>246888</v>
      </c>
      <c r="M667" s="94">
        <v>1728216</v>
      </c>
    </row>
    <row r="668" spans="3:13" x14ac:dyDescent="0.3">
      <c r="C668" t="s">
        <v>61</v>
      </c>
      <c r="D668" t="s">
        <v>62</v>
      </c>
      <c r="E668" t="s">
        <v>63</v>
      </c>
      <c r="F668" t="s">
        <v>24</v>
      </c>
      <c r="G668" s="4">
        <v>24</v>
      </c>
      <c r="I668" s="4" t="s">
        <v>65</v>
      </c>
      <c r="J668" s="4" t="s">
        <v>66</v>
      </c>
      <c r="K668" s="4">
        <v>1</v>
      </c>
      <c r="L668" s="94">
        <v>-3291</v>
      </c>
      <c r="M668" s="94">
        <v>0</v>
      </c>
    </row>
    <row r="669" spans="3:13" x14ac:dyDescent="0.3">
      <c r="C669" t="s">
        <v>70</v>
      </c>
      <c r="D669" t="s">
        <v>62</v>
      </c>
      <c r="E669" t="s">
        <v>68</v>
      </c>
      <c r="F669" t="s">
        <v>24</v>
      </c>
      <c r="G669" s="4">
        <v>15</v>
      </c>
      <c r="I669" s="4" t="s">
        <v>69</v>
      </c>
      <c r="J669" s="4" t="s">
        <v>66</v>
      </c>
      <c r="K669" s="4">
        <v>1</v>
      </c>
      <c r="L669" s="94">
        <v>203665</v>
      </c>
      <c r="M669" s="94">
        <v>3054975</v>
      </c>
    </row>
    <row r="670" spans="3:13" x14ac:dyDescent="0.3">
      <c r="C670" t="s">
        <v>61</v>
      </c>
      <c r="D670" t="s">
        <v>62</v>
      </c>
      <c r="E670" t="s">
        <v>63</v>
      </c>
      <c r="F670" t="s">
        <v>24</v>
      </c>
      <c r="G670" s="4">
        <v>12</v>
      </c>
      <c r="I670" s="4" t="s">
        <v>69</v>
      </c>
      <c r="J670" s="4" t="s">
        <v>73</v>
      </c>
      <c r="K670" s="4">
        <v>1</v>
      </c>
      <c r="L670" s="94">
        <v>-2</v>
      </c>
      <c r="M670" s="94">
        <v>0</v>
      </c>
    </row>
    <row r="671" spans="3:13" x14ac:dyDescent="0.3">
      <c r="C671" t="s">
        <v>71</v>
      </c>
      <c r="D671" t="s">
        <v>62</v>
      </c>
      <c r="E671" t="s">
        <v>68</v>
      </c>
      <c r="F671" t="s">
        <v>24</v>
      </c>
      <c r="G671" s="4">
        <v>38</v>
      </c>
      <c r="I671" s="4" t="s">
        <v>69</v>
      </c>
      <c r="J671" s="4" t="s">
        <v>66</v>
      </c>
      <c r="K671" s="4">
        <v>0</v>
      </c>
      <c r="L671" s="94">
        <v>6190374</v>
      </c>
      <c r="M671" s="94">
        <v>235234212</v>
      </c>
    </row>
    <row r="672" spans="3:13" x14ac:dyDescent="0.3">
      <c r="C672" t="s">
        <v>71</v>
      </c>
      <c r="D672" t="s">
        <v>62</v>
      </c>
      <c r="E672" t="s">
        <v>63</v>
      </c>
      <c r="F672" t="s">
        <v>24</v>
      </c>
      <c r="G672" s="4">
        <v>31</v>
      </c>
      <c r="I672" s="4" t="s">
        <v>69</v>
      </c>
      <c r="J672" s="4" t="s">
        <v>66</v>
      </c>
      <c r="K672" s="4">
        <v>1</v>
      </c>
      <c r="L672" s="94">
        <v>-2357</v>
      </c>
      <c r="M672" s="94">
        <v>0</v>
      </c>
    </row>
    <row r="673" spans="3:13" x14ac:dyDescent="0.3">
      <c r="C673" t="s">
        <v>70</v>
      </c>
      <c r="D673" t="s">
        <v>62</v>
      </c>
      <c r="E673" t="s">
        <v>63</v>
      </c>
      <c r="F673" t="s">
        <v>25</v>
      </c>
      <c r="G673" s="4">
        <v>22</v>
      </c>
      <c r="I673" s="4" t="s">
        <v>69</v>
      </c>
      <c r="J673" s="4" t="s">
        <v>66</v>
      </c>
      <c r="K673" s="4">
        <v>0</v>
      </c>
      <c r="L673" s="94">
        <v>-36863</v>
      </c>
      <c r="M673" s="94">
        <v>0</v>
      </c>
    </row>
    <row r="674" spans="3:13" x14ac:dyDescent="0.3">
      <c r="C674" t="s">
        <v>70</v>
      </c>
      <c r="D674" t="s">
        <v>62</v>
      </c>
      <c r="E674" t="s">
        <v>68</v>
      </c>
      <c r="F674" t="s">
        <v>24</v>
      </c>
      <c r="G674" s="4">
        <v>0</v>
      </c>
      <c r="I674" s="4" t="s">
        <v>69</v>
      </c>
      <c r="J674" s="4" t="s">
        <v>66</v>
      </c>
      <c r="K674" s="4">
        <v>0</v>
      </c>
      <c r="L674" s="94">
        <v>181547</v>
      </c>
      <c r="M674" s="94">
        <v>0</v>
      </c>
    </row>
    <row r="675" spans="3:13" x14ac:dyDescent="0.3">
      <c r="C675" t="s">
        <v>70</v>
      </c>
      <c r="D675" t="s">
        <v>67</v>
      </c>
      <c r="E675" t="s">
        <v>63</v>
      </c>
      <c r="F675" t="s">
        <v>25</v>
      </c>
      <c r="G675" s="4">
        <v>10</v>
      </c>
      <c r="H675" s="4" t="s">
        <v>17</v>
      </c>
      <c r="I675" s="4" t="s">
        <v>69</v>
      </c>
      <c r="J675" s="4" t="s">
        <v>66</v>
      </c>
      <c r="K675" s="4">
        <v>0</v>
      </c>
      <c r="L675" s="94">
        <v>-45833</v>
      </c>
      <c r="M675" s="94">
        <v>0</v>
      </c>
    </row>
    <row r="676" spans="3:13" x14ac:dyDescent="0.3">
      <c r="C676" t="s">
        <v>61</v>
      </c>
      <c r="D676" t="s">
        <v>67</v>
      </c>
      <c r="E676" t="s">
        <v>63</v>
      </c>
      <c r="F676" t="s">
        <v>72</v>
      </c>
      <c r="G676" s="4">
        <v>1</v>
      </c>
      <c r="H676" s="4" t="s">
        <v>13</v>
      </c>
      <c r="I676" s="4" t="s">
        <v>69</v>
      </c>
      <c r="J676" s="4" t="s">
        <v>73</v>
      </c>
      <c r="K676" s="4">
        <v>1</v>
      </c>
      <c r="L676" s="94">
        <v>-1352</v>
      </c>
      <c r="M676" s="94">
        <v>0</v>
      </c>
    </row>
    <row r="677" spans="3:13" x14ac:dyDescent="0.3">
      <c r="C677" t="s">
        <v>61</v>
      </c>
      <c r="D677" t="s">
        <v>67</v>
      </c>
      <c r="E677" t="s">
        <v>63</v>
      </c>
      <c r="F677" t="s">
        <v>72</v>
      </c>
      <c r="G677" s="4">
        <v>6</v>
      </c>
      <c r="H677" s="4" t="s">
        <v>78</v>
      </c>
      <c r="I677" s="4" t="s">
        <v>69</v>
      </c>
      <c r="J677" s="4" t="s">
        <v>66</v>
      </c>
      <c r="K677" s="4">
        <v>0</v>
      </c>
      <c r="L677" s="94">
        <v>-465</v>
      </c>
      <c r="M677" s="94">
        <v>0</v>
      </c>
    </row>
    <row r="678" spans="3:13" x14ac:dyDescent="0.3">
      <c r="C678" t="s">
        <v>70</v>
      </c>
      <c r="D678" t="s">
        <v>67</v>
      </c>
      <c r="E678" t="s">
        <v>63</v>
      </c>
      <c r="F678" t="s">
        <v>26</v>
      </c>
      <c r="G678" s="4">
        <v>-1</v>
      </c>
      <c r="H678" s="4" t="s">
        <v>16</v>
      </c>
      <c r="I678" s="4" t="s">
        <v>69</v>
      </c>
      <c r="J678" s="4" t="s">
        <v>66</v>
      </c>
      <c r="K678" s="4">
        <v>0</v>
      </c>
      <c r="L678" s="94">
        <v>-46663</v>
      </c>
      <c r="M678" s="94">
        <v>0</v>
      </c>
    </row>
    <row r="679" spans="3:13" x14ac:dyDescent="0.3">
      <c r="C679" t="s">
        <v>61</v>
      </c>
      <c r="D679" t="s">
        <v>67</v>
      </c>
      <c r="E679" t="s">
        <v>63</v>
      </c>
      <c r="F679" t="s">
        <v>72</v>
      </c>
      <c r="G679" s="4">
        <v>0</v>
      </c>
      <c r="H679" s="4" t="s">
        <v>15</v>
      </c>
      <c r="I679" s="4" t="s">
        <v>69</v>
      </c>
      <c r="J679" s="4" t="s">
        <v>66</v>
      </c>
      <c r="K679" s="4">
        <v>0</v>
      </c>
      <c r="L679" s="94">
        <v>-6</v>
      </c>
      <c r="M679" s="94">
        <v>0</v>
      </c>
    </row>
    <row r="680" spans="3:13" x14ac:dyDescent="0.3">
      <c r="C680" t="s">
        <v>71</v>
      </c>
      <c r="D680" t="s">
        <v>67</v>
      </c>
      <c r="E680" t="s">
        <v>63</v>
      </c>
      <c r="F680" t="s">
        <v>25</v>
      </c>
      <c r="G680" s="4">
        <v>2</v>
      </c>
      <c r="H680" s="4" t="s">
        <v>79</v>
      </c>
      <c r="I680" s="4" t="s">
        <v>69</v>
      </c>
      <c r="J680" s="4" t="s">
        <v>66</v>
      </c>
      <c r="K680" s="4">
        <v>0</v>
      </c>
      <c r="L680" s="94">
        <v>-87545</v>
      </c>
      <c r="M680" s="94">
        <v>0</v>
      </c>
    </row>
    <row r="681" spans="3:13" x14ac:dyDescent="0.3">
      <c r="C681" t="s">
        <v>70</v>
      </c>
      <c r="D681" t="s">
        <v>67</v>
      </c>
      <c r="E681" t="s">
        <v>63</v>
      </c>
      <c r="F681" t="s">
        <v>26</v>
      </c>
      <c r="G681" s="4">
        <v>-4</v>
      </c>
      <c r="H681" s="4" t="s">
        <v>17</v>
      </c>
      <c r="I681" s="4" t="s">
        <v>69</v>
      </c>
      <c r="J681" s="4" t="s">
        <v>66</v>
      </c>
      <c r="K681" s="4">
        <v>0</v>
      </c>
      <c r="L681" s="94">
        <v>-4998</v>
      </c>
      <c r="M681" s="94">
        <v>0</v>
      </c>
    </row>
    <row r="682" spans="3:13" x14ac:dyDescent="0.3">
      <c r="C682" t="s">
        <v>70</v>
      </c>
      <c r="D682" t="s">
        <v>67</v>
      </c>
      <c r="E682" t="s">
        <v>68</v>
      </c>
      <c r="F682" t="s">
        <v>26</v>
      </c>
      <c r="G682" s="4">
        <v>9</v>
      </c>
      <c r="H682" s="4" t="s">
        <v>17</v>
      </c>
      <c r="I682" s="4" t="s">
        <v>69</v>
      </c>
      <c r="J682" s="4" t="s">
        <v>66</v>
      </c>
      <c r="K682" s="4">
        <v>0</v>
      </c>
      <c r="L682" s="94">
        <v>13468</v>
      </c>
      <c r="M682" s="94">
        <v>121212</v>
      </c>
    </row>
    <row r="683" spans="3:13" x14ac:dyDescent="0.3">
      <c r="C683" t="s">
        <v>61</v>
      </c>
      <c r="D683" t="s">
        <v>62</v>
      </c>
      <c r="E683" t="s">
        <v>63</v>
      </c>
      <c r="F683" t="s">
        <v>24</v>
      </c>
      <c r="G683" s="4">
        <v>26</v>
      </c>
      <c r="I683" s="4" t="s">
        <v>65</v>
      </c>
      <c r="J683" s="4" t="s">
        <v>66</v>
      </c>
      <c r="K683" s="4">
        <v>1</v>
      </c>
      <c r="L683" s="94">
        <v>-8440</v>
      </c>
      <c r="M683" s="94">
        <v>0</v>
      </c>
    </row>
    <row r="684" spans="3:13" x14ac:dyDescent="0.3">
      <c r="C684" t="s">
        <v>61</v>
      </c>
      <c r="D684" t="s">
        <v>67</v>
      </c>
      <c r="E684" t="s">
        <v>68</v>
      </c>
      <c r="F684" t="s">
        <v>25</v>
      </c>
      <c r="G684" s="4">
        <v>18</v>
      </c>
      <c r="H684" s="4" t="s">
        <v>17</v>
      </c>
      <c r="I684" s="4" t="s">
        <v>69</v>
      </c>
      <c r="J684" s="4" t="s">
        <v>66</v>
      </c>
      <c r="K684" s="4">
        <v>0</v>
      </c>
      <c r="L684" s="94">
        <v>74280</v>
      </c>
      <c r="M684" s="94">
        <v>1337040</v>
      </c>
    </row>
    <row r="685" spans="3:13" x14ac:dyDescent="0.3">
      <c r="C685" t="s">
        <v>70</v>
      </c>
      <c r="D685" t="s">
        <v>67</v>
      </c>
      <c r="E685" t="s">
        <v>68</v>
      </c>
      <c r="F685" t="s">
        <v>25</v>
      </c>
      <c r="G685" s="4">
        <v>3</v>
      </c>
      <c r="H685" s="4" t="s">
        <v>82</v>
      </c>
      <c r="I685" s="4" t="s">
        <v>69</v>
      </c>
      <c r="J685" s="4" t="s">
        <v>66</v>
      </c>
      <c r="K685" s="4">
        <v>0</v>
      </c>
      <c r="L685" s="94">
        <v>80768</v>
      </c>
      <c r="M685" s="94">
        <v>242304</v>
      </c>
    </row>
    <row r="686" spans="3:13" x14ac:dyDescent="0.3">
      <c r="C686" t="s">
        <v>61</v>
      </c>
      <c r="D686" t="s">
        <v>67</v>
      </c>
      <c r="E686" t="s">
        <v>68</v>
      </c>
      <c r="F686" t="s">
        <v>25</v>
      </c>
      <c r="G686" s="4">
        <v>3</v>
      </c>
      <c r="H686" s="4" t="s">
        <v>75</v>
      </c>
      <c r="I686" s="4" t="s">
        <v>69</v>
      </c>
      <c r="J686" s="4" t="s">
        <v>66</v>
      </c>
      <c r="K686" s="4">
        <v>1</v>
      </c>
      <c r="L686" s="94">
        <v>80047</v>
      </c>
      <c r="M686" s="94">
        <v>240141</v>
      </c>
    </row>
    <row r="687" spans="3:13" x14ac:dyDescent="0.3">
      <c r="C687" t="s">
        <v>61</v>
      </c>
      <c r="D687" t="s">
        <v>67</v>
      </c>
      <c r="E687" t="s">
        <v>68</v>
      </c>
      <c r="F687" t="s">
        <v>72</v>
      </c>
      <c r="G687" s="4">
        <v>1</v>
      </c>
      <c r="H687" s="4" t="s">
        <v>14</v>
      </c>
      <c r="I687" s="4" t="s">
        <v>69</v>
      </c>
      <c r="J687" s="4" t="s">
        <v>73</v>
      </c>
      <c r="K687" s="4">
        <v>1</v>
      </c>
      <c r="L687" s="94">
        <v>3003031</v>
      </c>
      <c r="M687" s="94">
        <v>3003031</v>
      </c>
    </row>
    <row r="688" spans="3:13" x14ac:dyDescent="0.3">
      <c r="C688" t="s">
        <v>61</v>
      </c>
      <c r="D688" t="s">
        <v>67</v>
      </c>
      <c r="E688" t="s">
        <v>68</v>
      </c>
      <c r="F688" t="s">
        <v>25</v>
      </c>
      <c r="G688" s="4">
        <v>0</v>
      </c>
      <c r="H688" s="4" t="s">
        <v>17</v>
      </c>
      <c r="I688" s="4" t="s">
        <v>69</v>
      </c>
      <c r="J688" s="4" t="s">
        <v>66</v>
      </c>
      <c r="K688" s="4">
        <v>0</v>
      </c>
      <c r="L688" s="94">
        <v>27157092</v>
      </c>
      <c r="M688" s="94">
        <v>0</v>
      </c>
    </row>
    <row r="689" spans="3:13" x14ac:dyDescent="0.3">
      <c r="C689" t="s">
        <v>61</v>
      </c>
      <c r="D689" t="s">
        <v>67</v>
      </c>
      <c r="E689" t="s">
        <v>68</v>
      </c>
      <c r="F689" t="s">
        <v>72</v>
      </c>
      <c r="G689" s="4">
        <v>2</v>
      </c>
      <c r="H689" s="4" t="s">
        <v>76</v>
      </c>
      <c r="I689" s="4" t="s">
        <v>69</v>
      </c>
      <c r="J689" s="4" t="s">
        <v>66</v>
      </c>
      <c r="K689" s="4">
        <v>0</v>
      </c>
      <c r="L689" s="94">
        <v>2890819</v>
      </c>
      <c r="M689" s="94">
        <v>5781638</v>
      </c>
    </row>
    <row r="690" spans="3:13" x14ac:dyDescent="0.3">
      <c r="C690" t="s">
        <v>71</v>
      </c>
      <c r="D690" t="s">
        <v>62</v>
      </c>
      <c r="E690" t="s">
        <v>68</v>
      </c>
      <c r="F690" t="s">
        <v>25</v>
      </c>
      <c r="G690" s="4">
        <v>12</v>
      </c>
      <c r="I690" s="4" t="s">
        <v>69</v>
      </c>
      <c r="J690" s="4" t="s">
        <v>66</v>
      </c>
      <c r="K690" s="4">
        <v>0</v>
      </c>
      <c r="L690" s="94">
        <v>5589340</v>
      </c>
      <c r="M690" s="94">
        <v>67072080</v>
      </c>
    </row>
    <row r="691" spans="3:13" x14ac:dyDescent="0.3">
      <c r="C691" t="s">
        <v>61</v>
      </c>
      <c r="D691" t="s">
        <v>62</v>
      </c>
      <c r="E691" t="s">
        <v>68</v>
      </c>
      <c r="F691" t="s">
        <v>24</v>
      </c>
      <c r="G691" s="4">
        <v>9</v>
      </c>
      <c r="I691" s="4" t="s">
        <v>69</v>
      </c>
      <c r="J691" s="4" t="s">
        <v>66</v>
      </c>
      <c r="K691" s="4">
        <v>0</v>
      </c>
      <c r="L691" s="94">
        <v>184880575</v>
      </c>
      <c r="M691" s="94">
        <v>1663925175</v>
      </c>
    </row>
    <row r="692" spans="3:13" x14ac:dyDescent="0.3">
      <c r="C692" t="s">
        <v>70</v>
      </c>
      <c r="D692" t="s">
        <v>67</v>
      </c>
      <c r="E692" t="s">
        <v>68</v>
      </c>
      <c r="F692" t="s">
        <v>25</v>
      </c>
      <c r="G692" s="4">
        <v>7</v>
      </c>
      <c r="H692" s="4" t="s">
        <v>75</v>
      </c>
      <c r="I692" s="4" t="s">
        <v>69</v>
      </c>
      <c r="J692" s="4" t="s">
        <v>66</v>
      </c>
      <c r="K692" s="4">
        <v>0</v>
      </c>
      <c r="L692" s="94">
        <v>6496073</v>
      </c>
      <c r="M692" s="94">
        <v>45472511</v>
      </c>
    </row>
    <row r="693" spans="3:13" x14ac:dyDescent="0.3">
      <c r="C693" t="s">
        <v>70</v>
      </c>
      <c r="D693" t="s">
        <v>62</v>
      </c>
      <c r="E693" t="s">
        <v>63</v>
      </c>
      <c r="F693" t="s">
        <v>24</v>
      </c>
      <c r="G693" s="4">
        <v>31</v>
      </c>
      <c r="I693" s="4" t="s">
        <v>69</v>
      </c>
      <c r="J693" s="4" t="s">
        <v>66</v>
      </c>
      <c r="K693" s="4">
        <v>1</v>
      </c>
      <c r="L693" s="94">
        <v>-1968</v>
      </c>
      <c r="M693" s="94">
        <v>0</v>
      </c>
    </row>
    <row r="694" spans="3:13" x14ac:dyDescent="0.3">
      <c r="C694" t="s">
        <v>61</v>
      </c>
      <c r="D694" t="s">
        <v>62</v>
      </c>
      <c r="E694" t="s">
        <v>63</v>
      </c>
      <c r="F694" t="s">
        <v>24</v>
      </c>
      <c r="G694" s="4">
        <v>2</v>
      </c>
      <c r="I694" s="4" t="s">
        <v>69</v>
      </c>
      <c r="J694" s="4" t="s">
        <v>66</v>
      </c>
      <c r="K694" s="4">
        <v>0</v>
      </c>
      <c r="L694" s="94">
        <v>-9042</v>
      </c>
      <c r="M694" s="94">
        <v>0</v>
      </c>
    </row>
    <row r="695" spans="3:13" x14ac:dyDescent="0.3">
      <c r="C695" t="s">
        <v>70</v>
      </c>
      <c r="D695" t="s">
        <v>67</v>
      </c>
      <c r="E695" t="s">
        <v>68</v>
      </c>
      <c r="F695" t="s">
        <v>26</v>
      </c>
      <c r="G695" s="4">
        <v>3</v>
      </c>
      <c r="H695" s="4" t="s">
        <v>14</v>
      </c>
      <c r="I695" s="4" t="s">
        <v>65</v>
      </c>
      <c r="J695" s="4" t="s">
        <v>73</v>
      </c>
      <c r="K695" s="4">
        <v>1</v>
      </c>
      <c r="L695" s="94">
        <v>47947</v>
      </c>
      <c r="M695" s="94">
        <v>143841</v>
      </c>
    </row>
    <row r="696" spans="3:13" x14ac:dyDescent="0.3">
      <c r="C696" t="s">
        <v>61</v>
      </c>
      <c r="D696" t="s">
        <v>67</v>
      </c>
      <c r="E696" t="s">
        <v>63</v>
      </c>
      <c r="F696" t="s">
        <v>26</v>
      </c>
      <c r="G696" s="4">
        <v>8</v>
      </c>
      <c r="H696" s="4" t="s">
        <v>14</v>
      </c>
      <c r="I696" s="4" t="s">
        <v>69</v>
      </c>
      <c r="J696" s="4" t="s">
        <v>73</v>
      </c>
      <c r="K696" s="4">
        <v>1</v>
      </c>
      <c r="L696" s="94">
        <v>-744</v>
      </c>
      <c r="M696" s="94">
        <v>0</v>
      </c>
    </row>
    <row r="697" spans="3:13" x14ac:dyDescent="0.3">
      <c r="C697" t="s">
        <v>71</v>
      </c>
      <c r="D697" t="s">
        <v>62</v>
      </c>
      <c r="E697" t="s">
        <v>63</v>
      </c>
      <c r="F697" t="s">
        <v>25</v>
      </c>
      <c r="G697" s="4">
        <v>30</v>
      </c>
      <c r="I697" s="4" t="s">
        <v>69</v>
      </c>
      <c r="J697" s="4" t="s">
        <v>66</v>
      </c>
      <c r="K697" s="4">
        <v>0</v>
      </c>
      <c r="L697" s="94">
        <v>-74381</v>
      </c>
      <c r="M697" s="94">
        <v>0</v>
      </c>
    </row>
    <row r="698" spans="3:13" x14ac:dyDescent="0.3">
      <c r="C698" t="s">
        <v>61</v>
      </c>
      <c r="D698" t="s">
        <v>88</v>
      </c>
      <c r="E698" t="s">
        <v>68</v>
      </c>
      <c r="F698" t="s">
        <v>25</v>
      </c>
      <c r="G698" s="4">
        <v>5</v>
      </c>
      <c r="H698" s="4" t="s">
        <v>86</v>
      </c>
      <c r="I698" s="4" t="s">
        <v>69</v>
      </c>
      <c r="J698" s="4" t="s">
        <v>66</v>
      </c>
      <c r="K698" s="4">
        <v>0</v>
      </c>
      <c r="L698" s="94">
        <v>38712</v>
      </c>
      <c r="M698" s="94">
        <v>193560</v>
      </c>
    </row>
    <row r="699" spans="3:13" x14ac:dyDescent="0.3">
      <c r="C699" t="s">
        <v>70</v>
      </c>
      <c r="D699" t="s">
        <v>67</v>
      </c>
      <c r="E699" t="s">
        <v>68</v>
      </c>
      <c r="F699" t="s">
        <v>26</v>
      </c>
      <c r="G699" s="4">
        <v>7</v>
      </c>
      <c r="H699" s="4" t="s">
        <v>75</v>
      </c>
      <c r="I699" s="4" t="s">
        <v>69</v>
      </c>
      <c r="J699" s="4" t="s">
        <v>66</v>
      </c>
      <c r="K699" s="4">
        <v>0</v>
      </c>
      <c r="L699" s="94">
        <v>2278688</v>
      </c>
      <c r="M699" s="94">
        <v>15950816</v>
      </c>
    </row>
    <row r="700" spans="3:13" x14ac:dyDescent="0.3">
      <c r="C700" t="s">
        <v>61</v>
      </c>
      <c r="D700" t="s">
        <v>67</v>
      </c>
      <c r="E700" t="s">
        <v>63</v>
      </c>
      <c r="F700" t="s">
        <v>72</v>
      </c>
      <c r="G700" s="4">
        <v>2</v>
      </c>
      <c r="H700" s="4" t="s">
        <v>64</v>
      </c>
      <c r="I700" s="4" t="s">
        <v>69</v>
      </c>
      <c r="J700" s="4" t="s">
        <v>66</v>
      </c>
      <c r="K700" s="4">
        <v>0</v>
      </c>
      <c r="L700" s="94">
        <v>-16761</v>
      </c>
      <c r="M700" s="94">
        <v>0</v>
      </c>
    </row>
    <row r="701" spans="3:13" x14ac:dyDescent="0.3">
      <c r="C701" t="s">
        <v>70</v>
      </c>
      <c r="D701" t="s">
        <v>67</v>
      </c>
      <c r="E701" t="s">
        <v>63</v>
      </c>
      <c r="F701" t="s">
        <v>26</v>
      </c>
      <c r="G701" s="4">
        <v>1</v>
      </c>
      <c r="H701" s="4" t="s">
        <v>86</v>
      </c>
      <c r="I701" s="4" t="s">
        <v>69</v>
      </c>
      <c r="J701" s="4" t="s">
        <v>66</v>
      </c>
      <c r="K701" s="4">
        <v>0</v>
      </c>
      <c r="L701" s="94">
        <v>-201</v>
      </c>
      <c r="M701" s="94">
        <v>0</v>
      </c>
    </row>
    <row r="702" spans="3:13" x14ac:dyDescent="0.3">
      <c r="C702" t="s">
        <v>71</v>
      </c>
      <c r="D702" t="s">
        <v>62</v>
      </c>
      <c r="E702" t="s">
        <v>68</v>
      </c>
      <c r="F702" t="s">
        <v>24</v>
      </c>
      <c r="G702" s="4">
        <v>24</v>
      </c>
      <c r="I702" s="4" t="s">
        <v>69</v>
      </c>
      <c r="J702" s="4" t="s">
        <v>66</v>
      </c>
      <c r="K702" s="4">
        <v>0</v>
      </c>
      <c r="L702" s="94">
        <v>8050534</v>
      </c>
      <c r="M702" s="94">
        <v>193212816</v>
      </c>
    </row>
    <row r="703" spans="3:13" x14ac:dyDescent="0.3">
      <c r="C703" t="s">
        <v>71</v>
      </c>
      <c r="D703" t="s">
        <v>67</v>
      </c>
      <c r="E703" t="s">
        <v>63</v>
      </c>
      <c r="F703" t="s">
        <v>26</v>
      </c>
      <c r="G703" s="4">
        <v>2</v>
      </c>
      <c r="H703" s="4" t="s">
        <v>75</v>
      </c>
      <c r="I703" s="4" t="s">
        <v>65</v>
      </c>
      <c r="J703" s="4" t="s">
        <v>66</v>
      </c>
      <c r="K703" s="4">
        <v>1</v>
      </c>
      <c r="L703" s="94">
        <v>-4109</v>
      </c>
      <c r="M703" s="94">
        <v>0</v>
      </c>
    </row>
    <row r="704" spans="3:13" x14ac:dyDescent="0.3">
      <c r="C704" t="s">
        <v>70</v>
      </c>
      <c r="D704" t="s">
        <v>67</v>
      </c>
      <c r="E704" t="s">
        <v>63</v>
      </c>
      <c r="F704" t="s">
        <v>26</v>
      </c>
      <c r="G704" s="4">
        <v>4</v>
      </c>
      <c r="H704" s="4" t="s">
        <v>75</v>
      </c>
      <c r="I704" s="4" t="s">
        <v>69</v>
      </c>
      <c r="J704" s="4" t="s">
        <v>66</v>
      </c>
      <c r="K704" s="4">
        <v>0</v>
      </c>
      <c r="L704" s="94">
        <v>-77448</v>
      </c>
      <c r="M704" s="94">
        <v>0</v>
      </c>
    </row>
    <row r="705" spans="3:13" x14ac:dyDescent="0.3">
      <c r="C705" t="s">
        <v>70</v>
      </c>
      <c r="D705" t="s">
        <v>67</v>
      </c>
      <c r="E705" t="s">
        <v>68</v>
      </c>
      <c r="F705" t="s">
        <v>25</v>
      </c>
      <c r="G705" s="4">
        <v>8</v>
      </c>
      <c r="H705" s="4" t="s">
        <v>79</v>
      </c>
      <c r="I705" s="4" t="s">
        <v>69</v>
      </c>
      <c r="J705" s="4" t="s">
        <v>66</v>
      </c>
      <c r="K705" s="4">
        <v>0</v>
      </c>
      <c r="L705" s="94">
        <v>1220124</v>
      </c>
      <c r="M705" s="94">
        <v>9760992</v>
      </c>
    </row>
    <row r="706" spans="3:13" x14ac:dyDescent="0.3">
      <c r="C706" t="s">
        <v>70</v>
      </c>
      <c r="D706" t="s">
        <v>67</v>
      </c>
      <c r="E706" t="s">
        <v>63</v>
      </c>
      <c r="F706" t="s">
        <v>72</v>
      </c>
      <c r="G706" s="4">
        <v>4</v>
      </c>
      <c r="H706" s="4" t="s">
        <v>82</v>
      </c>
      <c r="I706" s="4" t="s">
        <v>69</v>
      </c>
      <c r="J706" s="4" t="s">
        <v>66</v>
      </c>
      <c r="K706" s="4">
        <v>0</v>
      </c>
      <c r="L706" s="94">
        <v>-163140</v>
      </c>
      <c r="M706" s="94">
        <v>0</v>
      </c>
    </row>
    <row r="707" spans="3:13" x14ac:dyDescent="0.3">
      <c r="C707" t="s">
        <v>71</v>
      </c>
      <c r="D707" t="s">
        <v>67</v>
      </c>
      <c r="E707" t="s">
        <v>68</v>
      </c>
      <c r="F707" t="s">
        <v>26</v>
      </c>
      <c r="G707" s="4">
        <v>1</v>
      </c>
      <c r="H707" s="4" t="s">
        <v>75</v>
      </c>
      <c r="I707" s="4" t="s">
        <v>69</v>
      </c>
      <c r="J707" s="4" t="s">
        <v>66</v>
      </c>
      <c r="K707" s="4">
        <v>0</v>
      </c>
      <c r="L707" s="94">
        <v>272090</v>
      </c>
      <c r="M707" s="94">
        <v>272090</v>
      </c>
    </row>
    <row r="708" spans="3:13" x14ac:dyDescent="0.3">
      <c r="C708" t="s">
        <v>70</v>
      </c>
      <c r="D708" t="s">
        <v>62</v>
      </c>
      <c r="E708" t="s">
        <v>68</v>
      </c>
      <c r="F708" t="s">
        <v>24</v>
      </c>
      <c r="G708" s="4">
        <v>14</v>
      </c>
      <c r="I708" s="4" t="s">
        <v>65</v>
      </c>
      <c r="J708" s="4" t="s">
        <v>66</v>
      </c>
      <c r="K708" s="4">
        <v>1</v>
      </c>
      <c r="L708" s="94">
        <v>293008</v>
      </c>
      <c r="M708" s="94">
        <v>4102112</v>
      </c>
    </row>
    <row r="709" spans="3:13" x14ac:dyDescent="0.3">
      <c r="C709" t="s">
        <v>70</v>
      </c>
      <c r="D709" t="s">
        <v>67</v>
      </c>
      <c r="E709" t="s">
        <v>63</v>
      </c>
      <c r="F709" t="s">
        <v>72</v>
      </c>
      <c r="G709" s="4">
        <v>4</v>
      </c>
      <c r="H709" s="4" t="s">
        <v>12</v>
      </c>
      <c r="I709" s="4" t="s">
        <v>65</v>
      </c>
      <c r="J709" s="4" t="s">
        <v>73</v>
      </c>
      <c r="K709" s="4">
        <v>1</v>
      </c>
      <c r="L709" s="94">
        <v>-207</v>
      </c>
      <c r="M709" s="94">
        <v>0</v>
      </c>
    </row>
    <row r="710" spans="3:13" x14ac:dyDescent="0.3">
      <c r="C710" t="s">
        <v>71</v>
      </c>
      <c r="D710" t="s">
        <v>62</v>
      </c>
      <c r="E710" t="s">
        <v>63</v>
      </c>
      <c r="F710" t="s">
        <v>24</v>
      </c>
      <c r="G710" s="4">
        <v>26</v>
      </c>
      <c r="I710" s="4" t="s">
        <v>65</v>
      </c>
      <c r="J710" s="4" t="s">
        <v>66</v>
      </c>
      <c r="K710" s="4">
        <v>1</v>
      </c>
      <c r="L710" s="94">
        <v>-38887</v>
      </c>
      <c r="M710" s="94">
        <v>0</v>
      </c>
    </row>
    <row r="711" spans="3:13" x14ac:dyDescent="0.3">
      <c r="C711" t="s">
        <v>71</v>
      </c>
      <c r="D711" t="s">
        <v>67</v>
      </c>
      <c r="E711" t="s">
        <v>68</v>
      </c>
      <c r="F711" t="s">
        <v>26</v>
      </c>
      <c r="G711" s="4">
        <v>2</v>
      </c>
      <c r="H711" s="4" t="s">
        <v>18</v>
      </c>
      <c r="I711" s="4" t="s">
        <v>69</v>
      </c>
      <c r="J711" s="4" t="s">
        <v>73</v>
      </c>
      <c r="K711" s="4">
        <v>1</v>
      </c>
      <c r="L711" s="94">
        <v>180901</v>
      </c>
      <c r="M711" s="94">
        <v>361802</v>
      </c>
    </row>
    <row r="712" spans="3:13" x14ac:dyDescent="0.3">
      <c r="C712" t="s">
        <v>71</v>
      </c>
      <c r="D712" t="s">
        <v>62</v>
      </c>
      <c r="E712" t="s">
        <v>63</v>
      </c>
      <c r="F712" t="s">
        <v>24</v>
      </c>
      <c r="G712" s="4">
        <v>38</v>
      </c>
      <c r="I712" s="4" t="s">
        <v>69</v>
      </c>
      <c r="J712" s="4" t="s">
        <v>66</v>
      </c>
      <c r="K712" s="4">
        <v>0</v>
      </c>
      <c r="L712" s="94">
        <v>-1282993</v>
      </c>
      <c r="M712" s="94">
        <v>0</v>
      </c>
    </row>
    <row r="713" spans="3:13" x14ac:dyDescent="0.3">
      <c r="C713" t="s">
        <v>71</v>
      </c>
      <c r="D713" t="s">
        <v>67</v>
      </c>
      <c r="E713" t="s">
        <v>68</v>
      </c>
      <c r="F713" t="s">
        <v>26</v>
      </c>
      <c r="G713" s="4">
        <v>-4</v>
      </c>
      <c r="H713" s="4" t="s">
        <v>14</v>
      </c>
      <c r="I713" s="4" t="s">
        <v>69</v>
      </c>
      <c r="J713" s="4" t="s">
        <v>66</v>
      </c>
      <c r="K713" s="4">
        <v>0</v>
      </c>
      <c r="L713" s="94">
        <v>7893221</v>
      </c>
      <c r="M713" s="94">
        <v>0</v>
      </c>
    </row>
    <row r="714" spans="3:13" x14ac:dyDescent="0.3">
      <c r="C714" t="s">
        <v>70</v>
      </c>
      <c r="D714" t="s">
        <v>67</v>
      </c>
      <c r="E714" t="s">
        <v>68</v>
      </c>
      <c r="F714" t="s">
        <v>72</v>
      </c>
      <c r="G714" s="4">
        <v>7</v>
      </c>
      <c r="H714" s="4" t="s">
        <v>18</v>
      </c>
      <c r="I714" s="4" t="s">
        <v>69</v>
      </c>
      <c r="J714" s="4" t="s">
        <v>73</v>
      </c>
      <c r="K714" s="4">
        <v>1</v>
      </c>
      <c r="L714" s="94">
        <v>53102</v>
      </c>
      <c r="M714" s="94">
        <v>371714</v>
      </c>
    </row>
    <row r="715" spans="3:13" x14ac:dyDescent="0.3">
      <c r="C715" t="s">
        <v>70</v>
      </c>
      <c r="D715" t="s">
        <v>62</v>
      </c>
      <c r="E715" t="s">
        <v>63</v>
      </c>
      <c r="F715" t="s">
        <v>24</v>
      </c>
      <c r="G715" s="4">
        <v>2</v>
      </c>
      <c r="I715" s="4" t="s">
        <v>69</v>
      </c>
      <c r="J715" s="4" t="s">
        <v>66</v>
      </c>
      <c r="K715" s="4">
        <v>0</v>
      </c>
      <c r="L715" s="94">
        <v>-130152</v>
      </c>
      <c r="M715" s="94">
        <v>0</v>
      </c>
    </row>
    <row r="716" spans="3:13" x14ac:dyDescent="0.3">
      <c r="C716" t="s">
        <v>71</v>
      </c>
      <c r="D716" t="s">
        <v>62</v>
      </c>
      <c r="E716" t="s">
        <v>63</v>
      </c>
      <c r="F716" t="s">
        <v>24</v>
      </c>
      <c r="G716" s="4">
        <v>10</v>
      </c>
      <c r="I716" s="4" t="s">
        <v>69</v>
      </c>
      <c r="J716" s="4" t="s">
        <v>66</v>
      </c>
      <c r="K716" s="4">
        <v>0</v>
      </c>
      <c r="L716" s="94">
        <v>-665015</v>
      </c>
      <c r="M716" s="94">
        <v>0</v>
      </c>
    </row>
    <row r="717" spans="3:13" x14ac:dyDescent="0.3">
      <c r="C717" t="s">
        <v>71</v>
      </c>
      <c r="D717" t="s">
        <v>62</v>
      </c>
      <c r="E717" t="s">
        <v>68</v>
      </c>
      <c r="F717" t="s">
        <v>24</v>
      </c>
      <c r="G717" s="4">
        <v>22</v>
      </c>
      <c r="I717" s="4" t="s">
        <v>69</v>
      </c>
      <c r="J717" s="4" t="s">
        <v>66</v>
      </c>
      <c r="K717" s="4">
        <v>0</v>
      </c>
      <c r="L717" s="94">
        <v>9816981</v>
      </c>
      <c r="M717" s="94">
        <v>215973582</v>
      </c>
    </row>
    <row r="718" spans="3:13" x14ac:dyDescent="0.3">
      <c r="C718" t="s">
        <v>61</v>
      </c>
      <c r="D718" t="s">
        <v>62</v>
      </c>
      <c r="E718" t="s">
        <v>63</v>
      </c>
      <c r="F718" t="s">
        <v>25</v>
      </c>
      <c r="G718" s="4">
        <v>6</v>
      </c>
      <c r="I718" s="4" t="s">
        <v>69</v>
      </c>
      <c r="J718" s="4" t="s">
        <v>66</v>
      </c>
      <c r="K718" s="4">
        <v>0</v>
      </c>
      <c r="L718" s="94">
        <v>-14832</v>
      </c>
      <c r="M718" s="94">
        <v>0</v>
      </c>
    </row>
    <row r="719" spans="3:13" x14ac:dyDescent="0.3">
      <c r="C719" t="s">
        <v>70</v>
      </c>
      <c r="D719" t="s">
        <v>67</v>
      </c>
      <c r="E719" t="s">
        <v>68</v>
      </c>
      <c r="F719" t="s">
        <v>26</v>
      </c>
      <c r="G719" s="4">
        <v>6</v>
      </c>
      <c r="H719" s="4" t="s">
        <v>74</v>
      </c>
      <c r="I719" s="4" t="s">
        <v>69</v>
      </c>
      <c r="J719" s="4" t="s">
        <v>66</v>
      </c>
      <c r="K719" s="4">
        <v>0</v>
      </c>
      <c r="L719" s="94">
        <v>512209</v>
      </c>
      <c r="M719" s="94">
        <v>3073254</v>
      </c>
    </row>
    <row r="720" spans="3:13" x14ac:dyDescent="0.3">
      <c r="C720" t="s">
        <v>70</v>
      </c>
      <c r="D720" t="s">
        <v>67</v>
      </c>
      <c r="E720" t="s">
        <v>63</v>
      </c>
      <c r="F720" t="s">
        <v>72</v>
      </c>
      <c r="G720" s="4">
        <v>6</v>
      </c>
      <c r="H720" s="4" t="s">
        <v>83</v>
      </c>
      <c r="I720" s="4" t="s">
        <v>69</v>
      </c>
      <c r="J720" s="4" t="s">
        <v>66</v>
      </c>
      <c r="K720" s="4">
        <v>0</v>
      </c>
      <c r="L720" s="94">
        <v>-5364</v>
      </c>
      <c r="M720" s="94">
        <v>0</v>
      </c>
    </row>
    <row r="721" spans="3:13" x14ac:dyDescent="0.3">
      <c r="C721" t="s">
        <v>70</v>
      </c>
      <c r="D721" t="s">
        <v>67</v>
      </c>
      <c r="E721" t="s">
        <v>63</v>
      </c>
      <c r="F721" t="s">
        <v>72</v>
      </c>
      <c r="G721" s="4">
        <v>4</v>
      </c>
      <c r="H721" s="4" t="s">
        <v>77</v>
      </c>
      <c r="I721" s="4" t="s">
        <v>69</v>
      </c>
      <c r="J721" s="4" t="s">
        <v>66</v>
      </c>
      <c r="K721" s="4">
        <v>0</v>
      </c>
      <c r="L721" s="94">
        <v>-12925</v>
      </c>
      <c r="M721" s="94">
        <v>0</v>
      </c>
    </row>
    <row r="722" spans="3:13" x14ac:dyDescent="0.3">
      <c r="C722" t="s">
        <v>70</v>
      </c>
      <c r="D722" t="s">
        <v>67</v>
      </c>
      <c r="E722" t="s">
        <v>63</v>
      </c>
      <c r="F722" t="s">
        <v>72</v>
      </c>
      <c r="G722" s="4">
        <v>0</v>
      </c>
      <c r="H722" s="4" t="s">
        <v>17</v>
      </c>
      <c r="I722" s="4" t="s">
        <v>69</v>
      </c>
      <c r="J722" s="4" t="s">
        <v>66</v>
      </c>
      <c r="K722" s="4">
        <v>0</v>
      </c>
      <c r="L722" s="94">
        <v>-17345</v>
      </c>
      <c r="M722" s="94">
        <v>0</v>
      </c>
    </row>
    <row r="723" spans="3:13" x14ac:dyDescent="0.3">
      <c r="C723" t="s">
        <v>70</v>
      </c>
      <c r="D723" t="s">
        <v>62</v>
      </c>
      <c r="E723" t="s">
        <v>63</v>
      </c>
      <c r="F723" t="s">
        <v>24</v>
      </c>
      <c r="G723" s="4">
        <v>23</v>
      </c>
      <c r="I723" s="4" t="s">
        <v>69</v>
      </c>
      <c r="J723" s="4" t="s">
        <v>66</v>
      </c>
      <c r="K723" s="4">
        <v>1</v>
      </c>
      <c r="L723" s="94">
        <v>-49195</v>
      </c>
      <c r="M723" s="94">
        <v>0</v>
      </c>
    </row>
    <row r="724" spans="3:13" x14ac:dyDescent="0.3">
      <c r="C724" t="s">
        <v>61</v>
      </c>
      <c r="D724" t="s">
        <v>67</v>
      </c>
      <c r="E724" t="s">
        <v>63</v>
      </c>
      <c r="F724" t="s">
        <v>26</v>
      </c>
      <c r="G724" s="4">
        <v>3</v>
      </c>
      <c r="H724" s="4" t="s">
        <v>15</v>
      </c>
      <c r="I724" s="4" t="s">
        <v>69</v>
      </c>
      <c r="J724" s="4" t="s">
        <v>66</v>
      </c>
      <c r="K724" s="4">
        <v>0</v>
      </c>
      <c r="L724" s="94">
        <v>-2610</v>
      </c>
      <c r="M724" s="94">
        <v>0</v>
      </c>
    </row>
    <row r="725" spans="3:13" x14ac:dyDescent="0.3">
      <c r="C725" t="s">
        <v>70</v>
      </c>
      <c r="D725" t="s">
        <v>67</v>
      </c>
      <c r="E725" t="s">
        <v>63</v>
      </c>
      <c r="F725" t="s">
        <v>26</v>
      </c>
      <c r="G725" s="4">
        <v>4</v>
      </c>
      <c r="H725" s="4" t="s">
        <v>64</v>
      </c>
      <c r="I725" s="4" t="s">
        <v>69</v>
      </c>
      <c r="J725" s="4" t="s">
        <v>66</v>
      </c>
      <c r="K725" s="4">
        <v>0</v>
      </c>
      <c r="L725" s="94">
        <v>-64076</v>
      </c>
      <c r="M725" s="94">
        <v>0</v>
      </c>
    </row>
    <row r="726" spans="3:13" x14ac:dyDescent="0.3">
      <c r="C726" t="s">
        <v>70</v>
      </c>
      <c r="D726" t="s">
        <v>67</v>
      </c>
      <c r="E726" t="s">
        <v>63</v>
      </c>
      <c r="F726" t="s">
        <v>25</v>
      </c>
      <c r="G726" s="4">
        <v>7</v>
      </c>
      <c r="H726" s="4" t="s">
        <v>74</v>
      </c>
      <c r="I726" s="4" t="s">
        <v>69</v>
      </c>
      <c r="J726" s="4" t="s">
        <v>66</v>
      </c>
      <c r="K726" s="4">
        <v>0</v>
      </c>
      <c r="L726" s="94">
        <v>-30730</v>
      </c>
      <c r="M726" s="94">
        <v>0</v>
      </c>
    </row>
    <row r="727" spans="3:13" x14ac:dyDescent="0.3">
      <c r="C727" t="s">
        <v>70</v>
      </c>
      <c r="D727" t="s">
        <v>67</v>
      </c>
      <c r="E727" t="s">
        <v>63</v>
      </c>
      <c r="F727" t="s">
        <v>26</v>
      </c>
      <c r="G727" s="4">
        <v>1</v>
      </c>
      <c r="H727" s="4" t="s">
        <v>74</v>
      </c>
      <c r="I727" s="4" t="s">
        <v>69</v>
      </c>
      <c r="J727" s="4" t="s">
        <v>66</v>
      </c>
      <c r="K727" s="4">
        <v>0</v>
      </c>
      <c r="L727" s="94">
        <v>-95885</v>
      </c>
      <c r="M727" s="94">
        <v>0</v>
      </c>
    </row>
    <row r="728" spans="3:13" x14ac:dyDescent="0.3">
      <c r="C728" t="s">
        <v>70</v>
      </c>
      <c r="D728" t="s">
        <v>67</v>
      </c>
      <c r="E728" t="s">
        <v>68</v>
      </c>
      <c r="F728" t="s">
        <v>26</v>
      </c>
      <c r="G728" s="4">
        <v>7</v>
      </c>
      <c r="H728" s="4" t="s">
        <v>64</v>
      </c>
      <c r="I728" s="4" t="s">
        <v>69</v>
      </c>
      <c r="J728" s="4" t="s">
        <v>66</v>
      </c>
      <c r="K728" s="4">
        <v>0</v>
      </c>
      <c r="L728" s="94">
        <v>277806</v>
      </c>
      <c r="M728" s="94">
        <v>1944642</v>
      </c>
    </row>
    <row r="729" spans="3:13" x14ac:dyDescent="0.3">
      <c r="C729" t="s">
        <v>61</v>
      </c>
      <c r="D729" t="s">
        <v>67</v>
      </c>
      <c r="E729" t="s">
        <v>63</v>
      </c>
      <c r="F729" t="s">
        <v>25</v>
      </c>
      <c r="G729" s="4">
        <v>9</v>
      </c>
      <c r="H729" s="4" t="s">
        <v>76</v>
      </c>
      <c r="I729" s="4" t="s">
        <v>69</v>
      </c>
      <c r="J729" s="4" t="s">
        <v>66</v>
      </c>
      <c r="K729" s="4">
        <v>0</v>
      </c>
      <c r="L729" s="94">
        <v>-64687</v>
      </c>
      <c r="M729" s="94">
        <v>0</v>
      </c>
    </row>
    <row r="730" spans="3:13" x14ac:dyDescent="0.3">
      <c r="C730" t="s">
        <v>61</v>
      </c>
      <c r="D730" t="s">
        <v>67</v>
      </c>
      <c r="E730" t="s">
        <v>68</v>
      </c>
      <c r="F730" t="s">
        <v>25</v>
      </c>
      <c r="G730" s="4">
        <v>12</v>
      </c>
      <c r="H730" s="4" t="s">
        <v>77</v>
      </c>
      <c r="I730" s="4" t="s">
        <v>69</v>
      </c>
      <c r="J730" s="4" t="s">
        <v>66</v>
      </c>
      <c r="K730" s="4">
        <v>0</v>
      </c>
      <c r="L730" s="94">
        <v>420091</v>
      </c>
      <c r="M730" s="94">
        <v>5041092</v>
      </c>
    </row>
    <row r="731" spans="3:13" x14ac:dyDescent="0.3">
      <c r="C731" t="s">
        <v>61</v>
      </c>
      <c r="D731" t="s">
        <v>62</v>
      </c>
      <c r="E731" t="s">
        <v>63</v>
      </c>
      <c r="F731" t="s">
        <v>24</v>
      </c>
      <c r="G731" s="4">
        <v>18</v>
      </c>
      <c r="I731" s="4" t="s">
        <v>65</v>
      </c>
      <c r="J731" s="4" t="s">
        <v>66</v>
      </c>
      <c r="K731" s="4">
        <v>1</v>
      </c>
      <c r="L731" s="94">
        <v>-1512</v>
      </c>
      <c r="M731" s="94">
        <v>0</v>
      </c>
    </row>
    <row r="732" spans="3:13" x14ac:dyDescent="0.3">
      <c r="C732" t="s">
        <v>61</v>
      </c>
      <c r="D732" t="s">
        <v>67</v>
      </c>
      <c r="E732" t="s">
        <v>63</v>
      </c>
      <c r="F732" t="s">
        <v>25</v>
      </c>
      <c r="G732" s="4">
        <v>16</v>
      </c>
      <c r="H732" s="4" t="s">
        <v>74</v>
      </c>
      <c r="I732" s="4" t="s">
        <v>69</v>
      </c>
      <c r="J732" s="4" t="s">
        <v>66</v>
      </c>
      <c r="K732" s="4">
        <v>0</v>
      </c>
      <c r="L732" s="94">
        <v>-781</v>
      </c>
      <c r="M732" s="94">
        <v>0</v>
      </c>
    </row>
    <row r="733" spans="3:13" x14ac:dyDescent="0.3">
      <c r="C733" t="s">
        <v>70</v>
      </c>
      <c r="D733" t="s">
        <v>67</v>
      </c>
      <c r="E733" t="s">
        <v>68</v>
      </c>
      <c r="F733" t="s">
        <v>25</v>
      </c>
      <c r="G733" s="4">
        <v>13</v>
      </c>
      <c r="H733" s="4" t="s">
        <v>18</v>
      </c>
      <c r="I733" s="4" t="s">
        <v>69</v>
      </c>
      <c r="J733" s="4" t="s">
        <v>66</v>
      </c>
      <c r="K733" s="4">
        <v>0</v>
      </c>
      <c r="L733" s="94">
        <v>2067859</v>
      </c>
      <c r="M733" s="94">
        <v>26882167</v>
      </c>
    </row>
    <row r="734" spans="3:13" x14ac:dyDescent="0.3">
      <c r="C734" t="s">
        <v>70</v>
      </c>
      <c r="D734" t="s">
        <v>67</v>
      </c>
      <c r="E734" t="s">
        <v>68</v>
      </c>
      <c r="F734" t="s">
        <v>72</v>
      </c>
      <c r="G734" s="4">
        <v>3</v>
      </c>
      <c r="H734" s="4" t="s">
        <v>12</v>
      </c>
      <c r="I734" s="4" t="s">
        <v>65</v>
      </c>
      <c r="J734" s="4" t="s">
        <v>73</v>
      </c>
      <c r="K734" s="4">
        <v>1</v>
      </c>
      <c r="L734" s="94">
        <v>181855</v>
      </c>
      <c r="M734" s="94">
        <v>545565</v>
      </c>
    </row>
    <row r="735" spans="3:13" x14ac:dyDescent="0.3">
      <c r="C735" t="s">
        <v>70</v>
      </c>
      <c r="D735" t="s">
        <v>62</v>
      </c>
      <c r="E735" t="s">
        <v>63</v>
      </c>
      <c r="F735" t="s">
        <v>24</v>
      </c>
      <c r="G735" s="4">
        <v>26</v>
      </c>
      <c r="I735" s="4" t="s">
        <v>65</v>
      </c>
      <c r="J735" s="4" t="s">
        <v>66</v>
      </c>
      <c r="K735" s="4">
        <v>1</v>
      </c>
      <c r="L735" s="94">
        <v>-16825</v>
      </c>
      <c r="M735" s="94">
        <v>0</v>
      </c>
    </row>
    <row r="736" spans="3:13" x14ac:dyDescent="0.3">
      <c r="C736" t="s">
        <v>61</v>
      </c>
      <c r="D736" t="s">
        <v>67</v>
      </c>
      <c r="E736" t="s">
        <v>68</v>
      </c>
      <c r="F736" t="s">
        <v>26</v>
      </c>
      <c r="G736" s="4">
        <v>7</v>
      </c>
      <c r="H736" s="4" t="s">
        <v>14</v>
      </c>
      <c r="I736" s="4" t="s">
        <v>69</v>
      </c>
      <c r="J736" s="4" t="s">
        <v>73</v>
      </c>
      <c r="K736" s="4">
        <v>1</v>
      </c>
      <c r="L736" s="94">
        <v>2798774</v>
      </c>
      <c r="M736" s="94">
        <v>19591418</v>
      </c>
    </row>
    <row r="737" spans="3:13" x14ac:dyDescent="0.3">
      <c r="C737" t="s">
        <v>61</v>
      </c>
      <c r="D737" t="s">
        <v>62</v>
      </c>
      <c r="E737" t="s">
        <v>68</v>
      </c>
      <c r="F737" t="s">
        <v>24</v>
      </c>
      <c r="G737" s="4">
        <v>43</v>
      </c>
      <c r="I737" s="4" t="s">
        <v>69</v>
      </c>
      <c r="J737" s="4" t="s">
        <v>66</v>
      </c>
      <c r="K737" s="4">
        <v>0</v>
      </c>
      <c r="L737" s="94">
        <v>19366254</v>
      </c>
      <c r="M737" s="94">
        <v>832748922</v>
      </c>
    </row>
    <row r="738" spans="3:13" x14ac:dyDescent="0.3">
      <c r="C738" t="s">
        <v>70</v>
      </c>
      <c r="D738" t="s">
        <v>62</v>
      </c>
      <c r="E738" t="s">
        <v>63</v>
      </c>
      <c r="F738" t="s">
        <v>24</v>
      </c>
      <c r="G738" s="4">
        <v>10</v>
      </c>
      <c r="I738" s="4" t="s">
        <v>69</v>
      </c>
      <c r="J738" s="4" t="s">
        <v>66</v>
      </c>
      <c r="K738" s="4">
        <v>0</v>
      </c>
      <c r="L738" s="94">
        <v>-420760</v>
      </c>
      <c r="M738" s="94">
        <v>0</v>
      </c>
    </row>
    <row r="739" spans="3:13" x14ac:dyDescent="0.3">
      <c r="C739" t="s">
        <v>71</v>
      </c>
      <c r="D739" t="s">
        <v>67</v>
      </c>
      <c r="E739" t="s">
        <v>63</v>
      </c>
      <c r="F739" t="s">
        <v>26</v>
      </c>
      <c r="G739" s="4">
        <v>3</v>
      </c>
      <c r="H739" s="4" t="s">
        <v>17</v>
      </c>
      <c r="I739" s="4" t="s">
        <v>69</v>
      </c>
      <c r="J739" s="4" t="s">
        <v>66</v>
      </c>
      <c r="K739" s="4">
        <v>0</v>
      </c>
      <c r="L739" s="94">
        <v>-1360508</v>
      </c>
      <c r="M739" s="94">
        <v>0</v>
      </c>
    </row>
    <row r="740" spans="3:13" x14ac:dyDescent="0.3">
      <c r="C740" t="s">
        <v>61</v>
      </c>
      <c r="D740" t="s">
        <v>67</v>
      </c>
      <c r="E740" t="s">
        <v>63</v>
      </c>
      <c r="F740" t="s">
        <v>72</v>
      </c>
      <c r="G740" s="4">
        <v>4</v>
      </c>
      <c r="H740" s="4" t="s">
        <v>12</v>
      </c>
      <c r="I740" s="4" t="s">
        <v>65</v>
      </c>
      <c r="J740" s="4" t="s">
        <v>73</v>
      </c>
      <c r="K740" s="4">
        <v>1</v>
      </c>
      <c r="L740" s="94">
        <v>-98</v>
      </c>
      <c r="M740" s="94">
        <v>0</v>
      </c>
    </row>
    <row r="741" spans="3:13" x14ac:dyDescent="0.3">
      <c r="C741" t="s">
        <v>70</v>
      </c>
      <c r="D741" t="s">
        <v>67</v>
      </c>
      <c r="E741" t="s">
        <v>63</v>
      </c>
      <c r="F741" t="s">
        <v>26</v>
      </c>
      <c r="G741" s="4">
        <v>0</v>
      </c>
      <c r="H741" s="4" t="s">
        <v>17</v>
      </c>
      <c r="I741" s="4" t="s">
        <v>69</v>
      </c>
      <c r="J741" s="4" t="s">
        <v>66</v>
      </c>
      <c r="K741" s="4">
        <v>0</v>
      </c>
      <c r="L741" s="94">
        <v>-131112</v>
      </c>
      <c r="M741" s="94">
        <v>0</v>
      </c>
    </row>
    <row r="742" spans="3:13" x14ac:dyDescent="0.3">
      <c r="C742" t="s">
        <v>70</v>
      </c>
      <c r="D742" t="s">
        <v>62</v>
      </c>
      <c r="E742" t="s">
        <v>63</v>
      </c>
      <c r="F742" t="s">
        <v>24</v>
      </c>
      <c r="G742" s="4">
        <v>38</v>
      </c>
      <c r="I742" s="4" t="s">
        <v>69</v>
      </c>
      <c r="J742" s="4" t="s">
        <v>66</v>
      </c>
      <c r="K742" s="4">
        <v>0</v>
      </c>
      <c r="L742" s="94">
        <v>-1202861</v>
      </c>
      <c r="M742" s="94">
        <v>0</v>
      </c>
    </row>
    <row r="743" spans="3:13" x14ac:dyDescent="0.3">
      <c r="C743" t="s">
        <v>70</v>
      </c>
      <c r="D743" t="s">
        <v>67</v>
      </c>
      <c r="E743" t="s">
        <v>63</v>
      </c>
      <c r="F743" t="s">
        <v>26</v>
      </c>
      <c r="G743" s="4">
        <v>6</v>
      </c>
      <c r="H743" s="4" t="s">
        <v>17</v>
      </c>
      <c r="I743" s="4" t="s">
        <v>65</v>
      </c>
      <c r="J743" s="4" t="s">
        <v>66</v>
      </c>
      <c r="K743" s="4">
        <v>1</v>
      </c>
      <c r="L743" s="94">
        <v>-30306</v>
      </c>
      <c r="M743" s="94">
        <v>0</v>
      </c>
    </row>
    <row r="744" spans="3:13" x14ac:dyDescent="0.3">
      <c r="C744" t="s">
        <v>71</v>
      </c>
      <c r="D744" t="s">
        <v>67</v>
      </c>
      <c r="E744" t="s">
        <v>68</v>
      </c>
      <c r="F744" t="s">
        <v>25</v>
      </c>
      <c r="G744" s="4">
        <v>9</v>
      </c>
      <c r="H744" s="4" t="s">
        <v>17</v>
      </c>
      <c r="I744" s="4" t="s">
        <v>69</v>
      </c>
      <c r="J744" s="4" t="s">
        <v>66</v>
      </c>
      <c r="K744" s="4">
        <v>0</v>
      </c>
      <c r="L744" s="94">
        <v>6038104</v>
      </c>
      <c r="M744" s="94">
        <v>54342936</v>
      </c>
    </row>
    <row r="745" spans="3:13" x14ac:dyDescent="0.3">
      <c r="C745" t="s">
        <v>61</v>
      </c>
      <c r="D745" t="s">
        <v>67</v>
      </c>
      <c r="E745" t="s">
        <v>68</v>
      </c>
      <c r="F745" t="s">
        <v>25</v>
      </c>
      <c r="G745" s="4">
        <v>11</v>
      </c>
      <c r="H745" s="4" t="s">
        <v>18</v>
      </c>
      <c r="I745" s="4" t="s">
        <v>65</v>
      </c>
      <c r="J745" s="4" t="s">
        <v>66</v>
      </c>
      <c r="K745" s="4">
        <v>1</v>
      </c>
      <c r="L745" s="94">
        <v>48251</v>
      </c>
      <c r="M745" s="94">
        <v>530761</v>
      </c>
    </row>
    <row r="746" spans="3:13" x14ac:dyDescent="0.3">
      <c r="C746" t="s">
        <v>70</v>
      </c>
      <c r="D746" t="s">
        <v>67</v>
      </c>
      <c r="E746" t="s">
        <v>68</v>
      </c>
      <c r="F746" t="s">
        <v>26</v>
      </c>
      <c r="G746" s="4">
        <v>-1</v>
      </c>
      <c r="H746" s="4" t="s">
        <v>14</v>
      </c>
      <c r="I746" s="4" t="s">
        <v>65</v>
      </c>
      <c r="J746" s="4" t="s">
        <v>73</v>
      </c>
      <c r="K746" s="4">
        <v>1</v>
      </c>
      <c r="L746" s="94">
        <v>20589</v>
      </c>
      <c r="M746" s="94">
        <v>0</v>
      </c>
    </row>
    <row r="747" spans="3:13" x14ac:dyDescent="0.3">
      <c r="C747" t="s">
        <v>70</v>
      </c>
      <c r="D747" t="s">
        <v>62</v>
      </c>
      <c r="E747" t="s">
        <v>68</v>
      </c>
      <c r="F747" t="s">
        <v>24</v>
      </c>
      <c r="G747" s="4">
        <v>8</v>
      </c>
      <c r="I747" s="4" t="s">
        <v>69</v>
      </c>
      <c r="J747" s="4" t="s">
        <v>66</v>
      </c>
      <c r="K747" s="4">
        <v>1</v>
      </c>
      <c r="L747" s="94">
        <v>141604</v>
      </c>
      <c r="M747" s="94">
        <v>1132832</v>
      </c>
    </row>
    <row r="748" spans="3:13" x14ac:dyDescent="0.3">
      <c r="C748" t="s">
        <v>70</v>
      </c>
      <c r="D748" t="s">
        <v>67</v>
      </c>
      <c r="E748" t="s">
        <v>63</v>
      </c>
      <c r="F748" t="s">
        <v>26</v>
      </c>
      <c r="G748" s="4">
        <v>7</v>
      </c>
      <c r="H748" s="4" t="s">
        <v>82</v>
      </c>
      <c r="I748" s="4" t="s">
        <v>69</v>
      </c>
      <c r="J748" s="4" t="s">
        <v>66</v>
      </c>
      <c r="K748" s="4">
        <v>0</v>
      </c>
      <c r="L748" s="94">
        <v>-52155</v>
      </c>
      <c r="M748" s="94">
        <v>0</v>
      </c>
    </row>
    <row r="749" spans="3:13" x14ac:dyDescent="0.3">
      <c r="C749" t="s">
        <v>61</v>
      </c>
      <c r="D749" t="s">
        <v>67</v>
      </c>
      <c r="E749" t="s">
        <v>63</v>
      </c>
      <c r="F749" t="s">
        <v>72</v>
      </c>
      <c r="G749" s="4">
        <v>6</v>
      </c>
      <c r="H749" s="4" t="s">
        <v>83</v>
      </c>
      <c r="I749" s="4" t="s">
        <v>69</v>
      </c>
      <c r="J749" s="4" t="s">
        <v>66</v>
      </c>
      <c r="K749" s="4">
        <v>0</v>
      </c>
      <c r="L749" s="94">
        <v>-2470</v>
      </c>
      <c r="M749" s="94">
        <v>0</v>
      </c>
    </row>
    <row r="750" spans="3:13" x14ac:dyDescent="0.3">
      <c r="C750" t="s">
        <v>70</v>
      </c>
      <c r="D750" t="s">
        <v>67</v>
      </c>
      <c r="E750" t="s">
        <v>63</v>
      </c>
      <c r="F750" t="s">
        <v>25</v>
      </c>
      <c r="G750" s="4">
        <v>4</v>
      </c>
      <c r="H750" s="4" t="s">
        <v>18</v>
      </c>
      <c r="I750" s="4" t="s">
        <v>69</v>
      </c>
      <c r="J750" s="4" t="s">
        <v>66</v>
      </c>
      <c r="K750" s="4">
        <v>1</v>
      </c>
      <c r="L750" s="94">
        <v>-6807</v>
      </c>
      <c r="M750" s="94">
        <v>0</v>
      </c>
    </row>
    <row r="751" spans="3:13" x14ac:dyDescent="0.3">
      <c r="C751" t="s">
        <v>61</v>
      </c>
      <c r="D751" t="s">
        <v>67</v>
      </c>
      <c r="E751" t="s">
        <v>63</v>
      </c>
      <c r="F751" t="s">
        <v>72</v>
      </c>
      <c r="G751" s="4">
        <v>4</v>
      </c>
      <c r="H751" s="4" t="s">
        <v>77</v>
      </c>
      <c r="I751" s="4" t="s">
        <v>69</v>
      </c>
      <c r="J751" s="4" t="s">
        <v>66</v>
      </c>
      <c r="K751" s="4">
        <v>0</v>
      </c>
      <c r="L751" s="94">
        <v>-2611</v>
      </c>
      <c r="M751" s="94">
        <v>0</v>
      </c>
    </row>
    <row r="752" spans="3:13" x14ac:dyDescent="0.3">
      <c r="C752" t="s">
        <v>61</v>
      </c>
      <c r="D752" t="s">
        <v>67</v>
      </c>
      <c r="E752" t="s">
        <v>68</v>
      </c>
      <c r="F752" t="s">
        <v>25</v>
      </c>
      <c r="G752" s="4">
        <v>2</v>
      </c>
      <c r="H752" s="4" t="s">
        <v>80</v>
      </c>
      <c r="I752" s="4" t="s">
        <v>69</v>
      </c>
      <c r="J752" s="4" t="s">
        <v>66</v>
      </c>
      <c r="K752" s="4">
        <v>0</v>
      </c>
      <c r="L752" s="94">
        <v>32947</v>
      </c>
      <c r="M752" s="94">
        <v>65894</v>
      </c>
    </row>
    <row r="753" spans="3:13" x14ac:dyDescent="0.3">
      <c r="C753" t="s">
        <v>61</v>
      </c>
      <c r="D753" t="s">
        <v>67</v>
      </c>
      <c r="E753" t="s">
        <v>63</v>
      </c>
      <c r="F753" t="s">
        <v>72</v>
      </c>
      <c r="G753" s="4">
        <v>0</v>
      </c>
      <c r="H753" s="4" t="s">
        <v>17</v>
      </c>
      <c r="I753" s="4" t="s">
        <v>69</v>
      </c>
      <c r="J753" s="4" t="s">
        <v>66</v>
      </c>
      <c r="K753" s="4">
        <v>0</v>
      </c>
      <c r="L753" s="94">
        <v>-2330</v>
      </c>
      <c r="M753" s="94">
        <v>0</v>
      </c>
    </row>
    <row r="754" spans="3:13" x14ac:dyDescent="0.3">
      <c r="C754" t="s">
        <v>70</v>
      </c>
      <c r="D754" t="s">
        <v>67</v>
      </c>
      <c r="E754" t="s">
        <v>68</v>
      </c>
      <c r="F754" t="s">
        <v>25</v>
      </c>
      <c r="G754" s="4">
        <v>10</v>
      </c>
      <c r="H754" s="4" t="s">
        <v>74</v>
      </c>
      <c r="I754" s="4" t="s">
        <v>69</v>
      </c>
      <c r="J754" s="4" t="s">
        <v>66</v>
      </c>
      <c r="K754" s="4">
        <v>0</v>
      </c>
      <c r="L754" s="94">
        <v>157458</v>
      </c>
      <c r="M754" s="94">
        <v>1574580</v>
      </c>
    </row>
    <row r="755" spans="3:13" x14ac:dyDescent="0.3">
      <c r="C755" t="s">
        <v>70</v>
      </c>
      <c r="D755" t="s">
        <v>67</v>
      </c>
      <c r="E755" t="s">
        <v>68</v>
      </c>
      <c r="F755" t="s">
        <v>26</v>
      </c>
      <c r="G755" s="4">
        <v>4</v>
      </c>
      <c r="H755" s="4" t="s">
        <v>16</v>
      </c>
      <c r="I755" s="4" t="s">
        <v>69</v>
      </c>
      <c r="J755" s="4" t="s">
        <v>66</v>
      </c>
      <c r="K755" s="4">
        <v>0</v>
      </c>
      <c r="L755" s="94">
        <v>447669</v>
      </c>
      <c r="M755" s="94">
        <v>1790676</v>
      </c>
    </row>
    <row r="756" spans="3:13" x14ac:dyDescent="0.3">
      <c r="C756" t="s">
        <v>61</v>
      </c>
      <c r="D756" t="s">
        <v>67</v>
      </c>
      <c r="E756" t="s">
        <v>68</v>
      </c>
      <c r="F756" t="s">
        <v>72</v>
      </c>
      <c r="G756" s="4">
        <v>4</v>
      </c>
      <c r="H756" s="4" t="s">
        <v>17</v>
      </c>
      <c r="I756" s="4" t="s">
        <v>69</v>
      </c>
      <c r="J756" s="4" t="s">
        <v>66</v>
      </c>
      <c r="K756" s="4">
        <v>0</v>
      </c>
      <c r="L756" s="94">
        <v>10195871</v>
      </c>
      <c r="M756" s="94">
        <v>40783484</v>
      </c>
    </row>
    <row r="757" spans="3:13" x14ac:dyDescent="0.3">
      <c r="C757" t="s">
        <v>71</v>
      </c>
      <c r="D757" t="s">
        <v>67</v>
      </c>
      <c r="E757" t="s">
        <v>68</v>
      </c>
      <c r="F757" t="s">
        <v>25</v>
      </c>
      <c r="G757" s="4">
        <v>5</v>
      </c>
      <c r="H757" s="4" t="s">
        <v>79</v>
      </c>
      <c r="I757" s="4" t="s">
        <v>69</v>
      </c>
      <c r="J757" s="4" t="s">
        <v>66</v>
      </c>
      <c r="K757" s="4">
        <v>0</v>
      </c>
      <c r="L757" s="94">
        <v>179041</v>
      </c>
      <c r="M757" s="94">
        <v>895205</v>
      </c>
    </row>
    <row r="758" spans="3:13" x14ac:dyDescent="0.3">
      <c r="C758" t="s">
        <v>61</v>
      </c>
      <c r="D758" t="s">
        <v>67</v>
      </c>
      <c r="E758" t="s">
        <v>63</v>
      </c>
      <c r="F758" t="s">
        <v>25</v>
      </c>
      <c r="G758" s="4">
        <v>2</v>
      </c>
      <c r="H758" s="4" t="s">
        <v>76</v>
      </c>
      <c r="I758" s="4" t="s">
        <v>69</v>
      </c>
      <c r="J758" s="4" t="s">
        <v>66</v>
      </c>
      <c r="K758" s="4">
        <v>0</v>
      </c>
      <c r="L758" s="94">
        <v>-127539</v>
      </c>
      <c r="M758" s="94">
        <v>0</v>
      </c>
    </row>
    <row r="759" spans="3:13" x14ac:dyDescent="0.3">
      <c r="C759" t="s">
        <v>61</v>
      </c>
      <c r="D759" t="s">
        <v>62</v>
      </c>
      <c r="E759" t="s">
        <v>63</v>
      </c>
      <c r="F759" t="s">
        <v>24</v>
      </c>
      <c r="G759" s="4">
        <v>16</v>
      </c>
      <c r="I759" s="4" t="s">
        <v>65</v>
      </c>
      <c r="J759" s="4" t="s">
        <v>66</v>
      </c>
      <c r="K759" s="4">
        <v>1</v>
      </c>
      <c r="L759" s="94">
        <v>-1460</v>
      </c>
      <c r="M759" s="94">
        <v>0</v>
      </c>
    </row>
    <row r="760" spans="3:13" x14ac:dyDescent="0.3">
      <c r="C760" t="s">
        <v>61</v>
      </c>
      <c r="D760" t="s">
        <v>67</v>
      </c>
      <c r="E760" t="s">
        <v>63</v>
      </c>
      <c r="F760" t="s">
        <v>26</v>
      </c>
      <c r="G760" s="4">
        <v>4</v>
      </c>
      <c r="H760" s="4" t="s">
        <v>15</v>
      </c>
      <c r="I760" s="4" t="s">
        <v>69</v>
      </c>
      <c r="J760" s="4" t="s">
        <v>73</v>
      </c>
      <c r="K760" s="4">
        <v>1</v>
      </c>
      <c r="L760" s="94">
        <v>-22858</v>
      </c>
      <c r="M760" s="94">
        <v>0</v>
      </c>
    </row>
    <row r="761" spans="3:13" x14ac:dyDescent="0.3">
      <c r="C761" t="s">
        <v>70</v>
      </c>
      <c r="D761" t="s">
        <v>67</v>
      </c>
      <c r="E761" t="s">
        <v>63</v>
      </c>
      <c r="F761" t="s">
        <v>26</v>
      </c>
      <c r="G761" s="4">
        <v>4</v>
      </c>
      <c r="H761" s="4" t="s">
        <v>78</v>
      </c>
      <c r="I761" s="4" t="s">
        <v>69</v>
      </c>
      <c r="J761" s="4" t="s">
        <v>66</v>
      </c>
      <c r="K761" s="4">
        <v>0</v>
      </c>
      <c r="L761" s="94">
        <v>-15136</v>
      </c>
      <c r="M761" s="94">
        <v>0</v>
      </c>
    </row>
    <row r="762" spans="3:13" x14ac:dyDescent="0.3">
      <c r="C762" t="s">
        <v>71</v>
      </c>
      <c r="D762" t="s">
        <v>67</v>
      </c>
      <c r="E762" t="s">
        <v>63</v>
      </c>
      <c r="F762" t="s">
        <v>26</v>
      </c>
      <c r="G762" s="4">
        <v>6</v>
      </c>
      <c r="H762" s="4" t="s">
        <v>76</v>
      </c>
      <c r="I762" s="4" t="s">
        <v>69</v>
      </c>
      <c r="J762" s="4" t="s">
        <v>66</v>
      </c>
      <c r="K762" s="4">
        <v>0</v>
      </c>
      <c r="L762" s="94">
        <v>-364881</v>
      </c>
      <c r="M762" s="94">
        <v>0</v>
      </c>
    </row>
    <row r="763" spans="3:13" x14ac:dyDescent="0.3">
      <c r="C763" t="s">
        <v>70</v>
      </c>
      <c r="D763" t="s">
        <v>67</v>
      </c>
      <c r="E763" t="s">
        <v>68</v>
      </c>
      <c r="F763" t="s">
        <v>25</v>
      </c>
      <c r="G763" s="4">
        <v>1</v>
      </c>
      <c r="H763" s="4" t="s">
        <v>76</v>
      </c>
      <c r="I763" s="4" t="s">
        <v>69</v>
      </c>
      <c r="J763" s="4" t="s">
        <v>66</v>
      </c>
      <c r="K763" s="4">
        <v>0</v>
      </c>
      <c r="L763" s="94">
        <v>377819</v>
      </c>
      <c r="M763" s="94">
        <v>377819</v>
      </c>
    </row>
    <row r="764" spans="3:13" x14ac:dyDescent="0.3">
      <c r="C764" t="s">
        <v>70</v>
      </c>
      <c r="D764" t="s">
        <v>67</v>
      </c>
      <c r="E764" t="s">
        <v>68</v>
      </c>
      <c r="F764" t="s">
        <v>25</v>
      </c>
      <c r="G764" s="4">
        <v>20</v>
      </c>
      <c r="H764" s="4" t="s">
        <v>76</v>
      </c>
      <c r="I764" s="4" t="s">
        <v>69</v>
      </c>
      <c r="J764" s="4" t="s">
        <v>66</v>
      </c>
      <c r="K764" s="4">
        <v>0</v>
      </c>
      <c r="L764" s="94">
        <v>885158</v>
      </c>
      <c r="M764" s="94">
        <v>17703160</v>
      </c>
    </row>
    <row r="765" spans="3:13" x14ac:dyDescent="0.3">
      <c r="C765" t="s">
        <v>61</v>
      </c>
      <c r="D765" t="s">
        <v>62</v>
      </c>
      <c r="E765" t="s">
        <v>63</v>
      </c>
      <c r="F765" t="s">
        <v>24</v>
      </c>
      <c r="G765" s="4">
        <v>15</v>
      </c>
      <c r="I765" s="4" t="s">
        <v>69</v>
      </c>
      <c r="J765" s="4" t="s">
        <v>66</v>
      </c>
      <c r="K765" s="4">
        <v>0</v>
      </c>
      <c r="L765" s="94">
        <v>-115384</v>
      </c>
      <c r="M765" s="94">
        <v>0</v>
      </c>
    </row>
    <row r="766" spans="3:13" x14ac:dyDescent="0.3">
      <c r="C766" t="s">
        <v>61</v>
      </c>
      <c r="D766" t="s">
        <v>67</v>
      </c>
      <c r="E766" t="s">
        <v>68</v>
      </c>
      <c r="F766" t="s">
        <v>72</v>
      </c>
      <c r="G766" s="4">
        <v>5</v>
      </c>
      <c r="H766" s="4" t="s">
        <v>82</v>
      </c>
      <c r="I766" s="4" t="s">
        <v>65</v>
      </c>
      <c r="J766" s="4" t="s">
        <v>66</v>
      </c>
      <c r="K766" s="4">
        <v>1</v>
      </c>
      <c r="L766" s="94">
        <v>1898449</v>
      </c>
      <c r="M766" s="94">
        <v>9492245</v>
      </c>
    </row>
    <row r="767" spans="3:13" x14ac:dyDescent="0.3">
      <c r="C767" t="s">
        <v>70</v>
      </c>
      <c r="D767" t="s">
        <v>62</v>
      </c>
      <c r="E767" t="s">
        <v>63</v>
      </c>
      <c r="F767" t="s">
        <v>24</v>
      </c>
      <c r="G767" s="4">
        <v>34</v>
      </c>
      <c r="I767" s="4" t="s">
        <v>69</v>
      </c>
      <c r="J767" s="4" t="s">
        <v>66</v>
      </c>
      <c r="K767" s="4">
        <v>0</v>
      </c>
      <c r="L767" s="94">
        <v>-1751124</v>
      </c>
      <c r="M767" s="94">
        <v>0</v>
      </c>
    </row>
    <row r="768" spans="3:13" x14ac:dyDescent="0.3">
      <c r="C768" t="s">
        <v>71</v>
      </c>
      <c r="D768" t="s">
        <v>67</v>
      </c>
      <c r="E768" t="s">
        <v>68</v>
      </c>
      <c r="F768" t="s">
        <v>26</v>
      </c>
      <c r="G768" s="4">
        <v>-1</v>
      </c>
      <c r="I768" s="4" t="s">
        <v>69</v>
      </c>
      <c r="J768" s="4" t="s">
        <v>66</v>
      </c>
      <c r="K768" s="4">
        <v>0</v>
      </c>
      <c r="L768" s="94">
        <v>9273</v>
      </c>
      <c r="M768" s="94">
        <v>0</v>
      </c>
    </row>
    <row r="769" spans="3:13" x14ac:dyDescent="0.3">
      <c r="C769" t="s">
        <v>61</v>
      </c>
      <c r="D769" t="s">
        <v>67</v>
      </c>
      <c r="E769" t="s">
        <v>63</v>
      </c>
      <c r="F769" t="s">
        <v>26</v>
      </c>
      <c r="G769" s="4">
        <v>1</v>
      </c>
      <c r="H769" s="4" t="s">
        <v>18</v>
      </c>
      <c r="I769" s="4" t="s">
        <v>69</v>
      </c>
      <c r="J769" s="4" t="s">
        <v>73</v>
      </c>
      <c r="K769" s="4">
        <v>1</v>
      </c>
      <c r="L769" s="94">
        <v>-21013</v>
      </c>
      <c r="M769" s="94">
        <v>0</v>
      </c>
    </row>
    <row r="770" spans="3:13" x14ac:dyDescent="0.3">
      <c r="C770" t="s">
        <v>61</v>
      </c>
      <c r="D770" t="s">
        <v>67</v>
      </c>
      <c r="E770" t="s">
        <v>68</v>
      </c>
      <c r="F770" t="s">
        <v>25</v>
      </c>
      <c r="G770" s="4">
        <v>9</v>
      </c>
      <c r="H770" s="4" t="s">
        <v>18</v>
      </c>
      <c r="I770" s="4" t="s">
        <v>65</v>
      </c>
      <c r="J770" s="4" t="s">
        <v>66</v>
      </c>
      <c r="K770" s="4">
        <v>1</v>
      </c>
      <c r="L770" s="94">
        <v>687647</v>
      </c>
      <c r="M770" s="94">
        <v>6188823</v>
      </c>
    </row>
    <row r="771" spans="3:13" x14ac:dyDescent="0.3">
      <c r="C771" t="s">
        <v>61</v>
      </c>
      <c r="D771" t="s">
        <v>67</v>
      </c>
      <c r="E771" t="s">
        <v>63</v>
      </c>
      <c r="F771" t="s">
        <v>72</v>
      </c>
      <c r="G771" s="4">
        <v>2</v>
      </c>
      <c r="H771" s="4" t="s">
        <v>83</v>
      </c>
      <c r="I771" s="4" t="s">
        <v>69</v>
      </c>
      <c r="J771" s="4" t="s">
        <v>66</v>
      </c>
      <c r="K771" s="4">
        <v>0</v>
      </c>
      <c r="L771" s="94">
        <v>-538</v>
      </c>
      <c r="M771" s="94">
        <v>0</v>
      </c>
    </row>
    <row r="772" spans="3:13" x14ac:dyDescent="0.3">
      <c r="C772" t="s">
        <v>70</v>
      </c>
      <c r="D772" t="s">
        <v>67</v>
      </c>
      <c r="E772" t="s">
        <v>68</v>
      </c>
      <c r="F772" t="s">
        <v>26</v>
      </c>
      <c r="G772" s="4">
        <v>7</v>
      </c>
      <c r="H772" s="4" t="s">
        <v>78</v>
      </c>
      <c r="I772" s="4" t="s">
        <v>69</v>
      </c>
      <c r="J772" s="4" t="s">
        <v>66</v>
      </c>
      <c r="K772" s="4">
        <v>0</v>
      </c>
      <c r="L772" s="94">
        <v>708588</v>
      </c>
      <c r="M772" s="94">
        <v>4960116</v>
      </c>
    </row>
    <row r="773" spans="3:13" x14ac:dyDescent="0.3">
      <c r="C773" t="s">
        <v>61</v>
      </c>
      <c r="D773" t="s">
        <v>62</v>
      </c>
      <c r="E773" t="s">
        <v>63</v>
      </c>
      <c r="F773" t="s">
        <v>24</v>
      </c>
      <c r="G773" s="4">
        <v>50</v>
      </c>
      <c r="I773" s="4" t="s">
        <v>69</v>
      </c>
      <c r="J773" s="4" t="s">
        <v>66</v>
      </c>
      <c r="K773" s="4">
        <v>0</v>
      </c>
      <c r="L773" s="94">
        <v>-72</v>
      </c>
      <c r="M773" s="94">
        <v>0</v>
      </c>
    </row>
    <row r="774" spans="3:13" x14ac:dyDescent="0.3">
      <c r="C774" t="s">
        <v>61</v>
      </c>
      <c r="D774" t="s">
        <v>67</v>
      </c>
      <c r="E774" t="s">
        <v>63</v>
      </c>
      <c r="F774" t="s">
        <v>25</v>
      </c>
      <c r="G774" s="4">
        <v>7</v>
      </c>
      <c r="H774" s="4" t="s">
        <v>83</v>
      </c>
      <c r="I774" s="4" t="s">
        <v>69</v>
      </c>
      <c r="J774" s="4" t="s">
        <v>66</v>
      </c>
      <c r="K774" s="4">
        <v>0</v>
      </c>
      <c r="L774" s="94">
        <v>-773</v>
      </c>
      <c r="M774" s="94">
        <v>0</v>
      </c>
    </row>
    <row r="775" spans="3:13" x14ac:dyDescent="0.3">
      <c r="C775" t="s">
        <v>71</v>
      </c>
      <c r="D775" t="s">
        <v>67</v>
      </c>
      <c r="E775" t="s">
        <v>68</v>
      </c>
      <c r="F775" t="s">
        <v>26</v>
      </c>
      <c r="G775" s="4">
        <v>1</v>
      </c>
      <c r="H775" s="4" t="s">
        <v>83</v>
      </c>
      <c r="I775" s="4" t="s">
        <v>69</v>
      </c>
      <c r="J775" s="4" t="s">
        <v>66</v>
      </c>
      <c r="K775" s="4">
        <v>0</v>
      </c>
      <c r="L775" s="94">
        <v>156015</v>
      </c>
      <c r="M775" s="94">
        <v>156015</v>
      </c>
    </row>
    <row r="776" spans="3:13" x14ac:dyDescent="0.3">
      <c r="C776" t="s">
        <v>70</v>
      </c>
      <c r="D776" t="s">
        <v>67</v>
      </c>
      <c r="E776" t="s">
        <v>68</v>
      </c>
      <c r="F776" t="s">
        <v>26</v>
      </c>
      <c r="G776" s="4">
        <v>5</v>
      </c>
      <c r="H776" s="4" t="s">
        <v>17</v>
      </c>
      <c r="I776" s="4" t="s">
        <v>69</v>
      </c>
      <c r="J776" s="4" t="s">
        <v>66</v>
      </c>
      <c r="K776" s="4">
        <v>0</v>
      </c>
      <c r="L776" s="94">
        <v>1242749</v>
      </c>
      <c r="M776" s="94">
        <v>6213745</v>
      </c>
    </row>
    <row r="777" spans="3:13" x14ac:dyDescent="0.3">
      <c r="C777" t="s">
        <v>61</v>
      </c>
      <c r="D777" t="s">
        <v>67</v>
      </c>
      <c r="E777" t="s">
        <v>63</v>
      </c>
      <c r="F777" t="s">
        <v>26</v>
      </c>
      <c r="G777" s="4">
        <v>5</v>
      </c>
      <c r="H777" s="4" t="s">
        <v>74</v>
      </c>
      <c r="I777" s="4" t="s">
        <v>69</v>
      </c>
      <c r="J777" s="4" t="s">
        <v>66</v>
      </c>
      <c r="K777" s="4">
        <v>0</v>
      </c>
      <c r="L777" s="94">
        <v>-171699</v>
      </c>
      <c r="M777" s="94">
        <v>0</v>
      </c>
    </row>
    <row r="778" spans="3:13" x14ac:dyDescent="0.3">
      <c r="C778" t="s">
        <v>71</v>
      </c>
      <c r="D778" t="s">
        <v>62</v>
      </c>
      <c r="E778" t="s">
        <v>63</v>
      </c>
      <c r="F778" t="s">
        <v>24</v>
      </c>
      <c r="G778" s="4">
        <v>21</v>
      </c>
      <c r="I778" s="4" t="s">
        <v>69</v>
      </c>
      <c r="J778" s="4" t="s">
        <v>66</v>
      </c>
      <c r="K778" s="4">
        <v>1</v>
      </c>
      <c r="L778" s="94">
        <v>-140788</v>
      </c>
      <c r="M778" s="94">
        <v>0</v>
      </c>
    </row>
    <row r="779" spans="3:13" x14ac:dyDescent="0.3">
      <c r="C779" t="s">
        <v>61</v>
      </c>
      <c r="D779" t="s">
        <v>67</v>
      </c>
      <c r="E779" t="s">
        <v>68</v>
      </c>
      <c r="F779" t="s">
        <v>25</v>
      </c>
      <c r="G779" s="4">
        <v>14</v>
      </c>
      <c r="H779" s="4" t="s">
        <v>77</v>
      </c>
      <c r="I779" s="4" t="s">
        <v>69</v>
      </c>
      <c r="J779" s="4" t="s">
        <v>66</v>
      </c>
      <c r="K779" s="4">
        <v>0</v>
      </c>
      <c r="L779" s="94">
        <v>499862</v>
      </c>
      <c r="M779" s="94">
        <v>6998068</v>
      </c>
    </row>
    <row r="780" spans="3:13" x14ac:dyDescent="0.3">
      <c r="C780" t="s">
        <v>70</v>
      </c>
      <c r="D780" t="s">
        <v>84</v>
      </c>
      <c r="E780" t="s">
        <v>63</v>
      </c>
      <c r="F780" t="s">
        <v>25</v>
      </c>
      <c r="G780" s="4">
        <v>6</v>
      </c>
      <c r="H780" s="4" t="s">
        <v>81</v>
      </c>
      <c r="I780" s="4" t="s">
        <v>69</v>
      </c>
      <c r="J780" s="4" t="s">
        <v>66</v>
      </c>
      <c r="K780" s="4">
        <v>0</v>
      </c>
      <c r="L780" s="94">
        <v>-480</v>
      </c>
      <c r="M780" s="94">
        <v>0</v>
      </c>
    </row>
    <row r="781" spans="3:13" x14ac:dyDescent="0.3">
      <c r="C781" t="s">
        <v>61</v>
      </c>
      <c r="D781" t="s">
        <v>67</v>
      </c>
      <c r="E781" t="s">
        <v>68</v>
      </c>
      <c r="F781" t="s">
        <v>25</v>
      </c>
      <c r="G781" s="4">
        <v>15</v>
      </c>
      <c r="H781" s="4" t="s">
        <v>14</v>
      </c>
      <c r="I781" s="4" t="s">
        <v>69</v>
      </c>
      <c r="J781" s="4" t="s">
        <v>66</v>
      </c>
      <c r="K781" s="4">
        <v>1</v>
      </c>
      <c r="L781" s="94">
        <v>4171111</v>
      </c>
      <c r="M781" s="94">
        <v>62566665</v>
      </c>
    </row>
    <row r="782" spans="3:13" x14ac:dyDescent="0.3">
      <c r="C782" t="s">
        <v>70</v>
      </c>
      <c r="D782" t="s">
        <v>67</v>
      </c>
      <c r="E782" t="s">
        <v>68</v>
      </c>
      <c r="F782" t="s">
        <v>25</v>
      </c>
      <c r="G782" s="4">
        <v>15</v>
      </c>
      <c r="H782" s="4" t="s">
        <v>18</v>
      </c>
      <c r="I782" s="4" t="s">
        <v>69</v>
      </c>
      <c r="J782" s="4" t="s">
        <v>66</v>
      </c>
      <c r="K782" s="4">
        <v>0</v>
      </c>
      <c r="L782" s="94">
        <v>761942</v>
      </c>
      <c r="M782" s="94">
        <v>11429130</v>
      </c>
    </row>
    <row r="783" spans="3:13" x14ac:dyDescent="0.3">
      <c r="C783" t="s">
        <v>61</v>
      </c>
      <c r="D783" t="s">
        <v>67</v>
      </c>
      <c r="E783" t="s">
        <v>63</v>
      </c>
      <c r="F783" t="s">
        <v>72</v>
      </c>
      <c r="G783" s="4">
        <v>3</v>
      </c>
      <c r="H783" s="4" t="s">
        <v>12</v>
      </c>
      <c r="I783" s="4" t="s">
        <v>65</v>
      </c>
      <c r="J783" s="4" t="s">
        <v>73</v>
      </c>
      <c r="K783" s="4">
        <v>1</v>
      </c>
      <c r="L783" s="94">
        <v>-979</v>
      </c>
      <c r="M783" s="94">
        <v>0</v>
      </c>
    </row>
    <row r="784" spans="3:13" x14ac:dyDescent="0.3">
      <c r="C784" t="s">
        <v>61</v>
      </c>
      <c r="D784" t="s">
        <v>62</v>
      </c>
      <c r="E784" t="s">
        <v>63</v>
      </c>
      <c r="F784" t="s">
        <v>24</v>
      </c>
      <c r="G784" s="4">
        <v>5</v>
      </c>
      <c r="I784" s="4" t="s">
        <v>65</v>
      </c>
      <c r="J784" s="4" t="s">
        <v>66</v>
      </c>
      <c r="K784" s="4">
        <v>1</v>
      </c>
      <c r="L784" s="94">
        <v>-414</v>
      </c>
      <c r="M784" s="94">
        <v>0</v>
      </c>
    </row>
    <row r="785" spans="3:13" x14ac:dyDescent="0.3">
      <c r="C785" t="s">
        <v>70</v>
      </c>
      <c r="D785" t="s">
        <v>67</v>
      </c>
      <c r="E785" t="s">
        <v>63</v>
      </c>
      <c r="F785" t="s">
        <v>72</v>
      </c>
      <c r="G785" s="4">
        <v>2</v>
      </c>
      <c r="H785" s="4" t="s">
        <v>83</v>
      </c>
      <c r="I785" s="4" t="s">
        <v>69</v>
      </c>
      <c r="J785" s="4" t="s">
        <v>66</v>
      </c>
      <c r="K785" s="4">
        <v>0</v>
      </c>
      <c r="L785" s="94">
        <v>-5495</v>
      </c>
      <c r="M785" s="94">
        <v>0</v>
      </c>
    </row>
    <row r="786" spans="3:13" x14ac:dyDescent="0.3">
      <c r="C786" t="s">
        <v>70</v>
      </c>
      <c r="D786" t="s">
        <v>62</v>
      </c>
      <c r="E786" t="s">
        <v>63</v>
      </c>
      <c r="F786" t="s">
        <v>24</v>
      </c>
      <c r="G786" s="4">
        <v>7</v>
      </c>
      <c r="I786" s="4" t="s">
        <v>65</v>
      </c>
      <c r="J786" s="4" t="s">
        <v>66</v>
      </c>
      <c r="K786" s="4">
        <v>1</v>
      </c>
      <c r="L786" s="94">
        <v>-7213</v>
      </c>
      <c r="M786" s="94">
        <v>0</v>
      </c>
    </row>
    <row r="787" spans="3:13" x14ac:dyDescent="0.3">
      <c r="C787" t="s">
        <v>71</v>
      </c>
      <c r="D787" t="s">
        <v>62</v>
      </c>
      <c r="E787" t="s">
        <v>63</v>
      </c>
      <c r="F787" t="s">
        <v>24</v>
      </c>
      <c r="G787" s="4">
        <v>24</v>
      </c>
      <c r="I787" s="4" t="s">
        <v>65</v>
      </c>
      <c r="J787" s="4" t="s">
        <v>66</v>
      </c>
      <c r="K787" s="4">
        <v>1</v>
      </c>
      <c r="L787" s="94">
        <v>-1989</v>
      </c>
      <c r="M787" s="94">
        <v>0</v>
      </c>
    </row>
    <row r="788" spans="3:13" x14ac:dyDescent="0.3">
      <c r="C788" t="s">
        <v>71</v>
      </c>
      <c r="D788" t="s">
        <v>67</v>
      </c>
      <c r="E788" t="s">
        <v>63</v>
      </c>
      <c r="F788" t="s">
        <v>26</v>
      </c>
      <c r="G788" s="4">
        <v>11</v>
      </c>
      <c r="H788" s="4" t="s">
        <v>77</v>
      </c>
      <c r="I788" s="4" t="s">
        <v>69</v>
      </c>
      <c r="J788" s="4" t="s">
        <v>66</v>
      </c>
      <c r="K788" s="4">
        <v>0</v>
      </c>
      <c r="L788" s="94">
        <v>-29981</v>
      </c>
      <c r="M788" s="94">
        <v>0</v>
      </c>
    </row>
    <row r="789" spans="3:13" x14ac:dyDescent="0.3">
      <c r="C789" t="s">
        <v>70</v>
      </c>
      <c r="D789" t="s">
        <v>62</v>
      </c>
      <c r="E789" t="s">
        <v>68</v>
      </c>
      <c r="F789" t="s">
        <v>25</v>
      </c>
      <c r="G789" s="4">
        <v>11</v>
      </c>
      <c r="I789" s="4" t="s">
        <v>69</v>
      </c>
      <c r="J789" s="4" t="s">
        <v>66</v>
      </c>
      <c r="K789" s="4">
        <v>0</v>
      </c>
      <c r="L789" s="94">
        <v>748608</v>
      </c>
      <c r="M789" s="94">
        <v>8234688</v>
      </c>
    </row>
    <row r="790" spans="3:13" x14ac:dyDescent="0.3">
      <c r="C790" t="s">
        <v>61</v>
      </c>
      <c r="D790" t="s">
        <v>67</v>
      </c>
      <c r="E790" t="s">
        <v>63</v>
      </c>
      <c r="F790" t="s">
        <v>72</v>
      </c>
      <c r="G790" s="4">
        <v>6</v>
      </c>
      <c r="H790" s="4" t="s">
        <v>75</v>
      </c>
      <c r="I790" s="4" t="s">
        <v>69</v>
      </c>
      <c r="J790" s="4" t="s">
        <v>66</v>
      </c>
      <c r="K790" s="4">
        <v>0</v>
      </c>
      <c r="L790" s="94">
        <v>-732</v>
      </c>
      <c r="M790" s="94">
        <v>0</v>
      </c>
    </row>
    <row r="791" spans="3:13" x14ac:dyDescent="0.3">
      <c r="C791" t="s">
        <v>70</v>
      </c>
      <c r="D791" t="s">
        <v>67</v>
      </c>
      <c r="E791" t="s">
        <v>63</v>
      </c>
      <c r="F791" t="s">
        <v>26</v>
      </c>
      <c r="G791" s="4">
        <v>1</v>
      </c>
      <c r="H791" s="4" t="s">
        <v>17</v>
      </c>
      <c r="I791" s="4" t="s">
        <v>65</v>
      </c>
      <c r="J791" s="4" t="s">
        <v>73</v>
      </c>
      <c r="K791" s="4">
        <v>1</v>
      </c>
      <c r="L791" s="94">
        <v>-6795</v>
      </c>
      <c r="M791" s="94">
        <v>0</v>
      </c>
    </row>
    <row r="792" spans="3:13" x14ac:dyDescent="0.3">
      <c r="C792" t="s">
        <v>61</v>
      </c>
      <c r="D792" t="s">
        <v>67</v>
      </c>
      <c r="E792" t="s">
        <v>68</v>
      </c>
      <c r="F792" t="s">
        <v>25</v>
      </c>
      <c r="G792" s="4">
        <v>2</v>
      </c>
      <c r="H792" s="4" t="s">
        <v>74</v>
      </c>
      <c r="I792" s="4" t="s">
        <v>69</v>
      </c>
      <c r="J792" s="4" t="s">
        <v>66</v>
      </c>
      <c r="K792" s="4">
        <v>0</v>
      </c>
      <c r="L792" s="94">
        <v>6606868</v>
      </c>
      <c r="M792" s="94">
        <v>13213736</v>
      </c>
    </row>
    <row r="793" spans="3:13" x14ac:dyDescent="0.3">
      <c r="C793" t="s">
        <v>71</v>
      </c>
      <c r="D793" t="s">
        <v>62</v>
      </c>
      <c r="E793" t="s">
        <v>63</v>
      </c>
      <c r="F793" t="s">
        <v>24</v>
      </c>
      <c r="G793" s="4">
        <v>34</v>
      </c>
      <c r="I793" s="4" t="s">
        <v>69</v>
      </c>
      <c r="J793" s="4" t="s">
        <v>66</v>
      </c>
      <c r="K793" s="4">
        <v>0</v>
      </c>
      <c r="L793" s="94">
        <v>-1241594</v>
      </c>
      <c r="M793" s="94">
        <v>0</v>
      </c>
    </row>
    <row r="794" spans="3:13" x14ac:dyDescent="0.3">
      <c r="C794" t="s">
        <v>70</v>
      </c>
      <c r="D794" t="s">
        <v>67</v>
      </c>
      <c r="E794" t="s">
        <v>68</v>
      </c>
      <c r="F794" t="s">
        <v>26</v>
      </c>
      <c r="G794" s="4">
        <v>0</v>
      </c>
      <c r="H794" s="4" t="s">
        <v>14</v>
      </c>
      <c r="I794" s="4" t="s">
        <v>69</v>
      </c>
      <c r="J794" s="4" t="s">
        <v>66</v>
      </c>
      <c r="K794" s="4">
        <v>0</v>
      </c>
      <c r="L794" s="94">
        <v>9769655</v>
      </c>
      <c r="M794" s="94">
        <v>0</v>
      </c>
    </row>
    <row r="795" spans="3:13" x14ac:dyDescent="0.3">
      <c r="C795" t="s">
        <v>70</v>
      </c>
      <c r="D795" t="s">
        <v>67</v>
      </c>
      <c r="E795" t="s">
        <v>68</v>
      </c>
      <c r="F795" t="s">
        <v>72</v>
      </c>
      <c r="G795" s="4">
        <v>1</v>
      </c>
      <c r="H795" s="4" t="s">
        <v>82</v>
      </c>
      <c r="I795" s="4" t="s">
        <v>69</v>
      </c>
      <c r="J795" s="4" t="s">
        <v>66</v>
      </c>
      <c r="K795" s="4">
        <v>0</v>
      </c>
      <c r="L795" s="94">
        <v>1089655</v>
      </c>
      <c r="M795" s="94">
        <v>1089655</v>
      </c>
    </row>
    <row r="796" spans="3:13" x14ac:dyDescent="0.3">
      <c r="C796" t="s">
        <v>70</v>
      </c>
      <c r="D796" t="s">
        <v>62</v>
      </c>
      <c r="E796" t="s">
        <v>63</v>
      </c>
      <c r="F796" t="s">
        <v>24</v>
      </c>
      <c r="G796" s="4">
        <v>21</v>
      </c>
      <c r="I796" s="4" t="s">
        <v>69</v>
      </c>
      <c r="J796" s="4" t="s">
        <v>66</v>
      </c>
      <c r="K796" s="4">
        <v>1</v>
      </c>
      <c r="L796" s="94">
        <v>-11211</v>
      </c>
      <c r="M796" s="94">
        <v>0</v>
      </c>
    </row>
    <row r="797" spans="3:13" x14ac:dyDescent="0.3">
      <c r="C797" t="s">
        <v>61</v>
      </c>
      <c r="D797" t="s">
        <v>67</v>
      </c>
      <c r="E797" t="s">
        <v>68</v>
      </c>
      <c r="F797" t="s">
        <v>26</v>
      </c>
      <c r="G797" s="4">
        <v>-1</v>
      </c>
      <c r="H797" s="4" t="s">
        <v>18</v>
      </c>
      <c r="I797" s="4" t="s">
        <v>69</v>
      </c>
      <c r="J797" s="4" t="s">
        <v>73</v>
      </c>
      <c r="K797" s="4">
        <v>1</v>
      </c>
      <c r="L797" s="94">
        <v>11606944</v>
      </c>
      <c r="M797" s="94">
        <v>0</v>
      </c>
    </row>
    <row r="798" spans="3:13" x14ac:dyDescent="0.3">
      <c r="C798" t="s">
        <v>61</v>
      </c>
      <c r="D798" t="s">
        <v>67</v>
      </c>
      <c r="E798" t="s">
        <v>63</v>
      </c>
      <c r="F798" t="s">
        <v>25</v>
      </c>
      <c r="G798" s="4">
        <v>16</v>
      </c>
      <c r="H798" s="4" t="s">
        <v>80</v>
      </c>
      <c r="I798" s="4" t="s">
        <v>69</v>
      </c>
      <c r="J798" s="4" t="s">
        <v>66</v>
      </c>
      <c r="K798" s="4">
        <v>0</v>
      </c>
      <c r="L798" s="94">
        <v>-2911</v>
      </c>
      <c r="M798" s="94">
        <v>0</v>
      </c>
    </row>
    <row r="799" spans="3:13" x14ac:dyDescent="0.3">
      <c r="C799" t="s">
        <v>71</v>
      </c>
      <c r="D799" t="s">
        <v>67</v>
      </c>
      <c r="E799" t="s">
        <v>63</v>
      </c>
      <c r="F799" t="s">
        <v>26</v>
      </c>
      <c r="G799" s="4">
        <v>9</v>
      </c>
      <c r="H799" s="4" t="s">
        <v>14</v>
      </c>
      <c r="I799" s="4" t="s">
        <v>69</v>
      </c>
      <c r="J799" s="4" t="s">
        <v>73</v>
      </c>
      <c r="K799" s="4">
        <v>1</v>
      </c>
      <c r="L799" s="94">
        <v>-671332</v>
      </c>
      <c r="M799" s="94">
        <v>0</v>
      </c>
    </row>
    <row r="800" spans="3:13" x14ac:dyDescent="0.3">
      <c r="C800" t="s">
        <v>61</v>
      </c>
      <c r="D800" t="s">
        <v>62</v>
      </c>
      <c r="E800" t="s">
        <v>63</v>
      </c>
      <c r="F800" t="s">
        <v>24</v>
      </c>
      <c r="G800" s="4">
        <v>29</v>
      </c>
      <c r="I800" s="4" t="s">
        <v>69</v>
      </c>
      <c r="J800" s="4" t="s">
        <v>66</v>
      </c>
      <c r="K800" s="4">
        <v>1</v>
      </c>
      <c r="L800" s="94">
        <v>-1056</v>
      </c>
      <c r="M800" s="94">
        <v>0</v>
      </c>
    </row>
    <row r="801" spans="3:13" x14ac:dyDescent="0.3">
      <c r="C801" t="s">
        <v>70</v>
      </c>
      <c r="D801" t="s">
        <v>67</v>
      </c>
      <c r="E801" t="s">
        <v>63</v>
      </c>
      <c r="F801" t="s">
        <v>26</v>
      </c>
      <c r="G801" s="4">
        <v>2</v>
      </c>
      <c r="H801" s="4" t="s">
        <v>12</v>
      </c>
      <c r="I801" s="4" t="s">
        <v>69</v>
      </c>
      <c r="J801" s="4" t="s">
        <v>66</v>
      </c>
      <c r="K801" s="4">
        <v>0</v>
      </c>
      <c r="L801" s="94">
        <v>-71018</v>
      </c>
      <c r="M801" s="94">
        <v>0</v>
      </c>
    </row>
    <row r="802" spans="3:13" x14ac:dyDescent="0.3">
      <c r="C802" t="s">
        <v>70</v>
      </c>
      <c r="D802" t="s">
        <v>62</v>
      </c>
      <c r="E802" t="s">
        <v>63</v>
      </c>
      <c r="F802" t="s">
        <v>25</v>
      </c>
      <c r="G802" s="4">
        <v>8</v>
      </c>
      <c r="I802" s="4" t="s">
        <v>69</v>
      </c>
      <c r="J802" s="4" t="s">
        <v>66</v>
      </c>
      <c r="K802" s="4">
        <v>1</v>
      </c>
      <c r="L802" s="94">
        <v>-2089</v>
      </c>
      <c r="M802" s="94">
        <v>0</v>
      </c>
    </row>
    <row r="803" spans="3:13" x14ac:dyDescent="0.3">
      <c r="C803" t="s">
        <v>70</v>
      </c>
      <c r="D803" t="s">
        <v>67</v>
      </c>
      <c r="E803" t="s">
        <v>68</v>
      </c>
      <c r="F803" t="s">
        <v>72</v>
      </c>
      <c r="G803" s="4">
        <v>-4</v>
      </c>
      <c r="H803" s="4" t="s">
        <v>81</v>
      </c>
      <c r="I803" s="4" t="s">
        <v>69</v>
      </c>
      <c r="J803" s="4" t="s">
        <v>66</v>
      </c>
      <c r="K803" s="4">
        <v>0</v>
      </c>
      <c r="L803" s="94">
        <v>91</v>
      </c>
      <c r="M803" s="94">
        <v>0</v>
      </c>
    </row>
    <row r="804" spans="3:13" x14ac:dyDescent="0.3">
      <c r="C804" t="s">
        <v>70</v>
      </c>
      <c r="D804" t="s">
        <v>67</v>
      </c>
      <c r="E804" t="s">
        <v>68</v>
      </c>
      <c r="F804" t="s">
        <v>72</v>
      </c>
      <c r="G804" s="4">
        <v>2</v>
      </c>
      <c r="H804" s="4" t="s">
        <v>13</v>
      </c>
      <c r="I804" s="4" t="s">
        <v>69</v>
      </c>
      <c r="J804" s="4" t="s">
        <v>73</v>
      </c>
      <c r="K804" s="4">
        <v>1</v>
      </c>
      <c r="L804" s="94">
        <v>67838</v>
      </c>
      <c r="M804" s="94">
        <v>135676</v>
      </c>
    </row>
    <row r="805" spans="3:13" x14ac:dyDescent="0.3">
      <c r="C805" t="s">
        <v>70</v>
      </c>
      <c r="D805" t="s">
        <v>62</v>
      </c>
      <c r="E805" t="s">
        <v>68</v>
      </c>
      <c r="F805" t="s">
        <v>24</v>
      </c>
      <c r="G805" s="4">
        <v>4</v>
      </c>
      <c r="I805" s="4" t="s">
        <v>69</v>
      </c>
      <c r="J805" s="4" t="s">
        <v>66</v>
      </c>
      <c r="K805" s="4">
        <v>1</v>
      </c>
      <c r="L805" s="94">
        <v>659515</v>
      </c>
      <c r="M805" s="94">
        <v>2638060</v>
      </c>
    </row>
    <row r="806" spans="3:13" x14ac:dyDescent="0.3">
      <c r="C806" t="s">
        <v>71</v>
      </c>
      <c r="D806" t="s">
        <v>67</v>
      </c>
      <c r="E806" t="s">
        <v>68</v>
      </c>
      <c r="F806" t="s">
        <v>26</v>
      </c>
      <c r="G806" s="4">
        <v>-4</v>
      </c>
      <c r="H806" s="4" t="s">
        <v>80</v>
      </c>
      <c r="I806" s="4" t="s">
        <v>69</v>
      </c>
      <c r="J806" s="4" t="s">
        <v>66</v>
      </c>
      <c r="K806" s="4">
        <v>0</v>
      </c>
      <c r="L806" s="94">
        <v>408491</v>
      </c>
      <c r="M806" s="94">
        <v>0</v>
      </c>
    </row>
    <row r="807" spans="3:13" x14ac:dyDescent="0.3">
      <c r="C807" t="s">
        <v>71</v>
      </c>
      <c r="D807" t="s">
        <v>67</v>
      </c>
      <c r="E807" t="s">
        <v>63</v>
      </c>
      <c r="F807" t="s">
        <v>26</v>
      </c>
      <c r="G807" s="4">
        <v>-4</v>
      </c>
      <c r="H807" s="4" t="s">
        <v>13</v>
      </c>
      <c r="I807" s="4" t="s">
        <v>69</v>
      </c>
      <c r="J807" s="4" t="s">
        <v>73</v>
      </c>
      <c r="K807" s="4">
        <v>1</v>
      </c>
      <c r="L807" s="94">
        <v>-12303</v>
      </c>
      <c r="M807" s="94">
        <v>0</v>
      </c>
    </row>
    <row r="808" spans="3:13" x14ac:dyDescent="0.3">
      <c r="C808" t="s">
        <v>71</v>
      </c>
      <c r="D808" t="s">
        <v>62</v>
      </c>
      <c r="E808" t="s">
        <v>68</v>
      </c>
      <c r="F808" t="s">
        <v>24</v>
      </c>
      <c r="G808" s="4">
        <v>18</v>
      </c>
      <c r="I808" s="4" t="s">
        <v>65</v>
      </c>
      <c r="J808" s="4" t="s">
        <v>66</v>
      </c>
      <c r="K808" s="4">
        <v>1</v>
      </c>
      <c r="L808" s="94">
        <v>484134</v>
      </c>
      <c r="M808" s="94">
        <v>8714412</v>
      </c>
    </row>
    <row r="809" spans="3:13" x14ac:dyDescent="0.3">
      <c r="C809" t="s">
        <v>70</v>
      </c>
      <c r="D809" t="s">
        <v>67</v>
      </c>
      <c r="E809" t="s">
        <v>68</v>
      </c>
      <c r="F809" t="s">
        <v>26</v>
      </c>
      <c r="G809" s="4">
        <v>5</v>
      </c>
      <c r="H809" s="4" t="s">
        <v>82</v>
      </c>
      <c r="I809" s="4" t="s">
        <v>69</v>
      </c>
      <c r="J809" s="4" t="s">
        <v>66</v>
      </c>
      <c r="K809" s="4">
        <v>0</v>
      </c>
      <c r="L809" s="94">
        <v>1285985</v>
      </c>
      <c r="M809" s="94">
        <v>6429925</v>
      </c>
    </row>
    <row r="810" spans="3:13" x14ac:dyDescent="0.3">
      <c r="C810" t="s">
        <v>61</v>
      </c>
      <c r="D810" t="s">
        <v>67</v>
      </c>
      <c r="E810" t="s">
        <v>63</v>
      </c>
      <c r="F810" t="s">
        <v>26</v>
      </c>
      <c r="G810" s="4">
        <v>5</v>
      </c>
      <c r="H810" s="4" t="s">
        <v>14</v>
      </c>
      <c r="I810" s="4" t="s">
        <v>69</v>
      </c>
      <c r="J810" s="4" t="s">
        <v>66</v>
      </c>
      <c r="K810" s="4">
        <v>0</v>
      </c>
      <c r="L810" s="94">
        <v>-24080</v>
      </c>
      <c r="M810" s="94">
        <v>0</v>
      </c>
    </row>
    <row r="811" spans="3:13" x14ac:dyDescent="0.3">
      <c r="C811" t="s">
        <v>61</v>
      </c>
      <c r="D811" t="s">
        <v>67</v>
      </c>
      <c r="E811" t="s">
        <v>68</v>
      </c>
      <c r="F811" t="s">
        <v>26</v>
      </c>
      <c r="G811" s="4">
        <v>3</v>
      </c>
      <c r="H811" s="4" t="s">
        <v>75</v>
      </c>
      <c r="I811" s="4" t="s">
        <v>65</v>
      </c>
      <c r="J811" s="4" t="s">
        <v>66</v>
      </c>
      <c r="K811" s="4">
        <v>1</v>
      </c>
      <c r="L811" s="94">
        <v>279732</v>
      </c>
      <c r="M811" s="94">
        <v>839196</v>
      </c>
    </row>
    <row r="812" spans="3:13" x14ac:dyDescent="0.3">
      <c r="C812" t="s">
        <v>71</v>
      </c>
      <c r="D812" t="s">
        <v>67</v>
      </c>
      <c r="E812" t="s">
        <v>68</v>
      </c>
      <c r="F812" t="s">
        <v>72</v>
      </c>
      <c r="G812" s="4">
        <v>2</v>
      </c>
      <c r="H812" s="4" t="s">
        <v>64</v>
      </c>
      <c r="I812" s="4" t="s">
        <v>69</v>
      </c>
      <c r="J812" s="4" t="s">
        <v>66</v>
      </c>
      <c r="K812" s="4">
        <v>0</v>
      </c>
      <c r="L812" s="94">
        <v>80101</v>
      </c>
      <c r="M812" s="94">
        <v>160202</v>
      </c>
    </row>
    <row r="813" spans="3:13" x14ac:dyDescent="0.3">
      <c r="C813" t="s">
        <v>70</v>
      </c>
      <c r="D813" t="s">
        <v>67</v>
      </c>
      <c r="E813" t="s">
        <v>68</v>
      </c>
      <c r="F813" t="s">
        <v>26</v>
      </c>
      <c r="G813" s="4">
        <v>-1</v>
      </c>
      <c r="H813" s="4" t="s">
        <v>15</v>
      </c>
      <c r="I813" s="4" t="s">
        <v>69</v>
      </c>
      <c r="J813" s="4" t="s">
        <v>66</v>
      </c>
      <c r="K813" s="4">
        <v>0</v>
      </c>
      <c r="L813" s="94">
        <v>104316</v>
      </c>
      <c r="M813" s="94">
        <v>0</v>
      </c>
    </row>
    <row r="814" spans="3:13" x14ac:dyDescent="0.3">
      <c r="C814" t="s">
        <v>70</v>
      </c>
      <c r="D814" t="s">
        <v>67</v>
      </c>
      <c r="E814" t="s">
        <v>68</v>
      </c>
      <c r="F814" t="s">
        <v>25</v>
      </c>
      <c r="G814" s="4">
        <v>1</v>
      </c>
      <c r="H814" s="4" t="s">
        <v>18</v>
      </c>
      <c r="I814" s="4" t="s">
        <v>69</v>
      </c>
      <c r="J814" s="4" t="s">
        <v>66</v>
      </c>
      <c r="K814" s="4">
        <v>0</v>
      </c>
      <c r="L814" s="94">
        <v>973981</v>
      </c>
      <c r="M814" s="94">
        <v>973981</v>
      </c>
    </row>
    <row r="815" spans="3:13" x14ac:dyDescent="0.3">
      <c r="C815" t="s">
        <v>71</v>
      </c>
      <c r="D815" t="s">
        <v>67</v>
      </c>
      <c r="E815" t="s">
        <v>63</v>
      </c>
      <c r="F815" t="s">
        <v>26</v>
      </c>
      <c r="G815" s="4">
        <v>0</v>
      </c>
      <c r="H815" s="4" t="s">
        <v>18</v>
      </c>
      <c r="I815" s="4" t="s">
        <v>65</v>
      </c>
      <c r="J815" s="4" t="s">
        <v>66</v>
      </c>
      <c r="K815" s="4">
        <v>1</v>
      </c>
      <c r="L815" s="94">
        <v>-24850</v>
      </c>
      <c r="M815" s="94">
        <v>0</v>
      </c>
    </row>
    <row r="816" spans="3:13" x14ac:dyDescent="0.3">
      <c r="C816" t="s">
        <v>61</v>
      </c>
      <c r="D816" t="s">
        <v>67</v>
      </c>
      <c r="E816" t="s">
        <v>68</v>
      </c>
      <c r="F816" t="s">
        <v>26</v>
      </c>
      <c r="G816" s="4">
        <v>0</v>
      </c>
      <c r="H816" s="4" t="s">
        <v>18</v>
      </c>
      <c r="I816" s="4" t="s">
        <v>65</v>
      </c>
      <c r="J816" s="4" t="s">
        <v>66</v>
      </c>
      <c r="K816" s="4">
        <v>1</v>
      </c>
      <c r="L816" s="94">
        <v>373205</v>
      </c>
      <c r="M816" s="94">
        <v>0</v>
      </c>
    </row>
    <row r="817" spans="3:13" x14ac:dyDescent="0.3">
      <c r="C817" t="s">
        <v>61</v>
      </c>
      <c r="D817" t="s">
        <v>67</v>
      </c>
      <c r="E817" t="s">
        <v>68</v>
      </c>
      <c r="F817" t="s">
        <v>25</v>
      </c>
      <c r="G817" s="4">
        <v>9</v>
      </c>
      <c r="H817" s="4" t="s">
        <v>64</v>
      </c>
      <c r="I817" s="4" t="s">
        <v>69</v>
      </c>
      <c r="J817" s="4" t="s">
        <v>66</v>
      </c>
      <c r="K817" s="4">
        <v>0</v>
      </c>
      <c r="L817" s="94">
        <v>7547191</v>
      </c>
      <c r="M817" s="94">
        <v>67924719</v>
      </c>
    </row>
    <row r="818" spans="3:13" x14ac:dyDescent="0.3">
      <c r="C818" t="s">
        <v>70</v>
      </c>
      <c r="D818" t="s">
        <v>67</v>
      </c>
      <c r="E818" t="s">
        <v>63</v>
      </c>
      <c r="F818" t="s">
        <v>72</v>
      </c>
      <c r="G818" s="4">
        <v>5</v>
      </c>
      <c r="H818" s="4" t="s">
        <v>77</v>
      </c>
      <c r="I818" s="4" t="s">
        <v>69</v>
      </c>
      <c r="J818" s="4" t="s">
        <v>66</v>
      </c>
      <c r="K818" s="4">
        <v>0</v>
      </c>
      <c r="L818" s="94">
        <v>-21494</v>
      </c>
      <c r="M818" s="94">
        <v>0</v>
      </c>
    </row>
    <row r="819" spans="3:13" x14ac:dyDescent="0.3">
      <c r="C819" t="s">
        <v>61</v>
      </c>
      <c r="D819" t="s">
        <v>67</v>
      </c>
      <c r="E819" t="s">
        <v>63</v>
      </c>
      <c r="F819" t="s">
        <v>25</v>
      </c>
      <c r="G819" s="4">
        <v>2</v>
      </c>
      <c r="H819" s="4" t="s">
        <v>18</v>
      </c>
      <c r="I819" s="4" t="s">
        <v>69</v>
      </c>
      <c r="J819" s="4" t="s">
        <v>66</v>
      </c>
      <c r="K819" s="4">
        <v>0</v>
      </c>
      <c r="L819" s="94">
        <v>-4007</v>
      </c>
      <c r="M819" s="94">
        <v>0</v>
      </c>
    </row>
    <row r="820" spans="3:13" x14ac:dyDescent="0.3">
      <c r="C820" t="s">
        <v>70</v>
      </c>
      <c r="D820" t="s">
        <v>67</v>
      </c>
      <c r="E820" t="s">
        <v>68</v>
      </c>
      <c r="F820" t="s">
        <v>25</v>
      </c>
      <c r="G820" s="4">
        <v>8</v>
      </c>
      <c r="H820" s="4" t="s">
        <v>14</v>
      </c>
      <c r="I820" s="4" t="s">
        <v>69</v>
      </c>
      <c r="J820" s="4" t="s">
        <v>66</v>
      </c>
      <c r="K820" s="4">
        <v>0</v>
      </c>
      <c r="L820" s="94">
        <v>936744</v>
      </c>
      <c r="M820" s="94">
        <v>7493952</v>
      </c>
    </row>
    <row r="821" spans="3:13" x14ac:dyDescent="0.3">
      <c r="C821" t="s">
        <v>70</v>
      </c>
      <c r="D821" t="s">
        <v>67</v>
      </c>
      <c r="E821" t="s">
        <v>63</v>
      </c>
      <c r="F821" t="s">
        <v>25</v>
      </c>
      <c r="G821" s="4">
        <v>2</v>
      </c>
      <c r="H821" s="4" t="s">
        <v>17</v>
      </c>
      <c r="I821" s="4" t="s">
        <v>69</v>
      </c>
      <c r="J821" s="4" t="s">
        <v>66</v>
      </c>
      <c r="K821" s="4">
        <v>0</v>
      </c>
      <c r="L821" s="94">
        <v>-13007</v>
      </c>
      <c r="M821" s="94">
        <v>0</v>
      </c>
    </row>
    <row r="822" spans="3:13" x14ac:dyDescent="0.3">
      <c r="C822" t="s">
        <v>61</v>
      </c>
      <c r="D822" t="s">
        <v>67</v>
      </c>
      <c r="E822" t="s">
        <v>68</v>
      </c>
      <c r="F822" t="s">
        <v>25</v>
      </c>
      <c r="G822" s="4">
        <v>8</v>
      </c>
      <c r="H822" s="4" t="s">
        <v>18</v>
      </c>
      <c r="I822" s="4" t="s">
        <v>69</v>
      </c>
      <c r="J822" s="4" t="s">
        <v>66</v>
      </c>
      <c r="K822" s="4">
        <v>1</v>
      </c>
      <c r="L822" s="94">
        <v>346914</v>
      </c>
      <c r="M822" s="94">
        <v>2775312</v>
      </c>
    </row>
    <row r="823" spans="3:13" x14ac:dyDescent="0.3">
      <c r="C823" t="s">
        <v>70</v>
      </c>
      <c r="D823" t="s">
        <v>67</v>
      </c>
      <c r="E823" t="s">
        <v>68</v>
      </c>
      <c r="F823" t="s">
        <v>25</v>
      </c>
      <c r="G823" s="4">
        <v>-1</v>
      </c>
      <c r="H823" s="4" t="s">
        <v>17</v>
      </c>
      <c r="I823" s="4" t="s">
        <v>69</v>
      </c>
      <c r="J823" s="4" t="s">
        <v>66</v>
      </c>
      <c r="K823" s="4">
        <v>0</v>
      </c>
      <c r="L823" s="94">
        <v>300332</v>
      </c>
      <c r="M823" s="94">
        <v>0</v>
      </c>
    </row>
    <row r="824" spans="3:13" x14ac:dyDescent="0.3">
      <c r="C824" t="s">
        <v>61</v>
      </c>
      <c r="D824" t="s">
        <v>62</v>
      </c>
      <c r="E824" t="s">
        <v>63</v>
      </c>
      <c r="F824" t="s">
        <v>24</v>
      </c>
      <c r="G824" s="4">
        <v>39</v>
      </c>
      <c r="I824" s="4" t="s">
        <v>69</v>
      </c>
      <c r="J824" s="4" t="s">
        <v>66</v>
      </c>
      <c r="K824" s="4">
        <v>1</v>
      </c>
      <c r="L824" s="94">
        <v>-208</v>
      </c>
      <c r="M824" s="94">
        <v>0</v>
      </c>
    </row>
    <row r="825" spans="3:13" x14ac:dyDescent="0.3">
      <c r="C825" t="s">
        <v>61</v>
      </c>
      <c r="D825" t="s">
        <v>67</v>
      </c>
      <c r="E825" t="s">
        <v>68</v>
      </c>
      <c r="F825" t="s">
        <v>26</v>
      </c>
      <c r="G825" s="4">
        <v>4</v>
      </c>
      <c r="H825" s="4" t="s">
        <v>17</v>
      </c>
      <c r="I825" s="4" t="s">
        <v>69</v>
      </c>
      <c r="J825" s="4" t="s">
        <v>73</v>
      </c>
      <c r="K825" s="4">
        <v>1</v>
      </c>
      <c r="L825" s="94">
        <v>1336910</v>
      </c>
      <c r="M825" s="94">
        <v>5347640</v>
      </c>
    </row>
    <row r="826" spans="3:13" x14ac:dyDescent="0.3">
      <c r="C826" t="s">
        <v>71</v>
      </c>
      <c r="D826" t="s">
        <v>67</v>
      </c>
      <c r="E826" t="s">
        <v>68</v>
      </c>
      <c r="F826" t="s">
        <v>25</v>
      </c>
      <c r="G826" s="4">
        <v>0</v>
      </c>
      <c r="H826" s="4" t="s">
        <v>75</v>
      </c>
      <c r="I826" s="4" t="s">
        <v>69</v>
      </c>
      <c r="J826" s="4" t="s">
        <v>66</v>
      </c>
      <c r="K826" s="4">
        <v>0</v>
      </c>
      <c r="L826" s="94">
        <v>494193</v>
      </c>
      <c r="M826" s="94">
        <v>0</v>
      </c>
    </row>
    <row r="827" spans="3:13" x14ac:dyDescent="0.3">
      <c r="C827" t="s">
        <v>70</v>
      </c>
      <c r="D827" t="s">
        <v>67</v>
      </c>
      <c r="E827" t="s">
        <v>68</v>
      </c>
      <c r="F827" t="s">
        <v>26</v>
      </c>
      <c r="G827" s="4">
        <v>2</v>
      </c>
      <c r="H827" s="4" t="s">
        <v>78</v>
      </c>
      <c r="I827" s="4" t="s">
        <v>69</v>
      </c>
      <c r="J827" s="4" t="s">
        <v>66</v>
      </c>
      <c r="K827" s="4">
        <v>0</v>
      </c>
      <c r="L827" s="94">
        <v>1203443</v>
      </c>
      <c r="M827" s="94">
        <v>2406886</v>
      </c>
    </row>
    <row r="828" spans="3:13" x14ac:dyDescent="0.3">
      <c r="C828" t="s">
        <v>61</v>
      </c>
      <c r="D828" t="s">
        <v>67</v>
      </c>
      <c r="E828" t="s">
        <v>63</v>
      </c>
      <c r="F828" t="s">
        <v>26</v>
      </c>
      <c r="G828" s="4">
        <v>0</v>
      </c>
      <c r="H828" s="4" t="s">
        <v>13</v>
      </c>
      <c r="I828" s="4" t="s">
        <v>69</v>
      </c>
      <c r="J828" s="4" t="s">
        <v>73</v>
      </c>
      <c r="K828" s="4">
        <v>1</v>
      </c>
      <c r="L828" s="94">
        <v>-10341</v>
      </c>
      <c r="M828" s="94">
        <v>0</v>
      </c>
    </row>
    <row r="829" spans="3:13" x14ac:dyDescent="0.3">
      <c r="C829" t="s">
        <v>70</v>
      </c>
      <c r="D829" t="s">
        <v>67</v>
      </c>
      <c r="E829" t="s">
        <v>63</v>
      </c>
      <c r="F829" t="s">
        <v>72</v>
      </c>
      <c r="G829" s="4">
        <v>-4</v>
      </c>
      <c r="H829" s="4" t="s">
        <v>83</v>
      </c>
      <c r="I829" s="4" t="s">
        <v>69</v>
      </c>
      <c r="J829" s="4" t="s">
        <v>66</v>
      </c>
      <c r="K829" s="4">
        <v>0</v>
      </c>
      <c r="L829" s="94">
        <v>-47</v>
      </c>
      <c r="M829" s="94">
        <v>0</v>
      </c>
    </row>
    <row r="830" spans="3:13" x14ac:dyDescent="0.3">
      <c r="C830" t="s">
        <v>70</v>
      </c>
      <c r="D830" t="s">
        <v>67</v>
      </c>
      <c r="E830" t="s">
        <v>68</v>
      </c>
      <c r="F830" t="s">
        <v>26</v>
      </c>
      <c r="G830" s="4">
        <v>0</v>
      </c>
      <c r="H830" s="4" t="s">
        <v>74</v>
      </c>
      <c r="I830" s="4" t="s">
        <v>69</v>
      </c>
      <c r="J830" s="4" t="s">
        <v>66</v>
      </c>
      <c r="K830" s="4">
        <v>0</v>
      </c>
      <c r="L830" s="94">
        <v>1433377</v>
      </c>
      <c r="M830" s="94">
        <v>0</v>
      </c>
    </row>
    <row r="831" spans="3:13" x14ac:dyDescent="0.3">
      <c r="C831" t="s">
        <v>61</v>
      </c>
      <c r="D831" t="s">
        <v>67</v>
      </c>
      <c r="E831" t="s">
        <v>68</v>
      </c>
      <c r="F831" t="s">
        <v>26</v>
      </c>
      <c r="G831" s="4">
        <v>4</v>
      </c>
      <c r="H831" s="4" t="s">
        <v>12</v>
      </c>
      <c r="I831" s="4" t="s">
        <v>65</v>
      </c>
      <c r="J831" s="4" t="s">
        <v>66</v>
      </c>
      <c r="K831" s="4">
        <v>1</v>
      </c>
      <c r="L831" s="94">
        <v>102265</v>
      </c>
      <c r="M831" s="94">
        <v>409060</v>
      </c>
    </row>
    <row r="832" spans="3:13" x14ac:dyDescent="0.3">
      <c r="C832" t="s">
        <v>61</v>
      </c>
      <c r="D832" t="s">
        <v>67</v>
      </c>
      <c r="E832" t="s">
        <v>63</v>
      </c>
      <c r="F832" t="s">
        <v>26</v>
      </c>
      <c r="G832" s="4">
        <v>6</v>
      </c>
      <c r="H832" s="4" t="s">
        <v>16</v>
      </c>
      <c r="I832" s="4" t="s">
        <v>69</v>
      </c>
      <c r="J832" s="4" t="s">
        <v>66</v>
      </c>
      <c r="K832" s="4">
        <v>0</v>
      </c>
      <c r="L832" s="94">
        <v>-5924</v>
      </c>
      <c r="M832" s="94">
        <v>0</v>
      </c>
    </row>
    <row r="833" spans="3:13" x14ac:dyDescent="0.3">
      <c r="C833" t="s">
        <v>61</v>
      </c>
      <c r="D833" t="s">
        <v>67</v>
      </c>
      <c r="E833" t="s">
        <v>63</v>
      </c>
      <c r="F833" t="s">
        <v>26</v>
      </c>
      <c r="G833" s="4">
        <v>-1</v>
      </c>
      <c r="H833" s="4" t="s">
        <v>14</v>
      </c>
      <c r="I833" s="4" t="s">
        <v>69</v>
      </c>
      <c r="J833" s="4" t="s">
        <v>73</v>
      </c>
      <c r="K833" s="4">
        <v>1</v>
      </c>
      <c r="L833" s="94">
        <v>-413964</v>
      </c>
      <c r="M833" s="94">
        <v>0</v>
      </c>
    </row>
    <row r="834" spans="3:13" x14ac:dyDescent="0.3">
      <c r="C834" t="s">
        <v>61</v>
      </c>
      <c r="D834" t="s">
        <v>67</v>
      </c>
      <c r="E834" t="s">
        <v>68</v>
      </c>
      <c r="F834" t="s">
        <v>25</v>
      </c>
      <c r="G834" s="4">
        <v>11</v>
      </c>
      <c r="H834" s="4" t="s">
        <v>78</v>
      </c>
      <c r="I834" s="4" t="s">
        <v>69</v>
      </c>
      <c r="J834" s="4" t="s">
        <v>66</v>
      </c>
      <c r="K834" s="4">
        <v>0</v>
      </c>
      <c r="L834" s="94">
        <v>1449107</v>
      </c>
      <c r="M834" s="94">
        <v>15940177</v>
      </c>
    </row>
    <row r="835" spans="3:13" x14ac:dyDescent="0.3">
      <c r="C835" t="s">
        <v>61</v>
      </c>
      <c r="D835" t="s">
        <v>67</v>
      </c>
      <c r="E835" t="s">
        <v>63</v>
      </c>
      <c r="F835" t="s">
        <v>72</v>
      </c>
      <c r="G835" s="4">
        <v>5</v>
      </c>
      <c r="H835" s="4" t="s">
        <v>77</v>
      </c>
      <c r="I835" s="4" t="s">
        <v>69</v>
      </c>
      <c r="J835" s="4" t="s">
        <v>66</v>
      </c>
      <c r="K835" s="4">
        <v>0</v>
      </c>
      <c r="L835" s="94">
        <v>-1822</v>
      </c>
      <c r="M835" s="94">
        <v>0</v>
      </c>
    </row>
    <row r="836" spans="3:13" x14ac:dyDescent="0.3">
      <c r="C836" t="s">
        <v>70</v>
      </c>
      <c r="D836" t="s">
        <v>62</v>
      </c>
      <c r="E836" t="s">
        <v>68</v>
      </c>
      <c r="F836" t="s">
        <v>24</v>
      </c>
      <c r="G836" s="4">
        <v>7</v>
      </c>
      <c r="I836" s="4" t="s">
        <v>65</v>
      </c>
      <c r="J836" s="4" t="s">
        <v>66</v>
      </c>
      <c r="K836" s="4">
        <v>1</v>
      </c>
      <c r="L836" s="94">
        <v>349518</v>
      </c>
      <c r="M836" s="94">
        <v>2446626</v>
      </c>
    </row>
    <row r="837" spans="3:13" x14ac:dyDescent="0.3">
      <c r="C837" t="s">
        <v>70</v>
      </c>
      <c r="D837" t="s">
        <v>67</v>
      </c>
      <c r="E837" t="s">
        <v>68</v>
      </c>
      <c r="F837" t="s">
        <v>25</v>
      </c>
      <c r="G837" s="4">
        <v>5</v>
      </c>
      <c r="H837" s="4" t="s">
        <v>14</v>
      </c>
      <c r="I837" s="4" t="s">
        <v>69</v>
      </c>
      <c r="J837" s="4" t="s">
        <v>66</v>
      </c>
      <c r="K837" s="4">
        <v>1</v>
      </c>
      <c r="L837" s="94">
        <v>843209</v>
      </c>
      <c r="M837" s="94">
        <v>4216045</v>
      </c>
    </row>
    <row r="838" spans="3:13" x14ac:dyDescent="0.3">
      <c r="C838" t="s">
        <v>71</v>
      </c>
      <c r="D838" t="s">
        <v>67</v>
      </c>
      <c r="E838" t="s">
        <v>63</v>
      </c>
      <c r="F838" t="s">
        <v>25</v>
      </c>
      <c r="G838" s="4">
        <v>2</v>
      </c>
      <c r="H838" s="4" t="s">
        <v>14</v>
      </c>
      <c r="I838" s="4" t="s">
        <v>69</v>
      </c>
      <c r="J838" s="4" t="s">
        <v>66</v>
      </c>
      <c r="K838" s="4">
        <v>0</v>
      </c>
      <c r="L838" s="94">
        <v>-2808991</v>
      </c>
      <c r="M838" s="94">
        <v>0</v>
      </c>
    </row>
    <row r="839" spans="3:13" x14ac:dyDescent="0.3">
      <c r="C839" t="s">
        <v>70</v>
      </c>
      <c r="D839" t="s">
        <v>67</v>
      </c>
      <c r="E839" t="s">
        <v>68</v>
      </c>
      <c r="F839" t="s">
        <v>26</v>
      </c>
      <c r="G839" s="4">
        <v>3</v>
      </c>
      <c r="H839" s="4" t="s">
        <v>17</v>
      </c>
      <c r="I839" s="4" t="s">
        <v>69</v>
      </c>
      <c r="J839" s="4" t="s">
        <v>66</v>
      </c>
      <c r="K839" s="4">
        <v>0</v>
      </c>
      <c r="L839" s="94">
        <v>16117692</v>
      </c>
      <c r="M839" s="94">
        <v>48353076</v>
      </c>
    </row>
    <row r="840" spans="3:13" x14ac:dyDescent="0.3">
      <c r="C840" t="s">
        <v>61</v>
      </c>
      <c r="D840" t="s">
        <v>67</v>
      </c>
      <c r="E840" t="s">
        <v>68</v>
      </c>
      <c r="F840" t="s">
        <v>25</v>
      </c>
      <c r="G840" s="4">
        <v>4</v>
      </c>
      <c r="H840" s="4" t="s">
        <v>18</v>
      </c>
      <c r="I840" s="4" t="s">
        <v>69</v>
      </c>
      <c r="J840" s="4" t="s">
        <v>66</v>
      </c>
      <c r="K840" s="4">
        <v>0</v>
      </c>
      <c r="L840" s="94">
        <v>6269154</v>
      </c>
      <c r="M840" s="94">
        <v>25076616</v>
      </c>
    </row>
    <row r="841" spans="3:13" x14ac:dyDescent="0.3">
      <c r="C841" t="s">
        <v>71</v>
      </c>
      <c r="D841" t="s">
        <v>67</v>
      </c>
      <c r="E841" t="s">
        <v>63</v>
      </c>
      <c r="F841" t="s">
        <v>26</v>
      </c>
      <c r="G841" s="4">
        <v>2</v>
      </c>
      <c r="H841" s="4" t="s">
        <v>18</v>
      </c>
      <c r="I841" s="4" t="s">
        <v>69</v>
      </c>
      <c r="J841" s="4" t="s">
        <v>73</v>
      </c>
      <c r="K841" s="4">
        <v>1</v>
      </c>
      <c r="L841" s="94">
        <v>-116221</v>
      </c>
      <c r="M841" s="94">
        <v>0</v>
      </c>
    </row>
    <row r="842" spans="3:13" x14ac:dyDescent="0.3">
      <c r="C842" t="s">
        <v>70</v>
      </c>
      <c r="D842" t="s">
        <v>67</v>
      </c>
      <c r="E842" t="s">
        <v>63</v>
      </c>
      <c r="F842" t="s">
        <v>26</v>
      </c>
      <c r="G842" s="4">
        <v>1</v>
      </c>
      <c r="H842" s="4" t="s">
        <v>14</v>
      </c>
      <c r="I842" s="4" t="s">
        <v>69</v>
      </c>
      <c r="J842" s="4" t="s">
        <v>66</v>
      </c>
      <c r="K842" s="4">
        <v>0</v>
      </c>
      <c r="L842" s="94">
        <v>-1052664</v>
      </c>
      <c r="M842" s="94">
        <v>0</v>
      </c>
    </row>
    <row r="843" spans="3:13" x14ac:dyDescent="0.3">
      <c r="C843" t="s">
        <v>70</v>
      </c>
      <c r="D843" t="s">
        <v>62</v>
      </c>
      <c r="E843" t="s">
        <v>68</v>
      </c>
      <c r="F843" t="s">
        <v>25</v>
      </c>
      <c r="G843" s="4">
        <v>9</v>
      </c>
      <c r="I843" s="4" t="s">
        <v>69</v>
      </c>
      <c r="J843" s="4" t="s">
        <v>66</v>
      </c>
      <c r="K843" s="4">
        <v>1</v>
      </c>
      <c r="L843" s="94">
        <v>167099</v>
      </c>
      <c r="M843" s="94">
        <v>1503891</v>
      </c>
    </row>
    <row r="844" spans="3:13" x14ac:dyDescent="0.3">
      <c r="C844" t="s">
        <v>61</v>
      </c>
      <c r="D844" t="s">
        <v>62</v>
      </c>
      <c r="E844" t="s">
        <v>68</v>
      </c>
      <c r="F844" t="s">
        <v>25</v>
      </c>
      <c r="G844" s="4">
        <v>1</v>
      </c>
      <c r="I844" s="4" t="s">
        <v>69</v>
      </c>
      <c r="J844" s="4" t="s">
        <v>66</v>
      </c>
      <c r="K844" s="4">
        <v>0</v>
      </c>
      <c r="L844" s="94">
        <v>2712183</v>
      </c>
      <c r="M844" s="94">
        <v>2712183</v>
      </c>
    </row>
    <row r="845" spans="3:13" x14ac:dyDescent="0.3">
      <c r="C845" t="s">
        <v>61</v>
      </c>
      <c r="D845" t="s">
        <v>62</v>
      </c>
      <c r="E845" t="s">
        <v>63</v>
      </c>
      <c r="F845" t="s">
        <v>24</v>
      </c>
      <c r="G845" s="4">
        <v>35</v>
      </c>
      <c r="I845" s="4" t="s">
        <v>69</v>
      </c>
      <c r="J845" s="4" t="s">
        <v>66</v>
      </c>
      <c r="K845" s="4">
        <v>1</v>
      </c>
      <c r="L845" s="94">
        <v>-825</v>
      </c>
      <c r="M845" s="94">
        <v>0</v>
      </c>
    </row>
    <row r="846" spans="3:13" x14ac:dyDescent="0.3">
      <c r="C846" t="s">
        <v>61</v>
      </c>
      <c r="D846" t="s">
        <v>67</v>
      </c>
      <c r="E846" t="s">
        <v>68</v>
      </c>
      <c r="F846" t="s">
        <v>26</v>
      </c>
      <c r="G846" s="4">
        <v>-4</v>
      </c>
      <c r="H846" s="4" t="s">
        <v>18</v>
      </c>
      <c r="I846" s="4" t="s">
        <v>69</v>
      </c>
      <c r="J846" s="4" t="s">
        <v>66</v>
      </c>
      <c r="K846" s="4">
        <v>0</v>
      </c>
      <c r="L846" s="94">
        <v>17853</v>
      </c>
      <c r="M846" s="94">
        <v>0</v>
      </c>
    </row>
    <row r="847" spans="3:13" x14ac:dyDescent="0.3">
      <c r="C847" t="s">
        <v>70</v>
      </c>
      <c r="D847" t="s">
        <v>67</v>
      </c>
      <c r="E847" t="s">
        <v>63</v>
      </c>
      <c r="F847" t="s">
        <v>72</v>
      </c>
      <c r="G847" s="4">
        <v>7</v>
      </c>
      <c r="H847" s="4" t="s">
        <v>75</v>
      </c>
      <c r="I847" s="4" t="s">
        <v>69</v>
      </c>
      <c r="J847" s="4" t="s">
        <v>66</v>
      </c>
      <c r="K847" s="4">
        <v>0</v>
      </c>
      <c r="L847" s="94">
        <v>-13235</v>
      </c>
      <c r="M847" s="94">
        <v>0</v>
      </c>
    </row>
    <row r="848" spans="3:13" x14ac:dyDescent="0.3">
      <c r="C848" t="s">
        <v>61</v>
      </c>
      <c r="D848" t="s">
        <v>62</v>
      </c>
      <c r="E848" t="s">
        <v>63</v>
      </c>
      <c r="F848" t="s">
        <v>25</v>
      </c>
      <c r="G848" s="4">
        <v>15</v>
      </c>
      <c r="I848" s="4" t="s">
        <v>69</v>
      </c>
      <c r="J848" s="4" t="s">
        <v>66</v>
      </c>
      <c r="K848" s="4">
        <v>0</v>
      </c>
      <c r="L848" s="94">
        <v>-3227</v>
      </c>
      <c r="M848" s="94">
        <v>0</v>
      </c>
    </row>
    <row r="849" spans="3:13" x14ac:dyDescent="0.3">
      <c r="C849" t="s">
        <v>61</v>
      </c>
      <c r="D849" t="s">
        <v>67</v>
      </c>
      <c r="E849" t="s">
        <v>68</v>
      </c>
      <c r="F849" t="s">
        <v>26</v>
      </c>
      <c r="G849" s="4">
        <v>2</v>
      </c>
      <c r="H849" s="4" t="s">
        <v>14</v>
      </c>
      <c r="I849" s="4" t="s">
        <v>69</v>
      </c>
      <c r="J849" s="4" t="s">
        <v>73</v>
      </c>
      <c r="K849" s="4">
        <v>1</v>
      </c>
      <c r="L849" s="94">
        <v>54669094</v>
      </c>
      <c r="M849" s="94">
        <v>109338188</v>
      </c>
    </row>
    <row r="850" spans="3:13" x14ac:dyDescent="0.3">
      <c r="C850" t="s">
        <v>61</v>
      </c>
      <c r="D850" t="s">
        <v>67</v>
      </c>
      <c r="E850" t="s">
        <v>63</v>
      </c>
      <c r="F850" t="s">
        <v>26</v>
      </c>
      <c r="G850" s="4">
        <v>8</v>
      </c>
      <c r="H850" s="4" t="s">
        <v>82</v>
      </c>
      <c r="I850" s="4" t="s">
        <v>65</v>
      </c>
      <c r="J850" s="4" t="s">
        <v>66</v>
      </c>
      <c r="K850" s="4">
        <v>1</v>
      </c>
      <c r="L850" s="94">
        <v>-159803</v>
      </c>
      <c r="M850" s="94">
        <v>0</v>
      </c>
    </row>
    <row r="851" spans="3:13" x14ac:dyDescent="0.3">
      <c r="C851" t="s">
        <v>61</v>
      </c>
      <c r="D851" t="s">
        <v>67</v>
      </c>
      <c r="E851" t="s">
        <v>63</v>
      </c>
      <c r="F851" t="s">
        <v>26</v>
      </c>
      <c r="G851" s="4">
        <v>3</v>
      </c>
      <c r="H851" s="4" t="s">
        <v>77</v>
      </c>
      <c r="I851" s="4" t="s">
        <v>69</v>
      </c>
      <c r="J851" s="4" t="s">
        <v>66</v>
      </c>
      <c r="K851" s="4">
        <v>0</v>
      </c>
      <c r="L851" s="94">
        <v>-64620</v>
      </c>
      <c r="M851" s="94">
        <v>0</v>
      </c>
    </row>
    <row r="852" spans="3:13" x14ac:dyDescent="0.3">
      <c r="C852" t="s">
        <v>61</v>
      </c>
      <c r="D852" t="s">
        <v>67</v>
      </c>
      <c r="E852" t="s">
        <v>68</v>
      </c>
      <c r="F852" t="s">
        <v>25</v>
      </c>
      <c r="G852" s="4">
        <v>-4</v>
      </c>
      <c r="H852" s="4" t="s">
        <v>17</v>
      </c>
      <c r="I852" s="4" t="s">
        <v>69</v>
      </c>
      <c r="J852" s="4" t="s">
        <v>66</v>
      </c>
      <c r="K852" s="4">
        <v>0</v>
      </c>
      <c r="L852" s="94">
        <v>136228</v>
      </c>
      <c r="M852" s="94">
        <v>0</v>
      </c>
    </row>
    <row r="853" spans="3:13" x14ac:dyDescent="0.3">
      <c r="C853" t="s">
        <v>70</v>
      </c>
      <c r="D853" t="s">
        <v>67</v>
      </c>
      <c r="E853" t="s">
        <v>63</v>
      </c>
      <c r="F853" t="s">
        <v>72</v>
      </c>
      <c r="G853" s="4">
        <v>4</v>
      </c>
      <c r="H853" s="4" t="s">
        <v>15</v>
      </c>
      <c r="I853" s="4" t="s">
        <v>69</v>
      </c>
      <c r="J853" s="4" t="s">
        <v>66</v>
      </c>
      <c r="K853" s="4">
        <v>0</v>
      </c>
      <c r="L853" s="94">
        <v>-2035</v>
      </c>
      <c r="M853" s="94">
        <v>0</v>
      </c>
    </row>
    <row r="854" spans="3:13" x14ac:dyDescent="0.3">
      <c r="C854" t="s">
        <v>61</v>
      </c>
      <c r="D854" t="s">
        <v>67</v>
      </c>
      <c r="E854" t="s">
        <v>68</v>
      </c>
      <c r="F854" t="s">
        <v>25</v>
      </c>
      <c r="G854" s="4">
        <v>9</v>
      </c>
      <c r="H854" s="4" t="s">
        <v>78</v>
      </c>
      <c r="I854" s="4" t="s">
        <v>69</v>
      </c>
      <c r="J854" s="4" t="s">
        <v>66</v>
      </c>
      <c r="K854" s="4">
        <v>0</v>
      </c>
      <c r="L854" s="94">
        <v>10632516</v>
      </c>
      <c r="M854" s="94">
        <v>95692644</v>
      </c>
    </row>
    <row r="855" spans="3:13" x14ac:dyDescent="0.3">
      <c r="C855" t="s">
        <v>61</v>
      </c>
      <c r="D855" t="s">
        <v>67</v>
      </c>
      <c r="E855" t="s">
        <v>68</v>
      </c>
      <c r="F855" t="s">
        <v>26</v>
      </c>
      <c r="G855" s="4">
        <v>1</v>
      </c>
      <c r="H855" s="4" t="s">
        <v>82</v>
      </c>
      <c r="I855" s="4" t="s">
        <v>69</v>
      </c>
      <c r="J855" s="4" t="s">
        <v>66</v>
      </c>
      <c r="K855" s="4">
        <v>0</v>
      </c>
      <c r="L855" s="94">
        <v>14547633</v>
      </c>
      <c r="M855" s="94">
        <v>14547633</v>
      </c>
    </row>
    <row r="856" spans="3:13" x14ac:dyDescent="0.3">
      <c r="C856" t="s">
        <v>61</v>
      </c>
      <c r="D856" t="s">
        <v>62</v>
      </c>
      <c r="E856" t="s">
        <v>68</v>
      </c>
      <c r="F856" t="s">
        <v>24</v>
      </c>
      <c r="G856" s="4">
        <v>33</v>
      </c>
      <c r="I856" s="4" t="s">
        <v>69</v>
      </c>
      <c r="J856" s="4" t="s">
        <v>66</v>
      </c>
      <c r="K856" s="4">
        <v>0</v>
      </c>
      <c r="L856" s="94">
        <v>1040501829</v>
      </c>
      <c r="M856" s="94">
        <v>34336560357</v>
      </c>
    </row>
    <row r="857" spans="3:13" x14ac:dyDescent="0.3">
      <c r="C857" t="s">
        <v>61</v>
      </c>
      <c r="D857" t="s">
        <v>62</v>
      </c>
      <c r="E857" t="s">
        <v>63</v>
      </c>
      <c r="F857" t="s">
        <v>25</v>
      </c>
      <c r="G857" s="4">
        <v>1</v>
      </c>
      <c r="I857" s="4" t="s">
        <v>69</v>
      </c>
      <c r="J857" s="4" t="s">
        <v>66</v>
      </c>
      <c r="K857" s="4">
        <v>1</v>
      </c>
      <c r="L857" s="94">
        <v>-44</v>
      </c>
      <c r="M857" s="94">
        <v>0</v>
      </c>
    </row>
    <row r="858" spans="3:13" x14ac:dyDescent="0.3">
      <c r="C858" t="s">
        <v>71</v>
      </c>
      <c r="D858" t="s">
        <v>67</v>
      </c>
      <c r="E858" t="s">
        <v>68</v>
      </c>
      <c r="F858" t="s">
        <v>26</v>
      </c>
      <c r="G858" s="4">
        <v>-4</v>
      </c>
      <c r="H858" s="4" t="s">
        <v>74</v>
      </c>
      <c r="I858" s="4" t="s">
        <v>69</v>
      </c>
      <c r="J858" s="4" t="s">
        <v>66</v>
      </c>
      <c r="K858" s="4">
        <v>0</v>
      </c>
      <c r="L858" s="94">
        <v>1257378</v>
      </c>
      <c r="M858" s="94">
        <v>0</v>
      </c>
    </row>
    <row r="859" spans="3:13" x14ac:dyDescent="0.3">
      <c r="C859" t="s">
        <v>61</v>
      </c>
      <c r="D859" t="s">
        <v>67</v>
      </c>
      <c r="E859" t="s">
        <v>63</v>
      </c>
      <c r="F859" t="s">
        <v>26</v>
      </c>
      <c r="G859" s="4">
        <v>10</v>
      </c>
      <c r="H859" s="4" t="s">
        <v>17</v>
      </c>
      <c r="I859" s="4" t="s">
        <v>69</v>
      </c>
      <c r="J859" s="4" t="s">
        <v>66</v>
      </c>
      <c r="K859" s="4">
        <v>0</v>
      </c>
      <c r="L859" s="94">
        <v>-1533</v>
      </c>
      <c r="M859" s="94">
        <v>0</v>
      </c>
    </row>
    <row r="860" spans="3:13" x14ac:dyDescent="0.3">
      <c r="C860" t="s">
        <v>70</v>
      </c>
      <c r="D860" t="s">
        <v>67</v>
      </c>
      <c r="E860" t="s">
        <v>68</v>
      </c>
      <c r="F860" t="s">
        <v>26</v>
      </c>
      <c r="G860" s="4">
        <v>6</v>
      </c>
      <c r="H860" s="4" t="s">
        <v>14</v>
      </c>
      <c r="I860" s="4" t="s">
        <v>69</v>
      </c>
      <c r="J860" s="4" t="s">
        <v>66</v>
      </c>
      <c r="K860" s="4">
        <v>0</v>
      </c>
      <c r="L860" s="94">
        <v>482137</v>
      </c>
      <c r="M860" s="94">
        <v>2892822</v>
      </c>
    </row>
    <row r="861" spans="3:13" x14ac:dyDescent="0.3">
      <c r="C861" t="s">
        <v>71</v>
      </c>
      <c r="D861" t="s">
        <v>62</v>
      </c>
      <c r="E861" t="s">
        <v>63</v>
      </c>
      <c r="F861" t="s">
        <v>24</v>
      </c>
      <c r="G861" s="4">
        <v>41</v>
      </c>
      <c r="I861" s="4" t="s">
        <v>65</v>
      </c>
      <c r="J861" s="4" t="s">
        <v>66</v>
      </c>
      <c r="K861" s="4">
        <v>1</v>
      </c>
      <c r="L861" s="94">
        <v>-28552</v>
      </c>
      <c r="M861" s="94">
        <v>0</v>
      </c>
    </row>
    <row r="862" spans="3:13" x14ac:dyDescent="0.3">
      <c r="C862" t="s">
        <v>71</v>
      </c>
      <c r="D862" t="s">
        <v>67</v>
      </c>
      <c r="E862" t="s">
        <v>68</v>
      </c>
      <c r="F862" t="s">
        <v>72</v>
      </c>
      <c r="G862" s="4">
        <v>4</v>
      </c>
      <c r="H862" s="4" t="s">
        <v>14</v>
      </c>
      <c r="I862" s="4" t="s">
        <v>69</v>
      </c>
      <c r="J862" s="4" t="s">
        <v>66</v>
      </c>
      <c r="K862" s="4">
        <v>0</v>
      </c>
      <c r="L862" s="94">
        <v>65450</v>
      </c>
      <c r="M862" s="94">
        <v>261800</v>
      </c>
    </row>
    <row r="863" spans="3:13" x14ac:dyDescent="0.3">
      <c r="C863" t="s">
        <v>61</v>
      </c>
      <c r="D863" t="s">
        <v>67</v>
      </c>
      <c r="E863" t="s">
        <v>68</v>
      </c>
      <c r="F863" t="s">
        <v>72</v>
      </c>
      <c r="G863" s="4">
        <v>2</v>
      </c>
      <c r="H863" s="4" t="s">
        <v>16</v>
      </c>
      <c r="I863" s="4" t="s">
        <v>69</v>
      </c>
      <c r="J863" s="4" t="s">
        <v>66</v>
      </c>
      <c r="K863" s="4">
        <v>0</v>
      </c>
      <c r="L863" s="94">
        <v>180561</v>
      </c>
      <c r="M863" s="94">
        <v>361122</v>
      </c>
    </row>
    <row r="864" spans="3:13" x14ac:dyDescent="0.3">
      <c r="C864" t="s">
        <v>70</v>
      </c>
      <c r="D864" t="s">
        <v>67</v>
      </c>
      <c r="E864" t="s">
        <v>63</v>
      </c>
      <c r="F864" t="s">
        <v>25</v>
      </c>
      <c r="G864" s="4">
        <v>-1</v>
      </c>
      <c r="H864" s="4" t="s">
        <v>17</v>
      </c>
      <c r="I864" s="4" t="s">
        <v>69</v>
      </c>
      <c r="J864" s="4" t="s">
        <v>66</v>
      </c>
      <c r="K864" s="4">
        <v>1</v>
      </c>
      <c r="L864" s="94">
        <v>0</v>
      </c>
      <c r="M864" s="94">
        <v>0</v>
      </c>
    </row>
    <row r="865" spans="3:13" x14ac:dyDescent="0.3">
      <c r="C865" t="s">
        <v>71</v>
      </c>
      <c r="D865" t="s">
        <v>67</v>
      </c>
      <c r="E865" t="s">
        <v>63</v>
      </c>
      <c r="F865" t="s">
        <v>25</v>
      </c>
      <c r="G865" s="4">
        <v>16</v>
      </c>
      <c r="H865" s="4" t="s">
        <v>18</v>
      </c>
      <c r="I865" s="4" t="s">
        <v>69</v>
      </c>
      <c r="J865" s="4" t="s">
        <v>66</v>
      </c>
      <c r="K865" s="4">
        <v>0</v>
      </c>
      <c r="L865" s="94">
        <v>-65486</v>
      </c>
      <c r="M865" s="94">
        <v>0</v>
      </c>
    </row>
    <row r="866" spans="3:13" x14ac:dyDescent="0.3">
      <c r="C866" t="s">
        <v>61</v>
      </c>
      <c r="D866" t="s">
        <v>67</v>
      </c>
      <c r="E866" t="s">
        <v>63</v>
      </c>
      <c r="F866" t="s">
        <v>25</v>
      </c>
      <c r="G866" s="4">
        <v>3</v>
      </c>
      <c r="H866" s="4" t="s">
        <v>77</v>
      </c>
      <c r="I866" s="4" t="s">
        <v>69</v>
      </c>
      <c r="J866" s="4" t="s">
        <v>66</v>
      </c>
      <c r="K866" s="4">
        <v>0</v>
      </c>
      <c r="L866" s="94">
        <v>-762</v>
      </c>
      <c r="M866" s="94">
        <v>0</v>
      </c>
    </row>
    <row r="867" spans="3:13" x14ac:dyDescent="0.3">
      <c r="C867" t="s">
        <v>71</v>
      </c>
      <c r="D867" t="s">
        <v>67</v>
      </c>
      <c r="E867" t="s">
        <v>63</v>
      </c>
      <c r="F867" t="s">
        <v>72</v>
      </c>
      <c r="G867" s="4">
        <v>2</v>
      </c>
      <c r="H867" s="4" t="s">
        <v>13</v>
      </c>
      <c r="I867" s="4" t="s">
        <v>69</v>
      </c>
      <c r="J867" s="4" t="s">
        <v>73</v>
      </c>
      <c r="K867" s="4">
        <v>1</v>
      </c>
      <c r="L867" s="94">
        <v>-180150</v>
      </c>
      <c r="M867" s="94">
        <v>0</v>
      </c>
    </row>
    <row r="868" spans="3:13" x14ac:dyDescent="0.3">
      <c r="C868" t="s">
        <v>61</v>
      </c>
      <c r="D868" t="s">
        <v>67</v>
      </c>
      <c r="E868" t="s">
        <v>63</v>
      </c>
      <c r="F868" t="s">
        <v>72</v>
      </c>
      <c r="G868" s="4">
        <v>-4</v>
      </c>
      <c r="H868" s="4" t="s">
        <v>75</v>
      </c>
      <c r="I868" s="4" t="s">
        <v>69</v>
      </c>
      <c r="J868" s="4" t="s">
        <v>66</v>
      </c>
      <c r="K868" s="4">
        <v>0</v>
      </c>
      <c r="L868" s="94">
        <v>-2</v>
      </c>
      <c r="M868" s="94">
        <v>0</v>
      </c>
    </row>
    <row r="869" spans="3:13" x14ac:dyDescent="0.3">
      <c r="C869" t="s">
        <v>61</v>
      </c>
      <c r="D869" t="s">
        <v>67</v>
      </c>
      <c r="E869" t="s">
        <v>68</v>
      </c>
      <c r="F869" t="s">
        <v>25</v>
      </c>
      <c r="G869" s="4">
        <v>17</v>
      </c>
      <c r="H869" s="4" t="s">
        <v>74</v>
      </c>
      <c r="I869" s="4" t="s">
        <v>69</v>
      </c>
      <c r="J869" s="4" t="s">
        <v>66</v>
      </c>
      <c r="K869" s="4">
        <v>0</v>
      </c>
      <c r="L869" s="94">
        <v>5357544</v>
      </c>
      <c r="M869" s="94">
        <v>91078248</v>
      </c>
    </row>
    <row r="870" spans="3:13" x14ac:dyDescent="0.3">
      <c r="C870" t="s">
        <v>70</v>
      </c>
      <c r="D870" t="s">
        <v>67</v>
      </c>
      <c r="E870" t="s">
        <v>68</v>
      </c>
      <c r="F870" t="s">
        <v>72</v>
      </c>
      <c r="G870" s="4">
        <v>4</v>
      </c>
      <c r="H870" s="4" t="s">
        <v>12</v>
      </c>
      <c r="I870" s="4" t="s">
        <v>69</v>
      </c>
      <c r="J870" s="4" t="s">
        <v>73</v>
      </c>
      <c r="K870" s="4">
        <v>1</v>
      </c>
      <c r="L870" s="94">
        <v>407907</v>
      </c>
      <c r="M870" s="94">
        <v>1631628</v>
      </c>
    </row>
    <row r="871" spans="3:13" x14ac:dyDescent="0.3">
      <c r="C871" t="s">
        <v>70</v>
      </c>
      <c r="D871" t="s">
        <v>67</v>
      </c>
      <c r="E871" t="s">
        <v>68</v>
      </c>
      <c r="F871" t="s">
        <v>25</v>
      </c>
      <c r="G871" s="4">
        <v>10</v>
      </c>
      <c r="H871" s="4" t="s">
        <v>14</v>
      </c>
      <c r="I871" s="4" t="s">
        <v>69</v>
      </c>
      <c r="J871" s="4" t="s">
        <v>73</v>
      </c>
      <c r="K871" s="4">
        <v>1</v>
      </c>
      <c r="L871" s="94">
        <v>4376</v>
      </c>
      <c r="M871" s="94">
        <v>43760</v>
      </c>
    </row>
    <row r="872" spans="3:13" x14ac:dyDescent="0.3">
      <c r="C872" t="s">
        <v>61</v>
      </c>
      <c r="D872" t="s">
        <v>67</v>
      </c>
      <c r="E872" t="s">
        <v>63</v>
      </c>
      <c r="F872" t="s">
        <v>72</v>
      </c>
      <c r="G872" s="4">
        <v>0</v>
      </c>
      <c r="H872" s="4" t="s">
        <v>82</v>
      </c>
      <c r="I872" s="4" t="s">
        <v>69</v>
      </c>
      <c r="J872" s="4" t="s">
        <v>66</v>
      </c>
      <c r="K872" s="4">
        <v>0</v>
      </c>
      <c r="L872" s="94">
        <v>-3235</v>
      </c>
      <c r="M872" s="94">
        <v>0</v>
      </c>
    </row>
    <row r="873" spans="3:13" x14ac:dyDescent="0.3">
      <c r="C873" t="s">
        <v>70</v>
      </c>
      <c r="D873" t="s">
        <v>67</v>
      </c>
      <c r="E873" t="s">
        <v>68</v>
      </c>
      <c r="F873" t="s">
        <v>25</v>
      </c>
      <c r="G873" s="4">
        <v>10</v>
      </c>
      <c r="H873" s="4" t="s">
        <v>14</v>
      </c>
      <c r="I873" s="4" t="s">
        <v>69</v>
      </c>
      <c r="J873" s="4" t="s">
        <v>66</v>
      </c>
      <c r="K873" s="4">
        <v>0</v>
      </c>
      <c r="L873" s="94">
        <v>188245</v>
      </c>
      <c r="M873" s="94">
        <v>1882450</v>
      </c>
    </row>
    <row r="874" spans="3:13" x14ac:dyDescent="0.3">
      <c r="C874" t="s">
        <v>61</v>
      </c>
      <c r="D874" t="s">
        <v>67</v>
      </c>
      <c r="E874" t="s">
        <v>68</v>
      </c>
      <c r="F874" t="s">
        <v>25</v>
      </c>
      <c r="G874" s="4">
        <v>10</v>
      </c>
      <c r="H874" s="4" t="s">
        <v>18</v>
      </c>
      <c r="I874" s="4" t="s">
        <v>69</v>
      </c>
      <c r="J874" s="4" t="s">
        <v>66</v>
      </c>
      <c r="K874" s="4">
        <v>1</v>
      </c>
      <c r="L874" s="94">
        <v>686864</v>
      </c>
      <c r="M874" s="94">
        <v>6868640</v>
      </c>
    </row>
    <row r="875" spans="3:13" x14ac:dyDescent="0.3">
      <c r="C875" t="s">
        <v>71</v>
      </c>
      <c r="D875" t="s">
        <v>67</v>
      </c>
      <c r="E875" t="s">
        <v>68</v>
      </c>
      <c r="F875" t="s">
        <v>25</v>
      </c>
      <c r="G875" s="4">
        <v>9</v>
      </c>
      <c r="H875" s="4" t="s">
        <v>82</v>
      </c>
      <c r="I875" s="4" t="s">
        <v>69</v>
      </c>
      <c r="J875" s="4" t="s">
        <v>66</v>
      </c>
      <c r="K875" s="4">
        <v>0</v>
      </c>
      <c r="L875" s="94">
        <v>265577</v>
      </c>
      <c r="M875" s="94">
        <v>2390193</v>
      </c>
    </row>
    <row r="876" spans="3:13" x14ac:dyDescent="0.3">
      <c r="C876" t="s">
        <v>71</v>
      </c>
      <c r="D876" t="s">
        <v>67</v>
      </c>
      <c r="E876" t="s">
        <v>68</v>
      </c>
      <c r="F876" t="s">
        <v>26</v>
      </c>
      <c r="G876" s="4">
        <v>7</v>
      </c>
      <c r="H876" s="4" t="s">
        <v>18</v>
      </c>
      <c r="I876" s="4" t="s">
        <v>69</v>
      </c>
      <c r="J876" s="4" t="s">
        <v>73</v>
      </c>
      <c r="K876" s="4">
        <v>1</v>
      </c>
      <c r="L876" s="94">
        <v>58004</v>
      </c>
      <c r="M876" s="94">
        <v>406028</v>
      </c>
    </row>
    <row r="877" spans="3:13" x14ac:dyDescent="0.3">
      <c r="C877" t="s">
        <v>70</v>
      </c>
      <c r="D877" t="s">
        <v>67</v>
      </c>
      <c r="E877" t="s">
        <v>63</v>
      </c>
      <c r="F877" t="s">
        <v>26</v>
      </c>
      <c r="G877" s="4">
        <v>7</v>
      </c>
      <c r="H877" s="4" t="s">
        <v>17</v>
      </c>
      <c r="I877" s="4" t="s">
        <v>69</v>
      </c>
      <c r="J877" s="4" t="s">
        <v>66</v>
      </c>
      <c r="K877" s="4">
        <v>0</v>
      </c>
      <c r="L877" s="94">
        <v>-3177</v>
      </c>
      <c r="M877" s="94">
        <v>0</v>
      </c>
    </row>
    <row r="878" spans="3:13" x14ac:dyDescent="0.3">
      <c r="C878" t="s">
        <v>61</v>
      </c>
      <c r="D878" t="s">
        <v>62</v>
      </c>
      <c r="E878" t="s">
        <v>68</v>
      </c>
      <c r="F878" t="s">
        <v>24</v>
      </c>
      <c r="G878" s="4">
        <v>1</v>
      </c>
      <c r="I878" s="4" t="s">
        <v>65</v>
      </c>
      <c r="J878" s="4" t="s">
        <v>66</v>
      </c>
      <c r="K878" s="4">
        <v>1</v>
      </c>
      <c r="L878" s="94">
        <v>146560</v>
      </c>
      <c r="M878" s="94">
        <v>146560</v>
      </c>
    </row>
    <row r="879" spans="3:13" x14ac:dyDescent="0.3">
      <c r="C879" t="s">
        <v>71</v>
      </c>
      <c r="D879" t="s">
        <v>67</v>
      </c>
      <c r="E879" t="s">
        <v>63</v>
      </c>
      <c r="F879" t="s">
        <v>26</v>
      </c>
      <c r="G879" s="4">
        <v>3</v>
      </c>
      <c r="H879" s="4" t="s">
        <v>82</v>
      </c>
      <c r="I879" s="4" t="s">
        <v>69</v>
      </c>
      <c r="J879" s="4" t="s">
        <v>66</v>
      </c>
      <c r="K879" s="4">
        <v>0</v>
      </c>
      <c r="L879" s="94">
        <v>-799077</v>
      </c>
      <c r="M879" s="94">
        <v>0</v>
      </c>
    </row>
    <row r="880" spans="3:13" x14ac:dyDescent="0.3">
      <c r="C880" t="s">
        <v>70</v>
      </c>
      <c r="D880" t="s">
        <v>62</v>
      </c>
      <c r="E880" t="s">
        <v>63</v>
      </c>
      <c r="F880" t="s">
        <v>24</v>
      </c>
      <c r="G880" s="4">
        <v>41</v>
      </c>
      <c r="I880" s="4" t="s">
        <v>65</v>
      </c>
      <c r="J880" s="4" t="s">
        <v>66</v>
      </c>
      <c r="K880" s="4">
        <v>1</v>
      </c>
      <c r="L880" s="94">
        <v>-7110</v>
      </c>
      <c r="M880" s="94">
        <v>0</v>
      </c>
    </row>
    <row r="881" spans="3:13" x14ac:dyDescent="0.3">
      <c r="C881" t="s">
        <v>71</v>
      </c>
      <c r="D881" t="s">
        <v>62</v>
      </c>
      <c r="E881" t="s">
        <v>68</v>
      </c>
      <c r="F881" t="s">
        <v>24</v>
      </c>
      <c r="G881" s="4">
        <v>19</v>
      </c>
      <c r="I881" s="4" t="s">
        <v>69</v>
      </c>
      <c r="J881" s="4" t="s">
        <v>66</v>
      </c>
      <c r="K881" s="4">
        <v>0</v>
      </c>
      <c r="L881" s="94">
        <v>7524244</v>
      </c>
      <c r="M881" s="94">
        <v>142960636</v>
      </c>
    </row>
    <row r="882" spans="3:13" x14ac:dyDescent="0.3">
      <c r="C882" t="s">
        <v>70</v>
      </c>
      <c r="D882" t="s">
        <v>62</v>
      </c>
      <c r="E882" t="s">
        <v>68</v>
      </c>
      <c r="F882" t="s">
        <v>24</v>
      </c>
      <c r="G882" s="4">
        <v>1</v>
      </c>
      <c r="I882" s="4" t="s">
        <v>69</v>
      </c>
      <c r="J882" s="4" t="s">
        <v>66</v>
      </c>
      <c r="K882" s="4">
        <v>0</v>
      </c>
      <c r="L882" s="94">
        <v>1132804</v>
      </c>
      <c r="M882" s="94">
        <v>1132804</v>
      </c>
    </row>
    <row r="883" spans="3:13" x14ac:dyDescent="0.3">
      <c r="C883" t="s">
        <v>70</v>
      </c>
      <c r="D883" t="s">
        <v>67</v>
      </c>
      <c r="E883" t="s">
        <v>63</v>
      </c>
      <c r="F883" t="s">
        <v>72</v>
      </c>
      <c r="G883" s="4">
        <v>-4</v>
      </c>
      <c r="H883" s="4" t="s">
        <v>75</v>
      </c>
      <c r="I883" s="4" t="s">
        <v>69</v>
      </c>
      <c r="J883" s="4" t="s">
        <v>66</v>
      </c>
      <c r="K883" s="4">
        <v>0</v>
      </c>
      <c r="L883" s="94">
        <v>-359</v>
      </c>
      <c r="M883" s="94">
        <v>0</v>
      </c>
    </row>
    <row r="884" spans="3:13" x14ac:dyDescent="0.3">
      <c r="C884" t="s">
        <v>70</v>
      </c>
      <c r="D884" t="s">
        <v>67</v>
      </c>
      <c r="E884" t="s">
        <v>68</v>
      </c>
      <c r="F884" t="s">
        <v>26</v>
      </c>
      <c r="G884" s="4">
        <v>5</v>
      </c>
      <c r="H884" s="4" t="s">
        <v>12</v>
      </c>
      <c r="I884" s="4" t="s">
        <v>65</v>
      </c>
      <c r="J884" s="4" t="s">
        <v>73</v>
      </c>
      <c r="K884" s="4">
        <v>1</v>
      </c>
      <c r="L884" s="94">
        <v>217167</v>
      </c>
      <c r="M884" s="94">
        <v>1085835</v>
      </c>
    </row>
    <row r="885" spans="3:13" x14ac:dyDescent="0.3">
      <c r="C885" t="s">
        <v>70</v>
      </c>
      <c r="D885" t="s">
        <v>67</v>
      </c>
      <c r="E885" t="s">
        <v>68</v>
      </c>
      <c r="F885" t="s">
        <v>26</v>
      </c>
      <c r="G885" s="4">
        <v>0</v>
      </c>
      <c r="H885" s="4" t="s">
        <v>80</v>
      </c>
      <c r="I885" s="4" t="s">
        <v>69</v>
      </c>
      <c r="J885" s="4" t="s">
        <v>66</v>
      </c>
      <c r="K885" s="4">
        <v>0</v>
      </c>
      <c r="L885" s="94">
        <v>61685</v>
      </c>
      <c r="M885" s="94">
        <v>0</v>
      </c>
    </row>
    <row r="886" spans="3:13" x14ac:dyDescent="0.3">
      <c r="C886" t="s">
        <v>70</v>
      </c>
      <c r="D886" t="s">
        <v>67</v>
      </c>
      <c r="E886" t="s">
        <v>68</v>
      </c>
      <c r="F886" t="s">
        <v>25</v>
      </c>
      <c r="G886" s="4">
        <v>13</v>
      </c>
      <c r="H886" s="4" t="s">
        <v>76</v>
      </c>
      <c r="I886" s="4" t="s">
        <v>69</v>
      </c>
      <c r="J886" s="4" t="s">
        <v>66</v>
      </c>
      <c r="K886" s="4">
        <v>0</v>
      </c>
      <c r="L886" s="94">
        <v>1494591</v>
      </c>
      <c r="M886" s="94">
        <v>19429683</v>
      </c>
    </row>
    <row r="887" spans="3:13" x14ac:dyDescent="0.3">
      <c r="C887" t="s">
        <v>70</v>
      </c>
      <c r="D887" t="s">
        <v>67</v>
      </c>
      <c r="E887" t="s">
        <v>63</v>
      </c>
      <c r="F887" t="s">
        <v>25</v>
      </c>
      <c r="G887" s="4">
        <v>9</v>
      </c>
      <c r="H887" s="4" t="s">
        <v>17</v>
      </c>
      <c r="I887" s="4" t="s">
        <v>69</v>
      </c>
      <c r="J887" s="4" t="s">
        <v>66</v>
      </c>
      <c r="K887" s="4">
        <v>0</v>
      </c>
      <c r="L887" s="94">
        <v>-141671</v>
      </c>
      <c r="M887" s="94">
        <v>0</v>
      </c>
    </row>
    <row r="888" spans="3:13" x14ac:dyDescent="0.3">
      <c r="C888" t="s">
        <v>70</v>
      </c>
      <c r="D888" t="s">
        <v>67</v>
      </c>
      <c r="E888" t="s">
        <v>63</v>
      </c>
      <c r="F888" t="s">
        <v>26</v>
      </c>
      <c r="G888" s="4">
        <v>2</v>
      </c>
      <c r="H888" s="4" t="s">
        <v>79</v>
      </c>
      <c r="I888" s="4" t="s">
        <v>69</v>
      </c>
      <c r="J888" s="4" t="s">
        <v>66</v>
      </c>
      <c r="K888" s="4">
        <v>0</v>
      </c>
      <c r="L888" s="94">
        <v>-164123</v>
      </c>
      <c r="M888" s="94">
        <v>0</v>
      </c>
    </row>
    <row r="889" spans="3:13" x14ac:dyDescent="0.3">
      <c r="C889" t="s">
        <v>61</v>
      </c>
      <c r="D889" t="s">
        <v>67</v>
      </c>
      <c r="E889" t="s">
        <v>63</v>
      </c>
      <c r="F889" t="s">
        <v>25</v>
      </c>
      <c r="G889" s="4">
        <v>6</v>
      </c>
      <c r="H889" s="4" t="s">
        <v>74</v>
      </c>
      <c r="I889" s="4" t="s">
        <v>69</v>
      </c>
      <c r="J889" s="4" t="s">
        <v>66</v>
      </c>
      <c r="K889" s="4">
        <v>0</v>
      </c>
      <c r="L889" s="94">
        <v>-4898</v>
      </c>
      <c r="M889" s="94">
        <v>0</v>
      </c>
    </row>
    <row r="890" spans="3:13" x14ac:dyDescent="0.3">
      <c r="C890" t="s">
        <v>61</v>
      </c>
      <c r="D890" t="s">
        <v>62</v>
      </c>
      <c r="E890" t="s">
        <v>63</v>
      </c>
      <c r="F890" t="s">
        <v>24</v>
      </c>
      <c r="G890" s="4">
        <v>41</v>
      </c>
      <c r="I890" s="4" t="s">
        <v>69</v>
      </c>
      <c r="J890" s="4" t="s">
        <v>66</v>
      </c>
      <c r="K890" s="4">
        <v>1</v>
      </c>
      <c r="L890" s="94">
        <v>-487</v>
      </c>
      <c r="M890" s="94">
        <v>0</v>
      </c>
    </row>
    <row r="891" spans="3:13" x14ac:dyDescent="0.3">
      <c r="C891" t="s">
        <v>70</v>
      </c>
      <c r="D891" t="s">
        <v>67</v>
      </c>
      <c r="E891" t="s">
        <v>68</v>
      </c>
      <c r="F891" t="s">
        <v>26</v>
      </c>
      <c r="G891" s="4">
        <v>-1</v>
      </c>
      <c r="H891" s="4" t="s">
        <v>82</v>
      </c>
      <c r="I891" s="4" t="s">
        <v>65</v>
      </c>
      <c r="J891" s="4" t="s">
        <v>66</v>
      </c>
      <c r="K891" s="4">
        <v>1</v>
      </c>
      <c r="L891" s="94">
        <v>165637</v>
      </c>
      <c r="M891" s="94">
        <v>0</v>
      </c>
    </row>
    <row r="892" spans="3:13" x14ac:dyDescent="0.3">
      <c r="C892" t="s">
        <v>71</v>
      </c>
      <c r="D892" t="s">
        <v>67</v>
      </c>
      <c r="E892" t="s">
        <v>63</v>
      </c>
      <c r="F892" t="s">
        <v>25</v>
      </c>
      <c r="G892" s="4">
        <v>1</v>
      </c>
      <c r="H892" s="4" t="s">
        <v>18</v>
      </c>
      <c r="I892" s="4" t="s">
        <v>69</v>
      </c>
      <c r="J892" s="4" t="s">
        <v>66</v>
      </c>
      <c r="K892" s="4">
        <v>0</v>
      </c>
      <c r="L892" s="94">
        <v>-22934</v>
      </c>
      <c r="M892" s="94">
        <v>0</v>
      </c>
    </row>
    <row r="893" spans="3:13" x14ac:dyDescent="0.3">
      <c r="C893" t="s">
        <v>61</v>
      </c>
      <c r="D893" t="s">
        <v>62</v>
      </c>
      <c r="E893" t="s">
        <v>63</v>
      </c>
      <c r="F893" t="s">
        <v>25</v>
      </c>
      <c r="G893" s="4">
        <v>3</v>
      </c>
      <c r="I893" s="4" t="s">
        <v>69</v>
      </c>
      <c r="J893" s="4" t="s">
        <v>66</v>
      </c>
      <c r="K893" s="4">
        <v>0</v>
      </c>
      <c r="L893" s="94">
        <v>-6826</v>
      </c>
      <c r="M893" s="94">
        <v>0</v>
      </c>
    </row>
    <row r="894" spans="3:13" x14ac:dyDescent="0.3">
      <c r="C894" t="s">
        <v>61</v>
      </c>
      <c r="D894" t="s">
        <v>67</v>
      </c>
      <c r="E894" t="s">
        <v>63</v>
      </c>
      <c r="F894" t="s">
        <v>72</v>
      </c>
      <c r="G894" s="4">
        <v>17</v>
      </c>
      <c r="H894" s="4" t="s">
        <v>80</v>
      </c>
      <c r="I894" s="4" t="s">
        <v>69</v>
      </c>
      <c r="J894" s="4" t="s">
        <v>66</v>
      </c>
      <c r="K894" s="4">
        <v>0</v>
      </c>
      <c r="L894" s="94">
        <v>-1464</v>
      </c>
      <c r="M894" s="94">
        <v>0</v>
      </c>
    </row>
    <row r="895" spans="3:13" x14ac:dyDescent="0.3">
      <c r="C895" t="s">
        <v>71</v>
      </c>
      <c r="D895" t="s">
        <v>67</v>
      </c>
      <c r="E895" t="s">
        <v>63</v>
      </c>
      <c r="F895" t="s">
        <v>26</v>
      </c>
      <c r="G895" s="4">
        <v>-1</v>
      </c>
      <c r="H895" s="4" t="s">
        <v>82</v>
      </c>
      <c r="I895" s="4" t="s">
        <v>69</v>
      </c>
      <c r="J895" s="4" t="s">
        <v>66</v>
      </c>
      <c r="K895" s="4">
        <v>0</v>
      </c>
      <c r="L895" s="94">
        <v>-1776787</v>
      </c>
      <c r="M895" s="94">
        <v>0</v>
      </c>
    </row>
    <row r="896" spans="3:13" x14ac:dyDescent="0.3">
      <c r="C896" t="s">
        <v>61</v>
      </c>
      <c r="D896" t="s">
        <v>67</v>
      </c>
      <c r="E896" t="s">
        <v>68</v>
      </c>
      <c r="F896" t="s">
        <v>72</v>
      </c>
      <c r="G896" s="4">
        <v>5</v>
      </c>
      <c r="H896" s="4" t="s">
        <v>12</v>
      </c>
      <c r="I896" s="4" t="s">
        <v>69</v>
      </c>
      <c r="J896" s="4" t="s">
        <v>66</v>
      </c>
      <c r="K896" s="4">
        <v>0</v>
      </c>
      <c r="L896" s="94">
        <v>240741</v>
      </c>
      <c r="M896" s="94">
        <v>1203705</v>
      </c>
    </row>
    <row r="897" spans="3:13" x14ac:dyDescent="0.3">
      <c r="C897" t="s">
        <v>71</v>
      </c>
      <c r="D897" t="s">
        <v>67</v>
      </c>
      <c r="E897" t="s">
        <v>63</v>
      </c>
      <c r="F897" t="s">
        <v>26</v>
      </c>
      <c r="G897" s="4">
        <v>7</v>
      </c>
      <c r="H897" s="4" t="s">
        <v>18</v>
      </c>
      <c r="I897" s="4" t="s">
        <v>69</v>
      </c>
      <c r="J897" s="4" t="s">
        <v>66</v>
      </c>
      <c r="K897" s="4">
        <v>0</v>
      </c>
      <c r="L897" s="94">
        <v>-685971</v>
      </c>
      <c r="M897" s="94">
        <v>0</v>
      </c>
    </row>
    <row r="898" spans="3:13" x14ac:dyDescent="0.3">
      <c r="C898" t="s">
        <v>61</v>
      </c>
      <c r="D898" t="s">
        <v>62</v>
      </c>
      <c r="E898" t="s">
        <v>68</v>
      </c>
      <c r="F898" t="s">
        <v>25</v>
      </c>
      <c r="G898" s="4">
        <v>21</v>
      </c>
      <c r="I898" s="4" t="s">
        <v>69</v>
      </c>
      <c r="J898" s="4" t="s">
        <v>66</v>
      </c>
      <c r="K898" s="4">
        <v>0</v>
      </c>
      <c r="L898" s="94">
        <v>867627</v>
      </c>
      <c r="M898" s="94">
        <v>18220167</v>
      </c>
    </row>
    <row r="899" spans="3:13" x14ac:dyDescent="0.3">
      <c r="C899" t="s">
        <v>70</v>
      </c>
      <c r="D899" t="s">
        <v>67</v>
      </c>
      <c r="E899" t="s">
        <v>68</v>
      </c>
      <c r="F899" t="s">
        <v>26</v>
      </c>
      <c r="G899" s="4">
        <v>5</v>
      </c>
      <c r="H899" s="4" t="s">
        <v>14</v>
      </c>
      <c r="I899" s="4" t="s">
        <v>69</v>
      </c>
      <c r="J899" s="4" t="s">
        <v>73</v>
      </c>
      <c r="K899" s="4">
        <v>1</v>
      </c>
      <c r="L899" s="94">
        <v>5464918</v>
      </c>
      <c r="M899" s="94">
        <v>27324590</v>
      </c>
    </row>
    <row r="900" spans="3:13" x14ac:dyDescent="0.3">
      <c r="C900" t="s">
        <v>61</v>
      </c>
      <c r="D900" t="s">
        <v>67</v>
      </c>
      <c r="E900" t="s">
        <v>63</v>
      </c>
      <c r="F900" t="s">
        <v>72</v>
      </c>
      <c r="G900" s="4">
        <v>1</v>
      </c>
      <c r="H900" s="4" t="s">
        <v>18</v>
      </c>
      <c r="I900" s="4" t="s">
        <v>69</v>
      </c>
      <c r="J900" s="4" t="s">
        <v>66</v>
      </c>
      <c r="K900" s="4">
        <v>0</v>
      </c>
      <c r="L900" s="94">
        <v>-9808</v>
      </c>
      <c r="M900" s="94">
        <v>0</v>
      </c>
    </row>
    <row r="901" spans="3:13" x14ac:dyDescent="0.3">
      <c r="C901" t="s">
        <v>61</v>
      </c>
      <c r="D901" t="s">
        <v>67</v>
      </c>
      <c r="E901" t="s">
        <v>68</v>
      </c>
      <c r="F901" t="s">
        <v>25</v>
      </c>
      <c r="G901" s="4">
        <v>12</v>
      </c>
      <c r="H901" s="4" t="s">
        <v>12</v>
      </c>
      <c r="I901" s="4" t="s">
        <v>69</v>
      </c>
      <c r="J901" s="4" t="s">
        <v>66</v>
      </c>
      <c r="K901" s="4">
        <v>1</v>
      </c>
      <c r="L901" s="94">
        <v>15724347</v>
      </c>
      <c r="M901" s="94">
        <v>188692164</v>
      </c>
    </row>
    <row r="902" spans="3:13" x14ac:dyDescent="0.3">
      <c r="C902" t="s">
        <v>61</v>
      </c>
      <c r="D902" t="s">
        <v>67</v>
      </c>
      <c r="E902" t="s">
        <v>63</v>
      </c>
      <c r="F902" t="s">
        <v>72</v>
      </c>
      <c r="G902" s="4">
        <v>0</v>
      </c>
      <c r="H902" s="4" t="s">
        <v>12</v>
      </c>
      <c r="I902" s="4" t="s">
        <v>69</v>
      </c>
      <c r="J902" s="4" t="s">
        <v>73</v>
      </c>
      <c r="K902" s="4">
        <v>1</v>
      </c>
      <c r="L902" s="94">
        <v>-122</v>
      </c>
      <c r="M902" s="94">
        <v>0</v>
      </c>
    </row>
    <row r="903" spans="3:13" x14ac:dyDescent="0.3">
      <c r="C903" t="s">
        <v>71</v>
      </c>
      <c r="D903" t="s">
        <v>67</v>
      </c>
      <c r="E903" t="s">
        <v>63</v>
      </c>
      <c r="F903" t="s">
        <v>25</v>
      </c>
      <c r="G903" s="4">
        <v>11</v>
      </c>
      <c r="H903" s="4" t="s">
        <v>75</v>
      </c>
      <c r="I903" s="4" t="s">
        <v>69</v>
      </c>
      <c r="J903" s="4" t="s">
        <v>66</v>
      </c>
      <c r="K903" s="4">
        <v>0</v>
      </c>
      <c r="L903" s="94">
        <v>-1402509</v>
      </c>
      <c r="M903" s="94">
        <v>0</v>
      </c>
    </row>
    <row r="904" spans="3:13" x14ac:dyDescent="0.3">
      <c r="C904" t="s">
        <v>61</v>
      </c>
      <c r="D904" t="s">
        <v>67</v>
      </c>
      <c r="E904" t="s">
        <v>63</v>
      </c>
      <c r="F904" t="s">
        <v>25</v>
      </c>
      <c r="G904" s="4">
        <v>5</v>
      </c>
      <c r="H904" s="4" t="s">
        <v>18</v>
      </c>
      <c r="I904" s="4" t="s">
        <v>69</v>
      </c>
      <c r="J904" s="4" t="s">
        <v>66</v>
      </c>
      <c r="K904" s="4">
        <v>1</v>
      </c>
      <c r="L904" s="94">
        <v>-496</v>
      </c>
      <c r="M904" s="94">
        <v>0</v>
      </c>
    </row>
    <row r="905" spans="3:13" x14ac:dyDescent="0.3">
      <c r="C905" t="s">
        <v>71</v>
      </c>
      <c r="D905" t="s">
        <v>67</v>
      </c>
      <c r="E905" t="s">
        <v>63</v>
      </c>
      <c r="F905" t="s">
        <v>25</v>
      </c>
      <c r="G905" s="4">
        <v>6</v>
      </c>
      <c r="H905" s="4" t="s">
        <v>76</v>
      </c>
      <c r="I905" s="4" t="s">
        <v>69</v>
      </c>
      <c r="J905" s="4" t="s">
        <v>66</v>
      </c>
      <c r="K905" s="4">
        <v>0</v>
      </c>
      <c r="L905" s="94">
        <v>-1095506</v>
      </c>
      <c r="M905" s="94">
        <v>0</v>
      </c>
    </row>
    <row r="906" spans="3:13" x14ac:dyDescent="0.3">
      <c r="C906" t="s">
        <v>70</v>
      </c>
      <c r="D906" t="s">
        <v>67</v>
      </c>
      <c r="E906" t="s">
        <v>63</v>
      </c>
      <c r="F906" t="s">
        <v>25</v>
      </c>
      <c r="G906" s="4">
        <v>5</v>
      </c>
      <c r="H906" s="4" t="s">
        <v>17</v>
      </c>
      <c r="I906" s="4" t="s">
        <v>69</v>
      </c>
      <c r="J906" s="4" t="s">
        <v>66</v>
      </c>
      <c r="K906" s="4">
        <v>1</v>
      </c>
      <c r="L906" s="94">
        <v>-3819</v>
      </c>
      <c r="M906" s="94">
        <v>0</v>
      </c>
    </row>
    <row r="907" spans="3:13" x14ac:dyDescent="0.3">
      <c r="C907" t="s">
        <v>70</v>
      </c>
      <c r="D907" t="s">
        <v>67</v>
      </c>
      <c r="E907" t="s">
        <v>68</v>
      </c>
      <c r="F907" t="s">
        <v>25</v>
      </c>
      <c r="G907" s="4">
        <v>4</v>
      </c>
      <c r="H907" s="4" t="s">
        <v>17</v>
      </c>
      <c r="I907" s="4" t="s">
        <v>69</v>
      </c>
      <c r="J907" s="4" t="s">
        <v>66</v>
      </c>
      <c r="K907" s="4">
        <v>0</v>
      </c>
      <c r="L907" s="94">
        <v>225565</v>
      </c>
      <c r="M907" s="94">
        <v>902260</v>
      </c>
    </row>
    <row r="908" spans="3:13" x14ac:dyDescent="0.3">
      <c r="C908" t="s">
        <v>61</v>
      </c>
      <c r="D908" t="s">
        <v>67</v>
      </c>
      <c r="E908" t="s">
        <v>68</v>
      </c>
      <c r="F908" t="s">
        <v>26</v>
      </c>
      <c r="G908" s="4">
        <v>2</v>
      </c>
      <c r="H908" s="4" t="s">
        <v>12</v>
      </c>
      <c r="I908" s="4" t="s">
        <v>65</v>
      </c>
      <c r="J908" s="4" t="s">
        <v>73</v>
      </c>
      <c r="K908" s="4">
        <v>1</v>
      </c>
      <c r="L908" s="94">
        <v>280364</v>
      </c>
      <c r="M908" s="94">
        <v>560728</v>
      </c>
    </row>
    <row r="909" spans="3:13" x14ac:dyDescent="0.3">
      <c r="C909" t="s">
        <v>61</v>
      </c>
      <c r="D909" t="s">
        <v>67</v>
      </c>
      <c r="E909" t="s">
        <v>68</v>
      </c>
      <c r="F909" t="s">
        <v>72</v>
      </c>
      <c r="G909" s="4">
        <v>6</v>
      </c>
      <c r="H909" s="4" t="s">
        <v>76</v>
      </c>
      <c r="I909" s="4" t="s">
        <v>69</v>
      </c>
      <c r="J909" s="4" t="s">
        <v>66</v>
      </c>
      <c r="K909" s="4">
        <v>0</v>
      </c>
      <c r="L909" s="94">
        <v>605689</v>
      </c>
      <c r="M909" s="94">
        <v>3634134</v>
      </c>
    </row>
    <row r="910" spans="3:13" x14ac:dyDescent="0.3">
      <c r="C910" t="s">
        <v>70</v>
      </c>
      <c r="D910" t="s">
        <v>67</v>
      </c>
      <c r="E910" t="s">
        <v>68</v>
      </c>
      <c r="F910" t="s">
        <v>25</v>
      </c>
      <c r="G910" s="4">
        <v>-4</v>
      </c>
      <c r="H910" s="4" t="s">
        <v>18</v>
      </c>
      <c r="I910" s="4" t="s">
        <v>69</v>
      </c>
      <c r="J910" s="4" t="s">
        <v>66</v>
      </c>
      <c r="K910" s="4">
        <v>0</v>
      </c>
      <c r="L910" s="94">
        <v>4147</v>
      </c>
      <c r="M910" s="94">
        <v>0</v>
      </c>
    </row>
    <row r="911" spans="3:13" x14ac:dyDescent="0.3">
      <c r="C911" t="s">
        <v>61</v>
      </c>
      <c r="D911" t="s">
        <v>67</v>
      </c>
      <c r="E911" t="s">
        <v>63</v>
      </c>
      <c r="F911" t="s">
        <v>25</v>
      </c>
      <c r="G911" s="4">
        <v>-1</v>
      </c>
      <c r="H911" s="4" t="s">
        <v>79</v>
      </c>
      <c r="I911" s="4" t="s">
        <v>69</v>
      </c>
      <c r="J911" s="4" t="s">
        <v>66</v>
      </c>
      <c r="K911" s="4">
        <v>0</v>
      </c>
      <c r="L911" s="94">
        <v>-1230</v>
      </c>
      <c r="M911" s="94">
        <v>0</v>
      </c>
    </row>
    <row r="912" spans="3:13" x14ac:dyDescent="0.3">
      <c r="C912" t="s">
        <v>70</v>
      </c>
      <c r="D912" t="s">
        <v>67</v>
      </c>
      <c r="E912" t="s">
        <v>63</v>
      </c>
      <c r="F912" t="s">
        <v>72</v>
      </c>
      <c r="G912" s="4">
        <v>1</v>
      </c>
      <c r="H912" s="4" t="s">
        <v>18</v>
      </c>
      <c r="I912" s="4" t="s">
        <v>69</v>
      </c>
      <c r="J912" s="4" t="s">
        <v>66</v>
      </c>
      <c r="K912" s="4">
        <v>0</v>
      </c>
      <c r="L912" s="94">
        <v>-39539</v>
      </c>
      <c r="M912" s="94">
        <v>0</v>
      </c>
    </row>
    <row r="913" spans="3:13" x14ac:dyDescent="0.3">
      <c r="C913" t="s">
        <v>71</v>
      </c>
      <c r="D913" t="s">
        <v>84</v>
      </c>
      <c r="E913" t="s">
        <v>68</v>
      </c>
      <c r="F913" t="s">
        <v>25</v>
      </c>
      <c r="G913" s="4">
        <v>-4</v>
      </c>
      <c r="H913" s="4" t="s">
        <v>81</v>
      </c>
      <c r="I913" s="4" t="s">
        <v>69</v>
      </c>
      <c r="J913" s="4" t="s">
        <v>66</v>
      </c>
      <c r="K913" s="4">
        <v>0</v>
      </c>
      <c r="L913" s="94">
        <v>780733</v>
      </c>
      <c r="M913" s="94">
        <v>0</v>
      </c>
    </row>
    <row r="914" spans="3:13" x14ac:dyDescent="0.3">
      <c r="C914" t="s">
        <v>70</v>
      </c>
      <c r="D914" t="s">
        <v>67</v>
      </c>
      <c r="E914" t="s">
        <v>63</v>
      </c>
      <c r="F914" t="s">
        <v>26</v>
      </c>
      <c r="G914" s="4">
        <v>2</v>
      </c>
      <c r="H914" s="4" t="s">
        <v>17</v>
      </c>
      <c r="I914" s="4" t="s">
        <v>69</v>
      </c>
      <c r="J914" s="4" t="s">
        <v>73</v>
      </c>
      <c r="K914" s="4">
        <v>1</v>
      </c>
      <c r="L914" s="94">
        <v>-36951</v>
      </c>
      <c r="M914" s="94">
        <v>0</v>
      </c>
    </row>
    <row r="915" spans="3:13" x14ac:dyDescent="0.3">
      <c r="C915" t="s">
        <v>61</v>
      </c>
      <c r="D915" t="s">
        <v>67</v>
      </c>
      <c r="E915" t="s">
        <v>63</v>
      </c>
      <c r="F915" t="s">
        <v>26</v>
      </c>
      <c r="G915" s="4">
        <v>2</v>
      </c>
      <c r="H915" s="4" t="s">
        <v>83</v>
      </c>
      <c r="I915" s="4" t="s">
        <v>69</v>
      </c>
      <c r="J915" s="4" t="s">
        <v>66</v>
      </c>
      <c r="K915" s="4">
        <v>0</v>
      </c>
      <c r="L915" s="94">
        <v>-16276</v>
      </c>
      <c r="M915" s="94">
        <v>0</v>
      </c>
    </row>
    <row r="916" spans="3:13" x14ac:dyDescent="0.3">
      <c r="C916" t="s">
        <v>70</v>
      </c>
      <c r="D916" t="s">
        <v>67</v>
      </c>
      <c r="E916" t="s">
        <v>63</v>
      </c>
      <c r="F916" t="s">
        <v>72</v>
      </c>
      <c r="G916" s="4">
        <v>0</v>
      </c>
      <c r="H916" s="4" t="s">
        <v>12</v>
      </c>
      <c r="I916" s="4" t="s">
        <v>69</v>
      </c>
      <c r="J916" s="4" t="s">
        <v>73</v>
      </c>
      <c r="K916" s="4">
        <v>1</v>
      </c>
      <c r="L916" s="94">
        <v>-658</v>
      </c>
      <c r="M916" s="94">
        <v>0</v>
      </c>
    </row>
    <row r="917" spans="3:13" x14ac:dyDescent="0.3">
      <c r="C917" t="s">
        <v>61</v>
      </c>
      <c r="D917" t="s">
        <v>67</v>
      </c>
      <c r="E917" t="s">
        <v>68</v>
      </c>
      <c r="F917" t="s">
        <v>25</v>
      </c>
      <c r="G917" s="4">
        <v>3</v>
      </c>
      <c r="H917" s="4" t="s">
        <v>16</v>
      </c>
      <c r="I917" s="4" t="s">
        <v>69</v>
      </c>
      <c r="J917" s="4" t="s">
        <v>66</v>
      </c>
      <c r="K917" s="4">
        <v>0</v>
      </c>
      <c r="L917" s="94">
        <v>32066</v>
      </c>
      <c r="M917" s="94">
        <v>96198</v>
      </c>
    </row>
    <row r="918" spans="3:13" x14ac:dyDescent="0.3">
      <c r="C918" t="s">
        <v>61</v>
      </c>
      <c r="D918" t="s">
        <v>67</v>
      </c>
      <c r="E918" t="s">
        <v>63</v>
      </c>
      <c r="F918" t="s">
        <v>25</v>
      </c>
      <c r="G918" s="4">
        <v>17</v>
      </c>
      <c r="H918" s="4" t="s">
        <v>74</v>
      </c>
      <c r="I918" s="4" t="s">
        <v>69</v>
      </c>
      <c r="J918" s="4" t="s">
        <v>66</v>
      </c>
      <c r="K918" s="4">
        <v>0</v>
      </c>
      <c r="L918" s="94">
        <v>-10757</v>
      </c>
      <c r="M918" s="94">
        <v>0</v>
      </c>
    </row>
    <row r="919" spans="3:13" x14ac:dyDescent="0.3">
      <c r="C919" t="s">
        <v>70</v>
      </c>
      <c r="D919" t="s">
        <v>67</v>
      </c>
      <c r="E919" t="s">
        <v>68</v>
      </c>
      <c r="F919" t="s">
        <v>25</v>
      </c>
      <c r="G919" s="4">
        <v>3</v>
      </c>
      <c r="H919" s="4" t="s">
        <v>12</v>
      </c>
      <c r="I919" s="4" t="s">
        <v>69</v>
      </c>
      <c r="J919" s="4" t="s">
        <v>66</v>
      </c>
      <c r="K919" s="4">
        <v>1</v>
      </c>
      <c r="L919" s="94">
        <v>41414</v>
      </c>
      <c r="M919" s="94">
        <v>124242</v>
      </c>
    </row>
    <row r="920" spans="3:13" x14ac:dyDescent="0.3">
      <c r="C920" t="s">
        <v>71</v>
      </c>
      <c r="D920" t="s">
        <v>67</v>
      </c>
      <c r="E920" t="s">
        <v>68</v>
      </c>
      <c r="F920" t="s">
        <v>26</v>
      </c>
      <c r="G920" s="4">
        <v>6</v>
      </c>
      <c r="H920" s="4" t="s">
        <v>79</v>
      </c>
      <c r="I920" s="4" t="s">
        <v>69</v>
      </c>
      <c r="J920" s="4" t="s">
        <v>66</v>
      </c>
      <c r="K920" s="4">
        <v>0</v>
      </c>
      <c r="L920" s="94">
        <v>49462</v>
      </c>
      <c r="M920" s="94">
        <v>296772</v>
      </c>
    </row>
    <row r="921" spans="3:13" x14ac:dyDescent="0.3">
      <c r="C921" t="s">
        <v>61</v>
      </c>
      <c r="D921" t="s">
        <v>67</v>
      </c>
      <c r="E921" t="s">
        <v>68</v>
      </c>
      <c r="F921" t="s">
        <v>25</v>
      </c>
      <c r="G921" s="4">
        <v>7</v>
      </c>
      <c r="H921" s="4" t="s">
        <v>12</v>
      </c>
      <c r="I921" s="4" t="s">
        <v>69</v>
      </c>
      <c r="J921" s="4" t="s">
        <v>66</v>
      </c>
      <c r="K921" s="4">
        <v>0</v>
      </c>
      <c r="L921" s="94">
        <v>153101</v>
      </c>
      <c r="M921" s="94">
        <v>1071707</v>
      </c>
    </row>
    <row r="922" spans="3:13" x14ac:dyDescent="0.3">
      <c r="C922" t="s">
        <v>70</v>
      </c>
      <c r="D922" t="s">
        <v>62</v>
      </c>
      <c r="E922" t="s">
        <v>63</v>
      </c>
      <c r="F922" t="s">
        <v>24</v>
      </c>
      <c r="G922" s="4">
        <v>35</v>
      </c>
      <c r="I922" s="4" t="s">
        <v>65</v>
      </c>
      <c r="J922" s="4" t="s">
        <v>66</v>
      </c>
      <c r="K922" s="4">
        <v>1</v>
      </c>
      <c r="L922" s="94">
        <v>-44935</v>
      </c>
      <c r="M922" s="94">
        <v>0</v>
      </c>
    </row>
    <row r="923" spans="3:13" x14ac:dyDescent="0.3">
      <c r="C923" t="s">
        <v>71</v>
      </c>
      <c r="D923" t="s">
        <v>67</v>
      </c>
      <c r="E923" t="s">
        <v>63</v>
      </c>
      <c r="F923" t="s">
        <v>72</v>
      </c>
      <c r="G923" s="4">
        <v>-4</v>
      </c>
      <c r="H923" s="4" t="s">
        <v>16</v>
      </c>
      <c r="I923" s="4" t="s">
        <v>69</v>
      </c>
      <c r="J923" s="4" t="s">
        <v>66</v>
      </c>
      <c r="K923" s="4">
        <v>0</v>
      </c>
      <c r="L923" s="94">
        <v>-6294</v>
      </c>
      <c r="M923" s="94">
        <v>0</v>
      </c>
    </row>
    <row r="924" spans="3:13" x14ac:dyDescent="0.3">
      <c r="C924" t="s">
        <v>61</v>
      </c>
      <c r="D924" t="s">
        <v>84</v>
      </c>
      <c r="E924" t="s">
        <v>63</v>
      </c>
      <c r="F924" t="s">
        <v>25</v>
      </c>
      <c r="G924" s="4">
        <v>7</v>
      </c>
      <c r="H924" s="4" t="s">
        <v>81</v>
      </c>
      <c r="I924" s="4" t="s">
        <v>69</v>
      </c>
      <c r="J924" s="4" t="s">
        <v>66</v>
      </c>
      <c r="K924" s="4">
        <v>0</v>
      </c>
      <c r="L924" s="94">
        <v>-10088</v>
      </c>
      <c r="M924" s="94">
        <v>0</v>
      </c>
    </row>
    <row r="925" spans="3:13" x14ac:dyDescent="0.3">
      <c r="C925" t="s">
        <v>61</v>
      </c>
      <c r="D925" t="s">
        <v>67</v>
      </c>
      <c r="E925" t="s">
        <v>68</v>
      </c>
      <c r="F925" t="s">
        <v>26</v>
      </c>
      <c r="G925" s="4">
        <v>9</v>
      </c>
      <c r="H925" s="4" t="s">
        <v>75</v>
      </c>
      <c r="I925" s="4" t="s">
        <v>69</v>
      </c>
      <c r="J925" s="4" t="s">
        <v>66</v>
      </c>
      <c r="K925" s="4">
        <v>0</v>
      </c>
      <c r="L925" s="94">
        <v>80259</v>
      </c>
      <c r="M925" s="94">
        <v>722331</v>
      </c>
    </row>
    <row r="926" spans="3:13" x14ac:dyDescent="0.3">
      <c r="C926" t="s">
        <v>61</v>
      </c>
      <c r="D926" t="s">
        <v>67</v>
      </c>
      <c r="E926" t="s">
        <v>63</v>
      </c>
      <c r="F926" t="s">
        <v>25</v>
      </c>
      <c r="G926" s="4">
        <v>10</v>
      </c>
      <c r="H926" s="4" t="s">
        <v>14</v>
      </c>
      <c r="I926" s="4" t="s">
        <v>69</v>
      </c>
      <c r="J926" s="4" t="s">
        <v>66</v>
      </c>
      <c r="K926" s="4">
        <v>1</v>
      </c>
      <c r="L926" s="94">
        <v>-8322</v>
      </c>
      <c r="M926" s="94">
        <v>0</v>
      </c>
    </row>
    <row r="927" spans="3:13" x14ac:dyDescent="0.3">
      <c r="C927" t="s">
        <v>70</v>
      </c>
      <c r="D927" t="s">
        <v>67</v>
      </c>
      <c r="E927" t="s">
        <v>63</v>
      </c>
      <c r="F927" t="s">
        <v>25</v>
      </c>
      <c r="G927" s="4">
        <v>-4</v>
      </c>
      <c r="H927" s="4" t="s">
        <v>80</v>
      </c>
      <c r="I927" s="4" t="s">
        <v>69</v>
      </c>
      <c r="J927" s="4" t="s">
        <v>66</v>
      </c>
      <c r="K927" s="4">
        <v>0</v>
      </c>
      <c r="L927" s="94">
        <v>-1</v>
      </c>
      <c r="M927" s="94">
        <v>0</v>
      </c>
    </row>
    <row r="928" spans="3:13" x14ac:dyDescent="0.3">
      <c r="C928" t="s">
        <v>61</v>
      </c>
      <c r="D928" t="s">
        <v>84</v>
      </c>
      <c r="E928" t="s">
        <v>68</v>
      </c>
      <c r="F928" t="s">
        <v>25</v>
      </c>
      <c r="G928" s="4">
        <v>4</v>
      </c>
      <c r="H928" s="4" t="s">
        <v>75</v>
      </c>
      <c r="I928" s="4" t="s">
        <v>69</v>
      </c>
      <c r="J928" s="4" t="s">
        <v>66</v>
      </c>
      <c r="K928" s="4">
        <v>0</v>
      </c>
      <c r="L928" s="94">
        <v>1283115</v>
      </c>
      <c r="M928" s="94">
        <v>5132460</v>
      </c>
    </row>
    <row r="929" spans="3:13" x14ac:dyDescent="0.3">
      <c r="C929" t="s">
        <v>70</v>
      </c>
      <c r="D929" t="s">
        <v>62</v>
      </c>
      <c r="E929" t="s">
        <v>68</v>
      </c>
      <c r="F929" t="s">
        <v>24</v>
      </c>
      <c r="G929" s="4">
        <v>13</v>
      </c>
      <c r="I929" s="4" t="s">
        <v>69</v>
      </c>
      <c r="J929" s="4" t="s">
        <v>66</v>
      </c>
      <c r="K929" s="4">
        <v>0</v>
      </c>
      <c r="L929" s="94">
        <v>20541064</v>
      </c>
      <c r="M929" s="94">
        <v>267033832</v>
      </c>
    </row>
    <row r="930" spans="3:13" x14ac:dyDescent="0.3">
      <c r="C930" t="s">
        <v>61</v>
      </c>
      <c r="D930" t="s">
        <v>67</v>
      </c>
      <c r="E930" t="s">
        <v>63</v>
      </c>
      <c r="F930" t="s">
        <v>72</v>
      </c>
      <c r="G930" s="4">
        <v>5</v>
      </c>
      <c r="H930" s="4" t="s">
        <v>14</v>
      </c>
      <c r="I930" s="4" t="s">
        <v>69</v>
      </c>
      <c r="J930" s="4" t="s">
        <v>73</v>
      </c>
      <c r="K930" s="4">
        <v>1</v>
      </c>
      <c r="L930" s="94">
        <v>-22599</v>
      </c>
      <c r="M930" s="94">
        <v>0</v>
      </c>
    </row>
    <row r="931" spans="3:13" x14ac:dyDescent="0.3">
      <c r="C931" t="s">
        <v>61</v>
      </c>
      <c r="D931" t="s">
        <v>67</v>
      </c>
      <c r="E931" t="s">
        <v>63</v>
      </c>
      <c r="F931" t="s">
        <v>25</v>
      </c>
      <c r="G931" s="4">
        <v>6</v>
      </c>
      <c r="H931" s="4" t="s">
        <v>18</v>
      </c>
      <c r="I931" s="4" t="s">
        <v>65</v>
      </c>
      <c r="J931" s="4" t="s">
        <v>66</v>
      </c>
      <c r="K931" s="4">
        <v>1</v>
      </c>
      <c r="L931" s="94">
        <v>-142</v>
      </c>
      <c r="M931" s="94">
        <v>0</v>
      </c>
    </row>
    <row r="932" spans="3:13" x14ac:dyDescent="0.3">
      <c r="C932" t="s">
        <v>71</v>
      </c>
      <c r="D932" t="s">
        <v>67</v>
      </c>
      <c r="E932" t="s">
        <v>68</v>
      </c>
      <c r="F932" t="s">
        <v>25</v>
      </c>
      <c r="G932" s="4">
        <v>7</v>
      </c>
      <c r="H932" s="4" t="s">
        <v>18</v>
      </c>
      <c r="I932" s="4" t="s">
        <v>69</v>
      </c>
      <c r="J932" s="4" t="s">
        <v>66</v>
      </c>
      <c r="K932" s="4">
        <v>0</v>
      </c>
      <c r="L932" s="94">
        <v>37507</v>
      </c>
      <c r="M932" s="94">
        <v>262549</v>
      </c>
    </row>
    <row r="933" spans="3:13" x14ac:dyDescent="0.3">
      <c r="C933" t="s">
        <v>70</v>
      </c>
      <c r="D933" t="s">
        <v>67</v>
      </c>
      <c r="E933" t="s">
        <v>68</v>
      </c>
      <c r="F933" t="s">
        <v>25</v>
      </c>
      <c r="G933" s="4">
        <v>11</v>
      </c>
      <c r="H933" s="4" t="s">
        <v>79</v>
      </c>
      <c r="I933" s="4" t="s">
        <v>69</v>
      </c>
      <c r="J933" s="4" t="s">
        <v>66</v>
      </c>
      <c r="K933" s="4">
        <v>0</v>
      </c>
      <c r="L933" s="94">
        <v>2336635</v>
      </c>
      <c r="M933" s="94">
        <v>25702985</v>
      </c>
    </row>
    <row r="934" spans="3:13" x14ac:dyDescent="0.3">
      <c r="C934" t="s">
        <v>70</v>
      </c>
      <c r="D934" t="s">
        <v>67</v>
      </c>
      <c r="E934" t="s">
        <v>68</v>
      </c>
      <c r="F934" t="s">
        <v>72</v>
      </c>
      <c r="G934" s="4">
        <v>7</v>
      </c>
      <c r="H934" s="4" t="s">
        <v>76</v>
      </c>
      <c r="I934" s="4" t="s">
        <v>69</v>
      </c>
      <c r="J934" s="4" t="s">
        <v>66</v>
      </c>
      <c r="K934" s="4">
        <v>0</v>
      </c>
      <c r="L934" s="94">
        <v>73604</v>
      </c>
      <c r="M934" s="94">
        <v>515228</v>
      </c>
    </row>
    <row r="935" spans="3:13" x14ac:dyDescent="0.3">
      <c r="C935" t="s">
        <v>70</v>
      </c>
      <c r="D935" t="s">
        <v>84</v>
      </c>
      <c r="E935" t="s">
        <v>68</v>
      </c>
      <c r="F935" t="s">
        <v>25</v>
      </c>
      <c r="G935" s="4">
        <v>7</v>
      </c>
      <c r="H935" s="4" t="s">
        <v>81</v>
      </c>
      <c r="I935" s="4" t="s">
        <v>69</v>
      </c>
      <c r="J935" s="4" t="s">
        <v>66</v>
      </c>
      <c r="K935" s="4">
        <v>0</v>
      </c>
      <c r="L935" s="94">
        <v>167339</v>
      </c>
      <c r="M935" s="94">
        <v>1171373</v>
      </c>
    </row>
    <row r="936" spans="3:13" x14ac:dyDescent="0.3">
      <c r="C936" t="s">
        <v>61</v>
      </c>
      <c r="D936" t="s">
        <v>67</v>
      </c>
      <c r="E936" t="s">
        <v>63</v>
      </c>
      <c r="F936" t="s">
        <v>26</v>
      </c>
      <c r="G936" s="4">
        <v>3</v>
      </c>
      <c r="H936" s="4" t="s">
        <v>14</v>
      </c>
      <c r="I936" s="4" t="s">
        <v>69</v>
      </c>
      <c r="J936" s="4" t="s">
        <v>73</v>
      </c>
      <c r="K936" s="4">
        <v>1</v>
      </c>
      <c r="L936" s="94">
        <v>-197087</v>
      </c>
      <c r="M936" s="94">
        <v>0</v>
      </c>
    </row>
    <row r="937" spans="3:13" x14ac:dyDescent="0.3">
      <c r="C937" t="s">
        <v>61</v>
      </c>
      <c r="D937" t="s">
        <v>62</v>
      </c>
      <c r="E937" t="s">
        <v>68</v>
      </c>
      <c r="F937" t="s">
        <v>24</v>
      </c>
      <c r="G937" s="4">
        <v>13</v>
      </c>
      <c r="I937" s="4" t="s">
        <v>65</v>
      </c>
      <c r="J937" s="4" t="s">
        <v>66</v>
      </c>
      <c r="K937" s="4">
        <v>1</v>
      </c>
      <c r="L937" s="94">
        <v>2444283</v>
      </c>
      <c r="M937" s="94">
        <v>31775679</v>
      </c>
    </row>
    <row r="938" spans="3:13" x14ac:dyDescent="0.3">
      <c r="C938" t="s">
        <v>71</v>
      </c>
      <c r="D938" t="s">
        <v>67</v>
      </c>
      <c r="E938" t="s">
        <v>68</v>
      </c>
      <c r="F938" t="s">
        <v>72</v>
      </c>
      <c r="G938" s="4">
        <v>4</v>
      </c>
      <c r="H938" s="4" t="s">
        <v>14</v>
      </c>
      <c r="I938" s="4" t="s">
        <v>69</v>
      </c>
      <c r="J938" s="4" t="s">
        <v>73</v>
      </c>
      <c r="K938" s="4">
        <v>1</v>
      </c>
      <c r="L938" s="94">
        <v>107511</v>
      </c>
      <c r="M938" s="94">
        <v>430044</v>
      </c>
    </row>
    <row r="939" spans="3:13" x14ac:dyDescent="0.3">
      <c r="C939" t="s">
        <v>61</v>
      </c>
      <c r="D939" t="s">
        <v>67</v>
      </c>
      <c r="E939" t="s">
        <v>68</v>
      </c>
      <c r="F939" t="s">
        <v>26</v>
      </c>
      <c r="G939" s="4">
        <v>2</v>
      </c>
      <c r="H939" s="4" t="s">
        <v>82</v>
      </c>
      <c r="I939" s="4" t="s">
        <v>69</v>
      </c>
      <c r="J939" s="4" t="s">
        <v>66</v>
      </c>
      <c r="K939" s="4">
        <v>0</v>
      </c>
      <c r="L939" s="94">
        <v>28718479</v>
      </c>
      <c r="M939" s="94">
        <v>57436958</v>
      </c>
    </row>
    <row r="940" spans="3:13" x14ac:dyDescent="0.3">
      <c r="C940" t="s">
        <v>61</v>
      </c>
      <c r="D940" t="s">
        <v>67</v>
      </c>
      <c r="E940" t="s">
        <v>68</v>
      </c>
      <c r="F940" t="s">
        <v>26</v>
      </c>
      <c r="G940" s="4">
        <v>1</v>
      </c>
      <c r="H940" s="4" t="s">
        <v>14</v>
      </c>
      <c r="I940" s="4" t="s">
        <v>69</v>
      </c>
      <c r="J940" s="4" t="s">
        <v>73</v>
      </c>
      <c r="K940" s="4">
        <v>1</v>
      </c>
      <c r="L940" s="94">
        <v>59048468</v>
      </c>
      <c r="M940" s="94">
        <v>59048468</v>
      </c>
    </row>
    <row r="941" spans="3:13" x14ac:dyDescent="0.3">
      <c r="C941" t="s">
        <v>70</v>
      </c>
      <c r="D941" t="s">
        <v>67</v>
      </c>
      <c r="E941" t="s">
        <v>68</v>
      </c>
      <c r="F941" t="s">
        <v>25</v>
      </c>
      <c r="G941" s="4">
        <v>5</v>
      </c>
      <c r="H941" s="4" t="s">
        <v>17</v>
      </c>
      <c r="I941" s="4" t="s">
        <v>69</v>
      </c>
      <c r="J941" s="4" t="s">
        <v>66</v>
      </c>
      <c r="K941" s="4">
        <v>0</v>
      </c>
      <c r="L941" s="94">
        <v>1172867</v>
      </c>
      <c r="M941" s="94">
        <v>5864335</v>
      </c>
    </row>
    <row r="942" spans="3:13" x14ac:dyDescent="0.3">
      <c r="C942" t="s">
        <v>71</v>
      </c>
      <c r="D942" t="s">
        <v>67</v>
      </c>
      <c r="E942" t="s">
        <v>63</v>
      </c>
      <c r="F942" t="s">
        <v>26</v>
      </c>
      <c r="G942" s="4">
        <v>-1</v>
      </c>
      <c r="H942" s="4" t="s">
        <v>14</v>
      </c>
      <c r="I942" s="4" t="s">
        <v>65</v>
      </c>
      <c r="J942" s="4" t="s">
        <v>73</v>
      </c>
      <c r="K942" s="4">
        <v>1</v>
      </c>
      <c r="L942" s="94">
        <v>-1239</v>
      </c>
      <c r="M942" s="94">
        <v>0</v>
      </c>
    </row>
    <row r="943" spans="3:13" x14ac:dyDescent="0.3">
      <c r="C943" t="s">
        <v>70</v>
      </c>
      <c r="D943" t="s">
        <v>67</v>
      </c>
      <c r="E943" t="s">
        <v>68</v>
      </c>
      <c r="F943" t="s">
        <v>72</v>
      </c>
      <c r="G943" s="4">
        <v>4</v>
      </c>
      <c r="H943" s="4" t="s">
        <v>12</v>
      </c>
      <c r="I943" s="4" t="s">
        <v>69</v>
      </c>
      <c r="J943" s="4" t="s">
        <v>66</v>
      </c>
      <c r="K943" s="4">
        <v>0</v>
      </c>
      <c r="L943" s="94">
        <v>334582</v>
      </c>
      <c r="M943" s="94">
        <v>1338328</v>
      </c>
    </row>
    <row r="944" spans="3:13" x14ac:dyDescent="0.3">
      <c r="C944" t="s">
        <v>61</v>
      </c>
      <c r="D944" t="s">
        <v>62</v>
      </c>
      <c r="E944" t="s">
        <v>68</v>
      </c>
      <c r="F944" t="s">
        <v>24</v>
      </c>
      <c r="G944" s="4">
        <v>39</v>
      </c>
      <c r="I944" s="4" t="s">
        <v>65</v>
      </c>
      <c r="J944" s="4" t="s">
        <v>66</v>
      </c>
      <c r="K944" s="4">
        <v>1</v>
      </c>
      <c r="L944" s="94">
        <v>10655961</v>
      </c>
      <c r="M944" s="94">
        <v>415582479</v>
      </c>
    </row>
    <row r="945" spans="3:13" x14ac:dyDescent="0.3">
      <c r="C945" t="s">
        <v>71</v>
      </c>
      <c r="D945" t="s">
        <v>67</v>
      </c>
      <c r="E945" t="s">
        <v>63</v>
      </c>
      <c r="F945" t="s">
        <v>26</v>
      </c>
      <c r="G945" s="4">
        <v>3</v>
      </c>
      <c r="H945" s="4" t="s">
        <v>12</v>
      </c>
      <c r="I945" s="4" t="s">
        <v>69</v>
      </c>
      <c r="J945" s="4" t="s">
        <v>73</v>
      </c>
      <c r="K945" s="4">
        <v>1</v>
      </c>
      <c r="L945" s="94">
        <v>-204193</v>
      </c>
      <c r="M945" s="94">
        <v>0</v>
      </c>
    </row>
    <row r="946" spans="3:13" x14ac:dyDescent="0.3">
      <c r="C946" t="s">
        <v>61</v>
      </c>
      <c r="D946" t="s">
        <v>67</v>
      </c>
      <c r="E946" t="s">
        <v>68</v>
      </c>
      <c r="F946" t="s">
        <v>26</v>
      </c>
      <c r="G946" s="4">
        <v>7</v>
      </c>
      <c r="H946" s="4" t="s">
        <v>17</v>
      </c>
      <c r="I946" s="4" t="s">
        <v>69</v>
      </c>
      <c r="J946" s="4" t="s">
        <v>66</v>
      </c>
      <c r="K946" s="4">
        <v>0</v>
      </c>
      <c r="L946" s="94">
        <v>930702</v>
      </c>
      <c r="M946" s="94">
        <v>6514914</v>
      </c>
    </row>
    <row r="947" spans="3:13" x14ac:dyDescent="0.3">
      <c r="C947" t="s">
        <v>61</v>
      </c>
      <c r="D947" t="s">
        <v>67</v>
      </c>
      <c r="E947" t="s">
        <v>68</v>
      </c>
      <c r="F947" t="s">
        <v>72</v>
      </c>
      <c r="G947" s="4">
        <v>3</v>
      </c>
      <c r="H947" s="4" t="s">
        <v>15</v>
      </c>
      <c r="I947" s="4" t="s">
        <v>69</v>
      </c>
      <c r="J947" s="4" t="s">
        <v>66</v>
      </c>
      <c r="K947" s="4">
        <v>0</v>
      </c>
      <c r="L947" s="94">
        <v>3110666</v>
      </c>
      <c r="M947" s="94">
        <v>9331998</v>
      </c>
    </row>
    <row r="948" spans="3:13" x14ac:dyDescent="0.3">
      <c r="C948" t="s">
        <v>70</v>
      </c>
      <c r="D948" t="s">
        <v>67</v>
      </c>
      <c r="E948" t="s">
        <v>63</v>
      </c>
      <c r="F948" t="s">
        <v>26</v>
      </c>
      <c r="G948" s="4">
        <v>-4</v>
      </c>
      <c r="H948" s="4" t="s">
        <v>14</v>
      </c>
      <c r="I948" s="4" t="s">
        <v>69</v>
      </c>
      <c r="J948" s="4" t="s">
        <v>73</v>
      </c>
      <c r="K948" s="4">
        <v>1</v>
      </c>
      <c r="L948" s="94">
        <v>-2782</v>
      </c>
      <c r="M948" s="94">
        <v>0</v>
      </c>
    </row>
    <row r="949" spans="3:13" x14ac:dyDescent="0.3">
      <c r="C949" t="s">
        <v>61</v>
      </c>
      <c r="D949" t="s">
        <v>67</v>
      </c>
      <c r="E949" t="s">
        <v>63</v>
      </c>
      <c r="F949" t="s">
        <v>72</v>
      </c>
      <c r="G949" s="4">
        <v>-1</v>
      </c>
      <c r="H949" s="4" t="s">
        <v>79</v>
      </c>
      <c r="I949" s="4" t="s">
        <v>69</v>
      </c>
      <c r="J949" s="4" t="s">
        <v>66</v>
      </c>
      <c r="K949" s="4">
        <v>0</v>
      </c>
      <c r="L949" s="94">
        <v>-255</v>
      </c>
      <c r="M949" s="94">
        <v>0</v>
      </c>
    </row>
    <row r="950" spans="3:13" x14ac:dyDescent="0.3">
      <c r="C950" t="s">
        <v>70</v>
      </c>
      <c r="D950" t="s">
        <v>67</v>
      </c>
      <c r="E950" t="s">
        <v>63</v>
      </c>
      <c r="F950" t="s">
        <v>26</v>
      </c>
      <c r="G950" s="4">
        <v>-1</v>
      </c>
      <c r="H950" s="4" t="s">
        <v>18</v>
      </c>
      <c r="I950" s="4" t="s">
        <v>65</v>
      </c>
      <c r="J950" s="4" t="s">
        <v>66</v>
      </c>
      <c r="K950" s="4">
        <v>1</v>
      </c>
      <c r="L950" s="94">
        <v>-31334</v>
      </c>
      <c r="M950" s="94">
        <v>0</v>
      </c>
    </row>
    <row r="951" spans="3:13" x14ac:dyDescent="0.3">
      <c r="C951" t="s">
        <v>70</v>
      </c>
      <c r="D951" t="s">
        <v>67</v>
      </c>
      <c r="E951" t="s">
        <v>63</v>
      </c>
      <c r="F951" t="s">
        <v>25</v>
      </c>
      <c r="G951" s="4">
        <v>3</v>
      </c>
      <c r="H951" s="4" t="s">
        <v>14</v>
      </c>
      <c r="I951" s="4" t="s">
        <v>69</v>
      </c>
      <c r="J951" s="4" t="s">
        <v>66</v>
      </c>
      <c r="K951" s="4">
        <v>1</v>
      </c>
      <c r="L951" s="94">
        <v>-40473</v>
      </c>
      <c r="M951" s="94">
        <v>0</v>
      </c>
    </row>
    <row r="952" spans="3:13" x14ac:dyDescent="0.3">
      <c r="C952" t="s">
        <v>70</v>
      </c>
      <c r="D952" t="s">
        <v>67</v>
      </c>
      <c r="E952" t="s">
        <v>68</v>
      </c>
      <c r="F952" t="s">
        <v>25</v>
      </c>
      <c r="G952" s="4">
        <v>8</v>
      </c>
      <c r="H952" s="4" t="s">
        <v>17</v>
      </c>
      <c r="I952" s="4" t="s">
        <v>69</v>
      </c>
      <c r="J952" s="4" t="s">
        <v>66</v>
      </c>
      <c r="K952" s="4">
        <v>1</v>
      </c>
      <c r="L952" s="94">
        <v>22536</v>
      </c>
      <c r="M952" s="94">
        <v>180288</v>
      </c>
    </row>
    <row r="953" spans="3:13" x14ac:dyDescent="0.3">
      <c r="C953" t="s">
        <v>61</v>
      </c>
      <c r="D953" t="s">
        <v>67</v>
      </c>
      <c r="E953" t="s">
        <v>63</v>
      </c>
      <c r="F953" t="s">
        <v>26</v>
      </c>
      <c r="G953" s="4">
        <v>-1</v>
      </c>
      <c r="H953" s="4" t="s">
        <v>89</v>
      </c>
      <c r="I953" s="4" t="s">
        <v>69</v>
      </c>
      <c r="J953" s="4" t="s">
        <v>66</v>
      </c>
      <c r="K953" s="4">
        <v>0</v>
      </c>
      <c r="L953" s="94">
        <v>-801</v>
      </c>
      <c r="M953" s="94">
        <v>0</v>
      </c>
    </row>
    <row r="954" spans="3:13" x14ac:dyDescent="0.3">
      <c r="C954" t="s">
        <v>61</v>
      </c>
      <c r="D954" t="s">
        <v>67</v>
      </c>
      <c r="E954" t="s">
        <v>68</v>
      </c>
      <c r="F954" t="s">
        <v>26</v>
      </c>
      <c r="G954" s="4">
        <v>6</v>
      </c>
      <c r="H954" s="4" t="s">
        <v>16</v>
      </c>
      <c r="I954" s="4" t="s">
        <v>69</v>
      </c>
      <c r="J954" s="4" t="s">
        <v>66</v>
      </c>
      <c r="K954" s="4">
        <v>0</v>
      </c>
      <c r="L954" s="94">
        <v>2072508</v>
      </c>
      <c r="M954" s="94">
        <v>12435048</v>
      </c>
    </row>
    <row r="955" spans="3:13" x14ac:dyDescent="0.3">
      <c r="C955" t="s">
        <v>70</v>
      </c>
      <c r="D955" t="s">
        <v>62</v>
      </c>
      <c r="E955" t="s">
        <v>68</v>
      </c>
      <c r="F955" t="s">
        <v>24</v>
      </c>
      <c r="G955" s="4">
        <v>39</v>
      </c>
      <c r="I955" s="4" t="s">
        <v>69</v>
      </c>
      <c r="J955" s="4" t="s">
        <v>66</v>
      </c>
      <c r="K955" s="4">
        <v>0</v>
      </c>
      <c r="L955" s="94">
        <v>24934834</v>
      </c>
      <c r="M955" s="94">
        <v>972458526</v>
      </c>
    </row>
    <row r="956" spans="3:13" x14ac:dyDescent="0.3">
      <c r="C956" t="s">
        <v>61</v>
      </c>
      <c r="D956" t="s">
        <v>67</v>
      </c>
      <c r="E956" t="s">
        <v>68</v>
      </c>
      <c r="F956" t="s">
        <v>26</v>
      </c>
      <c r="G956" s="4">
        <v>2</v>
      </c>
      <c r="H956" s="4" t="s">
        <v>17</v>
      </c>
      <c r="I956" s="4" t="s">
        <v>69</v>
      </c>
      <c r="J956" s="4" t="s">
        <v>66</v>
      </c>
      <c r="K956" s="4">
        <v>0</v>
      </c>
      <c r="L956" s="94">
        <v>34267633</v>
      </c>
      <c r="M956" s="94">
        <v>68535266</v>
      </c>
    </row>
    <row r="957" spans="3:13" x14ac:dyDescent="0.3">
      <c r="C957" t="s">
        <v>61</v>
      </c>
      <c r="D957" t="s">
        <v>67</v>
      </c>
      <c r="E957" t="s">
        <v>68</v>
      </c>
      <c r="F957" t="s">
        <v>25</v>
      </c>
      <c r="G957" s="4">
        <v>5</v>
      </c>
      <c r="H957" s="4" t="s">
        <v>75</v>
      </c>
      <c r="I957" s="4" t="s">
        <v>69</v>
      </c>
      <c r="J957" s="4" t="s">
        <v>66</v>
      </c>
      <c r="K957" s="4">
        <v>1</v>
      </c>
      <c r="L957" s="94">
        <v>488177</v>
      </c>
      <c r="M957" s="94">
        <v>2440885</v>
      </c>
    </row>
    <row r="958" spans="3:13" x14ac:dyDescent="0.3">
      <c r="C958" t="s">
        <v>61</v>
      </c>
      <c r="D958" t="s">
        <v>67</v>
      </c>
      <c r="E958" t="s">
        <v>63</v>
      </c>
      <c r="F958" t="s">
        <v>25</v>
      </c>
      <c r="G958" s="4">
        <v>9</v>
      </c>
      <c r="H958" s="4" t="s">
        <v>12</v>
      </c>
      <c r="I958" s="4" t="s">
        <v>69</v>
      </c>
      <c r="J958" s="4" t="s">
        <v>66</v>
      </c>
      <c r="K958" s="4">
        <v>1</v>
      </c>
      <c r="L958" s="94">
        <v>-5386</v>
      </c>
      <c r="M958" s="94">
        <v>0</v>
      </c>
    </row>
    <row r="959" spans="3:13" x14ac:dyDescent="0.3">
      <c r="C959" t="s">
        <v>61</v>
      </c>
      <c r="D959" t="s">
        <v>67</v>
      </c>
      <c r="E959" t="s">
        <v>63</v>
      </c>
      <c r="F959" t="s">
        <v>26</v>
      </c>
      <c r="G959" s="4">
        <v>1</v>
      </c>
      <c r="H959" s="4" t="s">
        <v>78</v>
      </c>
      <c r="I959" s="4" t="s">
        <v>69</v>
      </c>
      <c r="J959" s="4" t="s">
        <v>66</v>
      </c>
      <c r="K959" s="4">
        <v>0</v>
      </c>
      <c r="L959" s="94">
        <v>-22182</v>
      </c>
      <c r="M959" s="94">
        <v>0</v>
      </c>
    </row>
    <row r="960" spans="3:13" x14ac:dyDescent="0.3">
      <c r="C960" t="s">
        <v>70</v>
      </c>
      <c r="D960" t="s">
        <v>62</v>
      </c>
      <c r="E960" t="s">
        <v>68</v>
      </c>
      <c r="F960" t="s">
        <v>24</v>
      </c>
      <c r="G960" s="4">
        <v>45</v>
      </c>
      <c r="I960" s="4" t="s">
        <v>69</v>
      </c>
      <c r="J960" s="4" t="s">
        <v>66</v>
      </c>
      <c r="K960" s="4">
        <v>0</v>
      </c>
      <c r="L960" s="94">
        <v>430536</v>
      </c>
      <c r="M960" s="94">
        <v>19374120</v>
      </c>
    </row>
    <row r="961" spans="3:13" x14ac:dyDescent="0.3">
      <c r="C961" t="s">
        <v>61</v>
      </c>
      <c r="D961" t="s">
        <v>67</v>
      </c>
      <c r="E961" t="s">
        <v>68</v>
      </c>
      <c r="F961" t="s">
        <v>25</v>
      </c>
      <c r="G961" s="4">
        <v>10</v>
      </c>
      <c r="H961" s="4" t="s">
        <v>83</v>
      </c>
      <c r="I961" s="4" t="s">
        <v>69</v>
      </c>
      <c r="J961" s="4" t="s">
        <v>66</v>
      </c>
      <c r="K961" s="4">
        <v>0</v>
      </c>
      <c r="L961" s="94">
        <v>3806055</v>
      </c>
      <c r="M961" s="94">
        <v>38060550</v>
      </c>
    </row>
    <row r="962" spans="3:13" x14ac:dyDescent="0.3">
      <c r="C962" t="s">
        <v>61</v>
      </c>
      <c r="D962" t="s">
        <v>67</v>
      </c>
      <c r="E962" t="s">
        <v>63</v>
      </c>
      <c r="F962" t="s">
        <v>26</v>
      </c>
      <c r="G962" s="4">
        <v>4</v>
      </c>
      <c r="H962" s="4" t="s">
        <v>80</v>
      </c>
      <c r="I962" s="4" t="s">
        <v>69</v>
      </c>
      <c r="J962" s="4" t="s">
        <v>66</v>
      </c>
      <c r="K962" s="4">
        <v>0</v>
      </c>
      <c r="L962" s="94">
        <v>-5082</v>
      </c>
      <c r="M962" s="94">
        <v>0</v>
      </c>
    </row>
    <row r="963" spans="3:13" x14ac:dyDescent="0.3">
      <c r="C963" t="s">
        <v>70</v>
      </c>
      <c r="D963" t="s">
        <v>67</v>
      </c>
      <c r="E963" t="s">
        <v>63</v>
      </c>
      <c r="F963" t="s">
        <v>26</v>
      </c>
      <c r="G963" s="4">
        <v>4</v>
      </c>
      <c r="H963" s="4" t="s">
        <v>18</v>
      </c>
      <c r="I963" s="4" t="s">
        <v>69</v>
      </c>
      <c r="J963" s="4" t="s">
        <v>73</v>
      </c>
      <c r="K963" s="4">
        <v>1</v>
      </c>
      <c r="L963" s="94">
        <v>-99649</v>
      </c>
      <c r="M963" s="94">
        <v>0</v>
      </c>
    </row>
    <row r="964" spans="3:13" x14ac:dyDescent="0.3">
      <c r="C964" t="s">
        <v>61</v>
      </c>
      <c r="D964" t="s">
        <v>67</v>
      </c>
      <c r="E964" t="s">
        <v>68</v>
      </c>
      <c r="F964" t="s">
        <v>72</v>
      </c>
      <c r="G964" s="4">
        <v>1</v>
      </c>
      <c r="H964" s="4" t="s">
        <v>12</v>
      </c>
      <c r="I964" s="4" t="s">
        <v>69</v>
      </c>
      <c r="J964" s="4" t="s">
        <v>66</v>
      </c>
      <c r="K964" s="4">
        <v>0</v>
      </c>
      <c r="L964" s="94">
        <v>347485</v>
      </c>
      <c r="M964" s="94">
        <v>347485</v>
      </c>
    </row>
    <row r="965" spans="3:13" x14ac:dyDescent="0.3">
      <c r="C965" t="s">
        <v>61</v>
      </c>
      <c r="D965" t="s">
        <v>67</v>
      </c>
      <c r="E965" t="s">
        <v>63</v>
      </c>
      <c r="F965" t="s">
        <v>26</v>
      </c>
      <c r="G965" s="4">
        <v>10</v>
      </c>
      <c r="H965" s="4" t="s">
        <v>12</v>
      </c>
      <c r="I965" s="4" t="s">
        <v>69</v>
      </c>
      <c r="J965" s="4" t="s">
        <v>73</v>
      </c>
      <c r="K965" s="4">
        <v>1</v>
      </c>
      <c r="L965" s="94">
        <v>-22006</v>
      </c>
      <c r="M965" s="94">
        <v>0</v>
      </c>
    </row>
    <row r="966" spans="3:13" x14ac:dyDescent="0.3">
      <c r="C966" t="s">
        <v>71</v>
      </c>
      <c r="D966" t="s">
        <v>67</v>
      </c>
      <c r="E966" t="s">
        <v>68</v>
      </c>
      <c r="F966" t="s">
        <v>26</v>
      </c>
      <c r="G966" s="4">
        <v>2</v>
      </c>
      <c r="H966" s="4" t="s">
        <v>75</v>
      </c>
      <c r="I966" s="4" t="s">
        <v>69</v>
      </c>
      <c r="J966" s="4" t="s">
        <v>66</v>
      </c>
      <c r="K966" s="4">
        <v>0</v>
      </c>
      <c r="L966" s="94">
        <v>479001</v>
      </c>
      <c r="M966" s="94">
        <v>958002</v>
      </c>
    </row>
    <row r="967" spans="3:13" x14ac:dyDescent="0.3">
      <c r="C967" t="s">
        <v>70</v>
      </c>
      <c r="D967" t="s">
        <v>62</v>
      </c>
      <c r="E967" t="s">
        <v>63</v>
      </c>
      <c r="F967" t="s">
        <v>24</v>
      </c>
      <c r="G967" s="4">
        <v>5</v>
      </c>
      <c r="I967" s="4" t="s">
        <v>69</v>
      </c>
      <c r="J967" s="4" t="s">
        <v>66</v>
      </c>
      <c r="K967" s="4">
        <v>1</v>
      </c>
      <c r="L967" s="94">
        <v>-683</v>
      </c>
      <c r="M967" s="94">
        <v>0</v>
      </c>
    </row>
    <row r="968" spans="3:13" x14ac:dyDescent="0.3">
      <c r="C968" t="s">
        <v>71</v>
      </c>
      <c r="D968" t="s">
        <v>67</v>
      </c>
      <c r="E968" t="s">
        <v>63</v>
      </c>
      <c r="F968" t="s">
        <v>72</v>
      </c>
      <c r="G968" s="4">
        <v>5</v>
      </c>
      <c r="H968" s="4" t="s">
        <v>17</v>
      </c>
      <c r="I968" s="4" t="s">
        <v>65</v>
      </c>
      <c r="J968" s="4" t="s">
        <v>73</v>
      </c>
      <c r="K968" s="4">
        <v>1</v>
      </c>
      <c r="L968" s="94">
        <v>-27443</v>
      </c>
      <c r="M968" s="94">
        <v>0</v>
      </c>
    </row>
    <row r="969" spans="3:13" x14ac:dyDescent="0.3">
      <c r="C969" t="s">
        <v>61</v>
      </c>
      <c r="D969" t="s">
        <v>62</v>
      </c>
      <c r="E969" t="s">
        <v>63</v>
      </c>
      <c r="F969" t="s">
        <v>24</v>
      </c>
      <c r="G969" s="4">
        <v>7</v>
      </c>
      <c r="I969" s="4" t="s">
        <v>69</v>
      </c>
      <c r="J969" s="4" t="s">
        <v>66</v>
      </c>
      <c r="K969" s="4">
        <v>1</v>
      </c>
      <c r="L969" s="94">
        <v>-690</v>
      </c>
      <c r="M969" s="94">
        <v>0</v>
      </c>
    </row>
    <row r="970" spans="3:13" x14ac:dyDescent="0.3">
      <c r="C970" t="s">
        <v>71</v>
      </c>
      <c r="D970" t="s">
        <v>67</v>
      </c>
      <c r="E970" t="s">
        <v>68</v>
      </c>
      <c r="F970" t="s">
        <v>26</v>
      </c>
      <c r="G970" s="4">
        <v>0</v>
      </c>
      <c r="H970" s="4" t="s">
        <v>79</v>
      </c>
      <c r="I970" s="4" t="s">
        <v>69</v>
      </c>
      <c r="J970" s="4" t="s">
        <v>66</v>
      </c>
      <c r="K970" s="4">
        <v>0</v>
      </c>
      <c r="L970" s="94">
        <v>15098</v>
      </c>
      <c r="M970" s="94">
        <v>0</v>
      </c>
    </row>
    <row r="971" spans="3:13" x14ac:dyDescent="0.3">
      <c r="C971" t="s">
        <v>70</v>
      </c>
      <c r="D971" t="s">
        <v>67</v>
      </c>
      <c r="E971" t="s">
        <v>63</v>
      </c>
      <c r="F971" t="s">
        <v>26</v>
      </c>
      <c r="G971" s="4">
        <v>5</v>
      </c>
      <c r="H971" s="4" t="s">
        <v>64</v>
      </c>
      <c r="I971" s="4" t="s">
        <v>69</v>
      </c>
      <c r="J971" s="4" t="s">
        <v>66</v>
      </c>
      <c r="K971" s="4">
        <v>0</v>
      </c>
      <c r="L971" s="94">
        <v>-35014</v>
      </c>
      <c r="M971" s="94">
        <v>0</v>
      </c>
    </row>
    <row r="972" spans="3:13" x14ac:dyDescent="0.3">
      <c r="C972" t="s">
        <v>70</v>
      </c>
      <c r="D972" t="s">
        <v>67</v>
      </c>
      <c r="E972" t="s">
        <v>68</v>
      </c>
      <c r="F972" t="s">
        <v>25</v>
      </c>
      <c r="G972" s="4">
        <v>9</v>
      </c>
      <c r="H972" s="4" t="s">
        <v>12</v>
      </c>
      <c r="I972" s="4" t="s">
        <v>69</v>
      </c>
      <c r="J972" s="4" t="s">
        <v>66</v>
      </c>
      <c r="K972" s="4">
        <v>0</v>
      </c>
      <c r="L972" s="94">
        <v>1131278</v>
      </c>
      <c r="M972" s="94">
        <v>10181502</v>
      </c>
    </row>
    <row r="973" spans="3:13" x14ac:dyDescent="0.3">
      <c r="C973" t="s">
        <v>71</v>
      </c>
      <c r="D973" t="s">
        <v>67</v>
      </c>
      <c r="E973" t="s">
        <v>63</v>
      </c>
      <c r="F973" t="s">
        <v>25</v>
      </c>
      <c r="G973" s="4">
        <v>-4</v>
      </c>
      <c r="H973" s="4" t="s">
        <v>75</v>
      </c>
      <c r="I973" s="4" t="s">
        <v>65</v>
      </c>
      <c r="J973" s="4" t="s">
        <v>66</v>
      </c>
      <c r="K973" s="4">
        <v>1</v>
      </c>
      <c r="L973" s="94">
        <v>-459531</v>
      </c>
      <c r="M973" s="94">
        <v>0</v>
      </c>
    </row>
    <row r="974" spans="3:13" x14ac:dyDescent="0.3">
      <c r="C974" t="s">
        <v>71</v>
      </c>
      <c r="D974" t="s">
        <v>62</v>
      </c>
      <c r="E974" t="s">
        <v>63</v>
      </c>
      <c r="F974" t="s">
        <v>24</v>
      </c>
      <c r="G974" s="4">
        <v>40</v>
      </c>
      <c r="I974" s="4" t="s">
        <v>69</v>
      </c>
      <c r="J974" s="4" t="s">
        <v>66</v>
      </c>
      <c r="K974" s="4">
        <v>0</v>
      </c>
      <c r="L974" s="94">
        <v>-315670</v>
      </c>
      <c r="M974" s="94">
        <v>0</v>
      </c>
    </row>
    <row r="975" spans="3:13" x14ac:dyDescent="0.3">
      <c r="C975" t="s">
        <v>61</v>
      </c>
      <c r="D975" t="s">
        <v>67</v>
      </c>
      <c r="E975" t="s">
        <v>68</v>
      </c>
      <c r="F975" t="s">
        <v>25</v>
      </c>
      <c r="G975" s="4">
        <v>8</v>
      </c>
      <c r="H975" s="4" t="s">
        <v>75</v>
      </c>
      <c r="I975" s="4" t="s">
        <v>69</v>
      </c>
      <c r="J975" s="4" t="s">
        <v>66</v>
      </c>
      <c r="K975" s="4">
        <v>0</v>
      </c>
      <c r="L975" s="94">
        <v>31413681</v>
      </c>
      <c r="M975" s="94">
        <v>251309448</v>
      </c>
    </row>
    <row r="976" spans="3:13" x14ac:dyDescent="0.3">
      <c r="C976" t="s">
        <v>61</v>
      </c>
      <c r="D976" t="s">
        <v>67</v>
      </c>
      <c r="E976" t="s">
        <v>68</v>
      </c>
      <c r="F976" t="s">
        <v>25</v>
      </c>
      <c r="G976" s="4">
        <v>-1</v>
      </c>
      <c r="H976" s="4" t="s">
        <v>76</v>
      </c>
      <c r="I976" s="4" t="s">
        <v>69</v>
      </c>
      <c r="J976" s="4" t="s">
        <v>66</v>
      </c>
      <c r="K976" s="4">
        <v>0</v>
      </c>
      <c r="L976" s="94">
        <v>4507371</v>
      </c>
      <c r="M976" s="94">
        <v>0</v>
      </c>
    </row>
    <row r="977" spans="3:13" x14ac:dyDescent="0.3">
      <c r="C977" t="s">
        <v>61</v>
      </c>
      <c r="D977" t="s">
        <v>67</v>
      </c>
      <c r="E977" t="s">
        <v>68</v>
      </c>
      <c r="F977" t="s">
        <v>72</v>
      </c>
      <c r="G977" s="4">
        <v>9</v>
      </c>
      <c r="H977" s="4" t="s">
        <v>75</v>
      </c>
      <c r="I977" s="4" t="s">
        <v>69</v>
      </c>
      <c r="J977" s="4" t="s">
        <v>66</v>
      </c>
      <c r="K977" s="4">
        <v>0</v>
      </c>
      <c r="L977" s="94">
        <v>1645269</v>
      </c>
      <c r="M977" s="94">
        <v>14807421</v>
      </c>
    </row>
    <row r="978" spans="3:13" x14ac:dyDescent="0.3">
      <c r="C978" t="s">
        <v>71</v>
      </c>
      <c r="D978" t="s">
        <v>67</v>
      </c>
      <c r="E978" t="s">
        <v>63</v>
      </c>
      <c r="F978" t="s">
        <v>72</v>
      </c>
      <c r="G978" s="4">
        <v>3</v>
      </c>
      <c r="H978" s="4" t="s">
        <v>14</v>
      </c>
      <c r="I978" s="4" t="s">
        <v>69</v>
      </c>
      <c r="J978" s="4" t="s">
        <v>66</v>
      </c>
      <c r="K978" s="4">
        <v>0</v>
      </c>
      <c r="L978" s="94">
        <v>-204606</v>
      </c>
      <c r="M978" s="94">
        <v>0</v>
      </c>
    </row>
    <row r="979" spans="3:13" x14ac:dyDescent="0.3">
      <c r="C979" t="s">
        <v>61</v>
      </c>
      <c r="D979" t="s">
        <v>67</v>
      </c>
      <c r="E979" t="s">
        <v>63</v>
      </c>
      <c r="F979" t="s">
        <v>25</v>
      </c>
      <c r="G979" s="4">
        <v>11</v>
      </c>
      <c r="H979" s="4" t="s">
        <v>75</v>
      </c>
      <c r="I979" s="4" t="s">
        <v>65</v>
      </c>
      <c r="J979" s="4" t="s">
        <v>66</v>
      </c>
      <c r="K979" s="4">
        <v>1</v>
      </c>
      <c r="L979" s="94">
        <v>-259</v>
      </c>
      <c r="M979" s="94">
        <v>0</v>
      </c>
    </row>
    <row r="980" spans="3:13" x14ac:dyDescent="0.3">
      <c r="C980" t="s">
        <v>61</v>
      </c>
      <c r="D980" t="s">
        <v>67</v>
      </c>
      <c r="E980" t="s">
        <v>63</v>
      </c>
      <c r="F980" t="s">
        <v>26</v>
      </c>
      <c r="G980" s="4">
        <v>4</v>
      </c>
      <c r="H980" s="4" t="s">
        <v>17</v>
      </c>
      <c r="I980" s="4" t="s">
        <v>65</v>
      </c>
      <c r="J980" s="4" t="s">
        <v>73</v>
      </c>
      <c r="K980" s="4">
        <v>1</v>
      </c>
      <c r="L980" s="94">
        <v>-3057</v>
      </c>
      <c r="M980" s="94">
        <v>0</v>
      </c>
    </row>
    <row r="981" spans="3:13" x14ac:dyDescent="0.3">
      <c r="C981" t="s">
        <v>71</v>
      </c>
      <c r="D981" t="s">
        <v>67</v>
      </c>
      <c r="E981" t="s">
        <v>63</v>
      </c>
      <c r="F981" t="s">
        <v>26</v>
      </c>
      <c r="G981" s="4">
        <v>10</v>
      </c>
      <c r="H981" s="4" t="s">
        <v>14</v>
      </c>
      <c r="I981" s="4" t="s">
        <v>69</v>
      </c>
      <c r="J981" s="4" t="s">
        <v>73</v>
      </c>
      <c r="K981" s="4">
        <v>1</v>
      </c>
      <c r="L981" s="94">
        <v>-1857632</v>
      </c>
      <c r="M981" s="94">
        <v>0</v>
      </c>
    </row>
    <row r="982" spans="3:13" x14ac:dyDescent="0.3">
      <c r="C982" t="s">
        <v>70</v>
      </c>
      <c r="D982" t="s">
        <v>67</v>
      </c>
      <c r="E982" t="s">
        <v>63</v>
      </c>
      <c r="F982" t="s">
        <v>26</v>
      </c>
      <c r="G982" s="4">
        <v>7</v>
      </c>
      <c r="H982" s="4" t="s">
        <v>12</v>
      </c>
      <c r="I982" s="4" t="s">
        <v>69</v>
      </c>
      <c r="J982" s="4" t="s">
        <v>73</v>
      </c>
      <c r="K982" s="4">
        <v>1</v>
      </c>
      <c r="L982" s="94">
        <v>-363327</v>
      </c>
      <c r="M982" s="94">
        <v>0</v>
      </c>
    </row>
    <row r="983" spans="3:13" x14ac:dyDescent="0.3">
      <c r="C983" t="s">
        <v>61</v>
      </c>
      <c r="D983" t="s">
        <v>67</v>
      </c>
      <c r="E983" t="s">
        <v>68</v>
      </c>
      <c r="F983" t="s">
        <v>72</v>
      </c>
      <c r="G983" s="4">
        <v>0</v>
      </c>
      <c r="H983" s="4" t="s">
        <v>81</v>
      </c>
      <c r="I983" s="4" t="s">
        <v>69</v>
      </c>
      <c r="J983" s="4" t="s">
        <v>66</v>
      </c>
      <c r="K983" s="4">
        <v>0</v>
      </c>
      <c r="L983" s="94">
        <v>26290</v>
      </c>
      <c r="M983" s="94">
        <v>0</v>
      </c>
    </row>
    <row r="984" spans="3:13" x14ac:dyDescent="0.3">
      <c r="C984" t="s">
        <v>70</v>
      </c>
      <c r="D984" t="s">
        <v>67</v>
      </c>
      <c r="E984" t="s">
        <v>68</v>
      </c>
      <c r="F984" t="s">
        <v>72</v>
      </c>
      <c r="G984" s="4">
        <v>-1</v>
      </c>
      <c r="H984" s="4" t="s">
        <v>75</v>
      </c>
      <c r="I984" s="4" t="s">
        <v>69</v>
      </c>
      <c r="J984" s="4" t="s">
        <v>66</v>
      </c>
      <c r="K984" s="4">
        <v>0</v>
      </c>
      <c r="L984" s="94">
        <v>3139714</v>
      </c>
      <c r="M984" s="94">
        <v>0</v>
      </c>
    </row>
    <row r="985" spans="3:13" x14ac:dyDescent="0.3">
      <c r="C985" t="s">
        <v>61</v>
      </c>
      <c r="D985" t="s">
        <v>62</v>
      </c>
      <c r="E985" t="s">
        <v>63</v>
      </c>
      <c r="F985" t="s">
        <v>24</v>
      </c>
      <c r="G985" s="4">
        <v>24</v>
      </c>
      <c r="I985" s="4" t="s">
        <v>69</v>
      </c>
      <c r="J985" s="4" t="s">
        <v>66</v>
      </c>
      <c r="K985" s="4">
        <v>1</v>
      </c>
      <c r="L985" s="94">
        <v>-920</v>
      </c>
      <c r="M985" s="94">
        <v>0</v>
      </c>
    </row>
    <row r="986" spans="3:13" x14ac:dyDescent="0.3">
      <c r="C986" t="s">
        <v>70</v>
      </c>
      <c r="D986" t="s">
        <v>67</v>
      </c>
      <c r="E986" t="s">
        <v>63</v>
      </c>
      <c r="F986" t="s">
        <v>25</v>
      </c>
      <c r="G986" s="4">
        <v>12</v>
      </c>
      <c r="H986" s="4" t="s">
        <v>17</v>
      </c>
      <c r="I986" s="4" t="s">
        <v>69</v>
      </c>
      <c r="J986" s="4" t="s">
        <v>66</v>
      </c>
      <c r="K986" s="4">
        <v>0</v>
      </c>
      <c r="L986" s="94">
        <v>-71544</v>
      </c>
      <c r="M986" s="94">
        <v>0</v>
      </c>
    </row>
    <row r="987" spans="3:13" x14ac:dyDescent="0.3">
      <c r="C987" t="s">
        <v>70</v>
      </c>
      <c r="D987" t="s">
        <v>62</v>
      </c>
      <c r="E987" t="s">
        <v>63</v>
      </c>
      <c r="F987" t="s">
        <v>24</v>
      </c>
      <c r="G987" s="4">
        <v>16</v>
      </c>
      <c r="I987" s="4" t="s">
        <v>69</v>
      </c>
      <c r="J987" s="4" t="s">
        <v>66</v>
      </c>
      <c r="K987" s="4">
        <v>1</v>
      </c>
      <c r="L987" s="94">
        <v>-9721</v>
      </c>
      <c r="M987" s="94">
        <v>0</v>
      </c>
    </row>
    <row r="988" spans="3:13" x14ac:dyDescent="0.3">
      <c r="C988" t="s">
        <v>70</v>
      </c>
      <c r="D988" t="s">
        <v>67</v>
      </c>
      <c r="E988" t="s">
        <v>63</v>
      </c>
      <c r="F988" t="s">
        <v>26</v>
      </c>
      <c r="G988" s="4">
        <v>0</v>
      </c>
      <c r="H988" s="4" t="s">
        <v>82</v>
      </c>
      <c r="I988" s="4" t="s">
        <v>65</v>
      </c>
      <c r="J988" s="4" t="s">
        <v>66</v>
      </c>
      <c r="K988" s="4">
        <v>1</v>
      </c>
      <c r="L988" s="94">
        <v>-616822</v>
      </c>
      <c r="M988" s="94">
        <v>0</v>
      </c>
    </row>
    <row r="989" spans="3:13" x14ac:dyDescent="0.3">
      <c r="C989" t="s">
        <v>71</v>
      </c>
      <c r="D989" t="s">
        <v>62</v>
      </c>
      <c r="E989" t="s">
        <v>63</v>
      </c>
      <c r="F989" t="s">
        <v>24</v>
      </c>
      <c r="G989" s="4">
        <v>5</v>
      </c>
      <c r="I989" s="4" t="s">
        <v>69</v>
      </c>
      <c r="J989" s="4" t="s">
        <v>66</v>
      </c>
      <c r="K989" s="4">
        <v>1</v>
      </c>
      <c r="L989" s="94">
        <v>-4645</v>
      </c>
      <c r="M989" s="94">
        <v>0</v>
      </c>
    </row>
    <row r="990" spans="3:13" x14ac:dyDescent="0.3">
      <c r="C990" t="s">
        <v>61</v>
      </c>
      <c r="D990" t="s">
        <v>67</v>
      </c>
      <c r="E990" t="s">
        <v>68</v>
      </c>
      <c r="F990" t="s">
        <v>25</v>
      </c>
      <c r="G990" s="4">
        <v>15</v>
      </c>
      <c r="H990" s="4" t="s">
        <v>17</v>
      </c>
      <c r="I990" s="4" t="s">
        <v>69</v>
      </c>
      <c r="J990" s="4" t="s">
        <v>66</v>
      </c>
      <c r="K990" s="4">
        <v>0</v>
      </c>
      <c r="L990" s="94">
        <v>20582703</v>
      </c>
      <c r="M990" s="94">
        <v>308740545</v>
      </c>
    </row>
    <row r="991" spans="3:13" x14ac:dyDescent="0.3">
      <c r="C991" t="s">
        <v>61</v>
      </c>
      <c r="D991" t="s">
        <v>84</v>
      </c>
      <c r="E991" t="s">
        <v>68</v>
      </c>
      <c r="F991" t="s">
        <v>25</v>
      </c>
      <c r="G991" s="4">
        <v>11</v>
      </c>
      <c r="H991" s="4" t="s">
        <v>75</v>
      </c>
      <c r="I991" s="4" t="s">
        <v>65</v>
      </c>
      <c r="J991" s="4" t="s">
        <v>66</v>
      </c>
      <c r="K991" s="4">
        <v>1</v>
      </c>
      <c r="L991" s="94">
        <v>1526841</v>
      </c>
      <c r="M991" s="94">
        <v>16795251</v>
      </c>
    </row>
    <row r="992" spans="3:13" x14ac:dyDescent="0.3">
      <c r="C992" t="s">
        <v>70</v>
      </c>
      <c r="D992" t="s">
        <v>67</v>
      </c>
      <c r="E992" t="s">
        <v>68</v>
      </c>
      <c r="F992" t="s">
        <v>72</v>
      </c>
      <c r="G992" s="4">
        <v>5</v>
      </c>
      <c r="H992" s="4" t="s">
        <v>17</v>
      </c>
      <c r="I992" s="4" t="s">
        <v>69</v>
      </c>
      <c r="J992" s="4" t="s">
        <v>73</v>
      </c>
      <c r="K992" s="4">
        <v>1</v>
      </c>
      <c r="L992" s="94">
        <v>134735</v>
      </c>
      <c r="M992" s="94">
        <v>673675</v>
      </c>
    </row>
    <row r="993" spans="3:13" x14ac:dyDescent="0.3">
      <c r="C993" t="s">
        <v>71</v>
      </c>
      <c r="D993" t="s">
        <v>67</v>
      </c>
      <c r="E993" t="s">
        <v>63</v>
      </c>
      <c r="F993" t="s">
        <v>26</v>
      </c>
      <c r="G993" s="4">
        <v>7</v>
      </c>
      <c r="H993" s="4" t="s">
        <v>76</v>
      </c>
      <c r="I993" s="4" t="s">
        <v>69</v>
      </c>
      <c r="J993" s="4" t="s">
        <v>66</v>
      </c>
      <c r="K993" s="4">
        <v>0</v>
      </c>
      <c r="L993" s="94">
        <v>-78453</v>
      </c>
      <c r="M993" s="94">
        <v>0</v>
      </c>
    </row>
    <row r="994" spans="3:13" x14ac:dyDescent="0.3">
      <c r="C994" t="s">
        <v>61</v>
      </c>
      <c r="D994" t="s">
        <v>67</v>
      </c>
      <c r="E994" t="s">
        <v>63</v>
      </c>
      <c r="F994" t="s">
        <v>72</v>
      </c>
      <c r="G994" s="4">
        <v>1</v>
      </c>
      <c r="H994" s="4" t="s">
        <v>76</v>
      </c>
      <c r="I994" s="4" t="s">
        <v>69</v>
      </c>
      <c r="J994" s="4" t="s">
        <v>66</v>
      </c>
      <c r="K994" s="4">
        <v>0</v>
      </c>
      <c r="L994" s="94">
        <v>-2995</v>
      </c>
      <c r="M994" s="94">
        <v>0</v>
      </c>
    </row>
    <row r="995" spans="3:13" x14ac:dyDescent="0.3">
      <c r="C995" t="s">
        <v>70</v>
      </c>
      <c r="D995" t="s">
        <v>67</v>
      </c>
      <c r="E995" t="s">
        <v>68</v>
      </c>
      <c r="F995" t="s">
        <v>25</v>
      </c>
      <c r="G995" s="4">
        <v>12</v>
      </c>
      <c r="H995" s="4" t="s">
        <v>81</v>
      </c>
      <c r="I995" s="4" t="s">
        <v>69</v>
      </c>
      <c r="J995" s="4" t="s">
        <v>66</v>
      </c>
      <c r="K995" s="4">
        <v>0</v>
      </c>
      <c r="L995" s="94">
        <v>150486</v>
      </c>
      <c r="M995" s="94">
        <v>1805832</v>
      </c>
    </row>
    <row r="996" spans="3:13" x14ac:dyDescent="0.3">
      <c r="C996" t="s">
        <v>61</v>
      </c>
      <c r="D996" t="s">
        <v>67</v>
      </c>
      <c r="E996" t="s">
        <v>68</v>
      </c>
      <c r="F996" t="s">
        <v>72</v>
      </c>
      <c r="G996" s="4">
        <v>4</v>
      </c>
      <c r="H996" s="4" t="s">
        <v>17</v>
      </c>
      <c r="I996" s="4" t="s">
        <v>69</v>
      </c>
      <c r="J996" s="4" t="s">
        <v>73</v>
      </c>
      <c r="K996" s="4">
        <v>1</v>
      </c>
      <c r="L996" s="94">
        <v>752325</v>
      </c>
      <c r="M996" s="94">
        <v>3009300</v>
      </c>
    </row>
    <row r="997" spans="3:13" x14ac:dyDescent="0.3">
      <c r="C997" t="s">
        <v>71</v>
      </c>
      <c r="D997" t="s">
        <v>67</v>
      </c>
      <c r="E997" t="s">
        <v>63</v>
      </c>
      <c r="F997" t="s">
        <v>26</v>
      </c>
      <c r="G997" s="4">
        <v>-4</v>
      </c>
      <c r="H997" s="4" t="s">
        <v>16</v>
      </c>
      <c r="I997" s="4" t="s">
        <v>69</v>
      </c>
      <c r="J997" s="4" t="s">
        <v>66</v>
      </c>
      <c r="K997" s="4">
        <v>0</v>
      </c>
      <c r="L997" s="94">
        <v>-53742</v>
      </c>
      <c r="M997" s="94">
        <v>0</v>
      </c>
    </row>
    <row r="998" spans="3:13" x14ac:dyDescent="0.3">
      <c r="C998" t="s">
        <v>70</v>
      </c>
      <c r="D998" t="s">
        <v>62</v>
      </c>
      <c r="E998" t="s">
        <v>68</v>
      </c>
      <c r="F998" t="s">
        <v>24</v>
      </c>
      <c r="G998" s="4">
        <v>15</v>
      </c>
      <c r="I998" s="4" t="s">
        <v>65</v>
      </c>
      <c r="J998" s="4" t="s">
        <v>66</v>
      </c>
      <c r="K998" s="4">
        <v>1</v>
      </c>
      <c r="L998" s="94">
        <v>435070</v>
      </c>
      <c r="M998" s="94">
        <v>6526050</v>
      </c>
    </row>
    <row r="999" spans="3:13" x14ac:dyDescent="0.3">
      <c r="C999" t="s">
        <v>71</v>
      </c>
      <c r="D999" t="s">
        <v>62</v>
      </c>
      <c r="E999" t="s">
        <v>63</v>
      </c>
      <c r="F999" t="s">
        <v>24</v>
      </c>
      <c r="G999" s="4">
        <v>44</v>
      </c>
      <c r="I999" s="4" t="s">
        <v>69</v>
      </c>
      <c r="J999" s="4" t="s">
        <v>66</v>
      </c>
      <c r="K999" s="4">
        <v>0</v>
      </c>
      <c r="L999" s="94">
        <v>-31951</v>
      </c>
      <c r="M999" s="94">
        <v>0</v>
      </c>
    </row>
    <row r="1000" spans="3:13" x14ac:dyDescent="0.3">
      <c r="C1000" t="s">
        <v>71</v>
      </c>
      <c r="D1000" t="s">
        <v>67</v>
      </c>
      <c r="E1000" t="s">
        <v>68</v>
      </c>
      <c r="F1000" t="s">
        <v>26</v>
      </c>
      <c r="G1000" s="4">
        <v>2</v>
      </c>
      <c r="H1000" s="4" t="s">
        <v>83</v>
      </c>
      <c r="I1000" s="4" t="s">
        <v>69</v>
      </c>
      <c r="J1000" s="4" t="s">
        <v>66</v>
      </c>
      <c r="K1000" s="4">
        <v>0</v>
      </c>
      <c r="L1000" s="94">
        <v>207840</v>
      </c>
      <c r="M1000" s="94">
        <v>415680</v>
      </c>
    </row>
    <row r="1001" spans="3:13" x14ac:dyDescent="0.3">
      <c r="C1001" t="s">
        <v>70</v>
      </c>
      <c r="D1001" t="s">
        <v>62</v>
      </c>
      <c r="E1001" t="s">
        <v>68</v>
      </c>
      <c r="F1001" t="s">
        <v>25</v>
      </c>
      <c r="G1001" s="4">
        <v>12</v>
      </c>
      <c r="I1001" s="4" t="s">
        <v>65</v>
      </c>
      <c r="J1001" s="4" t="s">
        <v>66</v>
      </c>
      <c r="K1001" s="4">
        <v>1</v>
      </c>
      <c r="L1001" s="94">
        <v>26808</v>
      </c>
      <c r="M1001" s="94">
        <v>321696</v>
      </c>
    </row>
    <row r="1002" spans="3:13" x14ac:dyDescent="0.3">
      <c r="C1002" t="s">
        <v>71</v>
      </c>
      <c r="D1002" t="s">
        <v>67</v>
      </c>
      <c r="E1002" t="s">
        <v>68</v>
      </c>
      <c r="F1002" t="s">
        <v>72</v>
      </c>
      <c r="G1002" s="4">
        <v>-4</v>
      </c>
      <c r="H1002" s="4" t="s">
        <v>76</v>
      </c>
      <c r="I1002" s="4" t="s">
        <v>69</v>
      </c>
      <c r="J1002" s="4" t="s">
        <v>66</v>
      </c>
      <c r="K1002" s="4">
        <v>0</v>
      </c>
      <c r="L1002" s="94">
        <v>153273</v>
      </c>
      <c r="M1002" s="94">
        <v>0</v>
      </c>
    </row>
    <row r="1003" spans="3:13" x14ac:dyDescent="0.3">
      <c r="C1003" t="s">
        <v>61</v>
      </c>
      <c r="D1003" t="s">
        <v>62</v>
      </c>
      <c r="E1003" t="s">
        <v>68</v>
      </c>
      <c r="F1003" t="s">
        <v>24</v>
      </c>
      <c r="G1003" s="4">
        <v>0</v>
      </c>
      <c r="I1003" s="4" t="s">
        <v>69</v>
      </c>
      <c r="J1003" s="4" t="s">
        <v>66</v>
      </c>
      <c r="K1003" s="4">
        <v>1</v>
      </c>
      <c r="L1003" s="94">
        <v>13274</v>
      </c>
      <c r="M1003" s="94">
        <v>0</v>
      </c>
    </row>
    <row r="1004" spans="3:13" x14ac:dyDescent="0.3">
      <c r="C1004" t="s">
        <v>61</v>
      </c>
      <c r="D1004" t="s">
        <v>84</v>
      </c>
      <c r="E1004" t="s">
        <v>68</v>
      </c>
      <c r="F1004" t="s">
        <v>25</v>
      </c>
      <c r="G1004" s="4">
        <v>9</v>
      </c>
      <c r="H1004" s="4" t="s">
        <v>81</v>
      </c>
      <c r="I1004" s="4" t="s">
        <v>69</v>
      </c>
      <c r="J1004" s="4" t="s">
        <v>66</v>
      </c>
      <c r="K1004" s="4">
        <v>0</v>
      </c>
      <c r="L1004" s="94">
        <v>99830</v>
      </c>
      <c r="M1004" s="94">
        <v>898470</v>
      </c>
    </row>
    <row r="1005" spans="3:13" x14ac:dyDescent="0.3">
      <c r="C1005" t="s">
        <v>61</v>
      </c>
      <c r="D1005" t="s">
        <v>67</v>
      </c>
      <c r="E1005" t="s">
        <v>63</v>
      </c>
      <c r="F1005" t="s">
        <v>72</v>
      </c>
      <c r="G1005" s="4">
        <v>0</v>
      </c>
      <c r="H1005" s="4" t="s">
        <v>82</v>
      </c>
      <c r="I1005" s="4" t="s">
        <v>65</v>
      </c>
      <c r="J1005" s="4" t="s">
        <v>66</v>
      </c>
      <c r="K1005" s="4">
        <v>1</v>
      </c>
      <c r="L1005" s="94">
        <v>-4</v>
      </c>
      <c r="M1005" s="94">
        <v>0</v>
      </c>
    </row>
    <row r="1006" spans="3:13" x14ac:dyDescent="0.3">
      <c r="C1006" t="s">
        <v>61</v>
      </c>
      <c r="D1006" t="s">
        <v>67</v>
      </c>
      <c r="E1006" t="s">
        <v>68</v>
      </c>
      <c r="F1006" t="s">
        <v>26</v>
      </c>
      <c r="G1006" s="4">
        <v>3</v>
      </c>
      <c r="H1006" s="4" t="s">
        <v>64</v>
      </c>
      <c r="I1006" s="4" t="s">
        <v>69</v>
      </c>
      <c r="J1006" s="4" t="s">
        <v>66</v>
      </c>
      <c r="K1006" s="4">
        <v>0</v>
      </c>
      <c r="L1006" s="94">
        <v>14195906</v>
      </c>
      <c r="M1006" s="94">
        <v>42587718</v>
      </c>
    </row>
    <row r="1007" spans="3:13" x14ac:dyDescent="0.3">
      <c r="C1007" t="s">
        <v>70</v>
      </c>
      <c r="D1007" t="s">
        <v>67</v>
      </c>
      <c r="E1007" t="s">
        <v>63</v>
      </c>
      <c r="F1007" t="s">
        <v>26</v>
      </c>
      <c r="G1007" s="4">
        <v>5</v>
      </c>
      <c r="H1007" s="4" t="s">
        <v>78</v>
      </c>
      <c r="I1007" s="4" t="s">
        <v>69</v>
      </c>
      <c r="J1007" s="4" t="s">
        <v>66</v>
      </c>
      <c r="K1007" s="4">
        <v>0</v>
      </c>
      <c r="L1007" s="94">
        <v>-1507</v>
      </c>
      <c r="M1007" s="94">
        <v>0</v>
      </c>
    </row>
    <row r="1008" spans="3:13" x14ac:dyDescent="0.3">
      <c r="C1008" t="s">
        <v>70</v>
      </c>
      <c r="D1008" t="s">
        <v>67</v>
      </c>
      <c r="E1008" t="s">
        <v>63</v>
      </c>
      <c r="F1008" t="s">
        <v>25</v>
      </c>
      <c r="G1008" s="4">
        <v>-4</v>
      </c>
      <c r="H1008" s="4" t="s">
        <v>14</v>
      </c>
      <c r="I1008" s="4" t="s">
        <v>69</v>
      </c>
      <c r="J1008" s="4" t="s">
        <v>66</v>
      </c>
      <c r="K1008" s="4">
        <v>0</v>
      </c>
      <c r="L1008" s="94">
        <v>-70</v>
      </c>
      <c r="M1008" s="94">
        <v>0</v>
      </c>
    </row>
    <row r="1009" spans="3:13" x14ac:dyDescent="0.3">
      <c r="C1009" t="s">
        <v>71</v>
      </c>
      <c r="D1009" t="s">
        <v>62</v>
      </c>
      <c r="E1009" t="s">
        <v>63</v>
      </c>
      <c r="F1009" t="s">
        <v>24</v>
      </c>
      <c r="G1009" s="4">
        <v>31</v>
      </c>
      <c r="I1009" s="4" t="s">
        <v>65</v>
      </c>
      <c r="J1009" s="4" t="s">
        <v>66</v>
      </c>
      <c r="K1009" s="4">
        <v>1</v>
      </c>
      <c r="L1009" s="94">
        <v>-20368</v>
      </c>
      <c r="M1009" s="94">
        <v>0</v>
      </c>
    </row>
    <row r="1010" spans="3:13" x14ac:dyDescent="0.3">
      <c r="C1010" t="s">
        <v>61</v>
      </c>
      <c r="D1010" t="s">
        <v>67</v>
      </c>
      <c r="E1010" t="s">
        <v>63</v>
      </c>
      <c r="F1010" t="s">
        <v>26</v>
      </c>
      <c r="G1010" s="4">
        <v>5</v>
      </c>
      <c r="H1010" s="4" t="s">
        <v>15</v>
      </c>
      <c r="I1010" s="4" t="s">
        <v>69</v>
      </c>
      <c r="J1010" s="4" t="s">
        <v>73</v>
      </c>
      <c r="K1010" s="4">
        <v>1</v>
      </c>
      <c r="L1010" s="94">
        <v>-17416</v>
      </c>
      <c r="M1010" s="94">
        <v>0</v>
      </c>
    </row>
    <row r="1011" spans="3:13" x14ac:dyDescent="0.3">
      <c r="C1011" t="s">
        <v>61</v>
      </c>
      <c r="D1011" t="s">
        <v>67</v>
      </c>
      <c r="E1011" t="s">
        <v>68</v>
      </c>
      <c r="F1011" t="s">
        <v>26</v>
      </c>
      <c r="G1011" s="4">
        <v>0</v>
      </c>
      <c r="H1011" s="4" t="s">
        <v>16</v>
      </c>
      <c r="I1011" s="4" t="s">
        <v>69</v>
      </c>
      <c r="J1011" s="4" t="s">
        <v>66</v>
      </c>
      <c r="K1011" s="4">
        <v>0</v>
      </c>
      <c r="L1011" s="94">
        <v>5717151</v>
      </c>
      <c r="M1011" s="94">
        <v>0</v>
      </c>
    </row>
    <row r="1012" spans="3:13" x14ac:dyDescent="0.3">
      <c r="C1012" t="s">
        <v>61</v>
      </c>
      <c r="D1012" t="s">
        <v>67</v>
      </c>
      <c r="E1012" t="s">
        <v>68</v>
      </c>
      <c r="F1012" t="s">
        <v>25</v>
      </c>
      <c r="G1012" s="4">
        <v>10</v>
      </c>
      <c r="H1012" s="4" t="s">
        <v>75</v>
      </c>
      <c r="I1012" s="4" t="s">
        <v>69</v>
      </c>
      <c r="J1012" s="4" t="s">
        <v>66</v>
      </c>
      <c r="K1012" s="4">
        <v>0</v>
      </c>
      <c r="L1012" s="94">
        <v>78778039</v>
      </c>
      <c r="M1012" s="94">
        <v>787780390</v>
      </c>
    </row>
    <row r="1013" spans="3:13" x14ac:dyDescent="0.3">
      <c r="C1013" t="s">
        <v>71</v>
      </c>
      <c r="D1013" t="s">
        <v>67</v>
      </c>
      <c r="E1013" t="s">
        <v>68</v>
      </c>
      <c r="F1013" t="s">
        <v>25</v>
      </c>
      <c r="G1013" s="4">
        <v>20</v>
      </c>
      <c r="H1013" s="4" t="s">
        <v>64</v>
      </c>
      <c r="I1013" s="4" t="s">
        <v>69</v>
      </c>
      <c r="J1013" s="4" t="s">
        <v>66</v>
      </c>
      <c r="K1013" s="4">
        <v>0</v>
      </c>
      <c r="L1013" s="94">
        <v>131884</v>
      </c>
      <c r="M1013" s="94">
        <v>2637680</v>
      </c>
    </row>
    <row r="1014" spans="3:13" x14ac:dyDescent="0.3">
      <c r="C1014" t="s">
        <v>61</v>
      </c>
      <c r="D1014" t="s">
        <v>62</v>
      </c>
      <c r="E1014" t="s">
        <v>68</v>
      </c>
      <c r="F1014" t="s">
        <v>24</v>
      </c>
      <c r="G1014" s="4">
        <v>15</v>
      </c>
      <c r="I1014" s="4" t="s">
        <v>69</v>
      </c>
      <c r="J1014" s="4" t="s">
        <v>66</v>
      </c>
      <c r="K1014" s="4">
        <v>0</v>
      </c>
      <c r="L1014" s="94">
        <v>274189960</v>
      </c>
      <c r="M1014" s="94">
        <v>4112849400</v>
      </c>
    </row>
    <row r="1015" spans="3:13" x14ac:dyDescent="0.3">
      <c r="C1015" t="s">
        <v>71</v>
      </c>
      <c r="D1015" t="s">
        <v>67</v>
      </c>
      <c r="E1015" t="s">
        <v>63</v>
      </c>
      <c r="F1015" t="s">
        <v>72</v>
      </c>
      <c r="G1015" s="4">
        <v>4</v>
      </c>
      <c r="H1015" s="4" t="s">
        <v>14</v>
      </c>
      <c r="I1015" s="4" t="s">
        <v>69</v>
      </c>
      <c r="J1015" s="4" t="s">
        <v>66</v>
      </c>
      <c r="K1015" s="4">
        <v>0</v>
      </c>
      <c r="L1015" s="94">
        <v>-39160</v>
      </c>
      <c r="M1015" s="94">
        <v>0</v>
      </c>
    </row>
    <row r="1016" spans="3:13" x14ac:dyDescent="0.3">
      <c r="C1016" t="s">
        <v>70</v>
      </c>
      <c r="D1016" t="s">
        <v>67</v>
      </c>
      <c r="E1016" t="s">
        <v>63</v>
      </c>
      <c r="F1016" t="s">
        <v>26</v>
      </c>
      <c r="G1016" s="4">
        <v>3</v>
      </c>
      <c r="H1016" s="4" t="s">
        <v>18</v>
      </c>
      <c r="I1016" s="4" t="s">
        <v>69</v>
      </c>
      <c r="J1016" s="4" t="s">
        <v>66</v>
      </c>
      <c r="K1016" s="4">
        <v>0</v>
      </c>
      <c r="L1016" s="94">
        <v>-1823772</v>
      </c>
      <c r="M1016" s="94">
        <v>0</v>
      </c>
    </row>
    <row r="1017" spans="3:13" x14ac:dyDescent="0.3">
      <c r="C1017" t="s">
        <v>70</v>
      </c>
      <c r="D1017" t="s">
        <v>62</v>
      </c>
      <c r="E1017" t="s">
        <v>68</v>
      </c>
      <c r="F1017" t="s">
        <v>25</v>
      </c>
      <c r="G1017" s="4">
        <v>24</v>
      </c>
      <c r="I1017" s="4" t="s">
        <v>69</v>
      </c>
      <c r="J1017" s="4" t="s">
        <v>66</v>
      </c>
      <c r="K1017" s="4">
        <v>0</v>
      </c>
      <c r="L1017" s="94">
        <v>18579</v>
      </c>
      <c r="M1017" s="94">
        <v>445896</v>
      </c>
    </row>
    <row r="1018" spans="3:13" x14ac:dyDescent="0.3">
      <c r="C1018" t="s">
        <v>61</v>
      </c>
      <c r="D1018" t="s">
        <v>62</v>
      </c>
      <c r="E1018" t="s">
        <v>63</v>
      </c>
      <c r="F1018" t="s">
        <v>24</v>
      </c>
      <c r="G1018" s="4">
        <v>26</v>
      </c>
      <c r="I1018" s="4" t="s">
        <v>69</v>
      </c>
      <c r="J1018" s="4" t="s">
        <v>66</v>
      </c>
      <c r="K1018" s="4">
        <v>1</v>
      </c>
      <c r="L1018" s="94">
        <v>-916</v>
      </c>
      <c r="M1018" s="94">
        <v>0</v>
      </c>
    </row>
    <row r="1019" spans="3:13" x14ac:dyDescent="0.3">
      <c r="C1019" t="s">
        <v>61</v>
      </c>
      <c r="D1019" t="s">
        <v>67</v>
      </c>
      <c r="E1019" t="s">
        <v>63</v>
      </c>
      <c r="F1019" t="s">
        <v>25</v>
      </c>
      <c r="G1019" s="4">
        <v>11</v>
      </c>
      <c r="H1019" s="4" t="s">
        <v>17</v>
      </c>
      <c r="I1019" s="4" t="s">
        <v>69</v>
      </c>
      <c r="J1019" s="4" t="s">
        <v>66</v>
      </c>
      <c r="K1019" s="4">
        <v>0</v>
      </c>
      <c r="L1019" s="94">
        <v>-27142</v>
      </c>
      <c r="M1019" s="94">
        <v>0</v>
      </c>
    </row>
    <row r="1020" spans="3:13" x14ac:dyDescent="0.3">
      <c r="C1020" t="s">
        <v>70</v>
      </c>
      <c r="D1020" t="s">
        <v>67</v>
      </c>
      <c r="E1020" t="s">
        <v>63</v>
      </c>
      <c r="F1020" t="s">
        <v>25</v>
      </c>
      <c r="G1020" s="4">
        <v>11</v>
      </c>
      <c r="H1020" s="4" t="s">
        <v>18</v>
      </c>
      <c r="I1020" s="4" t="s">
        <v>69</v>
      </c>
      <c r="J1020" s="4" t="s">
        <v>66</v>
      </c>
      <c r="K1020" s="4">
        <v>0</v>
      </c>
      <c r="L1020" s="94">
        <v>-94770</v>
      </c>
      <c r="M1020" s="94">
        <v>0</v>
      </c>
    </row>
    <row r="1021" spans="3:13" x14ac:dyDescent="0.3">
      <c r="C1021" t="s">
        <v>61</v>
      </c>
      <c r="D1021" t="s">
        <v>67</v>
      </c>
      <c r="E1021" t="s">
        <v>68</v>
      </c>
      <c r="F1021" t="s">
        <v>72</v>
      </c>
      <c r="G1021" s="4">
        <v>1</v>
      </c>
      <c r="H1021" s="4" t="s">
        <v>14</v>
      </c>
      <c r="I1021" s="4" t="s">
        <v>65</v>
      </c>
      <c r="J1021" s="4" t="s">
        <v>73</v>
      </c>
      <c r="K1021" s="4">
        <v>1</v>
      </c>
      <c r="L1021" s="94">
        <v>116083</v>
      </c>
      <c r="M1021" s="94">
        <v>116083</v>
      </c>
    </row>
    <row r="1022" spans="3:13" x14ac:dyDescent="0.3">
      <c r="C1022" t="s">
        <v>71</v>
      </c>
      <c r="D1022" t="s">
        <v>67</v>
      </c>
      <c r="E1022" t="s">
        <v>63</v>
      </c>
      <c r="F1022" t="s">
        <v>72</v>
      </c>
      <c r="G1022" s="4">
        <v>-4</v>
      </c>
      <c r="H1022" s="4" t="s">
        <v>81</v>
      </c>
      <c r="I1022" s="4" t="s">
        <v>69</v>
      </c>
      <c r="J1022" s="4" t="s">
        <v>66</v>
      </c>
      <c r="K1022" s="4">
        <v>0</v>
      </c>
      <c r="L1022" s="94">
        <v>-15</v>
      </c>
      <c r="M1022" s="94">
        <v>0</v>
      </c>
    </row>
    <row r="1023" spans="3:13" x14ac:dyDescent="0.3">
      <c r="C1023" t="s">
        <v>61</v>
      </c>
      <c r="D1023" t="s">
        <v>67</v>
      </c>
      <c r="E1023" t="s">
        <v>68</v>
      </c>
      <c r="F1023" t="s">
        <v>25</v>
      </c>
      <c r="G1023" s="4">
        <v>0</v>
      </c>
      <c r="H1023" s="4" t="s">
        <v>12</v>
      </c>
      <c r="I1023" s="4" t="s">
        <v>69</v>
      </c>
      <c r="J1023" s="4" t="s">
        <v>66</v>
      </c>
      <c r="K1023" s="4">
        <v>1</v>
      </c>
      <c r="L1023" s="94">
        <v>25091</v>
      </c>
      <c r="M1023" s="94">
        <v>0</v>
      </c>
    </row>
    <row r="1024" spans="3:13" x14ac:dyDescent="0.3">
      <c r="C1024" t="s">
        <v>61</v>
      </c>
      <c r="D1024" t="s">
        <v>67</v>
      </c>
      <c r="E1024" t="s">
        <v>68</v>
      </c>
      <c r="F1024" t="s">
        <v>26</v>
      </c>
      <c r="G1024" s="4">
        <v>4</v>
      </c>
      <c r="H1024" s="4" t="s">
        <v>14</v>
      </c>
      <c r="I1024" s="4" t="s">
        <v>69</v>
      </c>
      <c r="J1024" s="4" t="s">
        <v>66</v>
      </c>
      <c r="K1024" s="4">
        <v>0</v>
      </c>
      <c r="L1024" s="94">
        <v>55659576</v>
      </c>
      <c r="M1024" s="94">
        <v>222638304</v>
      </c>
    </row>
    <row r="1025" spans="3:13" x14ac:dyDescent="0.3">
      <c r="C1025" t="s">
        <v>71</v>
      </c>
      <c r="D1025" t="s">
        <v>67</v>
      </c>
      <c r="E1025" t="s">
        <v>63</v>
      </c>
      <c r="F1025" t="s">
        <v>26</v>
      </c>
      <c r="G1025" s="4">
        <v>1</v>
      </c>
      <c r="H1025" s="4" t="s">
        <v>75</v>
      </c>
      <c r="I1025" s="4" t="s">
        <v>69</v>
      </c>
      <c r="J1025" s="4" t="s">
        <v>66</v>
      </c>
      <c r="K1025" s="4">
        <v>0</v>
      </c>
      <c r="L1025" s="94">
        <v>-179950</v>
      </c>
      <c r="M1025" s="94">
        <v>0</v>
      </c>
    </row>
    <row r="1026" spans="3:13" x14ac:dyDescent="0.3">
      <c r="C1026" t="s">
        <v>71</v>
      </c>
      <c r="D1026" t="s">
        <v>67</v>
      </c>
      <c r="E1026" t="s">
        <v>68</v>
      </c>
      <c r="F1026" t="s">
        <v>25</v>
      </c>
      <c r="G1026" s="4">
        <v>6</v>
      </c>
      <c r="H1026" s="4" t="s">
        <v>76</v>
      </c>
      <c r="I1026" s="4" t="s">
        <v>69</v>
      </c>
      <c r="J1026" s="4" t="s">
        <v>66</v>
      </c>
      <c r="K1026" s="4">
        <v>0</v>
      </c>
      <c r="L1026" s="94">
        <v>1392882</v>
      </c>
      <c r="M1026" s="94">
        <v>8357292</v>
      </c>
    </row>
    <row r="1027" spans="3:13" x14ac:dyDescent="0.3">
      <c r="C1027" t="s">
        <v>71</v>
      </c>
      <c r="D1027" t="s">
        <v>67</v>
      </c>
      <c r="E1027" t="s">
        <v>68</v>
      </c>
      <c r="F1027" t="s">
        <v>26</v>
      </c>
      <c r="G1027" s="4">
        <v>5</v>
      </c>
      <c r="H1027" s="4" t="s">
        <v>77</v>
      </c>
      <c r="I1027" s="4" t="s">
        <v>69</v>
      </c>
      <c r="J1027" s="4" t="s">
        <v>66</v>
      </c>
      <c r="K1027" s="4">
        <v>0</v>
      </c>
      <c r="L1027" s="94">
        <v>89899</v>
      </c>
      <c r="M1027" s="94">
        <v>449495</v>
      </c>
    </row>
    <row r="1028" spans="3:13" x14ac:dyDescent="0.3">
      <c r="C1028" t="s">
        <v>61</v>
      </c>
      <c r="D1028" t="s">
        <v>67</v>
      </c>
      <c r="E1028" t="s">
        <v>68</v>
      </c>
      <c r="F1028" t="s">
        <v>72</v>
      </c>
      <c r="G1028" s="4">
        <v>6</v>
      </c>
      <c r="H1028" s="4" t="s">
        <v>18</v>
      </c>
      <c r="I1028" s="4" t="s">
        <v>69</v>
      </c>
      <c r="J1028" s="4" t="s">
        <v>66</v>
      </c>
      <c r="K1028" s="4">
        <v>0</v>
      </c>
      <c r="L1028" s="94">
        <v>1729096</v>
      </c>
      <c r="M1028" s="94">
        <v>10374576</v>
      </c>
    </row>
    <row r="1029" spans="3:13" x14ac:dyDescent="0.3">
      <c r="C1029" t="s">
        <v>61</v>
      </c>
      <c r="D1029" t="s">
        <v>67</v>
      </c>
      <c r="E1029" t="s">
        <v>68</v>
      </c>
      <c r="F1029" t="s">
        <v>25</v>
      </c>
      <c r="G1029" s="4">
        <v>8</v>
      </c>
      <c r="H1029" s="4" t="s">
        <v>83</v>
      </c>
      <c r="I1029" s="4" t="s">
        <v>69</v>
      </c>
      <c r="J1029" s="4" t="s">
        <v>66</v>
      </c>
      <c r="K1029" s="4">
        <v>0</v>
      </c>
      <c r="L1029" s="94">
        <v>2214350</v>
      </c>
      <c r="M1029" s="94">
        <v>17714800</v>
      </c>
    </row>
    <row r="1030" spans="3:13" x14ac:dyDescent="0.3">
      <c r="C1030" t="s">
        <v>61</v>
      </c>
      <c r="D1030" t="s">
        <v>67</v>
      </c>
      <c r="E1030" t="s">
        <v>68</v>
      </c>
      <c r="F1030" t="s">
        <v>26</v>
      </c>
      <c r="G1030" s="4">
        <v>14</v>
      </c>
      <c r="H1030" s="4" t="s">
        <v>74</v>
      </c>
      <c r="I1030" s="4" t="s">
        <v>69</v>
      </c>
      <c r="J1030" s="4" t="s">
        <v>66</v>
      </c>
      <c r="K1030" s="4">
        <v>0</v>
      </c>
      <c r="L1030" s="94">
        <v>4458185</v>
      </c>
      <c r="M1030" s="94">
        <v>62414590</v>
      </c>
    </row>
    <row r="1031" spans="3:13" x14ac:dyDescent="0.3">
      <c r="C1031" t="s">
        <v>71</v>
      </c>
      <c r="D1031" t="s">
        <v>62</v>
      </c>
      <c r="E1031" t="s">
        <v>68</v>
      </c>
      <c r="F1031" t="s">
        <v>24</v>
      </c>
      <c r="G1031" s="4">
        <v>2</v>
      </c>
      <c r="I1031" s="4" t="s">
        <v>65</v>
      </c>
      <c r="J1031" s="4" t="s">
        <v>66</v>
      </c>
      <c r="K1031" s="4">
        <v>1</v>
      </c>
      <c r="L1031" s="94">
        <v>7430</v>
      </c>
      <c r="M1031" s="94">
        <v>14860</v>
      </c>
    </row>
    <row r="1032" spans="3:13" x14ac:dyDescent="0.3">
      <c r="C1032" t="s">
        <v>71</v>
      </c>
      <c r="D1032" t="s">
        <v>67</v>
      </c>
      <c r="E1032" t="s">
        <v>68</v>
      </c>
      <c r="F1032" t="s">
        <v>26</v>
      </c>
      <c r="G1032" s="4">
        <v>-1</v>
      </c>
      <c r="H1032" s="4" t="s">
        <v>17</v>
      </c>
      <c r="I1032" s="4" t="s">
        <v>69</v>
      </c>
      <c r="J1032" s="4" t="s">
        <v>66</v>
      </c>
      <c r="K1032" s="4">
        <v>0</v>
      </c>
      <c r="L1032" s="94">
        <v>5408061</v>
      </c>
      <c r="M1032" s="94">
        <v>0</v>
      </c>
    </row>
    <row r="1033" spans="3:13" x14ac:dyDescent="0.3">
      <c r="C1033" t="s">
        <v>71</v>
      </c>
      <c r="D1033" t="s">
        <v>67</v>
      </c>
      <c r="E1033" t="s">
        <v>63</v>
      </c>
      <c r="F1033" t="s">
        <v>25</v>
      </c>
      <c r="G1033" s="4">
        <v>6</v>
      </c>
      <c r="H1033" s="4" t="s">
        <v>18</v>
      </c>
      <c r="I1033" s="4" t="s">
        <v>69</v>
      </c>
      <c r="J1033" s="4" t="s">
        <v>66</v>
      </c>
      <c r="K1033" s="4">
        <v>0</v>
      </c>
      <c r="L1033" s="94">
        <v>-851117</v>
      </c>
      <c r="M1033" s="94">
        <v>0</v>
      </c>
    </row>
    <row r="1034" spans="3:13" x14ac:dyDescent="0.3">
      <c r="C1034" t="s">
        <v>61</v>
      </c>
      <c r="D1034" t="s">
        <v>67</v>
      </c>
      <c r="E1034" t="s">
        <v>63</v>
      </c>
      <c r="F1034" t="s">
        <v>25</v>
      </c>
      <c r="G1034" s="4">
        <v>18</v>
      </c>
      <c r="H1034" s="4" t="s">
        <v>64</v>
      </c>
      <c r="I1034" s="4" t="s">
        <v>69</v>
      </c>
      <c r="J1034" s="4" t="s">
        <v>66</v>
      </c>
      <c r="K1034" s="4">
        <v>0</v>
      </c>
      <c r="L1034" s="94">
        <v>-2307</v>
      </c>
      <c r="M1034" s="94">
        <v>0</v>
      </c>
    </row>
    <row r="1035" spans="3:13" x14ac:dyDescent="0.3">
      <c r="C1035" t="s">
        <v>71</v>
      </c>
      <c r="D1035" t="s">
        <v>67</v>
      </c>
      <c r="E1035" t="s">
        <v>68</v>
      </c>
      <c r="F1035" t="s">
        <v>26</v>
      </c>
      <c r="G1035" s="4">
        <v>4</v>
      </c>
      <c r="H1035" s="4" t="s">
        <v>76</v>
      </c>
      <c r="I1035" s="4" t="s">
        <v>69</v>
      </c>
      <c r="J1035" s="4" t="s">
        <v>66</v>
      </c>
      <c r="K1035" s="4">
        <v>0</v>
      </c>
      <c r="L1035" s="94">
        <v>415578</v>
      </c>
      <c r="M1035" s="94">
        <v>1662312</v>
      </c>
    </row>
    <row r="1036" spans="3:13" x14ac:dyDescent="0.3">
      <c r="C1036" t="s">
        <v>71</v>
      </c>
      <c r="D1036" t="s">
        <v>62</v>
      </c>
      <c r="E1036" t="s">
        <v>63</v>
      </c>
      <c r="F1036" t="s">
        <v>24</v>
      </c>
      <c r="G1036" s="4">
        <v>18</v>
      </c>
      <c r="I1036" s="4" t="s">
        <v>69</v>
      </c>
      <c r="J1036" s="4" t="s">
        <v>66</v>
      </c>
      <c r="K1036" s="4">
        <v>1</v>
      </c>
      <c r="L1036" s="94">
        <v>-67881</v>
      </c>
      <c r="M1036" s="94">
        <v>0</v>
      </c>
    </row>
    <row r="1037" spans="3:13" x14ac:dyDescent="0.3">
      <c r="C1037" t="s">
        <v>71</v>
      </c>
      <c r="D1037" t="s">
        <v>67</v>
      </c>
      <c r="E1037" t="s">
        <v>63</v>
      </c>
      <c r="F1037" t="s">
        <v>26</v>
      </c>
      <c r="G1037" s="4">
        <v>1</v>
      </c>
      <c r="H1037" s="4" t="s">
        <v>64</v>
      </c>
      <c r="I1037" s="4" t="s">
        <v>69</v>
      </c>
      <c r="J1037" s="4" t="s">
        <v>66</v>
      </c>
      <c r="K1037" s="4">
        <v>0</v>
      </c>
      <c r="L1037" s="94">
        <v>-289904</v>
      </c>
      <c r="M1037" s="94">
        <v>0</v>
      </c>
    </row>
    <row r="1038" spans="3:13" x14ac:dyDescent="0.3">
      <c r="C1038" t="s">
        <v>70</v>
      </c>
      <c r="D1038" t="s">
        <v>67</v>
      </c>
      <c r="E1038" t="s">
        <v>68</v>
      </c>
      <c r="F1038" t="s">
        <v>72</v>
      </c>
      <c r="G1038" s="4">
        <v>4</v>
      </c>
      <c r="H1038" s="4" t="s">
        <v>80</v>
      </c>
      <c r="I1038" s="4" t="s">
        <v>69</v>
      </c>
      <c r="J1038" s="4" t="s">
        <v>66</v>
      </c>
      <c r="K1038" s="4">
        <v>0</v>
      </c>
      <c r="L1038" s="94">
        <v>186633</v>
      </c>
      <c r="M1038" s="94">
        <v>746532</v>
      </c>
    </row>
    <row r="1039" spans="3:13" x14ac:dyDescent="0.3">
      <c r="C1039" t="s">
        <v>61</v>
      </c>
      <c r="D1039" t="s">
        <v>67</v>
      </c>
      <c r="E1039" t="s">
        <v>68</v>
      </c>
      <c r="F1039" t="s">
        <v>25</v>
      </c>
      <c r="G1039" s="4">
        <v>0</v>
      </c>
      <c r="H1039" s="4" t="s">
        <v>14</v>
      </c>
      <c r="I1039" s="4" t="s">
        <v>69</v>
      </c>
      <c r="J1039" s="4" t="s">
        <v>66</v>
      </c>
      <c r="K1039" s="4">
        <v>1</v>
      </c>
      <c r="L1039" s="94">
        <v>268585</v>
      </c>
      <c r="M1039" s="94">
        <v>0</v>
      </c>
    </row>
    <row r="1040" spans="3:13" x14ac:dyDescent="0.3">
      <c r="C1040" t="s">
        <v>70</v>
      </c>
      <c r="D1040" t="s">
        <v>67</v>
      </c>
      <c r="E1040" t="s">
        <v>63</v>
      </c>
      <c r="F1040" t="s">
        <v>72</v>
      </c>
      <c r="G1040" s="4">
        <v>4</v>
      </c>
      <c r="H1040" s="4" t="s">
        <v>12</v>
      </c>
      <c r="I1040" s="4" t="s">
        <v>69</v>
      </c>
      <c r="J1040" s="4" t="s">
        <v>73</v>
      </c>
      <c r="K1040" s="4">
        <v>1</v>
      </c>
      <c r="L1040" s="94">
        <v>-13815</v>
      </c>
      <c r="M1040" s="94">
        <v>0</v>
      </c>
    </row>
    <row r="1041" spans="3:13" x14ac:dyDescent="0.3">
      <c r="C1041" t="s">
        <v>61</v>
      </c>
      <c r="D1041" t="s">
        <v>67</v>
      </c>
      <c r="E1041" t="s">
        <v>68</v>
      </c>
      <c r="F1041" t="s">
        <v>25</v>
      </c>
      <c r="G1041" s="4">
        <v>7</v>
      </c>
      <c r="H1041" s="4" t="s">
        <v>74</v>
      </c>
      <c r="I1041" s="4" t="s">
        <v>69</v>
      </c>
      <c r="J1041" s="4" t="s">
        <v>66</v>
      </c>
      <c r="K1041" s="4">
        <v>0</v>
      </c>
      <c r="L1041" s="94">
        <v>5060452</v>
      </c>
      <c r="M1041" s="94">
        <v>35423164</v>
      </c>
    </row>
    <row r="1042" spans="3:13" x14ac:dyDescent="0.3">
      <c r="C1042" t="s">
        <v>61</v>
      </c>
      <c r="D1042" t="s">
        <v>67</v>
      </c>
      <c r="E1042" t="s">
        <v>68</v>
      </c>
      <c r="F1042" t="s">
        <v>72</v>
      </c>
      <c r="G1042" s="4">
        <v>1</v>
      </c>
      <c r="H1042" s="4" t="s">
        <v>12</v>
      </c>
      <c r="I1042" s="4" t="s">
        <v>65</v>
      </c>
      <c r="J1042" s="4" t="s">
        <v>73</v>
      </c>
      <c r="K1042" s="4">
        <v>1</v>
      </c>
      <c r="L1042" s="94">
        <v>63630</v>
      </c>
      <c r="M1042" s="94">
        <v>63630</v>
      </c>
    </row>
    <row r="1043" spans="3:13" x14ac:dyDescent="0.3">
      <c r="C1043" t="s">
        <v>71</v>
      </c>
      <c r="D1043" t="s">
        <v>67</v>
      </c>
      <c r="E1043" t="s">
        <v>63</v>
      </c>
      <c r="F1043" t="s">
        <v>26</v>
      </c>
      <c r="G1043" s="4">
        <v>4</v>
      </c>
      <c r="H1043" s="4" t="s">
        <v>74</v>
      </c>
      <c r="I1043" s="4" t="s">
        <v>69</v>
      </c>
      <c r="J1043" s="4" t="s">
        <v>66</v>
      </c>
      <c r="K1043" s="4">
        <v>0</v>
      </c>
      <c r="L1043" s="94">
        <v>-208463</v>
      </c>
      <c r="M1043" s="94">
        <v>0</v>
      </c>
    </row>
    <row r="1044" spans="3:13" x14ac:dyDescent="0.3">
      <c r="C1044" t="s">
        <v>71</v>
      </c>
      <c r="D1044" t="s">
        <v>67</v>
      </c>
      <c r="E1044" t="s">
        <v>63</v>
      </c>
      <c r="F1044" t="s">
        <v>72</v>
      </c>
      <c r="G1044" s="4">
        <v>-1</v>
      </c>
      <c r="H1044" s="4" t="s">
        <v>14</v>
      </c>
      <c r="I1044" s="4" t="s">
        <v>69</v>
      </c>
      <c r="J1044" s="4" t="s">
        <v>73</v>
      </c>
      <c r="K1044" s="4">
        <v>1</v>
      </c>
      <c r="L1044" s="94">
        <v>-5695</v>
      </c>
      <c r="M1044" s="94">
        <v>0</v>
      </c>
    </row>
    <row r="1045" spans="3:13" x14ac:dyDescent="0.3">
      <c r="C1045" t="s">
        <v>70</v>
      </c>
      <c r="D1045" t="s">
        <v>62</v>
      </c>
      <c r="E1045" t="s">
        <v>68</v>
      </c>
      <c r="F1045" t="s">
        <v>24</v>
      </c>
      <c r="G1045" s="4">
        <v>5</v>
      </c>
      <c r="I1045" s="4" t="s">
        <v>69</v>
      </c>
      <c r="J1045" s="4" t="s">
        <v>66</v>
      </c>
      <c r="K1045" s="4">
        <v>0</v>
      </c>
      <c r="L1045" s="94">
        <v>12107025</v>
      </c>
      <c r="M1045" s="94">
        <v>60535125</v>
      </c>
    </row>
    <row r="1046" spans="3:13" x14ac:dyDescent="0.3">
      <c r="C1046" t="s">
        <v>71</v>
      </c>
      <c r="D1046" t="s">
        <v>67</v>
      </c>
      <c r="E1046" t="s">
        <v>63</v>
      </c>
      <c r="F1046" t="s">
        <v>72</v>
      </c>
      <c r="G1046" s="4">
        <v>-4</v>
      </c>
      <c r="H1046" s="4" t="s">
        <v>76</v>
      </c>
      <c r="I1046" s="4" t="s">
        <v>69</v>
      </c>
      <c r="J1046" s="4" t="s">
        <v>66</v>
      </c>
      <c r="K1046" s="4">
        <v>0</v>
      </c>
      <c r="L1046" s="94">
        <v>-143024</v>
      </c>
      <c r="M1046" s="94">
        <v>0</v>
      </c>
    </row>
    <row r="1047" spans="3:13" x14ac:dyDescent="0.3">
      <c r="C1047" t="s">
        <v>70</v>
      </c>
      <c r="D1047" t="s">
        <v>67</v>
      </c>
      <c r="E1047" t="s">
        <v>68</v>
      </c>
      <c r="F1047" t="s">
        <v>72</v>
      </c>
      <c r="G1047" s="4">
        <v>-1</v>
      </c>
      <c r="H1047" s="4" t="s">
        <v>78</v>
      </c>
      <c r="I1047" s="4" t="s">
        <v>69</v>
      </c>
      <c r="J1047" s="4" t="s">
        <v>66</v>
      </c>
      <c r="K1047" s="4">
        <v>0</v>
      </c>
      <c r="L1047" s="94">
        <v>20602</v>
      </c>
      <c r="M1047" s="94">
        <v>0</v>
      </c>
    </row>
    <row r="1048" spans="3:13" x14ac:dyDescent="0.3">
      <c r="C1048" t="s">
        <v>61</v>
      </c>
      <c r="D1048" t="s">
        <v>67</v>
      </c>
      <c r="E1048" t="s">
        <v>63</v>
      </c>
      <c r="F1048" t="s">
        <v>72</v>
      </c>
      <c r="G1048" s="4">
        <v>2</v>
      </c>
      <c r="H1048" s="4" t="s">
        <v>18</v>
      </c>
      <c r="I1048" s="4" t="s">
        <v>69</v>
      </c>
      <c r="J1048" s="4" t="s">
        <v>73</v>
      </c>
      <c r="K1048" s="4">
        <v>1</v>
      </c>
      <c r="L1048" s="94">
        <v>-1665</v>
      </c>
      <c r="M1048" s="94">
        <v>0</v>
      </c>
    </row>
    <row r="1049" spans="3:13" x14ac:dyDescent="0.3">
      <c r="C1049" t="s">
        <v>70</v>
      </c>
      <c r="D1049" t="s">
        <v>67</v>
      </c>
      <c r="E1049" t="s">
        <v>63</v>
      </c>
      <c r="F1049" t="s">
        <v>25</v>
      </c>
      <c r="G1049" s="4">
        <v>8</v>
      </c>
      <c r="H1049" s="4" t="s">
        <v>76</v>
      </c>
      <c r="I1049" s="4" t="s">
        <v>69</v>
      </c>
      <c r="J1049" s="4" t="s">
        <v>66</v>
      </c>
      <c r="K1049" s="4">
        <v>0</v>
      </c>
      <c r="L1049" s="94">
        <v>-40030</v>
      </c>
      <c r="M1049" s="94">
        <v>0</v>
      </c>
    </row>
    <row r="1050" spans="3:13" x14ac:dyDescent="0.3">
      <c r="C1050" t="s">
        <v>61</v>
      </c>
      <c r="D1050" t="s">
        <v>67</v>
      </c>
      <c r="E1050" t="s">
        <v>63</v>
      </c>
      <c r="F1050" t="s">
        <v>72</v>
      </c>
      <c r="G1050" s="4">
        <v>-1</v>
      </c>
      <c r="H1050" s="4" t="s">
        <v>14</v>
      </c>
      <c r="I1050" s="4" t="s">
        <v>69</v>
      </c>
      <c r="J1050" s="4" t="s">
        <v>66</v>
      </c>
      <c r="K1050" s="4">
        <v>0</v>
      </c>
      <c r="L1050" s="94">
        <v>-3010</v>
      </c>
      <c r="M1050" s="94">
        <v>0</v>
      </c>
    </row>
    <row r="1051" spans="3:13" x14ac:dyDescent="0.3">
      <c r="C1051" t="s">
        <v>71</v>
      </c>
      <c r="D1051" t="s">
        <v>67</v>
      </c>
      <c r="E1051" t="s">
        <v>63</v>
      </c>
      <c r="F1051" t="s">
        <v>72</v>
      </c>
      <c r="G1051" s="4">
        <v>2</v>
      </c>
      <c r="H1051" s="4" t="s">
        <v>18</v>
      </c>
      <c r="I1051" s="4" t="s">
        <v>69</v>
      </c>
      <c r="J1051" s="4" t="s">
        <v>66</v>
      </c>
      <c r="K1051" s="4">
        <v>0</v>
      </c>
      <c r="L1051" s="94">
        <v>-46633</v>
      </c>
      <c r="M1051" s="94">
        <v>0</v>
      </c>
    </row>
    <row r="1052" spans="3:13" x14ac:dyDescent="0.3">
      <c r="C1052" t="s">
        <v>61</v>
      </c>
      <c r="D1052" t="s">
        <v>67</v>
      </c>
      <c r="E1052" t="s">
        <v>63</v>
      </c>
      <c r="F1052" t="s">
        <v>26</v>
      </c>
      <c r="G1052" s="4">
        <v>7</v>
      </c>
      <c r="H1052" s="4" t="s">
        <v>76</v>
      </c>
      <c r="I1052" s="4" t="s">
        <v>69</v>
      </c>
      <c r="J1052" s="4" t="s">
        <v>66</v>
      </c>
      <c r="K1052" s="4">
        <v>0</v>
      </c>
      <c r="L1052" s="94">
        <v>-13320</v>
      </c>
      <c r="M1052" s="94">
        <v>0</v>
      </c>
    </row>
    <row r="1053" spans="3:13" x14ac:dyDescent="0.3">
      <c r="C1053" t="s">
        <v>71</v>
      </c>
      <c r="D1053" t="s">
        <v>67</v>
      </c>
      <c r="E1053" t="s">
        <v>68</v>
      </c>
      <c r="F1053" t="s">
        <v>72</v>
      </c>
      <c r="G1053" s="4">
        <v>3</v>
      </c>
      <c r="H1053" s="4" t="s">
        <v>14</v>
      </c>
      <c r="I1053" s="4" t="s">
        <v>69</v>
      </c>
      <c r="J1053" s="4" t="s">
        <v>66</v>
      </c>
      <c r="K1053" s="4">
        <v>0</v>
      </c>
      <c r="L1053" s="94">
        <v>317305</v>
      </c>
      <c r="M1053" s="94">
        <v>951915</v>
      </c>
    </row>
    <row r="1054" spans="3:13" x14ac:dyDescent="0.3">
      <c r="C1054" t="s">
        <v>61</v>
      </c>
      <c r="D1054" t="s">
        <v>62</v>
      </c>
      <c r="E1054" t="s">
        <v>63</v>
      </c>
      <c r="F1054" t="s">
        <v>24</v>
      </c>
      <c r="G1054" s="4">
        <v>31</v>
      </c>
      <c r="I1054" s="4" t="s">
        <v>65</v>
      </c>
      <c r="J1054" s="4" t="s">
        <v>66</v>
      </c>
      <c r="K1054" s="4">
        <v>1</v>
      </c>
      <c r="L1054" s="94">
        <v>-5772</v>
      </c>
      <c r="M1054" s="94">
        <v>0</v>
      </c>
    </row>
    <row r="1055" spans="3:13" x14ac:dyDescent="0.3">
      <c r="C1055" t="s">
        <v>61</v>
      </c>
      <c r="D1055" t="s">
        <v>67</v>
      </c>
      <c r="E1055" t="s">
        <v>63</v>
      </c>
      <c r="F1055" t="s">
        <v>26</v>
      </c>
      <c r="G1055" s="4">
        <v>-1</v>
      </c>
      <c r="H1055" s="4" t="s">
        <v>17</v>
      </c>
      <c r="I1055" s="4" t="s">
        <v>69</v>
      </c>
      <c r="J1055" s="4" t="s">
        <v>66</v>
      </c>
      <c r="K1055" s="4">
        <v>0</v>
      </c>
      <c r="L1055" s="94">
        <v>-350355</v>
      </c>
      <c r="M1055" s="94">
        <v>0</v>
      </c>
    </row>
    <row r="1056" spans="3:13" x14ac:dyDescent="0.3">
      <c r="C1056" t="s">
        <v>70</v>
      </c>
      <c r="D1056" t="s">
        <v>67</v>
      </c>
      <c r="E1056" t="s">
        <v>63</v>
      </c>
      <c r="F1056" t="s">
        <v>25</v>
      </c>
      <c r="G1056" s="4">
        <v>1</v>
      </c>
      <c r="H1056" s="4" t="s">
        <v>64</v>
      </c>
      <c r="I1056" s="4" t="s">
        <v>69</v>
      </c>
      <c r="J1056" s="4" t="s">
        <v>66</v>
      </c>
      <c r="K1056" s="4">
        <v>0</v>
      </c>
      <c r="L1056" s="94">
        <v>-4554</v>
      </c>
      <c r="M1056" s="94">
        <v>0</v>
      </c>
    </row>
    <row r="1057" spans="3:13" x14ac:dyDescent="0.3">
      <c r="C1057" t="s">
        <v>70</v>
      </c>
      <c r="D1057" t="s">
        <v>67</v>
      </c>
      <c r="E1057" t="s">
        <v>68</v>
      </c>
      <c r="F1057" t="s">
        <v>26</v>
      </c>
      <c r="G1057" s="4">
        <v>3</v>
      </c>
      <c r="H1057" s="4" t="s">
        <v>12</v>
      </c>
      <c r="I1057" s="4" t="s">
        <v>69</v>
      </c>
      <c r="J1057" s="4" t="s">
        <v>73</v>
      </c>
      <c r="K1057" s="4">
        <v>1</v>
      </c>
      <c r="L1057" s="94">
        <v>2357154</v>
      </c>
      <c r="M1057" s="94">
        <v>7071462</v>
      </c>
    </row>
    <row r="1058" spans="3:13" x14ac:dyDescent="0.3">
      <c r="C1058" t="s">
        <v>61</v>
      </c>
      <c r="D1058" t="s">
        <v>62</v>
      </c>
      <c r="E1058" t="s">
        <v>68</v>
      </c>
      <c r="F1058" t="s">
        <v>25</v>
      </c>
      <c r="G1058" s="4">
        <v>31</v>
      </c>
      <c r="I1058" s="4" t="s">
        <v>69</v>
      </c>
      <c r="J1058" s="4" t="s">
        <v>66</v>
      </c>
      <c r="K1058" s="4">
        <v>0</v>
      </c>
      <c r="L1058" s="94">
        <v>171903</v>
      </c>
      <c r="M1058" s="94">
        <v>5328993</v>
      </c>
    </row>
    <row r="1059" spans="3:13" x14ac:dyDescent="0.3">
      <c r="C1059" t="s">
        <v>71</v>
      </c>
      <c r="D1059" t="s">
        <v>67</v>
      </c>
      <c r="E1059" t="s">
        <v>68</v>
      </c>
      <c r="F1059" t="s">
        <v>25</v>
      </c>
      <c r="G1059" s="4">
        <v>3</v>
      </c>
      <c r="H1059" s="4" t="s">
        <v>79</v>
      </c>
      <c r="I1059" s="4" t="s">
        <v>69</v>
      </c>
      <c r="J1059" s="4" t="s">
        <v>66</v>
      </c>
      <c r="K1059" s="4">
        <v>0</v>
      </c>
      <c r="L1059" s="94">
        <v>71568</v>
      </c>
      <c r="M1059" s="94">
        <v>214704</v>
      </c>
    </row>
    <row r="1060" spans="3:13" x14ac:dyDescent="0.3">
      <c r="C1060" t="s">
        <v>61</v>
      </c>
      <c r="D1060" t="s">
        <v>67</v>
      </c>
      <c r="E1060" t="s">
        <v>68</v>
      </c>
      <c r="F1060" t="s">
        <v>25</v>
      </c>
      <c r="G1060" s="4">
        <v>6</v>
      </c>
      <c r="H1060" s="4" t="s">
        <v>80</v>
      </c>
      <c r="I1060" s="4" t="s">
        <v>69</v>
      </c>
      <c r="J1060" s="4" t="s">
        <v>66</v>
      </c>
      <c r="K1060" s="4">
        <v>0</v>
      </c>
      <c r="L1060" s="94">
        <v>244218</v>
      </c>
      <c r="M1060" s="94">
        <v>1465308</v>
      </c>
    </row>
    <row r="1061" spans="3:13" x14ac:dyDescent="0.3">
      <c r="C1061" t="s">
        <v>61</v>
      </c>
      <c r="D1061" t="s">
        <v>67</v>
      </c>
      <c r="E1061" t="s">
        <v>68</v>
      </c>
      <c r="F1061" t="s">
        <v>72</v>
      </c>
      <c r="G1061" s="4">
        <v>-1</v>
      </c>
      <c r="H1061" s="4" t="s">
        <v>18</v>
      </c>
      <c r="I1061" s="4" t="s">
        <v>69</v>
      </c>
      <c r="J1061" s="4" t="s">
        <v>73</v>
      </c>
      <c r="K1061" s="4">
        <v>1</v>
      </c>
      <c r="L1061" s="94">
        <v>775918</v>
      </c>
      <c r="M1061" s="94">
        <v>0</v>
      </c>
    </row>
    <row r="1062" spans="3:13" x14ac:dyDescent="0.3">
      <c r="C1062" t="s">
        <v>70</v>
      </c>
      <c r="D1062" t="s">
        <v>67</v>
      </c>
      <c r="E1062" t="s">
        <v>68</v>
      </c>
      <c r="F1062" t="s">
        <v>72</v>
      </c>
      <c r="G1062" s="4">
        <v>3</v>
      </c>
      <c r="H1062" s="4" t="s">
        <v>12</v>
      </c>
      <c r="I1062" s="4" t="s">
        <v>69</v>
      </c>
      <c r="J1062" s="4" t="s">
        <v>73</v>
      </c>
      <c r="K1062" s="4">
        <v>1</v>
      </c>
      <c r="L1062" s="94">
        <v>70460</v>
      </c>
      <c r="M1062" s="94">
        <v>211380</v>
      </c>
    </row>
    <row r="1063" spans="3:13" x14ac:dyDescent="0.3">
      <c r="C1063" t="s">
        <v>70</v>
      </c>
      <c r="D1063" t="s">
        <v>67</v>
      </c>
      <c r="E1063" t="s">
        <v>63</v>
      </c>
      <c r="F1063" t="s">
        <v>26</v>
      </c>
      <c r="G1063" s="4">
        <v>6</v>
      </c>
      <c r="H1063" s="4" t="s">
        <v>12</v>
      </c>
      <c r="I1063" s="4" t="s">
        <v>65</v>
      </c>
      <c r="J1063" s="4" t="s">
        <v>73</v>
      </c>
      <c r="K1063" s="4">
        <v>1</v>
      </c>
      <c r="L1063" s="94">
        <v>-1701</v>
      </c>
      <c r="M1063" s="94">
        <v>0</v>
      </c>
    </row>
    <row r="1064" spans="3:13" x14ac:dyDescent="0.3">
      <c r="C1064" t="s">
        <v>71</v>
      </c>
      <c r="D1064" t="s">
        <v>67</v>
      </c>
      <c r="E1064" t="s">
        <v>68</v>
      </c>
      <c r="F1064" t="s">
        <v>72</v>
      </c>
      <c r="G1064" s="4">
        <v>2</v>
      </c>
      <c r="H1064" s="4" t="s">
        <v>13</v>
      </c>
      <c r="I1064" s="4" t="s">
        <v>69</v>
      </c>
      <c r="J1064" s="4" t="s">
        <v>73</v>
      </c>
      <c r="K1064" s="4">
        <v>1</v>
      </c>
      <c r="L1064" s="94">
        <v>301095</v>
      </c>
      <c r="M1064" s="94">
        <v>602190</v>
      </c>
    </row>
    <row r="1065" spans="3:13" x14ac:dyDescent="0.3">
      <c r="C1065" t="s">
        <v>61</v>
      </c>
      <c r="D1065" t="s">
        <v>67</v>
      </c>
      <c r="E1065" t="s">
        <v>63</v>
      </c>
      <c r="F1065" t="s">
        <v>25</v>
      </c>
      <c r="G1065" s="4">
        <v>4</v>
      </c>
      <c r="H1065" s="4" t="s">
        <v>83</v>
      </c>
      <c r="I1065" s="4" t="s">
        <v>69</v>
      </c>
      <c r="J1065" s="4" t="s">
        <v>66</v>
      </c>
      <c r="K1065" s="4">
        <v>0</v>
      </c>
      <c r="L1065" s="94">
        <v>-25</v>
      </c>
      <c r="M1065" s="94">
        <v>0</v>
      </c>
    </row>
    <row r="1066" spans="3:13" x14ac:dyDescent="0.3">
      <c r="C1066" t="s">
        <v>61</v>
      </c>
      <c r="D1066" t="s">
        <v>67</v>
      </c>
      <c r="E1066" t="s">
        <v>68</v>
      </c>
      <c r="F1066" t="s">
        <v>26</v>
      </c>
      <c r="G1066" s="4">
        <v>3</v>
      </c>
      <c r="H1066" s="4" t="s">
        <v>75</v>
      </c>
      <c r="I1066" s="4" t="s">
        <v>69</v>
      </c>
      <c r="J1066" s="4" t="s">
        <v>66</v>
      </c>
      <c r="K1066" s="4">
        <v>0</v>
      </c>
      <c r="L1066" s="94">
        <v>8506673</v>
      </c>
      <c r="M1066" s="94">
        <v>25520019</v>
      </c>
    </row>
    <row r="1067" spans="3:13" x14ac:dyDescent="0.3">
      <c r="C1067" t="s">
        <v>61</v>
      </c>
      <c r="D1067" t="s">
        <v>62</v>
      </c>
      <c r="E1067" t="s">
        <v>63</v>
      </c>
      <c r="F1067" t="s">
        <v>25</v>
      </c>
      <c r="G1067" s="4">
        <v>18</v>
      </c>
      <c r="I1067" s="4" t="s">
        <v>69</v>
      </c>
      <c r="J1067" s="4" t="s">
        <v>66</v>
      </c>
      <c r="K1067" s="4">
        <v>1</v>
      </c>
      <c r="L1067" s="94">
        <v>-62</v>
      </c>
      <c r="M1067" s="94">
        <v>0</v>
      </c>
    </row>
    <row r="1068" spans="3:13" x14ac:dyDescent="0.3">
      <c r="C1068" t="s">
        <v>70</v>
      </c>
      <c r="D1068" t="s">
        <v>67</v>
      </c>
      <c r="E1068" t="s">
        <v>63</v>
      </c>
      <c r="F1068" t="s">
        <v>25</v>
      </c>
      <c r="G1068" s="4">
        <v>4</v>
      </c>
      <c r="H1068" s="4" t="s">
        <v>80</v>
      </c>
      <c r="I1068" s="4" t="s">
        <v>69</v>
      </c>
      <c r="J1068" s="4" t="s">
        <v>66</v>
      </c>
      <c r="K1068" s="4">
        <v>0</v>
      </c>
      <c r="L1068" s="94">
        <v>-450</v>
      </c>
      <c r="M1068" s="94">
        <v>0</v>
      </c>
    </row>
    <row r="1069" spans="3:13" x14ac:dyDescent="0.3">
      <c r="C1069" t="s">
        <v>61</v>
      </c>
      <c r="D1069" t="s">
        <v>62</v>
      </c>
      <c r="E1069" t="s">
        <v>63</v>
      </c>
      <c r="F1069" t="s">
        <v>24</v>
      </c>
      <c r="G1069" s="4">
        <v>18</v>
      </c>
      <c r="I1069" s="4" t="s">
        <v>69</v>
      </c>
      <c r="J1069" s="4" t="s">
        <v>66</v>
      </c>
      <c r="K1069" s="4">
        <v>1</v>
      </c>
      <c r="L1069" s="94">
        <v>-799</v>
      </c>
      <c r="M1069" s="94">
        <v>0</v>
      </c>
    </row>
    <row r="1070" spans="3:13" x14ac:dyDescent="0.3">
      <c r="C1070" t="s">
        <v>61</v>
      </c>
      <c r="D1070" t="s">
        <v>62</v>
      </c>
      <c r="E1070" t="s">
        <v>68</v>
      </c>
      <c r="F1070" t="s">
        <v>24</v>
      </c>
      <c r="G1070" s="4">
        <v>8</v>
      </c>
      <c r="I1070" s="4" t="s">
        <v>69</v>
      </c>
      <c r="J1070" s="4" t="s">
        <v>66</v>
      </c>
      <c r="K1070" s="4">
        <v>0</v>
      </c>
      <c r="L1070" s="94">
        <v>188179988</v>
      </c>
      <c r="M1070" s="94">
        <v>1505439904</v>
      </c>
    </row>
    <row r="1071" spans="3:13" x14ac:dyDescent="0.3">
      <c r="C1071" t="s">
        <v>70</v>
      </c>
      <c r="D1071" t="s">
        <v>67</v>
      </c>
      <c r="E1071" t="s">
        <v>68</v>
      </c>
      <c r="F1071" t="s">
        <v>25</v>
      </c>
      <c r="G1071" s="4">
        <v>12</v>
      </c>
      <c r="H1071" s="4" t="s">
        <v>76</v>
      </c>
      <c r="I1071" s="4" t="s">
        <v>69</v>
      </c>
      <c r="J1071" s="4" t="s">
        <v>66</v>
      </c>
      <c r="K1071" s="4">
        <v>0</v>
      </c>
      <c r="L1071" s="94">
        <v>1437132</v>
      </c>
      <c r="M1071" s="94">
        <v>17245584</v>
      </c>
    </row>
    <row r="1072" spans="3:13" x14ac:dyDescent="0.3">
      <c r="C1072" t="s">
        <v>71</v>
      </c>
      <c r="D1072" t="s">
        <v>67</v>
      </c>
      <c r="E1072" t="s">
        <v>68</v>
      </c>
      <c r="F1072" t="s">
        <v>72</v>
      </c>
      <c r="G1072" s="4">
        <v>1</v>
      </c>
      <c r="H1072" s="4" t="s">
        <v>82</v>
      </c>
      <c r="I1072" s="4" t="s">
        <v>69</v>
      </c>
      <c r="J1072" s="4" t="s">
        <v>66</v>
      </c>
      <c r="K1072" s="4">
        <v>0</v>
      </c>
      <c r="L1072" s="94">
        <v>218661</v>
      </c>
      <c r="M1072" s="94">
        <v>218661</v>
      </c>
    </row>
    <row r="1073" spans="3:13" x14ac:dyDescent="0.3">
      <c r="C1073" t="s">
        <v>70</v>
      </c>
      <c r="D1073" t="s">
        <v>67</v>
      </c>
      <c r="E1073" t="s">
        <v>68</v>
      </c>
      <c r="F1073" t="s">
        <v>26</v>
      </c>
      <c r="G1073" s="4">
        <v>-1</v>
      </c>
      <c r="H1073" s="4" t="s">
        <v>14</v>
      </c>
      <c r="I1073" s="4" t="s">
        <v>69</v>
      </c>
      <c r="J1073" s="4" t="s">
        <v>73</v>
      </c>
      <c r="K1073" s="4">
        <v>1</v>
      </c>
      <c r="L1073" s="94">
        <v>20971547</v>
      </c>
      <c r="M1073" s="94">
        <v>0</v>
      </c>
    </row>
    <row r="1074" spans="3:13" x14ac:dyDescent="0.3">
      <c r="C1074" t="s">
        <v>71</v>
      </c>
      <c r="D1074" t="s">
        <v>67</v>
      </c>
      <c r="E1074" t="s">
        <v>68</v>
      </c>
      <c r="F1074" t="s">
        <v>25</v>
      </c>
      <c r="G1074" s="4">
        <v>1</v>
      </c>
      <c r="H1074" s="4" t="s">
        <v>75</v>
      </c>
      <c r="I1074" s="4" t="s">
        <v>69</v>
      </c>
      <c r="J1074" s="4" t="s">
        <v>66</v>
      </c>
      <c r="K1074" s="4">
        <v>0</v>
      </c>
      <c r="L1074" s="94">
        <v>5800788</v>
      </c>
      <c r="M1074" s="94">
        <v>5800788</v>
      </c>
    </row>
    <row r="1075" spans="3:13" x14ac:dyDescent="0.3">
      <c r="C1075" t="s">
        <v>70</v>
      </c>
      <c r="D1075" t="s">
        <v>67</v>
      </c>
      <c r="E1075" t="s">
        <v>68</v>
      </c>
      <c r="F1075" t="s">
        <v>25</v>
      </c>
      <c r="G1075" s="4">
        <v>2</v>
      </c>
      <c r="H1075" s="4" t="s">
        <v>78</v>
      </c>
      <c r="I1075" s="4" t="s">
        <v>69</v>
      </c>
      <c r="J1075" s="4" t="s">
        <v>66</v>
      </c>
      <c r="K1075" s="4">
        <v>0</v>
      </c>
      <c r="L1075" s="94">
        <v>270146</v>
      </c>
      <c r="M1075" s="94">
        <v>540292</v>
      </c>
    </row>
    <row r="1076" spans="3:13" x14ac:dyDescent="0.3">
      <c r="C1076" t="s">
        <v>70</v>
      </c>
      <c r="D1076" t="s">
        <v>67</v>
      </c>
      <c r="E1076" t="s">
        <v>68</v>
      </c>
      <c r="F1076" t="s">
        <v>25</v>
      </c>
      <c r="G1076" s="4">
        <v>11</v>
      </c>
      <c r="H1076" s="4" t="s">
        <v>14</v>
      </c>
      <c r="I1076" s="4" t="s">
        <v>69</v>
      </c>
      <c r="J1076" s="4" t="s">
        <v>66</v>
      </c>
      <c r="K1076" s="4">
        <v>0</v>
      </c>
      <c r="L1076" s="94">
        <v>1034967</v>
      </c>
      <c r="M1076" s="94">
        <v>11384637</v>
      </c>
    </row>
    <row r="1077" spans="3:13" x14ac:dyDescent="0.3">
      <c r="C1077" t="s">
        <v>61</v>
      </c>
      <c r="D1077" t="s">
        <v>67</v>
      </c>
      <c r="E1077" t="s">
        <v>68</v>
      </c>
      <c r="F1077" t="s">
        <v>26</v>
      </c>
      <c r="G1077" s="4">
        <v>0</v>
      </c>
      <c r="H1077" s="4" t="s">
        <v>18</v>
      </c>
      <c r="I1077" s="4" t="s">
        <v>69</v>
      </c>
      <c r="J1077" s="4" t="s">
        <v>66</v>
      </c>
      <c r="K1077" s="4">
        <v>0</v>
      </c>
      <c r="L1077" s="94">
        <v>542819826</v>
      </c>
      <c r="M1077" s="94">
        <v>0</v>
      </c>
    </row>
    <row r="1078" spans="3:13" x14ac:dyDescent="0.3">
      <c r="C1078" t="s">
        <v>71</v>
      </c>
      <c r="D1078" t="s">
        <v>67</v>
      </c>
      <c r="E1078" t="s">
        <v>63</v>
      </c>
      <c r="F1078" t="s">
        <v>25</v>
      </c>
      <c r="G1078" s="4">
        <v>8</v>
      </c>
      <c r="H1078" s="4" t="s">
        <v>75</v>
      </c>
      <c r="I1078" s="4" t="s">
        <v>69</v>
      </c>
      <c r="J1078" s="4" t="s">
        <v>66</v>
      </c>
      <c r="K1078" s="4">
        <v>0</v>
      </c>
      <c r="L1078" s="94">
        <v>-243138</v>
      </c>
      <c r="M1078" s="94">
        <v>0</v>
      </c>
    </row>
    <row r="1079" spans="3:13" x14ac:dyDescent="0.3">
      <c r="C1079" t="s">
        <v>61</v>
      </c>
      <c r="D1079" t="s">
        <v>67</v>
      </c>
      <c r="E1079" t="s">
        <v>68</v>
      </c>
      <c r="F1079" t="s">
        <v>25</v>
      </c>
      <c r="G1079" s="4">
        <v>19</v>
      </c>
      <c r="H1079" s="4" t="s">
        <v>74</v>
      </c>
      <c r="I1079" s="4" t="s">
        <v>69</v>
      </c>
      <c r="J1079" s="4" t="s">
        <v>66</v>
      </c>
      <c r="K1079" s="4">
        <v>0</v>
      </c>
      <c r="L1079" s="94">
        <v>84661</v>
      </c>
      <c r="M1079" s="94">
        <v>1608559</v>
      </c>
    </row>
    <row r="1080" spans="3:13" x14ac:dyDescent="0.3">
      <c r="C1080" t="s">
        <v>71</v>
      </c>
      <c r="D1080" t="s">
        <v>67</v>
      </c>
      <c r="E1080" t="s">
        <v>63</v>
      </c>
      <c r="F1080" t="s">
        <v>72</v>
      </c>
      <c r="G1080" s="4">
        <v>0</v>
      </c>
      <c r="H1080" s="4" t="s">
        <v>74</v>
      </c>
      <c r="I1080" s="4" t="s">
        <v>69</v>
      </c>
      <c r="J1080" s="4" t="s">
        <v>66</v>
      </c>
      <c r="K1080" s="4">
        <v>0</v>
      </c>
      <c r="L1080" s="94">
        <v>-19835</v>
      </c>
      <c r="M1080" s="94">
        <v>0</v>
      </c>
    </row>
    <row r="1081" spans="3:13" x14ac:dyDescent="0.3">
      <c r="C1081" t="s">
        <v>61</v>
      </c>
      <c r="D1081" t="s">
        <v>67</v>
      </c>
      <c r="E1081" t="s">
        <v>68</v>
      </c>
      <c r="F1081" t="s">
        <v>25</v>
      </c>
      <c r="G1081" s="4">
        <v>10</v>
      </c>
      <c r="H1081" s="4" t="s">
        <v>76</v>
      </c>
      <c r="I1081" s="4" t="s">
        <v>65</v>
      </c>
      <c r="J1081" s="4" t="s">
        <v>66</v>
      </c>
      <c r="K1081" s="4">
        <v>1</v>
      </c>
      <c r="L1081" s="94">
        <v>5870868</v>
      </c>
      <c r="M1081" s="94">
        <v>58708680</v>
      </c>
    </row>
    <row r="1082" spans="3:13" x14ac:dyDescent="0.3">
      <c r="C1082" t="s">
        <v>71</v>
      </c>
      <c r="D1082" t="s">
        <v>62</v>
      </c>
      <c r="E1082" t="s">
        <v>68</v>
      </c>
      <c r="F1082" t="s">
        <v>24</v>
      </c>
      <c r="G1082" s="4">
        <v>26</v>
      </c>
      <c r="I1082" s="4" t="s">
        <v>69</v>
      </c>
      <c r="J1082" s="4" t="s">
        <v>66</v>
      </c>
      <c r="K1082" s="4">
        <v>0</v>
      </c>
      <c r="L1082" s="94">
        <v>10757034</v>
      </c>
      <c r="M1082" s="94">
        <v>279682884</v>
      </c>
    </row>
    <row r="1083" spans="3:13" x14ac:dyDescent="0.3">
      <c r="C1083" t="s">
        <v>61</v>
      </c>
      <c r="D1083" t="s">
        <v>62</v>
      </c>
      <c r="E1083" t="s">
        <v>63</v>
      </c>
      <c r="F1083" t="s">
        <v>24</v>
      </c>
      <c r="G1083" s="4">
        <v>16</v>
      </c>
      <c r="I1083" s="4" t="s">
        <v>69</v>
      </c>
      <c r="J1083" s="4" t="s">
        <v>66</v>
      </c>
      <c r="K1083" s="4">
        <v>1</v>
      </c>
      <c r="L1083" s="94">
        <v>-1665</v>
      </c>
      <c r="M1083" s="94">
        <v>0</v>
      </c>
    </row>
    <row r="1084" spans="3:13" x14ac:dyDescent="0.3">
      <c r="C1084" t="s">
        <v>70</v>
      </c>
      <c r="D1084" t="s">
        <v>67</v>
      </c>
      <c r="E1084" t="s">
        <v>63</v>
      </c>
      <c r="F1084" t="s">
        <v>26</v>
      </c>
      <c r="G1084" s="4">
        <v>7</v>
      </c>
      <c r="H1084" s="4" t="s">
        <v>14</v>
      </c>
      <c r="I1084" s="4" t="s">
        <v>69</v>
      </c>
      <c r="J1084" s="4" t="s">
        <v>73</v>
      </c>
      <c r="K1084" s="4">
        <v>1</v>
      </c>
      <c r="L1084" s="94">
        <v>-175528</v>
      </c>
      <c r="M1084" s="94">
        <v>0</v>
      </c>
    </row>
    <row r="1085" spans="3:13" x14ac:dyDescent="0.3">
      <c r="C1085" t="s">
        <v>71</v>
      </c>
      <c r="D1085" t="s">
        <v>67</v>
      </c>
      <c r="E1085" t="s">
        <v>63</v>
      </c>
      <c r="F1085" t="s">
        <v>26</v>
      </c>
      <c r="G1085" s="4">
        <v>10</v>
      </c>
      <c r="H1085" s="4" t="s">
        <v>12</v>
      </c>
      <c r="I1085" s="4" t="s">
        <v>69</v>
      </c>
      <c r="J1085" s="4" t="s">
        <v>73</v>
      </c>
      <c r="K1085" s="4">
        <v>1</v>
      </c>
      <c r="L1085" s="94">
        <v>-7039</v>
      </c>
      <c r="M1085" s="94">
        <v>0</v>
      </c>
    </row>
    <row r="1086" spans="3:13" x14ac:dyDescent="0.3">
      <c r="C1086" t="s">
        <v>71</v>
      </c>
      <c r="D1086" t="s">
        <v>67</v>
      </c>
      <c r="E1086" t="s">
        <v>68</v>
      </c>
      <c r="F1086" t="s">
        <v>26</v>
      </c>
      <c r="G1086" s="4">
        <v>10</v>
      </c>
      <c r="H1086" s="4" t="s">
        <v>74</v>
      </c>
      <c r="I1086" s="4" t="s">
        <v>69</v>
      </c>
      <c r="J1086" s="4" t="s">
        <v>66</v>
      </c>
      <c r="K1086" s="4">
        <v>0</v>
      </c>
      <c r="L1086" s="94">
        <v>27750</v>
      </c>
      <c r="M1086" s="94">
        <v>277500</v>
      </c>
    </row>
    <row r="1087" spans="3:13" x14ac:dyDescent="0.3">
      <c r="C1087" t="s">
        <v>61</v>
      </c>
      <c r="D1087" t="s">
        <v>67</v>
      </c>
      <c r="E1087" t="s">
        <v>63</v>
      </c>
      <c r="F1087" t="s">
        <v>26</v>
      </c>
      <c r="G1087" s="4">
        <v>14</v>
      </c>
      <c r="H1087" s="4" t="s">
        <v>75</v>
      </c>
      <c r="I1087" s="4" t="s">
        <v>69</v>
      </c>
      <c r="J1087" s="4" t="s">
        <v>66</v>
      </c>
      <c r="K1087" s="4">
        <v>0</v>
      </c>
      <c r="L1087" s="94">
        <v>-883</v>
      </c>
      <c r="M1087" s="94">
        <v>0</v>
      </c>
    </row>
    <row r="1088" spans="3:13" x14ac:dyDescent="0.3">
      <c r="C1088" t="s">
        <v>70</v>
      </c>
      <c r="D1088" t="s">
        <v>67</v>
      </c>
      <c r="E1088" t="s">
        <v>68</v>
      </c>
      <c r="F1088" t="s">
        <v>25</v>
      </c>
      <c r="G1088" s="4">
        <v>9</v>
      </c>
      <c r="H1088" s="4" t="s">
        <v>14</v>
      </c>
      <c r="I1088" s="4" t="s">
        <v>69</v>
      </c>
      <c r="J1088" s="4" t="s">
        <v>66</v>
      </c>
      <c r="K1088" s="4">
        <v>0</v>
      </c>
      <c r="L1088" s="94">
        <v>2665668</v>
      </c>
      <c r="M1088" s="94">
        <v>23991012</v>
      </c>
    </row>
    <row r="1089" spans="3:13" x14ac:dyDescent="0.3">
      <c r="C1089" t="s">
        <v>61</v>
      </c>
      <c r="D1089" t="s">
        <v>67</v>
      </c>
      <c r="E1089" t="s">
        <v>63</v>
      </c>
      <c r="F1089" t="s">
        <v>25</v>
      </c>
      <c r="G1089" s="4">
        <v>15</v>
      </c>
      <c r="H1089" s="4" t="s">
        <v>76</v>
      </c>
      <c r="I1089" s="4" t="s">
        <v>69</v>
      </c>
      <c r="J1089" s="4" t="s">
        <v>66</v>
      </c>
      <c r="K1089" s="4">
        <v>0</v>
      </c>
      <c r="L1089" s="94">
        <v>-37129</v>
      </c>
      <c r="M1089" s="94">
        <v>0</v>
      </c>
    </row>
    <row r="1090" spans="3:13" x14ac:dyDescent="0.3">
      <c r="C1090" t="s">
        <v>71</v>
      </c>
      <c r="D1090" t="s">
        <v>62</v>
      </c>
      <c r="E1090" t="s">
        <v>68</v>
      </c>
      <c r="F1090" t="s">
        <v>24</v>
      </c>
      <c r="G1090" s="4">
        <v>27</v>
      </c>
      <c r="I1090" s="4" t="s">
        <v>65</v>
      </c>
      <c r="J1090" s="4" t="s">
        <v>66</v>
      </c>
      <c r="K1090" s="4">
        <v>1</v>
      </c>
      <c r="L1090" s="94">
        <v>180022</v>
      </c>
      <c r="M1090" s="94">
        <v>4860594</v>
      </c>
    </row>
    <row r="1091" spans="3:13" x14ac:dyDescent="0.3">
      <c r="C1091" t="s">
        <v>61</v>
      </c>
      <c r="D1091" t="s">
        <v>67</v>
      </c>
      <c r="E1091" t="s">
        <v>68</v>
      </c>
      <c r="F1091" t="s">
        <v>26</v>
      </c>
      <c r="G1091" s="4">
        <v>6</v>
      </c>
      <c r="H1091" s="4" t="s">
        <v>76</v>
      </c>
      <c r="I1091" s="4" t="s">
        <v>69</v>
      </c>
      <c r="J1091" s="4" t="s">
        <v>66</v>
      </c>
      <c r="K1091" s="4">
        <v>0</v>
      </c>
      <c r="L1091" s="94">
        <v>3967367</v>
      </c>
      <c r="M1091" s="94">
        <v>23804202</v>
      </c>
    </row>
    <row r="1092" spans="3:13" x14ac:dyDescent="0.3">
      <c r="C1092" t="s">
        <v>71</v>
      </c>
      <c r="D1092" t="s">
        <v>67</v>
      </c>
      <c r="E1092" t="s">
        <v>63</v>
      </c>
      <c r="F1092" t="s">
        <v>26</v>
      </c>
      <c r="G1092" s="4">
        <v>8</v>
      </c>
      <c r="H1092" s="4" t="s">
        <v>82</v>
      </c>
      <c r="I1092" s="4" t="s">
        <v>69</v>
      </c>
      <c r="J1092" s="4" t="s">
        <v>66</v>
      </c>
      <c r="K1092" s="4">
        <v>0</v>
      </c>
      <c r="L1092" s="94">
        <v>-5233</v>
      </c>
      <c r="M1092" s="94">
        <v>0</v>
      </c>
    </row>
    <row r="1093" spans="3:13" x14ac:dyDescent="0.3">
      <c r="C1093" t="s">
        <v>61</v>
      </c>
      <c r="D1093" t="s">
        <v>67</v>
      </c>
      <c r="E1093" t="s">
        <v>68</v>
      </c>
      <c r="F1093" t="s">
        <v>26</v>
      </c>
      <c r="G1093" s="4">
        <v>-1</v>
      </c>
      <c r="H1093" s="4" t="s">
        <v>78</v>
      </c>
      <c r="I1093" s="4" t="s">
        <v>69</v>
      </c>
      <c r="J1093" s="4" t="s">
        <v>66</v>
      </c>
      <c r="K1093" s="4">
        <v>0</v>
      </c>
      <c r="L1093" s="94">
        <v>2435327</v>
      </c>
      <c r="M1093" s="94">
        <v>0</v>
      </c>
    </row>
    <row r="1094" spans="3:13" x14ac:dyDescent="0.3">
      <c r="C1094" t="s">
        <v>71</v>
      </c>
      <c r="D1094" t="s">
        <v>67</v>
      </c>
      <c r="E1094" t="s">
        <v>68</v>
      </c>
      <c r="F1094" t="s">
        <v>26</v>
      </c>
      <c r="G1094" s="4">
        <v>6</v>
      </c>
      <c r="H1094" s="4" t="s">
        <v>14</v>
      </c>
      <c r="I1094" s="4" t="s">
        <v>69</v>
      </c>
      <c r="J1094" s="4" t="s">
        <v>66</v>
      </c>
      <c r="K1094" s="4">
        <v>0</v>
      </c>
      <c r="L1094" s="94">
        <v>84368</v>
      </c>
      <c r="M1094" s="94">
        <v>506208</v>
      </c>
    </row>
    <row r="1095" spans="3:13" x14ac:dyDescent="0.3">
      <c r="C1095" t="s">
        <v>71</v>
      </c>
      <c r="D1095" t="s">
        <v>67</v>
      </c>
      <c r="E1095" t="s">
        <v>63</v>
      </c>
      <c r="F1095" t="s">
        <v>26</v>
      </c>
      <c r="G1095" s="4">
        <v>4</v>
      </c>
      <c r="H1095" s="4" t="s">
        <v>80</v>
      </c>
      <c r="I1095" s="4" t="s">
        <v>69</v>
      </c>
      <c r="J1095" s="4" t="s">
        <v>66</v>
      </c>
      <c r="K1095" s="4">
        <v>0</v>
      </c>
      <c r="L1095" s="94">
        <v>-22938</v>
      </c>
      <c r="M1095" s="94">
        <v>0</v>
      </c>
    </row>
    <row r="1096" spans="3:13" x14ac:dyDescent="0.3">
      <c r="C1096" t="s">
        <v>61</v>
      </c>
      <c r="D1096" t="s">
        <v>62</v>
      </c>
      <c r="E1096" t="s">
        <v>68</v>
      </c>
      <c r="F1096" t="s">
        <v>24</v>
      </c>
      <c r="G1096" s="4">
        <v>41</v>
      </c>
      <c r="I1096" s="4" t="s">
        <v>69</v>
      </c>
      <c r="J1096" s="4" t="s">
        <v>66</v>
      </c>
      <c r="K1096" s="4">
        <v>1</v>
      </c>
      <c r="L1096" s="94">
        <v>323294</v>
      </c>
      <c r="M1096" s="94">
        <v>13255054</v>
      </c>
    </row>
    <row r="1097" spans="3:13" x14ac:dyDescent="0.3">
      <c r="C1097" t="s">
        <v>71</v>
      </c>
      <c r="D1097" t="s">
        <v>67</v>
      </c>
      <c r="E1097" t="s">
        <v>68</v>
      </c>
      <c r="F1097" t="s">
        <v>72</v>
      </c>
      <c r="G1097" s="4">
        <v>5</v>
      </c>
      <c r="H1097" s="4" t="s">
        <v>17</v>
      </c>
      <c r="I1097" s="4" t="s">
        <v>69</v>
      </c>
      <c r="J1097" s="4" t="s">
        <v>66</v>
      </c>
      <c r="K1097" s="4">
        <v>0</v>
      </c>
      <c r="L1097" s="94">
        <v>28083</v>
      </c>
      <c r="M1097" s="94">
        <v>140415</v>
      </c>
    </row>
    <row r="1098" spans="3:13" x14ac:dyDescent="0.3">
      <c r="C1098" t="s">
        <v>70</v>
      </c>
      <c r="D1098" t="s">
        <v>67</v>
      </c>
      <c r="E1098" t="s">
        <v>68</v>
      </c>
      <c r="F1098" t="s">
        <v>26</v>
      </c>
      <c r="G1098" s="4">
        <v>7</v>
      </c>
      <c r="H1098" s="4" t="s">
        <v>18</v>
      </c>
      <c r="I1098" s="4" t="s">
        <v>69</v>
      </c>
      <c r="J1098" s="4" t="s">
        <v>73</v>
      </c>
      <c r="K1098" s="4">
        <v>1</v>
      </c>
      <c r="L1098" s="94">
        <v>71939</v>
      </c>
      <c r="M1098" s="94">
        <v>503573</v>
      </c>
    </row>
    <row r="1099" spans="3:13" x14ac:dyDescent="0.3">
      <c r="C1099" t="s">
        <v>61</v>
      </c>
      <c r="D1099" t="s">
        <v>62</v>
      </c>
      <c r="E1099" t="s">
        <v>63</v>
      </c>
      <c r="F1099" t="s">
        <v>24</v>
      </c>
      <c r="G1099" s="4">
        <v>5</v>
      </c>
      <c r="I1099" s="4" t="s">
        <v>69</v>
      </c>
      <c r="J1099" s="4" t="s">
        <v>66</v>
      </c>
      <c r="K1099" s="4">
        <v>1</v>
      </c>
      <c r="L1099" s="94">
        <v>-171</v>
      </c>
      <c r="M1099" s="94">
        <v>0</v>
      </c>
    </row>
    <row r="1100" spans="3:13" x14ac:dyDescent="0.3">
      <c r="C1100" t="s">
        <v>71</v>
      </c>
      <c r="D1100" t="s">
        <v>67</v>
      </c>
      <c r="E1100" t="s">
        <v>63</v>
      </c>
      <c r="F1100" t="s">
        <v>25</v>
      </c>
      <c r="G1100" s="4">
        <v>8</v>
      </c>
      <c r="H1100" s="4" t="s">
        <v>83</v>
      </c>
      <c r="I1100" s="4" t="s">
        <v>69</v>
      </c>
      <c r="J1100" s="4" t="s">
        <v>66</v>
      </c>
      <c r="K1100" s="4">
        <v>0</v>
      </c>
      <c r="L1100" s="94">
        <v>-1834800</v>
      </c>
      <c r="M1100" s="94">
        <v>0</v>
      </c>
    </row>
    <row r="1101" spans="3:13" x14ac:dyDescent="0.3">
      <c r="C1101" t="s">
        <v>71</v>
      </c>
      <c r="D1101" t="s">
        <v>67</v>
      </c>
      <c r="E1101" t="s">
        <v>63</v>
      </c>
      <c r="F1101" t="s">
        <v>72</v>
      </c>
      <c r="G1101" s="4">
        <v>0</v>
      </c>
      <c r="H1101" s="4" t="s">
        <v>80</v>
      </c>
      <c r="I1101" s="4" t="s">
        <v>69</v>
      </c>
      <c r="J1101" s="4" t="s">
        <v>66</v>
      </c>
      <c r="K1101" s="4">
        <v>0</v>
      </c>
      <c r="L1101" s="94">
        <v>-11302</v>
      </c>
      <c r="M1101" s="94">
        <v>0</v>
      </c>
    </row>
    <row r="1102" spans="3:13" x14ac:dyDescent="0.3">
      <c r="C1102" t="s">
        <v>61</v>
      </c>
      <c r="D1102" t="s">
        <v>67</v>
      </c>
      <c r="E1102" t="s">
        <v>63</v>
      </c>
      <c r="F1102" t="s">
        <v>26</v>
      </c>
      <c r="G1102" s="4">
        <v>4</v>
      </c>
      <c r="H1102" s="4" t="s">
        <v>79</v>
      </c>
      <c r="I1102" s="4" t="s">
        <v>69</v>
      </c>
      <c r="J1102" s="4" t="s">
        <v>66</v>
      </c>
      <c r="K1102" s="4">
        <v>0</v>
      </c>
      <c r="L1102" s="94">
        <v>-17810</v>
      </c>
      <c r="M1102" s="94">
        <v>0</v>
      </c>
    </row>
    <row r="1103" spans="3:13" x14ac:dyDescent="0.3">
      <c r="C1103" t="s">
        <v>61</v>
      </c>
      <c r="D1103" t="s">
        <v>67</v>
      </c>
      <c r="E1103" t="s">
        <v>63</v>
      </c>
      <c r="F1103" t="s">
        <v>25</v>
      </c>
      <c r="G1103" s="4">
        <v>9</v>
      </c>
      <c r="H1103" s="4" t="s">
        <v>14</v>
      </c>
      <c r="I1103" s="4" t="s">
        <v>69</v>
      </c>
      <c r="J1103" s="4" t="s">
        <v>66</v>
      </c>
      <c r="K1103" s="4">
        <v>1</v>
      </c>
      <c r="L1103" s="94">
        <v>-6259</v>
      </c>
      <c r="M1103" s="94">
        <v>0</v>
      </c>
    </row>
    <row r="1104" spans="3:13" x14ac:dyDescent="0.3">
      <c r="C1104" t="s">
        <v>61</v>
      </c>
      <c r="D1104" t="s">
        <v>67</v>
      </c>
      <c r="E1104" t="s">
        <v>63</v>
      </c>
      <c r="F1104" t="s">
        <v>26</v>
      </c>
      <c r="G1104" s="4">
        <v>1</v>
      </c>
      <c r="H1104" s="4" t="s">
        <v>83</v>
      </c>
      <c r="I1104" s="4" t="s">
        <v>69</v>
      </c>
      <c r="J1104" s="4" t="s">
        <v>66</v>
      </c>
      <c r="K1104" s="4">
        <v>0</v>
      </c>
      <c r="L1104" s="94">
        <v>-9799</v>
      </c>
      <c r="M1104" s="94">
        <v>0</v>
      </c>
    </row>
    <row r="1105" spans="3:13" x14ac:dyDescent="0.3">
      <c r="C1105" t="s">
        <v>70</v>
      </c>
      <c r="D1105" t="s">
        <v>67</v>
      </c>
      <c r="E1105" t="s">
        <v>63</v>
      </c>
      <c r="F1105" t="s">
        <v>26</v>
      </c>
      <c r="G1105" s="4">
        <v>1</v>
      </c>
      <c r="H1105" s="4" t="s">
        <v>17</v>
      </c>
      <c r="I1105" s="4" t="s">
        <v>69</v>
      </c>
      <c r="J1105" s="4" t="s">
        <v>73</v>
      </c>
      <c r="K1105" s="4">
        <v>1</v>
      </c>
      <c r="L1105" s="94">
        <v>-4489</v>
      </c>
      <c r="M1105" s="94">
        <v>0</v>
      </c>
    </row>
    <row r="1106" spans="3:13" x14ac:dyDescent="0.3">
      <c r="C1106" t="s">
        <v>61</v>
      </c>
      <c r="D1106" t="s">
        <v>67</v>
      </c>
      <c r="E1106" t="s">
        <v>68</v>
      </c>
      <c r="F1106" t="s">
        <v>25</v>
      </c>
      <c r="G1106" s="4">
        <v>6</v>
      </c>
      <c r="H1106" s="4" t="s">
        <v>74</v>
      </c>
      <c r="I1106" s="4" t="s">
        <v>69</v>
      </c>
      <c r="J1106" s="4" t="s">
        <v>66</v>
      </c>
      <c r="K1106" s="4">
        <v>0</v>
      </c>
      <c r="L1106" s="94">
        <v>3948315</v>
      </c>
      <c r="M1106" s="94">
        <v>23689890</v>
      </c>
    </row>
    <row r="1107" spans="3:13" x14ac:dyDescent="0.3">
      <c r="C1107" t="s">
        <v>70</v>
      </c>
      <c r="D1107" t="s">
        <v>62</v>
      </c>
      <c r="E1107" t="s">
        <v>63</v>
      </c>
      <c r="F1107" t="s">
        <v>24</v>
      </c>
      <c r="G1107" s="4">
        <v>21</v>
      </c>
      <c r="I1107" s="4" t="s">
        <v>65</v>
      </c>
      <c r="J1107" s="4" t="s">
        <v>66</v>
      </c>
      <c r="K1107" s="4">
        <v>1</v>
      </c>
      <c r="L1107" s="94">
        <v>-4570</v>
      </c>
      <c r="M1107" s="94">
        <v>0</v>
      </c>
    </row>
    <row r="1108" spans="3:13" x14ac:dyDescent="0.3">
      <c r="C1108" t="s">
        <v>70</v>
      </c>
      <c r="D1108" t="s">
        <v>67</v>
      </c>
      <c r="E1108" t="s">
        <v>63</v>
      </c>
      <c r="F1108" t="s">
        <v>26</v>
      </c>
      <c r="G1108" s="4">
        <v>5</v>
      </c>
      <c r="H1108" s="4" t="s">
        <v>75</v>
      </c>
      <c r="I1108" s="4" t="s">
        <v>69</v>
      </c>
      <c r="J1108" s="4" t="s">
        <v>66</v>
      </c>
      <c r="K1108" s="4">
        <v>0</v>
      </c>
      <c r="L1108" s="94">
        <v>-36925</v>
      </c>
      <c r="M1108" s="94">
        <v>0</v>
      </c>
    </row>
    <row r="1109" spans="3:13" x14ac:dyDescent="0.3">
      <c r="C1109" t="s">
        <v>61</v>
      </c>
      <c r="D1109" t="s">
        <v>67</v>
      </c>
      <c r="E1109" t="s">
        <v>63</v>
      </c>
      <c r="F1109" t="s">
        <v>25</v>
      </c>
      <c r="G1109" s="4">
        <v>4</v>
      </c>
      <c r="H1109" s="4" t="s">
        <v>75</v>
      </c>
      <c r="I1109" s="4" t="s">
        <v>69</v>
      </c>
      <c r="J1109" s="4" t="s">
        <v>66</v>
      </c>
      <c r="K1109" s="4">
        <v>0</v>
      </c>
      <c r="L1109" s="94">
        <v>-44416</v>
      </c>
      <c r="M1109" s="94">
        <v>0</v>
      </c>
    </row>
    <row r="1110" spans="3:13" x14ac:dyDescent="0.3">
      <c r="C1110" t="s">
        <v>61</v>
      </c>
      <c r="D1110" t="s">
        <v>67</v>
      </c>
      <c r="E1110" t="s">
        <v>63</v>
      </c>
      <c r="F1110" t="s">
        <v>72</v>
      </c>
      <c r="G1110" s="4">
        <v>5</v>
      </c>
      <c r="H1110" s="4" t="s">
        <v>82</v>
      </c>
      <c r="I1110" s="4" t="s">
        <v>65</v>
      </c>
      <c r="J1110" s="4" t="s">
        <v>66</v>
      </c>
      <c r="K1110" s="4">
        <v>1</v>
      </c>
      <c r="L1110" s="94">
        <v>-13106</v>
      </c>
      <c r="M1110" s="94">
        <v>0</v>
      </c>
    </row>
    <row r="1111" spans="3:13" x14ac:dyDescent="0.3">
      <c r="C1111" t="s">
        <v>61</v>
      </c>
      <c r="D1111" t="s">
        <v>67</v>
      </c>
      <c r="E1111" t="s">
        <v>68</v>
      </c>
      <c r="F1111" t="s">
        <v>26</v>
      </c>
      <c r="G1111" s="4">
        <v>3</v>
      </c>
      <c r="H1111" s="4" t="s">
        <v>83</v>
      </c>
      <c r="I1111" s="4" t="s">
        <v>69</v>
      </c>
      <c r="J1111" s="4" t="s">
        <v>66</v>
      </c>
      <c r="K1111" s="4">
        <v>0</v>
      </c>
      <c r="L1111" s="94">
        <v>1846175</v>
      </c>
      <c r="M1111" s="94">
        <v>5538525</v>
      </c>
    </row>
    <row r="1112" spans="3:13" x14ac:dyDescent="0.3">
      <c r="C1112" t="s">
        <v>61</v>
      </c>
      <c r="D1112" t="s">
        <v>62</v>
      </c>
      <c r="E1112" t="s">
        <v>68</v>
      </c>
      <c r="F1112" t="s">
        <v>25</v>
      </c>
      <c r="G1112" s="4">
        <v>0</v>
      </c>
      <c r="I1112" s="4" t="s">
        <v>69</v>
      </c>
      <c r="J1112" s="4" t="s">
        <v>66</v>
      </c>
      <c r="K1112" s="4">
        <v>0</v>
      </c>
      <c r="L1112" s="94">
        <v>360391</v>
      </c>
      <c r="M1112" s="94">
        <v>0</v>
      </c>
    </row>
    <row r="1113" spans="3:13" x14ac:dyDescent="0.3">
      <c r="C1113" t="s">
        <v>71</v>
      </c>
      <c r="D1113" t="s">
        <v>67</v>
      </c>
      <c r="E1113" t="s">
        <v>68</v>
      </c>
      <c r="F1113" t="s">
        <v>26</v>
      </c>
      <c r="G1113" s="4">
        <v>0</v>
      </c>
      <c r="H1113" s="4" t="s">
        <v>80</v>
      </c>
      <c r="I1113" s="4" t="s">
        <v>69</v>
      </c>
      <c r="J1113" s="4" t="s">
        <v>66</v>
      </c>
      <c r="K1113" s="4">
        <v>0</v>
      </c>
      <c r="L1113" s="94">
        <v>56945</v>
      </c>
      <c r="M1113" s="94">
        <v>0</v>
      </c>
    </row>
    <row r="1114" spans="3:13" x14ac:dyDescent="0.3">
      <c r="C1114" t="s">
        <v>71</v>
      </c>
      <c r="D1114" t="s">
        <v>67</v>
      </c>
      <c r="E1114" t="s">
        <v>68</v>
      </c>
      <c r="F1114" t="s">
        <v>26</v>
      </c>
      <c r="G1114" s="4">
        <v>5</v>
      </c>
      <c r="H1114" s="4" t="s">
        <v>12</v>
      </c>
      <c r="I1114" s="4" t="s">
        <v>65</v>
      </c>
      <c r="J1114" s="4" t="s">
        <v>73</v>
      </c>
      <c r="K1114" s="4">
        <v>1</v>
      </c>
      <c r="L1114" s="94">
        <v>28951</v>
      </c>
      <c r="M1114" s="94">
        <v>144755</v>
      </c>
    </row>
    <row r="1115" spans="3:13" x14ac:dyDescent="0.3">
      <c r="C1115" t="s">
        <v>61</v>
      </c>
      <c r="D1115" t="s">
        <v>62</v>
      </c>
      <c r="E1115" t="s">
        <v>63</v>
      </c>
      <c r="F1115" t="s">
        <v>25</v>
      </c>
      <c r="G1115" s="4">
        <v>12</v>
      </c>
      <c r="I1115" s="4" t="s">
        <v>69</v>
      </c>
      <c r="J1115" s="4" t="s">
        <v>66</v>
      </c>
      <c r="K1115" s="4">
        <v>1</v>
      </c>
      <c r="L1115" s="94">
        <v>-5407</v>
      </c>
      <c r="M1115" s="94">
        <v>0</v>
      </c>
    </row>
    <row r="1116" spans="3:13" x14ac:dyDescent="0.3">
      <c r="C1116" t="s">
        <v>61</v>
      </c>
      <c r="D1116" t="s">
        <v>62</v>
      </c>
      <c r="E1116" t="s">
        <v>63</v>
      </c>
      <c r="F1116" t="s">
        <v>24</v>
      </c>
      <c r="G1116" s="4">
        <v>40</v>
      </c>
      <c r="I1116" s="4" t="s">
        <v>69</v>
      </c>
      <c r="J1116" s="4" t="s">
        <v>66</v>
      </c>
      <c r="K1116" s="4">
        <v>0</v>
      </c>
      <c r="L1116" s="94">
        <v>-299735</v>
      </c>
      <c r="M1116" s="94">
        <v>0</v>
      </c>
    </row>
    <row r="1117" spans="3:13" x14ac:dyDescent="0.3">
      <c r="C1117" t="s">
        <v>70</v>
      </c>
      <c r="D1117" t="s">
        <v>67</v>
      </c>
      <c r="E1117" t="s">
        <v>63</v>
      </c>
      <c r="F1117" t="s">
        <v>26</v>
      </c>
      <c r="G1117" s="4">
        <v>11</v>
      </c>
      <c r="H1117" s="4" t="s">
        <v>76</v>
      </c>
      <c r="I1117" s="4" t="s">
        <v>69</v>
      </c>
      <c r="J1117" s="4" t="s">
        <v>66</v>
      </c>
      <c r="K1117" s="4">
        <v>0</v>
      </c>
      <c r="L1117" s="94">
        <v>-7679</v>
      </c>
      <c r="M1117" s="94">
        <v>0</v>
      </c>
    </row>
    <row r="1118" spans="3:13" x14ac:dyDescent="0.3">
      <c r="C1118" t="s">
        <v>61</v>
      </c>
      <c r="D1118" t="s">
        <v>67</v>
      </c>
      <c r="E1118" t="s">
        <v>68</v>
      </c>
      <c r="F1118" t="s">
        <v>72</v>
      </c>
      <c r="G1118" s="4">
        <v>5</v>
      </c>
      <c r="H1118" s="4" t="s">
        <v>80</v>
      </c>
      <c r="I1118" s="4" t="s">
        <v>69</v>
      </c>
      <c r="J1118" s="4" t="s">
        <v>66</v>
      </c>
      <c r="K1118" s="4">
        <v>0</v>
      </c>
      <c r="L1118" s="94">
        <v>408388</v>
      </c>
      <c r="M1118" s="94">
        <v>2041940</v>
      </c>
    </row>
    <row r="1119" spans="3:13" x14ac:dyDescent="0.3">
      <c r="C1119" t="s">
        <v>70</v>
      </c>
      <c r="D1119" t="s">
        <v>67</v>
      </c>
      <c r="E1119" t="s">
        <v>63</v>
      </c>
      <c r="F1119" t="s">
        <v>72</v>
      </c>
      <c r="G1119" s="4">
        <v>5</v>
      </c>
      <c r="H1119" s="4" t="s">
        <v>17</v>
      </c>
      <c r="I1119" s="4" t="s">
        <v>65</v>
      </c>
      <c r="J1119" s="4" t="s">
        <v>66</v>
      </c>
      <c r="K1119" s="4">
        <v>1</v>
      </c>
      <c r="L1119" s="94">
        <v>-644</v>
      </c>
      <c r="M1119" s="94">
        <v>0</v>
      </c>
    </row>
    <row r="1120" spans="3:13" x14ac:dyDescent="0.3">
      <c r="C1120" t="s">
        <v>70</v>
      </c>
      <c r="D1120" t="s">
        <v>67</v>
      </c>
      <c r="E1120" t="s">
        <v>68</v>
      </c>
      <c r="F1120" t="s">
        <v>26</v>
      </c>
      <c r="G1120" s="4">
        <v>-4</v>
      </c>
      <c r="H1120" s="4" t="s">
        <v>14</v>
      </c>
      <c r="I1120" s="4" t="s">
        <v>69</v>
      </c>
      <c r="J1120" s="4" t="s">
        <v>66</v>
      </c>
      <c r="K1120" s="4">
        <v>0</v>
      </c>
      <c r="L1120" s="94">
        <v>481454</v>
      </c>
      <c r="M1120" s="94">
        <v>0</v>
      </c>
    </row>
    <row r="1121" spans="3:13" x14ac:dyDescent="0.3">
      <c r="C1121" t="s">
        <v>61</v>
      </c>
      <c r="D1121" t="s">
        <v>67</v>
      </c>
      <c r="E1121" t="s">
        <v>68</v>
      </c>
      <c r="F1121" t="s">
        <v>72</v>
      </c>
      <c r="G1121" s="4">
        <v>0</v>
      </c>
      <c r="H1121" s="4" t="s">
        <v>18</v>
      </c>
      <c r="I1121" s="4" t="s">
        <v>69</v>
      </c>
      <c r="J1121" s="4" t="s">
        <v>66</v>
      </c>
      <c r="K1121" s="4">
        <v>0</v>
      </c>
      <c r="L1121" s="94">
        <v>1365569</v>
      </c>
      <c r="M1121" s="94">
        <v>0</v>
      </c>
    </row>
    <row r="1122" spans="3:13" x14ac:dyDescent="0.3">
      <c r="C1122" t="s">
        <v>70</v>
      </c>
      <c r="D1122" t="s">
        <v>67</v>
      </c>
      <c r="E1122" t="s">
        <v>68</v>
      </c>
      <c r="F1122" t="s">
        <v>26</v>
      </c>
      <c r="G1122" s="4">
        <v>2</v>
      </c>
      <c r="H1122" s="4" t="s">
        <v>18</v>
      </c>
      <c r="I1122" s="4" t="s">
        <v>69</v>
      </c>
      <c r="J1122" s="4" t="s">
        <v>73</v>
      </c>
      <c r="K1122" s="4">
        <v>1</v>
      </c>
      <c r="L1122" s="94">
        <v>1539077</v>
      </c>
      <c r="M1122" s="94">
        <v>3078154</v>
      </c>
    </row>
    <row r="1123" spans="3:13" x14ac:dyDescent="0.3">
      <c r="C1123" t="s">
        <v>61</v>
      </c>
      <c r="D1123" t="s">
        <v>67</v>
      </c>
      <c r="E1123" t="s">
        <v>63</v>
      </c>
      <c r="F1123" t="s">
        <v>72</v>
      </c>
      <c r="G1123" s="4">
        <v>3</v>
      </c>
      <c r="H1123" s="4" t="s">
        <v>82</v>
      </c>
      <c r="I1123" s="4" t="s">
        <v>65</v>
      </c>
      <c r="J1123" s="4" t="s">
        <v>66</v>
      </c>
      <c r="K1123" s="4">
        <v>1</v>
      </c>
      <c r="L1123" s="94">
        <v>-211</v>
      </c>
      <c r="M1123" s="94">
        <v>0</v>
      </c>
    </row>
    <row r="1124" spans="3:13" x14ac:dyDescent="0.3">
      <c r="C1124" t="s">
        <v>70</v>
      </c>
      <c r="D1124" t="s">
        <v>67</v>
      </c>
      <c r="E1124" t="s">
        <v>63</v>
      </c>
      <c r="F1124" t="s">
        <v>25</v>
      </c>
      <c r="G1124" s="4">
        <v>12</v>
      </c>
      <c r="H1124" s="4" t="s">
        <v>77</v>
      </c>
      <c r="I1124" s="4" t="s">
        <v>69</v>
      </c>
      <c r="J1124" s="4" t="s">
        <v>66</v>
      </c>
      <c r="K1124" s="4">
        <v>0</v>
      </c>
      <c r="L1124" s="94">
        <v>-2880</v>
      </c>
      <c r="M1124" s="94">
        <v>0</v>
      </c>
    </row>
    <row r="1125" spans="3:13" x14ac:dyDescent="0.3">
      <c r="C1125" t="s">
        <v>71</v>
      </c>
      <c r="D1125" t="s">
        <v>67</v>
      </c>
      <c r="E1125" t="s">
        <v>63</v>
      </c>
      <c r="F1125" t="s">
        <v>26</v>
      </c>
      <c r="G1125" s="4">
        <v>-1</v>
      </c>
      <c r="H1125" s="4" t="s">
        <v>12</v>
      </c>
      <c r="I1125" s="4" t="s">
        <v>65</v>
      </c>
      <c r="J1125" s="4" t="s">
        <v>73</v>
      </c>
      <c r="K1125" s="4">
        <v>1</v>
      </c>
      <c r="L1125" s="94">
        <v>-103197</v>
      </c>
      <c r="M1125" s="94">
        <v>0</v>
      </c>
    </row>
    <row r="1126" spans="3:13" x14ac:dyDescent="0.3">
      <c r="C1126" t="s">
        <v>71</v>
      </c>
      <c r="D1126" t="s">
        <v>67</v>
      </c>
      <c r="E1126" t="s">
        <v>63</v>
      </c>
      <c r="F1126" t="s">
        <v>25</v>
      </c>
      <c r="G1126" s="4">
        <v>4</v>
      </c>
      <c r="H1126" s="4" t="s">
        <v>17</v>
      </c>
      <c r="I1126" s="4" t="s">
        <v>69</v>
      </c>
      <c r="J1126" s="4" t="s">
        <v>66</v>
      </c>
      <c r="K1126" s="4">
        <v>0</v>
      </c>
      <c r="L1126" s="94">
        <v>-327564</v>
      </c>
      <c r="M1126" s="94">
        <v>0</v>
      </c>
    </row>
    <row r="1127" spans="3:13" x14ac:dyDescent="0.3">
      <c r="C1127" t="s">
        <v>61</v>
      </c>
      <c r="D1127" t="s">
        <v>67</v>
      </c>
      <c r="E1127" t="s">
        <v>63</v>
      </c>
      <c r="F1127" t="s">
        <v>25</v>
      </c>
      <c r="G1127" s="4">
        <v>17</v>
      </c>
      <c r="H1127" s="4" t="s">
        <v>79</v>
      </c>
      <c r="I1127" s="4" t="s">
        <v>69</v>
      </c>
      <c r="J1127" s="4" t="s">
        <v>66</v>
      </c>
      <c r="K1127" s="4">
        <v>0</v>
      </c>
      <c r="L1127" s="94">
        <v>-271</v>
      </c>
      <c r="M1127" s="94">
        <v>0</v>
      </c>
    </row>
    <row r="1128" spans="3:13" x14ac:dyDescent="0.3">
      <c r="C1128" t="s">
        <v>61</v>
      </c>
      <c r="D1128" t="s">
        <v>67</v>
      </c>
      <c r="E1128" t="s">
        <v>68</v>
      </c>
      <c r="F1128" t="s">
        <v>25</v>
      </c>
      <c r="G1128" s="4">
        <v>14</v>
      </c>
      <c r="H1128" s="4" t="s">
        <v>14</v>
      </c>
      <c r="I1128" s="4" t="s">
        <v>69</v>
      </c>
      <c r="J1128" s="4" t="s">
        <v>66</v>
      </c>
      <c r="K1128" s="4">
        <v>1</v>
      </c>
      <c r="L1128" s="94">
        <v>1469244</v>
      </c>
      <c r="M1128" s="94">
        <v>20569416</v>
      </c>
    </row>
    <row r="1129" spans="3:13" x14ac:dyDescent="0.3">
      <c r="C1129" t="s">
        <v>70</v>
      </c>
      <c r="D1129" t="s">
        <v>67</v>
      </c>
      <c r="E1129" t="s">
        <v>63</v>
      </c>
      <c r="F1129" t="s">
        <v>72</v>
      </c>
      <c r="G1129" s="4">
        <v>5</v>
      </c>
      <c r="H1129" s="4" t="s">
        <v>12</v>
      </c>
      <c r="I1129" s="4" t="s">
        <v>69</v>
      </c>
      <c r="J1129" s="4" t="s">
        <v>73</v>
      </c>
      <c r="K1129" s="4">
        <v>1</v>
      </c>
      <c r="L1129" s="94">
        <v>-8654</v>
      </c>
      <c r="M1129" s="94">
        <v>0</v>
      </c>
    </row>
    <row r="1130" spans="3:13" x14ac:dyDescent="0.3">
      <c r="C1130" t="s">
        <v>70</v>
      </c>
      <c r="D1130" t="s">
        <v>67</v>
      </c>
      <c r="E1130" t="s">
        <v>63</v>
      </c>
      <c r="F1130" t="s">
        <v>25</v>
      </c>
      <c r="G1130" s="4">
        <v>15</v>
      </c>
      <c r="H1130" s="4" t="s">
        <v>17</v>
      </c>
      <c r="I1130" s="4" t="s">
        <v>69</v>
      </c>
      <c r="J1130" s="4" t="s">
        <v>66</v>
      </c>
      <c r="K1130" s="4">
        <v>0</v>
      </c>
      <c r="L1130" s="94">
        <v>-31276</v>
      </c>
      <c r="M1130" s="94">
        <v>0</v>
      </c>
    </row>
    <row r="1131" spans="3:13" x14ac:dyDescent="0.3">
      <c r="C1131" t="s">
        <v>70</v>
      </c>
      <c r="D1131" t="s">
        <v>67</v>
      </c>
      <c r="E1131" t="s">
        <v>63</v>
      </c>
      <c r="F1131" t="s">
        <v>26</v>
      </c>
      <c r="G1131" s="4">
        <v>-4</v>
      </c>
      <c r="H1131" s="4" t="s">
        <v>17</v>
      </c>
      <c r="I1131" s="4" t="s">
        <v>65</v>
      </c>
      <c r="J1131" s="4" t="s">
        <v>66</v>
      </c>
      <c r="K1131" s="4">
        <v>1</v>
      </c>
      <c r="L1131" s="94">
        <v>-865</v>
      </c>
      <c r="M1131" s="94">
        <v>0</v>
      </c>
    </row>
    <row r="1132" spans="3:13" x14ac:dyDescent="0.3">
      <c r="C1132" t="s">
        <v>70</v>
      </c>
      <c r="D1132" t="s">
        <v>67</v>
      </c>
      <c r="E1132" t="s">
        <v>68</v>
      </c>
      <c r="F1132" t="s">
        <v>25</v>
      </c>
      <c r="G1132" s="4">
        <v>-1</v>
      </c>
      <c r="H1132" s="4" t="s">
        <v>12</v>
      </c>
      <c r="I1132" s="4" t="s">
        <v>69</v>
      </c>
      <c r="J1132" s="4" t="s">
        <v>66</v>
      </c>
      <c r="K1132" s="4">
        <v>1</v>
      </c>
      <c r="L1132" s="94">
        <v>47672</v>
      </c>
      <c r="M1132" s="94">
        <v>0</v>
      </c>
    </row>
    <row r="1133" spans="3:13" x14ac:dyDescent="0.3">
      <c r="C1133" t="s">
        <v>70</v>
      </c>
      <c r="D1133" t="s">
        <v>67</v>
      </c>
      <c r="E1133" t="s">
        <v>68</v>
      </c>
      <c r="F1133" t="s">
        <v>26</v>
      </c>
      <c r="G1133" s="4">
        <v>9</v>
      </c>
      <c r="H1133" s="4" t="s">
        <v>14</v>
      </c>
      <c r="I1133" s="4" t="s">
        <v>69</v>
      </c>
      <c r="J1133" s="4" t="s">
        <v>73</v>
      </c>
      <c r="K1133" s="4">
        <v>1</v>
      </c>
      <c r="L1133" s="94">
        <v>364754</v>
      </c>
      <c r="M1133" s="94">
        <v>3282786</v>
      </c>
    </row>
    <row r="1134" spans="3:13" x14ac:dyDescent="0.3">
      <c r="C1134" t="s">
        <v>70</v>
      </c>
      <c r="D1134" t="s">
        <v>67</v>
      </c>
      <c r="E1134" t="s">
        <v>63</v>
      </c>
      <c r="F1134" t="s">
        <v>25</v>
      </c>
      <c r="G1134" s="4">
        <v>3</v>
      </c>
      <c r="H1134" s="4" t="s">
        <v>12</v>
      </c>
      <c r="I1134" s="4" t="s">
        <v>69</v>
      </c>
      <c r="J1134" s="4" t="s">
        <v>66</v>
      </c>
      <c r="K1134" s="4">
        <v>1</v>
      </c>
      <c r="L1134" s="94">
        <v>-2118</v>
      </c>
      <c r="M1134" s="94">
        <v>0</v>
      </c>
    </row>
    <row r="1135" spans="3:13" x14ac:dyDescent="0.3">
      <c r="C1135" t="s">
        <v>61</v>
      </c>
      <c r="D1135" t="s">
        <v>67</v>
      </c>
      <c r="E1135" t="s">
        <v>68</v>
      </c>
      <c r="F1135" t="s">
        <v>25</v>
      </c>
      <c r="G1135" s="4">
        <v>1</v>
      </c>
      <c r="H1135" s="4" t="s">
        <v>14</v>
      </c>
      <c r="I1135" s="4" t="s">
        <v>65</v>
      </c>
      <c r="J1135" s="4" t="s">
        <v>66</v>
      </c>
      <c r="K1135" s="4">
        <v>1</v>
      </c>
      <c r="L1135" s="94">
        <v>2013031</v>
      </c>
      <c r="M1135" s="94">
        <v>2013031</v>
      </c>
    </row>
    <row r="1136" spans="3:13" x14ac:dyDescent="0.3">
      <c r="C1136" t="s">
        <v>71</v>
      </c>
      <c r="D1136" t="s">
        <v>67</v>
      </c>
      <c r="E1136" t="s">
        <v>68</v>
      </c>
      <c r="F1136" t="s">
        <v>26</v>
      </c>
      <c r="G1136" s="4">
        <v>3</v>
      </c>
      <c r="H1136" s="4" t="s">
        <v>12</v>
      </c>
      <c r="I1136" s="4" t="s">
        <v>65</v>
      </c>
      <c r="J1136" s="4" t="s">
        <v>73</v>
      </c>
      <c r="K1136" s="4">
        <v>1</v>
      </c>
      <c r="L1136" s="94">
        <v>11839</v>
      </c>
      <c r="M1136" s="94">
        <v>35517</v>
      </c>
    </row>
    <row r="1137" spans="3:13" x14ac:dyDescent="0.3">
      <c r="C1137" t="s">
        <v>61</v>
      </c>
      <c r="D1137" t="s">
        <v>67</v>
      </c>
      <c r="E1137" t="s">
        <v>63</v>
      </c>
      <c r="F1137" t="s">
        <v>25</v>
      </c>
      <c r="G1137" s="4">
        <v>-1</v>
      </c>
      <c r="H1137" s="4" t="s">
        <v>74</v>
      </c>
      <c r="I1137" s="4" t="s">
        <v>69</v>
      </c>
      <c r="J1137" s="4" t="s">
        <v>66</v>
      </c>
      <c r="K1137" s="4">
        <v>0</v>
      </c>
      <c r="L1137" s="94">
        <v>-2461</v>
      </c>
      <c r="M1137" s="94">
        <v>0</v>
      </c>
    </row>
    <row r="1138" spans="3:13" x14ac:dyDescent="0.3">
      <c r="C1138" t="s">
        <v>71</v>
      </c>
      <c r="D1138" t="s">
        <v>67</v>
      </c>
      <c r="E1138" t="s">
        <v>68</v>
      </c>
      <c r="F1138" t="s">
        <v>26</v>
      </c>
      <c r="G1138" s="4">
        <v>-1</v>
      </c>
      <c r="H1138" s="4" t="s">
        <v>89</v>
      </c>
      <c r="I1138" s="4" t="s">
        <v>69</v>
      </c>
      <c r="J1138" s="4" t="s">
        <v>66</v>
      </c>
      <c r="K1138" s="4">
        <v>0</v>
      </c>
      <c r="L1138" s="94">
        <v>335</v>
      </c>
      <c r="M1138" s="94">
        <v>0</v>
      </c>
    </row>
    <row r="1139" spans="3:13" x14ac:dyDescent="0.3">
      <c r="C1139" t="s">
        <v>70</v>
      </c>
      <c r="D1139" t="s">
        <v>67</v>
      </c>
      <c r="E1139" t="s">
        <v>63</v>
      </c>
      <c r="F1139" t="s">
        <v>25</v>
      </c>
      <c r="G1139" s="4">
        <v>-1</v>
      </c>
      <c r="H1139" s="4" t="s">
        <v>75</v>
      </c>
      <c r="I1139" s="4" t="s">
        <v>69</v>
      </c>
      <c r="J1139" s="4" t="s">
        <v>66</v>
      </c>
      <c r="K1139" s="4">
        <v>0</v>
      </c>
      <c r="L1139" s="94">
        <v>-17742</v>
      </c>
      <c r="M1139" s="94">
        <v>0</v>
      </c>
    </row>
    <row r="1140" spans="3:13" x14ac:dyDescent="0.3">
      <c r="C1140" t="s">
        <v>61</v>
      </c>
      <c r="D1140" t="s">
        <v>67</v>
      </c>
      <c r="E1140" t="s">
        <v>68</v>
      </c>
      <c r="F1140" t="s">
        <v>26</v>
      </c>
      <c r="G1140" s="4">
        <v>8</v>
      </c>
      <c r="H1140" s="4" t="s">
        <v>77</v>
      </c>
      <c r="I1140" s="4" t="s">
        <v>69</v>
      </c>
      <c r="J1140" s="4" t="s">
        <v>66</v>
      </c>
      <c r="K1140" s="4">
        <v>0</v>
      </c>
      <c r="L1140" s="94">
        <v>144426</v>
      </c>
      <c r="M1140" s="94">
        <v>1155408</v>
      </c>
    </row>
    <row r="1141" spans="3:13" x14ac:dyDescent="0.3">
      <c r="C1141" t="s">
        <v>61</v>
      </c>
      <c r="D1141" t="s">
        <v>62</v>
      </c>
      <c r="E1141" t="s">
        <v>68</v>
      </c>
      <c r="F1141" t="s">
        <v>24</v>
      </c>
      <c r="G1141" s="4">
        <v>4</v>
      </c>
      <c r="I1141" s="4" t="s">
        <v>69</v>
      </c>
      <c r="J1141" s="4" t="s">
        <v>66</v>
      </c>
      <c r="K1141" s="4">
        <v>0</v>
      </c>
      <c r="L1141" s="94">
        <v>61137081</v>
      </c>
      <c r="M1141" s="94">
        <v>244548324</v>
      </c>
    </row>
    <row r="1142" spans="3:13" x14ac:dyDescent="0.3">
      <c r="C1142" t="s">
        <v>71</v>
      </c>
      <c r="D1142" t="s">
        <v>67</v>
      </c>
      <c r="E1142" t="s">
        <v>68</v>
      </c>
      <c r="F1142" t="s">
        <v>72</v>
      </c>
      <c r="G1142" s="4">
        <v>3</v>
      </c>
      <c r="H1142" s="4" t="s">
        <v>80</v>
      </c>
      <c r="I1142" s="4" t="s">
        <v>69</v>
      </c>
      <c r="J1142" s="4" t="s">
        <v>66</v>
      </c>
      <c r="K1142" s="4">
        <v>0</v>
      </c>
      <c r="L1142" s="94">
        <v>46071</v>
      </c>
      <c r="M1142" s="94">
        <v>138213</v>
      </c>
    </row>
    <row r="1143" spans="3:13" x14ac:dyDescent="0.3">
      <c r="C1143" t="s">
        <v>70</v>
      </c>
      <c r="D1143" t="s">
        <v>67</v>
      </c>
      <c r="E1143" t="s">
        <v>68</v>
      </c>
      <c r="F1143" t="s">
        <v>72</v>
      </c>
      <c r="G1143" s="4">
        <v>2</v>
      </c>
      <c r="H1143" s="4" t="s">
        <v>78</v>
      </c>
      <c r="I1143" s="4" t="s">
        <v>69</v>
      </c>
      <c r="J1143" s="4" t="s">
        <v>66</v>
      </c>
      <c r="K1143" s="4">
        <v>0</v>
      </c>
      <c r="L1143" s="94">
        <v>6953</v>
      </c>
      <c r="M1143" s="94">
        <v>13906</v>
      </c>
    </row>
    <row r="1144" spans="3:13" x14ac:dyDescent="0.3">
      <c r="C1144" t="s">
        <v>70</v>
      </c>
      <c r="D1144" t="s">
        <v>67</v>
      </c>
      <c r="E1144" t="s">
        <v>63</v>
      </c>
      <c r="F1144" t="s">
        <v>72</v>
      </c>
      <c r="G1144" s="4">
        <v>3</v>
      </c>
      <c r="H1144" s="4" t="s">
        <v>82</v>
      </c>
      <c r="I1144" s="4" t="s">
        <v>65</v>
      </c>
      <c r="J1144" s="4" t="s">
        <v>66</v>
      </c>
      <c r="K1144" s="4">
        <v>1</v>
      </c>
      <c r="L1144" s="94">
        <v>-984</v>
      </c>
      <c r="M1144" s="94">
        <v>0</v>
      </c>
    </row>
    <row r="1145" spans="3:13" x14ac:dyDescent="0.3">
      <c r="C1145" t="s">
        <v>61</v>
      </c>
      <c r="D1145" t="s">
        <v>62</v>
      </c>
      <c r="E1145" t="s">
        <v>68</v>
      </c>
      <c r="F1145" t="s">
        <v>24</v>
      </c>
      <c r="G1145" s="4">
        <v>10</v>
      </c>
      <c r="I1145" s="4" t="s">
        <v>65</v>
      </c>
      <c r="J1145" s="4" t="s">
        <v>66</v>
      </c>
      <c r="K1145" s="4">
        <v>1</v>
      </c>
      <c r="L1145" s="94">
        <v>2321819</v>
      </c>
      <c r="M1145" s="94">
        <v>23218190</v>
      </c>
    </row>
    <row r="1146" spans="3:13" x14ac:dyDescent="0.3">
      <c r="C1146" t="s">
        <v>61</v>
      </c>
      <c r="D1146" t="s">
        <v>67</v>
      </c>
      <c r="E1146" t="s">
        <v>68</v>
      </c>
      <c r="F1146" t="s">
        <v>26</v>
      </c>
      <c r="G1146" s="4">
        <v>16</v>
      </c>
      <c r="H1146" s="4" t="s">
        <v>79</v>
      </c>
      <c r="I1146" s="4" t="s">
        <v>69</v>
      </c>
      <c r="J1146" s="4" t="s">
        <v>66</v>
      </c>
      <c r="K1146" s="4">
        <v>0</v>
      </c>
      <c r="L1146" s="94">
        <v>340967</v>
      </c>
      <c r="M1146" s="94">
        <v>5455472</v>
      </c>
    </row>
    <row r="1147" spans="3:13" x14ac:dyDescent="0.3">
      <c r="C1147" t="s">
        <v>70</v>
      </c>
      <c r="D1147" t="s">
        <v>67</v>
      </c>
      <c r="E1147" t="s">
        <v>63</v>
      </c>
      <c r="F1147" t="s">
        <v>26</v>
      </c>
      <c r="G1147" s="4">
        <v>11</v>
      </c>
      <c r="H1147" s="4" t="s">
        <v>18</v>
      </c>
      <c r="I1147" s="4" t="s">
        <v>69</v>
      </c>
      <c r="J1147" s="4" t="s">
        <v>66</v>
      </c>
      <c r="K1147" s="4">
        <v>0</v>
      </c>
      <c r="L1147" s="94">
        <v>-342791</v>
      </c>
      <c r="M1147" s="94">
        <v>0</v>
      </c>
    </row>
    <row r="1148" spans="3:13" x14ac:dyDescent="0.3">
      <c r="C1148" t="s">
        <v>61</v>
      </c>
      <c r="D1148" t="s">
        <v>62</v>
      </c>
      <c r="E1148" t="s">
        <v>63</v>
      </c>
      <c r="F1148" t="s">
        <v>24</v>
      </c>
      <c r="G1148" s="4">
        <v>39</v>
      </c>
      <c r="I1148" s="4" t="s">
        <v>65</v>
      </c>
      <c r="J1148" s="4" t="s">
        <v>66</v>
      </c>
      <c r="K1148" s="4">
        <v>1</v>
      </c>
      <c r="L1148" s="94">
        <v>-5090</v>
      </c>
      <c r="M1148" s="94">
        <v>0</v>
      </c>
    </row>
    <row r="1149" spans="3:13" x14ac:dyDescent="0.3">
      <c r="C1149" t="s">
        <v>61</v>
      </c>
      <c r="D1149" t="s">
        <v>84</v>
      </c>
      <c r="E1149" t="s">
        <v>63</v>
      </c>
      <c r="F1149" t="s">
        <v>25</v>
      </c>
      <c r="G1149" s="4">
        <v>7</v>
      </c>
      <c r="H1149" s="4" t="s">
        <v>76</v>
      </c>
      <c r="I1149" s="4" t="s">
        <v>69</v>
      </c>
      <c r="J1149" s="4" t="s">
        <v>66</v>
      </c>
      <c r="K1149" s="4">
        <v>0</v>
      </c>
      <c r="L1149" s="94">
        <v>-7843</v>
      </c>
      <c r="M1149" s="94">
        <v>0</v>
      </c>
    </row>
    <row r="1150" spans="3:13" x14ac:dyDescent="0.3">
      <c r="C1150" t="s">
        <v>61</v>
      </c>
      <c r="D1150" t="s">
        <v>67</v>
      </c>
      <c r="E1150" t="s">
        <v>68</v>
      </c>
      <c r="F1150" t="s">
        <v>25</v>
      </c>
      <c r="G1150" s="4">
        <v>6</v>
      </c>
      <c r="H1150" s="4" t="s">
        <v>14</v>
      </c>
      <c r="I1150" s="4" t="s">
        <v>69</v>
      </c>
      <c r="J1150" s="4" t="s">
        <v>73</v>
      </c>
      <c r="K1150" s="4">
        <v>1</v>
      </c>
      <c r="L1150" s="94">
        <v>21940</v>
      </c>
      <c r="M1150" s="94">
        <v>131640</v>
      </c>
    </row>
    <row r="1151" spans="3:13" x14ac:dyDescent="0.3">
      <c r="C1151" t="s">
        <v>71</v>
      </c>
      <c r="D1151" t="s">
        <v>67</v>
      </c>
      <c r="E1151" t="s">
        <v>63</v>
      </c>
      <c r="F1151" t="s">
        <v>26</v>
      </c>
      <c r="G1151" s="4">
        <v>-1</v>
      </c>
      <c r="H1151" s="4" t="s">
        <v>89</v>
      </c>
      <c r="I1151" s="4" t="s">
        <v>69</v>
      </c>
      <c r="J1151" s="4" t="s">
        <v>66</v>
      </c>
      <c r="K1151" s="4">
        <v>0</v>
      </c>
      <c r="L1151" s="94">
        <v>-243</v>
      </c>
      <c r="M1151" s="94">
        <v>0</v>
      </c>
    </row>
    <row r="1152" spans="3:13" x14ac:dyDescent="0.3">
      <c r="C1152" t="s">
        <v>70</v>
      </c>
      <c r="D1152" t="s">
        <v>67</v>
      </c>
      <c r="E1152" t="s">
        <v>63</v>
      </c>
      <c r="F1152" t="s">
        <v>25</v>
      </c>
      <c r="G1152" s="4">
        <v>4</v>
      </c>
      <c r="H1152" s="4" t="s">
        <v>14</v>
      </c>
      <c r="I1152" s="4" t="s">
        <v>69</v>
      </c>
      <c r="J1152" s="4" t="s">
        <v>66</v>
      </c>
      <c r="K1152" s="4">
        <v>0</v>
      </c>
      <c r="L1152" s="94">
        <v>-82270</v>
      </c>
      <c r="M1152" s="94">
        <v>0</v>
      </c>
    </row>
    <row r="1153" spans="3:13" x14ac:dyDescent="0.3">
      <c r="C1153" t="s">
        <v>61</v>
      </c>
      <c r="D1153" t="s">
        <v>67</v>
      </c>
      <c r="E1153" t="s">
        <v>68</v>
      </c>
      <c r="F1153" t="s">
        <v>72</v>
      </c>
      <c r="G1153" s="4">
        <v>2</v>
      </c>
      <c r="H1153" s="4" t="s">
        <v>18</v>
      </c>
      <c r="I1153" s="4" t="s">
        <v>69</v>
      </c>
      <c r="J1153" s="4" t="s">
        <v>73</v>
      </c>
      <c r="K1153" s="4">
        <v>1</v>
      </c>
      <c r="L1153" s="94">
        <v>894473</v>
      </c>
      <c r="M1153" s="94">
        <v>1788946</v>
      </c>
    </row>
    <row r="1154" spans="3:13" x14ac:dyDescent="0.3">
      <c r="C1154" t="s">
        <v>70</v>
      </c>
      <c r="D1154" t="s">
        <v>62</v>
      </c>
      <c r="E1154" t="s">
        <v>68</v>
      </c>
      <c r="F1154" t="s">
        <v>24</v>
      </c>
      <c r="G1154" s="4">
        <v>7</v>
      </c>
      <c r="I1154" s="4" t="s">
        <v>69</v>
      </c>
      <c r="J1154" s="4" t="s">
        <v>66</v>
      </c>
      <c r="K1154" s="4">
        <v>1</v>
      </c>
      <c r="L1154" s="94">
        <v>100945</v>
      </c>
      <c r="M1154" s="94">
        <v>706615</v>
      </c>
    </row>
    <row r="1155" spans="3:13" x14ac:dyDescent="0.3">
      <c r="C1155" t="s">
        <v>61</v>
      </c>
      <c r="D1155" t="s">
        <v>67</v>
      </c>
      <c r="E1155" t="s">
        <v>68</v>
      </c>
      <c r="F1155" t="s">
        <v>26</v>
      </c>
      <c r="G1155" s="4">
        <v>2</v>
      </c>
      <c r="H1155" s="4" t="s">
        <v>77</v>
      </c>
      <c r="I1155" s="4" t="s">
        <v>69</v>
      </c>
      <c r="J1155" s="4" t="s">
        <v>66</v>
      </c>
      <c r="K1155" s="4">
        <v>0</v>
      </c>
      <c r="L1155" s="94">
        <v>5891620</v>
      </c>
      <c r="M1155" s="94">
        <v>11783240</v>
      </c>
    </row>
    <row r="1156" spans="3:13" x14ac:dyDescent="0.3">
      <c r="C1156" t="s">
        <v>71</v>
      </c>
      <c r="D1156" t="s">
        <v>67</v>
      </c>
      <c r="E1156" t="s">
        <v>63</v>
      </c>
      <c r="F1156" t="s">
        <v>26</v>
      </c>
      <c r="G1156" s="4">
        <v>2</v>
      </c>
      <c r="H1156" s="4" t="s">
        <v>75</v>
      </c>
      <c r="I1156" s="4" t="s">
        <v>69</v>
      </c>
      <c r="J1156" s="4" t="s">
        <v>66</v>
      </c>
      <c r="K1156" s="4">
        <v>0</v>
      </c>
      <c r="L1156" s="94">
        <v>-316069</v>
      </c>
      <c r="M1156" s="94">
        <v>0</v>
      </c>
    </row>
    <row r="1157" spans="3:13" x14ac:dyDescent="0.3">
      <c r="C1157" t="s">
        <v>70</v>
      </c>
      <c r="D1157" t="s">
        <v>84</v>
      </c>
      <c r="E1157" t="s">
        <v>68</v>
      </c>
      <c r="F1157" t="s">
        <v>25</v>
      </c>
      <c r="G1157" s="4">
        <v>3</v>
      </c>
      <c r="H1157" s="4" t="s">
        <v>74</v>
      </c>
      <c r="I1157" s="4" t="s">
        <v>69</v>
      </c>
      <c r="J1157" s="4" t="s">
        <v>66</v>
      </c>
      <c r="K1157" s="4">
        <v>0</v>
      </c>
      <c r="L1157" s="94">
        <v>233402</v>
      </c>
      <c r="M1157" s="94">
        <v>700206</v>
      </c>
    </row>
    <row r="1158" spans="3:13" x14ac:dyDescent="0.3">
      <c r="C1158" t="s">
        <v>70</v>
      </c>
      <c r="D1158" t="s">
        <v>67</v>
      </c>
      <c r="E1158" t="s">
        <v>63</v>
      </c>
      <c r="F1158" t="s">
        <v>26</v>
      </c>
      <c r="G1158" s="4">
        <v>1</v>
      </c>
      <c r="H1158" s="4" t="s">
        <v>82</v>
      </c>
      <c r="I1158" s="4" t="s">
        <v>69</v>
      </c>
      <c r="J1158" s="4" t="s">
        <v>73</v>
      </c>
      <c r="K1158" s="4">
        <v>1</v>
      </c>
      <c r="L1158" s="94">
        <v>-95</v>
      </c>
      <c r="M1158" s="94">
        <v>0</v>
      </c>
    </row>
    <row r="1159" spans="3:13" x14ac:dyDescent="0.3">
      <c r="C1159" t="s">
        <v>61</v>
      </c>
      <c r="D1159" t="s">
        <v>67</v>
      </c>
      <c r="E1159" t="s">
        <v>68</v>
      </c>
      <c r="F1159" t="s">
        <v>26</v>
      </c>
      <c r="G1159" s="4">
        <v>1</v>
      </c>
      <c r="H1159" s="4" t="s">
        <v>12</v>
      </c>
      <c r="I1159" s="4" t="s">
        <v>69</v>
      </c>
      <c r="J1159" s="4" t="s">
        <v>73</v>
      </c>
      <c r="K1159" s="4">
        <v>1</v>
      </c>
      <c r="L1159" s="94">
        <v>6122111</v>
      </c>
      <c r="M1159" s="94">
        <v>6122111</v>
      </c>
    </row>
    <row r="1160" spans="3:13" x14ac:dyDescent="0.3">
      <c r="C1160" t="s">
        <v>70</v>
      </c>
      <c r="D1160" t="s">
        <v>67</v>
      </c>
      <c r="E1160" t="s">
        <v>63</v>
      </c>
      <c r="F1160" t="s">
        <v>25</v>
      </c>
      <c r="G1160" s="4">
        <v>0</v>
      </c>
      <c r="H1160" s="4" t="s">
        <v>14</v>
      </c>
      <c r="I1160" s="4" t="s">
        <v>69</v>
      </c>
      <c r="J1160" s="4" t="s">
        <v>66</v>
      </c>
      <c r="K1160" s="4">
        <v>1</v>
      </c>
      <c r="L1160" s="94">
        <v>-290</v>
      </c>
      <c r="M1160" s="94">
        <v>0</v>
      </c>
    </row>
    <row r="1161" spans="3:13" x14ac:dyDescent="0.3">
      <c r="C1161" t="s">
        <v>71</v>
      </c>
      <c r="D1161" t="s">
        <v>67</v>
      </c>
      <c r="E1161" t="s">
        <v>68</v>
      </c>
      <c r="F1161" t="s">
        <v>26</v>
      </c>
      <c r="G1161" s="4">
        <v>-1</v>
      </c>
      <c r="H1161" s="4" t="s">
        <v>14</v>
      </c>
      <c r="I1161" s="4" t="s">
        <v>65</v>
      </c>
      <c r="J1161" s="4" t="s">
        <v>73</v>
      </c>
      <c r="K1161" s="4">
        <v>1</v>
      </c>
      <c r="L1161" s="94">
        <v>1346</v>
      </c>
      <c r="M1161" s="94">
        <v>0</v>
      </c>
    </row>
    <row r="1162" spans="3:13" x14ac:dyDescent="0.3">
      <c r="C1162" t="s">
        <v>70</v>
      </c>
      <c r="D1162" t="s">
        <v>67</v>
      </c>
      <c r="E1162" t="s">
        <v>68</v>
      </c>
      <c r="F1162" t="s">
        <v>25</v>
      </c>
      <c r="G1162" s="4">
        <v>11</v>
      </c>
      <c r="H1162" s="4" t="s">
        <v>80</v>
      </c>
      <c r="I1162" s="4" t="s">
        <v>69</v>
      </c>
      <c r="J1162" s="4" t="s">
        <v>66</v>
      </c>
      <c r="K1162" s="4">
        <v>0</v>
      </c>
      <c r="L1162" s="94">
        <v>77105</v>
      </c>
      <c r="M1162" s="94">
        <v>848155</v>
      </c>
    </row>
    <row r="1163" spans="3:13" x14ac:dyDescent="0.3">
      <c r="C1163" t="s">
        <v>70</v>
      </c>
      <c r="D1163" t="s">
        <v>62</v>
      </c>
      <c r="E1163" t="s">
        <v>68</v>
      </c>
      <c r="F1163" t="s">
        <v>24</v>
      </c>
      <c r="G1163" s="4">
        <v>10</v>
      </c>
      <c r="I1163" s="4" t="s">
        <v>69</v>
      </c>
      <c r="J1163" s="4" t="s">
        <v>66</v>
      </c>
      <c r="K1163" s="4">
        <v>0</v>
      </c>
      <c r="L1163" s="94">
        <v>18540634</v>
      </c>
      <c r="M1163" s="94">
        <v>185406340</v>
      </c>
    </row>
    <row r="1164" spans="3:13" x14ac:dyDescent="0.3">
      <c r="C1164" t="s">
        <v>61</v>
      </c>
      <c r="D1164" t="s">
        <v>67</v>
      </c>
      <c r="E1164" t="s">
        <v>68</v>
      </c>
      <c r="F1164" t="s">
        <v>72</v>
      </c>
      <c r="G1164" s="4">
        <v>1</v>
      </c>
      <c r="H1164" s="4" t="s">
        <v>74</v>
      </c>
      <c r="I1164" s="4" t="s">
        <v>69</v>
      </c>
      <c r="J1164" s="4" t="s">
        <v>66</v>
      </c>
      <c r="K1164" s="4">
        <v>0</v>
      </c>
      <c r="L1164" s="94">
        <v>6032807</v>
      </c>
      <c r="M1164" s="94">
        <v>6032807</v>
      </c>
    </row>
    <row r="1165" spans="3:13" x14ac:dyDescent="0.3">
      <c r="C1165" t="s">
        <v>71</v>
      </c>
      <c r="D1165" t="s">
        <v>67</v>
      </c>
      <c r="E1165" t="s">
        <v>68</v>
      </c>
      <c r="F1165" t="s">
        <v>72</v>
      </c>
      <c r="G1165" s="4">
        <v>4</v>
      </c>
      <c r="H1165" s="4" t="s">
        <v>12</v>
      </c>
      <c r="I1165" s="4" t="s">
        <v>69</v>
      </c>
      <c r="J1165" s="4" t="s">
        <v>73</v>
      </c>
      <c r="K1165" s="4">
        <v>1</v>
      </c>
      <c r="L1165" s="94">
        <v>91424</v>
      </c>
      <c r="M1165" s="94">
        <v>365696</v>
      </c>
    </row>
    <row r="1166" spans="3:13" x14ac:dyDescent="0.3">
      <c r="C1166" t="s">
        <v>61</v>
      </c>
      <c r="D1166" t="s">
        <v>62</v>
      </c>
      <c r="E1166" t="s">
        <v>63</v>
      </c>
      <c r="F1166" t="s">
        <v>24</v>
      </c>
      <c r="G1166" s="4">
        <v>35</v>
      </c>
      <c r="I1166" s="4" t="s">
        <v>65</v>
      </c>
      <c r="J1166" s="4" t="s">
        <v>66</v>
      </c>
      <c r="K1166" s="4">
        <v>1</v>
      </c>
      <c r="L1166" s="94">
        <v>-15382</v>
      </c>
      <c r="M1166" s="94">
        <v>0</v>
      </c>
    </row>
    <row r="1167" spans="3:13" x14ac:dyDescent="0.3">
      <c r="C1167" t="s">
        <v>70</v>
      </c>
      <c r="D1167" t="s">
        <v>67</v>
      </c>
      <c r="E1167" t="s">
        <v>63</v>
      </c>
      <c r="F1167" t="s">
        <v>25</v>
      </c>
      <c r="G1167" s="4">
        <v>8</v>
      </c>
      <c r="H1167" s="4" t="s">
        <v>18</v>
      </c>
      <c r="I1167" s="4" t="s">
        <v>69</v>
      </c>
      <c r="J1167" s="4" t="s">
        <v>66</v>
      </c>
      <c r="K1167" s="4">
        <v>0</v>
      </c>
      <c r="L1167" s="94">
        <v>-151443</v>
      </c>
      <c r="M1167" s="94">
        <v>0</v>
      </c>
    </row>
    <row r="1168" spans="3:13" x14ac:dyDescent="0.3">
      <c r="C1168" t="s">
        <v>70</v>
      </c>
      <c r="D1168" t="s">
        <v>62</v>
      </c>
      <c r="E1168" t="s">
        <v>63</v>
      </c>
      <c r="F1168" t="s">
        <v>25</v>
      </c>
      <c r="G1168" s="4">
        <v>11</v>
      </c>
      <c r="I1168" s="4" t="s">
        <v>69</v>
      </c>
      <c r="J1168" s="4" t="s">
        <v>66</v>
      </c>
      <c r="K1168" s="4">
        <v>0</v>
      </c>
      <c r="L1168" s="94">
        <v>-55574</v>
      </c>
      <c r="M1168" s="94">
        <v>0</v>
      </c>
    </row>
    <row r="1169" spans="3:13" x14ac:dyDescent="0.3">
      <c r="C1169" t="s">
        <v>61</v>
      </c>
      <c r="D1169" t="s">
        <v>67</v>
      </c>
      <c r="E1169" t="s">
        <v>63</v>
      </c>
      <c r="F1169" t="s">
        <v>26</v>
      </c>
      <c r="G1169" s="4">
        <v>-4</v>
      </c>
      <c r="H1169" s="4" t="s">
        <v>81</v>
      </c>
      <c r="I1169" s="4" t="s">
        <v>69</v>
      </c>
      <c r="J1169" s="4" t="s">
        <v>66</v>
      </c>
      <c r="K1169" s="4">
        <v>0</v>
      </c>
      <c r="L1169" s="94">
        <v>-333880</v>
      </c>
      <c r="M1169" s="94">
        <v>0</v>
      </c>
    </row>
    <row r="1170" spans="3:13" x14ac:dyDescent="0.3">
      <c r="C1170" t="s">
        <v>70</v>
      </c>
      <c r="D1170" t="s">
        <v>62</v>
      </c>
      <c r="E1170" t="s">
        <v>68</v>
      </c>
      <c r="F1170" t="s">
        <v>24</v>
      </c>
      <c r="G1170" s="4">
        <v>33</v>
      </c>
      <c r="I1170" s="4" t="s">
        <v>69</v>
      </c>
      <c r="J1170" s="4" t="s">
        <v>66</v>
      </c>
      <c r="K1170" s="4">
        <v>1</v>
      </c>
      <c r="L1170" s="94">
        <v>774399</v>
      </c>
      <c r="M1170" s="94">
        <v>25555167</v>
      </c>
    </row>
    <row r="1171" spans="3:13" x14ac:dyDescent="0.3">
      <c r="C1171" t="s">
        <v>61</v>
      </c>
      <c r="D1171" t="s">
        <v>67</v>
      </c>
      <c r="E1171" t="s">
        <v>63</v>
      </c>
      <c r="F1171" t="s">
        <v>72</v>
      </c>
      <c r="G1171" s="4">
        <v>-4</v>
      </c>
      <c r="H1171" s="4" t="s">
        <v>18</v>
      </c>
      <c r="I1171" s="4" t="s">
        <v>69</v>
      </c>
      <c r="J1171" s="4" t="s">
        <v>73</v>
      </c>
      <c r="K1171" s="4">
        <v>1</v>
      </c>
      <c r="L1171" s="94">
        <v>-1</v>
      </c>
      <c r="M1171" s="94">
        <v>0</v>
      </c>
    </row>
    <row r="1172" spans="3:13" x14ac:dyDescent="0.3">
      <c r="C1172" t="s">
        <v>70</v>
      </c>
      <c r="D1172" t="s">
        <v>67</v>
      </c>
      <c r="E1172" t="s">
        <v>68</v>
      </c>
      <c r="F1172" t="s">
        <v>26</v>
      </c>
      <c r="G1172" s="4">
        <v>3</v>
      </c>
      <c r="H1172" s="4" t="s">
        <v>82</v>
      </c>
      <c r="I1172" s="4" t="s">
        <v>65</v>
      </c>
      <c r="J1172" s="4" t="s">
        <v>66</v>
      </c>
      <c r="K1172" s="4">
        <v>1</v>
      </c>
      <c r="L1172" s="94">
        <v>242293</v>
      </c>
      <c r="M1172" s="94">
        <v>726879</v>
      </c>
    </row>
    <row r="1173" spans="3:13" x14ac:dyDescent="0.3">
      <c r="C1173" t="s">
        <v>71</v>
      </c>
      <c r="D1173" t="s">
        <v>67</v>
      </c>
      <c r="E1173" t="s">
        <v>63</v>
      </c>
      <c r="F1173" t="s">
        <v>72</v>
      </c>
      <c r="G1173" s="4">
        <v>2</v>
      </c>
      <c r="H1173" s="4" t="s">
        <v>76</v>
      </c>
      <c r="I1173" s="4" t="s">
        <v>69</v>
      </c>
      <c r="J1173" s="4" t="s">
        <v>66</v>
      </c>
      <c r="K1173" s="4">
        <v>0</v>
      </c>
      <c r="L1173" s="94">
        <v>-48646</v>
      </c>
      <c r="M1173" s="94">
        <v>0</v>
      </c>
    </row>
    <row r="1174" spans="3:13" x14ac:dyDescent="0.3">
      <c r="C1174" t="s">
        <v>61</v>
      </c>
      <c r="D1174" t="s">
        <v>67</v>
      </c>
      <c r="E1174" t="s">
        <v>63</v>
      </c>
      <c r="F1174" t="s">
        <v>26</v>
      </c>
      <c r="G1174" s="4">
        <v>7</v>
      </c>
      <c r="H1174" s="4" t="s">
        <v>18</v>
      </c>
      <c r="I1174" s="4" t="s">
        <v>69</v>
      </c>
      <c r="J1174" s="4" t="s">
        <v>66</v>
      </c>
      <c r="K1174" s="4">
        <v>0</v>
      </c>
      <c r="L1174" s="94">
        <v>-14487</v>
      </c>
      <c r="M1174" s="94">
        <v>0</v>
      </c>
    </row>
    <row r="1175" spans="3:13" x14ac:dyDescent="0.3">
      <c r="C1175" t="s">
        <v>70</v>
      </c>
      <c r="D1175" t="s">
        <v>67</v>
      </c>
      <c r="E1175" t="s">
        <v>68</v>
      </c>
      <c r="F1175" t="s">
        <v>72</v>
      </c>
      <c r="G1175" s="4">
        <v>-4</v>
      </c>
      <c r="H1175" s="4" t="s">
        <v>18</v>
      </c>
      <c r="I1175" s="4" t="s">
        <v>69</v>
      </c>
      <c r="J1175" s="4" t="s">
        <v>73</v>
      </c>
      <c r="K1175" s="4">
        <v>1</v>
      </c>
      <c r="L1175" s="94">
        <v>603</v>
      </c>
      <c r="M1175" s="94">
        <v>0</v>
      </c>
    </row>
    <row r="1176" spans="3:13" x14ac:dyDescent="0.3">
      <c r="C1176" t="s">
        <v>71</v>
      </c>
      <c r="D1176" t="s">
        <v>67</v>
      </c>
      <c r="E1176" t="s">
        <v>63</v>
      </c>
      <c r="F1176" t="s">
        <v>26</v>
      </c>
      <c r="G1176" s="4">
        <v>4</v>
      </c>
      <c r="H1176" s="4" t="s">
        <v>14</v>
      </c>
      <c r="I1176" s="4" t="s">
        <v>69</v>
      </c>
      <c r="J1176" s="4" t="s">
        <v>66</v>
      </c>
      <c r="K1176" s="4">
        <v>0</v>
      </c>
      <c r="L1176" s="94">
        <v>-852697</v>
      </c>
      <c r="M1176" s="94">
        <v>0</v>
      </c>
    </row>
    <row r="1177" spans="3:13" x14ac:dyDescent="0.3">
      <c r="C1177" t="s">
        <v>70</v>
      </c>
      <c r="D1177" t="s">
        <v>67</v>
      </c>
      <c r="E1177" t="s">
        <v>63</v>
      </c>
      <c r="F1177" t="s">
        <v>25</v>
      </c>
      <c r="G1177" s="4">
        <v>8</v>
      </c>
      <c r="H1177" s="4" t="s">
        <v>80</v>
      </c>
      <c r="I1177" s="4" t="s">
        <v>65</v>
      </c>
      <c r="J1177" s="4" t="s">
        <v>66</v>
      </c>
      <c r="K1177" s="4">
        <v>1</v>
      </c>
      <c r="L1177" s="94">
        <v>-2247</v>
      </c>
      <c r="M1177" s="94">
        <v>0</v>
      </c>
    </row>
    <row r="1178" spans="3:13" x14ac:dyDescent="0.3">
      <c r="C1178" t="s">
        <v>61</v>
      </c>
      <c r="D1178" t="s">
        <v>67</v>
      </c>
      <c r="E1178" t="s">
        <v>63</v>
      </c>
      <c r="F1178" t="s">
        <v>25</v>
      </c>
      <c r="G1178" s="4">
        <v>11</v>
      </c>
      <c r="H1178" s="4" t="s">
        <v>77</v>
      </c>
      <c r="I1178" s="4" t="s">
        <v>69</v>
      </c>
      <c r="J1178" s="4" t="s">
        <v>66</v>
      </c>
      <c r="K1178" s="4">
        <v>0</v>
      </c>
      <c r="L1178" s="94">
        <v>-1084</v>
      </c>
      <c r="M1178" s="94">
        <v>0</v>
      </c>
    </row>
    <row r="1179" spans="3:13" x14ac:dyDescent="0.3">
      <c r="C1179" t="s">
        <v>71</v>
      </c>
      <c r="D1179" t="s">
        <v>67</v>
      </c>
      <c r="E1179" t="s">
        <v>63</v>
      </c>
      <c r="F1179" t="s">
        <v>72</v>
      </c>
      <c r="G1179" s="4">
        <v>-4</v>
      </c>
      <c r="H1179" s="4" t="s">
        <v>18</v>
      </c>
      <c r="I1179" s="4" t="s">
        <v>69</v>
      </c>
      <c r="J1179" s="4" t="s">
        <v>66</v>
      </c>
      <c r="K1179" s="4">
        <v>0</v>
      </c>
      <c r="L1179" s="94">
        <v>-371783</v>
      </c>
      <c r="M1179" s="94">
        <v>0</v>
      </c>
    </row>
    <row r="1180" spans="3:13" x14ac:dyDescent="0.3">
      <c r="C1180" t="s">
        <v>71</v>
      </c>
      <c r="D1180" t="s">
        <v>67</v>
      </c>
      <c r="E1180" t="s">
        <v>63</v>
      </c>
      <c r="F1180" t="s">
        <v>25</v>
      </c>
      <c r="G1180" s="4">
        <v>-4</v>
      </c>
      <c r="H1180" s="4" t="s">
        <v>77</v>
      </c>
      <c r="I1180" s="4" t="s">
        <v>69</v>
      </c>
      <c r="J1180" s="4" t="s">
        <v>66</v>
      </c>
      <c r="K1180" s="4">
        <v>0</v>
      </c>
      <c r="L1180" s="94">
        <v>-18119</v>
      </c>
      <c r="M1180" s="94">
        <v>0</v>
      </c>
    </row>
    <row r="1181" spans="3:13" x14ac:dyDescent="0.3">
      <c r="C1181" t="s">
        <v>70</v>
      </c>
      <c r="D1181" t="s">
        <v>67</v>
      </c>
      <c r="E1181" t="s">
        <v>68</v>
      </c>
      <c r="F1181" t="s">
        <v>25</v>
      </c>
      <c r="G1181" s="4">
        <v>0</v>
      </c>
      <c r="H1181" s="4" t="s">
        <v>76</v>
      </c>
      <c r="I1181" s="4" t="s">
        <v>69</v>
      </c>
      <c r="J1181" s="4" t="s">
        <v>66</v>
      </c>
      <c r="K1181" s="4">
        <v>0</v>
      </c>
      <c r="L1181" s="94">
        <v>91048</v>
      </c>
      <c r="M1181" s="94">
        <v>0</v>
      </c>
    </row>
    <row r="1182" spans="3:13" x14ac:dyDescent="0.3">
      <c r="C1182" t="s">
        <v>70</v>
      </c>
      <c r="D1182" t="s">
        <v>67</v>
      </c>
      <c r="E1182" t="s">
        <v>63</v>
      </c>
      <c r="F1182" t="s">
        <v>72</v>
      </c>
      <c r="G1182" s="4">
        <v>7</v>
      </c>
      <c r="H1182" s="4" t="s">
        <v>18</v>
      </c>
      <c r="I1182" s="4" t="s">
        <v>69</v>
      </c>
      <c r="J1182" s="4" t="s">
        <v>73</v>
      </c>
      <c r="K1182" s="4">
        <v>1</v>
      </c>
      <c r="L1182" s="94">
        <v>-3014</v>
      </c>
      <c r="M1182" s="94">
        <v>0</v>
      </c>
    </row>
    <row r="1183" spans="3:13" x14ac:dyDescent="0.3">
      <c r="C1183" t="s">
        <v>70</v>
      </c>
      <c r="D1183" t="s">
        <v>67</v>
      </c>
      <c r="E1183" t="s">
        <v>68</v>
      </c>
      <c r="F1183" t="s">
        <v>25</v>
      </c>
      <c r="G1183" s="4">
        <v>3</v>
      </c>
      <c r="H1183" s="4" t="s">
        <v>14</v>
      </c>
      <c r="I1183" s="4" t="s">
        <v>69</v>
      </c>
      <c r="J1183" s="4" t="s">
        <v>66</v>
      </c>
      <c r="K1183" s="4">
        <v>1</v>
      </c>
      <c r="L1183" s="94">
        <v>1947115</v>
      </c>
      <c r="M1183" s="94">
        <v>5841345</v>
      </c>
    </row>
    <row r="1184" spans="3:13" x14ac:dyDescent="0.3">
      <c r="C1184" t="s">
        <v>71</v>
      </c>
      <c r="D1184" t="s">
        <v>67</v>
      </c>
      <c r="E1184" t="s">
        <v>63</v>
      </c>
      <c r="F1184" t="s">
        <v>26</v>
      </c>
      <c r="G1184" s="4">
        <v>9</v>
      </c>
      <c r="H1184" s="4" t="s">
        <v>17</v>
      </c>
      <c r="I1184" s="4" t="s">
        <v>69</v>
      </c>
      <c r="J1184" s="4" t="s">
        <v>66</v>
      </c>
      <c r="K1184" s="4">
        <v>0</v>
      </c>
      <c r="L1184" s="94">
        <v>-1466952</v>
      </c>
      <c r="M1184" s="94">
        <v>0</v>
      </c>
    </row>
    <row r="1185" spans="3:13" x14ac:dyDescent="0.3">
      <c r="C1185" t="s">
        <v>61</v>
      </c>
      <c r="D1185" t="s">
        <v>67</v>
      </c>
      <c r="E1185" t="s">
        <v>63</v>
      </c>
      <c r="F1185" t="s">
        <v>26</v>
      </c>
      <c r="G1185" s="4">
        <v>2</v>
      </c>
      <c r="H1185" s="4" t="s">
        <v>78</v>
      </c>
      <c r="I1185" s="4" t="s">
        <v>69</v>
      </c>
      <c r="J1185" s="4" t="s">
        <v>66</v>
      </c>
      <c r="K1185" s="4">
        <v>0</v>
      </c>
      <c r="L1185" s="94">
        <v>-11420</v>
      </c>
      <c r="M1185" s="94">
        <v>0</v>
      </c>
    </row>
    <row r="1186" spans="3:13" x14ac:dyDescent="0.3">
      <c r="C1186" t="s">
        <v>70</v>
      </c>
      <c r="D1186" t="s">
        <v>67</v>
      </c>
      <c r="E1186" t="s">
        <v>63</v>
      </c>
      <c r="F1186" t="s">
        <v>72</v>
      </c>
      <c r="G1186" s="4">
        <v>0</v>
      </c>
      <c r="H1186" s="4" t="s">
        <v>14</v>
      </c>
      <c r="I1186" s="4" t="s">
        <v>69</v>
      </c>
      <c r="J1186" s="4" t="s">
        <v>73</v>
      </c>
      <c r="K1186" s="4">
        <v>1</v>
      </c>
      <c r="L1186" s="94">
        <v>-2581</v>
      </c>
      <c r="M1186" s="94">
        <v>0</v>
      </c>
    </row>
    <row r="1187" spans="3:13" x14ac:dyDescent="0.3">
      <c r="C1187" t="s">
        <v>61</v>
      </c>
      <c r="D1187" t="s">
        <v>67</v>
      </c>
      <c r="E1187" t="s">
        <v>68</v>
      </c>
      <c r="F1187" t="s">
        <v>72</v>
      </c>
      <c r="G1187" s="4">
        <v>-4</v>
      </c>
      <c r="H1187" s="4" t="s">
        <v>78</v>
      </c>
      <c r="I1187" s="4" t="s">
        <v>69</v>
      </c>
      <c r="J1187" s="4" t="s">
        <v>66</v>
      </c>
      <c r="K1187" s="4">
        <v>0</v>
      </c>
      <c r="L1187" s="94">
        <v>26</v>
      </c>
      <c r="M1187" s="94">
        <v>0</v>
      </c>
    </row>
    <row r="1188" spans="3:13" x14ac:dyDescent="0.3">
      <c r="C1188" t="s">
        <v>70</v>
      </c>
      <c r="D1188" t="s">
        <v>62</v>
      </c>
      <c r="E1188" t="s">
        <v>63</v>
      </c>
      <c r="F1188" t="s">
        <v>25</v>
      </c>
      <c r="G1188" s="4">
        <v>0</v>
      </c>
      <c r="I1188" s="4" t="s">
        <v>69</v>
      </c>
      <c r="J1188" s="4" t="s">
        <v>66</v>
      </c>
      <c r="K1188" s="4">
        <v>0</v>
      </c>
      <c r="L1188" s="94">
        <v>-919</v>
      </c>
      <c r="M1188" s="94">
        <v>0</v>
      </c>
    </row>
    <row r="1189" spans="3:13" x14ac:dyDescent="0.3">
      <c r="C1189" t="s">
        <v>61</v>
      </c>
      <c r="D1189" t="s">
        <v>67</v>
      </c>
      <c r="E1189" t="s">
        <v>63</v>
      </c>
      <c r="F1189" t="s">
        <v>26</v>
      </c>
      <c r="G1189" s="4">
        <v>1</v>
      </c>
      <c r="H1189" s="4" t="s">
        <v>13</v>
      </c>
      <c r="I1189" s="4" t="s">
        <v>69</v>
      </c>
      <c r="J1189" s="4" t="s">
        <v>66</v>
      </c>
      <c r="K1189" s="4">
        <v>0</v>
      </c>
      <c r="L1189" s="94">
        <v>-53</v>
      </c>
      <c r="M1189" s="94">
        <v>0</v>
      </c>
    </row>
    <row r="1190" spans="3:13" x14ac:dyDescent="0.3">
      <c r="C1190" t="s">
        <v>70</v>
      </c>
      <c r="D1190" t="s">
        <v>67</v>
      </c>
      <c r="E1190" t="s">
        <v>68</v>
      </c>
      <c r="F1190" t="s">
        <v>72</v>
      </c>
      <c r="G1190" s="4">
        <v>4</v>
      </c>
      <c r="H1190" s="4" t="s">
        <v>12</v>
      </c>
      <c r="I1190" s="4" t="s">
        <v>65</v>
      </c>
      <c r="J1190" s="4" t="s">
        <v>73</v>
      </c>
      <c r="K1190" s="4">
        <v>1</v>
      </c>
      <c r="L1190" s="94">
        <v>3527</v>
      </c>
      <c r="M1190" s="94">
        <v>14108</v>
      </c>
    </row>
    <row r="1191" spans="3:13" x14ac:dyDescent="0.3">
      <c r="C1191" t="s">
        <v>70</v>
      </c>
      <c r="D1191" t="s">
        <v>67</v>
      </c>
      <c r="E1191" t="s">
        <v>68</v>
      </c>
      <c r="F1191" t="s">
        <v>25</v>
      </c>
      <c r="G1191" s="4">
        <v>11</v>
      </c>
      <c r="H1191" s="4" t="s">
        <v>74</v>
      </c>
      <c r="I1191" s="4" t="s">
        <v>69</v>
      </c>
      <c r="J1191" s="4" t="s">
        <v>66</v>
      </c>
      <c r="K1191" s="4">
        <v>0</v>
      </c>
      <c r="L1191" s="94">
        <v>2602897</v>
      </c>
      <c r="M1191" s="94">
        <v>28631867</v>
      </c>
    </row>
    <row r="1192" spans="3:13" x14ac:dyDescent="0.3">
      <c r="C1192" t="s">
        <v>61</v>
      </c>
      <c r="D1192" t="s">
        <v>67</v>
      </c>
      <c r="E1192" t="s">
        <v>68</v>
      </c>
      <c r="F1192" t="s">
        <v>72</v>
      </c>
      <c r="G1192" s="4">
        <v>1</v>
      </c>
      <c r="H1192" s="4" t="s">
        <v>80</v>
      </c>
      <c r="I1192" s="4" t="s">
        <v>69</v>
      </c>
      <c r="J1192" s="4" t="s">
        <v>66</v>
      </c>
      <c r="K1192" s="4">
        <v>0</v>
      </c>
      <c r="L1192" s="94">
        <v>228895</v>
      </c>
      <c r="M1192" s="94">
        <v>228895</v>
      </c>
    </row>
    <row r="1193" spans="3:13" x14ac:dyDescent="0.3">
      <c r="C1193" t="s">
        <v>70</v>
      </c>
      <c r="D1193" t="s">
        <v>67</v>
      </c>
      <c r="E1193" t="s">
        <v>63</v>
      </c>
      <c r="F1193" t="s">
        <v>26</v>
      </c>
      <c r="G1193" s="4">
        <v>3</v>
      </c>
      <c r="H1193" s="4" t="s">
        <v>81</v>
      </c>
      <c r="I1193" s="4" t="s">
        <v>69</v>
      </c>
      <c r="J1193" s="4" t="s">
        <v>66</v>
      </c>
      <c r="K1193" s="4">
        <v>0</v>
      </c>
      <c r="L1193" s="94">
        <v>-31197</v>
      </c>
      <c r="M1193" s="94">
        <v>0</v>
      </c>
    </row>
    <row r="1194" spans="3:13" x14ac:dyDescent="0.3">
      <c r="C1194" t="s">
        <v>61</v>
      </c>
      <c r="D1194" t="s">
        <v>67</v>
      </c>
      <c r="E1194" t="s">
        <v>63</v>
      </c>
      <c r="F1194" t="s">
        <v>26</v>
      </c>
      <c r="G1194" s="4">
        <v>4</v>
      </c>
      <c r="H1194" s="4" t="s">
        <v>12</v>
      </c>
      <c r="I1194" s="4" t="s">
        <v>69</v>
      </c>
      <c r="J1194" s="4" t="s">
        <v>66</v>
      </c>
      <c r="K1194" s="4">
        <v>0</v>
      </c>
      <c r="L1194" s="94">
        <v>-8626</v>
      </c>
      <c r="M1194" s="94">
        <v>0</v>
      </c>
    </row>
    <row r="1195" spans="3:13" x14ac:dyDescent="0.3">
      <c r="C1195" t="s">
        <v>70</v>
      </c>
      <c r="D1195" t="s">
        <v>67</v>
      </c>
      <c r="E1195" t="s">
        <v>63</v>
      </c>
      <c r="F1195" t="s">
        <v>25</v>
      </c>
      <c r="G1195" s="4">
        <v>6</v>
      </c>
      <c r="H1195" s="4" t="s">
        <v>64</v>
      </c>
      <c r="I1195" s="4" t="s">
        <v>69</v>
      </c>
      <c r="J1195" s="4" t="s">
        <v>66</v>
      </c>
      <c r="K1195" s="4">
        <v>0</v>
      </c>
      <c r="L1195" s="94">
        <v>-1368</v>
      </c>
      <c r="M1195" s="94">
        <v>0</v>
      </c>
    </row>
    <row r="1196" spans="3:13" x14ac:dyDescent="0.3">
      <c r="C1196" t="s">
        <v>61</v>
      </c>
      <c r="D1196" t="s">
        <v>67</v>
      </c>
      <c r="E1196" t="s">
        <v>63</v>
      </c>
      <c r="F1196" t="s">
        <v>72</v>
      </c>
      <c r="G1196" s="4">
        <v>1</v>
      </c>
      <c r="H1196" s="4" t="s">
        <v>16</v>
      </c>
      <c r="I1196" s="4" t="s">
        <v>69</v>
      </c>
      <c r="J1196" s="4" t="s">
        <v>66</v>
      </c>
      <c r="K1196" s="4">
        <v>0</v>
      </c>
      <c r="L1196" s="94">
        <v>-417</v>
      </c>
      <c r="M1196" s="94">
        <v>0</v>
      </c>
    </row>
    <row r="1197" spans="3:13" x14ac:dyDescent="0.3">
      <c r="C1197" t="s">
        <v>61</v>
      </c>
      <c r="D1197" t="s">
        <v>84</v>
      </c>
      <c r="E1197" t="s">
        <v>63</v>
      </c>
      <c r="F1197" t="s">
        <v>25</v>
      </c>
      <c r="G1197" s="4">
        <v>2</v>
      </c>
      <c r="H1197" s="4" t="s">
        <v>75</v>
      </c>
      <c r="I1197" s="4" t="s">
        <v>69</v>
      </c>
      <c r="J1197" s="4" t="s">
        <v>66</v>
      </c>
      <c r="K1197" s="4">
        <v>0</v>
      </c>
      <c r="L1197" s="94">
        <v>-87</v>
      </c>
      <c r="M1197" s="94">
        <v>0</v>
      </c>
    </row>
    <row r="1198" spans="3:13" x14ac:dyDescent="0.3">
      <c r="C1198" t="s">
        <v>70</v>
      </c>
      <c r="D1198" t="s">
        <v>67</v>
      </c>
      <c r="E1198" t="s">
        <v>68</v>
      </c>
      <c r="F1198" t="s">
        <v>26</v>
      </c>
      <c r="G1198" s="4">
        <v>5</v>
      </c>
      <c r="H1198" s="4" t="s">
        <v>12</v>
      </c>
      <c r="I1198" s="4" t="s">
        <v>69</v>
      </c>
      <c r="J1198" s="4" t="s">
        <v>73</v>
      </c>
      <c r="K1198" s="4">
        <v>1</v>
      </c>
      <c r="L1198" s="94">
        <v>309006</v>
      </c>
      <c r="M1198" s="94">
        <v>1545030</v>
      </c>
    </row>
    <row r="1199" spans="3:13" x14ac:dyDescent="0.3">
      <c r="C1199" t="s">
        <v>70</v>
      </c>
      <c r="D1199" t="s">
        <v>67</v>
      </c>
      <c r="E1199" t="s">
        <v>63</v>
      </c>
      <c r="F1199" t="s">
        <v>26</v>
      </c>
      <c r="G1199" s="4">
        <v>10</v>
      </c>
      <c r="H1199" s="4" t="s">
        <v>18</v>
      </c>
      <c r="I1199" s="4" t="s">
        <v>69</v>
      </c>
      <c r="J1199" s="4" t="s">
        <v>66</v>
      </c>
      <c r="K1199" s="4">
        <v>0</v>
      </c>
      <c r="L1199" s="94">
        <v>-1100</v>
      </c>
      <c r="M1199" s="94">
        <v>0</v>
      </c>
    </row>
    <row r="1200" spans="3:13" x14ac:dyDescent="0.3">
      <c r="C1200" t="s">
        <v>71</v>
      </c>
      <c r="D1200" t="s">
        <v>62</v>
      </c>
      <c r="E1200" t="s">
        <v>63</v>
      </c>
      <c r="F1200" t="s">
        <v>25</v>
      </c>
      <c r="G1200" s="4">
        <v>15</v>
      </c>
      <c r="I1200" s="4" t="s">
        <v>69</v>
      </c>
      <c r="J1200" s="4" t="s">
        <v>66</v>
      </c>
      <c r="K1200" s="4">
        <v>0</v>
      </c>
      <c r="L1200" s="94">
        <v>-24076</v>
      </c>
      <c r="M1200" s="94">
        <v>0</v>
      </c>
    </row>
    <row r="1201" spans="3:13" x14ac:dyDescent="0.3">
      <c r="C1201" t="s">
        <v>61</v>
      </c>
      <c r="D1201" t="s">
        <v>67</v>
      </c>
      <c r="E1201" t="s">
        <v>68</v>
      </c>
      <c r="F1201" t="s">
        <v>72</v>
      </c>
      <c r="G1201" s="4">
        <v>5</v>
      </c>
      <c r="H1201" s="4" t="s">
        <v>14</v>
      </c>
      <c r="I1201" s="4" t="s">
        <v>69</v>
      </c>
      <c r="J1201" s="4" t="s">
        <v>66</v>
      </c>
      <c r="K1201" s="4">
        <v>0</v>
      </c>
      <c r="L1201" s="94">
        <v>1664915</v>
      </c>
      <c r="M1201" s="94">
        <v>8324575</v>
      </c>
    </row>
    <row r="1202" spans="3:13" x14ac:dyDescent="0.3">
      <c r="C1202" t="s">
        <v>70</v>
      </c>
      <c r="D1202" t="s">
        <v>67</v>
      </c>
      <c r="E1202" t="s">
        <v>68</v>
      </c>
      <c r="F1202" t="s">
        <v>25</v>
      </c>
      <c r="G1202" s="4">
        <v>12</v>
      </c>
      <c r="H1202" s="4" t="s">
        <v>18</v>
      </c>
      <c r="I1202" s="4" t="s">
        <v>69</v>
      </c>
      <c r="J1202" s="4" t="s">
        <v>66</v>
      </c>
      <c r="K1202" s="4">
        <v>0</v>
      </c>
      <c r="L1202" s="94">
        <v>3902498</v>
      </c>
      <c r="M1202" s="94">
        <v>46829976</v>
      </c>
    </row>
    <row r="1203" spans="3:13" x14ac:dyDescent="0.3">
      <c r="C1203" t="s">
        <v>71</v>
      </c>
      <c r="D1203" t="s">
        <v>67</v>
      </c>
      <c r="E1203" t="s">
        <v>68</v>
      </c>
      <c r="F1203" t="s">
        <v>72</v>
      </c>
      <c r="G1203" s="4">
        <v>-4</v>
      </c>
      <c r="H1203" s="4" t="s">
        <v>16</v>
      </c>
      <c r="I1203" s="4" t="s">
        <v>69</v>
      </c>
      <c r="J1203" s="4" t="s">
        <v>66</v>
      </c>
      <c r="K1203" s="4">
        <v>0</v>
      </c>
      <c r="L1203" s="94">
        <v>8369</v>
      </c>
      <c r="M1203" s="94">
        <v>0</v>
      </c>
    </row>
    <row r="1204" spans="3:13" x14ac:dyDescent="0.3">
      <c r="C1204" t="s">
        <v>61</v>
      </c>
      <c r="D1204" t="s">
        <v>67</v>
      </c>
      <c r="E1204" t="s">
        <v>63</v>
      </c>
      <c r="F1204" t="s">
        <v>26</v>
      </c>
      <c r="G1204" s="4">
        <v>5</v>
      </c>
      <c r="H1204" s="4" t="s">
        <v>82</v>
      </c>
      <c r="I1204" s="4" t="s">
        <v>69</v>
      </c>
      <c r="J1204" s="4" t="s">
        <v>73</v>
      </c>
      <c r="K1204" s="4">
        <v>1</v>
      </c>
      <c r="L1204" s="94">
        <v>-305</v>
      </c>
      <c r="M1204" s="94">
        <v>0</v>
      </c>
    </row>
    <row r="1205" spans="3:13" x14ac:dyDescent="0.3">
      <c r="C1205" t="s">
        <v>61</v>
      </c>
      <c r="D1205" t="s">
        <v>67</v>
      </c>
      <c r="E1205" t="s">
        <v>63</v>
      </c>
      <c r="F1205" t="s">
        <v>72</v>
      </c>
      <c r="G1205" s="4">
        <v>4</v>
      </c>
      <c r="H1205" s="4" t="s">
        <v>82</v>
      </c>
      <c r="I1205" s="4" t="s">
        <v>65</v>
      </c>
      <c r="J1205" s="4" t="s">
        <v>66</v>
      </c>
      <c r="K1205" s="4">
        <v>1</v>
      </c>
      <c r="L1205" s="94">
        <v>-38210</v>
      </c>
      <c r="M1205" s="94">
        <v>0</v>
      </c>
    </row>
    <row r="1206" spans="3:13" x14ac:dyDescent="0.3">
      <c r="C1206" t="s">
        <v>71</v>
      </c>
      <c r="D1206" t="s">
        <v>67</v>
      </c>
      <c r="E1206" t="s">
        <v>63</v>
      </c>
      <c r="F1206" t="s">
        <v>26</v>
      </c>
      <c r="G1206" s="4">
        <v>-1</v>
      </c>
      <c r="H1206" s="4" t="s">
        <v>77</v>
      </c>
      <c r="I1206" s="4" t="s">
        <v>69</v>
      </c>
      <c r="J1206" s="4" t="s">
        <v>66</v>
      </c>
      <c r="K1206" s="4">
        <v>0</v>
      </c>
      <c r="L1206" s="94">
        <v>-576328</v>
      </c>
      <c r="M1206" s="94">
        <v>0</v>
      </c>
    </row>
    <row r="1207" spans="3:13" x14ac:dyDescent="0.3">
      <c r="C1207" t="s">
        <v>70</v>
      </c>
      <c r="D1207" t="s">
        <v>67</v>
      </c>
      <c r="E1207" t="s">
        <v>63</v>
      </c>
      <c r="F1207" t="s">
        <v>25</v>
      </c>
      <c r="G1207" s="4">
        <v>10</v>
      </c>
      <c r="H1207" s="4" t="s">
        <v>76</v>
      </c>
      <c r="I1207" s="4" t="s">
        <v>69</v>
      </c>
      <c r="J1207" s="4" t="s">
        <v>66</v>
      </c>
      <c r="K1207" s="4">
        <v>0</v>
      </c>
      <c r="L1207" s="94">
        <v>-755760</v>
      </c>
      <c r="M1207" s="94">
        <v>0</v>
      </c>
    </row>
    <row r="1208" spans="3:13" x14ac:dyDescent="0.3">
      <c r="C1208" t="s">
        <v>61</v>
      </c>
      <c r="D1208" t="s">
        <v>67</v>
      </c>
      <c r="E1208" t="s">
        <v>63</v>
      </c>
      <c r="F1208" t="s">
        <v>25</v>
      </c>
      <c r="G1208" s="4">
        <v>10</v>
      </c>
      <c r="H1208" s="4" t="s">
        <v>82</v>
      </c>
      <c r="I1208" s="4" t="s">
        <v>69</v>
      </c>
      <c r="J1208" s="4" t="s">
        <v>66</v>
      </c>
      <c r="K1208" s="4">
        <v>0</v>
      </c>
      <c r="L1208" s="94">
        <v>-241</v>
      </c>
      <c r="M1208" s="94">
        <v>0</v>
      </c>
    </row>
    <row r="1209" spans="3:13" x14ac:dyDescent="0.3">
      <c r="C1209" t="s">
        <v>70</v>
      </c>
      <c r="D1209" t="s">
        <v>67</v>
      </c>
      <c r="E1209" t="s">
        <v>63</v>
      </c>
      <c r="F1209" t="s">
        <v>26</v>
      </c>
      <c r="G1209" s="4">
        <v>-1</v>
      </c>
      <c r="H1209" s="4" t="s">
        <v>77</v>
      </c>
      <c r="I1209" s="4" t="s">
        <v>69</v>
      </c>
      <c r="J1209" s="4" t="s">
        <v>66</v>
      </c>
      <c r="K1209" s="4">
        <v>0</v>
      </c>
      <c r="L1209" s="94">
        <v>-173667</v>
      </c>
      <c r="M1209" s="94">
        <v>0</v>
      </c>
    </row>
    <row r="1210" spans="3:13" x14ac:dyDescent="0.3">
      <c r="C1210" t="s">
        <v>71</v>
      </c>
      <c r="D1210" t="s">
        <v>62</v>
      </c>
      <c r="E1210" t="s">
        <v>68</v>
      </c>
      <c r="F1210" t="s">
        <v>25</v>
      </c>
      <c r="G1210" s="4">
        <v>21</v>
      </c>
      <c r="I1210" s="4" t="s">
        <v>69</v>
      </c>
      <c r="J1210" s="4" t="s">
        <v>66</v>
      </c>
      <c r="K1210" s="4">
        <v>0</v>
      </c>
      <c r="L1210" s="94">
        <v>526185</v>
      </c>
      <c r="M1210" s="94">
        <v>11049885</v>
      </c>
    </row>
    <row r="1211" spans="3:13" x14ac:dyDescent="0.3">
      <c r="C1211" t="s">
        <v>70</v>
      </c>
      <c r="D1211" t="s">
        <v>67</v>
      </c>
      <c r="E1211" t="s">
        <v>68</v>
      </c>
      <c r="F1211" t="s">
        <v>72</v>
      </c>
      <c r="G1211" s="4">
        <v>5</v>
      </c>
      <c r="H1211" s="4" t="s">
        <v>81</v>
      </c>
      <c r="I1211" s="4" t="s">
        <v>69</v>
      </c>
      <c r="J1211" s="4" t="s">
        <v>66</v>
      </c>
      <c r="K1211" s="4">
        <v>0</v>
      </c>
      <c r="L1211" s="94">
        <v>16542</v>
      </c>
      <c r="M1211" s="94">
        <v>82710</v>
      </c>
    </row>
    <row r="1212" spans="3:13" x14ac:dyDescent="0.3">
      <c r="C1212" t="s">
        <v>71</v>
      </c>
      <c r="D1212" t="s">
        <v>67</v>
      </c>
      <c r="E1212" t="s">
        <v>68</v>
      </c>
      <c r="F1212" t="s">
        <v>72</v>
      </c>
      <c r="G1212" s="4">
        <v>7</v>
      </c>
      <c r="H1212" s="4" t="s">
        <v>82</v>
      </c>
      <c r="I1212" s="4" t="s">
        <v>69</v>
      </c>
      <c r="J1212" s="4" t="s">
        <v>66</v>
      </c>
      <c r="K1212" s="4">
        <v>0</v>
      </c>
      <c r="L1212" s="94">
        <v>5030</v>
      </c>
      <c r="M1212" s="94">
        <v>35210</v>
      </c>
    </row>
    <row r="1213" spans="3:13" x14ac:dyDescent="0.3">
      <c r="C1213" t="s">
        <v>61</v>
      </c>
      <c r="D1213" t="s">
        <v>67</v>
      </c>
      <c r="E1213" t="s">
        <v>68</v>
      </c>
      <c r="G1213" s="4">
        <v>-1</v>
      </c>
      <c r="I1213" s="4" t="s">
        <v>69</v>
      </c>
      <c r="J1213" s="4" t="s">
        <v>66</v>
      </c>
      <c r="K1213" s="4">
        <v>0</v>
      </c>
      <c r="L1213" s="94">
        <v>41513</v>
      </c>
      <c r="M1213" s="94">
        <v>0</v>
      </c>
    </row>
    <row r="1214" spans="3:13" x14ac:dyDescent="0.3">
      <c r="C1214" t="s">
        <v>61</v>
      </c>
      <c r="D1214" t="s">
        <v>67</v>
      </c>
      <c r="E1214" t="s">
        <v>68</v>
      </c>
      <c r="F1214" t="s">
        <v>25</v>
      </c>
      <c r="G1214" s="4">
        <v>11</v>
      </c>
      <c r="H1214" s="4" t="s">
        <v>74</v>
      </c>
      <c r="I1214" s="4" t="s">
        <v>69</v>
      </c>
      <c r="J1214" s="4" t="s">
        <v>66</v>
      </c>
      <c r="K1214" s="4">
        <v>0</v>
      </c>
      <c r="L1214" s="94">
        <v>6965246</v>
      </c>
      <c r="M1214" s="94">
        <v>76617706</v>
      </c>
    </row>
    <row r="1215" spans="3:13" x14ac:dyDescent="0.3">
      <c r="C1215" t="s">
        <v>61</v>
      </c>
      <c r="D1215" t="s">
        <v>67</v>
      </c>
      <c r="E1215" t="s">
        <v>63</v>
      </c>
      <c r="F1215" t="s">
        <v>72</v>
      </c>
      <c r="G1215" s="4">
        <v>4</v>
      </c>
      <c r="H1215" s="4" t="s">
        <v>18</v>
      </c>
      <c r="I1215" s="4" t="s">
        <v>69</v>
      </c>
      <c r="J1215" s="4" t="s">
        <v>66</v>
      </c>
      <c r="K1215" s="4">
        <v>0</v>
      </c>
      <c r="L1215" s="94">
        <v>-38733</v>
      </c>
      <c r="M1215" s="94">
        <v>0</v>
      </c>
    </row>
    <row r="1216" spans="3:13" x14ac:dyDescent="0.3">
      <c r="C1216" t="s">
        <v>61</v>
      </c>
      <c r="D1216" t="s">
        <v>62</v>
      </c>
      <c r="E1216" t="s">
        <v>63</v>
      </c>
      <c r="F1216" t="s">
        <v>25</v>
      </c>
      <c r="G1216" s="4">
        <v>36</v>
      </c>
      <c r="I1216" s="4" t="s">
        <v>69</v>
      </c>
      <c r="J1216" s="4" t="s">
        <v>66</v>
      </c>
      <c r="K1216" s="4">
        <v>0</v>
      </c>
      <c r="L1216" s="94">
        <v>-381</v>
      </c>
      <c r="M1216" s="94">
        <v>0</v>
      </c>
    </row>
    <row r="1217" spans="3:13" x14ac:dyDescent="0.3">
      <c r="C1217" t="s">
        <v>61</v>
      </c>
      <c r="D1217" t="s">
        <v>67</v>
      </c>
      <c r="E1217" t="s">
        <v>63</v>
      </c>
      <c r="F1217" t="s">
        <v>25</v>
      </c>
      <c r="G1217" s="4">
        <v>19</v>
      </c>
      <c r="H1217" s="4" t="s">
        <v>74</v>
      </c>
      <c r="I1217" s="4" t="s">
        <v>69</v>
      </c>
      <c r="J1217" s="4" t="s">
        <v>66</v>
      </c>
      <c r="K1217" s="4">
        <v>0</v>
      </c>
      <c r="L1217" s="94">
        <v>-73</v>
      </c>
      <c r="M1217" s="94">
        <v>0</v>
      </c>
    </row>
    <row r="1218" spans="3:13" x14ac:dyDescent="0.3">
      <c r="C1218" t="s">
        <v>70</v>
      </c>
      <c r="D1218" t="s">
        <v>67</v>
      </c>
      <c r="E1218" t="s">
        <v>63</v>
      </c>
      <c r="F1218" t="s">
        <v>72</v>
      </c>
      <c r="G1218" s="4">
        <v>2</v>
      </c>
      <c r="H1218" s="4" t="s">
        <v>12</v>
      </c>
      <c r="I1218" s="4" t="s">
        <v>69</v>
      </c>
      <c r="J1218" s="4" t="s">
        <v>66</v>
      </c>
      <c r="K1218" s="4">
        <v>0</v>
      </c>
      <c r="L1218" s="94">
        <v>-6802</v>
      </c>
      <c r="M1218" s="94">
        <v>0</v>
      </c>
    </row>
    <row r="1219" spans="3:13" x14ac:dyDescent="0.3">
      <c r="C1219" t="s">
        <v>61</v>
      </c>
      <c r="D1219" t="s">
        <v>67</v>
      </c>
      <c r="E1219" t="s">
        <v>68</v>
      </c>
      <c r="F1219" t="s">
        <v>72</v>
      </c>
      <c r="G1219" s="4">
        <v>0</v>
      </c>
      <c r="H1219" s="4" t="s">
        <v>17</v>
      </c>
      <c r="I1219" s="4" t="s">
        <v>69</v>
      </c>
      <c r="J1219" s="4" t="s">
        <v>73</v>
      </c>
      <c r="K1219" s="4">
        <v>1</v>
      </c>
      <c r="L1219" s="94">
        <v>14145</v>
      </c>
      <c r="M1219" s="94">
        <v>0</v>
      </c>
    </row>
    <row r="1220" spans="3:13" x14ac:dyDescent="0.3">
      <c r="C1220" t="s">
        <v>70</v>
      </c>
      <c r="D1220" t="s">
        <v>67</v>
      </c>
      <c r="E1220" t="s">
        <v>68</v>
      </c>
      <c r="F1220" t="s">
        <v>26</v>
      </c>
      <c r="G1220" s="4">
        <v>2</v>
      </c>
      <c r="H1220" s="4" t="s">
        <v>74</v>
      </c>
      <c r="I1220" s="4" t="s">
        <v>69</v>
      </c>
      <c r="J1220" s="4" t="s">
        <v>66</v>
      </c>
      <c r="K1220" s="4">
        <v>0</v>
      </c>
      <c r="L1220" s="94">
        <v>3806548</v>
      </c>
      <c r="M1220" s="94">
        <v>7613096</v>
      </c>
    </row>
    <row r="1221" spans="3:13" x14ac:dyDescent="0.3">
      <c r="C1221" t="s">
        <v>70</v>
      </c>
      <c r="D1221" t="s">
        <v>84</v>
      </c>
      <c r="E1221" t="s">
        <v>68</v>
      </c>
      <c r="F1221" t="s">
        <v>25</v>
      </c>
      <c r="G1221" s="4">
        <v>-4</v>
      </c>
      <c r="H1221" s="4" t="s">
        <v>79</v>
      </c>
      <c r="I1221" s="4" t="s">
        <v>69</v>
      </c>
      <c r="J1221" s="4" t="s">
        <v>66</v>
      </c>
      <c r="K1221" s="4">
        <v>0</v>
      </c>
      <c r="L1221" s="94">
        <v>11</v>
      </c>
      <c r="M1221" s="94">
        <v>0</v>
      </c>
    </row>
    <row r="1222" spans="3:13" x14ac:dyDescent="0.3">
      <c r="C1222" t="s">
        <v>70</v>
      </c>
      <c r="D1222" t="s">
        <v>67</v>
      </c>
      <c r="E1222" t="s">
        <v>68</v>
      </c>
      <c r="F1222" t="s">
        <v>26</v>
      </c>
      <c r="G1222" s="4">
        <v>1</v>
      </c>
      <c r="H1222" s="4" t="s">
        <v>17</v>
      </c>
      <c r="I1222" s="4" t="s">
        <v>69</v>
      </c>
      <c r="J1222" s="4" t="s">
        <v>73</v>
      </c>
      <c r="K1222" s="4">
        <v>1</v>
      </c>
      <c r="L1222" s="94">
        <v>98041</v>
      </c>
      <c r="M1222" s="94">
        <v>98041</v>
      </c>
    </row>
    <row r="1223" spans="3:13" x14ac:dyDescent="0.3">
      <c r="C1223" t="s">
        <v>70</v>
      </c>
      <c r="D1223" t="s">
        <v>62</v>
      </c>
      <c r="E1223" t="s">
        <v>63</v>
      </c>
      <c r="F1223" t="s">
        <v>25</v>
      </c>
      <c r="G1223" s="4">
        <v>10</v>
      </c>
      <c r="I1223" s="4" t="s">
        <v>69</v>
      </c>
      <c r="J1223" s="4" t="s">
        <v>66</v>
      </c>
      <c r="K1223" s="4">
        <v>1</v>
      </c>
      <c r="L1223" s="94">
        <v>-2842</v>
      </c>
      <c r="M1223" s="94">
        <v>0</v>
      </c>
    </row>
    <row r="1224" spans="3:13" x14ac:dyDescent="0.3">
      <c r="C1224" t="s">
        <v>71</v>
      </c>
      <c r="D1224" t="s">
        <v>67</v>
      </c>
      <c r="E1224" t="s">
        <v>63</v>
      </c>
      <c r="F1224" t="s">
        <v>25</v>
      </c>
      <c r="G1224" s="4">
        <v>3</v>
      </c>
      <c r="H1224" s="4" t="s">
        <v>74</v>
      </c>
      <c r="I1224" s="4" t="s">
        <v>69</v>
      </c>
      <c r="J1224" s="4" t="s">
        <v>66</v>
      </c>
      <c r="K1224" s="4">
        <v>0</v>
      </c>
      <c r="L1224" s="94">
        <v>-120637</v>
      </c>
      <c r="M1224" s="94">
        <v>0</v>
      </c>
    </row>
    <row r="1225" spans="3:13" x14ac:dyDescent="0.3">
      <c r="C1225" t="s">
        <v>61</v>
      </c>
      <c r="D1225" t="s">
        <v>67</v>
      </c>
      <c r="E1225" t="s">
        <v>68</v>
      </c>
      <c r="F1225" t="s">
        <v>25</v>
      </c>
      <c r="G1225" s="4">
        <v>12</v>
      </c>
      <c r="H1225" s="4" t="s">
        <v>18</v>
      </c>
      <c r="I1225" s="4" t="s">
        <v>69</v>
      </c>
      <c r="J1225" s="4" t="s">
        <v>66</v>
      </c>
      <c r="K1225" s="4">
        <v>0</v>
      </c>
      <c r="L1225" s="94">
        <v>6739769</v>
      </c>
      <c r="M1225" s="94">
        <v>80877228</v>
      </c>
    </row>
    <row r="1226" spans="3:13" x14ac:dyDescent="0.3">
      <c r="C1226" t="s">
        <v>70</v>
      </c>
      <c r="D1226" t="s">
        <v>67</v>
      </c>
      <c r="E1226" t="s">
        <v>63</v>
      </c>
      <c r="F1226" t="s">
        <v>26</v>
      </c>
      <c r="G1226" s="4">
        <v>2</v>
      </c>
      <c r="H1226" s="4" t="s">
        <v>83</v>
      </c>
      <c r="I1226" s="4" t="s">
        <v>69</v>
      </c>
      <c r="J1226" s="4" t="s">
        <v>66</v>
      </c>
      <c r="K1226" s="4">
        <v>0</v>
      </c>
      <c r="L1226" s="94">
        <v>-58172</v>
      </c>
      <c r="M1226" s="94">
        <v>0</v>
      </c>
    </row>
    <row r="1227" spans="3:13" x14ac:dyDescent="0.3">
      <c r="C1227" t="s">
        <v>61</v>
      </c>
      <c r="D1227" t="s">
        <v>67</v>
      </c>
      <c r="E1227" t="s">
        <v>63</v>
      </c>
      <c r="F1227" t="s">
        <v>26</v>
      </c>
      <c r="G1227" s="4">
        <v>2</v>
      </c>
      <c r="H1227" s="4" t="s">
        <v>17</v>
      </c>
      <c r="I1227" s="4" t="s">
        <v>69</v>
      </c>
      <c r="J1227" s="4" t="s">
        <v>73</v>
      </c>
      <c r="K1227" s="4">
        <v>1</v>
      </c>
      <c r="L1227" s="94">
        <v>-7612</v>
      </c>
      <c r="M1227" s="94">
        <v>0</v>
      </c>
    </row>
    <row r="1228" spans="3:13" x14ac:dyDescent="0.3">
      <c r="C1228" t="s">
        <v>70</v>
      </c>
      <c r="D1228" t="s">
        <v>67</v>
      </c>
      <c r="E1228" t="s">
        <v>68</v>
      </c>
      <c r="F1228" t="s">
        <v>72</v>
      </c>
      <c r="G1228" s="4">
        <v>0</v>
      </c>
      <c r="H1228" s="4" t="s">
        <v>79</v>
      </c>
      <c r="I1228" s="4" t="s">
        <v>69</v>
      </c>
      <c r="J1228" s="4" t="s">
        <v>66</v>
      </c>
      <c r="K1228" s="4">
        <v>0</v>
      </c>
      <c r="L1228" s="94">
        <v>44338</v>
      </c>
      <c r="M1228" s="94">
        <v>0</v>
      </c>
    </row>
    <row r="1229" spans="3:13" x14ac:dyDescent="0.3">
      <c r="C1229" t="s">
        <v>71</v>
      </c>
      <c r="D1229" t="s">
        <v>67</v>
      </c>
      <c r="E1229" t="s">
        <v>68</v>
      </c>
      <c r="F1229" t="s">
        <v>25</v>
      </c>
      <c r="G1229" s="4">
        <v>2</v>
      </c>
      <c r="H1229" s="4" t="s">
        <v>17</v>
      </c>
      <c r="I1229" s="4" t="s">
        <v>69</v>
      </c>
      <c r="J1229" s="4" t="s">
        <v>66</v>
      </c>
      <c r="K1229" s="4">
        <v>0</v>
      </c>
      <c r="L1229" s="94">
        <v>21818</v>
      </c>
      <c r="M1229" s="94">
        <v>43636</v>
      </c>
    </row>
    <row r="1230" spans="3:13" x14ac:dyDescent="0.3">
      <c r="C1230" t="s">
        <v>71</v>
      </c>
      <c r="D1230" t="s">
        <v>67</v>
      </c>
      <c r="E1230" t="s">
        <v>63</v>
      </c>
      <c r="F1230" t="s">
        <v>25</v>
      </c>
      <c r="G1230" s="4">
        <v>10</v>
      </c>
      <c r="H1230" s="4" t="s">
        <v>75</v>
      </c>
      <c r="I1230" s="4" t="s">
        <v>69</v>
      </c>
      <c r="J1230" s="4" t="s">
        <v>66</v>
      </c>
      <c r="K1230" s="4">
        <v>0</v>
      </c>
      <c r="L1230" s="94">
        <v>-492084</v>
      </c>
      <c r="M1230" s="94">
        <v>0</v>
      </c>
    </row>
    <row r="1231" spans="3:13" x14ac:dyDescent="0.3">
      <c r="C1231" t="s">
        <v>61</v>
      </c>
      <c r="D1231" t="s">
        <v>67</v>
      </c>
      <c r="E1231" t="s">
        <v>63</v>
      </c>
      <c r="F1231" t="s">
        <v>72</v>
      </c>
      <c r="G1231" s="4">
        <v>2</v>
      </c>
      <c r="H1231" s="4" t="s">
        <v>12</v>
      </c>
      <c r="I1231" s="4" t="s">
        <v>69</v>
      </c>
      <c r="J1231" s="4" t="s">
        <v>66</v>
      </c>
      <c r="K1231" s="4">
        <v>0</v>
      </c>
      <c r="L1231" s="94">
        <v>-941</v>
      </c>
      <c r="M1231" s="94">
        <v>0</v>
      </c>
    </row>
    <row r="1232" spans="3:13" x14ac:dyDescent="0.3">
      <c r="C1232" t="s">
        <v>61</v>
      </c>
      <c r="D1232" t="s">
        <v>67</v>
      </c>
      <c r="E1232" t="s">
        <v>63</v>
      </c>
      <c r="F1232" t="s">
        <v>26</v>
      </c>
      <c r="G1232" s="4">
        <v>3</v>
      </c>
      <c r="H1232" s="4" t="s">
        <v>76</v>
      </c>
      <c r="I1232" s="4" t="s">
        <v>69</v>
      </c>
      <c r="J1232" s="4" t="s">
        <v>66</v>
      </c>
      <c r="K1232" s="4">
        <v>0</v>
      </c>
      <c r="L1232" s="94">
        <v>-143957</v>
      </c>
      <c r="M1232" s="94">
        <v>0</v>
      </c>
    </row>
    <row r="1233" spans="3:13" x14ac:dyDescent="0.3">
      <c r="C1233" t="s">
        <v>61</v>
      </c>
      <c r="D1233" t="s">
        <v>67</v>
      </c>
      <c r="E1233" t="s">
        <v>63</v>
      </c>
      <c r="F1233" t="s">
        <v>25</v>
      </c>
      <c r="G1233" s="4">
        <v>5</v>
      </c>
      <c r="H1233" s="4" t="s">
        <v>17</v>
      </c>
      <c r="I1233" s="4" t="s">
        <v>65</v>
      </c>
      <c r="J1233" s="4" t="s">
        <v>66</v>
      </c>
      <c r="K1233" s="4">
        <v>1</v>
      </c>
      <c r="L1233" s="94">
        <v>-28</v>
      </c>
      <c r="M1233" s="94">
        <v>0</v>
      </c>
    </row>
    <row r="1234" spans="3:13" x14ac:dyDescent="0.3">
      <c r="C1234" t="s">
        <v>70</v>
      </c>
      <c r="D1234" t="s">
        <v>67</v>
      </c>
      <c r="E1234" t="s">
        <v>63</v>
      </c>
      <c r="F1234" t="s">
        <v>72</v>
      </c>
      <c r="G1234" s="4">
        <v>4</v>
      </c>
      <c r="H1234" s="4" t="s">
        <v>18</v>
      </c>
      <c r="I1234" s="4" t="s">
        <v>69</v>
      </c>
      <c r="J1234" s="4" t="s">
        <v>66</v>
      </c>
      <c r="K1234" s="4">
        <v>0</v>
      </c>
      <c r="L1234" s="94">
        <v>-208302</v>
      </c>
      <c r="M1234" s="94">
        <v>0</v>
      </c>
    </row>
    <row r="1235" spans="3:13" x14ac:dyDescent="0.3">
      <c r="C1235" t="s">
        <v>61</v>
      </c>
      <c r="D1235" t="s">
        <v>67</v>
      </c>
      <c r="E1235" t="s">
        <v>68</v>
      </c>
      <c r="F1235" t="s">
        <v>26</v>
      </c>
      <c r="G1235" s="4">
        <v>1</v>
      </c>
      <c r="H1235" s="4" t="s">
        <v>81</v>
      </c>
      <c r="I1235" s="4" t="s">
        <v>69</v>
      </c>
      <c r="J1235" s="4" t="s">
        <v>66</v>
      </c>
      <c r="K1235" s="4">
        <v>0</v>
      </c>
      <c r="L1235" s="94">
        <v>4909</v>
      </c>
      <c r="M1235" s="94">
        <v>4909</v>
      </c>
    </row>
    <row r="1236" spans="3:13" x14ac:dyDescent="0.3">
      <c r="C1236" t="s">
        <v>61</v>
      </c>
      <c r="D1236" t="s">
        <v>67</v>
      </c>
      <c r="E1236" t="s">
        <v>68</v>
      </c>
      <c r="F1236" t="s">
        <v>25</v>
      </c>
      <c r="G1236" s="4">
        <v>3</v>
      </c>
      <c r="H1236" s="4" t="s">
        <v>14</v>
      </c>
      <c r="I1236" s="4" t="s">
        <v>69</v>
      </c>
      <c r="J1236" s="4" t="s">
        <v>66</v>
      </c>
      <c r="K1236" s="4">
        <v>1</v>
      </c>
      <c r="L1236" s="94">
        <v>1340215</v>
      </c>
      <c r="M1236" s="94">
        <v>4020645</v>
      </c>
    </row>
    <row r="1237" spans="3:13" x14ac:dyDescent="0.3">
      <c r="C1237" t="s">
        <v>71</v>
      </c>
      <c r="D1237" t="s">
        <v>67</v>
      </c>
      <c r="E1237" t="s">
        <v>68</v>
      </c>
      <c r="F1237" t="s">
        <v>25</v>
      </c>
      <c r="G1237" s="4">
        <v>6</v>
      </c>
      <c r="H1237" s="4" t="s">
        <v>12</v>
      </c>
      <c r="I1237" s="4" t="s">
        <v>69</v>
      </c>
      <c r="J1237" s="4" t="s">
        <v>66</v>
      </c>
      <c r="K1237" s="4">
        <v>1</v>
      </c>
      <c r="L1237" s="94">
        <v>659988</v>
      </c>
      <c r="M1237" s="94">
        <v>3959928</v>
      </c>
    </row>
    <row r="1238" spans="3:13" x14ac:dyDescent="0.3">
      <c r="C1238" t="s">
        <v>71</v>
      </c>
      <c r="D1238" t="s">
        <v>67</v>
      </c>
      <c r="E1238" t="s">
        <v>63</v>
      </c>
      <c r="F1238" t="s">
        <v>72</v>
      </c>
      <c r="G1238" s="4">
        <v>2</v>
      </c>
      <c r="H1238" s="4" t="s">
        <v>17</v>
      </c>
      <c r="I1238" s="4" t="s">
        <v>65</v>
      </c>
      <c r="J1238" s="4" t="s">
        <v>66</v>
      </c>
      <c r="K1238" s="4">
        <v>1</v>
      </c>
      <c r="L1238" s="94">
        <v>-7341</v>
      </c>
      <c r="M1238" s="94">
        <v>0</v>
      </c>
    </row>
    <row r="1239" spans="3:13" x14ac:dyDescent="0.3">
      <c r="C1239" t="s">
        <v>70</v>
      </c>
      <c r="D1239" t="s">
        <v>67</v>
      </c>
      <c r="E1239" t="s">
        <v>68</v>
      </c>
      <c r="F1239" t="s">
        <v>72</v>
      </c>
      <c r="G1239" s="4">
        <v>6</v>
      </c>
      <c r="H1239" s="4" t="s">
        <v>14</v>
      </c>
      <c r="I1239" s="4" t="s">
        <v>69</v>
      </c>
      <c r="J1239" s="4" t="s">
        <v>66</v>
      </c>
      <c r="K1239" s="4">
        <v>0</v>
      </c>
      <c r="L1239" s="94">
        <v>376048</v>
      </c>
      <c r="M1239" s="94">
        <v>2256288</v>
      </c>
    </row>
    <row r="1240" spans="3:13" x14ac:dyDescent="0.3">
      <c r="C1240" t="s">
        <v>61</v>
      </c>
      <c r="D1240" t="s">
        <v>67</v>
      </c>
      <c r="E1240" t="s">
        <v>63</v>
      </c>
      <c r="F1240" t="s">
        <v>25</v>
      </c>
      <c r="G1240" s="4">
        <v>5</v>
      </c>
      <c r="H1240" s="4" t="s">
        <v>83</v>
      </c>
      <c r="I1240" s="4" t="s">
        <v>69</v>
      </c>
      <c r="J1240" s="4" t="s">
        <v>66</v>
      </c>
      <c r="K1240" s="4">
        <v>0</v>
      </c>
      <c r="L1240" s="94">
        <v>-377</v>
      </c>
      <c r="M1240" s="94">
        <v>0</v>
      </c>
    </row>
    <row r="1241" spans="3:13" x14ac:dyDescent="0.3">
      <c r="C1241" t="s">
        <v>70</v>
      </c>
      <c r="D1241" t="s">
        <v>67</v>
      </c>
      <c r="E1241" t="s">
        <v>68</v>
      </c>
      <c r="F1241" t="s">
        <v>26</v>
      </c>
      <c r="G1241" s="4">
        <v>8</v>
      </c>
      <c r="H1241" s="4" t="s">
        <v>74</v>
      </c>
      <c r="I1241" s="4" t="s">
        <v>69</v>
      </c>
      <c r="J1241" s="4" t="s">
        <v>66</v>
      </c>
      <c r="K1241" s="4">
        <v>0</v>
      </c>
      <c r="L1241" s="94">
        <v>954746</v>
      </c>
      <c r="M1241" s="94">
        <v>7637968</v>
      </c>
    </row>
    <row r="1242" spans="3:13" x14ac:dyDescent="0.3">
      <c r="C1242" t="s">
        <v>71</v>
      </c>
      <c r="D1242" t="s">
        <v>67</v>
      </c>
      <c r="E1242" t="s">
        <v>68</v>
      </c>
      <c r="F1242" t="s">
        <v>72</v>
      </c>
      <c r="G1242" s="4">
        <v>-1</v>
      </c>
      <c r="H1242" s="4" t="s">
        <v>14</v>
      </c>
      <c r="I1242" s="4" t="s">
        <v>69</v>
      </c>
      <c r="J1242" s="4" t="s">
        <v>66</v>
      </c>
      <c r="K1242" s="4">
        <v>0</v>
      </c>
      <c r="L1242" s="94">
        <v>230842</v>
      </c>
      <c r="M1242" s="94">
        <v>0</v>
      </c>
    </row>
    <row r="1243" spans="3:13" x14ac:dyDescent="0.3">
      <c r="C1243" t="s">
        <v>71</v>
      </c>
      <c r="D1243" t="s">
        <v>67</v>
      </c>
      <c r="E1243" t="s">
        <v>68</v>
      </c>
      <c r="F1243" t="s">
        <v>26</v>
      </c>
      <c r="G1243" s="4">
        <v>1</v>
      </c>
      <c r="H1243" s="4" t="s">
        <v>12</v>
      </c>
      <c r="I1243" s="4" t="s">
        <v>69</v>
      </c>
      <c r="J1243" s="4" t="s">
        <v>66</v>
      </c>
      <c r="K1243" s="4">
        <v>0</v>
      </c>
      <c r="L1243" s="94">
        <v>166844</v>
      </c>
      <c r="M1243" s="94">
        <v>166844</v>
      </c>
    </row>
    <row r="1244" spans="3:13" x14ac:dyDescent="0.3">
      <c r="C1244" t="s">
        <v>71</v>
      </c>
      <c r="D1244" t="s">
        <v>62</v>
      </c>
      <c r="E1244" t="s">
        <v>68</v>
      </c>
      <c r="F1244" t="s">
        <v>24</v>
      </c>
      <c r="G1244" s="4">
        <v>29</v>
      </c>
      <c r="I1244" s="4" t="s">
        <v>65</v>
      </c>
      <c r="J1244" s="4" t="s">
        <v>66</v>
      </c>
      <c r="K1244" s="4">
        <v>1</v>
      </c>
      <c r="L1244" s="94">
        <v>230103</v>
      </c>
      <c r="M1244" s="94">
        <v>6672987</v>
      </c>
    </row>
    <row r="1245" spans="3:13" x14ac:dyDescent="0.3">
      <c r="C1245" t="s">
        <v>61</v>
      </c>
      <c r="D1245" t="s">
        <v>67</v>
      </c>
      <c r="E1245" t="s">
        <v>63</v>
      </c>
      <c r="F1245" t="s">
        <v>25</v>
      </c>
      <c r="G1245" s="4">
        <v>3</v>
      </c>
      <c r="H1245" s="4" t="s">
        <v>76</v>
      </c>
      <c r="I1245" s="4" t="s">
        <v>69</v>
      </c>
      <c r="J1245" s="4" t="s">
        <v>66</v>
      </c>
      <c r="K1245" s="4">
        <v>0</v>
      </c>
      <c r="L1245" s="94">
        <v>-71420</v>
      </c>
      <c r="M1245" s="94">
        <v>0</v>
      </c>
    </row>
    <row r="1246" spans="3:13" x14ac:dyDescent="0.3">
      <c r="C1246" t="s">
        <v>70</v>
      </c>
      <c r="D1246" t="s">
        <v>62</v>
      </c>
      <c r="E1246" t="s">
        <v>68</v>
      </c>
      <c r="F1246" t="s">
        <v>24</v>
      </c>
      <c r="G1246" s="4">
        <v>22</v>
      </c>
      <c r="I1246" s="4" t="s">
        <v>69</v>
      </c>
      <c r="J1246" s="4" t="s">
        <v>73</v>
      </c>
      <c r="K1246" s="4">
        <v>1</v>
      </c>
      <c r="L1246" s="94">
        <v>4150</v>
      </c>
      <c r="M1246" s="94">
        <v>91300</v>
      </c>
    </row>
    <row r="1247" spans="3:13" x14ac:dyDescent="0.3">
      <c r="C1247" t="s">
        <v>71</v>
      </c>
      <c r="D1247" t="s">
        <v>67</v>
      </c>
      <c r="E1247" t="s">
        <v>63</v>
      </c>
      <c r="F1247" t="s">
        <v>72</v>
      </c>
      <c r="G1247" s="4">
        <v>2</v>
      </c>
      <c r="H1247" s="4" t="s">
        <v>12</v>
      </c>
      <c r="I1247" s="4" t="s">
        <v>69</v>
      </c>
      <c r="J1247" s="4" t="s">
        <v>73</v>
      </c>
      <c r="K1247" s="4">
        <v>1</v>
      </c>
      <c r="L1247" s="94">
        <v>-7484</v>
      </c>
      <c r="M1247" s="94">
        <v>0</v>
      </c>
    </row>
    <row r="1248" spans="3:13" x14ac:dyDescent="0.3">
      <c r="C1248" t="s">
        <v>61</v>
      </c>
      <c r="D1248" t="s">
        <v>62</v>
      </c>
      <c r="E1248" t="s">
        <v>68</v>
      </c>
      <c r="F1248" t="s">
        <v>25</v>
      </c>
      <c r="G1248" s="4">
        <v>28</v>
      </c>
      <c r="I1248" s="4" t="s">
        <v>69</v>
      </c>
      <c r="J1248" s="4" t="s">
        <v>66</v>
      </c>
      <c r="K1248" s="4">
        <v>0</v>
      </c>
      <c r="L1248" s="94">
        <v>198153</v>
      </c>
      <c r="M1248" s="94">
        <v>5548284</v>
      </c>
    </row>
    <row r="1249" spans="3:13" x14ac:dyDescent="0.3">
      <c r="C1249" t="s">
        <v>70</v>
      </c>
      <c r="D1249" t="s">
        <v>67</v>
      </c>
      <c r="E1249" t="s">
        <v>68</v>
      </c>
      <c r="F1249" t="s">
        <v>26</v>
      </c>
      <c r="G1249" s="4">
        <v>2</v>
      </c>
      <c r="H1249" s="4" t="s">
        <v>80</v>
      </c>
      <c r="I1249" s="4" t="s">
        <v>69</v>
      </c>
      <c r="J1249" s="4" t="s">
        <v>66</v>
      </c>
      <c r="K1249" s="4">
        <v>0</v>
      </c>
      <c r="L1249" s="94">
        <v>823346</v>
      </c>
      <c r="M1249" s="94">
        <v>1646692</v>
      </c>
    </row>
    <row r="1250" spans="3:13" x14ac:dyDescent="0.3">
      <c r="C1250" t="s">
        <v>70</v>
      </c>
      <c r="D1250" t="s">
        <v>67</v>
      </c>
      <c r="E1250" t="s">
        <v>63</v>
      </c>
      <c r="F1250" t="s">
        <v>25</v>
      </c>
      <c r="G1250" s="4">
        <v>6</v>
      </c>
      <c r="H1250" s="4" t="s">
        <v>18</v>
      </c>
      <c r="I1250" s="4" t="s">
        <v>69</v>
      </c>
      <c r="J1250" s="4" t="s">
        <v>66</v>
      </c>
      <c r="K1250" s="4">
        <v>1</v>
      </c>
      <c r="L1250" s="94">
        <v>-27362</v>
      </c>
      <c r="M1250" s="94">
        <v>0</v>
      </c>
    </row>
    <row r="1251" spans="3:13" x14ac:dyDescent="0.3">
      <c r="C1251" t="s">
        <v>61</v>
      </c>
      <c r="D1251" t="s">
        <v>67</v>
      </c>
      <c r="E1251" t="s">
        <v>68</v>
      </c>
      <c r="F1251" t="s">
        <v>25</v>
      </c>
      <c r="G1251" s="4">
        <v>6</v>
      </c>
      <c r="H1251" s="4" t="s">
        <v>18</v>
      </c>
      <c r="I1251" s="4" t="s">
        <v>69</v>
      </c>
      <c r="J1251" s="4" t="s">
        <v>66</v>
      </c>
      <c r="K1251" s="4">
        <v>1</v>
      </c>
      <c r="L1251" s="94">
        <v>593305</v>
      </c>
      <c r="M1251" s="94">
        <v>3559830</v>
      </c>
    </row>
    <row r="1252" spans="3:13" x14ac:dyDescent="0.3">
      <c r="C1252" t="s">
        <v>70</v>
      </c>
      <c r="D1252" t="s">
        <v>67</v>
      </c>
      <c r="E1252" t="s">
        <v>63</v>
      </c>
      <c r="F1252" t="s">
        <v>72</v>
      </c>
      <c r="G1252" s="4">
        <v>-4</v>
      </c>
      <c r="H1252" s="4" t="s">
        <v>79</v>
      </c>
      <c r="I1252" s="4" t="s">
        <v>69</v>
      </c>
      <c r="J1252" s="4" t="s">
        <v>66</v>
      </c>
      <c r="K1252" s="4">
        <v>0</v>
      </c>
      <c r="L1252" s="94">
        <v>-150</v>
      </c>
      <c r="M1252" s="94">
        <v>0</v>
      </c>
    </row>
    <row r="1253" spans="3:13" x14ac:dyDescent="0.3">
      <c r="C1253" t="s">
        <v>70</v>
      </c>
      <c r="D1253" t="s">
        <v>67</v>
      </c>
      <c r="E1253" t="s">
        <v>63</v>
      </c>
      <c r="F1253" t="s">
        <v>26</v>
      </c>
      <c r="G1253" s="4">
        <v>0</v>
      </c>
      <c r="H1253" s="4" t="s">
        <v>87</v>
      </c>
      <c r="I1253" s="4" t="s">
        <v>69</v>
      </c>
      <c r="J1253" s="4" t="s">
        <v>66</v>
      </c>
      <c r="K1253" s="4">
        <v>0</v>
      </c>
      <c r="L1253" s="94">
        <v>-1983</v>
      </c>
      <c r="M1253" s="94">
        <v>0</v>
      </c>
    </row>
    <row r="1254" spans="3:13" x14ac:dyDescent="0.3">
      <c r="C1254" t="s">
        <v>61</v>
      </c>
      <c r="D1254" t="s">
        <v>67</v>
      </c>
      <c r="E1254" t="s">
        <v>63</v>
      </c>
      <c r="F1254" t="s">
        <v>26</v>
      </c>
      <c r="G1254" s="4">
        <v>0</v>
      </c>
      <c r="H1254" s="4" t="s">
        <v>12</v>
      </c>
      <c r="I1254" s="4" t="s">
        <v>69</v>
      </c>
      <c r="J1254" s="4" t="s">
        <v>73</v>
      </c>
      <c r="K1254" s="4">
        <v>1</v>
      </c>
      <c r="L1254" s="94">
        <v>-77548</v>
      </c>
      <c r="M1254" s="94">
        <v>0</v>
      </c>
    </row>
    <row r="1255" spans="3:13" x14ac:dyDescent="0.3">
      <c r="C1255" t="s">
        <v>71</v>
      </c>
      <c r="D1255" t="s">
        <v>67</v>
      </c>
      <c r="E1255" t="s">
        <v>63</v>
      </c>
      <c r="F1255" t="s">
        <v>72</v>
      </c>
      <c r="G1255" s="4">
        <v>1</v>
      </c>
      <c r="H1255" s="4" t="s">
        <v>80</v>
      </c>
      <c r="I1255" s="4" t="s">
        <v>69</v>
      </c>
      <c r="J1255" s="4" t="s">
        <v>66</v>
      </c>
      <c r="K1255" s="4">
        <v>0</v>
      </c>
      <c r="L1255" s="94">
        <v>-18181</v>
      </c>
      <c r="M1255" s="94">
        <v>0</v>
      </c>
    </row>
    <row r="1256" spans="3:13" x14ac:dyDescent="0.3">
      <c r="C1256" t="s">
        <v>70</v>
      </c>
      <c r="D1256" t="s">
        <v>67</v>
      </c>
      <c r="E1256" t="s">
        <v>68</v>
      </c>
      <c r="F1256" t="s">
        <v>26</v>
      </c>
      <c r="G1256" s="4">
        <v>0</v>
      </c>
      <c r="H1256" s="4" t="s">
        <v>64</v>
      </c>
      <c r="I1256" s="4" t="s">
        <v>69</v>
      </c>
      <c r="J1256" s="4" t="s">
        <v>66</v>
      </c>
      <c r="K1256" s="4">
        <v>0</v>
      </c>
      <c r="L1256" s="94">
        <v>1146083</v>
      </c>
      <c r="M1256" s="94">
        <v>0</v>
      </c>
    </row>
    <row r="1257" spans="3:13" x14ac:dyDescent="0.3">
      <c r="C1257" t="s">
        <v>70</v>
      </c>
      <c r="D1257" t="s">
        <v>67</v>
      </c>
      <c r="E1257" t="s">
        <v>68</v>
      </c>
      <c r="F1257" t="s">
        <v>72</v>
      </c>
      <c r="G1257" s="4">
        <v>1</v>
      </c>
      <c r="H1257" s="4" t="s">
        <v>16</v>
      </c>
      <c r="I1257" s="4" t="s">
        <v>69</v>
      </c>
      <c r="J1257" s="4" t="s">
        <v>66</v>
      </c>
      <c r="K1257" s="4">
        <v>0</v>
      </c>
      <c r="L1257" s="94">
        <v>48253</v>
      </c>
      <c r="M1257" s="94">
        <v>48253</v>
      </c>
    </row>
    <row r="1258" spans="3:13" x14ac:dyDescent="0.3">
      <c r="C1258" t="s">
        <v>61</v>
      </c>
      <c r="D1258" t="s">
        <v>67</v>
      </c>
      <c r="E1258" t="s">
        <v>63</v>
      </c>
      <c r="F1258" t="s">
        <v>26</v>
      </c>
      <c r="G1258" s="4">
        <v>0</v>
      </c>
      <c r="H1258" s="4" t="s">
        <v>17</v>
      </c>
      <c r="I1258" s="4" t="s">
        <v>65</v>
      </c>
      <c r="J1258" s="4" t="s">
        <v>66</v>
      </c>
      <c r="K1258" s="4">
        <v>1</v>
      </c>
      <c r="L1258" s="94">
        <v>-1596</v>
      </c>
      <c r="M1258" s="94">
        <v>0</v>
      </c>
    </row>
    <row r="1259" spans="3:13" x14ac:dyDescent="0.3">
      <c r="C1259" t="s">
        <v>61</v>
      </c>
      <c r="D1259" t="s">
        <v>67</v>
      </c>
      <c r="E1259" t="s">
        <v>63</v>
      </c>
      <c r="F1259" t="s">
        <v>72</v>
      </c>
      <c r="G1259" s="4">
        <v>6</v>
      </c>
      <c r="H1259" s="4" t="s">
        <v>12</v>
      </c>
      <c r="I1259" s="4" t="s">
        <v>69</v>
      </c>
      <c r="J1259" s="4" t="s">
        <v>66</v>
      </c>
      <c r="K1259" s="4">
        <v>0</v>
      </c>
      <c r="L1259" s="94">
        <v>-360</v>
      </c>
      <c r="M1259" s="94">
        <v>0</v>
      </c>
    </row>
    <row r="1260" spans="3:13" x14ac:dyDescent="0.3">
      <c r="C1260" t="s">
        <v>61</v>
      </c>
      <c r="D1260" t="s">
        <v>67</v>
      </c>
      <c r="E1260" t="s">
        <v>63</v>
      </c>
      <c r="F1260" t="s">
        <v>72</v>
      </c>
      <c r="G1260" s="4">
        <v>7</v>
      </c>
      <c r="H1260" s="4" t="s">
        <v>79</v>
      </c>
      <c r="I1260" s="4" t="s">
        <v>69</v>
      </c>
      <c r="J1260" s="4" t="s">
        <v>66</v>
      </c>
      <c r="K1260" s="4">
        <v>0</v>
      </c>
      <c r="L1260" s="94">
        <v>-9594</v>
      </c>
      <c r="M1260" s="94">
        <v>0</v>
      </c>
    </row>
    <row r="1261" spans="3:13" x14ac:dyDescent="0.3">
      <c r="C1261" t="s">
        <v>70</v>
      </c>
      <c r="D1261" t="s">
        <v>62</v>
      </c>
      <c r="E1261" t="s">
        <v>68</v>
      </c>
      <c r="F1261" t="s">
        <v>25</v>
      </c>
      <c r="G1261" s="4">
        <v>12</v>
      </c>
      <c r="I1261" s="4" t="s">
        <v>69</v>
      </c>
      <c r="J1261" s="4" t="s">
        <v>66</v>
      </c>
      <c r="K1261" s="4">
        <v>0</v>
      </c>
      <c r="L1261" s="94">
        <v>453405</v>
      </c>
      <c r="M1261" s="94">
        <v>5440860</v>
      </c>
    </row>
    <row r="1262" spans="3:13" x14ac:dyDescent="0.3">
      <c r="C1262" t="s">
        <v>61</v>
      </c>
      <c r="D1262" t="s">
        <v>67</v>
      </c>
      <c r="E1262" t="s">
        <v>68</v>
      </c>
      <c r="F1262" t="s">
        <v>25</v>
      </c>
      <c r="G1262" s="4">
        <v>11</v>
      </c>
      <c r="H1262" s="4" t="s">
        <v>80</v>
      </c>
      <c r="I1262" s="4" t="s">
        <v>69</v>
      </c>
      <c r="J1262" s="4" t="s">
        <v>66</v>
      </c>
      <c r="K1262" s="4">
        <v>0</v>
      </c>
      <c r="L1262" s="94">
        <v>547470</v>
      </c>
      <c r="M1262" s="94">
        <v>6022170</v>
      </c>
    </row>
    <row r="1263" spans="3:13" x14ac:dyDescent="0.3">
      <c r="C1263" t="s">
        <v>71</v>
      </c>
      <c r="D1263" t="s">
        <v>67</v>
      </c>
      <c r="E1263" t="s">
        <v>68</v>
      </c>
      <c r="F1263" t="s">
        <v>26</v>
      </c>
      <c r="G1263" s="4">
        <v>-1</v>
      </c>
      <c r="H1263" s="4" t="s">
        <v>18</v>
      </c>
      <c r="I1263" s="4" t="s">
        <v>65</v>
      </c>
      <c r="J1263" s="4" t="s">
        <v>66</v>
      </c>
      <c r="K1263" s="4">
        <v>1</v>
      </c>
      <c r="L1263" s="94">
        <v>7321</v>
      </c>
      <c r="M1263" s="94">
        <v>0</v>
      </c>
    </row>
    <row r="1264" spans="3:13" x14ac:dyDescent="0.3">
      <c r="C1264" t="s">
        <v>61</v>
      </c>
      <c r="D1264" t="s">
        <v>67</v>
      </c>
      <c r="E1264" t="s">
        <v>63</v>
      </c>
      <c r="F1264" t="s">
        <v>72</v>
      </c>
      <c r="G1264" s="4">
        <v>5</v>
      </c>
      <c r="H1264" s="4" t="s">
        <v>76</v>
      </c>
      <c r="I1264" s="4" t="s">
        <v>69</v>
      </c>
      <c r="J1264" s="4" t="s">
        <v>66</v>
      </c>
      <c r="K1264" s="4">
        <v>0</v>
      </c>
      <c r="L1264" s="94">
        <v>-3096</v>
      </c>
      <c r="M1264" s="94">
        <v>0</v>
      </c>
    </row>
    <row r="1265" spans="3:13" x14ac:dyDescent="0.3">
      <c r="C1265" t="s">
        <v>61</v>
      </c>
      <c r="D1265" t="s">
        <v>62</v>
      </c>
      <c r="E1265" t="s">
        <v>68</v>
      </c>
      <c r="F1265" t="s">
        <v>24</v>
      </c>
      <c r="G1265" s="4">
        <v>11</v>
      </c>
      <c r="I1265" s="4" t="s">
        <v>69</v>
      </c>
      <c r="J1265" s="4" t="s">
        <v>66</v>
      </c>
      <c r="K1265" s="4">
        <v>0</v>
      </c>
      <c r="L1265" s="94">
        <v>173100703</v>
      </c>
      <c r="M1265" s="94">
        <v>1904107733</v>
      </c>
    </row>
    <row r="1266" spans="3:13" x14ac:dyDescent="0.3">
      <c r="C1266" t="s">
        <v>61</v>
      </c>
      <c r="D1266" t="s">
        <v>67</v>
      </c>
      <c r="E1266" t="s">
        <v>63</v>
      </c>
      <c r="F1266" t="s">
        <v>26</v>
      </c>
      <c r="G1266" s="4">
        <v>-4</v>
      </c>
      <c r="H1266" s="4" t="s">
        <v>14</v>
      </c>
      <c r="I1266" s="4" t="s">
        <v>69</v>
      </c>
      <c r="J1266" s="4" t="s">
        <v>73</v>
      </c>
      <c r="K1266" s="4">
        <v>1</v>
      </c>
      <c r="L1266" s="94">
        <v>-37</v>
      </c>
      <c r="M1266" s="94">
        <v>0</v>
      </c>
    </row>
    <row r="1267" spans="3:13" x14ac:dyDescent="0.3">
      <c r="C1267" t="s">
        <v>70</v>
      </c>
      <c r="D1267" t="s">
        <v>67</v>
      </c>
      <c r="E1267" t="s">
        <v>63</v>
      </c>
      <c r="F1267" t="s">
        <v>72</v>
      </c>
      <c r="G1267" s="4">
        <v>3</v>
      </c>
      <c r="H1267" s="4" t="s">
        <v>18</v>
      </c>
      <c r="I1267" s="4" t="s">
        <v>69</v>
      </c>
      <c r="J1267" s="4" t="s">
        <v>66</v>
      </c>
      <c r="K1267" s="4">
        <v>0</v>
      </c>
      <c r="L1267" s="94">
        <v>-90422</v>
      </c>
      <c r="M1267" s="94">
        <v>0</v>
      </c>
    </row>
    <row r="1268" spans="3:13" x14ac:dyDescent="0.3">
      <c r="C1268" t="s">
        <v>71</v>
      </c>
      <c r="D1268" t="s">
        <v>67</v>
      </c>
      <c r="E1268" t="s">
        <v>68</v>
      </c>
      <c r="F1268" t="s">
        <v>25</v>
      </c>
      <c r="G1268" s="4">
        <v>-4</v>
      </c>
      <c r="H1268" s="4" t="s">
        <v>14</v>
      </c>
      <c r="I1268" s="4" t="s">
        <v>69</v>
      </c>
      <c r="J1268" s="4" t="s">
        <v>66</v>
      </c>
      <c r="K1268" s="4">
        <v>0</v>
      </c>
      <c r="L1268" s="94">
        <v>508338</v>
      </c>
      <c r="M1268" s="94">
        <v>0</v>
      </c>
    </row>
    <row r="1269" spans="3:13" x14ac:dyDescent="0.3">
      <c r="C1269" t="s">
        <v>70</v>
      </c>
      <c r="D1269" t="s">
        <v>67</v>
      </c>
      <c r="E1269" t="s">
        <v>68</v>
      </c>
      <c r="F1269" t="s">
        <v>26</v>
      </c>
      <c r="G1269" s="4">
        <v>3</v>
      </c>
      <c r="H1269" s="4" t="s">
        <v>16</v>
      </c>
      <c r="I1269" s="4" t="s">
        <v>69</v>
      </c>
      <c r="J1269" s="4" t="s">
        <v>66</v>
      </c>
      <c r="K1269" s="4">
        <v>0</v>
      </c>
      <c r="L1269" s="94">
        <v>912359</v>
      </c>
      <c r="M1269" s="94">
        <v>2737077</v>
      </c>
    </row>
    <row r="1270" spans="3:13" x14ac:dyDescent="0.3">
      <c r="C1270" t="s">
        <v>71</v>
      </c>
      <c r="D1270" t="s">
        <v>67</v>
      </c>
      <c r="E1270" t="s">
        <v>68</v>
      </c>
      <c r="F1270" t="s">
        <v>26</v>
      </c>
      <c r="G1270" s="4">
        <v>-4</v>
      </c>
      <c r="H1270" s="4" t="s">
        <v>78</v>
      </c>
      <c r="I1270" s="4" t="s">
        <v>69</v>
      </c>
      <c r="J1270" s="4" t="s">
        <v>66</v>
      </c>
      <c r="K1270" s="4">
        <v>0</v>
      </c>
      <c r="L1270" s="94">
        <v>59697</v>
      </c>
      <c r="M1270" s="94">
        <v>0</v>
      </c>
    </row>
    <row r="1271" spans="3:13" x14ac:dyDescent="0.3">
      <c r="C1271" t="s">
        <v>70</v>
      </c>
      <c r="D1271" t="s">
        <v>67</v>
      </c>
      <c r="E1271" t="s">
        <v>68</v>
      </c>
      <c r="F1271" t="s">
        <v>25</v>
      </c>
      <c r="G1271" s="4">
        <v>15</v>
      </c>
      <c r="H1271" s="4" t="s">
        <v>77</v>
      </c>
      <c r="I1271" s="4" t="s">
        <v>69</v>
      </c>
      <c r="J1271" s="4" t="s">
        <v>66</v>
      </c>
      <c r="K1271" s="4">
        <v>0</v>
      </c>
      <c r="L1271" s="94">
        <v>55605</v>
      </c>
      <c r="M1271" s="94">
        <v>834075</v>
      </c>
    </row>
    <row r="1272" spans="3:13" x14ac:dyDescent="0.3">
      <c r="C1272" t="s">
        <v>70</v>
      </c>
      <c r="D1272" t="s">
        <v>84</v>
      </c>
      <c r="E1272" t="s">
        <v>63</v>
      </c>
      <c r="F1272" t="s">
        <v>25</v>
      </c>
      <c r="G1272" s="4">
        <v>6</v>
      </c>
      <c r="H1272" s="4" t="s">
        <v>17</v>
      </c>
      <c r="I1272" s="4" t="s">
        <v>69</v>
      </c>
      <c r="J1272" s="4" t="s">
        <v>66</v>
      </c>
      <c r="K1272" s="4">
        <v>0</v>
      </c>
      <c r="L1272" s="94">
        <v>-3111</v>
      </c>
      <c r="M1272" s="94">
        <v>0</v>
      </c>
    </row>
    <row r="1273" spans="3:13" x14ac:dyDescent="0.3">
      <c r="C1273" t="s">
        <v>61</v>
      </c>
      <c r="D1273" t="s">
        <v>67</v>
      </c>
      <c r="E1273" t="s">
        <v>68</v>
      </c>
      <c r="F1273" t="s">
        <v>25</v>
      </c>
      <c r="G1273" s="4">
        <v>14</v>
      </c>
      <c r="H1273" s="4" t="s">
        <v>18</v>
      </c>
      <c r="I1273" s="4" t="s">
        <v>69</v>
      </c>
      <c r="J1273" s="4" t="s">
        <v>66</v>
      </c>
      <c r="K1273" s="4">
        <v>0</v>
      </c>
      <c r="L1273" s="94">
        <v>4092558</v>
      </c>
      <c r="M1273" s="94">
        <v>57295812</v>
      </c>
    </row>
    <row r="1274" spans="3:13" x14ac:dyDescent="0.3">
      <c r="C1274" t="s">
        <v>70</v>
      </c>
      <c r="D1274" t="s">
        <v>67</v>
      </c>
      <c r="E1274" t="s">
        <v>68</v>
      </c>
      <c r="F1274" t="s">
        <v>25</v>
      </c>
      <c r="G1274" s="4">
        <v>14</v>
      </c>
      <c r="H1274" s="4" t="s">
        <v>14</v>
      </c>
      <c r="I1274" s="4" t="s">
        <v>69</v>
      </c>
      <c r="J1274" s="4" t="s">
        <v>66</v>
      </c>
      <c r="K1274" s="4">
        <v>1</v>
      </c>
      <c r="L1274" s="94">
        <v>297691</v>
      </c>
      <c r="M1274" s="94">
        <v>4167674</v>
      </c>
    </row>
    <row r="1275" spans="3:13" x14ac:dyDescent="0.3">
      <c r="C1275" t="s">
        <v>61</v>
      </c>
      <c r="D1275" t="s">
        <v>84</v>
      </c>
      <c r="E1275" t="s">
        <v>63</v>
      </c>
      <c r="F1275" t="s">
        <v>25</v>
      </c>
      <c r="G1275" s="4">
        <v>6</v>
      </c>
      <c r="H1275" s="4" t="s">
        <v>18</v>
      </c>
      <c r="I1275" s="4" t="s">
        <v>69</v>
      </c>
      <c r="J1275" s="4" t="s">
        <v>66</v>
      </c>
      <c r="K1275" s="4">
        <v>0</v>
      </c>
      <c r="L1275" s="94">
        <v>-8441</v>
      </c>
      <c r="M1275" s="94">
        <v>0</v>
      </c>
    </row>
    <row r="1276" spans="3:13" x14ac:dyDescent="0.3">
      <c r="C1276" t="s">
        <v>61</v>
      </c>
      <c r="D1276" t="s">
        <v>67</v>
      </c>
      <c r="E1276" t="s">
        <v>68</v>
      </c>
      <c r="F1276" t="s">
        <v>26</v>
      </c>
      <c r="G1276" s="4">
        <v>3</v>
      </c>
      <c r="H1276" s="4" t="s">
        <v>82</v>
      </c>
      <c r="I1276" s="4" t="s">
        <v>69</v>
      </c>
      <c r="J1276" s="4" t="s">
        <v>73</v>
      </c>
      <c r="K1276" s="4">
        <v>1</v>
      </c>
      <c r="L1276" s="94">
        <v>2219599</v>
      </c>
      <c r="M1276" s="94">
        <v>6658797</v>
      </c>
    </row>
    <row r="1277" spans="3:13" x14ac:dyDescent="0.3">
      <c r="C1277" t="s">
        <v>71</v>
      </c>
      <c r="D1277" t="s">
        <v>67</v>
      </c>
      <c r="E1277" t="s">
        <v>63</v>
      </c>
      <c r="F1277" t="s">
        <v>26</v>
      </c>
      <c r="G1277" s="4">
        <v>-4</v>
      </c>
      <c r="H1277" s="4" t="s">
        <v>12</v>
      </c>
      <c r="I1277" s="4" t="s">
        <v>69</v>
      </c>
      <c r="J1277" s="4" t="s">
        <v>73</v>
      </c>
      <c r="K1277" s="4">
        <v>1</v>
      </c>
      <c r="L1277" s="94">
        <v>-198632</v>
      </c>
      <c r="M1277" s="94">
        <v>0</v>
      </c>
    </row>
    <row r="1278" spans="3:13" x14ac:dyDescent="0.3">
      <c r="C1278" t="s">
        <v>61</v>
      </c>
      <c r="D1278" t="s">
        <v>67</v>
      </c>
      <c r="E1278" t="s">
        <v>68</v>
      </c>
      <c r="F1278" t="s">
        <v>26</v>
      </c>
      <c r="G1278" s="4">
        <v>15</v>
      </c>
      <c r="H1278" s="4" t="s">
        <v>82</v>
      </c>
      <c r="I1278" s="4" t="s">
        <v>65</v>
      </c>
      <c r="J1278" s="4" t="s">
        <v>66</v>
      </c>
      <c r="K1278" s="4">
        <v>1</v>
      </c>
      <c r="L1278" s="94">
        <v>4551308</v>
      </c>
      <c r="M1278" s="94">
        <v>68269620</v>
      </c>
    </row>
    <row r="1279" spans="3:13" x14ac:dyDescent="0.3">
      <c r="C1279" t="s">
        <v>70</v>
      </c>
      <c r="D1279" t="s">
        <v>67</v>
      </c>
      <c r="E1279" t="s">
        <v>63</v>
      </c>
      <c r="F1279" t="s">
        <v>25</v>
      </c>
      <c r="G1279" s="4">
        <v>5</v>
      </c>
      <c r="H1279" s="4" t="s">
        <v>74</v>
      </c>
      <c r="I1279" s="4" t="s">
        <v>69</v>
      </c>
      <c r="J1279" s="4" t="s">
        <v>66</v>
      </c>
      <c r="K1279" s="4">
        <v>0</v>
      </c>
      <c r="L1279" s="94">
        <v>-5851</v>
      </c>
      <c r="M1279" s="94">
        <v>0</v>
      </c>
    </row>
    <row r="1280" spans="3:13" x14ac:dyDescent="0.3">
      <c r="C1280" t="s">
        <v>70</v>
      </c>
      <c r="D1280" t="s">
        <v>62</v>
      </c>
      <c r="E1280" t="s">
        <v>68</v>
      </c>
      <c r="F1280" t="s">
        <v>25</v>
      </c>
      <c r="G1280" s="4">
        <v>3</v>
      </c>
      <c r="I1280" s="4" t="s">
        <v>69</v>
      </c>
      <c r="J1280" s="4" t="s">
        <v>66</v>
      </c>
      <c r="K1280" s="4">
        <v>0</v>
      </c>
      <c r="L1280" s="94">
        <v>319263</v>
      </c>
      <c r="M1280" s="94">
        <v>957789</v>
      </c>
    </row>
    <row r="1281" spans="3:13" x14ac:dyDescent="0.3">
      <c r="C1281" t="s">
        <v>61</v>
      </c>
      <c r="D1281" t="s">
        <v>62</v>
      </c>
      <c r="E1281" t="s">
        <v>63</v>
      </c>
      <c r="F1281" t="s">
        <v>24</v>
      </c>
      <c r="G1281" s="4">
        <v>41</v>
      </c>
      <c r="I1281" s="4" t="s">
        <v>69</v>
      </c>
      <c r="J1281" s="4" t="s">
        <v>66</v>
      </c>
      <c r="K1281" s="4">
        <v>0</v>
      </c>
      <c r="L1281" s="94">
        <v>-13921</v>
      </c>
      <c r="M1281" s="94">
        <v>0</v>
      </c>
    </row>
    <row r="1282" spans="3:13" x14ac:dyDescent="0.3">
      <c r="C1282" t="s">
        <v>61</v>
      </c>
      <c r="D1282" t="s">
        <v>67</v>
      </c>
      <c r="E1282" t="s">
        <v>63</v>
      </c>
      <c r="F1282" t="s">
        <v>72</v>
      </c>
      <c r="G1282" s="4">
        <v>-4</v>
      </c>
      <c r="H1282" s="4" t="s">
        <v>79</v>
      </c>
      <c r="I1282" s="4" t="s">
        <v>69</v>
      </c>
      <c r="J1282" s="4" t="s">
        <v>66</v>
      </c>
      <c r="K1282" s="4">
        <v>0</v>
      </c>
      <c r="L1282" s="94">
        <v>-3</v>
      </c>
      <c r="M1282" s="94">
        <v>0</v>
      </c>
    </row>
    <row r="1283" spans="3:13" x14ac:dyDescent="0.3">
      <c r="C1283" t="s">
        <v>71</v>
      </c>
      <c r="D1283" t="s">
        <v>67</v>
      </c>
      <c r="E1283" t="s">
        <v>68</v>
      </c>
      <c r="F1283" t="s">
        <v>26</v>
      </c>
      <c r="G1283" s="4">
        <v>3</v>
      </c>
      <c r="H1283" s="4" t="s">
        <v>13</v>
      </c>
      <c r="I1283" s="4" t="s">
        <v>69</v>
      </c>
      <c r="J1283" s="4" t="s">
        <v>73</v>
      </c>
      <c r="K1283" s="4">
        <v>1</v>
      </c>
      <c r="L1283" s="94">
        <v>555563</v>
      </c>
      <c r="M1283" s="94">
        <v>1666689</v>
      </c>
    </row>
    <row r="1284" spans="3:13" x14ac:dyDescent="0.3">
      <c r="C1284" t="s">
        <v>70</v>
      </c>
      <c r="D1284" t="s">
        <v>62</v>
      </c>
      <c r="E1284" t="s">
        <v>68</v>
      </c>
      <c r="F1284" t="s">
        <v>25</v>
      </c>
      <c r="G1284" s="4">
        <v>6</v>
      </c>
      <c r="I1284" s="4" t="s">
        <v>65</v>
      </c>
      <c r="J1284" s="4" t="s">
        <v>66</v>
      </c>
      <c r="K1284" s="4">
        <v>1</v>
      </c>
      <c r="L1284" s="94">
        <v>43466</v>
      </c>
      <c r="M1284" s="94">
        <v>260796</v>
      </c>
    </row>
    <row r="1285" spans="3:13" x14ac:dyDescent="0.3">
      <c r="C1285" t="s">
        <v>71</v>
      </c>
      <c r="D1285" t="s">
        <v>67</v>
      </c>
      <c r="E1285" t="s">
        <v>68</v>
      </c>
      <c r="F1285" t="s">
        <v>72</v>
      </c>
      <c r="G1285" s="4">
        <v>2</v>
      </c>
      <c r="H1285" s="4" t="s">
        <v>74</v>
      </c>
      <c r="I1285" s="4" t="s">
        <v>69</v>
      </c>
      <c r="J1285" s="4" t="s">
        <v>66</v>
      </c>
      <c r="K1285" s="4">
        <v>0</v>
      </c>
      <c r="L1285" s="94">
        <v>18072</v>
      </c>
      <c r="M1285" s="94">
        <v>36144</v>
      </c>
    </row>
    <row r="1286" spans="3:13" x14ac:dyDescent="0.3">
      <c r="C1286" t="s">
        <v>70</v>
      </c>
      <c r="D1286" t="s">
        <v>67</v>
      </c>
      <c r="E1286" t="s">
        <v>68</v>
      </c>
      <c r="F1286" t="s">
        <v>72</v>
      </c>
      <c r="G1286" s="4">
        <v>3</v>
      </c>
      <c r="H1286" s="4" t="s">
        <v>64</v>
      </c>
      <c r="I1286" s="4" t="s">
        <v>69</v>
      </c>
      <c r="J1286" s="4" t="s">
        <v>66</v>
      </c>
      <c r="K1286" s="4">
        <v>0</v>
      </c>
      <c r="L1286" s="94">
        <v>730151</v>
      </c>
      <c r="M1286" s="94">
        <v>2190453</v>
      </c>
    </row>
    <row r="1287" spans="3:13" x14ac:dyDescent="0.3">
      <c r="C1287" t="s">
        <v>70</v>
      </c>
      <c r="D1287" t="s">
        <v>67</v>
      </c>
      <c r="E1287" t="s">
        <v>63</v>
      </c>
      <c r="F1287" t="s">
        <v>26</v>
      </c>
      <c r="G1287" s="4">
        <v>-1</v>
      </c>
      <c r="H1287" s="4" t="s">
        <v>12</v>
      </c>
      <c r="I1287" s="4" t="s">
        <v>65</v>
      </c>
      <c r="J1287" s="4" t="s">
        <v>73</v>
      </c>
      <c r="K1287" s="4">
        <v>1</v>
      </c>
      <c r="L1287" s="94">
        <v>-52631</v>
      </c>
      <c r="M1287" s="94">
        <v>0</v>
      </c>
    </row>
    <row r="1288" spans="3:13" x14ac:dyDescent="0.3">
      <c r="C1288" t="s">
        <v>71</v>
      </c>
      <c r="D1288" t="s">
        <v>67</v>
      </c>
      <c r="E1288" t="s">
        <v>63</v>
      </c>
      <c r="F1288" t="s">
        <v>25</v>
      </c>
      <c r="G1288" s="4">
        <v>-4</v>
      </c>
      <c r="H1288" s="4" t="s">
        <v>14</v>
      </c>
      <c r="I1288" s="4" t="s">
        <v>69</v>
      </c>
      <c r="J1288" s="4" t="s">
        <v>66</v>
      </c>
      <c r="K1288" s="4">
        <v>1</v>
      </c>
      <c r="L1288" s="94">
        <v>-1076870</v>
      </c>
      <c r="M1288" s="94">
        <v>0</v>
      </c>
    </row>
    <row r="1289" spans="3:13" x14ac:dyDescent="0.3">
      <c r="C1289" t="s">
        <v>71</v>
      </c>
      <c r="D1289" t="s">
        <v>67</v>
      </c>
      <c r="E1289" t="s">
        <v>63</v>
      </c>
      <c r="F1289" t="s">
        <v>26</v>
      </c>
      <c r="G1289" s="4">
        <v>0</v>
      </c>
      <c r="H1289" s="4" t="s">
        <v>14</v>
      </c>
      <c r="I1289" s="4" t="s">
        <v>69</v>
      </c>
      <c r="J1289" s="4" t="s">
        <v>73</v>
      </c>
      <c r="K1289" s="4">
        <v>1</v>
      </c>
      <c r="L1289" s="94">
        <v>-735756</v>
      </c>
      <c r="M1289" s="94">
        <v>0</v>
      </c>
    </row>
    <row r="1290" spans="3:13" x14ac:dyDescent="0.3">
      <c r="C1290" t="s">
        <v>61</v>
      </c>
      <c r="D1290" t="s">
        <v>67</v>
      </c>
      <c r="E1290" t="s">
        <v>68</v>
      </c>
      <c r="F1290" t="s">
        <v>25</v>
      </c>
      <c r="G1290" s="4">
        <v>-1</v>
      </c>
      <c r="H1290" s="4" t="s">
        <v>12</v>
      </c>
      <c r="I1290" s="4" t="s">
        <v>69</v>
      </c>
      <c r="J1290" s="4" t="s">
        <v>66</v>
      </c>
      <c r="K1290" s="4">
        <v>1</v>
      </c>
      <c r="L1290" s="94">
        <v>496125</v>
      </c>
      <c r="M1290" s="94">
        <v>0</v>
      </c>
    </row>
    <row r="1291" spans="3:13" x14ac:dyDescent="0.3">
      <c r="C1291" t="s">
        <v>61</v>
      </c>
      <c r="D1291" t="s">
        <v>67</v>
      </c>
      <c r="E1291" t="s">
        <v>63</v>
      </c>
      <c r="F1291" t="s">
        <v>25</v>
      </c>
      <c r="G1291" s="4">
        <v>11</v>
      </c>
      <c r="H1291" s="4" t="s">
        <v>14</v>
      </c>
      <c r="I1291" s="4" t="s">
        <v>69</v>
      </c>
      <c r="J1291" s="4" t="s">
        <v>66</v>
      </c>
      <c r="K1291" s="4">
        <v>1</v>
      </c>
      <c r="L1291" s="94">
        <v>-10587</v>
      </c>
      <c r="M1291" s="94">
        <v>0</v>
      </c>
    </row>
    <row r="1292" spans="3:13" x14ac:dyDescent="0.3">
      <c r="C1292" t="s">
        <v>61</v>
      </c>
      <c r="D1292" t="s">
        <v>67</v>
      </c>
      <c r="E1292" t="s">
        <v>68</v>
      </c>
      <c r="F1292" t="s">
        <v>25</v>
      </c>
      <c r="G1292" s="4">
        <v>9</v>
      </c>
      <c r="H1292" s="4" t="s">
        <v>74</v>
      </c>
      <c r="I1292" s="4" t="s">
        <v>69</v>
      </c>
      <c r="J1292" s="4" t="s">
        <v>66</v>
      </c>
      <c r="K1292" s="4">
        <v>0</v>
      </c>
      <c r="L1292" s="94">
        <v>5590754</v>
      </c>
      <c r="M1292" s="94">
        <v>50316786</v>
      </c>
    </row>
    <row r="1293" spans="3:13" x14ac:dyDescent="0.3">
      <c r="C1293" t="s">
        <v>70</v>
      </c>
      <c r="D1293" t="s">
        <v>67</v>
      </c>
      <c r="E1293" t="s">
        <v>63</v>
      </c>
      <c r="F1293" t="s">
        <v>26</v>
      </c>
      <c r="G1293" s="4">
        <v>3</v>
      </c>
      <c r="H1293" s="4" t="s">
        <v>14</v>
      </c>
      <c r="I1293" s="4" t="s">
        <v>69</v>
      </c>
      <c r="J1293" s="4" t="s">
        <v>73</v>
      </c>
      <c r="K1293" s="4">
        <v>1</v>
      </c>
      <c r="L1293" s="94">
        <v>-873807</v>
      </c>
      <c r="M1293" s="94">
        <v>0</v>
      </c>
    </row>
    <row r="1294" spans="3:13" x14ac:dyDescent="0.3">
      <c r="C1294" t="s">
        <v>70</v>
      </c>
      <c r="D1294" t="s">
        <v>67</v>
      </c>
      <c r="E1294" t="s">
        <v>63</v>
      </c>
      <c r="F1294" t="s">
        <v>25</v>
      </c>
      <c r="G1294" s="4">
        <v>13</v>
      </c>
      <c r="H1294" s="4" t="s">
        <v>17</v>
      </c>
      <c r="I1294" s="4" t="s">
        <v>69</v>
      </c>
      <c r="J1294" s="4" t="s">
        <v>66</v>
      </c>
      <c r="K1294" s="4">
        <v>0</v>
      </c>
      <c r="L1294" s="94">
        <v>-21311</v>
      </c>
      <c r="M1294" s="94">
        <v>0</v>
      </c>
    </row>
    <row r="1295" spans="3:13" x14ac:dyDescent="0.3">
      <c r="C1295" t="s">
        <v>71</v>
      </c>
      <c r="D1295" t="s">
        <v>67</v>
      </c>
      <c r="E1295" t="s">
        <v>68</v>
      </c>
      <c r="F1295" t="s">
        <v>25</v>
      </c>
      <c r="G1295" s="4">
        <v>-4</v>
      </c>
      <c r="H1295" s="4" t="s">
        <v>74</v>
      </c>
      <c r="I1295" s="4" t="s">
        <v>69</v>
      </c>
      <c r="J1295" s="4" t="s">
        <v>66</v>
      </c>
      <c r="K1295" s="4">
        <v>0</v>
      </c>
      <c r="L1295" s="94">
        <v>28621</v>
      </c>
      <c r="M1295" s="94">
        <v>0</v>
      </c>
    </row>
    <row r="1296" spans="3:13" x14ac:dyDescent="0.3">
      <c r="C1296" t="s">
        <v>61</v>
      </c>
      <c r="D1296" t="s">
        <v>67</v>
      </c>
      <c r="E1296" t="s">
        <v>68</v>
      </c>
      <c r="F1296" t="s">
        <v>25</v>
      </c>
      <c r="G1296" s="4">
        <v>5</v>
      </c>
      <c r="H1296" s="4" t="s">
        <v>77</v>
      </c>
      <c r="I1296" s="4" t="s">
        <v>69</v>
      </c>
      <c r="J1296" s="4" t="s">
        <v>66</v>
      </c>
      <c r="K1296" s="4">
        <v>0</v>
      </c>
      <c r="L1296" s="94">
        <v>1911853</v>
      </c>
      <c r="M1296" s="94">
        <v>9559265</v>
      </c>
    </row>
    <row r="1297" spans="3:13" x14ac:dyDescent="0.3">
      <c r="C1297" t="s">
        <v>61</v>
      </c>
      <c r="D1297" t="s">
        <v>67</v>
      </c>
      <c r="E1297" t="s">
        <v>63</v>
      </c>
      <c r="F1297" t="s">
        <v>26</v>
      </c>
      <c r="G1297" s="4">
        <v>7</v>
      </c>
      <c r="H1297" s="4" t="s">
        <v>12</v>
      </c>
      <c r="I1297" s="4" t="s">
        <v>69</v>
      </c>
      <c r="J1297" s="4" t="s">
        <v>73</v>
      </c>
      <c r="K1297" s="4">
        <v>1</v>
      </c>
      <c r="L1297" s="94">
        <v>-5441</v>
      </c>
      <c r="M1297" s="94">
        <v>0</v>
      </c>
    </row>
    <row r="1298" spans="3:13" x14ac:dyDescent="0.3">
      <c r="C1298" t="s">
        <v>61</v>
      </c>
      <c r="D1298" t="s">
        <v>84</v>
      </c>
      <c r="E1298" t="s">
        <v>63</v>
      </c>
      <c r="F1298" t="s">
        <v>25</v>
      </c>
      <c r="G1298" s="4">
        <v>11</v>
      </c>
      <c r="H1298" s="4" t="s">
        <v>75</v>
      </c>
      <c r="I1298" s="4" t="s">
        <v>69</v>
      </c>
      <c r="J1298" s="4" t="s">
        <v>66</v>
      </c>
      <c r="K1298" s="4">
        <v>0</v>
      </c>
      <c r="L1298" s="94">
        <v>-2057</v>
      </c>
      <c r="M1298" s="94">
        <v>0</v>
      </c>
    </row>
    <row r="1299" spans="3:13" x14ac:dyDescent="0.3">
      <c r="C1299" t="s">
        <v>70</v>
      </c>
      <c r="D1299" t="s">
        <v>67</v>
      </c>
      <c r="E1299" t="s">
        <v>68</v>
      </c>
      <c r="F1299" t="s">
        <v>26</v>
      </c>
      <c r="G1299" s="4">
        <v>3</v>
      </c>
      <c r="H1299" s="4" t="s">
        <v>81</v>
      </c>
      <c r="I1299" s="4" t="s">
        <v>69</v>
      </c>
      <c r="J1299" s="4" t="s">
        <v>66</v>
      </c>
      <c r="K1299" s="4">
        <v>0</v>
      </c>
      <c r="L1299" s="94">
        <v>223849</v>
      </c>
      <c r="M1299" s="94">
        <v>671547</v>
      </c>
    </row>
    <row r="1300" spans="3:13" x14ac:dyDescent="0.3">
      <c r="C1300" t="s">
        <v>61</v>
      </c>
      <c r="D1300" t="s">
        <v>67</v>
      </c>
      <c r="E1300" t="s">
        <v>68</v>
      </c>
      <c r="F1300" t="s">
        <v>26</v>
      </c>
      <c r="G1300" s="4">
        <v>5</v>
      </c>
      <c r="H1300" s="4" t="s">
        <v>82</v>
      </c>
      <c r="I1300" s="4" t="s">
        <v>69</v>
      </c>
      <c r="J1300" s="4" t="s">
        <v>73</v>
      </c>
      <c r="K1300" s="4">
        <v>1</v>
      </c>
      <c r="L1300" s="94">
        <v>78881</v>
      </c>
      <c r="M1300" s="94">
        <v>394405</v>
      </c>
    </row>
    <row r="1301" spans="3:13" x14ac:dyDescent="0.3">
      <c r="C1301" t="s">
        <v>61</v>
      </c>
      <c r="D1301" t="s">
        <v>62</v>
      </c>
      <c r="E1301" t="s">
        <v>68</v>
      </c>
      <c r="F1301" t="s">
        <v>25</v>
      </c>
      <c r="G1301" s="4">
        <v>21</v>
      </c>
      <c r="I1301" s="4" t="s">
        <v>65</v>
      </c>
      <c r="J1301" s="4" t="s">
        <v>66</v>
      </c>
      <c r="K1301" s="4">
        <v>1</v>
      </c>
      <c r="L1301" s="94">
        <v>11083</v>
      </c>
      <c r="M1301" s="94">
        <v>232743</v>
      </c>
    </row>
    <row r="1302" spans="3:13" x14ac:dyDescent="0.3">
      <c r="C1302" t="s">
        <v>61</v>
      </c>
      <c r="D1302" t="s">
        <v>62</v>
      </c>
      <c r="E1302" t="s">
        <v>63</v>
      </c>
      <c r="F1302" t="s">
        <v>24</v>
      </c>
      <c r="G1302" s="4">
        <v>2</v>
      </c>
      <c r="I1302" s="4" t="s">
        <v>65</v>
      </c>
      <c r="J1302" s="4" t="s">
        <v>66</v>
      </c>
      <c r="K1302" s="4">
        <v>1</v>
      </c>
      <c r="L1302" s="94">
        <v>-129</v>
      </c>
      <c r="M1302" s="94">
        <v>0</v>
      </c>
    </row>
    <row r="1303" spans="3:13" x14ac:dyDescent="0.3">
      <c r="C1303" t="s">
        <v>61</v>
      </c>
      <c r="D1303" t="s">
        <v>67</v>
      </c>
      <c r="E1303" t="s">
        <v>63</v>
      </c>
      <c r="F1303" t="s">
        <v>26</v>
      </c>
      <c r="G1303" s="4">
        <v>0</v>
      </c>
      <c r="H1303" s="4" t="s">
        <v>82</v>
      </c>
      <c r="I1303" s="4" t="s">
        <v>65</v>
      </c>
      <c r="J1303" s="4" t="s">
        <v>66</v>
      </c>
      <c r="K1303" s="4">
        <v>1</v>
      </c>
      <c r="L1303" s="94">
        <v>-14622</v>
      </c>
      <c r="M1303" s="94">
        <v>0</v>
      </c>
    </row>
    <row r="1304" spans="3:13" x14ac:dyDescent="0.3">
      <c r="C1304" t="s">
        <v>61</v>
      </c>
      <c r="D1304" t="s">
        <v>67</v>
      </c>
      <c r="E1304" t="s">
        <v>63</v>
      </c>
      <c r="F1304" t="s">
        <v>26</v>
      </c>
      <c r="G1304" s="4">
        <v>6</v>
      </c>
      <c r="H1304" s="4" t="s">
        <v>82</v>
      </c>
      <c r="I1304" s="4" t="s">
        <v>69</v>
      </c>
      <c r="J1304" s="4" t="s">
        <v>66</v>
      </c>
      <c r="K1304" s="4">
        <v>0</v>
      </c>
      <c r="L1304" s="94">
        <v>-2221</v>
      </c>
      <c r="M1304" s="94">
        <v>0</v>
      </c>
    </row>
    <row r="1305" spans="3:13" x14ac:dyDescent="0.3">
      <c r="C1305" t="s">
        <v>71</v>
      </c>
      <c r="D1305" t="s">
        <v>67</v>
      </c>
      <c r="E1305" t="s">
        <v>68</v>
      </c>
      <c r="F1305" t="s">
        <v>25</v>
      </c>
      <c r="G1305" s="4">
        <v>0</v>
      </c>
      <c r="H1305" s="4" t="s">
        <v>12</v>
      </c>
      <c r="I1305" s="4" t="s">
        <v>69</v>
      </c>
      <c r="J1305" s="4" t="s">
        <v>66</v>
      </c>
      <c r="K1305" s="4">
        <v>0</v>
      </c>
      <c r="L1305" s="94">
        <v>1806</v>
      </c>
      <c r="M1305" s="94">
        <v>0</v>
      </c>
    </row>
    <row r="1306" spans="3:13" x14ac:dyDescent="0.3">
      <c r="C1306" t="s">
        <v>61</v>
      </c>
      <c r="D1306" t="s">
        <v>67</v>
      </c>
      <c r="E1306" t="s">
        <v>63</v>
      </c>
      <c r="F1306" t="s">
        <v>25</v>
      </c>
      <c r="G1306" s="4">
        <v>21</v>
      </c>
      <c r="H1306" s="4" t="s">
        <v>79</v>
      </c>
      <c r="I1306" s="4" t="s">
        <v>69</v>
      </c>
      <c r="J1306" s="4" t="s">
        <v>66</v>
      </c>
      <c r="K1306" s="4">
        <v>0</v>
      </c>
      <c r="L1306" s="94">
        <v>-382</v>
      </c>
      <c r="M1306" s="94">
        <v>0</v>
      </c>
    </row>
    <row r="1307" spans="3:13" x14ac:dyDescent="0.3">
      <c r="C1307" t="s">
        <v>71</v>
      </c>
      <c r="D1307" t="s">
        <v>67</v>
      </c>
      <c r="E1307" t="s">
        <v>68</v>
      </c>
      <c r="F1307" t="s">
        <v>72</v>
      </c>
      <c r="G1307" s="4">
        <v>0</v>
      </c>
      <c r="H1307" s="4" t="s">
        <v>14</v>
      </c>
      <c r="I1307" s="4" t="s">
        <v>69</v>
      </c>
      <c r="J1307" s="4" t="s">
        <v>73</v>
      </c>
      <c r="K1307" s="4">
        <v>1</v>
      </c>
      <c r="L1307" s="94">
        <v>32335</v>
      </c>
      <c r="M1307" s="94">
        <v>0</v>
      </c>
    </row>
    <row r="1308" spans="3:13" x14ac:dyDescent="0.3">
      <c r="C1308" t="s">
        <v>70</v>
      </c>
      <c r="D1308" t="s">
        <v>67</v>
      </c>
      <c r="E1308" t="s">
        <v>68</v>
      </c>
      <c r="F1308" t="s">
        <v>72</v>
      </c>
      <c r="G1308" s="4">
        <v>2</v>
      </c>
      <c r="H1308" s="4" t="s">
        <v>12</v>
      </c>
      <c r="I1308" s="4" t="s">
        <v>69</v>
      </c>
      <c r="J1308" s="4" t="s">
        <v>73</v>
      </c>
      <c r="K1308" s="4">
        <v>1</v>
      </c>
      <c r="L1308" s="94">
        <v>234364</v>
      </c>
      <c r="M1308" s="94">
        <v>468728</v>
      </c>
    </row>
    <row r="1309" spans="3:13" x14ac:dyDescent="0.3">
      <c r="C1309" t="s">
        <v>70</v>
      </c>
      <c r="D1309" t="s">
        <v>67</v>
      </c>
      <c r="E1309" t="s">
        <v>68</v>
      </c>
      <c r="F1309" t="s">
        <v>26</v>
      </c>
      <c r="G1309" s="4">
        <v>4</v>
      </c>
      <c r="H1309" s="4" t="s">
        <v>17</v>
      </c>
      <c r="I1309" s="4" t="s">
        <v>69</v>
      </c>
      <c r="J1309" s="4" t="s">
        <v>66</v>
      </c>
      <c r="K1309" s="4">
        <v>0</v>
      </c>
      <c r="L1309" s="94">
        <v>5232925</v>
      </c>
      <c r="M1309" s="94">
        <v>20931700</v>
      </c>
    </row>
    <row r="1310" spans="3:13" x14ac:dyDescent="0.3">
      <c r="C1310" t="s">
        <v>70</v>
      </c>
      <c r="D1310" t="s">
        <v>67</v>
      </c>
      <c r="E1310" t="s">
        <v>68</v>
      </c>
      <c r="F1310" t="s">
        <v>25</v>
      </c>
      <c r="G1310" s="4">
        <v>8</v>
      </c>
      <c r="H1310" s="4" t="s">
        <v>64</v>
      </c>
      <c r="I1310" s="4" t="s">
        <v>69</v>
      </c>
      <c r="J1310" s="4" t="s">
        <v>66</v>
      </c>
      <c r="K1310" s="4">
        <v>0</v>
      </c>
      <c r="L1310" s="94">
        <v>501731</v>
      </c>
      <c r="M1310" s="94">
        <v>4013848</v>
      </c>
    </row>
    <row r="1311" spans="3:13" x14ac:dyDescent="0.3">
      <c r="C1311" t="s">
        <v>70</v>
      </c>
      <c r="D1311" t="s">
        <v>67</v>
      </c>
      <c r="E1311" t="s">
        <v>63</v>
      </c>
      <c r="F1311" t="s">
        <v>26</v>
      </c>
      <c r="G1311" s="4">
        <v>4</v>
      </c>
      <c r="H1311" s="4" t="s">
        <v>80</v>
      </c>
      <c r="I1311" s="4" t="s">
        <v>69</v>
      </c>
      <c r="J1311" s="4" t="s">
        <v>66</v>
      </c>
      <c r="K1311" s="4">
        <v>0</v>
      </c>
      <c r="L1311" s="94">
        <v>-20436</v>
      </c>
      <c r="M1311" s="94">
        <v>0</v>
      </c>
    </row>
    <row r="1312" spans="3:13" x14ac:dyDescent="0.3">
      <c r="C1312" t="s">
        <v>70</v>
      </c>
      <c r="D1312" t="s">
        <v>67</v>
      </c>
      <c r="E1312" t="s">
        <v>68</v>
      </c>
      <c r="F1312" t="s">
        <v>25</v>
      </c>
      <c r="G1312" s="4">
        <v>9</v>
      </c>
      <c r="H1312" s="4" t="s">
        <v>18</v>
      </c>
      <c r="I1312" s="4" t="s">
        <v>69</v>
      </c>
      <c r="J1312" s="4" t="s">
        <v>66</v>
      </c>
      <c r="K1312" s="4">
        <v>1</v>
      </c>
      <c r="L1312" s="94">
        <v>31500</v>
      </c>
      <c r="M1312" s="94">
        <v>283500</v>
      </c>
    </row>
    <row r="1313" spans="3:13" x14ac:dyDescent="0.3">
      <c r="C1313" t="s">
        <v>61</v>
      </c>
      <c r="D1313" t="s">
        <v>67</v>
      </c>
      <c r="E1313" t="s">
        <v>68</v>
      </c>
      <c r="F1313" t="s">
        <v>72</v>
      </c>
      <c r="G1313" s="4">
        <v>4</v>
      </c>
      <c r="H1313" s="4" t="s">
        <v>16</v>
      </c>
      <c r="I1313" s="4" t="s">
        <v>69</v>
      </c>
      <c r="J1313" s="4" t="s">
        <v>66</v>
      </c>
      <c r="K1313" s="4">
        <v>0</v>
      </c>
      <c r="L1313" s="94">
        <v>189966</v>
      </c>
      <c r="M1313" s="94">
        <v>759864</v>
      </c>
    </row>
    <row r="1314" spans="3:13" x14ac:dyDescent="0.3">
      <c r="C1314" t="s">
        <v>71</v>
      </c>
      <c r="D1314" t="s">
        <v>67</v>
      </c>
      <c r="E1314" t="s">
        <v>68</v>
      </c>
      <c r="F1314" t="s">
        <v>25</v>
      </c>
      <c r="G1314" s="4">
        <v>5</v>
      </c>
      <c r="H1314" s="4" t="s">
        <v>83</v>
      </c>
      <c r="I1314" s="4" t="s">
        <v>69</v>
      </c>
      <c r="J1314" s="4" t="s">
        <v>66</v>
      </c>
      <c r="K1314" s="4">
        <v>0</v>
      </c>
      <c r="L1314" s="94">
        <v>178819</v>
      </c>
      <c r="M1314" s="94">
        <v>894095</v>
      </c>
    </row>
    <row r="1315" spans="3:13" x14ac:dyDescent="0.3">
      <c r="C1315" t="s">
        <v>61</v>
      </c>
      <c r="D1315" t="s">
        <v>67</v>
      </c>
      <c r="E1315" t="s">
        <v>63</v>
      </c>
      <c r="F1315" t="s">
        <v>25</v>
      </c>
      <c r="G1315" s="4">
        <v>2</v>
      </c>
      <c r="H1315" s="4" t="s">
        <v>77</v>
      </c>
      <c r="I1315" s="4" t="s">
        <v>69</v>
      </c>
      <c r="J1315" s="4" t="s">
        <v>66</v>
      </c>
      <c r="K1315" s="4">
        <v>0</v>
      </c>
      <c r="L1315" s="94">
        <v>-153</v>
      </c>
      <c r="M1315" s="94">
        <v>0</v>
      </c>
    </row>
    <row r="1316" spans="3:13" x14ac:dyDescent="0.3">
      <c r="C1316" t="s">
        <v>70</v>
      </c>
      <c r="D1316" t="s">
        <v>67</v>
      </c>
      <c r="E1316" t="s">
        <v>68</v>
      </c>
      <c r="F1316" t="s">
        <v>72</v>
      </c>
      <c r="G1316" s="4">
        <v>0</v>
      </c>
      <c r="H1316" s="4" t="s">
        <v>12</v>
      </c>
      <c r="I1316" s="4" t="s">
        <v>69</v>
      </c>
      <c r="J1316" s="4" t="s">
        <v>66</v>
      </c>
      <c r="K1316" s="4">
        <v>0</v>
      </c>
      <c r="L1316" s="94">
        <v>30855</v>
      </c>
      <c r="M1316" s="94">
        <v>0</v>
      </c>
    </row>
    <row r="1317" spans="3:13" x14ac:dyDescent="0.3">
      <c r="C1317" t="s">
        <v>70</v>
      </c>
      <c r="D1317" t="s">
        <v>67</v>
      </c>
      <c r="E1317" t="s">
        <v>68</v>
      </c>
      <c r="F1317" t="s">
        <v>26</v>
      </c>
      <c r="G1317" s="4">
        <v>-1</v>
      </c>
      <c r="H1317" s="4" t="s">
        <v>76</v>
      </c>
      <c r="I1317" s="4" t="s">
        <v>69</v>
      </c>
      <c r="J1317" s="4" t="s">
        <v>66</v>
      </c>
      <c r="K1317" s="4">
        <v>0</v>
      </c>
      <c r="L1317" s="94">
        <v>8540686</v>
      </c>
      <c r="M1317" s="94">
        <v>0</v>
      </c>
    </row>
    <row r="1318" spans="3:13" x14ac:dyDescent="0.3">
      <c r="C1318" t="s">
        <v>61</v>
      </c>
      <c r="D1318" t="s">
        <v>67</v>
      </c>
      <c r="E1318" t="s">
        <v>68</v>
      </c>
      <c r="F1318" t="s">
        <v>72</v>
      </c>
      <c r="G1318" s="4">
        <v>-1</v>
      </c>
      <c r="H1318" s="4" t="s">
        <v>17</v>
      </c>
      <c r="I1318" s="4" t="s">
        <v>69</v>
      </c>
      <c r="J1318" s="4" t="s">
        <v>66</v>
      </c>
      <c r="K1318" s="4">
        <v>0</v>
      </c>
      <c r="L1318" s="94">
        <v>9653857</v>
      </c>
      <c r="M1318" s="94">
        <v>0</v>
      </c>
    </row>
    <row r="1319" spans="3:13" x14ac:dyDescent="0.3">
      <c r="C1319" t="s">
        <v>71</v>
      </c>
      <c r="D1319" t="s">
        <v>67</v>
      </c>
      <c r="E1319" t="s">
        <v>68</v>
      </c>
      <c r="F1319" t="s">
        <v>72</v>
      </c>
      <c r="G1319" s="4">
        <v>2</v>
      </c>
      <c r="H1319" s="4" t="s">
        <v>14</v>
      </c>
      <c r="I1319" s="4" t="s">
        <v>69</v>
      </c>
      <c r="J1319" s="4" t="s">
        <v>66</v>
      </c>
      <c r="K1319" s="4">
        <v>0</v>
      </c>
      <c r="L1319" s="94">
        <v>157933</v>
      </c>
      <c r="M1319" s="94">
        <v>315866</v>
      </c>
    </row>
    <row r="1320" spans="3:13" x14ac:dyDescent="0.3">
      <c r="C1320" t="s">
        <v>61</v>
      </c>
      <c r="D1320" t="s">
        <v>67</v>
      </c>
      <c r="E1320" t="s">
        <v>63</v>
      </c>
      <c r="F1320" t="s">
        <v>72</v>
      </c>
      <c r="G1320" s="4">
        <v>3</v>
      </c>
      <c r="H1320" s="4" t="s">
        <v>76</v>
      </c>
      <c r="I1320" s="4" t="s">
        <v>69</v>
      </c>
      <c r="J1320" s="4" t="s">
        <v>66</v>
      </c>
      <c r="K1320" s="4">
        <v>0</v>
      </c>
      <c r="L1320" s="94">
        <v>-4399</v>
      </c>
      <c r="M1320" s="94">
        <v>0</v>
      </c>
    </row>
    <row r="1321" spans="3:13" x14ac:dyDescent="0.3">
      <c r="C1321" t="s">
        <v>70</v>
      </c>
      <c r="D1321" t="s">
        <v>67</v>
      </c>
      <c r="E1321" t="s">
        <v>68</v>
      </c>
      <c r="F1321" t="s">
        <v>26</v>
      </c>
      <c r="G1321" s="4">
        <v>7</v>
      </c>
      <c r="H1321" s="4" t="s">
        <v>80</v>
      </c>
      <c r="I1321" s="4" t="s">
        <v>69</v>
      </c>
      <c r="J1321" s="4" t="s">
        <v>66</v>
      </c>
      <c r="K1321" s="4">
        <v>0</v>
      </c>
      <c r="L1321" s="94">
        <v>73763</v>
      </c>
      <c r="M1321" s="94">
        <v>516341</v>
      </c>
    </row>
    <row r="1322" spans="3:13" x14ac:dyDescent="0.3">
      <c r="C1322" t="s">
        <v>61</v>
      </c>
      <c r="D1322" t="s">
        <v>67</v>
      </c>
      <c r="E1322" t="s">
        <v>63</v>
      </c>
      <c r="F1322" t="s">
        <v>25</v>
      </c>
      <c r="G1322" s="4">
        <v>7</v>
      </c>
      <c r="H1322" s="4" t="s">
        <v>79</v>
      </c>
      <c r="I1322" s="4" t="s">
        <v>69</v>
      </c>
      <c r="J1322" s="4" t="s">
        <v>66</v>
      </c>
      <c r="K1322" s="4">
        <v>0</v>
      </c>
      <c r="L1322" s="94">
        <v>-7307</v>
      </c>
      <c r="M1322" s="94">
        <v>0</v>
      </c>
    </row>
    <row r="1323" spans="3:13" x14ac:dyDescent="0.3">
      <c r="C1323" t="s">
        <v>70</v>
      </c>
      <c r="D1323" t="s">
        <v>67</v>
      </c>
      <c r="E1323" t="s">
        <v>63</v>
      </c>
      <c r="F1323" t="s">
        <v>26</v>
      </c>
      <c r="G1323" s="4">
        <v>1</v>
      </c>
      <c r="H1323" s="4" t="s">
        <v>78</v>
      </c>
      <c r="I1323" s="4" t="s">
        <v>69</v>
      </c>
      <c r="J1323" s="4" t="s">
        <v>66</v>
      </c>
      <c r="K1323" s="4">
        <v>0</v>
      </c>
      <c r="L1323" s="94">
        <v>-28365</v>
      </c>
      <c r="M1323" s="94">
        <v>0</v>
      </c>
    </row>
    <row r="1324" spans="3:13" x14ac:dyDescent="0.3">
      <c r="C1324" t="s">
        <v>61</v>
      </c>
      <c r="D1324" t="s">
        <v>62</v>
      </c>
      <c r="E1324" t="s">
        <v>63</v>
      </c>
      <c r="F1324" t="s">
        <v>24</v>
      </c>
      <c r="G1324" s="4">
        <v>10</v>
      </c>
      <c r="I1324" s="4" t="s">
        <v>65</v>
      </c>
      <c r="J1324" s="4" t="s">
        <v>66</v>
      </c>
      <c r="K1324" s="4">
        <v>1</v>
      </c>
      <c r="L1324" s="94">
        <v>-863</v>
      </c>
      <c r="M1324" s="94">
        <v>0</v>
      </c>
    </row>
    <row r="1325" spans="3:13" x14ac:dyDescent="0.3">
      <c r="C1325" t="s">
        <v>61</v>
      </c>
      <c r="D1325" t="s">
        <v>67</v>
      </c>
      <c r="E1325" t="s">
        <v>63</v>
      </c>
      <c r="F1325" t="s">
        <v>25</v>
      </c>
      <c r="G1325" s="4">
        <v>1</v>
      </c>
      <c r="H1325" s="4" t="s">
        <v>17</v>
      </c>
      <c r="I1325" s="4" t="s">
        <v>69</v>
      </c>
      <c r="J1325" s="4" t="s">
        <v>66</v>
      </c>
      <c r="K1325" s="4">
        <v>1</v>
      </c>
      <c r="L1325" s="94">
        <v>-47</v>
      </c>
      <c r="M1325" s="94">
        <v>0</v>
      </c>
    </row>
    <row r="1326" spans="3:13" x14ac:dyDescent="0.3">
      <c r="C1326" t="s">
        <v>70</v>
      </c>
      <c r="D1326" t="s">
        <v>67</v>
      </c>
      <c r="E1326" t="s">
        <v>68</v>
      </c>
      <c r="F1326" t="s">
        <v>26</v>
      </c>
      <c r="G1326" s="4">
        <v>5</v>
      </c>
      <c r="H1326" s="4" t="s">
        <v>16</v>
      </c>
      <c r="I1326" s="4" t="s">
        <v>69</v>
      </c>
      <c r="J1326" s="4" t="s">
        <v>66</v>
      </c>
      <c r="K1326" s="4">
        <v>0</v>
      </c>
      <c r="L1326" s="94">
        <v>188672</v>
      </c>
      <c r="M1326" s="94">
        <v>943360</v>
      </c>
    </row>
    <row r="1327" spans="3:13" x14ac:dyDescent="0.3">
      <c r="C1327" t="s">
        <v>71</v>
      </c>
      <c r="D1327" t="s">
        <v>67</v>
      </c>
      <c r="E1327" t="s">
        <v>68</v>
      </c>
      <c r="F1327" t="s">
        <v>26</v>
      </c>
      <c r="G1327" s="4">
        <v>1</v>
      </c>
      <c r="H1327" s="4" t="s">
        <v>79</v>
      </c>
      <c r="I1327" s="4" t="s">
        <v>69</v>
      </c>
      <c r="J1327" s="4" t="s">
        <v>66</v>
      </c>
      <c r="K1327" s="4">
        <v>0</v>
      </c>
      <c r="L1327" s="94">
        <v>99088</v>
      </c>
      <c r="M1327" s="94">
        <v>99088</v>
      </c>
    </row>
    <row r="1328" spans="3:13" x14ac:dyDescent="0.3">
      <c r="C1328" t="s">
        <v>71</v>
      </c>
      <c r="D1328" t="s">
        <v>62</v>
      </c>
      <c r="E1328" t="s">
        <v>63</v>
      </c>
      <c r="F1328" t="s">
        <v>24</v>
      </c>
      <c r="G1328" s="4">
        <v>3</v>
      </c>
      <c r="I1328" s="4" t="s">
        <v>65</v>
      </c>
      <c r="J1328" s="4" t="s">
        <v>66</v>
      </c>
      <c r="K1328" s="4">
        <v>1</v>
      </c>
      <c r="L1328" s="94">
        <v>-437</v>
      </c>
      <c r="M1328" s="94">
        <v>0</v>
      </c>
    </row>
    <row r="1329" spans="3:13" x14ac:dyDescent="0.3">
      <c r="C1329" t="s">
        <v>61</v>
      </c>
      <c r="D1329" t="s">
        <v>62</v>
      </c>
      <c r="E1329" t="s">
        <v>63</v>
      </c>
      <c r="F1329" t="s">
        <v>24</v>
      </c>
      <c r="G1329" s="4">
        <v>38</v>
      </c>
      <c r="I1329" s="4" t="s">
        <v>65</v>
      </c>
      <c r="J1329" s="4" t="s">
        <v>66</v>
      </c>
      <c r="K1329" s="4">
        <v>1</v>
      </c>
      <c r="L1329" s="94">
        <v>-7151</v>
      </c>
      <c r="M1329" s="94">
        <v>0</v>
      </c>
    </row>
    <row r="1330" spans="3:13" x14ac:dyDescent="0.3">
      <c r="C1330" t="s">
        <v>61</v>
      </c>
      <c r="D1330" t="s">
        <v>67</v>
      </c>
      <c r="E1330" t="s">
        <v>68</v>
      </c>
      <c r="F1330" t="s">
        <v>26</v>
      </c>
      <c r="G1330" s="4">
        <v>15</v>
      </c>
      <c r="H1330" s="4" t="s">
        <v>12</v>
      </c>
      <c r="I1330" s="4" t="s">
        <v>69</v>
      </c>
      <c r="J1330" s="4" t="s">
        <v>73</v>
      </c>
      <c r="K1330" s="4">
        <v>1</v>
      </c>
      <c r="L1330" s="94">
        <v>1749456</v>
      </c>
      <c r="M1330" s="94">
        <v>26241840</v>
      </c>
    </row>
    <row r="1331" spans="3:13" x14ac:dyDescent="0.3">
      <c r="C1331" t="s">
        <v>70</v>
      </c>
      <c r="D1331" t="s">
        <v>62</v>
      </c>
      <c r="E1331" t="s">
        <v>63</v>
      </c>
      <c r="F1331" t="s">
        <v>24</v>
      </c>
      <c r="G1331" s="4">
        <v>18</v>
      </c>
      <c r="I1331" s="4" t="s">
        <v>69</v>
      </c>
      <c r="J1331" s="4" t="s">
        <v>66</v>
      </c>
      <c r="K1331" s="4">
        <v>0</v>
      </c>
      <c r="L1331" s="94">
        <v>-850215</v>
      </c>
      <c r="M1331" s="94">
        <v>0</v>
      </c>
    </row>
    <row r="1332" spans="3:13" x14ac:dyDescent="0.3">
      <c r="C1332" t="s">
        <v>71</v>
      </c>
      <c r="D1332" t="s">
        <v>67</v>
      </c>
      <c r="E1332" t="s">
        <v>63</v>
      </c>
      <c r="F1332" t="s">
        <v>26</v>
      </c>
      <c r="G1332" s="4">
        <v>7</v>
      </c>
      <c r="H1332" s="4" t="s">
        <v>14</v>
      </c>
      <c r="I1332" s="4" t="s">
        <v>69</v>
      </c>
      <c r="J1332" s="4" t="s">
        <v>73</v>
      </c>
      <c r="K1332" s="4">
        <v>1</v>
      </c>
      <c r="L1332" s="94">
        <v>-541307</v>
      </c>
      <c r="M1332" s="94">
        <v>0</v>
      </c>
    </row>
    <row r="1333" spans="3:13" x14ac:dyDescent="0.3">
      <c r="C1333" t="s">
        <v>61</v>
      </c>
      <c r="D1333" t="s">
        <v>67</v>
      </c>
      <c r="E1333" t="s">
        <v>68</v>
      </c>
      <c r="F1333" t="s">
        <v>25</v>
      </c>
      <c r="G1333" s="4">
        <v>14</v>
      </c>
      <c r="H1333" s="4" t="s">
        <v>76</v>
      </c>
      <c r="I1333" s="4" t="s">
        <v>69</v>
      </c>
      <c r="J1333" s="4" t="s">
        <v>66</v>
      </c>
      <c r="K1333" s="4">
        <v>0</v>
      </c>
      <c r="L1333" s="94">
        <v>83588589</v>
      </c>
      <c r="M1333" s="94">
        <v>1170240246</v>
      </c>
    </row>
    <row r="1334" spans="3:13" x14ac:dyDescent="0.3">
      <c r="C1334" t="s">
        <v>70</v>
      </c>
      <c r="D1334" t="s">
        <v>67</v>
      </c>
      <c r="E1334" t="s">
        <v>68</v>
      </c>
      <c r="F1334" t="s">
        <v>72</v>
      </c>
      <c r="G1334" s="4">
        <v>6</v>
      </c>
      <c r="H1334" s="4" t="s">
        <v>80</v>
      </c>
      <c r="I1334" s="4" t="s">
        <v>69</v>
      </c>
      <c r="J1334" s="4" t="s">
        <v>66</v>
      </c>
      <c r="K1334" s="4">
        <v>0</v>
      </c>
      <c r="L1334" s="94">
        <v>14784</v>
      </c>
      <c r="M1334" s="94">
        <v>88704</v>
      </c>
    </row>
    <row r="1335" spans="3:13" x14ac:dyDescent="0.3">
      <c r="C1335" t="s">
        <v>61</v>
      </c>
      <c r="D1335" t="s">
        <v>67</v>
      </c>
      <c r="E1335" t="s">
        <v>68</v>
      </c>
      <c r="F1335" t="s">
        <v>26</v>
      </c>
      <c r="G1335" s="4">
        <v>3</v>
      </c>
      <c r="H1335" s="4" t="s">
        <v>17</v>
      </c>
      <c r="I1335" s="4" t="s">
        <v>69</v>
      </c>
      <c r="J1335" s="4" t="s">
        <v>73</v>
      </c>
      <c r="K1335" s="4">
        <v>1</v>
      </c>
      <c r="L1335" s="94">
        <v>1370613</v>
      </c>
      <c r="M1335" s="94">
        <v>4111839</v>
      </c>
    </row>
    <row r="1336" spans="3:13" x14ac:dyDescent="0.3">
      <c r="C1336" t="s">
        <v>70</v>
      </c>
      <c r="D1336" t="s">
        <v>67</v>
      </c>
      <c r="E1336" t="s">
        <v>63</v>
      </c>
      <c r="F1336" t="s">
        <v>25</v>
      </c>
      <c r="G1336" s="4">
        <v>5</v>
      </c>
      <c r="H1336" s="4" t="s">
        <v>14</v>
      </c>
      <c r="I1336" s="4" t="s">
        <v>69</v>
      </c>
      <c r="J1336" s="4" t="s">
        <v>66</v>
      </c>
      <c r="K1336" s="4">
        <v>0</v>
      </c>
      <c r="L1336" s="94">
        <v>-106714</v>
      </c>
      <c r="M1336" s="94">
        <v>0</v>
      </c>
    </row>
    <row r="1337" spans="3:13" x14ac:dyDescent="0.3">
      <c r="C1337" t="s">
        <v>71</v>
      </c>
      <c r="D1337" t="s">
        <v>67</v>
      </c>
      <c r="E1337" t="s">
        <v>63</v>
      </c>
      <c r="F1337" t="s">
        <v>25</v>
      </c>
      <c r="G1337" s="4">
        <v>3</v>
      </c>
      <c r="H1337" s="4" t="s">
        <v>14</v>
      </c>
      <c r="I1337" s="4" t="s">
        <v>69</v>
      </c>
      <c r="J1337" s="4" t="s">
        <v>66</v>
      </c>
      <c r="K1337" s="4">
        <v>0</v>
      </c>
      <c r="L1337" s="94">
        <v>-262495</v>
      </c>
      <c r="M1337" s="94">
        <v>0</v>
      </c>
    </row>
    <row r="1338" spans="3:13" x14ac:dyDescent="0.3">
      <c r="C1338" t="s">
        <v>61</v>
      </c>
      <c r="D1338" t="s">
        <v>84</v>
      </c>
      <c r="E1338" t="s">
        <v>63</v>
      </c>
      <c r="F1338" t="s">
        <v>25</v>
      </c>
      <c r="G1338" s="4">
        <v>-1</v>
      </c>
      <c r="H1338" s="4" t="s">
        <v>81</v>
      </c>
      <c r="I1338" s="4" t="s">
        <v>69</v>
      </c>
      <c r="J1338" s="4" t="s">
        <v>66</v>
      </c>
      <c r="K1338" s="4">
        <v>0</v>
      </c>
      <c r="L1338" s="94">
        <v>-3314</v>
      </c>
      <c r="M1338" s="94">
        <v>0</v>
      </c>
    </row>
    <row r="1339" spans="3:13" x14ac:dyDescent="0.3">
      <c r="C1339" t="s">
        <v>61</v>
      </c>
      <c r="D1339" t="s">
        <v>67</v>
      </c>
      <c r="E1339" t="s">
        <v>68</v>
      </c>
      <c r="F1339" t="s">
        <v>25</v>
      </c>
      <c r="G1339" s="4">
        <v>12</v>
      </c>
      <c r="H1339" s="4" t="s">
        <v>76</v>
      </c>
      <c r="I1339" s="4" t="s">
        <v>69</v>
      </c>
      <c r="J1339" s="4" t="s">
        <v>66</v>
      </c>
      <c r="K1339" s="4">
        <v>0</v>
      </c>
      <c r="L1339" s="94">
        <v>88245624</v>
      </c>
      <c r="M1339" s="94">
        <v>1058947488</v>
      </c>
    </row>
    <row r="1340" spans="3:13" x14ac:dyDescent="0.3">
      <c r="C1340" t="s">
        <v>61</v>
      </c>
      <c r="D1340" t="s">
        <v>67</v>
      </c>
      <c r="E1340" t="s">
        <v>63</v>
      </c>
      <c r="F1340" t="s">
        <v>26</v>
      </c>
      <c r="G1340" s="4">
        <v>2</v>
      </c>
      <c r="H1340" s="4" t="s">
        <v>82</v>
      </c>
      <c r="I1340" s="4" t="s">
        <v>69</v>
      </c>
      <c r="J1340" s="4" t="s">
        <v>73</v>
      </c>
      <c r="K1340" s="4">
        <v>1</v>
      </c>
      <c r="L1340" s="94">
        <v>-246</v>
      </c>
      <c r="M1340" s="94">
        <v>0</v>
      </c>
    </row>
    <row r="1341" spans="3:13" x14ac:dyDescent="0.3">
      <c r="C1341" t="s">
        <v>71</v>
      </c>
      <c r="D1341" t="s">
        <v>62</v>
      </c>
      <c r="E1341" t="s">
        <v>68</v>
      </c>
      <c r="F1341" t="s">
        <v>24</v>
      </c>
      <c r="G1341" s="4">
        <v>24</v>
      </c>
      <c r="I1341" s="4" t="s">
        <v>65</v>
      </c>
      <c r="J1341" s="4" t="s">
        <v>66</v>
      </c>
      <c r="K1341" s="4">
        <v>1</v>
      </c>
      <c r="L1341" s="94">
        <v>11607</v>
      </c>
      <c r="M1341" s="94">
        <v>278568</v>
      </c>
    </row>
    <row r="1342" spans="3:13" x14ac:dyDescent="0.3">
      <c r="C1342" t="s">
        <v>70</v>
      </c>
      <c r="D1342" t="s">
        <v>67</v>
      </c>
      <c r="E1342" t="s">
        <v>68</v>
      </c>
      <c r="F1342" t="s">
        <v>26</v>
      </c>
      <c r="G1342" s="4">
        <v>2</v>
      </c>
      <c r="H1342" s="4" t="s">
        <v>14</v>
      </c>
      <c r="I1342" s="4" t="s">
        <v>69</v>
      </c>
      <c r="J1342" s="4" t="s">
        <v>66</v>
      </c>
      <c r="K1342" s="4">
        <v>0</v>
      </c>
      <c r="L1342" s="94">
        <v>11941466</v>
      </c>
      <c r="M1342" s="94">
        <v>23882932</v>
      </c>
    </row>
    <row r="1343" spans="3:13" x14ac:dyDescent="0.3">
      <c r="C1343" t="s">
        <v>61</v>
      </c>
      <c r="D1343" t="s">
        <v>67</v>
      </c>
      <c r="E1343" t="s">
        <v>63</v>
      </c>
      <c r="F1343" t="s">
        <v>25</v>
      </c>
      <c r="G1343" s="4">
        <v>13</v>
      </c>
      <c r="H1343" s="4" t="s">
        <v>74</v>
      </c>
      <c r="I1343" s="4" t="s">
        <v>65</v>
      </c>
      <c r="J1343" s="4" t="s">
        <v>66</v>
      </c>
      <c r="K1343" s="4">
        <v>1</v>
      </c>
      <c r="L1343" s="94">
        <v>-98</v>
      </c>
      <c r="M1343" s="94">
        <v>0</v>
      </c>
    </row>
    <row r="1344" spans="3:13" x14ac:dyDescent="0.3">
      <c r="C1344" t="s">
        <v>71</v>
      </c>
      <c r="D1344" t="s">
        <v>67</v>
      </c>
      <c r="E1344" t="s">
        <v>63</v>
      </c>
      <c r="F1344" t="s">
        <v>26</v>
      </c>
      <c r="G1344" s="4">
        <v>3</v>
      </c>
      <c r="H1344" s="4" t="s">
        <v>16</v>
      </c>
      <c r="I1344" s="4" t="s">
        <v>69</v>
      </c>
      <c r="J1344" s="4" t="s">
        <v>66</v>
      </c>
      <c r="K1344" s="4">
        <v>0</v>
      </c>
      <c r="L1344" s="94">
        <v>-335216</v>
      </c>
      <c r="M1344" s="94">
        <v>0</v>
      </c>
    </row>
    <row r="1345" spans="3:13" x14ac:dyDescent="0.3">
      <c r="C1345" t="s">
        <v>70</v>
      </c>
      <c r="D1345" t="s">
        <v>67</v>
      </c>
      <c r="E1345" t="s">
        <v>68</v>
      </c>
      <c r="F1345" t="s">
        <v>25</v>
      </c>
      <c r="G1345" s="4">
        <v>6</v>
      </c>
      <c r="H1345" s="4" t="s">
        <v>80</v>
      </c>
      <c r="I1345" s="4" t="s">
        <v>69</v>
      </c>
      <c r="J1345" s="4" t="s">
        <v>66</v>
      </c>
      <c r="K1345" s="4">
        <v>0</v>
      </c>
      <c r="L1345" s="94">
        <v>19108</v>
      </c>
      <c r="M1345" s="94">
        <v>114648</v>
      </c>
    </row>
    <row r="1346" spans="3:13" x14ac:dyDescent="0.3">
      <c r="C1346" t="s">
        <v>70</v>
      </c>
      <c r="D1346" t="s">
        <v>67</v>
      </c>
      <c r="E1346" t="s">
        <v>63</v>
      </c>
      <c r="F1346" t="s">
        <v>72</v>
      </c>
      <c r="G1346" s="4">
        <v>-4</v>
      </c>
      <c r="H1346" s="4" t="s">
        <v>12</v>
      </c>
      <c r="I1346" s="4" t="s">
        <v>69</v>
      </c>
      <c r="J1346" s="4" t="s">
        <v>66</v>
      </c>
      <c r="K1346" s="4">
        <v>0</v>
      </c>
      <c r="L1346" s="94">
        <v>-123</v>
      </c>
      <c r="M1346" s="94">
        <v>0</v>
      </c>
    </row>
    <row r="1347" spans="3:13" x14ac:dyDescent="0.3">
      <c r="C1347" t="s">
        <v>70</v>
      </c>
      <c r="D1347" t="s">
        <v>67</v>
      </c>
      <c r="E1347" t="s">
        <v>68</v>
      </c>
      <c r="F1347" t="s">
        <v>26</v>
      </c>
      <c r="G1347" s="4">
        <v>1</v>
      </c>
      <c r="H1347" s="4" t="s">
        <v>82</v>
      </c>
      <c r="I1347" s="4" t="s">
        <v>69</v>
      </c>
      <c r="J1347" s="4" t="s">
        <v>73</v>
      </c>
      <c r="K1347" s="4">
        <v>1</v>
      </c>
      <c r="L1347" s="94">
        <v>3720</v>
      </c>
      <c r="M1347" s="94">
        <v>3720</v>
      </c>
    </row>
    <row r="1348" spans="3:13" x14ac:dyDescent="0.3">
      <c r="C1348" t="s">
        <v>71</v>
      </c>
      <c r="D1348" t="s">
        <v>67</v>
      </c>
      <c r="E1348" t="s">
        <v>63</v>
      </c>
      <c r="F1348" t="s">
        <v>25</v>
      </c>
      <c r="G1348" s="4">
        <v>2</v>
      </c>
      <c r="H1348" s="4" t="s">
        <v>78</v>
      </c>
      <c r="I1348" s="4" t="s">
        <v>69</v>
      </c>
      <c r="J1348" s="4" t="s">
        <v>66</v>
      </c>
      <c r="K1348" s="4">
        <v>0</v>
      </c>
      <c r="L1348" s="94">
        <v>-15483</v>
      </c>
      <c r="M1348" s="94">
        <v>0</v>
      </c>
    </row>
    <row r="1349" spans="3:13" x14ac:dyDescent="0.3">
      <c r="C1349" t="s">
        <v>70</v>
      </c>
      <c r="D1349" t="s">
        <v>67</v>
      </c>
      <c r="E1349" t="s">
        <v>63</v>
      </c>
      <c r="F1349" t="s">
        <v>26</v>
      </c>
      <c r="G1349" s="4">
        <v>-4</v>
      </c>
      <c r="H1349" s="4" t="s">
        <v>18</v>
      </c>
      <c r="I1349" s="4" t="s">
        <v>69</v>
      </c>
      <c r="J1349" s="4" t="s">
        <v>66</v>
      </c>
      <c r="K1349" s="4">
        <v>0</v>
      </c>
      <c r="L1349" s="94">
        <v>-82023</v>
      </c>
      <c r="M1349" s="94">
        <v>0</v>
      </c>
    </row>
    <row r="1350" spans="3:13" x14ac:dyDescent="0.3">
      <c r="C1350" t="s">
        <v>70</v>
      </c>
      <c r="D1350" t="s">
        <v>67</v>
      </c>
      <c r="E1350" t="s">
        <v>68</v>
      </c>
      <c r="F1350" t="s">
        <v>26</v>
      </c>
      <c r="G1350" s="4">
        <v>9</v>
      </c>
      <c r="H1350" s="4" t="s">
        <v>18</v>
      </c>
      <c r="I1350" s="4" t="s">
        <v>69</v>
      </c>
      <c r="J1350" s="4" t="s">
        <v>66</v>
      </c>
      <c r="K1350" s="4">
        <v>0</v>
      </c>
      <c r="L1350" s="94">
        <v>755826</v>
      </c>
      <c r="M1350" s="94">
        <v>6802434</v>
      </c>
    </row>
    <row r="1351" spans="3:13" x14ac:dyDescent="0.3">
      <c r="C1351" t="s">
        <v>70</v>
      </c>
      <c r="D1351" t="s">
        <v>62</v>
      </c>
      <c r="E1351" t="s">
        <v>63</v>
      </c>
      <c r="F1351" t="s">
        <v>24</v>
      </c>
      <c r="G1351" s="4">
        <v>15</v>
      </c>
      <c r="I1351" s="4" t="s">
        <v>65</v>
      </c>
      <c r="J1351" s="4" t="s">
        <v>66</v>
      </c>
      <c r="K1351" s="4">
        <v>1</v>
      </c>
      <c r="L1351" s="94">
        <v>-9730</v>
      </c>
      <c r="M1351" s="94">
        <v>0</v>
      </c>
    </row>
    <row r="1352" spans="3:13" x14ac:dyDescent="0.3">
      <c r="C1352" t="s">
        <v>61</v>
      </c>
      <c r="D1352" t="s">
        <v>67</v>
      </c>
      <c r="E1352" t="s">
        <v>68</v>
      </c>
      <c r="F1352" t="s">
        <v>26</v>
      </c>
      <c r="G1352" s="4">
        <v>6</v>
      </c>
      <c r="H1352" s="4" t="s">
        <v>14</v>
      </c>
      <c r="I1352" s="4" t="s">
        <v>69</v>
      </c>
      <c r="J1352" s="4" t="s">
        <v>73</v>
      </c>
      <c r="K1352" s="4">
        <v>1</v>
      </c>
      <c r="L1352" s="94">
        <v>23474865</v>
      </c>
      <c r="M1352" s="94">
        <v>140849190</v>
      </c>
    </row>
    <row r="1353" spans="3:13" x14ac:dyDescent="0.3">
      <c r="C1353" t="s">
        <v>61</v>
      </c>
      <c r="D1353" t="s">
        <v>62</v>
      </c>
      <c r="E1353" t="s">
        <v>63</v>
      </c>
      <c r="F1353" t="s">
        <v>24</v>
      </c>
      <c r="G1353" s="4">
        <v>24</v>
      </c>
      <c r="I1353" s="4" t="s">
        <v>69</v>
      </c>
      <c r="J1353" s="4" t="s">
        <v>66</v>
      </c>
      <c r="K1353" s="4">
        <v>0</v>
      </c>
      <c r="L1353" s="94">
        <v>-295751</v>
      </c>
      <c r="M1353" s="94">
        <v>0</v>
      </c>
    </row>
    <row r="1354" spans="3:13" x14ac:dyDescent="0.3">
      <c r="C1354" t="s">
        <v>71</v>
      </c>
      <c r="D1354" t="s">
        <v>62</v>
      </c>
      <c r="E1354" t="s">
        <v>63</v>
      </c>
      <c r="F1354" t="s">
        <v>24</v>
      </c>
      <c r="G1354" s="4">
        <v>5</v>
      </c>
      <c r="I1354" s="4" t="s">
        <v>69</v>
      </c>
      <c r="J1354" s="4" t="s">
        <v>66</v>
      </c>
      <c r="K1354" s="4">
        <v>0</v>
      </c>
      <c r="L1354" s="94">
        <v>-448839</v>
      </c>
      <c r="M1354" s="94">
        <v>0</v>
      </c>
    </row>
    <row r="1355" spans="3:13" x14ac:dyDescent="0.3">
      <c r="C1355" t="s">
        <v>70</v>
      </c>
      <c r="D1355" t="s">
        <v>67</v>
      </c>
      <c r="E1355" t="s">
        <v>68</v>
      </c>
      <c r="F1355" t="s">
        <v>25</v>
      </c>
      <c r="G1355" s="4">
        <v>11</v>
      </c>
      <c r="H1355" s="4" t="s">
        <v>18</v>
      </c>
      <c r="I1355" s="4" t="s">
        <v>69</v>
      </c>
      <c r="J1355" s="4" t="s">
        <v>66</v>
      </c>
      <c r="K1355" s="4">
        <v>1</v>
      </c>
      <c r="L1355" s="94">
        <v>296892</v>
      </c>
      <c r="M1355" s="94">
        <v>3265812</v>
      </c>
    </row>
    <row r="1356" spans="3:13" x14ac:dyDescent="0.3">
      <c r="C1356" t="s">
        <v>71</v>
      </c>
      <c r="D1356" t="s">
        <v>67</v>
      </c>
      <c r="E1356" t="s">
        <v>63</v>
      </c>
      <c r="F1356" t="s">
        <v>72</v>
      </c>
      <c r="G1356" s="4">
        <v>2</v>
      </c>
      <c r="H1356" s="4" t="s">
        <v>82</v>
      </c>
      <c r="I1356" s="4" t="s">
        <v>65</v>
      </c>
      <c r="J1356" s="4" t="s">
        <v>66</v>
      </c>
      <c r="K1356" s="4">
        <v>1</v>
      </c>
      <c r="L1356" s="94">
        <v>-98041</v>
      </c>
      <c r="M1356" s="94">
        <v>0</v>
      </c>
    </row>
    <row r="1357" spans="3:13" x14ac:dyDescent="0.3">
      <c r="C1357" t="s">
        <v>70</v>
      </c>
      <c r="D1357" t="s">
        <v>67</v>
      </c>
      <c r="E1357" t="s">
        <v>68</v>
      </c>
      <c r="F1357" t="s">
        <v>72</v>
      </c>
      <c r="G1357" s="4">
        <v>6</v>
      </c>
      <c r="H1357" s="4" t="s">
        <v>74</v>
      </c>
      <c r="I1357" s="4" t="s">
        <v>69</v>
      </c>
      <c r="J1357" s="4" t="s">
        <v>66</v>
      </c>
      <c r="K1357" s="4">
        <v>0</v>
      </c>
      <c r="L1357" s="94">
        <v>263764</v>
      </c>
      <c r="M1357" s="94">
        <v>1582584</v>
      </c>
    </row>
    <row r="1358" spans="3:13" x14ac:dyDescent="0.3">
      <c r="C1358" t="s">
        <v>61</v>
      </c>
      <c r="D1358" t="s">
        <v>67</v>
      </c>
      <c r="E1358" t="s">
        <v>68</v>
      </c>
      <c r="F1358" t="s">
        <v>25</v>
      </c>
      <c r="G1358" s="4">
        <v>0</v>
      </c>
      <c r="H1358" s="4" t="s">
        <v>18</v>
      </c>
      <c r="I1358" s="4" t="s">
        <v>69</v>
      </c>
      <c r="J1358" s="4" t="s">
        <v>66</v>
      </c>
      <c r="K1358" s="4">
        <v>0</v>
      </c>
      <c r="L1358" s="94">
        <v>1500083</v>
      </c>
      <c r="M1358" s="94">
        <v>0</v>
      </c>
    </row>
    <row r="1359" spans="3:13" x14ac:dyDescent="0.3">
      <c r="C1359" t="s">
        <v>70</v>
      </c>
      <c r="D1359" t="s">
        <v>62</v>
      </c>
      <c r="E1359" t="s">
        <v>68</v>
      </c>
      <c r="F1359" t="s">
        <v>24</v>
      </c>
      <c r="G1359" s="4">
        <v>0</v>
      </c>
      <c r="I1359" s="4" t="s">
        <v>65</v>
      </c>
      <c r="J1359" s="4" t="s">
        <v>66</v>
      </c>
      <c r="K1359" s="4">
        <v>1</v>
      </c>
      <c r="L1359" s="94">
        <v>5860</v>
      </c>
      <c r="M1359" s="94">
        <v>0</v>
      </c>
    </row>
    <row r="1360" spans="3:13" x14ac:dyDescent="0.3">
      <c r="C1360" t="s">
        <v>70</v>
      </c>
      <c r="D1360" t="s">
        <v>67</v>
      </c>
      <c r="E1360" t="s">
        <v>68</v>
      </c>
      <c r="F1360" t="s">
        <v>26</v>
      </c>
      <c r="G1360" s="4">
        <v>6</v>
      </c>
      <c r="H1360" s="4" t="s">
        <v>64</v>
      </c>
      <c r="I1360" s="4" t="s">
        <v>69</v>
      </c>
      <c r="J1360" s="4" t="s">
        <v>66</v>
      </c>
      <c r="K1360" s="4">
        <v>0</v>
      </c>
      <c r="L1360" s="94">
        <v>218373</v>
      </c>
      <c r="M1360" s="94">
        <v>1310238</v>
      </c>
    </row>
    <row r="1361" spans="3:13" x14ac:dyDescent="0.3">
      <c r="C1361" t="s">
        <v>70</v>
      </c>
      <c r="D1361" t="s">
        <v>67</v>
      </c>
      <c r="E1361" t="s">
        <v>63</v>
      </c>
      <c r="F1361" t="s">
        <v>72</v>
      </c>
      <c r="G1361" s="4">
        <v>1</v>
      </c>
      <c r="H1361" s="4" t="s">
        <v>14</v>
      </c>
      <c r="I1361" s="4" t="s">
        <v>69</v>
      </c>
      <c r="J1361" s="4" t="s">
        <v>73</v>
      </c>
      <c r="K1361" s="4">
        <v>1</v>
      </c>
      <c r="L1361" s="94">
        <v>-39476</v>
      </c>
      <c r="M1361" s="94">
        <v>0</v>
      </c>
    </row>
    <row r="1362" spans="3:13" x14ac:dyDescent="0.3">
      <c r="C1362" t="s">
        <v>61</v>
      </c>
      <c r="D1362" t="s">
        <v>85</v>
      </c>
      <c r="E1362" t="s">
        <v>68</v>
      </c>
      <c r="F1362" t="s">
        <v>25</v>
      </c>
      <c r="G1362" s="4">
        <v>-4</v>
      </c>
      <c r="H1362" s="4" t="s">
        <v>81</v>
      </c>
      <c r="I1362" s="4" t="s">
        <v>69</v>
      </c>
      <c r="J1362" s="4" t="s">
        <v>66</v>
      </c>
      <c r="K1362" s="4">
        <v>0</v>
      </c>
      <c r="L1362" s="94">
        <v>29</v>
      </c>
      <c r="M1362" s="94">
        <v>0</v>
      </c>
    </row>
    <row r="1363" spans="3:13" x14ac:dyDescent="0.3">
      <c r="C1363" t="s">
        <v>70</v>
      </c>
      <c r="D1363" t="s">
        <v>67</v>
      </c>
      <c r="E1363" t="s">
        <v>63</v>
      </c>
      <c r="F1363" t="s">
        <v>72</v>
      </c>
      <c r="G1363" s="4">
        <v>6</v>
      </c>
      <c r="H1363" s="4" t="s">
        <v>79</v>
      </c>
      <c r="I1363" s="4" t="s">
        <v>69</v>
      </c>
      <c r="J1363" s="4" t="s">
        <v>66</v>
      </c>
      <c r="K1363" s="4">
        <v>0</v>
      </c>
      <c r="L1363" s="94">
        <v>-26502</v>
      </c>
      <c r="M1363" s="94">
        <v>0</v>
      </c>
    </row>
    <row r="1364" spans="3:13" x14ac:dyDescent="0.3">
      <c r="C1364" t="s">
        <v>71</v>
      </c>
      <c r="D1364" t="s">
        <v>62</v>
      </c>
      <c r="E1364" t="s">
        <v>68</v>
      </c>
      <c r="F1364" t="s">
        <v>24</v>
      </c>
      <c r="G1364" s="4">
        <v>20</v>
      </c>
      <c r="I1364" s="4" t="s">
        <v>69</v>
      </c>
      <c r="J1364" s="4" t="s">
        <v>66</v>
      </c>
      <c r="K1364" s="4">
        <v>1</v>
      </c>
      <c r="L1364" s="94">
        <v>76446</v>
      </c>
      <c r="M1364" s="94">
        <v>1528920</v>
      </c>
    </row>
    <row r="1365" spans="3:13" x14ac:dyDescent="0.3">
      <c r="C1365" t="s">
        <v>61</v>
      </c>
      <c r="D1365" t="s">
        <v>62</v>
      </c>
      <c r="E1365" t="s">
        <v>68</v>
      </c>
      <c r="F1365" t="s">
        <v>24</v>
      </c>
      <c r="G1365" s="4">
        <v>0</v>
      </c>
      <c r="I1365" s="4" t="s">
        <v>69</v>
      </c>
      <c r="J1365" s="4" t="s">
        <v>66</v>
      </c>
      <c r="K1365" s="4">
        <v>0</v>
      </c>
      <c r="L1365" s="94">
        <v>9168001</v>
      </c>
      <c r="M1365" s="94">
        <v>0</v>
      </c>
    </row>
    <row r="1366" spans="3:13" x14ac:dyDescent="0.3">
      <c r="C1366" t="s">
        <v>70</v>
      </c>
      <c r="D1366" t="s">
        <v>67</v>
      </c>
      <c r="E1366" t="s">
        <v>63</v>
      </c>
      <c r="F1366" t="s">
        <v>72</v>
      </c>
      <c r="G1366" s="4">
        <v>4</v>
      </c>
      <c r="H1366" s="4" t="s">
        <v>76</v>
      </c>
      <c r="I1366" s="4" t="s">
        <v>69</v>
      </c>
      <c r="J1366" s="4" t="s">
        <v>66</v>
      </c>
      <c r="K1366" s="4">
        <v>0</v>
      </c>
      <c r="L1366" s="94">
        <v>-56211</v>
      </c>
      <c r="M1366" s="94">
        <v>0</v>
      </c>
    </row>
    <row r="1367" spans="3:13" x14ac:dyDescent="0.3">
      <c r="C1367" t="s">
        <v>61</v>
      </c>
      <c r="D1367" t="s">
        <v>62</v>
      </c>
      <c r="E1367" t="s">
        <v>63</v>
      </c>
      <c r="F1367" t="s">
        <v>25</v>
      </c>
      <c r="G1367" s="4">
        <v>16</v>
      </c>
      <c r="I1367" s="4" t="s">
        <v>69</v>
      </c>
      <c r="J1367" s="4" t="s">
        <v>66</v>
      </c>
      <c r="K1367" s="4">
        <v>0</v>
      </c>
      <c r="L1367" s="94">
        <v>-1604</v>
      </c>
      <c r="M1367" s="94">
        <v>0</v>
      </c>
    </row>
    <row r="1368" spans="3:13" x14ac:dyDescent="0.3">
      <c r="C1368" t="s">
        <v>61</v>
      </c>
      <c r="D1368" t="s">
        <v>67</v>
      </c>
      <c r="E1368" t="s">
        <v>68</v>
      </c>
      <c r="F1368" t="s">
        <v>26</v>
      </c>
      <c r="G1368" s="4">
        <v>1</v>
      </c>
      <c r="H1368" s="4" t="s">
        <v>16</v>
      </c>
      <c r="I1368" s="4" t="s">
        <v>69</v>
      </c>
      <c r="J1368" s="4" t="s">
        <v>66</v>
      </c>
      <c r="K1368" s="4">
        <v>0</v>
      </c>
      <c r="L1368" s="94">
        <v>4586559</v>
      </c>
      <c r="M1368" s="94">
        <v>4586559</v>
      </c>
    </row>
    <row r="1369" spans="3:13" x14ac:dyDescent="0.3">
      <c r="C1369" t="s">
        <v>61</v>
      </c>
      <c r="D1369" t="s">
        <v>67</v>
      </c>
      <c r="E1369" t="s">
        <v>63</v>
      </c>
      <c r="F1369" t="s">
        <v>26</v>
      </c>
      <c r="G1369" s="4">
        <v>3</v>
      </c>
      <c r="H1369" s="4" t="s">
        <v>18</v>
      </c>
      <c r="I1369" s="4" t="s">
        <v>69</v>
      </c>
      <c r="J1369" s="4" t="s">
        <v>66</v>
      </c>
      <c r="K1369" s="4">
        <v>0</v>
      </c>
      <c r="L1369" s="94">
        <v>-362616</v>
      </c>
      <c r="M1369" s="94">
        <v>0</v>
      </c>
    </row>
    <row r="1370" spans="3:13" x14ac:dyDescent="0.3">
      <c r="C1370" t="s">
        <v>71</v>
      </c>
      <c r="D1370" t="s">
        <v>67</v>
      </c>
      <c r="E1370" t="s">
        <v>68</v>
      </c>
      <c r="F1370" t="s">
        <v>25</v>
      </c>
      <c r="G1370" s="4">
        <v>5</v>
      </c>
      <c r="H1370" s="4" t="s">
        <v>75</v>
      </c>
      <c r="I1370" s="4" t="s">
        <v>69</v>
      </c>
      <c r="J1370" s="4" t="s">
        <v>66</v>
      </c>
      <c r="K1370" s="4">
        <v>0</v>
      </c>
      <c r="L1370" s="94">
        <v>2533186</v>
      </c>
      <c r="M1370" s="94">
        <v>12665930</v>
      </c>
    </row>
    <row r="1371" spans="3:13" x14ac:dyDescent="0.3">
      <c r="C1371" t="s">
        <v>70</v>
      </c>
      <c r="D1371" t="s">
        <v>67</v>
      </c>
      <c r="E1371" t="s">
        <v>63</v>
      </c>
      <c r="F1371" t="s">
        <v>72</v>
      </c>
      <c r="G1371" s="4">
        <v>0</v>
      </c>
      <c r="H1371" s="4" t="s">
        <v>16</v>
      </c>
      <c r="I1371" s="4" t="s">
        <v>69</v>
      </c>
      <c r="J1371" s="4" t="s">
        <v>66</v>
      </c>
      <c r="K1371" s="4">
        <v>0</v>
      </c>
      <c r="L1371" s="94">
        <v>-110</v>
      </c>
      <c r="M1371" s="94">
        <v>0</v>
      </c>
    </row>
    <row r="1372" spans="3:13" x14ac:dyDescent="0.3">
      <c r="C1372" t="s">
        <v>70</v>
      </c>
      <c r="D1372" t="s">
        <v>62</v>
      </c>
      <c r="E1372" t="s">
        <v>68</v>
      </c>
      <c r="F1372" t="s">
        <v>24</v>
      </c>
      <c r="G1372" s="4">
        <v>55</v>
      </c>
      <c r="I1372" s="4" t="s">
        <v>69</v>
      </c>
      <c r="J1372" s="4" t="s">
        <v>66</v>
      </c>
      <c r="K1372" s="4">
        <v>0</v>
      </c>
      <c r="L1372" s="94">
        <v>143100</v>
      </c>
      <c r="M1372" s="94">
        <v>7870500</v>
      </c>
    </row>
    <row r="1373" spans="3:13" x14ac:dyDescent="0.3">
      <c r="C1373" t="s">
        <v>61</v>
      </c>
      <c r="D1373" t="s">
        <v>67</v>
      </c>
      <c r="E1373" t="s">
        <v>68</v>
      </c>
      <c r="F1373" t="s">
        <v>25</v>
      </c>
      <c r="G1373" s="4">
        <v>4</v>
      </c>
      <c r="H1373" s="4" t="s">
        <v>77</v>
      </c>
      <c r="I1373" s="4" t="s">
        <v>69</v>
      </c>
      <c r="J1373" s="4" t="s">
        <v>66</v>
      </c>
      <c r="K1373" s="4">
        <v>0</v>
      </c>
      <c r="L1373" s="94">
        <v>918631</v>
      </c>
      <c r="M1373" s="94">
        <v>3674524</v>
      </c>
    </row>
    <row r="1374" spans="3:13" x14ac:dyDescent="0.3">
      <c r="C1374" t="s">
        <v>71</v>
      </c>
      <c r="D1374" t="s">
        <v>67</v>
      </c>
      <c r="E1374" t="s">
        <v>63</v>
      </c>
      <c r="F1374" t="s">
        <v>72</v>
      </c>
      <c r="G1374" s="4">
        <v>-4</v>
      </c>
      <c r="H1374" s="4" t="s">
        <v>12</v>
      </c>
      <c r="I1374" s="4" t="s">
        <v>69</v>
      </c>
      <c r="J1374" s="4" t="s">
        <v>73</v>
      </c>
      <c r="K1374" s="4">
        <v>1</v>
      </c>
      <c r="L1374" s="94">
        <v>-47399</v>
      </c>
      <c r="M1374" s="94">
        <v>0</v>
      </c>
    </row>
    <row r="1375" spans="3:13" x14ac:dyDescent="0.3">
      <c r="C1375" t="s">
        <v>61</v>
      </c>
      <c r="D1375" t="s">
        <v>62</v>
      </c>
      <c r="E1375" t="s">
        <v>63</v>
      </c>
      <c r="F1375" t="s">
        <v>24</v>
      </c>
      <c r="G1375" s="4">
        <v>7</v>
      </c>
      <c r="I1375" s="4" t="s">
        <v>69</v>
      </c>
      <c r="J1375" s="4" t="s">
        <v>66</v>
      </c>
      <c r="K1375" s="4">
        <v>0</v>
      </c>
      <c r="L1375" s="94">
        <v>-57859</v>
      </c>
      <c r="M1375" s="94">
        <v>0</v>
      </c>
    </row>
    <row r="1376" spans="3:13" x14ac:dyDescent="0.3">
      <c r="C1376" t="s">
        <v>61</v>
      </c>
      <c r="D1376" t="s">
        <v>67</v>
      </c>
      <c r="E1376" t="s">
        <v>63</v>
      </c>
      <c r="F1376" t="s">
        <v>26</v>
      </c>
      <c r="G1376" s="4">
        <v>10</v>
      </c>
      <c r="H1376" s="4" t="s">
        <v>76</v>
      </c>
      <c r="I1376" s="4" t="s">
        <v>69</v>
      </c>
      <c r="J1376" s="4" t="s">
        <v>66</v>
      </c>
      <c r="K1376" s="4">
        <v>0</v>
      </c>
      <c r="L1376" s="94">
        <v>-4348</v>
      </c>
      <c r="M1376" s="94">
        <v>0</v>
      </c>
    </row>
    <row r="1377" spans="3:13" x14ac:dyDescent="0.3">
      <c r="C1377" t="s">
        <v>70</v>
      </c>
      <c r="D1377" t="s">
        <v>62</v>
      </c>
      <c r="E1377" t="s">
        <v>63</v>
      </c>
      <c r="F1377" t="s">
        <v>24</v>
      </c>
      <c r="G1377" s="4">
        <v>7</v>
      </c>
      <c r="I1377" s="4" t="s">
        <v>69</v>
      </c>
      <c r="J1377" s="4" t="s">
        <v>66</v>
      </c>
      <c r="K1377" s="4">
        <v>0</v>
      </c>
      <c r="L1377" s="94">
        <v>-311176</v>
      </c>
      <c r="M1377" s="94">
        <v>0</v>
      </c>
    </row>
    <row r="1378" spans="3:13" x14ac:dyDescent="0.3">
      <c r="C1378" t="s">
        <v>70</v>
      </c>
      <c r="D1378" t="s">
        <v>67</v>
      </c>
      <c r="E1378" t="s">
        <v>68</v>
      </c>
      <c r="F1378" t="s">
        <v>26</v>
      </c>
      <c r="G1378" s="4">
        <v>6</v>
      </c>
      <c r="H1378" s="4" t="s">
        <v>75</v>
      </c>
      <c r="I1378" s="4" t="s">
        <v>69</v>
      </c>
      <c r="J1378" s="4" t="s">
        <v>66</v>
      </c>
      <c r="K1378" s="4">
        <v>0</v>
      </c>
      <c r="L1378" s="94">
        <v>85496</v>
      </c>
      <c r="M1378" s="94">
        <v>512976</v>
      </c>
    </row>
    <row r="1379" spans="3:13" x14ac:dyDescent="0.3">
      <c r="C1379" t="s">
        <v>71</v>
      </c>
      <c r="D1379" t="s">
        <v>62</v>
      </c>
      <c r="E1379" t="s">
        <v>68</v>
      </c>
      <c r="F1379" t="s">
        <v>24</v>
      </c>
      <c r="G1379" s="4">
        <v>26</v>
      </c>
      <c r="I1379" s="4" t="s">
        <v>69</v>
      </c>
      <c r="J1379" s="4" t="s">
        <v>66</v>
      </c>
      <c r="K1379" s="4">
        <v>1</v>
      </c>
      <c r="L1379" s="94">
        <v>122619</v>
      </c>
      <c r="M1379" s="94">
        <v>3188094</v>
      </c>
    </row>
    <row r="1380" spans="3:13" x14ac:dyDescent="0.3">
      <c r="C1380" t="s">
        <v>61</v>
      </c>
      <c r="D1380" t="s">
        <v>62</v>
      </c>
      <c r="E1380" t="s">
        <v>63</v>
      </c>
      <c r="F1380" t="s">
        <v>24</v>
      </c>
      <c r="G1380" s="4">
        <v>5</v>
      </c>
      <c r="I1380" s="4" t="s">
        <v>69</v>
      </c>
      <c r="J1380" s="4" t="s">
        <v>66</v>
      </c>
      <c r="K1380" s="4">
        <v>0</v>
      </c>
      <c r="L1380" s="94">
        <v>-37064</v>
      </c>
      <c r="M1380" s="94">
        <v>0</v>
      </c>
    </row>
    <row r="1381" spans="3:13" x14ac:dyDescent="0.3">
      <c r="C1381" t="s">
        <v>70</v>
      </c>
      <c r="D1381" t="s">
        <v>67</v>
      </c>
      <c r="E1381" t="s">
        <v>68</v>
      </c>
      <c r="F1381" t="s">
        <v>26</v>
      </c>
      <c r="G1381" s="4">
        <v>8</v>
      </c>
      <c r="H1381" s="4" t="s">
        <v>12</v>
      </c>
      <c r="I1381" s="4" t="s">
        <v>69</v>
      </c>
      <c r="J1381" s="4" t="s">
        <v>66</v>
      </c>
      <c r="K1381" s="4">
        <v>0</v>
      </c>
      <c r="L1381" s="94">
        <v>173250</v>
      </c>
      <c r="M1381" s="94">
        <v>1386000</v>
      </c>
    </row>
    <row r="1382" spans="3:13" x14ac:dyDescent="0.3">
      <c r="C1382" t="s">
        <v>61</v>
      </c>
      <c r="D1382" t="s">
        <v>67</v>
      </c>
      <c r="E1382" t="s">
        <v>63</v>
      </c>
      <c r="F1382" t="s">
        <v>26</v>
      </c>
      <c r="G1382" s="4">
        <v>5</v>
      </c>
      <c r="H1382" s="4" t="s">
        <v>83</v>
      </c>
      <c r="I1382" s="4" t="s">
        <v>69</v>
      </c>
      <c r="J1382" s="4" t="s">
        <v>66</v>
      </c>
      <c r="K1382" s="4">
        <v>0</v>
      </c>
      <c r="L1382" s="94">
        <v>-545</v>
      </c>
      <c r="M1382" s="94">
        <v>0</v>
      </c>
    </row>
    <row r="1383" spans="3:13" x14ac:dyDescent="0.3">
      <c r="C1383" t="s">
        <v>70</v>
      </c>
      <c r="D1383" t="s">
        <v>67</v>
      </c>
      <c r="E1383" t="s">
        <v>63</v>
      </c>
      <c r="F1383" t="s">
        <v>26</v>
      </c>
      <c r="G1383" s="4">
        <v>5</v>
      </c>
      <c r="H1383" s="4" t="s">
        <v>17</v>
      </c>
      <c r="I1383" s="4" t="s">
        <v>69</v>
      </c>
      <c r="J1383" s="4" t="s">
        <v>73</v>
      </c>
      <c r="K1383" s="4">
        <v>1</v>
      </c>
      <c r="L1383" s="94">
        <v>-202</v>
      </c>
      <c r="M1383" s="94">
        <v>0</v>
      </c>
    </row>
    <row r="1384" spans="3:13" x14ac:dyDescent="0.3">
      <c r="C1384" t="s">
        <v>61</v>
      </c>
      <c r="D1384" t="s">
        <v>67</v>
      </c>
      <c r="E1384" t="s">
        <v>63</v>
      </c>
      <c r="F1384" t="s">
        <v>25</v>
      </c>
      <c r="G1384" s="4">
        <v>3</v>
      </c>
      <c r="H1384" s="4" t="s">
        <v>16</v>
      </c>
      <c r="I1384" s="4" t="s">
        <v>69</v>
      </c>
      <c r="J1384" s="4" t="s">
        <v>66</v>
      </c>
      <c r="K1384" s="4">
        <v>0</v>
      </c>
      <c r="L1384" s="94">
        <v>-27</v>
      </c>
      <c r="M1384" s="94">
        <v>0</v>
      </c>
    </row>
    <row r="1385" spans="3:13" x14ac:dyDescent="0.3">
      <c r="C1385" t="s">
        <v>70</v>
      </c>
      <c r="D1385" t="s">
        <v>62</v>
      </c>
      <c r="E1385" t="s">
        <v>68</v>
      </c>
      <c r="F1385" t="s">
        <v>24</v>
      </c>
      <c r="G1385" s="4">
        <v>43</v>
      </c>
      <c r="I1385" s="4" t="s">
        <v>69</v>
      </c>
      <c r="J1385" s="4" t="s">
        <v>66</v>
      </c>
      <c r="K1385" s="4">
        <v>0</v>
      </c>
      <c r="L1385" s="94">
        <v>1890061</v>
      </c>
      <c r="M1385" s="94">
        <v>81272623</v>
      </c>
    </row>
    <row r="1386" spans="3:13" x14ac:dyDescent="0.3">
      <c r="C1386" t="s">
        <v>71</v>
      </c>
      <c r="D1386" t="s">
        <v>62</v>
      </c>
      <c r="E1386" t="s">
        <v>63</v>
      </c>
      <c r="F1386" t="s">
        <v>24</v>
      </c>
      <c r="G1386" s="4">
        <v>11</v>
      </c>
      <c r="I1386" s="4" t="s">
        <v>65</v>
      </c>
      <c r="J1386" s="4" t="s">
        <v>66</v>
      </c>
      <c r="K1386" s="4">
        <v>1</v>
      </c>
      <c r="L1386" s="94">
        <v>-17580</v>
      </c>
      <c r="M1386" s="94">
        <v>0</v>
      </c>
    </row>
    <row r="1387" spans="3:13" x14ac:dyDescent="0.3">
      <c r="C1387" t="s">
        <v>61</v>
      </c>
      <c r="D1387" t="s">
        <v>67</v>
      </c>
      <c r="E1387" t="s">
        <v>63</v>
      </c>
      <c r="F1387" t="s">
        <v>72</v>
      </c>
      <c r="G1387" s="4">
        <v>-4</v>
      </c>
      <c r="H1387" s="4" t="s">
        <v>14</v>
      </c>
      <c r="I1387" s="4" t="s">
        <v>69</v>
      </c>
      <c r="J1387" s="4" t="s">
        <v>66</v>
      </c>
      <c r="K1387" s="4">
        <v>0</v>
      </c>
      <c r="L1387" s="94">
        <v>-3</v>
      </c>
      <c r="M1387" s="94">
        <v>0</v>
      </c>
    </row>
    <row r="1388" spans="3:13" x14ac:dyDescent="0.3">
      <c r="C1388" t="s">
        <v>61</v>
      </c>
      <c r="D1388" t="s">
        <v>67</v>
      </c>
      <c r="E1388" t="s">
        <v>68</v>
      </c>
      <c r="F1388" t="s">
        <v>25</v>
      </c>
      <c r="G1388" s="4">
        <v>4</v>
      </c>
      <c r="H1388" s="4" t="s">
        <v>82</v>
      </c>
      <c r="I1388" s="4" t="s">
        <v>69</v>
      </c>
      <c r="J1388" s="4" t="s">
        <v>66</v>
      </c>
      <c r="K1388" s="4">
        <v>0</v>
      </c>
      <c r="L1388" s="94">
        <v>7295343</v>
      </c>
      <c r="M1388" s="94">
        <v>29181372</v>
      </c>
    </row>
    <row r="1389" spans="3:13" x14ac:dyDescent="0.3">
      <c r="C1389" t="s">
        <v>70</v>
      </c>
      <c r="D1389" t="s">
        <v>67</v>
      </c>
      <c r="E1389" t="s">
        <v>63</v>
      </c>
      <c r="F1389" t="s">
        <v>25</v>
      </c>
      <c r="G1389" s="4">
        <v>7</v>
      </c>
      <c r="H1389" s="4" t="s">
        <v>75</v>
      </c>
      <c r="I1389" s="4" t="s">
        <v>69</v>
      </c>
      <c r="J1389" s="4" t="s">
        <v>66</v>
      </c>
      <c r="K1389" s="4">
        <v>0</v>
      </c>
      <c r="L1389" s="94">
        <v>-346486</v>
      </c>
      <c r="M1389" s="94">
        <v>0</v>
      </c>
    </row>
    <row r="1390" spans="3:13" x14ac:dyDescent="0.3">
      <c r="C1390" t="s">
        <v>61</v>
      </c>
      <c r="D1390" t="s">
        <v>67</v>
      </c>
      <c r="E1390" t="s">
        <v>63</v>
      </c>
      <c r="F1390" t="s">
        <v>72</v>
      </c>
      <c r="G1390" s="4">
        <v>2</v>
      </c>
      <c r="H1390" s="4" t="s">
        <v>74</v>
      </c>
      <c r="I1390" s="4" t="s">
        <v>69</v>
      </c>
      <c r="J1390" s="4" t="s">
        <v>66</v>
      </c>
      <c r="K1390" s="4">
        <v>0</v>
      </c>
      <c r="L1390" s="94">
        <v>-4329</v>
      </c>
      <c r="M1390" s="94">
        <v>0</v>
      </c>
    </row>
    <row r="1391" spans="3:13" x14ac:dyDescent="0.3">
      <c r="C1391" t="s">
        <v>71</v>
      </c>
      <c r="D1391" t="s">
        <v>67</v>
      </c>
      <c r="E1391" t="s">
        <v>68</v>
      </c>
      <c r="F1391" t="s">
        <v>26</v>
      </c>
      <c r="G1391" s="4">
        <v>9</v>
      </c>
      <c r="H1391" s="4" t="s">
        <v>13</v>
      </c>
      <c r="I1391" s="4" t="s">
        <v>69</v>
      </c>
      <c r="J1391" s="4" t="s">
        <v>73</v>
      </c>
      <c r="K1391" s="4">
        <v>1</v>
      </c>
      <c r="L1391" s="94">
        <v>177956</v>
      </c>
      <c r="M1391" s="94">
        <v>1601604</v>
      </c>
    </row>
    <row r="1392" spans="3:13" x14ac:dyDescent="0.3">
      <c r="C1392" t="s">
        <v>71</v>
      </c>
      <c r="D1392" t="s">
        <v>67</v>
      </c>
      <c r="E1392" t="s">
        <v>63</v>
      </c>
      <c r="F1392" t="s">
        <v>72</v>
      </c>
      <c r="G1392" s="4">
        <v>-4</v>
      </c>
      <c r="H1392" s="4" t="s">
        <v>14</v>
      </c>
      <c r="I1392" s="4" t="s">
        <v>69</v>
      </c>
      <c r="J1392" s="4" t="s">
        <v>73</v>
      </c>
      <c r="K1392" s="4">
        <v>1</v>
      </c>
      <c r="L1392" s="94">
        <v>-413283</v>
      </c>
      <c r="M1392" s="94">
        <v>0</v>
      </c>
    </row>
    <row r="1393" spans="3:13" x14ac:dyDescent="0.3">
      <c r="C1393" t="s">
        <v>61</v>
      </c>
      <c r="D1393" t="s">
        <v>67</v>
      </c>
      <c r="E1393" t="s">
        <v>63</v>
      </c>
      <c r="F1393" t="s">
        <v>25</v>
      </c>
      <c r="G1393" s="4">
        <v>7</v>
      </c>
      <c r="H1393" s="4" t="s">
        <v>74</v>
      </c>
      <c r="I1393" s="4" t="s">
        <v>69</v>
      </c>
      <c r="J1393" s="4" t="s">
        <v>66</v>
      </c>
      <c r="K1393" s="4">
        <v>0</v>
      </c>
      <c r="L1393" s="94">
        <v>-13454</v>
      </c>
      <c r="M1393" s="94">
        <v>0</v>
      </c>
    </row>
    <row r="1394" spans="3:13" x14ac:dyDescent="0.3">
      <c r="C1394" t="s">
        <v>71</v>
      </c>
      <c r="D1394" t="s">
        <v>67</v>
      </c>
      <c r="E1394" t="s">
        <v>63</v>
      </c>
      <c r="F1394" t="s">
        <v>25</v>
      </c>
      <c r="G1394" s="4">
        <v>4</v>
      </c>
      <c r="H1394" s="4" t="s">
        <v>14</v>
      </c>
      <c r="I1394" s="4" t="s">
        <v>69</v>
      </c>
      <c r="J1394" s="4" t="s">
        <v>66</v>
      </c>
      <c r="K1394" s="4">
        <v>1</v>
      </c>
      <c r="L1394" s="94">
        <v>-30442</v>
      </c>
      <c r="M1394" s="94">
        <v>0</v>
      </c>
    </row>
    <row r="1395" spans="3:13" x14ac:dyDescent="0.3">
      <c r="C1395" t="s">
        <v>61</v>
      </c>
      <c r="D1395" t="s">
        <v>62</v>
      </c>
      <c r="E1395" t="s">
        <v>68</v>
      </c>
      <c r="F1395" t="s">
        <v>24</v>
      </c>
      <c r="G1395" s="4">
        <v>43</v>
      </c>
      <c r="I1395" s="4" t="s">
        <v>65</v>
      </c>
      <c r="J1395" s="4" t="s">
        <v>66</v>
      </c>
      <c r="K1395" s="4">
        <v>1</v>
      </c>
      <c r="L1395" s="94">
        <v>227307</v>
      </c>
      <c r="M1395" s="94">
        <v>9774201</v>
      </c>
    </row>
    <row r="1396" spans="3:13" x14ac:dyDescent="0.3">
      <c r="C1396" t="s">
        <v>61</v>
      </c>
      <c r="D1396" t="s">
        <v>62</v>
      </c>
      <c r="E1396" t="s">
        <v>68</v>
      </c>
      <c r="F1396" t="s">
        <v>24</v>
      </c>
      <c r="G1396" s="4">
        <v>6</v>
      </c>
      <c r="I1396" s="4" t="s">
        <v>69</v>
      </c>
      <c r="J1396" s="4" t="s">
        <v>66</v>
      </c>
      <c r="K1396" s="4">
        <v>0</v>
      </c>
      <c r="L1396" s="94">
        <v>127439412</v>
      </c>
      <c r="M1396" s="94">
        <v>764636472</v>
      </c>
    </row>
    <row r="1397" spans="3:13" x14ac:dyDescent="0.3">
      <c r="C1397" t="s">
        <v>70</v>
      </c>
      <c r="D1397" t="s">
        <v>67</v>
      </c>
      <c r="E1397" t="s">
        <v>63</v>
      </c>
      <c r="F1397" t="s">
        <v>72</v>
      </c>
      <c r="G1397" s="4">
        <v>6</v>
      </c>
      <c r="H1397" s="4" t="s">
        <v>80</v>
      </c>
      <c r="I1397" s="4" t="s">
        <v>69</v>
      </c>
      <c r="J1397" s="4" t="s">
        <v>66</v>
      </c>
      <c r="K1397" s="4">
        <v>0</v>
      </c>
      <c r="L1397" s="94">
        <v>-2949</v>
      </c>
      <c r="M1397" s="94">
        <v>0</v>
      </c>
    </row>
    <row r="1398" spans="3:13" x14ac:dyDescent="0.3">
      <c r="C1398" t="s">
        <v>70</v>
      </c>
      <c r="D1398" t="s">
        <v>67</v>
      </c>
      <c r="E1398" t="s">
        <v>63</v>
      </c>
      <c r="F1398" t="s">
        <v>72</v>
      </c>
      <c r="G1398" s="4">
        <v>1</v>
      </c>
      <c r="H1398" s="4" t="s">
        <v>12</v>
      </c>
      <c r="I1398" s="4" t="s">
        <v>69</v>
      </c>
      <c r="J1398" s="4" t="s">
        <v>73</v>
      </c>
      <c r="K1398" s="4">
        <v>1</v>
      </c>
      <c r="L1398" s="94">
        <v>-5479</v>
      </c>
      <c r="M1398" s="94">
        <v>0</v>
      </c>
    </row>
    <row r="1399" spans="3:13" x14ac:dyDescent="0.3">
      <c r="C1399" t="s">
        <v>61</v>
      </c>
      <c r="D1399" t="s">
        <v>67</v>
      </c>
      <c r="E1399" t="s">
        <v>63</v>
      </c>
      <c r="F1399" t="s">
        <v>26</v>
      </c>
      <c r="G1399" s="4">
        <v>3</v>
      </c>
      <c r="H1399" s="4" t="s">
        <v>16</v>
      </c>
      <c r="I1399" s="4" t="s">
        <v>69</v>
      </c>
      <c r="J1399" s="4" t="s">
        <v>66</v>
      </c>
      <c r="K1399" s="4">
        <v>0</v>
      </c>
      <c r="L1399" s="94">
        <v>-11795</v>
      </c>
      <c r="M1399" s="94">
        <v>0</v>
      </c>
    </row>
    <row r="1400" spans="3:13" x14ac:dyDescent="0.3">
      <c r="C1400" t="s">
        <v>71</v>
      </c>
      <c r="D1400" t="s">
        <v>67</v>
      </c>
      <c r="E1400" t="s">
        <v>68</v>
      </c>
      <c r="F1400" t="s">
        <v>25</v>
      </c>
      <c r="G1400" s="4">
        <v>5</v>
      </c>
      <c r="H1400" s="4" t="s">
        <v>64</v>
      </c>
      <c r="I1400" s="4" t="s">
        <v>69</v>
      </c>
      <c r="J1400" s="4" t="s">
        <v>66</v>
      </c>
      <c r="K1400" s="4">
        <v>0</v>
      </c>
      <c r="L1400" s="94">
        <v>208033</v>
      </c>
      <c r="M1400" s="94">
        <v>1040165</v>
      </c>
    </row>
    <row r="1401" spans="3:13" x14ac:dyDescent="0.3">
      <c r="C1401" t="s">
        <v>61</v>
      </c>
      <c r="D1401" t="s">
        <v>62</v>
      </c>
      <c r="E1401" t="s">
        <v>63</v>
      </c>
      <c r="F1401" t="s">
        <v>24</v>
      </c>
      <c r="G1401" s="4">
        <v>16</v>
      </c>
      <c r="I1401" s="4" t="s">
        <v>69</v>
      </c>
      <c r="J1401" s="4" t="s">
        <v>66</v>
      </c>
      <c r="K1401" s="4">
        <v>0</v>
      </c>
      <c r="L1401" s="94">
        <v>-126457</v>
      </c>
      <c r="M1401" s="94">
        <v>0</v>
      </c>
    </row>
    <row r="1402" spans="3:13" x14ac:dyDescent="0.3">
      <c r="C1402" t="s">
        <v>70</v>
      </c>
      <c r="D1402" t="s">
        <v>67</v>
      </c>
      <c r="E1402" t="s">
        <v>63</v>
      </c>
      <c r="F1402" t="s">
        <v>25</v>
      </c>
      <c r="G1402" s="4">
        <v>0</v>
      </c>
      <c r="H1402" s="4" t="s">
        <v>17</v>
      </c>
      <c r="I1402" s="4" t="s">
        <v>69</v>
      </c>
      <c r="J1402" s="4" t="s">
        <v>66</v>
      </c>
      <c r="K1402" s="4">
        <v>0</v>
      </c>
      <c r="L1402" s="94">
        <v>-10240</v>
      </c>
      <c r="M1402" s="94">
        <v>0</v>
      </c>
    </row>
    <row r="1403" spans="3:13" x14ac:dyDescent="0.3">
      <c r="C1403" t="s">
        <v>61</v>
      </c>
      <c r="D1403" t="s">
        <v>62</v>
      </c>
      <c r="E1403" t="s">
        <v>68</v>
      </c>
      <c r="F1403" t="s">
        <v>24</v>
      </c>
      <c r="G1403" s="4">
        <v>14</v>
      </c>
      <c r="I1403" s="4" t="s">
        <v>65</v>
      </c>
      <c r="J1403" s="4" t="s">
        <v>66</v>
      </c>
      <c r="K1403" s="4">
        <v>1</v>
      </c>
      <c r="L1403" s="94">
        <v>2778330</v>
      </c>
      <c r="M1403" s="94">
        <v>38896620</v>
      </c>
    </row>
    <row r="1404" spans="3:13" x14ac:dyDescent="0.3">
      <c r="C1404" t="s">
        <v>70</v>
      </c>
      <c r="D1404" t="s">
        <v>62</v>
      </c>
      <c r="E1404" t="s">
        <v>63</v>
      </c>
      <c r="F1404" t="s">
        <v>24</v>
      </c>
      <c r="G1404" s="4">
        <v>24</v>
      </c>
      <c r="I1404" s="4" t="s">
        <v>69</v>
      </c>
      <c r="J1404" s="4" t="s">
        <v>66</v>
      </c>
      <c r="K1404" s="4">
        <v>0</v>
      </c>
      <c r="L1404" s="94">
        <v>-1265533</v>
      </c>
      <c r="M1404" s="94">
        <v>0</v>
      </c>
    </row>
    <row r="1405" spans="3:13" x14ac:dyDescent="0.3">
      <c r="C1405" t="s">
        <v>70</v>
      </c>
      <c r="D1405" t="s">
        <v>67</v>
      </c>
      <c r="E1405" t="s">
        <v>68</v>
      </c>
      <c r="F1405" t="s">
        <v>25</v>
      </c>
      <c r="G1405" s="4">
        <v>6</v>
      </c>
      <c r="H1405" s="4" t="s">
        <v>79</v>
      </c>
      <c r="I1405" s="4" t="s">
        <v>69</v>
      </c>
      <c r="J1405" s="4" t="s">
        <v>66</v>
      </c>
      <c r="K1405" s="4">
        <v>0</v>
      </c>
      <c r="L1405" s="94">
        <v>687031</v>
      </c>
      <c r="M1405" s="94">
        <v>4122186</v>
      </c>
    </row>
    <row r="1406" spans="3:13" x14ac:dyDescent="0.3">
      <c r="C1406" t="s">
        <v>71</v>
      </c>
      <c r="D1406" t="s">
        <v>62</v>
      </c>
      <c r="E1406" t="s">
        <v>63</v>
      </c>
      <c r="F1406" t="s">
        <v>24</v>
      </c>
      <c r="G1406" s="4">
        <v>7</v>
      </c>
      <c r="I1406" s="4" t="s">
        <v>69</v>
      </c>
      <c r="J1406" s="4" t="s">
        <v>66</v>
      </c>
      <c r="K1406" s="4">
        <v>0</v>
      </c>
      <c r="L1406" s="94">
        <v>-678018</v>
      </c>
      <c r="M1406" s="94">
        <v>0</v>
      </c>
    </row>
    <row r="1407" spans="3:13" x14ac:dyDescent="0.3">
      <c r="C1407" t="s">
        <v>70</v>
      </c>
      <c r="D1407" t="s">
        <v>67</v>
      </c>
      <c r="E1407" t="s">
        <v>63</v>
      </c>
      <c r="F1407" t="s">
        <v>72</v>
      </c>
      <c r="G1407" s="4">
        <v>-4</v>
      </c>
      <c r="H1407" s="4" t="s">
        <v>14</v>
      </c>
      <c r="I1407" s="4" t="s">
        <v>69</v>
      </c>
      <c r="J1407" s="4" t="s">
        <v>66</v>
      </c>
      <c r="K1407" s="4">
        <v>0</v>
      </c>
      <c r="L1407" s="94">
        <v>-965</v>
      </c>
      <c r="M1407" s="94">
        <v>0</v>
      </c>
    </row>
    <row r="1408" spans="3:13" x14ac:dyDescent="0.3">
      <c r="C1408" t="s">
        <v>61</v>
      </c>
      <c r="D1408" t="s">
        <v>67</v>
      </c>
      <c r="E1408" t="s">
        <v>63</v>
      </c>
      <c r="F1408" t="s">
        <v>25</v>
      </c>
      <c r="G1408" s="4">
        <v>9</v>
      </c>
      <c r="H1408" s="4" t="s">
        <v>82</v>
      </c>
      <c r="I1408" s="4" t="s">
        <v>69</v>
      </c>
      <c r="J1408" s="4" t="s">
        <v>66</v>
      </c>
      <c r="K1408" s="4">
        <v>0</v>
      </c>
      <c r="L1408" s="94">
        <v>-417</v>
      </c>
      <c r="M1408" s="94">
        <v>0</v>
      </c>
    </row>
    <row r="1409" spans="3:13" x14ac:dyDescent="0.3">
      <c r="C1409" t="s">
        <v>71</v>
      </c>
      <c r="D1409" t="s">
        <v>67</v>
      </c>
      <c r="E1409" t="s">
        <v>63</v>
      </c>
      <c r="F1409" t="s">
        <v>72</v>
      </c>
      <c r="G1409" s="4">
        <v>1</v>
      </c>
      <c r="H1409" s="4" t="s">
        <v>12</v>
      </c>
      <c r="I1409" s="4" t="s">
        <v>69</v>
      </c>
      <c r="J1409" s="4" t="s">
        <v>66</v>
      </c>
      <c r="K1409" s="4">
        <v>0</v>
      </c>
      <c r="L1409" s="94">
        <v>-16848</v>
      </c>
      <c r="M1409" s="94">
        <v>0</v>
      </c>
    </row>
    <row r="1410" spans="3:13" x14ac:dyDescent="0.3">
      <c r="C1410" t="s">
        <v>61</v>
      </c>
      <c r="D1410" t="s">
        <v>67</v>
      </c>
      <c r="E1410" t="s">
        <v>63</v>
      </c>
      <c r="F1410" t="s">
        <v>25</v>
      </c>
      <c r="G1410" s="4">
        <v>16</v>
      </c>
      <c r="H1410" s="4" t="s">
        <v>75</v>
      </c>
      <c r="I1410" s="4" t="s">
        <v>69</v>
      </c>
      <c r="J1410" s="4" t="s">
        <v>66</v>
      </c>
      <c r="K1410" s="4">
        <v>0</v>
      </c>
      <c r="L1410" s="94">
        <v>-3573</v>
      </c>
      <c r="M1410" s="94">
        <v>0</v>
      </c>
    </row>
    <row r="1411" spans="3:13" x14ac:dyDescent="0.3">
      <c r="C1411" t="s">
        <v>70</v>
      </c>
      <c r="D1411" t="s">
        <v>62</v>
      </c>
      <c r="E1411" t="s">
        <v>63</v>
      </c>
      <c r="F1411" t="s">
        <v>24</v>
      </c>
      <c r="G1411" s="4">
        <v>11</v>
      </c>
      <c r="I1411" s="4" t="s">
        <v>65</v>
      </c>
      <c r="J1411" s="4" t="s">
        <v>66</v>
      </c>
      <c r="K1411" s="4">
        <v>1</v>
      </c>
      <c r="L1411" s="94">
        <v>-1772</v>
      </c>
      <c r="M1411" s="94">
        <v>0</v>
      </c>
    </row>
    <row r="1412" spans="3:13" x14ac:dyDescent="0.3">
      <c r="C1412" t="s">
        <v>70</v>
      </c>
      <c r="D1412" t="s">
        <v>62</v>
      </c>
      <c r="E1412" t="s">
        <v>63</v>
      </c>
      <c r="F1412" t="s">
        <v>24</v>
      </c>
      <c r="G1412" s="4">
        <v>34</v>
      </c>
      <c r="I1412" s="4" t="s">
        <v>65</v>
      </c>
      <c r="J1412" s="4" t="s">
        <v>66</v>
      </c>
      <c r="K1412" s="4">
        <v>1</v>
      </c>
      <c r="L1412" s="94">
        <v>-36764</v>
      </c>
      <c r="M1412" s="94">
        <v>0</v>
      </c>
    </row>
    <row r="1413" spans="3:13" x14ac:dyDescent="0.3">
      <c r="C1413" t="s">
        <v>61</v>
      </c>
      <c r="D1413" t="s">
        <v>62</v>
      </c>
      <c r="E1413" t="s">
        <v>63</v>
      </c>
      <c r="F1413" t="s">
        <v>24</v>
      </c>
      <c r="G1413" s="4">
        <v>15</v>
      </c>
      <c r="I1413" s="4" t="s">
        <v>65</v>
      </c>
      <c r="J1413" s="4" t="s">
        <v>66</v>
      </c>
      <c r="K1413" s="4">
        <v>1</v>
      </c>
      <c r="L1413" s="94">
        <v>-2693</v>
      </c>
      <c r="M1413" s="94">
        <v>0</v>
      </c>
    </row>
    <row r="1414" spans="3:13" x14ac:dyDescent="0.3">
      <c r="C1414" t="s">
        <v>61</v>
      </c>
      <c r="D1414" t="s">
        <v>67</v>
      </c>
      <c r="E1414" t="s">
        <v>68</v>
      </c>
      <c r="F1414" t="s">
        <v>25</v>
      </c>
      <c r="G1414" s="4">
        <v>5</v>
      </c>
      <c r="H1414" s="4" t="s">
        <v>79</v>
      </c>
      <c r="I1414" s="4" t="s">
        <v>65</v>
      </c>
      <c r="J1414" s="4" t="s">
        <v>66</v>
      </c>
      <c r="K1414" s="4">
        <v>1</v>
      </c>
      <c r="L1414" s="94">
        <v>42354</v>
      </c>
      <c r="M1414" s="94">
        <v>211770</v>
      </c>
    </row>
    <row r="1415" spans="3:13" x14ac:dyDescent="0.3">
      <c r="C1415" t="s">
        <v>70</v>
      </c>
      <c r="D1415" t="s">
        <v>67</v>
      </c>
      <c r="E1415" t="s">
        <v>63</v>
      </c>
      <c r="F1415" t="s">
        <v>26</v>
      </c>
      <c r="G1415" s="4">
        <v>-1</v>
      </c>
      <c r="H1415" s="4" t="s">
        <v>17</v>
      </c>
      <c r="I1415" s="4" t="s">
        <v>69</v>
      </c>
      <c r="J1415" s="4" t="s">
        <v>66</v>
      </c>
      <c r="K1415" s="4">
        <v>0</v>
      </c>
      <c r="L1415" s="94">
        <v>-1305937</v>
      </c>
      <c r="M1415" s="94">
        <v>0</v>
      </c>
    </row>
    <row r="1416" spans="3:13" x14ac:dyDescent="0.3">
      <c r="C1416" t="s">
        <v>61</v>
      </c>
      <c r="D1416" t="s">
        <v>67</v>
      </c>
      <c r="E1416" t="s">
        <v>63</v>
      </c>
      <c r="F1416" t="s">
        <v>72</v>
      </c>
      <c r="G1416" s="4">
        <v>7</v>
      </c>
      <c r="H1416" s="4" t="s">
        <v>14</v>
      </c>
      <c r="I1416" s="4" t="s">
        <v>69</v>
      </c>
      <c r="J1416" s="4" t="s">
        <v>66</v>
      </c>
      <c r="K1416" s="4">
        <v>0</v>
      </c>
      <c r="L1416" s="94">
        <v>-622</v>
      </c>
      <c r="M1416" s="94">
        <v>0</v>
      </c>
    </row>
    <row r="1417" spans="3:13" x14ac:dyDescent="0.3">
      <c r="C1417" t="s">
        <v>71</v>
      </c>
      <c r="D1417" t="s">
        <v>67</v>
      </c>
      <c r="E1417" t="s">
        <v>63</v>
      </c>
      <c r="F1417" t="s">
        <v>25</v>
      </c>
      <c r="G1417" s="4">
        <v>7</v>
      </c>
      <c r="H1417" s="4" t="s">
        <v>76</v>
      </c>
      <c r="I1417" s="4" t="s">
        <v>69</v>
      </c>
      <c r="J1417" s="4" t="s">
        <v>66</v>
      </c>
      <c r="K1417" s="4">
        <v>0</v>
      </c>
      <c r="L1417" s="94">
        <v>-118464</v>
      </c>
      <c r="M1417" s="94">
        <v>0</v>
      </c>
    </row>
    <row r="1418" spans="3:13" x14ac:dyDescent="0.3">
      <c r="C1418" t="s">
        <v>61</v>
      </c>
      <c r="D1418" t="s">
        <v>67</v>
      </c>
      <c r="E1418" t="s">
        <v>63</v>
      </c>
      <c r="F1418" t="s">
        <v>72</v>
      </c>
      <c r="G1418" s="4">
        <v>1</v>
      </c>
      <c r="H1418" s="4" t="s">
        <v>12</v>
      </c>
      <c r="I1418" s="4" t="s">
        <v>69</v>
      </c>
      <c r="J1418" s="4" t="s">
        <v>73</v>
      </c>
      <c r="K1418" s="4">
        <v>1</v>
      </c>
      <c r="L1418" s="94">
        <v>-2192</v>
      </c>
      <c r="M1418" s="94">
        <v>0</v>
      </c>
    </row>
    <row r="1419" spans="3:13" x14ac:dyDescent="0.3">
      <c r="C1419" t="s">
        <v>61</v>
      </c>
      <c r="D1419" t="s">
        <v>67</v>
      </c>
      <c r="E1419" t="s">
        <v>63</v>
      </c>
      <c r="F1419" t="s">
        <v>72</v>
      </c>
      <c r="G1419" s="4">
        <v>0</v>
      </c>
      <c r="H1419" s="4" t="s">
        <v>18</v>
      </c>
      <c r="I1419" s="4" t="s">
        <v>69</v>
      </c>
      <c r="J1419" s="4" t="s">
        <v>66</v>
      </c>
      <c r="K1419" s="4">
        <v>0</v>
      </c>
      <c r="L1419" s="94">
        <v>-4533</v>
      </c>
      <c r="M1419" s="94">
        <v>0</v>
      </c>
    </row>
    <row r="1420" spans="3:13" x14ac:dyDescent="0.3">
      <c r="C1420" t="s">
        <v>70</v>
      </c>
      <c r="D1420" t="s">
        <v>62</v>
      </c>
      <c r="E1420" t="s">
        <v>68</v>
      </c>
      <c r="F1420" t="s">
        <v>24</v>
      </c>
      <c r="G1420" s="4">
        <v>5</v>
      </c>
      <c r="I1420" s="4" t="s">
        <v>69</v>
      </c>
      <c r="J1420" s="4" t="s">
        <v>66</v>
      </c>
      <c r="K1420" s="4">
        <v>1</v>
      </c>
      <c r="L1420" s="94">
        <v>111482</v>
      </c>
      <c r="M1420" s="94">
        <v>557410</v>
      </c>
    </row>
    <row r="1421" spans="3:13" x14ac:dyDescent="0.3">
      <c r="C1421" t="s">
        <v>70</v>
      </c>
      <c r="D1421" t="s">
        <v>67</v>
      </c>
      <c r="E1421" t="s">
        <v>68</v>
      </c>
      <c r="F1421" t="s">
        <v>25</v>
      </c>
      <c r="G1421" s="4">
        <v>10</v>
      </c>
      <c r="H1421" s="4" t="s">
        <v>75</v>
      </c>
      <c r="I1421" s="4" t="s">
        <v>69</v>
      </c>
      <c r="J1421" s="4" t="s">
        <v>66</v>
      </c>
      <c r="K1421" s="4">
        <v>0</v>
      </c>
      <c r="L1421" s="94">
        <v>2447185</v>
      </c>
      <c r="M1421" s="94">
        <v>24471850</v>
      </c>
    </row>
    <row r="1422" spans="3:13" x14ac:dyDescent="0.3">
      <c r="C1422" t="s">
        <v>70</v>
      </c>
      <c r="D1422" t="s">
        <v>67</v>
      </c>
      <c r="E1422" t="s">
        <v>63</v>
      </c>
      <c r="F1422" t="s">
        <v>26</v>
      </c>
      <c r="G1422" s="4">
        <v>7</v>
      </c>
      <c r="H1422" s="4" t="s">
        <v>76</v>
      </c>
      <c r="I1422" s="4" t="s">
        <v>69</v>
      </c>
      <c r="J1422" s="4" t="s">
        <v>66</v>
      </c>
      <c r="K1422" s="4">
        <v>0</v>
      </c>
      <c r="L1422" s="94">
        <v>-36933</v>
      </c>
      <c r="M1422" s="94">
        <v>0</v>
      </c>
    </row>
    <row r="1423" spans="3:13" x14ac:dyDescent="0.3">
      <c r="C1423" t="s">
        <v>70</v>
      </c>
      <c r="D1423" t="s">
        <v>62</v>
      </c>
      <c r="E1423" t="s">
        <v>68</v>
      </c>
      <c r="F1423" t="s">
        <v>24</v>
      </c>
      <c r="G1423" s="4">
        <v>14</v>
      </c>
      <c r="I1423" s="4" t="s">
        <v>69</v>
      </c>
      <c r="J1423" s="4" t="s">
        <v>66</v>
      </c>
      <c r="K1423" s="4">
        <v>0</v>
      </c>
      <c r="L1423" s="94">
        <v>27369445</v>
      </c>
      <c r="M1423" s="94">
        <v>383172230</v>
      </c>
    </row>
    <row r="1424" spans="3:13" x14ac:dyDescent="0.3">
      <c r="C1424" t="s">
        <v>70</v>
      </c>
      <c r="D1424" t="s">
        <v>62</v>
      </c>
      <c r="E1424" t="s">
        <v>63</v>
      </c>
      <c r="F1424" t="s">
        <v>24</v>
      </c>
      <c r="G1424" s="4">
        <v>26</v>
      </c>
      <c r="I1424" s="4" t="s">
        <v>69</v>
      </c>
      <c r="J1424" s="4" t="s">
        <v>66</v>
      </c>
      <c r="K1424" s="4">
        <v>0</v>
      </c>
      <c r="L1424" s="94">
        <v>-1393271</v>
      </c>
      <c r="M1424" s="94">
        <v>0</v>
      </c>
    </row>
    <row r="1425" spans="3:13" x14ac:dyDescent="0.3">
      <c r="C1425" t="s">
        <v>71</v>
      </c>
      <c r="D1425" t="s">
        <v>67</v>
      </c>
      <c r="E1425" t="s">
        <v>63</v>
      </c>
      <c r="F1425" t="s">
        <v>26</v>
      </c>
      <c r="G1425" s="4">
        <v>6</v>
      </c>
      <c r="H1425" s="4" t="s">
        <v>82</v>
      </c>
      <c r="I1425" s="4" t="s">
        <v>69</v>
      </c>
      <c r="J1425" s="4" t="s">
        <v>66</v>
      </c>
      <c r="K1425" s="4">
        <v>0</v>
      </c>
      <c r="L1425" s="94">
        <v>-279999</v>
      </c>
      <c r="M1425" s="94">
        <v>0</v>
      </c>
    </row>
    <row r="1426" spans="3:13" x14ac:dyDescent="0.3">
      <c r="C1426" t="s">
        <v>71</v>
      </c>
      <c r="D1426" t="s">
        <v>62</v>
      </c>
      <c r="E1426" t="s">
        <v>68</v>
      </c>
      <c r="F1426" t="s">
        <v>24</v>
      </c>
      <c r="G1426" s="4">
        <v>23</v>
      </c>
      <c r="I1426" s="4" t="s">
        <v>69</v>
      </c>
      <c r="J1426" s="4" t="s">
        <v>66</v>
      </c>
      <c r="K1426" s="4">
        <v>0</v>
      </c>
      <c r="L1426" s="94">
        <v>8803702</v>
      </c>
      <c r="M1426" s="94">
        <v>202485146</v>
      </c>
    </row>
    <row r="1427" spans="3:13" x14ac:dyDescent="0.3">
      <c r="C1427" t="s">
        <v>70</v>
      </c>
      <c r="D1427" t="s">
        <v>67</v>
      </c>
      <c r="E1427" t="s">
        <v>63</v>
      </c>
      <c r="F1427" t="s">
        <v>26</v>
      </c>
      <c r="G1427" s="4">
        <v>8</v>
      </c>
      <c r="H1427" s="4" t="s">
        <v>77</v>
      </c>
      <c r="I1427" s="4" t="s">
        <v>69</v>
      </c>
      <c r="J1427" s="4" t="s">
        <v>66</v>
      </c>
      <c r="K1427" s="4">
        <v>0</v>
      </c>
      <c r="L1427" s="94">
        <v>-5430</v>
      </c>
      <c r="M1427" s="94">
        <v>0</v>
      </c>
    </row>
    <row r="1428" spans="3:13" x14ac:dyDescent="0.3">
      <c r="C1428" t="s">
        <v>70</v>
      </c>
      <c r="D1428" t="s">
        <v>67</v>
      </c>
      <c r="E1428" t="s">
        <v>68</v>
      </c>
      <c r="F1428" t="s">
        <v>72</v>
      </c>
      <c r="G1428" s="4">
        <v>0</v>
      </c>
      <c r="H1428" s="4" t="s">
        <v>14</v>
      </c>
      <c r="I1428" s="4" t="s">
        <v>69</v>
      </c>
      <c r="J1428" s="4" t="s">
        <v>66</v>
      </c>
      <c r="K1428" s="4">
        <v>0</v>
      </c>
      <c r="L1428" s="94">
        <v>112401</v>
      </c>
      <c r="M1428" s="94">
        <v>0</v>
      </c>
    </row>
    <row r="1429" spans="3:13" x14ac:dyDescent="0.3">
      <c r="C1429" t="s">
        <v>70</v>
      </c>
      <c r="D1429" t="s">
        <v>67</v>
      </c>
      <c r="E1429" t="s">
        <v>68</v>
      </c>
      <c r="F1429" t="s">
        <v>26</v>
      </c>
      <c r="G1429" s="4">
        <v>-1</v>
      </c>
      <c r="H1429" s="4" t="s">
        <v>81</v>
      </c>
      <c r="I1429" s="4" t="s">
        <v>69</v>
      </c>
      <c r="J1429" s="4" t="s">
        <v>66</v>
      </c>
      <c r="K1429" s="4">
        <v>0</v>
      </c>
      <c r="L1429" s="94">
        <v>25086</v>
      </c>
      <c r="M1429" s="94">
        <v>0</v>
      </c>
    </row>
    <row r="1430" spans="3:13" x14ac:dyDescent="0.3">
      <c r="C1430" t="s">
        <v>61</v>
      </c>
      <c r="D1430" t="s">
        <v>67</v>
      </c>
      <c r="E1430" t="s">
        <v>63</v>
      </c>
      <c r="F1430" t="s">
        <v>26</v>
      </c>
      <c r="G1430" s="4">
        <v>1</v>
      </c>
      <c r="H1430" s="4" t="s">
        <v>17</v>
      </c>
      <c r="I1430" s="4" t="s">
        <v>69</v>
      </c>
      <c r="J1430" s="4" t="s">
        <v>73</v>
      </c>
      <c r="K1430" s="4">
        <v>1</v>
      </c>
      <c r="L1430" s="94">
        <v>-6013</v>
      </c>
      <c r="M1430" s="94">
        <v>0</v>
      </c>
    </row>
    <row r="1431" spans="3:13" x14ac:dyDescent="0.3">
      <c r="C1431" t="s">
        <v>61</v>
      </c>
      <c r="D1431" t="s">
        <v>62</v>
      </c>
      <c r="E1431" t="s">
        <v>63</v>
      </c>
      <c r="F1431" t="s">
        <v>25</v>
      </c>
      <c r="G1431" s="4">
        <v>19</v>
      </c>
      <c r="I1431" s="4" t="s">
        <v>69</v>
      </c>
      <c r="J1431" s="4" t="s">
        <v>66</v>
      </c>
      <c r="K1431" s="4">
        <v>0</v>
      </c>
      <c r="L1431" s="94">
        <v>-475</v>
      </c>
      <c r="M1431" s="94">
        <v>0</v>
      </c>
    </row>
    <row r="1432" spans="3:13" x14ac:dyDescent="0.3">
      <c r="C1432" t="s">
        <v>70</v>
      </c>
      <c r="D1432" t="s">
        <v>67</v>
      </c>
      <c r="E1432" t="s">
        <v>63</v>
      </c>
      <c r="F1432" t="s">
        <v>26</v>
      </c>
      <c r="G1432" s="4">
        <v>1</v>
      </c>
      <c r="H1432" s="4" t="s">
        <v>83</v>
      </c>
      <c r="I1432" s="4" t="s">
        <v>69</v>
      </c>
      <c r="J1432" s="4" t="s">
        <v>66</v>
      </c>
      <c r="K1432" s="4">
        <v>0</v>
      </c>
      <c r="L1432" s="94">
        <v>-41007</v>
      </c>
      <c r="M1432" s="94">
        <v>0</v>
      </c>
    </row>
    <row r="1433" spans="3:13" x14ac:dyDescent="0.3">
      <c r="C1433" t="s">
        <v>61</v>
      </c>
      <c r="D1433" t="s">
        <v>62</v>
      </c>
      <c r="E1433" t="s">
        <v>68</v>
      </c>
      <c r="F1433" t="s">
        <v>25</v>
      </c>
      <c r="G1433" s="4">
        <v>22</v>
      </c>
      <c r="I1433" s="4" t="s">
        <v>69</v>
      </c>
      <c r="J1433" s="4" t="s">
        <v>66</v>
      </c>
      <c r="K1433" s="4">
        <v>0</v>
      </c>
      <c r="L1433" s="94">
        <v>225245</v>
      </c>
      <c r="M1433" s="94">
        <v>4955390</v>
      </c>
    </row>
    <row r="1434" spans="3:13" x14ac:dyDescent="0.3">
      <c r="C1434" t="s">
        <v>70</v>
      </c>
      <c r="D1434" t="s">
        <v>67</v>
      </c>
      <c r="E1434" t="s">
        <v>63</v>
      </c>
      <c r="F1434" t="s">
        <v>25</v>
      </c>
      <c r="G1434" s="4">
        <v>7</v>
      </c>
      <c r="H1434" s="4" t="s">
        <v>83</v>
      </c>
      <c r="I1434" s="4" t="s">
        <v>69</v>
      </c>
      <c r="J1434" s="4" t="s">
        <v>66</v>
      </c>
      <c r="K1434" s="4">
        <v>0</v>
      </c>
      <c r="L1434" s="94">
        <v>-9393</v>
      </c>
      <c r="M1434" s="94">
        <v>0</v>
      </c>
    </row>
    <row r="1435" spans="3:13" x14ac:dyDescent="0.3">
      <c r="C1435" t="s">
        <v>61</v>
      </c>
      <c r="D1435" t="s">
        <v>84</v>
      </c>
      <c r="E1435" t="s">
        <v>68</v>
      </c>
      <c r="F1435" t="s">
        <v>25</v>
      </c>
      <c r="G1435" s="4">
        <v>13</v>
      </c>
      <c r="H1435" s="4" t="s">
        <v>75</v>
      </c>
      <c r="I1435" s="4" t="s">
        <v>69</v>
      </c>
      <c r="J1435" s="4" t="s">
        <v>66</v>
      </c>
      <c r="K1435" s="4">
        <v>0</v>
      </c>
      <c r="L1435" s="94">
        <v>15373877</v>
      </c>
      <c r="M1435" s="94">
        <v>199860401</v>
      </c>
    </row>
    <row r="1436" spans="3:13" x14ac:dyDescent="0.3">
      <c r="C1436" t="s">
        <v>70</v>
      </c>
      <c r="D1436" t="s">
        <v>67</v>
      </c>
      <c r="E1436" t="s">
        <v>63</v>
      </c>
      <c r="F1436" t="s">
        <v>26</v>
      </c>
      <c r="G1436" s="4">
        <v>3</v>
      </c>
      <c r="H1436" s="4" t="s">
        <v>82</v>
      </c>
      <c r="I1436" s="4" t="s">
        <v>65</v>
      </c>
      <c r="J1436" s="4" t="s">
        <v>66</v>
      </c>
      <c r="K1436" s="4">
        <v>1</v>
      </c>
      <c r="L1436" s="94">
        <v>-14411</v>
      </c>
      <c r="M1436" s="94">
        <v>0</v>
      </c>
    </row>
    <row r="1437" spans="3:13" x14ac:dyDescent="0.3">
      <c r="C1437" t="s">
        <v>70</v>
      </c>
      <c r="D1437" t="s">
        <v>67</v>
      </c>
      <c r="E1437" t="s">
        <v>68</v>
      </c>
      <c r="F1437" t="s">
        <v>26</v>
      </c>
      <c r="G1437" s="4">
        <v>7</v>
      </c>
      <c r="H1437" s="4" t="s">
        <v>79</v>
      </c>
      <c r="I1437" s="4" t="s">
        <v>69</v>
      </c>
      <c r="J1437" s="4" t="s">
        <v>66</v>
      </c>
      <c r="K1437" s="4">
        <v>0</v>
      </c>
      <c r="L1437" s="94">
        <v>601367</v>
      </c>
      <c r="M1437" s="94">
        <v>4209569</v>
      </c>
    </row>
    <row r="1438" spans="3:13" x14ac:dyDescent="0.3">
      <c r="C1438" t="s">
        <v>61</v>
      </c>
      <c r="D1438" t="s">
        <v>67</v>
      </c>
      <c r="E1438" t="s">
        <v>63</v>
      </c>
      <c r="F1438" t="s">
        <v>25</v>
      </c>
      <c r="G1438" s="4">
        <v>2</v>
      </c>
      <c r="H1438" s="4" t="s">
        <v>82</v>
      </c>
      <c r="I1438" s="4" t="s">
        <v>69</v>
      </c>
      <c r="J1438" s="4" t="s">
        <v>66</v>
      </c>
      <c r="K1438" s="4">
        <v>0</v>
      </c>
      <c r="L1438" s="94">
        <v>-260</v>
      </c>
      <c r="M1438" s="94">
        <v>0</v>
      </c>
    </row>
    <row r="1439" spans="3:13" x14ac:dyDescent="0.3">
      <c r="C1439" t="s">
        <v>70</v>
      </c>
      <c r="D1439" t="s">
        <v>62</v>
      </c>
      <c r="E1439" t="s">
        <v>63</v>
      </c>
      <c r="F1439" t="s">
        <v>24</v>
      </c>
      <c r="G1439" s="4">
        <v>10</v>
      </c>
      <c r="I1439" s="4" t="s">
        <v>65</v>
      </c>
      <c r="J1439" s="4" t="s">
        <v>66</v>
      </c>
      <c r="K1439" s="4">
        <v>1</v>
      </c>
      <c r="L1439" s="94">
        <v>-5930</v>
      </c>
      <c r="M1439" s="94">
        <v>0</v>
      </c>
    </row>
    <row r="1440" spans="3:13" x14ac:dyDescent="0.3">
      <c r="C1440" t="s">
        <v>61</v>
      </c>
      <c r="D1440" t="s">
        <v>67</v>
      </c>
      <c r="E1440" t="s">
        <v>68</v>
      </c>
      <c r="F1440" t="s">
        <v>72</v>
      </c>
      <c r="G1440" s="4">
        <v>4</v>
      </c>
      <c r="H1440" s="4" t="s">
        <v>18</v>
      </c>
      <c r="I1440" s="4" t="s">
        <v>69</v>
      </c>
      <c r="J1440" s="4" t="s">
        <v>66</v>
      </c>
      <c r="K1440" s="4">
        <v>0</v>
      </c>
      <c r="L1440" s="94">
        <v>10923485</v>
      </c>
      <c r="M1440" s="94">
        <v>43693940</v>
      </c>
    </row>
    <row r="1441" spans="3:13" x14ac:dyDescent="0.3">
      <c r="C1441" t="s">
        <v>70</v>
      </c>
      <c r="D1441" t="s">
        <v>67</v>
      </c>
      <c r="E1441" t="s">
        <v>63</v>
      </c>
      <c r="F1441" t="s">
        <v>25</v>
      </c>
      <c r="G1441" s="4">
        <v>2</v>
      </c>
      <c r="H1441" s="4" t="s">
        <v>76</v>
      </c>
      <c r="I1441" s="4" t="s">
        <v>69</v>
      </c>
      <c r="J1441" s="4" t="s">
        <v>66</v>
      </c>
      <c r="K1441" s="4">
        <v>0</v>
      </c>
      <c r="L1441" s="94">
        <v>-36797</v>
      </c>
      <c r="M1441" s="94">
        <v>0</v>
      </c>
    </row>
    <row r="1442" spans="3:13" x14ac:dyDescent="0.3">
      <c r="C1442" t="s">
        <v>70</v>
      </c>
      <c r="D1442" t="s">
        <v>67</v>
      </c>
      <c r="E1442" t="s">
        <v>63</v>
      </c>
      <c r="F1442" t="s">
        <v>26</v>
      </c>
      <c r="G1442" s="4">
        <v>4</v>
      </c>
      <c r="H1442" s="4" t="s">
        <v>79</v>
      </c>
      <c r="I1442" s="4" t="s">
        <v>69</v>
      </c>
      <c r="J1442" s="4" t="s">
        <v>66</v>
      </c>
      <c r="K1442" s="4">
        <v>0</v>
      </c>
      <c r="L1442" s="94">
        <v>-58606</v>
      </c>
      <c r="M1442" s="94">
        <v>0</v>
      </c>
    </row>
    <row r="1443" spans="3:13" x14ac:dyDescent="0.3">
      <c r="C1443" t="s">
        <v>70</v>
      </c>
      <c r="D1443" t="s">
        <v>67</v>
      </c>
      <c r="E1443" t="s">
        <v>68</v>
      </c>
      <c r="F1443" t="s">
        <v>26</v>
      </c>
      <c r="G1443" s="4">
        <v>6</v>
      </c>
      <c r="H1443" s="4" t="s">
        <v>83</v>
      </c>
      <c r="I1443" s="4" t="s">
        <v>69</v>
      </c>
      <c r="J1443" s="4" t="s">
        <v>66</v>
      </c>
      <c r="K1443" s="4">
        <v>0</v>
      </c>
      <c r="L1443" s="94">
        <v>25691</v>
      </c>
      <c r="M1443" s="94">
        <v>154146</v>
      </c>
    </row>
    <row r="1444" spans="3:13" x14ac:dyDescent="0.3">
      <c r="C1444" t="s">
        <v>71</v>
      </c>
      <c r="D1444" t="s">
        <v>67</v>
      </c>
      <c r="E1444" t="s">
        <v>68</v>
      </c>
      <c r="F1444" t="s">
        <v>72</v>
      </c>
      <c r="G1444" s="4">
        <v>4</v>
      </c>
      <c r="H1444" s="4" t="s">
        <v>83</v>
      </c>
      <c r="I1444" s="4" t="s">
        <v>69</v>
      </c>
      <c r="J1444" s="4" t="s">
        <v>66</v>
      </c>
      <c r="K1444" s="4">
        <v>0</v>
      </c>
      <c r="L1444" s="94">
        <v>79343</v>
      </c>
      <c r="M1444" s="94">
        <v>317372</v>
      </c>
    </row>
    <row r="1445" spans="3:13" x14ac:dyDescent="0.3">
      <c r="C1445" t="s">
        <v>61</v>
      </c>
      <c r="D1445" t="s">
        <v>67</v>
      </c>
      <c r="E1445" t="s">
        <v>63</v>
      </c>
      <c r="F1445" t="s">
        <v>25</v>
      </c>
      <c r="G1445" s="4">
        <v>7</v>
      </c>
      <c r="H1445" s="4" t="s">
        <v>18</v>
      </c>
      <c r="I1445" s="4" t="s">
        <v>65</v>
      </c>
      <c r="J1445" s="4" t="s">
        <v>66</v>
      </c>
      <c r="K1445" s="4">
        <v>1</v>
      </c>
      <c r="L1445" s="94">
        <v>-41</v>
      </c>
      <c r="M1445" s="94">
        <v>0</v>
      </c>
    </row>
    <row r="1446" spans="3:13" x14ac:dyDescent="0.3">
      <c r="C1446" t="s">
        <v>61</v>
      </c>
      <c r="D1446" t="s">
        <v>67</v>
      </c>
      <c r="E1446" t="s">
        <v>68</v>
      </c>
      <c r="F1446" t="s">
        <v>26</v>
      </c>
      <c r="G1446" s="4">
        <v>3</v>
      </c>
      <c r="H1446" s="4" t="s">
        <v>14</v>
      </c>
      <c r="I1446" s="4" t="s">
        <v>65</v>
      </c>
      <c r="J1446" s="4" t="s">
        <v>66</v>
      </c>
      <c r="K1446" s="4">
        <v>1</v>
      </c>
      <c r="L1446" s="94">
        <v>37969</v>
      </c>
      <c r="M1446" s="94">
        <v>113907</v>
      </c>
    </row>
    <row r="1447" spans="3:13" x14ac:dyDescent="0.3">
      <c r="C1447" t="s">
        <v>70</v>
      </c>
      <c r="D1447" t="s">
        <v>67</v>
      </c>
      <c r="E1447" t="s">
        <v>68</v>
      </c>
      <c r="F1447" t="s">
        <v>25</v>
      </c>
      <c r="G1447" s="4">
        <v>19</v>
      </c>
      <c r="H1447" s="4" t="s">
        <v>79</v>
      </c>
      <c r="I1447" s="4" t="s">
        <v>69</v>
      </c>
      <c r="J1447" s="4" t="s">
        <v>66</v>
      </c>
      <c r="K1447" s="4">
        <v>0</v>
      </c>
      <c r="L1447" s="94">
        <v>318478</v>
      </c>
      <c r="M1447" s="94">
        <v>6051082</v>
      </c>
    </row>
    <row r="1448" spans="3:13" x14ac:dyDescent="0.3">
      <c r="C1448" t="s">
        <v>71</v>
      </c>
      <c r="D1448" t="s">
        <v>67</v>
      </c>
      <c r="E1448" t="s">
        <v>68</v>
      </c>
      <c r="F1448" t="s">
        <v>26</v>
      </c>
      <c r="G1448" s="4">
        <v>4</v>
      </c>
      <c r="H1448" s="4" t="s">
        <v>14</v>
      </c>
      <c r="I1448" s="4" t="s">
        <v>69</v>
      </c>
      <c r="J1448" s="4" t="s">
        <v>73</v>
      </c>
      <c r="K1448" s="4">
        <v>1</v>
      </c>
      <c r="L1448" s="94">
        <v>1398836</v>
      </c>
      <c r="M1448" s="94">
        <v>5595344</v>
      </c>
    </row>
    <row r="1449" spans="3:13" x14ac:dyDescent="0.3">
      <c r="C1449" t="s">
        <v>61</v>
      </c>
      <c r="D1449" t="s">
        <v>67</v>
      </c>
      <c r="E1449" t="s">
        <v>63</v>
      </c>
      <c r="F1449" t="s">
        <v>26</v>
      </c>
      <c r="G1449" s="4">
        <v>7</v>
      </c>
      <c r="H1449" s="4" t="s">
        <v>15</v>
      </c>
      <c r="I1449" s="4" t="s">
        <v>65</v>
      </c>
      <c r="J1449" s="4" t="s">
        <v>66</v>
      </c>
      <c r="K1449" s="4">
        <v>1</v>
      </c>
      <c r="L1449" s="94">
        <v>-37018</v>
      </c>
      <c r="M1449" s="94">
        <v>0</v>
      </c>
    </row>
    <row r="1450" spans="3:13" x14ac:dyDescent="0.3">
      <c r="C1450" t="s">
        <v>61</v>
      </c>
      <c r="D1450" t="s">
        <v>62</v>
      </c>
      <c r="E1450" t="s">
        <v>68</v>
      </c>
      <c r="F1450" t="s">
        <v>24</v>
      </c>
      <c r="G1450" s="4">
        <v>41</v>
      </c>
      <c r="I1450" s="4" t="s">
        <v>69</v>
      </c>
      <c r="J1450" s="4" t="s">
        <v>66</v>
      </c>
      <c r="K1450" s="4">
        <v>0</v>
      </c>
      <c r="L1450" s="94">
        <v>28862301</v>
      </c>
      <c r="M1450" s="94">
        <v>1183354341</v>
      </c>
    </row>
    <row r="1451" spans="3:13" x14ac:dyDescent="0.3">
      <c r="C1451" t="s">
        <v>61</v>
      </c>
      <c r="D1451" t="s">
        <v>67</v>
      </c>
      <c r="E1451" t="s">
        <v>63</v>
      </c>
      <c r="F1451" t="s">
        <v>72</v>
      </c>
      <c r="G1451" s="4">
        <v>5</v>
      </c>
      <c r="H1451" s="4" t="s">
        <v>16</v>
      </c>
      <c r="I1451" s="4" t="s">
        <v>69</v>
      </c>
      <c r="J1451" s="4" t="s">
        <v>66</v>
      </c>
      <c r="K1451" s="4">
        <v>0</v>
      </c>
      <c r="L1451" s="94">
        <v>-58</v>
      </c>
      <c r="M1451" s="94">
        <v>0</v>
      </c>
    </row>
    <row r="1452" spans="3:13" x14ac:dyDescent="0.3">
      <c r="C1452" t="s">
        <v>71</v>
      </c>
      <c r="D1452" t="s">
        <v>62</v>
      </c>
      <c r="E1452" t="s">
        <v>63</v>
      </c>
      <c r="F1452" t="s">
        <v>24</v>
      </c>
      <c r="G1452" s="4">
        <v>26</v>
      </c>
      <c r="I1452" s="4" t="s">
        <v>69</v>
      </c>
      <c r="J1452" s="4" t="s">
        <v>66</v>
      </c>
      <c r="K1452" s="4">
        <v>0</v>
      </c>
      <c r="L1452" s="94">
        <v>-3068982</v>
      </c>
      <c r="M1452" s="94">
        <v>0</v>
      </c>
    </row>
    <row r="1453" spans="3:13" x14ac:dyDescent="0.3">
      <c r="C1453" t="s">
        <v>71</v>
      </c>
      <c r="D1453" t="s">
        <v>62</v>
      </c>
      <c r="E1453" t="s">
        <v>63</v>
      </c>
      <c r="F1453" t="s">
        <v>24</v>
      </c>
      <c r="G1453" s="4">
        <v>38</v>
      </c>
      <c r="I1453" s="4" t="s">
        <v>65</v>
      </c>
      <c r="J1453" s="4" t="s">
        <v>66</v>
      </c>
      <c r="K1453" s="4">
        <v>1</v>
      </c>
      <c r="L1453" s="94">
        <v>-31618</v>
      </c>
      <c r="M1453" s="94">
        <v>0</v>
      </c>
    </row>
    <row r="1454" spans="3:13" x14ac:dyDescent="0.3">
      <c r="C1454" t="s">
        <v>61</v>
      </c>
      <c r="D1454" t="s">
        <v>62</v>
      </c>
      <c r="E1454" t="s">
        <v>63</v>
      </c>
      <c r="F1454" t="s">
        <v>24</v>
      </c>
      <c r="G1454" s="4">
        <v>3</v>
      </c>
      <c r="I1454" s="4" t="s">
        <v>65</v>
      </c>
      <c r="J1454" s="4" t="s">
        <v>66</v>
      </c>
      <c r="K1454" s="4">
        <v>1</v>
      </c>
      <c r="L1454" s="94">
        <v>-132</v>
      </c>
      <c r="M1454" s="94">
        <v>0</v>
      </c>
    </row>
    <row r="1455" spans="3:13" x14ac:dyDescent="0.3">
      <c r="C1455" t="s">
        <v>61</v>
      </c>
      <c r="D1455" t="s">
        <v>88</v>
      </c>
      <c r="E1455" t="s">
        <v>68</v>
      </c>
      <c r="F1455" t="s">
        <v>24</v>
      </c>
      <c r="G1455" s="4">
        <v>3</v>
      </c>
      <c r="H1455" s="4" t="s">
        <v>86</v>
      </c>
      <c r="I1455" s="4" t="s">
        <v>69</v>
      </c>
      <c r="J1455" s="4" t="s">
        <v>66</v>
      </c>
      <c r="K1455" s="4">
        <v>0</v>
      </c>
      <c r="L1455" s="94">
        <v>43963</v>
      </c>
      <c r="M1455" s="94">
        <v>131889</v>
      </c>
    </row>
    <row r="1456" spans="3:13" x14ac:dyDescent="0.3">
      <c r="C1456" t="s">
        <v>70</v>
      </c>
      <c r="D1456" t="s">
        <v>67</v>
      </c>
      <c r="E1456" t="s">
        <v>68</v>
      </c>
      <c r="F1456" t="s">
        <v>26</v>
      </c>
      <c r="G1456" s="4">
        <v>3</v>
      </c>
      <c r="H1456" s="4" t="s">
        <v>76</v>
      </c>
      <c r="I1456" s="4" t="s">
        <v>69</v>
      </c>
      <c r="J1456" s="4" t="s">
        <v>66</v>
      </c>
      <c r="K1456" s="4">
        <v>0</v>
      </c>
      <c r="L1456" s="94">
        <v>7451367</v>
      </c>
      <c r="M1456" s="94">
        <v>22354101</v>
      </c>
    </row>
    <row r="1457" spans="3:13" x14ac:dyDescent="0.3">
      <c r="C1457" t="s">
        <v>61</v>
      </c>
      <c r="D1457" t="s">
        <v>67</v>
      </c>
      <c r="E1457" t="s">
        <v>63</v>
      </c>
      <c r="F1457" t="s">
        <v>26</v>
      </c>
      <c r="G1457" s="4">
        <v>7</v>
      </c>
      <c r="H1457" s="4" t="s">
        <v>14</v>
      </c>
      <c r="I1457" s="4" t="s">
        <v>69</v>
      </c>
      <c r="J1457" s="4" t="s">
        <v>73</v>
      </c>
      <c r="K1457" s="4">
        <v>1</v>
      </c>
      <c r="L1457" s="94">
        <v>-7844</v>
      </c>
      <c r="M1457" s="94">
        <v>0</v>
      </c>
    </row>
    <row r="1458" spans="3:13" x14ac:dyDescent="0.3">
      <c r="C1458" t="s">
        <v>61</v>
      </c>
      <c r="D1458" t="s">
        <v>67</v>
      </c>
      <c r="E1458" t="s">
        <v>68</v>
      </c>
      <c r="F1458" t="s">
        <v>26</v>
      </c>
      <c r="G1458" s="4">
        <v>-1</v>
      </c>
      <c r="H1458" s="4" t="s">
        <v>12</v>
      </c>
      <c r="I1458" s="4" t="s">
        <v>65</v>
      </c>
      <c r="J1458" s="4" t="s">
        <v>66</v>
      </c>
      <c r="K1458" s="4">
        <v>1</v>
      </c>
      <c r="L1458" s="94">
        <v>338</v>
      </c>
      <c r="M1458" s="94">
        <v>0</v>
      </c>
    </row>
    <row r="1459" spans="3:13" x14ac:dyDescent="0.3">
      <c r="C1459" t="s">
        <v>70</v>
      </c>
      <c r="D1459" t="s">
        <v>67</v>
      </c>
      <c r="E1459" t="s">
        <v>68</v>
      </c>
      <c r="F1459" t="s">
        <v>72</v>
      </c>
      <c r="G1459" s="4">
        <v>-4</v>
      </c>
      <c r="H1459" s="4" t="s">
        <v>77</v>
      </c>
      <c r="I1459" s="4" t="s">
        <v>69</v>
      </c>
      <c r="J1459" s="4" t="s">
        <v>66</v>
      </c>
      <c r="K1459" s="4">
        <v>0</v>
      </c>
      <c r="L1459" s="94">
        <v>601</v>
      </c>
      <c r="M1459" s="94">
        <v>0</v>
      </c>
    </row>
    <row r="1460" spans="3:13" x14ac:dyDescent="0.3">
      <c r="C1460" t="s">
        <v>61</v>
      </c>
      <c r="D1460" t="s">
        <v>67</v>
      </c>
      <c r="E1460" t="s">
        <v>68</v>
      </c>
      <c r="F1460" t="s">
        <v>26</v>
      </c>
      <c r="G1460" s="4">
        <v>-1</v>
      </c>
      <c r="H1460" s="4" t="s">
        <v>17</v>
      </c>
      <c r="I1460" s="4" t="s">
        <v>69</v>
      </c>
      <c r="J1460" s="4" t="s">
        <v>73</v>
      </c>
      <c r="K1460" s="4">
        <v>1</v>
      </c>
      <c r="L1460" s="94">
        <v>840155</v>
      </c>
      <c r="M1460" s="94">
        <v>0</v>
      </c>
    </row>
    <row r="1461" spans="3:13" x14ac:dyDescent="0.3">
      <c r="C1461" t="s">
        <v>61</v>
      </c>
      <c r="D1461" t="s">
        <v>67</v>
      </c>
      <c r="E1461" t="s">
        <v>63</v>
      </c>
      <c r="F1461" t="s">
        <v>25</v>
      </c>
      <c r="G1461" s="4">
        <v>16</v>
      </c>
      <c r="H1461" s="4" t="s">
        <v>83</v>
      </c>
      <c r="I1461" s="4" t="s">
        <v>69</v>
      </c>
      <c r="J1461" s="4" t="s">
        <v>66</v>
      </c>
      <c r="K1461" s="4">
        <v>0</v>
      </c>
      <c r="L1461" s="94">
        <v>-57</v>
      </c>
      <c r="M1461" s="94">
        <v>0</v>
      </c>
    </row>
    <row r="1462" spans="3:13" x14ac:dyDescent="0.3">
      <c r="C1462" t="s">
        <v>70</v>
      </c>
      <c r="D1462" t="s">
        <v>62</v>
      </c>
      <c r="E1462" t="s">
        <v>68</v>
      </c>
      <c r="F1462" t="s">
        <v>24</v>
      </c>
      <c r="G1462" s="4">
        <v>41</v>
      </c>
      <c r="I1462" s="4" t="s">
        <v>65</v>
      </c>
      <c r="J1462" s="4" t="s">
        <v>66</v>
      </c>
      <c r="K1462" s="4">
        <v>1</v>
      </c>
      <c r="L1462" s="94">
        <v>159729</v>
      </c>
      <c r="M1462" s="94">
        <v>6548889</v>
      </c>
    </row>
    <row r="1463" spans="3:13" x14ac:dyDescent="0.3">
      <c r="C1463" t="s">
        <v>61</v>
      </c>
      <c r="D1463" t="s">
        <v>67</v>
      </c>
      <c r="E1463" t="s">
        <v>68</v>
      </c>
      <c r="F1463" t="s">
        <v>72</v>
      </c>
      <c r="G1463" s="4">
        <v>10</v>
      </c>
      <c r="H1463" s="4" t="s">
        <v>18</v>
      </c>
      <c r="I1463" s="4" t="s">
        <v>69</v>
      </c>
      <c r="J1463" s="4" t="s">
        <v>66</v>
      </c>
      <c r="K1463" s="4">
        <v>0</v>
      </c>
      <c r="L1463" s="94">
        <v>98992</v>
      </c>
      <c r="M1463" s="94">
        <v>989920</v>
      </c>
    </row>
    <row r="1464" spans="3:13" x14ac:dyDescent="0.3">
      <c r="C1464" t="s">
        <v>61</v>
      </c>
      <c r="D1464" t="s">
        <v>62</v>
      </c>
      <c r="E1464" t="s">
        <v>63</v>
      </c>
      <c r="F1464" t="s">
        <v>25</v>
      </c>
      <c r="G1464" s="4">
        <v>4</v>
      </c>
      <c r="I1464" s="4" t="s">
        <v>69</v>
      </c>
      <c r="J1464" s="4" t="s">
        <v>66</v>
      </c>
      <c r="K1464" s="4">
        <v>1</v>
      </c>
      <c r="L1464" s="94">
        <v>-19</v>
      </c>
      <c r="M1464" s="94">
        <v>0</v>
      </c>
    </row>
    <row r="1465" spans="3:13" x14ac:dyDescent="0.3">
      <c r="C1465" t="s">
        <v>70</v>
      </c>
      <c r="D1465" t="s">
        <v>67</v>
      </c>
      <c r="E1465" t="s">
        <v>68</v>
      </c>
      <c r="F1465" t="s">
        <v>26</v>
      </c>
      <c r="G1465" s="4">
        <v>5</v>
      </c>
      <c r="H1465" s="4" t="s">
        <v>76</v>
      </c>
      <c r="I1465" s="4" t="s">
        <v>69</v>
      </c>
      <c r="J1465" s="4" t="s">
        <v>66</v>
      </c>
      <c r="K1465" s="4">
        <v>0</v>
      </c>
      <c r="L1465" s="94">
        <v>2697940</v>
      </c>
      <c r="M1465" s="94">
        <v>13489700</v>
      </c>
    </row>
    <row r="1466" spans="3:13" x14ac:dyDescent="0.3">
      <c r="C1466" t="s">
        <v>70</v>
      </c>
      <c r="D1466" t="s">
        <v>62</v>
      </c>
      <c r="E1466" t="s">
        <v>68</v>
      </c>
      <c r="F1466" t="s">
        <v>24</v>
      </c>
      <c r="G1466" s="4">
        <v>10</v>
      </c>
      <c r="I1466" s="4" t="s">
        <v>69</v>
      </c>
      <c r="J1466" s="4" t="s">
        <v>66</v>
      </c>
      <c r="K1466" s="4">
        <v>1</v>
      </c>
      <c r="L1466" s="94">
        <v>217242</v>
      </c>
      <c r="M1466" s="94">
        <v>2172420</v>
      </c>
    </row>
    <row r="1467" spans="3:13" x14ac:dyDescent="0.3">
      <c r="C1467" t="s">
        <v>61</v>
      </c>
      <c r="D1467" t="s">
        <v>62</v>
      </c>
      <c r="E1467" t="s">
        <v>63</v>
      </c>
      <c r="F1467" t="s">
        <v>24</v>
      </c>
      <c r="G1467" s="4">
        <v>33</v>
      </c>
      <c r="I1467" s="4" t="s">
        <v>69</v>
      </c>
      <c r="J1467" s="4" t="s">
        <v>73</v>
      </c>
      <c r="K1467" s="4">
        <v>1</v>
      </c>
      <c r="L1467" s="94">
        <v>-2</v>
      </c>
      <c r="M1467" s="94">
        <v>0</v>
      </c>
    </row>
    <row r="1468" spans="3:13" x14ac:dyDescent="0.3">
      <c r="C1468" t="s">
        <v>61</v>
      </c>
      <c r="D1468" t="s">
        <v>67</v>
      </c>
      <c r="E1468" t="s">
        <v>63</v>
      </c>
      <c r="F1468" t="s">
        <v>25</v>
      </c>
      <c r="G1468" s="4">
        <v>7</v>
      </c>
      <c r="H1468" s="4" t="s">
        <v>76</v>
      </c>
      <c r="I1468" s="4" t="s">
        <v>65</v>
      </c>
      <c r="J1468" s="4" t="s">
        <v>66</v>
      </c>
      <c r="K1468" s="4">
        <v>1</v>
      </c>
      <c r="L1468" s="94">
        <v>-692</v>
      </c>
      <c r="M1468" s="94">
        <v>0</v>
      </c>
    </row>
    <row r="1469" spans="3:13" x14ac:dyDescent="0.3">
      <c r="C1469" t="s">
        <v>70</v>
      </c>
      <c r="D1469" t="s">
        <v>62</v>
      </c>
      <c r="E1469" t="s">
        <v>63</v>
      </c>
      <c r="F1469" t="s">
        <v>25</v>
      </c>
      <c r="G1469" s="4">
        <v>6</v>
      </c>
      <c r="I1469" s="4" t="s">
        <v>65</v>
      </c>
      <c r="J1469" s="4" t="s">
        <v>66</v>
      </c>
      <c r="K1469" s="4">
        <v>1</v>
      </c>
      <c r="L1469" s="94">
        <v>-628</v>
      </c>
      <c r="M1469" s="94">
        <v>0</v>
      </c>
    </row>
    <row r="1470" spans="3:13" x14ac:dyDescent="0.3">
      <c r="C1470" t="s">
        <v>61</v>
      </c>
      <c r="D1470" t="s">
        <v>67</v>
      </c>
      <c r="E1470" t="s">
        <v>63</v>
      </c>
      <c r="F1470" t="s">
        <v>72</v>
      </c>
      <c r="G1470" s="4">
        <v>-4</v>
      </c>
      <c r="H1470" s="4" t="s">
        <v>80</v>
      </c>
      <c r="I1470" s="4" t="s">
        <v>69</v>
      </c>
      <c r="J1470" s="4" t="s">
        <v>66</v>
      </c>
      <c r="K1470" s="4">
        <v>0</v>
      </c>
      <c r="L1470" s="94">
        <v>-1</v>
      </c>
      <c r="M1470" s="94">
        <v>0</v>
      </c>
    </row>
    <row r="1471" spans="3:13" x14ac:dyDescent="0.3">
      <c r="C1471" t="s">
        <v>61</v>
      </c>
      <c r="D1471" t="s">
        <v>67</v>
      </c>
      <c r="E1471" t="s">
        <v>68</v>
      </c>
      <c r="F1471" t="s">
        <v>25</v>
      </c>
      <c r="G1471" s="4">
        <v>14</v>
      </c>
      <c r="H1471" s="4" t="s">
        <v>16</v>
      </c>
      <c r="I1471" s="4" t="s">
        <v>69</v>
      </c>
      <c r="J1471" s="4" t="s">
        <v>66</v>
      </c>
      <c r="K1471" s="4">
        <v>0</v>
      </c>
      <c r="L1471" s="94">
        <v>507618</v>
      </c>
      <c r="M1471" s="94">
        <v>7106652</v>
      </c>
    </row>
    <row r="1472" spans="3:13" x14ac:dyDescent="0.3">
      <c r="C1472" t="s">
        <v>70</v>
      </c>
      <c r="D1472" t="s">
        <v>62</v>
      </c>
      <c r="E1472" t="s">
        <v>68</v>
      </c>
      <c r="F1472" t="s">
        <v>24</v>
      </c>
      <c r="G1472" s="4">
        <v>7</v>
      </c>
      <c r="I1472" s="4" t="s">
        <v>69</v>
      </c>
      <c r="J1472" s="4" t="s">
        <v>66</v>
      </c>
      <c r="K1472" s="4">
        <v>0</v>
      </c>
      <c r="L1472" s="94">
        <v>18923953</v>
      </c>
      <c r="M1472" s="94">
        <v>132467671</v>
      </c>
    </row>
    <row r="1473" spans="3:13" x14ac:dyDescent="0.3">
      <c r="C1473" t="s">
        <v>61</v>
      </c>
      <c r="D1473" t="s">
        <v>67</v>
      </c>
      <c r="E1473" t="s">
        <v>63</v>
      </c>
      <c r="F1473" t="s">
        <v>26</v>
      </c>
      <c r="G1473" s="4">
        <v>11</v>
      </c>
      <c r="H1473" s="4" t="s">
        <v>18</v>
      </c>
      <c r="I1473" s="4" t="s">
        <v>69</v>
      </c>
      <c r="J1473" s="4" t="s">
        <v>66</v>
      </c>
      <c r="K1473" s="4">
        <v>0</v>
      </c>
      <c r="L1473" s="94">
        <v>-3560</v>
      </c>
      <c r="M1473" s="94">
        <v>0</v>
      </c>
    </row>
    <row r="1474" spans="3:13" x14ac:dyDescent="0.3">
      <c r="C1474" t="s">
        <v>71</v>
      </c>
      <c r="D1474" t="s">
        <v>67</v>
      </c>
      <c r="E1474" t="s">
        <v>68</v>
      </c>
      <c r="F1474" t="s">
        <v>26</v>
      </c>
      <c r="G1474" s="4">
        <v>19</v>
      </c>
      <c r="H1474" s="4" t="s">
        <v>16</v>
      </c>
      <c r="I1474" s="4" t="s">
        <v>69</v>
      </c>
      <c r="J1474" s="4" t="s">
        <v>66</v>
      </c>
      <c r="K1474" s="4">
        <v>0</v>
      </c>
      <c r="L1474" s="94">
        <v>194883</v>
      </c>
      <c r="M1474" s="94">
        <v>3702777</v>
      </c>
    </row>
    <row r="1475" spans="3:13" x14ac:dyDescent="0.3">
      <c r="C1475" t="s">
        <v>61</v>
      </c>
      <c r="D1475" t="s">
        <v>67</v>
      </c>
      <c r="E1475" t="s">
        <v>63</v>
      </c>
      <c r="F1475" t="s">
        <v>25</v>
      </c>
      <c r="G1475" s="4">
        <v>5</v>
      </c>
      <c r="H1475" s="4" t="s">
        <v>64</v>
      </c>
      <c r="I1475" s="4" t="s">
        <v>69</v>
      </c>
      <c r="J1475" s="4" t="s">
        <v>66</v>
      </c>
      <c r="K1475" s="4">
        <v>0</v>
      </c>
      <c r="L1475" s="94">
        <v>-1158</v>
      </c>
      <c r="M1475" s="94">
        <v>0</v>
      </c>
    </row>
    <row r="1476" spans="3:13" x14ac:dyDescent="0.3">
      <c r="C1476" t="s">
        <v>71</v>
      </c>
      <c r="D1476" t="s">
        <v>67</v>
      </c>
      <c r="E1476" t="s">
        <v>63</v>
      </c>
      <c r="F1476" t="s">
        <v>26</v>
      </c>
      <c r="G1476" s="4">
        <v>-1</v>
      </c>
      <c r="H1476" s="4" t="s">
        <v>18</v>
      </c>
      <c r="I1476" s="4" t="s">
        <v>65</v>
      </c>
      <c r="J1476" s="4" t="s">
        <v>66</v>
      </c>
      <c r="K1476" s="4">
        <v>1</v>
      </c>
      <c r="L1476" s="94">
        <v>-6559</v>
      </c>
      <c r="M1476" s="94">
        <v>0</v>
      </c>
    </row>
    <row r="1477" spans="3:13" x14ac:dyDescent="0.3">
      <c r="C1477" t="s">
        <v>70</v>
      </c>
      <c r="D1477" t="s">
        <v>67</v>
      </c>
      <c r="E1477" t="s">
        <v>68</v>
      </c>
      <c r="F1477" t="s">
        <v>26</v>
      </c>
      <c r="G1477" s="4">
        <v>4</v>
      </c>
      <c r="H1477" s="4" t="s">
        <v>77</v>
      </c>
      <c r="I1477" s="4" t="s">
        <v>69</v>
      </c>
      <c r="J1477" s="4" t="s">
        <v>66</v>
      </c>
      <c r="K1477" s="4">
        <v>0</v>
      </c>
      <c r="L1477" s="94">
        <v>797355</v>
      </c>
      <c r="M1477" s="94">
        <v>3189420</v>
      </c>
    </row>
    <row r="1478" spans="3:13" x14ac:dyDescent="0.3">
      <c r="C1478" t="s">
        <v>70</v>
      </c>
      <c r="D1478" t="s">
        <v>67</v>
      </c>
      <c r="E1478" t="s">
        <v>63</v>
      </c>
      <c r="F1478" t="s">
        <v>72</v>
      </c>
      <c r="G1478" s="4">
        <v>6</v>
      </c>
      <c r="H1478" s="4" t="s">
        <v>14</v>
      </c>
      <c r="I1478" s="4" t="s">
        <v>69</v>
      </c>
      <c r="J1478" s="4" t="s">
        <v>66</v>
      </c>
      <c r="K1478" s="4">
        <v>0</v>
      </c>
      <c r="L1478" s="94">
        <v>-20183</v>
      </c>
      <c r="M1478" s="94">
        <v>0</v>
      </c>
    </row>
    <row r="1479" spans="3:13" x14ac:dyDescent="0.3">
      <c r="C1479" t="s">
        <v>61</v>
      </c>
      <c r="D1479" t="s">
        <v>62</v>
      </c>
      <c r="E1479" t="s">
        <v>68</v>
      </c>
      <c r="F1479" t="s">
        <v>24</v>
      </c>
      <c r="G1479" s="4">
        <v>7</v>
      </c>
      <c r="I1479" s="4" t="s">
        <v>65</v>
      </c>
      <c r="J1479" s="4" t="s">
        <v>66</v>
      </c>
      <c r="K1479" s="4">
        <v>1</v>
      </c>
      <c r="L1479" s="94">
        <v>2080463</v>
      </c>
      <c r="M1479" s="94">
        <v>14563241</v>
      </c>
    </row>
    <row r="1480" spans="3:13" x14ac:dyDescent="0.3">
      <c r="C1480" t="s">
        <v>61</v>
      </c>
      <c r="D1480" t="s">
        <v>67</v>
      </c>
      <c r="E1480" t="s">
        <v>68</v>
      </c>
      <c r="F1480" t="s">
        <v>26</v>
      </c>
      <c r="G1480" s="4">
        <v>0</v>
      </c>
      <c r="H1480" s="4" t="s">
        <v>17</v>
      </c>
      <c r="I1480" s="4" t="s">
        <v>65</v>
      </c>
      <c r="J1480" s="4" t="s">
        <v>66</v>
      </c>
      <c r="K1480" s="4">
        <v>1</v>
      </c>
      <c r="L1480" s="94">
        <v>145942</v>
      </c>
      <c r="M1480" s="94">
        <v>0</v>
      </c>
    </row>
    <row r="1481" spans="3:13" x14ac:dyDescent="0.3">
      <c r="C1481" t="s">
        <v>70</v>
      </c>
      <c r="D1481" t="s">
        <v>67</v>
      </c>
      <c r="E1481" t="s">
        <v>63</v>
      </c>
      <c r="F1481" t="s">
        <v>26</v>
      </c>
      <c r="G1481" s="4">
        <v>3</v>
      </c>
      <c r="H1481" s="4" t="s">
        <v>12</v>
      </c>
      <c r="I1481" s="4" t="s">
        <v>69</v>
      </c>
      <c r="J1481" s="4" t="s">
        <v>73</v>
      </c>
      <c r="K1481" s="4">
        <v>1</v>
      </c>
      <c r="L1481" s="94">
        <v>-137035</v>
      </c>
      <c r="M1481" s="94">
        <v>0</v>
      </c>
    </row>
    <row r="1482" spans="3:13" x14ac:dyDescent="0.3">
      <c r="C1482" t="s">
        <v>61</v>
      </c>
      <c r="D1482" t="s">
        <v>67</v>
      </c>
      <c r="E1482" t="s">
        <v>68</v>
      </c>
      <c r="F1482" t="s">
        <v>72</v>
      </c>
      <c r="G1482" s="4">
        <v>4</v>
      </c>
      <c r="H1482" s="4" t="s">
        <v>76</v>
      </c>
      <c r="I1482" s="4" t="s">
        <v>69</v>
      </c>
      <c r="J1482" s="4" t="s">
        <v>66</v>
      </c>
      <c r="K1482" s="4">
        <v>0</v>
      </c>
      <c r="L1482" s="94">
        <v>2582309</v>
      </c>
      <c r="M1482" s="94">
        <v>10329236</v>
      </c>
    </row>
    <row r="1483" spans="3:13" x14ac:dyDescent="0.3">
      <c r="C1483" t="s">
        <v>71</v>
      </c>
      <c r="D1483" t="s">
        <v>67</v>
      </c>
      <c r="E1483" t="s">
        <v>63</v>
      </c>
      <c r="F1483" t="s">
        <v>26</v>
      </c>
      <c r="G1483" s="4">
        <v>13</v>
      </c>
      <c r="H1483" s="4" t="s">
        <v>14</v>
      </c>
      <c r="I1483" s="4" t="s">
        <v>69</v>
      </c>
      <c r="J1483" s="4" t="s">
        <v>66</v>
      </c>
      <c r="K1483" s="4">
        <v>0</v>
      </c>
      <c r="L1483" s="94">
        <v>-90522</v>
      </c>
      <c r="M1483" s="94">
        <v>0</v>
      </c>
    </row>
    <row r="1484" spans="3:13" x14ac:dyDescent="0.3">
      <c r="C1484" t="s">
        <v>61</v>
      </c>
      <c r="D1484" t="s">
        <v>67</v>
      </c>
      <c r="E1484" t="s">
        <v>63</v>
      </c>
      <c r="F1484" t="s">
        <v>25</v>
      </c>
      <c r="G1484" s="4">
        <v>11</v>
      </c>
      <c r="H1484" s="4" t="s">
        <v>12</v>
      </c>
      <c r="I1484" s="4" t="s">
        <v>69</v>
      </c>
      <c r="J1484" s="4" t="s">
        <v>66</v>
      </c>
      <c r="K1484" s="4">
        <v>1</v>
      </c>
      <c r="L1484" s="94">
        <v>-20334</v>
      </c>
      <c r="M1484" s="94">
        <v>0</v>
      </c>
    </row>
    <row r="1485" spans="3:13" x14ac:dyDescent="0.3">
      <c r="C1485" t="s">
        <v>70</v>
      </c>
      <c r="D1485" t="s">
        <v>62</v>
      </c>
      <c r="E1485" t="s">
        <v>63</v>
      </c>
      <c r="F1485" t="s">
        <v>24</v>
      </c>
      <c r="G1485" s="4">
        <v>41</v>
      </c>
      <c r="I1485" s="4" t="s">
        <v>69</v>
      </c>
      <c r="J1485" s="4" t="s">
        <v>66</v>
      </c>
      <c r="K1485" s="4">
        <v>0</v>
      </c>
      <c r="L1485" s="94">
        <v>-135826</v>
      </c>
      <c r="M1485" s="94">
        <v>0</v>
      </c>
    </row>
    <row r="1486" spans="3:13" x14ac:dyDescent="0.3">
      <c r="C1486" t="s">
        <v>61</v>
      </c>
      <c r="D1486" t="s">
        <v>67</v>
      </c>
      <c r="E1486" t="s">
        <v>68</v>
      </c>
      <c r="F1486" t="s">
        <v>25</v>
      </c>
      <c r="G1486" s="4">
        <v>8</v>
      </c>
      <c r="H1486" s="4" t="s">
        <v>17</v>
      </c>
      <c r="I1486" s="4" t="s">
        <v>69</v>
      </c>
      <c r="J1486" s="4" t="s">
        <v>66</v>
      </c>
      <c r="K1486" s="4">
        <v>1</v>
      </c>
      <c r="L1486" s="94">
        <v>551069</v>
      </c>
      <c r="M1486" s="94">
        <v>4408552</v>
      </c>
    </row>
    <row r="1487" spans="3:13" x14ac:dyDescent="0.3">
      <c r="C1487" t="s">
        <v>61</v>
      </c>
      <c r="D1487" t="s">
        <v>67</v>
      </c>
      <c r="E1487" t="s">
        <v>68</v>
      </c>
      <c r="F1487" t="s">
        <v>26</v>
      </c>
      <c r="G1487" s="4">
        <v>0</v>
      </c>
      <c r="H1487" s="4" t="s">
        <v>12</v>
      </c>
      <c r="I1487" s="4" t="s">
        <v>69</v>
      </c>
      <c r="J1487" s="4" t="s">
        <v>73</v>
      </c>
      <c r="K1487" s="4">
        <v>1</v>
      </c>
      <c r="L1487" s="94">
        <v>32188447</v>
      </c>
      <c r="M1487" s="94">
        <v>0</v>
      </c>
    </row>
    <row r="1488" spans="3:13" x14ac:dyDescent="0.3">
      <c r="C1488" t="s">
        <v>71</v>
      </c>
      <c r="D1488" t="s">
        <v>67</v>
      </c>
      <c r="E1488" t="s">
        <v>63</v>
      </c>
      <c r="F1488" t="s">
        <v>26</v>
      </c>
      <c r="G1488" s="4">
        <v>6</v>
      </c>
      <c r="H1488" s="4" t="s">
        <v>17</v>
      </c>
      <c r="I1488" s="4" t="s">
        <v>69</v>
      </c>
      <c r="J1488" s="4" t="s">
        <v>66</v>
      </c>
      <c r="K1488" s="4">
        <v>0</v>
      </c>
      <c r="L1488" s="94">
        <v>-624685</v>
      </c>
      <c r="M1488" s="94">
        <v>0</v>
      </c>
    </row>
    <row r="1489" spans="3:13" x14ac:dyDescent="0.3">
      <c r="C1489" t="s">
        <v>70</v>
      </c>
      <c r="D1489" t="s">
        <v>67</v>
      </c>
      <c r="E1489" t="s">
        <v>68</v>
      </c>
      <c r="F1489" t="s">
        <v>72</v>
      </c>
      <c r="G1489" s="4">
        <v>3</v>
      </c>
      <c r="H1489" s="4" t="s">
        <v>75</v>
      </c>
      <c r="I1489" s="4" t="s">
        <v>69</v>
      </c>
      <c r="J1489" s="4" t="s">
        <v>66</v>
      </c>
      <c r="K1489" s="4">
        <v>0</v>
      </c>
      <c r="L1489" s="94">
        <v>715386</v>
      </c>
      <c r="M1489" s="94">
        <v>2146158</v>
      </c>
    </row>
    <row r="1490" spans="3:13" x14ac:dyDescent="0.3">
      <c r="C1490" t="s">
        <v>71</v>
      </c>
      <c r="D1490" t="s">
        <v>67</v>
      </c>
      <c r="E1490" t="s">
        <v>68</v>
      </c>
      <c r="F1490" t="s">
        <v>72</v>
      </c>
      <c r="G1490" s="4">
        <v>-4</v>
      </c>
      <c r="H1490" s="4" t="s">
        <v>17</v>
      </c>
      <c r="I1490" s="4" t="s">
        <v>69</v>
      </c>
      <c r="J1490" s="4" t="s">
        <v>73</v>
      </c>
      <c r="K1490" s="4">
        <v>1</v>
      </c>
      <c r="L1490" s="94">
        <v>1556</v>
      </c>
      <c r="M1490" s="94">
        <v>0</v>
      </c>
    </row>
    <row r="1491" spans="3:13" x14ac:dyDescent="0.3">
      <c r="C1491" t="s">
        <v>61</v>
      </c>
      <c r="D1491" t="s">
        <v>67</v>
      </c>
      <c r="E1491" t="s">
        <v>68</v>
      </c>
      <c r="F1491" t="s">
        <v>72</v>
      </c>
      <c r="G1491" s="4">
        <v>-1</v>
      </c>
      <c r="H1491" s="4" t="s">
        <v>77</v>
      </c>
      <c r="I1491" s="4" t="s">
        <v>69</v>
      </c>
      <c r="J1491" s="4" t="s">
        <v>66</v>
      </c>
      <c r="K1491" s="4">
        <v>0</v>
      </c>
      <c r="L1491" s="94">
        <v>832471</v>
      </c>
      <c r="M1491" s="94">
        <v>0</v>
      </c>
    </row>
    <row r="1492" spans="3:13" x14ac:dyDescent="0.3">
      <c r="C1492" t="s">
        <v>70</v>
      </c>
      <c r="D1492" t="s">
        <v>67</v>
      </c>
      <c r="E1492" t="s">
        <v>68</v>
      </c>
      <c r="F1492" t="s">
        <v>26</v>
      </c>
      <c r="G1492" s="4">
        <v>-1</v>
      </c>
      <c r="H1492" s="4" t="s">
        <v>16</v>
      </c>
      <c r="I1492" s="4" t="s">
        <v>69</v>
      </c>
      <c r="J1492" s="4" t="s">
        <v>66</v>
      </c>
      <c r="K1492" s="4">
        <v>0</v>
      </c>
      <c r="L1492" s="94">
        <v>818524</v>
      </c>
      <c r="M1492" s="94">
        <v>0</v>
      </c>
    </row>
    <row r="1493" spans="3:13" x14ac:dyDescent="0.3">
      <c r="C1493" t="s">
        <v>61</v>
      </c>
      <c r="D1493" t="s">
        <v>67</v>
      </c>
      <c r="E1493" t="s">
        <v>68</v>
      </c>
      <c r="F1493" t="s">
        <v>25</v>
      </c>
      <c r="G1493" s="4">
        <v>1</v>
      </c>
      <c r="H1493" s="4" t="s">
        <v>13</v>
      </c>
      <c r="I1493" s="4" t="s">
        <v>69</v>
      </c>
      <c r="J1493" s="4" t="s">
        <v>66</v>
      </c>
      <c r="K1493" s="4">
        <v>1</v>
      </c>
      <c r="L1493" s="94">
        <v>9544</v>
      </c>
      <c r="M1493" s="94">
        <v>9544</v>
      </c>
    </row>
    <row r="1494" spans="3:13" x14ac:dyDescent="0.3">
      <c r="C1494" t="s">
        <v>70</v>
      </c>
      <c r="D1494" t="s">
        <v>67</v>
      </c>
      <c r="E1494" t="s">
        <v>68</v>
      </c>
      <c r="F1494" t="s">
        <v>25</v>
      </c>
      <c r="G1494" s="4">
        <v>1</v>
      </c>
      <c r="H1494" s="4" t="s">
        <v>17</v>
      </c>
      <c r="I1494" s="4" t="s">
        <v>69</v>
      </c>
      <c r="J1494" s="4" t="s">
        <v>66</v>
      </c>
      <c r="K1494" s="4">
        <v>0</v>
      </c>
      <c r="L1494" s="94">
        <v>476413</v>
      </c>
      <c r="M1494" s="94">
        <v>476413</v>
      </c>
    </row>
    <row r="1495" spans="3:13" x14ac:dyDescent="0.3">
      <c r="C1495" t="s">
        <v>61</v>
      </c>
      <c r="D1495" t="s">
        <v>67</v>
      </c>
      <c r="E1495" t="s">
        <v>63</v>
      </c>
      <c r="F1495" t="s">
        <v>26</v>
      </c>
      <c r="G1495" s="4">
        <v>1</v>
      </c>
      <c r="H1495" s="4" t="s">
        <v>82</v>
      </c>
      <c r="I1495" s="4" t="s">
        <v>69</v>
      </c>
      <c r="J1495" s="4" t="s">
        <v>73</v>
      </c>
      <c r="K1495" s="4">
        <v>1</v>
      </c>
      <c r="L1495" s="94">
        <v>-189</v>
      </c>
      <c r="M1495" s="94">
        <v>0</v>
      </c>
    </row>
    <row r="1496" spans="3:13" x14ac:dyDescent="0.3">
      <c r="C1496" t="s">
        <v>71</v>
      </c>
      <c r="D1496" t="s">
        <v>67</v>
      </c>
      <c r="E1496" t="s">
        <v>63</v>
      </c>
      <c r="F1496" t="s">
        <v>25</v>
      </c>
      <c r="G1496" s="4">
        <v>10</v>
      </c>
      <c r="H1496" s="4" t="s">
        <v>78</v>
      </c>
      <c r="I1496" s="4" t="s">
        <v>69</v>
      </c>
      <c r="J1496" s="4" t="s">
        <v>66</v>
      </c>
      <c r="K1496" s="4">
        <v>0</v>
      </c>
      <c r="L1496" s="94">
        <v>-4179</v>
      </c>
      <c r="M1496" s="94">
        <v>0</v>
      </c>
    </row>
    <row r="1497" spans="3:13" x14ac:dyDescent="0.3">
      <c r="C1497" t="s">
        <v>70</v>
      </c>
      <c r="D1497" t="s">
        <v>67</v>
      </c>
      <c r="E1497" t="s">
        <v>68</v>
      </c>
      <c r="F1497" t="s">
        <v>72</v>
      </c>
      <c r="G1497" s="4">
        <v>1</v>
      </c>
      <c r="H1497" s="4" t="s">
        <v>18</v>
      </c>
      <c r="I1497" s="4" t="s">
        <v>69</v>
      </c>
      <c r="J1497" s="4" t="s">
        <v>66</v>
      </c>
      <c r="K1497" s="4">
        <v>0</v>
      </c>
      <c r="L1497" s="94">
        <v>986280</v>
      </c>
      <c r="M1497" s="94">
        <v>986280</v>
      </c>
    </row>
    <row r="1498" spans="3:13" x14ac:dyDescent="0.3">
      <c r="C1498" t="s">
        <v>71</v>
      </c>
      <c r="D1498" t="s">
        <v>67</v>
      </c>
      <c r="E1498" t="s">
        <v>63</v>
      </c>
      <c r="F1498" t="s">
        <v>72</v>
      </c>
      <c r="G1498" s="4">
        <v>6</v>
      </c>
      <c r="H1498" s="4" t="s">
        <v>14</v>
      </c>
      <c r="I1498" s="4" t="s">
        <v>69</v>
      </c>
      <c r="J1498" s="4" t="s">
        <v>73</v>
      </c>
      <c r="K1498" s="4">
        <v>1</v>
      </c>
      <c r="L1498" s="94">
        <v>-214011</v>
      </c>
      <c r="M1498" s="94">
        <v>0</v>
      </c>
    </row>
    <row r="1499" spans="3:13" x14ac:dyDescent="0.3">
      <c r="C1499" t="s">
        <v>70</v>
      </c>
      <c r="D1499" t="s">
        <v>67</v>
      </c>
      <c r="E1499" t="s">
        <v>68</v>
      </c>
      <c r="F1499" t="s">
        <v>26</v>
      </c>
      <c r="G1499" s="4">
        <v>0</v>
      </c>
      <c r="H1499" s="4" t="s">
        <v>75</v>
      </c>
      <c r="I1499" s="4" t="s">
        <v>69</v>
      </c>
      <c r="J1499" s="4" t="s">
        <v>66</v>
      </c>
      <c r="K1499" s="4">
        <v>0</v>
      </c>
      <c r="L1499" s="94">
        <v>1220182</v>
      </c>
      <c r="M1499" s="94">
        <v>0</v>
      </c>
    </row>
    <row r="1500" spans="3:13" x14ac:dyDescent="0.3">
      <c r="C1500" t="s">
        <v>71</v>
      </c>
      <c r="D1500" t="s">
        <v>67</v>
      </c>
      <c r="E1500" t="s">
        <v>68</v>
      </c>
      <c r="F1500" t="s">
        <v>26</v>
      </c>
      <c r="G1500" s="4">
        <v>14</v>
      </c>
      <c r="H1500" s="4" t="s">
        <v>14</v>
      </c>
      <c r="I1500" s="4" t="s">
        <v>69</v>
      </c>
      <c r="J1500" s="4" t="s">
        <v>73</v>
      </c>
      <c r="K1500" s="4">
        <v>1</v>
      </c>
      <c r="L1500" s="94">
        <v>67975</v>
      </c>
      <c r="M1500" s="94">
        <v>951650</v>
      </c>
    </row>
    <row r="1501" spans="3:13" x14ac:dyDescent="0.3">
      <c r="C1501" t="s">
        <v>71</v>
      </c>
      <c r="D1501" t="s">
        <v>67</v>
      </c>
      <c r="E1501" t="s">
        <v>63</v>
      </c>
      <c r="F1501" t="s">
        <v>72</v>
      </c>
      <c r="G1501" s="4">
        <v>1</v>
      </c>
      <c r="H1501" s="4" t="s">
        <v>79</v>
      </c>
      <c r="I1501" s="4" t="s">
        <v>69</v>
      </c>
      <c r="J1501" s="4" t="s">
        <v>66</v>
      </c>
      <c r="K1501" s="4">
        <v>0</v>
      </c>
      <c r="L1501" s="94">
        <v>-30256</v>
      </c>
      <c r="M1501" s="94">
        <v>0</v>
      </c>
    </row>
    <row r="1502" spans="3:13" x14ac:dyDescent="0.3">
      <c r="C1502" t="s">
        <v>71</v>
      </c>
      <c r="D1502" t="s">
        <v>67</v>
      </c>
      <c r="E1502" t="s">
        <v>63</v>
      </c>
      <c r="F1502" t="s">
        <v>25</v>
      </c>
      <c r="G1502" s="4">
        <v>3</v>
      </c>
      <c r="H1502" s="4" t="s">
        <v>79</v>
      </c>
      <c r="I1502" s="4" t="s">
        <v>69</v>
      </c>
      <c r="J1502" s="4" t="s">
        <v>66</v>
      </c>
      <c r="K1502" s="4">
        <v>0</v>
      </c>
      <c r="L1502" s="94">
        <v>-71568</v>
      </c>
      <c r="M1502" s="94">
        <v>0</v>
      </c>
    </row>
    <row r="1503" spans="3:13" x14ac:dyDescent="0.3">
      <c r="C1503" t="s">
        <v>61</v>
      </c>
      <c r="D1503" t="s">
        <v>67</v>
      </c>
      <c r="E1503" t="s">
        <v>68</v>
      </c>
      <c r="F1503" t="s">
        <v>26</v>
      </c>
      <c r="G1503" s="4">
        <v>-1</v>
      </c>
      <c r="H1503" s="4" t="s">
        <v>82</v>
      </c>
      <c r="I1503" s="4" t="s">
        <v>69</v>
      </c>
      <c r="J1503" s="4" t="s">
        <v>73</v>
      </c>
      <c r="K1503" s="4">
        <v>1</v>
      </c>
      <c r="L1503" s="94">
        <v>35639</v>
      </c>
      <c r="M1503" s="94">
        <v>0</v>
      </c>
    </row>
    <row r="1504" spans="3:13" x14ac:dyDescent="0.3">
      <c r="C1504" t="s">
        <v>61</v>
      </c>
      <c r="D1504" t="s">
        <v>62</v>
      </c>
      <c r="E1504" t="s">
        <v>68</v>
      </c>
      <c r="F1504" t="s">
        <v>24</v>
      </c>
      <c r="G1504" s="4">
        <v>4</v>
      </c>
      <c r="I1504" s="4" t="s">
        <v>69</v>
      </c>
      <c r="J1504" s="4" t="s">
        <v>66</v>
      </c>
      <c r="K1504" s="4">
        <v>1</v>
      </c>
      <c r="L1504" s="94">
        <v>436999</v>
      </c>
      <c r="M1504" s="94">
        <v>1747996</v>
      </c>
    </row>
    <row r="1505" spans="3:13" x14ac:dyDescent="0.3">
      <c r="C1505" t="s">
        <v>70</v>
      </c>
      <c r="D1505" t="s">
        <v>67</v>
      </c>
      <c r="E1505" t="s">
        <v>63</v>
      </c>
      <c r="F1505" t="s">
        <v>26</v>
      </c>
      <c r="G1505" s="4">
        <v>2</v>
      </c>
      <c r="H1505" s="4" t="s">
        <v>64</v>
      </c>
      <c r="I1505" s="4" t="s">
        <v>69</v>
      </c>
      <c r="J1505" s="4" t="s">
        <v>66</v>
      </c>
      <c r="K1505" s="4">
        <v>0</v>
      </c>
      <c r="L1505" s="94">
        <v>-219536</v>
      </c>
      <c r="M1505" s="94">
        <v>0</v>
      </c>
    </row>
    <row r="1506" spans="3:13" x14ac:dyDescent="0.3">
      <c r="C1506" t="s">
        <v>61</v>
      </c>
      <c r="D1506" t="s">
        <v>67</v>
      </c>
      <c r="E1506" t="s">
        <v>63</v>
      </c>
      <c r="F1506" t="s">
        <v>26</v>
      </c>
      <c r="G1506" s="4">
        <v>0</v>
      </c>
      <c r="H1506" s="4" t="s">
        <v>15</v>
      </c>
      <c r="I1506" s="4" t="s">
        <v>65</v>
      </c>
      <c r="J1506" s="4" t="s">
        <v>66</v>
      </c>
      <c r="K1506" s="4">
        <v>1</v>
      </c>
      <c r="L1506" s="94">
        <v>-32</v>
      </c>
      <c r="M1506" s="94">
        <v>0</v>
      </c>
    </row>
    <row r="1507" spans="3:13" x14ac:dyDescent="0.3">
      <c r="C1507" t="s">
        <v>61</v>
      </c>
      <c r="D1507" t="s">
        <v>67</v>
      </c>
      <c r="E1507" t="s">
        <v>68</v>
      </c>
      <c r="F1507" t="s">
        <v>26</v>
      </c>
      <c r="G1507" s="4">
        <v>4</v>
      </c>
      <c r="H1507" s="4" t="s">
        <v>18</v>
      </c>
      <c r="I1507" s="4" t="s">
        <v>69</v>
      </c>
      <c r="J1507" s="4" t="s">
        <v>73</v>
      </c>
      <c r="K1507" s="4">
        <v>1</v>
      </c>
      <c r="L1507" s="94">
        <v>4459576</v>
      </c>
      <c r="M1507" s="94">
        <v>17838304</v>
      </c>
    </row>
    <row r="1508" spans="3:13" x14ac:dyDescent="0.3">
      <c r="C1508" t="s">
        <v>70</v>
      </c>
      <c r="D1508" t="s">
        <v>67</v>
      </c>
      <c r="E1508" t="s">
        <v>63</v>
      </c>
      <c r="F1508" t="s">
        <v>25</v>
      </c>
      <c r="G1508" s="4">
        <v>14</v>
      </c>
      <c r="H1508" s="4" t="s">
        <v>17</v>
      </c>
      <c r="I1508" s="4" t="s">
        <v>69</v>
      </c>
      <c r="J1508" s="4" t="s">
        <v>66</v>
      </c>
      <c r="K1508" s="4">
        <v>0</v>
      </c>
      <c r="L1508" s="94">
        <v>-198388</v>
      </c>
      <c r="M1508" s="94">
        <v>0</v>
      </c>
    </row>
    <row r="1509" spans="3:13" x14ac:dyDescent="0.3">
      <c r="C1509" t="s">
        <v>61</v>
      </c>
      <c r="D1509" t="s">
        <v>67</v>
      </c>
      <c r="E1509" t="s">
        <v>63</v>
      </c>
      <c r="F1509" t="s">
        <v>26</v>
      </c>
      <c r="G1509" s="4">
        <v>0</v>
      </c>
      <c r="H1509" s="4" t="s">
        <v>14</v>
      </c>
      <c r="I1509" s="4" t="s">
        <v>69</v>
      </c>
      <c r="J1509" s="4" t="s">
        <v>73</v>
      </c>
      <c r="K1509" s="4">
        <v>1</v>
      </c>
      <c r="L1509" s="94">
        <v>-1159299</v>
      </c>
      <c r="M1509" s="94">
        <v>0</v>
      </c>
    </row>
    <row r="1510" spans="3:13" x14ac:dyDescent="0.3">
      <c r="C1510" t="s">
        <v>70</v>
      </c>
      <c r="D1510" t="s">
        <v>67</v>
      </c>
      <c r="E1510" t="s">
        <v>68</v>
      </c>
      <c r="F1510" t="s">
        <v>25</v>
      </c>
      <c r="G1510" s="4">
        <v>6</v>
      </c>
      <c r="H1510" s="4" t="s">
        <v>12</v>
      </c>
      <c r="I1510" s="4" t="s">
        <v>69</v>
      </c>
      <c r="J1510" s="4" t="s">
        <v>66</v>
      </c>
      <c r="K1510" s="4">
        <v>0</v>
      </c>
      <c r="L1510" s="94">
        <v>301973</v>
      </c>
      <c r="M1510" s="94">
        <v>1811838</v>
      </c>
    </row>
    <row r="1511" spans="3:13" x14ac:dyDescent="0.3">
      <c r="C1511" t="s">
        <v>61</v>
      </c>
      <c r="D1511" t="s">
        <v>62</v>
      </c>
      <c r="E1511" t="s">
        <v>68</v>
      </c>
      <c r="F1511" t="s">
        <v>24</v>
      </c>
      <c r="G1511" s="4">
        <v>12</v>
      </c>
      <c r="I1511" s="4" t="s">
        <v>69</v>
      </c>
      <c r="J1511" s="4" t="s">
        <v>66</v>
      </c>
      <c r="K1511" s="4">
        <v>0</v>
      </c>
      <c r="L1511" s="94">
        <v>189615496</v>
      </c>
      <c r="M1511" s="94">
        <v>2275385952</v>
      </c>
    </row>
    <row r="1512" spans="3:13" x14ac:dyDescent="0.3">
      <c r="C1512" t="s">
        <v>71</v>
      </c>
      <c r="D1512" t="s">
        <v>67</v>
      </c>
      <c r="E1512" t="s">
        <v>68</v>
      </c>
      <c r="F1512" t="s">
        <v>25</v>
      </c>
      <c r="G1512" s="4">
        <v>-4</v>
      </c>
      <c r="H1512" s="4" t="s">
        <v>12</v>
      </c>
      <c r="I1512" s="4" t="s">
        <v>69</v>
      </c>
      <c r="J1512" s="4" t="s">
        <v>66</v>
      </c>
      <c r="K1512" s="4">
        <v>0</v>
      </c>
      <c r="L1512" s="94">
        <v>33503</v>
      </c>
      <c r="M1512" s="94">
        <v>0</v>
      </c>
    </row>
    <row r="1513" spans="3:13" x14ac:dyDescent="0.3">
      <c r="C1513" t="s">
        <v>71</v>
      </c>
      <c r="D1513" t="s">
        <v>62</v>
      </c>
      <c r="E1513" t="s">
        <v>63</v>
      </c>
      <c r="F1513" t="s">
        <v>24</v>
      </c>
      <c r="G1513" s="4">
        <v>41</v>
      </c>
      <c r="I1513" s="4" t="s">
        <v>69</v>
      </c>
      <c r="J1513" s="4" t="s">
        <v>66</v>
      </c>
      <c r="K1513" s="4">
        <v>0</v>
      </c>
      <c r="L1513" s="94">
        <v>-181064</v>
      </c>
      <c r="M1513" s="94">
        <v>0</v>
      </c>
    </row>
    <row r="1514" spans="3:13" x14ac:dyDescent="0.3">
      <c r="C1514" t="s">
        <v>71</v>
      </c>
      <c r="D1514" t="s">
        <v>67</v>
      </c>
      <c r="E1514" t="s">
        <v>68</v>
      </c>
      <c r="F1514" t="s">
        <v>26</v>
      </c>
      <c r="G1514" s="4">
        <v>-1</v>
      </c>
      <c r="H1514" s="4" t="s">
        <v>13</v>
      </c>
      <c r="I1514" s="4" t="s">
        <v>69</v>
      </c>
      <c r="J1514" s="4" t="s">
        <v>73</v>
      </c>
      <c r="K1514" s="4">
        <v>1</v>
      </c>
      <c r="L1514" s="94">
        <v>47974</v>
      </c>
      <c r="M1514" s="94">
        <v>0</v>
      </c>
    </row>
    <row r="1515" spans="3:13" x14ac:dyDescent="0.3">
      <c r="C1515" t="s">
        <v>70</v>
      </c>
      <c r="D1515" t="s">
        <v>67</v>
      </c>
      <c r="E1515" t="s">
        <v>68</v>
      </c>
      <c r="F1515" t="s">
        <v>26</v>
      </c>
      <c r="G1515" s="4">
        <v>3</v>
      </c>
      <c r="H1515" s="4" t="s">
        <v>18</v>
      </c>
      <c r="I1515" s="4" t="s">
        <v>69</v>
      </c>
      <c r="J1515" s="4" t="s">
        <v>66</v>
      </c>
      <c r="K1515" s="4">
        <v>0</v>
      </c>
      <c r="L1515" s="94">
        <v>38275394</v>
      </c>
      <c r="M1515" s="94">
        <v>114826182</v>
      </c>
    </row>
    <row r="1516" spans="3:13" x14ac:dyDescent="0.3">
      <c r="C1516" t="s">
        <v>61</v>
      </c>
      <c r="D1516" t="s">
        <v>67</v>
      </c>
      <c r="E1516" t="s">
        <v>63</v>
      </c>
      <c r="F1516" t="s">
        <v>72</v>
      </c>
      <c r="G1516" s="4">
        <v>6</v>
      </c>
      <c r="H1516" s="4" t="s">
        <v>14</v>
      </c>
      <c r="I1516" s="4" t="s">
        <v>69</v>
      </c>
      <c r="J1516" s="4" t="s">
        <v>66</v>
      </c>
      <c r="K1516" s="4">
        <v>0</v>
      </c>
      <c r="L1516" s="94">
        <v>-2709</v>
      </c>
      <c r="M1516" s="94">
        <v>0</v>
      </c>
    </row>
    <row r="1517" spans="3:13" x14ac:dyDescent="0.3">
      <c r="C1517" t="s">
        <v>61</v>
      </c>
      <c r="D1517" t="s">
        <v>67</v>
      </c>
      <c r="E1517" t="s">
        <v>63</v>
      </c>
      <c r="F1517" t="s">
        <v>26</v>
      </c>
      <c r="G1517" s="4">
        <v>-1</v>
      </c>
      <c r="H1517" s="4" t="s">
        <v>13</v>
      </c>
      <c r="I1517" s="4" t="s">
        <v>69</v>
      </c>
      <c r="J1517" s="4" t="s">
        <v>73</v>
      </c>
      <c r="K1517" s="4">
        <v>1</v>
      </c>
      <c r="L1517" s="94">
        <v>-3411</v>
      </c>
      <c r="M1517" s="94">
        <v>0</v>
      </c>
    </row>
    <row r="1518" spans="3:13" x14ac:dyDescent="0.3">
      <c r="C1518" t="s">
        <v>61</v>
      </c>
      <c r="D1518" t="s">
        <v>84</v>
      </c>
      <c r="E1518" t="s">
        <v>68</v>
      </c>
      <c r="F1518" t="s">
        <v>25</v>
      </c>
      <c r="G1518" s="4">
        <v>7</v>
      </c>
      <c r="H1518" s="4" t="s">
        <v>81</v>
      </c>
      <c r="I1518" s="4" t="s">
        <v>69</v>
      </c>
      <c r="J1518" s="4" t="s">
        <v>66</v>
      </c>
      <c r="K1518" s="4">
        <v>0</v>
      </c>
      <c r="L1518" s="94">
        <v>4007932</v>
      </c>
      <c r="M1518" s="94">
        <v>28055524</v>
      </c>
    </row>
    <row r="1519" spans="3:13" x14ac:dyDescent="0.3">
      <c r="C1519" t="s">
        <v>61</v>
      </c>
      <c r="D1519" t="s">
        <v>67</v>
      </c>
      <c r="E1519" t="s">
        <v>63</v>
      </c>
      <c r="F1519" t="s">
        <v>25</v>
      </c>
      <c r="G1519" s="4">
        <v>9</v>
      </c>
      <c r="H1519" s="4" t="s">
        <v>75</v>
      </c>
      <c r="I1519" s="4" t="s">
        <v>65</v>
      </c>
      <c r="J1519" s="4" t="s">
        <v>66</v>
      </c>
      <c r="K1519" s="4">
        <v>1</v>
      </c>
      <c r="L1519" s="94">
        <v>-161</v>
      </c>
      <c r="M1519" s="94">
        <v>0</v>
      </c>
    </row>
    <row r="1520" spans="3:13" x14ac:dyDescent="0.3">
      <c r="C1520" t="s">
        <v>61</v>
      </c>
      <c r="D1520" t="s">
        <v>67</v>
      </c>
      <c r="E1520" t="s">
        <v>68</v>
      </c>
      <c r="F1520" t="s">
        <v>26</v>
      </c>
      <c r="G1520" s="4">
        <v>5</v>
      </c>
      <c r="H1520" s="4" t="s">
        <v>15</v>
      </c>
      <c r="I1520" s="4" t="s">
        <v>69</v>
      </c>
      <c r="J1520" s="4" t="s">
        <v>73</v>
      </c>
      <c r="K1520" s="4">
        <v>1</v>
      </c>
      <c r="L1520" s="94">
        <v>9926299</v>
      </c>
      <c r="M1520" s="94">
        <v>49631495</v>
      </c>
    </row>
    <row r="1521" spans="3:13" x14ac:dyDescent="0.3">
      <c r="C1521" t="s">
        <v>61</v>
      </c>
      <c r="D1521" t="s">
        <v>67</v>
      </c>
      <c r="E1521" t="s">
        <v>63</v>
      </c>
      <c r="F1521" t="s">
        <v>72</v>
      </c>
      <c r="G1521" s="4">
        <v>5</v>
      </c>
      <c r="H1521" s="4" t="s">
        <v>81</v>
      </c>
      <c r="I1521" s="4" t="s">
        <v>69</v>
      </c>
      <c r="J1521" s="4" t="s">
        <v>66</v>
      </c>
      <c r="K1521" s="4">
        <v>0</v>
      </c>
      <c r="L1521" s="94">
        <v>-707</v>
      </c>
      <c r="M1521" s="94">
        <v>0</v>
      </c>
    </row>
    <row r="1522" spans="3:13" x14ac:dyDescent="0.3">
      <c r="C1522" t="s">
        <v>71</v>
      </c>
      <c r="D1522" t="s">
        <v>67</v>
      </c>
      <c r="E1522" t="s">
        <v>63</v>
      </c>
      <c r="F1522" t="s">
        <v>25</v>
      </c>
      <c r="G1522" s="4">
        <v>29</v>
      </c>
      <c r="I1522" s="4" t="s">
        <v>69</v>
      </c>
      <c r="J1522" s="4" t="s">
        <v>66</v>
      </c>
      <c r="K1522" s="4">
        <v>0</v>
      </c>
      <c r="L1522" s="94">
        <v>-35000000</v>
      </c>
      <c r="M1522" s="94">
        <v>0</v>
      </c>
    </row>
    <row r="1523" spans="3:13" x14ac:dyDescent="0.3">
      <c r="C1523" t="s">
        <v>70</v>
      </c>
      <c r="D1523" t="s">
        <v>67</v>
      </c>
      <c r="E1523" t="s">
        <v>68</v>
      </c>
      <c r="F1523" t="s">
        <v>72</v>
      </c>
      <c r="G1523" s="4">
        <v>-4</v>
      </c>
      <c r="H1523" s="4" t="s">
        <v>17</v>
      </c>
      <c r="I1523" s="4" t="s">
        <v>65</v>
      </c>
      <c r="J1523" s="4" t="s">
        <v>73</v>
      </c>
      <c r="K1523" s="4">
        <v>1</v>
      </c>
      <c r="L1523" s="94">
        <v>220</v>
      </c>
      <c r="M1523" s="94">
        <v>0</v>
      </c>
    </row>
    <row r="1524" spans="3:13" x14ac:dyDescent="0.3">
      <c r="C1524" t="s">
        <v>61</v>
      </c>
      <c r="D1524" t="s">
        <v>67</v>
      </c>
      <c r="E1524" t="s">
        <v>68</v>
      </c>
      <c r="F1524" t="s">
        <v>26</v>
      </c>
      <c r="G1524" s="4">
        <v>2</v>
      </c>
      <c r="H1524" s="4" t="s">
        <v>13</v>
      </c>
      <c r="I1524" s="4" t="s">
        <v>69</v>
      </c>
      <c r="J1524" s="4" t="s">
        <v>73</v>
      </c>
      <c r="K1524" s="4">
        <v>1</v>
      </c>
      <c r="L1524" s="94">
        <v>238612</v>
      </c>
      <c r="M1524" s="94">
        <v>477224</v>
      </c>
    </row>
    <row r="1525" spans="3:13" x14ac:dyDescent="0.3">
      <c r="C1525" t="s">
        <v>61</v>
      </c>
      <c r="D1525" t="s">
        <v>67</v>
      </c>
      <c r="E1525" t="s">
        <v>63</v>
      </c>
      <c r="F1525" t="s">
        <v>72</v>
      </c>
      <c r="G1525" s="4">
        <v>-4</v>
      </c>
      <c r="H1525" s="4" t="s">
        <v>17</v>
      </c>
      <c r="I1525" s="4" t="s">
        <v>65</v>
      </c>
      <c r="J1525" s="4" t="s">
        <v>73</v>
      </c>
      <c r="K1525" s="4">
        <v>1</v>
      </c>
      <c r="L1525" s="94">
        <v>0</v>
      </c>
      <c r="M1525" s="94">
        <v>0</v>
      </c>
    </row>
    <row r="1526" spans="3:13" x14ac:dyDescent="0.3">
      <c r="C1526" t="s">
        <v>71</v>
      </c>
      <c r="D1526" t="s">
        <v>67</v>
      </c>
      <c r="E1526" t="s">
        <v>63</v>
      </c>
      <c r="F1526" t="s">
        <v>26</v>
      </c>
      <c r="G1526" s="4">
        <v>18</v>
      </c>
      <c r="H1526" s="4" t="s">
        <v>14</v>
      </c>
      <c r="I1526" s="4" t="s">
        <v>69</v>
      </c>
      <c r="J1526" s="4" t="s">
        <v>73</v>
      </c>
      <c r="K1526" s="4">
        <v>1</v>
      </c>
      <c r="L1526" s="94">
        <v>-21065</v>
      </c>
      <c r="M1526" s="94">
        <v>0</v>
      </c>
    </row>
    <row r="1527" spans="3:13" x14ac:dyDescent="0.3">
      <c r="C1527" t="s">
        <v>61</v>
      </c>
      <c r="D1527" t="s">
        <v>67</v>
      </c>
      <c r="E1527" t="s">
        <v>68</v>
      </c>
      <c r="F1527" t="s">
        <v>25</v>
      </c>
      <c r="G1527" s="4">
        <v>-4</v>
      </c>
      <c r="H1527" s="4" t="s">
        <v>18</v>
      </c>
      <c r="I1527" s="4" t="s">
        <v>69</v>
      </c>
      <c r="J1527" s="4" t="s">
        <v>66</v>
      </c>
      <c r="K1527" s="4">
        <v>0</v>
      </c>
      <c r="L1527" s="94">
        <v>205854</v>
      </c>
      <c r="M1527" s="94">
        <v>0</v>
      </c>
    </row>
    <row r="1528" spans="3:13" x14ac:dyDescent="0.3">
      <c r="C1528" t="s">
        <v>61</v>
      </c>
      <c r="D1528" t="s">
        <v>67</v>
      </c>
      <c r="E1528" t="s">
        <v>63</v>
      </c>
      <c r="F1528" t="s">
        <v>26</v>
      </c>
      <c r="G1528" s="4">
        <v>3</v>
      </c>
      <c r="H1528" s="4" t="s">
        <v>81</v>
      </c>
      <c r="I1528" s="4" t="s">
        <v>69</v>
      </c>
      <c r="J1528" s="4" t="s">
        <v>66</v>
      </c>
      <c r="K1528" s="4">
        <v>0</v>
      </c>
      <c r="L1528" s="94">
        <v>-821</v>
      </c>
      <c r="M1528" s="94">
        <v>0</v>
      </c>
    </row>
    <row r="1529" spans="3:13" x14ac:dyDescent="0.3">
      <c r="C1529" t="s">
        <v>61</v>
      </c>
      <c r="D1529" t="s">
        <v>67</v>
      </c>
      <c r="E1529" t="s">
        <v>68</v>
      </c>
      <c r="F1529" t="s">
        <v>26</v>
      </c>
      <c r="G1529" s="4">
        <v>1</v>
      </c>
      <c r="H1529" s="4" t="s">
        <v>76</v>
      </c>
      <c r="I1529" s="4" t="s">
        <v>69</v>
      </c>
      <c r="J1529" s="4" t="s">
        <v>66</v>
      </c>
      <c r="K1529" s="4">
        <v>0</v>
      </c>
      <c r="L1529" s="94">
        <v>33120132</v>
      </c>
      <c r="M1529" s="94">
        <v>33120132</v>
      </c>
    </row>
    <row r="1530" spans="3:13" x14ac:dyDescent="0.3">
      <c r="C1530" t="s">
        <v>70</v>
      </c>
      <c r="D1530" t="s">
        <v>67</v>
      </c>
      <c r="E1530" t="s">
        <v>63</v>
      </c>
      <c r="F1530" t="s">
        <v>26</v>
      </c>
      <c r="G1530" s="4">
        <v>4</v>
      </c>
      <c r="H1530" s="4" t="s">
        <v>12</v>
      </c>
      <c r="I1530" s="4" t="s">
        <v>69</v>
      </c>
      <c r="J1530" s="4" t="s">
        <v>66</v>
      </c>
      <c r="K1530" s="4">
        <v>0</v>
      </c>
      <c r="L1530" s="94">
        <v>-39344</v>
      </c>
      <c r="M1530" s="94">
        <v>0</v>
      </c>
    </row>
    <row r="1531" spans="3:13" x14ac:dyDescent="0.3">
      <c r="C1531" t="s">
        <v>71</v>
      </c>
      <c r="D1531" t="s">
        <v>67</v>
      </c>
      <c r="E1531" t="s">
        <v>63</v>
      </c>
      <c r="F1531" t="s">
        <v>72</v>
      </c>
      <c r="G1531" s="4">
        <v>-1</v>
      </c>
      <c r="H1531" s="4" t="s">
        <v>18</v>
      </c>
      <c r="I1531" s="4" t="s">
        <v>69</v>
      </c>
      <c r="J1531" s="4" t="s">
        <v>66</v>
      </c>
      <c r="K1531" s="4">
        <v>0</v>
      </c>
      <c r="L1531" s="94">
        <v>-79534</v>
      </c>
      <c r="M1531" s="94">
        <v>0</v>
      </c>
    </row>
    <row r="1532" spans="3:13" x14ac:dyDescent="0.3">
      <c r="C1532" t="s">
        <v>70</v>
      </c>
      <c r="D1532" t="s">
        <v>62</v>
      </c>
      <c r="E1532" t="s">
        <v>68</v>
      </c>
      <c r="F1532" t="s">
        <v>24</v>
      </c>
      <c r="G1532" s="4">
        <v>1</v>
      </c>
      <c r="I1532" s="4" t="s">
        <v>65</v>
      </c>
      <c r="J1532" s="4" t="s">
        <v>66</v>
      </c>
      <c r="K1532" s="4">
        <v>1</v>
      </c>
      <c r="L1532" s="94">
        <v>10251</v>
      </c>
      <c r="M1532" s="94">
        <v>10251</v>
      </c>
    </row>
    <row r="1533" spans="3:13" x14ac:dyDescent="0.3">
      <c r="C1533" t="s">
        <v>70</v>
      </c>
      <c r="D1533" t="s">
        <v>67</v>
      </c>
      <c r="E1533" t="s">
        <v>63</v>
      </c>
      <c r="F1533" t="s">
        <v>25</v>
      </c>
      <c r="G1533" s="4">
        <v>12</v>
      </c>
      <c r="H1533" s="4" t="s">
        <v>12</v>
      </c>
      <c r="I1533" s="4" t="s">
        <v>69</v>
      </c>
      <c r="J1533" s="4" t="s">
        <v>66</v>
      </c>
      <c r="K1533" s="4">
        <v>1</v>
      </c>
      <c r="L1533" s="94">
        <v>-923</v>
      </c>
      <c r="M1533" s="94">
        <v>0</v>
      </c>
    </row>
    <row r="1534" spans="3:13" x14ac:dyDescent="0.3">
      <c r="C1534" t="s">
        <v>61</v>
      </c>
      <c r="D1534" t="s">
        <v>67</v>
      </c>
      <c r="E1534" t="s">
        <v>63</v>
      </c>
      <c r="F1534" t="s">
        <v>25</v>
      </c>
      <c r="G1534" s="4">
        <v>5</v>
      </c>
      <c r="H1534" s="4" t="s">
        <v>14</v>
      </c>
      <c r="I1534" s="4" t="s">
        <v>69</v>
      </c>
      <c r="J1534" s="4" t="s">
        <v>73</v>
      </c>
      <c r="K1534" s="4">
        <v>1</v>
      </c>
      <c r="L1534" s="94">
        <v>-371</v>
      </c>
      <c r="M1534" s="94">
        <v>0</v>
      </c>
    </row>
    <row r="1535" spans="3:13" x14ac:dyDescent="0.3">
      <c r="C1535" t="s">
        <v>70</v>
      </c>
      <c r="D1535" t="s">
        <v>67</v>
      </c>
      <c r="E1535" t="s">
        <v>68</v>
      </c>
      <c r="F1535" t="s">
        <v>26</v>
      </c>
      <c r="G1535" s="4">
        <v>7</v>
      </c>
      <c r="H1535" s="4" t="s">
        <v>12</v>
      </c>
      <c r="I1535" s="4" t="s">
        <v>69</v>
      </c>
      <c r="J1535" s="4" t="s">
        <v>66</v>
      </c>
      <c r="K1535" s="4">
        <v>0</v>
      </c>
      <c r="L1535" s="94">
        <v>87566</v>
      </c>
      <c r="M1535" s="94">
        <v>612962</v>
      </c>
    </row>
    <row r="1536" spans="3:13" x14ac:dyDescent="0.3">
      <c r="C1536" t="s">
        <v>61</v>
      </c>
      <c r="D1536" t="s">
        <v>67</v>
      </c>
      <c r="E1536" t="s">
        <v>68</v>
      </c>
      <c r="F1536" t="s">
        <v>26</v>
      </c>
      <c r="G1536" s="4">
        <v>-4</v>
      </c>
      <c r="H1536" s="4" t="s">
        <v>17</v>
      </c>
      <c r="I1536" s="4" t="s">
        <v>69</v>
      </c>
      <c r="J1536" s="4" t="s">
        <v>66</v>
      </c>
      <c r="K1536" s="4">
        <v>0</v>
      </c>
      <c r="L1536" s="94">
        <v>-123809</v>
      </c>
      <c r="M1536" s="94">
        <v>0</v>
      </c>
    </row>
    <row r="1537" spans="3:13" x14ac:dyDescent="0.3">
      <c r="C1537" t="s">
        <v>61</v>
      </c>
      <c r="D1537" t="s">
        <v>67</v>
      </c>
      <c r="E1537" t="s">
        <v>63</v>
      </c>
      <c r="F1537" t="s">
        <v>72</v>
      </c>
      <c r="G1537" s="4">
        <v>-1</v>
      </c>
      <c r="H1537" s="4" t="s">
        <v>18</v>
      </c>
      <c r="I1537" s="4" t="s">
        <v>69</v>
      </c>
      <c r="J1537" s="4" t="s">
        <v>73</v>
      </c>
      <c r="K1537" s="4">
        <v>1</v>
      </c>
      <c r="L1537" s="94">
        <v>-1136</v>
      </c>
      <c r="M1537" s="94">
        <v>0</v>
      </c>
    </row>
    <row r="1538" spans="3:13" x14ac:dyDescent="0.3">
      <c r="C1538" t="s">
        <v>71</v>
      </c>
      <c r="D1538" t="s">
        <v>67</v>
      </c>
      <c r="E1538" t="s">
        <v>63</v>
      </c>
      <c r="F1538" t="s">
        <v>72</v>
      </c>
      <c r="G1538" s="4">
        <v>2</v>
      </c>
      <c r="H1538" s="4" t="s">
        <v>14</v>
      </c>
      <c r="I1538" s="4" t="s">
        <v>69</v>
      </c>
      <c r="J1538" s="4" t="s">
        <v>73</v>
      </c>
      <c r="K1538" s="4">
        <v>1</v>
      </c>
      <c r="L1538" s="94">
        <v>-160522</v>
      </c>
      <c r="M1538" s="94">
        <v>0</v>
      </c>
    </row>
    <row r="1539" spans="3:13" x14ac:dyDescent="0.3">
      <c r="C1539" t="s">
        <v>71</v>
      </c>
      <c r="D1539" t="s">
        <v>62</v>
      </c>
      <c r="E1539" t="s">
        <v>63</v>
      </c>
      <c r="F1539" t="s">
        <v>24</v>
      </c>
      <c r="G1539" s="4">
        <v>45</v>
      </c>
      <c r="I1539" s="4" t="s">
        <v>69</v>
      </c>
      <c r="J1539" s="4" t="s">
        <v>66</v>
      </c>
      <c r="K1539" s="4">
        <v>0</v>
      </c>
      <c r="L1539" s="94">
        <v>-48726</v>
      </c>
      <c r="M1539" s="94">
        <v>0</v>
      </c>
    </row>
    <row r="1540" spans="3:13" x14ac:dyDescent="0.3">
      <c r="C1540" t="s">
        <v>61</v>
      </c>
      <c r="D1540" t="s">
        <v>67</v>
      </c>
      <c r="E1540" t="s">
        <v>63</v>
      </c>
      <c r="F1540" t="s">
        <v>72</v>
      </c>
      <c r="G1540" s="4">
        <v>-4</v>
      </c>
      <c r="H1540" s="4" t="s">
        <v>74</v>
      </c>
      <c r="I1540" s="4" t="s">
        <v>69</v>
      </c>
      <c r="J1540" s="4" t="s">
        <v>66</v>
      </c>
      <c r="K1540" s="4">
        <v>0</v>
      </c>
      <c r="L1540" s="94">
        <v>-4</v>
      </c>
      <c r="M1540" s="94">
        <v>0</v>
      </c>
    </row>
    <row r="1541" spans="3:13" x14ac:dyDescent="0.3">
      <c r="C1541" t="s">
        <v>71</v>
      </c>
      <c r="D1541" t="s">
        <v>62</v>
      </c>
      <c r="E1541" t="s">
        <v>68</v>
      </c>
      <c r="F1541" t="s">
        <v>25</v>
      </c>
      <c r="G1541" s="4">
        <v>11</v>
      </c>
      <c r="I1541" s="4" t="s">
        <v>69</v>
      </c>
      <c r="J1541" s="4" t="s">
        <v>66</v>
      </c>
      <c r="K1541" s="4">
        <v>0</v>
      </c>
      <c r="L1541" s="94">
        <v>34336</v>
      </c>
      <c r="M1541" s="94">
        <v>377696</v>
      </c>
    </row>
    <row r="1542" spans="3:13" x14ac:dyDescent="0.3">
      <c r="C1542" t="s">
        <v>71</v>
      </c>
      <c r="D1542" t="s">
        <v>67</v>
      </c>
      <c r="E1542" t="s">
        <v>68</v>
      </c>
      <c r="F1542" t="s">
        <v>25</v>
      </c>
      <c r="G1542" s="4">
        <v>6</v>
      </c>
      <c r="H1542" s="4" t="s">
        <v>14</v>
      </c>
      <c r="I1542" s="4" t="s">
        <v>69</v>
      </c>
      <c r="J1542" s="4" t="s">
        <v>66</v>
      </c>
      <c r="K1542" s="4">
        <v>1</v>
      </c>
      <c r="L1542" s="94">
        <v>1571117</v>
      </c>
      <c r="M1542" s="94">
        <v>9426702</v>
      </c>
    </row>
    <row r="1543" spans="3:13" x14ac:dyDescent="0.3">
      <c r="C1543" t="s">
        <v>70</v>
      </c>
      <c r="D1543" t="s">
        <v>67</v>
      </c>
      <c r="E1543" t="s">
        <v>63</v>
      </c>
      <c r="F1543" t="s">
        <v>25</v>
      </c>
      <c r="G1543" s="4">
        <v>5</v>
      </c>
      <c r="H1543" s="4" t="s">
        <v>79</v>
      </c>
      <c r="I1543" s="4" t="s">
        <v>69</v>
      </c>
      <c r="J1543" s="4" t="s">
        <v>66</v>
      </c>
      <c r="K1543" s="4">
        <v>0</v>
      </c>
      <c r="L1543" s="94">
        <v>-11199</v>
      </c>
      <c r="M1543" s="94">
        <v>0</v>
      </c>
    </row>
    <row r="1544" spans="3:13" x14ac:dyDescent="0.3">
      <c r="C1544" t="s">
        <v>71</v>
      </c>
      <c r="D1544" t="s">
        <v>67</v>
      </c>
      <c r="E1544" t="s">
        <v>68</v>
      </c>
      <c r="F1544" t="s">
        <v>25</v>
      </c>
      <c r="G1544" s="4">
        <v>9</v>
      </c>
      <c r="H1544" s="4" t="s">
        <v>76</v>
      </c>
      <c r="I1544" s="4" t="s">
        <v>69</v>
      </c>
      <c r="J1544" s="4" t="s">
        <v>66</v>
      </c>
      <c r="K1544" s="4">
        <v>0</v>
      </c>
      <c r="L1544" s="94">
        <v>953982</v>
      </c>
      <c r="M1544" s="94">
        <v>8585838</v>
      </c>
    </row>
    <row r="1545" spans="3:13" x14ac:dyDescent="0.3">
      <c r="C1545" t="s">
        <v>61</v>
      </c>
      <c r="D1545" t="s">
        <v>67</v>
      </c>
      <c r="E1545" t="s">
        <v>63</v>
      </c>
      <c r="F1545" t="s">
        <v>72</v>
      </c>
      <c r="G1545" s="4">
        <v>1</v>
      </c>
      <c r="H1545" s="4" t="s">
        <v>82</v>
      </c>
      <c r="I1545" s="4" t="s">
        <v>65</v>
      </c>
      <c r="J1545" s="4" t="s">
        <v>66</v>
      </c>
      <c r="K1545" s="4">
        <v>1</v>
      </c>
      <c r="L1545" s="94">
        <v>-152</v>
      </c>
      <c r="M1545" s="94">
        <v>0</v>
      </c>
    </row>
    <row r="1546" spans="3:13" x14ac:dyDescent="0.3">
      <c r="C1546" t="s">
        <v>70</v>
      </c>
      <c r="D1546" t="s">
        <v>67</v>
      </c>
      <c r="E1546" t="s">
        <v>68</v>
      </c>
      <c r="F1546" t="s">
        <v>25</v>
      </c>
      <c r="G1546" s="4">
        <v>16</v>
      </c>
      <c r="H1546" s="4" t="s">
        <v>17</v>
      </c>
      <c r="I1546" s="4" t="s">
        <v>69</v>
      </c>
      <c r="J1546" s="4" t="s">
        <v>66</v>
      </c>
      <c r="K1546" s="4">
        <v>0</v>
      </c>
      <c r="L1546" s="94">
        <v>138078</v>
      </c>
      <c r="M1546" s="94">
        <v>2209248</v>
      </c>
    </row>
    <row r="1547" spans="3:13" x14ac:dyDescent="0.3">
      <c r="C1547" t="s">
        <v>70</v>
      </c>
      <c r="D1547" t="s">
        <v>67</v>
      </c>
      <c r="E1547" t="s">
        <v>68</v>
      </c>
      <c r="F1547" t="s">
        <v>72</v>
      </c>
      <c r="G1547" s="4">
        <v>-1</v>
      </c>
      <c r="H1547" s="4" t="s">
        <v>14</v>
      </c>
      <c r="I1547" s="4" t="s">
        <v>69</v>
      </c>
      <c r="J1547" s="4" t="s">
        <v>73</v>
      </c>
      <c r="K1547" s="4">
        <v>1</v>
      </c>
      <c r="L1547" s="94">
        <v>314004</v>
      </c>
      <c r="M1547" s="94">
        <v>0</v>
      </c>
    </row>
    <row r="1548" spans="3:13" x14ac:dyDescent="0.3">
      <c r="C1548" t="s">
        <v>61</v>
      </c>
      <c r="D1548" t="s">
        <v>67</v>
      </c>
      <c r="E1548" t="s">
        <v>63</v>
      </c>
      <c r="F1548" t="s">
        <v>25</v>
      </c>
      <c r="G1548" s="4">
        <v>10</v>
      </c>
      <c r="H1548" s="4" t="s">
        <v>77</v>
      </c>
      <c r="I1548" s="4" t="s">
        <v>69</v>
      </c>
      <c r="J1548" s="4" t="s">
        <v>66</v>
      </c>
      <c r="K1548" s="4">
        <v>0</v>
      </c>
      <c r="L1548" s="94">
        <v>-1414</v>
      </c>
      <c r="M1548" s="94">
        <v>0</v>
      </c>
    </row>
    <row r="1549" spans="3:13" x14ac:dyDescent="0.3">
      <c r="C1549" t="s">
        <v>61</v>
      </c>
      <c r="D1549" t="s">
        <v>62</v>
      </c>
      <c r="E1549" t="s">
        <v>68</v>
      </c>
      <c r="F1549" t="s">
        <v>25</v>
      </c>
      <c r="G1549" s="4">
        <v>18</v>
      </c>
      <c r="I1549" s="4" t="s">
        <v>69</v>
      </c>
      <c r="J1549" s="4" t="s">
        <v>66</v>
      </c>
      <c r="K1549" s="4">
        <v>1</v>
      </c>
      <c r="L1549" s="94">
        <v>71937</v>
      </c>
      <c r="M1549" s="94">
        <v>1294866</v>
      </c>
    </row>
    <row r="1550" spans="3:13" x14ac:dyDescent="0.3">
      <c r="C1550" t="s">
        <v>71</v>
      </c>
      <c r="D1550" t="s">
        <v>67</v>
      </c>
      <c r="E1550" t="s">
        <v>68</v>
      </c>
      <c r="F1550" t="s">
        <v>72</v>
      </c>
      <c r="G1550" s="4">
        <v>6</v>
      </c>
      <c r="H1550" s="4" t="s">
        <v>14</v>
      </c>
      <c r="I1550" s="4" t="s">
        <v>69</v>
      </c>
      <c r="J1550" s="4" t="s">
        <v>73</v>
      </c>
      <c r="K1550" s="4">
        <v>1</v>
      </c>
      <c r="L1550" s="94">
        <v>248018</v>
      </c>
      <c r="M1550" s="94">
        <v>1488108</v>
      </c>
    </row>
    <row r="1551" spans="3:13" x14ac:dyDescent="0.3">
      <c r="C1551" t="s">
        <v>70</v>
      </c>
      <c r="D1551" t="s">
        <v>67</v>
      </c>
      <c r="E1551" t="s">
        <v>63</v>
      </c>
      <c r="F1551" t="s">
        <v>72</v>
      </c>
      <c r="G1551" s="4">
        <v>-4</v>
      </c>
      <c r="H1551" s="4" t="s">
        <v>17</v>
      </c>
      <c r="I1551" s="4" t="s">
        <v>65</v>
      </c>
      <c r="J1551" s="4" t="s">
        <v>73</v>
      </c>
      <c r="K1551" s="4">
        <v>1</v>
      </c>
      <c r="L1551" s="94">
        <v>-43</v>
      </c>
      <c r="M1551" s="94">
        <v>0</v>
      </c>
    </row>
    <row r="1552" spans="3:13" x14ac:dyDescent="0.3">
      <c r="C1552" t="s">
        <v>61</v>
      </c>
      <c r="D1552" t="s">
        <v>67</v>
      </c>
      <c r="E1552" t="s">
        <v>63</v>
      </c>
      <c r="F1552" t="s">
        <v>72</v>
      </c>
      <c r="G1552" s="4">
        <v>4</v>
      </c>
      <c r="H1552" s="4" t="s">
        <v>16</v>
      </c>
      <c r="I1552" s="4" t="s">
        <v>69</v>
      </c>
      <c r="J1552" s="4" t="s">
        <v>66</v>
      </c>
      <c r="K1552" s="4">
        <v>0</v>
      </c>
      <c r="L1552" s="94">
        <v>-342</v>
      </c>
      <c r="M1552" s="94">
        <v>0</v>
      </c>
    </row>
    <row r="1553" spans="3:13" x14ac:dyDescent="0.3">
      <c r="C1553" t="s">
        <v>61</v>
      </c>
      <c r="D1553" t="s">
        <v>62</v>
      </c>
      <c r="E1553" t="s">
        <v>68</v>
      </c>
      <c r="F1553" t="s">
        <v>24</v>
      </c>
      <c r="G1553" s="4">
        <v>33</v>
      </c>
      <c r="I1553" s="4" t="s">
        <v>65</v>
      </c>
      <c r="J1553" s="4" t="s">
        <v>66</v>
      </c>
      <c r="K1553" s="4">
        <v>1</v>
      </c>
      <c r="L1553" s="94">
        <v>17292265</v>
      </c>
      <c r="M1553" s="94">
        <v>570644745</v>
      </c>
    </row>
    <row r="1554" spans="3:13" x14ac:dyDescent="0.3">
      <c r="C1554" t="s">
        <v>61</v>
      </c>
      <c r="D1554" t="s">
        <v>67</v>
      </c>
      <c r="E1554" t="s">
        <v>63</v>
      </c>
      <c r="F1554" t="s">
        <v>25</v>
      </c>
      <c r="G1554" s="4">
        <v>9</v>
      </c>
      <c r="H1554" s="4" t="s">
        <v>17</v>
      </c>
      <c r="I1554" s="4" t="s">
        <v>69</v>
      </c>
      <c r="J1554" s="4" t="s">
        <v>66</v>
      </c>
      <c r="K1554" s="4">
        <v>0</v>
      </c>
      <c r="L1554" s="94">
        <v>-41212</v>
      </c>
      <c r="M1554" s="94">
        <v>0</v>
      </c>
    </row>
    <row r="1555" spans="3:13" x14ac:dyDescent="0.3">
      <c r="C1555" t="s">
        <v>70</v>
      </c>
      <c r="D1555" t="s">
        <v>62</v>
      </c>
      <c r="E1555" t="s">
        <v>68</v>
      </c>
      <c r="F1555" t="s">
        <v>24</v>
      </c>
      <c r="G1555" s="4">
        <v>33</v>
      </c>
      <c r="I1555" s="4" t="s">
        <v>69</v>
      </c>
      <c r="J1555" s="4" t="s">
        <v>66</v>
      </c>
      <c r="K1555" s="4">
        <v>0</v>
      </c>
      <c r="L1555" s="94">
        <v>51830490</v>
      </c>
      <c r="M1555" s="94">
        <v>1710406170</v>
      </c>
    </row>
    <row r="1556" spans="3:13" x14ac:dyDescent="0.3">
      <c r="C1556" t="s">
        <v>70</v>
      </c>
      <c r="D1556" t="s">
        <v>67</v>
      </c>
      <c r="E1556" t="s">
        <v>68</v>
      </c>
      <c r="F1556" t="s">
        <v>26</v>
      </c>
      <c r="G1556" s="4">
        <v>1</v>
      </c>
      <c r="H1556" s="4" t="s">
        <v>14</v>
      </c>
      <c r="I1556" s="4" t="s">
        <v>65</v>
      </c>
      <c r="J1556" s="4" t="s">
        <v>66</v>
      </c>
      <c r="K1556" s="4">
        <v>1</v>
      </c>
      <c r="L1556" s="94">
        <v>14065</v>
      </c>
      <c r="M1556" s="94">
        <v>14065</v>
      </c>
    </row>
    <row r="1557" spans="3:13" x14ac:dyDescent="0.3">
      <c r="C1557" t="s">
        <v>70</v>
      </c>
      <c r="D1557" t="s">
        <v>67</v>
      </c>
      <c r="E1557" t="s">
        <v>63</v>
      </c>
      <c r="F1557" t="s">
        <v>26</v>
      </c>
      <c r="G1557" s="4">
        <v>2</v>
      </c>
      <c r="H1557" s="4" t="s">
        <v>78</v>
      </c>
      <c r="I1557" s="4" t="s">
        <v>69</v>
      </c>
      <c r="J1557" s="4" t="s">
        <v>66</v>
      </c>
      <c r="K1557" s="4">
        <v>0</v>
      </c>
      <c r="L1557" s="94">
        <v>-89649</v>
      </c>
      <c r="M1557" s="94">
        <v>0</v>
      </c>
    </row>
    <row r="1558" spans="3:13" x14ac:dyDescent="0.3">
      <c r="C1558" t="s">
        <v>61</v>
      </c>
      <c r="D1558" t="s">
        <v>67</v>
      </c>
      <c r="E1558" t="s">
        <v>68</v>
      </c>
      <c r="F1558" t="s">
        <v>26</v>
      </c>
      <c r="G1558" s="4">
        <v>10</v>
      </c>
      <c r="H1558" s="4" t="s">
        <v>12</v>
      </c>
      <c r="I1558" s="4" t="s">
        <v>69</v>
      </c>
      <c r="J1558" s="4" t="s">
        <v>73</v>
      </c>
      <c r="K1558" s="4">
        <v>1</v>
      </c>
      <c r="L1558" s="94">
        <v>5792273</v>
      </c>
      <c r="M1558" s="94">
        <v>57922730</v>
      </c>
    </row>
    <row r="1559" spans="3:13" x14ac:dyDescent="0.3">
      <c r="C1559" t="s">
        <v>70</v>
      </c>
      <c r="D1559" t="s">
        <v>67</v>
      </c>
      <c r="E1559" t="s">
        <v>63</v>
      </c>
      <c r="F1559" t="s">
        <v>26</v>
      </c>
      <c r="G1559" s="4">
        <v>0</v>
      </c>
      <c r="H1559" s="4" t="s">
        <v>76</v>
      </c>
      <c r="I1559" s="4" t="s">
        <v>69</v>
      </c>
      <c r="J1559" s="4" t="s">
        <v>66</v>
      </c>
      <c r="K1559" s="4">
        <v>0</v>
      </c>
      <c r="L1559" s="94">
        <v>-18450</v>
      </c>
      <c r="M1559" s="94">
        <v>0</v>
      </c>
    </row>
    <row r="1560" spans="3:13" x14ac:dyDescent="0.3">
      <c r="C1560" t="s">
        <v>61</v>
      </c>
      <c r="D1560" t="s">
        <v>67</v>
      </c>
      <c r="E1560" t="s">
        <v>63</v>
      </c>
      <c r="F1560" t="s">
        <v>25</v>
      </c>
      <c r="G1560" s="4">
        <v>0</v>
      </c>
      <c r="H1560" s="4" t="s">
        <v>76</v>
      </c>
      <c r="I1560" s="4" t="s">
        <v>69</v>
      </c>
      <c r="J1560" s="4" t="s">
        <v>66</v>
      </c>
      <c r="K1560" s="4">
        <v>0</v>
      </c>
      <c r="L1560" s="94">
        <v>-679</v>
      </c>
      <c r="M1560" s="94">
        <v>0</v>
      </c>
    </row>
    <row r="1561" spans="3:13" x14ac:dyDescent="0.3">
      <c r="C1561" t="s">
        <v>61</v>
      </c>
      <c r="D1561" t="s">
        <v>67</v>
      </c>
      <c r="E1561" t="s">
        <v>63</v>
      </c>
      <c r="F1561" t="s">
        <v>25</v>
      </c>
      <c r="G1561" s="4">
        <v>16</v>
      </c>
      <c r="H1561" s="4" t="s">
        <v>12</v>
      </c>
      <c r="I1561" s="4" t="s">
        <v>69</v>
      </c>
      <c r="J1561" s="4" t="s">
        <v>66</v>
      </c>
      <c r="K1561" s="4">
        <v>1</v>
      </c>
      <c r="L1561" s="94">
        <v>-3822</v>
      </c>
      <c r="M1561" s="94">
        <v>0</v>
      </c>
    </row>
    <row r="1562" spans="3:13" x14ac:dyDescent="0.3">
      <c r="D1562" t="s">
        <v>67</v>
      </c>
      <c r="E1562" t="s">
        <v>68</v>
      </c>
      <c r="G1562" s="4">
        <v>-3</v>
      </c>
      <c r="H1562" s="4" t="s">
        <v>77</v>
      </c>
      <c r="I1562" s="4" t="s">
        <v>69</v>
      </c>
      <c r="J1562" s="4" t="s">
        <v>66</v>
      </c>
      <c r="K1562" s="4">
        <v>0</v>
      </c>
      <c r="L1562" s="94">
        <v>133078</v>
      </c>
      <c r="M1562" s="94">
        <v>0</v>
      </c>
    </row>
    <row r="1563" spans="3:13" x14ac:dyDescent="0.3">
      <c r="C1563" t="s">
        <v>70</v>
      </c>
      <c r="D1563" t="s">
        <v>67</v>
      </c>
      <c r="E1563" t="s">
        <v>68</v>
      </c>
      <c r="F1563" t="s">
        <v>25</v>
      </c>
      <c r="G1563" s="4">
        <v>5</v>
      </c>
      <c r="H1563" s="4" t="s">
        <v>75</v>
      </c>
      <c r="I1563" s="4" t="s">
        <v>69</v>
      </c>
      <c r="J1563" s="4" t="s">
        <v>66</v>
      </c>
      <c r="K1563" s="4">
        <v>0</v>
      </c>
      <c r="L1563" s="94">
        <v>6292796</v>
      </c>
      <c r="M1563" s="94">
        <v>31463980</v>
      </c>
    </row>
    <row r="1564" spans="3:13" x14ac:dyDescent="0.3">
      <c r="C1564" t="s">
        <v>70</v>
      </c>
      <c r="D1564" t="s">
        <v>62</v>
      </c>
      <c r="E1564" t="s">
        <v>63</v>
      </c>
      <c r="F1564" t="s">
        <v>24</v>
      </c>
      <c r="G1564" s="4">
        <v>36</v>
      </c>
      <c r="I1564" s="4" t="s">
        <v>69</v>
      </c>
      <c r="J1564" s="4" t="s">
        <v>66</v>
      </c>
      <c r="K1564" s="4">
        <v>0</v>
      </c>
      <c r="L1564" s="94">
        <v>-2461481</v>
      </c>
      <c r="M1564" s="94">
        <v>0</v>
      </c>
    </row>
    <row r="1565" spans="3:13" x14ac:dyDescent="0.3">
      <c r="C1565" t="s">
        <v>61</v>
      </c>
      <c r="D1565" t="s">
        <v>84</v>
      </c>
      <c r="E1565" t="s">
        <v>68</v>
      </c>
      <c r="F1565" t="s">
        <v>25</v>
      </c>
      <c r="G1565" s="4">
        <v>0</v>
      </c>
      <c r="H1565" s="4" t="s">
        <v>81</v>
      </c>
      <c r="I1565" s="4" t="s">
        <v>69</v>
      </c>
      <c r="J1565" s="4" t="s">
        <v>66</v>
      </c>
      <c r="K1565" s="4">
        <v>0</v>
      </c>
      <c r="L1565" s="94">
        <v>49031</v>
      </c>
      <c r="M1565" s="94">
        <v>0</v>
      </c>
    </row>
    <row r="1566" spans="3:13" x14ac:dyDescent="0.3">
      <c r="C1566" t="s">
        <v>61</v>
      </c>
      <c r="D1566" t="s">
        <v>67</v>
      </c>
      <c r="E1566" t="s">
        <v>68</v>
      </c>
      <c r="F1566" t="s">
        <v>72</v>
      </c>
      <c r="G1566" s="4">
        <v>-4</v>
      </c>
      <c r="H1566" s="4" t="s">
        <v>17</v>
      </c>
      <c r="I1566" s="4" t="s">
        <v>69</v>
      </c>
      <c r="J1566" s="4" t="s">
        <v>66</v>
      </c>
      <c r="K1566" s="4">
        <v>0</v>
      </c>
      <c r="L1566" s="94">
        <v>162</v>
      </c>
      <c r="M1566" s="94">
        <v>0</v>
      </c>
    </row>
    <row r="1567" spans="3:13" x14ac:dyDescent="0.3">
      <c r="C1567" t="s">
        <v>61</v>
      </c>
      <c r="D1567" t="s">
        <v>67</v>
      </c>
      <c r="E1567" t="s">
        <v>63</v>
      </c>
      <c r="F1567" t="s">
        <v>26</v>
      </c>
      <c r="G1567" s="4">
        <v>8</v>
      </c>
      <c r="H1567" s="4" t="s">
        <v>75</v>
      </c>
      <c r="I1567" s="4" t="s">
        <v>69</v>
      </c>
      <c r="J1567" s="4" t="s">
        <v>66</v>
      </c>
      <c r="K1567" s="4">
        <v>0</v>
      </c>
      <c r="L1567" s="94">
        <v>-6023</v>
      </c>
      <c r="M1567" s="94">
        <v>0</v>
      </c>
    </row>
    <row r="1568" spans="3:13" x14ac:dyDescent="0.3">
      <c r="C1568" t="s">
        <v>61</v>
      </c>
      <c r="D1568" t="s">
        <v>67</v>
      </c>
      <c r="E1568" t="s">
        <v>68</v>
      </c>
      <c r="F1568" t="s">
        <v>26</v>
      </c>
      <c r="G1568" s="4">
        <v>2</v>
      </c>
      <c r="H1568" s="4" t="s">
        <v>13</v>
      </c>
      <c r="I1568" s="4" t="s">
        <v>69</v>
      </c>
      <c r="J1568" s="4" t="s">
        <v>66</v>
      </c>
      <c r="K1568" s="4">
        <v>0</v>
      </c>
      <c r="L1568" s="94">
        <v>15678</v>
      </c>
      <c r="M1568" s="94">
        <v>31356</v>
      </c>
    </row>
    <row r="1569" spans="3:13" x14ac:dyDescent="0.3">
      <c r="C1569" t="s">
        <v>61</v>
      </c>
      <c r="D1569" t="s">
        <v>62</v>
      </c>
      <c r="E1569" t="s">
        <v>63</v>
      </c>
      <c r="F1569" t="s">
        <v>24</v>
      </c>
      <c r="G1569" s="4">
        <v>52</v>
      </c>
      <c r="I1569" s="4" t="s">
        <v>69</v>
      </c>
      <c r="J1569" s="4" t="s">
        <v>66</v>
      </c>
      <c r="K1569" s="4">
        <v>0</v>
      </c>
      <c r="L1569" s="94">
        <v>-45</v>
      </c>
      <c r="M1569" s="94">
        <v>0</v>
      </c>
    </row>
    <row r="1570" spans="3:13" x14ac:dyDescent="0.3">
      <c r="C1570" t="s">
        <v>71</v>
      </c>
      <c r="D1570" t="s">
        <v>67</v>
      </c>
      <c r="E1570" t="s">
        <v>63</v>
      </c>
      <c r="F1570" t="s">
        <v>26</v>
      </c>
      <c r="G1570" s="4">
        <v>-4</v>
      </c>
      <c r="I1570" s="4" t="s">
        <v>69</v>
      </c>
      <c r="J1570" s="4" t="s">
        <v>66</v>
      </c>
      <c r="K1570" s="4">
        <v>0</v>
      </c>
      <c r="L1570" s="94">
        <v>-213586</v>
      </c>
      <c r="M1570" s="94">
        <v>0</v>
      </c>
    </row>
    <row r="1571" spans="3:13" x14ac:dyDescent="0.3">
      <c r="C1571" t="s">
        <v>61</v>
      </c>
      <c r="D1571" t="s">
        <v>67</v>
      </c>
      <c r="E1571" t="s">
        <v>68</v>
      </c>
      <c r="F1571" t="s">
        <v>72</v>
      </c>
      <c r="G1571" s="4">
        <v>1</v>
      </c>
      <c r="H1571" s="4" t="s">
        <v>16</v>
      </c>
      <c r="I1571" s="4" t="s">
        <v>69</v>
      </c>
      <c r="J1571" s="4" t="s">
        <v>66</v>
      </c>
      <c r="K1571" s="4">
        <v>0</v>
      </c>
      <c r="L1571" s="94">
        <v>277252</v>
      </c>
      <c r="M1571" s="94">
        <v>277252</v>
      </c>
    </row>
    <row r="1572" spans="3:13" x14ac:dyDescent="0.3">
      <c r="C1572" t="s">
        <v>70</v>
      </c>
      <c r="D1572" t="s">
        <v>67</v>
      </c>
      <c r="E1572" t="s">
        <v>68</v>
      </c>
      <c r="F1572" t="s">
        <v>26</v>
      </c>
      <c r="G1572" s="4">
        <v>7</v>
      </c>
      <c r="H1572" s="4" t="s">
        <v>12</v>
      </c>
      <c r="I1572" s="4" t="s">
        <v>69</v>
      </c>
      <c r="J1572" s="4" t="s">
        <v>73</v>
      </c>
      <c r="K1572" s="4">
        <v>1</v>
      </c>
      <c r="L1572" s="94">
        <v>7023374</v>
      </c>
      <c r="M1572" s="94">
        <v>49163618</v>
      </c>
    </row>
    <row r="1573" spans="3:13" x14ac:dyDescent="0.3">
      <c r="C1573" t="s">
        <v>61</v>
      </c>
      <c r="D1573" t="s">
        <v>62</v>
      </c>
      <c r="E1573" t="s">
        <v>63</v>
      </c>
      <c r="F1573" t="s">
        <v>25</v>
      </c>
      <c r="G1573" s="4">
        <v>11</v>
      </c>
      <c r="I1573" s="4" t="s">
        <v>69</v>
      </c>
      <c r="J1573" s="4" t="s">
        <v>66</v>
      </c>
      <c r="K1573" s="4">
        <v>0</v>
      </c>
      <c r="L1573" s="94">
        <v>-11597</v>
      </c>
      <c r="M1573" s="94">
        <v>0</v>
      </c>
    </row>
    <row r="1574" spans="3:13" x14ac:dyDescent="0.3">
      <c r="C1574" t="s">
        <v>61</v>
      </c>
      <c r="D1574" t="s">
        <v>67</v>
      </c>
      <c r="E1574" t="s">
        <v>68</v>
      </c>
      <c r="F1574" t="s">
        <v>72</v>
      </c>
      <c r="G1574" s="4">
        <v>2</v>
      </c>
      <c r="H1574" s="4" t="s">
        <v>82</v>
      </c>
      <c r="I1574" s="4" t="s">
        <v>65</v>
      </c>
      <c r="J1574" s="4" t="s">
        <v>66</v>
      </c>
      <c r="K1574" s="4">
        <v>1</v>
      </c>
      <c r="L1574" s="94">
        <v>25361</v>
      </c>
      <c r="M1574" s="94">
        <v>50722</v>
      </c>
    </row>
    <row r="1575" spans="3:13" x14ac:dyDescent="0.3">
      <c r="C1575" t="s">
        <v>70</v>
      </c>
      <c r="D1575" t="s">
        <v>67</v>
      </c>
      <c r="E1575" t="s">
        <v>68</v>
      </c>
      <c r="F1575" t="s">
        <v>72</v>
      </c>
      <c r="G1575" s="4">
        <v>7</v>
      </c>
      <c r="H1575" s="4" t="s">
        <v>14</v>
      </c>
      <c r="I1575" s="4" t="s">
        <v>69</v>
      </c>
      <c r="J1575" s="4" t="s">
        <v>66</v>
      </c>
      <c r="K1575" s="4">
        <v>0</v>
      </c>
      <c r="L1575" s="94">
        <v>17564</v>
      </c>
      <c r="M1575" s="94">
        <v>122948</v>
      </c>
    </row>
    <row r="1576" spans="3:13" x14ac:dyDescent="0.3">
      <c r="C1576" t="s">
        <v>61</v>
      </c>
      <c r="D1576" t="s">
        <v>62</v>
      </c>
      <c r="E1576" t="s">
        <v>63</v>
      </c>
      <c r="F1576" t="s">
        <v>24</v>
      </c>
      <c r="G1576" s="4">
        <v>19</v>
      </c>
      <c r="I1576" s="4" t="s">
        <v>65</v>
      </c>
      <c r="J1576" s="4" t="s">
        <v>66</v>
      </c>
      <c r="K1576" s="4">
        <v>1</v>
      </c>
      <c r="L1576" s="94">
        <v>-2494</v>
      </c>
      <c r="M1576" s="94">
        <v>0</v>
      </c>
    </row>
    <row r="1577" spans="3:13" x14ac:dyDescent="0.3">
      <c r="C1577" t="s">
        <v>70</v>
      </c>
      <c r="D1577" t="s">
        <v>67</v>
      </c>
      <c r="E1577" t="s">
        <v>68</v>
      </c>
      <c r="F1577" t="s">
        <v>25</v>
      </c>
      <c r="G1577" s="4">
        <v>12</v>
      </c>
      <c r="H1577" s="4" t="s">
        <v>79</v>
      </c>
      <c r="I1577" s="4" t="s">
        <v>69</v>
      </c>
      <c r="J1577" s="4" t="s">
        <v>66</v>
      </c>
      <c r="K1577" s="4">
        <v>0</v>
      </c>
      <c r="L1577" s="94">
        <v>1482147</v>
      </c>
      <c r="M1577" s="94">
        <v>17785764</v>
      </c>
    </row>
    <row r="1578" spans="3:13" x14ac:dyDescent="0.3">
      <c r="C1578" t="s">
        <v>71</v>
      </c>
      <c r="D1578" t="s">
        <v>62</v>
      </c>
      <c r="E1578" t="s">
        <v>68</v>
      </c>
      <c r="F1578" t="s">
        <v>24</v>
      </c>
      <c r="G1578" s="4">
        <v>13</v>
      </c>
      <c r="I1578" s="4" t="s">
        <v>65</v>
      </c>
      <c r="J1578" s="4" t="s">
        <v>66</v>
      </c>
      <c r="K1578" s="4">
        <v>1</v>
      </c>
      <c r="L1578" s="94">
        <v>58870</v>
      </c>
      <c r="M1578" s="94">
        <v>765310</v>
      </c>
    </row>
    <row r="1579" spans="3:13" x14ac:dyDescent="0.3">
      <c r="C1579" t="s">
        <v>61</v>
      </c>
      <c r="D1579" t="s">
        <v>67</v>
      </c>
      <c r="E1579" t="s">
        <v>63</v>
      </c>
      <c r="F1579" t="s">
        <v>72</v>
      </c>
      <c r="G1579" s="4">
        <v>6</v>
      </c>
      <c r="H1579" s="4" t="s">
        <v>12</v>
      </c>
      <c r="I1579" s="4" t="s">
        <v>69</v>
      </c>
      <c r="J1579" s="4" t="s">
        <v>73</v>
      </c>
      <c r="K1579" s="4">
        <v>1</v>
      </c>
      <c r="L1579" s="94">
        <v>-344</v>
      </c>
      <c r="M1579" s="94">
        <v>0</v>
      </c>
    </row>
    <row r="1580" spans="3:13" x14ac:dyDescent="0.3">
      <c r="C1580" t="s">
        <v>71</v>
      </c>
      <c r="D1580" t="s">
        <v>67</v>
      </c>
      <c r="E1580" t="s">
        <v>68</v>
      </c>
      <c r="F1580" t="s">
        <v>26</v>
      </c>
      <c r="G1580" s="4">
        <v>1</v>
      </c>
      <c r="H1580" s="4" t="s">
        <v>14</v>
      </c>
      <c r="I1580" s="4" t="s">
        <v>69</v>
      </c>
      <c r="J1580" s="4" t="s">
        <v>73</v>
      </c>
      <c r="K1580" s="4">
        <v>1</v>
      </c>
      <c r="L1580" s="94">
        <v>2082645</v>
      </c>
      <c r="M1580" s="94">
        <v>2082645</v>
      </c>
    </row>
    <row r="1581" spans="3:13" x14ac:dyDescent="0.3">
      <c r="C1581" t="s">
        <v>71</v>
      </c>
      <c r="D1581" t="s">
        <v>62</v>
      </c>
      <c r="E1581" t="s">
        <v>68</v>
      </c>
      <c r="F1581" t="s">
        <v>25</v>
      </c>
      <c r="G1581" s="4">
        <v>5</v>
      </c>
      <c r="I1581" s="4" t="s">
        <v>69</v>
      </c>
      <c r="J1581" s="4" t="s">
        <v>66</v>
      </c>
      <c r="K1581" s="4">
        <v>0</v>
      </c>
      <c r="L1581" s="94">
        <v>153061</v>
      </c>
      <c r="M1581" s="94">
        <v>765305</v>
      </c>
    </row>
    <row r="1582" spans="3:13" x14ac:dyDescent="0.3">
      <c r="C1582" t="s">
        <v>70</v>
      </c>
      <c r="D1582" t="s">
        <v>67</v>
      </c>
      <c r="E1582" t="s">
        <v>68</v>
      </c>
      <c r="F1582" t="s">
        <v>26</v>
      </c>
      <c r="G1582" s="4">
        <v>6</v>
      </c>
      <c r="H1582" s="4" t="s">
        <v>13</v>
      </c>
      <c r="I1582" s="4" t="s">
        <v>69</v>
      </c>
      <c r="J1582" s="4" t="s">
        <v>73</v>
      </c>
      <c r="K1582" s="4">
        <v>1</v>
      </c>
      <c r="L1582" s="94">
        <v>150757</v>
      </c>
      <c r="M1582" s="94">
        <v>904542</v>
      </c>
    </row>
    <row r="1583" spans="3:13" x14ac:dyDescent="0.3">
      <c r="C1583" t="s">
        <v>61</v>
      </c>
      <c r="D1583" t="s">
        <v>67</v>
      </c>
      <c r="E1583" t="s">
        <v>68</v>
      </c>
      <c r="F1583" t="s">
        <v>26</v>
      </c>
      <c r="G1583" s="4">
        <v>-1</v>
      </c>
      <c r="H1583" s="4" t="s">
        <v>12</v>
      </c>
      <c r="I1583" s="4" t="s">
        <v>65</v>
      </c>
      <c r="J1583" s="4" t="s">
        <v>73</v>
      </c>
      <c r="K1583" s="4">
        <v>1</v>
      </c>
      <c r="L1583" s="94">
        <v>1183125</v>
      </c>
      <c r="M1583" s="94">
        <v>0</v>
      </c>
    </row>
    <row r="1584" spans="3:13" x14ac:dyDescent="0.3">
      <c r="C1584" t="s">
        <v>70</v>
      </c>
      <c r="D1584" t="s">
        <v>67</v>
      </c>
      <c r="E1584" t="s">
        <v>63</v>
      </c>
      <c r="F1584" t="s">
        <v>72</v>
      </c>
      <c r="G1584" s="4">
        <v>3</v>
      </c>
      <c r="H1584" s="4" t="s">
        <v>18</v>
      </c>
      <c r="I1584" s="4" t="s">
        <v>69</v>
      </c>
      <c r="J1584" s="4" t="s">
        <v>73</v>
      </c>
      <c r="K1584" s="4">
        <v>1</v>
      </c>
      <c r="L1584" s="94">
        <v>-11717</v>
      </c>
      <c r="M1584" s="94">
        <v>0</v>
      </c>
    </row>
    <row r="1585" spans="3:13" x14ac:dyDescent="0.3">
      <c r="C1585" t="s">
        <v>70</v>
      </c>
      <c r="D1585" t="s">
        <v>67</v>
      </c>
      <c r="E1585" t="s">
        <v>68</v>
      </c>
      <c r="F1585" t="s">
        <v>25</v>
      </c>
      <c r="G1585" s="4">
        <v>9</v>
      </c>
      <c r="H1585" s="4" t="s">
        <v>16</v>
      </c>
      <c r="I1585" s="4" t="s">
        <v>69</v>
      </c>
      <c r="J1585" s="4" t="s">
        <v>66</v>
      </c>
      <c r="K1585" s="4">
        <v>0</v>
      </c>
      <c r="L1585" s="94">
        <v>62920</v>
      </c>
      <c r="M1585" s="94">
        <v>566280</v>
      </c>
    </row>
    <row r="1586" spans="3:13" x14ac:dyDescent="0.3">
      <c r="C1586" t="s">
        <v>61</v>
      </c>
      <c r="D1586" t="s">
        <v>67</v>
      </c>
      <c r="E1586" t="s">
        <v>63</v>
      </c>
      <c r="F1586" t="s">
        <v>26</v>
      </c>
      <c r="G1586" s="4">
        <v>1</v>
      </c>
      <c r="H1586" s="4" t="s">
        <v>12</v>
      </c>
      <c r="I1586" s="4" t="s">
        <v>65</v>
      </c>
      <c r="J1586" s="4" t="s">
        <v>73</v>
      </c>
      <c r="K1586" s="4">
        <v>1</v>
      </c>
      <c r="L1586" s="94">
        <v>-1278</v>
      </c>
      <c r="M1586" s="94">
        <v>0</v>
      </c>
    </row>
    <row r="1587" spans="3:13" x14ac:dyDescent="0.3">
      <c r="C1587" t="s">
        <v>61</v>
      </c>
      <c r="D1587" t="s">
        <v>67</v>
      </c>
      <c r="E1587" t="s">
        <v>68</v>
      </c>
      <c r="F1587" t="s">
        <v>25</v>
      </c>
      <c r="G1587" s="4">
        <v>9</v>
      </c>
      <c r="H1587" s="4" t="s">
        <v>12</v>
      </c>
      <c r="I1587" s="4" t="s">
        <v>69</v>
      </c>
      <c r="J1587" s="4" t="s">
        <v>66</v>
      </c>
      <c r="K1587" s="4">
        <v>1</v>
      </c>
      <c r="L1587" s="94">
        <v>2868878</v>
      </c>
      <c r="M1587" s="94">
        <v>25819902</v>
      </c>
    </row>
    <row r="1588" spans="3:13" x14ac:dyDescent="0.3">
      <c r="C1588" t="s">
        <v>71</v>
      </c>
      <c r="D1588" t="s">
        <v>62</v>
      </c>
      <c r="E1588" t="s">
        <v>63</v>
      </c>
      <c r="F1588" t="s">
        <v>24</v>
      </c>
      <c r="G1588" s="4">
        <v>36</v>
      </c>
      <c r="I1588" s="4" t="s">
        <v>69</v>
      </c>
      <c r="J1588" s="4" t="s">
        <v>66</v>
      </c>
      <c r="K1588" s="4">
        <v>0</v>
      </c>
      <c r="L1588" s="94">
        <v>-2458319</v>
      </c>
      <c r="M1588" s="94">
        <v>0</v>
      </c>
    </row>
    <row r="1589" spans="3:13" x14ac:dyDescent="0.3">
      <c r="C1589" t="s">
        <v>61</v>
      </c>
      <c r="D1589" t="s">
        <v>67</v>
      </c>
      <c r="E1589" t="s">
        <v>68</v>
      </c>
      <c r="F1589" t="s">
        <v>25</v>
      </c>
      <c r="G1589" s="4">
        <v>8</v>
      </c>
      <c r="H1589" s="4" t="s">
        <v>82</v>
      </c>
      <c r="I1589" s="4" t="s">
        <v>69</v>
      </c>
      <c r="J1589" s="4" t="s">
        <v>66</v>
      </c>
      <c r="K1589" s="4">
        <v>0</v>
      </c>
      <c r="L1589" s="94">
        <v>515766</v>
      </c>
      <c r="M1589" s="94">
        <v>4126128</v>
      </c>
    </row>
    <row r="1590" spans="3:13" x14ac:dyDescent="0.3">
      <c r="C1590" t="s">
        <v>61</v>
      </c>
      <c r="D1590" t="s">
        <v>67</v>
      </c>
      <c r="E1590" t="s">
        <v>63</v>
      </c>
      <c r="F1590" t="s">
        <v>25</v>
      </c>
      <c r="G1590" s="4">
        <v>3</v>
      </c>
      <c r="H1590" s="4" t="s">
        <v>82</v>
      </c>
      <c r="I1590" s="4" t="s">
        <v>69</v>
      </c>
      <c r="J1590" s="4" t="s">
        <v>66</v>
      </c>
      <c r="K1590" s="4">
        <v>1</v>
      </c>
      <c r="L1590" s="94">
        <v>-60</v>
      </c>
      <c r="M1590" s="94">
        <v>0</v>
      </c>
    </row>
    <row r="1591" spans="3:13" x14ac:dyDescent="0.3">
      <c r="C1591" t="s">
        <v>70</v>
      </c>
      <c r="D1591" t="s">
        <v>67</v>
      </c>
      <c r="E1591" t="s">
        <v>68</v>
      </c>
      <c r="F1591" t="s">
        <v>25</v>
      </c>
      <c r="G1591" s="4">
        <v>4</v>
      </c>
      <c r="H1591" s="4" t="s">
        <v>83</v>
      </c>
      <c r="I1591" s="4" t="s">
        <v>69</v>
      </c>
      <c r="J1591" s="4" t="s">
        <v>66</v>
      </c>
      <c r="K1591" s="4">
        <v>0</v>
      </c>
      <c r="L1591" s="94">
        <v>27341</v>
      </c>
      <c r="M1591" s="94">
        <v>109364</v>
      </c>
    </row>
    <row r="1592" spans="3:13" x14ac:dyDescent="0.3">
      <c r="C1592" t="s">
        <v>71</v>
      </c>
      <c r="D1592" t="s">
        <v>62</v>
      </c>
      <c r="E1592" t="s">
        <v>68</v>
      </c>
      <c r="F1592" t="s">
        <v>25</v>
      </c>
      <c r="G1592" s="4">
        <v>20</v>
      </c>
      <c r="I1592" s="4" t="s">
        <v>69</v>
      </c>
      <c r="J1592" s="4" t="s">
        <v>66</v>
      </c>
      <c r="K1592" s="4">
        <v>0</v>
      </c>
      <c r="L1592" s="94">
        <v>361789</v>
      </c>
      <c r="M1592" s="94">
        <v>7235780</v>
      </c>
    </row>
    <row r="1593" spans="3:13" x14ac:dyDescent="0.3">
      <c r="C1593" t="s">
        <v>61</v>
      </c>
      <c r="D1593" t="s">
        <v>67</v>
      </c>
      <c r="E1593" t="s">
        <v>68</v>
      </c>
      <c r="F1593" t="s">
        <v>25</v>
      </c>
      <c r="G1593" s="4">
        <v>20</v>
      </c>
      <c r="H1593" s="4" t="s">
        <v>75</v>
      </c>
      <c r="I1593" s="4" t="s">
        <v>69</v>
      </c>
      <c r="J1593" s="4" t="s">
        <v>66</v>
      </c>
      <c r="K1593" s="4">
        <v>0</v>
      </c>
      <c r="L1593" s="94">
        <v>550183</v>
      </c>
      <c r="M1593" s="94">
        <v>11003660</v>
      </c>
    </row>
    <row r="1594" spans="3:13" x14ac:dyDescent="0.3">
      <c r="C1594" t="s">
        <v>70</v>
      </c>
      <c r="D1594" t="s">
        <v>67</v>
      </c>
      <c r="E1594" t="s">
        <v>63</v>
      </c>
      <c r="F1594" t="s">
        <v>25</v>
      </c>
      <c r="G1594" s="4">
        <v>8</v>
      </c>
      <c r="H1594" s="4" t="s">
        <v>79</v>
      </c>
      <c r="I1594" s="4" t="s">
        <v>69</v>
      </c>
      <c r="J1594" s="4" t="s">
        <v>66</v>
      </c>
      <c r="K1594" s="4">
        <v>0</v>
      </c>
      <c r="L1594" s="94">
        <v>-62397</v>
      </c>
      <c r="M1594" s="94">
        <v>0</v>
      </c>
    </row>
    <row r="1595" spans="3:13" x14ac:dyDescent="0.3">
      <c r="C1595" t="s">
        <v>71</v>
      </c>
      <c r="D1595" t="s">
        <v>62</v>
      </c>
      <c r="E1595" t="s">
        <v>63</v>
      </c>
      <c r="F1595" t="s">
        <v>24</v>
      </c>
      <c r="G1595" s="4">
        <v>27</v>
      </c>
      <c r="I1595" s="4" t="s">
        <v>65</v>
      </c>
      <c r="J1595" s="4" t="s">
        <v>66</v>
      </c>
      <c r="K1595" s="4">
        <v>1</v>
      </c>
      <c r="L1595" s="94">
        <v>-79239</v>
      </c>
      <c r="M1595" s="94">
        <v>0</v>
      </c>
    </row>
    <row r="1596" spans="3:13" x14ac:dyDescent="0.3">
      <c r="C1596" t="s">
        <v>61</v>
      </c>
      <c r="D1596" t="s">
        <v>67</v>
      </c>
      <c r="E1596" t="s">
        <v>68</v>
      </c>
      <c r="F1596" t="s">
        <v>72</v>
      </c>
      <c r="G1596" s="4">
        <v>0</v>
      </c>
      <c r="H1596" s="4" t="s">
        <v>86</v>
      </c>
      <c r="I1596" s="4" t="s">
        <v>69</v>
      </c>
      <c r="J1596" s="4" t="s">
        <v>66</v>
      </c>
      <c r="K1596" s="4">
        <v>0</v>
      </c>
      <c r="L1596" s="94">
        <v>21996</v>
      </c>
      <c r="M1596" s="94">
        <v>0</v>
      </c>
    </row>
    <row r="1597" spans="3:13" x14ac:dyDescent="0.3">
      <c r="C1597" t="s">
        <v>61</v>
      </c>
      <c r="D1597" t="s">
        <v>67</v>
      </c>
      <c r="E1597" t="s">
        <v>68</v>
      </c>
      <c r="F1597" t="s">
        <v>72</v>
      </c>
      <c r="G1597" s="4">
        <v>3</v>
      </c>
      <c r="H1597" s="4" t="s">
        <v>64</v>
      </c>
      <c r="I1597" s="4" t="s">
        <v>69</v>
      </c>
      <c r="J1597" s="4" t="s">
        <v>66</v>
      </c>
      <c r="K1597" s="4">
        <v>0</v>
      </c>
      <c r="L1597" s="94">
        <v>12283935</v>
      </c>
      <c r="M1597" s="94">
        <v>36851805</v>
      </c>
    </row>
    <row r="1598" spans="3:13" x14ac:dyDescent="0.3">
      <c r="C1598" t="s">
        <v>70</v>
      </c>
      <c r="D1598" t="s">
        <v>67</v>
      </c>
      <c r="E1598" t="s">
        <v>68</v>
      </c>
      <c r="F1598" t="s">
        <v>26</v>
      </c>
      <c r="G1598" s="4">
        <v>2</v>
      </c>
      <c r="H1598" s="4" t="s">
        <v>82</v>
      </c>
      <c r="I1598" s="4" t="s">
        <v>65</v>
      </c>
      <c r="J1598" s="4" t="s">
        <v>66</v>
      </c>
      <c r="K1598" s="4">
        <v>1</v>
      </c>
      <c r="L1598" s="94">
        <v>292953</v>
      </c>
      <c r="M1598" s="94">
        <v>585906</v>
      </c>
    </row>
    <row r="1599" spans="3:13" x14ac:dyDescent="0.3">
      <c r="C1599" t="s">
        <v>61</v>
      </c>
      <c r="D1599" t="s">
        <v>67</v>
      </c>
      <c r="E1599" t="s">
        <v>68</v>
      </c>
      <c r="F1599" t="s">
        <v>26</v>
      </c>
      <c r="G1599" s="4">
        <v>3</v>
      </c>
      <c r="H1599" s="4" t="s">
        <v>14</v>
      </c>
      <c r="I1599" s="4" t="s">
        <v>65</v>
      </c>
      <c r="J1599" s="4" t="s">
        <v>73</v>
      </c>
      <c r="K1599" s="4">
        <v>1</v>
      </c>
      <c r="L1599" s="94">
        <v>533777</v>
      </c>
      <c r="M1599" s="94">
        <v>1601331</v>
      </c>
    </row>
    <row r="1600" spans="3:13" x14ac:dyDescent="0.3">
      <c r="C1600" t="s">
        <v>71</v>
      </c>
      <c r="D1600" t="s">
        <v>67</v>
      </c>
      <c r="E1600" t="s">
        <v>68</v>
      </c>
      <c r="F1600" t="s">
        <v>25</v>
      </c>
      <c r="G1600" s="4">
        <v>6</v>
      </c>
      <c r="H1600" s="4" t="s">
        <v>80</v>
      </c>
      <c r="I1600" s="4" t="s">
        <v>69</v>
      </c>
      <c r="J1600" s="4" t="s">
        <v>66</v>
      </c>
      <c r="K1600" s="4">
        <v>0</v>
      </c>
      <c r="L1600" s="94">
        <v>103625</v>
      </c>
      <c r="M1600" s="94">
        <v>621750</v>
      </c>
    </row>
    <row r="1601" spans="3:13" x14ac:dyDescent="0.3">
      <c r="C1601" t="s">
        <v>61</v>
      </c>
      <c r="D1601" t="s">
        <v>67</v>
      </c>
      <c r="E1601" t="s">
        <v>63</v>
      </c>
      <c r="F1601" t="s">
        <v>25</v>
      </c>
      <c r="G1601" s="4">
        <v>1</v>
      </c>
      <c r="H1601" s="4" t="s">
        <v>14</v>
      </c>
      <c r="I1601" s="4" t="s">
        <v>65</v>
      </c>
      <c r="J1601" s="4" t="s">
        <v>66</v>
      </c>
      <c r="K1601" s="4">
        <v>1</v>
      </c>
      <c r="L1601" s="94">
        <v>-8395</v>
      </c>
      <c r="M1601" s="94">
        <v>0</v>
      </c>
    </row>
    <row r="1602" spans="3:13" x14ac:dyDescent="0.3">
      <c r="C1602" t="s">
        <v>70</v>
      </c>
      <c r="D1602" t="s">
        <v>67</v>
      </c>
      <c r="E1602" t="s">
        <v>63</v>
      </c>
      <c r="F1602" t="s">
        <v>26</v>
      </c>
      <c r="G1602" s="4">
        <v>6</v>
      </c>
      <c r="H1602" s="4" t="s">
        <v>75</v>
      </c>
      <c r="I1602" s="4" t="s">
        <v>69</v>
      </c>
      <c r="J1602" s="4" t="s">
        <v>66</v>
      </c>
      <c r="K1602" s="4">
        <v>0</v>
      </c>
      <c r="L1602" s="94">
        <v>-2983</v>
      </c>
      <c r="M1602" s="94">
        <v>0</v>
      </c>
    </row>
    <row r="1603" spans="3:13" x14ac:dyDescent="0.3">
      <c r="C1603" t="s">
        <v>70</v>
      </c>
      <c r="D1603" t="s">
        <v>62</v>
      </c>
      <c r="E1603" t="s">
        <v>63</v>
      </c>
      <c r="F1603" t="s">
        <v>24</v>
      </c>
      <c r="G1603" s="4">
        <v>22</v>
      </c>
      <c r="I1603" s="4" t="s">
        <v>69</v>
      </c>
      <c r="J1603" s="4" t="s">
        <v>66</v>
      </c>
      <c r="K1603" s="4">
        <v>1</v>
      </c>
      <c r="L1603" s="94">
        <v>-24188</v>
      </c>
      <c r="M1603" s="94">
        <v>0</v>
      </c>
    </row>
    <row r="1604" spans="3:13" x14ac:dyDescent="0.3">
      <c r="C1604" t="s">
        <v>61</v>
      </c>
      <c r="D1604" t="s">
        <v>67</v>
      </c>
      <c r="E1604" t="s">
        <v>63</v>
      </c>
      <c r="F1604" t="s">
        <v>25</v>
      </c>
      <c r="G1604" s="4">
        <v>12</v>
      </c>
      <c r="H1604" s="4" t="s">
        <v>14</v>
      </c>
      <c r="I1604" s="4" t="s">
        <v>69</v>
      </c>
      <c r="J1604" s="4" t="s">
        <v>66</v>
      </c>
      <c r="K1604" s="4">
        <v>0</v>
      </c>
      <c r="L1604" s="94">
        <v>-3362</v>
      </c>
      <c r="M1604" s="94">
        <v>0</v>
      </c>
    </row>
    <row r="1605" spans="3:13" x14ac:dyDescent="0.3">
      <c r="C1605" t="s">
        <v>70</v>
      </c>
      <c r="D1605" t="s">
        <v>67</v>
      </c>
      <c r="E1605" t="s">
        <v>63</v>
      </c>
      <c r="F1605" t="s">
        <v>72</v>
      </c>
      <c r="G1605" s="4">
        <v>6</v>
      </c>
      <c r="H1605" s="4" t="s">
        <v>12</v>
      </c>
      <c r="I1605" s="4" t="s">
        <v>69</v>
      </c>
      <c r="J1605" s="4" t="s">
        <v>73</v>
      </c>
      <c r="K1605" s="4">
        <v>1</v>
      </c>
      <c r="L1605" s="94">
        <v>-4773</v>
      </c>
      <c r="M1605" s="94">
        <v>0</v>
      </c>
    </row>
    <row r="1606" spans="3:13" x14ac:dyDescent="0.3">
      <c r="C1606" t="s">
        <v>70</v>
      </c>
      <c r="D1606" t="s">
        <v>62</v>
      </c>
      <c r="E1606" t="s">
        <v>68</v>
      </c>
      <c r="F1606" t="s">
        <v>25</v>
      </c>
      <c r="G1606" s="4">
        <v>5</v>
      </c>
      <c r="I1606" s="4" t="s">
        <v>69</v>
      </c>
      <c r="J1606" s="4" t="s">
        <v>66</v>
      </c>
      <c r="K1606" s="4">
        <v>1</v>
      </c>
      <c r="L1606" s="94">
        <v>13337</v>
      </c>
      <c r="M1606" s="94">
        <v>66685</v>
      </c>
    </row>
    <row r="1607" spans="3:13" x14ac:dyDescent="0.3">
      <c r="C1607" t="s">
        <v>70</v>
      </c>
      <c r="D1607" t="s">
        <v>67</v>
      </c>
      <c r="E1607" t="s">
        <v>63</v>
      </c>
      <c r="F1607" t="s">
        <v>72</v>
      </c>
      <c r="G1607" s="4">
        <v>1</v>
      </c>
      <c r="H1607" s="4" t="s">
        <v>80</v>
      </c>
      <c r="I1607" s="4" t="s">
        <v>69</v>
      </c>
      <c r="J1607" s="4" t="s">
        <v>66</v>
      </c>
      <c r="K1607" s="4">
        <v>0</v>
      </c>
      <c r="L1607" s="94">
        <v>-589</v>
      </c>
      <c r="M1607" s="94">
        <v>0</v>
      </c>
    </row>
    <row r="1608" spans="3:13" x14ac:dyDescent="0.3">
      <c r="C1608" t="s">
        <v>61</v>
      </c>
      <c r="D1608" t="s">
        <v>67</v>
      </c>
      <c r="E1608" t="s">
        <v>63</v>
      </c>
      <c r="F1608" t="s">
        <v>72</v>
      </c>
      <c r="G1608" s="4">
        <v>4</v>
      </c>
      <c r="H1608" s="4" t="s">
        <v>18</v>
      </c>
      <c r="I1608" s="4" t="s">
        <v>69</v>
      </c>
      <c r="J1608" s="4" t="s">
        <v>73</v>
      </c>
      <c r="K1608" s="4">
        <v>1</v>
      </c>
      <c r="L1608" s="94">
        <v>-4554</v>
      </c>
      <c r="M1608" s="94">
        <v>0</v>
      </c>
    </row>
    <row r="1609" spans="3:13" x14ac:dyDescent="0.3">
      <c r="C1609" t="s">
        <v>61</v>
      </c>
      <c r="D1609" t="s">
        <v>67</v>
      </c>
      <c r="E1609" t="s">
        <v>68</v>
      </c>
      <c r="F1609" t="s">
        <v>26</v>
      </c>
      <c r="G1609" s="4">
        <v>15</v>
      </c>
      <c r="H1609" s="4" t="s">
        <v>74</v>
      </c>
      <c r="I1609" s="4" t="s">
        <v>69</v>
      </c>
      <c r="J1609" s="4" t="s">
        <v>66</v>
      </c>
      <c r="K1609" s="4">
        <v>0</v>
      </c>
      <c r="L1609" s="94">
        <v>17370927</v>
      </c>
      <c r="M1609" s="94">
        <v>260563905</v>
      </c>
    </row>
    <row r="1610" spans="3:13" x14ac:dyDescent="0.3">
      <c r="C1610" t="s">
        <v>71</v>
      </c>
      <c r="D1610" t="s">
        <v>67</v>
      </c>
      <c r="E1610" t="s">
        <v>63</v>
      </c>
      <c r="F1610" t="s">
        <v>26</v>
      </c>
      <c r="G1610" s="4">
        <v>7</v>
      </c>
      <c r="H1610" s="4" t="s">
        <v>74</v>
      </c>
      <c r="I1610" s="4" t="s">
        <v>69</v>
      </c>
      <c r="J1610" s="4" t="s">
        <v>66</v>
      </c>
      <c r="K1610" s="4">
        <v>0</v>
      </c>
      <c r="L1610" s="94">
        <v>-153288</v>
      </c>
      <c r="M1610" s="94">
        <v>0</v>
      </c>
    </row>
    <row r="1611" spans="3:13" x14ac:dyDescent="0.3">
      <c r="C1611" t="s">
        <v>61</v>
      </c>
      <c r="D1611" t="s">
        <v>67</v>
      </c>
      <c r="E1611" t="s">
        <v>68</v>
      </c>
      <c r="F1611" t="s">
        <v>72</v>
      </c>
      <c r="G1611" s="4">
        <v>5</v>
      </c>
      <c r="H1611" s="4" t="s">
        <v>81</v>
      </c>
      <c r="I1611" s="4" t="s">
        <v>69</v>
      </c>
      <c r="J1611" s="4" t="s">
        <v>66</v>
      </c>
      <c r="K1611" s="4">
        <v>0</v>
      </c>
      <c r="L1611" s="94">
        <v>83635</v>
      </c>
      <c r="M1611" s="94">
        <v>418175</v>
      </c>
    </row>
    <row r="1612" spans="3:13" x14ac:dyDescent="0.3">
      <c r="C1612" t="s">
        <v>61</v>
      </c>
      <c r="D1612" t="s">
        <v>67</v>
      </c>
      <c r="E1612" t="s">
        <v>63</v>
      </c>
      <c r="F1612" t="s">
        <v>25</v>
      </c>
      <c r="G1612" s="4">
        <v>-4</v>
      </c>
      <c r="H1612" s="4" t="s">
        <v>17</v>
      </c>
      <c r="I1612" s="4" t="s">
        <v>69</v>
      </c>
      <c r="J1612" s="4" t="s">
        <v>66</v>
      </c>
      <c r="K1612" s="4">
        <v>0</v>
      </c>
      <c r="L1612" s="94">
        <v>-245</v>
      </c>
      <c r="M1612" s="94">
        <v>0</v>
      </c>
    </row>
    <row r="1613" spans="3:13" x14ac:dyDescent="0.3">
      <c r="C1613" t="s">
        <v>70</v>
      </c>
      <c r="D1613" t="s">
        <v>67</v>
      </c>
      <c r="E1613" t="s">
        <v>63</v>
      </c>
      <c r="F1613" t="s">
        <v>72</v>
      </c>
      <c r="G1613" s="4">
        <v>2</v>
      </c>
      <c r="H1613" s="4" t="s">
        <v>12</v>
      </c>
      <c r="I1613" s="4" t="s">
        <v>69</v>
      </c>
      <c r="J1613" s="4" t="s">
        <v>73</v>
      </c>
      <c r="K1613" s="4">
        <v>1</v>
      </c>
      <c r="L1613" s="94">
        <v>-8140</v>
      </c>
      <c r="M1613" s="94">
        <v>0</v>
      </c>
    </row>
    <row r="1614" spans="3:13" x14ac:dyDescent="0.3">
      <c r="C1614" t="s">
        <v>61</v>
      </c>
      <c r="D1614" t="s">
        <v>62</v>
      </c>
      <c r="E1614" t="s">
        <v>68</v>
      </c>
      <c r="F1614" t="s">
        <v>24</v>
      </c>
      <c r="G1614" s="4">
        <v>52</v>
      </c>
      <c r="I1614" s="4" t="s">
        <v>69</v>
      </c>
      <c r="J1614" s="4" t="s">
        <v>66</v>
      </c>
      <c r="K1614" s="4">
        <v>0</v>
      </c>
      <c r="L1614" s="94">
        <v>20849</v>
      </c>
      <c r="M1614" s="94">
        <v>1084148</v>
      </c>
    </row>
    <row r="1615" spans="3:13" x14ac:dyDescent="0.3">
      <c r="C1615" t="s">
        <v>71</v>
      </c>
      <c r="D1615" t="s">
        <v>67</v>
      </c>
      <c r="E1615" t="s">
        <v>63</v>
      </c>
      <c r="F1615" t="s">
        <v>72</v>
      </c>
      <c r="G1615" s="4">
        <v>4</v>
      </c>
      <c r="H1615" s="4" t="s">
        <v>18</v>
      </c>
      <c r="I1615" s="4" t="s">
        <v>69</v>
      </c>
      <c r="J1615" s="4" t="s">
        <v>66</v>
      </c>
      <c r="K1615" s="4">
        <v>0</v>
      </c>
      <c r="L1615" s="94">
        <v>-80687</v>
      </c>
      <c r="M1615" s="94">
        <v>0</v>
      </c>
    </row>
    <row r="1616" spans="3:13" x14ac:dyDescent="0.3">
      <c r="C1616" t="s">
        <v>61</v>
      </c>
      <c r="D1616" t="s">
        <v>62</v>
      </c>
      <c r="E1616" t="s">
        <v>63</v>
      </c>
      <c r="F1616" t="s">
        <v>24</v>
      </c>
      <c r="G1616" s="4">
        <v>28</v>
      </c>
      <c r="I1616" s="4" t="s">
        <v>69</v>
      </c>
      <c r="J1616" s="4" t="s">
        <v>66</v>
      </c>
      <c r="K1616" s="4">
        <v>1</v>
      </c>
      <c r="L1616" s="94">
        <v>-2061</v>
      </c>
      <c r="M1616" s="94">
        <v>0</v>
      </c>
    </row>
    <row r="1617" spans="3:13" x14ac:dyDescent="0.3">
      <c r="C1617" t="s">
        <v>70</v>
      </c>
      <c r="D1617" t="s">
        <v>67</v>
      </c>
      <c r="E1617" t="s">
        <v>63</v>
      </c>
      <c r="F1617" t="s">
        <v>25</v>
      </c>
      <c r="G1617" s="4">
        <v>6</v>
      </c>
      <c r="H1617" s="4" t="s">
        <v>17</v>
      </c>
      <c r="I1617" s="4" t="s">
        <v>69</v>
      </c>
      <c r="J1617" s="4" t="s">
        <v>66</v>
      </c>
      <c r="K1617" s="4">
        <v>0</v>
      </c>
      <c r="L1617" s="94">
        <v>-48566</v>
      </c>
      <c r="M1617" s="94">
        <v>0</v>
      </c>
    </row>
    <row r="1618" spans="3:13" x14ac:dyDescent="0.3">
      <c r="C1618" t="s">
        <v>61</v>
      </c>
      <c r="D1618" t="s">
        <v>67</v>
      </c>
      <c r="E1618" t="s">
        <v>63</v>
      </c>
      <c r="F1618" t="s">
        <v>26</v>
      </c>
      <c r="G1618" s="4">
        <v>4</v>
      </c>
      <c r="H1618" s="4" t="s">
        <v>76</v>
      </c>
      <c r="I1618" s="4" t="s">
        <v>69</v>
      </c>
      <c r="J1618" s="4" t="s">
        <v>66</v>
      </c>
      <c r="K1618" s="4">
        <v>0</v>
      </c>
      <c r="L1618" s="94">
        <v>-67328</v>
      </c>
      <c r="M1618" s="94">
        <v>0</v>
      </c>
    </row>
    <row r="1619" spans="3:13" x14ac:dyDescent="0.3">
      <c r="C1619" t="s">
        <v>70</v>
      </c>
      <c r="D1619" t="s">
        <v>62</v>
      </c>
      <c r="E1619" t="s">
        <v>68</v>
      </c>
      <c r="F1619" t="s">
        <v>24</v>
      </c>
      <c r="G1619" s="4">
        <v>29</v>
      </c>
      <c r="I1619" s="4" t="s">
        <v>69</v>
      </c>
      <c r="J1619" s="4" t="s">
        <v>66</v>
      </c>
      <c r="K1619" s="4">
        <v>1</v>
      </c>
      <c r="L1619" s="94">
        <v>192400</v>
      </c>
      <c r="M1619" s="94">
        <v>5579600</v>
      </c>
    </row>
    <row r="1620" spans="3:13" x14ac:dyDescent="0.3">
      <c r="C1620" t="s">
        <v>71</v>
      </c>
      <c r="D1620" t="s">
        <v>62</v>
      </c>
      <c r="E1620" t="s">
        <v>63</v>
      </c>
      <c r="F1620" t="s">
        <v>24</v>
      </c>
      <c r="G1620" s="4">
        <v>4</v>
      </c>
      <c r="I1620" s="4" t="s">
        <v>69</v>
      </c>
      <c r="J1620" s="4" t="s">
        <v>66</v>
      </c>
      <c r="K1620" s="4">
        <v>1</v>
      </c>
      <c r="L1620" s="94">
        <v>-6153</v>
      </c>
      <c r="M1620" s="94">
        <v>0</v>
      </c>
    </row>
    <row r="1621" spans="3:13" x14ac:dyDescent="0.3">
      <c r="C1621" t="s">
        <v>61</v>
      </c>
      <c r="D1621" t="s">
        <v>67</v>
      </c>
      <c r="E1621" t="s">
        <v>68</v>
      </c>
      <c r="F1621" t="s">
        <v>25</v>
      </c>
      <c r="G1621" s="4">
        <v>11</v>
      </c>
      <c r="H1621" s="4" t="s">
        <v>12</v>
      </c>
      <c r="I1621" s="4" t="s">
        <v>69</v>
      </c>
      <c r="J1621" s="4" t="s">
        <v>66</v>
      </c>
      <c r="K1621" s="4">
        <v>1</v>
      </c>
      <c r="L1621" s="94">
        <v>11119920</v>
      </c>
      <c r="M1621" s="94">
        <v>122319120</v>
      </c>
    </row>
    <row r="1622" spans="3:13" x14ac:dyDescent="0.3">
      <c r="C1622" t="s">
        <v>61</v>
      </c>
      <c r="D1622" t="s">
        <v>84</v>
      </c>
      <c r="E1622" t="s">
        <v>63</v>
      </c>
      <c r="F1622" t="s">
        <v>25</v>
      </c>
      <c r="G1622" s="4">
        <v>5</v>
      </c>
      <c r="H1622" s="4" t="s">
        <v>75</v>
      </c>
      <c r="I1622" s="4" t="s">
        <v>69</v>
      </c>
      <c r="J1622" s="4" t="s">
        <v>66</v>
      </c>
      <c r="K1622" s="4">
        <v>0</v>
      </c>
      <c r="L1622" s="94">
        <v>-7318</v>
      </c>
      <c r="M1622" s="94">
        <v>0</v>
      </c>
    </row>
    <row r="1623" spans="3:13" x14ac:dyDescent="0.3">
      <c r="C1623" t="s">
        <v>61</v>
      </c>
      <c r="D1623" t="s">
        <v>67</v>
      </c>
      <c r="E1623" t="s">
        <v>68</v>
      </c>
      <c r="F1623" t="s">
        <v>72</v>
      </c>
      <c r="G1623" s="4">
        <v>0</v>
      </c>
      <c r="H1623" s="4" t="s">
        <v>79</v>
      </c>
      <c r="I1623" s="4" t="s">
        <v>69</v>
      </c>
      <c r="J1623" s="4" t="s">
        <v>66</v>
      </c>
      <c r="K1623" s="4">
        <v>0</v>
      </c>
      <c r="L1623" s="94">
        <v>529116</v>
      </c>
      <c r="M1623" s="94">
        <v>0</v>
      </c>
    </row>
    <row r="1624" spans="3:13" x14ac:dyDescent="0.3">
      <c r="C1624" t="s">
        <v>61</v>
      </c>
      <c r="D1624" t="s">
        <v>62</v>
      </c>
      <c r="E1624" t="s">
        <v>63</v>
      </c>
      <c r="F1624" t="s">
        <v>24</v>
      </c>
      <c r="G1624" s="4">
        <v>48</v>
      </c>
      <c r="I1624" s="4" t="s">
        <v>69</v>
      </c>
      <c r="J1624" s="4" t="s">
        <v>66</v>
      </c>
      <c r="K1624" s="4">
        <v>0</v>
      </c>
      <c r="L1624" s="94">
        <v>-48</v>
      </c>
      <c r="M1624" s="94">
        <v>0</v>
      </c>
    </row>
    <row r="1625" spans="3:13" x14ac:dyDescent="0.3">
      <c r="C1625" t="s">
        <v>71</v>
      </c>
      <c r="D1625" t="s">
        <v>67</v>
      </c>
      <c r="E1625" t="s">
        <v>68</v>
      </c>
      <c r="F1625" t="s">
        <v>26</v>
      </c>
      <c r="G1625" s="4">
        <v>14</v>
      </c>
      <c r="H1625" s="4" t="s">
        <v>14</v>
      </c>
      <c r="I1625" s="4" t="s">
        <v>69</v>
      </c>
      <c r="J1625" s="4" t="s">
        <v>66</v>
      </c>
      <c r="K1625" s="4">
        <v>0</v>
      </c>
      <c r="L1625" s="94">
        <v>1134019</v>
      </c>
      <c r="M1625" s="94">
        <v>15876266</v>
      </c>
    </row>
    <row r="1626" spans="3:13" x14ac:dyDescent="0.3">
      <c r="C1626" t="s">
        <v>70</v>
      </c>
      <c r="D1626" t="s">
        <v>67</v>
      </c>
      <c r="E1626" t="s">
        <v>63</v>
      </c>
      <c r="F1626" t="s">
        <v>25</v>
      </c>
      <c r="G1626" s="4">
        <v>11</v>
      </c>
      <c r="H1626" s="4" t="s">
        <v>14</v>
      </c>
      <c r="I1626" s="4" t="s">
        <v>69</v>
      </c>
      <c r="J1626" s="4" t="s">
        <v>66</v>
      </c>
      <c r="K1626" s="4">
        <v>0</v>
      </c>
      <c r="L1626" s="94">
        <v>-148514</v>
      </c>
      <c r="M1626" s="94">
        <v>0</v>
      </c>
    </row>
    <row r="1627" spans="3:13" x14ac:dyDescent="0.3">
      <c r="C1627" t="s">
        <v>61</v>
      </c>
      <c r="D1627" t="s">
        <v>67</v>
      </c>
      <c r="E1627" t="s">
        <v>63</v>
      </c>
      <c r="F1627" t="s">
        <v>72</v>
      </c>
      <c r="G1627" s="4">
        <v>8</v>
      </c>
      <c r="H1627" s="4" t="s">
        <v>64</v>
      </c>
      <c r="I1627" s="4" t="s">
        <v>69</v>
      </c>
      <c r="J1627" s="4" t="s">
        <v>66</v>
      </c>
      <c r="K1627" s="4">
        <v>0</v>
      </c>
      <c r="L1627" s="94">
        <v>-4101</v>
      </c>
      <c r="M1627" s="94">
        <v>0</v>
      </c>
    </row>
    <row r="1628" spans="3:13" x14ac:dyDescent="0.3">
      <c r="C1628" t="s">
        <v>61</v>
      </c>
      <c r="D1628" t="s">
        <v>62</v>
      </c>
      <c r="E1628" t="s">
        <v>63</v>
      </c>
      <c r="F1628" t="s">
        <v>24</v>
      </c>
      <c r="G1628" s="4">
        <v>17</v>
      </c>
      <c r="I1628" s="4" t="s">
        <v>65</v>
      </c>
      <c r="J1628" s="4" t="s">
        <v>66</v>
      </c>
      <c r="K1628" s="4">
        <v>1</v>
      </c>
      <c r="L1628" s="94">
        <v>-2097</v>
      </c>
      <c r="M1628" s="94">
        <v>0</v>
      </c>
    </row>
    <row r="1629" spans="3:13" x14ac:dyDescent="0.3">
      <c r="C1629" t="s">
        <v>70</v>
      </c>
      <c r="D1629" t="s">
        <v>67</v>
      </c>
      <c r="E1629" t="s">
        <v>68</v>
      </c>
      <c r="F1629" t="s">
        <v>25</v>
      </c>
      <c r="G1629" s="4">
        <v>14</v>
      </c>
      <c r="H1629" s="4" t="s">
        <v>79</v>
      </c>
      <c r="I1629" s="4" t="s">
        <v>69</v>
      </c>
      <c r="J1629" s="4" t="s">
        <v>66</v>
      </c>
      <c r="K1629" s="4">
        <v>0</v>
      </c>
      <c r="L1629" s="94">
        <v>286379</v>
      </c>
      <c r="M1629" s="94">
        <v>4009306</v>
      </c>
    </row>
    <row r="1630" spans="3:13" x14ac:dyDescent="0.3">
      <c r="C1630" t="s">
        <v>61</v>
      </c>
      <c r="D1630" t="s">
        <v>67</v>
      </c>
      <c r="E1630" t="s">
        <v>63</v>
      </c>
      <c r="F1630" t="s">
        <v>72</v>
      </c>
      <c r="G1630" s="4">
        <v>2</v>
      </c>
      <c r="H1630" s="4" t="s">
        <v>17</v>
      </c>
      <c r="I1630" s="4" t="s">
        <v>65</v>
      </c>
      <c r="J1630" s="4" t="s">
        <v>66</v>
      </c>
      <c r="K1630" s="4">
        <v>1</v>
      </c>
      <c r="L1630" s="94">
        <v>-47</v>
      </c>
      <c r="M1630" s="94">
        <v>0</v>
      </c>
    </row>
    <row r="1631" spans="3:13" x14ac:dyDescent="0.3">
      <c r="C1631" t="s">
        <v>71</v>
      </c>
      <c r="D1631" t="s">
        <v>67</v>
      </c>
      <c r="E1631" t="s">
        <v>68</v>
      </c>
      <c r="F1631" t="s">
        <v>26</v>
      </c>
      <c r="G1631" s="4">
        <v>5</v>
      </c>
      <c r="H1631" s="4" t="s">
        <v>64</v>
      </c>
      <c r="I1631" s="4" t="s">
        <v>69</v>
      </c>
      <c r="J1631" s="4" t="s">
        <v>66</v>
      </c>
      <c r="K1631" s="4">
        <v>0</v>
      </c>
      <c r="L1631" s="94">
        <v>385690</v>
      </c>
      <c r="M1631" s="94">
        <v>1928450</v>
      </c>
    </row>
    <row r="1632" spans="3:13" x14ac:dyDescent="0.3">
      <c r="C1632" t="s">
        <v>70</v>
      </c>
      <c r="D1632" t="s">
        <v>62</v>
      </c>
      <c r="E1632" t="s">
        <v>63</v>
      </c>
      <c r="F1632" t="s">
        <v>24</v>
      </c>
      <c r="G1632" s="4">
        <v>25</v>
      </c>
      <c r="I1632" s="4" t="s">
        <v>65</v>
      </c>
      <c r="J1632" s="4" t="s">
        <v>66</v>
      </c>
      <c r="K1632" s="4">
        <v>1</v>
      </c>
      <c r="L1632" s="94">
        <v>-30828</v>
      </c>
      <c r="M1632" s="94">
        <v>0</v>
      </c>
    </row>
    <row r="1633" spans="3:13" x14ac:dyDescent="0.3">
      <c r="C1633" t="s">
        <v>70</v>
      </c>
      <c r="D1633" t="s">
        <v>62</v>
      </c>
      <c r="E1633" t="s">
        <v>68</v>
      </c>
      <c r="F1633" t="s">
        <v>24</v>
      </c>
      <c r="G1633" s="4">
        <v>17</v>
      </c>
      <c r="I1633" s="4" t="s">
        <v>65</v>
      </c>
      <c r="J1633" s="4" t="s">
        <v>66</v>
      </c>
      <c r="K1633" s="4">
        <v>1</v>
      </c>
      <c r="L1633" s="94">
        <v>556607</v>
      </c>
      <c r="M1633" s="94">
        <v>9462319</v>
      </c>
    </row>
    <row r="1634" spans="3:13" x14ac:dyDescent="0.3">
      <c r="C1634" t="s">
        <v>61</v>
      </c>
      <c r="D1634" t="s">
        <v>67</v>
      </c>
      <c r="E1634" t="s">
        <v>68</v>
      </c>
      <c r="F1634" t="s">
        <v>25</v>
      </c>
      <c r="G1634" s="4">
        <v>7</v>
      </c>
      <c r="H1634" s="4" t="s">
        <v>75</v>
      </c>
      <c r="I1634" s="4" t="s">
        <v>65</v>
      </c>
      <c r="J1634" s="4" t="s">
        <v>66</v>
      </c>
      <c r="K1634" s="4">
        <v>1</v>
      </c>
      <c r="L1634" s="94">
        <v>447490</v>
      </c>
      <c r="M1634" s="94">
        <v>3132430</v>
      </c>
    </row>
    <row r="1635" spans="3:13" x14ac:dyDescent="0.3">
      <c r="C1635" t="s">
        <v>70</v>
      </c>
      <c r="D1635" t="s">
        <v>67</v>
      </c>
      <c r="E1635" t="s">
        <v>63</v>
      </c>
      <c r="F1635" t="s">
        <v>72</v>
      </c>
      <c r="G1635" s="4">
        <v>1</v>
      </c>
      <c r="H1635" s="4" t="s">
        <v>74</v>
      </c>
      <c r="I1635" s="4" t="s">
        <v>69</v>
      </c>
      <c r="J1635" s="4" t="s">
        <v>66</v>
      </c>
      <c r="K1635" s="4">
        <v>0</v>
      </c>
      <c r="L1635" s="94">
        <v>-3954</v>
      </c>
      <c r="M1635" s="94">
        <v>0</v>
      </c>
    </row>
    <row r="1636" spans="3:13" x14ac:dyDescent="0.3">
      <c r="C1636" t="s">
        <v>61</v>
      </c>
      <c r="D1636" t="s">
        <v>67</v>
      </c>
      <c r="E1636" t="s">
        <v>68</v>
      </c>
      <c r="F1636" t="s">
        <v>26</v>
      </c>
      <c r="G1636" s="4">
        <v>6</v>
      </c>
      <c r="H1636" s="4" t="s">
        <v>79</v>
      </c>
      <c r="I1636" s="4" t="s">
        <v>69</v>
      </c>
      <c r="J1636" s="4" t="s">
        <v>66</v>
      </c>
      <c r="K1636" s="4">
        <v>0</v>
      </c>
      <c r="L1636" s="94">
        <v>396805</v>
      </c>
      <c r="M1636" s="94">
        <v>2380830</v>
      </c>
    </row>
    <row r="1637" spans="3:13" x14ac:dyDescent="0.3">
      <c r="C1637" t="s">
        <v>70</v>
      </c>
      <c r="D1637" t="s">
        <v>67</v>
      </c>
      <c r="E1637" t="s">
        <v>68</v>
      </c>
      <c r="F1637" t="s">
        <v>26</v>
      </c>
      <c r="G1637" s="4">
        <v>3</v>
      </c>
      <c r="H1637" s="4" t="s">
        <v>18</v>
      </c>
      <c r="I1637" s="4" t="s">
        <v>69</v>
      </c>
      <c r="J1637" s="4" t="s">
        <v>73</v>
      </c>
      <c r="K1637" s="4">
        <v>1</v>
      </c>
      <c r="L1637" s="94">
        <v>3227674</v>
      </c>
      <c r="M1637" s="94">
        <v>9683022</v>
      </c>
    </row>
    <row r="1638" spans="3:13" x14ac:dyDescent="0.3">
      <c r="C1638" t="s">
        <v>70</v>
      </c>
      <c r="D1638" t="s">
        <v>67</v>
      </c>
      <c r="E1638" t="s">
        <v>63</v>
      </c>
      <c r="F1638" t="s">
        <v>25</v>
      </c>
      <c r="G1638" s="4">
        <v>1</v>
      </c>
      <c r="H1638" s="4" t="s">
        <v>82</v>
      </c>
      <c r="I1638" s="4" t="s">
        <v>69</v>
      </c>
      <c r="J1638" s="4" t="s">
        <v>66</v>
      </c>
      <c r="K1638" s="4">
        <v>0</v>
      </c>
      <c r="L1638" s="94">
        <v>-225</v>
      </c>
      <c r="M1638" s="94">
        <v>0</v>
      </c>
    </row>
    <row r="1639" spans="3:13" x14ac:dyDescent="0.3">
      <c r="C1639" t="s">
        <v>61</v>
      </c>
      <c r="D1639" t="s">
        <v>67</v>
      </c>
      <c r="E1639" t="s">
        <v>63</v>
      </c>
      <c r="F1639" t="s">
        <v>25</v>
      </c>
      <c r="G1639" s="4">
        <v>15</v>
      </c>
      <c r="H1639" s="4" t="s">
        <v>79</v>
      </c>
      <c r="I1639" s="4" t="s">
        <v>69</v>
      </c>
      <c r="J1639" s="4" t="s">
        <v>66</v>
      </c>
      <c r="K1639" s="4">
        <v>0</v>
      </c>
      <c r="L1639" s="94">
        <v>-11544</v>
      </c>
      <c r="M1639" s="94">
        <v>0</v>
      </c>
    </row>
    <row r="1640" spans="3:13" x14ac:dyDescent="0.3">
      <c r="C1640" t="s">
        <v>61</v>
      </c>
      <c r="D1640" t="s">
        <v>67</v>
      </c>
      <c r="E1640" t="s">
        <v>68</v>
      </c>
      <c r="F1640" t="s">
        <v>72</v>
      </c>
      <c r="G1640" s="4">
        <v>6</v>
      </c>
      <c r="H1640" s="4" t="s">
        <v>14</v>
      </c>
      <c r="I1640" s="4" t="s">
        <v>69</v>
      </c>
      <c r="J1640" s="4" t="s">
        <v>66</v>
      </c>
      <c r="K1640" s="4">
        <v>0</v>
      </c>
      <c r="L1640" s="94">
        <v>829072</v>
      </c>
      <c r="M1640" s="94">
        <v>4974432</v>
      </c>
    </row>
    <row r="1641" spans="3:13" x14ac:dyDescent="0.3">
      <c r="C1641" t="s">
        <v>71</v>
      </c>
      <c r="D1641" t="s">
        <v>67</v>
      </c>
      <c r="E1641" t="s">
        <v>63</v>
      </c>
      <c r="F1641" t="s">
        <v>72</v>
      </c>
      <c r="G1641" s="4">
        <v>2</v>
      </c>
      <c r="H1641" s="4" t="s">
        <v>12</v>
      </c>
      <c r="I1641" s="4" t="s">
        <v>69</v>
      </c>
      <c r="J1641" s="4" t="s">
        <v>66</v>
      </c>
      <c r="K1641" s="4">
        <v>0</v>
      </c>
      <c r="L1641" s="94">
        <v>-81973</v>
      </c>
      <c r="M1641" s="94">
        <v>0</v>
      </c>
    </row>
    <row r="1642" spans="3:13" x14ac:dyDescent="0.3">
      <c r="C1642" t="s">
        <v>71</v>
      </c>
      <c r="D1642" t="s">
        <v>62</v>
      </c>
      <c r="E1642" t="s">
        <v>63</v>
      </c>
      <c r="F1642" t="s">
        <v>24</v>
      </c>
      <c r="G1642" s="4">
        <v>20</v>
      </c>
      <c r="I1642" s="4" t="s">
        <v>69</v>
      </c>
      <c r="J1642" s="4" t="s">
        <v>66</v>
      </c>
      <c r="K1642" s="4">
        <v>1</v>
      </c>
      <c r="L1642" s="94">
        <v>-13855</v>
      </c>
      <c r="M1642" s="94">
        <v>0</v>
      </c>
    </row>
    <row r="1643" spans="3:13" x14ac:dyDescent="0.3">
      <c r="C1643" t="s">
        <v>70</v>
      </c>
      <c r="D1643" t="s">
        <v>67</v>
      </c>
      <c r="E1643" t="s">
        <v>68</v>
      </c>
      <c r="F1643" t="s">
        <v>72</v>
      </c>
      <c r="G1643" s="4">
        <v>2</v>
      </c>
      <c r="H1643" s="4" t="s">
        <v>17</v>
      </c>
      <c r="I1643" s="4" t="s">
        <v>69</v>
      </c>
      <c r="J1643" s="4" t="s">
        <v>66</v>
      </c>
      <c r="K1643" s="4">
        <v>0</v>
      </c>
      <c r="L1643" s="94">
        <v>1085313</v>
      </c>
      <c r="M1643" s="94">
        <v>2170626</v>
      </c>
    </row>
    <row r="1644" spans="3:13" x14ac:dyDescent="0.3">
      <c r="C1644" t="s">
        <v>61</v>
      </c>
      <c r="D1644" t="s">
        <v>67</v>
      </c>
      <c r="E1644" t="s">
        <v>68</v>
      </c>
      <c r="F1644" t="s">
        <v>25</v>
      </c>
      <c r="G1644" s="4">
        <v>1</v>
      </c>
      <c r="H1644" s="4" t="s">
        <v>83</v>
      </c>
      <c r="I1644" s="4" t="s">
        <v>69</v>
      </c>
      <c r="J1644" s="4" t="s">
        <v>66</v>
      </c>
      <c r="K1644" s="4">
        <v>0</v>
      </c>
      <c r="L1644" s="94">
        <v>18672</v>
      </c>
      <c r="M1644" s="94">
        <v>18672</v>
      </c>
    </row>
    <row r="1645" spans="3:13" x14ac:dyDescent="0.3">
      <c r="C1645" t="s">
        <v>70</v>
      </c>
      <c r="D1645" t="s">
        <v>67</v>
      </c>
      <c r="E1645" t="s">
        <v>63</v>
      </c>
      <c r="F1645" t="s">
        <v>72</v>
      </c>
      <c r="G1645" s="4">
        <v>1</v>
      </c>
      <c r="H1645" s="4" t="s">
        <v>17</v>
      </c>
      <c r="I1645" s="4" t="s">
        <v>65</v>
      </c>
      <c r="J1645" s="4" t="s">
        <v>73</v>
      </c>
      <c r="K1645" s="4">
        <v>1</v>
      </c>
      <c r="L1645" s="94">
        <v>-541</v>
      </c>
      <c r="M1645" s="94">
        <v>0</v>
      </c>
    </row>
    <row r="1646" spans="3:13" x14ac:dyDescent="0.3">
      <c r="C1646" t="s">
        <v>71</v>
      </c>
      <c r="D1646" t="s">
        <v>67</v>
      </c>
      <c r="E1646" t="s">
        <v>68</v>
      </c>
      <c r="F1646" t="s">
        <v>25</v>
      </c>
      <c r="G1646" s="4">
        <v>10</v>
      </c>
      <c r="H1646" s="4" t="s">
        <v>78</v>
      </c>
      <c r="I1646" s="4" t="s">
        <v>69</v>
      </c>
      <c r="J1646" s="4" t="s">
        <v>66</v>
      </c>
      <c r="K1646" s="4">
        <v>0</v>
      </c>
      <c r="L1646" s="94">
        <v>11242</v>
      </c>
      <c r="M1646" s="94">
        <v>112420</v>
      </c>
    </row>
    <row r="1647" spans="3:13" x14ac:dyDescent="0.3">
      <c r="C1647" t="s">
        <v>61</v>
      </c>
      <c r="D1647" t="s">
        <v>62</v>
      </c>
      <c r="E1647" t="s">
        <v>63</v>
      </c>
      <c r="F1647" t="s">
        <v>24</v>
      </c>
      <c r="G1647" s="4">
        <v>6</v>
      </c>
      <c r="I1647" s="4" t="s">
        <v>69</v>
      </c>
      <c r="J1647" s="4" t="s">
        <v>66</v>
      </c>
      <c r="K1647" s="4">
        <v>1</v>
      </c>
      <c r="L1647" s="94">
        <v>-312</v>
      </c>
      <c r="M1647" s="94">
        <v>0</v>
      </c>
    </row>
    <row r="1648" spans="3:13" x14ac:dyDescent="0.3">
      <c r="C1648" t="s">
        <v>61</v>
      </c>
      <c r="D1648" t="s">
        <v>67</v>
      </c>
      <c r="E1648" t="s">
        <v>63</v>
      </c>
      <c r="F1648" t="s">
        <v>25</v>
      </c>
      <c r="G1648" s="4">
        <v>8</v>
      </c>
      <c r="H1648" s="4" t="s">
        <v>64</v>
      </c>
      <c r="I1648" s="4" t="s">
        <v>69</v>
      </c>
      <c r="J1648" s="4" t="s">
        <v>66</v>
      </c>
      <c r="K1648" s="4">
        <v>0</v>
      </c>
      <c r="L1648" s="94">
        <v>-2899</v>
      </c>
      <c r="M1648" s="94">
        <v>0</v>
      </c>
    </row>
    <row r="1649" spans="3:13" x14ac:dyDescent="0.3">
      <c r="C1649" t="s">
        <v>71</v>
      </c>
      <c r="D1649" t="s">
        <v>67</v>
      </c>
      <c r="E1649" t="s">
        <v>63</v>
      </c>
      <c r="F1649" t="s">
        <v>25</v>
      </c>
      <c r="G1649" s="4">
        <v>6</v>
      </c>
      <c r="H1649" s="4" t="s">
        <v>14</v>
      </c>
      <c r="I1649" s="4" t="s">
        <v>69</v>
      </c>
      <c r="J1649" s="4" t="s">
        <v>66</v>
      </c>
      <c r="K1649" s="4">
        <v>0</v>
      </c>
      <c r="L1649" s="94">
        <v>-184518</v>
      </c>
      <c r="M1649" s="94">
        <v>0</v>
      </c>
    </row>
    <row r="1650" spans="3:13" x14ac:dyDescent="0.3">
      <c r="C1650" t="s">
        <v>61</v>
      </c>
      <c r="D1650" t="s">
        <v>67</v>
      </c>
      <c r="E1650" t="s">
        <v>63</v>
      </c>
      <c r="F1650" t="s">
        <v>25</v>
      </c>
      <c r="G1650" s="4">
        <v>6</v>
      </c>
      <c r="H1650" s="4" t="s">
        <v>76</v>
      </c>
      <c r="I1650" s="4" t="s">
        <v>69</v>
      </c>
      <c r="J1650" s="4" t="s">
        <v>66</v>
      </c>
      <c r="K1650" s="4">
        <v>0</v>
      </c>
      <c r="L1650" s="94">
        <v>-25180</v>
      </c>
      <c r="M1650" s="94">
        <v>0</v>
      </c>
    </row>
    <row r="1651" spans="3:13" x14ac:dyDescent="0.3">
      <c r="C1651" t="s">
        <v>71</v>
      </c>
      <c r="D1651" t="s">
        <v>67</v>
      </c>
      <c r="E1651" t="s">
        <v>63</v>
      </c>
      <c r="F1651" t="s">
        <v>25</v>
      </c>
      <c r="G1651" s="4">
        <v>5</v>
      </c>
      <c r="H1651" s="4" t="s">
        <v>18</v>
      </c>
      <c r="I1651" s="4" t="s">
        <v>69</v>
      </c>
      <c r="J1651" s="4" t="s">
        <v>66</v>
      </c>
      <c r="K1651" s="4">
        <v>1</v>
      </c>
      <c r="L1651" s="94">
        <v>-37909</v>
      </c>
      <c r="M1651" s="94">
        <v>0</v>
      </c>
    </row>
    <row r="1652" spans="3:13" x14ac:dyDescent="0.3">
      <c r="C1652" t="s">
        <v>71</v>
      </c>
      <c r="D1652" t="s">
        <v>67</v>
      </c>
      <c r="E1652" t="s">
        <v>63</v>
      </c>
      <c r="F1652" t="s">
        <v>72</v>
      </c>
      <c r="G1652" s="4">
        <v>1</v>
      </c>
      <c r="H1652" s="4" t="s">
        <v>14</v>
      </c>
      <c r="I1652" s="4" t="s">
        <v>69</v>
      </c>
      <c r="J1652" s="4" t="s">
        <v>73</v>
      </c>
      <c r="K1652" s="4">
        <v>1</v>
      </c>
      <c r="L1652" s="94">
        <v>-194629</v>
      </c>
      <c r="M1652" s="94">
        <v>0</v>
      </c>
    </row>
    <row r="1653" spans="3:13" x14ac:dyDescent="0.3">
      <c r="C1653" t="s">
        <v>61</v>
      </c>
      <c r="D1653" t="s">
        <v>67</v>
      </c>
      <c r="E1653" t="s">
        <v>63</v>
      </c>
      <c r="F1653" t="s">
        <v>26</v>
      </c>
      <c r="G1653" s="4">
        <v>1</v>
      </c>
      <c r="H1653" s="4" t="s">
        <v>15</v>
      </c>
      <c r="I1653" s="4" t="s">
        <v>69</v>
      </c>
      <c r="J1653" s="4" t="s">
        <v>66</v>
      </c>
      <c r="K1653" s="4">
        <v>0</v>
      </c>
      <c r="L1653" s="94">
        <v>-2311</v>
      </c>
      <c r="M1653" s="94">
        <v>0</v>
      </c>
    </row>
    <row r="1654" spans="3:13" x14ac:dyDescent="0.3">
      <c r="C1654" t="s">
        <v>70</v>
      </c>
      <c r="D1654" t="s">
        <v>67</v>
      </c>
      <c r="E1654" t="s">
        <v>63</v>
      </c>
      <c r="F1654" t="s">
        <v>72</v>
      </c>
      <c r="G1654" s="4">
        <v>-4</v>
      </c>
      <c r="H1654" s="4" t="s">
        <v>12</v>
      </c>
      <c r="I1654" s="4" t="s">
        <v>69</v>
      </c>
      <c r="J1654" s="4" t="s">
        <v>73</v>
      </c>
      <c r="K1654" s="4">
        <v>1</v>
      </c>
      <c r="L1654" s="94">
        <v>-5</v>
      </c>
      <c r="M1654" s="94">
        <v>0</v>
      </c>
    </row>
    <row r="1655" spans="3:13" x14ac:dyDescent="0.3">
      <c r="C1655" t="s">
        <v>61</v>
      </c>
      <c r="D1655" t="s">
        <v>67</v>
      </c>
      <c r="E1655" t="s">
        <v>68</v>
      </c>
      <c r="F1655" t="s">
        <v>26</v>
      </c>
      <c r="G1655" s="4">
        <v>2</v>
      </c>
      <c r="H1655" s="4" t="s">
        <v>83</v>
      </c>
      <c r="I1655" s="4" t="s">
        <v>69</v>
      </c>
      <c r="J1655" s="4" t="s">
        <v>66</v>
      </c>
      <c r="K1655" s="4">
        <v>0</v>
      </c>
      <c r="L1655" s="94">
        <v>2947912</v>
      </c>
      <c r="M1655" s="94">
        <v>5895824</v>
      </c>
    </row>
    <row r="1656" spans="3:13" x14ac:dyDescent="0.3">
      <c r="C1656" t="s">
        <v>70</v>
      </c>
      <c r="D1656" t="s">
        <v>67</v>
      </c>
      <c r="E1656" t="s">
        <v>63</v>
      </c>
      <c r="F1656" t="s">
        <v>25</v>
      </c>
      <c r="G1656" s="4">
        <v>-4</v>
      </c>
      <c r="H1656" s="4" t="s">
        <v>76</v>
      </c>
      <c r="I1656" s="4" t="s">
        <v>69</v>
      </c>
      <c r="J1656" s="4" t="s">
        <v>66</v>
      </c>
      <c r="K1656" s="4">
        <v>0</v>
      </c>
      <c r="L1656" s="94">
        <v>-64</v>
      </c>
      <c r="M1656" s="94">
        <v>0</v>
      </c>
    </row>
    <row r="1657" spans="3:13" x14ac:dyDescent="0.3">
      <c r="C1657" t="s">
        <v>61</v>
      </c>
      <c r="D1657" t="s">
        <v>67</v>
      </c>
      <c r="E1657" t="s">
        <v>68</v>
      </c>
      <c r="F1657" t="s">
        <v>26</v>
      </c>
      <c r="G1657" s="4">
        <v>3</v>
      </c>
      <c r="H1657" s="4" t="s">
        <v>15</v>
      </c>
      <c r="I1657" s="4" t="s">
        <v>69</v>
      </c>
      <c r="J1657" s="4" t="s">
        <v>66</v>
      </c>
      <c r="K1657" s="4">
        <v>0</v>
      </c>
      <c r="L1657" s="94">
        <v>3125247</v>
      </c>
      <c r="M1657" s="94">
        <v>9375741</v>
      </c>
    </row>
    <row r="1658" spans="3:13" x14ac:dyDescent="0.3">
      <c r="C1658" t="s">
        <v>71</v>
      </c>
      <c r="D1658" t="s">
        <v>67</v>
      </c>
      <c r="E1658" t="s">
        <v>63</v>
      </c>
      <c r="F1658" t="s">
        <v>26</v>
      </c>
      <c r="G1658" s="4">
        <v>-1</v>
      </c>
      <c r="H1658" s="4" t="s">
        <v>75</v>
      </c>
      <c r="I1658" s="4" t="s">
        <v>69</v>
      </c>
      <c r="J1658" s="4" t="s">
        <v>66</v>
      </c>
      <c r="K1658" s="4">
        <v>0</v>
      </c>
      <c r="L1658" s="94">
        <v>-965685</v>
      </c>
      <c r="M1658" s="94">
        <v>0</v>
      </c>
    </row>
    <row r="1659" spans="3:13" x14ac:dyDescent="0.3">
      <c r="C1659" t="s">
        <v>71</v>
      </c>
      <c r="D1659" t="s">
        <v>62</v>
      </c>
      <c r="E1659" t="s">
        <v>68</v>
      </c>
      <c r="F1659" t="s">
        <v>24</v>
      </c>
      <c r="G1659" s="4">
        <v>-1</v>
      </c>
      <c r="I1659" s="4" t="s">
        <v>69</v>
      </c>
      <c r="J1659" s="4" t="s">
        <v>66</v>
      </c>
      <c r="K1659" s="4">
        <v>0</v>
      </c>
      <c r="L1659" s="94">
        <v>300012</v>
      </c>
      <c r="M1659" s="94">
        <v>0</v>
      </c>
    </row>
    <row r="1660" spans="3:13" x14ac:dyDescent="0.3">
      <c r="C1660" t="s">
        <v>61</v>
      </c>
      <c r="D1660" t="s">
        <v>67</v>
      </c>
      <c r="E1660" t="s">
        <v>63</v>
      </c>
      <c r="F1660" t="s">
        <v>25</v>
      </c>
      <c r="G1660" s="4">
        <v>13</v>
      </c>
      <c r="H1660" s="4" t="s">
        <v>17</v>
      </c>
      <c r="I1660" s="4" t="s">
        <v>69</v>
      </c>
      <c r="J1660" s="4" t="s">
        <v>66</v>
      </c>
      <c r="K1660" s="4">
        <v>1</v>
      </c>
      <c r="L1660" s="94">
        <v>-56</v>
      </c>
      <c r="M1660" s="94">
        <v>0</v>
      </c>
    </row>
    <row r="1661" spans="3:13" x14ac:dyDescent="0.3">
      <c r="C1661" t="s">
        <v>71</v>
      </c>
      <c r="D1661" t="s">
        <v>67</v>
      </c>
      <c r="E1661" t="s">
        <v>63</v>
      </c>
      <c r="F1661" t="s">
        <v>26</v>
      </c>
      <c r="G1661" s="4">
        <v>7</v>
      </c>
      <c r="H1661" s="4" t="s">
        <v>14</v>
      </c>
      <c r="I1661" s="4" t="s">
        <v>69</v>
      </c>
      <c r="J1661" s="4" t="s">
        <v>66</v>
      </c>
      <c r="K1661" s="4">
        <v>0</v>
      </c>
      <c r="L1661" s="94">
        <v>-682043</v>
      </c>
      <c r="M1661" s="94">
        <v>0</v>
      </c>
    </row>
    <row r="1662" spans="3:13" x14ac:dyDescent="0.3">
      <c r="C1662" t="s">
        <v>70</v>
      </c>
      <c r="D1662" t="s">
        <v>67</v>
      </c>
      <c r="E1662" t="s">
        <v>68</v>
      </c>
      <c r="F1662" t="s">
        <v>26</v>
      </c>
      <c r="G1662" s="4">
        <v>1</v>
      </c>
      <c r="H1662" s="4" t="s">
        <v>14</v>
      </c>
      <c r="I1662" s="4" t="s">
        <v>65</v>
      </c>
      <c r="J1662" s="4" t="s">
        <v>73</v>
      </c>
      <c r="K1662" s="4">
        <v>1</v>
      </c>
      <c r="L1662" s="94">
        <v>14220</v>
      </c>
      <c r="M1662" s="94">
        <v>14220</v>
      </c>
    </row>
    <row r="1663" spans="3:13" x14ac:dyDescent="0.3">
      <c r="C1663" t="s">
        <v>61</v>
      </c>
      <c r="D1663" t="s">
        <v>67</v>
      </c>
      <c r="E1663" t="s">
        <v>63</v>
      </c>
      <c r="F1663" t="s">
        <v>72</v>
      </c>
      <c r="G1663" s="4">
        <v>7</v>
      </c>
      <c r="H1663" s="4" t="s">
        <v>12</v>
      </c>
      <c r="I1663" s="4" t="s">
        <v>69</v>
      </c>
      <c r="J1663" s="4" t="s">
        <v>73</v>
      </c>
      <c r="K1663" s="4">
        <v>1</v>
      </c>
      <c r="L1663" s="94">
        <v>-3563</v>
      </c>
      <c r="M1663" s="94">
        <v>0</v>
      </c>
    </row>
    <row r="1664" spans="3:13" x14ac:dyDescent="0.3">
      <c r="C1664" t="s">
        <v>61</v>
      </c>
      <c r="D1664" t="s">
        <v>62</v>
      </c>
      <c r="E1664" t="s">
        <v>68</v>
      </c>
      <c r="F1664" t="s">
        <v>25</v>
      </c>
      <c r="G1664" s="4">
        <v>5</v>
      </c>
      <c r="I1664" s="4" t="s">
        <v>65</v>
      </c>
      <c r="J1664" s="4" t="s">
        <v>66</v>
      </c>
      <c r="K1664" s="4">
        <v>1</v>
      </c>
      <c r="L1664" s="94">
        <v>37670</v>
      </c>
      <c r="M1664" s="94">
        <v>188350</v>
      </c>
    </row>
    <row r="1665" spans="3:13" x14ac:dyDescent="0.3">
      <c r="C1665" t="s">
        <v>70</v>
      </c>
      <c r="D1665" t="s">
        <v>67</v>
      </c>
      <c r="E1665" t="s">
        <v>68</v>
      </c>
      <c r="F1665" t="s">
        <v>26</v>
      </c>
      <c r="G1665" s="4">
        <v>5</v>
      </c>
      <c r="H1665" s="4" t="s">
        <v>18</v>
      </c>
      <c r="I1665" s="4" t="s">
        <v>69</v>
      </c>
      <c r="J1665" s="4" t="s">
        <v>73</v>
      </c>
      <c r="K1665" s="4">
        <v>1</v>
      </c>
      <c r="L1665" s="94">
        <v>684897</v>
      </c>
      <c r="M1665" s="94">
        <v>3424485</v>
      </c>
    </row>
    <row r="1666" spans="3:13" x14ac:dyDescent="0.3">
      <c r="C1666" t="s">
        <v>71</v>
      </c>
      <c r="D1666" t="s">
        <v>67</v>
      </c>
      <c r="E1666" t="s">
        <v>68</v>
      </c>
      <c r="F1666" t="s">
        <v>26</v>
      </c>
      <c r="G1666" s="4">
        <v>4</v>
      </c>
      <c r="H1666" s="4" t="s">
        <v>14</v>
      </c>
      <c r="I1666" s="4" t="s">
        <v>69</v>
      </c>
      <c r="J1666" s="4" t="s">
        <v>66</v>
      </c>
      <c r="K1666" s="4">
        <v>0</v>
      </c>
      <c r="L1666" s="94">
        <v>1362985</v>
      </c>
      <c r="M1666" s="94">
        <v>5451940</v>
      </c>
    </row>
    <row r="1667" spans="3:13" x14ac:dyDescent="0.3">
      <c r="C1667" t="s">
        <v>70</v>
      </c>
      <c r="D1667" t="s">
        <v>67</v>
      </c>
      <c r="E1667" t="s">
        <v>68</v>
      </c>
      <c r="F1667" t="s">
        <v>72</v>
      </c>
      <c r="G1667" s="4">
        <v>2</v>
      </c>
      <c r="H1667" s="4" t="s">
        <v>82</v>
      </c>
      <c r="I1667" s="4" t="s">
        <v>69</v>
      </c>
      <c r="J1667" s="4" t="s">
        <v>66</v>
      </c>
      <c r="K1667" s="4">
        <v>0</v>
      </c>
      <c r="L1667" s="94">
        <v>1898276</v>
      </c>
      <c r="M1667" s="94">
        <v>3796552</v>
      </c>
    </row>
    <row r="1668" spans="3:13" x14ac:dyDescent="0.3">
      <c r="C1668" t="s">
        <v>70</v>
      </c>
      <c r="D1668" t="s">
        <v>62</v>
      </c>
      <c r="E1668" t="s">
        <v>68</v>
      </c>
      <c r="F1668" t="s">
        <v>24</v>
      </c>
      <c r="G1668" s="4">
        <v>24</v>
      </c>
      <c r="I1668" s="4" t="s">
        <v>69</v>
      </c>
      <c r="J1668" s="4" t="s">
        <v>66</v>
      </c>
      <c r="K1668" s="4">
        <v>1</v>
      </c>
      <c r="L1668" s="94">
        <v>380062</v>
      </c>
      <c r="M1668" s="94">
        <v>9121488</v>
      </c>
    </row>
    <row r="1669" spans="3:13" x14ac:dyDescent="0.3">
      <c r="C1669" t="s">
        <v>61</v>
      </c>
      <c r="D1669" t="s">
        <v>67</v>
      </c>
      <c r="E1669" t="s">
        <v>63</v>
      </c>
      <c r="F1669" t="s">
        <v>72</v>
      </c>
      <c r="G1669" s="4">
        <v>-4</v>
      </c>
      <c r="H1669" s="4" t="s">
        <v>12</v>
      </c>
      <c r="I1669" s="4" t="s">
        <v>69</v>
      </c>
      <c r="J1669" s="4" t="s">
        <v>73</v>
      </c>
      <c r="K1669" s="4">
        <v>1</v>
      </c>
      <c r="L1669" s="94">
        <v>-1</v>
      </c>
      <c r="M1669" s="94">
        <v>0</v>
      </c>
    </row>
    <row r="1670" spans="3:13" x14ac:dyDescent="0.3">
      <c r="C1670" t="s">
        <v>61</v>
      </c>
      <c r="D1670" t="s">
        <v>84</v>
      </c>
      <c r="E1670" t="s">
        <v>63</v>
      </c>
      <c r="F1670" t="s">
        <v>25</v>
      </c>
      <c r="G1670" s="4">
        <v>14</v>
      </c>
      <c r="H1670" s="4" t="s">
        <v>81</v>
      </c>
      <c r="I1670" s="4" t="s">
        <v>69</v>
      </c>
      <c r="J1670" s="4" t="s">
        <v>66</v>
      </c>
      <c r="K1670" s="4">
        <v>0</v>
      </c>
      <c r="L1670" s="94">
        <v>-2247</v>
      </c>
      <c r="M1670" s="94">
        <v>0</v>
      </c>
    </row>
    <row r="1671" spans="3:13" x14ac:dyDescent="0.3">
      <c r="C1671" t="s">
        <v>61</v>
      </c>
      <c r="D1671" t="s">
        <v>67</v>
      </c>
      <c r="E1671" t="s">
        <v>63</v>
      </c>
      <c r="F1671" t="s">
        <v>25</v>
      </c>
      <c r="G1671" s="4">
        <v>5</v>
      </c>
      <c r="H1671" s="4" t="s">
        <v>14</v>
      </c>
      <c r="I1671" s="4" t="s">
        <v>69</v>
      </c>
      <c r="J1671" s="4" t="s">
        <v>66</v>
      </c>
      <c r="K1671" s="4">
        <v>1</v>
      </c>
      <c r="L1671" s="94">
        <v>-13039</v>
      </c>
      <c r="M1671" s="94">
        <v>0</v>
      </c>
    </row>
    <row r="1672" spans="3:13" x14ac:dyDescent="0.3">
      <c r="C1672" t="s">
        <v>70</v>
      </c>
      <c r="D1672" t="s">
        <v>67</v>
      </c>
      <c r="E1672" t="s">
        <v>63</v>
      </c>
      <c r="F1672" t="s">
        <v>25</v>
      </c>
      <c r="G1672" s="4">
        <v>1</v>
      </c>
      <c r="H1672" s="4" t="s">
        <v>17</v>
      </c>
      <c r="I1672" s="4" t="s">
        <v>69</v>
      </c>
      <c r="J1672" s="4" t="s">
        <v>66</v>
      </c>
      <c r="K1672" s="4">
        <v>0</v>
      </c>
      <c r="L1672" s="94">
        <v>-1728</v>
      </c>
      <c r="M1672" s="94">
        <v>0</v>
      </c>
    </row>
    <row r="1673" spans="3:13" x14ac:dyDescent="0.3">
      <c r="C1673" t="s">
        <v>71</v>
      </c>
      <c r="D1673" t="s">
        <v>67</v>
      </c>
      <c r="E1673" t="s">
        <v>63</v>
      </c>
      <c r="F1673" t="s">
        <v>26</v>
      </c>
      <c r="G1673" s="4">
        <v>2</v>
      </c>
      <c r="H1673" s="4" t="s">
        <v>12</v>
      </c>
      <c r="I1673" s="4" t="s">
        <v>65</v>
      </c>
      <c r="J1673" s="4" t="s">
        <v>73</v>
      </c>
      <c r="K1673" s="4">
        <v>1</v>
      </c>
      <c r="L1673" s="94">
        <v>-8396</v>
      </c>
      <c r="M1673" s="94">
        <v>0</v>
      </c>
    </row>
    <row r="1674" spans="3:13" x14ac:dyDescent="0.3">
      <c r="C1674" t="s">
        <v>61</v>
      </c>
      <c r="D1674" t="s">
        <v>67</v>
      </c>
      <c r="E1674" t="s">
        <v>68</v>
      </c>
      <c r="F1674" t="s">
        <v>72</v>
      </c>
      <c r="G1674" s="4">
        <v>6</v>
      </c>
      <c r="H1674" s="4" t="s">
        <v>74</v>
      </c>
      <c r="I1674" s="4" t="s">
        <v>69</v>
      </c>
      <c r="J1674" s="4" t="s">
        <v>66</v>
      </c>
      <c r="K1674" s="4">
        <v>0</v>
      </c>
      <c r="L1674" s="94">
        <v>438133</v>
      </c>
      <c r="M1674" s="94">
        <v>2628798</v>
      </c>
    </row>
    <row r="1675" spans="3:13" x14ac:dyDescent="0.3">
      <c r="C1675" t="s">
        <v>70</v>
      </c>
      <c r="D1675" t="s">
        <v>67</v>
      </c>
      <c r="E1675" t="s">
        <v>68</v>
      </c>
      <c r="F1675" t="s">
        <v>25</v>
      </c>
      <c r="G1675" s="4">
        <v>-4</v>
      </c>
      <c r="H1675" s="4" t="s">
        <v>14</v>
      </c>
      <c r="I1675" s="4" t="s">
        <v>69</v>
      </c>
      <c r="J1675" s="4" t="s">
        <v>66</v>
      </c>
      <c r="K1675" s="4">
        <v>0</v>
      </c>
      <c r="L1675" s="94">
        <v>976</v>
      </c>
      <c r="M1675" s="94">
        <v>0</v>
      </c>
    </row>
    <row r="1676" spans="3:13" x14ac:dyDescent="0.3">
      <c r="C1676" t="s">
        <v>61</v>
      </c>
      <c r="D1676" t="s">
        <v>67</v>
      </c>
      <c r="E1676" t="s">
        <v>63</v>
      </c>
      <c r="F1676" t="s">
        <v>26</v>
      </c>
      <c r="G1676" s="4">
        <v>-1</v>
      </c>
      <c r="H1676" s="4" t="s">
        <v>64</v>
      </c>
      <c r="I1676" s="4" t="s">
        <v>69</v>
      </c>
      <c r="J1676" s="4" t="s">
        <v>66</v>
      </c>
      <c r="K1676" s="4">
        <v>0</v>
      </c>
      <c r="L1676" s="94">
        <v>-175487</v>
      </c>
      <c r="M1676" s="94">
        <v>0</v>
      </c>
    </row>
    <row r="1677" spans="3:13" x14ac:dyDescent="0.3">
      <c r="C1677" t="s">
        <v>61</v>
      </c>
      <c r="D1677" t="s">
        <v>67</v>
      </c>
      <c r="E1677" t="s">
        <v>68</v>
      </c>
      <c r="F1677" t="s">
        <v>25</v>
      </c>
      <c r="G1677" s="4">
        <v>3</v>
      </c>
      <c r="H1677" s="4" t="s">
        <v>12</v>
      </c>
      <c r="I1677" s="4" t="s">
        <v>69</v>
      </c>
      <c r="J1677" s="4" t="s">
        <v>73</v>
      </c>
      <c r="K1677" s="4">
        <v>1</v>
      </c>
      <c r="L1677" s="94">
        <v>16145</v>
      </c>
      <c r="M1677" s="94">
        <v>48435</v>
      </c>
    </row>
    <row r="1678" spans="3:13" x14ac:dyDescent="0.3">
      <c r="C1678" t="s">
        <v>71</v>
      </c>
      <c r="D1678" t="s">
        <v>67</v>
      </c>
      <c r="E1678" t="s">
        <v>68</v>
      </c>
      <c r="F1678" t="s">
        <v>25</v>
      </c>
      <c r="G1678" s="4">
        <v>6</v>
      </c>
      <c r="H1678" s="4" t="s">
        <v>14</v>
      </c>
      <c r="I1678" s="4" t="s">
        <v>69</v>
      </c>
      <c r="J1678" s="4" t="s">
        <v>66</v>
      </c>
      <c r="K1678" s="4">
        <v>0</v>
      </c>
      <c r="L1678" s="94">
        <v>441259</v>
      </c>
      <c r="M1678" s="94">
        <v>2647554</v>
      </c>
    </row>
    <row r="1679" spans="3:13" x14ac:dyDescent="0.3">
      <c r="C1679" t="s">
        <v>61</v>
      </c>
      <c r="D1679" t="s">
        <v>62</v>
      </c>
      <c r="E1679" t="s">
        <v>68</v>
      </c>
      <c r="F1679" t="s">
        <v>24</v>
      </c>
      <c r="G1679" s="4">
        <v>2</v>
      </c>
      <c r="I1679" s="4" t="s">
        <v>65</v>
      </c>
      <c r="J1679" s="4" t="s">
        <v>66</v>
      </c>
      <c r="K1679" s="4">
        <v>1</v>
      </c>
      <c r="L1679" s="94">
        <v>500624</v>
      </c>
      <c r="M1679" s="94">
        <v>1001248</v>
      </c>
    </row>
    <row r="1680" spans="3:13" x14ac:dyDescent="0.3">
      <c r="C1680" t="s">
        <v>61</v>
      </c>
      <c r="D1680" t="s">
        <v>67</v>
      </c>
      <c r="E1680" t="s">
        <v>63</v>
      </c>
      <c r="F1680" t="s">
        <v>25</v>
      </c>
      <c r="G1680" s="4">
        <v>12</v>
      </c>
      <c r="H1680" s="4" t="s">
        <v>80</v>
      </c>
      <c r="I1680" s="4" t="s">
        <v>69</v>
      </c>
      <c r="J1680" s="4" t="s">
        <v>66</v>
      </c>
      <c r="K1680" s="4">
        <v>0</v>
      </c>
      <c r="L1680" s="94">
        <v>-1193</v>
      </c>
      <c r="M1680" s="94">
        <v>0</v>
      </c>
    </row>
    <row r="1681" spans="3:13" x14ac:dyDescent="0.3">
      <c r="C1681" t="s">
        <v>61</v>
      </c>
      <c r="D1681" t="s">
        <v>67</v>
      </c>
      <c r="E1681" t="s">
        <v>68</v>
      </c>
      <c r="F1681" t="s">
        <v>26</v>
      </c>
      <c r="G1681" s="4">
        <v>4</v>
      </c>
      <c r="H1681" s="4" t="s">
        <v>76</v>
      </c>
      <c r="I1681" s="4" t="s">
        <v>69</v>
      </c>
      <c r="J1681" s="4" t="s">
        <v>66</v>
      </c>
      <c r="K1681" s="4">
        <v>0</v>
      </c>
      <c r="L1681" s="94">
        <v>30617432</v>
      </c>
      <c r="M1681" s="94">
        <v>122469728</v>
      </c>
    </row>
    <row r="1682" spans="3:13" x14ac:dyDescent="0.3">
      <c r="C1682" t="s">
        <v>71</v>
      </c>
      <c r="D1682" t="s">
        <v>67</v>
      </c>
      <c r="E1682" t="s">
        <v>63</v>
      </c>
      <c r="F1682" t="s">
        <v>26</v>
      </c>
      <c r="G1682" s="4">
        <v>1</v>
      </c>
      <c r="H1682" s="4" t="s">
        <v>17</v>
      </c>
      <c r="I1682" s="4" t="s">
        <v>69</v>
      </c>
      <c r="J1682" s="4" t="s">
        <v>66</v>
      </c>
      <c r="K1682" s="4">
        <v>0</v>
      </c>
      <c r="L1682" s="94">
        <v>-755185</v>
      </c>
      <c r="M1682" s="94">
        <v>0</v>
      </c>
    </row>
    <row r="1683" spans="3:13" x14ac:dyDescent="0.3">
      <c r="C1683" t="s">
        <v>70</v>
      </c>
      <c r="D1683" t="s">
        <v>67</v>
      </c>
      <c r="E1683" t="s">
        <v>63</v>
      </c>
      <c r="F1683" t="s">
        <v>25</v>
      </c>
      <c r="G1683" s="4">
        <v>12</v>
      </c>
      <c r="H1683" s="4" t="s">
        <v>83</v>
      </c>
      <c r="I1683" s="4" t="s">
        <v>69</v>
      </c>
      <c r="J1683" s="4" t="s">
        <v>66</v>
      </c>
      <c r="K1683" s="4">
        <v>0</v>
      </c>
      <c r="L1683" s="94">
        <v>-13999</v>
      </c>
      <c r="M1683" s="94">
        <v>0</v>
      </c>
    </row>
    <row r="1684" spans="3:13" x14ac:dyDescent="0.3">
      <c r="C1684" t="s">
        <v>71</v>
      </c>
      <c r="D1684" t="s">
        <v>67</v>
      </c>
      <c r="E1684" t="s">
        <v>63</v>
      </c>
      <c r="F1684" t="s">
        <v>25</v>
      </c>
      <c r="G1684" s="4">
        <v>-4</v>
      </c>
      <c r="H1684" s="4" t="s">
        <v>75</v>
      </c>
      <c r="I1684" s="4" t="s">
        <v>69</v>
      </c>
      <c r="J1684" s="4" t="s">
        <v>66</v>
      </c>
      <c r="K1684" s="4">
        <v>0</v>
      </c>
      <c r="L1684" s="94">
        <v>-3913450</v>
      </c>
      <c r="M1684" s="94">
        <v>0</v>
      </c>
    </row>
    <row r="1685" spans="3:13" x14ac:dyDescent="0.3">
      <c r="C1685" t="s">
        <v>70</v>
      </c>
      <c r="D1685" t="s">
        <v>67</v>
      </c>
      <c r="E1685" t="s">
        <v>63</v>
      </c>
      <c r="F1685" t="s">
        <v>72</v>
      </c>
      <c r="G1685" s="4">
        <v>1</v>
      </c>
      <c r="H1685" s="4" t="s">
        <v>14</v>
      </c>
      <c r="I1685" s="4" t="s">
        <v>69</v>
      </c>
      <c r="J1685" s="4" t="s">
        <v>66</v>
      </c>
      <c r="K1685" s="4">
        <v>0</v>
      </c>
      <c r="L1685" s="94">
        <v>-26474</v>
      </c>
      <c r="M1685" s="94">
        <v>0</v>
      </c>
    </row>
    <row r="1686" spans="3:13" x14ac:dyDescent="0.3">
      <c r="C1686" t="s">
        <v>61</v>
      </c>
      <c r="D1686" t="s">
        <v>62</v>
      </c>
      <c r="E1686" t="s">
        <v>68</v>
      </c>
      <c r="F1686" t="s">
        <v>25</v>
      </c>
      <c r="G1686" s="4">
        <v>10</v>
      </c>
      <c r="I1686" s="4" t="s">
        <v>69</v>
      </c>
      <c r="J1686" s="4" t="s">
        <v>66</v>
      </c>
      <c r="K1686" s="4">
        <v>0</v>
      </c>
      <c r="L1686" s="94">
        <v>3147489</v>
      </c>
      <c r="M1686" s="94">
        <v>31474890</v>
      </c>
    </row>
    <row r="1687" spans="3:13" x14ac:dyDescent="0.3">
      <c r="C1687" t="s">
        <v>71</v>
      </c>
      <c r="D1687" t="s">
        <v>67</v>
      </c>
      <c r="E1687" t="s">
        <v>63</v>
      </c>
      <c r="F1687" t="s">
        <v>72</v>
      </c>
      <c r="G1687" s="4">
        <v>-4</v>
      </c>
      <c r="H1687" s="4" t="s">
        <v>12</v>
      </c>
      <c r="I1687" s="4" t="s">
        <v>69</v>
      </c>
      <c r="J1687" s="4" t="s">
        <v>66</v>
      </c>
      <c r="K1687" s="4">
        <v>0</v>
      </c>
      <c r="L1687" s="94">
        <v>-5022</v>
      </c>
      <c r="M1687" s="94">
        <v>0</v>
      </c>
    </row>
    <row r="1688" spans="3:13" x14ac:dyDescent="0.3">
      <c r="C1688" t="s">
        <v>61</v>
      </c>
      <c r="D1688" t="s">
        <v>67</v>
      </c>
      <c r="E1688" t="s">
        <v>68</v>
      </c>
      <c r="F1688" t="s">
        <v>26</v>
      </c>
      <c r="G1688" s="4">
        <v>12</v>
      </c>
      <c r="H1688" s="4" t="s">
        <v>15</v>
      </c>
      <c r="I1688" s="4" t="s">
        <v>69</v>
      </c>
      <c r="J1688" s="4" t="s">
        <v>66</v>
      </c>
      <c r="K1688" s="4">
        <v>0</v>
      </c>
      <c r="L1688" s="94">
        <v>135060246</v>
      </c>
      <c r="M1688" s="94">
        <v>1620722952</v>
      </c>
    </row>
    <row r="1689" spans="3:13" x14ac:dyDescent="0.3">
      <c r="C1689" t="s">
        <v>61</v>
      </c>
      <c r="D1689" t="s">
        <v>67</v>
      </c>
      <c r="E1689" t="s">
        <v>63</v>
      </c>
      <c r="F1689" t="s">
        <v>25</v>
      </c>
      <c r="G1689" s="4">
        <v>11</v>
      </c>
      <c r="H1689" s="4" t="s">
        <v>75</v>
      </c>
      <c r="I1689" s="4" t="s">
        <v>69</v>
      </c>
      <c r="J1689" s="4" t="s">
        <v>66</v>
      </c>
      <c r="K1689" s="4">
        <v>0</v>
      </c>
      <c r="L1689" s="94">
        <v>-56108</v>
      </c>
      <c r="M1689" s="94">
        <v>0</v>
      </c>
    </row>
    <row r="1690" spans="3:13" x14ac:dyDescent="0.3">
      <c r="C1690" t="s">
        <v>70</v>
      </c>
      <c r="D1690" t="s">
        <v>67</v>
      </c>
      <c r="E1690" t="s">
        <v>63</v>
      </c>
      <c r="F1690" t="s">
        <v>25</v>
      </c>
      <c r="G1690" s="4">
        <v>20</v>
      </c>
      <c r="H1690" s="4" t="s">
        <v>76</v>
      </c>
      <c r="I1690" s="4" t="s">
        <v>69</v>
      </c>
      <c r="J1690" s="4" t="s">
        <v>66</v>
      </c>
      <c r="K1690" s="4">
        <v>0</v>
      </c>
      <c r="L1690" s="94">
        <v>-20150</v>
      </c>
      <c r="M1690" s="94">
        <v>0</v>
      </c>
    </row>
    <row r="1691" spans="3:13" x14ac:dyDescent="0.3">
      <c r="C1691" t="s">
        <v>61</v>
      </c>
      <c r="D1691" t="s">
        <v>67</v>
      </c>
      <c r="E1691" t="s">
        <v>68</v>
      </c>
      <c r="F1691" t="s">
        <v>26</v>
      </c>
      <c r="G1691" s="4">
        <v>-1</v>
      </c>
      <c r="H1691" s="4" t="s">
        <v>17</v>
      </c>
      <c r="I1691" s="4" t="s">
        <v>69</v>
      </c>
      <c r="J1691" s="4" t="s">
        <v>66</v>
      </c>
      <c r="K1691" s="4">
        <v>0</v>
      </c>
      <c r="L1691" s="94">
        <v>33395745</v>
      </c>
      <c r="M1691" s="94">
        <v>0</v>
      </c>
    </row>
    <row r="1692" spans="3:13" x14ac:dyDescent="0.3">
      <c r="C1692" t="s">
        <v>61</v>
      </c>
      <c r="D1692" t="s">
        <v>67</v>
      </c>
      <c r="E1692" t="s">
        <v>68</v>
      </c>
      <c r="F1692" t="s">
        <v>25</v>
      </c>
      <c r="G1692" s="4">
        <v>7</v>
      </c>
      <c r="H1692" s="4" t="s">
        <v>16</v>
      </c>
      <c r="I1692" s="4" t="s">
        <v>69</v>
      </c>
      <c r="J1692" s="4" t="s">
        <v>66</v>
      </c>
      <c r="K1692" s="4">
        <v>0</v>
      </c>
      <c r="L1692" s="94">
        <v>140944</v>
      </c>
      <c r="M1692" s="94">
        <v>986608</v>
      </c>
    </row>
    <row r="1693" spans="3:13" x14ac:dyDescent="0.3">
      <c r="C1693" t="s">
        <v>70</v>
      </c>
      <c r="D1693" t="s">
        <v>67</v>
      </c>
      <c r="E1693" t="s">
        <v>63</v>
      </c>
      <c r="F1693" t="s">
        <v>25</v>
      </c>
      <c r="G1693" s="4">
        <v>11</v>
      </c>
      <c r="H1693" s="4" t="s">
        <v>74</v>
      </c>
      <c r="I1693" s="4" t="s">
        <v>69</v>
      </c>
      <c r="J1693" s="4" t="s">
        <v>66</v>
      </c>
      <c r="K1693" s="4">
        <v>0</v>
      </c>
      <c r="L1693" s="94">
        <v>-203959</v>
      </c>
      <c r="M1693" s="94">
        <v>0</v>
      </c>
    </row>
    <row r="1694" spans="3:13" x14ac:dyDescent="0.3">
      <c r="C1694" t="s">
        <v>61</v>
      </c>
      <c r="D1694" t="s">
        <v>67</v>
      </c>
      <c r="E1694" t="s">
        <v>63</v>
      </c>
      <c r="F1694" t="s">
        <v>25</v>
      </c>
      <c r="G1694" s="4">
        <v>10</v>
      </c>
      <c r="H1694" s="4" t="s">
        <v>18</v>
      </c>
      <c r="I1694" s="4" t="s">
        <v>69</v>
      </c>
      <c r="J1694" s="4" t="s">
        <v>66</v>
      </c>
      <c r="K1694" s="4">
        <v>1</v>
      </c>
      <c r="L1694" s="94">
        <v>-1466</v>
      </c>
      <c r="M1694" s="94">
        <v>0</v>
      </c>
    </row>
    <row r="1695" spans="3:13" x14ac:dyDescent="0.3">
      <c r="C1695" t="s">
        <v>71</v>
      </c>
      <c r="D1695" t="s">
        <v>67</v>
      </c>
      <c r="E1695" t="s">
        <v>63</v>
      </c>
      <c r="F1695" t="s">
        <v>25</v>
      </c>
      <c r="G1695" s="4">
        <v>12</v>
      </c>
      <c r="H1695" s="4" t="s">
        <v>76</v>
      </c>
      <c r="I1695" s="4" t="s">
        <v>69</v>
      </c>
      <c r="J1695" s="4" t="s">
        <v>66</v>
      </c>
      <c r="K1695" s="4">
        <v>0</v>
      </c>
      <c r="L1695" s="94">
        <v>-47500</v>
      </c>
      <c r="M1695" s="94">
        <v>0</v>
      </c>
    </row>
    <row r="1696" spans="3:13" x14ac:dyDescent="0.3">
      <c r="C1696" t="s">
        <v>71</v>
      </c>
      <c r="D1696" t="s">
        <v>67</v>
      </c>
      <c r="E1696" t="s">
        <v>63</v>
      </c>
      <c r="F1696" t="s">
        <v>26</v>
      </c>
      <c r="G1696" s="4">
        <v>-4</v>
      </c>
      <c r="H1696" s="4" t="s">
        <v>79</v>
      </c>
      <c r="I1696" s="4" t="s">
        <v>69</v>
      </c>
      <c r="J1696" s="4" t="s">
        <v>66</v>
      </c>
      <c r="K1696" s="4">
        <v>0</v>
      </c>
      <c r="L1696" s="94">
        <v>-192428</v>
      </c>
      <c r="M1696" s="94">
        <v>0</v>
      </c>
    </row>
    <row r="1697" spans="3:13" x14ac:dyDescent="0.3">
      <c r="C1697" t="s">
        <v>61</v>
      </c>
      <c r="D1697" t="s">
        <v>62</v>
      </c>
      <c r="E1697" t="s">
        <v>68</v>
      </c>
      <c r="F1697" t="s">
        <v>24</v>
      </c>
      <c r="G1697" s="4">
        <v>25</v>
      </c>
      <c r="I1697" s="4" t="s">
        <v>69</v>
      </c>
      <c r="J1697" s="4" t="s">
        <v>66</v>
      </c>
      <c r="K1697" s="4">
        <v>1</v>
      </c>
      <c r="L1697" s="94">
        <v>1805379</v>
      </c>
      <c r="M1697" s="94">
        <v>45134475</v>
      </c>
    </row>
    <row r="1698" spans="3:13" x14ac:dyDescent="0.3">
      <c r="C1698" t="s">
        <v>71</v>
      </c>
      <c r="D1698" t="s">
        <v>67</v>
      </c>
      <c r="E1698" t="s">
        <v>68</v>
      </c>
      <c r="F1698" t="s">
        <v>26</v>
      </c>
      <c r="G1698" s="4">
        <v>2</v>
      </c>
      <c r="H1698" s="4" t="s">
        <v>17</v>
      </c>
      <c r="I1698" s="4" t="s">
        <v>69</v>
      </c>
      <c r="J1698" s="4" t="s">
        <v>66</v>
      </c>
      <c r="K1698" s="4">
        <v>0</v>
      </c>
      <c r="L1698" s="94">
        <v>1881047</v>
      </c>
      <c r="M1698" s="94">
        <v>3762094</v>
      </c>
    </row>
    <row r="1699" spans="3:13" x14ac:dyDescent="0.3">
      <c r="C1699" t="s">
        <v>61</v>
      </c>
      <c r="D1699" t="s">
        <v>62</v>
      </c>
      <c r="E1699" t="s">
        <v>63</v>
      </c>
      <c r="F1699" t="s">
        <v>25</v>
      </c>
      <c r="G1699" s="4">
        <v>4</v>
      </c>
      <c r="I1699" s="4" t="s">
        <v>69</v>
      </c>
      <c r="J1699" s="4" t="s">
        <v>66</v>
      </c>
      <c r="K1699" s="4">
        <v>0</v>
      </c>
      <c r="L1699" s="94">
        <v>-21747</v>
      </c>
      <c r="M1699" s="94">
        <v>0</v>
      </c>
    </row>
    <row r="1700" spans="3:13" x14ac:dyDescent="0.3">
      <c r="C1700" t="s">
        <v>61</v>
      </c>
      <c r="D1700" t="s">
        <v>67</v>
      </c>
      <c r="E1700" t="s">
        <v>63</v>
      </c>
      <c r="F1700" t="s">
        <v>26</v>
      </c>
      <c r="G1700" s="4">
        <v>3</v>
      </c>
      <c r="H1700" s="4" t="s">
        <v>18</v>
      </c>
      <c r="I1700" s="4" t="s">
        <v>69</v>
      </c>
      <c r="J1700" s="4" t="s">
        <v>73</v>
      </c>
      <c r="K1700" s="4">
        <v>1</v>
      </c>
      <c r="L1700" s="94">
        <v>-28146</v>
      </c>
      <c r="M1700" s="94">
        <v>0</v>
      </c>
    </row>
    <row r="1701" spans="3:13" x14ac:dyDescent="0.3">
      <c r="C1701" t="s">
        <v>61</v>
      </c>
      <c r="D1701" t="s">
        <v>67</v>
      </c>
      <c r="E1701" t="s">
        <v>68</v>
      </c>
      <c r="F1701" t="s">
        <v>26</v>
      </c>
      <c r="G1701" s="4">
        <v>0</v>
      </c>
      <c r="H1701" s="4" t="s">
        <v>79</v>
      </c>
      <c r="I1701" s="4" t="s">
        <v>69</v>
      </c>
      <c r="J1701" s="4" t="s">
        <v>66</v>
      </c>
      <c r="K1701" s="4">
        <v>0</v>
      </c>
      <c r="L1701" s="94">
        <v>8337726</v>
      </c>
      <c r="M1701" s="94">
        <v>0</v>
      </c>
    </row>
    <row r="1702" spans="3:13" x14ac:dyDescent="0.3">
      <c r="C1702" t="s">
        <v>70</v>
      </c>
      <c r="D1702" t="s">
        <v>67</v>
      </c>
      <c r="E1702" t="s">
        <v>68</v>
      </c>
      <c r="F1702" t="s">
        <v>25</v>
      </c>
      <c r="G1702" s="4">
        <v>2</v>
      </c>
      <c r="H1702" s="4" t="s">
        <v>17</v>
      </c>
      <c r="I1702" s="4" t="s">
        <v>69</v>
      </c>
      <c r="J1702" s="4" t="s">
        <v>66</v>
      </c>
      <c r="K1702" s="4">
        <v>0</v>
      </c>
      <c r="L1702" s="94">
        <v>1352252</v>
      </c>
      <c r="M1702" s="94">
        <v>2704504</v>
      </c>
    </row>
    <row r="1703" spans="3:13" x14ac:dyDescent="0.3">
      <c r="C1703" t="s">
        <v>71</v>
      </c>
      <c r="D1703" t="s">
        <v>67</v>
      </c>
      <c r="E1703" t="s">
        <v>68</v>
      </c>
      <c r="F1703" t="s">
        <v>26</v>
      </c>
      <c r="G1703" s="4">
        <v>3</v>
      </c>
      <c r="H1703" s="4" t="s">
        <v>78</v>
      </c>
      <c r="I1703" s="4" t="s">
        <v>69</v>
      </c>
      <c r="J1703" s="4" t="s">
        <v>66</v>
      </c>
      <c r="K1703" s="4">
        <v>0</v>
      </c>
      <c r="L1703" s="94">
        <v>70465</v>
      </c>
      <c r="M1703" s="94">
        <v>211395</v>
      </c>
    </row>
    <row r="1704" spans="3:13" x14ac:dyDescent="0.3">
      <c r="C1704" t="s">
        <v>71</v>
      </c>
      <c r="D1704" t="s">
        <v>67</v>
      </c>
      <c r="E1704" t="s">
        <v>63</v>
      </c>
      <c r="F1704" t="s">
        <v>26</v>
      </c>
      <c r="G1704" s="4">
        <v>0</v>
      </c>
      <c r="H1704" s="4" t="s">
        <v>80</v>
      </c>
      <c r="I1704" s="4" t="s">
        <v>69</v>
      </c>
      <c r="J1704" s="4" t="s">
        <v>66</v>
      </c>
      <c r="K1704" s="4">
        <v>0</v>
      </c>
      <c r="L1704" s="94">
        <v>-41835</v>
      </c>
      <c r="M1704" s="94">
        <v>0</v>
      </c>
    </row>
    <row r="1705" spans="3:13" x14ac:dyDescent="0.3">
      <c r="C1705" t="s">
        <v>61</v>
      </c>
      <c r="D1705" t="s">
        <v>67</v>
      </c>
      <c r="E1705" t="s">
        <v>68</v>
      </c>
      <c r="F1705" t="s">
        <v>25</v>
      </c>
      <c r="G1705" s="4">
        <v>5</v>
      </c>
      <c r="H1705" s="4" t="s">
        <v>17</v>
      </c>
      <c r="I1705" s="4" t="s">
        <v>69</v>
      </c>
      <c r="J1705" s="4" t="s">
        <v>66</v>
      </c>
      <c r="K1705" s="4">
        <v>1</v>
      </c>
      <c r="L1705" s="94">
        <v>48285</v>
      </c>
      <c r="M1705" s="94">
        <v>241425</v>
      </c>
    </row>
    <row r="1706" spans="3:13" x14ac:dyDescent="0.3">
      <c r="C1706" t="s">
        <v>61</v>
      </c>
      <c r="D1706" t="s">
        <v>67</v>
      </c>
      <c r="E1706" t="s">
        <v>68</v>
      </c>
      <c r="F1706" t="s">
        <v>26</v>
      </c>
      <c r="G1706" s="4">
        <v>1</v>
      </c>
      <c r="H1706" s="4" t="s">
        <v>18</v>
      </c>
      <c r="I1706" s="4" t="s">
        <v>69</v>
      </c>
      <c r="J1706" s="4" t="s">
        <v>73</v>
      </c>
      <c r="K1706" s="4">
        <v>1</v>
      </c>
      <c r="L1706" s="94">
        <v>18719186</v>
      </c>
      <c r="M1706" s="94">
        <v>18719186</v>
      </c>
    </row>
    <row r="1707" spans="3:13" x14ac:dyDescent="0.3">
      <c r="C1707" t="s">
        <v>61</v>
      </c>
      <c r="D1707" t="s">
        <v>67</v>
      </c>
      <c r="E1707" t="s">
        <v>68</v>
      </c>
      <c r="F1707" t="s">
        <v>72</v>
      </c>
      <c r="G1707" s="4">
        <v>2</v>
      </c>
      <c r="H1707" s="4" t="s">
        <v>12</v>
      </c>
      <c r="I1707" s="4" t="s">
        <v>69</v>
      </c>
      <c r="J1707" s="4" t="s">
        <v>73</v>
      </c>
      <c r="K1707" s="4">
        <v>1</v>
      </c>
      <c r="L1707" s="94">
        <v>1150679</v>
      </c>
      <c r="M1707" s="94">
        <v>2301358</v>
      </c>
    </row>
    <row r="1708" spans="3:13" x14ac:dyDescent="0.3">
      <c r="C1708" t="s">
        <v>70</v>
      </c>
      <c r="D1708" t="s">
        <v>67</v>
      </c>
      <c r="E1708" t="s">
        <v>68</v>
      </c>
      <c r="F1708" t="s">
        <v>26</v>
      </c>
      <c r="G1708" s="4">
        <v>1</v>
      </c>
      <c r="H1708" s="4" t="s">
        <v>77</v>
      </c>
      <c r="I1708" s="4" t="s">
        <v>69</v>
      </c>
      <c r="J1708" s="4" t="s">
        <v>66</v>
      </c>
      <c r="K1708" s="4">
        <v>0</v>
      </c>
      <c r="L1708" s="94">
        <v>935011</v>
      </c>
      <c r="M1708" s="94">
        <v>935011</v>
      </c>
    </row>
    <row r="1709" spans="3:13" x14ac:dyDescent="0.3">
      <c r="C1709" t="s">
        <v>71</v>
      </c>
      <c r="D1709" t="s">
        <v>67</v>
      </c>
      <c r="E1709" t="s">
        <v>68</v>
      </c>
      <c r="F1709" t="s">
        <v>26</v>
      </c>
      <c r="G1709" s="4">
        <v>8</v>
      </c>
      <c r="H1709" s="4" t="s">
        <v>17</v>
      </c>
      <c r="I1709" s="4" t="s">
        <v>69</v>
      </c>
      <c r="J1709" s="4" t="s">
        <v>66</v>
      </c>
      <c r="K1709" s="4">
        <v>0</v>
      </c>
      <c r="L1709" s="94">
        <v>835040</v>
      </c>
      <c r="M1709" s="94">
        <v>6680320</v>
      </c>
    </row>
    <row r="1710" spans="3:13" x14ac:dyDescent="0.3">
      <c r="C1710" t="s">
        <v>70</v>
      </c>
      <c r="D1710" t="s">
        <v>67</v>
      </c>
      <c r="E1710" t="s">
        <v>68</v>
      </c>
      <c r="F1710" t="s">
        <v>26</v>
      </c>
      <c r="G1710" s="4">
        <v>2</v>
      </c>
      <c r="H1710" s="4" t="s">
        <v>12</v>
      </c>
      <c r="I1710" s="4" t="s">
        <v>69</v>
      </c>
      <c r="J1710" s="4" t="s">
        <v>73</v>
      </c>
      <c r="K1710" s="4">
        <v>1</v>
      </c>
      <c r="L1710" s="94">
        <v>1953296</v>
      </c>
      <c r="M1710" s="94">
        <v>3906592</v>
      </c>
    </row>
    <row r="1711" spans="3:13" x14ac:dyDescent="0.3">
      <c r="C1711" t="s">
        <v>71</v>
      </c>
      <c r="D1711" t="s">
        <v>67</v>
      </c>
      <c r="E1711" t="s">
        <v>63</v>
      </c>
      <c r="F1711" t="s">
        <v>25</v>
      </c>
      <c r="G1711" s="4">
        <v>-4</v>
      </c>
      <c r="H1711" s="4" t="s">
        <v>83</v>
      </c>
      <c r="I1711" s="4" t="s">
        <v>69</v>
      </c>
      <c r="J1711" s="4" t="s">
        <v>66</v>
      </c>
      <c r="K1711" s="4">
        <v>0</v>
      </c>
      <c r="L1711" s="94">
        <v>-2998</v>
      </c>
      <c r="M1711" s="94">
        <v>0</v>
      </c>
    </row>
    <row r="1712" spans="3:13" x14ac:dyDescent="0.3">
      <c r="C1712" t="s">
        <v>70</v>
      </c>
      <c r="D1712" t="s">
        <v>62</v>
      </c>
      <c r="E1712" t="s">
        <v>68</v>
      </c>
      <c r="F1712" t="s">
        <v>24</v>
      </c>
      <c r="G1712" s="4">
        <v>21</v>
      </c>
      <c r="I1712" s="4" t="s">
        <v>69</v>
      </c>
      <c r="J1712" s="4" t="s">
        <v>66</v>
      </c>
      <c r="K1712" s="4">
        <v>0</v>
      </c>
      <c r="L1712" s="94">
        <v>51435274</v>
      </c>
      <c r="M1712" s="94">
        <v>1080140754</v>
      </c>
    </row>
    <row r="1713" spans="3:13" x14ac:dyDescent="0.3">
      <c r="C1713" t="s">
        <v>61</v>
      </c>
      <c r="D1713" t="s">
        <v>67</v>
      </c>
      <c r="E1713" t="s">
        <v>68</v>
      </c>
      <c r="F1713" t="s">
        <v>72</v>
      </c>
      <c r="G1713" s="4">
        <v>0</v>
      </c>
      <c r="H1713" s="4" t="s">
        <v>12</v>
      </c>
      <c r="I1713" s="4" t="s">
        <v>69</v>
      </c>
      <c r="J1713" s="4" t="s">
        <v>66</v>
      </c>
      <c r="K1713" s="4">
        <v>0</v>
      </c>
      <c r="L1713" s="94">
        <v>31914</v>
      </c>
      <c r="M1713" s="94">
        <v>0</v>
      </c>
    </row>
    <row r="1714" spans="3:13" x14ac:dyDescent="0.3">
      <c r="C1714" t="s">
        <v>61</v>
      </c>
      <c r="D1714" t="s">
        <v>67</v>
      </c>
      <c r="E1714" t="s">
        <v>63</v>
      </c>
      <c r="F1714" t="s">
        <v>26</v>
      </c>
      <c r="G1714" s="4">
        <v>0</v>
      </c>
      <c r="H1714" s="4" t="s">
        <v>79</v>
      </c>
      <c r="I1714" s="4" t="s">
        <v>69</v>
      </c>
      <c r="J1714" s="4" t="s">
        <v>66</v>
      </c>
      <c r="K1714" s="4">
        <v>0</v>
      </c>
      <c r="L1714" s="94">
        <v>-47848</v>
      </c>
      <c r="M1714" s="94">
        <v>0</v>
      </c>
    </row>
    <row r="1715" spans="3:13" x14ac:dyDescent="0.3">
      <c r="C1715" t="s">
        <v>70</v>
      </c>
      <c r="D1715" t="s">
        <v>67</v>
      </c>
      <c r="E1715" t="s">
        <v>68</v>
      </c>
      <c r="F1715" t="s">
        <v>72</v>
      </c>
      <c r="G1715" s="4">
        <v>-1</v>
      </c>
      <c r="H1715" s="4" t="s">
        <v>17</v>
      </c>
      <c r="I1715" s="4" t="s">
        <v>69</v>
      </c>
      <c r="J1715" s="4" t="s">
        <v>66</v>
      </c>
      <c r="K1715" s="4">
        <v>0</v>
      </c>
      <c r="L1715" s="94">
        <v>486832</v>
      </c>
      <c r="M1715" s="94">
        <v>0</v>
      </c>
    </row>
    <row r="1716" spans="3:13" x14ac:dyDescent="0.3">
      <c r="C1716" t="s">
        <v>61</v>
      </c>
      <c r="D1716" t="s">
        <v>67</v>
      </c>
      <c r="E1716" t="s">
        <v>63</v>
      </c>
      <c r="F1716" t="s">
        <v>25</v>
      </c>
      <c r="G1716" s="4">
        <v>11</v>
      </c>
      <c r="H1716" s="4" t="s">
        <v>83</v>
      </c>
      <c r="I1716" s="4" t="s">
        <v>69</v>
      </c>
      <c r="J1716" s="4" t="s">
        <v>66</v>
      </c>
      <c r="K1716" s="4">
        <v>0</v>
      </c>
      <c r="L1716" s="94">
        <v>-203</v>
      </c>
      <c r="M1716" s="94">
        <v>0</v>
      </c>
    </row>
    <row r="1717" spans="3:13" x14ac:dyDescent="0.3">
      <c r="C1717" t="s">
        <v>70</v>
      </c>
      <c r="D1717" t="s">
        <v>67</v>
      </c>
      <c r="E1717" t="s">
        <v>68</v>
      </c>
      <c r="F1717" t="s">
        <v>26</v>
      </c>
      <c r="G1717" s="4">
        <v>2</v>
      </c>
      <c r="H1717" s="4" t="s">
        <v>17</v>
      </c>
      <c r="I1717" s="4" t="s">
        <v>65</v>
      </c>
      <c r="J1717" s="4" t="s">
        <v>66</v>
      </c>
      <c r="K1717" s="4">
        <v>1</v>
      </c>
      <c r="L1717" s="94">
        <v>41947</v>
      </c>
      <c r="M1717" s="94">
        <v>83894</v>
      </c>
    </row>
    <row r="1718" spans="3:13" x14ac:dyDescent="0.3">
      <c r="C1718" t="s">
        <v>70</v>
      </c>
      <c r="D1718" t="s">
        <v>67</v>
      </c>
      <c r="E1718" t="s">
        <v>63</v>
      </c>
      <c r="F1718" t="s">
        <v>26</v>
      </c>
      <c r="G1718" s="4">
        <v>-1</v>
      </c>
      <c r="H1718" s="4" t="s">
        <v>14</v>
      </c>
      <c r="I1718" s="4" t="s">
        <v>65</v>
      </c>
      <c r="J1718" s="4" t="s">
        <v>66</v>
      </c>
      <c r="K1718" s="4">
        <v>1</v>
      </c>
      <c r="L1718" s="94">
        <v>-4046</v>
      </c>
      <c r="M1718" s="94">
        <v>0</v>
      </c>
    </row>
    <row r="1719" spans="3:13" x14ac:dyDescent="0.3">
      <c r="C1719" t="s">
        <v>71</v>
      </c>
      <c r="D1719" t="s">
        <v>67</v>
      </c>
      <c r="E1719" t="s">
        <v>63</v>
      </c>
      <c r="F1719" t="s">
        <v>25</v>
      </c>
      <c r="G1719" s="4">
        <v>6</v>
      </c>
      <c r="H1719" s="4" t="s">
        <v>80</v>
      </c>
      <c r="I1719" s="4" t="s">
        <v>69</v>
      </c>
      <c r="J1719" s="4" t="s">
        <v>66</v>
      </c>
      <c r="K1719" s="4">
        <v>0</v>
      </c>
      <c r="L1719" s="94">
        <v>-45011</v>
      </c>
      <c r="M1719" s="94">
        <v>0</v>
      </c>
    </row>
    <row r="1720" spans="3:13" x14ac:dyDescent="0.3">
      <c r="C1720" t="s">
        <v>70</v>
      </c>
      <c r="D1720" t="s">
        <v>67</v>
      </c>
      <c r="E1720" t="s">
        <v>63</v>
      </c>
      <c r="F1720" t="s">
        <v>26</v>
      </c>
      <c r="G1720" s="4">
        <v>3</v>
      </c>
      <c r="H1720" s="4" t="s">
        <v>17</v>
      </c>
      <c r="I1720" s="4" t="s">
        <v>65</v>
      </c>
      <c r="J1720" s="4" t="s">
        <v>73</v>
      </c>
      <c r="K1720" s="4">
        <v>1</v>
      </c>
      <c r="L1720" s="94">
        <v>-34510</v>
      </c>
      <c r="M1720" s="94">
        <v>0</v>
      </c>
    </row>
    <row r="1721" spans="3:13" x14ac:dyDescent="0.3">
      <c r="C1721" t="s">
        <v>61</v>
      </c>
      <c r="D1721" t="s">
        <v>67</v>
      </c>
      <c r="E1721" t="s">
        <v>68</v>
      </c>
      <c r="F1721" t="s">
        <v>26</v>
      </c>
      <c r="G1721" s="4">
        <v>8</v>
      </c>
      <c r="H1721" s="4" t="s">
        <v>75</v>
      </c>
      <c r="I1721" s="4" t="s">
        <v>69</v>
      </c>
      <c r="J1721" s="4" t="s">
        <v>66</v>
      </c>
      <c r="K1721" s="4">
        <v>0</v>
      </c>
      <c r="L1721" s="94">
        <v>3508062</v>
      </c>
      <c r="M1721" s="94">
        <v>28064496</v>
      </c>
    </row>
    <row r="1722" spans="3:13" x14ac:dyDescent="0.3">
      <c r="C1722" t="s">
        <v>61</v>
      </c>
      <c r="D1722" t="s">
        <v>84</v>
      </c>
      <c r="E1722" t="s">
        <v>68</v>
      </c>
      <c r="F1722" t="s">
        <v>25</v>
      </c>
      <c r="G1722" s="4">
        <v>12</v>
      </c>
      <c r="H1722" s="4" t="s">
        <v>81</v>
      </c>
      <c r="I1722" s="4" t="s">
        <v>69</v>
      </c>
      <c r="J1722" s="4" t="s">
        <v>66</v>
      </c>
      <c r="K1722" s="4">
        <v>0</v>
      </c>
      <c r="L1722" s="94">
        <v>176609</v>
      </c>
      <c r="M1722" s="94">
        <v>2119308</v>
      </c>
    </row>
    <row r="1723" spans="3:13" x14ac:dyDescent="0.3">
      <c r="C1723" t="s">
        <v>70</v>
      </c>
      <c r="D1723" t="s">
        <v>67</v>
      </c>
      <c r="E1723" t="s">
        <v>63</v>
      </c>
      <c r="F1723" t="s">
        <v>25</v>
      </c>
      <c r="G1723" s="4">
        <v>3</v>
      </c>
      <c r="H1723" s="4" t="s">
        <v>18</v>
      </c>
      <c r="I1723" s="4" t="s">
        <v>69</v>
      </c>
      <c r="J1723" s="4" t="s">
        <v>66</v>
      </c>
      <c r="K1723" s="4">
        <v>1</v>
      </c>
      <c r="L1723" s="94">
        <v>-3250</v>
      </c>
      <c r="M1723" s="94">
        <v>0</v>
      </c>
    </row>
    <row r="1724" spans="3:13" x14ac:dyDescent="0.3">
      <c r="C1724" t="s">
        <v>61</v>
      </c>
      <c r="D1724" t="s">
        <v>67</v>
      </c>
      <c r="E1724" t="s">
        <v>68</v>
      </c>
      <c r="F1724" t="s">
        <v>72</v>
      </c>
      <c r="G1724" s="4">
        <v>6</v>
      </c>
      <c r="H1724" s="4" t="s">
        <v>80</v>
      </c>
      <c r="I1724" s="4" t="s">
        <v>69</v>
      </c>
      <c r="J1724" s="4" t="s">
        <v>66</v>
      </c>
      <c r="K1724" s="4">
        <v>0</v>
      </c>
      <c r="L1724" s="94">
        <v>147146</v>
      </c>
      <c r="M1724" s="94">
        <v>882876</v>
      </c>
    </row>
    <row r="1725" spans="3:13" x14ac:dyDescent="0.3">
      <c r="C1725" t="s">
        <v>71</v>
      </c>
      <c r="D1725" t="s">
        <v>67</v>
      </c>
      <c r="E1725" t="s">
        <v>68</v>
      </c>
      <c r="F1725" t="s">
        <v>26</v>
      </c>
      <c r="G1725" s="4">
        <v>7</v>
      </c>
      <c r="H1725" s="4" t="s">
        <v>82</v>
      </c>
      <c r="I1725" s="4" t="s">
        <v>69</v>
      </c>
      <c r="J1725" s="4" t="s">
        <v>66</v>
      </c>
      <c r="K1725" s="4">
        <v>0</v>
      </c>
      <c r="L1725" s="94">
        <v>2174400</v>
      </c>
      <c r="M1725" s="94">
        <v>15220800</v>
      </c>
    </row>
    <row r="1726" spans="3:13" x14ac:dyDescent="0.3">
      <c r="C1726" t="s">
        <v>61</v>
      </c>
      <c r="D1726" t="s">
        <v>67</v>
      </c>
      <c r="E1726" t="s">
        <v>63</v>
      </c>
      <c r="F1726" t="s">
        <v>26</v>
      </c>
      <c r="G1726" s="4">
        <v>-1</v>
      </c>
      <c r="H1726" s="4" t="s">
        <v>78</v>
      </c>
      <c r="I1726" s="4" t="s">
        <v>69</v>
      </c>
      <c r="J1726" s="4" t="s">
        <v>66</v>
      </c>
      <c r="K1726" s="4">
        <v>0</v>
      </c>
      <c r="L1726" s="94">
        <v>-24764</v>
      </c>
      <c r="M1726" s="94">
        <v>0</v>
      </c>
    </row>
    <row r="1727" spans="3:13" x14ac:dyDescent="0.3">
      <c r="C1727" t="s">
        <v>61</v>
      </c>
      <c r="D1727" t="s">
        <v>67</v>
      </c>
      <c r="E1727" t="s">
        <v>68</v>
      </c>
      <c r="F1727" t="s">
        <v>25</v>
      </c>
      <c r="G1727" s="4">
        <v>8</v>
      </c>
      <c r="H1727" s="4" t="s">
        <v>17</v>
      </c>
      <c r="I1727" s="4" t="s">
        <v>69</v>
      </c>
      <c r="J1727" s="4" t="s">
        <v>66</v>
      </c>
      <c r="K1727" s="4">
        <v>0</v>
      </c>
      <c r="L1727" s="94">
        <v>4709137</v>
      </c>
      <c r="M1727" s="94">
        <v>37673096</v>
      </c>
    </row>
    <row r="1728" spans="3:13" x14ac:dyDescent="0.3">
      <c r="C1728" t="s">
        <v>61</v>
      </c>
      <c r="D1728" t="s">
        <v>67</v>
      </c>
      <c r="E1728" t="s">
        <v>68</v>
      </c>
      <c r="F1728" t="s">
        <v>72</v>
      </c>
      <c r="G1728" s="4">
        <v>0</v>
      </c>
      <c r="H1728" s="4" t="s">
        <v>14</v>
      </c>
      <c r="I1728" s="4" t="s">
        <v>69</v>
      </c>
      <c r="J1728" s="4" t="s">
        <v>66</v>
      </c>
      <c r="K1728" s="4">
        <v>0</v>
      </c>
      <c r="L1728" s="94">
        <v>1112587</v>
      </c>
      <c r="M1728" s="94">
        <v>0</v>
      </c>
    </row>
    <row r="1729" spans="3:13" x14ac:dyDescent="0.3">
      <c r="C1729" t="s">
        <v>61</v>
      </c>
      <c r="D1729" t="s">
        <v>67</v>
      </c>
      <c r="E1729" t="s">
        <v>63</v>
      </c>
      <c r="F1729" t="s">
        <v>26</v>
      </c>
      <c r="G1729" s="4">
        <v>16</v>
      </c>
      <c r="H1729" s="4" t="s">
        <v>79</v>
      </c>
      <c r="I1729" s="4" t="s">
        <v>69</v>
      </c>
      <c r="J1729" s="4" t="s">
        <v>66</v>
      </c>
      <c r="K1729" s="4">
        <v>0</v>
      </c>
      <c r="L1729" s="94">
        <v>-305</v>
      </c>
      <c r="M1729" s="94">
        <v>0</v>
      </c>
    </row>
    <row r="1730" spans="3:13" x14ac:dyDescent="0.3">
      <c r="C1730" t="s">
        <v>61</v>
      </c>
      <c r="D1730" t="s">
        <v>67</v>
      </c>
      <c r="E1730" t="s">
        <v>63</v>
      </c>
      <c r="F1730" t="s">
        <v>25</v>
      </c>
      <c r="G1730" s="4">
        <v>11</v>
      </c>
      <c r="H1730" s="4" t="s">
        <v>78</v>
      </c>
      <c r="I1730" s="4" t="s">
        <v>69</v>
      </c>
      <c r="J1730" s="4" t="s">
        <v>66</v>
      </c>
      <c r="K1730" s="4">
        <v>0</v>
      </c>
      <c r="L1730" s="94">
        <v>-2446</v>
      </c>
      <c r="M1730" s="94">
        <v>0</v>
      </c>
    </row>
    <row r="1731" spans="3:13" x14ac:dyDescent="0.3">
      <c r="C1731" t="s">
        <v>61</v>
      </c>
      <c r="D1731" t="s">
        <v>67</v>
      </c>
      <c r="E1731" t="s">
        <v>68</v>
      </c>
      <c r="F1731" t="s">
        <v>25</v>
      </c>
      <c r="G1731" s="4">
        <v>15</v>
      </c>
      <c r="H1731" s="4" t="s">
        <v>64</v>
      </c>
      <c r="I1731" s="4" t="s">
        <v>69</v>
      </c>
      <c r="J1731" s="4" t="s">
        <v>66</v>
      </c>
      <c r="K1731" s="4">
        <v>0</v>
      </c>
      <c r="L1731" s="94">
        <v>2629289</v>
      </c>
      <c r="M1731" s="94">
        <v>39439335</v>
      </c>
    </row>
    <row r="1732" spans="3:13" x14ac:dyDescent="0.3">
      <c r="C1732" t="s">
        <v>70</v>
      </c>
      <c r="D1732" t="s">
        <v>67</v>
      </c>
      <c r="E1732" t="s">
        <v>68</v>
      </c>
      <c r="F1732" t="s">
        <v>25</v>
      </c>
      <c r="G1732" s="4">
        <v>14</v>
      </c>
      <c r="H1732" s="4" t="s">
        <v>14</v>
      </c>
      <c r="I1732" s="4" t="s">
        <v>69</v>
      </c>
      <c r="J1732" s="4" t="s">
        <v>66</v>
      </c>
      <c r="K1732" s="4">
        <v>0</v>
      </c>
      <c r="L1732" s="94">
        <v>132696</v>
      </c>
      <c r="M1732" s="94">
        <v>1857744</v>
      </c>
    </row>
    <row r="1733" spans="3:13" x14ac:dyDescent="0.3">
      <c r="C1733" t="s">
        <v>61</v>
      </c>
      <c r="D1733" t="s">
        <v>67</v>
      </c>
      <c r="E1733" t="s">
        <v>63</v>
      </c>
      <c r="F1733" t="s">
        <v>26</v>
      </c>
      <c r="G1733" s="4">
        <v>2</v>
      </c>
      <c r="H1733" s="4" t="s">
        <v>77</v>
      </c>
      <c r="I1733" s="4" t="s">
        <v>69</v>
      </c>
      <c r="J1733" s="4" t="s">
        <v>66</v>
      </c>
      <c r="K1733" s="4">
        <v>0</v>
      </c>
      <c r="L1733" s="94">
        <v>-24579</v>
      </c>
      <c r="M1733" s="94">
        <v>0</v>
      </c>
    </row>
    <row r="1734" spans="3:13" x14ac:dyDescent="0.3">
      <c r="C1734" t="s">
        <v>70</v>
      </c>
      <c r="D1734" t="s">
        <v>67</v>
      </c>
      <c r="E1734" t="s">
        <v>63</v>
      </c>
      <c r="F1734" t="s">
        <v>25</v>
      </c>
      <c r="G1734" s="4">
        <v>12</v>
      </c>
      <c r="H1734" s="4" t="s">
        <v>64</v>
      </c>
      <c r="I1734" s="4" t="s">
        <v>69</v>
      </c>
      <c r="J1734" s="4" t="s">
        <v>66</v>
      </c>
      <c r="K1734" s="4">
        <v>0</v>
      </c>
      <c r="L1734" s="94">
        <v>-21566</v>
      </c>
      <c r="M1734" s="94">
        <v>0</v>
      </c>
    </row>
    <row r="1735" spans="3:13" x14ac:dyDescent="0.3">
      <c r="C1735" t="s">
        <v>70</v>
      </c>
      <c r="D1735" t="s">
        <v>67</v>
      </c>
      <c r="E1735" t="s">
        <v>68</v>
      </c>
      <c r="F1735" t="s">
        <v>72</v>
      </c>
      <c r="G1735" s="4">
        <v>4</v>
      </c>
      <c r="H1735" s="4" t="s">
        <v>18</v>
      </c>
      <c r="I1735" s="4" t="s">
        <v>69</v>
      </c>
      <c r="J1735" s="4" t="s">
        <v>66</v>
      </c>
      <c r="K1735" s="4">
        <v>0</v>
      </c>
      <c r="L1735" s="94">
        <v>3127929</v>
      </c>
      <c r="M1735" s="94">
        <v>12511716</v>
      </c>
    </row>
    <row r="1736" spans="3:13" x14ac:dyDescent="0.3">
      <c r="C1736" t="s">
        <v>70</v>
      </c>
      <c r="D1736" t="s">
        <v>62</v>
      </c>
      <c r="E1736" t="s">
        <v>63</v>
      </c>
      <c r="F1736" t="s">
        <v>24</v>
      </c>
      <c r="G1736" s="4">
        <v>1</v>
      </c>
      <c r="I1736" s="4" t="s">
        <v>69</v>
      </c>
      <c r="J1736" s="4" t="s">
        <v>66</v>
      </c>
      <c r="K1736" s="4">
        <v>1</v>
      </c>
      <c r="L1736" s="94">
        <v>-12</v>
      </c>
      <c r="M1736" s="94">
        <v>0</v>
      </c>
    </row>
    <row r="1737" spans="3:13" x14ac:dyDescent="0.3">
      <c r="C1737" t="s">
        <v>61</v>
      </c>
      <c r="D1737" t="s">
        <v>67</v>
      </c>
      <c r="E1737" t="s">
        <v>68</v>
      </c>
      <c r="F1737" t="s">
        <v>25</v>
      </c>
      <c r="G1737" s="4">
        <v>1</v>
      </c>
      <c r="H1737" s="4" t="s">
        <v>18</v>
      </c>
      <c r="I1737" s="4" t="s">
        <v>65</v>
      </c>
      <c r="J1737" s="4" t="s">
        <v>66</v>
      </c>
      <c r="K1737" s="4">
        <v>1</v>
      </c>
      <c r="L1737" s="94">
        <v>105016</v>
      </c>
      <c r="M1737" s="94">
        <v>105016</v>
      </c>
    </row>
    <row r="1738" spans="3:13" x14ac:dyDescent="0.3">
      <c r="C1738" t="s">
        <v>61</v>
      </c>
      <c r="D1738" t="s">
        <v>67</v>
      </c>
      <c r="E1738" t="s">
        <v>63</v>
      </c>
      <c r="F1738" t="s">
        <v>25</v>
      </c>
      <c r="G1738" s="4">
        <v>-1</v>
      </c>
      <c r="H1738" s="4" t="s">
        <v>76</v>
      </c>
      <c r="I1738" s="4" t="s">
        <v>69</v>
      </c>
      <c r="J1738" s="4" t="s">
        <v>66</v>
      </c>
      <c r="K1738" s="4">
        <v>0</v>
      </c>
      <c r="L1738" s="94">
        <v>-9614</v>
      </c>
      <c r="M1738" s="94">
        <v>0</v>
      </c>
    </row>
    <row r="1739" spans="3:13" x14ac:dyDescent="0.3">
      <c r="C1739" t="s">
        <v>71</v>
      </c>
      <c r="D1739" t="s">
        <v>67</v>
      </c>
      <c r="E1739" t="s">
        <v>68</v>
      </c>
      <c r="F1739" t="s">
        <v>26</v>
      </c>
      <c r="G1739" s="4">
        <v>-1</v>
      </c>
      <c r="H1739" s="4" t="s">
        <v>78</v>
      </c>
      <c r="I1739" s="4" t="s">
        <v>69</v>
      </c>
      <c r="J1739" s="4" t="s">
        <v>66</v>
      </c>
      <c r="K1739" s="4">
        <v>0</v>
      </c>
      <c r="L1739" s="94">
        <v>225685</v>
      </c>
      <c r="M1739" s="94">
        <v>0</v>
      </c>
    </row>
    <row r="1740" spans="3:13" x14ac:dyDescent="0.3">
      <c r="C1740" t="s">
        <v>61</v>
      </c>
      <c r="D1740" t="s">
        <v>67</v>
      </c>
      <c r="E1740" t="s">
        <v>68</v>
      </c>
      <c r="F1740" t="s">
        <v>26</v>
      </c>
      <c r="G1740" s="4">
        <v>6</v>
      </c>
      <c r="H1740" s="4" t="s">
        <v>14</v>
      </c>
      <c r="I1740" s="4" t="s">
        <v>69</v>
      </c>
      <c r="J1740" s="4" t="s">
        <v>66</v>
      </c>
      <c r="K1740" s="4">
        <v>0</v>
      </c>
      <c r="L1740" s="94">
        <v>15423592</v>
      </c>
      <c r="M1740" s="94">
        <v>92541552</v>
      </c>
    </row>
    <row r="1741" spans="3:13" x14ac:dyDescent="0.3">
      <c r="C1741" t="s">
        <v>70</v>
      </c>
      <c r="D1741" t="s">
        <v>67</v>
      </c>
      <c r="E1741" t="s">
        <v>63</v>
      </c>
      <c r="F1741" t="s">
        <v>25</v>
      </c>
      <c r="G1741" s="4">
        <v>-1</v>
      </c>
      <c r="H1741" s="4" t="s">
        <v>82</v>
      </c>
      <c r="I1741" s="4" t="s">
        <v>69</v>
      </c>
      <c r="J1741" s="4" t="s">
        <v>66</v>
      </c>
      <c r="K1741" s="4">
        <v>0</v>
      </c>
      <c r="L1741" s="94">
        <v>-1891</v>
      </c>
      <c r="M1741" s="94">
        <v>0</v>
      </c>
    </row>
    <row r="1742" spans="3:13" x14ac:dyDescent="0.3">
      <c r="C1742" t="s">
        <v>70</v>
      </c>
      <c r="D1742" t="s">
        <v>62</v>
      </c>
      <c r="E1742" t="s">
        <v>63</v>
      </c>
      <c r="F1742" t="s">
        <v>24</v>
      </c>
      <c r="G1742" s="4">
        <v>33</v>
      </c>
      <c r="I1742" s="4" t="s">
        <v>69</v>
      </c>
      <c r="J1742" s="4" t="s">
        <v>66</v>
      </c>
      <c r="K1742" s="4">
        <v>1</v>
      </c>
      <c r="L1742" s="94">
        <v>-16320</v>
      </c>
      <c r="M1742" s="94">
        <v>0</v>
      </c>
    </row>
    <row r="1743" spans="3:13" x14ac:dyDescent="0.3">
      <c r="C1743" t="s">
        <v>70</v>
      </c>
      <c r="D1743" t="s">
        <v>67</v>
      </c>
      <c r="E1743" t="s">
        <v>68</v>
      </c>
      <c r="F1743" t="s">
        <v>25</v>
      </c>
      <c r="G1743" s="4">
        <v>9</v>
      </c>
      <c r="H1743" s="4" t="s">
        <v>76</v>
      </c>
      <c r="I1743" s="4" t="s">
        <v>69</v>
      </c>
      <c r="J1743" s="4" t="s">
        <v>66</v>
      </c>
      <c r="K1743" s="4">
        <v>0</v>
      </c>
      <c r="L1743" s="94">
        <v>3949275</v>
      </c>
      <c r="M1743" s="94">
        <v>35543475</v>
      </c>
    </row>
    <row r="1744" spans="3:13" x14ac:dyDescent="0.3">
      <c r="C1744" t="s">
        <v>61</v>
      </c>
      <c r="D1744" t="s">
        <v>67</v>
      </c>
      <c r="E1744" t="s">
        <v>68</v>
      </c>
      <c r="F1744" t="s">
        <v>25</v>
      </c>
      <c r="G1744" s="4">
        <v>13</v>
      </c>
      <c r="H1744" s="4" t="s">
        <v>78</v>
      </c>
      <c r="I1744" s="4" t="s">
        <v>69</v>
      </c>
      <c r="J1744" s="4" t="s">
        <v>66</v>
      </c>
      <c r="K1744" s="4">
        <v>0</v>
      </c>
      <c r="L1744" s="94">
        <v>204204</v>
      </c>
      <c r="M1744" s="94">
        <v>2654652</v>
      </c>
    </row>
    <row r="1745" spans="3:13" x14ac:dyDescent="0.3">
      <c r="C1745" t="s">
        <v>61</v>
      </c>
      <c r="D1745" t="s">
        <v>62</v>
      </c>
      <c r="E1745" t="s">
        <v>63</v>
      </c>
      <c r="F1745" t="s">
        <v>24</v>
      </c>
      <c r="G1745" s="4">
        <v>43</v>
      </c>
      <c r="I1745" s="4" t="s">
        <v>65</v>
      </c>
      <c r="J1745" s="4" t="s">
        <v>66</v>
      </c>
      <c r="K1745" s="4">
        <v>1</v>
      </c>
      <c r="L1745" s="94">
        <v>-242</v>
      </c>
      <c r="M1745" s="94">
        <v>0</v>
      </c>
    </row>
    <row r="1746" spans="3:13" x14ac:dyDescent="0.3">
      <c r="C1746" t="s">
        <v>71</v>
      </c>
      <c r="D1746" t="s">
        <v>67</v>
      </c>
      <c r="E1746" t="s">
        <v>63</v>
      </c>
      <c r="F1746" t="s">
        <v>26</v>
      </c>
      <c r="G1746" s="4">
        <v>-4</v>
      </c>
      <c r="H1746" s="4" t="s">
        <v>80</v>
      </c>
      <c r="I1746" s="4" t="s">
        <v>69</v>
      </c>
      <c r="J1746" s="4" t="s">
        <v>66</v>
      </c>
      <c r="K1746" s="4">
        <v>0</v>
      </c>
      <c r="L1746" s="94">
        <v>-301323</v>
      </c>
      <c r="M1746" s="94">
        <v>0</v>
      </c>
    </row>
    <row r="1747" spans="3:13" x14ac:dyDescent="0.3">
      <c r="C1747" t="s">
        <v>61</v>
      </c>
      <c r="D1747" t="s">
        <v>67</v>
      </c>
      <c r="E1747" t="s">
        <v>63</v>
      </c>
      <c r="F1747" t="s">
        <v>26</v>
      </c>
      <c r="G1747" s="4">
        <v>0</v>
      </c>
      <c r="H1747" s="4" t="s">
        <v>17</v>
      </c>
      <c r="I1747" s="4" t="s">
        <v>65</v>
      </c>
      <c r="J1747" s="4" t="s">
        <v>73</v>
      </c>
      <c r="K1747" s="4">
        <v>1</v>
      </c>
      <c r="L1747" s="94">
        <v>-12740</v>
      </c>
      <c r="M1747" s="94">
        <v>0</v>
      </c>
    </row>
    <row r="1748" spans="3:13" x14ac:dyDescent="0.3">
      <c r="C1748" t="s">
        <v>61</v>
      </c>
      <c r="D1748" t="s">
        <v>67</v>
      </c>
      <c r="E1748" t="s">
        <v>63</v>
      </c>
      <c r="F1748" t="s">
        <v>25</v>
      </c>
      <c r="G1748" s="4">
        <v>4</v>
      </c>
      <c r="H1748" s="4" t="s">
        <v>17</v>
      </c>
      <c r="I1748" s="4" t="s">
        <v>69</v>
      </c>
      <c r="J1748" s="4" t="s">
        <v>66</v>
      </c>
      <c r="K1748" s="4">
        <v>0</v>
      </c>
      <c r="L1748" s="94">
        <v>-12818</v>
      </c>
      <c r="M1748" s="94">
        <v>0</v>
      </c>
    </row>
    <row r="1749" spans="3:13" x14ac:dyDescent="0.3">
      <c r="C1749" t="s">
        <v>61</v>
      </c>
      <c r="D1749" t="s">
        <v>67</v>
      </c>
      <c r="E1749" t="s">
        <v>63</v>
      </c>
      <c r="F1749" t="s">
        <v>25</v>
      </c>
      <c r="G1749" s="4">
        <v>6</v>
      </c>
      <c r="H1749" s="4" t="s">
        <v>17</v>
      </c>
      <c r="I1749" s="4" t="s">
        <v>69</v>
      </c>
      <c r="J1749" s="4" t="s">
        <v>73</v>
      </c>
      <c r="K1749" s="4">
        <v>1</v>
      </c>
      <c r="L1749" s="94">
        <v>-546</v>
      </c>
      <c r="M1749" s="94">
        <v>0</v>
      </c>
    </row>
    <row r="1750" spans="3:13" x14ac:dyDescent="0.3">
      <c r="C1750" t="s">
        <v>70</v>
      </c>
      <c r="D1750" t="s">
        <v>67</v>
      </c>
      <c r="E1750" t="s">
        <v>63</v>
      </c>
      <c r="F1750" t="s">
        <v>25</v>
      </c>
      <c r="G1750" s="4">
        <v>4</v>
      </c>
      <c r="H1750" s="4" t="s">
        <v>18</v>
      </c>
      <c r="I1750" s="4" t="s">
        <v>69</v>
      </c>
      <c r="J1750" s="4" t="s">
        <v>66</v>
      </c>
      <c r="K1750" s="4">
        <v>0</v>
      </c>
      <c r="L1750" s="94">
        <v>-79374</v>
      </c>
      <c r="M1750" s="94">
        <v>0</v>
      </c>
    </row>
    <row r="1751" spans="3:13" x14ac:dyDescent="0.3">
      <c r="C1751" t="s">
        <v>71</v>
      </c>
      <c r="D1751" t="s">
        <v>67</v>
      </c>
      <c r="E1751" t="s">
        <v>68</v>
      </c>
      <c r="F1751" t="s">
        <v>26</v>
      </c>
      <c r="G1751" s="4">
        <v>11</v>
      </c>
      <c r="H1751" s="4" t="s">
        <v>14</v>
      </c>
      <c r="I1751" s="4" t="s">
        <v>69</v>
      </c>
      <c r="J1751" s="4" t="s">
        <v>66</v>
      </c>
      <c r="K1751" s="4">
        <v>0</v>
      </c>
      <c r="L1751" s="94">
        <v>59450</v>
      </c>
      <c r="M1751" s="94">
        <v>653950</v>
      </c>
    </row>
    <row r="1752" spans="3:13" x14ac:dyDescent="0.3">
      <c r="C1752" t="s">
        <v>71</v>
      </c>
      <c r="D1752" t="s">
        <v>67</v>
      </c>
      <c r="E1752" t="s">
        <v>68</v>
      </c>
      <c r="F1752" t="s">
        <v>26</v>
      </c>
      <c r="G1752" s="4">
        <v>1</v>
      </c>
      <c r="H1752" s="4" t="s">
        <v>82</v>
      </c>
      <c r="I1752" s="4" t="s">
        <v>65</v>
      </c>
      <c r="J1752" s="4" t="s">
        <v>66</v>
      </c>
      <c r="K1752" s="4">
        <v>1</v>
      </c>
      <c r="L1752" s="94">
        <v>17541</v>
      </c>
      <c r="M1752" s="94">
        <v>17541</v>
      </c>
    </row>
    <row r="1753" spans="3:13" x14ac:dyDescent="0.3">
      <c r="C1753" t="s">
        <v>61</v>
      </c>
      <c r="D1753" t="s">
        <v>67</v>
      </c>
      <c r="E1753" t="s">
        <v>68</v>
      </c>
      <c r="F1753" t="s">
        <v>25</v>
      </c>
      <c r="G1753" s="4">
        <v>6</v>
      </c>
      <c r="H1753" s="4" t="s">
        <v>18</v>
      </c>
      <c r="I1753" s="4" t="s">
        <v>69</v>
      </c>
      <c r="J1753" s="4" t="s">
        <v>66</v>
      </c>
      <c r="K1753" s="4">
        <v>0</v>
      </c>
      <c r="L1753" s="94">
        <v>12781932</v>
      </c>
      <c r="M1753" s="94">
        <v>76691592</v>
      </c>
    </row>
    <row r="1754" spans="3:13" x14ac:dyDescent="0.3">
      <c r="C1754" t="s">
        <v>71</v>
      </c>
      <c r="D1754" t="s">
        <v>62</v>
      </c>
      <c r="E1754" t="s">
        <v>68</v>
      </c>
      <c r="F1754" t="s">
        <v>25</v>
      </c>
      <c r="G1754" s="4">
        <v>30</v>
      </c>
      <c r="I1754" s="4" t="s">
        <v>69</v>
      </c>
      <c r="J1754" s="4" t="s">
        <v>66</v>
      </c>
      <c r="K1754" s="4">
        <v>0</v>
      </c>
      <c r="L1754" s="94">
        <v>114370</v>
      </c>
      <c r="M1754" s="94">
        <v>3431100</v>
      </c>
    </row>
    <row r="1755" spans="3:13" x14ac:dyDescent="0.3">
      <c r="C1755" t="s">
        <v>61</v>
      </c>
      <c r="D1755" t="s">
        <v>67</v>
      </c>
      <c r="E1755" t="s">
        <v>68</v>
      </c>
      <c r="F1755" t="s">
        <v>72</v>
      </c>
      <c r="G1755" s="4">
        <v>2</v>
      </c>
      <c r="H1755" s="4" t="s">
        <v>14</v>
      </c>
      <c r="I1755" s="4" t="s">
        <v>69</v>
      </c>
      <c r="J1755" s="4" t="s">
        <v>73</v>
      </c>
      <c r="K1755" s="4">
        <v>1</v>
      </c>
      <c r="L1755" s="94">
        <v>4576439</v>
      </c>
      <c r="M1755" s="94">
        <v>9152878</v>
      </c>
    </row>
    <row r="1756" spans="3:13" x14ac:dyDescent="0.3">
      <c r="C1756" t="s">
        <v>71</v>
      </c>
      <c r="D1756" t="s">
        <v>67</v>
      </c>
      <c r="E1756" t="s">
        <v>68</v>
      </c>
      <c r="F1756" t="s">
        <v>72</v>
      </c>
      <c r="G1756" s="4">
        <v>-1</v>
      </c>
      <c r="H1756" s="4" t="s">
        <v>17</v>
      </c>
      <c r="I1756" s="4" t="s">
        <v>69</v>
      </c>
      <c r="J1756" s="4" t="s">
        <v>73</v>
      </c>
      <c r="K1756" s="4">
        <v>1</v>
      </c>
      <c r="L1756" s="94">
        <v>2348</v>
      </c>
      <c r="M1756" s="94">
        <v>0</v>
      </c>
    </row>
    <row r="1757" spans="3:13" x14ac:dyDescent="0.3">
      <c r="C1757" t="s">
        <v>61</v>
      </c>
      <c r="D1757" t="s">
        <v>67</v>
      </c>
      <c r="E1757" t="s">
        <v>68</v>
      </c>
      <c r="F1757" t="s">
        <v>26</v>
      </c>
      <c r="G1757" s="4">
        <v>2</v>
      </c>
      <c r="H1757" s="4" t="s">
        <v>64</v>
      </c>
      <c r="I1757" s="4" t="s">
        <v>69</v>
      </c>
      <c r="J1757" s="4" t="s">
        <v>66</v>
      </c>
      <c r="K1757" s="4">
        <v>0</v>
      </c>
      <c r="L1757" s="94">
        <v>19547750</v>
      </c>
      <c r="M1757" s="94">
        <v>39095500</v>
      </c>
    </row>
    <row r="1758" spans="3:13" x14ac:dyDescent="0.3">
      <c r="C1758" t="s">
        <v>71</v>
      </c>
      <c r="D1758" t="s">
        <v>67</v>
      </c>
      <c r="E1758" t="s">
        <v>63</v>
      </c>
      <c r="F1758" t="s">
        <v>26</v>
      </c>
      <c r="G1758" s="4">
        <v>2</v>
      </c>
      <c r="H1758" s="4" t="s">
        <v>82</v>
      </c>
      <c r="I1758" s="4" t="s">
        <v>69</v>
      </c>
      <c r="J1758" s="4" t="s">
        <v>66</v>
      </c>
      <c r="K1758" s="4">
        <v>0</v>
      </c>
      <c r="L1758" s="94">
        <v>-3319391</v>
      </c>
      <c r="M1758" s="94">
        <v>0</v>
      </c>
    </row>
    <row r="1759" spans="3:13" x14ac:dyDescent="0.3">
      <c r="C1759" t="s">
        <v>71</v>
      </c>
      <c r="D1759" t="s">
        <v>67</v>
      </c>
      <c r="E1759" t="s">
        <v>63</v>
      </c>
      <c r="F1759" t="s">
        <v>25</v>
      </c>
      <c r="G1759" s="4">
        <v>-1</v>
      </c>
      <c r="H1759" s="4" t="s">
        <v>74</v>
      </c>
      <c r="I1759" s="4" t="s">
        <v>69</v>
      </c>
      <c r="J1759" s="4" t="s">
        <v>66</v>
      </c>
      <c r="K1759" s="4">
        <v>0</v>
      </c>
      <c r="L1759" s="94">
        <v>-166</v>
      </c>
      <c r="M1759" s="94">
        <v>0</v>
      </c>
    </row>
    <row r="1760" spans="3:13" x14ac:dyDescent="0.3">
      <c r="C1760" t="s">
        <v>70</v>
      </c>
      <c r="D1760" t="s">
        <v>67</v>
      </c>
      <c r="E1760" t="s">
        <v>63</v>
      </c>
      <c r="F1760" t="s">
        <v>26</v>
      </c>
      <c r="G1760" s="4">
        <v>3</v>
      </c>
      <c r="H1760" s="4" t="s">
        <v>79</v>
      </c>
      <c r="I1760" s="4" t="s">
        <v>69</v>
      </c>
      <c r="J1760" s="4" t="s">
        <v>66</v>
      </c>
      <c r="K1760" s="4">
        <v>0</v>
      </c>
      <c r="L1760" s="94">
        <v>-194287</v>
      </c>
      <c r="M1760" s="94">
        <v>0</v>
      </c>
    </row>
    <row r="1761" spans="3:13" x14ac:dyDescent="0.3">
      <c r="C1761" t="s">
        <v>61</v>
      </c>
      <c r="D1761" t="s">
        <v>67</v>
      </c>
      <c r="E1761" t="s">
        <v>68</v>
      </c>
      <c r="F1761" t="s">
        <v>72</v>
      </c>
      <c r="G1761" s="4">
        <v>1</v>
      </c>
      <c r="H1761" s="4" t="s">
        <v>76</v>
      </c>
      <c r="I1761" s="4" t="s">
        <v>69</v>
      </c>
      <c r="J1761" s="4" t="s">
        <v>66</v>
      </c>
      <c r="K1761" s="4">
        <v>0</v>
      </c>
      <c r="L1761" s="94">
        <v>3837126</v>
      </c>
      <c r="M1761" s="94">
        <v>3837126</v>
      </c>
    </row>
    <row r="1762" spans="3:13" x14ac:dyDescent="0.3">
      <c r="C1762" t="s">
        <v>71</v>
      </c>
      <c r="D1762" t="s">
        <v>67</v>
      </c>
      <c r="E1762" t="s">
        <v>63</v>
      </c>
      <c r="F1762" t="s">
        <v>26</v>
      </c>
      <c r="G1762" s="4">
        <v>0</v>
      </c>
      <c r="H1762" s="4" t="s">
        <v>79</v>
      </c>
      <c r="I1762" s="4" t="s">
        <v>69</v>
      </c>
      <c r="J1762" s="4" t="s">
        <v>66</v>
      </c>
      <c r="K1762" s="4">
        <v>0</v>
      </c>
      <c r="L1762" s="94">
        <v>-10885</v>
      </c>
      <c r="M1762" s="94">
        <v>0</v>
      </c>
    </row>
    <row r="1763" spans="3:13" x14ac:dyDescent="0.3">
      <c r="C1763" t="s">
        <v>71</v>
      </c>
      <c r="D1763" t="s">
        <v>67</v>
      </c>
      <c r="E1763" t="s">
        <v>68</v>
      </c>
      <c r="F1763" t="s">
        <v>72</v>
      </c>
      <c r="G1763" s="4">
        <v>5</v>
      </c>
      <c r="H1763" s="4" t="s">
        <v>75</v>
      </c>
      <c r="I1763" s="4" t="s">
        <v>69</v>
      </c>
      <c r="J1763" s="4" t="s">
        <v>66</v>
      </c>
      <c r="K1763" s="4">
        <v>0</v>
      </c>
      <c r="L1763" s="94">
        <v>46263</v>
      </c>
      <c r="M1763" s="94">
        <v>231315</v>
      </c>
    </row>
    <row r="1764" spans="3:13" x14ac:dyDescent="0.3">
      <c r="C1764" t="s">
        <v>61</v>
      </c>
      <c r="D1764" t="s">
        <v>67</v>
      </c>
      <c r="E1764" t="s">
        <v>63</v>
      </c>
      <c r="F1764" t="s">
        <v>25</v>
      </c>
      <c r="G1764" s="4">
        <v>1</v>
      </c>
      <c r="H1764" s="4" t="s">
        <v>16</v>
      </c>
      <c r="I1764" s="4" t="s">
        <v>69</v>
      </c>
      <c r="J1764" s="4" t="s">
        <v>66</v>
      </c>
      <c r="K1764" s="4">
        <v>0</v>
      </c>
      <c r="L1764" s="94">
        <v>-56</v>
      </c>
      <c r="M1764" s="94">
        <v>0</v>
      </c>
    </row>
    <row r="1765" spans="3:13" x14ac:dyDescent="0.3">
      <c r="C1765" t="s">
        <v>61</v>
      </c>
      <c r="D1765" t="s">
        <v>67</v>
      </c>
      <c r="E1765" t="s">
        <v>68</v>
      </c>
      <c r="F1765" t="s">
        <v>72</v>
      </c>
      <c r="G1765" s="4">
        <v>7</v>
      </c>
      <c r="H1765" s="4" t="s">
        <v>17</v>
      </c>
      <c r="I1765" s="4" t="s">
        <v>69</v>
      </c>
      <c r="J1765" s="4" t="s">
        <v>73</v>
      </c>
      <c r="K1765" s="4">
        <v>1</v>
      </c>
      <c r="L1765" s="94">
        <v>22512</v>
      </c>
      <c r="M1765" s="94">
        <v>157584</v>
      </c>
    </row>
    <row r="1766" spans="3:13" x14ac:dyDescent="0.3">
      <c r="C1766" t="s">
        <v>61</v>
      </c>
      <c r="D1766" t="s">
        <v>84</v>
      </c>
      <c r="E1766" t="s">
        <v>63</v>
      </c>
      <c r="F1766" t="s">
        <v>25</v>
      </c>
      <c r="G1766" s="4">
        <v>14</v>
      </c>
      <c r="H1766" s="4" t="s">
        <v>76</v>
      </c>
      <c r="I1766" s="4" t="s">
        <v>69</v>
      </c>
      <c r="J1766" s="4" t="s">
        <v>66</v>
      </c>
      <c r="K1766" s="4">
        <v>0</v>
      </c>
      <c r="L1766" s="94">
        <v>-46225</v>
      </c>
      <c r="M1766" s="94">
        <v>0</v>
      </c>
    </row>
    <row r="1767" spans="3:13" x14ac:dyDescent="0.3">
      <c r="C1767" t="s">
        <v>61</v>
      </c>
      <c r="D1767" t="s">
        <v>67</v>
      </c>
      <c r="E1767" t="s">
        <v>63</v>
      </c>
      <c r="F1767" t="s">
        <v>72</v>
      </c>
      <c r="G1767" s="4">
        <v>-4</v>
      </c>
      <c r="H1767" s="4" t="s">
        <v>14</v>
      </c>
      <c r="I1767" s="4" t="s">
        <v>69</v>
      </c>
      <c r="J1767" s="4" t="s">
        <v>73</v>
      </c>
      <c r="K1767" s="4">
        <v>1</v>
      </c>
      <c r="L1767" s="94">
        <v>-4</v>
      </c>
      <c r="M1767" s="94">
        <v>0</v>
      </c>
    </row>
    <row r="1768" spans="3:13" x14ac:dyDescent="0.3">
      <c r="C1768" t="s">
        <v>61</v>
      </c>
      <c r="D1768" t="s">
        <v>67</v>
      </c>
      <c r="E1768" t="s">
        <v>68</v>
      </c>
      <c r="F1768" t="s">
        <v>25</v>
      </c>
      <c r="G1768" s="4">
        <v>4</v>
      </c>
      <c r="H1768" s="4" t="s">
        <v>15</v>
      </c>
      <c r="I1768" s="4" t="s">
        <v>69</v>
      </c>
      <c r="J1768" s="4" t="s">
        <v>66</v>
      </c>
      <c r="K1768" s="4">
        <v>1</v>
      </c>
      <c r="L1768" s="94">
        <v>842497</v>
      </c>
      <c r="M1768" s="94">
        <v>3369988</v>
      </c>
    </row>
    <row r="1769" spans="3:13" x14ac:dyDescent="0.3">
      <c r="C1769" t="s">
        <v>70</v>
      </c>
      <c r="D1769" t="s">
        <v>67</v>
      </c>
      <c r="E1769" t="s">
        <v>68</v>
      </c>
      <c r="F1769" t="s">
        <v>72</v>
      </c>
      <c r="G1769" s="4">
        <v>2</v>
      </c>
      <c r="H1769" s="4" t="s">
        <v>77</v>
      </c>
      <c r="I1769" s="4" t="s">
        <v>69</v>
      </c>
      <c r="J1769" s="4" t="s">
        <v>66</v>
      </c>
      <c r="K1769" s="4">
        <v>0</v>
      </c>
      <c r="L1769" s="94">
        <v>64419</v>
      </c>
      <c r="M1769" s="94">
        <v>128838</v>
      </c>
    </row>
    <row r="1770" spans="3:13" x14ac:dyDescent="0.3">
      <c r="C1770" t="s">
        <v>70</v>
      </c>
      <c r="D1770" t="s">
        <v>67</v>
      </c>
      <c r="E1770" t="s">
        <v>68</v>
      </c>
      <c r="F1770" t="s">
        <v>26</v>
      </c>
      <c r="G1770" s="4">
        <v>3</v>
      </c>
      <c r="H1770" s="4" t="s">
        <v>75</v>
      </c>
      <c r="I1770" s="4" t="s">
        <v>65</v>
      </c>
      <c r="J1770" s="4" t="s">
        <v>66</v>
      </c>
      <c r="K1770" s="4">
        <v>1</v>
      </c>
      <c r="L1770" s="94">
        <v>81603</v>
      </c>
      <c r="M1770" s="94">
        <v>244809</v>
      </c>
    </row>
    <row r="1771" spans="3:13" x14ac:dyDescent="0.3">
      <c r="C1771" t="s">
        <v>71</v>
      </c>
      <c r="D1771" t="s">
        <v>67</v>
      </c>
      <c r="E1771" t="s">
        <v>68</v>
      </c>
      <c r="F1771" t="s">
        <v>72</v>
      </c>
      <c r="G1771" s="4">
        <v>3</v>
      </c>
      <c r="H1771" s="4" t="s">
        <v>76</v>
      </c>
      <c r="I1771" s="4" t="s">
        <v>69</v>
      </c>
      <c r="J1771" s="4" t="s">
        <v>66</v>
      </c>
      <c r="K1771" s="4">
        <v>0</v>
      </c>
      <c r="L1771" s="94">
        <v>37252</v>
      </c>
      <c r="M1771" s="94">
        <v>111756</v>
      </c>
    </row>
    <row r="1772" spans="3:13" x14ac:dyDescent="0.3">
      <c r="C1772" t="s">
        <v>71</v>
      </c>
      <c r="D1772" t="s">
        <v>67</v>
      </c>
      <c r="E1772" t="s">
        <v>63</v>
      </c>
      <c r="F1772" t="s">
        <v>72</v>
      </c>
      <c r="G1772" s="4">
        <v>2</v>
      </c>
      <c r="H1772" s="4" t="s">
        <v>74</v>
      </c>
      <c r="I1772" s="4" t="s">
        <v>69</v>
      </c>
      <c r="J1772" s="4" t="s">
        <v>66</v>
      </c>
      <c r="K1772" s="4">
        <v>0</v>
      </c>
      <c r="L1772" s="94">
        <v>-11814</v>
      </c>
      <c r="M1772" s="94">
        <v>0</v>
      </c>
    </row>
    <row r="1773" spans="3:13" x14ac:dyDescent="0.3">
      <c r="C1773" t="s">
        <v>71</v>
      </c>
      <c r="D1773" t="s">
        <v>67</v>
      </c>
      <c r="E1773" t="s">
        <v>63</v>
      </c>
      <c r="F1773" t="s">
        <v>72</v>
      </c>
      <c r="G1773" s="4">
        <v>-4</v>
      </c>
      <c r="H1773" s="4" t="s">
        <v>14</v>
      </c>
      <c r="I1773" s="4" t="s">
        <v>69</v>
      </c>
      <c r="J1773" s="4" t="s">
        <v>66</v>
      </c>
      <c r="K1773" s="4">
        <v>0</v>
      </c>
      <c r="L1773" s="94">
        <v>-745042</v>
      </c>
      <c r="M1773" s="94">
        <v>0</v>
      </c>
    </row>
    <row r="1774" spans="3:13" x14ac:dyDescent="0.3">
      <c r="C1774" t="s">
        <v>61</v>
      </c>
      <c r="D1774" t="s">
        <v>67</v>
      </c>
      <c r="E1774" t="s">
        <v>63</v>
      </c>
      <c r="F1774" t="s">
        <v>26</v>
      </c>
      <c r="G1774" s="4">
        <v>0</v>
      </c>
      <c r="H1774" s="4" t="s">
        <v>74</v>
      </c>
      <c r="I1774" s="4" t="s">
        <v>69</v>
      </c>
      <c r="J1774" s="4" t="s">
        <v>66</v>
      </c>
      <c r="K1774" s="4">
        <v>0</v>
      </c>
      <c r="L1774" s="94">
        <v>-482253</v>
      </c>
      <c r="M1774" s="94">
        <v>0</v>
      </c>
    </row>
    <row r="1775" spans="3:13" x14ac:dyDescent="0.3">
      <c r="C1775" t="s">
        <v>61</v>
      </c>
      <c r="D1775" t="s">
        <v>67</v>
      </c>
      <c r="E1775" t="s">
        <v>68</v>
      </c>
      <c r="F1775" t="s">
        <v>26</v>
      </c>
      <c r="G1775" s="4">
        <v>-1</v>
      </c>
      <c r="H1775" s="4" t="s">
        <v>15</v>
      </c>
      <c r="I1775" s="4" t="s">
        <v>69</v>
      </c>
      <c r="J1775" s="4" t="s">
        <v>66</v>
      </c>
      <c r="K1775" s="4">
        <v>0</v>
      </c>
      <c r="L1775" s="94">
        <v>204440</v>
      </c>
      <c r="M1775" s="94">
        <v>0</v>
      </c>
    </row>
    <row r="1776" spans="3:13" x14ac:dyDescent="0.3">
      <c r="C1776" t="s">
        <v>70</v>
      </c>
      <c r="D1776" t="s">
        <v>62</v>
      </c>
      <c r="E1776" t="s">
        <v>68</v>
      </c>
      <c r="F1776" t="s">
        <v>24</v>
      </c>
      <c r="G1776" s="4">
        <v>22</v>
      </c>
      <c r="I1776" s="4" t="s">
        <v>69</v>
      </c>
      <c r="J1776" s="4" t="s">
        <v>66</v>
      </c>
      <c r="K1776" s="4">
        <v>1</v>
      </c>
      <c r="L1776" s="94">
        <v>863087</v>
      </c>
      <c r="M1776" s="94">
        <v>18987914</v>
      </c>
    </row>
    <row r="1777" spans="3:13" x14ac:dyDescent="0.3">
      <c r="C1777" t="s">
        <v>61</v>
      </c>
      <c r="D1777" t="s">
        <v>67</v>
      </c>
      <c r="E1777" t="s">
        <v>68</v>
      </c>
      <c r="F1777" t="s">
        <v>25</v>
      </c>
      <c r="G1777" s="4">
        <v>7</v>
      </c>
      <c r="H1777" s="4" t="s">
        <v>18</v>
      </c>
      <c r="I1777" s="4" t="s">
        <v>69</v>
      </c>
      <c r="J1777" s="4" t="s">
        <v>66</v>
      </c>
      <c r="K1777" s="4">
        <v>0</v>
      </c>
      <c r="L1777" s="94">
        <v>7165610</v>
      </c>
      <c r="M1777" s="94">
        <v>50159270</v>
      </c>
    </row>
    <row r="1778" spans="3:13" x14ac:dyDescent="0.3">
      <c r="C1778" t="s">
        <v>61</v>
      </c>
      <c r="D1778" t="s">
        <v>67</v>
      </c>
      <c r="E1778" t="s">
        <v>63</v>
      </c>
      <c r="F1778" t="s">
        <v>25</v>
      </c>
      <c r="G1778" s="4">
        <v>11</v>
      </c>
      <c r="H1778" s="4" t="s">
        <v>64</v>
      </c>
      <c r="I1778" s="4" t="s">
        <v>69</v>
      </c>
      <c r="J1778" s="4" t="s">
        <v>66</v>
      </c>
      <c r="K1778" s="4">
        <v>0</v>
      </c>
      <c r="L1778" s="94">
        <v>-907</v>
      </c>
      <c r="M1778" s="94">
        <v>0</v>
      </c>
    </row>
    <row r="1779" spans="3:13" x14ac:dyDescent="0.3">
      <c r="C1779" t="s">
        <v>61</v>
      </c>
      <c r="D1779" t="s">
        <v>67</v>
      </c>
      <c r="E1779" t="s">
        <v>68</v>
      </c>
      <c r="F1779" t="s">
        <v>25</v>
      </c>
      <c r="G1779" s="4">
        <v>15</v>
      </c>
      <c r="H1779" s="4" t="s">
        <v>78</v>
      </c>
      <c r="I1779" s="4" t="s">
        <v>69</v>
      </c>
      <c r="J1779" s="4" t="s">
        <v>66</v>
      </c>
      <c r="K1779" s="4">
        <v>0</v>
      </c>
      <c r="L1779" s="94">
        <v>1391953</v>
      </c>
      <c r="M1779" s="94">
        <v>20879295</v>
      </c>
    </row>
    <row r="1780" spans="3:13" x14ac:dyDescent="0.3">
      <c r="C1780" t="s">
        <v>71</v>
      </c>
      <c r="D1780" t="s">
        <v>67</v>
      </c>
      <c r="E1780" t="s">
        <v>68</v>
      </c>
      <c r="F1780" t="s">
        <v>25</v>
      </c>
      <c r="G1780" s="4">
        <v>6</v>
      </c>
      <c r="H1780" s="4" t="s">
        <v>12</v>
      </c>
      <c r="I1780" s="4" t="s">
        <v>69</v>
      </c>
      <c r="J1780" s="4" t="s">
        <v>66</v>
      </c>
      <c r="K1780" s="4">
        <v>0</v>
      </c>
      <c r="L1780" s="94">
        <v>57889</v>
      </c>
      <c r="M1780" s="94">
        <v>347334</v>
      </c>
    </row>
    <row r="1781" spans="3:13" x14ac:dyDescent="0.3">
      <c r="C1781" t="s">
        <v>70</v>
      </c>
      <c r="D1781" t="s">
        <v>67</v>
      </c>
      <c r="E1781" t="s">
        <v>63</v>
      </c>
      <c r="F1781" t="s">
        <v>25</v>
      </c>
      <c r="G1781" s="4">
        <v>12</v>
      </c>
      <c r="H1781" s="4" t="s">
        <v>78</v>
      </c>
      <c r="I1781" s="4" t="s">
        <v>69</v>
      </c>
      <c r="J1781" s="4" t="s">
        <v>66</v>
      </c>
      <c r="K1781" s="4">
        <v>0</v>
      </c>
      <c r="L1781" s="94">
        <v>-9656</v>
      </c>
      <c r="M1781" s="94">
        <v>0</v>
      </c>
    </row>
    <row r="1782" spans="3:13" x14ac:dyDescent="0.3">
      <c r="C1782" t="s">
        <v>70</v>
      </c>
      <c r="D1782" t="s">
        <v>67</v>
      </c>
      <c r="E1782" t="s">
        <v>68</v>
      </c>
      <c r="F1782" t="s">
        <v>26</v>
      </c>
      <c r="G1782" s="4">
        <v>0</v>
      </c>
      <c r="H1782" s="4" t="s">
        <v>18</v>
      </c>
      <c r="I1782" s="4" t="s">
        <v>65</v>
      </c>
      <c r="J1782" s="4" t="s">
        <v>66</v>
      </c>
      <c r="K1782" s="4">
        <v>1</v>
      </c>
      <c r="L1782" s="94">
        <v>3528</v>
      </c>
      <c r="M1782" s="94">
        <v>0</v>
      </c>
    </row>
    <row r="1783" spans="3:13" x14ac:dyDescent="0.3">
      <c r="C1783" t="s">
        <v>70</v>
      </c>
      <c r="D1783" t="s">
        <v>67</v>
      </c>
      <c r="E1783" t="s">
        <v>63</v>
      </c>
      <c r="F1783" t="s">
        <v>72</v>
      </c>
      <c r="G1783" s="4">
        <v>1</v>
      </c>
      <c r="H1783" s="4" t="s">
        <v>12</v>
      </c>
      <c r="I1783" s="4" t="s">
        <v>69</v>
      </c>
      <c r="J1783" s="4" t="s">
        <v>66</v>
      </c>
      <c r="K1783" s="4">
        <v>0</v>
      </c>
      <c r="L1783" s="94">
        <v>-11075</v>
      </c>
      <c r="M1783" s="94">
        <v>0</v>
      </c>
    </row>
    <row r="1784" spans="3:13" x14ac:dyDescent="0.3">
      <c r="C1784" t="s">
        <v>71</v>
      </c>
      <c r="D1784" t="s">
        <v>67</v>
      </c>
      <c r="E1784" t="s">
        <v>63</v>
      </c>
      <c r="F1784" t="s">
        <v>72</v>
      </c>
      <c r="G1784" s="4">
        <v>2</v>
      </c>
      <c r="H1784" s="4" t="s">
        <v>17</v>
      </c>
      <c r="I1784" s="4" t="s">
        <v>65</v>
      </c>
      <c r="J1784" s="4" t="s">
        <v>73</v>
      </c>
      <c r="K1784" s="4">
        <v>1</v>
      </c>
      <c r="L1784" s="94">
        <v>-44365</v>
      </c>
      <c r="M1784" s="94">
        <v>0</v>
      </c>
    </row>
    <row r="1785" spans="3:13" x14ac:dyDescent="0.3">
      <c r="C1785" t="s">
        <v>70</v>
      </c>
      <c r="D1785" t="s">
        <v>67</v>
      </c>
      <c r="E1785" t="s">
        <v>63</v>
      </c>
      <c r="F1785" t="s">
        <v>72</v>
      </c>
      <c r="G1785" s="4">
        <v>7</v>
      </c>
      <c r="H1785" s="4" t="s">
        <v>14</v>
      </c>
      <c r="I1785" s="4" t="s">
        <v>69</v>
      </c>
      <c r="J1785" s="4" t="s">
        <v>73</v>
      </c>
      <c r="K1785" s="4">
        <v>1</v>
      </c>
      <c r="L1785" s="94">
        <v>-9499</v>
      </c>
      <c r="M1785" s="94">
        <v>0</v>
      </c>
    </row>
    <row r="1786" spans="3:13" x14ac:dyDescent="0.3">
      <c r="C1786" t="s">
        <v>71</v>
      </c>
      <c r="D1786" t="s">
        <v>67</v>
      </c>
      <c r="E1786" t="s">
        <v>68</v>
      </c>
      <c r="F1786" t="s">
        <v>25</v>
      </c>
      <c r="G1786" s="4">
        <v>-1</v>
      </c>
      <c r="H1786" s="4" t="s">
        <v>18</v>
      </c>
      <c r="I1786" s="4" t="s">
        <v>69</v>
      </c>
      <c r="J1786" s="4" t="s">
        <v>66</v>
      </c>
      <c r="K1786" s="4">
        <v>0</v>
      </c>
      <c r="L1786" s="94">
        <v>139621</v>
      </c>
      <c r="M1786" s="94">
        <v>0</v>
      </c>
    </row>
    <row r="1787" spans="3:13" x14ac:dyDescent="0.3">
      <c r="C1787" t="s">
        <v>61</v>
      </c>
      <c r="D1787" t="s">
        <v>67</v>
      </c>
      <c r="E1787" t="s">
        <v>63</v>
      </c>
      <c r="F1787" t="s">
        <v>26</v>
      </c>
      <c r="G1787" s="4">
        <v>1</v>
      </c>
      <c r="H1787" s="4" t="s">
        <v>17</v>
      </c>
      <c r="I1787" s="4" t="s">
        <v>69</v>
      </c>
      <c r="J1787" s="4" t="s">
        <v>66</v>
      </c>
      <c r="K1787" s="4">
        <v>0</v>
      </c>
      <c r="L1787" s="94">
        <v>-140281</v>
      </c>
      <c r="M1787" s="94">
        <v>0</v>
      </c>
    </row>
    <row r="1788" spans="3:13" x14ac:dyDescent="0.3">
      <c r="C1788" t="s">
        <v>70</v>
      </c>
      <c r="D1788" t="s">
        <v>62</v>
      </c>
      <c r="E1788" t="s">
        <v>68</v>
      </c>
      <c r="F1788" t="s">
        <v>24</v>
      </c>
      <c r="G1788" s="4">
        <v>26</v>
      </c>
      <c r="I1788" s="4" t="s">
        <v>65</v>
      </c>
      <c r="J1788" s="4" t="s">
        <v>66</v>
      </c>
      <c r="K1788" s="4">
        <v>1</v>
      </c>
      <c r="L1788" s="94">
        <v>676633</v>
      </c>
      <c r="M1788" s="94">
        <v>17592458</v>
      </c>
    </row>
    <row r="1789" spans="3:13" x14ac:dyDescent="0.3">
      <c r="C1789" t="s">
        <v>71</v>
      </c>
      <c r="D1789" t="s">
        <v>62</v>
      </c>
      <c r="E1789" t="s">
        <v>68</v>
      </c>
      <c r="F1789" t="s">
        <v>24</v>
      </c>
      <c r="G1789" s="4">
        <v>6</v>
      </c>
      <c r="I1789" s="4" t="s">
        <v>69</v>
      </c>
      <c r="J1789" s="4" t="s">
        <v>66</v>
      </c>
      <c r="K1789" s="4">
        <v>1</v>
      </c>
      <c r="L1789" s="94">
        <v>62829</v>
      </c>
      <c r="M1789" s="94">
        <v>376974</v>
      </c>
    </row>
    <row r="1790" spans="3:13" x14ac:dyDescent="0.3">
      <c r="C1790" t="s">
        <v>61</v>
      </c>
      <c r="D1790" t="s">
        <v>67</v>
      </c>
      <c r="E1790" t="s">
        <v>68</v>
      </c>
      <c r="F1790" t="s">
        <v>26</v>
      </c>
      <c r="G1790" s="4">
        <v>2</v>
      </c>
      <c r="H1790" s="4" t="s">
        <v>78</v>
      </c>
      <c r="I1790" s="4" t="s">
        <v>69</v>
      </c>
      <c r="J1790" s="4" t="s">
        <v>66</v>
      </c>
      <c r="K1790" s="4">
        <v>0</v>
      </c>
      <c r="L1790" s="94">
        <v>1905054</v>
      </c>
      <c r="M1790" s="94">
        <v>3810108</v>
      </c>
    </row>
    <row r="1791" spans="3:13" x14ac:dyDescent="0.3">
      <c r="C1791" t="s">
        <v>70</v>
      </c>
      <c r="D1791" t="s">
        <v>67</v>
      </c>
      <c r="E1791" t="s">
        <v>63</v>
      </c>
      <c r="F1791" t="s">
        <v>72</v>
      </c>
      <c r="G1791" s="4">
        <v>-1</v>
      </c>
      <c r="H1791" s="4" t="s">
        <v>76</v>
      </c>
      <c r="I1791" s="4" t="s">
        <v>69</v>
      </c>
      <c r="J1791" s="4" t="s">
        <v>66</v>
      </c>
      <c r="K1791" s="4">
        <v>0</v>
      </c>
      <c r="L1791" s="94">
        <v>-7148</v>
      </c>
      <c r="M1791" s="94">
        <v>0</v>
      </c>
    </row>
    <row r="1792" spans="3:13" x14ac:dyDescent="0.3">
      <c r="C1792" t="s">
        <v>71</v>
      </c>
      <c r="D1792" t="s">
        <v>67</v>
      </c>
      <c r="E1792" t="s">
        <v>63</v>
      </c>
      <c r="F1792" t="s">
        <v>72</v>
      </c>
      <c r="G1792" s="4">
        <v>0</v>
      </c>
      <c r="H1792" s="4" t="s">
        <v>18</v>
      </c>
      <c r="I1792" s="4" t="s">
        <v>69</v>
      </c>
      <c r="J1792" s="4" t="s">
        <v>66</v>
      </c>
      <c r="K1792" s="4">
        <v>0</v>
      </c>
      <c r="L1792" s="94">
        <v>-15965</v>
      </c>
      <c r="M1792" s="94">
        <v>0</v>
      </c>
    </row>
    <row r="1793" spans="3:13" x14ac:dyDescent="0.3">
      <c r="C1793" t="s">
        <v>70</v>
      </c>
      <c r="D1793" t="s">
        <v>67</v>
      </c>
      <c r="E1793" t="s">
        <v>68</v>
      </c>
      <c r="F1793" t="s">
        <v>72</v>
      </c>
      <c r="G1793" s="4">
        <v>7</v>
      </c>
      <c r="H1793" s="4" t="s">
        <v>79</v>
      </c>
      <c r="I1793" s="4" t="s">
        <v>69</v>
      </c>
      <c r="J1793" s="4" t="s">
        <v>66</v>
      </c>
      <c r="K1793" s="4">
        <v>0</v>
      </c>
      <c r="L1793" s="94">
        <v>142418</v>
      </c>
      <c r="M1793" s="94">
        <v>996926</v>
      </c>
    </row>
    <row r="1794" spans="3:13" x14ac:dyDescent="0.3">
      <c r="C1794" t="s">
        <v>71</v>
      </c>
      <c r="D1794" t="s">
        <v>67</v>
      </c>
      <c r="E1794" t="s">
        <v>68</v>
      </c>
      <c r="F1794" t="s">
        <v>26</v>
      </c>
      <c r="G1794" s="4">
        <v>3</v>
      </c>
      <c r="H1794" s="4" t="s">
        <v>75</v>
      </c>
      <c r="I1794" s="4" t="s">
        <v>69</v>
      </c>
      <c r="J1794" s="4" t="s">
        <v>66</v>
      </c>
      <c r="K1794" s="4">
        <v>0</v>
      </c>
      <c r="L1794" s="94">
        <v>489312</v>
      </c>
      <c r="M1794" s="94">
        <v>1467936</v>
      </c>
    </row>
    <row r="1795" spans="3:13" x14ac:dyDescent="0.3">
      <c r="C1795" t="s">
        <v>61</v>
      </c>
      <c r="D1795" t="s">
        <v>62</v>
      </c>
      <c r="E1795" t="s">
        <v>68</v>
      </c>
      <c r="F1795" t="s">
        <v>25</v>
      </c>
      <c r="G1795" s="4">
        <v>23</v>
      </c>
      <c r="I1795" s="4" t="s">
        <v>69</v>
      </c>
      <c r="J1795" s="4" t="s">
        <v>66</v>
      </c>
      <c r="K1795" s="4">
        <v>0</v>
      </c>
      <c r="L1795" s="94">
        <v>327301</v>
      </c>
      <c r="M1795" s="94">
        <v>7527923</v>
      </c>
    </row>
    <row r="1796" spans="3:13" x14ac:dyDescent="0.3">
      <c r="C1796" t="s">
        <v>61</v>
      </c>
      <c r="D1796" t="s">
        <v>67</v>
      </c>
      <c r="E1796" t="s">
        <v>68</v>
      </c>
      <c r="F1796" t="s">
        <v>26</v>
      </c>
      <c r="G1796" s="4">
        <v>0</v>
      </c>
      <c r="H1796" s="4" t="s">
        <v>74</v>
      </c>
      <c r="I1796" s="4" t="s">
        <v>69</v>
      </c>
      <c r="J1796" s="4" t="s">
        <v>66</v>
      </c>
      <c r="K1796" s="4">
        <v>0</v>
      </c>
      <c r="L1796" s="94">
        <v>1067937491</v>
      </c>
      <c r="M1796" s="94">
        <v>0</v>
      </c>
    </row>
    <row r="1797" spans="3:13" x14ac:dyDescent="0.3">
      <c r="C1797" t="s">
        <v>61</v>
      </c>
      <c r="D1797" t="s">
        <v>67</v>
      </c>
      <c r="E1797" t="s">
        <v>68</v>
      </c>
      <c r="F1797" t="s">
        <v>72</v>
      </c>
      <c r="G1797" s="4">
        <v>0</v>
      </c>
      <c r="H1797" s="4" t="s">
        <v>12</v>
      </c>
      <c r="I1797" s="4" t="s">
        <v>65</v>
      </c>
      <c r="J1797" s="4" t="s">
        <v>73</v>
      </c>
      <c r="K1797" s="4">
        <v>1</v>
      </c>
      <c r="L1797" s="94">
        <v>4444</v>
      </c>
      <c r="M1797" s="94">
        <v>0</v>
      </c>
    </row>
    <row r="1798" spans="3:13" x14ac:dyDescent="0.3">
      <c r="C1798" t="s">
        <v>70</v>
      </c>
      <c r="D1798" t="s">
        <v>67</v>
      </c>
      <c r="E1798" t="s">
        <v>68</v>
      </c>
      <c r="F1798" t="s">
        <v>25</v>
      </c>
      <c r="G1798" s="4">
        <v>11</v>
      </c>
      <c r="H1798" s="4" t="s">
        <v>76</v>
      </c>
      <c r="I1798" s="4" t="s">
        <v>69</v>
      </c>
      <c r="J1798" s="4" t="s">
        <v>66</v>
      </c>
      <c r="K1798" s="4">
        <v>0</v>
      </c>
      <c r="L1798" s="94">
        <v>5433417</v>
      </c>
      <c r="M1798" s="94">
        <v>59767587</v>
      </c>
    </row>
    <row r="1799" spans="3:13" x14ac:dyDescent="0.3">
      <c r="C1799" t="s">
        <v>61</v>
      </c>
      <c r="D1799" t="s">
        <v>67</v>
      </c>
      <c r="E1799" t="s">
        <v>68</v>
      </c>
      <c r="F1799" t="s">
        <v>25</v>
      </c>
      <c r="G1799" s="4">
        <v>12</v>
      </c>
      <c r="H1799" s="4" t="s">
        <v>18</v>
      </c>
      <c r="I1799" s="4" t="s">
        <v>69</v>
      </c>
      <c r="J1799" s="4" t="s">
        <v>66</v>
      </c>
      <c r="K1799" s="4">
        <v>1</v>
      </c>
      <c r="L1799" s="94">
        <v>775231</v>
      </c>
      <c r="M1799" s="94">
        <v>9302772</v>
      </c>
    </row>
    <row r="1800" spans="3:13" x14ac:dyDescent="0.3">
      <c r="C1800" t="s">
        <v>71</v>
      </c>
      <c r="D1800" t="s">
        <v>67</v>
      </c>
      <c r="E1800" t="s">
        <v>63</v>
      </c>
      <c r="F1800" t="s">
        <v>25</v>
      </c>
      <c r="G1800" s="4">
        <v>20</v>
      </c>
      <c r="H1800" s="4" t="s">
        <v>64</v>
      </c>
      <c r="I1800" s="4" t="s">
        <v>69</v>
      </c>
      <c r="J1800" s="4" t="s">
        <v>66</v>
      </c>
      <c r="K1800" s="4">
        <v>0</v>
      </c>
      <c r="L1800" s="94">
        <v>-131884</v>
      </c>
      <c r="M1800" s="94">
        <v>0</v>
      </c>
    </row>
    <row r="1801" spans="3:13" x14ac:dyDescent="0.3">
      <c r="C1801" t="s">
        <v>71</v>
      </c>
      <c r="D1801" t="s">
        <v>67</v>
      </c>
      <c r="E1801" t="s">
        <v>63</v>
      </c>
      <c r="F1801" t="s">
        <v>26</v>
      </c>
      <c r="G1801" s="4">
        <v>-4</v>
      </c>
      <c r="H1801" s="4" t="s">
        <v>74</v>
      </c>
      <c r="I1801" s="4" t="s">
        <v>69</v>
      </c>
      <c r="J1801" s="4" t="s">
        <v>66</v>
      </c>
      <c r="K1801" s="4">
        <v>0</v>
      </c>
      <c r="L1801" s="94">
        <v>-974958</v>
      </c>
      <c r="M1801" s="94">
        <v>0</v>
      </c>
    </row>
    <row r="1802" spans="3:13" x14ac:dyDescent="0.3">
      <c r="C1802" t="s">
        <v>70</v>
      </c>
      <c r="D1802" t="s">
        <v>62</v>
      </c>
      <c r="E1802" t="s">
        <v>63</v>
      </c>
      <c r="F1802" t="s">
        <v>24</v>
      </c>
      <c r="G1802" s="4">
        <v>37</v>
      </c>
      <c r="I1802" s="4" t="s">
        <v>69</v>
      </c>
      <c r="J1802" s="4" t="s">
        <v>66</v>
      </c>
      <c r="K1802" s="4">
        <v>1</v>
      </c>
      <c r="L1802" s="94">
        <v>-3195</v>
      </c>
      <c r="M1802" s="94">
        <v>0</v>
      </c>
    </row>
    <row r="1803" spans="3:13" x14ac:dyDescent="0.3">
      <c r="C1803" t="s">
        <v>70</v>
      </c>
      <c r="D1803" t="s">
        <v>67</v>
      </c>
      <c r="E1803" t="s">
        <v>68</v>
      </c>
      <c r="F1803" t="s">
        <v>25</v>
      </c>
      <c r="G1803" s="4">
        <v>12</v>
      </c>
      <c r="H1803" s="4" t="s">
        <v>14</v>
      </c>
      <c r="I1803" s="4" t="s">
        <v>69</v>
      </c>
      <c r="J1803" s="4" t="s">
        <v>66</v>
      </c>
      <c r="K1803" s="4">
        <v>0</v>
      </c>
      <c r="L1803" s="94">
        <v>410836</v>
      </c>
      <c r="M1803" s="94">
        <v>4930032</v>
      </c>
    </row>
    <row r="1804" spans="3:13" x14ac:dyDescent="0.3">
      <c r="C1804" t="s">
        <v>61</v>
      </c>
      <c r="D1804" t="s">
        <v>67</v>
      </c>
      <c r="E1804" t="s">
        <v>68</v>
      </c>
      <c r="F1804" t="s">
        <v>72</v>
      </c>
      <c r="G1804" s="4">
        <v>5</v>
      </c>
      <c r="H1804" s="4" t="s">
        <v>18</v>
      </c>
      <c r="I1804" s="4" t="s">
        <v>69</v>
      </c>
      <c r="J1804" s="4" t="s">
        <v>66</v>
      </c>
      <c r="K1804" s="4">
        <v>0</v>
      </c>
      <c r="L1804" s="94">
        <v>3613527</v>
      </c>
      <c r="M1804" s="94">
        <v>18067635</v>
      </c>
    </row>
    <row r="1805" spans="3:13" x14ac:dyDescent="0.3">
      <c r="C1805" t="s">
        <v>70</v>
      </c>
      <c r="D1805" t="s">
        <v>67</v>
      </c>
      <c r="E1805" t="s">
        <v>68</v>
      </c>
      <c r="F1805" t="s">
        <v>26</v>
      </c>
      <c r="G1805" s="4">
        <v>1</v>
      </c>
      <c r="H1805" s="4" t="s">
        <v>12</v>
      </c>
      <c r="I1805" s="4" t="s">
        <v>65</v>
      </c>
      <c r="J1805" s="4" t="s">
        <v>73</v>
      </c>
      <c r="K1805" s="4">
        <v>1</v>
      </c>
      <c r="L1805" s="94">
        <v>19100</v>
      </c>
      <c r="M1805" s="94">
        <v>19100</v>
      </c>
    </row>
    <row r="1806" spans="3:13" x14ac:dyDescent="0.3">
      <c r="C1806" t="s">
        <v>61</v>
      </c>
      <c r="D1806" t="s">
        <v>67</v>
      </c>
      <c r="E1806" t="s">
        <v>68</v>
      </c>
      <c r="F1806" t="s">
        <v>25</v>
      </c>
      <c r="G1806" s="4">
        <v>13</v>
      </c>
      <c r="H1806" s="4" t="s">
        <v>76</v>
      </c>
      <c r="I1806" s="4" t="s">
        <v>65</v>
      </c>
      <c r="J1806" s="4" t="s">
        <v>66</v>
      </c>
      <c r="K1806" s="4">
        <v>1</v>
      </c>
      <c r="L1806" s="94">
        <v>704798</v>
      </c>
      <c r="M1806" s="94">
        <v>9162374</v>
      </c>
    </row>
    <row r="1807" spans="3:13" x14ac:dyDescent="0.3">
      <c r="C1807" t="s">
        <v>61</v>
      </c>
      <c r="D1807" t="s">
        <v>62</v>
      </c>
      <c r="E1807" t="s">
        <v>68</v>
      </c>
      <c r="F1807" t="s">
        <v>24</v>
      </c>
      <c r="G1807" s="4">
        <v>26</v>
      </c>
      <c r="I1807" s="4" t="s">
        <v>69</v>
      </c>
      <c r="J1807" s="4" t="s">
        <v>66</v>
      </c>
      <c r="K1807" s="4">
        <v>0</v>
      </c>
      <c r="L1807" s="94">
        <v>830491551</v>
      </c>
      <c r="M1807" s="94">
        <v>21592780326</v>
      </c>
    </row>
    <row r="1808" spans="3:13" x14ac:dyDescent="0.3">
      <c r="C1808" t="s">
        <v>71</v>
      </c>
      <c r="D1808" t="s">
        <v>67</v>
      </c>
      <c r="E1808" t="s">
        <v>63</v>
      </c>
      <c r="F1808" t="s">
        <v>26</v>
      </c>
      <c r="G1808" s="4">
        <v>-1</v>
      </c>
      <c r="H1808" s="4" t="s">
        <v>64</v>
      </c>
      <c r="I1808" s="4" t="s">
        <v>69</v>
      </c>
      <c r="J1808" s="4" t="s">
        <v>66</v>
      </c>
      <c r="K1808" s="4">
        <v>0</v>
      </c>
      <c r="L1808" s="94">
        <v>-852840</v>
      </c>
      <c r="M1808" s="94">
        <v>0</v>
      </c>
    </row>
    <row r="1809" spans="3:13" x14ac:dyDescent="0.3">
      <c r="C1809" t="s">
        <v>61</v>
      </c>
      <c r="D1809" t="s">
        <v>67</v>
      </c>
      <c r="E1809" t="s">
        <v>68</v>
      </c>
      <c r="F1809" t="s">
        <v>26</v>
      </c>
      <c r="G1809" s="4">
        <v>3</v>
      </c>
      <c r="H1809" s="4" t="s">
        <v>17</v>
      </c>
      <c r="I1809" s="4" t="s">
        <v>69</v>
      </c>
      <c r="J1809" s="4" t="s">
        <v>66</v>
      </c>
      <c r="K1809" s="4">
        <v>0</v>
      </c>
      <c r="L1809" s="94">
        <v>29723996</v>
      </c>
      <c r="M1809" s="94">
        <v>89171988</v>
      </c>
    </row>
    <row r="1810" spans="3:13" x14ac:dyDescent="0.3">
      <c r="C1810" t="s">
        <v>61</v>
      </c>
      <c r="D1810" t="s">
        <v>67</v>
      </c>
      <c r="E1810" t="s">
        <v>63</v>
      </c>
      <c r="F1810" t="s">
        <v>25</v>
      </c>
      <c r="G1810" s="4">
        <v>-4</v>
      </c>
      <c r="H1810" s="4" t="s">
        <v>77</v>
      </c>
      <c r="I1810" s="4" t="s">
        <v>69</v>
      </c>
      <c r="J1810" s="4" t="s">
        <v>66</v>
      </c>
      <c r="K1810" s="4">
        <v>0</v>
      </c>
      <c r="L1810" s="94">
        <v>-160</v>
      </c>
      <c r="M1810" s="94">
        <v>0</v>
      </c>
    </row>
    <row r="1811" spans="3:13" x14ac:dyDescent="0.3">
      <c r="C1811" t="s">
        <v>71</v>
      </c>
      <c r="D1811" t="s">
        <v>67</v>
      </c>
      <c r="E1811" t="s">
        <v>68</v>
      </c>
      <c r="F1811" t="s">
        <v>26</v>
      </c>
      <c r="G1811" s="4">
        <v>0</v>
      </c>
      <c r="H1811" s="4" t="s">
        <v>18</v>
      </c>
      <c r="I1811" s="4" t="s">
        <v>69</v>
      </c>
      <c r="J1811" s="4" t="s">
        <v>66</v>
      </c>
      <c r="K1811" s="4">
        <v>0</v>
      </c>
      <c r="L1811" s="94">
        <v>3142673</v>
      </c>
      <c r="M1811" s="94">
        <v>0</v>
      </c>
    </row>
    <row r="1812" spans="3:13" x14ac:dyDescent="0.3">
      <c r="C1812" t="s">
        <v>61</v>
      </c>
      <c r="D1812" t="s">
        <v>67</v>
      </c>
      <c r="E1812" t="s">
        <v>63</v>
      </c>
      <c r="F1812" t="s">
        <v>26</v>
      </c>
      <c r="G1812" s="4">
        <v>2</v>
      </c>
      <c r="H1812" s="4" t="s">
        <v>12</v>
      </c>
      <c r="I1812" s="4" t="s">
        <v>65</v>
      </c>
      <c r="J1812" s="4" t="s">
        <v>73</v>
      </c>
      <c r="K1812" s="4">
        <v>1</v>
      </c>
      <c r="L1812" s="94">
        <v>-1073</v>
      </c>
      <c r="M1812" s="94">
        <v>0</v>
      </c>
    </row>
    <row r="1813" spans="3:13" x14ac:dyDescent="0.3">
      <c r="C1813" t="s">
        <v>70</v>
      </c>
      <c r="D1813" t="s">
        <v>67</v>
      </c>
      <c r="E1813" t="s">
        <v>63</v>
      </c>
      <c r="F1813" t="s">
        <v>26</v>
      </c>
      <c r="G1813" s="4">
        <v>6</v>
      </c>
      <c r="H1813" s="4" t="s">
        <v>78</v>
      </c>
      <c r="I1813" s="4" t="s">
        <v>69</v>
      </c>
      <c r="J1813" s="4" t="s">
        <v>66</v>
      </c>
      <c r="K1813" s="4">
        <v>0</v>
      </c>
      <c r="L1813" s="94">
        <v>-557</v>
      </c>
      <c r="M1813" s="94">
        <v>0</v>
      </c>
    </row>
    <row r="1814" spans="3:13" x14ac:dyDescent="0.3">
      <c r="C1814" t="s">
        <v>61</v>
      </c>
      <c r="D1814" t="s">
        <v>67</v>
      </c>
      <c r="E1814" t="s">
        <v>63</v>
      </c>
      <c r="F1814" t="s">
        <v>26</v>
      </c>
      <c r="G1814" s="4">
        <v>6</v>
      </c>
      <c r="H1814" s="4" t="s">
        <v>15</v>
      </c>
      <c r="I1814" s="4" t="s">
        <v>69</v>
      </c>
      <c r="J1814" s="4" t="s">
        <v>73</v>
      </c>
      <c r="K1814" s="4">
        <v>1</v>
      </c>
      <c r="L1814" s="94">
        <v>-18792</v>
      </c>
      <c r="M1814" s="94">
        <v>0</v>
      </c>
    </row>
    <row r="1815" spans="3:13" x14ac:dyDescent="0.3">
      <c r="C1815" t="s">
        <v>61</v>
      </c>
      <c r="D1815" t="s">
        <v>67</v>
      </c>
      <c r="E1815" t="s">
        <v>68</v>
      </c>
      <c r="F1815" t="s">
        <v>25</v>
      </c>
      <c r="G1815" s="4">
        <v>3</v>
      </c>
      <c r="H1815" s="4" t="s">
        <v>74</v>
      </c>
      <c r="I1815" s="4" t="s">
        <v>69</v>
      </c>
      <c r="J1815" s="4" t="s">
        <v>66</v>
      </c>
      <c r="K1815" s="4">
        <v>0</v>
      </c>
      <c r="L1815" s="94">
        <v>1868381</v>
      </c>
      <c r="M1815" s="94">
        <v>5605143</v>
      </c>
    </row>
    <row r="1816" spans="3:13" x14ac:dyDescent="0.3">
      <c r="C1816" t="s">
        <v>71</v>
      </c>
      <c r="D1816" t="s">
        <v>67</v>
      </c>
      <c r="E1816" t="s">
        <v>68</v>
      </c>
      <c r="F1816" t="s">
        <v>26</v>
      </c>
      <c r="G1816" s="4">
        <v>5</v>
      </c>
      <c r="H1816" s="4" t="s">
        <v>75</v>
      </c>
      <c r="I1816" s="4" t="s">
        <v>69</v>
      </c>
      <c r="J1816" s="4" t="s">
        <v>66</v>
      </c>
      <c r="K1816" s="4">
        <v>0</v>
      </c>
      <c r="L1816" s="94">
        <v>143009</v>
      </c>
      <c r="M1816" s="94">
        <v>715045</v>
      </c>
    </row>
    <row r="1817" spans="3:13" x14ac:dyDescent="0.3">
      <c r="C1817" t="s">
        <v>71</v>
      </c>
      <c r="D1817" t="s">
        <v>67</v>
      </c>
      <c r="E1817" t="s">
        <v>63</v>
      </c>
      <c r="F1817" t="s">
        <v>26</v>
      </c>
      <c r="G1817" s="4">
        <v>1</v>
      </c>
      <c r="H1817" s="4" t="s">
        <v>77</v>
      </c>
      <c r="I1817" s="4" t="s">
        <v>69</v>
      </c>
      <c r="J1817" s="4" t="s">
        <v>66</v>
      </c>
      <c r="K1817" s="4">
        <v>0</v>
      </c>
      <c r="L1817" s="94">
        <v>-263829</v>
      </c>
      <c r="M1817" s="94">
        <v>0</v>
      </c>
    </row>
    <row r="1818" spans="3:13" x14ac:dyDescent="0.3">
      <c r="C1818" t="s">
        <v>61</v>
      </c>
      <c r="D1818" t="s">
        <v>67</v>
      </c>
      <c r="E1818" t="s">
        <v>68</v>
      </c>
      <c r="F1818" t="s">
        <v>26</v>
      </c>
      <c r="G1818" s="4">
        <v>4</v>
      </c>
      <c r="H1818" s="4" t="s">
        <v>16</v>
      </c>
      <c r="I1818" s="4" t="s">
        <v>69</v>
      </c>
      <c r="J1818" s="4" t="s">
        <v>66</v>
      </c>
      <c r="K1818" s="4">
        <v>0</v>
      </c>
      <c r="L1818" s="94">
        <v>732000</v>
      </c>
      <c r="M1818" s="94">
        <v>2928000</v>
      </c>
    </row>
    <row r="1819" spans="3:13" x14ac:dyDescent="0.3">
      <c r="C1819" t="s">
        <v>61</v>
      </c>
      <c r="D1819" t="s">
        <v>67</v>
      </c>
      <c r="E1819" t="s">
        <v>68</v>
      </c>
      <c r="F1819" t="s">
        <v>26</v>
      </c>
      <c r="G1819" s="4">
        <v>7</v>
      </c>
      <c r="H1819" s="4" t="s">
        <v>78</v>
      </c>
      <c r="I1819" s="4" t="s">
        <v>69</v>
      </c>
      <c r="J1819" s="4" t="s">
        <v>66</v>
      </c>
      <c r="K1819" s="4">
        <v>0</v>
      </c>
      <c r="L1819" s="94">
        <v>163707</v>
      </c>
      <c r="M1819" s="94">
        <v>1145949</v>
      </c>
    </row>
    <row r="1820" spans="3:13" x14ac:dyDescent="0.3">
      <c r="C1820" t="s">
        <v>61</v>
      </c>
      <c r="D1820" t="s">
        <v>67</v>
      </c>
      <c r="E1820" t="s">
        <v>68</v>
      </c>
      <c r="F1820" t="s">
        <v>26</v>
      </c>
      <c r="G1820" s="4">
        <v>12</v>
      </c>
      <c r="H1820" s="4" t="s">
        <v>82</v>
      </c>
      <c r="I1820" s="4" t="s">
        <v>69</v>
      </c>
      <c r="J1820" s="4" t="s">
        <v>66</v>
      </c>
      <c r="K1820" s="4">
        <v>0</v>
      </c>
      <c r="L1820" s="94">
        <v>12751483</v>
      </c>
      <c r="M1820" s="94">
        <v>153017796</v>
      </c>
    </row>
    <row r="1821" spans="3:13" x14ac:dyDescent="0.3">
      <c r="C1821" t="s">
        <v>61</v>
      </c>
      <c r="D1821" t="s">
        <v>67</v>
      </c>
      <c r="E1821" t="s">
        <v>63</v>
      </c>
      <c r="F1821" t="s">
        <v>26</v>
      </c>
      <c r="G1821" s="4">
        <v>0</v>
      </c>
      <c r="H1821" s="4" t="s">
        <v>14</v>
      </c>
      <c r="I1821" s="4" t="s">
        <v>69</v>
      </c>
      <c r="J1821" s="4" t="s">
        <v>66</v>
      </c>
      <c r="K1821" s="4">
        <v>0</v>
      </c>
      <c r="L1821" s="94">
        <v>-1374949</v>
      </c>
      <c r="M1821" s="94">
        <v>0</v>
      </c>
    </row>
    <row r="1822" spans="3:13" x14ac:dyDescent="0.3">
      <c r="C1822" t="s">
        <v>61</v>
      </c>
      <c r="D1822" t="s">
        <v>62</v>
      </c>
      <c r="E1822" t="s">
        <v>68</v>
      </c>
      <c r="F1822" t="s">
        <v>25</v>
      </c>
      <c r="G1822" s="4">
        <v>34</v>
      </c>
      <c r="I1822" s="4" t="s">
        <v>69</v>
      </c>
      <c r="J1822" s="4" t="s">
        <v>66</v>
      </c>
      <c r="K1822" s="4">
        <v>0</v>
      </c>
      <c r="L1822" s="94">
        <v>119066</v>
      </c>
      <c r="M1822" s="94">
        <v>4048244</v>
      </c>
    </row>
    <row r="1823" spans="3:13" x14ac:dyDescent="0.3">
      <c r="C1823" t="s">
        <v>61</v>
      </c>
      <c r="D1823" t="s">
        <v>67</v>
      </c>
      <c r="E1823" t="s">
        <v>68</v>
      </c>
      <c r="F1823" t="s">
        <v>25</v>
      </c>
      <c r="G1823" s="4">
        <v>7</v>
      </c>
      <c r="H1823" s="4" t="s">
        <v>76</v>
      </c>
      <c r="I1823" s="4" t="s">
        <v>69</v>
      </c>
      <c r="J1823" s="4" t="s">
        <v>66</v>
      </c>
      <c r="K1823" s="4">
        <v>0</v>
      </c>
      <c r="L1823" s="94">
        <v>36942712</v>
      </c>
      <c r="M1823" s="94">
        <v>258598984</v>
      </c>
    </row>
    <row r="1824" spans="3:13" x14ac:dyDescent="0.3">
      <c r="C1824" t="s">
        <v>61</v>
      </c>
      <c r="D1824" t="s">
        <v>62</v>
      </c>
      <c r="E1824" t="s">
        <v>68</v>
      </c>
      <c r="F1824" t="s">
        <v>24</v>
      </c>
      <c r="G1824" s="4">
        <v>15</v>
      </c>
      <c r="I1824" s="4" t="s">
        <v>69</v>
      </c>
      <c r="J1824" s="4" t="s">
        <v>73</v>
      </c>
      <c r="K1824" s="4">
        <v>1</v>
      </c>
      <c r="L1824" s="94">
        <v>1117</v>
      </c>
      <c r="M1824" s="94">
        <v>16755</v>
      </c>
    </row>
    <row r="1825" spans="3:13" x14ac:dyDescent="0.3">
      <c r="C1825" t="s">
        <v>61</v>
      </c>
      <c r="D1825" t="s">
        <v>62</v>
      </c>
      <c r="E1825" t="s">
        <v>63</v>
      </c>
      <c r="F1825" t="s">
        <v>24</v>
      </c>
      <c r="G1825" s="4">
        <v>25</v>
      </c>
      <c r="I1825" s="4" t="s">
        <v>65</v>
      </c>
      <c r="J1825" s="4" t="s">
        <v>66</v>
      </c>
      <c r="K1825" s="4">
        <v>1</v>
      </c>
      <c r="L1825" s="94">
        <v>-3352</v>
      </c>
      <c r="M1825" s="94">
        <v>0</v>
      </c>
    </row>
    <row r="1826" spans="3:13" x14ac:dyDescent="0.3">
      <c r="C1826" t="s">
        <v>71</v>
      </c>
      <c r="D1826" t="s">
        <v>67</v>
      </c>
      <c r="E1826" t="s">
        <v>68</v>
      </c>
      <c r="F1826" t="s">
        <v>25</v>
      </c>
      <c r="G1826" s="4">
        <v>10</v>
      </c>
      <c r="H1826" s="4" t="s">
        <v>83</v>
      </c>
      <c r="I1826" s="4" t="s">
        <v>69</v>
      </c>
      <c r="J1826" s="4" t="s">
        <v>66</v>
      </c>
      <c r="K1826" s="4">
        <v>0</v>
      </c>
      <c r="L1826" s="94">
        <v>1851559</v>
      </c>
      <c r="M1826" s="94">
        <v>18515590</v>
      </c>
    </row>
    <row r="1827" spans="3:13" x14ac:dyDescent="0.3">
      <c r="C1827" t="s">
        <v>71</v>
      </c>
      <c r="D1827" t="s">
        <v>67</v>
      </c>
      <c r="E1827" t="s">
        <v>68</v>
      </c>
      <c r="F1827" t="s">
        <v>72</v>
      </c>
      <c r="G1827" s="4">
        <v>3</v>
      </c>
      <c r="H1827" s="4" t="s">
        <v>18</v>
      </c>
      <c r="I1827" s="4" t="s">
        <v>69</v>
      </c>
      <c r="J1827" s="4" t="s">
        <v>66</v>
      </c>
      <c r="K1827" s="4">
        <v>0</v>
      </c>
      <c r="L1827" s="94">
        <v>111473</v>
      </c>
      <c r="M1827" s="94">
        <v>334419</v>
      </c>
    </row>
    <row r="1828" spans="3:13" x14ac:dyDescent="0.3">
      <c r="C1828" t="s">
        <v>61</v>
      </c>
      <c r="D1828" t="s">
        <v>67</v>
      </c>
      <c r="E1828" t="s">
        <v>63</v>
      </c>
      <c r="F1828" t="s">
        <v>26</v>
      </c>
      <c r="G1828" s="4">
        <v>7</v>
      </c>
      <c r="H1828" s="4" t="s">
        <v>74</v>
      </c>
      <c r="I1828" s="4" t="s">
        <v>69</v>
      </c>
      <c r="J1828" s="4" t="s">
        <v>66</v>
      </c>
      <c r="K1828" s="4">
        <v>0</v>
      </c>
      <c r="L1828" s="94">
        <v>-53060</v>
      </c>
      <c r="M1828" s="94">
        <v>0</v>
      </c>
    </row>
    <row r="1829" spans="3:13" x14ac:dyDescent="0.3">
      <c r="C1829" t="s">
        <v>71</v>
      </c>
      <c r="D1829" t="s">
        <v>67</v>
      </c>
      <c r="E1829" t="s">
        <v>63</v>
      </c>
      <c r="F1829" t="s">
        <v>72</v>
      </c>
      <c r="G1829" s="4">
        <v>2</v>
      </c>
      <c r="H1829" s="4" t="s">
        <v>14</v>
      </c>
      <c r="I1829" s="4" t="s">
        <v>69</v>
      </c>
      <c r="J1829" s="4" t="s">
        <v>66</v>
      </c>
      <c r="K1829" s="4">
        <v>0</v>
      </c>
      <c r="L1829" s="94">
        <v>-106609</v>
      </c>
      <c r="M1829" s="94">
        <v>0</v>
      </c>
    </row>
    <row r="1830" spans="3:13" x14ac:dyDescent="0.3">
      <c r="C1830" t="s">
        <v>61</v>
      </c>
      <c r="D1830" t="s">
        <v>67</v>
      </c>
      <c r="E1830" t="s">
        <v>68</v>
      </c>
      <c r="F1830" t="s">
        <v>26</v>
      </c>
      <c r="G1830" s="4">
        <v>5</v>
      </c>
      <c r="H1830" s="4" t="s">
        <v>17</v>
      </c>
      <c r="I1830" s="4" t="s">
        <v>69</v>
      </c>
      <c r="J1830" s="4" t="s">
        <v>66</v>
      </c>
      <c r="K1830" s="4">
        <v>0</v>
      </c>
      <c r="L1830" s="94">
        <v>5861616</v>
      </c>
      <c r="M1830" s="94">
        <v>29308080</v>
      </c>
    </row>
    <row r="1831" spans="3:13" x14ac:dyDescent="0.3">
      <c r="C1831" t="s">
        <v>61</v>
      </c>
      <c r="D1831" t="s">
        <v>67</v>
      </c>
      <c r="E1831" t="s">
        <v>63</v>
      </c>
      <c r="F1831" t="s">
        <v>25</v>
      </c>
      <c r="G1831" s="4">
        <v>8</v>
      </c>
      <c r="H1831" s="4" t="s">
        <v>75</v>
      </c>
      <c r="I1831" s="4" t="s">
        <v>69</v>
      </c>
      <c r="J1831" s="4" t="s">
        <v>66</v>
      </c>
      <c r="K1831" s="4">
        <v>0</v>
      </c>
      <c r="L1831" s="94">
        <v>-81494</v>
      </c>
      <c r="M1831" s="94">
        <v>0</v>
      </c>
    </row>
    <row r="1832" spans="3:13" x14ac:dyDescent="0.3">
      <c r="C1832" t="s">
        <v>70</v>
      </c>
      <c r="D1832" t="s">
        <v>67</v>
      </c>
      <c r="E1832" t="s">
        <v>63</v>
      </c>
      <c r="F1832" t="s">
        <v>25</v>
      </c>
      <c r="G1832" s="4">
        <v>1</v>
      </c>
      <c r="H1832" s="4" t="s">
        <v>77</v>
      </c>
      <c r="I1832" s="4" t="s">
        <v>69</v>
      </c>
      <c r="J1832" s="4" t="s">
        <v>66</v>
      </c>
      <c r="K1832" s="4">
        <v>0</v>
      </c>
      <c r="L1832" s="94">
        <v>-85</v>
      </c>
      <c r="M1832" s="94">
        <v>0</v>
      </c>
    </row>
    <row r="1833" spans="3:13" x14ac:dyDescent="0.3">
      <c r="C1833" t="s">
        <v>61</v>
      </c>
      <c r="D1833" t="s">
        <v>67</v>
      </c>
      <c r="E1833" t="s">
        <v>63</v>
      </c>
      <c r="F1833" t="s">
        <v>25</v>
      </c>
      <c r="G1833" s="4">
        <v>1</v>
      </c>
      <c r="H1833" s="4" t="s">
        <v>81</v>
      </c>
      <c r="I1833" s="4" t="s">
        <v>69</v>
      </c>
      <c r="J1833" s="4" t="s">
        <v>66</v>
      </c>
      <c r="K1833" s="4">
        <v>0</v>
      </c>
      <c r="L1833" s="94">
        <v>-156</v>
      </c>
      <c r="M1833" s="94">
        <v>0</v>
      </c>
    </row>
    <row r="1834" spans="3:13" x14ac:dyDescent="0.3">
      <c r="C1834" t="s">
        <v>61</v>
      </c>
      <c r="D1834" t="s">
        <v>67</v>
      </c>
      <c r="E1834" t="s">
        <v>68</v>
      </c>
      <c r="F1834" t="s">
        <v>25</v>
      </c>
      <c r="G1834" s="4">
        <v>-1</v>
      </c>
      <c r="H1834" s="4" t="s">
        <v>79</v>
      </c>
      <c r="I1834" s="4" t="s">
        <v>69</v>
      </c>
      <c r="J1834" s="4" t="s">
        <v>66</v>
      </c>
      <c r="K1834" s="4">
        <v>0</v>
      </c>
      <c r="L1834" s="94">
        <v>1213440</v>
      </c>
      <c r="M1834" s="94">
        <v>0</v>
      </c>
    </row>
    <row r="1835" spans="3:13" x14ac:dyDescent="0.3">
      <c r="C1835" t="s">
        <v>61</v>
      </c>
      <c r="D1835" t="s">
        <v>67</v>
      </c>
      <c r="E1835" t="s">
        <v>63</v>
      </c>
      <c r="F1835" t="s">
        <v>26</v>
      </c>
      <c r="G1835" s="4">
        <v>-1</v>
      </c>
      <c r="H1835" s="4" t="s">
        <v>13</v>
      </c>
      <c r="I1835" s="4" t="s">
        <v>69</v>
      </c>
      <c r="J1835" s="4" t="s">
        <v>66</v>
      </c>
      <c r="K1835" s="4">
        <v>0</v>
      </c>
      <c r="L1835" s="94">
        <v>-153</v>
      </c>
      <c r="M1835" s="94">
        <v>0</v>
      </c>
    </row>
    <row r="1836" spans="3:13" x14ac:dyDescent="0.3">
      <c r="C1836" t="s">
        <v>61</v>
      </c>
      <c r="D1836" t="s">
        <v>67</v>
      </c>
      <c r="E1836" t="s">
        <v>68</v>
      </c>
      <c r="F1836" t="s">
        <v>72</v>
      </c>
      <c r="G1836" s="4">
        <v>6</v>
      </c>
      <c r="H1836" s="4" t="s">
        <v>12</v>
      </c>
      <c r="I1836" s="4" t="s">
        <v>69</v>
      </c>
      <c r="J1836" s="4" t="s">
        <v>66</v>
      </c>
      <c r="K1836" s="4">
        <v>0</v>
      </c>
      <c r="L1836" s="94">
        <v>79625</v>
      </c>
      <c r="M1836" s="94">
        <v>477750</v>
      </c>
    </row>
    <row r="1837" spans="3:13" x14ac:dyDescent="0.3">
      <c r="C1837" t="s">
        <v>71</v>
      </c>
      <c r="D1837" t="s">
        <v>67</v>
      </c>
      <c r="E1837" t="s">
        <v>68</v>
      </c>
      <c r="F1837" t="s">
        <v>26</v>
      </c>
      <c r="G1837" s="4">
        <v>0</v>
      </c>
      <c r="H1837" s="4" t="s">
        <v>76</v>
      </c>
      <c r="I1837" s="4" t="s">
        <v>69</v>
      </c>
      <c r="J1837" s="4" t="s">
        <v>66</v>
      </c>
      <c r="K1837" s="4">
        <v>0</v>
      </c>
      <c r="L1837" s="94">
        <v>312731</v>
      </c>
      <c r="M1837" s="94">
        <v>0</v>
      </c>
    </row>
    <row r="1838" spans="3:13" x14ac:dyDescent="0.3">
      <c r="C1838" t="s">
        <v>70</v>
      </c>
      <c r="D1838" t="s">
        <v>67</v>
      </c>
      <c r="E1838" t="s">
        <v>63</v>
      </c>
      <c r="F1838" t="s">
        <v>72</v>
      </c>
      <c r="G1838" s="4">
        <v>2</v>
      </c>
      <c r="H1838" s="4" t="s">
        <v>14</v>
      </c>
      <c r="I1838" s="4" t="s">
        <v>69</v>
      </c>
      <c r="J1838" s="4" t="s">
        <v>73</v>
      </c>
      <c r="K1838" s="4">
        <v>1</v>
      </c>
      <c r="L1838" s="94">
        <v>-68239</v>
      </c>
      <c r="M1838" s="94">
        <v>0</v>
      </c>
    </row>
    <row r="1839" spans="3:13" x14ac:dyDescent="0.3">
      <c r="C1839" t="s">
        <v>70</v>
      </c>
      <c r="D1839" t="s">
        <v>62</v>
      </c>
      <c r="E1839" t="s">
        <v>68</v>
      </c>
      <c r="F1839" t="s">
        <v>24</v>
      </c>
      <c r="G1839" s="4">
        <v>40</v>
      </c>
      <c r="I1839" s="4" t="s">
        <v>65</v>
      </c>
      <c r="J1839" s="4" t="s">
        <v>66</v>
      </c>
      <c r="K1839" s="4">
        <v>1</v>
      </c>
      <c r="L1839" s="94">
        <v>953897</v>
      </c>
      <c r="M1839" s="94">
        <v>38155880</v>
      </c>
    </row>
    <row r="1840" spans="3:13" x14ac:dyDescent="0.3">
      <c r="C1840" t="s">
        <v>71</v>
      </c>
      <c r="D1840" t="s">
        <v>67</v>
      </c>
      <c r="E1840" t="s">
        <v>68</v>
      </c>
      <c r="F1840" t="s">
        <v>72</v>
      </c>
      <c r="G1840" s="4">
        <v>1</v>
      </c>
      <c r="H1840" s="4" t="s">
        <v>75</v>
      </c>
      <c r="I1840" s="4" t="s">
        <v>69</v>
      </c>
      <c r="J1840" s="4" t="s">
        <v>66</v>
      </c>
      <c r="K1840" s="4">
        <v>0</v>
      </c>
      <c r="L1840" s="94">
        <v>10320</v>
      </c>
      <c r="M1840" s="94">
        <v>10320</v>
      </c>
    </row>
    <row r="1841" spans="3:13" x14ac:dyDescent="0.3">
      <c r="C1841" t="s">
        <v>70</v>
      </c>
      <c r="D1841" t="s">
        <v>62</v>
      </c>
      <c r="E1841" t="s">
        <v>68</v>
      </c>
      <c r="F1841" t="s">
        <v>25</v>
      </c>
      <c r="G1841" s="4">
        <v>26</v>
      </c>
      <c r="I1841" s="4" t="s">
        <v>69</v>
      </c>
      <c r="J1841" s="4" t="s">
        <v>66</v>
      </c>
      <c r="K1841" s="4">
        <v>0</v>
      </c>
      <c r="L1841" s="94">
        <v>426957</v>
      </c>
      <c r="M1841" s="94">
        <v>11100882</v>
      </c>
    </row>
    <row r="1842" spans="3:13" x14ac:dyDescent="0.3">
      <c r="C1842" t="s">
        <v>71</v>
      </c>
      <c r="D1842" t="s">
        <v>67</v>
      </c>
      <c r="E1842" t="s">
        <v>63</v>
      </c>
      <c r="F1842" t="s">
        <v>26</v>
      </c>
      <c r="G1842" s="4">
        <v>-4</v>
      </c>
      <c r="H1842" s="4" t="s">
        <v>14</v>
      </c>
      <c r="I1842" s="4" t="s">
        <v>69</v>
      </c>
      <c r="J1842" s="4" t="s">
        <v>66</v>
      </c>
      <c r="K1842" s="4">
        <v>0</v>
      </c>
      <c r="L1842" s="94">
        <v>-6539288</v>
      </c>
      <c r="M1842" s="94">
        <v>0</v>
      </c>
    </row>
    <row r="1843" spans="3:13" x14ac:dyDescent="0.3">
      <c r="C1843" t="s">
        <v>61</v>
      </c>
      <c r="D1843" t="s">
        <v>67</v>
      </c>
      <c r="E1843" t="s">
        <v>63</v>
      </c>
      <c r="F1843" t="s">
        <v>72</v>
      </c>
      <c r="G1843" s="4">
        <v>1</v>
      </c>
      <c r="H1843" s="4" t="s">
        <v>86</v>
      </c>
      <c r="I1843" s="4" t="s">
        <v>69</v>
      </c>
      <c r="J1843" s="4" t="s">
        <v>66</v>
      </c>
      <c r="K1843" s="4">
        <v>0</v>
      </c>
      <c r="L1843" s="94">
        <v>-19</v>
      </c>
      <c r="M1843" s="94">
        <v>0</v>
      </c>
    </row>
    <row r="1844" spans="3:13" x14ac:dyDescent="0.3">
      <c r="C1844" t="s">
        <v>70</v>
      </c>
      <c r="D1844" t="s">
        <v>62</v>
      </c>
      <c r="E1844" t="s">
        <v>68</v>
      </c>
      <c r="F1844" t="s">
        <v>24</v>
      </c>
      <c r="G1844" s="4">
        <v>19</v>
      </c>
      <c r="I1844" s="4" t="s">
        <v>69</v>
      </c>
      <c r="J1844" s="4" t="s">
        <v>66</v>
      </c>
      <c r="K1844" s="4">
        <v>1</v>
      </c>
      <c r="L1844" s="94">
        <v>215340</v>
      </c>
      <c r="M1844" s="94">
        <v>4091460</v>
      </c>
    </row>
    <row r="1845" spans="3:13" x14ac:dyDescent="0.3">
      <c r="C1845" t="s">
        <v>61</v>
      </c>
      <c r="D1845" t="s">
        <v>67</v>
      </c>
      <c r="E1845" t="s">
        <v>68</v>
      </c>
      <c r="F1845" t="s">
        <v>25</v>
      </c>
      <c r="G1845" s="4">
        <v>19</v>
      </c>
      <c r="H1845" s="4" t="s">
        <v>76</v>
      </c>
      <c r="I1845" s="4" t="s">
        <v>69</v>
      </c>
      <c r="J1845" s="4" t="s">
        <v>66</v>
      </c>
      <c r="K1845" s="4">
        <v>0</v>
      </c>
      <c r="L1845" s="94">
        <v>649886</v>
      </c>
      <c r="M1845" s="94">
        <v>12347834</v>
      </c>
    </row>
    <row r="1846" spans="3:13" x14ac:dyDescent="0.3">
      <c r="C1846" t="s">
        <v>70</v>
      </c>
      <c r="D1846" t="s">
        <v>67</v>
      </c>
      <c r="E1846" t="s">
        <v>68</v>
      </c>
      <c r="F1846" t="s">
        <v>26</v>
      </c>
      <c r="G1846" s="4">
        <v>-1</v>
      </c>
      <c r="H1846" s="4" t="s">
        <v>18</v>
      </c>
      <c r="I1846" s="4" t="s">
        <v>69</v>
      </c>
      <c r="J1846" s="4" t="s">
        <v>73</v>
      </c>
      <c r="K1846" s="4">
        <v>1</v>
      </c>
      <c r="L1846" s="94">
        <v>5784141</v>
      </c>
      <c r="M1846" s="94">
        <v>0</v>
      </c>
    </row>
    <row r="1847" spans="3:13" x14ac:dyDescent="0.3">
      <c r="C1847" t="s">
        <v>70</v>
      </c>
      <c r="D1847" t="s">
        <v>67</v>
      </c>
      <c r="E1847" t="s">
        <v>68</v>
      </c>
      <c r="F1847" t="s">
        <v>25</v>
      </c>
      <c r="G1847" s="4">
        <v>11</v>
      </c>
      <c r="H1847" s="4" t="s">
        <v>18</v>
      </c>
      <c r="I1847" s="4" t="s">
        <v>69</v>
      </c>
      <c r="J1847" s="4" t="s">
        <v>66</v>
      </c>
      <c r="K1847" s="4">
        <v>0</v>
      </c>
      <c r="L1847" s="94">
        <v>1222160</v>
      </c>
      <c r="M1847" s="94">
        <v>13443760</v>
      </c>
    </row>
    <row r="1848" spans="3:13" x14ac:dyDescent="0.3">
      <c r="C1848" t="s">
        <v>61</v>
      </c>
      <c r="D1848" t="s">
        <v>67</v>
      </c>
      <c r="E1848" t="s">
        <v>68</v>
      </c>
      <c r="F1848" t="s">
        <v>26</v>
      </c>
      <c r="G1848" s="4">
        <v>0</v>
      </c>
      <c r="H1848" s="4" t="s">
        <v>14</v>
      </c>
      <c r="I1848" s="4" t="s">
        <v>69</v>
      </c>
      <c r="J1848" s="4" t="s">
        <v>66</v>
      </c>
      <c r="K1848" s="4">
        <v>0</v>
      </c>
      <c r="L1848" s="94">
        <v>466805223</v>
      </c>
      <c r="M1848" s="94">
        <v>0</v>
      </c>
    </row>
    <row r="1849" spans="3:13" x14ac:dyDescent="0.3">
      <c r="C1849" t="s">
        <v>71</v>
      </c>
      <c r="D1849" t="s">
        <v>67</v>
      </c>
      <c r="E1849" t="s">
        <v>68</v>
      </c>
      <c r="F1849" t="s">
        <v>25</v>
      </c>
      <c r="G1849" s="4">
        <v>8</v>
      </c>
      <c r="H1849" s="4" t="s">
        <v>75</v>
      </c>
      <c r="I1849" s="4" t="s">
        <v>69</v>
      </c>
      <c r="J1849" s="4" t="s">
        <v>66</v>
      </c>
      <c r="K1849" s="4">
        <v>0</v>
      </c>
      <c r="L1849" s="94">
        <v>381041</v>
      </c>
      <c r="M1849" s="94">
        <v>3048328</v>
      </c>
    </row>
    <row r="1850" spans="3:13" x14ac:dyDescent="0.3">
      <c r="C1850" t="s">
        <v>61</v>
      </c>
      <c r="D1850" t="s">
        <v>67</v>
      </c>
      <c r="E1850" t="s">
        <v>63</v>
      </c>
      <c r="F1850" t="s">
        <v>26</v>
      </c>
      <c r="G1850" s="4">
        <v>1</v>
      </c>
      <c r="H1850" s="4" t="s">
        <v>82</v>
      </c>
      <c r="I1850" s="4" t="s">
        <v>69</v>
      </c>
      <c r="J1850" s="4" t="s">
        <v>66</v>
      </c>
      <c r="K1850" s="4">
        <v>0</v>
      </c>
      <c r="L1850" s="94">
        <v>-56224</v>
      </c>
      <c r="M1850" s="94">
        <v>0</v>
      </c>
    </row>
    <row r="1851" spans="3:13" x14ac:dyDescent="0.3">
      <c r="C1851" t="s">
        <v>70</v>
      </c>
      <c r="D1851" t="s">
        <v>67</v>
      </c>
      <c r="E1851" t="s">
        <v>63</v>
      </c>
      <c r="F1851" t="s">
        <v>25</v>
      </c>
      <c r="G1851" s="4">
        <v>-4</v>
      </c>
      <c r="H1851" s="4" t="s">
        <v>79</v>
      </c>
      <c r="I1851" s="4" t="s">
        <v>65</v>
      </c>
      <c r="J1851" s="4" t="s">
        <v>66</v>
      </c>
      <c r="K1851" s="4">
        <v>1</v>
      </c>
      <c r="L1851" s="94">
        <v>-44</v>
      </c>
      <c r="M1851" s="94">
        <v>0</v>
      </c>
    </row>
    <row r="1852" spans="3:13" x14ac:dyDescent="0.3">
      <c r="C1852" t="s">
        <v>61</v>
      </c>
      <c r="D1852" t="s">
        <v>62</v>
      </c>
      <c r="E1852" t="s">
        <v>68</v>
      </c>
      <c r="F1852" t="s">
        <v>24</v>
      </c>
      <c r="G1852" s="4">
        <v>40</v>
      </c>
      <c r="I1852" s="4" t="s">
        <v>69</v>
      </c>
      <c r="J1852" s="4" t="s">
        <v>66</v>
      </c>
      <c r="K1852" s="4">
        <v>0</v>
      </c>
      <c r="L1852" s="94">
        <v>379724208</v>
      </c>
      <c r="M1852" s="94">
        <v>15188968320</v>
      </c>
    </row>
    <row r="1853" spans="3:13" x14ac:dyDescent="0.3">
      <c r="C1853" t="s">
        <v>71</v>
      </c>
      <c r="D1853" t="s">
        <v>67</v>
      </c>
      <c r="E1853" t="s">
        <v>68</v>
      </c>
      <c r="F1853" t="s">
        <v>25</v>
      </c>
      <c r="G1853" s="4">
        <v>10</v>
      </c>
      <c r="H1853" s="4" t="s">
        <v>75</v>
      </c>
      <c r="I1853" s="4" t="s">
        <v>69</v>
      </c>
      <c r="J1853" s="4" t="s">
        <v>66</v>
      </c>
      <c r="K1853" s="4">
        <v>0</v>
      </c>
      <c r="L1853" s="94">
        <v>492084</v>
      </c>
      <c r="M1853" s="94">
        <v>4920840</v>
      </c>
    </row>
    <row r="1854" spans="3:13" x14ac:dyDescent="0.3">
      <c r="C1854" t="s">
        <v>61</v>
      </c>
      <c r="D1854" t="s">
        <v>67</v>
      </c>
      <c r="E1854" t="s">
        <v>68</v>
      </c>
      <c r="F1854" t="s">
        <v>25</v>
      </c>
      <c r="G1854" s="4">
        <v>1</v>
      </c>
      <c r="H1854" s="4" t="s">
        <v>64</v>
      </c>
      <c r="I1854" s="4" t="s">
        <v>69</v>
      </c>
      <c r="J1854" s="4" t="s">
        <v>66</v>
      </c>
      <c r="K1854" s="4">
        <v>0</v>
      </c>
      <c r="L1854" s="94">
        <v>73550</v>
      </c>
      <c r="M1854" s="94">
        <v>73550</v>
      </c>
    </row>
    <row r="1855" spans="3:13" x14ac:dyDescent="0.3">
      <c r="C1855" t="s">
        <v>70</v>
      </c>
      <c r="D1855" t="s">
        <v>62</v>
      </c>
      <c r="E1855" t="s">
        <v>63</v>
      </c>
      <c r="F1855" t="s">
        <v>24</v>
      </c>
      <c r="G1855" s="4">
        <v>30</v>
      </c>
      <c r="I1855" s="4" t="s">
        <v>69</v>
      </c>
      <c r="J1855" s="4" t="s">
        <v>66</v>
      </c>
      <c r="K1855" s="4">
        <v>1</v>
      </c>
      <c r="L1855" s="94">
        <v>-7856</v>
      </c>
      <c r="M1855" s="94">
        <v>0</v>
      </c>
    </row>
    <row r="1856" spans="3:13" x14ac:dyDescent="0.3">
      <c r="C1856" t="s">
        <v>70</v>
      </c>
      <c r="D1856" t="s">
        <v>67</v>
      </c>
      <c r="E1856" t="s">
        <v>63</v>
      </c>
      <c r="F1856" t="s">
        <v>26</v>
      </c>
      <c r="G1856" s="4">
        <v>7</v>
      </c>
      <c r="H1856" s="4" t="s">
        <v>18</v>
      </c>
      <c r="I1856" s="4" t="s">
        <v>69</v>
      </c>
      <c r="J1856" s="4" t="s">
        <v>73</v>
      </c>
      <c r="K1856" s="4">
        <v>1</v>
      </c>
      <c r="L1856" s="94">
        <v>-3911</v>
      </c>
      <c r="M1856" s="94">
        <v>0</v>
      </c>
    </row>
    <row r="1857" spans="3:13" x14ac:dyDescent="0.3">
      <c r="C1857" t="s">
        <v>61</v>
      </c>
      <c r="D1857" t="s">
        <v>62</v>
      </c>
      <c r="E1857" t="s">
        <v>68</v>
      </c>
      <c r="F1857" t="s">
        <v>24</v>
      </c>
      <c r="G1857" s="4">
        <v>18</v>
      </c>
      <c r="I1857" s="4" t="s">
        <v>69</v>
      </c>
      <c r="J1857" s="4" t="s">
        <v>66</v>
      </c>
      <c r="K1857" s="4">
        <v>1</v>
      </c>
      <c r="L1857" s="94">
        <v>1780839</v>
      </c>
      <c r="M1857" s="94">
        <v>32055102</v>
      </c>
    </row>
    <row r="1858" spans="3:13" x14ac:dyDescent="0.3">
      <c r="C1858" t="s">
        <v>71</v>
      </c>
      <c r="D1858" t="s">
        <v>62</v>
      </c>
      <c r="E1858" t="s">
        <v>63</v>
      </c>
      <c r="F1858" t="s">
        <v>25</v>
      </c>
      <c r="G1858" s="4">
        <v>-4</v>
      </c>
      <c r="I1858" s="4" t="s">
        <v>69</v>
      </c>
      <c r="J1858" s="4" t="s">
        <v>66</v>
      </c>
      <c r="K1858" s="4">
        <v>1</v>
      </c>
      <c r="L1858" s="94">
        <v>-5981</v>
      </c>
      <c r="M1858" s="94">
        <v>0</v>
      </c>
    </row>
    <row r="1859" spans="3:13" x14ac:dyDescent="0.3">
      <c r="C1859" t="s">
        <v>61</v>
      </c>
      <c r="D1859" t="s">
        <v>67</v>
      </c>
      <c r="E1859" t="s">
        <v>63</v>
      </c>
      <c r="F1859" t="s">
        <v>25</v>
      </c>
      <c r="G1859" s="4">
        <v>8</v>
      </c>
      <c r="H1859" s="4" t="s">
        <v>83</v>
      </c>
      <c r="I1859" s="4" t="s">
        <v>69</v>
      </c>
      <c r="J1859" s="4" t="s">
        <v>66</v>
      </c>
      <c r="K1859" s="4">
        <v>0</v>
      </c>
      <c r="L1859" s="94">
        <v>-6072</v>
      </c>
      <c r="M1859" s="94">
        <v>0</v>
      </c>
    </row>
    <row r="1860" spans="3:13" x14ac:dyDescent="0.3">
      <c r="C1860" t="s">
        <v>61</v>
      </c>
      <c r="D1860" t="s">
        <v>62</v>
      </c>
      <c r="E1860" t="s">
        <v>63</v>
      </c>
      <c r="F1860" t="s">
        <v>24</v>
      </c>
      <c r="G1860" s="4">
        <v>22</v>
      </c>
      <c r="I1860" s="4" t="s">
        <v>69</v>
      </c>
      <c r="J1860" s="4" t="s">
        <v>66</v>
      </c>
      <c r="K1860" s="4">
        <v>1</v>
      </c>
      <c r="L1860" s="94">
        <v>-3909</v>
      </c>
      <c r="M1860" s="94">
        <v>0</v>
      </c>
    </row>
    <row r="1861" spans="3:13" x14ac:dyDescent="0.3">
      <c r="C1861" t="s">
        <v>70</v>
      </c>
      <c r="D1861" t="s">
        <v>67</v>
      </c>
      <c r="E1861" t="s">
        <v>63</v>
      </c>
      <c r="F1861" t="s">
        <v>25</v>
      </c>
      <c r="G1861" s="4">
        <v>-1</v>
      </c>
      <c r="H1861" s="4" t="s">
        <v>17</v>
      </c>
      <c r="I1861" s="4" t="s">
        <v>69</v>
      </c>
      <c r="J1861" s="4" t="s">
        <v>66</v>
      </c>
      <c r="K1861" s="4">
        <v>0</v>
      </c>
      <c r="L1861" s="94">
        <v>-17639</v>
      </c>
      <c r="M1861" s="94">
        <v>0</v>
      </c>
    </row>
    <row r="1862" spans="3:13" x14ac:dyDescent="0.3">
      <c r="C1862" t="s">
        <v>61</v>
      </c>
      <c r="D1862" t="s">
        <v>67</v>
      </c>
      <c r="E1862" t="s">
        <v>68</v>
      </c>
      <c r="F1862" t="s">
        <v>25</v>
      </c>
      <c r="G1862" s="4">
        <v>8</v>
      </c>
      <c r="H1862" s="4" t="s">
        <v>77</v>
      </c>
      <c r="I1862" s="4" t="s">
        <v>69</v>
      </c>
      <c r="J1862" s="4" t="s">
        <v>66</v>
      </c>
      <c r="K1862" s="4">
        <v>0</v>
      </c>
      <c r="L1862" s="94">
        <v>2119786</v>
      </c>
      <c r="M1862" s="94">
        <v>16958288</v>
      </c>
    </row>
    <row r="1863" spans="3:13" x14ac:dyDescent="0.3">
      <c r="C1863" t="s">
        <v>70</v>
      </c>
      <c r="D1863" t="s">
        <v>67</v>
      </c>
      <c r="E1863" t="s">
        <v>63</v>
      </c>
      <c r="F1863" t="s">
        <v>26</v>
      </c>
      <c r="G1863" s="4">
        <v>-1</v>
      </c>
      <c r="H1863" s="4" t="s">
        <v>82</v>
      </c>
      <c r="I1863" s="4" t="s">
        <v>69</v>
      </c>
      <c r="J1863" s="4" t="s">
        <v>73</v>
      </c>
      <c r="K1863" s="4">
        <v>1</v>
      </c>
      <c r="L1863" s="94">
        <v>-1879</v>
      </c>
      <c r="M1863" s="94">
        <v>0</v>
      </c>
    </row>
    <row r="1864" spans="3:13" x14ac:dyDescent="0.3">
      <c r="C1864" t="s">
        <v>70</v>
      </c>
      <c r="D1864" t="s">
        <v>67</v>
      </c>
      <c r="E1864" t="s">
        <v>63</v>
      </c>
      <c r="F1864" t="s">
        <v>25</v>
      </c>
      <c r="G1864" s="4">
        <v>15</v>
      </c>
      <c r="H1864" s="4" t="s">
        <v>75</v>
      </c>
      <c r="I1864" s="4" t="s">
        <v>69</v>
      </c>
      <c r="J1864" s="4" t="s">
        <v>66</v>
      </c>
      <c r="K1864" s="4">
        <v>0</v>
      </c>
      <c r="L1864" s="94">
        <v>-290496</v>
      </c>
      <c r="M1864" s="94">
        <v>0</v>
      </c>
    </row>
    <row r="1865" spans="3:13" x14ac:dyDescent="0.3">
      <c r="C1865" t="s">
        <v>70</v>
      </c>
      <c r="D1865" t="s">
        <v>62</v>
      </c>
      <c r="E1865" t="s">
        <v>63</v>
      </c>
      <c r="F1865" t="s">
        <v>25</v>
      </c>
      <c r="G1865" s="4">
        <v>3</v>
      </c>
      <c r="I1865" s="4" t="s">
        <v>69</v>
      </c>
      <c r="J1865" s="4" t="s">
        <v>66</v>
      </c>
      <c r="K1865" s="4">
        <v>0</v>
      </c>
      <c r="L1865" s="94">
        <v>-14884</v>
      </c>
      <c r="M1865" s="94">
        <v>0</v>
      </c>
    </row>
    <row r="1866" spans="3:13" x14ac:dyDescent="0.3">
      <c r="C1866" t="s">
        <v>61</v>
      </c>
      <c r="D1866" t="s">
        <v>62</v>
      </c>
      <c r="E1866" t="s">
        <v>68</v>
      </c>
      <c r="F1866" t="s">
        <v>24</v>
      </c>
      <c r="G1866" s="4">
        <v>42</v>
      </c>
      <c r="I1866" s="4" t="s">
        <v>65</v>
      </c>
      <c r="J1866" s="4" t="s">
        <v>66</v>
      </c>
      <c r="K1866" s="4">
        <v>1</v>
      </c>
      <c r="L1866" s="94">
        <v>393853</v>
      </c>
      <c r="M1866" s="94">
        <v>16541826</v>
      </c>
    </row>
    <row r="1867" spans="3:13" x14ac:dyDescent="0.3">
      <c r="C1867" t="s">
        <v>70</v>
      </c>
      <c r="D1867" t="s">
        <v>67</v>
      </c>
      <c r="E1867" t="s">
        <v>68</v>
      </c>
      <c r="F1867" t="s">
        <v>25</v>
      </c>
      <c r="G1867" s="4">
        <v>9</v>
      </c>
      <c r="H1867" s="4" t="s">
        <v>18</v>
      </c>
      <c r="I1867" s="4" t="s">
        <v>69</v>
      </c>
      <c r="J1867" s="4" t="s">
        <v>66</v>
      </c>
      <c r="K1867" s="4">
        <v>0</v>
      </c>
      <c r="L1867" s="94">
        <v>2695005</v>
      </c>
      <c r="M1867" s="94">
        <v>24255045</v>
      </c>
    </row>
    <row r="1868" spans="3:13" x14ac:dyDescent="0.3">
      <c r="C1868" t="s">
        <v>61</v>
      </c>
      <c r="D1868" t="s">
        <v>67</v>
      </c>
      <c r="E1868" t="s">
        <v>63</v>
      </c>
      <c r="F1868" t="s">
        <v>25</v>
      </c>
      <c r="G1868" s="4">
        <v>15</v>
      </c>
      <c r="H1868" s="4" t="s">
        <v>74</v>
      </c>
      <c r="I1868" s="4" t="s">
        <v>69</v>
      </c>
      <c r="J1868" s="4" t="s">
        <v>66</v>
      </c>
      <c r="K1868" s="4">
        <v>0</v>
      </c>
      <c r="L1868" s="94">
        <v>-11121</v>
      </c>
      <c r="M1868" s="94">
        <v>0</v>
      </c>
    </row>
    <row r="1869" spans="3:13" x14ac:dyDescent="0.3">
      <c r="C1869" t="s">
        <v>70</v>
      </c>
      <c r="D1869" t="s">
        <v>67</v>
      </c>
      <c r="E1869" t="s">
        <v>63</v>
      </c>
      <c r="F1869" t="s">
        <v>26</v>
      </c>
      <c r="G1869" s="4">
        <v>6</v>
      </c>
      <c r="H1869" s="4" t="s">
        <v>64</v>
      </c>
      <c r="I1869" s="4" t="s">
        <v>69</v>
      </c>
      <c r="J1869" s="4" t="s">
        <v>66</v>
      </c>
      <c r="K1869" s="4">
        <v>0</v>
      </c>
      <c r="L1869" s="94">
        <v>-23990</v>
      </c>
      <c r="M1869" s="94">
        <v>0</v>
      </c>
    </row>
    <row r="1870" spans="3:13" x14ac:dyDescent="0.3">
      <c r="C1870" t="s">
        <v>71</v>
      </c>
      <c r="D1870" t="s">
        <v>67</v>
      </c>
      <c r="E1870" t="s">
        <v>68</v>
      </c>
      <c r="F1870" t="s">
        <v>25</v>
      </c>
      <c r="G1870" s="4">
        <v>6</v>
      </c>
      <c r="H1870" s="4" t="s">
        <v>79</v>
      </c>
      <c r="I1870" s="4" t="s">
        <v>69</v>
      </c>
      <c r="J1870" s="4" t="s">
        <v>66</v>
      </c>
      <c r="K1870" s="4">
        <v>0</v>
      </c>
      <c r="L1870" s="94">
        <v>102226</v>
      </c>
      <c r="M1870" s="94">
        <v>613356</v>
      </c>
    </row>
    <row r="1871" spans="3:13" x14ac:dyDescent="0.3">
      <c r="C1871" t="s">
        <v>71</v>
      </c>
      <c r="D1871" t="s">
        <v>62</v>
      </c>
      <c r="E1871" t="s">
        <v>68</v>
      </c>
      <c r="F1871" t="s">
        <v>24</v>
      </c>
      <c r="G1871" s="4">
        <v>12</v>
      </c>
      <c r="I1871" s="4" t="s">
        <v>69</v>
      </c>
      <c r="J1871" s="4" t="s">
        <v>66</v>
      </c>
      <c r="K1871" s="4">
        <v>1</v>
      </c>
      <c r="L1871" s="94">
        <v>20315</v>
      </c>
      <c r="M1871" s="94">
        <v>243780</v>
      </c>
    </row>
    <row r="1872" spans="3:13" x14ac:dyDescent="0.3">
      <c r="C1872" t="s">
        <v>70</v>
      </c>
      <c r="D1872" t="s">
        <v>62</v>
      </c>
      <c r="E1872" t="s">
        <v>68</v>
      </c>
      <c r="F1872" t="s">
        <v>25</v>
      </c>
      <c r="G1872" s="4">
        <v>-4</v>
      </c>
      <c r="I1872" s="4" t="s">
        <v>69</v>
      </c>
      <c r="J1872" s="4" t="s">
        <v>66</v>
      </c>
      <c r="K1872" s="4">
        <v>1</v>
      </c>
      <c r="L1872" s="94">
        <v>839</v>
      </c>
      <c r="M1872" s="94">
        <v>0</v>
      </c>
    </row>
    <row r="1873" spans="3:13" x14ac:dyDescent="0.3">
      <c r="C1873" t="s">
        <v>70</v>
      </c>
      <c r="D1873" t="s">
        <v>67</v>
      </c>
      <c r="E1873" t="s">
        <v>63</v>
      </c>
      <c r="F1873" t="s">
        <v>25</v>
      </c>
      <c r="G1873" s="4">
        <v>7</v>
      </c>
      <c r="H1873" s="4" t="s">
        <v>14</v>
      </c>
      <c r="I1873" s="4" t="s">
        <v>69</v>
      </c>
      <c r="J1873" s="4" t="s">
        <v>66</v>
      </c>
      <c r="K1873" s="4">
        <v>1</v>
      </c>
      <c r="L1873" s="94">
        <v>-45186</v>
      </c>
      <c r="M1873" s="94">
        <v>0</v>
      </c>
    </row>
    <row r="1874" spans="3:13" x14ac:dyDescent="0.3">
      <c r="C1874" t="s">
        <v>70</v>
      </c>
      <c r="D1874" t="s">
        <v>67</v>
      </c>
      <c r="E1874" t="s">
        <v>63</v>
      </c>
      <c r="F1874" t="s">
        <v>72</v>
      </c>
      <c r="G1874" s="4">
        <v>1</v>
      </c>
      <c r="H1874" s="4" t="s">
        <v>79</v>
      </c>
      <c r="I1874" s="4" t="s">
        <v>69</v>
      </c>
      <c r="J1874" s="4" t="s">
        <v>66</v>
      </c>
      <c r="K1874" s="4">
        <v>0</v>
      </c>
      <c r="L1874" s="94">
        <v>-10755</v>
      </c>
      <c r="M1874" s="94">
        <v>0</v>
      </c>
    </row>
    <row r="1875" spans="3:13" x14ac:dyDescent="0.3">
      <c r="C1875" t="s">
        <v>61</v>
      </c>
      <c r="D1875" t="s">
        <v>67</v>
      </c>
      <c r="E1875" t="s">
        <v>63</v>
      </c>
      <c r="F1875" t="s">
        <v>25</v>
      </c>
      <c r="G1875" s="4">
        <v>7</v>
      </c>
      <c r="H1875" s="4" t="s">
        <v>13</v>
      </c>
      <c r="I1875" s="4" t="s">
        <v>69</v>
      </c>
      <c r="J1875" s="4" t="s">
        <v>66</v>
      </c>
      <c r="K1875" s="4">
        <v>1</v>
      </c>
      <c r="L1875" s="94">
        <v>-1453</v>
      </c>
      <c r="M1875" s="94">
        <v>0</v>
      </c>
    </row>
    <row r="1876" spans="3:13" x14ac:dyDescent="0.3">
      <c r="C1876" t="s">
        <v>70</v>
      </c>
      <c r="D1876" t="s">
        <v>67</v>
      </c>
      <c r="E1876" t="s">
        <v>68</v>
      </c>
      <c r="F1876" t="s">
        <v>26</v>
      </c>
      <c r="G1876" s="4">
        <v>-4</v>
      </c>
      <c r="H1876" s="4" t="s">
        <v>76</v>
      </c>
      <c r="I1876" s="4" t="s">
        <v>69</v>
      </c>
      <c r="J1876" s="4" t="s">
        <v>66</v>
      </c>
      <c r="K1876" s="4">
        <v>0</v>
      </c>
      <c r="L1876" s="94">
        <v>21</v>
      </c>
      <c r="M1876" s="94">
        <v>0</v>
      </c>
    </row>
    <row r="1877" spans="3:13" x14ac:dyDescent="0.3">
      <c r="C1877" t="s">
        <v>61</v>
      </c>
      <c r="D1877" t="s">
        <v>67</v>
      </c>
      <c r="E1877" t="s">
        <v>68</v>
      </c>
      <c r="F1877" t="s">
        <v>26</v>
      </c>
      <c r="G1877" s="4">
        <v>7</v>
      </c>
      <c r="H1877" s="4" t="s">
        <v>64</v>
      </c>
      <c r="I1877" s="4" t="s">
        <v>69</v>
      </c>
      <c r="J1877" s="4" t="s">
        <v>66</v>
      </c>
      <c r="K1877" s="4">
        <v>0</v>
      </c>
      <c r="L1877" s="94">
        <v>1565919</v>
      </c>
      <c r="M1877" s="94">
        <v>10961433</v>
      </c>
    </row>
    <row r="1878" spans="3:13" x14ac:dyDescent="0.3">
      <c r="C1878" t="s">
        <v>61</v>
      </c>
      <c r="D1878" t="s">
        <v>67</v>
      </c>
      <c r="E1878" t="s">
        <v>68</v>
      </c>
      <c r="F1878" t="s">
        <v>72</v>
      </c>
      <c r="G1878" s="4">
        <v>0</v>
      </c>
      <c r="H1878" s="4" t="s">
        <v>74</v>
      </c>
      <c r="I1878" s="4" t="s">
        <v>69</v>
      </c>
      <c r="J1878" s="4" t="s">
        <v>66</v>
      </c>
      <c r="K1878" s="4">
        <v>0</v>
      </c>
      <c r="L1878" s="94">
        <v>175251</v>
      </c>
      <c r="M1878" s="94">
        <v>0</v>
      </c>
    </row>
    <row r="1879" spans="3:13" x14ac:dyDescent="0.3">
      <c r="C1879" t="s">
        <v>61</v>
      </c>
      <c r="D1879" t="s">
        <v>67</v>
      </c>
      <c r="E1879" t="s">
        <v>68</v>
      </c>
      <c r="F1879" t="s">
        <v>26</v>
      </c>
      <c r="G1879" s="4">
        <v>-1</v>
      </c>
      <c r="H1879" s="4" t="s">
        <v>89</v>
      </c>
      <c r="I1879" s="4" t="s">
        <v>69</v>
      </c>
      <c r="J1879" s="4" t="s">
        <v>66</v>
      </c>
      <c r="K1879" s="4">
        <v>0</v>
      </c>
      <c r="L1879" s="94">
        <v>13560</v>
      </c>
      <c r="M1879" s="94">
        <v>0</v>
      </c>
    </row>
    <row r="1880" spans="3:13" x14ac:dyDescent="0.3">
      <c r="C1880" t="s">
        <v>61</v>
      </c>
      <c r="D1880" t="s">
        <v>67</v>
      </c>
      <c r="E1880" t="s">
        <v>68</v>
      </c>
      <c r="F1880" t="s">
        <v>26</v>
      </c>
      <c r="G1880" s="4">
        <v>3</v>
      </c>
      <c r="H1880" s="4" t="s">
        <v>12</v>
      </c>
      <c r="I1880" s="4" t="s">
        <v>65</v>
      </c>
      <c r="J1880" s="4" t="s">
        <v>73</v>
      </c>
      <c r="K1880" s="4">
        <v>1</v>
      </c>
      <c r="L1880" s="94">
        <v>573414</v>
      </c>
      <c r="M1880" s="94">
        <v>1720242</v>
      </c>
    </row>
    <row r="1881" spans="3:13" x14ac:dyDescent="0.3">
      <c r="C1881" t="s">
        <v>70</v>
      </c>
      <c r="D1881" t="s">
        <v>67</v>
      </c>
      <c r="E1881" t="s">
        <v>68</v>
      </c>
      <c r="F1881" t="s">
        <v>26</v>
      </c>
      <c r="G1881" s="4">
        <v>7</v>
      </c>
      <c r="H1881" s="4" t="s">
        <v>14</v>
      </c>
      <c r="I1881" s="4" t="s">
        <v>69</v>
      </c>
      <c r="J1881" s="4" t="s">
        <v>73</v>
      </c>
      <c r="K1881" s="4">
        <v>1</v>
      </c>
      <c r="L1881" s="94">
        <v>1679236</v>
      </c>
      <c r="M1881" s="94">
        <v>11754652</v>
      </c>
    </row>
    <row r="1882" spans="3:13" x14ac:dyDescent="0.3">
      <c r="C1882" t="s">
        <v>70</v>
      </c>
      <c r="D1882" t="s">
        <v>67</v>
      </c>
      <c r="E1882" t="s">
        <v>68</v>
      </c>
      <c r="F1882" t="s">
        <v>72</v>
      </c>
      <c r="G1882" s="4">
        <v>7</v>
      </c>
      <c r="H1882" s="4" t="s">
        <v>12</v>
      </c>
      <c r="I1882" s="4" t="s">
        <v>69</v>
      </c>
      <c r="J1882" s="4" t="s">
        <v>66</v>
      </c>
      <c r="K1882" s="4">
        <v>0</v>
      </c>
      <c r="L1882" s="94">
        <v>34059</v>
      </c>
      <c r="M1882" s="94">
        <v>238413</v>
      </c>
    </row>
    <row r="1883" spans="3:13" x14ac:dyDescent="0.3">
      <c r="C1883" t="s">
        <v>61</v>
      </c>
      <c r="D1883" t="s">
        <v>62</v>
      </c>
      <c r="E1883" t="s">
        <v>63</v>
      </c>
      <c r="F1883" t="s">
        <v>25</v>
      </c>
      <c r="G1883" s="4">
        <v>31</v>
      </c>
      <c r="I1883" s="4" t="s">
        <v>69</v>
      </c>
      <c r="J1883" s="4" t="s">
        <v>66</v>
      </c>
      <c r="K1883" s="4">
        <v>0</v>
      </c>
      <c r="L1883" s="94">
        <v>-2827</v>
      </c>
      <c r="M1883" s="94">
        <v>0</v>
      </c>
    </row>
    <row r="1884" spans="3:13" x14ac:dyDescent="0.3">
      <c r="C1884" t="s">
        <v>61</v>
      </c>
      <c r="D1884" t="s">
        <v>62</v>
      </c>
      <c r="E1884" t="s">
        <v>63</v>
      </c>
      <c r="F1884" t="s">
        <v>25</v>
      </c>
      <c r="G1884" s="4">
        <v>13</v>
      </c>
      <c r="I1884" s="4" t="s">
        <v>69</v>
      </c>
      <c r="J1884" s="4" t="s">
        <v>66</v>
      </c>
      <c r="K1884" s="4">
        <v>1</v>
      </c>
      <c r="L1884" s="94">
        <v>-1</v>
      </c>
      <c r="M1884" s="94">
        <v>0</v>
      </c>
    </row>
    <row r="1885" spans="3:13" x14ac:dyDescent="0.3">
      <c r="C1885" t="s">
        <v>61</v>
      </c>
      <c r="D1885" t="s">
        <v>67</v>
      </c>
      <c r="E1885" t="s">
        <v>63</v>
      </c>
      <c r="F1885" t="s">
        <v>25</v>
      </c>
      <c r="G1885" s="4">
        <v>9</v>
      </c>
      <c r="H1885" s="4" t="s">
        <v>18</v>
      </c>
      <c r="I1885" s="4" t="s">
        <v>69</v>
      </c>
      <c r="J1885" s="4" t="s">
        <v>66</v>
      </c>
      <c r="K1885" s="4">
        <v>1</v>
      </c>
      <c r="L1885" s="94">
        <v>-7044</v>
      </c>
      <c r="M1885" s="94">
        <v>0</v>
      </c>
    </row>
    <row r="1886" spans="3:13" x14ac:dyDescent="0.3">
      <c r="C1886" t="s">
        <v>70</v>
      </c>
      <c r="D1886" t="s">
        <v>67</v>
      </c>
      <c r="E1886" t="s">
        <v>63</v>
      </c>
      <c r="F1886" t="s">
        <v>26</v>
      </c>
      <c r="G1886" s="4">
        <v>1</v>
      </c>
      <c r="H1886" s="4" t="s">
        <v>13</v>
      </c>
      <c r="I1886" s="4" t="s">
        <v>69</v>
      </c>
      <c r="J1886" s="4" t="s">
        <v>73</v>
      </c>
      <c r="K1886" s="4">
        <v>1</v>
      </c>
      <c r="L1886" s="94">
        <v>-1128</v>
      </c>
      <c r="M1886" s="94">
        <v>0</v>
      </c>
    </row>
    <row r="1887" spans="3:13" x14ac:dyDescent="0.3">
      <c r="C1887" t="s">
        <v>71</v>
      </c>
      <c r="D1887" t="s">
        <v>67</v>
      </c>
      <c r="E1887" t="s">
        <v>68</v>
      </c>
      <c r="F1887" t="s">
        <v>25</v>
      </c>
      <c r="G1887" s="4">
        <v>8</v>
      </c>
      <c r="H1887" s="4" t="s">
        <v>83</v>
      </c>
      <c r="I1887" s="4" t="s">
        <v>69</v>
      </c>
      <c r="J1887" s="4" t="s">
        <v>66</v>
      </c>
      <c r="K1887" s="4">
        <v>0</v>
      </c>
      <c r="L1887" s="94">
        <v>1834800</v>
      </c>
      <c r="M1887" s="94">
        <v>14678400</v>
      </c>
    </row>
    <row r="1888" spans="3:13" x14ac:dyDescent="0.3">
      <c r="C1888" t="s">
        <v>61</v>
      </c>
      <c r="D1888" t="s">
        <v>84</v>
      </c>
      <c r="E1888" t="s">
        <v>63</v>
      </c>
      <c r="F1888" t="s">
        <v>25</v>
      </c>
      <c r="G1888" s="4">
        <v>3</v>
      </c>
      <c r="H1888" s="4" t="s">
        <v>81</v>
      </c>
      <c r="I1888" s="4" t="s">
        <v>69</v>
      </c>
      <c r="J1888" s="4" t="s">
        <v>66</v>
      </c>
      <c r="K1888" s="4">
        <v>0</v>
      </c>
      <c r="L1888" s="94">
        <v>-6123</v>
      </c>
      <c r="M1888" s="94">
        <v>0</v>
      </c>
    </row>
    <row r="1889" spans="3:13" x14ac:dyDescent="0.3">
      <c r="C1889" t="s">
        <v>71</v>
      </c>
      <c r="D1889" t="s">
        <v>67</v>
      </c>
      <c r="E1889" t="s">
        <v>63</v>
      </c>
      <c r="F1889" t="s">
        <v>25</v>
      </c>
      <c r="G1889" s="4">
        <v>1</v>
      </c>
      <c r="H1889" s="4" t="s">
        <v>79</v>
      </c>
      <c r="I1889" s="4" t="s">
        <v>69</v>
      </c>
      <c r="J1889" s="4" t="s">
        <v>66</v>
      </c>
      <c r="K1889" s="4">
        <v>0</v>
      </c>
      <c r="L1889" s="94">
        <v>-1062</v>
      </c>
      <c r="M1889" s="94">
        <v>0</v>
      </c>
    </row>
    <row r="1890" spans="3:13" x14ac:dyDescent="0.3">
      <c r="C1890" t="s">
        <v>71</v>
      </c>
      <c r="D1890" t="s">
        <v>67</v>
      </c>
      <c r="E1890" t="s">
        <v>63</v>
      </c>
      <c r="F1890" t="s">
        <v>26</v>
      </c>
      <c r="G1890" s="4">
        <v>2</v>
      </c>
      <c r="H1890" s="4" t="s">
        <v>17</v>
      </c>
      <c r="I1890" s="4" t="s">
        <v>69</v>
      </c>
      <c r="J1890" s="4" t="s">
        <v>66</v>
      </c>
      <c r="K1890" s="4">
        <v>0</v>
      </c>
      <c r="L1890" s="94">
        <v>-1201406</v>
      </c>
      <c r="M1890" s="94">
        <v>0</v>
      </c>
    </row>
    <row r="1891" spans="3:13" x14ac:dyDescent="0.3">
      <c r="C1891" t="s">
        <v>61</v>
      </c>
      <c r="D1891" t="s">
        <v>67</v>
      </c>
      <c r="E1891" t="s">
        <v>68</v>
      </c>
      <c r="F1891" t="s">
        <v>26</v>
      </c>
      <c r="G1891" s="4">
        <v>-1</v>
      </c>
      <c r="H1891" s="4" t="s">
        <v>14</v>
      </c>
      <c r="I1891" s="4" t="s">
        <v>65</v>
      </c>
      <c r="J1891" s="4" t="s">
        <v>73</v>
      </c>
      <c r="K1891" s="4">
        <v>1</v>
      </c>
      <c r="L1891" s="94">
        <v>704641</v>
      </c>
      <c r="M1891" s="94">
        <v>0</v>
      </c>
    </row>
    <row r="1892" spans="3:13" x14ac:dyDescent="0.3">
      <c r="C1892" t="s">
        <v>70</v>
      </c>
      <c r="D1892" t="s">
        <v>62</v>
      </c>
      <c r="E1892" t="s">
        <v>63</v>
      </c>
      <c r="F1892" t="s">
        <v>24</v>
      </c>
      <c r="G1892" s="4">
        <v>19</v>
      </c>
      <c r="I1892" s="4" t="s">
        <v>65</v>
      </c>
      <c r="J1892" s="4" t="s">
        <v>66</v>
      </c>
      <c r="K1892" s="4">
        <v>1</v>
      </c>
      <c r="L1892" s="94">
        <v>-20930</v>
      </c>
      <c r="M1892" s="94">
        <v>0</v>
      </c>
    </row>
    <row r="1893" spans="3:13" x14ac:dyDescent="0.3">
      <c r="C1893" t="s">
        <v>61</v>
      </c>
      <c r="D1893" t="s">
        <v>67</v>
      </c>
      <c r="E1893" t="s">
        <v>68</v>
      </c>
      <c r="F1893" t="s">
        <v>26</v>
      </c>
      <c r="G1893" s="4">
        <v>9</v>
      </c>
      <c r="H1893" s="4" t="s">
        <v>15</v>
      </c>
      <c r="I1893" s="4" t="s">
        <v>69</v>
      </c>
      <c r="J1893" s="4" t="s">
        <v>66</v>
      </c>
      <c r="K1893" s="4">
        <v>0</v>
      </c>
      <c r="L1893" s="94">
        <v>14503692</v>
      </c>
      <c r="M1893" s="94">
        <v>130533228</v>
      </c>
    </row>
    <row r="1894" spans="3:13" x14ac:dyDescent="0.3">
      <c r="C1894" t="s">
        <v>71</v>
      </c>
      <c r="D1894" t="s">
        <v>67</v>
      </c>
      <c r="E1894" t="s">
        <v>68</v>
      </c>
      <c r="F1894" t="s">
        <v>26</v>
      </c>
      <c r="G1894" s="4">
        <v>1</v>
      </c>
      <c r="H1894" s="4" t="s">
        <v>17</v>
      </c>
      <c r="I1894" s="4" t="s">
        <v>65</v>
      </c>
      <c r="J1894" s="4" t="s">
        <v>66</v>
      </c>
      <c r="K1894" s="4">
        <v>1</v>
      </c>
      <c r="L1894" s="94">
        <v>29470</v>
      </c>
      <c r="M1894" s="94">
        <v>29470</v>
      </c>
    </row>
    <row r="1895" spans="3:13" x14ac:dyDescent="0.3">
      <c r="C1895" t="s">
        <v>61</v>
      </c>
      <c r="D1895" t="s">
        <v>84</v>
      </c>
      <c r="E1895" t="s">
        <v>63</v>
      </c>
      <c r="F1895" t="s">
        <v>25</v>
      </c>
      <c r="G1895" s="4">
        <v>7</v>
      </c>
      <c r="H1895" s="4" t="s">
        <v>14</v>
      </c>
      <c r="I1895" s="4" t="s">
        <v>69</v>
      </c>
      <c r="J1895" s="4" t="s">
        <v>66</v>
      </c>
      <c r="K1895" s="4">
        <v>0</v>
      </c>
      <c r="L1895" s="94">
        <v>-1576</v>
      </c>
      <c r="M1895" s="94">
        <v>0</v>
      </c>
    </row>
    <row r="1896" spans="3:13" x14ac:dyDescent="0.3">
      <c r="C1896" t="s">
        <v>71</v>
      </c>
      <c r="D1896" t="s">
        <v>67</v>
      </c>
      <c r="E1896" t="s">
        <v>68</v>
      </c>
      <c r="F1896" t="s">
        <v>72</v>
      </c>
      <c r="G1896" s="4">
        <v>-4</v>
      </c>
      <c r="H1896" s="4" t="s">
        <v>79</v>
      </c>
      <c r="I1896" s="4" t="s">
        <v>69</v>
      </c>
      <c r="J1896" s="4" t="s">
        <v>66</v>
      </c>
      <c r="K1896" s="4">
        <v>0</v>
      </c>
      <c r="L1896" s="94">
        <v>9298</v>
      </c>
      <c r="M1896" s="94">
        <v>0</v>
      </c>
    </row>
    <row r="1897" spans="3:13" x14ac:dyDescent="0.3">
      <c r="C1897" t="s">
        <v>61</v>
      </c>
      <c r="D1897" t="s">
        <v>62</v>
      </c>
      <c r="E1897" t="s">
        <v>63</v>
      </c>
      <c r="F1897" t="s">
        <v>24</v>
      </c>
      <c r="G1897" s="4">
        <v>27</v>
      </c>
      <c r="I1897" s="4" t="s">
        <v>65</v>
      </c>
      <c r="J1897" s="4" t="s">
        <v>66</v>
      </c>
      <c r="K1897" s="4">
        <v>1</v>
      </c>
      <c r="L1897" s="94">
        <v>-4312</v>
      </c>
      <c r="M1897" s="94">
        <v>0</v>
      </c>
    </row>
    <row r="1898" spans="3:13" x14ac:dyDescent="0.3">
      <c r="C1898" t="s">
        <v>71</v>
      </c>
      <c r="D1898" t="s">
        <v>62</v>
      </c>
      <c r="E1898" t="s">
        <v>68</v>
      </c>
      <c r="F1898" t="s">
        <v>25</v>
      </c>
      <c r="G1898" s="4">
        <v>-4</v>
      </c>
      <c r="I1898" s="4" t="s">
        <v>69</v>
      </c>
      <c r="J1898" s="4" t="s">
        <v>66</v>
      </c>
      <c r="K1898" s="4">
        <v>0</v>
      </c>
      <c r="L1898" s="94">
        <v>1447613</v>
      </c>
      <c r="M1898" s="94">
        <v>0</v>
      </c>
    </row>
    <row r="1899" spans="3:13" x14ac:dyDescent="0.3">
      <c r="C1899" t="s">
        <v>71</v>
      </c>
      <c r="D1899" t="s">
        <v>67</v>
      </c>
      <c r="E1899" t="s">
        <v>68</v>
      </c>
      <c r="F1899" t="s">
        <v>26</v>
      </c>
      <c r="G1899" s="4">
        <v>2</v>
      </c>
      <c r="H1899" s="4" t="s">
        <v>77</v>
      </c>
      <c r="I1899" s="4" t="s">
        <v>69</v>
      </c>
      <c r="J1899" s="4" t="s">
        <v>66</v>
      </c>
      <c r="K1899" s="4">
        <v>0</v>
      </c>
      <c r="L1899" s="94">
        <v>367176</v>
      </c>
      <c r="M1899" s="94">
        <v>734352</v>
      </c>
    </row>
    <row r="1900" spans="3:13" x14ac:dyDescent="0.3">
      <c r="C1900" t="s">
        <v>71</v>
      </c>
      <c r="D1900" t="s">
        <v>67</v>
      </c>
      <c r="E1900" t="s">
        <v>68</v>
      </c>
      <c r="F1900" t="s">
        <v>72</v>
      </c>
      <c r="G1900" s="4">
        <v>1</v>
      </c>
      <c r="H1900" s="4" t="s">
        <v>83</v>
      </c>
      <c r="I1900" s="4" t="s">
        <v>69</v>
      </c>
      <c r="J1900" s="4" t="s">
        <v>66</v>
      </c>
      <c r="K1900" s="4">
        <v>0</v>
      </c>
      <c r="L1900" s="94">
        <v>14174</v>
      </c>
      <c r="M1900" s="94">
        <v>14174</v>
      </c>
    </row>
    <row r="1901" spans="3:13" x14ac:dyDescent="0.3">
      <c r="C1901" t="s">
        <v>71</v>
      </c>
      <c r="D1901" t="s">
        <v>67</v>
      </c>
      <c r="E1901" t="s">
        <v>68</v>
      </c>
      <c r="F1901" t="s">
        <v>26</v>
      </c>
      <c r="G1901" s="4">
        <v>1</v>
      </c>
      <c r="H1901" s="4" t="s">
        <v>12</v>
      </c>
      <c r="I1901" s="4" t="s">
        <v>69</v>
      </c>
      <c r="J1901" s="4" t="s">
        <v>73</v>
      </c>
      <c r="K1901" s="4">
        <v>1</v>
      </c>
      <c r="L1901" s="94">
        <v>17720052</v>
      </c>
      <c r="M1901" s="94">
        <v>17720052</v>
      </c>
    </row>
    <row r="1902" spans="3:13" x14ac:dyDescent="0.3">
      <c r="C1902" t="s">
        <v>70</v>
      </c>
      <c r="D1902" t="s">
        <v>67</v>
      </c>
      <c r="E1902" t="s">
        <v>63</v>
      </c>
      <c r="F1902" t="s">
        <v>26</v>
      </c>
      <c r="G1902" s="4">
        <v>7</v>
      </c>
      <c r="H1902" s="4" t="s">
        <v>79</v>
      </c>
      <c r="I1902" s="4" t="s">
        <v>69</v>
      </c>
      <c r="J1902" s="4" t="s">
        <v>66</v>
      </c>
      <c r="K1902" s="4">
        <v>0</v>
      </c>
      <c r="L1902" s="94">
        <v>-40451</v>
      </c>
      <c r="M1902" s="94">
        <v>0</v>
      </c>
    </row>
    <row r="1903" spans="3:13" x14ac:dyDescent="0.3">
      <c r="C1903" t="s">
        <v>71</v>
      </c>
      <c r="D1903" t="s">
        <v>67</v>
      </c>
      <c r="E1903" t="s">
        <v>63</v>
      </c>
      <c r="F1903" t="s">
        <v>25</v>
      </c>
      <c r="G1903" s="4">
        <v>2</v>
      </c>
      <c r="H1903" s="4" t="s">
        <v>77</v>
      </c>
      <c r="I1903" s="4" t="s">
        <v>69</v>
      </c>
      <c r="J1903" s="4" t="s">
        <v>66</v>
      </c>
      <c r="K1903" s="4">
        <v>0</v>
      </c>
      <c r="L1903" s="94">
        <v>-11109</v>
      </c>
      <c r="M1903" s="94">
        <v>0</v>
      </c>
    </row>
    <row r="1904" spans="3:13" x14ac:dyDescent="0.3">
      <c r="C1904" t="s">
        <v>61</v>
      </c>
      <c r="D1904" t="s">
        <v>67</v>
      </c>
      <c r="E1904" t="s">
        <v>68</v>
      </c>
      <c r="F1904" t="s">
        <v>25</v>
      </c>
      <c r="G1904" s="4">
        <v>5</v>
      </c>
      <c r="H1904" s="4" t="s">
        <v>64</v>
      </c>
      <c r="I1904" s="4" t="s">
        <v>69</v>
      </c>
      <c r="J1904" s="4" t="s">
        <v>66</v>
      </c>
      <c r="K1904" s="4">
        <v>0</v>
      </c>
      <c r="L1904" s="94">
        <v>538604</v>
      </c>
      <c r="M1904" s="94">
        <v>2693020</v>
      </c>
    </row>
    <row r="1905" spans="3:13" x14ac:dyDescent="0.3">
      <c r="C1905" t="s">
        <v>70</v>
      </c>
      <c r="D1905" t="s">
        <v>62</v>
      </c>
      <c r="E1905" t="s">
        <v>63</v>
      </c>
      <c r="F1905" t="s">
        <v>24</v>
      </c>
      <c r="G1905" s="4">
        <v>32</v>
      </c>
      <c r="I1905" s="4" t="s">
        <v>69</v>
      </c>
      <c r="J1905" s="4" t="s">
        <v>66</v>
      </c>
      <c r="K1905" s="4">
        <v>1</v>
      </c>
      <c r="L1905" s="94">
        <v>-7445</v>
      </c>
      <c r="M1905" s="94">
        <v>0</v>
      </c>
    </row>
    <row r="1906" spans="3:13" x14ac:dyDescent="0.3">
      <c r="C1906" t="s">
        <v>61</v>
      </c>
      <c r="D1906" t="s">
        <v>62</v>
      </c>
      <c r="E1906" t="s">
        <v>68</v>
      </c>
      <c r="F1906" t="s">
        <v>24</v>
      </c>
      <c r="G1906" s="4">
        <v>28</v>
      </c>
      <c r="I1906" s="4" t="s">
        <v>69</v>
      </c>
      <c r="J1906" s="4" t="s">
        <v>66</v>
      </c>
      <c r="K1906" s="4">
        <v>0</v>
      </c>
      <c r="L1906" s="94">
        <v>803514679</v>
      </c>
      <c r="M1906" s="94">
        <v>22498411012</v>
      </c>
    </row>
    <row r="1907" spans="3:13" x14ac:dyDescent="0.3">
      <c r="C1907" t="s">
        <v>61</v>
      </c>
      <c r="D1907" t="s">
        <v>67</v>
      </c>
      <c r="E1907" t="s">
        <v>63</v>
      </c>
      <c r="F1907" t="s">
        <v>72</v>
      </c>
      <c r="G1907" s="4">
        <v>5</v>
      </c>
      <c r="H1907" s="4" t="s">
        <v>14</v>
      </c>
      <c r="I1907" s="4" t="s">
        <v>69</v>
      </c>
      <c r="J1907" s="4" t="s">
        <v>66</v>
      </c>
      <c r="K1907" s="4">
        <v>0</v>
      </c>
      <c r="L1907" s="94">
        <v>-9212</v>
      </c>
      <c r="M1907" s="94">
        <v>0</v>
      </c>
    </row>
    <row r="1908" spans="3:13" x14ac:dyDescent="0.3">
      <c r="C1908" t="s">
        <v>61</v>
      </c>
      <c r="D1908" t="s">
        <v>67</v>
      </c>
      <c r="E1908" t="s">
        <v>63</v>
      </c>
      <c r="F1908" t="s">
        <v>72</v>
      </c>
      <c r="G1908" s="4">
        <v>4</v>
      </c>
      <c r="H1908" s="4" t="s">
        <v>80</v>
      </c>
      <c r="I1908" s="4" t="s">
        <v>69</v>
      </c>
      <c r="J1908" s="4" t="s">
        <v>66</v>
      </c>
      <c r="K1908" s="4">
        <v>0</v>
      </c>
      <c r="L1908" s="94">
        <v>-1358</v>
      </c>
      <c r="M1908" s="94">
        <v>0</v>
      </c>
    </row>
    <row r="1909" spans="3:13" x14ac:dyDescent="0.3">
      <c r="C1909" t="s">
        <v>70</v>
      </c>
      <c r="D1909" t="s">
        <v>67</v>
      </c>
      <c r="E1909" t="s">
        <v>63</v>
      </c>
      <c r="F1909" t="s">
        <v>26</v>
      </c>
      <c r="G1909" s="4">
        <v>2</v>
      </c>
      <c r="H1909" s="4" t="s">
        <v>17</v>
      </c>
      <c r="I1909" s="4" t="s">
        <v>69</v>
      </c>
      <c r="J1909" s="4" t="s">
        <v>66</v>
      </c>
      <c r="K1909" s="4">
        <v>0</v>
      </c>
      <c r="L1909" s="94">
        <v>-564675</v>
      </c>
      <c r="M1909" s="94">
        <v>0</v>
      </c>
    </row>
    <row r="1910" spans="3:13" x14ac:dyDescent="0.3">
      <c r="C1910" t="s">
        <v>61</v>
      </c>
      <c r="D1910" t="s">
        <v>67</v>
      </c>
      <c r="E1910" t="s">
        <v>63</v>
      </c>
      <c r="F1910" t="s">
        <v>26</v>
      </c>
      <c r="G1910" s="4">
        <v>0</v>
      </c>
      <c r="H1910" s="4" t="s">
        <v>75</v>
      </c>
      <c r="I1910" s="4" t="s">
        <v>65</v>
      </c>
      <c r="J1910" s="4" t="s">
        <v>66</v>
      </c>
      <c r="K1910" s="4">
        <v>1</v>
      </c>
      <c r="L1910" s="94">
        <v>-20</v>
      </c>
      <c r="M1910" s="94">
        <v>0</v>
      </c>
    </row>
    <row r="1911" spans="3:13" x14ac:dyDescent="0.3">
      <c r="C1911" t="s">
        <v>61</v>
      </c>
      <c r="D1911" t="s">
        <v>67</v>
      </c>
      <c r="E1911" t="s">
        <v>68</v>
      </c>
      <c r="F1911" t="s">
        <v>72</v>
      </c>
      <c r="G1911" s="4">
        <v>7</v>
      </c>
      <c r="H1911" s="4" t="s">
        <v>76</v>
      </c>
      <c r="I1911" s="4" t="s">
        <v>69</v>
      </c>
      <c r="J1911" s="4" t="s">
        <v>66</v>
      </c>
      <c r="K1911" s="4">
        <v>0</v>
      </c>
      <c r="L1911" s="94">
        <v>414744</v>
      </c>
      <c r="M1911" s="94">
        <v>2903208</v>
      </c>
    </row>
    <row r="1912" spans="3:13" x14ac:dyDescent="0.3">
      <c r="C1912" t="s">
        <v>70</v>
      </c>
      <c r="D1912" t="s">
        <v>67</v>
      </c>
      <c r="E1912" t="s">
        <v>63</v>
      </c>
      <c r="F1912" t="s">
        <v>72</v>
      </c>
      <c r="G1912" s="4">
        <v>3</v>
      </c>
      <c r="H1912" s="4" t="s">
        <v>17</v>
      </c>
      <c r="I1912" s="4" t="s">
        <v>65</v>
      </c>
      <c r="J1912" s="4" t="s">
        <v>73</v>
      </c>
      <c r="K1912" s="4">
        <v>1</v>
      </c>
      <c r="L1912" s="94">
        <v>-4263</v>
      </c>
      <c r="M1912" s="94">
        <v>0</v>
      </c>
    </row>
    <row r="1913" spans="3:13" x14ac:dyDescent="0.3">
      <c r="C1913" t="s">
        <v>70</v>
      </c>
      <c r="D1913" t="s">
        <v>67</v>
      </c>
      <c r="E1913" t="s">
        <v>63</v>
      </c>
      <c r="F1913" t="s">
        <v>25</v>
      </c>
      <c r="G1913" s="4">
        <v>9</v>
      </c>
      <c r="H1913" s="4" t="s">
        <v>79</v>
      </c>
      <c r="I1913" s="4" t="s">
        <v>69</v>
      </c>
      <c r="J1913" s="4" t="s">
        <v>66</v>
      </c>
      <c r="K1913" s="4">
        <v>0</v>
      </c>
      <c r="L1913" s="94">
        <v>-23658</v>
      </c>
      <c r="M1913" s="94">
        <v>0</v>
      </c>
    </row>
    <row r="1914" spans="3:13" x14ac:dyDescent="0.3">
      <c r="C1914" t="s">
        <v>71</v>
      </c>
      <c r="D1914" t="s">
        <v>67</v>
      </c>
      <c r="E1914" t="s">
        <v>63</v>
      </c>
      <c r="F1914" t="s">
        <v>26</v>
      </c>
      <c r="G1914" s="4">
        <v>4</v>
      </c>
      <c r="H1914" s="4" t="s">
        <v>17</v>
      </c>
      <c r="I1914" s="4" t="s">
        <v>65</v>
      </c>
      <c r="J1914" s="4" t="s">
        <v>66</v>
      </c>
      <c r="K1914" s="4">
        <v>1</v>
      </c>
      <c r="L1914" s="94">
        <v>-40551</v>
      </c>
      <c r="M1914" s="94">
        <v>0</v>
      </c>
    </row>
    <row r="1915" spans="3:13" x14ac:dyDescent="0.3">
      <c r="C1915" t="s">
        <v>71</v>
      </c>
      <c r="D1915" t="s">
        <v>62</v>
      </c>
      <c r="E1915" t="s">
        <v>63</v>
      </c>
      <c r="F1915" t="s">
        <v>24</v>
      </c>
      <c r="G1915" s="4">
        <v>13</v>
      </c>
      <c r="I1915" s="4" t="s">
        <v>65</v>
      </c>
      <c r="J1915" s="4" t="s">
        <v>66</v>
      </c>
      <c r="K1915" s="4">
        <v>1</v>
      </c>
      <c r="L1915" s="94">
        <v>-16224</v>
      </c>
      <c r="M1915" s="94">
        <v>0</v>
      </c>
    </row>
    <row r="1916" spans="3:13" x14ac:dyDescent="0.3">
      <c r="C1916" t="s">
        <v>61</v>
      </c>
      <c r="D1916" t="s">
        <v>67</v>
      </c>
      <c r="E1916" t="s">
        <v>63</v>
      </c>
      <c r="F1916" t="s">
        <v>25</v>
      </c>
      <c r="G1916" s="4">
        <v>9</v>
      </c>
      <c r="H1916" s="4" t="s">
        <v>78</v>
      </c>
      <c r="I1916" s="4" t="s">
        <v>69</v>
      </c>
      <c r="J1916" s="4" t="s">
        <v>66</v>
      </c>
      <c r="K1916" s="4">
        <v>0</v>
      </c>
      <c r="L1916" s="94">
        <v>-13934</v>
      </c>
      <c r="M1916" s="94">
        <v>0</v>
      </c>
    </row>
    <row r="1917" spans="3:13" x14ac:dyDescent="0.3">
      <c r="C1917" t="s">
        <v>70</v>
      </c>
      <c r="D1917" t="s">
        <v>67</v>
      </c>
      <c r="E1917" t="s">
        <v>68</v>
      </c>
      <c r="F1917" t="s">
        <v>25</v>
      </c>
      <c r="G1917" s="4">
        <v>6</v>
      </c>
      <c r="H1917" s="4" t="s">
        <v>76</v>
      </c>
      <c r="I1917" s="4" t="s">
        <v>69</v>
      </c>
      <c r="J1917" s="4" t="s">
        <v>66</v>
      </c>
      <c r="K1917" s="4">
        <v>0</v>
      </c>
      <c r="L1917" s="94">
        <v>8946477</v>
      </c>
      <c r="M1917" s="94">
        <v>53678862</v>
      </c>
    </row>
    <row r="1918" spans="3:13" x14ac:dyDescent="0.3">
      <c r="C1918" t="s">
        <v>71</v>
      </c>
      <c r="D1918" t="s">
        <v>67</v>
      </c>
      <c r="E1918" t="s">
        <v>68</v>
      </c>
      <c r="F1918" t="s">
        <v>72</v>
      </c>
      <c r="G1918" s="4">
        <v>3</v>
      </c>
      <c r="H1918" s="4" t="s">
        <v>17</v>
      </c>
      <c r="I1918" s="4" t="s">
        <v>69</v>
      </c>
      <c r="J1918" s="4" t="s">
        <v>73</v>
      </c>
      <c r="K1918" s="4">
        <v>1</v>
      </c>
      <c r="L1918" s="94">
        <v>42309</v>
      </c>
      <c r="M1918" s="94">
        <v>126927</v>
      </c>
    </row>
    <row r="1919" spans="3:13" x14ac:dyDescent="0.3">
      <c r="C1919" t="s">
        <v>71</v>
      </c>
      <c r="D1919" t="s">
        <v>62</v>
      </c>
      <c r="E1919" t="s">
        <v>63</v>
      </c>
      <c r="F1919" t="s">
        <v>24</v>
      </c>
      <c r="G1919" s="4">
        <v>20</v>
      </c>
      <c r="I1919" s="4" t="s">
        <v>69</v>
      </c>
      <c r="J1919" s="4" t="s">
        <v>66</v>
      </c>
      <c r="K1919" s="4">
        <v>0</v>
      </c>
      <c r="L1919" s="94">
        <v>-2192565</v>
      </c>
      <c r="M1919" s="94">
        <v>0</v>
      </c>
    </row>
    <row r="1920" spans="3:13" x14ac:dyDescent="0.3">
      <c r="C1920" t="s">
        <v>70</v>
      </c>
      <c r="D1920" t="s">
        <v>62</v>
      </c>
      <c r="E1920" t="s">
        <v>63</v>
      </c>
      <c r="F1920" t="s">
        <v>24</v>
      </c>
      <c r="G1920" s="4">
        <v>4</v>
      </c>
      <c r="I1920" s="4" t="s">
        <v>69</v>
      </c>
      <c r="J1920" s="4" t="s">
        <v>66</v>
      </c>
      <c r="K1920" s="4">
        <v>0</v>
      </c>
      <c r="L1920" s="94">
        <v>-106066</v>
      </c>
      <c r="M1920" s="94">
        <v>0</v>
      </c>
    </row>
    <row r="1921" spans="3:13" x14ac:dyDescent="0.3">
      <c r="C1921" t="s">
        <v>61</v>
      </c>
      <c r="D1921" t="s">
        <v>67</v>
      </c>
      <c r="E1921" t="s">
        <v>63</v>
      </c>
      <c r="F1921" t="s">
        <v>26</v>
      </c>
      <c r="G1921" s="4">
        <v>13</v>
      </c>
      <c r="H1921" s="4" t="s">
        <v>76</v>
      </c>
      <c r="I1921" s="4" t="s">
        <v>69</v>
      </c>
      <c r="J1921" s="4" t="s">
        <v>66</v>
      </c>
      <c r="K1921" s="4">
        <v>0</v>
      </c>
      <c r="L1921" s="94">
        <v>-2457</v>
      </c>
      <c r="M1921" s="94">
        <v>0</v>
      </c>
    </row>
    <row r="1922" spans="3:13" x14ac:dyDescent="0.3">
      <c r="C1922" t="s">
        <v>71</v>
      </c>
      <c r="D1922" t="s">
        <v>62</v>
      </c>
      <c r="E1922" t="s">
        <v>68</v>
      </c>
      <c r="F1922" t="s">
        <v>24</v>
      </c>
      <c r="G1922" s="4">
        <v>11</v>
      </c>
      <c r="I1922" s="4" t="s">
        <v>69</v>
      </c>
      <c r="J1922" s="4" t="s">
        <v>66</v>
      </c>
      <c r="K1922" s="4">
        <v>0</v>
      </c>
      <c r="L1922" s="94">
        <v>2702434</v>
      </c>
      <c r="M1922" s="94">
        <v>29726774</v>
      </c>
    </row>
    <row r="1923" spans="3:13" x14ac:dyDescent="0.3">
      <c r="C1923" t="s">
        <v>61</v>
      </c>
      <c r="D1923" t="s">
        <v>62</v>
      </c>
      <c r="E1923" t="s">
        <v>63</v>
      </c>
      <c r="F1923" t="s">
        <v>24</v>
      </c>
      <c r="G1923" s="4">
        <v>6</v>
      </c>
      <c r="I1923" s="4" t="s">
        <v>69</v>
      </c>
      <c r="J1923" s="4" t="s">
        <v>66</v>
      </c>
      <c r="K1923" s="4">
        <v>0</v>
      </c>
      <c r="L1923" s="94">
        <v>-48998</v>
      </c>
      <c r="M1923" s="94">
        <v>0</v>
      </c>
    </row>
    <row r="1924" spans="3:13" x14ac:dyDescent="0.3">
      <c r="C1924" t="s">
        <v>61</v>
      </c>
      <c r="D1924" t="s">
        <v>67</v>
      </c>
      <c r="E1924" t="s">
        <v>63</v>
      </c>
      <c r="F1924" t="s">
        <v>26</v>
      </c>
      <c r="G1924" s="4">
        <v>1</v>
      </c>
      <c r="H1924" s="4" t="s">
        <v>18</v>
      </c>
      <c r="I1924" s="4" t="s">
        <v>65</v>
      </c>
      <c r="J1924" s="4" t="s">
        <v>66</v>
      </c>
      <c r="K1924" s="4">
        <v>1</v>
      </c>
      <c r="L1924" s="94">
        <v>-2825</v>
      </c>
      <c r="M1924" s="94">
        <v>0</v>
      </c>
    </row>
    <row r="1925" spans="3:13" x14ac:dyDescent="0.3">
      <c r="C1925" t="s">
        <v>61</v>
      </c>
      <c r="D1925" t="s">
        <v>67</v>
      </c>
      <c r="E1925" t="s">
        <v>68</v>
      </c>
      <c r="F1925" t="s">
        <v>72</v>
      </c>
      <c r="G1925" s="4">
        <v>12</v>
      </c>
      <c r="H1925" s="4" t="s">
        <v>76</v>
      </c>
      <c r="I1925" s="4" t="s">
        <v>69</v>
      </c>
      <c r="J1925" s="4" t="s">
        <v>66</v>
      </c>
      <c r="K1925" s="4">
        <v>0</v>
      </c>
      <c r="L1925" s="94">
        <v>911367</v>
      </c>
      <c r="M1925" s="94">
        <v>10936404</v>
      </c>
    </row>
    <row r="1926" spans="3:13" x14ac:dyDescent="0.3">
      <c r="C1926" t="s">
        <v>61</v>
      </c>
      <c r="D1926" t="s">
        <v>67</v>
      </c>
      <c r="E1926" t="s">
        <v>63</v>
      </c>
      <c r="F1926" t="s">
        <v>26</v>
      </c>
      <c r="G1926" s="4">
        <v>4</v>
      </c>
      <c r="H1926" s="4" t="s">
        <v>14</v>
      </c>
      <c r="I1926" s="4" t="s">
        <v>69</v>
      </c>
      <c r="J1926" s="4" t="s">
        <v>73</v>
      </c>
      <c r="K1926" s="4">
        <v>1</v>
      </c>
      <c r="L1926" s="94">
        <v>-178524</v>
      </c>
      <c r="M1926" s="94">
        <v>0</v>
      </c>
    </row>
    <row r="1927" spans="3:13" x14ac:dyDescent="0.3">
      <c r="C1927" t="s">
        <v>61</v>
      </c>
      <c r="D1927" t="s">
        <v>67</v>
      </c>
      <c r="E1927" t="s">
        <v>63</v>
      </c>
      <c r="F1927" t="s">
        <v>25</v>
      </c>
      <c r="G1927" s="4">
        <v>2</v>
      </c>
      <c r="H1927" s="4" t="s">
        <v>64</v>
      </c>
      <c r="I1927" s="4" t="s">
        <v>69</v>
      </c>
      <c r="J1927" s="4" t="s">
        <v>66</v>
      </c>
      <c r="K1927" s="4">
        <v>0</v>
      </c>
      <c r="L1927" s="94">
        <v>-635</v>
      </c>
      <c r="M1927" s="94">
        <v>0</v>
      </c>
    </row>
    <row r="1928" spans="3:13" x14ac:dyDescent="0.3">
      <c r="C1928" t="s">
        <v>70</v>
      </c>
      <c r="D1928" t="s">
        <v>67</v>
      </c>
      <c r="E1928" t="s">
        <v>68</v>
      </c>
      <c r="F1928" t="s">
        <v>25</v>
      </c>
      <c r="G1928" s="4">
        <v>9</v>
      </c>
      <c r="H1928" s="4" t="s">
        <v>14</v>
      </c>
      <c r="I1928" s="4" t="s">
        <v>69</v>
      </c>
      <c r="J1928" s="4" t="s">
        <v>66</v>
      </c>
      <c r="K1928" s="4">
        <v>1</v>
      </c>
      <c r="L1928" s="94">
        <v>1431602</v>
      </c>
      <c r="M1928" s="94">
        <v>12884418</v>
      </c>
    </row>
    <row r="1929" spans="3:13" x14ac:dyDescent="0.3">
      <c r="C1929" t="s">
        <v>70</v>
      </c>
      <c r="D1929" t="s">
        <v>67</v>
      </c>
      <c r="E1929" t="s">
        <v>63</v>
      </c>
      <c r="F1929" t="s">
        <v>72</v>
      </c>
      <c r="G1929" s="4">
        <v>5</v>
      </c>
      <c r="H1929" s="4" t="s">
        <v>14</v>
      </c>
      <c r="I1929" s="4" t="s">
        <v>69</v>
      </c>
      <c r="J1929" s="4" t="s">
        <v>66</v>
      </c>
      <c r="K1929" s="4">
        <v>0</v>
      </c>
      <c r="L1929" s="94">
        <v>-26272</v>
      </c>
      <c r="M1929" s="94">
        <v>0</v>
      </c>
    </row>
    <row r="1930" spans="3:13" x14ac:dyDescent="0.3">
      <c r="C1930" t="s">
        <v>61</v>
      </c>
      <c r="D1930" t="s">
        <v>67</v>
      </c>
      <c r="E1930" t="s">
        <v>68</v>
      </c>
      <c r="F1930" t="s">
        <v>25</v>
      </c>
      <c r="G1930" s="4">
        <v>9</v>
      </c>
      <c r="H1930" s="4" t="s">
        <v>18</v>
      </c>
      <c r="I1930" s="4" t="s">
        <v>69</v>
      </c>
      <c r="J1930" s="4" t="s">
        <v>66</v>
      </c>
      <c r="K1930" s="4">
        <v>0</v>
      </c>
      <c r="L1930" s="94">
        <v>10077099</v>
      </c>
      <c r="M1930" s="94">
        <v>90693891</v>
      </c>
    </row>
    <row r="1931" spans="3:13" x14ac:dyDescent="0.3">
      <c r="C1931" t="s">
        <v>70</v>
      </c>
      <c r="D1931" t="s">
        <v>67</v>
      </c>
      <c r="E1931" t="s">
        <v>63</v>
      </c>
      <c r="F1931" t="s">
        <v>72</v>
      </c>
      <c r="G1931" s="4">
        <v>4</v>
      </c>
      <c r="H1931" s="4" t="s">
        <v>80</v>
      </c>
      <c r="I1931" s="4" t="s">
        <v>69</v>
      </c>
      <c r="J1931" s="4" t="s">
        <v>66</v>
      </c>
      <c r="K1931" s="4">
        <v>0</v>
      </c>
      <c r="L1931" s="94">
        <v>-14913</v>
      </c>
      <c r="M1931" s="94">
        <v>0</v>
      </c>
    </row>
    <row r="1932" spans="3:13" x14ac:dyDescent="0.3">
      <c r="C1932" t="s">
        <v>70</v>
      </c>
      <c r="D1932" t="s">
        <v>62</v>
      </c>
      <c r="E1932" t="s">
        <v>68</v>
      </c>
      <c r="F1932" t="s">
        <v>24</v>
      </c>
      <c r="G1932" s="4">
        <v>16</v>
      </c>
      <c r="I1932" s="4" t="s">
        <v>69</v>
      </c>
      <c r="J1932" s="4" t="s">
        <v>66</v>
      </c>
      <c r="K1932" s="4">
        <v>1</v>
      </c>
      <c r="L1932" s="94">
        <v>259749</v>
      </c>
      <c r="M1932" s="94">
        <v>4155984</v>
      </c>
    </row>
    <row r="1933" spans="3:13" x14ac:dyDescent="0.3">
      <c r="C1933" t="s">
        <v>70</v>
      </c>
      <c r="D1933" t="s">
        <v>67</v>
      </c>
      <c r="E1933" t="s">
        <v>68</v>
      </c>
      <c r="F1933" t="s">
        <v>25</v>
      </c>
      <c r="G1933" s="4">
        <v>1</v>
      </c>
      <c r="H1933" s="4" t="s">
        <v>64</v>
      </c>
      <c r="I1933" s="4" t="s">
        <v>69</v>
      </c>
      <c r="J1933" s="4" t="s">
        <v>66</v>
      </c>
      <c r="K1933" s="4">
        <v>0</v>
      </c>
      <c r="L1933" s="94">
        <v>38242</v>
      </c>
      <c r="M1933" s="94">
        <v>38242</v>
      </c>
    </row>
    <row r="1934" spans="3:13" x14ac:dyDescent="0.3">
      <c r="C1934" t="s">
        <v>70</v>
      </c>
      <c r="D1934" t="s">
        <v>67</v>
      </c>
      <c r="E1934" t="s">
        <v>68</v>
      </c>
      <c r="F1934" t="s">
        <v>26</v>
      </c>
      <c r="G1934" s="4">
        <v>-1</v>
      </c>
      <c r="H1934" s="4" t="s">
        <v>74</v>
      </c>
      <c r="I1934" s="4" t="s">
        <v>69</v>
      </c>
      <c r="J1934" s="4" t="s">
        <v>66</v>
      </c>
      <c r="K1934" s="4">
        <v>0</v>
      </c>
      <c r="L1934" s="94">
        <v>9876524</v>
      </c>
      <c r="M1934" s="94">
        <v>0</v>
      </c>
    </row>
    <row r="1935" spans="3:13" x14ac:dyDescent="0.3">
      <c r="C1935" t="s">
        <v>61</v>
      </c>
      <c r="D1935" t="s">
        <v>67</v>
      </c>
      <c r="E1935" t="s">
        <v>68</v>
      </c>
      <c r="F1935" t="s">
        <v>72</v>
      </c>
      <c r="G1935" s="4">
        <v>-1</v>
      </c>
      <c r="H1935" s="4" t="s">
        <v>13</v>
      </c>
      <c r="I1935" s="4" t="s">
        <v>69</v>
      </c>
      <c r="J1935" s="4" t="s">
        <v>66</v>
      </c>
      <c r="K1935" s="4">
        <v>0</v>
      </c>
      <c r="L1935" s="94">
        <v>75324</v>
      </c>
      <c r="M1935" s="94">
        <v>0</v>
      </c>
    </row>
    <row r="1936" spans="3:13" x14ac:dyDescent="0.3">
      <c r="C1936" t="s">
        <v>71</v>
      </c>
      <c r="D1936" t="s">
        <v>67</v>
      </c>
      <c r="E1936" t="s">
        <v>68</v>
      </c>
      <c r="F1936" t="s">
        <v>72</v>
      </c>
      <c r="G1936" s="4">
        <v>2</v>
      </c>
      <c r="H1936" s="4" t="s">
        <v>18</v>
      </c>
      <c r="I1936" s="4" t="s">
        <v>69</v>
      </c>
      <c r="J1936" s="4" t="s">
        <v>66</v>
      </c>
      <c r="K1936" s="4">
        <v>0</v>
      </c>
      <c r="L1936" s="94">
        <v>187832</v>
      </c>
      <c r="M1936" s="94">
        <v>375664</v>
      </c>
    </row>
    <row r="1937" spans="3:13" x14ac:dyDescent="0.3">
      <c r="C1937" t="s">
        <v>61</v>
      </c>
      <c r="D1937" t="s">
        <v>62</v>
      </c>
      <c r="E1937" t="s">
        <v>68</v>
      </c>
      <c r="F1937" t="s">
        <v>25</v>
      </c>
      <c r="G1937" s="4">
        <v>20</v>
      </c>
      <c r="I1937" s="4" t="s">
        <v>69</v>
      </c>
      <c r="J1937" s="4" t="s">
        <v>66</v>
      </c>
      <c r="K1937" s="4">
        <v>0</v>
      </c>
      <c r="L1937" s="94">
        <v>836813</v>
      </c>
      <c r="M1937" s="94">
        <v>16736260</v>
      </c>
    </row>
    <row r="1938" spans="3:13" x14ac:dyDescent="0.3">
      <c r="C1938" t="s">
        <v>71</v>
      </c>
      <c r="D1938" t="s">
        <v>67</v>
      </c>
      <c r="E1938" t="s">
        <v>63</v>
      </c>
      <c r="F1938" t="s">
        <v>26</v>
      </c>
      <c r="G1938" s="4">
        <v>-1</v>
      </c>
      <c r="H1938" s="4" t="s">
        <v>82</v>
      </c>
      <c r="I1938" s="4" t="s">
        <v>69</v>
      </c>
      <c r="J1938" s="4" t="s">
        <v>73</v>
      </c>
      <c r="K1938" s="4">
        <v>1</v>
      </c>
      <c r="L1938" s="94">
        <v>-2297</v>
      </c>
      <c r="M1938" s="94">
        <v>0</v>
      </c>
    </row>
    <row r="1939" spans="3:13" x14ac:dyDescent="0.3">
      <c r="C1939" t="s">
        <v>61</v>
      </c>
      <c r="D1939" t="s">
        <v>67</v>
      </c>
      <c r="E1939" t="s">
        <v>63</v>
      </c>
      <c r="F1939" t="s">
        <v>26</v>
      </c>
      <c r="G1939" s="4">
        <v>5</v>
      </c>
      <c r="H1939" s="4" t="s">
        <v>77</v>
      </c>
      <c r="I1939" s="4" t="s">
        <v>69</v>
      </c>
      <c r="J1939" s="4" t="s">
        <v>66</v>
      </c>
      <c r="K1939" s="4">
        <v>0</v>
      </c>
      <c r="L1939" s="94">
        <v>-3028</v>
      </c>
      <c r="M1939" s="94">
        <v>0</v>
      </c>
    </row>
    <row r="1940" spans="3:13" x14ac:dyDescent="0.3">
      <c r="C1940" t="s">
        <v>61</v>
      </c>
      <c r="D1940" t="s">
        <v>67</v>
      </c>
      <c r="E1940" t="s">
        <v>68</v>
      </c>
      <c r="F1940" t="s">
        <v>72</v>
      </c>
      <c r="G1940" s="4">
        <v>2</v>
      </c>
      <c r="H1940" s="4" t="s">
        <v>83</v>
      </c>
      <c r="I1940" s="4" t="s">
        <v>69</v>
      </c>
      <c r="J1940" s="4" t="s">
        <v>66</v>
      </c>
      <c r="K1940" s="4">
        <v>0</v>
      </c>
      <c r="L1940" s="94">
        <v>301807</v>
      </c>
      <c r="M1940" s="94">
        <v>603614</v>
      </c>
    </row>
    <row r="1941" spans="3:13" x14ac:dyDescent="0.3">
      <c r="C1941" t="s">
        <v>61</v>
      </c>
      <c r="D1941" t="s">
        <v>67</v>
      </c>
      <c r="E1941" t="s">
        <v>63</v>
      </c>
      <c r="F1941" t="s">
        <v>25</v>
      </c>
      <c r="G1941" s="4">
        <v>1</v>
      </c>
      <c r="H1941" s="4" t="s">
        <v>13</v>
      </c>
      <c r="I1941" s="4" t="s">
        <v>69</v>
      </c>
      <c r="J1941" s="4" t="s">
        <v>66</v>
      </c>
      <c r="K1941" s="4">
        <v>1</v>
      </c>
      <c r="L1941" s="94">
        <v>-29</v>
      </c>
      <c r="M1941" s="94">
        <v>0</v>
      </c>
    </row>
    <row r="1942" spans="3:13" x14ac:dyDescent="0.3">
      <c r="C1942" t="s">
        <v>61</v>
      </c>
      <c r="D1942" t="s">
        <v>62</v>
      </c>
      <c r="E1942" t="s">
        <v>63</v>
      </c>
      <c r="F1942" t="s">
        <v>24</v>
      </c>
      <c r="G1942" s="4">
        <v>9</v>
      </c>
      <c r="I1942" s="4" t="s">
        <v>65</v>
      </c>
      <c r="J1942" s="4" t="s">
        <v>66</v>
      </c>
      <c r="K1942" s="4">
        <v>1</v>
      </c>
      <c r="L1942" s="94">
        <v>-658</v>
      </c>
      <c r="M1942" s="94">
        <v>0</v>
      </c>
    </row>
    <row r="1943" spans="3:13" x14ac:dyDescent="0.3">
      <c r="C1943" t="s">
        <v>61</v>
      </c>
      <c r="D1943" t="s">
        <v>67</v>
      </c>
      <c r="E1943" t="s">
        <v>68</v>
      </c>
      <c r="F1943" t="s">
        <v>26</v>
      </c>
      <c r="G1943" s="4">
        <v>3</v>
      </c>
      <c r="H1943" s="4" t="s">
        <v>13</v>
      </c>
      <c r="I1943" s="4" t="s">
        <v>69</v>
      </c>
      <c r="J1943" s="4" t="s">
        <v>73</v>
      </c>
      <c r="K1943" s="4">
        <v>1</v>
      </c>
      <c r="L1943" s="94">
        <v>1346702</v>
      </c>
      <c r="M1943" s="94">
        <v>4040106</v>
      </c>
    </row>
    <row r="1944" spans="3:13" x14ac:dyDescent="0.3">
      <c r="C1944" t="s">
        <v>61</v>
      </c>
      <c r="D1944" t="s">
        <v>67</v>
      </c>
      <c r="E1944" t="s">
        <v>63</v>
      </c>
      <c r="F1944" t="s">
        <v>25</v>
      </c>
      <c r="G1944" s="4">
        <v>5</v>
      </c>
      <c r="H1944" s="4" t="s">
        <v>17</v>
      </c>
      <c r="I1944" s="4" t="s">
        <v>69</v>
      </c>
      <c r="J1944" s="4" t="s">
        <v>66</v>
      </c>
      <c r="K1944" s="4">
        <v>0</v>
      </c>
      <c r="L1944" s="94">
        <v>-73243</v>
      </c>
      <c r="M1944" s="94">
        <v>0</v>
      </c>
    </row>
    <row r="1945" spans="3:13" x14ac:dyDescent="0.3">
      <c r="C1945" t="s">
        <v>71</v>
      </c>
      <c r="D1945" t="s">
        <v>67</v>
      </c>
      <c r="E1945" t="s">
        <v>68</v>
      </c>
      <c r="F1945" t="s">
        <v>26</v>
      </c>
      <c r="G1945" s="4">
        <v>0</v>
      </c>
      <c r="H1945" s="4" t="s">
        <v>14</v>
      </c>
      <c r="I1945" s="4" t="s">
        <v>69</v>
      </c>
      <c r="J1945" s="4" t="s">
        <v>73</v>
      </c>
      <c r="K1945" s="4">
        <v>1</v>
      </c>
      <c r="L1945" s="94">
        <v>967941</v>
      </c>
      <c r="M1945" s="94">
        <v>0</v>
      </c>
    </row>
    <row r="1946" spans="3:13" x14ac:dyDescent="0.3">
      <c r="C1946" t="s">
        <v>70</v>
      </c>
      <c r="D1946" t="s">
        <v>67</v>
      </c>
      <c r="E1946" t="s">
        <v>68</v>
      </c>
      <c r="F1946" t="s">
        <v>25</v>
      </c>
      <c r="G1946" s="4">
        <v>3</v>
      </c>
      <c r="H1946" s="4" t="s">
        <v>80</v>
      </c>
      <c r="I1946" s="4" t="s">
        <v>69</v>
      </c>
      <c r="J1946" s="4" t="s">
        <v>66</v>
      </c>
      <c r="K1946" s="4">
        <v>0</v>
      </c>
      <c r="L1946" s="94">
        <v>253312</v>
      </c>
      <c r="M1946" s="94">
        <v>759936</v>
      </c>
    </row>
    <row r="1947" spans="3:13" x14ac:dyDescent="0.3">
      <c r="C1947" t="s">
        <v>71</v>
      </c>
      <c r="D1947" t="s">
        <v>62</v>
      </c>
      <c r="E1947" t="s">
        <v>63</v>
      </c>
      <c r="F1947" t="s">
        <v>24</v>
      </c>
      <c r="G1947" s="4">
        <v>4</v>
      </c>
      <c r="I1947" s="4" t="s">
        <v>69</v>
      </c>
      <c r="J1947" s="4" t="s">
        <v>66</v>
      </c>
      <c r="K1947" s="4">
        <v>0</v>
      </c>
      <c r="L1947" s="94">
        <v>-404454</v>
      </c>
      <c r="M1947" s="94">
        <v>0</v>
      </c>
    </row>
    <row r="1948" spans="3:13" x14ac:dyDescent="0.3">
      <c r="C1948" t="s">
        <v>61</v>
      </c>
      <c r="D1948" t="s">
        <v>67</v>
      </c>
      <c r="E1948" t="s">
        <v>68</v>
      </c>
      <c r="F1948" t="s">
        <v>25</v>
      </c>
      <c r="G1948" s="4">
        <v>14</v>
      </c>
      <c r="H1948" s="4" t="s">
        <v>74</v>
      </c>
      <c r="I1948" s="4" t="s">
        <v>69</v>
      </c>
      <c r="J1948" s="4" t="s">
        <v>66</v>
      </c>
      <c r="K1948" s="4">
        <v>0</v>
      </c>
      <c r="L1948" s="94">
        <v>3373689</v>
      </c>
      <c r="M1948" s="94">
        <v>47231646</v>
      </c>
    </row>
    <row r="1949" spans="3:13" x14ac:dyDescent="0.3">
      <c r="C1949" t="s">
        <v>61</v>
      </c>
      <c r="D1949" t="s">
        <v>67</v>
      </c>
      <c r="E1949" t="s">
        <v>68</v>
      </c>
      <c r="F1949" t="s">
        <v>26</v>
      </c>
      <c r="G1949" s="4">
        <v>7</v>
      </c>
      <c r="H1949" s="4" t="s">
        <v>15</v>
      </c>
      <c r="I1949" s="4" t="s">
        <v>69</v>
      </c>
      <c r="J1949" s="4" t="s">
        <v>73</v>
      </c>
      <c r="K1949" s="4">
        <v>1</v>
      </c>
      <c r="L1949" s="94">
        <v>65461817</v>
      </c>
      <c r="M1949" s="94">
        <v>458232719</v>
      </c>
    </row>
    <row r="1950" spans="3:13" x14ac:dyDescent="0.3">
      <c r="C1950" t="s">
        <v>71</v>
      </c>
      <c r="D1950" t="s">
        <v>67</v>
      </c>
      <c r="E1950" t="s">
        <v>63</v>
      </c>
      <c r="F1950" t="s">
        <v>72</v>
      </c>
      <c r="G1950" s="4">
        <v>1</v>
      </c>
      <c r="H1950" s="4" t="s">
        <v>18</v>
      </c>
      <c r="I1950" s="4" t="s">
        <v>69</v>
      </c>
      <c r="J1950" s="4" t="s">
        <v>66</v>
      </c>
      <c r="K1950" s="4">
        <v>0</v>
      </c>
      <c r="L1950" s="94">
        <v>-71521</v>
      </c>
      <c r="M1950" s="94">
        <v>0</v>
      </c>
    </row>
    <row r="1951" spans="3:13" x14ac:dyDescent="0.3">
      <c r="C1951" t="s">
        <v>71</v>
      </c>
      <c r="D1951" t="s">
        <v>67</v>
      </c>
      <c r="E1951" t="s">
        <v>63</v>
      </c>
      <c r="F1951" t="s">
        <v>25</v>
      </c>
      <c r="G1951" s="4">
        <v>3</v>
      </c>
      <c r="H1951" s="4" t="s">
        <v>18</v>
      </c>
      <c r="I1951" s="4" t="s">
        <v>69</v>
      </c>
      <c r="J1951" s="4" t="s">
        <v>66</v>
      </c>
      <c r="K1951" s="4">
        <v>0</v>
      </c>
      <c r="L1951" s="94">
        <v>-86508</v>
      </c>
      <c r="M1951" s="94">
        <v>0</v>
      </c>
    </row>
    <row r="1952" spans="3:13" x14ac:dyDescent="0.3">
      <c r="C1952" t="s">
        <v>71</v>
      </c>
      <c r="D1952" t="s">
        <v>62</v>
      </c>
      <c r="E1952" t="s">
        <v>63</v>
      </c>
      <c r="F1952" t="s">
        <v>24</v>
      </c>
      <c r="G1952" s="4">
        <v>36</v>
      </c>
      <c r="I1952" s="4" t="s">
        <v>69</v>
      </c>
      <c r="J1952" s="4" t="s">
        <v>66</v>
      </c>
      <c r="K1952" s="4">
        <v>1</v>
      </c>
      <c r="L1952" s="94">
        <v>-16985</v>
      </c>
      <c r="M1952" s="94">
        <v>0</v>
      </c>
    </row>
    <row r="1953" spans="3:13" x14ac:dyDescent="0.3">
      <c r="C1953" t="s">
        <v>61</v>
      </c>
      <c r="D1953" t="s">
        <v>67</v>
      </c>
      <c r="E1953" t="s">
        <v>63</v>
      </c>
      <c r="F1953" t="s">
        <v>25</v>
      </c>
      <c r="G1953" s="4">
        <v>9</v>
      </c>
      <c r="H1953" s="4" t="s">
        <v>64</v>
      </c>
      <c r="I1953" s="4" t="s">
        <v>69</v>
      </c>
      <c r="J1953" s="4" t="s">
        <v>66</v>
      </c>
      <c r="K1953" s="4">
        <v>0</v>
      </c>
      <c r="L1953" s="94">
        <v>-4759</v>
      </c>
      <c r="M1953" s="94">
        <v>0</v>
      </c>
    </row>
    <row r="1954" spans="3:13" x14ac:dyDescent="0.3">
      <c r="C1954" t="s">
        <v>61</v>
      </c>
      <c r="D1954" t="s">
        <v>67</v>
      </c>
      <c r="E1954" t="s">
        <v>68</v>
      </c>
      <c r="F1954" t="s">
        <v>25</v>
      </c>
      <c r="G1954" s="4">
        <v>12</v>
      </c>
      <c r="H1954" s="4" t="s">
        <v>74</v>
      </c>
      <c r="I1954" s="4" t="s">
        <v>69</v>
      </c>
      <c r="J1954" s="4" t="s">
        <v>66</v>
      </c>
      <c r="K1954" s="4">
        <v>0</v>
      </c>
      <c r="L1954" s="94">
        <v>5843289</v>
      </c>
      <c r="M1954" s="94">
        <v>70119468</v>
      </c>
    </row>
    <row r="1955" spans="3:13" x14ac:dyDescent="0.3">
      <c r="C1955" t="s">
        <v>61</v>
      </c>
      <c r="D1955" t="s">
        <v>67</v>
      </c>
      <c r="E1955" t="s">
        <v>63</v>
      </c>
      <c r="F1955" t="s">
        <v>25</v>
      </c>
      <c r="G1955" s="4">
        <v>14</v>
      </c>
      <c r="H1955" s="4" t="s">
        <v>79</v>
      </c>
      <c r="I1955" s="4" t="s">
        <v>69</v>
      </c>
      <c r="J1955" s="4" t="s">
        <v>66</v>
      </c>
      <c r="K1955" s="4">
        <v>0</v>
      </c>
      <c r="L1955" s="94">
        <v>-4980</v>
      </c>
      <c r="M1955" s="94">
        <v>0</v>
      </c>
    </row>
    <row r="1956" spans="3:13" x14ac:dyDescent="0.3">
      <c r="C1956" t="s">
        <v>71</v>
      </c>
      <c r="D1956" t="s">
        <v>67</v>
      </c>
      <c r="E1956" t="s">
        <v>63</v>
      </c>
      <c r="F1956" t="s">
        <v>26</v>
      </c>
      <c r="G1956" s="4">
        <v>10</v>
      </c>
      <c r="H1956" s="4" t="s">
        <v>74</v>
      </c>
      <c r="I1956" s="4" t="s">
        <v>69</v>
      </c>
      <c r="J1956" s="4" t="s">
        <v>66</v>
      </c>
      <c r="K1956" s="4">
        <v>0</v>
      </c>
      <c r="L1956" s="94">
        <v>-19923</v>
      </c>
      <c r="M1956" s="94">
        <v>0</v>
      </c>
    </row>
    <row r="1957" spans="3:13" x14ac:dyDescent="0.3">
      <c r="C1957" t="s">
        <v>61</v>
      </c>
      <c r="D1957" t="s">
        <v>67</v>
      </c>
      <c r="E1957" t="s">
        <v>68</v>
      </c>
      <c r="F1957" t="s">
        <v>26</v>
      </c>
      <c r="G1957" s="4">
        <v>6</v>
      </c>
      <c r="H1957" s="4" t="s">
        <v>18</v>
      </c>
      <c r="I1957" s="4" t="s">
        <v>69</v>
      </c>
      <c r="J1957" s="4" t="s">
        <v>73</v>
      </c>
      <c r="K1957" s="4">
        <v>1</v>
      </c>
      <c r="L1957" s="94">
        <v>1299300</v>
      </c>
      <c r="M1957" s="94">
        <v>7795800</v>
      </c>
    </row>
    <row r="1958" spans="3:13" x14ac:dyDescent="0.3">
      <c r="C1958" t="s">
        <v>70</v>
      </c>
      <c r="D1958" t="s">
        <v>62</v>
      </c>
      <c r="E1958" t="s">
        <v>63</v>
      </c>
      <c r="F1958" t="s">
        <v>24</v>
      </c>
      <c r="G1958" s="4">
        <v>22</v>
      </c>
      <c r="I1958" s="4" t="s">
        <v>69</v>
      </c>
      <c r="J1958" s="4" t="s">
        <v>66</v>
      </c>
      <c r="K1958" s="4">
        <v>0</v>
      </c>
      <c r="L1958" s="94">
        <v>-1458221</v>
      </c>
      <c r="M1958" s="94">
        <v>0</v>
      </c>
    </row>
    <row r="1959" spans="3:13" x14ac:dyDescent="0.3">
      <c r="C1959" t="s">
        <v>61</v>
      </c>
      <c r="D1959" t="s">
        <v>67</v>
      </c>
      <c r="E1959" t="s">
        <v>63</v>
      </c>
      <c r="F1959" t="s">
        <v>72</v>
      </c>
      <c r="G1959" s="4">
        <v>4</v>
      </c>
      <c r="H1959" s="4" t="s">
        <v>74</v>
      </c>
      <c r="I1959" s="4" t="s">
        <v>69</v>
      </c>
      <c r="J1959" s="4" t="s">
        <v>66</v>
      </c>
      <c r="K1959" s="4">
        <v>0</v>
      </c>
      <c r="L1959" s="94">
        <v>-38652</v>
      </c>
      <c r="M1959" s="94">
        <v>0</v>
      </c>
    </row>
    <row r="1960" spans="3:13" x14ac:dyDescent="0.3">
      <c r="C1960" t="s">
        <v>70</v>
      </c>
      <c r="D1960" t="s">
        <v>67</v>
      </c>
      <c r="E1960" t="s">
        <v>68</v>
      </c>
      <c r="F1960" t="s">
        <v>25</v>
      </c>
      <c r="G1960" s="4">
        <v>11</v>
      </c>
      <c r="H1960" s="4" t="s">
        <v>14</v>
      </c>
      <c r="I1960" s="4" t="s">
        <v>69</v>
      </c>
      <c r="J1960" s="4" t="s">
        <v>66</v>
      </c>
      <c r="K1960" s="4">
        <v>1</v>
      </c>
      <c r="L1960" s="94">
        <v>1326129</v>
      </c>
      <c r="M1960" s="94">
        <v>14587419</v>
      </c>
    </row>
    <row r="1961" spans="3:13" x14ac:dyDescent="0.3">
      <c r="C1961" t="s">
        <v>61</v>
      </c>
      <c r="D1961" t="s">
        <v>67</v>
      </c>
      <c r="E1961" t="s">
        <v>68</v>
      </c>
      <c r="F1961" t="s">
        <v>25</v>
      </c>
      <c r="G1961" s="4">
        <v>11</v>
      </c>
      <c r="H1961" s="4" t="s">
        <v>18</v>
      </c>
      <c r="I1961" s="4" t="s">
        <v>69</v>
      </c>
      <c r="J1961" s="4" t="s">
        <v>66</v>
      </c>
      <c r="K1961" s="4">
        <v>0</v>
      </c>
      <c r="L1961" s="94">
        <v>6102065</v>
      </c>
      <c r="M1961" s="94">
        <v>67122715</v>
      </c>
    </row>
    <row r="1962" spans="3:13" x14ac:dyDescent="0.3">
      <c r="C1962" t="s">
        <v>61</v>
      </c>
      <c r="D1962" t="s">
        <v>67</v>
      </c>
      <c r="E1962" t="s">
        <v>63</v>
      </c>
      <c r="F1962" t="s">
        <v>72</v>
      </c>
      <c r="G1962" s="4">
        <v>1</v>
      </c>
      <c r="H1962" s="4" t="s">
        <v>18</v>
      </c>
      <c r="I1962" s="4" t="s">
        <v>69</v>
      </c>
      <c r="J1962" s="4" t="s">
        <v>73</v>
      </c>
      <c r="K1962" s="4">
        <v>1</v>
      </c>
      <c r="L1962" s="94">
        <v>-1326</v>
      </c>
      <c r="M1962" s="94">
        <v>0</v>
      </c>
    </row>
    <row r="1963" spans="3:13" x14ac:dyDescent="0.3">
      <c r="C1963" t="s">
        <v>70</v>
      </c>
      <c r="D1963" t="s">
        <v>62</v>
      </c>
      <c r="E1963" t="s">
        <v>68</v>
      </c>
      <c r="F1963" t="s">
        <v>24</v>
      </c>
      <c r="G1963" s="4">
        <v>44</v>
      </c>
      <c r="I1963" s="4" t="s">
        <v>69</v>
      </c>
      <c r="J1963" s="4" t="s">
        <v>66</v>
      </c>
      <c r="K1963" s="4">
        <v>0</v>
      </c>
      <c r="L1963" s="94">
        <v>1977162</v>
      </c>
      <c r="M1963" s="94">
        <v>86995128</v>
      </c>
    </row>
    <row r="1964" spans="3:13" x14ac:dyDescent="0.3">
      <c r="C1964" t="s">
        <v>61</v>
      </c>
      <c r="D1964" t="s">
        <v>67</v>
      </c>
      <c r="E1964" t="s">
        <v>63</v>
      </c>
      <c r="F1964" t="s">
        <v>25</v>
      </c>
      <c r="G1964" s="4">
        <v>4</v>
      </c>
      <c r="H1964" s="4" t="s">
        <v>12</v>
      </c>
      <c r="I1964" s="4" t="s">
        <v>69</v>
      </c>
      <c r="J1964" s="4" t="s">
        <v>66</v>
      </c>
      <c r="K1964" s="4">
        <v>1</v>
      </c>
      <c r="L1964" s="94">
        <v>-1031</v>
      </c>
      <c r="M1964" s="94">
        <v>0</v>
      </c>
    </row>
    <row r="1965" spans="3:13" x14ac:dyDescent="0.3">
      <c r="C1965" t="s">
        <v>70</v>
      </c>
      <c r="D1965" t="s">
        <v>62</v>
      </c>
      <c r="E1965" t="s">
        <v>68</v>
      </c>
      <c r="F1965" t="s">
        <v>24</v>
      </c>
      <c r="G1965" s="4">
        <v>29</v>
      </c>
      <c r="I1965" s="4" t="s">
        <v>69</v>
      </c>
      <c r="J1965" s="4" t="s">
        <v>66</v>
      </c>
      <c r="K1965" s="4">
        <v>0</v>
      </c>
      <c r="L1965" s="94">
        <v>61001835</v>
      </c>
      <c r="M1965" s="94">
        <v>1769053215</v>
      </c>
    </row>
    <row r="1966" spans="3:13" x14ac:dyDescent="0.3">
      <c r="C1966" t="s">
        <v>61</v>
      </c>
      <c r="D1966" t="s">
        <v>67</v>
      </c>
      <c r="E1966" t="s">
        <v>68</v>
      </c>
      <c r="F1966" t="s">
        <v>72</v>
      </c>
      <c r="G1966" s="4">
        <v>2</v>
      </c>
      <c r="H1966" s="4" t="s">
        <v>75</v>
      </c>
      <c r="I1966" s="4" t="s">
        <v>69</v>
      </c>
      <c r="J1966" s="4" t="s">
        <v>66</v>
      </c>
      <c r="K1966" s="4">
        <v>0</v>
      </c>
      <c r="L1966" s="94">
        <v>16746142</v>
      </c>
      <c r="M1966" s="94">
        <v>33492284</v>
      </c>
    </row>
    <row r="1967" spans="3:13" x14ac:dyDescent="0.3">
      <c r="C1967" t="s">
        <v>70</v>
      </c>
      <c r="D1967" t="s">
        <v>67</v>
      </c>
      <c r="E1967" t="s">
        <v>63</v>
      </c>
      <c r="F1967" t="s">
        <v>72</v>
      </c>
      <c r="G1967" s="4">
        <v>4</v>
      </c>
      <c r="H1967" s="4" t="s">
        <v>17</v>
      </c>
      <c r="I1967" s="4" t="s">
        <v>65</v>
      </c>
      <c r="J1967" s="4" t="s">
        <v>73</v>
      </c>
      <c r="K1967" s="4">
        <v>1</v>
      </c>
      <c r="L1967" s="94">
        <v>-7700</v>
      </c>
      <c r="M1967" s="94">
        <v>0</v>
      </c>
    </row>
    <row r="1968" spans="3:13" x14ac:dyDescent="0.3">
      <c r="C1968" t="s">
        <v>61</v>
      </c>
      <c r="D1968" t="s">
        <v>67</v>
      </c>
      <c r="E1968" t="s">
        <v>68</v>
      </c>
      <c r="F1968" t="s">
        <v>72</v>
      </c>
      <c r="G1968" s="4">
        <v>1</v>
      </c>
      <c r="H1968" s="4" t="s">
        <v>17</v>
      </c>
      <c r="I1968" s="4" t="s">
        <v>69</v>
      </c>
      <c r="J1968" s="4" t="s">
        <v>73</v>
      </c>
      <c r="K1968" s="4">
        <v>1</v>
      </c>
      <c r="L1968" s="94">
        <v>171098</v>
      </c>
      <c r="M1968" s="94">
        <v>171098</v>
      </c>
    </row>
    <row r="1969" spans="3:13" x14ac:dyDescent="0.3">
      <c r="C1969" t="s">
        <v>61</v>
      </c>
      <c r="D1969" t="s">
        <v>67</v>
      </c>
      <c r="E1969" t="s">
        <v>68</v>
      </c>
      <c r="F1969" t="s">
        <v>25</v>
      </c>
      <c r="G1969" s="4">
        <v>0</v>
      </c>
      <c r="H1969" s="4" t="s">
        <v>14</v>
      </c>
      <c r="I1969" s="4" t="s">
        <v>69</v>
      </c>
      <c r="J1969" s="4" t="s">
        <v>66</v>
      </c>
      <c r="K1969" s="4">
        <v>0</v>
      </c>
      <c r="L1969" s="94">
        <v>103466</v>
      </c>
      <c r="M1969" s="94">
        <v>0</v>
      </c>
    </row>
    <row r="1970" spans="3:13" x14ac:dyDescent="0.3">
      <c r="C1970" t="s">
        <v>71</v>
      </c>
      <c r="D1970" t="s">
        <v>62</v>
      </c>
      <c r="E1970" t="s">
        <v>63</v>
      </c>
      <c r="F1970" t="s">
        <v>24</v>
      </c>
      <c r="G1970" s="4">
        <v>0</v>
      </c>
      <c r="I1970" s="4" t="s">
        <v>69</v>
      </c>
      <c r="J1970" s="4" t="s">
        <v>66</v>
      </c>
      <c r="K1970" s="4">
        <v>0</v>
      </c>
      <c r="L1970" s="94">
        <v>-38278</v>
      </c>
      <c r="M1970" s="94">
        <v>0</v>
      </c>
    </row>
    <row r="1971" spans="3:13" x14ac:dyDescent="0.3">
      <c r="C1971" t="s">
        <v>61</v>
      </c>
      <c r="D1971" t="s">
        <v>67</v>
      </c>
      <c r="E1971" t="s">
        <v>63</v>
      </c>
      <c r="F1971" t="s">
        <v>25</v>
      </c>
      <c r="G1971" s="4">
        <v>2</v>
      </c>
      <c r="H1971" s="4" t="s">
        <v>78</v>
      </c>
      <c r="I1971" s="4" t="s">
        <v>69</v>
      </c>
      <c r="J1971" s="4" t="s">
        <v>66</v>
      </c>
      <c r="K1971" s="4">
        <v>0</v>
      </c>
      <c r="L1971" s="94">
        <v>-2797</v>
      </c>
      <c r="M1971" s="94">
        <v>0</v>
      </c>
    </row>
    <row r="1972" spans="3:13" x14ac:dyDescent="0.3">
      <c r="C1972" t="s">
        <v>61</v>
      </c>
      <c r="D1972" t="s">
        <v>67</v>
      </c>
      <c r="E1972" t="s">
        <v>63</v>
      </c>
      <c r="F1972" t="s">
        <v>26</v>
      </c>
      <c r="G1972" s="4">
        <v>3</v>
      </c>
      <c r="H1972" s="4" t="s">
        <v>14</v>
      </c>
      <c r="I1972" s="4" t="s">
        <v>69</v>
      </c>
      <c r="J1972" s="4" t="s">
        <v>66</v>
      </c>
      <c r="K1972" s="4">
        <v>0</v>
      </c>
      <c r="L1972" s="94">
        <v>-131252</v>
      </c>
      <c r="M1972" s="94">
        <v>0</v>
      </c>
    </row>
    <row r="1973" spans="3:13" x14ac:dyDescent="0.3">
      <c r="C1973" t="s">
        <v>70</v>
      </c>
      <c r="D1973" t="s">
        <v>67</v>
      </c>
      <c r="E1973" t="s">
        <v>63</v>
      </c>
      <c r="F1973" t="s">
        <v>72</v>
      </c>
      <c r="G1973" s="4">
        <v>0</v>
      </c>
      <c r="H1973" s="4" t="s">
        <v>12</v>
      </c>
      <c r="I1973" s="4" t="s">
        <v>69</v>
      </c>
      <c r="J1973" s="4" t="s">
        <v>66</v>
      </c>
      <c r="K1973" s="4">
        <v>0</v>
      </c>
      <c r="L1973" s="94">
        <v>-296</v>
      </c>
      <c r="M1973" s="94">
        <v>0</v>
      </c>
    </row>
    <row r="1974" spans="3:13" x14ac:dyDescent="0.3">
      <c r="C1974" t="s">
        <v>71</v>
      </c>
      <c r="D1974" t="s">
        <v>67</v>
      </c>
      <c r="E1974" t="s">
        <v>63</v>
      </c>
      <c r="F1974" t="s">
        <v>26</v>
      </c>
      <c r="G1974" s="4">
        <v>11</v>
      </c>
      <c r="H1974" s="4" t="s">
        <v>17</v>
      </c>
      <c r="I1974" s="4" t="s">
        <v>65</v>
      </c>
      <c r="J1974" s="4" t="s">
        <v>73</v>
      </c>
      <c r="K1974" s="4">
        <v>1</v>
      </c>
      <c r="L1974" s="94">
        <v>-120269</v>
      </c>
      <c r="M1974" s="94">
        <v>0</v>
      </c>
    </row>
    <row r="1975" spans="3:13" x14ac:dyDescent="0.3">
      <c r="C1975" t="s">
        <v>70</v>
      </c>
      <c r="D1975" t="s">
        <v>67</v>
      </c>
      <c r="E1975" t="s">
        <v>68</v>
      </c>
      <c r="F1975" t="s">
        <v>25</v>
      </c>
      <c r="G1975" s="4">
        <v>8</v>
      </c>
      <c r="H1975" s="4" t="s">
        <v>80</v>
      </c>
      <c r="I1975" s="4" t="s">
        <v>65</v>
      </c>
      <c r="J1975" s="4" t="s">
        <v>66</v>
      </c>
      <c r="K1975" s="4">
        <v>1</v>
      </c>
      <c r="L1975" s="94">
        <v>68274</v>
      </c>
      <c r="M1975" s="94">
        <v>546192</v>
      </c>
    </row>
    <row r="1976" spans="3:13" x14ac:dyDescent="0.3">
      <c r="C1976" t="s">
        <v>61</v>
      </c>
      <c r="D1976" t="s">
        <v>62</v>
      </c>
      <c r="E1976" t="s">
        <v>68</v>
      </c>
      <c r="F1976" t="s">
        <v>24</v>
      </c>
      <c r="G1976" s="4">
        <v>29</v>
      </c>
      <c r="I1976" s="4" t="s">
        <v>65</v>
      </c>
      <c r="J1976" s="4" t="s">
        <v>66</v>
      </c>
      <c r="K1976" s="4">
        <v>1</v>
      </c>
      <c r="L1976" s="94">
        <v>14812838</v>
      </c>
      <c r="M1976" s="94">
        <v>429572302</v>
      </c>
    </row>
    <row r="1977" spans="3:13" x14ac:dyDescent="0.3">
      <c r="C1977" t="s">
        <v>70</v>
      </c>
      <c r="D1977" t="s">
        <v>67</v>
      </c>
      <c r="E1977" t="s">
        <v>68</v>
      </c>
      <c r="F1977" t="s">
        <v>26</v>
      </c>
      <c r="G1977" s="4">
        <v>7</v>
      </c>
      <c r="H1977" s="4" t="s">
        <v>76</v>
      </c>
      <c r="I1977" s="4" t="s">
        <v>69</v>
      </c>
      <c r="J1977" s="4" t="s">
        <v>66</v>
      </c>
      <c r="K1977" s="4">
        <v>0</v>
      </c>
      <c r="L1977" s="94">
        <v>724981</v>
      </c>
      <c r="M1977" s="94">
        <v>5074867</v>
      </c>
    </row>
    <row r="1978" spans="3:13" x14ac:dyDescent="0.3">
      <c r="C1978" t="s">
        <v>70</v>
      </c>
      <c r="D1978" t="s">
        <v>67</v>
      </c>
      <c r="E1978" t="s">
        <v>63</v>
      </c>
      <c r="F1978" t="s">
        <v>26</v>
      </c>
      <c r="G1978" s="4">
        <v>1</v>
      </c>
      <c r="H1978" s="4" t="s">
        <v>77</v>
      </c>
      <c r="I1978" s="4" t="s">
        <v>69</v>
      </c>
      <c r="J1978" s="4" t="s">
        <v>66</v>
      </c>
      <c r="K1978" s="4">
        <v>0</v>
      </c>
      <c r="L1978" s="94">
        <v>-55824</v>
      </c>
      <c r="M1978" s="94">
        <v>0</v>
      </c>
    </row>
    <row r="1979" spans="3:13" x14ac:dyDescent="0.3">
      <c r="C1979" t="s">
        <v>70</v>
      </c>
      <c r="D1979" t="s">
        <v>67</v>
      </c>
      <c r="E1979" t="s">
        <v>68</v>
      </c>
      <c r="F1979" t="s">
        <v>26</v>
      </c>
      <c r="G1979" s="4">
        <v>-1</v>
      </c>
      <c r="H1979" s="4" t="s">
        <v>80</v>
      </c>
      <c r="I1979" s="4" t="s">
        <v>69</v>
      </c>
      <c r="J1979" s="4" t="s">
        <v>66</v>
      </c>
      <c r="K1979" s="4">
        <v>0</v>
      </c>
      <c r="L1979" s="94">
        <v>1219985</v>
      </c>
      <c r="M1979" s="94">
        <v>0</v>
      </c>
    </row>
    <row r="1980" spans="3:13" x14ac:dyDescent="0.3">
      <c r="C1980" t="s">
        <v>71</v>
      </c>
      <c r="D1980" t="s">
        <v>62</v>
      </c>
      <c r="E1980" t="s">
        <v>63</v>
      </c>
      <c r="F1980" t="s">
        <v>24</v>
      </c>
      <c r="G1980" s="4">
        <v>22</v>
      </c>
      <c r="I1980" s="4" t="s">
        <v>69</v>
      </c>
      <c r="J1980" s="4" t="s">
        <v>66</v>
      </c>
      <c r="K1980" s="4">
        <v>0</v>
      </c>
      <c r="L1980" s="94">
        <v>-3095662</v>
      </c>
      <c r="M1980" s="94">
        <v>0</v>
      </c>
    </row>
    <row r="1981" spans="3:13" x14ac:dyDescent="0.3">
      <c r="C1981" t="s">
        <v>70</v>
      </c>
      <c r="D1981" t="s">
        <v>67</v>
      </c>
      <c r="E1981" t="s">
        <v>68</v>
      </c>
      <c r="F1981" t="s">
        <v>26</v>
      </c>
      <c r="G1981" s="4">
        <v>3</v>
      </c>
      <c r="H1981" s="4" t="s">
        <v>17</v>
      </c>
      <c r="I1981" s="4" t="s">
        <v>65</v>
      </c>
      <c r="J1981" s="4" t="s">
        <v>73</v>
      </c>
      <c r="K1981" s="4">
        <v>1</v>
      </c>
      <c r="L1981" s="94">
        <v>889280</v>
      </c>
      <c r="M1981" s="94">
        <v>2667840</v>
      </c>
    </row>
    <row r="1982" spans="3:13" x14ac:dyDescent="0.3">
      <c r="C1982" t="s">
        <v>61</v>
      </c>
      <c r="D1982" t="s">
        <v>67</v>
      </c>
      <c r="E1982" t="s">
        <v>63</v>
      </c>
      <c r="F1982" t="s">
        <v>72</v>
      </c>
      <c r="G1982" s="4">
        <v>3</v>
      </c>
      <c r="H1982" s="4" t="s">
        <v>80</v>
      </c>
      <c r="I1982" s="4" t="s">
        <v>69</v>
      </c>
      <c r="J1982" s="4" t="s">
        <v>66</v>
      </c>
      <c r="K1982" s="4">
        <v>0</v>
      </c>
      <c r="L1982" s="94">
        <v>-1829</v>
      </c>
      <c r="M1982" s="94">
        <v>0</v>
      </c>
    </row>
    <row r="1983" spans="3:13" x14ac:dyDescent="0.3">
      <c r="C1983" t="s">
        <v>70</v>
      </c>
      <c r="D1983" t="s">
        <v>67</v>
      </c>
      <c r="E1983" t="s">
        <v>63</v>
      </c>
      <c r="F1983" t="s">
        <v>26</v>
      </c>
      <c r="G1983" s="4">
        <v>9</v>
      </c>
      <c r="H1983" s="4" t="s">
        <v>75</v>
      </c>
      <c r="I1983" s="4" t="s">
        <v>69</v>
      </c>
      <c r="J1983" s="4" t="s">
        <v>66</v>
      </c>
      <c r="K1983" s="4">
        <v>0</v>
      </c>
      <c r="L1983" s="94">
        <v>-29023</v>
      </c>
      <c r="M1983" s="94">
        <v>0</v>
      </c>
    </row>
    <row r="1984" spans="3:13" x14ac:dyDescent="0.3">
      <c r="C1984" t="s">
        <v>61</v>
      </c>
      <c r="D1984" t="s">
        <v>67</v>
      </c>
      <c r="E1984" t="s">
        <v>68</v>
      </c>
      <c r="F1984" t="s">
        <v>25</v>
      </c>
      <c r="G1984" s="4">
        <v>4</v>
      </c>
      <c r="H1984" s="4" t="s">
        <v>64</v>
      </c>
      <c r="I1984" s="4" t="s">
        <v>69</v>
      </c>
      <c r="J1984" s="4" t="s">
        <v>66</v>
      </c>
      <c r="K1984" s="4">
        <v>0</v>
      </c>
      <c r="L1984" s="94">
        <v>964865</v>
      </c>
      <c r="M1984" s="94">
        <v>3859460</v>
      </c>
    </row>
    <row r="1985" spans="3:13" x14ac:dyDescent="0.3">
      <c r="C1985" t="s">
        <v>61</v>
      </c>
      <c r="D1985" t="s">
        <v>88</v>
      </c>
      <c r="E1985" t="s">
        <v>63</v>
      </c>
      <c r="F1985" t="s">
        <v>24</v>
      </c>
      <c r="G1985" s="4">
        <v>3</v>
      </c>
      <c r="H1985" s="4" t="s">
        <v>86</v>
      </c>
      <c r="I1985" s="4" t="s">
        <v>69</v>
      </c>
      <c r="J1985" s="4" t="s">
        <v>66</v>
      </c>
      <c r="K1985" s="4">
        <v>0</v>
      </c>
      <c r="L1985" s="94">
        <v>-21</v>
      </c>
      <c r="M1985" s="94">
        <v>0</v>
      </c>
    </row>
    <row r="1986" spans="3:13" x14ac:dyDescent="0.3">
      <c r="C1986" t="s">
        <v>61</v>
      </c>
      <c r="D1986" t="s">
        <v>67</v>
      </c>
      <c r="E1986" t="s">
        <v>63</v>
      </c>
      <c r="F1986" t="s">
        <v>72</v>
      </c>
      <c r="G1986" s="4">
        <v>0</v>
      </c>
      <c r="H1986" s="4" t="s">
        <v>86</v>
      </c>
      <c r="I1986" s="4" t="s">
        <v>69</v>
      </c>
      <c r="J1986" s="4" t="s">
        <v>66</v>
      </c>
      <c r="K1986" s="4">
        <v>0</v>
      </c>
      <c r="L1986" s="94">
        <v>-42</v>
      </c>
      <c r="M1986" s="94">
        <v>0</v>
      </c>
    </row>
    <row r="1987" spans="3:13" x14ac:dyDescent="0.3">
      <c r="C1987" t="s">
        <v>61</v>
      </c>
      <c r="D1987" t="s">
        <v>67</v>
      </c>
      <c r="E1987" t="s">
        <v>68</v>
      </c>
      <c r="F1987" t="s">
        <v>25</v>
      </c>
      <c r="G1987" s="4">
        <v>11</v>
      </c>
      <c r="H1987" s="4" t="s">
        <v>76</v>
      </c>
      <c r="I1987" s="4" t="s">
        <v>69</v>
      </c>
      <c r="J1987" s="4" t="s">
        <v>66</v>
      </c>
      <c r="K1987" s="4">
        <v>0</v>
      </c>
      <c r="L1987" s="94">
        <v>73003585</v>
      </c>
      <c r="M1987" s="94">
        <v>803039435</v>
      </c>
    </row>
    <row r="1988" spans="3:13" x14ac:dyDescent="0.3">
      <c r="C1988" t="s">
        <v>61</v>
      </c>
      <c r="D1988" t="s">
        <v>67</v>
      </c>
      <c r="E1988" t="s">
        <v>63</v>
      </c>
      <c r="F1988" t="s">
        <v>72</v>
      </c>
      <c r="G1988" s="4">
        <v>4</v>
      </c>
      <c r="H1988" s="4" t="s">
        <v>14</v>
      </c>
      <c r="I1988" s="4" t="s">
        <v>69</v>
      </c>
      <c r="J1988" s="4" t="s">
        <v>66</v>
      </c>
      <c r="K1988" s="4">
        <v>0</v>
      </c>
      <c r="L1988" s="94">
        <v>-13790</v>
      </c>
      <c r="M1988" s="94">
        <v>0</v>
      </c>
    </row>
    <row r="1989" spans="3:13" x14ac:dyDescent="0.3">
      <c r="C1989" t="s">
        <v>70</v>
      </c>
      <c r="D1989" t="s">
        <v>62</v>
      </c>
      <c r="E1989" t="s">
        <v>63</v>
      </c>
      <c r="F1989" t="s">
        <v>25</v>
      </c>
      <c r="G1989" s="4">
        <v>19</v>
      </c>
      <c r="I1989" s="4" t="s">
        <v>69</v>
      </c>
      <c r="J1989" s="4" t="s">
        <v>66</v>
      </c>
      <c r="K1989" s="4">
        <v>0</v>
      </c>
      <c r="L1989" s="94">
        <v>-2955</v>
      </c>
      <c r="M1989" s="94">
        <v>0</v>
      </c>
    </row>
    <row r="1990" spans="3:13" x14ac:dyDescent="0.3">
      <c r="C1990" t="s">
        <v>61</v>
      </c>
      <c r="D1990" t="s">
        <v>67</v>
      </c>
      <c r="E1990" t="s">
        <v>68</v>
      </c>
      <c r="F1990" t="s">
        <v>26</v>
      </c>
      <c r="G1990" s="4">
        <v>8</v>
      </c>
      <c r="H1990" s="4" t="s">
        <v>15</v>
      </c>
      <c r="I1990" s="4" t="s">
        <v>69</v>
      </c>
      <c r="J1990" s="4" t="s">
        <v>73</v>
      </c>
      <c r="K1990" s="4">
        <v>1</v>
      </c>
      <c r="L1990" s="94">
        <v>230644</v>
      </c>
      <c r="M1990" s="94">
        <v>1845152</v>
      </c>
    </row>
    <row r="1991" spans="3:13" x14ac:dyDescent="0.3">
      <c r="C1991" t="s">
        <v>70</v>
      </c>
      <c r="D1991" t="s">
        <v>62</v>
      </c>
      <c r="E1991" t="s">
        <v>63</v>
      </c>
      <c r="F1991" t="s">
        <v>25</v>
      </c>
      <c r="G1991" s="4">
        <v>11</v>
      </c>
      <c r="I1991" s="4" t="s">
        <v>69</v>
      </c>
      <c r="J1991" s="4" t="s">
        <v>66</v>
      </c>
      <c r="K1991" s="4">
        <v>1</v>
      </c>
      <c r="L1991" s="94">
        <v>-416</v>
      </c>
      <c r="M1991" s="94">
        <v>0</v>
      </c>
    </row>
    <row r="1992" spans="3:13" x14ac:dyDescent="0.3">
      <c r="C1992" t="s">
        <v>70</v>
      </c>
      <c r="D1992" t="s">
        <v>67</v>
      </c>
      <c r="E1992" t="s">
        <v>63</v>
      </c>
      <c r="F1992" t="s">
        <v>26</v>
      </c>
      <c r="G1992" s="4">
        <v>-1</v>
      </c>
      <c r="H1992" s="4" t="s">
        <v>64</v>
      </c>
      <c r="I1992" s="4" t="s">
        <v>69</v>
      </c>
      <c r="J1992" s="4" t="s">
        <v>66</v>
      </c>
      <c r="K1992" s="4">
        <v>0</v>
      </c>
      <c r="L1992" s="94">
        <v>-462277</v>
      </c>
      <c r="M1992" s="94">
        <v>0</v>
      </c>
    </row>
    <row r="1993" spans="3:13" x14ac:dyDescent="0.3">
      <c r="C1993" t="s">
        <v>61</v>
      </c>
      <c r="D1993" t="s">
        <v>67</v>
      </c>
      <c r="E1993" t="s">
        <v>68</v>
      </c>
      <c r="F1993" t="s">
        <v>72</v>
      </c>
      <c r="G1993" s="4">
        <v>3</v>
      </c>
      <c r="H1993" s="4" t="s">
        <v>14</v>
      </c>
      <c r="I1993" s="4" t="s">
        <v>69</v>
      </c>
      <c r="J1993" s="4" t="s">
        <v>73</v>
      </c>
      <c r="K1993" s="4">
        <v>1</v>
      </c>
      <c r="L1993" s="94">
        <v>10329044</v>
      </c>
      <c r="M1993" s="94">
        <v>30987132</v>
      </c>
    </row>
    <row r="1994" spans="3:13" x14ac:dyDescent="0.3">
      <c r="C1994" t="s">
        <v>70</v>
      </c>
      <c r="D1994" t="s">
        <v>67</v>
      </c>
      <c r="E1994" t="s">
        <v>63</v>
      </c>
      <c r="F1994" t="s">
        <v>26</v>
      </c>
      <c r="G1994" s="4">
        <v>-4</v>
      </c>
      <c r="H1994" s="4" t="s">
        <v>74</v>
      </c>
      <c r="I1994" s="4" t="s">
        <v>69</v>
      </c>
      <c r="J1994" s="4" t="s">
        <v>66</v>
      </c>
      <c r="K1994" s="4">
        <v>0</v>
      </c>
      <c r="L1994" s="94">
        <v>-179</v>
      </c>
      <c r="M1994" s="94">
        <v>0</v>
      </c>
    </row>
    <row r="1995" spans="3:13" x14ac:dyDescent="0.3">
      <c r="C1995" t="s">
        <v>71</v>
      </c>
      <c r="D1995" t="s">
        <v>67</v>
      </c>
      <c r="E1995" t="s">
        <v>68</v>
      </c>
      <c r="F1995" t="s">
        <v>25</v>
      </c>
      <c r="G1995" s="4">
        <v>-1</v>
      </c>
      <c r="H1995" s="4" t="s">
        <v>14</v>
      </c>
      <c r="I1995" s="4" t="s">
        <v>69</v>
      </c>
      <c r="J1995" s="4" t="s">
        <v>66</v>
      </c>
      <c r="K1995" s="4">
        <v>1</v>
      </c>
      <c r="L1995" s="94">
        <v>317</v>
      </c>
      <c r="M1995" s="94">
        <v>0</v>
      </c>
    </row>
    <row r="1996" spans="3:13" x14ac:dyDescent="0.3">
      <c r="C1996" t="s">
        <v>61</v>
      </c>
      <c r="D1996" t="s">
        <v>67</v>
      </c>
      <c r="E1996" t="s">
        <v>68</v>
      </c>
      <c r="F1996" t="s">
        <v>26</v>
      </c>
      <c r="G1996" s="4">
        <v>8</v>
      </c>
      <c r="H1996" s="4" t="s">
        <v>14</v>
      </c>
      <c r="I1996" s="4" t="s">
        <v>65</v>
      </c>
      <c r="J1996" s="4" t="s">
        <v>66</v>
      </c>
      <c r="K1996" s="4">
        <v>1</v>
      </c>
      <c r="L1996" s="94">
        <v>350832</v>
      </c>
      <c r="M1996" s="94">
        <v>2806656</v>
      </c>
    </row>
    <row r="1997" spans="3:13" x14ac:dyDescent="0.3">
      <c r="C1997" t="s">
        <v>70</v>
      </c>
      <c r="D1997" t="s">
        <v>62</v>
      </c>
      <c r="E1997" t="s">
        <v>68</v>
      </c>
      <c r="F1997" t="s">
        <v>24</v>
      </c>
      <c r="G1997" s="4">
        <v>2</v>
      </c>
      <c r="I1997" s="4" t="s">
        <v>69</v>
      </c>
      <c r="J1997" s="4" t="s">
        <v>66</v>
      </c>
      <c r="K1997" s="4">
        <v>1</v>
      </c>
      <c r="L1997" s="94">
        <v>50097</v>
      </c>
      <c r="M1997" s="94">
        <v>100194</v>
      </c>
    </row>
    <row r="1998" spans="3:13" x14ac:dyDescent="0.3">
      <c r="C1998" t="s">
        <v>61</v>
      </c>
      <c r="D1998" t="s">
        <v>62</v>
      </c>
      <c r="E1998" t="s">
        <v>63</v>
      </c>
      <c r="F1998" t="s">
        <v>24</v>
      </c>
      <c r="G1998" s="4">
        <v>1</v>
      </c>
      <c r="I1998" s="4" t="s">
        <v>69</v>
      </c>
      <c r="J1998" s="4" t="s">
        <v>66</v>
      </c>
      <c r="K1998" s="4">
        <v>0</v>
      </c>
      <c r="L1998" s="94">
        <v>-5149</v>
      </c>
      <c r="M1998" s="94">
        <v>0</v>
      </c>
    </row>
    <row r="1999" spans="3:13" x14ac:dyDescent="0.3">
      <c r="C1999" t="s">
        <v>70</v>
      </c>
      <c r="D1999" t="s">
        <v>67</v>
      </c>
      <c r="E1999" t="s">
        <v>68</v>
      </c>
      <c r="F1999" t="s">
        <v>26</v>
      </c>
      <c r="G1999" s="4">
        <v>5</v>
      </c>
      <c r="H1999" s="4" t="s">
        <v>17</v>
      </c>
      <c r="I1999" s="4" t="s">
        <v>65</v>
      </c>
      <c r="J1999" s="4" t="s">
        <v>73</v>
      </c>
      <c r="K1999" s="4">
        <v>1</v>
      </c>
      <c r="L1999" s="94">
        <v>152925</v>
      </c>
      <c r="M1999" s="94">
        <v>764625</v>
      </c>
    </row>
    <row r="2000" spans="3:13" x14ac:dyDescent="0.3">
      <c r="C2000" t="s">
        <v>71</v>
      </c>
      <c r="D2000" t="s">
        <v>67</v>
      </c>
      <c r="E2000" t="s">
        <v>63</v>
      </c>
      <c r="F2000" t="s">
        <v>72</v>
      </c>
      <c r="G2000" s="4">
        <v>0</v>
      </c>
      <c r="H2000" s="4" t="s">
        <v>82</v>
      </c>
      <c r="I2000" s="4" t="s">
        <v>65</v>
      </c>
      <c r="J2000" s="4" t="s">
        <v>66</v>
      </c>
      <c r="K2000" s="4">
        <v>1</v>
      </c>
      <c r="L2000" s="94">
        <v>-8196</v>
      </c>
      <c r="M2000" s="94">
        <v>0</v>
      </c>
    </row>
    <row r="2001" spans="3:13" x14ac:dyDescent="0.3">
      <c r="C2001" t="s">
        <v>70</v>
      </c>
      <c r="D2001" t="s">
        <v>67</v>
      </c>
      <c r="E2001" t="s">
        <v>68</v>
      </c>
      <c r="F2001" t="s">
        <v>26</v>
      </c>
      <c r="G2001" s="4">
        <v>1</v>
      </c>
      <c r="H2001" s="4" t="s">
        <v>13</v>
      </c>
      <c r="I2001" s="4" t="s">
        <v>69</v>
      </c>
      <c r="J2001" s="4" t="s">
        <v>73</v>
      </c>
      <c r="K2001" s="4">
        <v>1</v>
      </c>
      <c r="L2001" s="94">
        <v>68943</v>
      </c>
      <c r="M2001" s="94">
        <v>68943</v>
      </c>
    </row>
    <row r="2002" spans="3:13" x14ac:dyDescent="0.3">
      <c r="C2002" t="s">
        <v>61</v>
      </c>
      <c r="D2002" t="s">
        <v>84</v>
      </c>
      <c r="E2002" t="s">
        <v>63</v>
      </c>
      <c r="F2002" t="s">
        <v>25</v>
      </c>
      <c r="G2002" s="4">
        <v>11</v>
      </c>
      <c r="H2002" s="4" t="s">
        <v>75</v>
      </c>
      <c r="I2002" s="4" t="s">
        <v>65</v>
      </c>
      <c r="J2002" s="4" t="s">
        <v>66</v>
      </c>
      <c r="K2002" s="4">
        <v>1</v>
      </c>
      <c r="L2002" s="94">
        <v>-866</v>
      </c>
      <c r="M2002" s="94">
        <v>0</v>
      </c>
    </row>
    <row r="2003" spans="3:13" x14ac:dyDescent="0.3">
      <c r="C2003" t="s">
        <v>61</v>
      </c>
      <c r="D2003" t="s">
        <v>84</v>
      </c>
      <c r="E2003" t="s">
        <v>68</v>
      </c>
      <c r="F2003" t="s">
        <v>25</v>
      </c>
      <c r="G2003" s="4">
        <v>-1</v>
      </c>
      <c r="H2003" s="4" t="s">
        <v>81</v>
      </c>
      <c r="I2003" s="4" t="s">
        <v>69</v>
      </c>
      <c r="J2003" s="4" t="s">
        <v>66</v>
      </c>
      <c r="K2003" s="4">
        <v>0</v>
      </c>
      <c r="L2003" s="94">
        <v>3259045</v>
      </c>
      <c r="M2003" s="94">
        <v>0</v>
      </c>
    </row>
    <row r="2004" spans="3:13" x14ac:dyDescent="0.3">
      <c r="C2004" t="s">
        <v>70</v>
      </c>
      <c r="D2004" t="s">
        <v>67</v>
      </c>
      <c r="E2004" t="s">
        <v>63</v>
      </c>
      <c r="F2004" t="s">
        <v>72</v>
      </c>
      <c r="G2004" s="4">
        <v>-1</v>
      </c>
      <c r="H2004" s="4" t="s">
        <v>12</v>
      </c>
      <c r="I2004" s="4" t="s">
        <v>69</v>
      </c>
      <c r="J2004" s="4" t="s">
        <v>73</v>
      </c>
      <c r="K2004" s="4">
        <v>1</v>
      </c>
      <c r="L2004" s="94">
        <v>-2197</v>
      </c>
      <c r="M2004" s="94">
        <v>0</v>
      </c>
    </row>
    <row r="2005" spans="3:13" x14ac:dyDescent="0.3">
      <c r="C2005" t="s">
        <v>61</v>
      </c>
      <c r="D2005" t="s">
        <v>67</v>
      </c>
      <c r="E2005" t="s">
        <v>63</v>
      </c>
      <c r="F2005" t="s">
        <v>26</v>
      </c>
      <c r="G2005" s="4">
        <v>2</v>
      </c>
      <c r="H2005" s="4" t="s">
        <v>13</v>
      </c>
      <c r="I2005" s="4" t="s">
        <v>69</v>
      </c>
      <c r="J2005" s="4" t="s">
        <v>73</v>
      </c>
      <c r="K2005" s="4">
        <v>1</v>
      </c>
      <c r="L2005" s="94">
        <v>-792</v>
      </c>
      <c r="M2005" s="94">
        <v>0</v>
      </c>
    </row>
    <row r="2006" spans="3:13" x14ac:dyDescent="0.3">
      <c r="C2006" t="s">
        <v>71</v>
      </c>
      <c r="D2006" t="s">
        <v>67</v>
      </c>
      <c r="E2006" t="s">
        <v>63</v>
      </c>
      <c r="F2006" t="s">
        <v>72</v>
      </c>
      <c r="G2006" s="4">
        <v>1</v>
      </c>
      <c r="H2006" s="4" t="s">
        <v>76</v>
      </c>
      <c r="I2006" s="4" t="s">
        <v>69</v>
      </c>
      <c r="J2006" s="4" t="s">
        <v>66</v>
      </c>
      <c r="K2006" s="4">
        <v>0</v>
      </c>
      <c r="L2006" s="94">
        <v>-40849</v>
      </c>
      <c r="M2006" s="94">
        <v>0</v>
      </c>
    </row>
    <row r="2007" spans="3:13" x14ac:dyDescent="0.3">
      <c r="C2007" t="s">
        <v>70</v>
      </c>
      <c r="D2007" t="s">
        <v>67</v>
      </c>
      <c r="E2007" t="s">
        <v>63</v>
      </c>
      <c r="F2007" t="s">
        <v>25</v>
      </c>
      <c r="G2007" s="4">
        <v>9</v>
      </c>
      <c r="H2007" s="4" t="s">
        <v>12</v>
      </c>
      <c r="I2007" s="4" t="s">
        <v>69</v>
      </c>
      <c r="J2007" s="4" t="s">
        <v>66</v>
      </c>
      <c r="K2007" s="4">
        <v>0</v>
      </c>
      <c r="L2007" s="94">
        <v>-55082</v>
      </c>
      <c r="M2007" s="94">
        <v>0</v>
      </c>
    </row>
    <row r="2008" spans="3:13" x14ac:dyDescent="0.3">
      <c r="C2008" t="s">
        <v>71</v>
      </c>
      <c r="D2008" t="s">
        <v>67</v>
      </c>
      <c r="E2008" t="s">
        <v>68</v>
      </c>
      <c r="F2008" t="s">
        <v>26</v>
      </c>
      <c r="G2008" s="4">
        <v>6</v>
      </c>
      <c r="H2008" s="4" t="s">
        <v>14</v>
      </c>
      <c r="I2008" s="4" t="s">
        <v>69</v>
      </c>
      <c r="J2008" s="4" t="s">
        <v>73</v>
      </c>
      <c r="K2008" s="4">
        <v>1</v>
      </c>
      <c r="L2008" s="94">
        <v>1405589</v>
      </c>
      <c r="M2008" s="94">
        <v>8433534</v>
      </c>
    </row>
    <row r="2009" spans="3:13" x14ac:dyDescent="0.3">
      <c r="C2009" t="s">
        <v>70</v>
      </c>
      <c r="D2009" t="s">
        <v>67</v>
      </c>
      <c r="E2009" t="s">
        <v>68</v>
      </c>
      <c r="F2009" t="s">
        <v>26</v>
      </c>
      <c r="G2009" s="4">
        <v>7</v>
      </c>
      <c r="H2009" s="4" t="s">
        <v>18</v>
      </c>
      <c r="I2009" s="4" t="s">
        <v>69</v>
      </c>
      <c r="J2009" s="4" t="s">
        <v>66</v>
      </c>
      <c r="K2009" s="4">
        <v>0</v>
      </c>
      <c r="L2009" s="94">
        <v>1976550</v>
      </c>
      <c r="M2009" s="94">
        <v>13835850</v>
      </c>
    </row>
    <row r="2010" spans="3:13" x14ac:dyDescent="0.3">
      <c r="C2010" t="s">
        <v>61</v>
      </c>
      <c r="D2010" t="s">
        <v>67</v>
      </c>
      <c r="E2010" t="s">
        <v>63</v>
      </c>
      <c r="F2010" t="s">
        <v>25</v>
      </c>
      <c r="G2010" s="4">
        <v>12</v>
      </c>
      <c r="H2010" s="4" t="s">
        <v>17</v>
      </c>
      <c r="I2010" s="4" t="s">
        <v>69</v>
      </c>
      <c r="J2010" s="4" t="s">
        <v>66</v>
      </c>
      <c r="K2010" s="4">
        <v>1</v>
      </c>
      <c r="L2010" s="94">
        <v>-65</v>
      </c>
      <c r="M2010" s="94">
        <v>0</v>
      </c>
    </row>
    <row r="2011" spans="3:13" x14ac:dyDescent="0.3">
      <c r="C2011" t="s">
        <v>61</v>
      </c>
      <c r="D2011" t="s">
        <v>62</v>
      </c>
      <c r="E2011" t="s">
        <v>68</v>
      </c>
      <c r="F2011" t="s">
        <v>25</v>
      </c>
      <c r="G2011" s="4">
        <v>4</v>
      </c>
      <c r="I2011" s="4" t="s">
        <v>69</v>
      </c>
      <c r="J2011" s="4" t="s">
        <v>66</v>
      </c>
      <c r="K2011" s="4">
        <v>1</v>
      </c>
      <c r="L2011" s="94">
        <v>22314</v>
      </c>
      <c r="M2011" s="94">
        <v>89256</v>
      </c>
    </row>
    <row r="2012" spans="3:13" x14ac:dyDescent="0.3">
      <c r="C2012" t="s">
        <v>61</v>
      </c>
      <c r="D2012" t="s">
        <v>67</v>
      </c>
      <c r="E2012" t="s">
        <v>63</v>
      </c>
      <c r="F2012" t="s">
        <v>72</v>
      </c>
      <c r="G2012" s="4">
        <v>2</v>
      </c>
      <c r="H2012" s="4" t="s">
        <v>16</v>
      </c>
      <c r="I2012" s="4" t="s">
        <v>69</v>
      </c>
      <c r="J2012" s="4" t="s">
        <v>66</v>
      </c>
      <c r="K2012" s="4">
        <v>0</v>
      </c>
      <c r="L2012" s="94">
        <v>-337</v>
      </c>
      <c r="M2012" s="94">
        <v>0</v>
      </c>
    </row>
    <row r="2013" spans="3:13" x14ac:dyDescent="0.3">
      <c r="C2013" t="s">
        <v>71</v>
      </c>
      <c r="D2013" t="s">
        <v>62</v>
      </c>
      <c r="E2013" t="s">
        <v>63</v>
      </c>
      <c r="F2013" t="s">
        <v>25</v>
      </c>
      <c r="G2013" s="4">
        <v>1</v>
      </c>
      <c r="I2013" s="4" t="s">
        <v>69</v>
      </c>
      <c r="J2013" s="4" t="s">
        <v>66</v>
      </c>
      <c r="K2013" s="4">
        <v>0</v>
      </c>
      <c r="L2013" s="94">
        <v>-15548</v>
      </c>
      <c r="M2013" s="94">
        <v>0</v>
      </c>
    </row>
    <row r="2014" spans="3:13" x14ac:dyDescent="0.3">
      <c r="C2014" t="s">
        <v>61</v>
      </c>
      <c r="D2014" t="s">
        <v>67</v>
      </c>
      <c r="E2014" t="s">
        <v>68</v>
      </c>
      <c r="F2014" t="s">
        <v>72</v>
      </c>
      <c r="G2014" s="4">
        <v>-1</v>
      </c>
      <c r="H2014" s="4" t="s">
        <v>83</v>
      </c>
      <c r="I2014" s="4" t="s">
        <v>69</v>
      </c>
      <c r="J2014" s="4" t="s">
        <v>66</v>
      </c>
      <c r="K2014" s="4">
        <v>0</v>
      </c>
      <c r="L2014" s="94">
        <v>40268</v>
      </c>
      <c r="M2014" s="94">
        <v>0</v>
      </c>
    </row>
    <row r="2015" spans="3:13" x14ac:dyDescent="0.3">
      <c r="C2015" t="s">
        <v>61</v>
      </c>
      <c r="D2015" t="s">
        <v>67</v>
      </c>
      <c r="E2015" t="s">
        <v>68</v>
      </c>
      <c r="F2015" t="s">
        <v>72</v>
      </c>
      <c r="G2015" s="4">
        <v>4</v>
      </c>
      <c r="H2015" s="4" t="s">
        <v>79</v>
      </c>
      <c r="I2015" s="4" t="s">
        <v>69</v>
      </c>
      <c r="J2015" s="4" t="s">
        <v>66</v>
      </c>
      <c r="K2015" s="4">
        <v>0</v>
      </c>
      <c r="L2015" s="94">
        <v>9984662</v>
      </c>
      <c r="M2015" s="94">
        <v>39938648</v>
      </c>
    </row>
    <row r="2016" spans="3:13" x14ac:dyDescent="0.3">
      <c r="C2016" t="s">
        <v>71</v>
      </c>
      <c r="D2016" t="s">
        <v>67</v>
      </c>
      <c r="E2016" t="s">
        <v>63</v>
      </c>
      <c r="F2016" t="s">
        <v>26</v>
      </c>
      <c r="G2016" s="4">
        <v>2</v>
      </c>
      <c r="H2016" s="4" t="s">
        <v>18</v>
      </c>
      <c r="I2016" s="4" t="s">
        <v>65</v>
      </c>
      <c r="J2016" s="4" t="s">
        <v>66</v>
      </c>
      <c r="K2016" s="4">
        <v>1</v>
      </c>
      <c r="L2016" s="94">
        <v>-1214</v>
      </c>
      <c r="M2016" s="94">
        <v>0</v>
      </c>
    </row>
    <row r="2017" spans="3:13" x14ac:dyDescent="0.3">
      <c r="C2017" t="s">
        <v>70</v>
      </c>
      <c r="D2017" t="s">
        <v>67</v>
      </c>
      <c r="E2017" t="s">
        <v>68</v>
      </c>
      <c r="F2017" t="s">
        <v>72</v>
      </c>
      <c r="G2017" s="4">
        <v>6</v>
      </c>
      <c r="H2017" s="4" t="s">
        <v>18</v>
      </c>
      <c r="I2017" s="4" t="s">
        <v>69</v>
      </c>
      <c r="J2017" s="4" t="s">
        <v>66</v>
      </c>
      <c r="K2017" s="4">
        <v>0</v>
      </c>
      <c r="L2017" s="94">
        <v>386797</v>
      </c>
      <c r="M2017" s="94">
        <v>2320782</v>
      </c>
    </row>
    <row r="2018" spans="3:13" x14ac:dyDescent="0.3">
      <c r="C2018" t="s">
        <v>71</v>
      </c>
      <c r="D2018" t="s">
        <v>62</v>
      </c>
      <c r="E2018" t="s">
        <v>68</v>
      </c>
      <c r="F2018" t="s">
        <v>24</v>
      </c>
      <c r="G2018" s="4">
        <v>0</v>
      </c>
      <c r="I2018" s="4" t="s">
        <v>69</v>
      </c>
      <c r="J2018" s="4" t="s">
        <v>66</v>
      </c>
      <c r="K2018" s="4">
        <v>0</v>
      </c>
      <c r="L2018" s="94">
        <v>138132</v>
      </c>
      <c r="M2018" s="94">
        <v>0</v>
      </c>
    </row>
    <row r="2019" spans="3:13" x14ac:dyDescent="0.3">
      <c r="C2019" t="s">
        <v>71</v>
      </c>
      <c r="D2019" t="s">
        <v>67</v>
      </c>
      <c r="E2019" t="s">
        <v>68</v>
      </c>
      <c r="F2019" t="s">
        <v>26</v>
      </c>
      <c r="G2019" s="4">
        <v>-4</v>
      </c>
      <c r="H2019" s="4" t="s">
        <v>77</v>
      </c>
      <c r="I2019" s="4" t="s">
        <v>69</v>
      </c>
      <c r="J2019" s="4" t="s">
        <v>66</v>
      </c>
      <c r="K2019" s="4">
        <v>0</v>
      </c>
      <c r="L2019" s="94">
        <v>403398</v>
      </c>
      <c r="M2019" s="94">
        <v>0</v>
      </c>
    </row>
    <row r="2020" spans="3:13" x14ac:dyDescent="0.3">
      <c r="C2020" t="s">
        <v>70</v>
      </c>
      <c r="D2020" t="s">
        <v>67</v>
      </c>
      <c r="E2020" t="s">
        <v>68</v>
      </c>
      <c r="F2020" t="s">
        <v>25</v>
      </c>
      <c r="G2020" s="4">
        <v>7</v>
      </c>
      <c r="H2020" s="4" t="s">
        <v>18</v>
      </c>
      <c r="I2020" s="4" t="s">
        <v>69</v>
      </c>
      <c r="J2020" s="4" t="s">
        <v>66</v>
      </c>
      <c r="K2020" s="4">
        <v>0</v>
      </c>
      <c r="L2020" s="94">
        <v>2078314</v>
      </c>
      <c r="M2020" s="94">
        <v>14548198</v>
      </c>
    </row>
    <row r="2021" spans="3:13" x14ac:dyDescent="0.3">
      <c r="C2021" t="s">
        <v>70</v>
      </c>
      <c r="D2021" t="s">
        <v>67</v>
      </c>
      <c r="E2021" t="s">
        <v>63</v>
      </c>
      <c r="F2021" t="s">
        <v>25</v>
      </c>
      <c r="G2021" s="4">
        <v>3</v>
      </c>
      <c r="H2021" s="4" t="s">
        <v>75</v>
      </c>
      <c r="I2021" s="4" t="s">
        <v>69</v>
      </c>
      <c r="J2021" s="4" t="s">
        <v>66</v>
      </c>
      <c r="K2021" s="4">
        <v>0</v>
      </c>
      <c r="L2021" s="94">
        <v>-153142</v>
      </c>
      <c r="M2021" s="94">
        <v>0</v>
      </c>
    </row>
    <row r="2022" spans="3:13" x14ac:dyDescent="0.3">
      <c r="C2022" t="s">
        <v>61</v>
      </c>
      <c r="D2022" t="s">
        <v>67</v>
      </c>
      <c r="E2022" t="s">
        <v>68</v>
      </c>
      <c r="F2022" t="s">
        <v>25</v>
      </c>
      <c r="G2022" s="4">
        <v>7</v>
      </c>
      <c r="H2022" s="4" t="s">
        <v>14</v>
      </c>
      <c r="I2022" s="4" t="s">
        <v>69</v>
      </c>
      <c r="J2022" s="4" t="s">
        <v>66</v>
      </c>
      <c r="K2022" s="4">
        <v>1</v>
      </c>
      <c r="L2022" s="94">
        <v>4281521</v>
      </c>
      <c r="M2022" s="94">
        <v>29970647</v>
      </c>
    </row>
    <row r="2023" spans="3:13" x14ac:dyDescent="0.3">
      <c r="C2023" t="s">
        <v>61</v>
      </c>
      <c r="D2023" t="s">
        <v>67</v>
      </c>
      <c r="E2023" t="s">
        <v>63</v>
      </c>
      <c r="F2023" t="s">
        <v>25</v>
      </c>
      <c r="G2023" s="4">
        <v>3</v>
      </c>
      <c r="H2023" s="4" t="s">
        <v>74</v>
      </c>
      <c r="I2023" s="4" t="s">
        <v>69</v>
      </c>
      <c r="J2023" s="4" t="s">
        <v>66</v>
      </c>
      <c r="K2023" s="4">
        <v>0</v>
      </c>
      <c r="L2023" s="94">
        <v>-2287</v>
      </c>
      <c r="M2023" s="94">
        <v>0</v>
      </c>
    </row>
    <row r="2024" spans="3:13" x14ac:dyDescent="0.3">
      <c r="C2024" t="s">
        <v>71</v>
      </c>
      <c r="D2024" t="s">
        <v>67</v>
      </c>
      <c r="E2024" t="s">
        <v>68</v>
      </c>
      <c r="F2024" t="s">
        <v>72</v>
      </c>
      <c r="G2024" s="4">
        <v>-1</v>
      </c>
      <c r="H2024" s="4" t="s">
        <v>18</v>
      </c>
      <c r="I2024" s="4" t="s">
        <v>69</v>
      </c>
      <c r="J2024" s="4" t="s">
        <v>66</v>
      </c>
      <c r="K2024" s="4">
        <v>0</v>
      </c>
      <c r="L2024" s="94">
        <v>260184</v>
      </c>
      <c r="M2024" s="94">
        <v>0</v>
      </c>
    </row>
    <row r="2025" spans="3:13" x14ac:dyDescent="0.3">
      <c r="C2025" t="s">
        <v>61</v>
      </c>
      <c r="D2025" t="s">
        <v>67</v>
      </c>
      <c r="E2025" t="s">
        <v>63</v>
      </c>
      <c r="F2025" t="s">
        <v>72</v>
      </c>
      <c r="G2025" s="4">
        <v>-1</v>
      </c>
      <c r="H2025" s="4" t="s">
        <v>12</v>
      </c>
      <c r="I2025" s="4" t="s">
        <v>69</v>
      </c>
      <c r="J2025" s="4" t="s">
        <v>73</v>
      </c>
      <c r="K2025" s="4">
        <v>1</v>
      </c>
      <c r="L2025" s="94">
        <v>-957</v>
      </c>
      <c r="M2025" s="94">
        <v>0</v>
      </c>
    </row>
    <row r="2026" spans="3:13" x14ac:dyDescent="0.3">
      <c r="C2026" t="s">
        <v>61</v>
      </c>
      <c r="D2026" t="s">
        <v>67</v>
      </c>
      <c r="E2026" t="s">
        <v>63</v>
      </c>
      <c r="F2026" t="s">
        <v>25</v>
      </c>
      <c r="G2026" s="4">
        <v>0</v>
      </c>
      <c r="H2026" s="4" t="s">
        <v>79</v>
      </c>
      <c r="I2026" s="4" t="s">
        <v>69</v>
      </c>
      <c r="J2026" s="4" t="s">
        <v>66</v>
      </c>
      <c r="K2026" s="4">
        <v>0</v>
      </c>
      <c r="L2026" s="94">
        <v>-263</v>
      </c>
      <c r="M2026" s="94">
        <v>0</v>
      </c>
    </row>
    <row r="2027" spans="3:13" x14ac:dyDescent="0.3">
      <c r="C2027" t="s">
        <v>70</v>
      </c>
      <c r="D2027" t="s">
        <v>67</v>
      </c>
      <c r="E2027" t="s">
        <v>68</v>
      </c>
      <c r="F2027" t="s">
        <v>25</v>
      </c>
      <c r="G2027" s="4">
        <v>6</v>
      </c>
      <c r="H2027" s="4" t="s">
        <v>18</v>
      </c>
      <c r="I2027" s="4" t="s">
        <v>69</v>
      </c>
      <c r="J2027" s="4" t="s">
        <v>66</v>
      </c>
      <c r="K2027" s="4">
        <v>0</v>
      </c>
      <c r="L2027" s="94">
        <v>4845439</v>
      </c>
      <c r="M2027" s="94">
        <v>29072634</v>
      </c>
    </row>
    <row r="2028" spans="3:13" x14ac:dyDescent="0.3">
      <c r="C2028" t="s">
        <v>70</v>
      </c>
      <c r="D2028" t="s">
        <v>84</v>
      </c>
      <c r="E2028" t="s">
        <v>68</v>
      </c>
      <c r="F2028" t="s">
        <v>25</v>
      </c>
      <c r="G2028" s="4">
        <v>-4</v>
      </c>
      <c r="H2028" s="4" t="s">
        <v>81</v>
      </c>
      <c r="I2028" s="4" t="s">
        <v>69</v>
      </c>
      <c r="J2028" s="4" t="s">
        <v>66</v>
      </c>
      <c r="K2028" s="4">
        <v>0</v>
      </c>
      <c r="L2028" s="94">
        <v>42</v>
      </c>
      <c r="M2028" s="94">
        <v>0</v>
      </c>
    </row>
    <row r="2029" spans="3:13" x14ac:dyDescent="0.3">
      <c r="C2029" t="s">
        <v>70</v>
      </c>
      <c r="D2029" t="s">
        <v>67</v>
      </c>
      <c r="E2029" t="s">
        <v>63</v>
      </c>
      <c r="F2029" t="s">
        <v>25</v>
      </c>
      <c r="G2029" s="4">
        <v>6</v>
      </c>
      <c r="H2029" s="4" t="s">
        <v>14</v>
      </c>
      <c r="I2029" s="4" t="s">
        <v>69</v>
      </c>
      <c r="J2029" s="4" t="s">
        <v>66</v>
      </c>
      <c r="K2029" s="4">
        <v>1</v>
      </c>
      <c r="L2029" s="94">
        <v>-94611</v>
      </c>
      <c r="M2029" s="94">
        <v>0</v>
      </c>
    </row>
    <row r="2030" spans="3:13" x14ac:dyDescent="0.3">
      <c r="C2030" t="s">
        <v>71</v>
      </c>
      <c r="D2030" t="s">
        <v>67</v>
      </c>
      <c r="E2030" t="s">
        <v>63</v>
      </c>
      <c r="F2030" t="s">
        <v>26</v>
      </c>
      <c r="G2030" s="4">
        <v>3</v>
      </c>
      <c r="H2030" s="4" t="s">
        <v>79</v>
      </c>
      <c r="I2030" s="4" t="s">
        <v>69</v>
      </c>
      <c r="J2030" s="4" t="s">
        <v>66</v>
      </c>
      <c r="K2030" s="4">
        <v>0</v>
      </c>
      <c r="L2030" s="94">
        <v>-48465</v>
      </c>
      <c r="M2030" s="94">
        <v>0</v>
      </c>
    </row>
    <row r="2031" spans="3:13" x14ac:dyDescent="0.3">
      <c r="C2031" t="s">
        <v>61</v>
      </c>
      <c r="D2031" t="s">
        <v>67</v>
      </c>
      <c r="E2031" t="s">
        <v>63</v>
      </c>
      <c r="F2031" t="s">
        <v>72</v>
      </c>
      <c r="G2031" s="4">
        <v>5</v>
      </c>
      <c r="H2031" s="4" t="s">
        <v>17</v>
      </c>
      <c r="I2031" s="4" t="s">
        <v>65</v>
      </c>
      <c r="J2031" s="4" t="s">
        <v>73</v>
      </c>
      <c r="K2031" s="4">
        <v>1</v>
      </c>
      <c r="L2031" s="94">
        <v>-399</v>
      </c>
      <c r="M2031" s="94">
        <v>0</v>
      </c>
    </row>
    <row r="2032" spans="3:13" x14ac:dyDescent="0.3">
      <c r="C2032" t="s">
        <v>61</v>
      </c>
      <c r="D2032" t="s">
        <v>67</v>
      </c>
      <c r="E2032" t="s">
        <v>63</v>
      </c>
      <c r="F2032" t="s">
        <v>25</v>
      </c>
      <c r="G2032" s="4">
        <v>6</v>
      </c>
      <c r="H2032" s="4" t="s">
        <v>13</v>
      </c>
      <c r="I2032" s="4" t="s">
        <v>69</v>
      </c>
      <c r="J2032" s="4" t="s">
        <v>66</v>
      </c>
      <c r="K2032" s="4">
        <v>1</v>
      </c>
      <c r="L2032" s="94">
        <v>-76</v>
      </c>
      <c r="M2032" s="94">
        <v>0</v>
      </c>
    </row>
    <row r="2033" spans="3:13" x14ac:dyDescent="0.3">
      <c r="C2033" t="s">
        <v>71</v>
      </c>
      <c r="D2033" t="s">
        <v>67</v>
      </c>
      <c r="E2033" t="s">
        <v>63</v>
      </c>
      <c r="F2033" t="s">
        <v>25</v>
      </c>
      <c r="G2033" s="4">
        <v>5</v>
      </c>
      <c r="H2033" s="4" t="s">
        <v>75</v>
      </c>
      <c r="I2033" s="4" t="s">
        <v>69</v>
      </c>
      <c r="J2033" s="4" t="s">
        <v>66</v>
      </c>
      <c r="K2033" s="4">
        <v>0</v>
      </c>
      <c r="L2033" s="94">
        <v>-220757</v>
      </c>
      <c r="M2033" s="94">
        <v>0</v>
      </c>
    </row>
    <row r="2034" spans="3:13" x14ac:dyDescent="0.3">
      <c r="C2034" t="s">
        <v>61</v>
      </c>
      <c r="D2034" t="s">
        <v>62</v>
      </c>
      <c r="E2034" t="s">
        <v>68</v>
      </c>
      <c r="F2034" t="s">
        <v>24</v>
      </c>
      <c r="G2034" s="4">
        <v>36</v>
      </c>
      <c r="I2034" s="4" t="s">
        <v>69</v>
      </c>
      <c r="J2034" s="4" t="s">
        <v>66</v>
      </c>
      <c r="K2034" s="4">
        <v>0</v>
      </c>
      <c r="L2034" s="94">
        <v>1358864460</v>
      </c>
      <c r="M2034" s="94">
        <v>48919120560</v>
      </c>
    </row>
    <row r="2035" spans="3:13" x14ac:dyDescent="0.3">
      <c r="C2035" t="s">
        <v>70</v>
      </c>
      <c r="D2035" t="s">
        <v>67</v>
      </c>
      <c r="E2035" t="s">
        <v>63</v>
      </c>
      <c r="F2035" t="s">
        <v>26</v>
      </c>
      <c r="G2035" s="4">
        <v>-1</v>
      </c>
      <c r="H2035" s="4" t="s">
        <v>78</v>
      </c>
      <c r="I2035" s="4" t="s">
        <v>69</v>
      </c>
      <c r="J2035" s="4" t="s">
        <v>66</v>
      </c>
      <c r="K2035" s="4">
        <v>0</v>
      </c>
      <c r="L2035" s="94">
        <v>-45030</v>
      </c>
      <c r="M2035" s="94">
        <v>0</v>
      </c>
    </row>
    <row r="2036" spans="3:13" x14ac:dyDescent="0.3">
      <c r="C2036" t="s">
        <v>61</v>
      </c>
      <c r="D2036" t="s">
        <v>67</v>
      </c>
      <c r="E2036" t="s">
        <v>68</v>
      </c>
      <c r="F2036" t="s">
        <v>26</v>
      </c>
      <c r="G2036" s="4">
        <v>1</v>
      </c>
      <c r="H2036" s="4" t="s">
        <v>17</v>
      </c>
      <c r="I2036" s="4" t="s">
        <v>65</v>
      </c>
      <c r="J2036" s="4" t="s">
        <v>73</v>
      </c>
      <c r="K2036" s="4">
        <v>1</v>
      </c>
      <c r="L2036" s="94">
        <v>905292</v>
      </c>
      <c r="M2036" s="94">
        <v>905292</v>
      </c>
    </row>
    <row r="2037" spans="3:13" x14ac:dyDescent="0.3">
      <c r="C2037" t="s">
        <v>61</v>
      </c>
      <c r="D2037" t="s">
        <v>67</v>
      </c>
      <c r="E2037" t="s">
        <v>63</v>
      </c>
      <c r="F2037" t="s">
        <v>25</v>
      </c>
      <c r="G2037" s="4">
        <v>10</v>
      </c>
      <c r="H2037" s="4" t="s">
        <v>83</v>
      </c>
      <c r="I2037" s="4" t="s">
        <v>69</v>
      </c>
      <c r="J2037" s="4" t="s">
        <v>66</v>
      </c>
      <c r="K2037" s="4">
        <v>0</v>
      </c>
      <c r="L2037" s="94">
        <v>-7361</v>
      </c>
      <c r="M2037" s="94">
        <v>0</v>
      </c>
    </row>
    <row r="2038" spans="3:13" x14ac:dyDescent="0.3">
      <c r="C2038" t="s">
        <v>70</v>
      </c>
      <c r="D2038" t="s">
        <v>62</v>
      </c>
      <c r="E2038" t="s">
        <v>68</v>
      </c>
      <c r="F2038" t="s">
        <v>24</v>
      </c>
      <c r="G2038" s="4">
        <v>36</v>
      </c>
      <c r="I2038" s="4" t="s">
        <v>65</v>
      </c>
      <c r="J2038" s="4" t="s">
        <v>66</v>
      </c>
      <c r="K2038" s="4">
        <v>1</v>
      </c>
      <c r="L2038" s="94">
        <v>1999176</v>
      </c>
      <c r="M2038" s="94">
        <v>71970336</v>
      </c>
    </row>
    <row r="2039" spans="3:13" x14ac:dyDescent="0.3">
      <c r="C2039" t="s">
        <v>71</v>
      </c>
      <c r="D2039" t="s">
        <v>67</v>
      </c>
      <c r="E2039" t="s">
        <v>63</v>
      </c>
      <c r="F2039" t="s">
        <v>26</v>
      </c>
      <c r="G2039" s="4">
        <v>5</v>
      </c>
      <c r="H2039" s="4" t="s">
        <v>17</v>
      </c>
      <c r="I2039" s="4" t="s">
        <v>69</v>
      </c>
      <c r="J2039" s="4" t="s">
        <v>66</v>
      </c>
      <c r="K2039" s="4">
        <v>0</v>
      </c>
      <c r="L2039" s="94">
        <v>-2815947</v>
      </c>
      <c r="M2039" s="94">
        <v>0</v>
      </c>
    </row>
    <row r="2040" spans="3:13" x14ac:dyDescent="0.3">
      <c r="C2040" t="s">
        <v>71</v>
      </c>
      <c r="D2040" t="s">
        <v>67</v>
      </c>
      <c r="E2040" t="s">
        <v>63</v>
      </c>
      <c r="F2040" t="s">
        <v>26</v>
      </c>
      <c r="G2040" s="4">
        <v>11</v>
      </c>
      <c r="H2040" s="4" t="s">
        <v>14</v>
      </c>
      <c r="I2040" s="4" t="s">
        <v>69</v>
      </c>
      <c r="J2040" s="4" t="s">
        <v>66</v>
      </c>
      <c r="K2040" s="4">
        <v>0</v>
      </c>
      <c r="L2040" s="94">
        <v>-29252</v>
      </c>
      <c r="M2040" s="94">
        <v>0</v>
      </c>
    </row>
    <row r="2041" spans="3:13" x14ac:dyDescent="0.3">
      <c r="C2041" t="s">
        <v>61</v>
      </c>
      <c r="D2041" t="s">
        <v>67</v>
      </c>
      <c r="E2041" t="s">
        <v>63</v>
      </c>
      <c r="F2041" t="s">
        <v>25</v>
      </c>
      <c r="G2041" s="4">
        <v>13</v>
      </c>
      <c r="H2041" s="4" t="s">
        <v>74</v>
      </c>
      <c r="I2041" s="4" t="s">
        <v>69</v>
      </c>
      <c r="J2041" s="4" t="s">
        <v>66</v>
      </c>
      <c r="K2041" s="4">
        <v>0</v>
      </c>
      <c r="L2041" s="94">
        <v>-4721</v>
      </c>
      <c r="M2041" s="94">
        <v>0</v>
      </c>
    </row>
    <row r="2042" spans="3:13" x14ac:dyDescent="0.3">
      <c r="C2042" t="s">
        <v>70</v>
      </c>
      <c r="D2042" t="s">
        <v>62</v>
      </c>
      <c r="E2042" t="s">
        <v>68</v>
      </c>
      <c r="F2042" t="s">
        <v>24</v>
      </c>
      <c r="G2042" s="4">
        <v>21</v>
      </c>
      <c r="I2042" s="4" t="s">
        <v>69</v>
      </c>
      <c r="J2042" s="4" t="s">
        <v>66</v>
      </c>
      <c r="K2042" s="4">
        <v>1</v>
      </c>
      <c r="L2042" s="94">
        <v>425482</v>
      </c>
      <c r="M2042" s="94">
        <v>8935122</v>
      </c>
    </row>
    <row r="2043" spans="3:13" x14ac:dyDescent="0.3">
      <c r="C2043" t="s">
        <v>61</v>
      </c>
      <c r="D2043" t="s">
        <v>67</v>
      </c>
      <c r="E2043" t="s">
        <v>68</v>
      </c>
      <c r="F2043" t="s">
        <v>25</v>
      </c>
      <c r="G2043" s="4">
        <v>14</v>
      </c>
      <c r="H2043" s="4" t="s">
        <v>14</v>
      </c>
      <c r="I2043" s="4" t="s">
        <v>69</v>
      </c>
      <c r="J2043" s="4" t="s">
        <v>66</v>
      </c>
      <c r="K2043" s="4">
        <v>0</v>
      </c>
      <c r="L2043" s="94">
        <v>1507559</v>
      </c>
      <c r="M2043" s="94">
        <v>21105826</v>
      </c>
    </row>
    <row r="2044" spans="3:13" x14ac:dyDescent="0.3">
      <c r="C2044" t="s">
        <v>61</v>
      </c>
      <c r="D2044" t="s">
        <v>67</v>
      </c>
      <c r="E2044" t="s">
        <v>63</v>
      </c>
      <c r="F2044" t="s">
        <v>25</v>
      </c>
      <c r="G2044" s="4">
        <v>3</v>
      </c>
      <c r="H2044" s="4" t="s">
        <v>80</v>
      </c>
      <c r="I2044" s="4" t="s">
        <v>69</v>
      </c>
      <c r="J2044" s="4" t="s">
        <v>66</v>
      </c>
      <c r="K2044" s="4">
        <v>0</v>
      </c>
      <c r="L2044" s="94">
        <v>-37</v>
      </c>
      <c r="M2044" s="94">
        <v>0</v>
      </c>
    </row>
    <row r="2045" spans="3:13" x14ac:dyDescent="0.3">
      <c r="C2045" t="s">
        <v>71</v>
      </c>
      <c r="D2045" t="s">
        <v>67</v>
      </c>
      <c r="E2045" t="s">
        <v>63</v>
      </c>
      <c r="F2045" t="s">
        <v>72</v>
      </c>
      <c r="G2045" s="4">
        <v>3</v>
      </c>
      <c r="H2045" s="4" t="s">
        <v>14</v>
      </c>
      <c r="I2045" s="4" t="s">
        <v>69</v>
      </c>
      <c r="J2045" s="4" t="s">
        <v>73</v>
      </c>
      <c r="K2045" s="4">
        <v>1</v>
      </c>
      <c r="L2045" s="94">
        <v>-66864</v>
      </c>
      <c r="M2045" s="94">
        <v>0</v>
      </c>
    </row>
    <row r="2046" spans="3:13" x14ac:dyDescent="0.3">
      <c r="C2046" t="s">
        <v>61</v>
      </c>
      <c r="D2046" t="s">
        <v>62</v>
      </c>
      <c r="E2046" t="s">
        <v>68</v>
      </c>
      <c r="F2046" t="s">
        <v>24</v>
      </c>
      <c r="G2046" s="4">
        <v>25</v>
      </c>
      <c r="I2046" s="4" t="s">
        <v>69</v>
      </c>
      <c r="J2046" s="4" t="s">
        <v>66</v>
      </c>
      <c r="K2046" s="4">
        <v>0</v>
      </c>
      <c r="L2046" s="94">
        <v>735252283</v>
      </c>
      <c r="M2046" s="94">
        <v>18381307075</v>
      </c>
    </row>
    <row r="2047" spans="3:13" x14ac:dyDescent="0.3">
      <c r="C2047" t="s">
        <v>61</v>
      </c>
      <c r="D2047" t="s">
        <v>67</v>
      </c>
      <c r="E2047" t="s">
        <v>68</v>
      </c>
      <c r="F2047" t="s">
        <v>26</v>
      </c>
      <c r="G2047" s="4">
        <v>0</v>
      </c>
      <c r="H2047" s="4" t="s">
        <v>18</v>
      </c>
      <c r="I2047" s="4" t="s">
        <v>69</v>
      </c>
      <c r="J2047" s="4" t="s">
        <v>73</v>
      </c>
      <c r="K2047" s="4">
        <v>1</v>
      </c>
      <c r="L2047" s="94">
        <v>140716956</v>
      </c>
      <c r="M2047" s="94">
        <v>0</v>
      </c>
    </row>
    <row r="2048" spans="3:13" x14ac:dyDescent="0.3">
      <c r="C2048" t="s">
        <v>61</v>
      </c>
      <c r="D2048" t="s">
        <v>67</v>
      </c>
      <c r="E2048" t="s">
        <v>68</v>
      </c>
      <c r="F2048" t="s">
        <v>72</v>
      </c>
      <c r="G2048" s="4">
        <v>-1</v>
      </c>
      <c r="H2048" s="4" t="s">
        <v>75</v>
      </c>
      <c r="I2048" s="4" t="s">
        <v>69</v>
      </c>
      <c r="J2048" s="4" t="s">
        <v>66</v>
      </c>
      <c r="K2048" s="4">
        <v>0</v>
      </c>
      <c r="L2048" s="94">
        <v>14929490</v>
      </c>
      <c r="M2048" s="94">
        <v>0</v>
      </c>
    </row>
    <row r="2049" spans="3:13" x14ac:dyDescent="0.3">
      <c r="C2049" t="s">
        <v>61</v>
      </c>
      <c r="D2049" t="s">
        <v>67</v>
      </c>
      <c r="E2049" t="s">
        <v>63</v>
      </c>
      <c r="F2049" t="s">
        <v>25</v>
      </c>
      <c r="G2049" s="4">
        <v>11</v>
      </c>
      <c r="H2049" s="4" t="s">
        <v>18</v>
      </c>
      <c r="I2049" s="4" t="s">
        <v>69</v>
      </c>
      <c r="J2049" s="4" t="s">
        <v>66</v>
      </c>
      <c r="K2049" s="4">
        <v>1</v>
      </c>
      <c r="L2049" s="94">
        <v>-1678</v>
      </c>
      <c r="M2049" s="94">
        <v>0</v>
      </c>
    </row>
    <row r="2050" spans="3:13" x14ac:dyDescent="0.3">
      <c r="C2050" t="s">
        <v>61</v>
      </c>
      <c r="D2050" t="s">
        <v>67</v>
      </c>
      <c r="E2050" t="s">
        <v>68</v>
      </c>
      <c r="F2050" t="s">
        <v>25</v>
      </c>
      <c r="G2050" s="4">
        <v>9</v>
      </c>
      <c r="H2050" s="4" t="s">
        <v>76</v>
      </c>
      <c r="I2050" s="4" t="s">
        <v>69</v>
      </c>
      <c r="J2050" s="4" t="s">
        <v>66</v>
      </c>
      <c r="K2050" s="4">
        <v>0</v>
      </c>
      <c r="L2050" s="94">
        <v>32961153</v>
      </c>
      <c r="M2050" s="94">
        <v>296650377</v>
      </c>
    </row>
    <row r="2051" spans="3:13" x14ac:dyDescent="0.3">
      <c r="C2051" t="s">
        <v>70</v>
      </c>
      <c r="D2051" t="s">
        <v>67</v>
      </c>
      <c r="E2051" t="s">
        <v>63</v>
      </c>
      <c r="F2051" t="s">
        <v>26</v>
      </c>
      <c r="G2051" s="4">
        <v>3</v>
      </c>
      <c r="H2051" s="4" t="s">
        <v>18</v>
      </c>
      <c r="I2051" s="4" t="s">
        <v>69</v>
      </c>
      <c r="J2051" s="4" t="s">
        <v>73</v>
      </c>
      <c r="K2051" s="4">
        <v>1</v>
      </c>
      <c r="L2051" s="94">
        <v>-171696</v>
      </c>
      <c r="M2051" s="94">
        <v>0</v>
      </c>
    </row>
    <row r="2052" spans="3:13" x14ac:dyDescent="0.3">
      <c r="C2052" t="s">
        <v>70</v>
      </c>
      <c r="D2052" t="s">
        <v>67</v>
      </c>
      <c r="E2052" t="s">
        <v>63</v>
      </c>
      <c r="F2052" t="s">
        <v>72</v>
      </c>
      <c r="G2052" s="4">
        <v>5</v>
      </c>
      <c r="H2052" s="4" t="s">
        <v>74</v>
      </c>
      <c r="I2052" s="4" t="s">
        <v>69</v>
      </c>
      <c r="J2052" s="4" t="s">
        <v>66</v>
      </c>
      <c r="K2052" s="4">
        <v>0</v>
      </c>
      <c r="L2052" s="94">
        <v>-110896</v>
      </c>
      <c r="M2052" s="94">
        <v>0</v>
      </c>
    </row>
    <row r="2053" spans="3:13" x14ac:dyDescent="0.3">
      <c r="C2053" t="s">
        <v>61</v>
      </c>
      <c r="D2053" t="s">
        <v>67</v>
      </c>
      <c r="E2053" t="s">
        <v>68</v>
      </c>
      <c r="F2053" t="s">
        <v>72</v>
      </c>
      <c r="G2053" s="4">
        <v>4</v>
      </c>
      <c r="H2053" s="4" t="s">
        <v>86</v>
      </c>
      <c r="I2053" s="4" t="s">
        <v>69</v>
      </c>
      <c r="J2053" s="4" t="s">
        <v>66</v>
      </c>
      <c r="K2053" s="4">
        <v>0</v>
      </c>
      <c r="L2053" s="94">
        <v>35452</v>
      </c>
      <c r="M2053" s="94">
        <v>141808</v>
      </c>
    </row>
    <row r="2054" spans="3:13" x14ac:dyDescent="0.3">
      <c r="C2054" t="s">
        <v>61</v>
      </c>
      <c r="D2054" t="s">
        <v>62</v>
      </c>
      <c r="E2054" t="s">
        <v>68</v>
      </c>
      <c r="F2054" t="s">
        <v>24</v>
      </c>
      <c r="G2054" s="4">
        <v>12</v>
      </c>
      <c r="I2054" s="4" t="s">
        <v>69</v>
      </c>
      <c r="J2054" s="4" t="s">
        <v>73</v>
      </c>
      <c r="K2054" s="4">
        <v>1</v>
      </c>
      <c r="L2054" s="94">
        <v>6509</v>
      </c>
      <c r="M2054" s="94">
        <v>78108</v>
      </c>
    </row>
    <row r="2055" spans="3:13" x14ac:dyDescent="0.3">
      <c r="C2055" t="s">
        <v>70</v>
      </c>
      <c r="D2055" t="s">
        <v>67</v>
      </c>
      <c r="E2055" t="s">
        <v>68</v>
      </c>
      <c r="F2055" t="s">
        <v>26</v>
      </c>
      <c r="G2055" s="4">
        <v>4</v>
      </c>
      <c r="H2055" s="4" t="s">
        <v>75</v>
      </c>
      <c r="I2055" s="4" t="s">
        <v>69</v>
      </c>
      <c r="J2055" s="4" t="s">
        <v>66</v>
      </c>
      <c r="K2055" s="4">
        <v>0</v>
      </c>
      <c r="L2055" s="94">
        <v>1279250</v>
      </c>
      <c r="M2055" s="94">
        <v>5117000</v>
      </c>
    </row>
    <row r="2056" spans="3:13" x14ac:dyDescent="0.3">
      <c r="C2056" t="s">
        <v>71</v>
      </c>
      <c r="D2056" t="s">
        <v>67</v>
      </c>
      <c r="E2056" t="s">
        <v>68</v>
      </c>
      <c r="F2056" t="s">
        <v>26</v>
      </c>
      <c r="G2056" s="4">
        <v>15</v>
      </c>
      <c r="H2056" s="4" t="s">
        <v>12</v>
      </c>
      <c r="I2056" s="4" t="s">
        <v>69</v>
      </c>
      <c r="J2056" s="4" t="s">
        <v>73</v>
      </c>
      <c r="K2056" s="4">
        <v>1</v>
      </c>
      <c r="L2056" s="94">
        <v>41314</v>
      </c>
      <c r="M2056" s="94">
        <v>619710</v>
      </c>
    </row>
    <row r="2057" spans="3:13" x14ac:dyDescent="0.3">
      <c r="C2057" t="s">
        <v>61</v>
      </c>
      <c r="D2057" t="s">
        <v>67</v>
      </c>
      <c r="E2057" t="s">
        <v>68</v>
      </c>
      <c r="F2057" t="s">
        <v>25</v>
      </c>
      <c r="G2057" s="4">
        <v>7</v>
      </c>
      <c r="H2057" s="4" t="s">
        <v>75</v>
      </c>
      <c r="I2057" s="4" t="s">
        <v>69</v>
      </c>
      <c r="J2057" s="4" t="s">
        <v>66</v>
      </c>
      <c r="K2057" s="4">
        <v>0</v>
      </c>
      <c r="L2057" s="94">
        <v>66605940</v>
      </c>
      <c r="M2057" s="94">
        <v>466241580</v>
      </c>
    </row>
    <row r="2058" spans="3:13" x14ac:dyDescent="0.3">
      <c r="C2058" t="s">
        <v>61</v>
      </c>
      <c r="D2058" t="s">
        <v>62</v>
      </c>
      <c r="E2058" t="s">
        <v>68</v>
      </c>
      <c r="F2058" t="s">
        <v>25</v>
      </c>
      <c r="G2058" s="4">
        <v>33</v>
      </c>
      <c r="I2058" s="4" t="s">
        <v>69</v>
      </c>
      <c r="J2058" s="4" t="s">
        <v>66</v>
      </c>
      <c r="K2058" s="4">
        <v>0</v>
      </c>
      <c r="L2058" s="94">
        <v>242518</v>
      </c>
      <c r="M2058" s="94">
        <v>8003094</v>
      </c>
    </row>
    <row r="2059" spans="3:13" x14ac:dyDescent="0.3">
      <c r="C2059" t="s">
        <v>70</v>
      </c>
      <c r="D2059" t="s">
        <v>62</v>
      </c>
      <c r="E2059" t="s">
        <v>68</v>
      </c>
      <c r="F2059" t="s">
        <v>24</v>
      </c>
      <c r="G2059" s="4">
        <v>6</v>
      </c>
      <c r="I2059" s="4" t="s">
        <v>69</v>
      </c>
      <c r="J2059" s="4" t="s">
        <v>66</v>
      </c>
      <c r="K2059" s="4">
        <v>1</v>
      </c>
      <c r="L2059" s="94">
        <v>235760</v>
      </c>
      <c r="M2059" s="94">
        <v>1414560</v>
      </c>
    </row>
    <row r="2060" spans="3:13" x14ac:dyDescent="0.3">
      <c r="C2060" t="s">
        <v>70</v>
      </c>
      <c r="D2060" t="s">
        <v>67</v>
      </c>
      <c r="E2060" t="s">
        <v>68</v>
      </c>
      <c r="F2060" t="s">
        <v>72</v>
      </c>
      <c r="G2060" s="4">
        <v>7</v>
      </c>
      <c r="H2060" s="4" t="s">
        <v>17</v>
      </c>
      <c r="I2060" s="4" t="s">
        <v>65</v>
      </c>
      <c r="J2060" s="4" t="s">
        <v>73</v>
      </c>
      <c r="K2060" s="4">
        <v>1</v>
      </c>
      <c r="L2060" s="94">
        <v>20197</v>
      </c>
      <c r="M2060" s="94">
        <v>141379</v>
      </c>
    </row>
    <row r="2061" spans="3:13" x14ac:dyDescent="0.3">
      <c r="C2061" t="s">
        <v>70</v>
      </c>
      <c r="D2061" t="s">
        <v>67</v>
      </c>
      <c r="E2061" t="s">
        <v>63</v>
      </c>
      <c r="F2061" t="s">
        <v>72</v>
      </c>
      <c r="G2061" s="4">
        <v>4</v>
      </c>
      <c r="H2061" s="4" t="s">
        <v>18</v>
      </c>
      <c r="I2061" s="4" t="s">
        <v>65</v>
      </c>
      <c r="J2061" s="4" t="s">
        <v>66</v>
      </c>
      <c r="K2061" s="4">
        <v>1</v>
      </c>
      <c r="L2061" s="94">
        <v>-1492</v>
      </c>
      <c r="M2061" s="94">
        <v>0</v>
      </c>
    </row>
    <row r="2062" spans="3:13" x14ac:dyDescent="0.3">
      <c r="C2062" t="s">
        <v>70</v>
      </c>
      <c r="D2062" t="s">
        <v>67</v>
      </c>
      <c r="E2062" t="s">
        <v>63</v>
      </c>
      <c r="F2062" t="s">
        <v>26</v>
      </c>
      <c r="G2062" s="4">
        <v>2</v>
      </c>
      <c r="H2062" s="4" t="s">
        <v>75</v>
      </c>
      <c r="I2062" s="4" t="s">
        <v>65</v>
      </c>
      <c r="J2062" s="4" t="s">
        <v>66</v>
      </c>
      <c r="K2062" s="4">
        <v>1</v>
      </c>
      <c r="L2062" s="94">
        <v>-633</v>
      </c>
      <c r="M2062" s="94">
        <v>0</v>
      </c>
    </row>
    <row r="2063" spans="3:13" x14ac:dyDescent="0.3">
      <c r="C2063" t="s">
        <v>71</v>
      </c>
      <c r="D2063" t="s">
        <v>84</v>
      </c>
      <c r="E2063" t="s">
        <v>63</v>
      </c>
      <c r="F2063" t="s">
        <v>25</v>
      </c>
      <c r="G2063" s="4">
        <v>2</v>
      </c>
      <c r="H2063" s="4" t="s">
        <v>18</v>
      </c>
      <c r="I2063" s="4" t="s">
        <v>69</v>
      </c>
      <c r="J2063" s="4" t="s">
        <v>66</v>
      </c>
      <c r="K2063" s="4">
        <v>0</v>
      </c>
      <c r="L2063" s="94">
        <v>-552436</v>
      </c>
      <c r="M2063" s="94">
        <v>0</v>
      </c>
    </row>
    <row r="2064" spans="3:13" x14ac:dyDescent="0.3">
      <c r="C2064" t="s">
        <v>61</v>
      </c>
      <c r="D2064" t="s">
        <v>67</v>
      </c>
      <c r="E2064" t="s">
        <v>63</v>
      </c>
      <c r="F2064" t="s">
        <v>72</v>
      </c>
      <c r="G2064" s="4">
        <v>2</v>
      </c>
      <c r="H2064" s="4" t="s">
        <v>17</v>
      </c>
      <c r="I2064" s="4" t="s">
        <v>69</v>
      </c>
      <c r="J2064" s="4" t="s">
        <v>73</v>
      </c>
      <c r="K2064" s="4">
        <v>1</v>
      </c>
      <c r="L2064" s="94">
        <v>-633</v>
      </c>
      <c r="M2064" s="94">
        <v>0</v>
      </c>
    </row>
    <row r="2065" spans="3:13" x14ac:dyDescent="0.3">
      <c r="C2065" t="s">
        <v>70</v>
      </c>
      <c r="D2065" t="s">
        <v>67</v>
      </c>
      <c r="E2065" t="s">
        <v>63</v>
      </c>
      <c r="F2065" t="s">
        <v>72</v>
      </c>
      <c r="G2065" s="4">
        <v>1</v>
      </c>
      <c r="H2065" s="4" t="s">
        <v>77</v>
      </c>
      <c r="I2065" s="4" t="s">
        <v>69</v>
      </c>
      <c r="J2065" s="4" t="s">
        <v>66</v>
      </c>
      <c r="K2065" s="4">
        <v>0</v>
      </c>
      <c r="L2065" s="94">
        <v>-5773</v>
      </c>
      <c r="M2065" s="94">
        <v>0</v>
      </c>
    </row>
    <row r="2066" spans="3:13" x14ac:dyDescent="0.3">
      <c r="C2066" t="s">
        <v>70</v>
      </c>
      <c r="D2066" t="s">
        <v>67</v>
      </c>
      <c r="E2066" t="s">
        <v>68</v>
      </c>
      <c r="F2066" t="s">
        <v>72</v>
      </c>
      <c r="G2066" s="4">
        <v>4</v>
      </c>
      <c r="H2066" s="4" t="s">
        <v>83</v>
      </c>
      <c r="I2066" s="4" t="s">
        <v>69</v>
      </c>
      <c r="J2066" s="4" t="s">
        <v>66</v>
      </c>
      <c r="K2066" s="4">
        <v>0</v>
      </c>
      <c r="L2066" s="94">
        <v>257081</v>
      </c>
      <c r="M2066" s="94">
        <v>1028324</v>
      </c>
    </row>
    <row r="2067" spans="3:13" x14ac:dyDescent="0.3">
      <c r="C2067" t="s">
        <v>71</v>
      </c>
      <c r="D2067" t="s">
        <v>67</v>
      </c>
      <c r="E2067" t="s">
        <v>68</v>
      </c>
      <c r="F2067" t="s">
        <v>26</v>
      </c>
      <c r="G2067" s="4">
        <v>2</v>
      </c>
      <c r="H2067" s="4" t="s">
        <v>17</v>
      </c>
      <c r="I2067" s="4" t="s">
        <v>65</v>
      </c>
      <c r="J2067" s="4" t="s">
        <v>73</v>
      </c>
      <c r="K2067" s="4">
        <v>1</v>
      </c>
      <c r="L2067" s="94">
        <v>30628</v>
      </c>
      <c r="M2067" s="94">
        <v>61256</v>
      </c>
    </row>
    <row r="2068" spans="3:13" x14ac:dyDescent="0.3">
      <c r="C2068" t="s">
        <v>70</v>
      </c>
      <c r="D2068" t="s">
        <v>67</v>
      </c>
      <c r="E2068" t="s">
        <v>68</v>
      </c>
      <c r="F2068" t="s">
        <v>26</v>
      </c>
      <c r="G2068" s="4">
        <v>0</v>
      </c>
      <c r="H2068" s="4" t="s">
        <v>75</v>
      </c>
      <c r="I2068" s="4" t="s">
        <v>65</v>
      </c>
      <c r="J2068" s="4" t="s">
        <v>66</v>
      </c>
      <c r="K2068" s="4">
        <v>1</v>
      </c>
      <c r="L2068" s="94">
        <v>4173</v>
      </c>
      <c r="M2068" s="94">
        <v>0</v>
      </c>
    </row>
    <row r="2069" spans="3:13" x14ac:dyDescent="0.3">
      <c r="C2069" t="s">
        <v>61</v>
      </c>
      <c r="D2069" t="s">
        <v>67</v>
      </c>
      <c r="E2069" t="s">
        <v>63</v>
      </c>
      <c r="F2069" t="s">
        <v>26</v>
      </c>
      <c r="G2069" s="4">
        <v>6</v>
      </c>
      <c r="H2069" s="4" t="s">
        <v>12</v>
      </c>
      <c r="I2069" s="4" t="s">
        <v>69</v>
      </c>
      <c r="J2069" s="4" t="s">
        <v>73</v>
      </c>
      <c r="K2069" s="4">
        <v>1</v>
      </c>
      <c r="L2069" s="94">
        <v>-12324</v>
      </c>
      <c r="M2069" s="94">
        <v>0</v>
      </c>
    </row>
    <row r="2070" spans="3:13" x14ac:dyDescent="0.3">
      <c r="C2070" t="s">
        <v>71</v>
      </c>
      <c r="D2070" t="s">
        <v>62</v>
      </c>
      <c r="E2070" t="s">
        <v>63</v>
      </c>
      <c r="F2070" t="s">
        <v>24</v>
      </c>
      <c r="G2070" s="4">
        <v>34</v>
      </c>
      <c r="I2070" s="4" t="s">
        <v>69</v>
      </c>
      <c r="J2070" s="4" t="s">
        <v>66</v>
      </c>
      <c r="K2070" s="4">
        <v>1</v>
      </c>
      <c r="L2070" s="94">
        <v>-49333</v>
      </c>
      <c r="M2070" s="94">
        <v>0</v>
      </c>
    </row>
    <row r="2071" spans="3:13" x14ac:dyDescent="0.3">
      <c r="C2071" t="s">
        <v>70</v>
      </c>
      <c r="D2071" t="s">
        <v>62</v>
      </c>
      <c r="E2071" t="s">
        <v>63</v>
      </c>
      <c r="F2071" t="s">
        <v>24</v>
      </c>
      <c r="G2071" s="4">
        <v>21</v>
      </c>
      <c r="I2071" s="4" t="s">
        <v>69</v>
      </c>
      <c r="J2071" s="4" t="s">
        <v>66</v>
      </c>
      <c r="K2071" s="4">
        <v>0</v>
      </c>
      <c r="L2071" s="94">
        <v>-1293788</v>
      </c>
      <c r="M2071" s="94">
        <v>0</v>
      </c>
    </row>
    <row r="2072" spans="3:13" x14ac:dyDescent="0.3">
      <c r="C2072" t="s">
        <v>61</v>
      </c>
      <c r="D2072" t="s">
        <v>67</v>
      </c>
      <c r="E2072" t="s">
        <v>68</v>
      </c>
      <c r="F2072" t="s">
        <v>25</v>
      </c>
      <c r="G2072" s="4">
        <v>8</v>
      </c>
      <c r="H2072" s="4" t="s">
        <v>79</v>
      </c>
      <c r="I2072" s="4" t="s">
        <v>69</v>
      </c>
      <c r="J2072" s="4" t="s">
        <v>66</v>
      </c>
      <c r="K2072" s="4">
        <v>0</v>
      </c>
      <c r="L2072" s="94">
        <v>3876331</v>
      </c>
      <c r="M2072" s="94">
        <v>31010648</v>
      </c>
    </row>
    <row r="2073" spans="3:13" x14ac:dyDescent="0.3">
      <c r="C2073" t="s">
        <v>61</v>
      </c>
      <c r="D2073" t="s">
        <v>62</v>
      </c>
      <c r="E2073" t="s">
        <v>68</v>
      </c>
      <c r="F2073" t="s">
        <v>24</v>
      </c>
      <c r="G2073" s="4">
        <v>43</v>
      </c>
      <c r="I2073" s="4" t="s">
        <v>69</v>
      </c>
      <c r="J2073" s="4" t="s">
        <v>66</v>
      </c>
      <c r="K2073" s="4">
        <v>1</v>
      </c>
      <c r="L2073" s="94">
        <v>65667</v>
      </c>
      <c r="M2073" s="94">
        <v>2823681</v>
      </c>
    </row>
    <row r="2074" spans="3:13" x14ac:dyDescent="0.3">
      <c r="C2074" t="s">
        <v>61</v>
      </c>
      <c r="D2074" t="s">
        <v>62</v>
      </c>
      <c r="E2074" t="s">
        <v>63</v>
      </c>
      <c r="F2074" t="s">
        <v>24</v>
      </c>
      <c r="G2074" s="4">
        <v>29</v>
      </c>
      <c r="I2074" s="4" t="s">
        <v>69</v>
      </c>
      <c r="J2074" s="4" t="s">
        <v>66</v>
      </c>
      <c r="K2074" s="4">
        <v>0</v>
      </c>
      <c r="L2074" s="94">
        <v>-440693</v>
      </c>
      <c r="M2074" s="94">
        <v>0</v>
      </c>
    </row>
    <row r="2075" spans="3:13" x14ac:dyDescent="0.3">
      <c r="C2075" t="s">
        <v>61</v>
      </c>
      <c r="D2075" t="s">
        <v>62</v>
      </c>
      <c r="E2075" t="s">
        <v>68</v>
      </c>
      <c r="F2075" t="s">
        <v>24</v>
      </c>
      <c r="G2075" s="4">
        <v>8</v>
      </c>
      <c r="I2075" s="4" t="s">
        <v>65</v>
      </c>
      <c r="J2075" s="4" t="s">
        <v>66</v>
      </c>
      <c r="K2075" s="4">
        <v>1</v>
      </c>
      <c r="L2075" s="94">
        <v>2792759</v>
      </c>
      <c r="M2075" s="94">
        <v>22342072</v>
      </c>
    </row>
    <row r="2076" spans="3:13" x14ac:dyDescent="0.3">
      <c r="C2076" t="s">
        <v>71</v>
      </c>
      <c r="D2076" t="s">
        <v>67</v>
      </c>
      <c r="E2076" t="s">
        <v>68</v>
      </c>
      <c r="F2076" t="s">
        <v>26</v>
      </c>
      <c r="G2076" s="4">
        <v>-1</v>
      </c>
      <c r="H2076" s="4" t="s">
        <v>16</v>
      </c>
      <c r="I2076" s="4" t="s">
        <v>69</v>
      </c>
      <c r="J2076" s="4" t="s">
        <v>66</v>
      </c>
      <c r="K2076" s="4">
        <v>0</v>
      </c>
      <c r="L2076" s="94">
        <v>68407</v>
      </c>
      <c r="M2076" s="94">
        <v>0</v>
      </c>
    </row>
    <row r="2077" spans="3:13" x14ac:dyDescent="0.3">
      <c r="C2077" t="s">
        <v>70</v>
      </c>
      <c r="D2077" t="s">
        <v>84</v>
      </c>
      <c r="E2077" t="s">
        <v>68</v>
      </c>
      <c r="F2077" t="s">
        <v>25</v>
      </c>
      <c r="G2077" s="4">
        <v>6</v>
      </c>
      <c r="H2077" s="4" t="s">
        <v>17</v>
      </c>
      <c r="I2077" s="4" t="s">
        <v>69</v>
      </c>
      <c r="J2077" s="4" t="s">
        <v>66</v>
      </c>
      <c r="K2077" s="4">
        <v>0</v>
      </c>
      <c r="L2077" s="94">
        <v>95837</v>
      </c>
      <c r="M2077" s="94">
        <v>575022</v>
      </c>
    </row>
    <row r="2078" spans="3:13" x14ac:dyDescent="0.3">
      <c r="C2078" t="s">
        <v>61</v>
      </c>
      <c r="D2078" t="s">
        <v>67</v>
      </c>
      <c r="E2078" t="s">
        <v>63</v>
      </c>
      <c r="F2078" t="s">
        <v>25</v>
      </c>
      <c r="G2078" s="4">
        <v>11</v>
      </c>
      <c r="H2078" s="4" t="s">
        <v>79</v>
      </c>
      <c r="I2078" s="4" t="s">
        <v>65</v>
      </c>
      <c r="J2078" s="4" t="s">
        <v>66</v>
      </c>
      <c r="K2078" s="4">
        <v>1</v>
      </c>
      <c r="L2078" s="94">
        <v>-170</v>
      </c>
      <c r="M2078" s="94">
        <v>0</v>
      </c>
    </row>
    <row r="2079" spans="3:13" x14ac:dyDescent="0.3">
      <c r="C2079" t="s">
        <v>71</v>
      </c>
      <c r="D2079" t="s">
        <v>67</v>
      </c>
      <c r="E2079" t="s">
        <v>68</v>
      </c>
      <c r="F2079" t="s">
        <v>72</v>
      </c>
      <c r="G2079" s="4">
        <v>0</v>
      </c>
      <c r="H2079" s="4" t="s">
        <v>14</v>
      </c>
      <c r="I2079" s="4" t="s">
        <v>69</v>
      </c>
      <c r="J2079" s="4" t="s">
        <v>66</v>
      </c>
      <c r="K2079" s="4">
        <v>0</v>
      </c>
      <c r="L2079" s="94">
        <v>39118</v>
      </c>
      <c r="M2079" s="94">
        <v>0</v>
      </c>
    </row>
    <row r="2080" spans="3:13" x14ac:dyDescent="0.3">
      <c r="C2080" t="s">
        <v>61</v>
      </c>
      <c r="D2080" t="s">
        <v>62</v>
      </c>
      <c r="E2080" t="s">
        <v>63</v>
      </c>
      <c r="F2080" t="s">
        <v>24</v>
      </c>
      <c r="G2080" s="4">
        <v>40</v>
      </c>
      <c r="I2080" s="4" t="s">
        <v>65</v>
      </c>
      <c r="J2080" s="4" t="s">
        <v>66</v>
      </c>
      <c r="K2080" s="4">
        <v>1</v>
      </c>
      <c r="L2080" s="94">
        <v>-3923</v>
      </c>
      <c r="M2080" s="94">
        <v>0</v>
      </c>
    </row>
    <row r="2081" spans="3:13" x14ac:dyDescent="0.3">
      <c r="C2081" t="s">
        <v>70</v>
      </c>
      <c r="D2081" t="s">
        <v>67</v>
      </c>
      <c r="E2081" t="s">
        <v>68</v>
      </c>
      <c r="F2081" t="s">
        <v>26</v>
      </c>
      <c r="G2081" s="4">
        <v>3</v>
      </c>
      <c r="H2081" s="4" t="s">
        <v>18</v>
      </c>
      <c r="I2081" s="4" t="s">
        <v>65</v>
      </c>
      <c r="J2081" s="4" t="s">
        <v>66</v>
      </c>
      <c r="K2081" s="4">
        <v>1</v>
      </c>
      <c r="L2081" s="94">
        <v>170233</v>
      </c>
      <c r="M2081" s="94">
        <v>510699</v>
      </c>
    </row>
    <row r="2082" spans="3:13" x14ac:dyDescent="0.3">
      <c r="C2082" t="s">
        <v>61</v>
      </c>
      <c r="D2082" t="s">
        <v>67</v>
      </c>
      <c r="E2082" t="s">
        <v>63</v>
      </c>
      <c r="F2082" t="s">
        <v>72</v>
      </c>
      <c r="G2082" s="4">
        <v>1</v>
      </c>
      <c r="H2082" s="4" t="s">
        <v>77</v>
      </c>
      <c r="I2082" s="4" t="s">
        <v>69</v>
      </c>
      <c r="J2082" s="4" t="s">
        <v>66</v>
      </c>
      <c r="K2082" s="4">
        <v>0</v>
      </c>
      <c r="L2082" s="94">
        <v>-1961</v>
      </c>
      <c r="M2082" s="94">
        <v>0</v>
      </c>
    </row>
    <row r="2083" spans="3:13" x14ac:dyDescent="0.3">
      <c r="C2083" t="s">
        <v>61</v>
      </c>
      <c r="D2083" t="s">
        <v>67</v>
      </c>
      <c r="E2083" t="s">
        <v>68</v>
      </c>
      <c r="F2083" t="s">
        <v>72</v>
      </c>
      <c r="G2083" s="4">
        <v>5</v>
      </c>
      <c r="H2083" s="4" t="s">
        <v>75</v>
      </c>
      <c r="I2083" s="4" t="s">
        <v>69</v>
      </c>
      <c r="J2083" s="4" t="s">
        <v>66</v>
      </c>
      <c r="K2083" s="4">
        <v>0</v>
      </c>
      <c r="L2083" s="94">
        <v>1463921</v>
      </c>
      <c r="M2083" s="94">
        <v>7319605</v>
      </c>
    </row>
    <row r="2084" spans="3:13" x14ac:dyDescent="0.3">
      <c r="C2084" t="s">
        <v>71</v>
      </c>
      <c r="D2084" t="s">
        <v>67</v>
      </c>
      <c r="E2084" t="s">
        <v>68</v>
      </c>
      <c r="F2084" t="s">
        <v>26</v>
      </c>
      <c r="G2084" s="4">
        <v>2</v>
      </c>
      <c r="H2084" s="4" t="s">
        <v>79</v>
      </c>
      <c r="I2084" s="4" t="s">
        <v>69</v>
      </c>
      <c r="J2084" s="4" t="s">
        <v>66</v>
      </c>
      <c r="K2084" s="4">
        <v>0</v>
      </c>
      <c r="L2084" s="94">
        <v>782867</v>
      </c>
      <c r="M2084" s="94">
        <v>1565734</v>
      </c>
    </row>
    <row r="2085" spans="3:13" x14ac:dyDescent="0.3">
      <c r="C2085" t="s">
        <v>61</v>
      </c>
      <c r="D2085" t="s">
        <v>62</v>
      </c>
      <c r="E2085" t="s">
        <v>68</v>
      </c>
      <c r="F2085" t="s">
        <v>25</v>
      </c>
      <c r="G2085" s="4">
        <v>27</v>
      </c>
      <c r="I2085" s="4" t="s">
        <v>69</v>
      </c>
      <c r="J2085" s="4" t="s">
        <v>66</v>
      </c>
      <c r="K2085" s="4">
        <v>0</v>
      </c>
      <c r="L2085" s="94">
        <v>349860</v>
      </c>
      <c r="M2085" s="94">
        <v>9446220</v>
      </c>
    </row>
    <row r="2086" spans="3:13" x14ac:dyDescent="0.3">
      <c r="C2086" t="s">
        <v>71</v>
      </c>
      <c r="D2086" t="s">
        <v>67</v>
      </c>
      <c r="E2086" t="s">
        <v>63</v>
      </c>
      <c r="F2086" t="s">
        <v>26</v>
      </c>
      <c r="G2086" s="4">
        <v>-4</v>
      </c>
      <c r="H2086" s="4" t="s">
        <v>17</v>
      </c>
      <c r="I2086" s="4" t="s">
        <v>69</v>
      </c>
      <c r="J2086" s="4" t="s">
        <v>66</v>
      </c>
      <c r="K2086" s="4">
        <v>0</v>
      </c>
      <c r="L2086" s="94">
        <v>-6660795</v>
      </c>
      <c r="M2086" s="94">
        <v>0</v>
      </c>
    </row>
    <row r="2087" spans="3:13" x14ac:dyDescent="0.3">
      <c r="C2087" t="s">
        <v>71</v>
      </c>
      <c r="D2087" t="s">
        <v>67</v>
      </c>
      <c r="E2087" t="s">
        <v>68</v>
      </c>
      <c r="F2087" t="s">
        <v>25</v>
      </c>
      <c r="G2087" s="4">
        <v>3</v>
      </c>
      <c r="H2087" s="4" t="s">
        <v>78</v>
      </c>
      <c r="I2087" s="4" t="s">
        <v>69</v>
      </c>
      <c r="J2087" s="4" t="s">
        <v>66</v>
      </c>
      <c r="K2087" s="4">
        <v>0</v>
      </c>
      <c r="L2087" s="94">
        <v>80790</v>
      </c>
      <c r="M2087" s="94">
        <v>242370</v>
      </c>
    </row>
    <row r="2088" spans="3:13" x14ac:dyDescent="0.3">
      <c r="C2088" t="s">
        <v>61</v>
      </c>
      <c r="D2088" t="s">
        <v>67</v>
      </c>
      <c r="E2088" t="s">
        <v>68</v>
      </c>
      <c r="F2088" t="s">
        <v>25</v>
      </c>
      <c r="G2088" s="4">
        <v>6</v>
      </c>
      <c r="H2088" s="4" t="s">
        <v>83</v>
      </c>
      <c r="I2088" s="4" t="s">
        <v>69</v>
      </c>
      <c r="J2088" s="4" t="s">
        <v>66</v>
      </c>
      <c r="K2088" s="4">
        <v>0</v>
      </c>
      <c r="L2088" s="94">
        <v>183307</v>
      </c>
      <c r="M2088" s="94">
        <v>1099842</v>
      </c>
    </row>
    <row r="2089" spans="3:13" x14ac:dyDescent="0.3">
      <c r="C2089" t="s">
        <v>70</v>
      </c>
      <c r="D2089" t="s">
        <v>62</v>
      </c>
      <c r="E2089" t="s">
        <v>63</v>
      </c>
      <c r="F2089" t="s">
        <v>24</v>
      </c>
      <c r="G2089" s="4">
        <v>34</v>
      </c>
      <c r="I2089" s="4" t="s">
        <v>69</v>
      </c>
      <c r="J2089" s="4" t="s">
        <v>66</v>
      </c>
      <c r="K2089" s="4">
        <v>1</v>
      </c>
      <c r="L2089" s="94">
        <v>-6787</v>
      </c>
      <c r="M2089" s="94">
        <v>0</v>
      </c>
    </row>
    <row r="2090" spans="3:13" x14ac:dyDescent="0.3">
      <c r="C2090" t="s">
        <v>61</v>
      </c>
      <c r="D2090" t="s">
        <v>62</v>
      </c>
      <c r="E2090" t="s">
        <v>63</v>
      </c>
      <c r="F2090" t="s">
        <v>24</v>
      </c>
      <c r="G2090" s="4">
        <v>15</v>
      </c>
      <c r="I2090" s="4" t="s">
        <v>69</v>
      </c>
      <c r="J2090" s="4" t="s">
        <v>66</v>
      </c>
      <c r="K2090" s="4">
        <v>1</v>
      </c>
      <c r="L2090" s="94">
        <v>-724</v>
      </c>
      <c r="M2090" s="94">
        <v>0</v>
      </c>
    </row>
    <row r="2091" spans="3:13" x14ac:dyDescent="0.3">
      <c r="C2091" t="s">
        <v>61</v>
      </c>
      <c r="D2091" t="s">
        <v>62</v>
      </c>
      <c r="E2091" t="s">
        <v>68</v>
      </c>
      <c r="F2091" t="s">
        <v>24</v>
      </c>
      <c r="G2091" s="4">
        <v>5</v>
      </c>
      <c r="I2091" s="4" t="s">
        <v>69</v>
      </c>
      <c r="J2091" s="4" t="s">
        <v>66</v>
      </c>
      <c r="K2091" s="4">
        <v>0</v>
      </c>
      <c r="L2091" s="94">
        <v>92384966</v>
      </c>
      <c r="M2091" s="94">
        <v>461924830</v>
      </c>
    </row>
    <row r="2092" spans="3:13" x14ac:dyDescent="0.3">
      <c r="C2092" t="s">
        <v>71</v>
      </c>
      <c r="D2092" t="s">
        <v>67</v>
      </c>
      <c r="E2092" t="s">
        <v>68</v>
      </c>
      <c r="F2092" t="s">
        <v>72</v>
      </c>
      <c r="G2092" s="4">
        <v>-4</v>
      </c>
      <c r="H2092" s="4" t="s">
        <v>77</v>
      </c>
      <c r="I2092" s="4" t="s">
        <v>69</v>
      </c>
      <c r="J2092" s="4" t="s">
        <v>66</v>
      </c>
      <c r="K2092" s="4">
        <v>0</v>
      </c>
      <c r="L2092" s="94">
        <v>33630</v>
      </c>
      <c r="M2092" s="94">
        <v>0</v>
      </c>
    </row>
    <row r="2093" spans="3:13" x14ac:dyDescent="0.3">
      <c r="C2093" t="s">
        <v>71</v>
      </c>
      <c r="D2093" t="s">
        <v>67</v>
      </c>
      <c r="E2093" t="s">
        <v>68</v>
      </c>
      <c r="F2093" t="s">
        <v>72</v>
      </c>
      <c r="G2093" s="4">
        <v>2</v>
      </c>
      <c r="H2093" s="4" t="s">
        <v>14</v>
      </c>
      <c r="I2093" s="4" t="s">
        <v>69</v>
      </c>
      <c r="J2093" s="4" t="s">
        <v>73</v>
      </c>
      <c r="K2093" s="4">
        <v>1</v>
      </c>
      <c r="L2093" s="94">
        <v>199072</v>
      </c>
      <c r="M2093" s="94">
        <v>398144</v>
      </c>
    </row>
    <row r="2094" spans="3:13" x14ac:dyDescent="0.3">
      <c r="C2094" t="s">
        <v>61</v>
      </c>
      <c r="D2094" t="s">
        <v>67</v>
      </c>
      <c r="E2094" t="s">
        <v>63</v>
      </c>
      <c r="F2094" t="s">
        <v>25</v>
      </c>
      <c r="G2094" s="4">
        <v>4</v>
      </c>
      <c r="H2094" s="4" t="s">
        <v>80</v>
      </c>
      <c r="I2094" s="4" t="s">
        <v>69</v>
      </c>
      <c r="J2094" s="4" t="s">
        <v>66</v>
      </c>
      <c r="K2094" s="4">
        <v>0</v>
      </c>
      <c r="L2094" s="94">
        <v>-287</v>
      </c>
      <c r="M2094" s="94">
        <v>0</v>
      </c>
    </row>
    <row r="2095" spans="3:13" x14ac:dyDescent="0.3">
      <c r="C2095" t="s">
        <v>70</v>
      </c>
      <c r="D2095" t="s">
        <v>62</v>
      </c>
      <c r="E2095" t="s">
        <v>63</v>
      </c>
      <c r="F2095" t="s">
        <v>24</v>
      </c>
      <c r="G2095" s="4">
        <v>11</v>
      </c>
      <c r="I2095" s="4" t="s">
        <v>69</v>
      </c>
      <c r="J2095" s="4" t="s">
        <v>66</v>
      </c>
      <c r="K2095" s="4">
        <v>1</v>
      </c>
      <c r="L2095" s="94">
        <v>-2569</v>
      </c>
      <c r="M2095" s="94">
        <v>0</v>
      </c>
    </row>
    <row r="2096" spans="3:13" x14ac:dyDescent="0.3">
      <c r="C2096" t="s">
        <v>61</v>
      </c>
      <c r="D2096" t="s">
        <v>67</v>
      </c>
      <c r="E2096" t="s">
        <v>63</v>
      </c>
      <c r="F2096" t="s">
        <v>26</v>
      </c>
      <c r="G2096" s="4">
        <v>5</v>
      </c>
      <c r="H2096" s="4" t="s">
        <v>18</v>
      </c>
      <c r="I2096" s="4" t="s">
        <v>69</v>
      </c>
      <c r="J2096" s="4" t="s">
        <v>73</v>
      </c>
      <c r="K2096" s="4">
        <v>1</v>
      </c>
      <c r="L2096" s="94">
        <v>-12064</v>
      </c>
      <c r="M2096" s="94">
        <v>0</v>
      </c>
    </row>
    <row r="2097" spans="3:13" x14ac:dyDescent="0.3">
      <c r="C2097" t="s">
        <v>70</v>
      </c>
      <c r="D2097" t="s">
        <v>67</v>
      </c>
      <c r="E2097" t="s">
        <v>63</v>
      </c>
      <c r="F2097" t="s">
        <v>25</v>
      </c>
      <c r="G2097" s="4">
        <v>4</v>
      </c>
      <c r="H2097" s="4" t="s">
        <v>83</v>
      </c>
      <c r="I2097" s="4" t="s">
        <v>69</v>
      </c>
      <c r="J2097" s="4" t="s">
        <v>66</v>
      </c>
      <c r="K2097" s="4">
        <v>0</v>
      </c>
      <c r="L2097" s="94">
        <v>-697</v>
      </c>
      <c r="M2097" s="94">
        <v>0</v>
      </c>
    </row>
    <row r="2098" spans="3:13" x14ac:dyDescent="0.3">
      <c r="C2098" t="s">
        <v>71</v>
      </c>
      <c r="D2098" t="s">
        <v>67</v>
      </c>
      <c r="E2098" t="s">
        <v>68</v>
      </c>
      <c r="F2098" t="s">
        <v>26</v>
      </c>
      <c r="G2098" s="4">
        <v>0</v>
      </c>
      <c r="H2098" s="4" t="s">
        <v>75</v>
      </c>
      <c r="I2098" s="4" t="s">
        <v>69</v>
      </c>
      <c r="J2098" s="4" t="s">
        <v>66</v>
      </c>
      <c r="K2098" s="4">
        <v>0</v>
      </c>
      <c r="L2098" s="94">
        <v>40634</v>
      </c>
      <c r="M2098" s="94">
        <v>0</v>
      </c>
    </row>
    <row r="2099" spans="3:13" x14ac:dyDescent="0.3">
      <c r="C2099" t="s">
        <v>71</v>
      </c>
      <c r="D2099" t="s">
        <v>67</v>
      </c>
      <c r="E2099" t="s">
        <v>63</v>
      </c>
      <c r="F2099" t="s">
        <v>26</v>
      </c>
      <c r="G2099" s="4">
        <v>6</v>
      </c>
      <c r="H2099" s="4" t="s">
        <v>14</v>
      </c>
      <c r="I2099" s="4" t="s">
        <v>69</v>
      </c>
      <c r="J2099" s="4" t="s">
        <v>73</v>
      </c>
      <c r="K2099" s="4">
        <v>1</v>
      </c>
      <c r="L2099" s="94">
        <v>-1193420</v>
      </c>
      <c r="M2099" s="94">
        <v>0</v>
      </c>
    </row>
    <row r="2100" spans="3:13" x14ac:dyDescent="0.3">
      <c r="C2100" t="s">
        <v>61</v>
      </c>
      <c r="D2100" t="s">
        <v>67</v>
      </c>
      <c r="E2100" t="s">
        <v>63</v>
      </c>
      <c r="F2100" t="s">
        <v>26</v>
      </c>
      <c r="G2100" s="4">
        <v>1</v>
      </c>
      <c r="H2100" s="4" t="s">
        <v>74</v>
      </c>
      <c r="I2100" s="4" t="s">
        <v>69</v>
      </c>
      <c r="J2100" s="4" t="s">
        <v>66</v>
      </c>
      <c r="K2100" s="4">
        <v>0</v>
      </c>
      <c r="L2100" s="94">
        <v>-73631</v>
      </c>
      <c r="M2100" s="94">
        <v>0</v>
      </c>
    </row>
    <row r="2101" spans="3:13" x14ac:dyDescent="0.3">
      <c r="C2101" t="s">
        <v>71</v>
      </c>
      <c r="D2101" t="s">
        <v>62</v>
      </c>
      <c r="E2101" t="s">
        <v>68</v>
      </c>
      <c r="F2101" t="s">
        <v>24</v>
      </c>
      <c r="G2101" s="4">
        <v>22</v>
      </c>
      <c r="I2101" s="4" t="s">
        <v>69</v>
      </c>
      <c r="J2101" s="4" t="s">
        <v>66</v>
      </c>
      <c r="K2101" s="4">
        <v>1</v>
      </c>
      <c r="L2101" s="94">
        <v>238684</v>
      </c>
      <c r="M2101" s="94">
        <v>5251048</v>
      </c>
    </row>
    <row r="2102" spans="3:13" x14ac:dyDescent="0.3">
      <c r="C2102" t="s">
        <v>61</v>
      </c>
      <c r="D2102" t="s">
        <v>67</v>
      </c>
      <c r="E2102" t="s">
        <v>68</v>
      </c>
      <c r="F2102" t="s">
        <v>26</v>
      </c>
      <c r="G2102" s="4">
        <v>13</v>
      </c>
      <c r="H2102" s="4" t="s">
        <v>76</v>
      </c>
      <c r="I2102" s="4" t="s">
        <v>69</v>
      </c>
      <c r="J2102" s="4" t="s">
        <v>66</v>
      </c>
      <c r="K2102" s="4">
        <v>0</v>
      </c>
      <c r="L2102" s="94">
        <v>738174</v>
      </c>
      <c r="M2102" s="94">
        <v>9596262</v>
      </c>
    </row>
    <row r="2103" spans="3:13" x14ac:dyDescent="0.3">
      <c r="C2103" t="s">
        <v>71</v>
      </c>
      <c r="D2103" t="s">
        <v>67</v>
      </c>
      <c r="E2103" t="s">
        <v>68</v>
      </c>
      <c r="F2103" t="s">
        <v>25</v>
      </c>
      <c r="G2103" s="4">
        <v>8</v>
      </c>
      <c r="H2103" s="4" t="s">
        <v>76</v>
      </c>
      <c r="I2103" s="4" t="s">
        <v>69</v>
      </c>
      <c r="J2103" s="4" t="s">
        <v>66</v>
      </c>
      <c r="K2103" s="4">
        <v>0</v>
      </c>
      <c r="L2103" s="94">
        <v>1008404</v>
      </c>
      <c r="M2103" s="94">
        <v>8067232</v>
      </c>
    </row>
    <row r="2104" spans="3:13" x14ac:dyDescent="0.3">
      <c r="C2104" t="s">
        <v>70</v>
      </c>
      <c r="D2104" t="s">
        <v>67</v>
      </c>
      <c r="E2104" t="s">
        <v>68</v>
      </c>
      <c r="F2104" t="s">
        <v>25</v>
      </c>
      <c r="G2104" s="4">
        <v>2</v>
      </c>
      <c r="H2104" s="4" t="s">
        <v>79</v>
      </c>
      <c r="I2104" s="4" t="s">
        <v>69</v>
      </c>
      <c r="J2104" s="4" t="s">
        <v>66</v>
      </c>
      <c r="K2104" s="4">
        <v>0</v>
      </c>
      <c r="L2104" s="94">
        <v>319102</v>
      </c>
      <c r="M2104" s="94">
        <v>638204</v>
      </c>
    </row>
    <row r="2105" spans="3:13" x14ac:dyDescent="0.3">
      <c r="C2105" t="s">
        <v>61</v>
      </c>
      <c r="D2105" t="s">
        <v>67</v>
      </c>
      <c r="E2105" t="s">
        <v>68</v>
      </c>
      <c r="F2105" t="s">
        <v>26</v>
      </c>
      <c r="G2105" s="4">
        <v>0</v>
      </c>
      <c r="H2105" s="4" t="s">
        <v>17</v>
      </c>
      <c r="I2105" s="4" t="s">
        <v>69</v>
      </c>
      <c r="J2105" s="4" t="s">
        <v>66</v>
      </c>
      <c r="K2105" s="4">
        <v>0</v>
      </c>
      <c r="L2105" s="94">
        <v>109769745</v>
      </c>
      <c r="M2105" s="94">
        <v>0</v>
      </c>
    </row>
    <row r="2106" spans="3:13" x14ac:dyDescent="0.3">
      <c r="C2106" t="s">
        <v>61</v>
      </c>
      <c r="D2106" t="s">
        <v>84</v>
      </c>
      <c r="E2106" t="s">
        <v>63</v>
      </c>
      <c r="F2106" t="s">
        <v>25</v>
      </c>
      <c r="G2106" s="4">
        <v>5</v>
      </c>
      <c r="H2106" s="4" t="s">
        <v>81</v>
      </c>
      <c r="I2106" s="4" t="s">
        <v>69</v>
      </c>
      <c r="J2106" s="4" t="s">
        <v>66</v>
      </c>
      <c r="K2106" s="4">
        <v>0</v>
      </c>
      <c r="L2106" s="94">
        <v>-126</v>
      </c>
      <c r="M2106" s="94">
        <v>0</v>
      </c>
    </row>
    <row r="2107" spans="3:13" x14ac:dyDescent="0.3">
      <c r="C2107" t="s">
        <v>61</v>
      </c>
      <c r="D2107" t="s">
        <v>67</v>
      </c>
      <c r="E2107" t="s">
        <v>63</v>
      </c>
      <c r="F2107" t="s">
        <v>25</v>
      </c>
      <c r="G2107" s="4">
        <v>14</v>
      </c>
      <c r="H2107" s="4" t="s">
        <v>14</v>
      </c>
      <c r="I2107" s="4" t="s">
        <v>69</v>
      </c>
      <c r="J2107" s="4" t="s">
        <v>66</v>
      </c>
      <c r="K2107" s="4">
        <v>1</v>
      </c>
      <c r="L2107" s="94">
        <v>-8896</v>
      </c>
      <c r="M2107" s="94">
        <v>0</v>
      </c>
    </row>
    <row r="2108" spans="3:13" x14ac:dyDescent="0.3">
      <c r="C2108" t="s">
        <v>70</v>
      </c>
      <c r="D2108" t="s">
        <v>67</v>
      </c>
      <c r="E2108" t="s">
        <v>63</v>
      </c>
      <c r="F2108" t="s">
        <v>26</v>
      </c>
      <c r="G2108" s="4">
        <v>3</v>
      </c>
      <c r="H2108" s="4" t="s">
        <v>15</v>
      </c>
      <c r="I2108" s="4" t="s">
        <v>69</v>
      </c>
      <c r="J2108" s="4" t="s">
        <v>66</v>
      </c>
      <c r="K2108" s="4">
        <v>0</v>
      </c>
      <c r="L2108" s="94">
        <v>-480</v>
      </c>
      <c r="M2108" s="94">
        <v>0</v>
      </c>
    </row>
    <row r="2109" spans="3:13" x14ac:dyDescent="0.3">
      <c r="C2109" t="s">
        <v>70</v>
      </c>
      <c r="D2109" t="s">
        <v>67</v>
      </c>
      <c r="E2109" t="s">
        <v>63</v>
      </c>
      <c r="F2109" t="s">
        <v>25</v>
      </c>
      <c r="G2109" s="4">
        <v>6</v>
      </c>
      <c r="H2109" s="4" t="s">
        <v>12</v>
      </c>
      <c r="I2109" s="4" t="s">
        <v>69</v>
      </c>
      <c r="J2109" s="4" t="s">
        <v>66</v>
      </c>
      <c r="K2109" s="4">
        <v>0</v>
      </c>
      <c r="L2109" s="94">
        <v>-10462</v>
      </c>
      <c r="M2109" s="94">
        <v>0</v>
      </c>
    </row>
    <row r="2110" spans="3:13" x14ac:dyDescent="0.3">
      <c r="C2110" t="s">
        <v>61</v>
      </c>
      <c r="D2110" t="s">
        <v>67</v>
      </c>
      <c r="E2110" t="s">
        <v>63</v>
      </c>
      <c r="F2110" t="s">
        <v>26</v>
      </c>
      <c r="G2110" s="4">
        <v>14</v>
      </c>
      <c r="H2110" s="4" t="s">
        <v>74</v>
      </c>
      <c r="I2110" s="4" t="s">
        <v>69</v>
      </c>
      <c r="J2110" s="4" t="s">
        <v>66</v>
      </c>
      <c r="K2110" s="4">
        <v>0</v>
      </c>
      <c r="L2110" s="94">
        <v>-17994</v>
      </c>
      <c r="M2110" s="94">
        <v>0</v>
      </c>
    </row>
    <row r="2111" spans="3:13" x14ac:dyDescent="0.3">
      <c r="C2111" t="s">
        <v>70</v>
      </c>
      <c r="D2111" t="s">
        <v>67</v>
      </c>
      <c r="E2111" t="s">
        <v>63</v>
      </c>
      <c r="F2111" t="s">
        <v>25</v>
      </c>
      <c r="G2111" s="4">
        <v>1</v>
      </c>
      <c r="H2111" s="4" t="s">
        <v>79</v>
      </c>
      <c r="I2111" s="4" t="s">
        <v>69</v>
      </c>
      <c r="J2111" s="4" t="s">
        <v>66</v>
      </c>
      <c r="K2111" s="4">
        <v>0</v>
      </c>
      <c r="L2111" s="94">
        <v>-40</v>
      </c>
      <c r="M2111" s="94">
        <v>0</v>
      </c>
    </row>
    <row r="2112" spans="3:13" x14ac:dyDescent="0.3">
      <c r="C2112" t="s">
        <v>70</v>
      </c>
      <c r="D2112" t="s">
        <v>62</v>
      </c>
      <c r="E2112" t="s">
        <v>63</v>
      </c>
      <c r="F2112" t="s">
        <v>25</v>
      </c>
      <c r="G2112" s="4">
        <v>15</v>
      </c>
      <c r="I2112" s="4" t="s">
        <v>69</v>
      </c>
      <c r="J2112" s="4" t="s">
        <v>66</v>
      </c>
      <c r="K2112" s="4">
        <v>1</v>
      </c>
      <c r="L2112" s="94">
        <v>-24063</v>
      </c>
      <c r="M2112" s="94">
        <v>0</v>
      </c>
    </row>
    <row r="2113" spans="3:13" x14ac:dyDescent="0.3">
      <c r="C2113" t="s">
        <v>61</v>
      </c>
      <c r="D2113" t="s">
        <v>67</v>
      </c>
      <c r="E2113" t="s">
        <v>63</v>
      </c>
      <c r="F2113" t="s">
        <v>25</v>
      </c>
      <c r="G2113" s="4">
        <v>1</v>
      </c>
      <c r="H2113" s="4" t="s">
        <v>78</v>
      </c>
      <c r="I2113" s="4" t="s">
        <v>69</v>
      </c>
      <c r="J2113" s="4" t="s">
        <v>66</v>
      </c>
      <c r="K2113" s="4">
        <v>0</v>
      </c>
      <c r="L2113" s="94">
        <v>-2035</v>
      </c>
      <c r="M2113" s="94">
        <v>0</v>
      </c>
    </row>
    <row r="2114" spans="3:13" x14ac:dyDescent="0.3">
      <c r="C2114" t="s">
        <v>61</v>
      </c>
      <c r="D2114" t="s">
        <v>67</v>
      </c>
      <c r="E2114" t="s">
        <v>68</v>
      </c>
      <c r="F2114" t="s">
        <v>26</v>
      </c>
      <c r="G2114" s="4">
        <v>6</v>
      </c>
      <c r="H2114" s="4" t="s">
        <v>82</v>
      </c>
      <c r="I2114" s="4" t="s">
        <v>69</v>
      </c>
      <c r="J2114" s="4" t="s">
        <v>66</v>
      </c>
      <c r="K2114" s="4">
        <v>0</v>
      </c>
      <c r="L2114" s="94">
        <v>797043</v>
      </c>
      <c r="M2114" s="94">
        <v>4782258</v>
      </c>
    </row>
    <row r="2115" spans="3:13" x14ac:dyDescent="0.3">
      <c r="C2115" t="s">
        <v>70</v>
      </c>
      <c r="D2115" t="s">
        <v>67</v>
      </c>
      <c r="E2115" t="s">
        <v>63</v>
      </c>
      <c r="F2115" t="s">
        <v>25</v>
      </c>
      <c r="G2115" s="4">
        <v>-1</v>
      </c>
      <c r="H2115" s="4" t="s">
        <v>14</v>
      </c>
      <c r="I2115" s="4" t="s">
        <v>69</v>
      </c>
      <c r="J2115" s="4" t="s">
        <v>66</v>
      </c>
      <c r="K2115" s="4">
        <v>0</v>
      </c>
      <c r="L2115" s="94">
        <v>-3619</v>
      </c>
      <c r="M2115" s="94">
        <v>0</v>
      </c>
    </row>
    <row r="2116" spans="3:13" x14ac:dyDescent="0.3">
      <c r="C2116" t="s">
        <v>70</v>
      </c>
      <c r="D2116" t="s">
        <v>62</v>
      </c>
      <c r="E2116" t="s">
        <v>63</v>
      </c>
      <c r="F2116" t="s">
        <v>24</v>
      </c>
      <c r="G2116" s="4">
        <v>10</v>
      </c>
      <c r="I2116" s="4" t="s">
        <v>69</v>
      </c>
      <c r="J2116" s="4" t="s">
        <v>66</v>
      </c>
      <c r="K2116" s="4">
        <v>1</v>
      </c>
      <c r="L2116" s="94">
        <v>-4388</v>
      </c>
      <c r="M2116" s="94">
        <v>0</v>
      </c>
    </row>
    <row r="2117" spans="3:13" x14ac:dyDescent="0.3">
      <c r="C2117" t="s">
        <v>61</v>
      </c>
      <c r="D2117" t="s">
        <v>67</v>
      </c>
      <c r="E2117" t="s">
        <v>68</v>
      </c>
      <c r="F2117" t="s">
        <v>25</v>
      </c>
      <c r="G2117" s="4">
        <v>1</v>
      </c>
      <c r="H2117" s="4" t="s">
        <v>81</v>
      </c>
      <c r="I2117" s="4" t="s">
        <v>69</v>
      </c>
      <c r="J2117" s="4" t="s">
        <v>66</v>
      </c>
      <c r="K2117" s="4">
        <v>0</v>
      </c>
      <c r="L2117" s="94">
        <v>181296</v>
      </c>
      <c r="M2117" s="94">
        <v>181296</v>
      </c>
    </row>
    <row r="2118" spans="3:13" x14ac:dyDescent="0.3">
      <c r="C2118" t="s">
        <v>71</v>
      </c>
      <c r="D2118" t="s">
        <v>62</v>
      </c>
      <c r="E2118" t="s">
        <v>68</v>
      </c>
      <c r="F2118" t="s">
        <v>24</v>
      </c>
      <c r="G2118" s="4">
        <v>32</v>
      </c>
      <c r="I2118" s="4" t="s">
        <v>69</v>
      </c>
      <c r="J2118" s="4" t="s">
        <v>66</v>
      </c>
      <c r="K2118" s="4">
        <v>0</v>
      </c>
      <c r="L2118" s="94">
        <v>7945855</v>
      </c>
      <c r="M2118" s="94">
        <v>254267360</v>
      </c>
    </row>
    <row r="2119" spans="3:13" x14ac:dyDescent="0.3">
      <c r="C2119" t="s">
        <v>61</v>
      </c>
      <c r="D2119" t="s">
        <v>62</v>
      </c>
      <c r="E2119" t="s">
        <v>63</v>
      </c>
      <c r="F2119" t="s">
        <v>24</v>
      </c>
      <c r="G2119" s="4">
        <v>14</v>
      </c>
      <c r="I2119" s="4" t="s">
        <v>69</v>
      </c>
      <c r="J2119" s="4" t="s">
        <v>66</v>
      </c>
      <c r="K2119" s="4">
        <v>1</v>
      </c>
      <c r="L2119" s="94">
        <v>-1368</v>
      </c>
      <c r="M2119" s="94">
        <v>0</v>
      </c>
    </row>
    <row r="2120" spans="3:13" x14ac:dyDescent="0.3">
      <c r="C2120" t="s">
        <v>61</v>
      </c>
      <c r="D2120" t="s">
        <v>67</v>
      </c>
      <c r="E2120" t="s">
        <v>68</v>
      </c>
      <c r="F2120" t="s">
        <v>25</v>
      </c>
      <c r="G2120" s="4">
        <v>7</v>
      </c>
      <c r="H2120" s="4" t="s">
        <v>83</v>
      </c>
      <c r="I2120" s="4" t="s">
        <v>69</v>
      </c>
      <c r="J2120" s="4" t="s">
        <v>66</v>
      </c>
      <c r="K2120" s="4">
        <v>0</v>
      </c>
      <c r="L2120" s="94">
        <v>129783</v>
      </c>
      <c r="M2120" s="94">
        <v>908481</v>
      </c>
    </row>
    <row r="2121" spans="3:13" x14ac:dyDescent="0.3">
      <c r="C2121" t="s">
        <v>71</v>
      </c>
      <c r="D2121" t="s">
        <v>67</v>
      </c>
      <c r="E2121" t="s">
        <v>63</v>
      </c>
      <c r="F2121" t="s">
        <v>26</v>
      </c>
      <c r="G2121" s="4">
        <v>4</v>
      </c>
      <c r="H2121" s="4" t="s">
        <v>83</v>
      </c>
      <c r="I2121" s="4" t="s">
        <v>69</v>
      </c>
      <c r="J2121" s="4" t="s">
        <v>66</v>
      </c>
      <c r="K2121" s="4">
        <v>0</v>
      </c>
      <c r="L2121" s="94">
        <v>-42476</v>
      </c>
      <c r="M2121" s="94">
        <v>0</v>
      </c>
    </row>
    <row r="2122" spans="3:13" x14ac:dyDescent="0.3">
      <c r="C2122" t="s">
        <v>71</v>
      </c>
      <c r="D2122" t="s">
        <v>62</v>
      </c>
      <c r="E2122" t="s">
        <v>63</v>
      </c>
      <c r="F2122" t="s">
        <v>24</v>
      </c>
      <c r="G2122" s="4">
        <v>23</v>
      </c>
      <c r="I2122" s="4" t="s">
        <v>69</v>
      </c>
      <c r="J2122" s="4" t="s">
        <v>66</v>
      </c>
      <c r="K2122" s="4">
        <v>0</v>
      </c>
      <c r="L2122" s="94">
        <v>-2499658</v>
      </c>
      <c r="M2122" s="94">
        <v>0</v>
      </c>
    </row>
    <row r="2123" spans="3:13" x14ac:dyDescent="0.3">
      <c r="C2123" t="s">
        <v>61</v>
      </c>
      <c r="D2123" t="s">
        <v>62</v>
      </c>
      <c r="E2123" t="s">
        <v>68</v>
      </c>
      <c r="F2123" t="s">
        <v>25</v>
      </c>
      <c r="G2123" s="4">
        <v>1</v>
      </c>
      <c r="I2123" s="4" t="s">
        <v>65</v>
      </c>
      <c r="J2123" s="4" t="s">
        <v>66</v>
      </c>
      <c r="K2123" s="4">
        <v>1</v>
      </c>
      <c r="L2123" s="94">
        <v>10758</v>
      </c>
      <c r="M2123" s="94">
        <v>10758</v>
      </c>
    </row>
    <row r="2124" spans="3:13" x14ac:dyDescent="0.3">
      <c r="C2124" t="s">
        <v>70</v>
      </c>
      <c r="D2124" t="s">
        <v>67</v>
      </c>
      <c r="E2124" t="s">
        <v>68</v>
      </c>
      <c r="F2124" t="s">
        <v>72</v>
      </c>
      <c r="G2124" s="4">
        <v>4</v>
      </c>
      <c r="H2124" s="4" t="s">
        <v>75</v>
      </c>
      <c r="I2124" s="4" t="s">
        <v>69</v>
      </c>
      <c r="J2124" s="4" t="s">
        <v>66</v>
      </c>
      <c r="K2124" s="4">
        <v>0</v>
      </c>
      <c r="L2124" s="94">
        <v>621952</v>
      </c>
      <c r="M2124" s="94">
        <v>2487808</v>
      </c>
    </row>
    <row r="2125" spans="3:13" x14ac:dyDescent="0.3">
      <c r="C2125" t="s">
        <v>61</v>
      </c>
      <c r="D2125" t="s">
        <v>67</v>
      </c>
      <c r="E2125" t="s">
        <v>63</v>
      </c>
      <c r="F2125" t="s">
        <v>72</v>
      </c>
      <c r="G2125" s="4">
        <v>3</v>
      </c>
      <c r="H2125" s="4" t="s">
        <v>18</v>
      </c>
      <c r="I2125" s="4" t="s">
        <v>65</v>
      </c>
      <c r="J2125" s="4" t="s">
        <v>66</v>
      </c>
      <c r="K2125" s="4">
        <v>1</v>
      </c>
      <c r="L2125" s="94">
        <v>-91</v>
      </c>
      <c r="M2125" s="94">
        <v>0</v>
      </c>
    </row>
    <row r="2126" spans="3:13" x14ac:dyDescent="0.3">
      <c r="C2126" t="s">
        <v>61</v>
      </c>
      <c r="D2126" t="s">
        <v>67</v>
      </c>
      <c r="E2126" t="s">
        <v>63</v>
      </c>
      <c r="F2126" t="s">
        <v>25</v>
      </c>
      <c r="G2126" s="4">
        <v>7</v>
      </c>
      <c r="H2126" s="4" t="s">
        <v>18</v>
      </c>
      <c r="I2126" s="4" t="s">
        <v>69</v>
      </c>
      <c r="J2126" s="4" t="s">
        <v>66</v>
      </c>
      <c r="K2126" s="4">
        <v>1</v>
      </c>
      <c r="L2126" s="94">
        <v>-1457</v>
      </c>
      <c r="M2126" s="94">
        <v>0</v>
      </c>
    </row>
    <row r="2127" spans="3:13" x14ac:dyDescent="0.3">
      <c r="C2127" t="s">
        <v>71</v>
      </c>
      <c r="D2127" t="s">
        <v>67</v>
      </c>
      <c r="E2127" t="s">
        <v>63</v>
      </c>
      <c r="F2127" t="s">
        <v>25</v>
      </c>
      <c r="G2127" s="4">
        <v>4</v>
      </c>
      <c r="H2127" s="4" t="s">
        <v>76</v>
      </c>
      <c r="I2127" s="4" t="s">
        <v>69</v>
      </c>
      <c r="J2127" s="4" t="s">
        <v>66</v>
      </c>
      <c r="K2127" s="4">
        <v>0</v>
      </c>
      <c r="L2127" s="94">
        <v>-270870</v>
      </c>
      <c r="M2127" s="94">
        <v>0</v>
      </c>
    </row>
    <row r="2128" spans="3:13" x14ac:dyDescent="0.3">
      <c r="C2128" t="s">
        <v>70</v>
      </c>
      <c r="D2128" t="s">
        <v>67</v>
      </c>
      <c r="E2128" t="s">
        <v>68</v>
      </c>
      <c r="F2128" t="s">
        <v>25</v>
      </c>
      <c r="G2128" s="4">
        <v>14</v>
      </c>
      <c r="H2128" s="4" t="s">
        <v>82</v>
      </c>
      <c r="I2128" s="4" t="s">
        <v>69</v>
      </c>
      <c r="J2128" s="4" t="s">
        <v>66</v>
      </c>
      <c r="K2128" s="4">
        <v>0</v>
      </c>
      <c r="L2128" s="94">
        <v>1396393</v>
      </c>
      <c r="M2128" s="94">
        <v>19549502</v>
      </c>
    </row>
    <row r="2129" spans="3:13" x14ac:dyDescent="0.3">
      <c r="C2129" t="s">
        <v>70</v>
      </c>
      <c r="D2129" t="s">
        <v>62</v>
      </c>
      <c r="E2129" t="s">
        <v>63</v>
      </c>
      <c r="F2129" t="s">
        <v>25</v>
      </c>
      <c r="G2129" s="4">
        <v>1</v>
      </c>
      <c r="I2129" s="4" t="s">
        <v>69</v>
      </c>
      <c r="J2129" s="4" t="s">
        <v>66</v>
      </c>
      <c r="K2129" s="4">
        <v>0</v>
      </c>
      <c r="L2129" s="94">
        <v>-2144</v>
      </c>
      <c r="M2129" s="94">
        <v>0</v>
      </c>
    </row>
    <row r="2130" spans="3:13" x14ac:dyDescent="0.3">
      <c r="C2130" t="s">
        <v>70</v>
      </c>
      <c r="D2130" t="s">
        <v>67</v>
      </c>
      <c r="E2130" t="s">
        <v>68</v>
      </c>
      <c r="F2130" t="s">
        <v>26</v>
      </c>
      <c r="G2130" s="4">
        <v>1</v>
      </c>
      <c r="H2130" s="4" t="s">
        <v>14</v>
      </c>
      <c r="I2130" s="4" t="s">
        <v>69</v>
      </c>
      <c r="J2130" s="4" t="s">
        <v>66</v>
      </c>
      <c r="K2130" s="4">
        <v>0</v>
      </c>
      <c r="L2130" s="94">
        <v>16857043</v>
      </c>
      <c r="M2130" s="94">
        <v>16857043</v>
      </c>
    </row>
    <row r="2131" spans="3:13" x14ac:dyDescent="0.3">
      <c r="C2131" t="s">
        <v>61</v>
      </c>
      <c r="D2131" t="s">
        <v>67</v>
      </c>
      <c r="E2131" t="s">
        <v>63</v>
      </c>
      <c r="F2131" t="s">
        <v>26</v>
      </c>
      <c r="G2131" s="4">
        <v>2</v>
      </c>
      <c r="H2131" s="4" t="s">
        <v>12</v>
      </c>
      <c r="I2131" s="4" t="s">
        <v>69</v>
      </c>
      <c r="J2131" s="4" t="s">
        <v>66</v>
      </c>
      <c r="K2131" s="4">
        <v>0</v>
      </c>
      <c r="L2131" s="94">
        <v>-17172</v>
      </c>
      <c r="M2131" s="94">
        <v>0</v>
      </c>
    </row>
    <row r="2132" spans="3:13" x14ac:dyDescent="0.3">
      <c r="C2132" t="s">
        <v>61</v>
      </c>
      <c r="D2132" t="s">
        <v>67</v>
      </c>
      <c r="E2132" t="s">
        <v>68</v>
      </c>
      <c r="F2132" t="s">
        <v>26</v>
      </c>
      <c r="G2132" s="4">
        <v>2</v>
      </c>
      <c r="H2132" s="4" t="s">
        <v>16</v>
      </c>
      <c r="I2132" s="4" t="s">
        <v>69</v>
      </c>
      <c r="J2132" s="4" t="s">
        <v>66</v>
      </c>
      <c r="K2132" s="4">
        <v>0</v>
      </c>
      <c r="L2132" s="94">
        <v>884293</v>
      </c>
      <c r="M2132" s="94">
        <v>1768586</v>
      </c>
    </row>
    <row r="2133" spans="3:13" x14ac:dyDescent="0.3">
      <c r="C2133" t="s">
        <v>71</v>
      </c>
      <c r="D2133" t="s">
        <v>84</v>
      </c>
      <c r="E2133" t="s">
        <v>63</v>
      </c>
      <c r="F2133" t="s">
        <v>25</v>
      </c>
      <c r="G2133" s="4">
        <v>9</v>
      </c>
      <c r="H2133" s="4" t="s">
        <v>18</v>
      </c>
      <c r="I2133" s="4" t="s">
        <v>69</v>
      </c>
      <c r="J2133" s="4" t="s">
        <v>66</v>
      </c>
      <c r="K2133" s="4">
        <v>0</v>
      </c>
      <c r="L2133" s="94">
        <v>-976066</v>
      </c>
      <c r="M2133" s="94">
        <v>0</v>
      </c>
    </row>
    <row r="2134" spans="3:13" x14ac:dyDescent="0.3">
      <c r="C2134" t="s">
        <v>70</v>
      </c>
      <c r="D2134" t="s">
        <v>67</v>
      </c>
      <c r="E2134" t="s">
        <v>63</v>
      </c>
      <c r="F2134" t="s">
        <v>25</v>
      </c>
      <c r="G2134" s="4">
        <v>9</v>
      </c>
      <c r="H2134" s="4" t="s">
        <v>14</v>
      </c>
      <c r="I2134" s="4" t="s">
        <v>69</v>
      </c>
      <c r="J2134" s="4" t="s">
        <v>66</v>
      </c>
      <c r="K2134" s="4">
        <v>1</v>
      </c>
      <c r="L2134" s="94">
        <v>-146534</v>
      </c>
      <c r="M2134" s="94">
        <v>0</v>
      </c>
    </row>
    <row r="2135" spans="3:13" x14ac:dyDescent="0.3">
      <c r="C2135" t="s">
        <v>71</v>
      </c>
      <c r="D2135" t="s">
        <v>67</v>
      </c>
      <c r="E2135" t="s">
        <v>68</v>
      </c>
      <c r="F2135" t="s">
        <v>72</v>
      </c>
      <c r="G2135" s="4">
        <v>5</v>
      </c>
      <c r="H2135" s="4" t="s">
        <v>18</v>
      </c>
      <c r="I2135" s="4" t="s">
        <v>69</v>
      </c>
      <c r="J2135" s="4" t="s">
        <v>66</v>
      </c>
      <c r="K2135" s="4">
        <v>0</v>
      </c>
      <c r="L2135" s="94">
        <v>35908</v>
      </c>
      <c r="M2135" s="94">
        <v>179540</v>
      </c>
    </row>
    <row r="2136" spans="3:13" x14ac:dyDescent="0.3">
      <c r="C2136" t="s">
        <v>61</v>
      </c>
      <c r="D2136" t="s">
        <v>62</v>
      </c>
      <c r="E2136" t="s">
        <v>63</v>
      </c>
      <c r="F2136" t="s">
        <v>24</v>
      </c>
      <c r="G2136" s="4">
        <v>3</v>
      </c>
      <c r="I2136" s="4" t="s">
        <v>69</v>
      </c>
      <c r="J2136" s="4" t="s">
        <v>66</v>
      </c>
      <c r="K2136" s="4">
        <v>1</v>
      </c>
      <c r="L2136" s="94">
        <v>-207</v>
      </c>
      <c r="M2136" s="94">
        <v>0</v>
      </c>
    </row>
    <row r="2137" spans="3:13" x14ac:dyDescent="0.3">
      <c r="C2137" t="s">
        <v>61</v>
      </c>
      <c r="D2137" t="s">
        <v>67</v>
      </c>
      <c r="E2137" t="s">
        <v>63</v>
      </c>
      <c r="F2137" t="s">
        <v>26</v>
      </c>
      <c r="G2137" s="4">
        <v>4</v>
      </c>
      <c r="H2137" s="4" t="s">
        <v>78</v>
      </c>
      <c r="I2137" s="4" t="s">
        <v>69</v>
      </c>
      <c r="J2137" s="4" t="s">
        <v>66</v>
      </c>
      <c r="K2137" s="4">
        <v>0</v>
      </c>
      <c r="L2137" s="94">
        <v>-2114</v>
      </c>
      <c r="M2137" s="94">
        <v>0</v>
      </c>
    </row>
    <row r="2138" spans="3:13" x14ac:dyDescent="0.3">
      <c r="C2138" t="s">
        <v>71</v>
      </c>
      <c r="D2138" t="s">
        <v>67</v>
      </c>
      <c r="E2138" t="s">
        <v>63</v>
      </c>
      <c r="F2138" t="s">
        <v>72</v>
      </c>
      <c r="G2138" s="4">
        <v>0</v>
      </c>
      <c r="H2138" s="4" t="s">
        <v>83</v>
      </c>
      <c r="I2138" s="4" t="s">
        <v>69</v>
      </c>
      <c r="J2138" s="4" t="s">
        <v>66</v>
      </c>
      <c r="K2138" s="4">
        <v>0</v>
      </c>
      <c r="L2138" s="94">
        <v>-6131</v>
      </c>
      <c r="M2138" s="94">
        <v>0</v>
      </c>
    </row>
    <row r="2139" spans="3:13" x14ac:dyDescent="0.3">
      <c r="C2139" t="s">
        <v>70</v>
      </c>
      <c r="D2139" t="s">
        <v>62</v>
      </c>
      <c r="E2139" t="s">
        <v>63</v>
      </c>
      <c r="F2139" t="s">
        <v>24</v>
      </c>
      <c r="G2139" s="4">
        <v>2</v>
      </c>
      <c r="I2139" s="4" t="s">
        <v>69</v>
      </c>
      <c r="J2139" s="4" t="s">
        <v>66</v>
      </c>
      <c r="K2139" s="4">
        <v>1</v>
      </c>
      <c r="L2139" s="94">
        <v>-844</v>
      </c>
      <c r="M2139" s="94">
        <v>0</v>
      </c>
    </row>
    <row r="2140" spans="3:13" x14ac:dyDescent="0.3">
      <c r="C2140" t="s">
        <v>71</v>
      </c>
      <c r="D2140" t="s">
        <v>62</v>
      </c>
      <c r="E2140" t="s">
        <v>68</v>
      </c>
      <c r="F2140" t="s">
        <v>24</v>
      </c>
      <c r="G2140" s="4">
        <v>27</v>
      </c>
      <c r="I2140" s="4" t="s">
        <v>69</v>
      </c>
      <c r="J2140" s="4" t="s">
        <v>66</v>
      </c>
      <c r="K2140" s="4">
        <v>0</v>
      </c>
      <c r="L2140" s="94">
        <v>7682364</v>
      </c>
      <c r="M2140" s="94">
        <v>207423828</v>
      </c>
    </row>
    <row r="2141" spans="3:13" x14ac:dyDescent="0.3">
      <c r="C2141" t="s">
        <v>61</v>
      </c>
      <c r="D2141" t="s">
        <v>67</v>
      </c>
      <c r="E2141" t="s">
        <v>68</v>
      </c>
      <c r="F2141" t="s">
        <v>72</v>
      </c>
      <c r="G2141" s="4">
        <v>5</v>
      </c>
      <c r="H2141" s="4" t="s">
        <v>83</v>
      </c>
      <c r="I2141" s="4" t="s">
        <v>69</v>
      </c>
      <c r="J2141" s="4" t="s">
        <v>66</v>
      </c>
      <c r="K2141" s="4">
        <v>0</v>
      </c>
      <c r="L2141" s="94">
        <v>522884</v>
      </c>
      <c r="M2141" s="94">
        <v>2614420</v>
      </c>
    </row>
    <row r="2142" spans="3:13" x14ac:dyDescent="0.3">
      <c r="C2142" t="s">
        <v>71</v>
      </c>
      <c r="D2142" t="s">
        <v>67</v>
      </c>
      <c r="E2142" t="s">
        <v>68</v>
      </c>
      <c r="F2142" t="s">
        <v>26</v>
      </c>
      <c r="G2142" s="4">
        <v>-4</v>
      </c>
      <c r="H2142" s="4" t="s">
        <v>75</v>
      </c>
      <c r="I2142" s="4" t="s">
        <v>65</v>
      </c>
      <c r="J2142" s="4" t="s">
        <v>66</v>
      </c>
      <c r="K2142" s="4">
        <v>1</v>
      </c>
      <c r="L2142" s="94">
        <v>287</v>
      </c>
      <c r="M2142" s="94">
        <v>0</v>
      </c>
    </row>
    <row r="2143" spans="3:13" x14ac:dyDescent="0.3">
      <c r="C2143" t="s">
        <v>70</v>
      </c>
      <c r="D2143" t="s">
        <v>62</v>
      </c>
      <c r="E2143" t="s">
        <v>63</v>
      </c>
      <c r="F2143" t="s">
        <v>24</v>
      </c>
      <c r="G2143" s="4">
        <v>23</v>
      </c>
      <c r="I2143" s="4" t="s">
        <v>69</v>
      </c>
      <c r="J2143" s="4" t="s">
        <v>66</v>
      </c>
      <c r="K2143" s="4">
        <v>0</v>
      </c>
      <c r="L2143" s="94">
        <v>-1286807</v>
      </c>
      <c r="M2143" s="94">
        <v>0</v>
      </c>
    </row>
    <row r="2144" spans="3:13" x14ac:dyDescent="0.3">
      <c r="C2144" t="s">
        <v>61</v>
      </c>
      <c r="D2144" t="s">
        <v>67</v>
      </c>
      <c r="E2144" t="s">
        <v>68</v>
      </c>
      <c r="F2144" t="s">
        <v>25</v>
      </c>
      <c r="G2144" s="4">
        <v>6</v>
      </c>
      <c r="H2144" s="4" t="s">
        <v>75</v>
      </c>
      <c r="I2144" s="4" t="s">
        <v>69</v>
      </c>
      <c r="J2144" s="4" t="s">
        <v>66</v>
      </c>
      <c r="K2144" s="4">
        <v>0</v>
      </c>
      <c r="L2144" s="94">
        <v>42239662</v>
      </c>
      <c r="M2144" s="94">
        <v>253437972</v>
      </c>
    </row>
    <row r="2145" spans="3:13" x14ac:dyDescent="0.3">
      <c r="C2145" t="s">
        <v>71</v>
      </c>
      <c r="D2145" t="s">
        <v>67</v>
      </c>
      <c r="E2145" t="s">
        <v>68</v>
      </c>
      <c r="F2145" t="s">
        <v>25</v>
      </c>
      <c r="G2145" s="4">
        <v>3</v>
      </c>
      <c r="H2145" s="4" t="s">
        <v>64</v>
      </c>
      <c r="I2145" s="4" t="s">
        <v>69</v>
      </c>
      <c r="J2145" s="4" t="s">
        <v>66</v>
      </c>
      <c r="K2145" s="4">
        <v>0</v>
      </c>
      <c r="L2145" s="94">
        <v>47692</v>
      </c>
      <c r="M2145" s="94">
        <v>143076</v>
      </c>
    </row>
    <row r="2146" spans="3:13" x14ac:dyDescent="0.3">
      <c r="C2146" t="s">
        <v>61</v>
      </c>
      <c r="D2146" t="s">
        <v>62</v>
      </c>
      <c r="E2146" t="s">
        <v>63</v>
      </c>
      <c r="F2146" t="s">
        <v>24</v>
      </c>
      <c r="G2146" s="4">
        <v>44</v>
      </c>
      <c r="I2146" s="4" t="s">
        <v>65</v>
      </c>
      <c r="J2146" s="4" t="s">
        <v>66</v>
      </c>
      <c r="K2146" s="4">
        <v>1</v>
      </c>
      <c r="L2146" s="94">
        <v>-35</v>
      </c>
      <c r="M2146" s="94">
        <v>0</v>
      </c>
    </row>
    <row r="2147" spans="3:13" x14ac:dyDescent="0.3">
      <c r="C2147" t="s">
        <v>70</v>
      </c>
      <c r="D2147" t="s">
        <v>67</v>
      </c>
      <c r="E2147" t="s">
        <v>63</v>
      </c>
      <c r="F2147" t="s">
        <v>26</v>
      </c>
      <c r="G2147" s="4">
        <v>5</v>
      </c>
      <c r="H2147" s="4" t="s">
        <v>74</v>
      </c>
      <c r="I2147" s="4" t="s">
        <v>69</v>
      </c>
      <c r="J2147" s="4" t="s">
        <v>66</v>
      </c>
      <c r="K2147" s="4">
        <v>0</v>
      </c>
      <c r="L2147" s="94">
        <v>-378239</v>
      </c>
      <c r="M2147" s="94">
        <v>0</v>
      </c>
    </row>
    <row r="2148" spans="3:13" x14ac:dyDescent="0.3">
      <c r="C2148" t="s">
        <v>71</v>
      </c>
      <c r="D2148" t="s">
        <v>67</v>
      </c>
      <c r="E2148" t="s">
        <v>68</v>
      </c>
      <c r="F2148" t="s">
        <v>26</v>
      </c>
      <c r="G2148" s="4">
        <v>11</v>
      </c>
      <c r="H2148" s="4" t="s">
        <v>82</v>
      </c>
      <c r="I2148" s="4" t="s">
        <v>69</v>
      </c>
      <c r="J2148" s="4" t="s">
        <v>66</v>
      </c>
      <c r="K2148" s="4">
        <v>0</v>
      </c>
      <c r="L2148" s="94">
        <v>22952190</v>
      </c>
      <c r="M2148" s="94">
        <v>252474090</v>
      </c>
    </row>
    <row r="2149" spans="3:13" x14ac:dyDescent="0.3">
      <c r="C2149" t="s">
        <v>70</v>
      </c>
      <c r="D2149" t="s">
        <v>67</v>
      </c>
      <c r="E2149" t="s">
        <v>68</v>
      </c>
      <c r="F2149" t="s">
        <v>26</v>
      </c>
      <c r="G2149" s="4">
        <v>2</v>
      </c>
      <c r="H2149" s="4" t="s">
        <v>17</v>
      </c>
      <c r="I2149" s="4" t="s">
        <v>69</v>
      </c>
      <c r="J2149" s="4" t="s">
        <v>73</v>
      </c>
      <c r="K2149" s="4">
        <v>1</v>
      </c>
      <c r="L2149" s="94">
        <v>436158</v>
      </c>
      <c r="M2149" s="94">
        <v>872316</v>
      </c>
    </row>
    <row r="2150" spans="3:13" x14ac:dyDescent="0.3">
      <c r="C2150" t="s">
        <v>70</v>
      </c>
      <c r="D2150" t="s">
        <v>67</v>
      </c>
      <c r="E2150" t="s">
        <v>63</v>
      </c>
      <c r="F2150" t="s">
        <v>25</v>
      </c>
      <c r="G2150" s="4">
        <v>12</v>
      </c>
      <c r="H2150" s="4" t="s">
        <v>81</v>
      </c>
      <c r="I2150" s="4" t="s">
        <v>69</v>
      </c>
      <c r="J2150" s="4" t="s">
        <v>66</v>
      </c>
      <c r="K2150" s="4">
        <v>0</v>
      </c>
      <c r="L2150" s="94">
        <v>-4911</v>
      </c>
      <c r="M2150" s="94">
        <v>0</v>
      </c>
    </row>
    <row r="2151" spans="3:13" x14ac:dyDescent="0.3">
      <c r="C2151" t="s">
        <v>70</v>
      </c>
      <c r="D2151" t="s">
        <v>62</v>
      </c>
      <c r="E2151" t="s">
        <v>68</v>
      </c>
      <c r="F2151" t="s">
        <v>24</v>
      </c>
      <c r="G2151" s="4">
        <v>35</v>
      </c>
      <c r="I2151" s="4" t="s">
        <v>69</v>
      </c>
      <c r="J2151" s="4" t="s">
        <v>66</v>
      </c>
      <c r="K2151" s="4">
        <v>1</v>
      </c>
      <c r="L2151" s="94">
        <v>75332</v>
      </c>
      <c r="M2151" s="94">
        <v>2636620</v>
      </c>
    </row>
    <row r="2152" spans="3:13" x14ac:dyDescent="0.3">
      <c r="C2152" t="s">
        <v>71</v>
      </c>
      <c r="D2152" t="s">
        <v>67</v>
      </c>
      <c r="E2152" t="s">
        <v>63</v>
      </c>
      <c r="F2152" t="s">
        <v>25</v>
      </c>
      <c r="G2152" s="4">
        <v>4</v>
      </c>
      <c r="H2152" s="4" t="s">
        <v>18</v>
      </c>
      <c r="I2152" s="4" t="s">
        <v>69</v>
      </c>
      <c r="J2152" s="4" t="s">
        <v>66</v>
      </c>
      <c r="K2152" s="4">
        <v>0</v>
      </c>
      <c r="L2152" s="94">
        <v>-5969420</v>
      </c>
      <c r="M2152" s="94">
        <v>0</v>
      </c>
    </row>
    <row r="2153" spans="3:13" x14ac:dyDescent="0.3">
      <c r="C2153" t="s">
        <v>61</v>
      </c>
      <c r="D2153" t="s">
        <v>67</v>
      </c>
      <c r="E2153" t="s">
        <v>63</v>
      </c>
      <c r="F2153" t="s">
        <v>25</v>
      </c>
      <c r="G2153" s="4">
        <v>12</v>
      </c>
      <c r="H2153" s="4" t="s">
        <v>77</v>
      </c>
      <c r="I2153" s="4" t="s">
        <v>69</v>
      </c>
      <c r="J2153" s="4" t="s">
        <v>66</v>
      </c>
      <c r="K2153" s="4">
        <v>0</v>
      </c>
      <c r="L2153" s="94">
        <v>-360</v>
      </c>
      <c r="M2153" s="94">
        <v>0</v>
      </c>
    </row>
    <row r="2154" spans="3:13" x14ac:dyDescent="0.3">
      <c r="C2154" t="s">
        <v>61</v>
      </c>
      <c r="D2154" t="s">
        <v>62</v>
      </c>
      <c r="E2154" t="s">
        <v>63</v>
      </c>
      <c r="F2154" t="s">
        <v>25</v>
      </c>
      <c r="G2154" s="4">
        <v>4</v>
      </c>
      <c r="I2154" s="4" t="s">
        <v>65</v>
      </c>
      <c r="J2154" s="4" t="s">
        <v>66</v>
      </c>
      <c r="K2154" s="4">
        <v>1</v>
      </c>
      <c r="L2154" s="94">
        <v>-134</v>
      </c>
      <c r="M2154" s="94">
        <v>0</v>
      </c>
    </row>
    <row r="2155" spans="3:13" x14ac:dyDescent="0.3">
      <c r="C2155" t="s">
        <v>71</v>
      </c>
      <c r="D2155" t="s">
        <v>67</v>
      </c>
      <c r="E2155" t="s">
        <v>63</v>
      </c>
      <c r="F2155" t="s">
        <v>26</v>
      </c>
      <c r="G2155" s="4">
        <v>8</v>
      </c>
      <c r="H2155" s="4" t="s">
        <v>18</v>
      </c>
      <c r="I2155" s="4" t="s">
        <v>69</v>
      </c>
      <c r="J2155" s="4" t="s">
        <v>66</v>
      </c>
      <c r="K2155" s="4">
        <v>0</v>
      </c>
      <c r="L2155" s="94">
        <v>-749052</v>
      </c>
      <c r="M2155" s="94">
        <v>0</v>
      </c>
    </row>
    <row r="2156" spans="3:13" x14ac:dyDescent="0.3">
      <c r="C2156" t="s">
        <v>70</v>
      </c>
      <c r="D2156" t="s">
        <v>67</v>
      </c>
      <c r="E2156" t="s">
        <v>68</v>
      </c>
      <c r="F2156" t="s">
        <v>26</v>
      </c>
      <c r="G2156" s="4">
        <v>1</v>
      </c>
      <c r="H2156" s="4" t="s">
        <v>74</v>
      </c>
      <c r="I2156" s="4" t="s">
        <v>69</v>
      </c>
      <c r="J2156" s="4" t="s">
        <v>66</v>
      </c>
      <c r="K2156" s="4">
        <v>0</v>
      </c>
      <c r="L2156" s="94">
        <v>2465866</v>
      </c>
      <c r="M2156" s="94">
        <v>2465866</v>
      </c>
    </row>
    <row r="2157" spans="3:13" x14ac:dyDescent="0.3">
      <c r="C2157" t="s">
        <v>61</v>
      </c>
      <c r="D2157" t="s">
        <v>67</v>
      </c>
      <c r="E2157" t="s">
        <v>63</v>
      </c>
      <c r="F2157" t="s">
        <v>26</v>
      </c>
      <c r="G2157" s="4">
        <v>2</v>
      </c>
      <c r="H2157" s="4" t="s">
        <v>86</v>
      </c>
      <c r="I2157" s="4" t="s">
        <v>69</v>
      </c>
      <c r="J2157" s="4" t="s">
        <v>66</v>
      </c>
      <c r="K2157" s="4">
        <v>0</v>
      </c>
      <c r="L2157" s="94">
        <v>-93</v>
      </c>
      <c r="M2157" s="94">
        <v>0</v>
      </c>
    </row>
    <row r="2158" spans="3:13" x14ac:dyDescent="0.3">
      <c r="C2158" t="s">
        <v>71</v>
      </c>
      <c r="D2158" t="s">
        <v>62</v>
      </c>
      <c r="E2158" t="s">
        <v>68</v>
      </c>
      <c r="F2158" t="s">
        <v>24</v>
      </c>
      <c r="G2158" s="4">
        <v>30</v>
      </c>
      <c r="I2158" s="4" t="s">
        <v>69</v>
      </c>
      <c r="J2158" s="4" t="s">
        <v>66</v>
      </c>
      <c r="K2158" s="4">
        <v>0</v>
      </c>
      <c r="L2158" s="94">
        <v>8691871</v>
      </c>
      <c r="M2158" s="94">
        <v>260756130</v>
      </c>
    </row>
    <row r="2159" spans="3:13" x14ac:dyDescent="0.3">
      <c r="C2159" t="s">
        <v>71</v>
      </c>
      <c r="D2159" t="s">
        <v>67</v>
      </c>
      <c r="E2159" t="s">
        <v>68</v>
      </c>
      <c r="F2159" t="s">
        <v>26</v>
      </c>
      <c r="G2159" s="4">
        <v>6</v>
      </c>
      <c r="H2159" s="4" t="s">
        <v>75</v>
      </c>
      <c r="I2159" s="4" t="s">
        <v>69</v>
      </c>
      <c r="J2159" s="4" t="s">
        <v>66</v>
      </c>
      <c r="K2159" s="4">
        <v>0</v>
      </c>
      <c r="L2159" s="94">
        <v>85065</v>
      </c>
      <c r="M2159" s="94">
        <v>510390</v>
      </c>
    </row>
    <row r="2160" spans="3:13" x14ac:dyDescent="0.3">
      <c r="C2160" t="s">
        <v>70</v>
      </c>
      <c r="D2160" t="s">
        <v>67</v>
      </c>
      <c r="E2160" t="s">
        <v>63</v>
      </c>
      <c r="F2160" t="s">
        <v>26</v>
      </c>
      <c r="G2160" s="4">
        <v>0</v>
      </c>
      <c r="H2160" s="4" t="s">
        <v>13</v>
      </c>
      <c r="I2160" s="4" t="s">
        <v>69</v>
      </c>
      <c r="J2160" s="4" t="s">
        <v>73</v>
      </c>
      <c r="K2160" s="4">
        <v>1</v>
      </c>
      <c r="L2160" s="94">
        <v>-42</v>
      </c>
      <c r="M2160" s="94">
        <v>0</v>
      </c>
    </row>
    <row r="2161" spans="3:13" x14ac:dyDescent="0.3">
      <c r="C2161" t="s">
        <v>61</v>
      </c>
      <c r="D2161" t="s">
        <v>67</v>
      </c>
      <c r="E2161" t="s">
        <v>68</v>
      </c>
      <c r="F2161" t="s">
        <v>72</v>
      </c>
      <c r="G2161" s="4">
        <v>3</v>
      </c>
      <c r="H2161" s="4" t="s">
        <v>18</v>
      </c>
      <c r="I2161" s="4" t="s">
        <v>69</v>
      </c>
      <c r="J2161" s="4" t="s">
        <v>66</v>
      </c>
      <c r="K2161" s="4">
        <v>0</v>
      </c>
      <c r="L2161" s="94">
        <v>10926793</v>
      </c>
      <c r="M2161" s="94">
        <v>32780379</v>
      </c>
    </row>
    <row r="2162" spans="3:13" x14ac:dyDescent="0.3">
      <c r="C2162" t="s">
        <v>61</v>
      </c>
      <c r="D2162" t="s">
        <v>67</v>
      </c>
      <c r="E2162" t="s">
        <v>68</v>
      </c>
      <c r="F2162" t="s">
        <v>72</v>
      </c>
      <c r="G2162" s="4">
        <v>0</v>
      </c>
      <c r="H2162" s="4" t="s">
        <v>17</v>
      </c>
      <c r="I2162" s="4" t="s">
        <v>69</v>
      </c>
      <c r="J2162" s="4" t="s">
        <v>66</v>
      </c>
      <c r="K2162" s="4">
        <v>0</v>
      </c>
      <c r="L2162" s="94">
        <v>1106481</v>
      </c>
      <c r="M2162" s="94">
        <v>0</v>
      </c>
    </row>
    <row r="2163" spans="3:13" x14ac:dyDescent="0.3">
      <c r="C2163" t="s">
        <v>61</v>
      </c>
      <c r="D2163" t="s">
        <v>67</v>
      </c>
      <c r="E2163" t="s">
        <v>68</v>
      </c>
      <c r="F2163" t="s">
        <v>26</v>
      </c>
      <c r="G2163" s="4">
        <v>5</v>
      </c>
      <c r="H2163" s="4" t="s">
        <v>80</v>
      </c>
      <c r="I2163" s="4" t="s">
        <v>69</v>
      </c>
      <c r="J2163" s="4" t="s">
        <v>66</v>
      </c>
      <c r="K2163" s="4">
        <v>0</v>
      </c>
      <c r="L2163" s="94">
        <v>134796</v>
      </c>
      <c r="M2163" s="94">
        <v>673980</v>
      </c>
    </row>
    <row r="2164" spans="3:13" x14ac:dyDescent="0.3">
      <c r="C2164" t="s">
        <v>71</v>
      </c>
      <c r="D2164" t="s">
        <v>67</v>
      </c>
      <c r="E2164" t="s">
        <v>63</v>
      </c>
      <c r="F2164" t="s">
        <v>72</v>
      </c>
      <c r="G2164" s="4">
        <v>3</v>
      </c>
      <c r="H2164" s="4" t="s">
        <v>64</v>
      </c>
      <c r="I2164" s="4" t="s">
        <v>69</v>
      </c>
      <c r="J2164" s="4" t="s">
        <v>66</v>
      </c>
      <c r="K2164" s="4">
        <v>0</v>
      </c>
      <c r="L2164" s="94">
        <v>-70898</v>
      </c>
      <c r="M2164" s="94">
        <v>0</v>
      </c>
    </row>
    <row r="2165" spans="3:13" x14ac:dyDescent="0.3">
      <c r="C2165" t="s">
        <v>70</v>
      </c>
      <c r="D2165" t="s">
        <v>67</v>
      </c>
      <c r="E2165" t="s">
        <v>63</v>
      </c>
      <c r="F2165" t="s">
        <v>26</v>
      </c>
      <c r="G2165" s="4">
        <v>-1</v>
      </c>
      <c r="H2165" s="4" t="s">
        <v>15</v>
      </c>
      <c r="I2165" s="4" t="s">
        <v>65</v>
      </c>
      <c r="J2165" s="4" t="s">
        <v>66</v>
      </c>
      <c r="K2165" s="4">
        <v>1</v>
      </c>
      <c r="L2165" s="94">
        <v>-4</v>
      </c>
      <c r="M2165" s="94">
        <v>0</v>
      </c>
    </row>
    <row r="2166" spans="3:13" x14ac:dyDescent="0.3">
      <c r="C2166" t="s">
        <v>71</v>
      </c>
      <c r="D2166" t="s">
        <v>67</v>
      </c>
      <c r="E2166" t="s">
        <v>68</v>
      </c>
      <c r="F2166" t="s">
        <v>72</v>
      </c>
      <c r="G2166" s="4">
        <v>0</v>
      </c>
      <c r="H2166" s="4" t="s">
        <v>80</v>
      </c>
      <c r="I2166" s="4" t="s">
        <v>69</v>
      </c>
      <c r="J2166" s="4" t="s">
        <v>66</v>
      </c>
      <c r="K2166" s="4">
        <v>0</v>
      </c>
      <c r="L2166" s="94">
        <v>14344</v>
      </c>
      <c r="M2166" s="94">
        <v>0</v>
      </c>
    </row>
    <row r="2167" spans="3:13" x14ac:dyDescent="0.3">
      <c r="C2167" t="s">
        <v>61</v>
      </c>
      <c r="D2167" t="s">
        <v>62</v>
      </c>
      <c r="E2167" t="s">
        <v>68</v>
      </c>
      <c r="F2167" t="s">
        <v>24</v>
      </c>
      <c r="G2167" s="4">
        <v>7</v>
      </c>
      <c r="I2167" s="4" t="s">
        <v>69</v>
      </c>
      <c r="J2167" s="4" t="s">
        <v>66</v>
      </c>
      <c r="K2167" s="4">
        <v>1</v>
      </c>
      <c r="L2167" s="94">
        <v>781770</v>
      </c>
      <c r="M2167" s="94">
        <v>5472390</v>
      </c>
    </row>
    <row r="2168" spans="3:13" x14ac:dyDescent="0.3">
      <c r="C2168" t="s">
        <v>61</v>
      </c>
      <c r="D2168" t="s">
        <v>67</v>
      </c>
      <c r="E2168" t="s">
        <v>68</v>
      </c>
      <c r="F2168" t="s">
        <v>25</v>
      </c>
      <c r="G2168" s="4">
        <v>1</v>
      </c>
      <c r="H2168" s="4" t="s">
        <v>16</v>
      </c>
      <c r="I2168" s="4" t="s">
        <v>69</v>
      </c>
      <c r="J2168" s="4" t="s">
        <v>66</v>
      </c>
      <c r="K2168" s="4">
        <v>0</v>
      </c>
      <c r="L2168" s="94">
        <v>18429</v>
      </c>
      <c r="M2168" s="94">
        <v>18429</v>
      </c>
    </row>
    <row r="2169" spans="3:13" x14ac:dyDescent="0.3">
      <c r="C2169" t="s">
        <v>71</v>
      </c>
      <c r="D2169" t="s">
        <v>67</v>
      </c>
      <c r="E2169" t="s">
        <v>68</v>
      </c>
      <c r="F2169" t="s">
        <v>72</v>
      </c>
      <c r="G2169" s="4">
        <v>3</v>
      </c>
      <c r="H2169" s="4" t="s">
        <v>83</v>
      </c>
      <c r="I2169" s="4" t="s">
        <v>69</v>
      </c>
      <c r="J2169" s="4" t="s">
        <v>66</v>
      </c>
      <c r="K2169" s="4">
        <v>0</v>
      </c>
      <c r="L2169" s="94">
        <v>53896</v>
      </c>
      <c r="M2169" s="94">
        <v>161688</v>
      </c>
    </row>
    <row r="2170" spans="3:13" x14ac:dyDescent="0.3">
      <c r="C2170" t="s">
        <v>70</v>
      </c>
      <c r="D2170" t="s">
        <v>67</v>
      </c>
      <c r="E2170" t="s">
        <v>68</v>
      </c>
      <c r="F2170" t="s">
        <v>72</v>
      </c>
      <c r="G2170" s="4">
        <v>2</v>
      </c>
      <c r="H2170" s="4" t="s">
        <v>79</v>
      </c>
      <c r="I2170" s="4" t="s">
        <v>69</v>
      </c>
      <c r="J2170" s="4" t="s">
        <v>66</v>
      </c>
      <c r="K2170" s="4">
        <v>0</v>
      </c>
      <c r="L2170" s="94">
        <v>513479</v>
      </c>
      <c r="M2170" s="94">
        <v>1026958</v>
      </c>
    </row>
    <row r="2171" spans="3:13" x14ac:dyDescent="0.3">
      <c r="C2171" t="s">
        <v>71</v>
      </c>
      <c r="D2171" t="s">
        <v>67</v>
      </c>
      <c r="E2171" t="s">
        <v>63</v>
      </c>
      <c r="F2171" t="s">
        <v>26</v>
      </c>
      <c r="G2171" s="4">
        <v>0</v>
      </c>
      <c r="H2171" s="4" t="s">
        <v>12</v>
      </c>
      <c r="I2171" s="4" t="s">
        <v>65</v>
      </c>
      <c r="J2171" s="4" t="s">
        <v>73</v>
      </c>
      <c r="K2171" s="4">
        <v>1</v>
      </c>
      <c r="L2171" s="94">
        <v>-62700</v>
      </c>
      <c r="M2171" s="94">
        <v>0</v>
      </c>
    </row>
    <row r="2172" spans="3:13" x14ac:dyDescent="0.3">
      <c r="C2172" t="s">
        <v>70</v>
      </c>
      <c r="D2172" t="s">
        <v>67</v>
      </c>
      <c r="E2172" t="s">
        <v>63</v>
      </c>
      <c r="F2172" t="s">
        <v>25</v>
      </c>
      <c r="G2172" s="4">
        <v>15</v>
      </c>
      <c r="H2172" s="4" t="s">
        <v>18</v>
      </c>
      <c r="I2172" s="4" t="s">
        <v>69</v>
      </c>
      <c r="J2172" s="4" t="s">
        <v>66</v>
      </c>
      <c r="K2172" s="4">
        <v>0</v>
      </c>
      <c r="L2172" s="94">
        <v>-25604</v>
      </c>
      <c r="M2172" s="94">
        <v>0</v>
      </c>
    </row>
    <row r="2173" spans="3:13" x14ac:dyDescent="0.3">
      <c r="C2173" t="s">
        <v>61</v>
      </c>
      <c r="D2173" t="s">
        <v>67</v>
      </c>
      <c r="E2173" t="s">
        <v>63</v>
      </c>
      <c r="F2173" t="s">
        <v>25</v>
      </c>
      <c r="G2173" s="4">
        <v>3</v>
      </c>
      <c r="H2173" s="4" t="s">
        <v>12</v>
      </c>
      <c r="I2173" s="4" t="s">
        <v>69</v>
      </c>
      <c r="J2173" s="4" t="s">
        <v>66</v>
      </c>
      <c r="K2173" s="4">
        <v>1</v>
      </c>
      <c r="L2173" s="94">
        <v>-1144</v>
      </c>
      <c r="M2173" s="94">
        <v>0</v>
      </c>
    </row>
    <row r="2174" spans="3:13" x14ac:dyDescent="0.3">
      <c r="C2174" t="s">
        <v>70</v>
      </c>
      <c r="D2174" t="s">
        <v>67</v>
      </c>
      <c r="E2174" t="s">
        <v>68</v>
      </c>
      <c r="F2174" t="s">
        <v>25</v>
      </c>
      <c r="G2174" s="4">
        <v>9</v>
      </c>
      <c r="H2174" s="4" t="s">
        <v>75</v>
      </c>
      <c r="I2174" s="4" t="s">
        <v>69</v>
      </c>
      <c r="J2174" s="4" t="s">
        <v>66</v>
      </c>
      <c r="K2174" s="4">
        <v>0</v>
      </c>
      <c r="L2174" s="94">
        <v>4510746</v>
      </c>
      <c r="M2174" s="94">
        <v>40596714</v>
      </c>
    </row>
    <row r="2175" spans="3:13" x14ac:dyDescent="0.3">
      <c r="C2175" t="s">
        <v>61</v>
      </c>
      <c r="D2175" t="s">
        <v>67</v>
      </c>
      <c r="E2175" t="s">
        <v>68</v>
      </c>
      <c r="F2175" t="s">
        <v>26</v>
      </c>
      <c r="G2175" s="4">
        <v>0</v>
      </c>
      <c r="H2175" s="4" t="s">
        <v>12</v>
      </c>
      <c r="I2175" s="4" t="s">
        <v>65</v>
      </c>
      <c r="J2175" s="4" t="s">
        <v>73</v>
      </c>
      <c r="K2175" s="4">
        <v>1</v>
      </c>
      <c r="L2175" s="94">
        <v>79275</v>
      </c>
      <c r="M2175" s="94">
        <v>0</v>
      </c>
    </row>
    <row r="2176" spans="3:13" x14ac:dyDescent="0.3">
      <c r="C2176" t="s">
        <v>71</v>
      </c>
      <c r="D2176" t="s">
        <v>67</v>
      </c>
      <c r="E2176" t="s">
        <v>68</v>
      </c>
      <c r="F2176" t="s">
        <v>72</v>
      </c>
      <c r="G2176" s="4">
        <v>-4</v>
      </c>
      <c r="H2176" s="4" t="s">
        <v>17</v>
      </c>
      <c r="I2176" s="4" t="s">
        <v>65</v>
      </c>
      <c r="J2176" s="4" t="s">
        <v>73</v>
      </c>
      <c r="K2176" s="4">
        <v>1</v>
      </c>
      <c r="L2176" s="94">
        <v>2553</v>
      </c>
      <c r="M2176" s="94">
        <v>0</v>
      </c>
    </row>
    <row r="2177" spans="3:13" x14ac:dyDescent="0.3">
      <c r="C2177" t="s">
        <v>61</v>
      </c>
      <c r="D2177" t="s">
        <v>67</v>
      </c>
      <c r="E2177" t="s">
        <v>63</v>
      </c>
      <c r="F2177" t="s">
        <v>25</v>
      </c>
      <c r="G2177" s="4">
        <v>-4</v>
      </c>
      <c r="H2177" s="4" t="s">
        <v>79</v>
      </c>
      <c r="I2177" s="4" t="s">
        <v>69</v>
      </c>
      <c r="J2177" s="4" t="s">
        <v>66</v>
      </c>
      <c r="K2177" s="4">
        <v>0</v>
      </c>
      <c r="L2177" s="94">
        <v>-57</v>
      </c>
      <c r="M2177" s="94">
        <v>0</v>
      </c>
    </row>
    <row r="2178" spans="3:13" x14ac:dyDescent="0.3">
      <c r="C2178" t="s">
        <v>71</v>
      </c>
      <c r="D2178" t="s">
        <v>67</v>
      </c>
      <c r="E2178" t="s">
        <v>68</v>
      </c>
      <c r="F2178" t="s">
        <v>72</v>
      </c>
      <c r="G2178" s="4">
        <v>5</v>
      </c>
      <c r="H2178" s="4" t="s">
        <v>76</v>
      </c>
      <c r="I2178" s="4" t="s">
        <v>69</v>
      </c>
      <c r="J2178" s="4" t="s">
        <v>66</v>
      </c>
      <c r="K2178" s="4">
        <v>0</v>
      </c>
      <c r="L2178" s="94">
        <v>43093</v>
      </c>
      <c r="M2178" s="94">
        <v>215465</v>
      </c>
    </row>
    <row r="2179" spans="3:13" x14ac:dyDescent="0.3">
      <c r="C2179" t="s">
        <v>70</v>
      </c>
      <c r="D2179" t="s">
        <v>67</v>
      </c>
      <c r="E2179" t="s">
        <v>68</v>
      </c>
      <c r="F2179" t="s">
        <v>25</v>
      </c>
      <c r="G2179" s="4">
        <v>2</v>
      </c>
      <c r="H2179" s="4" t="s">
        <v>12</v>
      </c>
      <c r="I2179" s="4" t="s">
        <v>69</v>
      </c>
      <c r="J2179" s="4" t="s">
        <v>66</v>
      </c>
      <c r="K2179" s="4">
        <v>0</v>
      </c>
      <c r="L2179" s="94">
        <v>48010</v>
      </c>
      <c r="M2179" s="94">
        <v>96020</v>
      </c>
    </row>
    <row r="2180" spans="3:13" x14ac:dyDescent="0.3">
      <c r="C2180" t="s">
        <v>71</v>
      </c>
      <c r="D2180" t="s">
        <v>67</v>
      </c>
      <c r="E2180" t="s">
        <v>63</v>
      </c>
      <c r="F2180" t="s">
        <v>72</v>
      </c>
      <c r="G2180" s="4">
        <v>6</v>
      </c>
      <c r="H2180" s="4" t="s">
        <v>82</v>
      </c>
      <c r="I2180" s="4" t="s">
        <v>69</v>
      </c>
      <c r="J2180" s="4" t="s">
        <v>66</v>
      </c>
      <c r="K2180" s="4">
        <v>0</v>
      </c>
      <c r="L2180" s="94">
        <v>-4164338</v>
      </c>
      <c r="M2180" s="94">
        <v>0</v>
      </c>
    </row>
    <row r="2181" spans="3:13" x14ac:dyDescent="0.3">
      <c r="C2181" t="s">
        <v>70</v>
      </c>
      <c r="D2181" t="s">
        <v>67</v>
      </c>
      <c r="E2181" t="s">
        <v>63</v>
      </c>
      <c r="F2181" t="s">
        <v>25</v>
      </c>
      <c r="G2181" s="4">
        <v>6</v>
      </c>
      <c r="H2181" s="4" t="s">
        <v>79</v>
      </c>
      <c r="I2181" s="4" t="s">
        <v>69</v>
      </c>
      <c r="J2181" s="4" t="s">
        <v>66</v>
      </c>
      <c r="K2181" s="4">
        <v>0</v>
      </c>
      <c r="L2181" s="94">
        <v>-21686</v>
      </c>
      <c r="M2181" s="94">
        <v>0</v>
      </c>
    </row>
    <row r="2182" spans="3:13" x14ac:dyDescent="0.3">
      <c r="C2182" t="s">
        <v>71</v>
      </c>
      <c r="D2182" t="s">
        <v>62</v>
      </c>
      <c r="E2182" t="s">
        <v>68</v>
      </c>
      <c r="F2182" t="s">
        <v>24</v>
      </c>
      <c r="G2182" s="4">
        <v>42</v>
      </c>
      <c r="I2182" s="4" t="s">
        <v>69</v>
      </c>
      <c r="J2182" s="4" t="s">
        <v>66</v>
      </c>
      <c r="K2182" s="4">
        <v>0</v>
      </c>
      <c r="L2182" s="94">
        <v>1157956</v>
      </c>
      <c r="M2182" s="94">
        <v>48634152</v>
      </c>
    </row>
    <row r="2183" spans="3:13" x14ac:dyDescent="0.3">
      <c r="C2183" t="s">
        <v>61</v>
      </c>
      <c r="D2183" t="s">
        <v>67</v>
      </c>
      <c r="E2183" t="s">
        <v>68</v>
      </c>
      <c r="F2183" t="s">
        <v>72</v>
      </c>
      <c r="G2183" s="4">
        <v>2</v>
      </c>
      <c r="H2183" s="4" t="s">
        <v>17</v>
      </c>
      <c r="I2183" s="4" t="s">
        <v>69</v>
      </c>
      <c r="J2183" s="4" t="s">
        <v>73</v>
      </c>
      <c r="K2183" s="4">
        <v>1</v>
      </c>
      <c r="L2183" s="94">
        <v>231373</v>
      </c>
      <c r="M2183" s="94">
        <v>462746</v>
      </c>
    </row>
    <row r="2184" spans="3:13" x14ac:dyDescent="0.3">
      <c r="C2184" t="s">
        <v>71</v>
      </c>
      <c r="D2184" t="s">
        <v>67</v>
      </c>
      <c r="E2184" t="s">
        <v>68</v>
      </c>
      <c r="F2184" t="s">
        <v>72</v>
      </c>
      <c r="G2184" s="4">
        <v>-1</v>
      </c>
      <c r="H2184" s="4" t="s">
        <v>14</v>
      </c>
      <c r="I2184" s="4" t="s">
        <v>69</v>
      </c>
      <c r="J2184" s="4" t="s">
        <v>73</v>
      </c>
      <c r="K2184" s="4">
        <v>1</v>
      </c>
      <c r="L2184" s="94">
        <v>20000</v>
      </c>
      <c r="M2184" s="94">
        <v>0</v>
      </c>
    </row>
    <row r="2185" spans="3:13" x14ac:dyDescent="0.3">
      <c r="C2185" t="s">
        <v>61</v>
      </c>
      <c r="D2185" t="s">
        <v>67</v>
      </c>
      <c r="E2185" t="s">
        <v>68</v>
      </c>
      <c r="F2185" t="s">
        <v>26</v>
      </c>
      <c r="G2185" s="4">
        <v>2</v>
      </c>
      <c r="H2185" s="4" t="s">
        <v>81</v>
      </c>
      <c r="I2185" s="4" t="s">
        <v>69</v>
      </c>
      <c r="J2185" s="4" t="s">
        <v>66</v>
      </c>
      <c r="K2185" s="4">
        <v>0</v>
      </c>
      <c r="L2185" s="94">
        <v>153572</v>
      </c>
      <c r="M2185" s="94">
        <v>307144</v>
      </c>
    </row>
    <row r="2186" spans="3:13" x14ac:dyDescent="0.3">
      <c r="C2186" t="s">
        <v>70</v>
      </c>
      <c r="D2186" t="s">
        <v>62</v>
      </c>
      <c r="E2186" t="s">
        <v>68</v>
      </c>
      <c r="F2186" t="s">
        <v>24</v>
      </c>
      <c r="G2186" s="4">
        <v>4</v>
      </c>
      <c r="I2186" s="4" t="s">
        <v>69</v>
      </c>
      <c r="J2186" s="4" t="s">
        <v>66</v>
      </c>
      <c r="K2186" s="4">
        <v>0</v>
      </c>
      <c r="L2186" s="94">
        <v>8124584</v>
      </c>
      <c r="M2186" s="94">
        <v>32498336</v>
      </c>
    </row>
    <row r="2187" spans="3:13" x14ac:dyDescent="0.3">
      <c r="C2187" t="s">
        <v>71</v>
      </c>
      <c r="D2187" t="s">
        <v>67</v>
      </c>
      <c r="E2187" t="s">
        <v>63</v>
      </c>
      <c r="F2187" t="s">
        <v>26</v>
      </c>
      <c r="G2187" s="4">
        <v>2</v>
      </c>
      <c r="H2187" s="4" t="s">
        <v>74</v>
      </c>
      <c r="I2187" s="4" t="s">
        <v>69</v>
      </c>
      <c r="J2187" s="4" t="s">
        <v>66</v>
      </c>
      <c r="K2187" s="4">
        <v>0</v>
      </c>
      <c r="L2187" s="94">
        <v>-336134</v>
      </c>
      <c r="M2187" s="94">
        <v>0</v>
      </c>
    </row>
    <row r="2188" spans="3:13" x14ac:dyDescent="0.3">
      <c r="C2188" t="s">
        <v>71</v>
      </c>
      <c r="D2188" t="s">
        <v>67</v>
      </c>
      <c r="E2188" t="s">
        <v>63</v>
      </c>
      <c r="F2188" t="s">
        <v>25</v>
      </c>
      <c r="G2188" s="4">
        <v>-1</v>
      </c>
      <c r="H2188" s="4" t="s">
        <v>82</v>
      </c>
      <c r="I2188" s="4" t="s">
        <v>69</v>
      </c>
      <c r="J2188" s="4" t="s">
        <v>66</v>
      </c>
      <c r="K2188" s="4">
        <v>0</v>
      </c>
      <c r="L2188" s="94">
        <v>-800</v>
      </c>
      <c r="M2188" s="94">
        <v>0</v>
      </c>
    </row>
    <row r="2189" spans="3:13" x14ac:dyDescent="0.3">
      <c r="C2189" t="s">
        <v>71</v>
      </c>
      <c r="D2189" t="s">
        <v>67</v>
      </c>
      <c r="E2189" t="s">
        <v>68</v>
      </c>
      <c r="F2189" t="s">
        <v>25</v>
      </c>
      <c r="G2189" s="4">
        <v>-4</v>
      </c>
      <c r="H2189" s="4" t="s">
        <v>17</v>
      </c>
      <c r="I2189" s="4" t="s">
        <v>69</v>
      </c>
      <c r="J2189" s="4" t="s">
        <v>66</v>
      </c>
      <c r="K2189" s="4">
        <v>1</v>
      </c>
      <c r="L2189" s="94">
        <v>2440761</v>
      </c>
      <c r="M2189" s="94">
        <v>0</v>
      </c>
    </row>
    <row r="2190" spans="3:13" x14ac:dyDescent="0.3">
      <c r="C2190" t="s">
        <v>61</v>
      </c>
      <c r="D2190" t="s">
        <v>67</v>
      </c>
      <c r="E2190" t="s">
        <v>63</v>
      </c>
      <c r="F2190" t="s">
        <v>26</v>
      </c>
      <c r="G2190" s="4">
        <v>3</v>
      </c>
      <c r="H2190" s="4" t="s">
        <v>18</v>
      </c>
      <c r="I2190" s="4" t="s">
        <v>65</v>
      </c>
      <c r="J2190" s="4" t="s">
        <v>66</v>
      </c>
      <c r="K2190" s="4">
        <v>1</v>
      </c>
      <c r="L2190" s="94">
        <v>-1549</v>
      </c>
      <c r="M2190" s="94">
        <v>0</v>
      </c>
    </row>
    <row r="2191" spans="3:13" x14ac:dyDescent="0.3">
      <c r="C2191" t="s">
        <v>61</v>
      </c>
      <c r="D2191" t="s">
        <v>67</v>
      </c>
      <c r="E2191" t="s">
        <v>68</v>
      </c>
      <c r="F2191" t="s">
        <v>26</v>
      </c>
      <c r="G2191" s="4">
        <v>5</v>
      </c>
      <c r="H2191" s="4" t="s">
        <v>74</v>
      </c>
      <c r="I2191" s="4" t="s">
        <v>69</v>
      </c>
      <c r="J2191" s="4" t="s">
        <v>66</v>
      </c>
      <c r="K2191" s="4">
        <v>0</v>
      </c>
      <c r="L2191" s="94">
        <v>63675807</v>
      </c>
      <c r="M2191" s="94">
        <v>318379035</v>
      </c>
    </row>
    <row r="2192" spans="3:13" x14ac:dyDescent="0.3">
      <c r="C2192" t="s">
        <v>61</v>
      </c>
      <c r="D2192" t="s">
        <v>67</v>
      </c>
      <c r="E2192" t="s">
        <v>63</v>
      </c>
      <c r="F2192" t="s">
        <v>72</v>
      </c>
      <c r="G2192" s="4">
        <v>-1</v>
      </c>
      <c r="H2192" s="4" t="s">
        <v>75</v>
      </c>
      <c r="I2192" s="4" t="s">
        <v>69</v>
      </c>
      <c r="J2192" s="4" t="s">
        <v>66</v>
      </c>
      <c r="K2192" s="4">
        <v>0</v>
      </c>
      <c r="L2192" s="94">
        <v>-9286</v>
      </c>
      <c r="M2192" s="94">
        <v>0</v>
      </c>
    </row>
    <row r="2193" spans="3:13" x14ac:dyDescent="0.3">
      <c r="C2193" t="s">
        <v>61</v>
      </c>
      <c r="D2193" t="s">
        <v>67</v>
      </c>
      <c r="E2193" t="s">
        <v>63</v>
      </c>
      <c r="F2193" t="s">
        <v>25</v>
      </c>
      <c r="G2193" s="4">
        <v>8</v>
      </c>
      <c r="H2193" s="4" t="s">
        <v>18</v>
      </c>
      <c r="I2193" s="4" t="s">
        <v>69</v>
      </c>
      <c r="J2193" s="4" t="s">
        <v>66</v>
      </c>
      <c r="K2193" s="4">
        <v>0</v>
      </c>
      <c r="L2193" s="94">
        <v>-26876</v>
      </c>
      <c r="M2193" s="94">
        <v>0</v>
      </c>
    </row>
    <row r="2194" spans="3:13" x14ac:dyDescent="0.3">
      <c r="C2194" t="s">
        <v>61</v>
      </c>
      <c r="D2194" t="s">
        <v>62</v>
      </c>
      <c r="E2194" t="s">
        <v>63</v>
      </c>
      <c r="F2194" t="s">
        <v>24</v>
      </c>
      <c r="G2194" s="4">
        <v>39</v>
      </c>
      <c r="I2194" s="4" t="s">
        <v>69</v>
      </c>
      <c r="J2194" s="4" t="s">
        <v>66</v>
      </c>
      <c r="K2194" s="4">
        <v>0</v>
      </c>
      <c r="L2194" s="94">
        <v>-171230</v>
      </c>
      <c r="M2194" s="94">
        <v>0</v>
      </c>
    </row>
    <row r="2195" spans="3:13" x14ac:dyDescent="0.3">
      <c r="C2195" t="s">
        <v>71</v>
      </c>
      <c r="D2195" t="s">
        <v>67</v>
      </c>
      <c r="E2195" t="s">
        <v>68</v>
      </c>
      <c r="F2195" t="s">
        <v>72</v>
      </c>
      <c r="G2195" s="4">
        <v>0</v>
      </c>
      <c r="H2195" s="4" t="s">
        <v>74</v>
      </c>
      <c r="I2195" s="4" t="s">
        <v>69</v>
      </c>
      <c r="J2195" s="4" t="s">
        <v>66</v>
      </c>
      <c r="K2195" s="4">
        <v>0</v>
      </c>
      <c r="L2195" s="94">
        <v>26367</v>
      </c>
      <c r="M2195" s="94">
        <v>0</v>
      </c>
    </row>
    <row r="2196" spans="3:13" x14ac:dyDescent="0.3">
      <c r="C2196" t="s">
        <v>61</v>
      </c>
      <c r="D2196" t="s">
        <v>67</v>
      </c>
      <c r="E2196" t="s">
        <v>68</v>
      </c>
      <c r="F2196" t="s">
        <v>25</v>
      </c>
      <c r="G2196" s="4">
        <v>4</v>
      </c>
      <c r="H2196" s="4" t="s">
        <v>12</v>
      </c>
      <c r="I2196" s="4" t="s">
        <v>69</v>
      </c>
      <c r="J2196" s="4" t="s">
        <v>66</v>
      </c>
      <c r="K2196" s="4">
        <v>1</v>
      </c>
      <c r="L2196" s="94">
        <v>483123</v>
      </c>
      <c r="M2196" s="94">
        <v>1932492</v>
      </c>
    </row>
    <row r="2197" spans="3:13" x14ac:dyDescent="0.3">
      <c r="C2197" t="s">
        <v>71</v>
      </c>
      <c r="D2197" t="s">
        <v>67</v>
      </c>
      <c r="E2197" t="s">
        <v>68</v>
      </c>
      <c r="F2197" t="s">
        <v>72</v>
      </c>
      <c r="G2197" s="4">
        <v>3</v>
      </c>
      <c r="H2197" s="4" t="s">
        <v>75</v>
      </c>
      <c r="I2197" s="4" t="s">
        <v>69</v>
      </c>
      <c r="J2197" s="4" t="s">
        <v>66</v>
      </c>
      <c r="K2197" s="4">
        <v>0</v>
      </c>
      <c r="L2197" s="94">
        <v>36113</v>
      </c>
      <c r="M2197" s="94">
        <v>108339</v>
      </c>
    </row>
    <row r="2198" spans="3:13" x14ac:dyDescent="0.3">
      <c r="C2198" t="s">
        <v>70</v>
      </c>
      <c r="D2198" t="s">
        <v>67</v>
      </c>
      <c r="E2198" t="s">
        <v>68</v>
      </c>
      <c r="F2198" t="s">
        <v>25</v>
      </c>
      <c r="G2198" s="4">
        <v>9</v>
      </c>
      <c r="H2198" s="4" t="s">
        <v>83</v>
      </c>
      <c r="I2198" s="4" t="s">
        <v>69</v>
      </c>
      <c r="J2198" s="4" t="s">
        <v>66</v>
      </c>
      <c r="K2198" s="4">
        <v>0</v>
      </c>
      <c r="L2198" s="94">
        <v>326673</v>
      </c>
      <c r="M2198" s="94">
        <v>2940057</v>
      </c>
    </row>
    <row r="2199" spans="3:13" x14ac:dyDescent="0.3">
      <c r="C2199" t="s">
        <v>61</v>
      </c>
      <c r="D2199" t="s">
        <v>67</v>
      </c>
      <c r="E2199" t="s">
        <v>68</v>
      </c>
      <c r="F2199" t="s">
        <v>72</v>
      </c>
      <c r="G2199" s="4">
        <v>6</v>
      </c>
      <c r="H2199" s="4" t="s">
        <v>77</v>
      </c>
      <c r="I2199" s="4" t="s">
        <v>69</v>
      </c>
      <c r="J2199" s="4" t="s">
        <v>66</v>
      </c>
      <c r="K2199" s="4">
        <v>0</v>
      </c>
      <c r="L2199" s="94">
        <v>48143</v>
      </c>
      <c r="M2199" s="94">
        <v>288858</v>
      </c>
    </row>
    <row r="2200" spans="3:13" x14ac:dyDescent="0.3">
      <c r="C2200" t="s">
        <v>71</v>
      </c>
      <c r="D2200" t="s">
        <v>67</v>
      </c>
      <c r="E2200" t="s">
        <v>68</v>
      </c>
      <c r="F2200" t="s">
        <v>26</v>
      </c>
      <c r="G2200" s="4">
        <v>-1</v>
      </c>
      <c r="H2200" s="4" t="s">
        <v>81</v>
      </c>
      <c r="I2200" s="4" t="s">
        <v>69</v>
      </c>
      <c r="J2200" s="4" t="s">
        <v>66</v>
      </c>
      <c r="K2200" s="4">
        <v>0</v>
      </c>
      <c r="L2200" s="94">
        <v>30777</v>
      </c>
      <c r="M2200" s="94">
        <v>0</v>
      </c>
    </row>
    <row r="2201" spans="3:13" x14ac:dyDescent="0.3">
      <c r="C2201" t="s">
        <v>70</v>
      </c>
      <c r="D2201" t="s">
        <v>62</v>
      </c>
      <c r="E2201" t="s">
        <v>68</v>
      </c>
      <c r="F2201" t="s">
        <v>24</v>
      </c>
      <c r="G2201" s="4">
        <v>1</v>
      </c>
      <c r="I2201" s="4" t="s">
        <v>69</v>
      </c>
      <c r="J2201" s="4" t="s">
        <v>66</v>
      </c>
      <c r="K2201" s="4">
        <v>1</v>
      </c>
      <c r="L2201" s="94">
        <v>5379</v>
      </c>
      <c r="M2201" s="94">
        <v>5379</v>
      </c>
    </row>
    <row r="2202" spans="3:13" x14ac:dyDescent="0.3">
      <c r="C2202" t="s">
        <v>71</v>
      </c>
      <c r="D2202" t="s">
        <v>62</v>
      </c>
      <c r="E2202" t="s">
        <v>68</v>
      </c>
      <c r="F2202" t="s">
        <v>24</v>
      </c>
      <c r="G2202" s="4">
        <v>19</v>
      </c>
      <c r="I2202" s="4" t="s">
        <v>69</v>
      </c>
      <c r="J2202" s="4" t="s">
        <v>66</v>
      </c>
      <c r="K2202" s="4">
        <v>1</v>
      </c>
      <c r="L2202" s="94">
        <v>135429</v>
      </c>
      <c r="M2202" s="94">
        <v>2573151</v>
      </c>
    </row>
    <row r="2203" spans="3:13" x14ac:dyDescent="0.3">
      <c r="C2203" t="s">
        <v>61</v>
      </c>
      <c r="D2203" t="s">
        <v>67</v>
      </c>
      <c r="E2203" t="s">
        <v>68</v>
      </c>
      <c r="F2203" t="s">
        <v>72</v>
      </c>
      <c r="G2203" s="4">
        <v>7</v>
      </c>
      <c r="H2203" s="4" t="s">
        <v>14</v>
      </c>
      <c r="I2203" s="4" t="s">
        <v>69</v>
      </c>
      <c r="J2203" s="4" t="s">
        <v>73</v>
      </c>
      <c r="K2203" s="4">
        <v>1</v>
      </c>
      <c r="L2203" s="94">
        <v>655167</v>
      </c>
      <c r="M2203" s="94">
        <v>4586169</v>
      </c>
    </row>
    <row r="2204" spans="3:13" x14ac:dyDescent="0.3">
      <c r="C2204" t="s">
        <v>71</v>
      </c>
      <c r="D2204" t="s">
        <v>67</v>
      </c>
      <c r="E2204" t="s">
        <v>63</v>
      </c>
      <c r="F2204" t="s">
        <v>25</v>
      </c>
      <c r="G2204" s="4">
        <v>-4</v>
      </c>
      <c r="H2204" s="4" t="s">
        <v>81</v>
      </c>
      <c r="I2204" s="4" t="s">
        <v>69</v>
      </c>
      <c r="J2204" s="4" t="s">
        <v>66</v>
      </c>
      <c r="K2204" s="4">
        <v>0</v>
      </c>
      <c r="L2204" s="94">
        <v>-143</v>
      </c>
      <c r="M2204" s="94">
        <v>0</v>
      </c>
    </row>
    <row r="2205" spans="3:13" x14ac:dyDescent="0.3">
      <c r="C2205" t="s">
        <v>61</v>
      </c>
      <c r="D2205" t="s">
        <v>67</v>
      </c>
      <c r="E2205" t="s">
        <v>68</v>
      </c>
      <c r="F2205" t="s">
        <v>26</v>
      </c>
      <c r="G2205" s="4">
        <v>4</v>
      </c>
      <c r="H2205" s="4" t="s">
        <v>64</v>
      </c>
      <c r="I2205" s="4" t="s">
        <v>69</v>
      </c>
      <c r="J2205" s="4" t="s">
        <v>66</v>
      </c>
      <c r="K2205" s="4">
        <v>0</v>
      </c>
      <c r="L2205" s="94">
        <v>9625914</v>
      </c>
      <c r="M2205" s="94">
        <v>38503656</v>
      </c>
    </row>
    <row r="2206" spans="3:13" x14ac:dyDescent="0.3">
      <c r="C2206" t="s">
        <v>61</v>
      </c>
      <c r="D2206" t="s">
        <v>67</v>
      </c>
      <c r="E2206" t="s">
        <v>68</v>
      </c>
      <c r="F2206" t="s">
        <v>25</v>
      </c>
      <c r="G2206" s="4">
        <v>3</v>
      </c>
      <c r="H2206" s="4" t="s">
        <v>17</v>
      </c>
      <c r="I2206" s="4" t="s">
        <v>69</v>
      </c>
      <c r="J2206" s="4" t="s">
        <v>66</v>
      </c>
      <c r="K2206" s="4">
        <v>0</v>
      </c>
      <c r="L2206" s="94">
        <v>81451271</v>
      </c>
      <c r="M2206" s="94">
        <v>244353813</v>
      </c>
    </row>
    <row r="2207" spans="3:13" x14ac:dyDescent="0.3">
      <c r="C2207" t="s">
        <v>71</v>
      </c>
      <c r="D2207" t="s">
        <v>67</v>
      </c>
      <c r="E2207" t="s">
        <v>68</v>
      </c>
      <c r="F2207" t="s">
        <v>26</v>
      </c>
      <c r="G2207" s="4">
        <v>5</v>
      </c>
      <c r="H2207" s="4" t="s">
        <v>18</v>
      </c>
      <c r="I2207" s="4" t="s">
        <v>69</v>
      </c>
      <c r="J2207" s="4" t="s">
        <v>66</v>
      </c>
      <c r="K2207" s="4">
        <v>0</v>
      </c>
      <c r="L2207" s="94">
        <v>1774167</v>
      </c>
      <c r="M2207" s="94">
        <v>8870835</v>
      </c>
    </row>
    <row r="2208" spans="3:13" x14ac:dyDescent="0.3">
      <c r="C2208" t="s">
        <v>71</v>
      </c>
      <c r="D2208" t="s">
        <v>67</v>
      </c>
      <c r="E2208" t="s">
        <v>63</v>
      </c>
      <c r="F2208" t="s">
        <v>26</v>
      </c>
      <c r="G2208" s="4">
        <v>9</v>
      </c>
      <c r="H2208" s="4" t="s">
        <v>18</v>
      </c>
      <c r="I2208" s="4" t="s">
        <v>69</v>
      </c>
      <c r="J2208" s="4" t="s">
        <v>66</v>
      </c>
      <c r="K2208" s="4">
        <v>0</v>
      </c>
      <c r="L2208" s="94">
        <v>-4588697</v>
      </c>
      <c r="M2208" s="94">
        <v>0</v>
      </c>
    </row>
    <row r="2209" spans="3:13" x14ac:dyDescent="0.3">
      <c r="C2209" t="s">
        <v>61</v>
      </c>
      <c r="D2209" t="s">
        <v>67</v>
      </c>
      <c r="E2209" t="s">
        <v>68</v>
      </c>
      <c r="F2209" t="s">
        <v>26</v>
      </c>
      <c r="G2209" s="4">
        <v>-1</v>
      </c>
      <c r="H2209" s="4" t="s">
        <v>12</v>
      </c>
      <c r="I2209" s="4" t="s">
        <v>69</v>
      </c>
      <c r="J2209" s="4" t="s">
        <v>66</v>
      </c>
      <c r="K2209" s="4">
        <v>0</v>
      </c>
      <c r="L2209" s="94">
        <v>6742423</v>
      </c>
      <c r="M2209" s="94">
        <v>0</v>
      </c>
    </row>
    <row r="2210" spans="3:13" x14ac:dyDescent="0.3">
      <c r="C2210" t="s">
        <v>70</v>
      </c>
      <c r="D2210" t="s">
        <v>67</v>
      </c>
      <c r="E2210" t="s">
        <v>68</v>
      </c>
      <c r="F2210" t="s">
        <v>25</v>
      </c>
      <c r="G2210" s="4">
        <v>7</v>
      </c>
      <c r="H2210" s="4" t="s">
        <v>17</v>
      </c>
      <c r="I2210" s="4" t="s">
        <v>69</v>
      </c>
      <c r="J2210" s="4" t="s">
        <v>66</v>
      </c>
      <c r="K2210" s="4">
        <v>1</v>
      </c>
      <c r="L2210" s="94">
        <v>233322</v>
      </c>
      <c r="M2210" s="94">
        <v>1633254</v>
      </c>
    </row>
    <row r="2211" spans="3:13" x14ac:dyDescent="0.3">
      <c r="C2211" t="s">
        <v>70</v>
      </c>
      <c r="D2211" t="s">
        <v>67</v>
      </c>
      <c r="E2211" t="s">
        <v>63</v>
      </c>
      <c r="F2211" t="s">
        <v>25</v>
      </c>
      <c r="G2211" s="4">
        <v>11</v>
      </c>
      <c r="H2211" s="4" t="s">
        <v>77</v>
      </c>
      <c r="I2211" s="4" t="s">
        <v>69</v>
      </c>
      <c r="J2211" s="4" t="s">
        <v>66</v>
      </c>
      <c r="K2211" s="4">
        <v>0</v>
      </c>
      <c r="L2211" s="94">
        <v>-19046</v>
      </c>
      <c r="M2211" s="94">
        <v>0</v>
      </c>
    </row>
    <row r="2212" spans="3:13" x14ac:dyDescent="0.3">
      <c r="C2212" t="s">
        <v>61</v>
      </c>
      <c r="D2212" t="s">
        <v>67</v>
      </c>
      <c r="E2212" t="s">
        <v>63</v>
      </c>
      <c r="F2212" t="s">
        <v>26</v>
      </c>
      <c r="G2212" s="4">
        <v>0</v>
      </c>
      <c r="H2212" s="4" t="s">
        <v>82</v>
      </c>
      <c r="I2212" s="4" t="s">
        <v>69</v>
      </c>
      <c r="J2212" s="4" t="s">
        <v>66</v>
      </c>
      <c r="K2212" s="4">
        <v>0</v>
      </c>
      <c r="L2212" s="94">
        <v>-328017</v>
      </c>
      <c r="M2212" s="94">
        <v>0</v>
      </c>
    </row>
    <row r="2213" spans="3:13" x14ac:dyDescent="0.3">
      <c r="C2213" t="s">
        <v>61</v>
      </c>
      <c r="D2213" t="s">
        <v>67</v>
      </c>
      <c r="E2213" t="s">
        <v>68</v>
      </c>
      <c r="F2213" t="s">
        <v>26</v>
      </c>
      <c r="G2213" s="4">
        <v>0</v>
      </c>
      <c r="H2213" s="4" t="s">
        <v>82</v>
      </c>
      <c r="I2213" s="4" t="s">
        <v>69</v>
      </c>
      <c r="J2213" s="4" t="s">
        <v>66</v>
      </c>
      <c r="K2213" s="4">
        <v>0</v>
      </c>
      <c r="L2213" s="94">
        <v>272470599</v>
      </c>
      <c r="M2213" s="94">
        <v>0</v>
      </c>
    </row>
    <row r="2214" spans="3:13" x14ac:dyDescent="0.3">
      <c r="C2214" t="s">
        <v>70</v>
      </c>
      <c r="D2214" t="s">
        <v>67</v>
      </c>
      <c r="E2214" t="s">
        <v>63</v>
      </c>
      <c r="F2214" t="s">
        <v>26</v>
      </c>
      <c r="G2214" s="4">
        <v>3</v>
      </c>
      <c r="H2214" s="4" t="s">
        <v>77</v>
      </c>
      <c r="I2214" s="4" t="s">
        <v>69</v>
      </c>
      <c r="J2214" s="4" t="s">
        <v>66</v>
      </c>
      <c r="K2214" s="4">
        <v>0</v>
      </c>
      <c r="L2214" s="94">
        <v>-99018</v>
      </c>
      <c r="M2214" s="94">
        <v>0</v>
      </c>
    </row>
    <row r="2215" spans="3:13" x14ac:dyDescent="0.3">
      <c r="C2215" t="s">
        <v>61</v>
      </c>
      <c r="D2215" t="s">
        <v>62</v>
      </c>
      <c r="E2215" t="s">
        <v>68</v>
      </c>
      <c r="F2215" t="s">
        <v>24</v>
      </c>
      <c r="G2215" s="4">
        <v>33</v>
      </c>
      <c r="I2215" s="4" t="s">
        <v>69</v>
      </c>
      <c r="J2215" s="4" t="s">
        <v>66</v>
      </c>
      <c r="K2215" s="4">
        <v>1</v>
      </c>
      <c r="L2215" s="94">
        <v>2613246</v>
      </c>
      <c r="M2215" s="94">
        <v>86237118</v>
      </c>
    </row>
    <row r="2216" spans="3:13" x14ac:dyDescent="0.3">
      <c r="C2216" t="s">
        <v>61</v>
      </c>
      <c r="D2216" t="s">
        <v>67</v>
      </c>
      <c r="E2216" t="s">
        <v>68</v>
      </c>
      <c r="F2216" t="s">
        <v>72</v>
      </c>
      <c r="G2216" s="4">
        <v>-4</v>
      </c>
      <c r="H2216" s="4" t="s">
        <v>79</v>
      </c>
      <c r="I2216" s="4" t="s">
        <v>69</v>
      </c>
      <c r="J2216" s="4" t="s">
        <v>66</v>
      </c>
      <c r="K2216" s="4">
        <v>0</v>
      </c>
      <c r="L2216" s="94">
        <v>263</v>
      </c>
      <c r="M2216" s="94">
        <v>0</v>
      </c>
    </row>
    <row r="2217" spans="3:13" x14ac:dyDescent="0.3">
      <c r="C2217" t="s">
        <v>61</v>
      </c>
      <c r="D2217" t="s">
        <v>84</v>
      </c>
      <c r="E2217" t="s">
        <v>68</v>
      </c>
      <c r="F2217" t="s">
        <v>25</v>
      </c>
      <c r="G2217" s="4">
        <v>14</v>
      </c>
      <c r="H2217" s="4" t="s">
        <v>75</v>
      </c>
      <c r="I2217" s="4" t="s">
        <v>69</v>
      </c>
      <c r="J2217" s="4" t="s">
        <v>66</v>
      </c>
      <c r="K2217" s="4">
        <v>0</v>
      </c>
      <c r="L2217" s="94">
        <v>1412389</v>
      </c>
      <c r="M2217" s="94">
        <v>19773446</v>
      </c>
    </row>
    <row r="2218" spans="3:13" x14ac:dyDescent="0.3">
      <c r="C2218" t="s">
        <v>71</v>
      </c>
      <c r="D2218" t="s">
        <v>67</v>
      </c>
      <c r="E2218" t="s">
        <v>63</v>
      </c>
      <c r="F2218" t="s">
        <v>26</v>
      </c>
      <c r="G2218" s="4">
        <v>2</v>
      </c>
      <c r="H2218" s="4" t="s">
        <v>80</v>
      </c>
      <c r="I2218" s="4" t="s">
        <v>69</v>
      </c>
      <c r="J2218" s="4" t="s">
        <v>66</v>
      </c>
      <c r="K2218" s="4">
        <v>0</v>
      </c>
      <c r="L2218" s="94">
        <v>-138154</v>
      </c>
      <c r="M2218" s="94">
        <v>0</v>
      </c>
    </row>
    <row r="2219" spans="3:13" x14ac:dyDescent="0.3">
      <c r="C2219" t="s">
        <v>70</v>
      </c>
      <c r="D2219" t="s">
        <v>67</v>
      </c>
      <c r="E2219" t="s">
        <v>68</v>
      </c>
      <c r="F2219" t="s">
        <v>26</v>
      </c>
      <c r="G2219" s="4">
        <v>4</v>
      </c>
      <c r="H2219" s="4" t="s">
        <v>14</v>
      </c>
      <c r="I2219" s="4" t="s">
        <v>69</v>
      </c>
      <c r="J2219" s="4" t="s">
        <v>73</v>
      </c>
      <c r="K2219" s="4">
        <v>1</v>
      </c>
      <c r="L2219" s="94">
        <v>12195178</v>
      </c>
      <c r="M2219" s="94">
        <v>48780712</v>
      </c>
    </row>
    <row r="2220" spans="3:13" x14ac:dyDescent="0.3">
      <c r="C2220" t="s">
        <v>61</v>
      </c>
      <c r="D2220" t="s">
        <v>67</v>
      </c>
      <c r="E2220" t="s">
        <v>63</v>
      </c>
      <c r="F2220" t="s">
        <v>26</v>
      </c>
      <c r="G2220" s="4">
        <v>1</v>
      </c>
      <c r="H2220" s="4" t="s">
        <v>14</v>
      </c>
      <c r="I2220" s="4" t="s">
        <v>69</v>
      </c>
      <c r="J2220" s="4" t="s">
        <v>66</v>
      </c>
      <c r="K2220" s="4">
        <v>0</v>
      </c>
      <c r="L2220" s="94">
        <v>-313311</v>
      </c>
      <c r="M2220" s="94">
        <v>0</v>
      </c>
    </row>
    <row r="2221" spans="3:13" x14ac:dyDescent="0.3">
      <c r="C2221" t="s">
        <v>70</v>
      </c>
      <c r="D2221" t="s">
        <v>67</v>
      </c>
      <c r="E2221" t="s">
        <v>63</v>
      </c>
      <c r="F2221" t="s">
        <v>72</v>
      </c>
      <c r="G2221" s="4">
        <v>-4</v>
      </c>
      <c r="H2221" s="4" t="s">
        <v>17</v>
      </c>
      <c r="I2221" s="4" t="s">
        <v>69</v>
      </c>
      <c r="J2221" s="4" t="s">
        <v>73</v>
      </c>
      <c r="K2221" s="4">
        <v>1</v>
      </c>
      <c r="L2221" s="94">
        <v>-82</v>
      </c>
      <c r="M2221" s="94">
        <v>0</v>
      </c>
    </row>
    <row r="2222" spans="3:13" x14ac:dyDescent="0.3">
      <c r="C2222" t="s">
        <v>71</v>
      </c>
      <c r="D2222" t="s">
        <v>67</v>
      </c>
      <c r="E2222" t="s">
        <v>63</v>
      </c>
      <c r="F2222" t="s">
        <v>26</v>
      </c>
      <c r="G2222" s="4">
        <v>-1</v>
      </c>
      <c r="H2222" s="4" t="s">
        <v>81</v>
      </c>
      <c r="I2222" s="4" t="s">
        <v>69</v>
      </c>
      <c r="J2222" s="4" t="s">
        <v>66</v>
      </c>
      <c r="K2222" s="4">
        <v>0</v>
      </c>
      <c r="L2222" s="94">
        <v>-22254</v>
      </c>
      <c r="M2222" s="94">
        <v>0</v>
      </c>
    </row>
    <row r="2223" spans="3:13" x14ac:dyDescent="0.3">
      <c r="C2223" t="s">
        <v>61</v>
      </c>
      <c r="D2223" t="s">
        <v>62</v>
      </c>
      <c r="E2223" t="s">
        <v>63</v>
      </c>
      <c r="F2223" t="s">
        <v>25</v>
      </c>
      <c r="G2223" s="4">
        <v>8</v>
      </c>
      <c r="I2223" s="4" t="s">
        <v>69</v>
      </c>
      <c r="J2223" s="4" t="s">
        <v>66</v>
      </c>
      <c r="K2223" s="4">
        <v>0</v>
      </c>
      <c r="L2223" s="94">
        <v>-10658</v>
      </c>
      <c r="M2223" s="94">
        <v>0</v>
      </c>
    </row>
    <row r="2224" spans="3:13" x14ac:dyDescent="0.3">
      <c r="C2224" t="s">
        <v>71</v>
      </c>
      <c r="D2224" t="s">
        <v>62</v>
      </c>
      <c r="E2224" t="s">
        <v>68</v>
      </c>
      <c r="F2224" t="s">
        <v>24</v>
      </c>
      <c r="G2224" s="4">
        <v>31</v>
      </c>
      <c r="I2224" s="4" t="s">
        <v>65</v>
      </c>
      <c r="J2224" s="4" t="s">
        <v>66</v>
      </c>
      <c r="K2224" s="4">
        <v>1</v>
      </c>
      <c r="L2224" s="94">
        <v>69769</v>
      </c>
      <c r="M2224" s="94">
        <v>2162839</v>
      </c>
    </row>
    <row r="2225" spans="3:13" x14ac:dyDescent="0.3">
      <c r="C2225" t="s">
        <v>61</v>
      </c>
      <c r="D2225" t="s">
        <v>67</v>
      </c>
      <c r="E2225" t="s">
        <v>63</v>
      </c>
      <c r="F2225" t="s">
        <v>25</v>
      </c>
      <c r="G2225" s="4">
        <v>13</v>
      </c>
      <c r="H2225" s="4" t="s">
        <v>12</v>
      </c>
      <c r="I2225" s="4" t="s">
        <v>69</v>
      </c>
      <c r="J2225" s="4" t="s">
        <v>66</v>
      </c>
      <c r="K2225" s="4">
        <v>1</v>
      </c>
      <c r="L2225" s="94">
        <v>-8439</v>
      </c>
      <c r="M2225" s="94">
        <v>0</v>
      </c>
    </row>
    <row r="2226" spans="3:13" x14ac:dyDescent="0.3">
      <c r="C2226" t="s">
        <v>71</v>
      </c>
      <c r="D2226" t="s">
        <v>67</v>
      </c>
      <c r="E2226" t="s">
        <v>63</v>
      </c>
      <c r="F2226" t="s">
        <v>26</v>
      </c>
      <c r="G2226" s="4">
        <v>-4</v>
      </c>
      <c r="H2226" s="4" t="s">
        <v>82</v>
      </c>
      <c r="I2226" s="4" t="s">
        <v>69</v>
      </c>
      <c r="J2226" s="4" t="s">
        <v>66</v>
      </c>
      <c r="K2226" s="4">
        <v>0</v>
      </c>
      <c r="L2226" s="94">
        <v>-1299178</v>
      </c>
      <c r="M2226" s="94">
        <v>0</v>
      </c>
    </row>
    <row r="2227" spans="3:13" x14ac:dyDescent="0.3">
      <c r="C2227" t="s">
        <v>71</v>
      </c>
      <c r="D2227" t="s">
        <v>67</v>
      </c>
      <c r="E2227" t="s">
        <v>68</v>
      </c>
      <c r="F2227" t="s">
        <v>72</v>
      </c>
      <c r="G2227" s="4">
        <v>1</v>
      </c>
      <c r="H2227" s="4" t="s">
        <v>18</v>
      </c>
      <c r="I2227" s="4" t="s">
        <v>69</v>
      </c>
      <c r="J2227" s="4" t="s">
        <v>66</v>
      </c>
      <c r="K2227" s="4">
        <v>0</v>
      </c>
      <c r="L2227" s="94">
        <v>115564</v>
      </c>
      <c r="M2227" s="94">
        <v>115564</v>
      </c>
    </row>
    <row r="2228" spans="3:13" x14ac:dyDescent="0.3">
      <c r="C2228" t="s">
        <v>61</v>
      </c>
      <c r="D2228" t="s">
        <v>67</v>
      </c>
      <c r="E2228" t="s">
        <v>63</v>
      </c>
      <c r="F2228" t="s">
        <v>72</v>
      </c>
      <c r="G2228" s="4">
        <v>0</v>
      </c>
      <c r="H2228" s="4" t="s">
        <v>13</v>
      </c>
      <c r="I2228" s="4" t="s">
        <v>69</v>
      </c>
      <c r="J2228" s="4" t="s">
        <v>73</v>
      </c>
      <c r="K2228" s="4">
        <v>1</v>
      </c>
      <c r="L2228" s="94">
        <v>-121</v>
      </c>
      <c r="M2228" s="94">
        <v>0</v>
      </c>
    </row>
    <row r="2229" spans="3:13" x14ac:dyDescent="0.3">
      <c r="C2229" t="s">
        <v>71</v>
      </c>
      <c r="D2229" t="s">
        <v>67</v>
      </c>
      <c r="E2229" t="s">
        <v>63</v>
      </c>
      <c r="F2229" t="s">
        <v>26</v>
      </c>
      <c r="G2229" s="4">
        <v>-1</v>
      </c>
      <c r="H2229" s="4" t="s">
        <v>15</v>
      </c>
      <c r="I2229" s="4" t="s">
        <v>69</v>
      </c>
      <c r="J2229" s="4" t="s">
        <v>73</v>
      </c>
      <c r="K2229" s="4">
        <v>1</v>
      </c>
      <c r="L2229" s="94">
        <v>-3565</v>
      </c>
      <c r="M2229" s="94">
        <v>0</v>
      </c>
    </row>
    <row r="2230" spans="3:13" x14ac:dyDescent="0.3">
      <c r="C2230" t="s">
        <v>61</v>
      </c>
      <c r="D2230" t="s">
        <v>67</v>
      </c>
      <c r="E2230" t="s">
        <v>63</v>
      </c>
      <c r="F2230" t="s">
        <v>25</v>
      </c>
      <c r="G2230" s="4">
        <v>3</v>
      </c>
      <c r="H2230" s="4" t="s">
        <v>79</v>
      </c>
      <c r="I2230" s="4" t="s">
        <v>69</v>
      </c>
      <c r="J2230" s="4" t="s">
        <v>66</v>
      </c>
      <c r="K2230" s="4">
        <v>0</v>
      </c>
      <c r="L2230" s="94">
        <v>-2716</v>
      </c>
      <c r="M2230" s="94">
        <v>0</v>
      </c>
    </row>
    <row r="2231" spans="3:13" x14ac:dyDescent="0.3">
      <c r="C2231" t="s">
        <v>71</v>
      </c>
      <c r="D2231" t="s">
        <v>67</v>
      </c>
      <c r="E2231" t="s">
        <v>68</v>
      </c>
      <c r="F2231" t="s">
        <v>26</v>
      </c>
      <c r="G2231" s="4">
        <v>0</v>
      </c>
      <c r="H2231" s="4" t="s">
        <v>82</v>
      </c>
      <c r="I2231" s="4" t="s">
        <v>65</v>
      </c>
      <c r="J2231" s="4" t="s">
        <v>66</v>
      </c>
      <c r="K2231" s="4">
        <v>1</v>
      </c>
      <c r="L2231" s="94">
        <v>11322</v>
      </c>
      <c r="M2231" s="94">
        <v>0</v>
      </c>
    </row>
    <row r="2232" spans="3:13" x14ac:dyDescent="0.3">
      <c r="C2232" t="s">
        <v>71</v>
      </c>
      <c r="D2232" t="s">
        <v>67</v>
      </c>
      <c r="E2232" t="s">
        <v>63</v>
      </c>
      <c r="F2232" t="s">
        <v>26</v>
      </c>
      <c r="G2232" s="4">
        <v>20</v>
      </c>
      <c r="H2232" s="4" t="s">
        <v>64</v>
      </c>
      <c r="I2232" s="4" t="s">
        <v>69</v>
      </c>
      <c r="J2232" s="4" t="s">
        <v>66</v>
      </c>
      <c r="K2232" s="4">
        <v>0</v>
      </c>
      <c r="L2232" s="94">
        <v>-36972</v>
      </c>
      <c r="M2232" s="94">
        <v>0</v>
      </c>
    </row>
    <row r="2233" spans="3:13" x14ac:dyDescent="0.3">
      <c r="C2233" t="s">
        <v>70</v>
      </c>
      <c r="D2233" t="s">
        <v>67</v>
      </c>
      <c r="E2233" t="s">
        <v>68</v>
      </c>
      <c r="F2233" t="s">
        <v>26</v>
      </c>
      <c r="G2233" s="4">
        <v>5</v>
      </c>
      <c r="H2233" s="4" t="s">
        <v>74</v>
      </c>
      <c r="I2233" s="4" t="s">
        <v>69</v>
      </c>
      <c r="J2233" s="4" t="s">
        <v>66</v>
      </c>
      <c r="K2233" s="4">
        <v>0</v>
      </c>
      <c r="L2233" s="94">
        <v>13188990</v>
      </c>
      <c r="M2233" s="94">
        <v>65944950</v>
      </c>
    </row>
    <row r="2234" spans="3:13" x14ac:dyDescent="0.3">
      <c r="C2234" t="s">
        <v>61</v>
      </c>
      <c r="D2234" t="s">
        <v>67</v>
      </c>
      <c r="E2234" t="s">
        <v>68</v>
      </c>
      <c r="F2234" t="s">
        <v>25</v>
      </c>
      <c r="G2234" s="4">
        <v>0</v>
      </c>
      <c r="H2234" s="4" t="s">
        <v>79</v>
      </c>
      <c r="I2234" s="4" t="s">
        <v>69</v>
      </c>
      <c r="J2234" s="4" t="s">
        <v>66</v>
      </c>
      <c r="K2234" s="4">
        <v>0</v>
      </c>
      <c r="L2234" s="94">
        <v>324913</v>
      </c>
      <c r="M2234" s="94">
        <v>0</v>
      </c>
    </row>
    <row r="2235" spans="3:13" x14ac:dyDescent="0.3">
      <c r="C2235" t="s">
        <v>71</v>
      </c>
      <c r="D2235" t="s">
        <v>67</v>
      </c>
      <c r="E2235" t="s">
        <v>63</v>
      </c>
      <c r="F2235" t="s">
        <v>25</v>
      </c>
      <c r="G2235" s="4">
        <v>14</v>
      </c>
      <c r="H2235" s="4" t="s">
        <v>18</v>
      </c>
      <c r="I2235" s="4" t="s">
        <v>69</v>
      </c>
      <c r="J2235" s="4" t="s">
        <v>66</v>
      </c>
      <c r="K2235" s="4">
        <v>0</v>
      </c>
      <c r="L2235" s="94">
        <v>-58762</v>
      </c>
      <c r="M2235" s="94">
        <v>0</v>
      </c>
    </row>
    <row r="2236" spans="3:13" x14ac:dyDescent="0.3">
      <c r="C2236" t="s">
        <v>71</v>
      </c>
      <c r="D2236" t="s">
        <v>67</v>
      </c>
      <c r="E2236" t="s">
        <v>63</v>
      </c>
      <c r="F2236" t="s">
        <v>26</v>
      </c>
      <c r="G2236" s="4">
        <v>-4</v>
      </c>
      <c r="H2236" s="4" t="s">
        <v>18</v>
      </c>
      <c r="I2236" s="4" t="s">
        <v>69</v>
      </c>
      <c r="J2236" s="4" t="s">
        <v>73</v>
      </c>
      <c r="K2236" s="4">
        <v>1</v>
      </c>
      <c r="L2236" s="94">
        <v>-83957</v>
      </c>
      <c r="M2236" s="94">
        <v>0</v>
      </c>
    </row>
    <row r="2237" spans="3:13" x14ac:dyDescent="0.3">
      <c r="C2237" t="s">
        <v>70</v>
      </c>
      <c r="D2237" t="s">
        <v>67</v>
      </c>
      <c r="E2237" t="s">
        <v>68</v>
      </c>
      <c r="F2237" t="s">
        <v>25</v>
      </c>
      <c r="G2237" s="4">
        <v>15</v>
      </c>
      <c r="H2237" s="4" t="s">
        <v>75</v>
      </c>
      <c r="I2237" s="4" t="s">
        <v>69</v>
      </c>
      <c r="J2237" s="4" t="s">
        <v>66</v>
      </c>
      <c r="K2237" s="4">
        <v>0</v>
      </c>
      <c r="L2237" s="94">
        <v>4515352</v>
      </c>
      <c r="M2237" s="94">
        <v>67730280</v>
      </c>
    </row>
    <row r="2238" spans="3:13" x14ac:dyDescent="0.3">
      <c r="C2238" t="s">
        <v>70</v>
      </c>
      <c r="D2238" t="s">
        <v>62</v>
      </c>
      <c r="E2238" t="s">
        <v>63</v>
      </c>
      <c r="F2238" t="s">
        <v>24</v>
      </c>
      <c r="G2238" s="4">
        <v>37</v>
      </c>
      <c r="I2238" s="4" t="s">
        <v>69</v>
      </c>
      <c r="J2238" s="4" t="s">
        <v>66</v>
      </c>
      <c r="K2238" s="4">
        <v>0</v>
      </c>
      <c r="L2238" s="94">
        <v>-2094701</v>
      </c>
      <c r="M2238" s="94">
        <v>0</v>
      </c>
    </row>
    <row r="2239" spans="3:13" x14ac:dyDescent="0.3">
      <c r="C2239" t="s">
        <v>61</v>
      </c>
      <c r="D2239" t="s">
        <v>67</v>
      </c>
      <c r="E2239" t="s">
        <v>68</v>
      </c>
      <c r="F2239" t="s">
        <v>26</v>
      </c>
      <c r="G2239" s="4">
        <v>1</v>
      </c>
      <c r="H2239" s="4" t="s">
        <v>80</v>
      </c>
      <c r="I2239" s="4" t="s">
        <v>69</v>
      </c>
      <c r="J2239" s="4" t="s">
        <v>66</v>
      </c>
      <c r="K2239" s="4">
        <v>0</v>
      </c>
      <c r="L2239" s="94">
        <v>3276923</v>
      </c>
      <c r="M2239" s="94">
        <v>3276923</v>
      </c>
    </row>
    <row r="2240" spans="3:13" x14ac:dyDescent="0.3">
      <c r="C2240" t="s">
        <v>61</v>
      </c>
      <c r="D2240" t="s">
        <v>67</v>
      </c>
      <c r="E2240" t="s">
        <v>63</v>
      </c>
      <c r="F2240" t="s">
        <v>26</v>
      </c>
      <c r="G2240" s="4">
        <v>3</v>
      </c>
      <c r="H2240" s="4" t="s">
        <v>79</v>
      </c>
      <c r="I2240" s="4" t="s">
        <v>69</v>
      </c>
      <c r="J2240" s="4" t="s">
        <v>66</v>
      </c>
      <c r="K2240" s="4">
        <v>0</v>
      </c>
      <c r="L2240" s="94">
        <v>-43976</v>
      </c>
      <c r="M2240" s="94">
        <v>0</v>
      </c>
    </row>
    <row r="2241" spans="3:13" x14ac:dyDescent="0.3">
      <c r="C2241" t="s">
        <v>71</v>
      </c>
      <c r="D2241" t="s">
        <v>67</v>
      </c>
      <c r="E2241" t="s">
        <v>63</v>
      </c>
      <c r="F2241" t="s">
        <v>26</v>
      </c>
      <c r="G2241" s="4">
        <v>13</v>
      </c>
      <c r="H2241" s="4" t="s">
        <v>18</v>
      </c>
      <c r="I2241" s="4" t="s">
        <v>69</v>
      </c>
      <c r="J2241" s="4" t="s">
        <v>66</v>
      </c>
      <c r="K2241" s="4">
        <v>0</v>
      </c>
      <c r="L2241" s="94">
        <v>-48513</v>
      </c>
      <c r="M2241" s="94">
        <v>0</v>
      </c>
    </row>
    <row r="2242" spans="3:13" x14ac:dyDescent="0.3">
      <c r="C2242" t="s">
        <v>70</v>
      </c>
      <c r="D2242" t="s">
        <v>67</v>
      </c>
      <c r="E2242" t="s">
        <v>68</v>
      </c>
      <c r="F2242" t="s">
        <v>25</v>
      </c>
      <c r="G2242" s="4">
        <v>-1</v>
      </c>
      <c r="H2242" s="4" t="s">
        <v>14</v>
      </c>
      <c r="I2242" s="4" t="s">
        <v>69</v>
      </c>
      <c r="J2242" s="4" t="s">
        <v>66</v>
      </c>
      <c r="K2242" s="4">
        <v>0</v>
      </c>
      <c r="L2242" s="94">
        <v>60000</v>
      </c>
      <c r="M2242" s="94">
        <v>0</v>
      </c>
    </row>
    <row r="2243" spans="3:13" x14ac:dyDescent="0.3">
      <c r="C2243" t="s">
        <v>70</v>
      </c>
      <c r="D2243" t="s">
        <v>62</v>
      </c>
      <c r="E2243" t="s">
        <v>68</v>
      </c>
      <c r="F2243" t="s">
        <v>24</v>
      </c>
      <c r="G2243" s="4">
        <v>32</v>
      </c>
      <c r="I2243" s="4" t="s">
        <v>69</v>
      </c>
      <c r="J2243" s="4" t="s">
        <v>66</v>
      </c>
      <c r="K2243" s="4">
        <v>1</v>
      </c>
      <c r="L2243" s="94">
        <v>565675</v>
      </c>
      <c r="M2243" s="94">
        <v>18101600</v>
      </c>
    </row>
    <row r="2244" spans="3:13" x14ac:dyDescent="0.3">
      <c r="C2244" t="s">
        <v>71</v>
      </c>
      <c r="D2244" t="s">
        <v>67</v>
      </c>
      <c r="E2244" t="s">
        <v>68</v>
      </c>
      <c r="F2244" t="s">
        <v>72</v>
      </c>
      <c r="G2244" s="4">
        <v>-4</v>
      </c>
      <c r="H2244" s="4" t="s">
        <v>13</v>
      </c>
      <c r="I2244" s="4" t="s">
        <v>69</v>
      </c>
      <c r="J2244" s="4" t="s">
        <v>73</v>
      </c>
      <c r="K2244" s="4">
        <v>1</v>
      </c>
      <c r="L2244" s="94">
        <v>32455</v>
      </c>
      <c r="M2244" s="94">
        <v>0</v>
      </c>
    </row>
    <row r="2245" spans="3:13" x14ac:dyDescent="0.3">
      <c r="C2245" t="s">
        <v>70</v>
      </c>
      <c r="D2245" t="s">
        <v>62</v>
      </c>
      <c r="E2245" t="s">
        <v>68</v>
      </c>
      <c r="F2245" t="s">
        <v>24</v>
      </c>
      <c r="G2245" s="4">
        <v>23</v>
      </c>
      <c r="I2245" s="4" t="s">
        <v>65</v>
      </c>
      <c r="J2245" s="4" t="s">
        <v>66</v>
      </c>
      <c r="K2245" s="4">
        <v>1</v>
      </c>
      <c r="L2245" s="94">
        <v>758927</v>
      </c>
      <c r="M2245" s="94">
        <v>17455321</v>
      </c>
    </row>
    <row r="2246" spans="3:13" x14ac:dyDescent="0.3">
      <c r="C2246" t="s">
        <v>70</v>
      </c>
      <c r="D2246" t="s">
        <v>67</v>
      </c>
      <c r="E2246" t="s">
        <v>68</v>
      </c>
      <c r="F2246" t="s">
        <v>26</v>
      </c>
      <c r="G2246" s="4">
        <v>-1</v>
      </c>
      <c r="H2246" s="4" t="s">
        <v>12</v>
      </c>
      <c r="I2246" s="4" t="s">
        <v>69</v>
      </c>
      <c r="J2246" s="4" t="s">
        <v>66</v>
      </c>
      <c r="K2246" s="4">
        <v>0</v>
      </c>
      <c r="L2246" s="94">
        <v>2165625</v>
      </c>
      <c r="M2246" s="94">
        <v>0</v>
      </c>
    </row>
    <row r="2247" spans="3:13" x14ac:dyDescent="0.3">
      <c r="C2247" t="s">
        <v>70</v>
      </c>
      <c r="D2247" t="s">
        <v>67</v>
      </c>
      <c r="E2247" t="s">
        <v>68</v>
      </c>
      <c r="F2247" t="s">
        <v>72</v>
      </c>
      <c r="G2247" s="4">
        <v>0</v>
      </c>
      <c r="H2247" s="4" t="s">
        <v>76</v>
      </c>
      <c r="I2247" s="4" t="s">
        <v>69</v>
      </c>
      <c r="J2247" s="4" t="s">
        <v>66</v>
      </c>
      <c r="K2247" s="4">
        <v>0</v>
      </c>
      <c r="L2247" s="94">
        <v>10473</v>
      </c>
      <c r="M2247" s="94">
        <v>0</v>
      </c>
    </row>
    <row r="2248" spans="3:13" x14ac:dyDescent="0.3">
      <c r="C2248" t="s">
        <v>71</v>
      </c>
      <c r="D2248" t="s">
        <v>62</v>
      </c>
      <c r="E2248" t="s">
        <v>68</v>
      </c>
      <c r="F2248" t="s">
        <v>24</v>
      </c>
      <c r="G2248" s="4">
        <v>41</v>
      </c>
      <c r="I2248" s="4" t="s">
        <v>69</v>
      </c>
      <c r="J2248" s="4" t="s">
        <v>66</v>
      </c>
      <c r="K2248" s="4">
        <v>0</v>
      </c>
      <c r="L2248" s="94">
        <v>672314</v>
      </c>
      <c r="M2248" s="94">
        <v>27564874</v>
      </c>
    </row>
    <row r="2249" spans="3:13" x14ac:dyDescent="0.3">
      <c r="C2249" t="s">
        <v>70</v>
      </c>
      <c r="D2249" t="s">
        <v>67</v>
      </c>
      <c r="E2249" t="s">
        <v>63</v>
      </c>
      <c r="F2249" t="s">
        <v>26</v>
      </c>
      <c r="G2249" s="4">
        <v>2</v>
      </c>
      <c r="H2249" s="4" t="s">
        <v>77</v>
      </c>
      <c r="I2249" s="4" t="s">
        <v>69</v>
      </c>
      <c r="J2249" s="4" t="s">
        <v>66</v>
      </c>
      <c r="K2249" s="4">
        <v>0</v>
      </c>
      <c r="L2249" s="94">
        <v>-92631</v>
      </c>
      <c r="M2249" s="94">
        <v>0</v>
      </c>
    </row>
    <row r="2250" spans="3:13" x14ac:dyDescent="0.3">
      <c r="C2250" t="s">
        <v>61</v>
      </c>
      <c r="D2250" t="s">
        <v>67</v>
      </c>
      <c r="E2250" t="s">
        <v>68</v>
      </c>
      <c r="F2250" t="s">
        <v>72</v>
      </c>
      <c r="G2250" s="4">
        <v>10</v>
      </c>
      <c r="H2250" s="4" t="s">
        <v>74</v>
      </c>
      <c r="I2250" s="4" t="s">
        <v>69</v>
      </c>
      <c r="J2250" s="4" t="s">
        <v>66</v>
      </c>
      <c r="K2250" s="4">
        <v>0</v>
      </c>
      <c r="L2250" s="94">
        <v>131364</v>
      </c>
      <c r="M2250" s="94">
        <v>1313640</v>
      </c>
    </row>
    <row r="2251" spans="3:13" x14ac:dyDescent="0.3">
      <c r="C2251" t="s">
        <v>71</v>
      </c>
      <c r="D2251" t="s">
        <v>67</v>
      </c>
      <c r="E2251" t="s">
        <v>68</v>
      </c>
      <c r="F2251" t="s">
        <v>26</v>
      </c>
      <c r="G2251" s="4">
        <v>-4</v>
      </c>
      <c r="H2251" s="4" t="s">
        <v>12</v>
      </c>
      <c r="I2251" s="4" t="s">
        <v>65</v>
      </c>
      <c r="J2251" s="4" t="s">
        <v>73</v>
      </c>
      <c r="K2251" s="4">
        <v>1</v>
      </c>
      <c r="L2251" s="94">
        <v>283107</v>
      </c>
      <c r="M2251" s="94">
        <v>0</v>
      </c>
    </row>
    <row r="2252" spans="3:13" x14ac:dyDescent="0.3">
      <c r="C2252" t="s">
        <v>70</v>
      </c>
      <c r="D2252" t="s">
        <v>67</v>
      </c>
      <c r="E2252" t="s">
        <v>63</v>
      </c>
      <c r="F2252" t="s">
        <v>26</v>
      </c>
      <c r="G2252" s="4">
        <v>0</v>
      </c>
      <c r="H2252" s="4" t="s">
        <v>80</v>
      </c>
      <c r="I2252" s="4" t="s">
        <v>69</v>
      </c>
      <c r="J2252" s="4" t="s">
        <v>66</v>
      </c>
      <c r="K2252" s="4">
        <v>0</v>
      </c>
      <c r="L2252" s="94">
        <v>-2038</v>
      </c>
      <c r="M2252" s="94">
        <v>0</v>
      </c>
    </row>
    <row r="2253" spans="3:13" x14ac:dyDescent="0.3">
      <c r="C2253" t="s">
        <v>70</v>
      </c>
      <c r="D2253" t="s">
        <v>62</v>
      </c>
      <c r="E2253" t="s">
        <v>68</v>
      </c>
      <c r="F2253" t="s">
        <v>24</v>
      </c>
      <c r="G2253" s="4">
        <v>27</v>
      </c>
      <c r="I2253" s="4" t="s">
        <v>69</v>
      </c>
      <c r="J2253" s="4" t="s">
        <v>66</v>
      </c>
      <c r="K2253" s="4">
        <v>1</v>
      </c>
      <c r="L2253" s="94">
        <v>689839</v>
      </c>
      <c r="M2253" s="94">
        <v>18625653</v>
      </c>
    </row>
    <row r="2254" spans="3:13" x14ac:dyDescent="0.3">
      <c r="C2254" t="s">
        <v>71</v>
      </c>
      <c r="D2254" t="s">
        <v>67</v>
      </c>
      <c r="E2254" t="s">
        <v>68</v>
      </c>
      <c r="F2254" t="s">
        <v>25</v>
      </c>
      <c r="G2254" s="4">
        <v>3</v>
      </c>
      <c r="H2254" s="4" t="s">
        <v>14</v>
      </c>
      <c r="I2254" s="4" t="s">
        <v>69</v>
      </c>
      <c r="J2254" s="4" t="s">
        <v>66</v>
      </c>
      <c r="K2254" s="4">
        <v>1</v>
      </c>
      <c r="L2254" s="94">
        <v>769033</v>
      </c>
      <c r="M2254" s="94">
        <v>2307099</v>
      </c>
    </row>
    <row r="2255" spans="3:13" x14ac:dyDescent="0.3">
      <c r="C2255" t="s">
        <v>71</v>
      </c>
      <c r="D2255" t="s">
        <v>67</v>
      </c>
      <c r="E2255" t="s">
        <v>63</v>
      </c>
      <c r="F2255" t="s">
        <v>26</v>
      </c>
      <c r="G2255" s="4">
        <v>3</v>
      </c>
      <c r="H2255" s="4" t="s">
        <v>80</v>
      </c>
      <c r="I2255" s="4" t="s">
        <v>69</v>
      </c>
      <c r="J2255" s="4" t="s">
        <v>66</v>
      </c>
      <c r="K2255" s="4">
        <v>0</v>
      </c>
      <c r="L2255" s="94">
        <v>-58807</v>
      </c>
      <c r="M2255" s="94">
        <v>0</v>
      </c>
    </row>
    <row r="2256" spans="3:13" x14ac:dyDescent="0.3">
      <c r="C2256" t="s">
        <v>61</v>
      </c>
      <c r="D2256" t="s">
        <v>67</v>
      </c>
      <c r="E2256" t="s">
        <v>63</v>
      </c>
      <c r="F2256" t="s">
        <v>25</v>
      </c>
      <c r="G2256" s="4">
        <v>14</v>
      </c>
      <c r="H2256" s="4" t="s">
        <v>14</v>
      </c>
      <c r="I2256" s="4" t="s">
        <v>69</v>
      </c>
      <c r="J2256" s="4" t="s">
        <v>66</v>
      </c>
      <c r="K2256" s="4">
        <v>0</v>
      </c>
      <c r="L2256" s="94">
        <v>-1787</v>
      </c>
      <c r="M2256" s="94">
        <v>0</v>
      </c>
    </row>
    <row r="2257" spans="3:13" x14ac:dyDescent="0.3">
      <c r="C2257" t="s">
        <v>61</v>
      </c>
      <c r="D2257" t="s">
        <v>84</v>
      </c>
      <c r="E2257" t="s">
        <v>68</v>
      </c>
      <c r="F2257" t="s">
        <v>25</v>
      </c>
      <c r="G2257" s="4">
        <v>3</v>
      </c>
      <c r="H2257" s="4" t="s">
        <v>81</v>
      </c>
      <c r="I2257" s="4" t="s">
        <v>69</v>
      </c>
      <c r="J2257" s="4" t="s">
        <v>66</v>
      </c>
      <c r="K2257" s="4">
        <v>0</v>
      </c>
      <c r="L2257" s="94">
        <v>8762649</v>
      </c>
      <c r="M2257" s="94">
        <v>26287947</v>
      </c>
    </row>
    <row r="2258" spans="3:13" x14ac:dyDescent="0.3">
      <c r="C2258" t="s">
        <v>71</v>
      </c>
      <c r="D2258" t="s">
        <v>67</v>
      </c>
      <c r="E2258" t="s">
        <v>68</v>
      </c>
      <c r="F2258" t="s">
        <v>26</v>
      </c>
      <c r="G2258" s="4">
        <v>-1</v>
      </c>
      <c r="H2258" s="4" t="s">
        <v>17</v>
      </c>
      <c r="I2258" s="4" t="s">
        <v>69</v>
      </c>
      <c r="J2258" s="4" t="s">
        <v>73</v>
      </c>
      <c r="K2258" s="4">
        <v>1</v>
      </c>
      <c r="L2258" s="94">
        <v>305543</v>
      </c>
      <c r="M2258" s="94">
        <v>0</v>
      </c>
    </row>
    <row r="2259" spans="3:13" x14ac:dyDescent="0.3">
      <c r="C2259" t="s">
        <v>70</v>
      </c>
      <c r="D2259" t="s">
        <v>67</v>
      </c>
      <c r="E2259" t="s">
        <v>63</v>
      </c>
      <c r="F2259" t="s">
        <v>72</v>
      </c>
      <c r="G2259" s="4">
        <v>3</v>
      </c>
      <c r="H2259" s="4" t="s">
        <v>12</v>
      </c>
      <c r="I2259" s="4" t="s">
        <v>69</v>
      </c>
      <c r="J2259" s="4" t="s">
        <v>66</v>
      </c>
      <c r="K2259" s="4">
        <v>0</v>
      </c>
      <c r="L2259" s="94">
        <v>-24482</v>
      </c>
      <c r="M2259" s="94">
        <v>0</v>
      </c>
    </row>
    <row r="2260" spans="3:13" x14ac:dyDescent="0.3">
      <c r="C2260" t="s">
        <v>61</v>
      </c>
      <c r="D2260" t="s">
        <v>62</v>
      </c>
      <c r="E2260" t="s">
        <v>68</v>
      </c>
      <c r="F2260" t="s">
        <v>25</v>
      </c>
      <c r="G2260" s="4">
        <v>30</v>
      </c>
      <c r="I2260" s="4" t="s">
        <v>69</v>
      </c>
      <c r="J2260" s="4" t="s">
        <v>66</v>
      </c>
      <c r="K2260" s="4">
        <v>0</v>
      </c>
      <c r="L2260" s="94">
        <v>282145</v>
      </c>
      <c r="M2260" s="94">
        <v>8464350</v>
      </c>
    </row>
    <row r="2261" spans="3:13" x14ac:dyDescent="0.3">
      <c r="C2261" t="s">
        <v>61</v>
      </c>
      <c r="D2261" t="s">
        <v>67</v>
      </c>
      <c r="E2261" t="s">
        <v>63</v>
      </c>
      <c r="F2261" t="s">
        <v>26</v>
      </c>
      <c r="G2261" s="4">
        <v>-1</v>
      </c>
      <c r="H2261" s="4" t="s">
        <v>12</v>
      </c>
      <c r="I2261" s="4" t="s">
        <v>65</v>
      </c>
      <c r="J2261" s="4" t="s">
        <v>66</v>
      </c>
      <c r="K2261" s="4">
        <v>1</v>
      </c>
      <c r="L2261" s="94">
        <v>-3</v>
      </c>
      <c r="M2261" s="94">
        <v>0</v>
      </c>
    </row>
    <row r="2262" spans="3:13" x14ac:dyDescent="0.3">
      <c r="C2262" t="s">
        <v>70</v>
      </c>
      <c r="D2262" t="s">
        <v>62</v>
      </c>
      <c r="E2262" t="s">
        <v>63</v>
      </c>
      <c r="F2262" t="s">
        <v>25</v>
      </c>
      <c r="G2262" s="4">
        <v>16</v>
      </c>
      <c r="I2262" s="4" t="s">
        <v>69</v>
      </c>
      <c r="J2262" s="4" t="s">
        <v>66</v>
      </c>
      <c r="K2262" s="4">
        <v>0</v>
      </c>
      <c r="L2262" s="94">
        <v>-102131</v>
      </c>
      <c r="M2262" s="94">
        <v>0</v>
      </c>
    </row>
    <row r="2263" spans="3:13" x14ac:dyDescent="0.3">
      <c r="C2263" t="s">
        <v>70</v>
      </c>
      <c r="D2263" t="s">
        <v>67</v>
      </c>
      <c r="E2263" t="s">
        <v>63</v>
      </c>
      <c r="F2263" t="s">
        <v>26</v>
      </c>
      <c r="G2263" s="4">
        <v>-4</v>
      </c>
      <c r="H2263" s="4" t="s">
        <v>79</v>
      </c>
      <c r="I2263" s="4" t="s">
        <v>69</v>
      </c>
      <c r="J2263" s="4" t="s">
        <v>66</v>
      </c>
      <c r="K2263" s="4">
        <v>0</v>
      </c>
      <c r="L2263" s="94">
        <v>-745</v>
      </c>
      <c r="M2263" s="94">
        <v>0</v>
      </c>
    </row>
    <row r="2264" spans="3:13" x14ac:dyDescent="0.3">
      <c r="C2264" t="s">
        <v>61</v>
      </c>
      <c r="D2264" t="s">
        <v>67</v>
      </c>
      <c r="E2264" t="s">
        <v>63</v>
      </c>
      <c r="F2264" t="s">
        <v>72</v>
      </c>
      <c r="G2264" s="4">
        <v>0</v>
      </c>
      <c r="H2264" s="4" t="s">
        <v>80</v>
      </c>
      <c r="I2264" s="4" t="s">
        <v>69</v>
      </c>
      <c r="J2264" s="4" t="s">
        <v>66</v>
      </c>
      <c r="K2264" s="4">
        <v>0</v>
      </c>
      <c r="L2264" s="94">
        <v>-9</v>
      </c>
      <c r="M2264" s="94">
        <v>0</v>
      </c>
    </row>
    <row r="2265" spans="3:13" x14ac:dyDescent="0.3">
      <c r="C2265" t="s">
        <v>61</v>
      </c>
      <c r="D2265" t="s">
        <v>67</v>
      </c>
      <c r="E2265" t="s">
        <v>63</v>
      </c>
      <c r="F2265" t="s">
        <v>72</v>
      </c>
      <c r="G2265" s="4">
        <v>6</v>
      </c>
      <c r="H2265" s="4" t="s">
        <v>18</v>
      </c>
      <c r="I2265" s="4" t="s">
        <v>69</v>
      </c>
      <c r="J2265" s="4" t="s">
        <v>66</v>
      </c>
      <c r="K2265" s="4">
        <v>0</v>
      </c>
      <c r="L2265" s="94">
        <v>-3032</v>
      </c>
      <c r="M2265" s="94">
        <v>0</v>
      </c>
    </row>
    <row r="2266" spans="3:13" x14ac:dyDescent="0.3">
      <c r="C2266" t="s">
        <v>61</v>
      </c>
      <c r="D2266" t="s">
        <v>67</v>
      </c>
      <c r="E2266" t="s">
        <v>63</v>
      </c>
      <c r="F2266" t="s">
        <v>26</v>
      </c>
      <c r="G2266" s="4">
        <v>-1</v>
      </c>
      <c r="H2266" s="4" t="s">
        <v>17</v>
      </c>
      <c r="I2266" s="4" t="s">
        <v>69</v>
      </c>
      <c r="J2266" s="4" t="s">
        <v>73</v>
      </c>
      <c r="K2266" s="4">
        <v>1</v>
      </c>
      <c r="L2266" s="94">
        <v>-12998</v>
      </c>
      <c r="M2266" s="94">
        <v>0</v>
      </c>
    </row>
    <row r="2267" spans="3:13" x14ac:dyDescent="0.3">
      <c r="C2267" t="s">
        <v>61</v>
      </c>
      <c r="D2267" t="s">
        <v>67</v>
      </c>
      <c r="E2267" t="s">
        <v>68</v>
      </c>
      <c r="F2267" t="s">
        <v>72</v>
      </c>
      <c r="G2267" s="4">
        <v>4</v>
      </c>
      <c r="H2267" s="4" t="s">
        <v>80</v>
      </c>
      <c r="I2267" s="4" t="s">
        <v>69</v>
      </c>
      <c r="J2267" s="4" t="s">
        <v>66</v>
      </c>
      <c r="K2267" s="4">
        <v>0</v>
      </c>
      <c r="L2267" s="94">
        <v>370851</v>
      </c>
      <c r="M2267" s="94">
        <v>1483404</v>
      </c>
    </row>
    <row r="2268" spans="3:13" x14ac:dyDescent="0.3">
      <c r="C2268" t="s">
        <v>70</v>
      </c>
      <c r="D2268" t="s">
        <v>67</v>
      </c>
      <c r="E2268" t="s">
        <v>63</v>
      </c>
      <c r="F2268" t="s">
        <v>72</v>
      </c>
      <c r="G2268" s="4">
        <v>0</v>
      </c>
      <c r="H2268" s="4" t="s">
        <v>74</v>
      </c>
      <c r="I2268" s="4" t="s">
        <v>69</v>
      </c>
      <c r="J2268" s="4" t="s">
        <v>66</v>
      </c>
      <c r="K2268" s="4">
        <v>0</v>
      </c>
      <c r="L2268" s="94">
        <v>-996</v>
      </c>
      <c r="M2268" s="94">
        <v>0</v>
      </c>
    </row>
    <row r="2269" spans="3:13" x14ac:dyDescent="0.3">
      <c r="C2269" t="s">
        <v>61</v>
      </c>
      <c r="D2269" t="s">
        <v>62</v>
      </c>
      <c r="E2269" t="s">
        <v>68</v>
      </c>
      <c r="F2269" t="s">
        <v>24</v>
      </c>
      <c r="G2269" s="4">
        <v>26</v>
      </c>
      <c r="I2269" s="4" t="s">
        <v>69</v>
      </c>
      <c r="J2269" s="4" t="s">
        <v>66</v>
      </c>
      <c r="K2269" s="4">
        <v>1</v>
      </c>
      <c r="L2269" s="94">
        <v>2638518</v>
      </c>
      <c r="M2269" s="94">
        <v>68601468</v>
      </c>
    </row>
    <row r="2270" spans="3:13" x14ac:dyDescent="0.3">
      <c r="C2270" t="s">
        <v>61</v>
      </c>
      <c r="D2270" t="s">
        <v>67</v>
      </c>
      <c r="E2270" t="s">
        <v>68</v>
      </c>
      <c r="F2270" t="s">
        <v>25</v>
      </c>
      <c r="G2270" s="4">
        <v>-4</v>
      </c>
      <c r="H2270" s="4" t="s">
        <v>14</v>
      </c>
      <c r="I2270" s="4" t="s">
        <v>69</v>
      </c>
      <c r="J2270" s="4" t="s">
        <v>66</v>
      </c>
      <c r="K2270" s="4">
        <v>0</v>
      </c>
      <c r="L2270" s="94">
        <v>75</v>
      </c>
      <c r="M2270" s="94">
        <v>0</v>
      </c>
    </row>
    <row r="2271" spans="3:13" x14ac:dyDescent="0.3">
      <c r="C2271" t="s">
        <v>70</v>
      </c>
      <c r="D2271" t="s">
        <v>67</v>
      </c>
      <c r="E2271" t="s">
        <v>63</v>
      </c>
      <c r="F2271" t="s">
        <v>72</v>
      </c>
      <c r="G2271" s="4">
        <v>4</v>
      </c>
      <c r="H2271" s="4" t="s">
        <v>12</v>
      </c>
      <c r="I2271" s="4" t="s">
        <v>69</v>
      </c>
      <c r="J2271" s="4" t="s">
        <v>66</v>
      </c>
      <c r="K2271" s="4">
        <v>0</v>
      </c>
      <c r="L2271" s="94">
        <v>-12126</v>
      </c>
      <c r="M2271" s="94">
        <v>0</v>
      </c>
    </row>
    <row r="2272" spans="3:13" x14ac:dyDescent="0.3">
      <c r="C2272" t="s">
        <v>61</v>
      </c>
      <c r="D2272" t="s">
        <v>62</v>
      </c>
      <c r="E2272" t="s">
        <v>63</v>
      </c>
      <c r="F2272" t="s">
        <v>25</v>
      </c>
      <c r="G2272" s="4">
        <v>3</v>
      </c>
      <c r="I2272" s="4" t="s">
        <v>69</v>
      </c>
      <c r="J2272" s="4" t="s">
        <v>66</v>
      </c>
      <c r="K2272" s="4">
        <v>1</v>
      </c>
      <c r="L2272" s="94">
        <v>-10</v>
      </c>
      <c r="M2272" s="94">
        <v>0</v>
      </c>
    </row>
    <row r="2273" spans="3:13" x14ac:dyDescent="0.3">
      <c r="C2273" t="s">
        <v>71</v>
      </c>
      <c r="D2273" t="s">
        <v>67</v>
      </c>
      <c r="E2273" t="s">
        <v>63</v>
      </c>
      <c r="F2273" t="s">
        <v>26</v>
      </c>
      <c r="G2273" s="4">
        <v>12</v>
      </c>
      <c r="H2273" s="4" t="s">
        <v>18</v>
      </c>
      <c r="I2273" s="4" t="s">
        <v>69</v>
      </c>
      <c r="J2273" s="4" t="s">
        <v>66</v>
      </c>
      <c r="K2273" s="4">
        <v>0</v>
      </c>
      <c r="L2273" s="94">
        <v>-20502</v>
      </c>
      <c r="M2273" s="94">
        <v>0</v>
      </c>
    </row>
    <row r="2274" spans="3:13" x14ac:dyDescent="0.3">
      <c r="C2274" t="s">
        <v>70</v>
      </c>
      <c r="D2274" t="s">
        <v>67</v>
      </c>
      <c r="E2274" t="s">
        <v>63</v>
      </c>
      <c r="F2274" t="s">
        <v>72</v>
      </c>
      <c r="G2274" s="4">
        <v>7</v>
      </c>
      <c r="H2274" s="4" t="s">
        <v>76</v>
      </c>
      <c r="I2274" s="4" t="s">
        <v>69</v>
      </c>
      <c r="J2274" s="4" t="s">
        <v>66</v>
      </c>
      <c r="K2274" s="4">
        <v>0</v>
      </c>
      <c r="L2274" s="94">
        <v>-4199</v>
      </c>
      <c r="M2274" s="94">
        <v>0</v>
      </c>
    </row>
    <row r="2275" spans="3:13" x14ac:dyDescent="0.3">
      <c r="C2275" t="s">
        <v>70</v>
      </c>
      <c r="D2275" t="s">
        <v>67</v>
      </c>
      <c r="E2275" t="s">
        <v>68</v>
      </c>
      <c r="F2275" t="s">
        <v>26</v>
      </c>
      <c r="G2275" s="4">
        <v>4</v>
      </c>
      <c r="H2275" s="4" t="s">
        <v>78</v>
      </c>
      <c r="I2275" s="4" t="s">
        <v>69</v>
      </c>
      <c r="J2275" s="4" t="s">
        <v>66</v>
      </c>
      <c r="K2275" s="4">
        <v>0</v>
      </c>
      <c r="L2275" s="94">
        <v>161367</v>
      </c>
      <c r="M2275" s="94">
        <v>645468</v>
      </c>
    </row>
    <row r="2276" spans="3:13" x14ac:dyDescent="0.3">
      <c r="C2276" t="s">
        <v>70</v>
      </c>
      <c r="D2276" t="s">
        <v>67</v>
      </c>
      <c r="E2276" t="s">
        <v>63</v>
      </c>
      <c r="F2276" t="s">
        <v>26</v>
      </c>
      <c r="G2276" s="4">
        <v>1</v>
      </c>
      <c r="H2276" s="4" t="s">
        <v>17</v>
      </c>
      <c r="I2276" s="4" t="s">
        <v>69</v>
      </c>
      <c r="J2276" s="4" t="s">
        <v>66</v>
      </c>
      <c r="K2276" s="4">
        <v>0</v>
      </c>
      <c r="L2276" s="94">
        <v>-295209</v>
      </c>
      <c r="M2276" s="94">
        <v>0</v>
      </c>
    </row>
    <row r="2277" spans="3:13" x14ac:dyDescent="0.3">
      <c r="C2277" t="s">
        <v>71</v>
      </c>
      <c r="D2277" t="s">
        <v>62</v>
      </c>
      <c r="E2277" t="s">
        <v>63</v>
      </c>
      <c r="F2277" t="s">
        <v>24</v>
      </c>
      <c r="G2277" s="4">
        <v>1</v>
      </c>
      <c r="I2277" s="4" t="s">
        <v>69</v>
      </c>
      <c r="J2277" s="4" t="s">
        <v>66</v>
      </c>
      <c r="K2277" s="4">
        <v>0</v>
      </c>
      <c r="L2277" s="94">
        <v>-222146</v>
      </c>
      <c r="M2277" s="94">
        <v>0</v>
      </c>
    </row>
    <row r="2278" spans="3:13" x14ac:dyDescent="0.3">
      <c r="C2278" t="s">
        <v>70</v>
      </c>
      <c r="D2278" t="s">
        <v>67</v>
      </c>
      <c r="E2278" t="s">
        <v>68</v>
      </c>
      <c r="F2278" t="s">
        <v>72</v>
      </c>
      <c r="G2278" s="4">
        <v>1</v>
      </c>
      <c r="H2278" s="4" t="s">
        <v>12</v>
      </c>
      <c r="I2278" s="4" t="s">
        <v>65</v>
      </c>
      <c r="J2278" s="4" t="s">
        <v>73</v>
      </c>
      <c r="K2278" s="4">
        <v>1</v>
      </c>
      <c r="L2278" s="94">
        <v>9380</v>
      </c>
      <c r="M2278" s="94">
        <v>9380</v>
      </c>
    </row>
    <row r="2279" spans="3:13" x14ac:dyDescent="0.3">
      <c r="C2279" t="s">
        <v>70</v>
      </c>
      <c r="D2279" t="s">
        <v>67</v>
      </c>
      <c r="E2279" t="s">
        <v>63</v>
      </c>
      <c r="F2279" t="s">
        <v>25</v>
      </c>
      <c r="G2279" s="4">
        <v>7</v>
      </c>
      <c r="H2279" s="4" t="s">
        <v>17</v>
      </c>
      <c r="I2279" s="4" t="s">
        <v>69</v>
      </c>
      <c r="J2279" s="4" t="s">
        <v>66</v>
      </c>
      <c r="K2279" s="4">
        <v>0</v>
      </c>
      <c r="L2279" s="94">
        <v>-7142</v>
      </c>
      <c r="M2279" s="94">
        <v>0</v>
      </c>
    </row>
    <row r="2280" spans="3:13" x14ac:dyDescent="0.3">
      <c r="C2280" t="s">
        <v>61</v>
      </c>
      <c r="D2280" t="s">
        <v>67</v>
      </c>
      <c r="E2280" t="s">
        <v>63</v>
      </c>
      <c r="F2280" t="s">
        <v>25</v>
      </c>
      <c r="G2280" s="4">
        <v>7</v>
      </c>
      <c r="H2280" s="4" t="s">
        <v>18</v>
      </c>
      <c r="I2280" s="4" t="s">
        <v>69</v>
      </c>
      <c r="J2280" s="4" t="s">
        <v>66</v>
      </c>
      <c r="K2280" s="4">
        <v>0</v>
      </c>
      <c r="L2280" s="94">
        <v>-12287</v>
      </c>
      <c r="M2280" s="94">
        <v>0</v>
      </c>
    </row>
    <row r="2281" spans="3:13" x14ac:dyDescent="0.3">
      <c r="C2281" t="s">
        <v>61</v>
      </c>
      <c r="D2281" t="s">
        <v>67</v>
      </c>
      <c r="E2281" t="s">
        <v>68</v>
      </c>
      <c r="F2281" t="s">
        <v>25</v>
      </c>
      <c r="G2281" s="4">
        <v>22</v>
      </c>
      <c r="H2281" s="4" t="s">
        <v>79</v>
      </c>
      <c r="I2281" s="4" t="s">
        <v>69</v>
      </c>
      <c r="J2281" s="4" t="s">
        <v>66</v>
      </c>
      <c r="K2281" s="4">
        <v>0</v>
      </c>
      <c r="L2281" s="94">
        <v>104878</v>
      </c>
      <c r="M2281" s="94">
        <v>2307316</v>
      </c>
    </row>
    <row r="2282" spans="3:13" x14ac:dyDescent="0.3">
      <c r="C2282" t="s">
        <v>70</v>
      </c>
      <c r="D2282" t="s">
        <v>67</v>
      </c>
      <c r="E2282" t="s">
        <v>68</v>
      </c>
      <c r="F2282" t="s">
        <v>25</v>
      </c>
      <c r="G2282" s="4">
        <v>4</v>
      </c>
      <c r="H2282" s="4" t="s">
        <v>17</v>
      </c>
      <c r="I2282" s="4" t="s">
        <v>69</v>
      </c>
      <c r="J2282" s="4" t="s">
        <v>66</v>
      </c>
      <c r="K2282" s="4">
        <v>1</v>
      </c>
      <c r="L2282" s="94">
        <v>501824</v>
      </c>
      <c r="M2282" s="94">
        <v>2007296</v>
      </c>
    </row>
    <row r="2283" spans="3:13" x14ac:dyDescent="0.3">
      <c r="C2283" t="s">
        <v>70</v>
      </c>
      <c r="D2283" t="s">
        <v>67</v>
      </c>
      <c r="E2283" t="s">
        <v>63</v>
      </c>
      <c r="F2283" t="s">
        <v>25</v>
      </c>
      <c r="G2283" s="4">
        <v>3</v>
      </c>
      <c r="H2283" s="4" t="s">
        <v>64</v>
      </c>
      <c r="I2283" s="4" t="s">
        <v>69</v>
      </c>
      <c r="J2283" s="4" t="s">
        <v>66</v>
      </c>
      <c r="K2283" s="4">
        <v>0</v>
      </c>
      <c r="L2283" s="94">
        <v>-21993</v>
      </c>
      <c r="M2283" s="94">
        <v>0</v>
      </c>
    </row>
    <row r="2284" spans="3:13" x14ac:dyDescent="0.3">
      <c r="C2284" t="s">
        <v>70</v>
      </c>
      <c r="D2284" t="s">
        <v>67</v>
      </c>
      <c r="E2284" t="s">
        <v>68</v>
      </c>
      <c r="F2284" t="s">
        <v>25</v>
      </c>
      <c r="G2284" s="4">
        <v>7</v>
      </c>
      <c r="H2284" s="4" t="s">
        <v>16</v>
      </c>
      <c r="I2284" s="4" t="s">
        <v>69</v>
      </c>
      <c r="J2284" s="4" t="s">
        <v>66</v>
      </c>
      <c r="K2284" s="4">
        <v>0</v>
      </c>
      <c r="L2284" s="94">
        <v>237919</v>
      </c>
      <c r="M2284" s="94">
        <v>1665433</v>
      </c>
    </row>
    <row r="2285" spans="3:13" x14ac:dyDescent="0.3">
      <c r="C2285" t="s">
        <v>71</v>
      </c>
      <c r="D2285" t="s">
        <v>67</v>
      </c>
      <c r="E2285" t="s">
        <v>63</v>
      </c>
      <c r="F2285" t="s">
        <v>25</v>
      </c>
      <c r="G2285" s="4">
        <v>9</v>
      </c>
      <c r="H2285" s="4" t="s">
        <v>17</v>
      </c>
      <c r="I2285" s="4" t="s">
        <v>69</v>
      </c>
      <c r="J2285" s="4" t="s">
        <v>66</v>
      </c>
      <c r="K2285" s="4">
        <v>0</v>
      </c>
      <c r="L2285" s="94">
        <v>-6038104</v>
      </c>
      <c r="M2285" s="94">
        <v>0</v>
      </c>
    </row>
    <row r="2286" spans="3:13" x14ac:dyDescent="0.3">
      <c r="C2286" t="s">
        <v>71</v>
      </c>
      <c r="D2286" t="s">
        <v>62</v>
      </c>
      <c r="E2286" t="s">
        <v>63</v>
      </c>
      <c r="F2286" t="s">
        <v>24</v>
      </c>
      <c r="G2286" s="4">
        <v>33</v>
      </c>
      <c r="I2286" s="4" t="s">
        <v>69</v>
      </c>
      <c r="J2286" s="4" t="s">
        <v>66</v>
      </c>
      <c r="K2286" s="4">
        <v>0</v>
      </c>
      <c r="L2286" s="94">
        <v>-1509061</v>
      </c>
      <c r="M2286" s="94">
        <v>0</v>
      </c>
    </row>
    <row r="2287" spans="3:13" x14ac:dyDescent="0.3">
      <c r="C2287" t="s">
        <v>70</v>
      </c>
      <c r="D2287" t="s">
        <v>67</v>
      </c>
      <c r="E2287" t="s">
        <v>63</v>
      </c>
      <c r="F2287" t="s">
        <v>26</v>
      </c>
      <c r="G2287" s="4">
        <v>2</v>
      </c>
      <c r="H2287" s="4" t="s">
        <v>12</v>
      </c>
      <c r="I2287" s="4" t="s">
        <v>65</v>
      </c>
      <c r="J2287" s="4" t="s">
        <v>73</v>
      </c>
      <c r="K2287" s="4">
        <v>1</v>
      </c>
      <c r="L2287" s="94">
        <v>-8992</v>
      </c>
      <c r="M2287" s="94">
        <v>0</v>
      </c>
    </row>
    <row r="2288" spans="3:13" x14ac:dyDescent="0.3">
      <c r="C2288" t="s">
        <v>61</v>
      </c>
      <c r="D2288" t="s">
        <v>67</v>
      </c>
      <c r="E2288" t="s">
        <v>63</v>
      </c>
      <c r="F2288" t="s">
        <v>72</v>
      </c>
      <c r="G2288" s="4">
        <v>-1</v>
      </c>
      <c r="H2288" s="4" t="s">
        <v>14</v>
      </c>
      <c r="I2288" s="4" t="s">
        <v>69</v>
      </c>
      <c r="J2288" s="4" t="s">
        <v>73</v>
      </c>
      <c r="K2288" s="4">
        <v>1</v>
      </c>
      <c r="L2288" s="94">
        <v>-2447</v>
      </c>
      <c r="M2288" s="94">
        <v>0</v>
      </c>
    </row>
    <row r="2289" spans="3:13" x14ac:dyDescent="0.3">
      <c r="C2289" t="s">
        <v>71</v>
      </c>
      <c r="D2289" t="s">
        <v>62</v>
      </c>
      <c r="E2289" t="s">
        <v>68</v>
      </c>
      <c r="F2289" t="s">
        <v>24</v>
      </c>
      <c r="G2289" s="4">
        <v>8</v>
      </c>
      <c r="I2289" s="4" t="s">
        <v>69</v>
      </c>
      <c r="J2289" s="4" t="s">
        <v>66</v>
      </c>
      <c r="K2289" s="4">
        <v>1</v>
      </c>
      <c r="L2289" s="94">
        <v>13534</v>
      </c>
      <c r="M2289" s="94">
        <v>108272</v>
      </c>
    </row>
    <row r="2290" spans="3:13" x14ac:dyDescent="0.3">
      <c r="C2290" t="s">
        <v>71</v>
      </c>
      <c r="D2290" t="s">
        <v>67</v>
      </c>
      <c r="E2290" t="s">
        <v>68</v>
      </c>
      <c r="F2290" t="s">
        <v>72</v>
      </c>
      <c r="G2290" s="4">
        <v>4</v>
      </c>
      <c r="H2290" s="4" t="s">
        <v>17</v>
      </c>
      <c r="I2290" s="4" t="s">
        <v>69</v>
      </c>
      <c r="J2290" s="4" t="s">
        <v>66</v>
      </c>
      <c r="K2290" s="4">
        <v>0</v>
      </c>
      <c r="L2290" s="94">
        <v>129245</v>
      </c>
      <c r="M2290" s="94">
        <v>516980</v>
      </c>
    </row>
    <row r="2291" spans="3:13" x14ac:dyDescent="0.3">
      <c r="C2291" t="s">
        <v>71</v>
      </c>
      <c r="D2291" t="s">
        <v>67</v>
      </c>
      <c r="E2291" t="s">
        <v>63</v>
      </c>
      <c r="F2291" t="s">
        <v>25</v>
      </c>
      <c r="G2291" s="4">
        <v>0</v>
      </c>
      <c r="H2291" s="4" t="s">
        <v>76</v>
      </c>
      <c r="I2291" s="4" t="s">
        <v>69</v>
      </c>
      <c r="J2291" s="4" t="s">
        <v>66</v>
      </c>
      <c r="K2291" s="4">
        <v>0</v>
      </c>
      <c r="L2291" s="94">
        <v>-6225</v>
      </c>
      <c r="M2291" s="94">
        <v>0</v>
      </c>
    </row>
    <row r="2292" spans="3:13" x14ac:dyDescent="0.3">
      <c r="C2292" t="s">
        <v>61</v>
      </c>
      <c r="D2292" t="s">
        <v>67</v>
      </c>
      <c r="E2292" t="s">
        <v>68</v>
      </c>
      <c r="F2292" t="s">
        <v>25</v>
      </c>
      <c r="G2292" s="4">
        <v>11</v>
      </c>
      <c r="H2292" s="4" t="s">
        <v>75</v>
      </c>
      <c r="I2292" s="4" t="s">
        <v>65</v>
      </c>
      <c r="J2292" s="4" t="s">
        <v>66</v>
      </c>
      <c r="K2292" s="4">
        <v>1</v>
      </c>
      <c r="L2292" s="94">
        <v>143384</v>
      </c>
      <c r="M2292" s="94">
        <v>1577224</v>
      </c>
    </row>
    <row r="2293" spans="3:13" x14ac:dyDescent="0.3">
      <c r="C2293" t="s">
        <v>70</v>
      </c>
      <c r="D2293" t="s">
        <v>67</v>
      </c>
      <c r="E2293" t="s">
        <v>63</v>
      </c>
      <c r="F2293" t="s">
        <v>72</v>
      </c>
      <c r="G2293" s="4">
        <v>2</v>
      </c>
      <c r="H2293" s="4" t="s">
        <v>18</v>
      </c>
      <c r="I2293" s="4" t="s">
        <v>69</v>
      </c>
      <c r="J2293" s="4" t="s">
        <v>66</v>
      </c>
      <c r="K2293" s="4">
        <v>0</v>
      </c>
      <c r="L2293" s="94">
        <v>-73848</v>
      </c>
      <c r="M2293" s="94">
        <v>0</v>
      </c>
    </row>
    <row r="2294" spans="3:13" x14ac:dyDescent="0.3">
      <c r="C2294" t="s">
        <v>61</v>
      </c>
      <c r="D2294" t="s">
        <v>67</v>
      </c>
      <c r="E2294" t="s">
        <v>68</v>
      </c>
      <c r="F2294" t="s">
        <v>72</v>
      </c>
      <c r="G2294" s="4">
        <v>3</v>
      </c>
      <c r="H2294" s="4" t="s">
        <v>12</v>
      </c>
      <c r="I2294" s="4" t="s">
        <v>69</v>
      </c>
      <c r="J2294" s="4" t="s">
        <v>73</v>
      </c>
      <c r="K2294" s="4">
        <v>1</v>
      </c>
      <c r="L2294" s="94">
        <v>848015</v>
      </c>
      <c r="M2294" s="94">
        <v>2544045</v>
      </c>
    </row>
    <row r="2295" spans="3:13" x14ac:dyDescent="0.3">
      <c r="C2295" t="s">
        <v>70</v>
      </c>
      <c r="D2295" t="s">
        <v>67</v>
      </c>
      <c r="E2295" t="s">
        <v>68</v>
      </c>
      <c r="F2295" t="s">
        <v>72</v>
      </c>
      <c r="G2295" s="4">
        <v>-1</v>
      </c>
      <c r="H2295" s="4" t="s">
        <v>18</v>
      </c>
      <c r="I2295" s="4" t="s">
        <v>69</v>
      </c>
      <c r="J2295" s="4" t="s">
        <v>73</v>
      </c>
      <c r="K2295" s="4">
        <v>1</v>
      </c>
      <c r="L2295" s="94">
        <v>38354</v>
      </c>
      <c r="M2295" s="94">
        <v>0</v>
      </c>
    </row>
    <row r="2296" spans="3:13" x14ac:dyDescent="0.3">
      <c r="C2296" t="s">
        <v>71</v>
      </c>
      <c r="D2296" t="s">
        <v>67</v>
      </c>
      <c r="E2296" t="s">
        <v>68</v>
      </c>
      <c r="F2296" t="s">
        <v>25</v>
      </c>
      <c r="G2296" s="4">
        <v>9</v>
      </c>
      <c r="H2296" s="4" t="s">
        <v>74</v>
      </c>
      <c r="I2296" s="4" t="s">
        <v>69</v>
      </c>
      <c r="J2296" s="4" t="s">
        <v>66</v>
      </c>
      <c r="K2296" s="4">
        <v>0</v>
      </c>
      <c r="L2296" s="94">
        <v>486861</v>
      </c>
      <c r="M2296" s="94">
        <v>4381749</v>
      </c>
    </row>
    <row r="2297" spans="3:13" x14ac:dyDescent="0.3">
      <c r="C2297" t="s">
        <v>61</v>
      </c>
      <c r="D2297" t="s">
        <v>67</v>
      </c>
      <c r="E2297" t="s">
        <v>63</v>
      </c>
      <c r="F2297" t="s">
        <v>25</v>
      </c>
      <c r="G2297" s="4">
        <v>13</v>
      </c>
      <c r="H2297" s="4" t="s">
        <v>79</v>
      </c>
      <c r="I2297" s="4" t="s">
        <v>69</v>
      </c>
      <c r="J2297" s="4" t="s">
        <v>66</v>
      </c>
      <c r="K2297" s="4">
        <v>0</v>
      </c>
      <c r="L2297" s="94">
        <v>-15132</v>
      </c>
      <c r="M2297" s="94">
        <v>0</v>
      </c>
    </row>
    <row r="2298" spans="3:13" x14ac:dyDescent="0.3">
      <c r="C2298" t="s">
        <v>61</v>
      </c>
      <c r="D2298" t="s">
        <v>67</v>
      </c>
      <c r="E2298" t="s">
        <v>63</v>
      </c>
      <c r="F2298" t="s">
        <v>72</v>
      </c>
      <c r="G2298" s="4">
        <v>5</v>
      </c>
      <c r="H2298" s="4" t="s">
        <v>79</v>
      </c>
      <c r="I2298" s="4" t="s">
        <v>69</v>
      </c>
      <c r="J2298" s="4" t="s">
        <v>66</v>
      </c>
      <c r="K2298" s="4">
        <v>0</v>
      </c>
      <c r="L2298" s="94">
        <v>-10328</v>
      </c>
      <c r="M2298" s="94">
        <v>0</v>
      </c>
    </row>
    <row r="2299" spans="3:13" x14ac:dyDescent="0.3">
      <c r="C2299" t="s">
        <v>61</v>
      </c>
      <c r="D2299" t="s">
        <v>67</v>
      </c>
      <c r="E2299" t="s">
        <v>63</v>
      </c>
      <c r="F2299" t="s">
        <v>72</v>
      </c>
      <c r="G2299" s="4">
        <v>4</v>
      </c>
      <c r="H2299" s="4" t="s">
        <v>12</v>
      </c>
      <c r="I2299" s="4" t="s">
        <v>69</v>
      </c>
      <c r="J2299" s="4" t="s">
        <v>66</v>
      </c>
      <c r="K2299" s="4">
        <v>0</v>
      </c>
      <c r="L2299" s="94">
        <v>-1208</v>
      </c>
      <c r="M2299" s="94">
        <v>0</v>
      </c>
    </row>
    <row r="2300" spans="3:13" x14ac:dyDescent="0.3">
      <c r="C2300" t="s">
        <v>70</v>
      </c>
      <c r="D2300" t="s">
        <v>67</v>
      </c>
      <c r="E2300" t="s">
        <v>68</v>
      </c>
      <c r="F2300" t="s">
        <v>25</v>
      </c>
      <c r="G2300" s="4">
        <v>10</v>
      </c>
      <c r="H2300" s="4" t="s">
        <v>17</v>
      </c>
      <c r="I2300" s="4" t="s">
        <v>69</v>
      </c>
      <c r="J2300" s="4" t="s">
        <v>66</v>
      </c>
      <c r="K2300" s="4">
        <v>0</v>
      </c>
      <c r="L2300" s="94">
        <v>888029</v>
      </c>
      <c r="M2300" s="94">
        <v>8880290</v>
      </c>
    </row>
    <row r="2301" spans="3:13" x14ac:dyDescent="0.3">
      <c r="C2301" t="s">
        <v>70</v>
      </c>
      <c r="D2301" t="s">
        <v>62</v>
      </c>
      <c r="E2301" t="s">
        <v>63</v>
      </c>
      <c r="F2301" t="s">
        <v>25</v>
      </c>
      <c r="G2301" s="4">
        <v>13</v>
      </c>
      <c r="I2301" s="4" t="s">
        <v>69</v>
      </c>
      <c r="J2301" s="4" t="s">
        <v>66</v>
      </c>
      <c r="K2301" s="4">
        <v>0</v>
      </c>
      <c r="L2301" s="94">
        <v>-165841</v>
      </c>
      <c r="M2301" s="94">
        <v>0</v>
      </c>
    </row>
    <row r="2302" spans="3:13" x14ac:dyDescent="0.3">
      <c r="C2302" t="s">
        <v>61</v>
      </c>
      <c r="D2302" t="s">
        <v>67</v>
      </c>
      <c r="E2302" t="s">
        <v>63</v>
      </c>
      <c r="F2302" t="s">
        <v>25</v>
      </c>
      <c r="G2302" s="4">
        <v>10</v>
      </c>
      <c r="H2302" s="4" t="s">
        <v>64</v>
      </c>
      <c r="I2302" s="4" t="s">
        <v>69</v>
      </c>
      <c r="J2302" s="4" t="s">
        <v>66</v>
      </c>
      <c r="K2302" s="4">
        <v>0</v>
      </c>
      <c r="L2302" s="94">
        <v>-1348</v>
      </c>
      <c r="M2302" s="94">
        <v>0</v>
      </c>
    </row>
    <row r="2303" spans="3:13" x14ac:dyDescent="0.3">
      <c r="C2303" t="s">
        <v>70</v>
      </c>
      <c r="D2303" t="s">
        <v>67</v>
      </c>
      <c r="E2303" t="s">
        <v>63</v>
      </c>
      <c r="F2303" t="s">
        <v>26</v>
      </c>
      <c r="G2303" s="4">
        <v>15</v>
      </c>
      <c r="H2303" s="4" t="s">
        <v>17</v>
      </c>
      <c r="I2303" s="4" t="s">
        <v>69</v>
      </c>
      <c r="J2303" s="4" t="s">
        <v>66</v>
      </c>
      <c r="K2303" s="4">
        <v>0</v>
      </c>
      <c r="L2303" s="94">
        <v>-2753</v>
      </c>
      <c r="M2303" s="94">
        <v>0</v>
      </c>
    </row>
    <row r="2304" spans="3:13" x14ac:dyDescent="0.3">
      <c r="C2304" t="s">
        <v>70</v>
      </c>
      <c r="D2304" t="s">
        <v>62</v>
      </c>
      <c r="E2304" t="s">
        <v>68</v>
      </c>
      <c r="F2304" t="s">
        <v>24</v>
      </c>
      <c r="G2304" s="4">
        <v>22</v>
      </c>
      <c r="I2304" s="4" t="s">
        <v>69</v>
      </c>
      <c r="J2304" s="4" t="s">
        <v>66</v>
      </c>
      <c r="K2304" s="4">
        <v>0</v>
      </c>
      <c r="L2304" s="94">
        <v>54650205</v>
      </c>
      <c r="M2304" s="94">
        <v>1202304510</v>
      </c>
    </row>
    <row r="2305" spans="3:13" x14ac:dyDescent="0.3">
      <c r="C2305" t="s">
        <v>70</v>
      </c>
      <c r="D2305" t="s">
        <v>67</v>
      </c>
      <c r="E2305" t="s">
        <v>68</v>
      </c>
      <c r="F2305" t="s">
        <v>26</v>
      </c>
      <c r="G2305" s="4">
        <v>1</v>
      </c>
      <c r="H2305" s="4" t="s">
        <v>18</v>
      </c>
      <c r="I2305" s="4" t="s">
        <v>65</v>
      </c>
      <c r="J2305" s="4" t="s">
        <v>66</v>
      </c>
      <c r="K2305" s="4">
        <v>1</v>
      </c>
      <c r="L2305" s="94">
        <v>8933</v>
      </c>
      <c r="M2305" s="94">
        <v>8933</v>
      </c>
    </row>
    <row r="2306" spans="3:13" x14ac:dyDescent="0.3">
      <c r="C2306" t="s">
        <v>71</v>
      </c>
      <c r="D2306" t="s">
        <v>67</v>
      </c>
      <c r="E2306" t="s">
        <v>63</v>
      </c>
      <c r="F2306" t="s">
        <v>25</v>
      </c>
      <c r="G2306" s="4">
        <v>-1</v>
      </c>
      <c r="H2306" s="4" t="s">
        <v>17</v>
      </c>
      <c r="I2306" s="4" t="s">
        <v>69</v>
      </c>
      <c r="J2306" s="4" t="s">
        <v>66</v>
      </c>
      <c r="K2306" s="4">
        <v>1</v>
      </c>
      <c r="L2306" s="94">
        <v>-97</v>
      </c>
      <c r="M2306" s="94">
        <v>0</v>
      </c>
    </row>
    <row r="2307" spans="3:13" x14ac:dyDescent="0.3">
      <c r="C2307" t="s">
        <v>70</v>
      </c>
      <c r="D2307" t="s">
        <v>67</v>
      </c>
      <c r="E2307" t="s">
        <v>63</v>
      </c>
      <c r="F2307" t="s">
        <v>25</v>
      </c>
      <c r="G2307" s="4">
        <v>9</v>
      </c>
      <c r="H2307" s="4" t="s">
        <v>14</v>
      </c>
      <c r="I2307" s="4" t="s">
        <v>69</v>
      </c>
      <c r="J2307" s="4" t="s">
        <v>66</v>
      </c>
      <c r="K2307" s="4">
        <v>0</v>
      </c>
      <c r="L2307" s="94">
        <v>-139065</v>
      </c>
      <c r="M2307" s="94">
        <v>0</v>
      </c>
    </row>
    <row r="2308" spans="3:13" x14ac:dyDescent="0.3">
      <c r="C2308" t="s">
        <v>71</v>
      </c>
      <c r="D2308" t="s">
        <v>67</v>
      </c>
      <c r="E2308" t="s">
        <v>68</v>
      </c>
      <c r="F2308" t="s">
        <v>25</v>
      </c>
      <c r="G2308" s="4">
        <v>14</v>
      </c>
      <c r="H2308" s="4" t="s">
        <v>18</v>
      </c>
      <c r="I2308" s="4" t="s">
        <v>69</v>
      </c>
      <c r="J2308" s="4" t="s">
        <v>66</v>
      </c>
      <c r="K2308" s="4">
        <v>0</v>
      </c>
      <c r="L2308" s="94">
        <v>149408</v>
      </c>
      <c r="M2308" s="94">
        <v>2091712</v>
      </c>
    </row>
    <row r="2309" spans="3:13" x14ac:dyDescent="0.3">
      <c r="C2309" t="s">
        <v>70</v>
      </c>
      <c r="D2309" t="s">
        <v>67</v>
      </c>
      <c r="E2309" t="s">
        <v>63</v>
      </c>
      <c r="F2309" t="s">
        <v>26</v>
      </c>
      <c r="G2309" s="4">
        <v>0</v>
      </c>
      <c r="H2309" s="4" t="s">
        <v>74</v>
      </c>
      <c r="I2309" s="4" t="s">
        <v>69</v>
      </c>
      <c r="J2309" s="4" t="s">
        <v>66</v>
      </c>
      <c r="K2309" s="4">
        <v>0</v>
      </c>
      <c r="L2309" s="94">
        <v>-21819</v>
      </c>
      <c r="M2309" s="94">
        <v>0</v>
      </c>
    </row>
    <row r="2310" spans="3:13" x14ac:dyDescent="0.3">
      <c r="C2310" t="s">
        <v>70</v>
      </c>
      <c r="D2310" t="s">
        <v>67</v>
      </c>
      <c r="E2310" t="s">
        <v>63</v>
      </c>
      <c r="F2310" t="s">
        <v>25</v>
      </c>
      <c r="G2310" s="4">
        <v>0</v>
      </c>
      <c r="H2310" s="4" t="s">
        <v>75</v>
      </c>
      <c r="I2310" s="4" t="s">
        <v>69</v>
      </c>
      <c r="J2310" s="4" t="s">
        <v>66</v>
      </c>
      <c r="K2310" s="4">
        <v>0</v>
      </c>
      <c r="L2310" s="94">
        <v>-19988</v>
      </c>
      <c r="M2310" s="94">
        <v>0</v>
      </c>
    </row>
    <row r="2311" spans="3:13" x14ac:dyDescent="0.3">
      <c r="C2311" t="s">
        <v>61</v>
      </c>
      <c r="D2311" t="s">
        <v>67</v>
      </c>
      <c r="E2311" t="s">
        <v>63</v>
      </c>
      <c r="F2311" t="s">
        <v>26</v>
      </c>
      <c r="G2311" s="4">
        <v>2</v>
      </c>
      <c r="H2311" s="4" t="s">
        <v>18</v>
      </c>
      <c r="I2311" s="4" t="s">
        <v>65</v>
      </c>
      <c r="J2311" s="4" t="s">
        <v>66</v>
      </c>
      <c r="K2311" s="4">
        <v>1</v>
      </c>
      <c r="L2311" s="94">
        <v>-2738</v>
      </c>
      <c r="M2311" s="94">
        <v>0</v>
      </c>
    </row>
    <row r="2312" spans="3:13" x14ac:dyDescent="0.3">
      <c r="C2312" t="s">
        <v>61</v>
      </c>
      <c r="D2312" t="s">
        <v>67</v>
      </c>
      <c r="E2312" t="s">
        <v>63</v>
      </c>
      <c r="F2312" t="s">
        <v>25</v>
      </c>
      <c r="G2312" s="4">
        <v>0</v>
      </c>
      <c r="H2312" s="4" t="s">
        <v>74</v>
      </c>
      <c r="I2312" s="4" t="s">
        <v>69</v>
      </c>
      <c r="J2312" s="4" t="s">
        <v>66</v>
      </c>
      <c r="K2312" s="4">
        <v>0</v>
      </c>
      <c r="L2312" s="94">
        <v>-15402</v>
      </c>
      <c r="M2312" s="94">
        <v>0</v>
      </c>
    </row>
    <row r="2313" spans="3:13" x14ac:dyDescent="0.3">
      <c r="C2313" t="s">
        <v>61</v>
      </c>
      <c r="D2313" t="s">
        <v>84</v>
      </c>
      <c r="E2313" t="s">
        <v>68</v>
      </c>
      <c r="F2313" t="s">
        <v>25</v>
      </c>
      <c r="G2313" s="4">
        <v>8</v>
      </c>
      <c r="H2313" s="4" t="s">
        <v>75</v>
      </c>
      <c r="I2313" s="4" t="s">
        <v>69</v>
      </c>
      <c r="J2313" s="4" t="s">
        <v>66</v>
      </c>
      <c r="K2313" s="4">
        <v>0</v>
      </c>
      <c r="L2313" s="94">
        <v>946855</v>
      </c>
      <c r="M2313" s="94">
        <v>7574840</v>
      </c>
    </row>
    <row r="2314" spans="3:13" x14ac:dyDescent="0.3">
      <c r="C2314" t="s">
        <v>70</v>
      </c>
      <c r="D2314" t="s">
        <v>67</v>
      </c>
      <c r="E2314" t="s">
        <v>63</v>
      </c>
      <c r="F2314" t="s">
        <v>72</v>
      </c>
      <c r="G2314" s="4">
        <v>-1</v>
      </c>
      <c r="H2314" s="4" t="s">
        <v>14</v>
      </c>
      <c r="I2314" s="4" t="s">
        <v>69</v>
      </c>
      <c r="J2314" s="4" t="s">
        <v>73</v>
      </c>
      <c r="K2314" s="4">
        <v>1</v>
      </c>
      <c r="L2314" s="94">
        <v>-9305</v>
      </c>
      <c r="M2314" s="94">
        <v>0</v>
      </c>
    </row>
    <row r="2315" spans="3:13" x14ac:dyDescent="0.3">
      <c r="C2315" t="s">
        <v>71</v>
      </c>
      <c r="D2315" t="s">
        <v>67</v>
      </c>
      <c r="E2315" t="s">
        <v>63</v>
      </c>
      <c r="F2315" t="s">
        <v>26</v>
      </c>
      <c r="G2315" s="4">
        <v>3</v>
      </c>
      <c r="H2315" s="4" t="s">
        <v>74</v>
      </c>
      <c r="I2315" s="4" t="s">
        <v>69</v>
      </c>
      <c r="J2315" s="4" t="s">
        <v>66</v>
      </c>
      <c r="K2315" s="4">
        <v>0</v>
      </c>
      <c r="L2315" s="94">
        <v>-786060</v>
      </c>
      <c r="M2315" s="94">
        <v>0</v>
      </c>
    </row>
    <row r="2316" spans="3:13" x14ac:dyDescent="0.3">
      <c r="C2316" t="s">
        <v>61</v>
      </c>
      <c r="D2316" t="s">
        <v>62</v>
      </c>
      <c r="E2316" t="s">
        <v>68</v>
      </c>
      <c r="F2316" t="s">
        <v>24</v>
      </c>
      <c r="G2316" s="4">
        <v>34</v>
      </c>
      <c r="I2316" s="4" t="s">
        <v>69</v>
      </c>
      <c r="J2316" s="4" t="s">
        <v>66</v>
      </c>
      <c r="K2316" s="4">
        <v>1</v>
      </c>
      <c r="L2316" s="94">
        <v>1805777</v>
      </c>
      <c r="M2316" s="94">
        <v>61396418</v>
      </c>
    </row>
    <row r="2317" spans="3:13" x14ac:dyDescent="0.3">
      <c r="C2317" t="s">
        <v>71</v>
      </c>
      <c r="D2317" t="s">
        <v>67</v>
      </c>
      <c r="E2317" t="s">
        <v>68</v>
      </c>
      <c r="F2317" t="s">
        <v>72</v>
      </c>
      <c r="G2317" s="4">
        <v>4</v>
      </c>
      <c r="H2317" s="4" t="s">
        <v>82</v>
      </c>
      <c r="I2317" s="4" t="s">
        <v>69</v>
      </c>
      <c r="J2317" s="4" t="s">
        <v>66</v>
      </c>
      <c r="K2317" s="4">
        <v>0</v>
      </c>
      <c r="L2317" s="94">
        <v>99065</v>
      </c>
      <c r="M2317" s="94">
        <v>396260</v>
      </c>
    </row>
    <row r="2318" spans="3:13" x14ac:dyDescent="0.3">
      <c r="C2318" t="s">
        <v>70</v>
      </c>
      <c r="D2318" t="s">
        <v>67</v>
      </c>
      <c r="E2318" t="s">
        <v>63</v>
      </c>
      <c r="F2318" t="s">
        <v>26</v>
      </c>
      <c r="G2318" s="4">
        <v>5</v>
      </c>
      <c r="H2318" s="4" t="s">
        <v>16</v>
      </c>
      <c r="I2318" s="4" t="s">
        <v>65</v>
      </c>
      <c r="J2318" s="4" t="s">
        <v>66</v>
      </c>
      <c r="K2318" s="4">
        <v>1</v>
      </c>
      <c r="L2318" s="94">
        <v>-11192</v>
      </c>
      <c r="M2318" s="94">
        <v>0</v>
      </c>
    </row>
    <row r="2319" spans="3:13" x14ac:dyDescent="0.3">
      <c r="C2319" t="s">
        <v>61</v>
      </c>
      <c r="D2319" t="s">
        <v>67</v>
      </c>
      <c r="E2319" t="s">
        <v>68</v>
      </c>
      <c r="F2319" t="s">
        <v>26</v>
      </c>
      <c r="G2319" s="4">
        <v>-1</v>
      </c>
      <c r="I2319" s="4" t="s">
        <v>69</v>
      </c>
      <c r="J2319" s="4" t="s">
        <v>66</v>
      </c>
      <c r="K2319" s="4">
        <v>0</v>
      </c>
      <c r="L2319" s="94">
        <v>-30383246</v>
      </c>
      <c r="M2319" s="94">
        <v>0</v>
      </c>
    </row>
    <row r="2320" spans="3:13" x14ac:dyDescent="0.3">
      <c r="C2320" t="s">
        <v>61</v>
      </c>
      <c r="D2320" t="s">
        <v>67</v>
      </c>
      <c r="E2320" t="s">
        <v>63</v>
      </c>
      <c r="F2320" t="s">
        <v>26</v>
      </c>
      <c r="G2320" s="4">
        <v>10</v>
      </c>
      <c r="H2320" s="4" t="s">
        <v>74</v>
      </c>
      <c r="I2320" s="4" t="s">
        <v>69</v>
      </c>
      <c r="J2320" s="4" t="s">
        <v>66</v>
      </c>
      <c r="K2320" s="4">
        <v>0</v>
      </c>
      <c r="L2320" s="94">
        <v>-130212</v>
      </c>
      <c r="M2320" s="94">
        <v>0</v>
      </c>
    </row>
    <row r="2321" spans="3:13" x14ac:dyDescent="0.3">
      <c r="C2321" t="s">
        <v>61</v>
      </c>
      <c r="D2321" t="s">
        <v>62</v>
      </c>
      <c r="E2321" t="s">
        <v>68</v>
      </c>
      <c r="F2321" t="s">
        <v>24</v>
      </c>
      <c r="G2321" s="4">
        <v>40</v>
      </c>
      <c r="I2321" s="4" t="s">
        <v>69</v>
      </c>
      <c r="J2321" s="4" t="s">
        <v>66</v>
      </c>
      <c r="K2321" s="4">
        <v>1</v>
      </c>
      <c r="L2321" s="94">
        <v>344208</v>
      </c>
      <c r="M2321" s="94">
        <v>13768320</v>
      </c>
    </row>
    <row r="2322" spans="3:13" x14ac:dyDescent="0.3">
      <c r="C2322" t="s">
        <v>61</v>
      </c>
      <c r="D2322" t="s">
        <v>67</v>
      </c>
      <c r="E2322" t="s">
        <v>68</v>
      </c>
      <c r="F2322" t="s">
        <v>72</v>
      </c>
      <c r="G2322" s="4">
        <v>1</v>
      </c>
      <c r="H2322" s="4" t="s">
        <v>14</v>
      </c>
      <c r="I2322" s="4" t="s">
        <v>65</v>
      </c>
      <c r="J2322" s="4" t="s">
        <v>66</v>
      </c>
      <c r="K2322" s="4">
        <v>1</v>
      </c>
      <c r="L2322" s="94">
        <v>7676</v>
      </c>
      <c r="M2322" s="94">
        <v>7676</v>
      </c>
    </row>
    <row r="2323" spans="3:13" x14ac:dyDescent="0.3">
      <c r="C2323" t="s">
        <v>61</v>
      </c>
      <c r="D2323" t="s">
        <v>67</v>
      </c>
      <c r="E2323" t="s">
        <v>68</v>
      </c>
      <c r="F2323" t="s">
        <v>25</v>
      </c>
      <c r="G2323" s="4">
        <v>0</v>
      </c>
      <c r="H2323" s="4" t="s">
        <v>17</v>
      </c>
      <c r="I2323" s="4" t="s">
        <v>65</v>
      </c>
      <c r="J2323" s="4" t="s">
        <v>66</v>
      </c>
      <c r="K2323" s="4">
        <v>1</v>
      </c>
      <c r="L2323" s="94">
        <v>74183</v>
      </c>
      <c r="M2323" s="94">
        <v>0</v>
      </c>
    </row>
    <row r="2324" spans="3:13" x14ac:dyDescent="0.3">
      <c r="C2324" t="s">
        <v>61</v>
      </c>
      <c r="D2324" t="s">
        <v>67</v>
      </c>
      <c r="E2324" t="s">
        <v>63</v>
      </c>
      <c r="F2324" t="s">
        <v>72</v>
      </c>
      <c r="G2324" s="4">
        <v>-4</v>
      </c>
      <c r="H2324" s="4" t="s">
        <v>18</v>
      </c>
      <c r="I2324" s="4" t="s">
        <v>69</v>
      </c>
      <c r="J2324" s="4" t="s">
        <v>66</v>
      </c>
      <c r="K2324" s="4">
        <v>0</v>
      </c>
      <c r="L2324" s="94">
        <v>-8</v>
      </c>
      <c r="M2324" s="94">
        <v>0</v>
      </c>
    </row>
    <row r="2325" spans="3:13" x14ac:dyDescent="0.3">
      <c r="C2325" t="s">
        <v>61</v>
      </c>
      <c r="D2325" t="s">
        <v>67</v>
      </c>
      <c r="E2325" t="s">
        <v>68</v>
      </c>
      <c r="F2325" t="s">
        <v>72</v>
      </c>
      <c r="G2325" s="4">
        <v>-4</v>
      </c>
      <c r="H2325" s="4" t="s">
        <v>18</v>
      </c>
      <c r="I2325" s="4" t="s">
        <v>69</v>
      </c>
      <c r="J2325" s="4" t="s">
        <v>73</v>
      </c>
      <c r="K2325" s="4">
        <v>1</v>
      </c>
      <c r="L2325" s="94">
        <v>71</v>
      </c>
      <c r="M2325" s="94">
        <v>0</v>
      </c>
    </row>
    <row r="2326" spans="3:13" x14ac:dyDescent="0.3">
      <c r="C2326" t="s">
        <v>61</v>
      </c>
      <c r="D2326" t="s">
        <v>67</v>
      </c>
      <c r="E2326" t="s">
        <v>63</v>
      </c>
      <c r="F2326" t="s">
        <v>72</v>
      </c>
      <c r="G2326" s="4">
        <v>2</v>
      </c>
      <c r="H2326" s="4" t="s">
        <v>76</v>
      </c>
      <c r="I2326" s="4" t="s">
        <v>69</v>
      </c>
      <c r="J2326" s="4" t="s">
        <v>66</v>
      </c>
      <c r="K2326" s="4">
        <v>0</v>
      </c>
      <c r="L2326" s="94">
        <v>-3472</v>
      </c>
      <c r="M2326" s="94">
        <v>0</v>
      </c>
    </row>
    <row r="2327" spans="3:13" x14ac:dyDescent="0.3">
      <c r="C2327" t="s">
        <v>70</v>
      </c>
      <c r="D2327" t="s">
        <v>67</v>
      </c>
      <c r="E2327" t="s">
        <v>63</v>
      </c>
      <c r="F2327" t="s">
        <v>25</v>
      </c>
      <c r="G2327" s="4">
        <v>7</v>
      </c>
      <c r="H2327" s="4" t="s">
        <v>82</v>
      </c>
      <c r="I2327" s="4" t="s">
        <v>69</v>
      </c>
      <c r="J2327" s="4" t="s">
        <v>66</v>
      </c>
      <c r="K2327" s="4">
        <v>0</v>
      </c>
      <c r="L2327" s="94">
        <v>-4383</v>
      </c>
      <c r="M2327" s="94">
        <v>0</v>
      </c>
    </row>
    <row r="2328" spans="3:13" x14ac:dyDescent="0.3">
      <c r="C2328" t="s">
        <v>70</v>
      </c>
      <c r="D2328" t="s">
        <v>67</v>
      </c>
      <c r="E2328" t="s">
        <v>63</v>
      </c>
      <c r="F2328" t="s">
        <v>26</v>
      </c>
      <c r="G2328" s="4">
        <v>1</v>
      </c>
      <c r="H2328" s="4" t="s">
        <v>82</v>
      </c>
      <c r="I2328" s="4" t="s">
        <v>69</v>
      </c>
      <c r="J2328" s="4" t="s">
        <v>66</v>
      </c>
      <c r="K2328" s="4">
        <v>0</v>
      </c>
      <c r="L2328" s="94">
        <v>-124161</v>
      </c>
      <c r="M2328" s="94">
        <v>0</v>
      </c>
    </row>
    <row r="2329" spans="3:13" x14ac:dyDescent="0.3">
      <c r="C2329" t="s">
        <v>61</v>
      </c>
      <c r="D2329" t="s">
        <v>67</v>
      </c>
      <c r="E2329" t="s">
        <v>63</v>
      </c>
      <c r="F2329" t="s">
        <v>25</v>
      </c>
      <c r="G2329" s="4">
        <v>7</v>
      </c>
      <c r="H2329" s="4" t="s">
        <v>76</v>
      </c>
      <c r="I2329" s="4" t="s">
        <v>69</v>
      </c>
      <c r="J2329" s="4" t="s">
        <v>66</v>
      </c>
      <c r="K2329" s="4">
        <v>0</v>
      </c>
      <c r="L2329" s="94">
        <v>-73925</v>
      </c>
      <c r="M2329" s="94">
        <v>0</v>
      </c>
    </row>
    <row r="2330" spans="3:13" x14ac:dyDescent="0.3">
      <c r="C2330" t="s">
        <v>71</v>
      </c>
      <c r="D2330" t="s">
        <v>67</v>
      </c>
      <c r="E2330" t="s">
        <v>63</v>
      </c>
      <c r="F2330" t="s">
        <v>72</v>
      </c>
      <c r="G2330" s="4">
        <v>-4</v>
      </c>
      <c r="H2330" s="4" t="s">
        <v>18</v>
      </c>
      <c r="I2330" s="4" t="s">
        <v>69</v>
      </c>
      <c r="J2330" s="4" t="s">
        <v>73</v>
      </c>
      <c r="K2330" s="4">
        <v>1</v>
      </c>
      <c r="L2330" s="94">
        <v>-7935</v>
      </c>
      <c r="M2330" s="94">
        <v>0</v>
      </c>
    </row>
    <row r="2331" spans="3:13" x14ac:dyDescent="0.3">
      <c r="C2331" t="s">
        <v>70</v>
      </c>
      <c r="D2331" t="s">
        <v>84</v>
      </c>
      <c r="E2331" t="s">
        <v>63</v>
      </c>
      <c r="F2331" t="s">
        <v>25</v>
      </c>
      <c r="G2331" s="4">
        <v>-4</v>
      </c>
      <c r="H2331" s="4" t="s">
        <v>79</v>
      </c>
      <c r="I2331" s="4" t="s">
        <v>69</v>
      </c>
      <c r="J2331" s="4" t="s">
        <v>66</v>
      </c>
      <c r="K2331" s="4">
        <v>0</v>
      </c>
      <c r="L2331" s="94">
        <v>-1</v>
      </c>
      <c r="M2331" s="94">
        <v>0</v>
      </c>
    </row>
    <row r="2332" spans="3:13" x14ac:dyDescent="0.3">
      <c r="C2332" t="s">
        <v>61</v>
      </c>
      <c r="D2332" t="s">
        <v>67</v>
      </c>
      <c r="E2332" t="s">
        <v>63</v>
      </c>
      <c r="F2332" t="s">
        <v>26</v>
      </c>
      <c r="G2332" s="4">
        <v>8</v>
      </c>
      <c r="H2332" s="4" t="s">
        <v>15</v>
      </c>
      <c r="I2332" s="4" t="s">
        <v>69</v>
      </c>
      <c r="J2332" s="4" t="s">
        <v>73</v>
      </c>
      <c r="K2332" s="4">
        <v>1</v>
      </c>
      <c r="L2332" s="94">
        <v>-897</v>
      </c>
      <c r="M2332" s="94">
        <v>0</v>
      </c>
    </row>
    <row r="2333" spans="3:13" x14ac:dyDescent="0.3">
      <c r="C2333" t="s">
        <v>71</v>
      </c>
      <c r="D2333" t="s">
        <v>62</v>
      </c>
      <c r="E2333" t="s">
        <v>68</v>
      </c>
      <c r="F2333" t="s">
        <v>24</v>
      </c>
      <c r="G2333" s="4">
        <v>1</v>
      </c>
      <c r="I2333" s="4" t="s">
        <v>69</v>
      </c>
      <c r="J2333" s="4" t="s">
        <v>66</v>
      </c>
      <c r="K2333" s="4">
        <v>0</v>
      </c>
      <c r="L2333" s="94">
        <v>468023</v>
      </c>
      <c r="M2333" s="94">
        <v>468023</v>
      </c>
    </row>
    <row r="2334" spans="3:13" x14ac:dyDescent="0.3">
      <c r="C2334" t="s">
        <v>71</v>
      </c>
      <c r="D2334" t="s">
        <v>62</v>
      </c>
      <c r="E2334" t="s">
        <v>63</v>
      </c>
      <c r="F2334" t="s">
        <v>25</v>
      </c>
      <c r="G2334" s="4">
        <v>5</v>
      </c>
      <c r="I2334" s="4" t="s">
        <v>69</v>
      </c>
      <c r="J2334" s="4" t="s">
        <v>66</v>
      </c>
      <c r="K2334" s="4">
        <v>0</v>
      </c>
      <c r="L2334" s="94">
        <v>-94624</v>
      </c>
      <c r="M2334" s="94">
        <v>0</v>
      </c>
    </row>
    <row r="2335" spans="3:13" x14ac:dyDescent="0.3">
      <c r="C2335" t="s">
        <v>61</v>
      </c>
      <c r="D2335" t="s">
        <v>67</v>
      </c>
      <c r="E2335" t="s">
        <v>68</v>
      </c>
      <c r="F2335" t="s">
        <v>26</v>
      </c>
      <c r="G2335" s="4">
        <v>1</v>
      </c>
      <c r="H2335" s="4" t="s">
        <v>14</v>
      </c>
      <c r="I2335" s="4" t="s">
        <v>69</v>
      </c>
      <c r="J2335" s="4" t="s">
        <v>66</v>
      </c>
      <c r="K2335" s="4">
        <v>0</v>
      </c>
      <c r="L2335" s="94">
        <v>110454862</v>
      </c>
      <c r="M2335" s="94">
        <v>110454862</v>
      </c>
    </row>
    <row r="2336" spans="3:13" x14ac:dyDescent="0.3">
      <c r="C2336" t="s">
        <v>70</v>
      </c>
      <c r="D2336" t="s">
        <v>67</v>
      </c>
      <c r="E2336" t="s">
        <v>63</v>
      </c>
      <c r="F2336" t="s">
        <v>72</v>
      </c>
      <c r="G2336" s="4">
        <v>0</v>
      </c>
      <c r="H2336" s="4" t="s">
        <v>14</v>
      </c>
      <c r="I2336" s="4" t="s">
        <v>69</v>
      </c>
      <c r="J2336" s="4" t="s">
        <v>66</v>
      </c>
      <c r="K2336" s="4">
        <v>0</v>
      </c>
      <c r="L2336" s="94">
        <v>-3929</v>
      </c>
      <c r="M2336" s="94">
        <v>0</v>
      </c>
    </row>
    <row r="2337" spans="3:13" x14ac:dyDescent="0.3">
      <c r="C2337" t="s">
        <v>61</v>
      </c>
      <c r="D2337" t="s">
        <v>67</v>
      </c>
      <c r="E2337" t="s">
        <v>68</v>
      </c>
      <c r="F2337" t="s">
        <v>25</v>
      </c>
      <c r="G2337" s="4">
        <v>-4</v>
      </c>
      <c r="H2337" s="4" t="s">
        <v>74</v>
      </c>
      <c r="I2337" s="4" t="s">
        <v>69</v>
      </c>
      <c r="J2337" s="4" t="s">
        <v>66</v>
      </c>
      <c r="K2337" s="4">
        <v>0</v>
      </c>
      <c r="L2337" s="94">
        <v>8</v>
      </c>
      <c r="M2337" s="94">
        <v>0</v>
      </c>
    </row>
    <row r="2338" spans="3:13" x14ac:dyDescent="0.3">
      <c r="C2338" t="s">
        <v>70</v>
      </c>
      <c r="D2338" t="s">
        <v>67</v>
      </c>
      <c r="E2338" t="s">
        <v>63</v>
      </c>
      <c r="F2338" t="s">
        <v>72</v>
      </c>
      <c r="G2338" s="4">
        <v>7</v>
      </c>
      <c r="H2338" s="4" t="s">
        <v>18</v>
      </c>
      <c r="I2338" s="4" t="s">
        <v>69</v>
      </c>
      <c r="J2338" s="4" t="s">
        <v>66</v>
      </c>
      <c r="K2338" s="4">
        <v>0</v>
      </c>
      <c r="L2338" s="94">
        <v>-18875</v>
      </c>
      <c r="M2338" s="94">
        <v>0</v>
      </c>
    </row>
    <row r="2339" spans="3:13" x14ac:dyDescent="0.3">
      <c r="C2339" t="s">
        <v>61</v>
      </c>
      <c r="D2339" t="s">
        <v>67</v>
      </c>
      <c r="E2339" t="s">
        <v>63</v>
      </c>
      <c r="F2339" t="s">
        <v>26</v>
      </c>
      <c r="G2339" s="4">
        <v>8</v>
      </c>
      <c r="H2339" s="4" t="s">
        <v>14</v>
      </c>
      <c r="I2339" s="4" t="s">
        <v>65</v>
      </c>
      <c r="J2339" s="4" t="s">
        <v>66</v>
      </c>
      <c r="K2339" s="4">
        <v>1</v>
      </c>
      <c r="L2339" s="94">
        <v>-1006</v>
      </c>
      <c r="M2339" s="94">
        <v>0</v>
      </c>
    </row>
    <row r="2340" spans="3:13" x14ac:dyDescent="0.3">
      <c r="C2340" t="s">
        <v>70</v>
      </c>
      <c r="D2340" t="s">
        <v>67</v>
      </c>
      <c r="E2340" t="s">
        <v>68</v>
      </c>
      <c r="F2340" t="s">
        <v>72</v>
      </c>
      <c r="G2340" s="4">
        <v>-4</v>
      </c>
      <c r="H2340" s="4" t="s">
        <v>78</v>
      </c>
      <c r="I2340" s="4" t="s">
        <v>69</v>
      </c>
      <c r="J2340" s="4" t="s">
        <v>66</v>
      </c>
      <c r="K2340" s="4">
        <v>0</v>
      </c>
      <c r="L2340" s="94">
        <v>48</v>
      </c>
      <c r="M2340" s="94">
        <v>0</v>
      </c>
    </row>
    <row r="2341" spans="3:13" x14ac:dyDescent="0.3">
      <c r="C2341" t="s">
        <v>61</v>
      </c>
      <c r="D2341" t="s">
        <v>67</v>
      </c>
      <c r="E2341" t="s">
        <v>63</v>
      </c>
      <c r="F2341" t="s">
        <v>25</v>
      </c>
      <c r="G2341" s="4">
        <v>0</v>
      </c>
      <c r="H2341" s="4" t="s">
        <v>14</v>
      </c>
      <c r="I2341" s="4" t="s">
        <v>69</v>
      </c>
      <c r="J2341" s="4" t="s">
        <v>66</v>
      </c>
      <c r="K2341" s="4">
        <v>0</v>
      </c>
      <c r="L2341" s="94">
        <v>-257</v>
      </c>
      <c r="M2341" s="94">
        <v>0</v>
      </c>
    </row>
    <row r="2342" spans="3:13" x14ac:dyDescent="0.3">
      <c r="C2342" t="s">
        <v>70</v>
      </c>
      <c r="D2342" t="s">
        <v>67</v>
      </c>
      <c r="E2342" t="s">
        <v>63</v>
      </c>
      <c r="F2342" t="s">
        <v>72</v>
      </c>
      <c r="G2342" s="4">
        <v>-4</v>
      </c>
      <c r="H2342" s="4" t="s">
        <v>18</v>
      </c>
      <c r="I2342" s="4" t="s">
        <v>69</v>
      </c>
      <c r="J2342" s="4" t="s">
        <v>66</v>
      </c>
      <c r="K2342" s="4">
        <v>0</v>
      </c>
      <c r="L2342" s="94">
        <v>-4865</v>
      </c>
      <c r="M2342" s="94">
        <v>0</v>
      </c>
    </row>
    <row r="2343" spans="3:13" x14ac:dyDescent="0.3">
      <c r="C2343" t="s">
        <v>71</v>
      </c>
      <c r="D2343" t="s">
        <v>67</v>
      </c>
      <c r="E2343" t="s">
        <v>63</v>
      </c>
      <c r="F2343" t="s">
        <v>26</v>
      </c>
      <c r="G2343" s="4">
        <v>3</v>
      </c>
      <c r="H2343" s="4" t="s">
        <v>14</v>
      </c>
      <c r="I2343" s="4" t="s">
        <v>69</v>
      </c>
      <c r="J2343" s="4" t="s">
        <v>66</v>
      </c>
      <c r="K2343" s="4">
        <v>0</v>
      </c>
      <c r="L2343" s="94">
        <v>-1747099</v>
      </c>
      <c r="M2343" s="94">
        <v>0</v>
      </c>
    </row>
    <row r="2344" spans="3:13" x14ac:dyDescent="0.3">
      <c r="C2344" t="s">
        <v>70</v>
      </c>
      <c r="D2344" t="s">
        <v>67</v>
      </c>
      <c r="E2344" t="s">
        <v>68</v>
      </c>
      <c r="F2344" t="s">
        <v>26</v>
      </c>
      <c r="G2344" s="4">
        <v>2</v>
      </c>
      <c r="H2344" s="4" t="s">
        <v>16</v>
      </c>
      <c r="I2344" s="4" t="s">
        <v>69</v>
      </c>
      <c r="J2344" s="4" t="s">
        <v>66</v>
      </c>
      <c r="K2344" s="4">
        <v>0</v>
      </c>
      <c r="L2344" s="94">
        <v>533856</v>
      </c>
      <c r="M2344" s="94">
        <v>1067712</v>
      </c>
    </row>
    <row r="2345" spans="3:13" x14ac:dyDescent="0.3">
      <c r="C2345" t="s">
        <v>71</v>
      </c>
      <c r="D2345" t="s">
        <v>62</v>
      </c>
      <c r="E2345" t="s">
        <v>68</v>
      </c>
      <c r="F2345" t="s">
        <v>25</v>
      </c>
      <c r="G2345" s="4">
        <v>15</v>
      </c>
      <c r="I2345" s="4" t="s">
        <v>69</v>
      </c>
      <c r="J2345" s="4" t="s">
        <v>66</v>
      </c>
      <c r="K2345" s="4">
        <v>0</v>
      </c>
      <c r="L2345" s="94">
        <v>39577</v>
      </c>
      <c r="M2345" s="94">
        <v>593655</v>
      </c>
    </row>
    <row r="2346" spans="3:13" x14ac:dyDescent="0.3">
      <c r="C2346" t="s">
        <v>61</v>
      </c>
      <c r="D2346" t="s">
        <v>62</v>
      </c>
      <c r="E2346" t="s">
        <v>63</v>
      </c>
      <c r="F2346" t="s">
        <v>24</v>
      </c>
      <c r="G2346" s="4">
        <v>12</v>
      </c>
      <c r="I2346" s="4" t="s">
        <v>65</v>
      </c>
      <c r="J2346" s="4" t="s">
        <v>66</v>
      </c>
      <c r="K2346" s="4">
        <v>1</v>
      </c>
      <c r="L2346" s="94">
        <v>-2263</v>
      </c>
      <c r="M2346" s="94">
        <v>0</v>
      </c>
    </row>
    <row r="2347" spans="3:13" x14ac:dyDescent="0.3">
      <c r="C2347" t="s">
        <v>71</v>
      </c>
      <c r="D2347" t="s">
        <v>67</v>
      </c>
      <c r="E2347" t="s">
        <v>63</v>
      </c>
      <c r="F2347" t="s">
        <v>72</v>
      </c>
      <c r="G2347" s="4">
        <v>0</v>
      </c>
      <c r="H2347" s="4" t="s">
        <v>14</v>
      </c>
      <c r="I2347" s="4" t="s">
        <v>69</v>
      </c>
      <c r="J2347" s="4" t="s">
        <v>73</v>
      </c>
      <c r="K2347" s="4">
        <v>1</v>
      </c>
      <c r="L2347" s="94">
        <v>-22894</v>
      </c>
      <c r="M2347" s="94">
        <v>0</v>
      </c>
    </row>
    <row r="2348" spans="3:13" x14ac:dyDescent="0.3">
      <c r="C2348" t="s">
        <v>61</v>
      </c>
      <c r="D2348" t="s">
        <v>67</v>
      </c>
      <c r="E2348" t="s">
        <v>63</v>
      </c>
      <c r="F2348" t="s">
        <v>26</v>
      </c>
      <c r="G2348" s="4">
        <v>6</v>
      </c>
      <c r="H2348" s="4" t="s">
        <v>78</v>
      </c>
      <c r="I2348" s="4" t="s">
        <v>69</v>
      </c>
      <c r="J2348" s="4" t="s">
        <v>66</v>
      </c>
      <c r="K2348" s="4">
        <v>0</v>
      </c>
      <c r="L2348" s="94">
        <v>-3345</v>
      </c>
      <c r="M2348" s="94">
        <v>0</v>
      </c>
    </row>
    <row r="2349" spans="3:13" x14ac:dyDescent="0.3">
      <c r="C2349" t="s">
        <v>61</v>
      </c>
      <c r="D2349" t="s">
        <v>67</v>
      </c>
      <c r="E2349" t="s">
        <v>63</v>
      </c>
      <c r="F2349" t="s">
        <v>25</v>
      </c>
      <c r="G2349" s="4">
        <v>9</v>
      </c>
      <c r="H2349" s="4" t="s">
        <v>75</v>
      </c>
      <c r="I2349" s="4" t="s">
        <v>69</v>
      </c>
      <c r="J2349" s="4" t="s">
        <v>66</v>
      </c>
      <c r="K2349" s="4">
        <v>0</v>
      </c>
      <c r="L2349" s="94">
        <v>-65353</v>
      </c>
      <c r="M2349" s="94">
        <v>0</v>
      </c>
    </row>
    <row r="2350" spans="3:13" x14ac:dyDescent="0.3">
      <c r="C2350" t="s">
        <v>70</v>
      </c>
      <c r="D2350" t="s">
        <v>62</v>
      </c>
      <c r="E2350" t="s">
        <v>63</v>
      </c>
      <c r="F2350" t="s">
        <v>24</v>
      </c>
      <c r="G2350" s="4">
        <v>8</v>
      </c>
      <c r="I2350" s="4" t="s">
        <v>65</v>
      </c>
      <c r="J2350" s="4" t="s">
        <v>66</v>
      </c>
      <c r="K2350" s="4">
        <v>1</v>
      </c>
      <c r="L2350" s="94">
        <v>-6976</v>
      </c>
      <c r="M2350" s="94">
        <v>0</v>
      </c>
    </row>
    <row r="2351" spans="3:13" x14ac:dyDescent="0.3">
      <c r="C2351" t="s">
        <v>61</v>
      </c>
      <c r="D2351" t="s">
        <v>67</v>
      </c>
      <c r="E2351" t="s">
        <v>68</v>
      </c>
      <c r="F2351" t="s">
        <v>25</v>
      </c>
      <c r="G2351" s="4">
        <v>13</v>
      </c>
      <c r="H2351" s="4" t="s">
        <v>17</v>
      </c>
      <c r="I2351" s="4" t="s">
        <v>69</v>
      </c>
      <c r="J2351" s="4" t="s">
        <v>66</v>
      </c>
      <c r="K2351" s="4">
        <v>1</v>
      </c>
      <c r="L2351" s="94">
        <v>64865</v>
      </c>
      <c r="M2351" s="94">
        <v>843245</v>
      </c>
    </row>
    <row r="2352" spans="3:13" x14ac:dyDescent="0.3">
      <c r="C2352" t="s">
        <v>71</v>
      </c>
      <c r="D2352" t="s">
        <v>67</v>
      </c>
      <c r="E2352" t="s">
        <v>63</v>
      </c>
      <c r="F2352" t="s">
        <v>72</v>
      </c>
      <c r="G2352" s="4">
        <v>1</v>
      </c>
      <c r="H2352" s="4" t="s">
        <v>16</v>
      </c>
      <c r="I2352" s="4" t="s">
        <v>69</v>
      </c>
      <c r="J2352" s="4" t="s">
        <v>66</v>
      </c>
      <c r="K2352" s="4">
        <v>0</v>
      </c>
      <c r="L2352" s="94">
        <v>-1649</v>
      </c>
      <c r="M2352" s="94">
        <v>0</v>
      </c>
    </row>
    <row r="2353" spans="3:13" x14ac:dyDescent="0.3">
      <c r="C2353" t="s">
        <v>70</v>
      </c>
      <c r="D2353" t="s">
        <v>62</v>
      </c>
      <c r="E2353" t="s">
        <v>63</v>
      </c>
      <c r="F2353" t="s">
        <v>25</v>
      </c>
      <c r="G2353" s="4">
        <v>7</v>
      </c>
      <c r="I2353" s="4" t="s">
        <v>69</v>
      </c>
      <c r="J2353" s="4" t="s">
        <v>66</v>
      </c>
      <c r="K2353" s="4">
        <v>0</v>
      </c>
      <c r="L2353" s="94">
        <v>-28366</v>
      </c>
      <c r="M2353" s="94">
        <v>0</v>
      </c>
    </row>
    <row r="2354" spans="3:13" x14ac:dyDescent="0.3">
      <c r="C2354" t="s">
        <v>61</v>
      </c>
      <c r="D2354" t="s">
        <v>67</v>
      </c>
      <c r="E2354" t="s">
        <v>68</v>
      </c>
      <c r="F2354" t="s">
        <v>72</v>
      </c>
      <c r="G2354" s="4">
        <v>3</v>
      </c>
      <c r="H2354" s="4" t="s">
        <v>82</v>
      </c>
      <c r="I2354" s="4" t="s">
        <v>65</v>
      </c>
      <c r="J2354" s="4" t="s">
        <v>66</v>
      </c>
      <c r="K2354" s="4">
        <v>1</v>
      </c>
      <c r="L2354" s="94">
        <v>30021</v>
      </c>
      <c r="M2354" s="94">
        <v>90063</v>
      </c>
    </row>
    <row r="2355" spans="3:13" x14ac:dyDescent="0.3">
      <c r="C2355" t="s">
        <v>61</v>
      </c>
      <c r="D2355" t="s">
        <v>67</v>
      </c>
      <c r="E2355" t="s">
        <v>63</v>
      </c>
      <c r="F2355" t="s">
        <v>72</v>
      </c>
      <c r="G2355" s="4">
        <v>4</v>
      </c>
      <c r="H2355" s="4" t="s">
        <v>86</v>
      </c>
      <c r="I2355" s="4" t="s">
        <v>69</v>
      </c>
      <c r="J2355" s="4" t="s">
        <v>66</v>
      </c>
      <c r="K2355" s="4">
        <v>0</v>
      </c>
      <c r="L2355" s="94">
        <v>-67</v>
      </c>
      <c r="M2355" s="94">
        <v>0</v>
      </c>
    </row>
    <row r="2356" spans="3:13" x14ac:dyDescent="0.3">
      <c r="C2356" t="s">
        <v>61</v>
      </c>
      <c r="D2356" t="s">
        <v>67</v>
      </c>
      <c r="E2356" t="s">
        <v>68</v>
      </c>
      <c r="F2356" t="s">
        <v>25</v>
      </c>
      <c r="G2356" s="4">
        <v>11</v>
      </c>
      <c r="H2356" s="4" t="s">
        <v>16</v>
      </c>
      <c r="I2356" s="4" t="s">
        <v>69</v>
      </c>
      <c r="J2356" s="4" t="s">
        <v>66</v>
      </c>
      <c r="K2356" s="4">
        <v>0</v>
      </c>
      <c r="L2356" s="94">
        <v>275838</v>
      </c>
      <c r="M2356" s="94">
        <v>3034218</v>
      </c>
    </row>
    <row r="2357" spans="3:13" x14ac:dyDescent="0.3">
      <c r="C2357" t="s">
        <v>61</v>
      </c>
      <c r="D2357" t="s">
        <v>67</v>
      </c>
      <c r="E2357" t="s">
        <v>63</v>
      </c>
      <c r="F2357" t="s">
        <v>72</v>
      </c>
      <c r="G2357" s="4">
        <v>0</v>
      </c>
      <c r="H2357" s="4" t="s">
        <v>14</v>
      </c>
      <c r="I2357" s="4" t="s">
        <v>69</v>
      </c>
      <c r="J2357" s="4" t="s">
        <v>66</v>
      </c>
      <c r="K2357" s="4">
        <v>0</v>
      </c>
      <c r="L2357" s="94">
        <v>-3320</v>
      </c>
      <c r="M2357" s="94">
        <v>0</v>
      </c>
    </row>
    <row r="2358" spans="3:13" x14ac:dyDescent="0.3">
      <c r="C2358" t="s">
        <v>70</v>
      </c>
      <c r="D2358" t="s">
        <v>67</v>
      </c>
      <c r="E2358" t="s">
        <v>68</v>
      </c>
      <c r="F2358" t="s">
        <v>72</v>
      </c>
      <c r="G2358" s="4">
        <v>5</v>
      </c>
      <c r="H2358" s="4" t="s">
        <v>14</v>
      </c>
      <c r="I2358" s="4" t="s">
        <v>69</v>
      </c>
      <c r="J2358" s="4" t="s">
        <v>66</v>
      </c>
      <c r="K2358" s="4">
        <v>0</v>
      </c>
      <c r="L2358" s="94">
        <v>735402</v>
      </c>
      <c r="M2358" s="94">
        <v>3677010</v>
      </c>
    </row>
    <row r="2359" spans="3:13" x14ac:dyDescent="0.3">
      <c r="C2359" t="s">
        <v>70</v>
      </c>
      <c r="D2359" t="s">
        <v>67</v>
      </c>
      <c r="E2359" t="s">
        <v>68</v>
      </c>
      <c r="F2359" t="s">
        <v>25</v>
      </c>
      <c r="G2359" s="4">
        <v>10</v>
      </c>
      <c r="H2359" s="4" t="s">
        <v>82</v>
      </c>
      <c r="I2359" s="4" t="s">
        <v>69</v>
      </c>
      <c r="J2359" s="4" t="s">
        <v>66</v>
      </c>
      <c r="K2359" s="4">
        <v>0</v>
      </c>
      <c r="L2359" s="94">
        <v>272831</v>
      </c>
      <c r="M2359" s="94">
        <v>2728310</v>
      </c>
    </row>
    <row r="2360" spans="3:13" x14ac:dyDescent="0.3">
      <c r="C2360" t="s">
        <v>61</v>
      </c>
      <c r="D2360" t="s">
        <v>67</v>
      </c>
      <c r="E2360" t="s">
        <v>68</v>
      </c>
      <c r="F2360" t="s">
        <v>25</v>
      </c>
      <c r="G2360" s="4">
        <v>17</v>
      </c>
      <c r="H2360" s="4" t="s">
        <v>17</v>
      </c>
      <c r="I2360" s="4" t="s">
        <v>69</v>
      </c>
      <c r="J2360" s="4" t="s">
        <v>66</v>
      </c>
      <c r="K2360" s="4">
        <v>0</v>
      </c>
      <c r="L2360" s="94">
        <v>10143683</v>
      </c>
      <c r="M2360" s="94">
        <v>172442611</v>
      </c>
    </row>
    <row r="2361" spans="3:13" x14ac:dyDescent="0.3">
      <c r="C2361" t="s">
        <v>61</v>
      </c>
      <c r="D2361" t="s">
        <v>67</v>
      </c>
      <c r="E2361" t="s">
        <v>63</v>
      </c>
      <c r="F2361" t="s">
        <v>25</v>
      </c>
      <c r="G2361" s="4">
        <v>4</v>
      </c>
      <c r="H2361" s="4" t="s">
        <v>14</v>
      </c>
      <c r="I2361" s="4" t="s">
        <v>69</v>
      </c>
      <c r="J2361" s="4" t="s">
        <v>66</v>
      </c>
      <c r="K2361" s="4">
        <v>1</v>
      </c>
      <c r="L2361" s="94">
        <v>-6050</v>
      </c>
      <c r="M2361" s="94">
        <v>0</v>
      </c>
    </row>
    <row r="2362" spans="3:13" x14ac:dyDescent="0.3">
      <c r="C2362" t="s">
        <v>61</v>
      </c>
      <c r="D2362" t="s">
        <v>67</v>
      </c>
      <c r="E2362" t="s">
        <v>63</v>
      </c>
      <c r="F2362" t="s">
        <v>72</v>
      </c>
      <c r="G2362" s="4">
        <v>7</v>
      </c>
      <c r="H2362" s="4" t="s">
        <v>18</v>
      </c>
      <c r="I2362" s="4" t="s">
        <v>69</v>
      </c>
      <c r="J2362" s="4" t="s">
        <v>66</v>
      </c>
      <c r="K2362" s="4">
        <v>0</v>
      </c>
      <c r="L2362" s="94">
        <v>-2886</v>
      </c>
      <c r="M2362" s="94">
        <v>0</v>
      </c>
    </row>
    <row r="2363" spans="3:13" x14ac:dyDescent="0.3">
      <c r="C2363" t="s">
        <v>61</v>
      </c>
      <c r="D2363" t="s">
        <v>67</v>
      </c>
      <c r="E2363" t="s">
        <v>68</v>
      </c>
      <c r="F2363" t="s">
        <v>25</v>
      </c>
      <c r="G2363" s="4">
        <v>2</v>
      </c>
      <c r="H2363" s="4" t="s">
        <v>79</v>
      </c>
      <c r="I2363" s="4" t="s">
        <v>65</v>
      </c>
      <c r="J2363" s="4" t="s">
        <v>66</v>
      </c>
      <c r="K2363" s="4">
        <v>1</v>
      </c>
      <c r="L2363" s="94">
        <v>39066</v>
      </c>
      <c r="M2363" s="94">
        <v>78132</v>
      </c>
    </row>
    <row r="2364" spans="3:13" x14ac:dyDescent="0.3">
      <c r="C2364" t="s">
        <v>70</v>
      </c>
      <c r="D2364" t="s">
        <v>67</v>
      </c>
      <c r="E2364" t="s">
        <v>68</v>
      </c>
      <c r="F2364" t="s">
        <v>26</v>
      </c>
      <c r="G2364" s="4">
        <v>-1</v>
      </c>
      <c r="H2364" s="4" t="s">
        <v>17</v>
      </c>
      <c r="I2364" s="4" t="s">
        <v>65</v>
      </c>
      <c r="J2364" s="4" t="s">
        <v>73</v>
      </c>
      <c r="K2364" s="4">
        <v>1</v>
      </c>
      <c r="L2364" s="94">
        <v>687758</v>
      </c>
      <c r="M2364" s="94">
        <v>0</v>
      </c>
    </row>
    <row r="2365" spans="3:13" x14ac:dyDescent="0.3">
      <c r="C2365" t="s">
        <v>70</v>
      </c>
      <c r="D2365" t="s">
        <v>67</v>
      </c>
      <c r="E2365" t="s">
        <v>63</v>
      </c>
      <c r="F2365" t="s">
        <v>26</v>
      </c>
      <c r="G2365" s="4">
        <v>7</v>
      </c>
      <c r="H2365" s="4" t="s">
        <v>74</v>
      </c>
      <c r="I2365" s="4" t="s">
        <v>69</v>
      </c>
      <c r="J2365" s="4" t="s">
        <v>66</v>
      </c>
      <c r="K2365" s="4">
        <v>0</v>
      </c>
      <c r="L2365" s="94">
        <v>-76684</v>
      </c>
      <c r="M2365" s="94">
        <v>0</v>
      </c>
    </row>
    <row r="2366" spans="3:13" x14ac:dyDescent="0.3">
      <c r="C2366" t="s">
        <v>70</v>
      </c>
      <c r="D2366" t="s">
        <v>67</v>
      </c>
      <c r="E2366" t="s">
        <v>68</v>
      </c>
      <c r="F2366" t="s">
        <v>26</v>
      </c>
      <c r="G2366" s="4">
        <v>3</v>
      </c>
      <c r="H2366" s="4" t="s">
        <v>80</v>
      </c>
      <c r="I2366" s="4" t="s">
        <v>69</v>
      </c>
      <c r="J2366" s="4" t="s">
        <v>66</v>
      </c>
      <c r="K2366" s="4">
        <v>0</v>
      </c>
      <c r="L2366" s="94">
        <v>927731</v>
      </c>
      <c r="M2366" s="94">
        <v>2783193</v>
      </c>
    </row>
    <row r="2367" spans="3:13" x14ac:dyDescent="0.3">
      <c r="C2367" t="s">
        <v>61</v>
      </c>
      <c r="D2367" t="s">
        <v>67</v>
      </c>
      <c r="E2367" t="s">
        <v>68</v>
      </c>
      <c r="F2367" t="s">
        <v>25</v>
      </c>
      <c r="G2367" s="4">
        <v>5</v>
      </c>
      <c r="H2367" s="4" t="s">
        <v>83</v>
      </c>
      <c r="I2367" s="4" t="s">
        <v>69</v>
      </c>
      <c r="J2367" s="4" t="s">
        <v>66</v>
      </c>
      <c r="K2367" s="4">
        <v>0</v>
      </c>
      <c r="L2367" s="94">
        <v>207769</v>
      </c>
      <c r="M2367" s="94">
        <v>1038845</v>
      </c>
    </row>
    <row r="2368" spans="3:13" x14ac:dyDescent="0.3">
      <c r="C2368" t="s">
        <v>71</v>
      </c>
      <c r="D2368" t="s">
        <v>67</v>
      </c>
      <c r="E2368" t="s">
        <v>68</v>
      </c>
      <c r="F2368" t="s">
        <v>25</v>
      </c>
      <c r="G2368" s="4">
        <v>9</v>
      </c>
      <c r="H2368" s="4" t="s">
        <v>14</v>
      </c>
      <c r="I2368" s="4" t="s">
        <v>69</v>
      </c>
      <c r="J2368" s="4" t="s">
        <v>66</v>
      </c>
      <c r="K2368" s="4">
        <v>0</v>
      </c>
      <c r="L2368" s="94">
        <v>21124</v>
      </c>
      <c r="M2368" s="94">
        <v>190116</v>
      </c>
    </row>
    <row r="2369" spans="3:13" x14ac:dyDescent="0.3">
      <c r="C2369" t="s">
        <v>61</v>
      </c>
      <c r="D2369" t="s">
        <v>67</v>
      </c>
      <c r="E2369" t="s">
        <v>63</v>
      </c>
      <c r="F2369" t="s">
        <v>26</v>
      </c>
      <c r="G2369" s="4">
        <v>1</v>
      </c>
      <c r="H2369" s="4" t="s">
        <v>13</v>
      </c>
      <c r="I2369" s="4" t="s">
        <v>69</v>
      </c>
      <c r="J2369" s="4" t="s">
        <v>73</v>
      </c>
      <c r="K2369" s="4">
        <v>1</v>
      </c>
      <c r="L2369" s="94">
        <v>-1645</v>
      </c>
      <c r="M2369" s="94">
        <v>0</v>
      </c>
    </row>
    <row r="2370" spans="3:13" x14ac:dyDescent="0.3">
      <c r="C2370" t="s">
        <v>70</v>
      </c>
      <c r="D2370" t="s">
        <v>67</v>
      </c>
      <c r="E2370" t="s">
        <v>63</v>
      </c>
      <c r="F2370" t="s">
        <v>26</v>
      </c>
      <c r="G2370" s="4">
        <v>3</v>
      </c>
      <c r="H2370" s="4" t="s">
        <v>75</v>
      </c>
      <c r="I2370" s="4" t="s">
        <v>65</v>
      </c>
      <c r="J2370" s="4" t="s">
        <v>66</v>
      </c>
      <c r="K2370" s="4">
        <v>1</v>
      </c>
      <c r="L2370" s="94">
        <v>-3195</v>
      </c>
      <c r="M2370" s="94">
        <v>0</v>
      </c>
    </row>
    <row r="2371" spans="3:13" x14ac:dyDescent="0.3">
      <c r="C2371" t="s">
        <v>70</v>
      </c>
      <c r="D2371" t="s">
        <v>67</v>
      </c>
      <c r="E2371" t="s">
        <v>68</v>
      </c>
      <c r="F2371" t="s">
        <v>26</v>
      </c>
      <c r="G2371" s="4">
        <v>12</v>
      </c>
      <c r="H2371" s="4" t="s">
        <v>74</v>
      </c>
      <c r="I2371" s="4" t="s">
        <v>69</v>
      </c>
      <c r="J2371" s="4" t="s">
        <v>66</v>
      </c>
      <c r="K2371" s="4">
        <v>0</v>
      </c>
      <c r="L2371" s="94">
        <v>4126180</v>
      </c>
      <c r="M2371" s="94">
        <v>49514160</v>
      </c>
    </row>
    <row r="2372" spans="3:13" x14ac:dyDescent="0.3">
      <c r="C2372" t="s">
        <v>61</v>
      </c>
      <c r="D2372" t="s">
        <v>67</v>
      </c>
      <c r="E2372" t="s">
        <v>63</v>
      </c>
      <c r="F2372" t="s">
        <v>72</v>
      </c>
      <c r="G2372" s="4">
        <v>3</v>
      </c>
      <c r="H2372" s="4" t="s">
        <v>86</v>
      </c>
      <c r="I2372" s="4" t="s">
        <v>69</v>
      </c>
      <c r="J2372" s="4" t="s">
        <v>66</v>
      </c>
      <c r="K2372" s="4">
        <v>0</v>
      </c>
      <c r="L2372" s="94">
        <v>-26</v>
      </c>
      <c r="M2372" s="94">
        <v>0</v>
      </c>
    </row>
    <row r="2373" spans="3:13" x14ac:dyDescent="0.3">
      <c r="C2373" t="s">
        <v>71</v>
      </c>
      <c r="D2373" t="s">
        <v>62</v>
      </c>
      <c r="E2373" t="s">
        <v>63</v>
      </c>
      <c r="F2373" t="s">
        <v>24</v>
      </c>
      <c r="G2373" s="4">
        <v>6</v>
      </c>
      <c r="I2373" s="4" t="s">
        <v>69</v>
      </c>
      <c r="J2373" s="4" t="s">
        <v>66</v>
      </c>
      <c r="K2373" s="4">
        <v>0</v>
      </c>
      <c r="L2373" s="94">
        <v>-644755</v>
      </c>
      <c r="M2373" s="94">
        <v>0</v>
      </c>
    </row>
    <row r="2374" spans="3:13" x14ac:dyDescent="0.3">
      <c r="C2374" t="s">
        <v>70</v>
      </c>
      <c r="D2374" t="s">
        <v>67</v>
      </c>
      <c r="E2374" t="s">
        <v>68</v>
      </c>
      <c r="F2374" t="s">
        <v>72</v>
      </c>
      <c r="G2374" s="4">
        <v>0</v>
      </c>
      <c r="H2374" s="4" t="s">
        <v>18</v>
      </c>
      <c r="I2374" s="4" t="s">
        <v>69</v>
      </c>
      <c r="J2374" s="4" t="s">
        <v>66</v>
      </c>
      <c r="K2374" s="4">
        <v>0</v>
      </c>
      <c r="L2374" s="94">
        <v>124583</v>
      </c>
      <c r="M2374" s="94">
        <v>0</v>
      </c>
    </row>
    <row r="2375" spans="3:13" x14ac:dyDescent="0.3">
      <c r="C2375" t="s">
        <v>70</v>
      </c>
      <c r="D2375" t="s">
        <v>62</v>
      </c>
      <c r="E2375" t="s">
        <v>63</v>
      </c>
      <c r="F2375" t="s">
        <v>24</v>
      </c>
      <c r="G2375" s="4">
        <v>28</v>
      </c>
      <c r="I2375" s="4" t="s">
        <v>69</v>
      </c>
      <c r="J2375" s="4" t="s">
        <v>66</v>
      </c>
      <c r="K2375" s="4">
        <v>0</v>
      </c>
      <c r="L2375" s="94">
        <v>-1378731</v>
      </c>
      <c r="M2375" s="94">
        <v>0</v>
      </c>
    </row>
    <row r="2376" spans="3:13" x14ac:dyDescent="0.3">
      <c r="C2376" t="s">
        <v>61</v>
      </c>
      <c r="D2376" t="s">
        <v>67</v>
      </c>
      <c r="E2376" t="s">
        <v>68</v>
      </c>
      <c r="F2376" t="s">
        <v>25</v>
      </c>
      <c r="G2376" s="4">
        <v>-4</v>
      </c>
      <c r="H2376" s="4" t="s">
        <v>80</v>
      </c>
      <c r="I2376" s="4" t="s">
        <v>69</v>
      </c>
      <c r="J2376" s="4" t="s">
        <v>66</v>
      </c>
      <c r="K2376" s="4">
        <v>0</v>
      </c>
      <c r="L2376" s="94">
        <v>25203</v>
      </c>
      <c r="M2376" s="94">
        <v>0</v>
      </c>
    </row>
    <row r="2377" spans="3:13" x14ac:dyDescent="0.3">
      <c r="C2377" t="s">
        <v>70</v>
      </c>
      <c r="D2377" t="s">
        <v>67</v>
      </c>
      <c r="E2377" t="s">
        <v>63</v>
      </c>
      <c r="F2377" t="s">
        <v>72</v>
      </c>
      <c r="G2377" s="4">
        <v>4</v>
      </c>
      <c r="H2377" s="4" t="s">
        <v>79</v>
      </c>
      <c r="I2377" s="4" t="s">
        <v>69</v>
      </c>
      <c r="J2377" s="4" t="s">
        <v>66</v>
      </c>
      <c r="K2377" s="4">
        <v>0</v>
      </c>
      <c r="L2377" s="94">
        <v>-67757</v>
      </c>
      <c r="M2377" s="94">
        <v>0</v>
      </c>
    </row>
    <row r="2378" spans="3:13" x14ac:dyDescent="0.3">
      <c r="C2378" t="s">
        <v>61</v>
      </c>
      <c r="D2378" t="s">
        <v>67</v>
      </c>
      <c r="E2378" t="s">
        <v>68</v>
      </c>
      <c r="F2378" t="s">
        <v>25</v>
      </c>
      <c r="G2378" s="4">
        <v>9</v>
      </c>
      <c r="H2378" s="4" t="s">
        <v>16</v>
      </c>
      <c r="I2378" s="4" t="s">
        <v>69</v>
      </c>
      <c r="J2378" s="4" t="s">
        <v>66</v>
      </c>
      <c r="K2378" s="4">
        <v>0</v>
      </c>
      <c r="L2378" s="94">
        <v>107285</v>
      </c>
      <c r="M2378" s="94">
        <v>965565</v>
      </c>
    </row>
    <row r="2379" spans="3:13" x14ac:dyDescent="0.3">
      <c r="C2379" t="s">
        <v>70</v>
      </c>
      <c r="D2379" t="s">
        <v>67</v>
      </c>
      <c r="E2379" t="s">
        <v>63</v>
      </c>
      <c r="F2379" t="s">
        <v>25</v>
      </c>
      <c r="G2379" s="4">
        <v>2</v>
      </c>
      <c r="H2379" s="4" t="s">
        <v>74</v>
      </c>
      <c r="I2379" s="4" t="s">
        <v>69</v>
      </c>
      <c r="J2379" s="4" t="s">
        <v>66</v>
      </c>
      <c r="K2379" s="4">
        <v>0</v>
      </c>
      <c r="L2379" s="94">
        <v>-403</v>
      </c>
      <c r="M2379" s="94">
        <v>0</v>
      </c>
    </row>
    <row r="2380" spans="3:13" x14ac:dyDescent="0.3">
      <c r="C2380" t="s">
        <v>61</v>
      </c>
      <c r="D2380" t="s">
        <v>67</v>
      </c>
      <c r="E2380" t="s">
        <v>63</v>
      </c>
      <c r="F2380" t="s">
        <v>26</v>
      </c>
      <c r="G2380" s="4">
        <v>4</v>
      </c>
      <c r="H2380" s="4" t="s">
        <v>12</v>
      </c>
      <c r="I2380" s="4" t="s">
        <v>69</v>
      </c>
      <c r="J2380" s="4" t="s">
        <v>73</v>
      </c>
      <c r="K2380" s="4">
        <v>1</v>
      </c>
      <c r="L2380" s="94">
        <v>-20326</v>
      </c>
      <c r="M2380" s="94">
        <v>0</v>
      </c>
    </row>
    <row r="2381" spans="3:13" x14ac:dyDescent="0.3">
      <c r="C2381" t="s">
        <v>70</v>
      </c>
      <c r="D2381" t="s">
        <v>62</v>
      </c>
      <c r="E2381" t="s">
        <v>63</v>
      </c>
      <c r="F2381" t="s">
        <v>24</v>
      </c>
      <c r="G2381" s="4">
        <v>9</v>
      </c>
      <c r="I2381" s="4" t="s">
        <v>65</v>
      </c>
      <c r="J2381" s="4" t="s">
        <v>66</v>
      </c>
      <c r="K2381" s="4">
        <v>1</v>
      </c>
      <c r="L2381" s="94">
        <v>-2431</v>
      </c>
      <c r="M2381" s="94">
        <v>0</v>
      </c>
    </row>
    <row r="2382" spans="3:13" x14ac:dyDescent="0.3">
      <c r="C2382" t="s">
        <v>70</v>
      </c>
      <c r="D2382" t="s">
        <v>67</v>
      </c>
      <c r="E2382" t="s">
        <v>68</v>
      </c>
      <c r="F2382" t="s">
        <v>25</v>
      </c>
      <c r="G2382" s="4">
        <v>8</v>
      </c>
      <c r="H2382" s="4" t="s">
        <v>82</v>
      </c>
      <c r="I2382" s="4" t="s">
        <v>69</v>
      </c>
      <c r="J2382" s="4" t="s">
        <v>66</v>
      </c>
      <c r="K2382" s="4">
        <v>0</v>
      </c>
      <c r="L2382" s="94">
        <v>269071</v>
      </c>
      <c r="M2382" s="94">
        <v>2152568</v>
      </c>
    </row>
    <row r="2383" spans="3:13" x14ac:dyDescent="0.3">
      <c r="C2383" t="s">
        <v>61</v>
      </c>
      <c r="D2383" t="s">
        <v>67</v>
      </c>
      <c r="E2383" t="s">
        <v>68</v>
      </c>
      <c r="F2383" t="s">
        <v>26</v>
      </c>
      <c r="G2383" s="4">
        <v>0</v>
      </c>
      <c r="H2383" s="4" t="s">
        <v>75</v>
      </c>
      <c r="I2383" s="4" t="s">
        <v>65</v>
      </c>
      <c r="J2383" s="4" t="s">
        <v>66</v>
      </c>
      <c r="K2383" s="4">
        <v>1</v>
      </c>
      <c r="L2383" s="94">
        <v>5153</v>
      </c>
      <c r="M2383" s="94">
        <v>0</v>
      </c>
    </row>
    <row r="2384" spans="3:13" x14ac:dyDescent="0.3">
      <c r="C2384" t="s">
        <v>71</v>
      </c>
      <c r="D2384" t="s">
        <v>62</v>
      </c>
      <c r="E2384" t="s">
        <v>68</v>
      </c>
      <c r="F2384" t="s">
        <v>24</v>
      </c>
      <c r="G2384" s="4">
        <v>7</v>
      </c>
      <c r="I2384" s="4" t="s">
        <v>65</v>
      </c>
      <c r="J2384" s="4" t="s">
        <v>66</v>
      </c>
      <c r="K2384" s="4">
        <v>1</v>
      </c>
      <c r="L2384" s="94">
        <v>3739</v>
      </c>
      <c r="M2384" s="94">
        <v>26173</v>
      </c>
    </row>
    <row r="2385" spans="3:13" x14ac:dyDescent="0.3">
      <c r="C2385" t="s">
        <v>71</v>
      </c>
      <c r="D2385" t="s">
        <v>62</v>
      </c>
      <c r="E2385" t="s">
        <v>68</v>
      </c>
      <c r="F2385" t="s">
        <v>24</v>
      </c>
      <c r="G2385" s="4">
        <v>35</v>
      </c>
      <c r="I2385" s="4" t="s">
        <v>69</v>
      </c>
      <c r="J2385" s="4" t="s">
        <v>66</v>
      </c>
      <c r="K2385" s="4">
        <v>0</v>
      </c>
      <c r="L2385" s="94">
        <v>8358017</v>
      </c>
      <c r="M2385" s="94">
        <v>292530595</v>
      </c>
    </row>
    <row r="2386" spans="3:13" x14ac:dyDescent="0.3">
      <c r="C2386" t="s">
        <v>61</v>
      </c>
      <c r="D2386" t="s">
        <v>67</v>
      </c>
      <c r="E2386" t="s">
        <v>68</v>
      </c>
      <c r="F2386" t="s">
        <v>26</v>
      </c>
      <c r="G2386" s="4">
        <v>3</v>
      </c>
      <c r="H2386" s="4" t="s">
        <v>18</v>
      </c>
      <c r="I2386" s="4" t="s">
        <v>65</v>
      </c>
      <c r="J2386" s="4" t="s">
        <v>66</v>
      </c>
      <c r="K2386" s="4">
        <v>1</v>
      </c>
      <c r="L2386" s="94">
        <v>271204</v>
      </c>
      <c r="M2386" s="94">
        <v>813612</v>
      </c>
    </row>
    <row r="2387" spans="3:13" x14ac:dyDescent="0.3">
      <c r="C2387" t="s">
        <v>61</v>
      </c>
      <c r="D2387" t="s">
        <v>67</v>
      </c>
      <c r="E2387" t="s">
        <v>63</v>
      </c>
      <c r="F2387" t="s">
        <v>26</v>
      </c>
      <c r="G2387" s="4">
        <v>5</v>
      </c>
      <c r="H2387" s="4" t="s">
        <v>82</v>
      </c>
      <c r="I2387" s="4" t="s">
        <v>69</v>
      </c>
      <c r="J2387" s="4" t="s">
        <v>66</v>
      </c>
      <c r="K2387" s="4">
        <v>0</v>
      </c>
      <c r="L2387" s="94">
        <v>-73053</v>
      </c>
      <c r="M2387" s="94">
        <v>0</v>
      </c>
    </row>
    <row r="2388" spans="3:13" x14ac:dyDescent="0.3">
      <c r="C2388" t="s">
        <v>71</v>
      </c>
      <c r="D2388" t="s">
        <v>67</v>
      </c>
      <c r="E2388" t="s">
        <v>68</v>
      </c>
      <c r="F2388" t="s">
        <v>25</v>
      </c>
      <c r="G2388" s="4">
        <v>12</v>
      </c>
      <c r="H2388" s="4" t="s">
        <v>76</v>
      </c>
      <c r="I2388" s="4" t="s">
        <v>69</v>
      </c>
      <c r="J2388" s="4" t="s">
        <v>66</v>
      </c>
      <c r="K2388" s="4">
        <v>0</v>
      </c>
      <c r="L2388" s="94">
        <v>78949</v>
      </c>
      <c r="M2388" s="94">
        <v>947388</v>
      </c>
    </row>
    <row r="2389" spans="3:13" x14ac:dyDescent="0.3">
      <c r="C2389" t="s">
        <v>70</v>
      </c>
      <c r="D2389" t="s">
        <v>67</v>
      </c>
      <c r="E2389" t="s">
        <v>68</v>
      </c>
      <c r="F2389" t="s">
        <v>72</v>
      </c>
      <c r="G2389" s="4">
        <v>5</v>
      </c>
      <c r="H2389" s="4" t="s">
        <v>12</v>
      </c>
      <c r="I2389" s="4" t="s">
        <v>65</v>
      </c>
      <c r="J2389" s="4" t="s">
        <v>73</v>
      </c>
      <c r="K2389" s="4">
        <v>1</v>
      </c>
      <c r="L2389" s="94">
        <v>58476</v>
      </c>
      <c r="M2389" s="94">
        <v>292380</v>
      </c>
    </row>
    <row r="2390" spans="3:13" x14ac:dyDescent="0.3">
      <c r="C2390" t="s">
        <v>70</v>
      </c>
      <c r="D2390" t="s">
        <v>67</v>
      </c>
      <c r="E2390" t="s">
        <v>68</v>
      </c>
      <c r="F2390" t="s">
        <v>26</v>
      </c>
      <c r="G2390" s="4">
        <v>5</v>
      </c>
      <c r="H2390" s="4" t="s">
        <v>14</v>
      </c>
      <c r="I2390" s="4" t="s">
        <v>69</v>
      </c>
      <c r="J2390" s="4" t="s">
        <v>66</v>
      </c>
      <c r="K2390" s="4">
        <v>0</v>
      </c>
      <c r="L2390" s="94">
        <v>2842520</v>
      </c>
      <c r="M2390" s="94">
        <v>14212600</v>
      </c>
    </row>
    <row r="2391" spans="3:13" x14ac:dyDescent="0.3">
      <c r="C2391" t="s">
        <v>71</v>
      </c>
      <c r="D2391" t="s">
        <v>67</v>
      </c>
      <c r="E2391" t="s">
        <v>68</v>
      </c>
      <c r="F2391" t="s">
        <v>72</v>
      </c>
      <c r="G2391" s="4">
        <v>9</v>
      </c>
      <c r="H2391" s="4" t="s">
        <v>13</v>
      </c>
      <c r="I2391" s="4" t="s">
        <v>69</v>
      </c>
      <c r="J2391" s="4" t="s">
        <v>73</v>
      </c>
      <c r="K2391" s="4">
        <v>1</v>
      </c>
      <c r="L2391" s="94">
        <v>194934</v>
      </c>
      <c r="M2391" s="94">
        <v>1754406</v>
      </c>
    </row>
    <row r="2392" spans="3:13" x14ac:dyDescent="0.3">
      <c r="C2392" t="s">
        <v>61</v>
      </c>
      <c r="D2392" t="s">
        <v>67</v>
      </c>
      <c r="E2392" t="s">
        <v>68</v>
      </c>
      <c r="F2392" t="s">
        <v>25</v>
      </c>
      <c r="G2392" s="4">
        <v>2</v>
      </c>
      <c r="H2392" s="4" t="s">
        <v>82</v>
      </c>
      <c r="I2392" s="4" t="s">
        <v>69</v>
      </c>
      <c r="J2392" s="4" t="s">
        <v>66</v>
      </c>
      <c r="K2392" s="4">
        <v>0</v>
      </c>
      <c r="L2392" s="94">
        <v>117432</v>
      </c>
      <c r="M2392" s="94">
        <v>234864</v>
      </c>
    </row>
    <row r="2393" spans="3:13" x14ac:dyDescent="0.3">
      <c r="C2393" t="s">
        <v>61</v>
      </c>
      <c r="D2393" t="s">
        <v>67</v>
      </c>
      <c r="E2393" t="s">
        <v>63</v>
      </c>
      <c r="F2393" t="s">
        <v>72</v>
      </c>
      <c r="G2393" s="4">
        <v>4</v>
      </c>
      <c r="H2393" s="4" t="s">
        <v>79</v>
      </c>
      <c r="I2393" s="4" t="s">
        <v>69</v>
      </c>
      <c r="J2393" s="4" t="s">
        <v>66</v>
      </c>
      <c r="K2393" s="4">
        <v>0</v>
      </c>
      <c r="L2393" s="94">
        <v>-21919</v>
      </c>
      <c r="M2393" s="94">
        <v>0</v>
      </c>
    </row>
    <row r="2394" spans="3:13" x14ac:dyDescent="0.3">
      <c r="C2394" t="s">
        <v>70</v>
      </c>
      <c r="D2394" t="s">
        <v>62</v>
      </c>
      <c r="E2394" t="s">
        <v>63</v>
      </c>
      <c r="F2394" t="s">
        <v>24</v>
      </c>
      <c r="G2394" s="4">
        <v>6</v>
      </c>
      <c r="I2394" s="4" t="s">
        <v>69</v>
      </c>
      <c r="J2394" s="4" t="s">
        <v>66</v>
      </c>
      <c r="K2394" s="4">
        <v>0</v>
      </c>
      <c r="L2394" s="94">
        <v>-263951</v>
      </c>
      <c r="M2394" s="94">
        <v>0</v>
      </c>
    </row>
    <row r="2395" spans="3:13" x14ac:dyDescent="0.3">
      <c r="C2395" t="s">
        <v>61</v>
      </c>
      <c r="D2395" t="s">
        <v>67</v>
      </c>
      <c r="E2395" t="s">
        <v>63</v>
      </c>
      <c r="F2395" t="s">
        <v>26</v>
      </c>
      <c r="G2395" s="4">
        <v>-1</v>
      </c>
      <c r="H2395" s="4" t="s">
        <v>82</v>
      </c>
      <c r="I2395" s="4" t="s">
        <v>69</v>
      </c>
      <c r="J2395" s="4" t="s">
        <v>73</v>
      </c>
      <c r="K2395" s="4">
        <v>1</v>
      </c>
      <c r="L2395" s="94">
        <v>-202</v>
      </c>
      <c r="M2395" s="94">
        <v>0</v>
      </c>
    </row>
    <row r="2396" spans="3:13" x14ac:dyDescent="0.3">
      <c r="C2396" t="s">
        <v>70</v>
      </c>
      <c r="D2396" t="s">
        <v>67</v>
      </c>
      <c r="E2396" t="s">
        <v>63</v>
      </c>
      <c r="F2396" t="s">
        <v>26</v>
      </c>
      <c r="G2396" s="4">
        <v>1</v>
      </c>
      <c r="H2396" s="4" t="s">
        <v>14</v>
      </c>
      <c r="I2396" s="4" t="s">
        <v>65</v>
      </c>
      <c r="J2396" s="4" t="s">
        <v>73</v>
      </c>
      <c r="K2396" s="4">
        <v>1</v>
      </c>
      <c r="L2396" s="94">
        <v>-500</v>
      </c>
      <c r="M2396" s="94">
        <v>0</v>
      </c>
    </row>
    <row r="2397" spans="3:13" x14ac:dyDescent="0.3">
      <c r="C2397" t="s">
        <v>70</v>
      </c>
      <c r="D2397" t="s">
        <v>67</v>
      </c>
      <c r="E2397" t="s">
        <v>63</v>
      </c>
      <c r="F2397" t="s">
        <v>26</v>
      </c>
      <c r="G2397" s="4">
        <v>7</v>
      </c>
      <c r="H2397" s="4" t="s">
        <v>80</v>
      </c>
      <c r="I2397" s="4" t="s">
        <v>69</v>
      </c>
      <c r="J2397" s="4" t="s">
        <v>66</v>
      </c>
      <c r="K2397" s="4">
        <v>0</v>
      </c>
      <c r="L2397" s="94">
        <v>-4010</v>
      </c>
      <c r="M2397" s="94">
        <v>0</v>
      </c>
    </row>
    <row r="2398" spans="3:13" x14ac:dyDescent="0.3">
      <c r="C2398" t="s">
        <v>71</v>
      </c>
      <c r="D2398" t="s">
        <v>67</v>
      </c>
      <c r="E2398" t="s">
        <v>68</v>
      </c>
      <c r="F2398" t="s">
        <v>26</v>
      </c>
      <c r="G2398" s="4">
        <v>-1</v>
      </c>
      <c r="H2398" s="4" t="s">
        <v>82</v>
      </c>
      <c r="I2398" s="4" t="s">
        <v>69</v>
      </c>
      <c r="J2398" s="4" t="s">
        <v>73</v>
      </c>
      <c r="K2398" s="4">
        <v>1</v>
      </c>
      <c r="L2398" s="94">
        <v>2754</v>
      </c>
      <c r="M2398" s="94">
        <v>0</v>
      </c>
    </row>
    <row r="2399" spans="3:13" x14ac:dyDescent="0.3">
      <c r="C2399" t="s">
        <v>71</v>
      </c>
      <c r="D2399" t="s">
        <v>62</v>
      </c>
      <c r="E2399" t="s">
        <v>68</v>
      </c>
      <c r="F2399" t="s">
        <v>24</v>
      </c>
      <c r="G2399" s="4">
        <v>12</v>
      </c>
      <c r="I2399" s="4" t="s">
        <v>69</v>
      </c>
      <c r="J2399" s="4" t="s">
        <v>66</v>
      </c>
      <c r="K2399" s="4">
        <v>0</v>
      </c>
      <c r="L2399" s="94">
        <v>4177489</v>
      </c>
      <c r="M2399" s="94">
        <v>50129868</v>
      </c>
    </row>
    <row r="2400" spans="3:13" x14ac:dyDescent="0.3">
      <c r="C2400" t="s">
        <v>71</v>
      </c>
      <c r="D2400" t="s">
        <v>67</v>
      </c>
      <c r="E2400" t="s">
        <v>68</v>
      </c>
      <c r="F2400" t="s">
        <v>25</v>
      </c>
      <c r="G2400" s="4">
        <v>-4</v>
      </c>
      <c r="H2400" s="4" t="s">
        <v>81</v>
      </c>
      <c r="I2400" s="4" t="s">
        <v>69</v>
      </c>
      <c r="J2400" s="4" t="s">
        <v>66</v>
      </c>
      <c r="K2400" s="4">
        <v>0</v>
      </c>
      <c r="L2400" s="94">
        <v>430</v>
      </c>
      <c r="M2400" s="94">
        <v>0</v>
      </c>
    </row>
    <row r="2401" spans="3:13" x14ac:dyDescent="0.3">
      <c r="C2401" t="s">
        <v>61</v>
      </c>
      <c r="D2401" t="s">
        <v>67</v>
      </c>
      <c r="E2401" t="s">
        <v>68</v>
      </c>
      <c r="F2401" t="s">
        <v>25</v>
      </c>
      <c r="G2401" s="4">
        <v>5</v>
      </c>
      <c r="H2401" s="4" t="s">
        <v>75</v>
      </c>
      <c r="I2401" s="4" t="s">
        <v>69</v>
      </c>
      <c r="J2401" s="4" t="s">
        <v>66</v>
      </c>
      <c r="K2401" s="4">
        <v>0</v>
      </c>
      <c r="L2401" s="94">
        <v>42125108</v>
      </c>
      <c r="M2401" s="94">
        <v>210625540</v>
      </c>
    </row>
    <row r="2402" spans="3:13" x14ac:dyDescent="0.3">
      <c r="C2402" t="s">
        <v>70</v>
      </c>
      <c r="D2402" t="s">
        <v>67</v>
      </c>
      <c r="E2402" t="s">
        <v>68</v>
      </c>
      <c r="F2402" t="s">
        <v>25</v>
      </c>
      <c r="G2402" s="4">
        <v>16</v>
      </c>
      <c r="H2402" s="4" t="s">
        <v>83</v>
      </c>
      <c r="I2402" s="4" t="s">
        <v>69</v>
      </c>
      <c r="J2402" s="4" t="s">
        <v>66</v>
      </c>
      <c r="K2402" s="4">
        <v>0</v>
      </c>
      <c r="L2402" s="94">
        <v>34731</v>
      </c>
      <c r="M2402" s="94">
        <v>555696</v>
      </c>
    </row>
    <row r="2403" spans="3:13" x14ac:dyDescent="0.3">
      <c r="C2403" t="s">
        <v>70</v>
      </c>
      <c r="D2403" t="s">
        <v>67</v>
      </c>
      <c r="E2403" t="s">
        <v>68</v>
      </c>
      <c r="F2403" t="s">
        <v>72</v>
      </c>
      <c r="G2403" s="4">
        <v>-4</v>
      </c>
      <c r="H2403" s="4" t="s">
        <v>64</v>
      </c>
      <c r="I2403" s="4" t="s">
        <v>69</v>
      </c>
      <c r="J2403" s="4" t="s">
        <v>66</v>
      </c>
      <c r="K2403" s="4">
        <v>0</v>
      </c>
      <c r="L2403" s="94">
        <v>10898</v>
      </c>
      <c r="M2403" s="94">
        <v>0</v>
      </c>
    </row>
    <row r="2404" spans="3:13" x14ac:dyDescent="0.3">
      <c r="C2404" t="s">
        <v>70</v>
      </c>
      <c r="D2404" t="s">
        <v>62</v>
      </c>
      <c r="E2404" t="s">
        <v>68</v>
      </c>
      <c r="F2404" t="s">
        <v>25</v>
      </c>
      <c r="G2404" s="4">
        <v>19</v>
      </c>
      <c r="I2404" s="4" t="s">
        <v>69</v>
      </c>
      <c r="J2404" s="4" t="s">
        <v>66</v>
      </c>
      <c r="K2404" s="4">
        <v>0</v>
      </c>
      <c r="L2404" s="94">
        <v>61407</v>
      </c>
      <c r="M2404" s="94">
        <v>1166733</v>
      </c>
    </row>
    <row r="2405" spans="3:13" x14ac:dyDescent="0.3">
      <c r="C2405" t="s">
        <v>70</v>
      </c>
      <c r="D2405" t="s">
        <v>67</v>
      </c>
      <c r="E2405" t="s">
        <v>68</v>
      </c>
      <c r="F2405" t="s">
        <v>72</v>
      </c>
      <c r="G2405" s="4">
        <v>2</v>
      </c>
      <c r="H2405" s="4" t="s">
        <v>18</v>
      </c>
      <c r="I2405" s="4" t="s">
        <v>69</v>
      </c>
      <c r="J2405" s="4" t="s">
        <v>73</v>
      </c>
      <c r="K2405" s="4">
        <v>1</v>
      </c>
      <c r="L2405" s="94">
        <v>518370</v>
      </c>
      <c r="M2405" s="94">
        <v>1036740</v>
      </c>
    </row>
    <row r="2406" spans="3:13" x14ac:dyDescent="0.3">
      <c r="C2406" t="s">
        <v>61</v>
      </c>
      <c r="D2406" t="s">
        <v>67</v>
      </c>
      <c r="E2406" t="s">
        <v>63</v>
      </c>
      <c r="F2406" t="s">
        <v>25</v>
      </c>
      <c r="G2406" s="4">
        <v>14</v>
      </c>
      <c r="H2406" s="4" t="s">
        <v>74</v>
      </c>
      <c r="I2406" s="4" t="s">
        <v>69</v>
      </c>
      <c r="J2406" s="4" t="s">
        <v>66</v>
      </c>
      <c r="K2406" s="4">
        <v>0</v>
      </c>
      <c r="L2406" s="94">
        <v>-7382</v>
      </c>
      <c r="M2406" s="94">
        <v>0</v>
      </c>
    </row>
    <row r="2407" spans="3:13" x14ac:dyDescent="0.3">
      <c r="C2407" t="s">
        <v>71</v>
      </c>
      <c r="D2407" t="s">
        <v>67</v>
      </c>
      <c r="E2407" t="s">
        <v>63</v>
      </c>
      <c r="F2407" t="s">
        <v>26</v>
      </c>
      <c r="G2407" s="4">
        <v>4</v>
      </c>
      <c r="H2407" s="4" t="s">
        <v>14</v>
      </c>
      <c r="I2407" s="4" t="s">
        <v>69</v>
      </c>
      <c r="J2407" s="4" t="s">
        <v>73</v>
      </c>
      <c r="K2407" s="4">
        <v>1</v>
      </c>
      <c r="L2407" s="94">
        <v>-849431</v>
      </c>
      <c r="M2407" s="94">
        <v>0</v>
      </c>
    </row>
    <row r="2408" spans="3:13" x14ac:dyDescent="0.3">
      <c r="C2408" t="s">
        <v>61</v>
      </c>
      <c r="D2408" t="s">
        <v>67</v>
      </c>
      <c r="E2408" t="s">
        <v>68</v>
      </c>
      <c r="F2408" t="s">
        <v>72</v>
      </c>
      <c r="G2408" s="4">
        <v>7</v>
      </c>
      <c r="H2408" s="4" t="s">
        <v>81</v>
      </c>
      <c r="I2408" s="4" t="s">
        <v>69</v>
      </c>
      <c r="J2408" s="4" t="s">
        <v>66</v>
      </c>
      <c r="K2408" s="4">
        <v>0</v>
      </c>
      <c r="L2408" s="94">
        <v>62495</v>
      </c>
      <c r="M2408" s="94">
        <v>437465</v>
      </c>
    </row>
    <row r="2409" spans="3:13" x14ac:dyDescent="0.3">
      <c r="C2409" t="s">
        <v>61</v>
      </c>
      <c r="D2409" t="s">
        <v>62</v>
      </c>
      <c r="E2409" t="s">
        <v>63</v>
      </c>
      <c r="F2409" t="s">
        <v>24</v>
      </c>
      <c r="G2409" s="4">
        <v>32</v>
      </c>
      <c r="I2409" s="4" t="s">
        <v>69</v>
      </c>
      <c r="J2409" s="4" t="s">
        <v>66</v>
      </c>
      <c r="K2409" s="4">
        <v>1</v>
      </c>
      <c r="L2409" s="94">
        <v>-694</v>
      </c>
      <c r="M2409" s="94">
        <v>0</v>
      </c>
    </row>
    <row r="2410" spans="3:13" x14ac:dyDescent="0.3">
      <c r="C2410" t="s">
        <v>70</v>
      </c>
      <c r="D2410" t="s">
        <v>67</v>
      </c>
      <c r="E2410" t="s">
        <v>68</v>
      </c>
      <c r="F2410" t="s">
        <v>26</v>
      </c>
      <c r="G2410" s="4">
        <v>6</v>
      </c>
      <c r="H2410" s="4" t="s">
        <v>12</v>
      </c>
      <c r="I2410" s="4" t="s">
        <v>65</v>
      </c>
      <c r="J2410" s="4" t="s">
        <v>73</v>
      </c>
      <c r="K2410" s="4">
        <v>1</v>
      </c>
      <c r="L2410" s="94">
        <v>32675</v>
      </c>
      <c r="M2410" s="94">
        <v>196050</v>
      </c>
    </row>
    <row r="2411" spans="3:13" x14ac:dyDescent="0.3">
      <c r="C2411" t="s">
        <v>61</v>
      </c>
      <c r="D2411" t="s">
        <v>67</v>
      </c>
      <c r="E2411" t="s">
        <v>68</v>
      </c>
      <c r="F2411" t="s">
        <v>25</v>
      </c>
      <c r="G2411" s="4">
        <v>12</v>
      </c>
      <c r="H2411" s="4" t="s">
        <v>79</v>
      </c>
      <c r="I2411" s="4" t="s">
        <v>69</v>
      </c>
      <c r="J2411" s="4" t="s">
        <v>66</v>
      </c>
      <c r="K2411" s="4">
        <v>0</v>
      </c>
      <c r="L2411" s="94">
        <v>31779248</v>
      </c>
      <c r="M2411" s="94">
        <v>381350976</v>
      </c>
    </row>
    <row r="2412" spans="3:13" x14ac:dyDescent="0.3">
      <c r="C2412" t="s">
        <v>70</v>
      </c>
      <c r="D2412" t="s">
        <v>67</v>
      </c>
      <c r="E2412" t="s">
        <v>68</v>
      </c>
      <c r="F2412" t="s">
        <v>72</v>
      </c>
      <c r="G2412" s="4">
        <v>1</v>
      </c>
      <c r="H2412" s="4" t="s">
        <v>74</v>
      </c>
      <c r="I2412" s="4" t="s">
        <v>69</v>
      </c>
      <c r="J2412" s="4" t="s">
        <v>66</v>
      </c>
      <c r="K2412" s="4">
        <v>0</v>
      </c>
      <c r="L2412" s="94">
        <v>186300</v>
      </c>
      <c r="M2412" s="94">
        <v>186300</v>
      </c>
    </row>
    <row r="2413" spans="3:13" x14ac:dyDescent="0.3">
      <c r="C2413" t="s">
        <v>61</v>
      </c>
      <c r="D2413" t="s">
        <v>62</v>
      </c>
      <c r="E2413" t="s">
        <v>68</v>
      </c>
      <c r="F2413" t="s">
        <v>24</v>
      </c>
      <c r="G2413" s="4">
        <v>18</v>
      </c>
      <c r="I2413" s="4" t="s">
        <v>69</v>
      </c>
      <c r="J2413" s="4" t="s">
        <v>66</v>
      </c>
      <c r="K2413" s="4">
        <v>0</v>
      </c>
      <c r="L2413" s="94">
        <v>401403465</v>
      </c>
      <c r="M2413" s="94">
        <v>7225262370</v>
      </c>
    </row>
    <row r="2414" spans="3:13" x14ac:dyDescent="0.3">
      <c r="C2414" t="s">
        <v>71</v>
      </c>
      <c r="D2414" t="s">
        <v>67</v>
      </c>
      <c r="E2414" t="s">
        <v>63</v>
      </c>
      <c r="F2414" t="s">
        <v>72</v>
      </c>
      <c r="G2414" s="4">
        <v>5</v>
      </c>
      <c r="H2414" s="4" t="s">
        <v>82</v>
      </c>
      <c r="I2414" s="4" t="s">
        <v>69</v>
      </c>
      <c r="J2414" s="4" t="s">
        <v>66</v>
      </c>
      <c r="K2414" s="4">
        <v>0</v>
      </c>
      <c r="L2414" s="94">
        <v>-49022</v>
      </c>
      <c r="M2414" s="94">
        <v>0</v>
      </c>
    </row>
    <row r="2415" spans="3:13" x14ac:dyDescent="0.3">
      <c r="C2415" t="s">
        <v>70</v>
      </c>
      <c r="D2415" t="s">
        <v>67</v>
      </c>
      <c r="E2415" t="s">
        <v>63</v>
      </c>
      <c r="F2415" t="s">
        <v>26</v>
      </c>
      <c r="G2415" s="4">
        <v>1</v>
      </c>
      <c r="H2415" s="4" t="s">
        <v>17</v>
      </c>
      <c r="I2415" s="4" t="s">
        <v>65</v>
      </c>
      <c r="J2415" s="4" t="s">
        <v>66</v>
      </c>
      <c r="K2415" s="4">
        <v>1</v>
      </c>
      <c r="L2415" s="94">
        <v>-5100</v>
      </c>
      <c r="M2415" s="94">
        <v>0</v>
      </c>
    </row>
    <row r="2416" spans="3:13" x14ac:dyDescent="0.3">
      <c r="C2416" t="s">
        <v>61</v>
      </c>
      <c r="D2416" t="s">
        <v>67</v>
      </c>
      <c r="E2416" t="s">
        <v>68</v>
      </c>
      <c r="F2416" t="s">
        <v>72</v>
      </c>
      <c r="G2416" s="4">
        <v>1</v>
      </c>
      <c r="H2416" s="4" t="s">
        <v>15</v>
      </c>
      <c r="I2416" s="4" t="s">
        <v>69</v>
      </c>
      <c r="J2416" s="4" t="s">
        <v>66</v>
      </c>
      <c r="K2416" s="4">
        <v>0</v>
      </c>
      <c r="L2416" s="94">
        <v>15019</v>
      </c>
      <c r="M2416" s="94">
        <v>15019</v>
      </c>
    </row>
    <row r="2417" spans="3:13" x14ac:dyDescent="0.3">
      <c r="C2417" t="s">
        <v>70</v>
      </c>
      <c r="D2417" t="s">
        <v>67</v>
      </c>
      <c r="E2417" t="s">
        <v>68</v>
      </c>
      <c r="F2417" t="s">
        <v>25</v>
      </c>
      <c r="G2417" s="4">
        <v>2</v>
      </c>
      <c r="H2417" s="4" t="s">
        <v>76</v>
      </c>
      <c r="I2417" s="4" t="s">
        <v>69</v>
      </c>
      <c r="J2417" s="4" t="s">
        <v>66</v>
      </c>
      <c r="K2417" s="4">
        <v>0</v>
      </c>
      <c r="L2417" s="94">
        <v>838530</v>
      </c>
      <c r="M2417" s="94">
        <v>1677060</v>
      </c>
    </row>
    <row r="2418" spans="3:13" x14ac:dyDescent="0.3">
      <c r="C2418" t="s">
        <v>70</v>
      </c>
      <c r="D2418" t="s">
        <v>67</v>
      </c>
      <c r="E2418" t="s">
        <v>68</v>
      </c>
      <c r="F2418" t="s">
        <v>25</v>
      </c>
      <c r="G2418" s="4">
        <v>5</v>
      </c>
      <c r="H2418" s="4" t="s">
        <v>74</v>
      </c>
      <c r="I2418" s="4" t="s">
        <v>69</v>
      </c>
      <c r="J2418" s="4" t="s">
        <v>66</v>
      </c>
      <c r="K2418" s="4">
        <v>0</v>
      </c>
      <c r="L2418" s="94">
        <v>1856886</v>
      </c>
      <c r="M2418" s="94">
        <v>9284430</v>
      </c>
    </row>
    <row r="2419" spans="3:13" x14ac:dyDescent="0.3">
      <c r="C2419" t="s">
        <v>61</v>
      </c>
      <c r="D2419" t="s">
        <v>67</v>
      </c>
      <c r="E2419" t="s">
        <v>68</v>
      </c>
      <c r="F2419" t="s">
        <v>26</v>
      </c>
      <c r="G2419" s="4">
        <v>1</v>
      </c>
      <c r="H2419" s="4" t="s">
        <v>82</v>
      </c>
      <c r="I2419" s="4" t="s">
        <v>69</v>
      </c>
      <c r="J2419" s="4" t="s">
        <v>73</v>
      </c>
      <c r="K2419" s="4">
        <v>1</v>
      </c>
      <c r="L2419" s="94">
        <v>48678</v>
      </c>
      <c r="M2419" s="94">
        <v>48678</v>
      </c>
    </row>
    <row r="2420" spans="3:13" x14ac:dyDescent="0.3">
      <c r="C2420" t="s">
        <v>61</v>
      </c>
      <c r="D2420" t="s">
        <v>67</v>
      </c>
      <c r="E2420" t="s">
        <v>68</v>
      </c>
      <c r="F2420" t="s">
        <v>25</v>
      </c>
      <c r="G2420" s="4">
        <v>16</v>
      </c>
      <c r="H2420" s="4" t="s">
        <v>80</v>
      </c>
      <c r="I2420" s="4" t="s">
        <v>69</v>
      </c>
      <c r="J2420" s="4" t="s">
        <v>66</v>
      </c>
      <c r="K2420" s="4">
        <v>0</v>
      </c>
      <c r="L2420" s="94">
        <v>1609851</v>
      </c>
      <c r="M2420" s="94">
        <v>25757616</v>
      </c>
    </row>
    <row r="2421" spans="3:13" x14ac:dyDescent="0.3">
      <c r="C2421" t="s">
        <v>61</v>
      </c>
      <c r="D2421" t="s">
        <v>67</v>
      </c>
      <c r="E2421" t="s">
        <v>63</v>
      </c>
      <c r="F2421" t="s">
        <v>26</v>
      </c>
      <c r="G2421" s="4">
        <v>8</v>
      </c>
      <c r="H2421" s="4" t="s">
        <v>74</v>
      </c>
      <c r="I2421" s="4" t="s">
        <v>69</v>
      </c>
      <c r="J2421" s="4" t="s">
        <v>66</v>
      </c>
      <c r="K2421" s="4">
        <v>0</v>
      </c>
      <c r="L2421" s="94">
        <v>-7402</v>
      </c>
      <c r="M2421" s="94">
        <v>0</v>
      </c>
    </row>
    <row r="2422" spans="3:13" x14ac:dyDescent="0.3">
      <c r="C2422" t="s">
        <v>71</v>
      </c>
      <c r="D2422" t="s">
        <v>62</v>
      </c>
      <c r="E2422" t="s">
        <v>63</v>
      </c>
      <c r="F2422" t="s">
        <v>25</v>
      </c>
      <c r="G2422" s="4">
        <v>12</v>
      </c>
      <c r="I2422" s="4" t="s">
        <v>69</v>
      </c>
      <c r="J2422" s="4" t="s">
        <v>66</v>
      </c>
      <c r="K2422" s="4">
        <v>0</v>
      </c>
      <c r="L2422" s="94">
        <v>-406716</v>
      </c>
      <c r="M2422" s="94">
        <v>0</v>
      </c>
    </row>
    <row r="2423" spans="3:13" x14ac:dyDescent="0.3">
      <c r="C2423" t="s">
        <v>71</v>
      </c>
      <c r="D2423" t="s">
        <v>62</v>
      </c>
      <c r="E2423" t="s">
        <v>68</v>
      </c>
      <c r="F2423" t="s">
        <v>25</v>
      </c>
      <c r="G2423" s="4">
        <v>16</v>
      </c>
      <c r="I2423" s="4" t="s">
        <v>69</v>
      </c>
      <c r="J2423" s="4" t="s">
        <v>66</v>
      </c>
      <c r="K2423" s="4">
        <v>0</v>
      </c>
      <c r="L2423" s="94">
        <v>21865</v>
      </c>
      <c r="M2423" s="94">
        <v>349840</v>
      </c>
    </row>
    <row r="2424" spans="3:13" x14ac:dyDescent="0.3">
      <c r="C2424" t="s">
        <v>70</v>
      </c>
      <c r="D2424" t="s">
        <v>67</v>
      </c>
      <c r="E2424" t="s">
        <v>68</v>
      </c>
      <c r="F2424" t="s">
        <v>26</v>
      </c>
      <c r="G2424" s="4">
        <v>6</v>
      </c>
      <c r="H2424" s="4" t="s">
        <v>14</v>
      </c>
      <c r="I2424" s="4" t="s">
        <v>69</v>
      </c>
      <c r="J2424" s="4" t="s">
        <v>73</v>
      </c>
      <c r="K2424" s="4">
        <v>1</v>
      </c>
      <c r="L2424" s="94">
        <v>3165296</v>
      </c>
      <c r="M2424" s="94">
        <v>18991776</v>
      </c>
    </row>
    <row r="2425" spans="3:13" x14ac:dyDescent="0.3">
      <c r="C2425" t="s">
        <v>71</v>
      </c>
      <c r="D2425" t="s">
        <v>62</v>
      </c>
      <c r="E2425" t="s">
        <v>63</v>
      </c>
      <c r="F2425" t="s">
        <v>24</v>
      </c>
      <c r="G2425" s="4">
        <v>13</v>
      </c>
      <c r="I2425" s="4" t="s">
        <v>69</v>
      </c>
      <c r="J2425" s="4" t="s">
        <v>66</v>
      </c>
      <c r="K2425" s="4">
        <v>1</v>
      </c>
      <c r="L2425" s="94">
        <v>-3950</v>
      </c>
      <c r="M2425" s="94">
        <v>0</v>
      </c>
    </row>
    <row r="2426" spans="3:13" x14ac:dyDescent="0.3">
      <c r="C2426" t="s">
        <v>71</v>
      </c>
      <c r="D2426" t="s">
        <v>67</v>
      </c>
      <c r="E2426" t="s">
        <v>68</v>
      </c>
      <c r="F2426" t="s">
        <v>26</v>
      </c>
      <c r="G2426" s="4">
        <v>11</v>
      </c>
      <c r="H2426" s="4" t="s">
        <v>64</v>
      </c>
      <c r="I2426" s="4" t="s">
        <v>69</v>
      </c>
      <c r="J2426" s="4" t="s">
        <v>66</v>
      </c>
      <c r="K2426" s="4">
        <v>0</v>
      </c>
      <c r="L2426" s="94">
        <v>7673718</v>
      </c>
      <c r="M2426" s="94">
        <v>84410898</v>
      </c>
    </row>
    <row r="2427" spans="3:13" x14ac:dyDescent="0.3">
      <c r="C2427" t="s">
        <v>71</v>
      </c>
      <c r="D2427" t="s">
        <v>67</v>
      </c>
      <c r="E2427" t="s">
        <v>68</v>
      </c>
      <c r="F2427" t="s">
        <v>72</v>
      </c>
      <c r="G2427" s="4">
        <v>-4</v>
      </c>
      <c r="H2427" s="4" t="s">
        <v>83</v>
      </c>
      <c r="I2427" s="4" t="s">
        <v>69</v>
      </c>
      <c r="J2427" s="4" t="s">
        <v>66</v>
      </c>
      <c r="K2427" s="4">
        <v>0</v>
      </c>
      <c r="L2427" s="94">
        <v>33349</v>
      </c>
      <c r="M2427" s="94">
        <v>0</v>
      </c>
    </row>
    <row r="2428" spans="3:13" x14ac:dyDescent="0.3">
      <c r="C2428" t="s">
        <v>61</v>
      </c>
      <c r="D2428" t="s">
        <v>62</v>
      </c>
      <c r="E2428" t="s">
        <v>63</v>
      </c>
      <c r="F2428" t="s">
        <v>24</v>
      </c>
      <c r="G2428" s="4">
        <v>-4</v>
      </c>
      <c r="I2428" s="4" t="s">
        <v>69</v>
      </c>
      <c r="J2428" s="4" t="s">
        <v>66</v>
      </c>
      <c r="K2428" s="4">
        <v>0</v>
      </c>
      <c r="L2428" s="94">
        <v>-60</v>
      </c>
      <c r="M2428" s="94">
        <v>0</v>
      </c>
    </row>
    <row r="2429" spans="3:13" x14ac:dyDescent="0.3">
      <c r="C2429" t="s">
        <v>71</v>
      </c>
      <c r="D2429" t="s">
        <v>67</v>
      </c>
      <c r="E2429" t="s">
        <v>68</v>
      </c>
      <c r="F2429" t="s">
        <v>72</v>
      </c>
      <c r="G2429" s="4">
        <v>1</v>
      </c>
      <c r="H2429" s="4" t="s">
        <v>79</v>
      </c>
      <c r="I2429" s="4" t="s">
        <v>69</v>
      </c>
      <c r="J2429" s="4" t="s">
        <v>66</v>
      </c>
      <c r="K2429" s="4">
        <v>0</v>
      </c>
      <c r="L2429" s="94">
        <v>41435</v>
      </c>
      <c r="M2429" s="94">
        <v>41435</v>
      </c>
    </row>
    <row r="2430" spans="3:13" x14ac:dyDescent="0.3">
      <c r="C2430" t="s">
        <v>70</v>
      </c>
      <c r="D2430" t="s">
        <v>67</v>
      </c>
      <c r="E2430" t="s">
        <v>68</v>
      </c>
      <c r="F2430" t="s">
        <v>25</v>
      </c>
      <c r="G2430" s="4">
        <v>12</v>
      </c>
      <c r="H2430" s="4" t="s">
        <v>78</v>
      </c>
      <c r="I2430" s="4" t="s">
        <v>69</v>
      </c>
      <c r="J2430" s="4" t="s">
        <v>66</v>
      </c>
      <c r="K2430" s="4">
        <v>0</v>
      </c>
      <c r="L2430" s="94">
        <v>159273</v>
      </c>
      <c r="M2430" s="94">
        <v>1911276</v>
      </c>
    </row>
    <row r="2431" spans="3:13" x14ac:dyDescent="0.3">
      <c r="C2431" t="s">
        <v>71</v>
      </c>
      <c r="D2431" t="s">
        <v>67</v>
      </c>
      <c r="E2431" t="s">
        <v>68</v>
      </c>
      <c r="F2431" t="s">
        <v>25</v>
      </c>
      <c r="G2431" s="4">
        <v>7</v>
      </c>
      <c r="H2431" s="4" t="s">
        <v>75</v>
      </c>
      <c r="I2431" s="4" t="s">
        <v>69</v>
      </c>
      <c r="J2431" s="4" t="s">
        <v>66</v>
      </c>
      <c r="K2431" s="4">
        <v>0</v>
      </c>
      <c r="L2431" s="94">
        <v>3596656</v>
      </c>
      <c r="M2431" s="94">
        <v>25176592</v>
      </c>
    </row>
    <row r="2432" spans="3:13" x14ac:dyDescent="0.3">
      <c r="C2432" t="s">
        <v>71</v>
      </c>
      <c r="D2432" t="s">
        <v>67</v>
      </c>
      <c r="E2432" t="s">
        <v>68</v>
      </c>
      <c r="F2432" t="s">
        <v>26</v>
      </c>
      <c r="G2432" s="4">
        <v>2</v>
      </c>
      <c r="H2432" s="4" t="s">
        <v>76</v>
      </c>
      <c r="I2432" s="4" t="s">
        <v>69</v>
      </c>
      <c r="J2432" s="4" t="s">
        <v>66</v>
      </c>
      <c r="K2432" s="4">
        <v>0</v>
      </c>
      <c r="L2432" s="94">
        <v>511946</v>
      </c>
      <c r="M2432" s="94">
        <v>1023892</v>
      </c>
    </row>
    <row r="2433" spans="3:13" x14ac:dyDescent="0.3">
      <c r="C2433" t="s">
        <v>61</v>
      </c>
      <c r="D2433" t="s">
        <v>67</v>
      </c>
      <c r="E2433" t="s">
        <v>63</v>
      </c>
      <c r="F2433" t="s">
        <v>72</v>
      </c>
      <c r="G2433" s="4">
        <v>1</v>
      </c>
      <c r="H2433" s="4" t="s">
        <v>83</v>
      </c>
      <c r="I2433" s="4" t="s">
        <v>69</v>
      </c>
      <c r="J2433" s="4" t="s">
        <v>66</v>
      </c>
      <c r="K2433" s="4">
        <v>0</v>
      </c>
      <c r="L2433" s="94">
        <v>-427</v>
      </c>
      <c r="M2433" s="94">
        <v>0</v>
      </c>
    </row>
    <row r="2434" spans="3:13" x14ac:dyDescent="0.3">
      <c r="C2434" t="s">
        <v>70</v>
      </c>
      <c r="D2434" t="s">
        <v>62</v>
      </c>
      <c r="E2434" t="s">
        <v>68</v>
      </c>
      <c r="F2434" t="s">
        <v>24</v>
      </c>
      <c r="G2434" s="4">
        <v>16</v>
      </c>
      <c r="I2434" s="4" t="s">
        <v>65</v>
      </c>
      <c r="J2434" s="4" t="s">
        <v>66</v>
      </c>
      <c r="K2434" s="4">
        <v>1</v>
      </c>
      <c r="L2434" s="94">
        <v>373303</v>
      </c>
      <c r="M2434" s="94">
        <v>5972848</v>
      </c>
    </row>
    <row r="2435" spans="3:13" x14ac:dyDescent="0.3">
      <c r="C2435" t="s">
        <v>70</v>
      </c>
      <c r="D2435" t="s">
        <v>67</v>
      </c>
      <c r="E2435" t="s">
        <v>63</v>
      </c>
      <c r="F2435" t="s">
        <v>26</v>
      </c>
      <c r="G2435" s="4">
        <v>-1</v>
      </c>
      <c r="H2435" s="4" t="s">
        <v>75</v>
      </c>
      <c r="I2435" s="4" t="s">
        <v>65</v>
      </c>
      <c r="J2435" s="4" t="s">
        <v>66</v>
      </c>
      <c r="K2435" s="4">
        <v>1</v>
      </c>
      <c r="L2435" s="94">
        <v>-56</v>
      </c>
      <c r="M2435" s="94">
        <v>0</v>
      </c>
    </row>
    <row r="2436" spans="3:13" x14ac:dyDescent="0.3">
      <c r="C2436" t="s">
        <v>70</v>
      </c>
      <c r="D2436" t="s">
        <v>67</v>
      </c>
      <c r="E2436" t="s">
        <v>68</v>
      </c>
      <c r="F2436" t="s">
        <v>25</v>
      </c>
      <c r="G2436" s="4">
        <v>9</v>
      </c>
      <c r="H2436" s="4" t="s">
        <v>14</v>
      </c>
      <c r="I2436" s="4" t="s">
        <v>65</v>
      </c>
      <c r="J2436" s="4" t="s">
        <v>66</v>
      </c>
      <c r="K2436" s="4">
        <v>1</v>
      </c>
      <c r="L2436" s="94">
        <v>144287</v>
      </c>
      <c r="M2436" s="94">
        <v>1298583</v>
      </c>
    </row>
    <row r="2437" spans="3:13" x14ac:dyDescent="0.3">
      <c r="C2437" t="s">
        <v>61</v>
      </c>
      <c r="D2437" t="s">
        <v>67</v>
      </c>
      <c r="E2437" t="s">
        <v>63</v>
      </c>
      <c r="F2437" t="s">
        <v>26</v>
      </c>
      <c r="G2437" s="4">
        <v>4</v>
      </c>
      <c r="H2437" s="4" t="s">
        <v>14</v>
      </c>
      <c r="I2437" s="4" t="s">
        <v>65</v>
      </c>
      <c r="J2437" s="4" t="s">
        <v>73</v>
      </c>
      <c r="K2437" s="4">
        <v>1</v>
      </c>
      <c r="L2437" s="94">
        <v>-1948</v>
      </c>
      <c r="M2437" s="94">
        <v>0</v>
      </c>
    </row>
    <row r="2438" spans="3:13" x14ac:dyDescent="0.3">
      <c r="C2438" t="s">
        <v>71</v>
      </c>
      <c r="D2438" t="s">
        <v>62</v>
      </c>
      <c r="E2438" t="s">
        <v>68</v>
      </c>
      <c r="F2438" t="s">
        <v>24</v>
      </c>
      <c r="G2438" s="4">
        <v>13</v>
      </c>
      <c r="I2438" s="4" t="s">
        <v>69</v>
      </c>
      <c r="J2438" s="4" t="s">
        <v>66</v>
      </c>
      <c r="K2438" s="4">
        <v>0</v>
      </c>
      <c r="L2438" s="94">
        <v>3201560</v>
      </c>
      <c r="M2438" s="94">
        <v>41620280</v>
      </c>
    </row>
    <row r="2439" spans="3:13" x14ac:dyDescent="0.3">
      <c r="C2439" t="s">
        <v>71</v>
      </c>
      <c r="D2439" t="s">
        <v>67</v>
      </c>
      <c r="E2439" t="s">
        <v>68</v>
      </c>
      <c r="F2439" t="s">
        <v>26</v>
      </c>
      <c r="G2439" s="4">
        <v>7</v>
      </c>
      <c r="H2439" s="4" t="s">
        <v>18</v>
      </c>
      <c r="I2439" s="4" t="s">
        <v>69</v>
      </c>
      <c r="J2439" s="4" t="s">
        <v>66</v>
      </c>
      <c r="K2439" s="4">
        <v>0</v>
      </c>
      <c r="L2439" s="94">
        <v>1154524</v>
      </c>
      <c r="M2439" s="94">
        <v>8081668</v>
      </c>
    </row>
    <row r="2440" spans="3:13" x14ac:dyDescent="0.3">
      <c r="C2440" t="s">
        <v>71</v>
      </c>
      <c r="D2440" t="s">
        <v>62</v>
      </c>
      <c r="E2440" t="s">
        <v>68</v>
      </c>
      <c r="F2440" t="s">
        <v>25</v>
      </c>
      <c r="G2440" s="4">
        <v>4</v>
      </c>
      <c r="I2440" s="4" t="s">
        <v>69</v>
      </c>
      <c r="J2440" s="4" t="s">
        <v>66</v>
      </c>
      <c r="K2440" s="4">
        <v>0</v>
      </c>
      <c r="L2440" s="94">
        <v>6121535</v>
      </c>
      <c r="M2440" s="94">
        <v>24486140</v>
      </c>
    </row>
    <row r="2441" spans="3:13" x14ac:dyDescent="0.3">
      <c r="C2441" t="s">
        <v>61</v>
      </c>
      <c r="D2441" t="s">
        <v>62</v>
      </c>
      <c r="E2441" t="s">
        <v>68</v>
      </c>
      <c r="F2441" t="s">
        <v>24</v>
      </c>
      <c r="G2441" s="4">
        <v>3</v>
      </c>
      <c r="I2441" s="4" t="s">
        <v>69</v>
      </c>
      <c r="J2441" s="4" t="s">
        <v>66</v>
      </c>
      <c r="K2441" s="4">
        <v>1</v>
      </c>
      <c r="L2441" s="94">
        <v>292092</v>
      </c>
      <c r="M2441" s="94">
        <v>876276</v>
      </c>
    </row>
    <row r="2442" spans="3:13" x14ac:dyDescent="0.3">
      <c r="C2442" t="s">
        <v>61</v>
      </c>
      <c r="D2442" t="s">
        <v>67</v>
      </c>
      <c r="E2442" t="s">
        <v>68</v>
      </c>
      <c r="F2442" t="s">
        <v>25</v>
      </c>
      <c r="G2442" s="4">
        <v>15</v>
      </c>
      <c r="H2442" s="4" t="s">
        <v>14</v>
      </c>
      <c r="I2442" s="4" t="s">
        <v>69</v>
      </c>
      <c r="J2442" s="4" t="s">
        <v>66</v>
      </c>
      <c r="K2442" s="4">
        <v>0</v>
      </c>
      <c r="L2442" s="94">
        <v>526556</v>
      </c>
      <c r="M2442" s="94">
        <v>7898340</v>
      </c>
    </row>
    <row r="2443" spans="3:13" x14ac:dyDescent="0.3">
      <c r="C2443" t="s">
        <v>70</v>
      </c>
      <c r="D2443" t="s">
        <v>67</v>
      </c>
      <c r="E2443" t="s">
        <v>63</v>
      </c>
      <c r="F2443" t="s">
        <v>26</v>
      </c>
      <c r="G2443" s="4">
        <v>6</v>
      </c>
      <c r="H2443" s="4" t="s">
        <v>74</v>
      </c>
      <c r="I2443" s="4" t="s">
        <v>69</v>
      </c>
      <c r="J2443" s="4" t="s">
        <v>66</v>
      </c>
      <c r="K2443" s="4">
        <v>0</v>
      </c>
      <c r="L2443" s="94">
        <v>-60597</v>
      </c>
      <c r="M2443" s="94">
        <v>0</v>
      </c>
    </row>
    <row r="2444" spans="3:13" x14ac:dyDescent="0.3">
      <c r="C2444" t="s">
        <v>70</v>
      </c>
      <c r="D2444" t="s">
        <v>67</v>
      </c>
      <c r="E2444" t="s">
        <v>68</v>
      </c>
      <c r="F2444" t="s">
        <v>72</v>
      </c>
      <c r="G2444" s="4">
        <v>5</v>
      </c>
      <c r="H2444" s="4" t="s">
        <v>14</v>
      </c>
      <c r="I2444" s="4" t="s">
        <v>69</v>
      </c>
      <c r="J2444" s="4" t="s">
        <v>73</v>
      </c>
      <c r="K2444" s="4">
        <v>1</v>
      </c>
      <c r="L2444" s="94">
        <v>2035436</v>
      </c>
      <c r="M2444" s="94">
        <v>10177180</v>
      </c>
    </row>
    <row r="2445" spans="3:13" x14ac:dyDescent="0.3">
      <c r="C2445" t="s">
        <v>61</v>
      </c>
      <c r="D2445" t="s">
        <v>67</v>
      </c>
      <c r="E2445" t="s">
        <v>63</v>
      </c>
      <c r="F2445" t="s">
        <v>25</v>
      </c>
      <c r="G2445" s="4">
        <v>7</v>
      </c>
      <c r="H2445" s="4" t="s">
        <v>12</v>
      </c>
      <c r="I2445" s="4" t="s">
        <v>69</v>
      </c>
      <c r="J2445" s="4" t="s">
        <v>66</v>
      </c>
      <c r="K2445" s="4">
        <v>1</v>
      </c>
      <c r="L2445" s="94">
        <v>-1862</v>
      </c>
      <c r="M2445" s="94">
        <v>0</v>
      </c>
    </row>
    <row r="2446" spans="3:13" x14ac:dyDescent="0.3">
      <c r="C2446" t="s">
        <v>70</v>
      </c>
      <c r="D2446" t="s">
        <v>62</v>
      </c>
      <c r="E2446" t="s">
        <v>63</v>
      </c>
      <c r="F2446" t="s">
        <v>24</v>
      </c>
      <c r="G2446" s="4">
        <v>13</v>
      </c>
      <c r="I2446" s="4" t="s">
        <v>69</v>
      </c>
      <c r="J2446" s="4" t="s">
        <v>66</v>
      </c>
      <c r="K2446" s="4">
        <v>1</v>
      </c>
      <c r="L2446" s="94">
        <v>-6115</v>
      </c>
      <c r="M2446" s="94">
        <v>0</v>
      </c>
    </row>
    <row r="2447" spans="3:13" x14ac:dyDescent="0.3">
      <c r="C2447" t="s">
        <v>61</v>
      </c>
      <c r="D2447" t="s">
        <v>67</v>
      </c>
      <c r="E2447" t="s">
        <v>63</v>
      </c>
      <c r="F2447" t="s">
        <v>72</v>
      </c>
      <c r="G2447" s="4">
        <v>12</v>
      </c>
      <c r="H2447" s="4" t="s">
        <v>76</v>
      </c>
      <c r="I2447" s="4" t="s">
        <v>69</v>
      </c>
      <c r="J2447" s="4" t="s">
        <v>66</v>
      </c>
      <c r="K2447" s="4">
        <v>0</v>
      </c>
      <c r="L2447" s="94">
        <v>-1</v>
      </c>
      <c r="M2447" s="94">
        <v>0</v>
      </c>
    </row>
    <row r="2448" spans="3:13" x14ac:dyDescent="0.3">
      <c r="C2448" t="s">
        <v>70</v>
      </c>
      <c r="D2448" t="s">
        <v>67</v>
      </c>
      <c r="E2448" t="s">
        <v>68</v>
      </c>
      <c r="F2448" t="s">
        <v>72</v>
      </c>
      <c r="G2448" s="4">
        <v>4</v>
      </c>
      <c r="H2448" s="4" t="s">
        <v>77</v>
      </c>
      <c r="I2448" s="4" t="s">
        <v>69</v>
      </c>
      <c r="J2448" s="4" t="s">
        <v>66</v>
      </c>
      <c r="K2448" s="4">
        <v>0</v>
      </c>
      <c r="L2448" s="94">
        <v>307248</v>
      </c>
      <c r="M2448" s="94">
        <v>1228992</v>
      </c>
    </row>
    <row r="2449" spans="3:13" x14ac:dyDescent="0.3">
      <c r="C2449" t="s">
        <v>70</v>
      </c>
      <c r="D2449" t="s">
        <v>62</v>
      </c>
      <c r="E2449" t="s">
        <v>63</v>
      </c>
      <c r="F2449" t="s">
        <v>25</v>
      </c>
      <c r="G2449" s="4">
        <v>8</v>
      </c>
      <c r="I2449" s="4" t="s">
        <v>69</v>
      </c>
      <c r="J2449" s="4" t="s">
        <v>66</v>
      </c>
      <c r="K2449" s="4">
        <v>0</v>
      </c>
      <c r="L2449" s="94">
        <v>-29768</v>
      </c>
      <c r="M2449" s="94">
        <v>0</v>
      </c>
    </row>
    <row r="2450" spans="3:13" x14ac:dyDescent="0.3">
      <c r="C2450" t="s">
        <v>70</v>
      </c>
      <c r="D2450" t="s">
        <v>67</v>
      </c>
      <c r="E2450" t="s">
        <v>63</v>
      </c>
      <c r="F2450" t="s">
        <v>72</v>
      </c>
      <c r="G2450" s="4">
        <v>1</v>
      </c>
      <c r="H2450" s="4" t="s">
        <v>83</v>
      </c>
      <c r="I2450" s="4" t="s">
        <v>69</v>
      </c>
      <c r="J2450" s="4" t="s">
        <v>66</v>
      </c>
      <c r="K2450" s="4">
        <v>0</v>
      </c>
      <c r="L2450" s="94">
        <v>-1212</v>
      </c>
      <c r="M2450" s="94">
        <v>0</v>
      </c>
    </row>
    <row r="2451" spans="3:13" x14ac:dyDescent="0.3">
      <c r="C2451" t="s">
        <v>61</v>
      </c>
      <c r="D2451" t="s">
        <v>67</v>
      </c>
      <c r="E2451" t="s">
        <v>68</v>
      </c>
      <c r="F2451" t="s">
        <v>72</v>
      </c>
      <c r="G2451" s="4">
        <v>0</v>
      </c>
      <c r="H2451" s="4" t="s">
        <v>64</v>
      </c>
      <c r="I2451" s="4" t="s">
        <v>69</v>
      </c>
      <c r="J2451" s="4" t="s">
        <v>66</v>
      </c>
      <c r="K2451" s="4">
        <v>0</v>
      </c>
      <c r="L2451" s="94">
        <v>19091496</v>
      </c>
      <c r="M2451" s="94">
        <v>0</v>
      </c>
    </row>
    <row r="2452" spans="3:13" x14ac:dyDescent="0.3">
      <c r="C2452" t="s">
        <v>71</v>
      </c>
      <c r="D2452" t="s">
        <v>67</v>
      </c>
      <c r="E2452" t="s">
        <v>63</v>
      </c>
      <c r="F2452" t="s">
        <v>72</v>
      </c>
      <c r="G2452" s="4">
        <v>-4</v>
      </c>
      <c r="H2452" s="4" t="s">
        <v>78</v>
      </c>
      <c r="I2452" s="4" t="s">
        <v>69</v>
      </c>
      <c r="J2452" s="4" t="s">
        <v>66</v>
      </c>
      <c r="K2452" s="4">
        <v>0</v>
      </c>
      <c r="L2452" s="94">
        <v>-7347</v>
      </c>
      <c r="M2452" s="94">
        <v>0</v>
      </c>
    </row>
    <row r="2453" spans="3:13" x14ac:dyDescent="0.3">
      <c r="C2453" t="s">
        <v>61</v>
      </c>
      <c r="D2453" t="s">
        <v>67</v>
      </c>
      <c r="E2453" t="s">
        <v>68</v>
      </c>
      <c r="F2453" t="s">
        <v>72</v>
      </c>
      <c r="G2453" s="4">
        <v>3</v>
      </c>
      <c r="H2453" s="4" t="s">
        <v>86</v>
      </c>
      <c r="I2453" s="4" t="s">
        <v>69</v>
      </c>
      <c r="J2453" s="4" t="s">
        <v>66</v>
      </c>
      <c r="K2453" s="4">
        <v>0</v>
      </c>
      <c r="L2453" s="94">
        <v>13739</v>
      </c>
      <c r="M2453" s="94">
        <v>41217</v>
      </c>
    </row>
    <row r="2454" spans="3:13" x14ac:dyDescent="0.3">
      <c r="C2454" t="s">
        <v>61</v>
      </c>
      <c r="D2454" t="s">
        <v>62</v>
      </c>
      <c r="E2454" t="s">
        <v>68</v>
      </c>
      <c r="F2454" t="s">
        <v>24</v>
      </c>
      <c r="G2454" s="4">
        <v>16</v>
      </c>
      <c r="I2454" s="4" t="s">
        <v>69</v>
      </c>
      <c r="J2454" s="4" t="s">
        <v>66</v>
      </c>
      <c r="K2454" s="4">
        <v>0</v>
      </c>
      <c r="L2454" s="94">
        <v>309566007</v>
      </c>
      <c r="M2454" s="94">
        <v>4953056112</v>
      </c>
    </row>
    <row r="2455" spans="3:13" x14ac:dyDescent="0.3">
      <c r="C2455" t="s">
        <v>61</v>
      </c>
      <c r="D2455" t="s">
        <v>67</v>
      </c>
      <c r="E2455" t="s">
        <v>63</v>
      </c>
      <c r="F2455" t="s">
        <v>72</v>
      </c>
      <c r="G2455" s="4">
        <v>3</v>
      </c>
      <c r="H2455" s="4" t="s">
        <v>17</v>
      </c>
      <c r="I2455" s="4" t="s">
        <v>69</v>
      </c>
      <c r="J2455" s="4" t="s">
        <v>73</v>
      </c>
      <c r="K2455" s="4">
        <v>1</v>
      </c>
      <c r="L2455" s="94">
        <v>-1022</v>
      </c>
      <c r="M2455" s="94">
        <v>0</v>
      </c>
    </row>
    <row r="2456" spans="3:13" x14ac:dyDescent="0.3">
      <c r="C2456" t="s">
        <v>71</v>
      </c>
      <c r="D2456" t="s">
        <v>67</v>
      </c>
      <c r="E2456" t="s">
        <v>68</v>
      </c>
      <c r="F2456" t="s">
        <v>26</v>
      </c>
      <c r="G2456" s="4">
        <v>0</v>
      </c>
      <c r="H2456" s="4" t="s">
        <v>77</v>
      </c>
      <c r="I2456" s="4" t="s">
        <v>69</v>
      </c>
      <c r="J2456" s="4" t="s">
        <v>66</v>
      </c>
      <c r="K2456" s="4">
        <v>0</v>
      </c>
      <c r="L2456" s="94">
        <v>147252</v>
      </c>
      <c r="M2456" s="94">
        <v>0</v>
      </c>
    </row>
    <row r="2457" spans="3:13" x14ac:dyDescent="0.3">
      <c r="C2457" t="s">
        <v>61</v>
      </c>
      <c r="D2457" t="s">
        <v>67</v>
      </c>
      <c r="E2457" t="s">
        <v>63</v>
      </c>
      <c r="F2457" t="s">
        <v>25</v>
      </c>
      <c r="G2457" s="4">
        <v>-4</v>
      </c>
      <c r="H2457" s="4" t="s">
        <v>18</v>
      </c>
      <c r="I2457" s="4" t="s">
        <v>69</v>
      </c>
      <c r="J2457" s="4" t="s">
        <v>66</v>
      </c>
      <c r="K2457" s="4">
        <v>0</v>
      </c>
      <c r="L2457" s="94">
        <v>-178</v>
      </c>
      <c r="M2457" s="94">
        <v>0</v>
      </c>
    </row>
    <row r="2458" spans="3:13" x14ac:dyDescent="0.3">
      <c r="C2458" t="s">
        <v>71</v>
      </c>
      <c r="D2458" t="s">
        <v>67</v>
      </c>
      <c r="E2458" t="s">
        <v>63</v>
      </c>
      <c r="F2458" t="s">
        <v>26</v>
      </c>
      <c r="G2458" s="4">
        <v>-1</v>
      </c>
      <c r="H2458" s="4" t="s">
        <v>14</v>
      </c>
      <c r="I2458" s="4" t="s">
        <v>69</v>
      </c>
      <c r="J2458" s="4" t="s">
        <v>66</v>
      </c>
      <c r="K2458" s="4">
        <v>0</v>
      </c>
      <c r="L2458" s="94">
        <v>-1615366</v>
      </c>
      <c r="M2458" s="94">
        <v>0</v>
      </c>
    </row>
    <row r="2459" spans="3:13" x14ac:dyDescent="0.3">
      <c r="C2459" t="s">
        <v>61</v>
      </c>
      <c r="D2459" t="s">
        <v>67</v>
      </c>
      <c r="E2459" t="s">
        <v>68</v>
      </c>
      <c r="F2459" t="s">
        <v>26</v>
      </c>
      <c r="G2459" s="4">
        <v>3</v>
      </c>
      <c r="H2459" s="4" t="s">
        <v>81</v>
      </c>
      <c r="I2459" s="4" t="s">
        <v>69</v>
      </c>
      <c r="J2459" s="4" t="s">
        <v>66</v>
      </c>
      <c r="K2459" s="4">
        <v>0</v>
      </c>
      <c r="L2459" s="94">
        <v>107423</v>
      </c>
      <c r="M2459" s="94">
        <v>322269</v>
      </c>
    </row>
    <row r="2460" spans="3:13" x14ac:dyDescent="0.3">
      <c r="C2460" t="s">
        <v>71</v>
      </c>
      <c r="D2460" t="s">
        <v>62</v>
      </c>
      <c r="E2460" t="s">
        <v>63</v>
      </c>
      <c r="F2460" t="s">
        <v>24</v>
      </c>
      <c r="G2460" s="4">
        <v>36</v>
      </c>
      <c r="I2460" s="4" t="s">
        <v>65</v>
      </c>
      <c r="J2460" s="4" t="s">
        <v>66</v>
      </c>
      <c r="K2460" s="4">
        <v>1</v>
      </c>
      <c r="L2460" s="94">
        <v>-26770</v>
      </c>
      <c r="M2460" s="94">
        <v>0</v>
      </c>
    </row>
    <row r="2461" spans="3:13" x14ac:dyDescent="0.3">
      <c r="C2461" t="s">
        <v>70</v>
      </c>
      <c r="D2461" t="s">
        <v>67</v>
      </c>
      <c r="E2461" t="s">
        <v>63</v>
      </c>
      <c r="F2461" t="s">
        <v>25</v>
      </c>
      <c r="G2461" s="4">
        <v>-4</v>
      </c>
      <c r="H2461" s="4" t="s">
        <v>17</v>
      </c>
      <c r="I2461" s="4" t="s">
        <v>69</v>
      </c>
      <c r="J2461" s="4" t="s">
        <v>66</v>
      </c>
      <c r="K2461" s="4">
        <v>0</v>
      </c>
      <c r="L2461" s="94">
        <v>-7126</v>
      </c>
      <c r="M2461" s="94">
        <v>0</v>
      </c>
    </row>
    <row r="2462" spans="3:13" x14ac:dyDescent="0.3">
      <c r="C2462" t="s">
        <v>61</v>
      </c>
      <c r="D2462" t="s">
        <v>67</v>
      </c>
      <c r="E2462" t="s">
        <v>63</v>
      </c>
      <c r="F2462" t="s">
        <v>26</v>
      </c>
      <c r="G2462" s="4">
        <v>5</v>
      </c>
      <c r="H2462" s="4" t="s">
        <v>12</v>
      </c>
      <c r="I2462" s="4" t="s">
        <v>69</v>
      </c>
      <c r="J2462" s="4" t="s">
        <v>73</v>
      </c>
      <c r="K2462" s="4">
        <v>1</v>
      </c>
      <c r="L2462" s="94">
        <v>-8621</v>
      </c>
      <c r="M2462" s="94">
        <v>0</v>
      </c>
    </row>
    <row r="2463" spans="3:13" x14ac:dyDescent="0.3">
      <c r="C2463" t="s">
        <v>70</v>
      </c>
      <c r="D2463" t="s">
        <v>67</v>
      </c>
      <c r="E2463" t="s">
        <v>68</v>
      </c>
      <c r="F2463" t="s">
        <v>72</v>
      </c>
      <c r="G2463" s="4">
        <v>0</v>
      </c>
      <c r="H2463" s="4" t="s">
        <v>18</v>
      </c>
      <c r="I2463" s="4" t="s">
        <v>69</v>
      </c>
      <c r="J2463" s="4" t="s">
        <v>73</v>
      </c>
      <c r="K2463" s="4">
        <v>1</v>
      </c>
      <c r="L2463" s="94">
        <v>7095</v>
      </c>
      <c r="M2463" s="94">
        <v>0</v>
      </c>
    </row>
    <row r="2464" spans="3:13" x14ac:dyDescent="0.3">
      <c r="C2464" t="s">
        <v>70</v>
      </c>
      <c r="D2464" t="s">
        <v>67</v>
      </c>
      <c r="E2464" t="s">
        <v>68</v>
      </c>
      <c r="F2464" t="s">
        <v>25</v>
      </c>
      <c r="G2464" s="4">
        <v>12</v>
      </c>
      <c r="H2464" s="4" t="s">
        <v>64</v>
      </c>
      <c r="I2464" s="4" t="s">
        <v>69</v>
      </c>
      <c r="J2464" s="4" t="s">
        <v>66</v>
      </c>
      <c r="K2464" s="4">
        <v>0</v>
      </c>
      <c r="L2464" s="94">
        <v>415624</v>
      </c>
      <c r="M2464" s="94">
        <v>4987488</v>
      </c>
    </row>
    <row r="2465" spans="3:13" x14ac:dyDescent="0.3">
      <c r="C2465" t="s">
        <v>61</v>
      </c>
      <c r="D2465" t="s">
        <v>62</v>
      </c>
      <c r="E2465" t="s">
        <v>68</v>
      </c>
      <c r="F2465" t="s">
        <v>24</v>
      </c>
      <c r="G2465" s="4">
        <v>17</v>
      </c>
      <c r="I2465" s="4" t="s">
        <v>65</v>
      </c>
      <c r="J2465" s="4" t="s">
        <v>66</v>
      </c>
      <c r="K2465" s="4">
        <v>1</v>
      </c>
      <c r="L2465" s="94">
        <v>4522914</v>
      </c>
      <c r="M2465" s="94">
        <v>76889538</v>
      </c>
    </row>
    <row r="2466" spans="3:13" x14ac:dyDescent="0.3">
      <c r="C2466" t="s">
        <v>61</v>
      </c>
      <c r="D2466" t="s">
        <v>67</v>
      </c>
      <c r="E2466" t="s">
        <v>63</v>
      </c>
      <c r="F2466" t="s">
        <v>72</v>
      </c>
      <c r="G2466" s="4">
        <v>4</v>
      </c>
      <c r="H2466" s="4" t="s">
        <v>17</v>
      </c>
      <c r="I2466" s="4" t="s">
        <v>69</v>
      </c>
      <c r="J2466" s="4" t="s">
        <v>73</v>
      </c>
      <c r="K2466" s="4">
        <v>1</v>
      </c>
      <c r="L2466" s="94">
        <v>-2313</v>
      </c>
      <c r="M2466" s="94">
        <v>0</v>
      </c>
    </row>
    <row r="2467" spans="3:13" x14ac:dyDescent="0.3">
      <c r="C2467" t="s">
        <v>61</v>
      </c>
      <c r="D2467" t="s">
        <v>67</v>
      </c>
      <c r="E2467" t="s">
        <v>68</v>
      </c>
      <c r="F2467" t="s">
        <v>25</v>
      </c>
      <c r="G2467" s="4">
        <v>13</v>
      </c>
      <c r="H2467" s="4" t="s">
        <v>14</v>
      </c>
      <c r="I2467" s="4" t="s">
        <v>69</v>
      </c>
      <c r="J2467" s="4" t="s">
        <v>66</v>
      </c>
      <c r="K2467" s="4">
        <v>0</v>
      </c>
      <c r="L2467" s="94">
        <v>516904</v>
      </c>
      <c r="M2467" s="94">
        <v>6719752</v>
      </c>
    </row>
    <row r="2468" spans="3:13" x14ac:dyDescent="0.3">
      <c r="C2468" t="s">
        <v>71</v>
      </c>
      <c r="D2468" t="s">
        <v>67</v>
      </c>
      <c r="E2468" t="s">
        <v>63</v>
      </c>
      <c r="F2468" t="s">
        <v>25</v>
      </c>
      <c r="G2468" s="4">
        <v>11</v>
      </c>
      <c r="H2468" s="4" t="s">
        <v>18</v>
      </c>
      <c r="I2468" s="4" t="s">
        <v>69</v>
      </c>
      <c r="J2468" s="4" t="s">
        <v>66</v>
      </c>
      <c r="K2468" s="4">
        <v>0</v>
      </c>
      <c r="L2468" s="94">
        <v>-23894</v>
      </c>
      <c r="M2468" s="94">
        <v>0</v>
      </c>
    </row>
    <row r="2469" spans="3:13" x14ac:dyDescent="0.3">
      <c r="C2469" t="s">
        <v>70</v>
      </c>
      <c r="D2469" t="s">
        <v>67</v>
      </c>
      <c r="E2469" t="s">
        <v>63</v>
      </c>
      <c r="F2469" t="s">
        <v>72</v>
      </c>
      <c r="G2469" s="4">
        <v>2</v>
      </c>
      <c r="H2469" s="4" t="s">
        <v>18</v>
      </c>
      <c r="I2469" s="4" t="s">
        <v>65</v>
      </c>
      <c r="J2469" s="4" t="s">
        <v>66</v>
      </c>
      <c r="K2469" s="4">
        <v>1</v>
      </c>
      <c r="L2469" s="94">
        <v>-280</v>
      </c>
      <c r="M2469" s="94">
        <v>0</v>
      </c>
    </row>
    <row r="2470" spans="3:13" x14ac:dyDescent="0.3">
      <c r="C2470" t="s">
        <v>61</v>
      </c>
      <c r="D2470" t="s">
        <v>67</v>
      </c>
      <c r="E2470" t="s">
        <v>63</v>
      </c>
      <c r="F2470" t="s">
        <v>26</v>
      </c>
      <c r="G2470" s="4">
        <v>11</v>
      </c>
      <c r="H2470" s="4" t="s">
        <v>15</v>
      </c>
      <c r="I2470" s="4" t="s">
        <v>69</v>
      </c>
      <c r="J2470" s="4" t="s">
        <v>73</v>
      </c>
      <c r="K2470" s="4">
        <v>1</v>
      </c>
      <c r="L2470" s="94">
        <v>-11886</v>
      </c>
      <c r="M2470" s="94">
        <v>0</v>
      </c>
    </row>
    <row r="2471" spans="3:13" x14ac:dyDescent="0.3">
      <c r="C2471" t="s">
        <v>71</v>
      </c>
      <c r="D2471" t="s">
        <v>67</v>
      </c>
      <c r="E2471" t="s">
        <v>63</v>
      </c>
      <c r="F2471" t="s">
        <v>26</v>
      </c>
      <c r="G2471" s="4">
        <v>7</v>
      </c>
      <c r="H2471" s="4" t="s">
        <v>75</v>
      </c>
      <c r="I2471" s="4" t="s">
        <v>69</v>
      </c>
      <c r="J2471" s="4" t="s">
        <v>66</v>
      </c>
      <c r="K2471" s="4">
        <v>0</v>
      </c>
      <c r="L2471" s="94">
        <v>-210690</v>
      </c>
      <c r="M2471" s="94">
        <v>0</v>
      </c>
    </row>
    <row r="2472" spans="3:13" x14ac:dyDescent="0.3">
      <c r="C2472" t="s">
        <v>61</v>
      </c>
      <c r="D2472" t="s">
        <v>67</v>
      </c>
      <c r="E2472" t="s">
        <v>68</v>
      </c>
      <c r="F2472" t="s">
        <v>72</v>
      </c>
      <c r="G2472" s="4">
        <v>-1</v>
      </c>
      <c r="H2472" s="4" t="s">
        <v>18</v>
      </c>
      <c r="I2472" s="4" t="s">
        <v>65</v>
      </c>
      <c r="J2472" s="4" t="s">
        <v>66</v>
      </c>
      <c r="K2472" s="4">
        <v>1</v>
      </c>
      <c r="L2472" s="94">
        <v>85759</v>
      </c>
      <c r="M2472" s="94">
        <v>0</v>
      </c>
    </row>
    <row r="2473" spans="3:13" x14ac:dyDescent="0.3">
      <c r="C2473" t="s">
        <v>61</v>
      </c>
      <c r="D2473" t="s">
        <v>67</v>
      </c>
      <c r="E2473" t="s">
        <v>63</v>
      </c>
      <c r="F2473" t="s">
        <v>72</v>
      </c>
      <c r="G2473" s="4">
        <v>1</v>
      </c>
      <c r="H2473" s="4" t="s">
        <v>75</v>
      </c>
      <c r="I2473" s="4" t="s">
        <v>69</v>
      </c>
      <c r="J2473" s="4" t="s">
        <v>66</v>
      </c>
      <c r="K2473" s="4">
        <v>0</v>
      </c>
      <c r="L2473" s="94">
        <v>-1855</v>
      </c>
      <c r="M2473" s="94">
        <v>0</v>
      </c>
    </row>
    <row r="2474" spans="3:13" x14ac:dyDescent="0.3">
      <c r="C2474" t="s">
        <v>70</v>
      </c>
      <c r="D2474" t="s">
        <v>67</v>
      </c>
      <c r="E2474" t="s">
        <v>63</v>
      </c>
      <c r="F2474" t="s">
        <v>25</v>
      </c>
      <c r="G2474" s="4">
        <v>6</v>
      </c>
      <c r="H2474" s="4" t="s">
        <v>18</v>
      </c>
      <c r="I2474" s="4" t="s">
        <v>69</v>
      </c>
      <c r="J2474" s="4" t="s">
        <v>66</v>
      </c>
      <c r="K2474" s="4">
        <v>0</v>
      </c>
      <c r="L2474" s="94">
        <v>-187358</v>
      </c>
      <c r="M2474" s="94">
        <v>0</v>
      </c>
    </row>
    <row r="2475" spans="3:13" x14ac:dyDescent="0.3">
      <c r="C2475" t="s">
        <v>71</v>
      </c>
      <c r="D2475" t="s">
        <v>67</v>
      </c>
      <c r="E2475" t="s">
        <v>63</v>
      </c>
      <c r="F2475" t="s">
        <v>72</v>
      </c>
      <c r="G2475" s="4">
        <v>4</v>
      </c>
      <c r="H2475" s="4" t="s">
        <v>17</v>
      </c>
      <c r="I2475" s="4" t="s">
        <v>69</v>
      </c>
      <c r="J2475" s="4" t="s">
        <v>66</v>
      </c>
      <c r="K2475" s="4">
        <v>0</v>
      </c>
      <c r="L2475" s="94">
        <v>-74239</v>
      </c>
      <c r="M2475" s="94">
        <v>0</v>
      </c>
    </row>
    <row r="2476" spans="3:13" x14ac:dyDescent="0.3">
      <c r="C2476" t="s">
        <v>70</v>
      </c>
      <c r="D2476" t="s">
        <v>62</v>
      </c>
      <c r="E2476" t="s">
        <v>63</v>
      </c>
      <c r="F2476" t="s">
        <v>24</v>
      </c>
      <c r="G2476" s="4">
        <v>12</v>
      </c>
      <c r="I2476" s="4" t="s">
        <v>69</v>
      </c>
      <c r="J2476" s="4" t="s">
        <v>66</v>
      </c>
      <c r="K2476" s="4">
        <v>1</v>
      </c>
      <c r="L2476" s="94">
        <v>-3781</v>
      </c>
      <c r="M2476" s="94">
        <v>0</v>
      </c>
    </row>
    <row r="2477" spans="3:13" x14ac:dyDescent="0.3">
      <c r="C2477" t="s">
        <v>70</v>
      </c>
      <c r="D2477" t="s">
        <v>62</v>
      </c>
      <c r="E2477" t="s">
        <v>68</v>
      </c>
      <c r="F2477" t="s">
        <v>24</v>
      </c>
      <c r="G2477" s="4">
        <v>17</v>
      </c>
      <c r="I2477" s="4" t="s">
        <v>69</v>
      </c>
      <c r="J2477" s="4" t="s">
        <v>66</v>
      </c>
      <c r="K2477" s="4">
        <v>0</v>
      </c>
      <c r="L2477" s="94">
        <v>27649681</v>
      </c>
      <c r="M2477" s="94">
        <v>470044577</v>
      </c>
    </row>
    <row r="2478" spans="3:13" x14ac:dyDescent="0.3">
      <c r="C2478" t="s">
        <v>71</v>
      </c>
      <c r="D2478" t="s">
        <v>67</v>
      </c>
      <c r="E2478" t="s">
        <v>68</v>
      </c>
      <c r="F2478" t="s">
        <v>26</v>
      </c>
      <c r="G2478" s="4">
        <v>9</v>
      </c>
      <c r="H2478" s="4" t="s">
        <v>80</v>
      </c>
      <c r="I2478" s="4" t="s">
        <v>69</v>
      </c>
      <c r="J2478" s="4" t="s">
        <v>66</v>
      </c>
      <c r="K2478" s="4">
        <v>0</v>
      </c>
      <c r="L2478" s="94">
        <v>96342</v>
      </c>
      <c r="M2478" s="94">
        <v>867078</v>
      </c>
    </row>
    <row r="2479" spans="3:13" x14ac:dyDescent="0.3">
      <c r="C2479" t="s">
        <v>61</v>
      </c>
      <c r="D2479" t="s">
        <v>62</v>
      </c>
      <c r="E2479" t="s">
        <v>68</v>
      </c>
      <c r="F2479" t="s">
        <v>25</v>
      </c>
      <c r="G2479" s="4">
        <v>25</v>
      </c>
      <c r="I2479" s="4" t="s">
        <v>69</v>
      </c>
      <c r="J2479" s="4" t="s">
        <v>66</v>
      </c>
      <c r="K2479" s="4">
        <v>0</v>
      </c>
      <c r="L2479" s="94">
        <v>432298</v>
      </c>
      <c r="M2479" s="94">
        <v>10807450</v>
      </c>
    </row>
    <row r="2480" spans="3:13" x14ac:dyDescent="0.3">
      <c r="C2480" t="s">
        <v>61</v>
      </c>
      <c r="D2480" t="s">
        <v>62</v>
      </c>
      <c r="E2480" t="s">
        <v>63</v>
      </c>
      <c r="F2480" t="s">
        <v>24</v>
      </c>
      <c r="G2480" s="4">
        <v>8</v>
      </c>
      <c r="I2480" s="4" t="s">
        <v>69</v>
      </c>
      <c r="J2480" s="4" t="s">
        <v>66</v>
      </c>
      <c r="K2480" s="4">
        <v>1</v>
      </c>
      <c r="L2480" s="94">
        <v>-793</v>
      </c>
      <c r="M2480" s="94">
        <v>0</v>
      </c>
    </row>
    <row r="2481" spans="3:13" x14ac:dyDescent="0.3">
      <c r="C2481" t="s">
        <v>70</v>
      </c>
      <c r="D2481" t="s">
        <v>67</v>
      </c>
      <c r="E2481" t="s">
        <v>68</v>
      </c>
      <c r="F2481" t="s">
        <v>26</v>
      </c>
      <c r="G2481" s="4">
        <v>-1</v>
      </c>
      <c r="H2481" s="4" t="s">
        <v>15</v>
      </c>
      <c r="I2481" s="4" t="s">
        <v>69</v>
      </c>
      <c r="J2481" s="4" t="s">
        <v>73</v>
      </c>
      <c r="K2481" s="4">
        <v>1</v>
      </c>
      <c r="L2481" s="94">
        <v>153155</v>
      </c>
      <c r="M2481" s="94">
        <v>0</v>
      </c>
    </row>
    <row r="2482" spans="3:13" x14ac:dyDescent="0.3">
      <c r="C2482" t="s">
        <v>70</v>
      </c>
      <c r="D2482" t="s">
        <v>67</v>
      </c>
      <c r="E2482" t="s">
        <v>68</v>
      </c>
      <c r="F2482" t="s">
        <v>25</v>
      </c>
      <c r="G2482" s="4">
        <v>5</v>
      </c>
      <c r="H2482" s="4" t="s">
        <v>80</v>
      </c>
      <c r="I2482" s="4" t="s">
        <v>69</v>
      </c>
      <c r="J2482" s="4" t="s">
        <v>66</v>
      </c>
      <c r="K2482" s="4">
        <v>0</v>
      </c>
      <c r="L2482" s="94">
        <v>26104</v>
      </c>
      <c r="M2482" s="94">
        <v>130520</v>
      </c>
    </row>
    <row r="2483" spans="3:13" x14ac:dyDescent="0.3">
      <c r="C2483" t="s">
        <v>61</v>
      </c>
      <c r="D2483" t="s">
        <v>67</v>
      </c>
      <c r="E2483" t="s">
        <v>63</v>
      </c>
      <c r="F2483" t="s">
        <v>26</v>
      </c>
      <c r="G2483" s="4">
        <v>1</v>
      </c>
      <c r="H2483" s="4" t="s">
        <v>81</v>
      </c>
      <c r="I2483" s="4" t="s">
        <v>69</v>
      </c>
      <c r="J2483" s="4" t="s">
        <v>66</v>
      </c>
      <c r="K2483" s="4">
        <v>0</v>
      </c>
      <c r="L2483" s="94">
        <v>-218</v>
      </c>
      <c r="M2483" s="94">
        <v>0</v>
      </c>
    </row>
    <row r="2484" spans="3:13" x14ac:dyDescent="0.3">
      <c r="C2484" t="s">
        <v>61</v>
      </c>
      <c r="D2484" t="s">
        <v>67</v>
      </c>
      <c r="E2484" t="s">
        <v>68</v>
      </c>
      <c r="F2484" t="s">
        <v>25</v>
      </c>
      <c r="G2484" s="4">
        <v>16</v>
      </c>
      <c r="H2484" s="4" t="s">
        <v>74</v>
      </c>
      <c r="I2484" s="4" t="s">
        <v>69</v>
      </c>
      <c r="J2484" s="4" t="s">
        <v>66</v>
      </c>
      <c r="K2484" s="4">
        <v>0</v>
      </c>
      <c r="L2484" s="94">
        <v>267500</v>
      </c>
      <c r="M2484" s="94">
        <v>4280000</v>
      </c>
    </row>
    <row r="2485" spans="3:13" x14ac:dyDescent="0.3">
      <c r="C2485" t="s">
        <v>70</v>
      </c>
      <c r="D2485" t="s">
        <v>67</v>
      </c>
      <c r="E2485" t="s">
        <v>68</v>
      </c>
      <c r="F2485" t="s">
        <v>26</v>
      </c>
      <c r="G2485" s="4">
        <v>-1</v>
      </c>
      <c r="H2485" s="4" t="s">
        <v>14</v>
      </c>
      <c r="I2485" s="4" t="s">
        <v>65</v>
      </c>
      <c r="J2485" s="4" t="s">
        <v>66</v>
      </c>
      <c r="K2485" s="4">
        <v>1</v>
      </c>
      <c r="L2485" s="94">
        <v>46905</v>
      </c>
      <c r="M2485" s="94">
        <v>0</v>
      </c>
    </row>
    <row r="2486" spans="3:13" x14ac:dyDescent="0.3">
      <c r="C2486" t="s">
        <v>71</v>
      </c>
      <c r="D2486" t="s">
        <v>67</v>
      </c>
      <c r="E2486" t="s">
        <v>68</v>
      </c>
      <c r="F2486" t="s">
        <v>26</v>
      </c>
      <c r="G2486" s="4">
        <v>15</v>
      </c>
      <c r="H2486" s="4" t="s">
        <v>17</v>
      </c>
      <c r="I2486" s="4" t="s">
        <v>69</v>
      </c>
      <c r="J2486" s="4" t="s">
        <v>66</v>
      </c>
      <c r="K2486" s="4">
        <v>0</v>
      </c>
      <c r="L2486" s="94">
        <v>72717</v>
      </c>
      <c r="M2486" s="94">
        <v>1090755</v>
      </c>
    </row>
    <row r="2487" spans="3:13" x14ac:dyDescent="0.3">
      <c r="C2487" t="s">
        <v>71</v>
      </c>
      <c r="D2487" t="s">
        <v>67</v>
      </c>
      <c r="E2487" t="s">
        <v>63</v>
      </c>
      <c r="F2487" t="s">
        <v>25</v>
      </c>
      <c r="G2487" s="4">
        <v>1</v>
      </c>
      <c r="H2487" s="4" t="s">
        <v>75</v>
      </c>
      <c r="I2487" s="4" t="s">
        <v>69</v>
      </c>
      <c r="J2487" s="4" t="s">
        <v>66</v>
      </c>
      <c r="K2487" s="4">
        <v>0</v>
      </c>
      <c r="L2487" s="94">
        <v>-2075695</v>
      </c>
      <c r="M2487" s="94">
        <v>0</v>
      </c>
    </row>
    <row r="2488" spans="3:13" x14ac:dyDescent="0.3">
      <c r="C2488" t="s">
        <v>70</v>
      </c>
      <c r="D2488" t="s">
        <v>67</v>
      </c>
      <c r="E2488" t="s">
        <v>63</v>
      </c>
      <c r="F2488" t="s">
        <v>72</v>
      </c>
      <c r="G2488" s="4">
        <v>4</v>
      </c>
      <c r="H2488" s="4" t="s">
        <v>17</v>
      </c>
      <c r="I2488" s="4" t="s">
        <v>69</v>
      </c>
      <c r="J2488" s="4" t="s">
        <v>73</v>
      </c>
      <c r="K2488" s="4">
        <v>1</v>
      </c>
      <c r="L2488" s="94">
        <v>-5602</v>
      </c>
      <c r="M2488" s="94">
        <v>0</v>
      </c>
    </row>
    <row r="2489" spans="3:13" x14ac:dyDescent="0.3">
      <c r="C2489" t="s">
        <v>61</v>
      </c>
      <c r="D2489" t="s">
        <v>67</v>
      </c>
      <c r="E2489" t="s">
        <v>63</v>
      </c>
      <c r="F2489" t="s">
        <v>25</v>
      </c>
      <c r="G2489" s="4">
        <v>17</v>
      </c>
      <c r="H2489" s="4" t="s">
        <v>17</v>
      </c>
      <c r="I2489" s="4" t="s">
        <v>69</v>
      </c>
      <c r="J2489" s="4" t="s">
        <v>66</v>
      </c>
      <c r="K2489" s="4">
        <v>0</v>
      </c>
      <c r="L2489" s="94">
        <v>-12130</v>
      </c>
      <c r="M2489" s="94">
        <v>0</v>
      </c>
    </row>
    <row r="2490" spans="3:13" x14ac:dyDescent="0.3">
      <c r="C2490" t="s">
        <v>61</v>
      </c>
      <c r="D2490" t="s">
        <v>67</v>
      </c>
      <c r="E2490" t="s">
        <v>68</v>
      </c>
      <c r="F2490" t="s">
        <v>26</v>
      </c>
      <c r="G2490" s="4">
        <v>4</v>
      </c>
      <c r="H2490" s="4" t="s">
        <v>17</v>
      </c>
      <c r="I2490" s="4" t="s">
        <v>69</v>
      </c>
      <c r="J2490" s="4" t="s">
        <v>66</v>
      </c>
      <c r="K2490" s="4">
        <v>0</v>
      </c>
      <c r="L2490" s="94">
        <v>29933028</v>
      </c>
      <c r="M2490" s="94">
        <v>119732112</v>
      </c>
    </row>
    <row r="2491" spans="3:13" x14ac:dyDescent="0.3">
      <c r="C2491" t="s">
        <v>70</v>
      </c>
      <c r="D2491" t="s">
        <v>67</v>
      </c>
      <c r="E2491" t="s">
        <v>63</v>
      </c>
      <c r="F2491" t="s">
        <v>72</v>
      </c>
      <c r="G2491" s="4">
        <v>1</v>
      </c>
      <c r="H2491" s="4" t="s">
        <v>75</v>
      </c>
      <c r="I2491" s="4" t="s">
        <v>69</v>
      </c>
      <c r="J2491" s="4" t="s">
        <v>66</v>
      </c>
      <c r="K2491" s="4">
        <v>0</v>
      </c>
      <c r="L2491" s="94">
        <v>-453</v>
      </c>
      <c r="M2491" s="94">
        <v>0</v>
      </c>
    </row>
    <row r="2492" spans="3:13" x14ac:dyDescent="0.3">
      <c r="C2492" t="s">
        <v>71</v>
      </c>
      <c r="D2492" t="s">
        <v>67</v>
      </c>
      <c r="E2492" t="s">
        <v>63</v>
      </c>
      <c r="F2492" t="s">
        <v>25</v>
      </c>
      <c r="G2492" s="4">
        <v>-4</v>
      </c>
      <c r="H2492" s="4" t="s">
        <v>14</v>
      </c>
      <c r="I2492" s="4" t="s">
        <v>69</v>
      </c>
      <c r="J2492" s="4" t="s">
        <v>66</v>
      </c>
      <c r="K2492" s="4">
        <v>0</v>
      </c>
      <c r="L2492" s="94">
        <v>-466945</v>
      </c>
      <c r="M2492" s="94">
        <v>0</v>
      </c>
    </row>
    <row r="2493" spans="3:13" x14ac:dyDescent="0.3">
      <c r="C2493" t="s">
        <v>71</v>
      </c>
      <c r="D2493" t="s">
        <v>67</v>
      </c>
      <c r="E2493" t="s">
        <v>63</v>
      </c>
      <c r="F2493" t="s">
        <v>26</v>
      </c>
      <c r="G2493" s="4">
        <v>1</v>
      </c>
      <c r="H2493" s="4" t="s">
        <v>76</v>
      </c>
      <c r="I2493" s="4" t="s">
        <v>69</v>
      </c>
      <c r="J2493" s="4" t="s">
        <v>66</v>
      </c>
      <c r="K2493" s="4">
        <v>0</v>
      </c>
      <c r="L2493" s="94">
        <v>-653964</v>
      </c>
      <c r="M2493" s="94">
        <v>0</v>
      </c>
    </row>
    <row r="2494" spans="3:13" x14ac:dyDescent="0.3">
      <c r="C2494" t="s">
        <v>61</v>
      </c>
      <c r="D2494" t="s">
        <v>67</v>
      </c>
      <c r="E2494" t="s">
        <v>68</v>
      </c>
      <c r="F2494" t="s">
        <v>72</v>
      </c>
      <c r="G2494" s="4">
        <v>0</v>
      </c>
      <c r="H2494" s="4" t="s">
        <v>78</v>
      </c>
      <c r="I2494" s="4" t="s">
        <v>69</v>
      </c>
      <c r="J2494" s="4" t="s">
        <v>66</v>
      </c>
      <c r="K2494" s="4">
        <v>0</v>
      </c>
      <c r="L2494" s="94">
        <v>3874</v>
      </c>
      <c r="M2494" s="94">
        <v>0</v>
      </c>
    </row>
    <row r="2495" spans="3:13" x14ac:dyDescent="0.3">
      <c r="C2495" t="s">
        <v>61</v>
      </c>
      <c r="D2495" t="s">
        <v>62</v>
      </c>
      <c r="E2495" t="s">
        <v>63</v>
      </c>
      <c r="F2495" t="s">
        <v>24</v>
      </c>
      <c r="G2495" s="4">
        <v>19</v>
      </c>
      <c r="I2495" s="4" t="s">
        <v>69</v>
      </c>
      <c r="J2495" s="4" t="s">
        <v>66</v>
      </c>
      <c r="K2495" s="4">
        <v>0</v>
      </c>
      <c r="L2495" s="94">
        <v>-195505</v>
      </c>
      <c r="M2495" s="94">
        <v>0</v>
      </c>
    </row>
    <row r="2496" spans="3:13" x14ac:dyDescent="0.3">
      <c r="C2496" t="s">
        <v>71</v>
      </c>
      <c r="D2496" t="s">
        <v>67</v>
      </c>
      <c r="E2496" t="s">
        <v>63</v>
      </c>
      <c r="F2496" t="s">
        <v>26</v>
      </c>
      <c r="G2496" s="4">
        <v>4</v>
      </c>
      <c r="H2496" s="4" t="s">
        <v>77</v>
      </c>
      <c r="I2496" s="4" t="s">
        <v>69</v>
      </c>
      <c r="J2496" s="4" t="s">
        <v>66</v>
      </c>
      <c r="K2496" s="4">
        <v>0</v>
      </c>
      <c r="L2496" s="94">
        <v>-168859</v>
      </c>
      <c r="M2496" s="94">
        <v>0</v>
      </c>
    </row>
    <row r="2497" spans="3:13" x14ac:dyDescent="0.3">
      <c r="C2497" t="s">
        <v>71</v>
      </c>
      <c r="D2497" t="s">
        <v>62</v>
      </c>
      <c r="E2497" t="s">
        <v>68</v>
      </c>
      <c r="F2497" t="s">
        <v>24</v>
      </c>
      <c r="G2497" s="4">
        <v>37</v>
      </c>
      <c r="I2497" s="4" t="s">
        <v>65</v>
      </c>
      <c r="J2497" s="4" t="s">
        <v>66</v>
      </c>
      <c r="K2497" s="4">
        <v>1</v>
      </c>
      <c r="L2497" s="94">
        <v>617877</v>
      </c>
      <c r="M2497" s="94">
        <v>22861449</v>
      </c>
    </row>
    <row r="2498" spans="3:13" x14ac:dyDescent="0.3">
      <c r="C2498" t="s">
        <v>61</v>
      </c>
      <c r="D2498" t="s">
        <v>67</v>
      </c>
      <c r="E2498" t="s">
        <v>68</v>
      </c>
      <c r="F2498" t="s">
        <v>72</v>
      </c>
      <c r="G2498" s="4">
        <v>1</v>
      </c>
      <c r="H2498" s="4" t="s">
        <v>17</v>
      </c>
      <c r="I2498" s="4" t="s">
        <v>65</v>
      </c>
      <c r="J2498" s="4" t="s">
        <v>73</v>
      </c>
      <c r="K2498" s="4">
        <v>1</v>
      </c>
      <c r="L2498" s="94">
        <v>639962</v>
      </c>
      <c r="M2498" s="94">
        <v>639962</v>
      </c>
    </row>
    <row r="2499" spans="3:13" x14ac:dyDescent="0.3">
      <c r="C2499" t="s">
        <v>61</v>
      </c>
      <c r="D2499" t="s">
        <v>67</v>
      </c>
      <c r="E2499" t="s">
        <v>68</v>
      </c>
      <c r="F2499" t="s">
        <v>25</v>
      </c>
      <c r="G2499" s="4">
        <v>7</v>
      </c>
      <c r="H2499" s="4" t="s">
        <v>77</v>
      </c>
      <c r="I2499" s="4" t="s">
        <v>69</v>
      </c>
      <c r="J2499" s="4" t="s">
        <v>66</v>
      </c>
      <c r="K2499" s="4">
        <v>0</v>
      </c>
      <c r="L2499" s="94">
        <v>1905117</v>
      </c>
      <c r="M2499" s="94">
        <v>13335819</v>
      </c>
    </row>
    <row r="2500" spans="3:13" x14ac:dyDescent="0.3">
      <c r="C2500" t="s">
        <v>61</v>
      </c>
      <c r="D2500" t="s">
        <v>67</v>
      </c>
      <c r="E2500" t="s">
        <v>68</v>
      </c>
      <c r="F2500" t="s">
        <v>26</v>
      </c>
      <c r="G2500" s="4">
        <v>-1</v>
      </c>
      <c r="H2500" s="4" t="s">
        <v>76</v>
      </c>
      <c r="I2500" s="4" t="s">
        <v>69</v>
      </c>
      <c r="J2500" s="4" t="s">
        <v>66</v>
      </c>
      <c r="K2500" s="4">
        <v>0</v>
      </c>
      <c r="L2500" s="94">
        <v>18878051</v>
      </c>
      <c r="M2500" s="94">
        <v>0</v>
      </c>
    </row>
    <row r="2501" spans="3:13" x14ac:dyDescent="0.3">
      <c r="C2501" t="s">
        <v>70</v>
      </c>
      <c r="D2501" t="s">
        <v>67</v>
      </c>
      <c r="E2501" t="s">
        <v>68</v>
      </c>
      <c r="F2501" t="s">
        <v>25</v>
      </c>
      <c r="G2501" s="4">
        <v>4</v>
      </c>
      <c r="H2501" s="4" t="s">
        <v>74</v>
      </c>
      <c r="I2501" s="4" t="s">
        <v>69</v>
      </c>
      <c r="J2501" s="4" t="s">
        <v>66</v>
      </c>
      <c r="K2501" s="4">
        <v>0</v>
      </c>
      <c r="L2501" s="94">
        <v>211338</v>
      </c>
      <c r="M2501" s="94">
        <v>845352</v>
      </c>
    </row>
    <row r="2502" spans="3:13" x14ac:dyDescent="0.3">
      <c r="C2502" t="s">
        <v>70</v>
      </c>
      <c r="D2502" t="s">
        <v>67</v>
      </c>
      <c r="E2502" t="s">
        <v>68</v>
      </c>
      <c r="F2502" t="s">
        <v>72</v>
      </c>
      <c r="G2502" s="4">
        <v>2</v>
      </c>
      <c r="H2502" s="4" t="s">
        <v>18</v>
      </c>
      <c r="I2502" s="4" t="s">
        <v>69</v>
      </c>
      <c r="J2502" s="4" t="s">
        <v>66</v>
      </c>
      <c r="K2502" s="4">
        <v>0</v>
      </c>
      <c r="L2502" s="94">
        <v>1394189</v>
      </c>
      <c r="M2502" s="94">
        <v>2788378</v>
      </c>
    </row>
    <row r="2503" spans="3:13" x14ac:dyDescent="0.3">
      <c r="C2503" t="s">
        <v>61</v>
      </c>
      <c r="D2503" t="s">
        <v>67</v>
      </c>
      <c r="E2503" t="s">
        <v>68</v>
      </c>
      <c r="F2503" t="s">
        <v>25</v>
      </c>
      <c r="G2503" s="4">
        <v>1</v>
      </c>
      <c r="H2503" s="4" t="s">
        <v>80</v>
      </c>
      <c r="I2503" s="4" t="s">
        <v>69</v>
      </c>
      <c r="J2503" s="4" t="s">
        <v>66</v>
      </c>
      <c r="K2503" s="4">
        <v>0</v>
      </c>
      <c r="L2503" s="94">
        <v>227028</v>
      </c>
      <c r="M2503" s="94">
        <v>227028</v>
      </c>
    </row>
    <row r="2504" spans="3:13" x14ac:dyDescent="0.3">
      <c r="C2504" t="s">
        <v>61</v>
      </c>
      <c r="D2504" t="s">
        <v>67</v>
      </c>
      <c r="E2504" t="s">
        <v>68</v>
      </c>
      <c r="F2504" t="s">
        <v>26</v>
      </c>
      <c r="G2504" s="4">
        <v>5</v>
      </c>
      <c r="H2504" s="4" t="s">
        <v>16</v>
      </c>
      <c r="I2504" s="4" t="s">
        <v>69</v>
      </c>
      <c r="J2504" s="4" t="s">
        <v>66</v>
      </c>
      <c r="K2504" s="4">
        <v>0</v>
      </c>
      <c r="L2504" s="94">
        <v>693817</v>
      </c>
      <c r="M2504" s="94">
        <v>3469085</v>
      </c>
    </row>
    <row r="2505" spans="3:13" x14ac:dyDescent="0.3">
      <c r="C2505" t="s">
        <v>61</v>
      </c>
      <c r="D2505" t="s">
        <v>67</v>
      </c>
      <c r="E2505" t="s">
        <v>63</v>
      </c>
      <c r="F2505" t="s">
        <v>25</v>
      </c>
      <c r="G2505" s="4">
        <v>1</v>
      </c>
      <c r="H2505" s="4" t="s">
        <v>82</v>
      </c>
      <c r="I2505" s="4" t="s">
        <v>69</v>
      </c>
      <c r="J2505" s="4" t="s">
        <v>66</v>
      </c>
      <c r="K2505" s="4">
        <v>0</v>
      </c>
      <c r="L2505" s="94">
        <v>-488</v>
      </c>
      <c r="M2505" s="94">
        <v>0</v>
      </c>
    </row>
    <row r="2506" spans="3:13" x14ac:dyDescent="0.3">
      <c r="C2506" t="s">
        <v>70</v>
      </c>
      <c r="D2506" t="s">
        <v>67</v>
      </c>
      <c r="E2506" t="s">
        <v>63</v>
      </c>
      <c r="F2506" t="s">
        <v>25</v>
      </c>
      <c r="G2506" s="4">
        <v>1</v>
      </c>
      <c r="H2506" s="4" t="s">
        <v>76</v>
      </c>
      <c r="I2506" s="4" t="s">
        <v>69</v>
      </c>
      <c r="J2506" s="4" t="s">
        <v>66</v>
      </c>
      <c r="K2506" s="4">
        <v>0</v>
      </c>
      <c r="L2506" s="94">
        <v>-3070</v>
      </c>
      <c r="M2506" s="94">
        <v>0</v>
      </c>
    </row>
    <row r="2507" spans="3:13" x14ac:dyDescent="0.3">
      <c r="C2507" t="s">
        <v>70</v>
      </c>
      <c r="D2507" t="s">
        <v>67</v>
      </c>
      <c r="E2507" t="s">
        <v>68</v>
      </c>
      <c r="F2507" t="s">
        <v>25</v>
      </c>
      <c r="G2507" s="4">
        <v>-4</v>
      </c>
      <c r="H2507" s="4" t="s">
        <v>75</v>
      </c>
      <c r="I2507" s="4" t="s">
        <v>69</v>
      </c>
      <c r="J2507" s="4" t="s">
        <v>66</v>
      </c>
      <c r="K2507" s="4">
        <v>0</v>
      </c>
      <c r="L2507" s="94">
        <v>1592</v>
      </c>
      <c r="M2507" s="94">
        <v>0</v>
      </c>
    </row>
    <row r="2508" spans="3:13" x14ac:dyDescent="0.3">
      <c r="C2508" t="s">
        <v>61</v>
      </c>
      <c r="D2508" t="s">
        <v>67</v>
      </c>
      <c r="E2508" t="s">
        <v>63</v>
      </c>
      <c r="F2508" t="s">
        <v>25</v>
      </c>
      <c r="G2508" s="4">
        <v>15</v>
      </c>
      <c r="H2508" s="4" t="s">
        <v>78</v>
      </c>
      <c r="I2508" s="4" t="s">
        <v>69</v>
      </c>
      <c r="J2508" s="4" t="s">
        <v>66</v>
      </c>
      <c r="K2508" s="4">
        <v>0</v>
      </c>
      <c r="L2508" s="94">
        <v>-2534</v>
      </c>
      <c r="M2508" s="94">
        <v>0</v>
      </c>
    </row>
    <row r="2509" spans="3:13" x14ac:dyDescent="0.3">
      <c r="C2509" t="s">
        <v>71</v>
      </c>
      <c r="D2509" t="s">
        <v>67</v>
      </c>
      <c r="E2509" t="s">
        <v>63</v>
      </c>
      <c r="F2509" t="s">
        <v>26</v>
      </c>
      <c r="G2509" s="4">
        <v>5</v>
      </c>
      <c r="H2509" s="4" t="s">
        <v>14</v>
      </c>
      <c r="I2509" s="4" t="s">
        <v>69</v>
      </c>
      <c r="J2509" s="4" t="s">
        <v>73</v>
      </c>
      <c r="K2509" s="4">
        <v>1</v>
      </c>
      <c r="L2509" s="94">
        <v>-590747</v>
      </c>
      <c r="M2509" s="94">
        <v>0</v>
      </c>
    </row>
    <row r="2510" spans="3:13" x14ac:dyDescent="0.3">
      <c r="C2510" t="s">
        <v>70</v>
      </c>
      <c r="D2510" t="s">
        <v>67</v>
      </c>
      <c r="E2510" t="s">
        <v>63</v>
      </c>
      <c r="F2510" t="s">
        <v>25</v>
      </c>
      <c r="G2510" s="4">
        <v>15</v>
      </c>
      <c r="H2510" s="4" t="s">
        <v>79</v>
      </c>
      <c r="I2510" s="4" t="s">
        <v>69</v>
      </c>
      <c r="J2510" s="4" t="s">
        <v>66</v>
      </c>
      <c r="K2510" s="4">
        <v>0</v>
      </c>
      <c r="L2510" s="94">
        <v>-17414</v>
      </c>
      <c r="M2510" s="94">
        <v>0</v>
      </c>
    </row>
    <row r="2511" spans="3:13" x14ac:dyDescent="0.3">
      <c r="C2511" t="s">
        <v>61</v>
      </c>
      <c r="D2511" t="s">
        <v>62</v>
      </c>
      <c r="E2511" t="s">
        <v>68</v>
      </c>
      <c r="F2511" t="s">
        <v>24</v>
      </c>
      <c r="G2511" s="4">
        <v>29</v>
      </c>
      <c r="I2511" s="4" t="s">
        <v>69</v>
      </c>
      <c r="J2511" s="4" t="s">
        <v>66</v>
      </c>
      <c r="K2511" s="4">
        <v>1</v>
      </c>
      <c r="L2511" s="94">
        <v>2057204</v>
      </c>
      <c r="M2511" s="94">
        <v>59658916</v>
      </c>
    </row>
    <row r="2512" spans="3:13" x14ac:dyDescent="0.3">
      <c r="C2512" t="s">
        <v>70</v>
      </c>
      <c r="D2512" t="s">
        <v>62</v>
      </c>
      <c r="E2512" t="s">
        <v>63</v>
      </c>
      <c r="F2512" t="s">
        <v>24</v>
      </c>
      <c r="G2512" s="4">
        <v>23</v>
      </c>
      <c r="I2512" s="4" t="s">
        <v>69</v>
      </c>
      <c r="J2512" s="4" t="s">
        <v>73</v>
      </c>
      <c r="K2512" s="4">
        <v>1</v>
      </c>
      <c r="L2512" s="94">
        <v>-4</v>
      </c>
      <c r="M2512" s="94">
        <v>0</v>
      </c>
    </row>
    <row r="2513" spans="3:13" x14ac:dyDescent="0.3">
      <c r="C2513" t="s">
        <v>70</v>
      </c>
      <c r="D2513" t="s">
        <v>67</v>
      </c>
      <c r="E2513" t="s">
        <v>68</v>
      </c>
      <c r="F2513" t="s">
        <v>72</v>
      </c>
      <c r="G2513" s="4">
        <v>4</v>
      </c>
      <c r="H2513" s="4" t="s">
        <v>17</v>
      </c>
      <c r="I2513" s="4" t="s">
        <v>65</v>
      </c>
      <c r="J2513" s="4" t="s">
        <v>73</v>
      </c>
      <c r="K2513" s="4">
        <v>1</v>
      </c>
      <c r="L2513" s="94">
        <v>102638</v>
      </c>
      <c r="M2513" s="94">
        <v>410552</v>
      </c>
    </row>
    <row r="2514" spans="3:13" x14ac:dyDescent="0.3">
      <c r="C2514" t="s">
        <v>70</v>
      </c>
      <c r="D2514" t="s">
        <v>67</v>
      </c>
      <c r="E2514" t="s">
        <v>63</v>
      </c>
      <c r="F2514" t="s">
        <v>72</v>
      </c>
      <c r="G2514" s="4">
        <v>-1</v>
      </c>
      <c r="H2514" s="4" t="s">
        <v>77</v>
      </c>
      <c r="I2514" s="4" t="s">
        <v>69</v>
      </c>
      <c r="J2514" s="4" t="s">
        <v>66</v>
      </c>
      <c r="K2514" s="4">
        <v>0</v>
      </c>
      <c r="L2514" s="94">
        <v>-15426</v>
      </c>
      <c r="M2514" s="94">
        <v>0</v>
      </c>
    </row>
    <row r="2515" spans="3:13" x14ac:dyDescent="0.3">
      <c r="C2515" t="s">
        <v>61</v>
      </c>
      <c r="D2515" t="s">
        <v>62</v>
      </c>
      <c r="E2515" t="s">
        <v>68</v>
      </c>
      <c r="F2515" t="s">
        <v>24</v>
      </c>
      <c r="G2515" s="4">
        <v>24</v>
      </c>
      <c r="I2515" s="4" t="s">
        <v>69</v>
      </c>
      <c r="J2515" s="4" t="s">
        <v>66</v>
      </c>
      <c r="K2515" s="4">
        <v>1</v>
      </c>
      <c r="L2515" s="94">
        <v>2006726</v>
      </c>
      <c r="M2515" s="94">
        <v>48161424</v>
      </c>
    </row>
    <row r="2516" spans="3:13" x14ac:dyDescent="0.3">
      <c r="C2516" t="s">
        <v>61</v>
      </c>
      <c r="D2516" t="s">
        <v>67</v>
      </c>
      <c r="E2516" t="s">
        <v>63</v>
      </c>
      <c r="F2516" t="s">
        <v>26</v>
      </c>
      <c r="G2516" s="4">
        <v>9</v>
      </c>
      <c r="H2516" s="4" t="s">
        <v>14</v>
      </c>
      <c r="I2516" s="4" t="s">
        <v>69</v>
      </c>
      <c r="J2516" s="4" t="s">
        <v>66</v>
      </c>
      <c r="K2516" s="4">
        <v>0</v>
      </c>
      <c r="L2516" s="94">
        <v>-28340</v>
      </c>
      <c r="M2516" s="94">
        <v>0</v>
      </c>
    </row>
    <row r="2517" spans="3:13" x14ac:dyDescent="0.3">
      <c r="C2517" t="s">
        <v>61</v>
      </c>
      <c r="D2517" t="s">
        <v>67</v>
      </c>
      <c r="E2517" t="s">
        <v>63</v>
      </c>
      <c r="F2517" t="s">
        <v>26</v>
      </c>
      <c r="G2517" s="4">
        <v>4</v>
      </c>
      <c r="H2517" s="4" t="s">
        <v>17</v>
      </c>
      <c r="I2517" s="4" t="s">
        <v>69</v>
      </c>
      <c r="J2517" s="4" t="s">
        <v>66</v>
      </c>
      <c r="K2517" s="4">
        <v>0</v>
      </c>
      <c r="L2517" s="94">
        <v>-79908</v>
      </c>
      <c r="M2517" s="94">
        <v>0</v>
      </c>
    </row>
    <row r="2518" spans="3:13" x14ac:dyDescent="0.3">
      <c r="C2518" t="s">
        <v>70</v>
      </c>
      <c r="D2518" t="s">
        <v>67</v>
      </c>
      <c r="E2518" t="s">
        <v>63</v>
      </c>
      <c r="F2518" t="s">
        <v>25</v>
      </c>
      <c r="G2518" s="4">
        <v>6</v>
      </c>
      <c r="H2518" s="4" t="s">
        <v>76</v>
      </c>
      <c r="I2518" s="4" t="s">
        <v>69</v>
      </c>
      <c r="J2518" s="4" t="s">
        <v>66</v>
      </c>
      <c r="K2518" s="4">
        <v>0</v>
      </c>
      <c r="L2518" s="94">
        <v>-331237</v>
      </c>
      <c r="M2518" s="94">
        <v>0</v>
      </c>
    </row>
    <row r="2519" spans="3:13" x14ac:dyDescent="0.3">
      <c r="C2519" t="s">
        <v>71</v>
      </c>
      <c r="D2519" t="s">
        <v>67</v>
      </c>
      <c r="E2519" t="s">
        <v>63</v>
      </c>
      <c r="F2519" t="s">
        <v>72</v>
      </c>
      <c r="G2519" s="4">
        <v>4</v>
      </c>
      <c r="H2519" s="4" t="s">
        <v>82</v>
      </c>
      <c r="I2519" s="4" t="s">
        <v>69</v>
      </c>
      <c r="J2519" s="4" t="s">
        <v>66</v>
      </c>
      <c r="K2519" s="4">
        <v>0</v>
      </c>
      <c r="L2519" s="94">
        <v>-62772</v>
      </c>
      <c r="M2519" s="94">
        <v>0</v>
      </c>
    </row>
    <row r="2520" spans="3:13" x14ac:dyDescent="0.3">
      <c r="C2520" t="s">
        <v>61</v>
      </c>
      <c r="D2520" t="s">
        <v>67</v>
      </c>
      <c r="E2520" t="s">
        <v>63</v>
      </c>
      <c r="F2520" t="s">
        <v>25</v>
      </c>
      <c r="G2520" s="4">
        <v>6</v>
      </c>
      <c r="H2520" s="4" t="s">
        <v>82</v>
      </c>
      <c r="I2520" s="4" t="s">
        <v>69</v>
      </c>
      <c r="J2520" s="4" t="s">
        <v>66</v>
      </c>
      <c r="K2520" s="4">
        <v>0</v>
      </c>
      <c r="L2520" s="94">
        <v>-233</v>
      </c>
      <c r="M2520" s="94">
        <v>0</v>
      </c>
    </row>
    <row r="2521" spans="3:13" x14ac:dyDescent="0.3">
      <c r="C2521" t="s">
        <v>61</v>
      </c>
      <c r="D2521" t="s">
        <v>62</v>
      </c>
      <c r="E2521" t="s">
        <v>68</v>
      </c>
      <c r="F2521" t="s">
        <v>24</v>
      </c>
      <c r="G2521" s="4">
        <v>2</v>
      </c>
      <c r="I2521" s="4" t="s">
        <v>69</v>
      </c>
      <c r="J2521" s="4" t="s">
        <v>66</v>
      </c>
      <c r="K2521" s="4">
        <v>0</v>
      </c>
      <c r="L2521" s="94">
        <v>21127909</v>
      </c>
      <c r="M2521" s="94">
        <v>42255818</v>
      </c>
    </row>
    <row r="2522" spans="3:13" x14ac:dyDescent="0.3">
      <c r="C2522" t="s">
        <v>71</v>
      </c>
      <c r="D2522" t="s">
        <v>67</v>
      </c>
      <c r="E2522" t="s">
        <v>63</v>
      </c>
      <c r="F2522" t="s">
        <v>72</v>
      </c>
      <c r="G2522" s="4">
        <v>1</v>
      </c>
      <c r="H2522" s="4" t="s">
        <v>13</v>
      </c>
      <c r="I2522" s="4" t="s">
        <v>69</v>
      </c>
      <c r="J2522" s="4" t="s">
        <v>73</v>
      </c>
      <c r="K2522" s="4">
        <v>1</v>
      </c>
      <c r="L2522" s="94">
        <v>-43586</v>
      </c>
      <c r="M2522" s="94">
        <v>0</v>
      </c>
    </row>
    <row r="2523" spans="3:13" x14ac:dyDescent="0.3">
      <c r="C2523" t="s">
        <v>70</v>
      </c>
      <c r="D2523" t="s">
        <v>67</v>
      </c>
      <c r="E2523" t="s">
        <v>68</v>
      </c>
      <c r="F2523" t="s">
        <v>72</v>
      </c>
      <c r="G2523" s="4">
        <v>7</v>
      </c>
      <c r="H2523" s="4" t="s">
        <v>83</v>
      </c>
      <c r="I2523" s="4" t="s">
        <v>69</v>
      </c>
      <c r="J2523" s="4" t="s">
        <v>66</v>
      </c>
      <c r="K2523" s="4">
        <v>0</v>
      </c>
      <c r="L2523" s="94">
        <v>242677</v>
      </c>
      <c r="M2523" s="94">
        <v>1698739</v>
      </c>
    </row>
    <row r="2524" spans="3:13" x14ac:dyDescent="0.3">
      <c r="C2524" t="s">
        <v>71</v>
      </c>
      <c r="D2524" t="s">
        <v>67</v>
      </c>
      <c r="E2524" t="s">
        <v>63</v>
      </c>
      <c r="F2524" t="s">
        <v>26</v>
      </c>
      <c r="G2524" s="4">
        <v>0</v>
      </c>
      <c r="H2524" s="4" t="s">
        <v>75</v>
      </c>
      <c r="I2524" s="4" t="s">
        <v>69</v>
      </c>
      <c r="J2524" s="4" t="s">
        <v>66</v>
      </c>
      <c r="K2524" s="4">
        <v>0</v>
      </c>
      <c r="L2524" s="94">
        <v>-25483</v>
      </c>
      <c r="M2524" s="94">
        <v>0</v>
      </c>
    </row>
    <row r="2525" spans="3:13" x14ac:dyDescent="0.3">
      <c r="C2525" t="s">
        <v>61</v>
      </c>
      <c r="D2525" t="s">
        <v>67</v>
      </c>
      <c r="E2525" t="s">
        <v>68</v>
      </c>
      <c r="F2525" t="s">
        <v>72</v>
      </c>
      <c r="G2525" s="4">
        <v>3</v>
      </c>
      <c r="H2525" s="4" t="s">
        <v>14</v>
      </c>
      <c r="I2525" s="4" t="s">
        <v>65</v>
      </c>
      <c r="J2525" s="4" t="s">
        <v>73</v>
      </c>
      <c r="K2525" s="4">
        <v>1</v>
      </c>
      <c r="L2525" s="94">
        <v>18701</v>
      </c>
      <c r="M2525" s="94">
        <v>56103</v>
      </c>
    </row>
    <row r="2526" spans="3:13" x14ac:dyDescent="0.3">
      <c r="C2526" t="s">
        <v>61</v>
      </c>
      <c r="D2526" t="s">
        <v>67</v>
      </c>
      <c r="E2526" t="s">
        <v>68</v>
      </c>
      <c r="F2526" t="s">
        <v>25</v>
      </c>
      <c r="G2526" s="4">
        <v>10</v>
      </c>
      <c r="H2526" s="4" t="s">
        <v>18</v>
      </c>
      <c r="I2526" s="4" t="s">
        <v>69</v>
      </c>
      <c r="J2526" s="4" t="s">
        <v>66</v>
      </c>
      <c r="K2526" s="4">
        <v>0</v>
      </c>
      <c r="L2526" s="94">
        <v>10699255</v>
      </c>
      <c r="M2526" s="94">
        <v>106992550</v>
      </c>
    </row>
    <row r="2527" spans="3:13" x14ac:dyDescent="0.3">
      <c r="C2527" t="s">
        <v>71</v>
      </c>
      <c r="D2527" t="s">
        <v>67</v>
      </c>
      <c r="E2527" t="s">
        <v>63</v>
      </c>
      <c r="F2527" t="s">
        <v>26</v>
      </c>
      <c r="G2527" s="4">
        <v>-4</v>
      </c>
      <c r="H2527" s="4" t="s">
        <v>64</v>
      </c>
      <c r="I2527" s="4" t="s">
        <v>69</v>
      </c>
      <c r="J2527" s="4" t="s">
        <v>66</v>
      </c>
      <c r="K2527" s="4">
        <v>0</v>
      </c>
      <c r="L2527" s="94">
        <v>-554193</v>
      </c>
      <c r="M2527" s="94">
        <v>0</v>
      </c>
    </row>
    <row r="2528" spans="3:13" x14ac:dyDescent="0.3">
      <c r="C2528" t="s">
        <v>71</v>
      </c>
      <c r="D2528" t="s">
        <v>67</v>
      </c>
      <c r="E2528" t="s">
        <v>68</v>
      </c>
      <c r="F2528" t="s">
        <v>72</v>
      </c>
      <c r="G2528" s="4">
        <v>1</v>
      </c>
      <c r="H2528" s="4" t="s">
        <v>12</v>
      </c>
      <c r="I2528" s="4" t="s">
        <v>69</v>
      </c>
      <c r="J2528" s="4" t="s">
        <v>66</v>
      </c>
      <c r="K2528" s="4">
        <v>0</v>
      </c>
      <c r="L2528" s="94">
        <v>47165</v>
      </c>
      <c r="M2528" s="94">
        <v>47165</v>
      </c>
    </row>
    <row r="2529" spans="3:13" x14ac:dyDescent="0.3">
      <c r="C2529" t="s">
        <v>71</v>
      </c>
      <c r="D2529" t="s">
        <v>67</v>
      </c>
      <c r="E2529" t="s">
        <v>63</v>
      </c>
      <c r="F2529" t="s">
        <v>25</v>
      </c>
      <c r="G2529" s="4">
        <v>11</v>
      </c>
      <c r="H2529" s="4" t="s">
        <v>76</v>
      </c>
      <c r="I2529" s="4" t="s">
        <v>69</v>
      </c>
      <c r="J2529" s="4" t="s">
        <v>66</v>
      </c>
      <c r="K2529" s="4">
        <v>0</v>
      </c>
      <c r="L2529" s="94">
        <v>-22332</v>
      </c>
      <c r="M2529" s="94">
        <v>0</v>
      </c>
    </row>
    <row r="2530" spans="3:13" x14ac:dyDescent="0.3">
      <c r="C2530" t="s">
        <v>70</v>
      </c>
      <c r="D2530" t="s">
        <v>62</v>
      </c>
      <c r="E2530" t="s">
        <v>63</v>
      </c>
      <c r="F2530" t="s">
        <v>24</v>
      </c>
      <c r="G2530" s="4">
        <v>-1</v>
      </c>
      <c r="I2530" s="4" t="s">
        <v>69</v>
      </c>
      <c r="J2530" s="4" t="s">
        <v>66</v>
      </c>
      <c r="K2530" s="4">
        <v>0</v>
      </c>
      <c r="L2530" s="94">
        <v>-3811</v>
      </c>
      <c r="M2530" s="94">
        <v>0</v>
      </c>
    </row>
    <row r="2531" spans="3:13" x14ac:dyDescent="0.3">
      <c r="C2531" t="s">
        <v>61</v>
      </c>
      <c r="D2531" t="s">
        <v>67</v>
      </c>
      <c r="E2531" t="s">
        <v>68</v>
      </c>
      <c r="F2531" t="s">
        <v>25</v>
      </c>
      <c r="G2531" s="4">
        <v>13</v>
      </c>
      <c r="H2531" s="4" t="s">
        <v>74</v>
      </c>
      <c r="I2531" s="4" t="s">
        <v>69</v>
      </c>
      <c r="J2531" s="4" t="s">
        <v>66</v>
      </c>
      <c r="K2531" s="4">
        <v>0</v>
      </c>
      <c r="L2531" s="94">
        <v>2679192</v>
      </c>
      <c r="M2531" s="94">
        <v>34829496</v>
      </c>
    </row>
    <row r="2532" spans="3:13" x14ac:dyDescent="0.3">
      <c r="C2532" t="s">
        <v>61</v>
      </c>
      <c r="D2532" t="s">
        <v>67</v>
      </c>
      <c r="E2532" t="s">
        <v>63</v>
      </c>
      <c r="F2532" t="s">
        <v>72</v>
      </c>
      <c r="G2532" s="4">
        <v>1</v>
      </c>
      <c r="H2532" s="4" t="s">
        <v>13</v>
      </c>
      <c r="I2532" s="4" t="s">
        <v>69</v>
      </c>
      <c r="J2532" s="4" t="s">
        <v>66</v>
      </c>
      <c r="K2532" s="4">
        <v>0</v>
      </c>
      <c r="L2532" s="94">
        <v>-121</v>
      </c>
      <c r="M2532" s="94">
        <v>0</v>
      </c>
    </row>
    <row r="2533" spans="3:13" x14ac:dyDescent="0.3">
      <c r="C2533" t="s">
        <v>61</v>
      </c>
      <c r="D2533" t="s">
        <v>67</v>
      </c>
      <c r="E2533" t="s">
        <v>63</v>
      </c>
      <c r="F2533" t="s">
        <v>25</v>
      </c>
      <c r="G2533" s="4">
        <v>-4</v>
      </c>
      <c r="H2533" s="4" t="s">
        <v>76</v>
      </c>
      <c r="I2533" s="4" t="s">
        <v>69</v>
      </c>
      <c r="J2533" s="4" t="s">
        <v>66</v>
      </c>
      <c r="K2533" s="4">
        <v>0</v>
      </c>
      <c r="L2533" s="94">
        <v>0</v>
      </c>
      <c r="M2533" s="94">
        <v>0</v>
      </c>
    </row>
    <row r="2534" spans="3:13" x14ac:dyDescent="0.3">
      <c r="C2534" t="s">
        <v>70</v>
      </c>
      <c r="D2534" t="s">
        <v>67</v>
      </c>
      <c r="E2534" t="s">
        <v>63</v>
      </c>
      <c r="F2534" t="s">
        <v>25</v>
      </c>
      <c r="G2534" s="4">
        <v>-4</v>
      </c>
      <c r="H2534" s="4" t="s">
        <v>82</v>
      </c>
      <c r="I2534" s="4" t="s">
        <v>69</v>
      </c>
      <c r="J2534" s="4" t="s">
        <v>66</v>
      </c>
      <c r="K2534" s="4">
        <v>0</v>
      </c>
      <c r="L2534" s="94">
        <v>-25146</v>
      </c>
      <c r="M2534" s="94">
        <v>0</v>
      </c>
    </row>
    <row r="2535" spans="3:13" x14ac:dyDescent="0.3">
      <c r="C2535" t="s">
        <v>61</v>
      </c>
      <c r="D2535" t="s">
        <v>67</v>
      </c>
      <c r="E2535" t="s">
        <v>68</v>
      </c>
      <c r="F2535" t="s">
        <v>26</v>
      </c>
      <c r="G2535" s="4">
        <v>3</v>
      </c>
      <c r="H2535" s="4" t="s">
        <v>16</v>
      </c>
      <c r="I2535" s="4" t="s">
        <v>69</v>
      </c>
      <c r="J2535" s="4" t="s">
        <v>66</v>
      </c>
      <c r="K2535" s="4">
        <v>0</v>
      </c>
      <c r="L2535" s="94">
        <v>5094693</v>
      </c>
      <c r="M2535" s="94">
        <v>15284079</v>
      </c>
    </row>
    <row r="2536" spans="3:13" x14ac:dyDescent="0.3">
      <c r="C2536" t="s">
        <v>61</v>
      </c>
      <c r="D2536" t="s">
        <v>62</v>
      </c>
      <c r="E2536" t="s">
        <v>63</v>
      </c>
      <c r="F2536" t="s">
        <v>25</v>
      </c>
      <c r="G2536" s="4">
        <v>1</v>
      </c>
      <c r="I2536" s="4" t="s">
        <v>69</v>
      </c>
      <c r="J2536" s="4" t="s">
        <v>66</v>
      </c>
      <c r="K2536" s="4">
        <v>0</v>
      </c>
      <c r="L2536" s="94">
        <v>-5243</v>
      </c>
      <c r="M2536" s="94">
        <v>0</v>
      </c>
    </row>
    <row r="2537" spans="3:13" x14ac:dyDescent="0.3">
      <c r="C2537" t="s">
        <v>61</v>
      </c>
      <c r="D2537" t="s">
        <v>67</v>
      </c>
      <c r="E2537" t="s">
        <v>63</v>
      </c>
      <c r="F2537" t="s">
        <v>25</v>
      </c>
      <c r="G2537" s="4">
        <v>1</v>
      </c>
      <c r="H2537" s="4" t="s">
        <v>17</v>
      </c>
      <c r="I2537" s="4" t="s">
        <v>69</v>
      </c>
      <c r="J2537" s="4" t="s">
        <v>66</v>
      </c>
      <c r="K2537" s="4">
        <v>0</v>
      </c>
      <c r="L2537" s="94">
        <v>-40868</v>
      </c>
      <c r="M2537" s="94">
        <v>0</v>
      </c>
    </row>
    <row r="2538" spans="3:13" x14ac:dyDescent="0.3">
      <c r="C2538" t="s">
        <v>71</v>
      </c>
      <c r="D2538" t="s">
        <v>67</v>
      </c>
      <c r="E2538" t="s">
        <v>68</v>
      </c>
      <c r="F2538" t="s">
        <v>26</v>
      </c>
      <c r="G2538" s="4">
        <v>-1</v>
      </c>
      <c r="H2538" s="4" t="s">
        <v>74</v>
      </c>
      <c r="I2538" s="4" t="s">
        <v>69</v>
      </c>
      <c r="J2538" s="4" t="s">
        <v>66</v>
      </c>
      <c r="K2538" s="4">
        <v>0</v>
      </c>
      <c r="L2538" s="94">
        <v>2270788</v>
      </c>
      <c r="M2538" s="94">
        <v>0</v>
      </c>
    </row>
    <row r="2539" spans="3:13" x14ac:dyDescent="0.3">
      <c r="C2539" t="s">
        <v>61</v>
      </c>
      <c r="D2539" t="s">
        <v>67</v>
      </c>
      <c r="E2539" t="s">
        <v>68</v>
      </c>
      <c r="F2539" t="s">
        <v>72</v>
      </c>
      <c r="G2539" s="4">
        <v>6</v>
      </c>
      <c r="H2539" s="4" t="s">
        <v>75</v>
      </c>
      <c r="I2539" s="4" t="s">
        <v>69</v>
      </c>
      <c r="J2539" s="4" t="s">
        <v>66</v>
      </c>
      <c r="K2539" s="4">
        <v>0</v>
      </c>
      <c r="L2539" s="94">
        <v>1367036</v>
      </c>
      <c r="M2539" s="94">
        <v>8202216</v>
      </c>
    </row>
    <row r="2540" spans="3:13" x14ac:dyDescent="0.3">
      <c r="C2540" t="s">
        <v>70</v>
      </c>
      <c r="D2540" t="s">
        <v>67</v>
      </c>
      <c r="E2540" t="s">
        <v>68</v>
      </c>
      <c r="F2540" t="s">
        <v>72</v>
      </c>
      <c r="G2540" s="4">
        <v>1</v>
      </c>
      <c r="H2540" s="4" t="s">
        <v>14</v>
      </c>
      <c r="I2540" s="4" t="s">
        <v>69</v>
      </c>
      <c r="J2540" s="4" t="s">
        <v>73</v>
      </c>
      <c r="K2540" s="4">
        <v>1</v>
      </c>
      <c r="L2540" s="94">
        <v>828235</v>
      </c>
      <c r="M2540" s="94">
        <v>828235</v>
      </c>
    </row>
    <row r="2541" spans="3:13" x14ac:dyDescent="0.3">
      <c r="C2541" t="s">
        <v>70</v>
      </c>
      <c r="D2541" t="s">
        <v>67</v>
      </c>
      <c r="E2541" t="s">
        <v>68</v>
      </c>
      <c r="F2541" t="s">
        <v>72</v>
      </c>
      <c r="G2541" s="4">
        <v>2</v>
      </c>
      <c r="H2541" s="4" t="s">
        <v>76</v>
      </c>
      <c r="I2541" s="4" t="s">
        <v>69</v>
      </c>
      <c r="J2541" s="4" t="s">
        <v>66</v>
      </c>
      <c r="K2541" s="4">
        <v>0</v>
      </c>
      <c r="L2541" s="94">
        <v>213135</v>
      </c>
      <c r="M2541" s="94">
        <v>426270</v>
      </c>
    </row>
    <row r="2542" spans="3:13" x14ac:dyDescent="0.3">
      <c r="C2542" t="s">
        <v>70</v>
      </c>
      <c r="D2542" t="s">
        <v>62</v>
      </c>
      <c r="E2542" t="s">
        <v>68</v>
      </c>
      <c r="F2542" t="s">
        <v>25</v>
      </c>
      <c r="G2542" s="4">
        <v>5</v>
      </c>
      <c r="I2542" s="4" t="s">
        <v>69</v>
      </c>
      <c r="J2542" s="4" t="s">
        <v>66</v>
      </c>
      <c r="K2542" s="4">
        <v>0</v>
      </c>
      <c r="L2542" s="94">
        <v>895958</v>
      </c>
      <c r="M2542" s="94">
        <v>4479790</v>
      </c>
    </row>
    <row r="2543" spans="3:13" x14ac:dyDescent="0.3">
      <c r="C2543" t="s">
        <v>70</v>
      </c>
      <c r="D2543" t="s">
        <v>67</v>
      </c>
      <c r="E2543" t="s">
        <v>68</v>
      </c>
      <c r="F2543" t="s">
        <v>25</v>
      </c>
      <c r="G2543" s="4">
        <v>4</v>
      </c>
      <c r="H2543" s="4" t="s">
        <v>14</v>
      </c>
      <c r="I2543" s="4" t="s">
        <v>69</v>
      </c>
      <c r="J2543" s="4" t="s">
        <v>66</v>
      </c>
      <c r="K2543" s="4">
        <v>0</v>
      </c>
      <c r="L2543" s="94">
        <v>1535250</v>
      </c>
      <c r="M2543" s="94">
        <v>6141000</v>
      </c>
    </row>
    <row r="2544" spans="3:13" x14ac:dyDescent="0.3">
      <c r="C2544" t="s">
        <v>70</v>
      </c>
      <c r="D2544" t="s">
        <v>62</v>
      </c>
      <c r="E2544" t="s">
        <v>63</v>
      </c>
      <c r="F2544" t="s">
        <v>25</v>
      </c>
      <c r="G2544" s="4">
        <v>0</v>
      </c>
      <c r="I2544" s="4" t="s">
        <v>65</v>
      </c>
      <c r="J2544" s="4" t="s">
        <v>66</v>
      </c>
      <c r="K2544" s="4">
        <v>1</v>
      </c>
      <c r="L2544" s="94">
        <v>-6</v>
      </c>
      <c r="M2544" s="94">
        <v>0</v>
      </c>
    </row>
    <row r="2545" spans="3:13" x14ac:dyDescent="0.3">
      <c r="C2545" t="s">
        <v>70</v>
      </c>
      <c r="D2545" t="s">
        <v>62</v>
      </c>
      <c r="E2545" t="s">
        <v>68</v>
      </c>
      <c r="F2545" t="s">
        <v>24</v>
      </c>
      <c r="G2545" s="4">
        <v>20</v>
      </c>
      <c r="I2545" s="4" t="s">
        <v>69</v>
      </c>
      <c r="J2545" s="4" t="s">
        <v>66</v>
      </c>
      <c r="K2545" s="4">
        <v>0</v>
      </c>
      <c r="L2545" s="94">
        <v>46293226</v>
      </c>
      <c r="M2545" s="94">
        <v>925864520</v>
      </c>
    </row>
    <row r="2546" spans="3:13" x14ac:dyDescent="0.3">
      <c r="C2546" t="s">
        <v>61</v>
      </c>
      <c r="D2546" t="s">
        <v>67</v>
      </c>
      <c r="E2546" t="s">
        <v>63</v>
      </c>
      <c r="F2546" t="s">
        <v>72</v>
      </c>
      <c r="G2546" s="4">
        <v>-1</v>
      </c>
      <c r="H2546" s="4" t="s">
        <v>77</v>
      </c>
      <c r="I2546" s="4" t="s">
        <v>69</v>
      </c>
      <c r="J2546" s="4" t="s">
        <v>66</v>
      </c>
      <c r="K2546" s="4">
        <v>0</v>
      </c>
      <c r="L2546" s="94">
        <v>-737</v>
      </c>
      <c r="M2546" s="94">
        <v>0</v>
      </c>
    </row>
    <row r="2547" spans="3:13" x14ac:dyDescent="0.3">
      <c r="C2547" t="s">
        <v>61</v>
      </c>
      <c r="D2547" t="s">
        <v>67</v>
      </c>
      <c r="E2547" t="s">
        <v>68</v>
      </c>
      <c r="F2547" t="s">
        <v>26</v>
      </c>
      <c r="G2547" s="4">
        <v>5</v>
      </c>
      <c r="H2547" s="4" t="s">
        <v>81</v>
      </c>
      <c r="I2547" s="4" t="s">
        <v>69</v>
      </c>
      <c r="J2547" s="4" t="s">
        <v>66</v>
      </c>
      <c r="K2547" s="4">
        <v>0</v>
      </c>
      <c r="L2547" s="94">
        <v>246453</v>
      </c>
      <c r="M2547" s="94">
        <v>1232265</v>
      </c>
    </row>
    <row r="2548" spans="3:13" x14ac:dyDescent="0.3">
      <c r="C2548" t="s">
        <v>70</v>
      </c>
      <c r="D2548" t="s">
        <v>67</v>
      </c>
      <c r="E2548" t="s">
        <v>63</v>
      </c>
      <c r="F2548" t="s">
        <v>25</v>
      </c>
      <c r="G2548" s="4">
        <v>5</v>
      </c>
      <c r="H2548" s="4" t="s">
        <v>14</v>
      </c>
      <c r="I2548" s="4" t="s">
        <v>69</v>
      </c>
      <c r="J2548" s="4" t="s">
        <v>66</v>
      </c>
      <c r="K2548" s="4">
        <v>1</v>
      </c>
      <c r="L2548" s="94">
        <v>-41733</v>
      </c>
      <c r="M2548" s="94">
        <v>0</v>
      </c>
    </row>
    <row r="2549" spans="3:13" x14ac:dyDescent="0.3">
      <c r="C2549" t="s">
        <v>61</v>
      </c>
      <c r="D2549" t="s">
        <v>62</v>
      </c>
      <c r="E2549" t="s">
        <v>68</v>
      </c>
      <c r="F2549" t="s">
        <v>24</v>
      </c>
      <c r="G2549" s="4">
        <v>20</v>
      </c>
      <c r="I2549" s="4" t="s">
        <v>65</v>
      </c>
      <c r="J2549" s="4" t="s">
        <v>66</v>
      </c>
      <c r="K2549" s="4">
        <v>1</v>
      </c>
      <c r="L2549" s="94">
        <v>7791587</v>
      </c>
      <c r="M2549" s="94">
        <v>155831740</v>
      </c>
    </row>
    <row r="2550" spans="3:13" x14ac:dyDescent="0.3">
      <c r="C2550" t="s">
        <v>61</v>
      </c>
      <c r="D2550" t="s">
        <v>67</v>
      </c>
      <c r="E2550" t="s">
        <v>63</v>
      </c>
      <c r="F2550" t="s">
        <v>26</v>
      </c>
      <c r="G2550" s="4">
        <v>0</v>
      </c>
      <c r="H2550" s="4" t="s">
        <v>64</v>
      </c>
      <c r="I2550" s="4" t="s">
        <v>69</v>
      </c>
      <c r="J2550" s="4" t="s">
        <v>66</v>
      </c>
      <c r="K2550" s="4">
        <v>0</v>
      </c>
      <c r="L2550" s="94">
        <v>-78761</v>
      </c>
      <c r="M2550" s="94">
        <v>0</v>
      </c>
    </row>
    <row r="2551" spans="3:13" x14ac:dyDescent="0.3">
      <c r="C2551" t="s">
        <v>70</v>
      </c>
      <c r="D2551" t="s">
        <v>67</v>
      </c>
      <c r="E2551" t="s">
        <v>68</v>
      </c>
      <c r="F2551" t="s">
        <v>26</v>
      </c>
      <c r="G2551" s="4">
        <v>0</v>
      </c>
      <c r="H2551" s="4" t="s">
        <v>14</v>
      </c>
      <c r="I2551" s="4" t="s">
        <v>69</v>
      </c>
      <c r="J2551" s="4" t="s">
        <v>73</v>
      </c>
      <c r="K2551" s="4">
        <v>1</v>
      </c>
      <c r="L2551" s="94">
        <v>7361682</v>
      </c>
      <c r="M2551" s="94">
        <v>0</v>
      </c>
    </row>
    <row r="2552" spans="3:13" x14ac:dyDescent="0.3">
      <c r="C2552" t="s">
        <v>70</v>
      </c>
      <c r="D2552" t="s">
        <v>67</v>
      </c>
      <c r="E2552" t="s">
        <v>63</v>
      </c>
      <c r="F2552" t="s">
        <v>25</v>
      </c>
      <c r="G2552" s="4">
        <v>11</v>
      </c>
      <c r="H2552" s="4" t="s">
        <v>75</v>
      </c>
      <c r="I2552" s="4" t="s">
        <v>69</v>
      </c>
      <c r="J2552" s="4" t="s">
        <v>66</v>
      </c>
      <c r="K2552" s="4">
        <v>0</v>
      </c>
      <c r="L2552" s="94">
        <v>-317465</v>
      </c>
      <c r="M2552" s="94">
        <v>0</v>
      </c>
    </row>
    <row r="2553" spans="3:13" x14ac:dyDescent="0.3">
      <c r="C2553" t="s">
        <v>61</v>
      </c>
      <c r="D2553" t="s">
        <v>67</v>
      </c>
      <c r="E2553" t="s">
        <v>68</v>
      </c>
      <c r="F2553" t="s">
        <v>25</v>
      </c>
      <c r="G2553" s="4">
        <v>7</v>
      </c>
      <c r="H2553" s="4" t="s">
        <v>15</v>
      </c>
      <c r="I2553" s="4" t="s">
        <v>69</v>
      </c>
      <c r="J2553" s="4" t="s">
        <v>66</v>
      </c>
      <c r="K2553" s="4">
        <v>0</v>
      </c>
      <c r="L2553" s="94">
        <v>61783</v>
      </c>
      <c r="M2553" s="94">
        <v>432481</v>
      </c>
    </row>
    <row r="2554" spans="3:13" x14ac:dyDescent="0.3">
      <c r="C2554" t="s">
        <v>61</v>
      </c>
      <c r="D2554" t="s">
        <v>67</v>
      </c>
      <c r="E2554" t="s">
        <v>68</v>
      </c>
      <c r="F2554" t="s">
        <v>26</v>
      </c>
      <c r="G2554" s="4">
        <v>4</v>
      </c>
      <c r="H2554" s="4" t="s">
        <v>82</v>
      </c>
      <c r="I2554" s="4" t="s">
        <v>69</v>
      </c>
      <c r="J2554" s="4" t="s">
        <v>66</v>
      </c>
      <c r="K2554" s="4">
        <v>0</v>
      </c>
      <c r="L2554" s="94">
        <v>13268811</v>
      </c>
      <c r="M2554" s="94">
        <v>53075244</v>
      </c>
    </row>
    <row r="2555" spans="3:13" x14ac:dyDescent="0.3">
      <c r="C2555" t="s">
        <v>61</v>
      </c>
      <c r="D2555" t="s">
        <v>67</v>
      </c>
      <c r="E2555" t="s">
        <v>68</v>
      </c>
      <c r="F2555" t="s">
        <v>26</v>
      </c>
      <c r="G2555" s="4">
        <v>10</v>
      </c>
      <c r="H2555" s="4" t="s">
        <v>78</v>
      </c>
      <c r="I2555" s="4" t="s">
        <v>69</v>
      </c>
      <c r="J2555" s="4" t="s">
        <v>66</v>
      </c>
      <c r="K2555" s="4">
        <v>0</v>
      </c>
      <c r="L2555" s="94">
        <v>3614309</v>
      </c>
      <c r="M2555" s="94">
        <v>36143090</v>
      </c>
    </row>
    <row r="2556" spans="3:13" x14ac:dyDescent="0.3">
      <c r="C2556" t="s">
        <v>70</v>
      </c>
      <c r="D2556" t="s">
        <v>67</v>
      </c>
      <c r="E2556" t="s">
        <v>63</v>
      </c>
      <c r="F2556" t="s">
        <v>25</v>
      </c>
      <c r="G2556" s="4">
        <v>12</v>
      </c>
      <c r="H2556" s="4" t="s">
        <v>80</v>
      </c>
      <c r="I2556" s="4" t="s">
        <v>69</v>
      </c>
      <c r="J2556" s="4" t="s">
        <v>66</v>
      </c>
      <c r="K2556" s="4">
        <v>0</v>
      </c>
      <c r="L2556" s="94">
        <v>-8050</v>
      </c>
      <c r="M2556" s="94">
        <v>0</v>
      </c>
    </row>
    <row r="2557" spans="3:13" x14ac:dyDescent="0.3">
      <c r="C2557" t="s">
        <v>61</v>
      </c>
      <c r="D2557" t="s">
        <v>67</v>
      </c>
      <c r="E2557" t="s">
        <v>68</v>
      </c>
      <c r="F2557" t="s">
        <v>26</v>
      </c>
      <c r="G2557" s="4">
        <v>4</v>
      </c>
      <c r="H2557" s="4" t="s">
        <v>12</v>
      </c>
      <c r="I2557" s="4" t="s">
        <v>65</v>
      </c>
      <c r="J2557" s="4" t="s">
        <v>73</v>
      </c>
      <c r="K2557" s="4">
        <v>1</v>
      </c>
      <c r="L2557" s="94">
        <v>576093</v>
      </c>
      <c r="M2557" s="94">
        <v>2304372</v>
      </c>
    </row>
    <row r="2558" spans="3:13" x14ac:dyDescent="0.3">
      <c r="C2558" t="s">
        <v>70</v>
      </c>
      <c r="D2558" t="s">
        <v>67</v>
      </c>
      <c r="E2558" t="s">
        <v>63</v>
      </c>
      <c r="F2558" t="s">
        <v>25</v>
      </c>
      <c r="G2558" s="4">
        <v>10</v>
      </c>
      <c r="H2558" s="4" t="s">
        <v>18</v>
      </c>
      <c r="I2558" s="4" t="s">
        <v>69</v>
      </c>
      <c r="J2558" s="4" t="s">
        <v>66</v>
      </c>
      <c r="K2558" s="4">
        <v>1</v>
      </c>
      <c r="L2558" s="94">
        <v>-5855</v>
      </c>
      <c r="M2558" s="94">
        <v>0</v>
      </c>
    </row>
    <row r="2559" spans="3:13" x14ac:dyDescent="0.3">
      <c r="C2559" t="s">
        <v>70</v>
      </c>
      <c r="D2559" t="s">
        <v>67</v>
      </c>
      <c r="E2559" t="s">
        <v>63</v>
      </c>
      <c r="F2559" t="s">
        <v>26</v>
      </c>
      <c r="G2559" s="4">
        <v>5</v>
      </c>
      <c r="H2559" s="4" t="s">
        <v>16</v>
      </c>
      <c r="I2559" s="4" t="s">
        <v>69</v>
      </c>
      <c r="J2559" s="4" t="s">
        <v>66</v>
      </c>
      <c r="K2559" s="4">
        <v>0</v>
      </c>
      <c r="L2559" s="94">
        <v>-9009</v>
      </c>
      <c r="M2559" s="94">
        <v>0</v>
      </c>
    </row>
    <row r="2560" spans="3:13" x14ac:dyDescent="0.3">
      <c r="C2560" t="s">
        <v>71</v>
      </c>
      <c r="D2560" t="s">
        <v>67</v>
      </c>
      <c r="E2560" t="s">
        <v>68</v>
      </c>
      <c r="F2560" t="s">
        <v>25</v>
      </c>
      <c r="G2560" s="4">
        <v>3</v>
      </c>
      <c r="H2560" s="4" t="s">
        <v>17</v>
      </c>
      <c r="I2560" s="4" t="s">
        <v>69</v>
      </c>
      <c r="J2560" s="4" t="s">
        <v>66</v>
      </c>
      <c r="K2560" s="4">
        <v>0</v>
      </c>
      <c r="L2560" s="94">
        <v>2765686</v>
      </c>
      <c r="M2560" s="94">
        <v>8297058</v>
      </c>
    </row>
    <row r="2561" spans="3:13" x14ac:dyDescent="0.3">
      <c r="C2561" t="s">
        <v>61</v>
      </c>
      <c r="D2561" t="s">
        <v>67</v>
      </c>
      <c r="E2561" t="s">
        <v>68</v>
      </c>
      <c r="F2561" t="s">
        <v>25</v>
      </c>
      <c r="G2561" s="4">
        <v>5</v>
      </c>
      <c r="H2561" s="4" t="s">
        <v>18</v>
      </c>
      <c r="I2561" s="4" t="s">
        <v>69</v>
      </c>
      <c r="J2561" s="4" t="s">
        <v>66</v>
      </c>
      <c r="K2561" s="4">
        <v>1</v>
      </c>
      <c r="L2561" s="94">
        <v>375826</v>
      </c>
      <c r="M2561" s="94">
        <v>1879130</v>
      </c>
    </row>
    <row r="2562" spans="3:13" x14ac:dyDescent="0.3">
      <c r="C2562" t="s">
        <v>61</v>
      </c>
      <c r="D2562" t="s">
        <v>67</v>
      </c>
      <c r="E2562" t="s">
        <v>68</v>
      </c>
      <c r="F2562" t="s">
        <v>26</v>
      </c>
      <c r="G2562" s="4">
        <v>1</v>
      </c>
      <c r="H2562" s="4" t="s">
        <v>17</v>
      </c>
      <c r="I2562" s="4" t="s">
        <v>69</v>
      </c>
      <c r="J2562" s="4" t="s">
        <v>73</v>
      </c>
      <c r="K2562" s="4">
        <v>1</v>
      </c>
      <c r="L2562" s="94">
        <v>1005358</v>
      </c>
      <c r="M2562" s="94">
        <v>1005358</v>
      </c>
    </row>
    <row r="2563" spans="3:13" x14ac:dyDescent="0.3">
      <c r="C2563" t="s">
        <v>71</v>
      </c>
      <c r="D2563" t="s">
        <v>67</v>
      </c>
      <c r="E2563" t="s">
        <v>63</v>
      </c>
      <c r="F2563" t="s">
        <v>25</v>
      </c>
      <c r="G2563" s="4">
        <v>3</v>
      </c>
      <c r="H2563" s="4" t="s">
        <v>14</v>
      </c>
      <c r="I2563" s="4" t="s">
        <v>69</v>
      </c>
      <c r="J2563" s="4" t="s">
        <v>66</v>
      </c>
      <c r="K2563" s="4">
        <v>1</v>
      </c>
      <c r="L2563" s="94">
        <v>-362244</v>
      </c>
      <c r="M2563" s="94">
        <v>0</v>
      </c>
    </row>
    <row r="2564" spans="3:13" x14ac:dyDescent="0.3">
      <c r="C2564" t="s">
        <v>70</v>
      </c>
      <c r="D2564" t="s">
        <v>62</v>
      </c>
      <c r="E2564" t="s">
        <v>68</v>
      </c>
      <c r="F2564" t="s">
        <v>24</v>
      </c>
      <c r="G2564" s="4">
        <v>36</v>
      </c>
      <c r="I2564" s="4" t="s">
        <v>69</v>
      </c>
      <c r="J2564" s="4" t="s">
        <v>66</v>
      </c>
      <c r="K2564" s="4">
        <v>1</v>
      </c>
      <c r="L2564" s="94">
        <v>394590</v>
      </c>
      <c r="M2564" s="94">
        <v>14205240</v>
      </c>
    </row>
    <row r="2565" spans="3:13" x14ac:dyDescent="0.3">
      <c r="C2565" t="s">
        <v>61</v>
      </c>
      <c r="D2565" t="s">
        <v>67</v>
      </c>
      <c r="E2565" t="s">
        <v>63</v>
      </c>
      <c r="F2565" t="s">
        <v>25</v>
      </c>
      <c r="G2565" s="4">
        <v>-4</v>
      </c>
      <c r="H2565" s="4" t="s">
        <v>14</v>
      </c>
      <c r="I2565" s="4" t="s">
        <v>65</v>
      </c>
      <c r="J2565" s="4" t="s">
        <v>66</v>
      </c>
      <c r="K2565" s="4">
        <v>1</v>
      </c>
      <c r="L2565" s="94">
        <v>-3</v>
      </c>
      <c r="M2565" s="94">
        <v>0</v>
      </c>
    </row>
    <row r="2566" spans="3:13" x14ac:dyDescent="0.3">
      <c r="C2566" t="s">
        <v>70</v>
      </c>
      <c r="D2566" t="s">
        <v>67</v>
      </c>
      <c r="E2566" t="s">
        <v>68</v>
      </c>
      <c r="F2566" t="s">
        <v>25</v>
      </c>
      <c r="G2566" s="4">
        <v>5</v>
      </c>
      <c r="H2566" s="4" t="s">
        <v>14</v>
      </c>
      <c r="I2566" s="4" t="s">
        <v>69</v>
      </c>
      <c r="J2566" s="4" t="s">
        <v>73</v>
      </c>
      <c r="K2566" s="4">
        <v>1</v>
      </c>
      <c r="L2566" s="94">
        <v>94220</v>
      </c>
      <c r="M2566" s="94">
        <v>471100</v>
      </c>
    </row>
    <row r="2567" spans="3:13" x14ac:dyDescent="0.3">
      <c r="C2567" t="s">
        <v>61</v>
      </c>
      <c r="D2567" t="s">
        <v>67</v>
      </c>
      <c r="E2567" t="s">
        <v>68</v>
      </c>
      <c r="F2567" t="s">
        <v>26</v>
      </c>
      <c r="G2567" s="4">
        <v>2</v>
      </c>
      <c r="H2567" s="4" t="s">
        <v>74</v>
      </c>
      <c r="I2567" s="4" t="s">
        <v>69</v>
      </c>
      <c r="J2567" s="4" t="s">
        <v>66</v>
      </c>
      <c r="K2567" s="4">
        <v>0</v>
      </c>
      <c r="L2567" s="94">
        <v>25503523</v>
      </c>
      <c r="M2567" s="94">
        <v>51007046</v>
      </c>
    </row>
    <row r="2568" spans="3:13" x14ac:dyDescent="0.3">
      <c r="C2568" t="s">
        <v>61</v>
      </c>
      <c r="D2568" t="s">
        <v>67</v>
      </c>
      <c r="E2568" t="s">
        <v>63</v>
      </c>
      <c r="F2568" t="s">
        <v>26</v>
      </c>
      <c r="G2568" s="4">
        <v>3</v>
      </c>
      <c r="H2568" s="4" t="s">
        <v>17</v>
      </c>
      <c r="I2568" s="4" t="s">
        <v>69</v>
      </c>
      <c r="J2568" s="4" t="s">
        <v>73</v>
      </c>
      <c r="K2568" s="4">
        <v>1</v>
      </c>
      <c r="L2568" s="94">
        <v>-4821</v>
      </c>
      <c r="M2568" s="94">
        <v>0</v>
      </c>
    </row>
    <row r="2569" spans="3:13" x14ac:dyDescent="0.3">
      <c r="C2569" t="s">
        <v>70</v>
      </c>
      <c r="D2569" t="s">
        <v>67</v>
      </c>
      <c r="E2569" t="s">
        <v>63</v>
      </c>
      <c r="F2569" t="s">
        <v>26</v>
      </c>
      <c r="G2569" s="4">
        <v>3</v>
      </c>
      <c r="H2569" s="4" t="s">
        <v>83</v>
      </c>
      <c r="I2569" s="4" t="s">
        <v>69</v>
      </c>
      <c r="J2569" s="4" t="s">
        <v>66</v>
      </c>
      <c r="K2569" s="4">
        <v>0</v>
      </c>
      <c r="L2569" s="94">
        <v>-72225</v>
      </c>
      <c r="M2569" s="94">
        <v>0</v>
      </c>
    </row>
    <row r="2570" spans="3:13" x14ac:dyDescent="0.3">
      <c r="C2570" t="s">
        <v>70</v>
      </c>
      <c r="D2570" t="s">
        <v>67</v>
      </c>
      <c r="E2570" t="s">
        <v>68</v>
      </c>
      <c r="F2570" t="s">
        <v>25</v>
      </c>
      <c r="G2570" s="4">
        <v>2</v>
      </c>
      <c r="H2570" s="4" t="s">
        <v>18</v>
      </c>
      <c r="I2570" s="4" t="s">
        <v>69</v>
      </c>
      <c r="J2570" s="4" t="s">
        <v>66</v>
      </c>
      <c r="K2570" s="4">
        <v>0</v>
      </c>
      <c r="L2570" s="94">
        <v>614629</v>
      </c>
      <c r="M2570" s="94">
        <v>1229258</v>
      </c>
    </row>
    <row r="2571" spans="3:13" x14ac:dyDescent="0.3">
      <c r="C2571" t="s">
        <v>70</v>
      </c>
      <c r="D2571" t="s">
        <v>62</v>
      </c>
      <c r="E2571" t="s">
        <v>63</v>
      </c>
      <c r="F2571" t="s">
        <v>24</v>
      </c>
      <c r="G2571" s="4">
        <v>47</v>
      </c>
      <c r="I2571" s="4" t="s">
        <v>69</v>
      </c>
      <c r="J2571" s="4" t="s">
        <v>66</v>
      </c>
      <c r="K2571" s="4">
        <v>0</v>
      </c>
      <c r="L2571" s="94">
        <v>-8544</v>
      </c>
      <c r="M2571" s="94">
        <v>0</v>
      </c>
    </row>
    <row r="2572" spans="3:13" x14ac:dyDescent="0.3">
      <c r="C2572" t="s">
        <v>71</v>
      </c>
      <c r="D2572" t="s">
        <v>67</v>
      </c>
      <c r="E2572" t="s">
        <v>68</v>
      </c>
      <c r="F2572" t="s">
        <v>26</v>
      </c>
      <c r="G2572" s="4">
        <v>3</v>
      </c>
      <c r="H2572" s="4" t="s">
        <v>79</v>
      </c>
      <c r="I2572" s="4" t="s">
        <v>69</v>
      </c>
      <c r="J2572" s="4" t="s">
        <v>66</v>
      </c>
      <c r="K2572" s="4">
        <v>0</v>
      </c>
      <c r="L2572" s="94">
        <v>73633</v>
      </c>
      <c r="M2572" s="94">
        <v>220899</v>
      </c>
    </row>
    <row r="2573" spans="3:13" x14ac:dyDescent="0.3">
      <c r="C2573" t="s">
        <v>61</v>
      </c>
      <c r="D2573" t="s">
        <v>67</v>
      </c>
      <c r="E2573" t="s">
        <v>68</v>
      </c>
      <c r="F2573" t="s">
        <v>26</v>
      </c>
      <c r="G2573" s="4">
        <v>7</v>
      </c>
      <c r="H2573" s="4" t="s">
        <v>14</v>
      </c>
      <c r="I2573" s="4" t="s">
        <v>69</v>
      </c>
      <c r="J2573" s="4" t="s">
        <v>66</v>
      </c>
      <c r="K2573" s="4">
        <v>0</v>
      </c>
      <c r="L2573" s="94">
        <v>28564050</v>
      </c>
      <c r="M2573" s="94">
        <v>199948350</v>
      </c>
    </row>
    <row r="2574" spans="3:13" x14ac:dyDescent="0.3">
      <c r="C2574" t="s">
        <v>70</v>
      </c>
      <c r="D2574" t="s">
        <v>67</v>
      </c>
      <c r="E2574" t="s">
        <v>68</v>
      </c>
      <c r="F2574" t="s">
        <v>72</v>
      </c>
      <c r="G2574" s="4">
        <v>-1</v>
      </c>
      <c r="H2574" s="4" t="s">
        <v>18</v>
      </c>
      <c r="I2574" s="4" t="s">
        <v>69</v>
      </c>
      <c r="J2574" s="4" t="s">
        <v>66</v>
      </c>
      <c r="K2574" s="4">
        <v>0</v>
      </c>
      <c r="L2574" s="94">
        <v>2827522</v>
      </c>
      <c r="M2574" s="94">
        <v>0</v>
      </c>
    </row>
    <row r="2575" spans="3:13" x14ac:dyDescent="0.3">
      <c r="C2575" t="s">
        <v>70</v>
      </c>
      <c r="D2575" t="s">
        <v>67</v>
      </c>
      <c r="E2575" t="s">
        <v>68</v>
      </c>
      <c r="F2575" t="s">
        <v>26</v>
      </c>
      <c r="G2575" s="4">
        <v>2</v>
      </c>
      <c r="H2575" s="4" t="s">
        <v>18</v>
      </c>
      <c r="I2575" s="4" t="s">
        <v>65</v>
      </c>
      <c r="J2575" s="4" t="s">
        <v>66</v>
      </c>
      <c r="K2575" s="4">
        <v>1</v>
      </c>
      <c r="L2575" s="94">
        <v>42097</v>
      </c>
      <c r="M2575" s="94">
        <v>84194</v>
      </c>
    </row>
    <row r="2576" spans="3:13" x14ac:dyDescent="0.3">
      <c r="C2576" t="s">
        <v>61</v>
      </c>
      <c r="D2576" t="s">
        <v>67</v>
      </c>
      <c r="E2576" t="s">
        <v>63</v>
      </c>
      <c r="F2576" t="s">
        <v>25</v>
      </c>
      <c r="G2576" s="4">
        <v>11</v>
      </c>
      <c r="H2576" s="4" t="s">
        <v>80</v>
      </c>
      <c r="I2576" s="4" t="s">
        <v>69</v>
      </c>
      <c r="J2576" s="4" t="s">
        <v>66</v>
      </c>
      <c r="K2576" s="4">
        <v>0</v>
      </c>
      <c r="L2576" s="94">
        <v>-1126</v>
      </c>
      <c r="M2576" s="94">
        <v>0</v>
      </c>
    </row>
    <row r="2577" spans="3:13" x14ac:dyDescent="0.3">
      <c r="C2577" t="s">
        <v>71</v>
      </c>
      <c r="D2577" t="s">
        <v>62</v>
      </c>
      <c r="E2577" t="s">
        <v>68</v>
      </c>
      <c r="F2577" t="s">
        <v>24</v>
      </c>
      <c r="G2577" s="4">
        <v>45</v>
      </c>
      <c r="I2577" s="4" t="s">
        <v>69</v>
      </c>
      <c r="J2577" s="4" t="s">
        <v>66</v>
      </c>
      <c r="K2577" s="4">
        <v>0</v>
      </c>
      <c r="L2577" s="94">
        <v>166910</v>
      </c>
      <c r="M2577" s="94">
        <v>7510950</v>
      </c>
    </row>
    <row r="2578" spans="3:13" x14ac:dyDescent="0.3">
      <c r="C2578" t="s">
        <v>70</v>
      </c>
      <c r="D2578" t="s">
        <v>67</v>
      </c>
      <c r="E2578" t="s">
        <v>63</v>
      </c>
      <c r="F2578" t="s">
        <v>72</v>
      </c>
      <c r="G2578" s="4">
        <v>5</v>
      </c>
      <c r="H2578" s="4" t="s">
        <v>17</v>
      </c>
      <c r="I2578" s="4" t="s">
        <v>69</v>
      </c>
      <c r="J2578" s="4" t="s">
        <v>73</v>
      </c>
      <c r="K2578" s="4">
        <v>1</v>
      </c>
      <c r="L2578" s="94">
        <v>-12550</v>
      </c>
      <c r="M2578" s="94">
        <v>0</v>
      </c>
    </row>
    <row r="2579" spans="3:13" x14ac:dyDescent="0.3">
      <c r="C2579" t="s">
        <v>70</v>
      </c>
      <c r="D2579" t="s">
        <v>67</v>
      </c>
      <c r="E2579" t="s">
        <v>68</v>
      </c>
      <c r="F2579" t="s">
        <v>26</v>
      </c>
      <c r="G2579" s="4">
        <v>1</v>
      </c>
      <c r="H2579" s="4" t="s">
        <v>81</v>
      </c>
      <c r="I2579" s="4" t="s">
        <v>69</v>
      </c>
      <c r="J2579" s="4" t="s">
        <v>66</v>
      </c>
      <c r="K2579" s="4">
        <v>0</v>
      </c>
      <c r="L2579" s="94">
        <v>1801</v>
      </c>
      <c r="M2579" s="94">
        <v>1801</v>
      </c>
    </row>
    <row r="2580" spans="3:13" x14ac:dyDescent="0.3">
      <c r="C2580" t="s">
        <v>61</v>
      </c>
      <c r="D2580" t="s">
        <v>67</v>
      </c>
      <c r="E2580" t="s">
        <v>63</v>
      </c>
      <c r="F2580" t="s">
        <v>26</v>
      </c>
      <c r="G2580" s="4">
        <v>2</v>
      </c>
      <c r="H2580" s="4" t="s">
        <v>76</v>
      </c>
      <c r="I2580" s="4" t="s">
        <v>69</v>
      </c>
      <c r="J2580" s="4" t="s">
        <v>66</v>
      </c>
      <c r="K2580" s="4">
        <v>0</v>
      </c>
      <c r="L2580" s="94">
        <v>-100315</v>
      </c>
      <c r="M2580" s="94">
        <v>0</v>
      </c>
    </row>
    <row r="2581" spans="3:13" x14ac:dyDescent="0.3">
      <c r="C2581" t="s">
        <v>70</v>
      </c>
      <c r="D2581" t="s">
        <v>67</v>
      </c>
      <c r="E2581" t="s">
        <v>63</v>
      </c>
      <c r="F2581" t="s">
        <v>26</v>
      </c>
      <c r="G2581" s="4">
        <v>6</v>
      </c>
      <c r="H2581" s="4" t="s">
        <v>14</v>
      </c>
      <c r="I2581" s="4" t="s">
        <v>69</v>
      </c>
      <c r="J2581" s="4" t="s">
        <v>66</v>
      </c>
      <c r="K2581" s="4">
        <v>0</v>
      </c>
      <c r="L2581" s="94">
        <v>-36034</v>
      </c>
      <c r="M2581" s="94">
        <v>0</v>
      </c>
    </row>
    <row r="2582" spans="3:13" x14ac:dyDescent="0.3">
      <c r="C2582" t="s">
        <v>61</v>
      </c>
      <c r="D2582" t="s">
        <v>67</v>
      </c>
      <c r="E2582" t="s">
        <v>68</v>
      </c>
      <c r="F2582" t="s">
        <v>25</v>
      </c>
      <c r="G2582" s="4">
        <v>15</v>
      </c>
      <c r="H2582" s="4" t="s">
        <v>74</v>
      </c>
      <c r="I2582" s="4" t="s">
        <v>69</v>
      </c>
      <c r="J2582" s="4" t="s">
        <v>66</v>
      </c>
      <c r="K2582" s="4">
        <v>0</v>
      </c>
      <c r="L2582" s="94">
        <v>3456961</v>
      </c>
      <c r="M2582" s="94">
        <v>51854415</v>
      </c>
    </row>
    <row r="2583" spans="3:13" x14ac:dyDescent="0.3">
      <c r="C2583" t="s">
        <v>71</v>
      </c>
      <c r="D2583" t="s">
        <v>67</v>
      </c>
      <c r="E2583" t="s">
        <v>63</v>
      </c>
      <c r="F2583" t="s">
        <v>26</v>
      </c>
      <c r="G2583" s="4">
        <v>-1</v>
      </c>
      <c r="H2583" s="4" t="s">
        <v>17</v>
      </c>
      <c r="I2583" s="4" t="s">
        <v>65</v>
      </c>
      <c r="J2583" s="4" t="s">
        <v>73</v>
      </c>
      <c r="K2583" s="4">
        <v>1</v>
      </c>
      <c r="L2583" s="94">
        <v>-125125</v>
      </c>
      <c r="M2583" s="94">
        <v>0</v>
      </c>
    </row>
    <row r="2584" spans="3:13" x14ac:dyDescent="0.3">
      <c r="C2584" t="s">
        <v>70</v>
      </c>
      <c r="D2584" t="s">
        <v>62</v>
      </c>
      <c r="E2584" t="s">
        <v>68</v>
      </c>
      <c r="F2584" t="s">
        <v>24</v>
      </c>
      <c r="G2584" s="4">
        <v>25</v>
      </c>
      <c r="I2584" s="4" t="s">
        <v>69</v>
      </c>
      <c r="J2584" s="4" t="s">
        <v>66</v>
      </c>
      <c r="K2584" s="4">
        <v>1</v>
      </c>
      <c r="L2584" s="94">
        <v>618650</v>
      </c>
      <c r="M2584" s="94">
        <v>15466250</v>
      </c>
    </row>
    <row r="2585" spans="3:13" x14ac:dyDescent="0.3">
      <c r="C2585" t="s">
        <v>70</v>
      </c>
      <c r="D2585" t="s">
        <v>67</v>
      </c>
      <c r="E2585" t="s">
        <v>63</v>
      </c>
      <c r="F2585" t="s">
        <v>25</v>
      </c>
      <c r="G2585" s="4">
        <v>12</v>
      </c>
      <c r="H2585" s="4" t="s">
        <v>74</v>
      </c>
      <c r="I2585" s="4" t="s">
        <v>69</v>
      </c>
      <c r="J2585" s="4" t="s">
        <v>66</v>
      </c>
      <c r="K2585" s="4">
        <v>0</v>
      </c>
      <c r="L2585" s="94">
        <v>-3353668</v>
      </c>
      <c r="M2585" s="94">
        <v>0</v>
      </c>
    </row>
    <row r="2586" spans="3:13" x14ac:dyDescent="0.3">
      <c r="C2586" t="s">
        <v>71</v>
      </c>
      <c r="D2586" t="s">
        <v>67</v>
      </c>
      <c r="E2586" t="s">
        <v>68</v>
      </c>
      <c r="F2586" t="s">
        <v>26</v>
      </c>
      <c r="G2586" s="4">
        <v>3</v>
      </c>
      <c r="H2586" s="4" t="s">
        <v>17</v>
      </c>
      <c r="I2586" s="4" t="s">
        <v>65</v>
      </c>
      <c r="J2586" s="4" t="s">
        <v>73</v>
      </c>
      <c r="K2586" s="4">
        <v>1</v>
      </c>
      <c r="L2586" s="94">
        <v>324102</v>
      </c>
      <c r="M2586" s="94">
        <v>972306</v>
      </c>
    </row>
    <row r="2587" spans="3:13" x14ac:dyDescent="0.3">
      <c r="C2587" t="s">
        <v>61</v>
      </c>
      <c r="D2587" t="s">
        <v>84</v>
      </c>
      <c r="E2587" t="s">
        <v>63</v>
      </c>
      <c r="F2587" t="s">
        <v>25</v>
      </c>
      <c r="G2587" s="4">
        <v>9</v>
      </c>
      <c r="H2587" s="4" t="s">
        <v>81</v>
      </c>
      <c r="I2587" s="4" t="s">
        <v>69</v>
      </c>
      <c r="J2587" s="4" t="s">
        <v>66</v>
      </c>
      <c r="K2587" s="4">
        <v>0</v>
      </c>
      <c r="L2587" s="94">
        <v>-86</v>
      </c>
      <c r="M2587" s="94">
        <v>0</v>
      </c>
    </row>
    <row r="2588" spans="3:13" x14ac:dyDescent="0.3">
      <c r="C2588" t="s">
        <v>61</v>
      </c>
      <c r="D2588" t="s">
        <v>67</v>
      </c>
      <c r="E2588" t="s">
        <v>68</v>
      </c>
      <c r="F2588" t="s">
        <v>72</v>
      </c>
      <c r="G2588" s="4">
        <v>9</v>
      </c>
      <c r="H2588" s="4" t="s">
        <v>18</v>
      </c>
      <c r="I2588" s="4" t="s">
        <v>69</v>
      </c>
      <c r="J2588" s="4" t="s">
        <v>66</v>
      </c>
      <c r="K2588" s="4">
        <v>0</v>
      </c>
      <c r="L2588" s="94">
        <v>188627</v>
      </c>
      <c r="M2588" s="94">
        <v>1697643</v>
      </c>
    </row>
    <row r="2589" spans="3:13" x14ac:dyDescent="0.3">
      <c r="C2589" t="s">
        <v>71</v>
      </c>
      <c r="D2589" t="s">
        <v>67</v>
      </c>
      <c r="E2589" t="s">
        <v>68</v>
      </c>
      <c r="F2589" t="s">
        <v>26</v>
      </c>
      <c r="G2589" s="4">
        <v>-1</v>
      </c>
      <c r="H2589" s="4" t="s">
        <v>80</v>
      </c>
      <c r="I2589" s="4" t="s">
        <v>69</v>
      </c>
      <c r="J2589" s="4" t="s">
        <v>66</v>
      </c>
      <c r="K2589" s="4">
        <v>0</v>
      </c>
      <c r="L2589" s="94">
        <v>522913</v>
      </c>
      <c r="M2589" s="94">
        <v>0</v>
      </c>
    </row>
    <row r="2590" spans="3:13" x14ac:dyDescent="0.3">
      <c r="C2590" t="s">
        <v>71</v>
      </c>
      <c r="D2590" t="s">
        <v>67</v>
      </c>
      <c r="E2590" t="s">
        <v>68</v>
      </c>
      <c r="F2590" t="s">
        <v>26</v>
      </c>
      <c r="G2590" s="4">
        <v>7</v>
      </c>
      <c r="H2590" s="4" t="s">
        <v>76</v>
      </c>
      <c r="I2590" s="4" t="s">
        <v>69</v>
      </c>
      <c r="J2590" s="4" t="s">
        <v>66</v>
      </c>
      <c r="K2590" s="4">
        <v>0</v>
      </c>
      <c r="L2590" s="94">
        <v>78453</v>
      </c>
      <c r="M2590" s="94">
        <v>549171</v>
      </c>
    </row>
    <row r="2591" spans="3:13" x14ac:dyDescent="0.3">
      <c r="C2591" t="s">
        <v>61</v>
      </c>
      <c r="D2591" t="s">
        <v>67</v>
      </c>
      <c r="E2591" t="s">
        <v>63</v>
      </c>
      <c r="F2591" t="s">
        <v>25</v>
      </c>
      <c r="G2591" s="4">
        <v>3</v>
      </c>
      <c r="H2591" s="4" t="s">
        <v>18</v>
      </c>
      <c r="I2591" s="4" t="s">
        <v>69</v>
      </c>
      <c r="J2591" s="4" t="s">
        <v>66</v>
      </c>
      <c r="K2591" s="4">
        <v>1</v>
      </c>
      <c r="L2591" s="94">
        <v>-523</v>
      </c>
      <c r="M2591" s="94">
        <v>0</v>
      </c>
    </row>
    <row r="2592" spans="3:13" x14ac:dyDescent="0.3">
      <c r="C2592" t="s">
        <v>61</v>
      </c>
      <c r="D2592" t="s">
        <v>67</v>
      </c>
      <c r="E2592" t="s">
        <v>68</v>
      </c>
      <c r="F2592" t="s">
        <v>72</v>
      </c>
      <c r="G2592" s="4">
        <v>5</v>
      </c>
      <c r="H2592" s="4" t="s">
        <v>17</v>
      </c>
      <c r="I2592" s="4" t="s">
        <v>65</v>
      </c>
      <c r="J2592" s="4" t="s">
        <v>73</v>
      </c>
      <c r="K2592" s="4">
        <v>1</v>
      </c>
      <c r="L2592" s="94">
        <v>58314</v>
      </c>
      <c r="M2592" s="94">
        <v>291570</v>
      </c>
    </row>
    <row r="2593" spans="3:13" x14ac:dyDescent="0.3">
      <c r="C2593" t="s">
        <v>70</v>
      </c>
      <c r="D2593" t="s">
        <v>67</v>
      </c>
      <c r="E2593" t="s">
        <v>68</v>
      </c>
      <c r="F2593" t="s">
        <v>25</v>
      </c>
      <c r="G2593" s="4">
        <v>1</v>
      </c>
      <c r="H2593" s="4" t="s">
        <v>18</v>
      </c>
      <c r="I2593" s="4" t="s">
        <v>69</v>
      </c>
      <c r="J2593" s="4" t="s">
        <v>66</v>
      </c>
      <c r="K2593" s="4">
        <v>1</v>
      </c>
      <c r="L2593" s="94">
        <v>31823</v>
      </c>
      <c r="M2593" s="94">
        <v>31823</v>
      </c>
    </row>
    <row r="2594" spans="3:13" x14ac:dyDescent="0.3">
      <c r="C2594" t="s">
        <v>71</v>
      </c>
      <c r="D2594" t="s">
        <v>67</v>
      </c>
      <c r="E2594" t="s">
        <v>68</v>
      </c>
      <c r="F2594" t="s">
        <v>26</v>
      </c>
      <c r="G2594" s="4">
        <v>8</v>
      </c>
      <c r="H2594" s="4" t="s">
        <v>16</v>
      </c>
      <c r="I2594" s="4" t="s">
        <v>69</v>
      </c>
      <c r="J2594" s="4" t="s">
        <v>66</v>
      </c>
      <c r="K2594" s="4">
        <v>0</v>
      </c>
      <c r="L2594" s="94">
        <v>848697</v>
      </c>
      <c r="M2594" s="94">
        <v>6789576</v>
      </c>
    </row>
    <row r="2595" spans="3:13" x14ac:dyDescent="0.3">
      <c r="C2595" t="s">
        <v>70</v>
      </c>
      <c r="D2595" t="s">
        <v>67</v>
      </c>
      <c r="E2595" t="s">
        <v>68</v>
      </c>
      <c r="F2595" t="s">
        <v>26</v>
      </c>
      <c r="G2595" s="4">
        <v>1</v>
      </c>
      <c r="H2595" s="4" t="s">
        <v>76</v>
      </c>
      <c r="I2595" s="4" t="s">
        <v>69</v>
      </c>
      <c r="J2595" s="4" t="s">
        <v>66</v>
      </c>
      <c r="K2595" s="4">
        <v>0</v>
      </c>
      <c r="L2595" s="94">
        <v>6204937</v>
      </c>
      <c r="M2595" s="94">
        <v>6204937</v>
      </c>
    </row>
    <row r="2596" spans="3:13" x14ac:dyDescent="0.3">
      <c r="C2596" t="s">
        <v>70</v>
      </c>
      <c r="D2596" t="s">
        <v>67</v>
      </c>
      <c r="E2596" t="s">
        <v>68</v>
      </c>
      <c r="F2596" t="s">
        <v>26</v>
      </c>
      <c r="G2596" s="4">
        <v>2</v>
      </c>
      <c r="H2596" s="4" t="s">
        <v>13</v>
      </c>
      <c r="I2596" s="4" t="s">
        <v>69</v>
      </c>
      <c r="J2596" s="4" t="s">
        <v>73</v>
      </c>
      <c r="K2596" s="4">
        <v>1</v>
      </c>
      <c r="L2596" s="94">
        <v>109194</v>
      </c>
      <c r="M2596" s="94">
        <v>218388</v>
      </c>
    </row>
    <row r="2597" spans="3:13" x14ac:dyDescent="0.3">
      <c r="C2597" t="s">
        <v>71</v>
      </c>
      <c r="D2597" t="s">
        <v>67</v>
      </c>
      <c r="E2597" t="s">
        <v>63</v>
      </c>
      <c r="F2597" t="s">
        <v>25</v>
      </c>
      <c r="G2597" s="4">
        <v>-4</v>
      </c>
      <c r="H2597" s="4" t="s">
        <v>79</v>
      </c>
      <c r="I2597" s="4" t="s">
        <v>69</v>
      </c>
      <c r="J2597" s="4" t="s">
        <v>66</v>
      </c>
      <c r="K2597" s="4">
        <v>0</v>
      </c>
      <c r="L2597" s="94">
        <v>-44203</v>
      </c>
      <c r="M2597" s="94">
        <v>0</v>
      </c>
    </row>
    <row r="2598" spans="3:13" x14ac:dyDescent="0.3">
      <c r="C2598" t="s">
        <v>61</v>
      </c>
      <c r="D2598" t="s">
        <v>67</v>
      </c>
      <c r="E2598" t="s">
        <v>68</v>
      </c>
      <c r="F2598" t="s">
        <v>26</v>
      </c>
      <c r="G2598" s="4">
        <v>10</v>
      </c>
      <c r="H2598" s="4" t="s">
        <v>75</v>
      </c>
      <c r="I2598" s="4" t="s">
        <v>69</v>
      </c>
      <c r="J2598" s="4" t="s">
        <v>66</v>
      </c>
      <c r="K2598" s="4">
        <v>0</v>
      </c>
      <c r="L2598" s="94">
        <v>1653310</v>
      </c>
      <c r="M2598" s="94">
        <v>16533100</v>
      </c>
    </row>
    <row r="2599" spans="3:13" x14ac:dyDescent="0.3">
      <c r="C2599" t="s">
        <v>71</v>
      </c>
      <c r="D2599" t="s">
        <v>67</v>
      </c>
      <c r="E2599" t="s">
        <v>63</v>
      </c>
      <c r="F2599" t="s">
        <v>25</v>
      </c>
      <c r="G2599" s="4">
        <v>4</v>
      </c>
      <c r="H2599" s="4" t="s">
        <v>14</v>
      </c>
      <c r="I2599" s="4" t="s">
        <v>69</v>
      </c>
      <c r="J2599" s="4" t="s">
        <v>66</v>
      </c>
      <c r="K2599" s="4">
        <v>0</v>
      </c>
      <c r="L2599" s="94">
        <v>-35064</v>
      </c>
      <c r="M2599" s="94">
        <v>0</v>
      </c>
    </row>
    <row r="2600" spans="3:13" x14ac:dyDescent="0.3">
      <c r="C2600" t="s">
        <v>61</v>
      </c>
      <c r="D2600" t="s">
        <v>67</v>
      </c>
      <c r="E2600" t="s">
        <v>63</v>
      </c>
      <c r="F2600" t="s">
        <v>26</v>
      </c>
      <c r="G2600" s="4">
        <v>0</v>
      </c>
      <c r="H2600" s="4" t="s">
        <v>83</v>
      </c>
      <c r="I2600" s="4" t="s">
        <v>69</v>
      </c>
      <c r="J2600" s="4" t="s">
        <v>66</v>
      </c>
      <c r="K2600" s="4">
        <v>0</v>
      </c>
      <c r="L2600" s="94">
        <v>-45524</v>
      </c>
      <c r="M2600" s="94">
        <v>0</v>
      </c>
    </row>
    <row r="2601" spans="3:13" x14ac:dyDescent="0.3">
      <c r="C2601" t="s">
        <v>70</v>
      </c>
      <c r="D2601" t="s">
        <v>67</v>
      </c>
      <c r="E2601" t="s">
        <v>68</v>
      </c>
      <c r="F2601" t="s">
        <v>26</v>
      </c>
      <c r="G2601" s="4">
        <v>-4</v>
      </c>
      <c r="H2601" s="4" t="s">
        <v>17</v>
      </c>
      <c r="I2601" s="4" t="s">
        <v>69</v>
      </c>
      <c r="J2601" s="4" t="s">
        <v>66</v>
      </c>
      <c r="K2601" s="4">
        <v>0</v>
      </c>
      <c r="L2601" s="94">
        <v>17515</v>
      </c>
      <c r="M2601" s="94">
        <v>0</v>
      </c>
    </row>
    <row r="2602" spans="3:13" x14ac:dyDescent="0.3">
      <c r="C2602" t="s">
        <v>61</v>
      </c>
      <c r="D2602" t="s">
        <v>62</v>
      </c>
      <c r="E2602" t="s">
        <v>68</v>
      </c>
      <c r="F2602" t="s">
        <v>24</v>
      </c>
      <c r="G2602" s="4">
        <v>32</v>
      </c>
      <c r="I2602" s="4" t="s">
        <v>69</v>
      </c>
      <c r="J2602" s="4" t="s">
        <v>66</v>
      </c>
      <c r="K2602" s="4">
        <v>0</v>
      </c>
      <c r="L2602" s="94">
        <v>803205449</v>
      </c>
      <c r="M2602" s="94">
        <v>25702574368</v>
      </c>
    </row>
    <row r="2603" spans="3:13" x14ac:dyDescent="0.3">
      <c r="C2603" t="s">
        <v>70</v>
      </c>
      <c r="D2603" t="s">
        <v>67</v>
      </c>
      <c r="E2603" t="s">
        <v>63</v>
      </c>
      <c r="F2603" t="s">
        <v>25</v>
      </c>
      <c r="G2603" s="4">
        <v>11</v>
      </c>
      <c r="H2603" s="4" t="s">
        <v>78</v>
      </c>
      <c r="I2603" s="4" t="s">
        <v>69</v>
      </c>
      <c r="J2603" s="4" t="s">
        <v>66</v>
      </c>
      <c r="K2603" s="4">
        <v>0</v>
      </c>
      <c r="L2603" s="94">
        <v>-3542</v>
      </c>
      <c r="M2603" s="94">
        <v>0</v>
      </c>
    </row>
    <row r="2604" spans="3:13" x14ac:dyDescent="0.3">
      <c r="C2604" t="s">
        <v>61</v>
      </c>
      <c r="D2604" t="s">
        <v>67</v>
      </c>
      <c r="E2604" t="s">
        <v>63</v>
      </c>
      <c r="F2604" t="s">
        <v>25</v>
      </c>
      <c r="G2604" s="4">
        <v>11</v>
      </c>
      <c r="H2604" s="4" t="s">
        <v>79</v>
      </c>
      <c r="I2604" s="4" t="s">
        <v>69</v>
      </c>
      <c r="J2604" s="4" t="s">
        <v>66</v>
      </c>
      <c r="K2604" s="4">
        <v>0</v>
      </c>
      <c r="L2604" s="94">
        <v>-8335</v>
      </c>
      <c r="M2604" s="94">
        <v>0</v>
      </c>
    </row>
    <row r="2605" spans="3:13" x14ac:dyDescent="0.3">
      <c r="C2605" t="s">
        <v>71</v>
      </c>
      <c r="D2605" t="s">
        <v>67</v>
      </c>
      <c r="E2605" t="s">
        <v>68</v>
      </c>
      <c r="F2605" t="s">
        <v>26</v>
      </c>
      <c r="G2605" s="4">
        <v>6</v>
      </c>
      <c r="H2605" s="4" t="s">
        <v>82</v>
      </c>
      <c r="I2605" s="4" t="s">
        <v>69</v>
      </c>
      <c r="J2605" s="4" t="s">
        <v>66</v>
      </c>
      <c r="K2605" s="4">
        <v>0</v>
      </c>
      <c r="L2605" s="94">
        <v>534425</v>
      </c>
      <c r="M2605" s="94">
        <v>3206550</v>
      </c>
    </row>
    <row r="2606" spans="3:13" x14ac:dyDescent="0.3">
      <c r="C2606" t="s">
        <v>71</v>
      </c>
      <c r="D2606" t="s">
        <v>67</v>
      </c>
      <c r="E2606" t="s">
        <v>63</v>
      </c>
      <c r="F2606" t="s">
        <v>25</v>
      </c>
      <c r="G2606" s="4">
        <v>0</v>
      </c>
      <c r="H2606" s="4" t="s">
        <v>14</v>
      </c>
      <c r="I2606" s="4" t="s">
        <v>69</v>
      </c>
      <c r="J2606" s="4" t="s">
        <v>66</v>
      </c>
      <c r="K2606" s="4">
        <v>1</v>
      </c>
      <c r="L2606" s="94">
        <v>0</v>
      </c>
      <c r="M2606" s="94">
        <v>0</v>
      </c>
    </row>
    <row r="2607" spans="3:13" x14ac:dyDescent="0.3">
      <c r="C2607" t="s">
        <v>70</v>
      </c>
      <c r="D2607" t="s">
        <v>62</v>
      </c>
      <c r="E2607" t="s">
        <v>68</v>
      </c>
      <c r="F2607" t="s">
        <v>24</v>
      </c>
      <c r="G2607" s="4">
        <v>32</v>
      </c>
      <c r="I2607" s="4" t="s">
        <v>65</v>
      </c>
      <c r="J2607" s="4" t="s">
        <v>66</v>
      </c>
      <c r="K2607" s="4">
        <v>1</v>
      </c>
      <c r="L2607" s="94">
        <v>1038632</v>
      </c>
      <c r="M2607" s="94">
        <v>33236224</v>
      </c>
    </row>
    <row r="2608" spans="3:13" x14ac:dyDescent="0.3">
      <c r="C2608" t="s">
        <v>71</v>
      </c>
      <c r="D2608" t="s">
        <v>67</v>
      </c>
      <c r="E2608" t="s">
        <v>63</v>
      </c>
      <c r="F2608" t="s">
        <v>72</v>
      </c>
      <c r="G2608" s="4">
        <v>2</v>
      </c>
      <c r="H2608" s="4" t="s">
        <v>83</v>
      </c>
      <c r="I2608" s="4" t="s">
        <v>69</v>
      </c>
      <c r="J2608" s="4" t="s">
        <v>66</v>
      </c>
      <c r="K2608" s="4">
        <v>0</v>
      </c>
      <c r="L2608" s="94">
        <v>-10500</v>
      </c>
      <c r="M2608" s="94">
        <v>0</v>
      </c>
    </row>
    <row r="2609" spans="3:13" x14ac:dyDescent="0.3">
      <c r="C2609" t="s">
        <v>70</v>
      </c>
      <c r="D2609" t="s">
        <v>62</v>
      </c>
      <c r="E2609" t="s">
        <v>68</v>
      </c>
      <c r="F2609" t="s">
        <v>24</v>
      </c>
      <c r="G2609" s="4">
        <v>23</v>
      </c>
      <c r="I2609" s="4" t="s">
        <v>69</v>
      </c>
      <c r="J2609" s="4" t="s">
        <v>66</v>
      </c>
      <c r="K2609" s="4">
        <v>1</v>
      </c>
      <c r="L2609" s="94">
        <v>779969</v>
      </c>
      <c r="M2609" s="94">
        <v>17939287</v>
      </c>
    </row>
    <row r="2610" spans="3:13" x14ac:dyDescent="0.3">
      <c r="C2610" t="s">
        <v>61</v>
      </c>
      <c r="D2610" t="s">
        <v>67</v>
      </c>
      <c r="E2610" t="s">
        <v>63</v>
      </c>
      <c r="F2610" t="s">
        <v>25</v>
      </c>
      <c r="G2610" s="4">
        <v>-1</v>
      </c>
      <c r="H2610" s="4" t="s">
        <v>82</v>
      </c>
      <c r="I2610" s="4" t="s">
        <v>69</v>
      </c>
      <c r="J2610" s="4" t="s">
        <v>66</v>
      </c>
      <c r="K2610" s="4">
        <v>0</v>
      </c>
      <c r="L2610" s="94">
        <v>0</v>
      </c>
      <c r="M2610" s="94">
        <v>0</v>
      </c>
    </row>
    <row r="2611" spans="3:13" x14ac:dyDescent="0.3">
      <c r="C2611" t="s">
        <v>71</v>
      </c>
      <c r="D2611" t="s">
        <v>67</v>
      </c>
      <c r="E2611" t="s">
        <v>68</v>
      </c>
      <c r="F2611" t="s">
        <v>26</v>
      </c>
      <c r="G2611" s="4">
        <v>-1</v>
      </c>
      <c r="H2611" s="4" t="s">
        <v>79</v>
      </c>
      <c r="I2611" s="4" t="s">
        <v>69</v>
      </c>
      <c r="J2611" s="4" t="s">
        <v>66</v>
      </c>
      <c r="K2611" s="4">
        <v>0</v>
      </c>
      <c r="L2611" s="94">
        <v>903539</v>
      </c>
      <c r="M2611" s="94">
        <v>0</v>
      </c>
    </row>
    <row r="2612" spans="3:13" x14ac:dyDescent="0.3">
      <c r="C2612" t="s">
        <v>70</v>
      </c>
      <c r="D2612" t="s">
        <v>67</v>
      </c>
      <c r="E2612" t="s">
        <v>63</v>
      </c>
      <c r="F2612" t="s">
        <v>25</v>
      </c>
      <c r="G2612" s="4">
        <v>-1</v>
      </c>
      <c r="H2612" s="4" t="s">
        <v>76</v>
      </c>
      <c r="I2612" s="4" t="s">
        <v>69</v>
      </c>
      <c r="J2612" s="4" t="s">
        <v>66</v>
      </c>
      <c r="K2612" s="4">
        <v>0</v>
      </c>
      <c r="L2612" s="94">
        <v>-3953</v>
      </c>
      <c r="M2612" s="94">
        <v>0</v>
      </c>
    </row>
    <row r="2613" spans="3:13" x14ac:dyDescent="0.3">
      <c r="C2613" t="s">
        <v>71</v>
      </c>
      <c r="D2613" t="s">
        <v>67</v>
      </c>
      <c r="E2613" t="s">
        <v>68</v>
      </c>
      <c r="F2613" t="s">
        <v>25</v>
      </c>
      <c r="G2613" s="4">
        <v>16</v>
      </c>
      <c r="H2613" s="4" t="s">
        <v>18</v>
      </c>
      <c r="I2613" s="4" t="s">
        <v>69</v>
      </c>
      <c r="J2613" s="4" t="s">
        <v>66</v>
      </c>
      <c r="K2613" s="4">
        <v>0</v>
      </c>
      <c r="L2613" s="94">
        <v>236471</v>
      </c>
      <c r="M2613" s="94">
        <v>3783536</v>
      </c>
    </row>
    <row r="2614" spans="3:13" x14ac:dyDescent="0.3">
      <c r="C2614" t="s">
        <v>61</v>
      </c>
      <c r="D2614" t="s">
        <v>67</v>
      </c>
      <c r="E2614" t="s">
        <v>68</v>
      </c>
      <c r="F2614" t="s">
        <v>72</v>
      </c>
      <c r="G2614" s="4">
        <v>6</v>
      </c>
      <c r="H2614" s="4" t="s">
        <v>78</v>
      </c>
      <c r="I2614" s="4" t="s">
        <v>69</v>
      </c>
      <c r="J2614" s="4" t="s">
        <v>66</v>
      </c>
      <c r="K2614" s="4">
        <v>0</v>
      </c>
      <c r="L2614" s="94">
        <v>245529</v>
      </c>
      <c r="M2614" s="94">
        <v>1473174</v>
      </c>
    </row>
    <row r="2615" spans="3:13" x14ac:dyDescent="0.3">
      <c r="C2615" t="s">
        <v>61</v>
      </c>
      <c r="D2615" t="s">
        <v>62</v>
      </c>
      <c r="E2615" t="s">
        <v>63</v>
      </c>
      <c r="F2615" t="s">
        <v>24</v>
      </c>
      <c r="G2615" s="4">
        <v>47</v>
      </c>
      <c r="I2615" s="4" t="s">
        <v>69</v>
      </c>
      <c r="J2615" s="4" t="s">
        <v>66</v>
      </c>
      <c r="K2615" s="4">
        <v>0</v>
      </c>
      <c r="L2615" s="94">
        <v>-15</v>
      </c>
      <c r="M2615" s="94">
        <v>0</v>
      </c>
    </row>
    <row r="2616" spans="3:13" x14ac:dyDescent="0.3">
      <c r="C2616" t="s">
        <v>70</v>
      </c>
      <c r="D2616" t="s">
        <v>67</v>
      </c>
      <c r="E2616" t="s">
        <v>63</v>
      </c>
      <c r="F2616" t="s">
        <v>25</v>
      </c>
      <c r="G2616" s="4">
        <v>4</v>
      </c>
      <c r="H2616" s="4" t="s">
        <v>17</v>
      </c>
      <c r="I2616" s="4" t="s">
        <v>69</v>
      </c>
      <c r="J2616" s="4" t="s">
        <v>66</v>
      </c>
      <c r="K2616" s="4">
        <v>0</v>
      </c>
      <c r="L2616" s="94">
        <v>-3537</v>
      </c>
      <c r="M2616" s="94">
        <v>0</v>
      </c>
    </row>
    <row r="2617" spans="3:13" x14ac:dyDescent="0.3">
      <c r="C2617" t="s">
        <v>61</v>
      </c>
      <c r="D2617" t="s">
        <v>84</v>
      </c>
      <c r="E2617" t="s">
        <v>63</v>
      </c>
      <c r="F2617" t="s">
        <v>25</v>
      </c>
      <c r="G2617" s="4">
        <v>7</v>
      </c>
      <c r="H2617" s="4" t="s">
        <v>75</v>
      </c>
      <c r="I2617" s="4" t="s">
        <v>69</v>
      </c>
      <c r="J2617" s="4" t="s">
        <v>66</v>
      </c>
      <c r="K2617" s="4">
        <v>0</v>
      </c>
      <c r="L2617" s="94">
        <v>-2948</v>
      </c>
      <c r="M2617" s="94">
        <v>0</v>
      </c>
    </row>
    <row r="2618" spans="3:13" x14ac:dyDescent="0.3">
      <c r="C2618" t="s">
        <v>61</v>
      </c>
      <c r="D2618" t="s">
        <v>67</v>
      </c>
      <c r="E2618" t="s">
        <v>68</v>
      </c>
      <c r="F2618" t="s">
        <v>25</v>
      </c>
      <c r="G2618" s="4">
        <v>6</v>
      </c>
      <c r="H2618" s="4" t="s">
        <v>17</v>
      </c>
      <c r="I2618" s="4" t="s">
        <v>69</v>
      </c>
      <c r="J2618" s="4" t="s">
        <v>73</v>
      </c>
      <c r="K2618" s="4">
        <v>1</v>
      </c>
      <c r="L2618" s="94">
        <v>296235</v>
      </c>
      <c r="M2618" s="94">
        <v>1777410</v>
      </c>
    </row>
    <row r="2619" spans="3:13" x14ac:dyDescent="0.3">
      <c r="C2619" t="s">
        <v>61</v>
      </c>
      <c r="D2619" t="s">
        <v>67</v>
      </c>
      <c r="E2619" t="s">
        <v>68</v>
      </c>
      <c r="F2619" t="s">
        <v>25</v>
      </c>
      <c r="G2619" s="4">
        <v>13</v>
      </c>
      <c r="H2619" s="4" t="s">
        <v>79</v>
      </c>
      <c r="I2619" s="4" t="s">
        <v>69</v>
      </c>
      <c r="J2619" s="4" t="s">
        <v>66</v>
      </c>
      <c r="K2619" s="4">
        <v>0</v>
      </c>
      <c r="L2619" s="94">
        <v>9229857</v>
      </c>
      <c r="M2619" s="94">
        <v>119988141</v>
      </c>
    </row>
    <row r="2620" spans="3:13" x14ac:dyDescent="0.3">
      <c r="C2620" t="s">
        <v>71</v>
      </c>
      <c r="D2620" t="s">
        <v>67</v>
      </c>
      <c r="E2620" t="s">
        <v>68</v>
      </c>
      <c r="F2620" t="s">
        <v>26</v>
      </c>
      <c r="G2620" s="4">
        <v>2</v>
      </c>
      <c r="H2620" s="4" t="s">
        <v>16</v>
      </c>
      <c r="I2620" s="4" t="s">
        <v>69</v>
      </c>
      <c r="J2620" s="4" t="s">
        <v>66</v>
      </c>
      <c r="K2620" s="4">
        <v>0</v>
      </c>
      <c r="L2620" s="94">
        <v>98479</v>
      </c>
      <c r="M2620" s="94">
        <v>196958</v>
      </c>
    </row>
    <row r="2621" spans="3:13" x14ac:dyDescent="0.3">
      <c r="C2621" t="s">
        <v>71</v>
      </c>
      <c r="D2621" t="s">
        <v>67</v>
      </c>
      <c r="E2621" t="s">
        <v>63</v>
      </c>
      <c r="F2621" t="s">
        <v>26</v>
      </c>
      <c r="G2621" s="4">
        <v>-4</v>
      </c>
      <c r="H2621" s="4" t="s">
        <v>83</v>
      </c>
      <c r="I2621" s="4" t="s">
        <v>69</v>
      </c>
      <c r="J2621" s="4" t="s">
        <v>66</v>
      </c>
      <c r="K2621" s="4">
        <v>0</v>
      </c>
      <c r="L2621" s="94">
        <v>-117517</v>
      </c>
      <c r="M2621" s="94">
        <v>0</v>
      </c>
    </row>
    <row r="2622" spans="3:13" x14ac:dyDescent="0.3">
      <c r="C2622" t="s">
        <v>71</v>
      </c>
      <c r="D2622" t="s">
        <v>67</v>
      </c>
      <c r="E2622" t="s">
        <v>68</v>
      </c>
      <c r="F2622" t="s">
        <v>26</v>
      </c>
      <c r="G2622" s="4">
        <v>-4</v>
      </c>
      <c r="H2622" s="4" t="s">
        <v>17</v>
      </c>
      <c r="I2622" s="4" t="s">
        <v>65</v>
      </c>
      <c r="J2622" s="4" t="s">
        <v>66</v>
      </c>
      <c r="K2622" s="4">
        <v>1</v>
      </c>
      <c r="L2622" s="94">
        <v>510</v>
      </c>
      <c r="M2622" s="94">
        <v>0</v>
      </c>
    </row>
    <row r="2623" spans="3:13" x14ac:dyDescent="0.3">
      <c r="C2623" t="s">
        <v>70</v>
      </c>
      <c r="D2623" t="s">
        <v>62</v>
      </c>
      <c r="E2623" t="s">
        <v>68</v>
      </c>
      <c r="F2623" t="s">
        <v>24</v>
      </c>
      <c r="G2623" s="4">
        <v>27</v>
      </c>
      <c r="I2623" s="4" t="s">
        <v>65</v>
      </c>
      <c r="J2623" s="4" t="s">
        <v>66</v>
      </c>
      <c r="K2623" s="4">
        <v>1</v>
      </c>
      <c r="L2623" s="94">
        <v>268433</v>
      </c>
      <c r="M2623" s="94">
        <v>7247691</v>
      </c>
    </row>
    <row r="2624" spans="3:13" x14ac:dyDescent="0.3">
      <c r="C2624" t="s">
        <v>70</v>
      </c>
      <c r="D2624" t="s">
        <v>67</v>
      </c>
      <c r="E2624" t="s">
        <v>63</v>
      </c>
      <c r="F2624" t="s">
        <v>26</v>
      </c>
      <c r="G2624" s="4">
        <v>3</v>
      </c>
      <c r="H2624" s="4" t="s">
        <v>78</v>
      </c>
      <c r="I2624" s="4" t="s">
        <v>69</v>
      </c>
      <c r="J2624" s="4" t="s">
        <v>66</v>
      </c>
      <c r="K2624" s="4">
        <v>0</v>
      </c>
      <c r="L2624" s="94">
        <v>-51714</v>
      </c>
      <c r="M2624" s="94">
        <v>0</v>
      </c>
    </row>
    <row r="2625" spans="3:13" x14ac:dyDescent="0.3">
      <c r="C2625" t="s">
        <v>70</v>
      </c>
      <c r="D2625" t="s">
        <v>67</v>
      </c>
      <c r="E2625" t="s">
        <v>68</v>
      </c>
      <c r="F2625" t="s">
        <v>72</v>
      </c>
      <c r="G2625" s="4">
        <v>6</v>
      </c>
      <c r="H2625" s="4" t="s">
        <v>18</v>
      </c>
      <c r="I2625" s="4" t="s">
        <v>69</v>
      </c>
      <c r="J2625" s="4" t="s">
        <v>73</v>
      </c>
      <c r="K2625" s="4">
        <v>1</v>
      </c>
      <c r="L2625" s="94">
        <v>157757</v>
      </c>
      <c r="M2625" s="94">
        <v>946542</v>
      </c>
    </row>
    <row r="2626" spans="3:13" x14ac:dyDescent="0.3">
      <c r="C2626" t="s">
        <v>61</v>
      </c>
      <c r="D2626" t="s">
        <v>67</v>
      </c>
      <c r="E2626" t="s">
        <v>63</v>
      </c>
      <c r="F2626" t="s">
        <v>26</v>
      </c>
      <c r="G2626" s="4">
        <v>3</v>
      </c>
      <c r="H2626" s="4" t="s">
        <v>15</v>
      </c>
      <c r="I2626" s="4" t="s">
        <v>69</v>
      </c>
      <c r="J2626" s="4" t="s">
        <v>73</v>
      </c>
      <c r="K2626" s="4">
        <v>1</v>
      </c>
      <c r="L2626" s="94">
        <v>-277</v>
      </c>
      <c r="M2626" s="94">
        <v>0</v>
      </c>
    </row>
    <row r="2627" spans="3:13" x14ac:dyDescent="0.3">
      <c r="C2627" t="s">
        <v>61</v>
      </c>
      <c r="D2627" t="s">
        <v>67</v>
      </c>
      <c r="E2627" t="s">
        <v>68</v>
      </c>
      <c r="F2627" t="s">
        <v>26</v>
      </c>
      <c r="G2627" s="4">
        <v>1</v>
      </c>
      <c r="H2627" s="4" t="s">
        <v>14</v>
      </c>
      <c r="I2627" s="4" t="s">
        <v>65</v>
      </c>
      <c r="J2627" s="4" t="s">
        <v>66</v>
      </c>
      <c r="K2627" s="4">
        <v>1</v>
      </c>
      <c r="L2627" s="94">
        <v>113291</v>
      </c>
      <c r="M2627" s="94">
        <v>113291</v>
      </c>
    </row>
    <row r="2628" spans="3:13" x14ac:dyDescent="0.3">
      <c r="C2628" t="s">
        <v>61</v>
      </c>
      <c r="D2628" t="s">
        <v>67</v>
      </c>
      <c r="E2628" t="s">
        <v>68</v>
      </c>
      <c r="F2628" t="s">
        <v>72</v>
      </c>
      <c r="G2628" s="4">
        <v>1</v>
      </c>
      <c r="H2628" s="4" t="s">
        <v>82</v>
      </c>
      <c r="I2628" s="4" t="s">
        <v>69</v>
      </c>
      <c r="J2628" s="4" t="s">
        <v>66</v>
      </c>
      <c r="K2628" s="4">
        <v>0</v>
      </c>
      <c r="L2628" s="94">
        <v>6956240</v>
      </c>
      <c r="M2628" s="94">
        <v>6956240</v>
      </c>
    </row>
    <row r="2629" spans="3:13" x14ac:dyDescent="0.3">
      <c r="C2629" t="s">
        <v>71</v>
      </c>
      <c r="D2629" t="s">
        <v>67</v>
      </c>
      <c r="E2629" t="s">
        <v>68</v>
      </c>
      <c r="F2629" t="s">
        <v>25</v>
      </c>
      <c r="G2629" s="4">
        <v>4</v>
      </c>
      <c r="H2629" s="4" t="s">
        <v>14</v>
      </c>
      <c r="I2629" s="4" t="s">
        <v>69</v>
      </c>
      <c r="J2629" s="4" t="s">
        <v>66</v>
      </c>
      <c r="K2629" s="4">
        <v>1</v>
      </c>
      <c r="L2629" s="94">
        <v>30442</v>
      </c>
      <c r="M2629" s="94">
        <v>121768</v>
      </c>
    </row>
    <row r="2630" spans="3:13" x14ac:dyDescent="0.3">
      <c r="C2630" t="s">
        <v>61</v>
      </c>
      <c r="D2630" t="s">
        <v>67</v>
      </c>
      <c r="E2630" t="s">
        <v>68</v>
      </c>
      <c r="F2630" t="s">
        <v>26</v>
      </c>
      <c r="G2630" s="4">
        <v>0</v>
      </c>
      <c r="H2630" s="4" t="s">
        <v>83</v>
      </c>
      <c r="I2630" s="4" t="s">
        <v>69</v>
      </c>
      <c r="J2630" s="4" t="s">
        <v>66</v>
      </c>
      <c r="K2630" s="4">
        <v>0</v>
      </c>
      <c r="L2630" s="94">
        <v>4910548</v>
      </c>
      <c r="M2630" s="94">
        <v>0</v>
      </c>
    </row>
    <row r="2631" spans="3:13" x14ac:dyDescent="0.3">
      <c r="C2631" t="s">
        <v>61</v>
      </c>
      <c r="D2631" t="s">
        <v>67</v>
      </c>
      <c r="E2631" t="s">
        <v>63</v>
      </c>
      <c r="F2631" t="s">
        <v>25</v>
      </c>
      <c r="G2631" s="4">
        <v>0</v>
      </c>
      <c r="H2631" s="4" t="s">
        <v>18</v>
      </c>
      <c r="I2631" s="4" t="s">
        <v>69</v>
      </c>
      <c r="J2631" s="4" t="s">
        <v>66</v>
      </c>
      <c r="K2631" s="4">
        <v>1</v>
      </c>
      <c r="L2631" s="94">
        <v>-87</v>
      </c>
      <c r="M2631" s="94">
        <v>0</v>
      </c>
    </row>
    <row r="2632" spans="3:13" x14ac:dyDescent="0.3">
      <c r="C2632" t="s">
        <v>61</v>
      </c>
      <c r="D2632" t="s">
        <v>67</v>
      </c>
      <c r="E2632" t="s">
        <v>68</v>
      </c>
      <c r="F2632" t="s">
        <v>25</v>
      </c>
      <c r="G2632" s="4">
        <v>2</v>
      </c>
      <c r="H2632" s="4" t="s">
        <v>12</v>
      </c>
      <c r="I2632" s="4" t="s">
        <v>69</v>
      </c>
      <c r="J2632" s="4" t="s">
        <v>66</v>
      </c>
      <c r="K2632" s="4">
        <v>1</v>
      </c>
      <c r="L2632" s="94">
        <v>117749</v>
      </c>
      <c r="M2632" s="94">
        <v>235498</v>
      </c>
    </row>
    <row r="2633" spans="3:13" x14ac:dyDescent="0.3">
      <c r="C2633" t="s">
        <v>61</v>
      </c>
      <c r="D2633" t="s">
        <v>67</v>
      </c>
      <c r="E2633" t="s">
        <v>63</v>
      </c>
      <c r="F2633" t="s">
        <v>26</v>
      </c>
      <c r="G2633" s="4">
        <v>3</v>
      </c>
      <c r="H2633" s="4" t="s">
        <v>14</v>
      </c>
      <c r="I2633" s="4" t="s">
        <v>65</v>
      </c>
      <c r="J2633" s="4" t="s">
        <v>66</v>
      </c>
      <c r="K2633" s="4">
        <v>1</v>
      </c>
      <c r="L2633" s="94">
        <v>-234</v>
      </c>
      <c r="M2633" s="94">
        <v>0</v>
      </c>
    </row>
    <row r="2634" spans="3:13" x14ac:dyDescent="0.3">
      <c r="C2634" t="s">
        <v>61</v>
      </c>
      <c r="D2634" t="s">
        <v>67</v>
      </c>
      <c r="E2634" t="s">
        <v>68</v>
      </c>
      <c r="F2634" t="s">
        <v>26</v>
      </c>
      <c r="G2634" s="4">
        <v>1</v>
      </c>
      <c r="H2634" s="4" t="s">
        <v>15</v>
      </c>
      <c r="I2634" s="4" t="s">
        <v>69</v>
      </c>
      <c r="J2634" s="4" t="s">
        <v>73</v>
      </c>
      <c r="K2634" s="4">
        <v>1</v>
      </c>
      <c r="L2634" s="94">
        <v>222736259</v>
      </c>
      <c r="M2634" s="94">
        <v>222736259</v>
      </c>
    </row>
    <row r="2635" spans="3:13" x14ac:dyDescent="0.3">
      <c r="C2635" t="s">
        <v>61</v>
      </c>
      <c r="D2635" t="s">
        <v>67</v>
      </c>
      <c r="E2635" t="s">
        <v>63</v>
      </c>
      <c r="F2635" t="s">
        <v>26</v>
      </c>
      <c r="G2635" s="4">
        <v>-1</v>
      </c>
      <c r="H2635" s="4" t="s">
        <v>17</v>
      </c>
      <c r="I2635" s="4" t="s">
        <v>65</v>
      </c>
      <c r="J2635" s="4" t="s">
        <v>73</v>
      </c>
      <c r="K2635" s="4">
        <v>1</v>
      </c>
      <c r="L2635" s="94">
        <v>-15450</v>
      </c>
      <c r="M2635" s="94">
        <v>0</v>
      </c>
    </row>
    <row r="2636" spans="3:13" x14ac:dyDescent="0.3">
      <c r="C2636" t="s">
        <v>71</v>
      </c>
      <c r="D2636" t="s">
        <v>67</v>
      </c>
      <c r="E2636" t="s">
        <v>63</v>
      </c>
      <c r="F2636" t="s">
        <v>25</v>
      </c>
      <c r="G2636" s="4">
        <v>3</v>
      </c>
      <c r="H2636" s="4" t="s">
        <v>12</v>
      </c>
      <c r="I2636" s="4" t="s">
        <v>69</v>
      </c>
      <c r="J2636" s="4" t="s">
        <v>66</v>
      </c>
      <c r="K2636" s="4">
        <v>1</v>
      </c>
      <c r="L2636" s="94">
        <v>-33710</v>
      </c>
      <c r="M2636" s="94">
        <v>0</v>
      </c>
    </row>
    <row r="2637" spans="3:13" x14ac:dyDescent="0.3">
      <c r="C2637" t="s">
        <v>70</v>
      </c>
      <c r="D2637" t="s">
        <v>67</v>
      </c>
      <c r="E2637" t="s">
        <v>68</v>
      </c>
      <c r="F2637" t="s">
        <v>25</v>
      </c>
      <c r="G2637" s="4">
        <v>5</v>
      </c>
      <c r="H2637" s="4" t="s">
        <v>12</v>
      </c>
      <c r="I2637" s="4" t="s">
        <v>69</v>
      </c>
      <c r="J2637" s="4" t="s">
        <v>66</v>
      </c>
      <c r="K2637" s="4">
        <v>0</v>
      </c>
      <c r="L2637" s="94">
        <v>137239</v>
      </c>
      <c r="M2637" s="94">
        <v>686195</v>
      </c>
    </row>
    <row r="2638" spans="3:13" x14ac:dyDescent="0.3">
      <c r="C2638" t="s">
        <v>61</v>
      </c>
      <c r="D2638" t="s">
        <v>67</v>
      </c>
      <c r="E2638" t="s">
        <v>68</v>
      </c>
      <c r="F2638" t="s">
        <v>72</v>
      </c>
      <c r="G2638" s="4">
        <v>2</v>
      </c>
      <c r="H2638" s="4" t="s">
        <v>13</v>
      </c>
      <c r="I2638" s="4" t="s">
        <v>69</v>
      </c>
      <c r="J2638" s="4" t="s">
        <v>73</v>
      </c>
      <c r="K2638" s="4">
        <v>1</v>
      </c>
      <c r="L2638" s="94">
        <v>578107</v>
      </c>
      <c r="M2638" s="94">
        <v>1156214</v>
      </c>
    </row>
    <row r="2639" spans="3:13" x14ac:dyDescent="0.3">
      <c r="C2639" t="s">
        <v>61</v>
      </c>
      <c r="D2639" t="s">
        <v>67</v>
      </c>
      <c r="E2639" t="s">
        <v>63</v>
      </c>
      <c r="F2639" t="s">
        <v>26</v>
      </c>
      <c r="G2639" s="4">
        <v>8</v>
      </c>
      <c r="H2639" s="4" t="s">
        <v>12</v>
      </c>
      <c r="I2639" s="4" t="s">
        <v>69</v>
      </c>
      <c r="J2639" s="4" t="s">
        <v>66</v>
      </c>
      <c r="K2639" s="4">
        <v>0</v>
      </c>
      <c r="L2639" s="94">
        <v>-1592</v>
      </c>
      <c r="M2639" s="94">
        <v>0</v>
      </c>
    </row>
    <row r="2640" spans="3:13" x14ac:dyDescent="0.3">
      <c r="C2640" t="s">
        <v>71</v>
      </c>
      <c r="D2640" t="s">
        <v>67</v>
      </c>
      <c r="E2640" t="s">
        <v>63</v>
      </c>
      <c r="F2640" t="s">
        <v>25</v>
      </c>
      <c r="G2640" s="4">
        <v>-1</v>
      </c>
      <c r="H2640" s="4" t="s">
        <v>75</v>
      </c>
      <c r="I2640" s="4" t="s">
        <v>69</v>
      </c>
      <c r="J2640" s="4" t="s">
        <v>66</v>
      </c>
      <c r="K2640" s="4">
        <v>0</v>
      </c>
      <c r="L2640" s="94">
        <v>-1</v>
      </c>
      <c r="M2640" s="94">
        <v>0</v>
      </c>
    </row>
    <row r="2641" spans="3:13" x14ac:dyDescent="0.3">
      <c r="C2641" t="s">
        <v>61</v>
      </c>
      <c r="D2641" t="s">
        <v>67</v>
      </c>
      <c r="E2641" t="s">
        <v>68</v>
      </c>
      <c r="F2641" t="s">
        <v>26</v>
      </c>
      <c r="G2641" s="4">
        <v>2</v>
      </c>
      <c r="H2641" s="4" t="s">
        <v>17</v>
      </c>
      <c r="I2641" s="4" t="s">
        <v>65</v>
      </c>
      <c r="J2641" s="4" t="s">
        <v>73</v>
      </c>
      <c r="K2641" s="4">
        <v>1</v>
      </c>
      <c r="L2641" s="94">
        <v>1218341</v>
      </c>
      <c r="M2641" s="94">
        <v>2436682</v>
      </c>
    </row>
    <row r="2642" spans="3:13" x14ac:dyDescent="0.3">
      <c r="C2642" t="s">
        <v>70</v>
      </c>
      <c r="D2642" t="s">
        <v>62</v>
      </c>
      <c r="E2642" t="s">
        <v>63</v>
      </c>
      <c r="F2642" t="s">
        <v>25</v>
      </c>
      <c r="G2642" s="4">
        <v>2</v>
      </c>
      <c r="I2642" s="4" t="s">
        <v>69</v>
      </c>
      <c r="J2642" s="4" t="s">
        <v>66</v>
      </c>
      <c r="K2642" s="4">
        <v>1</v>
      </c>
      <c r="L2642" s="94">
        <v>-195</v>
      </c>
      <c r="M2642" s="94">
        <v>0</v>
      </c>
    </row>
    <row r="2643" spans="3:13" x14ac:dyDescent="0.3">
      <c r="C2643" t="s">
        <v>71</v>
      </c>
      <c r="D2643" t="s">
        <v>67</v>
      </c>
      <c r="E2643" t="s">
        <v>63</v>
      </c>
      <c r="F2643" t="s">
        <v>72</v>
      </c>
      <c r="G2643" s="4">
        <v>2</v>
      </c>
      <c r="H2643" s="4" t="s">
        <v>75</v>
      </c>
      <c r="I2643" s="4" t="s">
        <v>69</v>
      </c>
      <c r="J2643" s="4" t="s">
        <v>66</v>
      </c>
      <c r="K2643" s="4">
        <v>0</v>
      </c>
      <c r="L2643" s="94">
        <v>-20457</v>
      </c>
      <c r="M2643" s="94">
        <v>0</v>
      </c>
    </row>
    <row r="2644" spans="3:13" x14ac:dyDescent="0.3">
      <c r="C2644" t="s">
        <v>70</v>
      </c>
      <c r="D2644" t="s">
        <v>67</v>
      </c>
      <c r="E2644" t="s">
        <v>68</v>
      </c>
      <c r="F2644" t="s">
        <v>72</v>
      </c>
      <c r="G2644" s="4">
        <v>-4</v>
      </c>
      <c r="H2644" s="4" t="s">
        <v>13</v>
      </c>
      <c r="I2644" s="4" t="s">
        <v>69</v>
      </c>
      <c r="J2644" s="4" t="s">
        <v>73</v>
      </c>
      <c r="K2644" s="4">
        <v>1</v>
      </c>
      <c r="L2644" s="94">
        <v>529</v>
      </c>
      <c r="M2644" s="94">
        <v>0</v>
      </c>
    </row>
    <row r="2645" spans="3:13" x14ac:dyDescent="0.3">
      <c r="C2645" t="s">
        <v>61</v>
      </c>
      <c r="D2645" t="s">
        <v>67</v>
      </c>
      <c r="E2645" t="s">
        <v>63</v>
      </c>
      <c r="F2645" t="s">
        <v>25</v>
      </c>
      <c r="G2645" s="4">
        <v>8</v>
      </c>
      <c r="H2645" s="4" t="s">
        <v>14</v>
      </c>
      <c r="I2645" s="4" t="s">
        <v>69</v>
      </c>
      <c r="J2645" s="4" t="s">
        <v>66</v>
      </c>
      <c r="K2645" s="4">
        <v>0</v>
      </c>
      <c r="L2645" s="94">
        <v>-5484</v>
      </c>
      <c r="M2645" s="94">
        <v>0</v>
      </c>
    </row>
    <row r="2646" spans="3:13" x14ac:dyDescent="0.3">
      <c r="C2646" t="s">
        <v>61</v>
      </c>
      <c r="D2646" t="s">
        <v>62</v>
      </c>
      <c r="E2646" t="s">
        <v>68</v>
      </c>
      <c r="F2646" t="s">
        <v>24</v>
      </c>
      <c r="G2646" s="4">
        <v>26</v>
      </c>
      <c r="I2646" s="4" t="s">
        <v>65</v>
      </c>
      <c r="J2646" s="4" t="s">
        <v>66</v>
      </c>
      <c r="K2646" s="4">
        <v>1</v>
      </c>
      <c r="L2646" s="94">
        <v>12111765</v>
      </c>
      <c r="M2646" s="94">
        <v>314905890</v>
      </c>
    </row>
    <row r="2647" spans="3:13" x14ac:dyDescent="0.3">
      <c r="C2647" t="s">
        <v>61</v>
      </c>
      <c r="D2647" t="s">
        <v>67</v>
      </c>
      <c r="E2647" t="s">
        <v>63</v>
      </c>
      <c r="F2647" t="s">
        <v>72</v>
      </c>
      <c r="G2647" s="4">
        <v>-1</v>
      </c>
      <c r="H2647" s="4" t="s">
        <v>82</v>
      </c>
      <c r="I2647" s="4" t="s">
        <v>69</v>
      </c>
      <c r="J2647" s="4" t="s">
        <v>66</v>
      </c>
      <c r="K2647" s="4">
        <v>0</v>
      </c>
      <c r="L2647" s="94">
        <v>-642</v>
      </c>
      <c r="M2647" s="94">
        <v>0</v>
      </c>
    </row>
    <row r="2648" spans="3:13" x14ac:dyDescent="0.3">
      <c r="C2648" t="s">
        <v>61</v>
      </c>
      <c r="D2648" t="s">
        <v>67</v>
      </c>
      <c r="E2648" t="s">
        <v>68</v>
      </c>
      <c r="F2648" t="s">
        <v>72</v>
      </c>
      <c r="G2648" s="4">
        <v>8</v>
      </c>
      <c r="H2648" s="4" t="s">
        <v>17</v>
      </c>
      <c r="I2648" s="4" t="s">
        <v>69</v>
      </c>
      <c r="J2648" s="4" t="s">
        <v>66</v>
      </c>
      <c r="K2648" s="4">
        <v>0</v>
      </c>
      <c r="L2648" s="94">
        <v>366492</v>
      </c>
      <c r="M2648" s="94">
        <v>2931936</v>
      </c>
    </row>
    <row r="2649" spans="3:13" x14ac:dyDescent="0.3">
      <c r="C2649" t="s">
        <v>61</v>
      </c>
      <c r="D2649" t="s">
        <v>67</v>
      </c>
      <c r="E2649" t="s">
        <v>68</v>
      </c>
      <c r="F2649" t="s">
        <v>72</v>
      </c>
      <c r="G2649" s="4">
        <v>6</v>
      </c>
      <c r="H2649" s="4" t="s">
        <v>64</v>
      </c>
      <c r="I2649" s="4" t="s">
        <v>69</v>
      </c>
      <c r="J2649" s="4" t="s">
        <v>66</v>
      </c>
      <c r="K2649" s="4">
        <v>0</v>
      </c>
      <c r="L2649" s="94">
        <v>736015</v>
      </c>
      <c r="M2649" s="94">
        <v>4416090</v>
      </c>
    </row>
    <row r="2650" spans="3:13" x14ac:dyDescent="0.3">
      <c r="C2650" t="s">
        <v>61</v>
      </c>
      <c r="D2650" t="s">
        <v>85</v>
      </c>
      <c r="E2650" t="s">
        <v>63</v>
      </c>
      <c r="F2650" t="s">
        <v>25</v>
      </c>
      <c r="G2650" s="4">
        <v>12</v>
      </c>
      <c r="H2650" s="4" t="s">
        <v>81</v>
      </c>
      <c r="I2650" s="4" t="s">
        <v>69</v>
      </c>
      <c r="J2650" s="4" t="s">
        <v>66</v>
      </c>
      <c r="K2650" s="4">
        <v>0</v>
      </c>
      <c r="L2650" s="94">
        <v>-101</v>
      </c>
      <c r="M2650" s="94">
        <v>0</v>
      </c>
    </row>
    <row r="2651" spans="3:13" x14ac:dyDescent="0.3">
      <c r="C2651" t="s">
        <v>61</v>
      </c>
      <c r="D2651" t="s">
        <v>67</v>
      </c>
      <c r="E2651" t="s">
        <v>68</v>
      </c>
      <c r="F2651" t="s">
        <v>25</v>
      </c>
      <c r="G2651" s="4">
        <v>15</v>
      </c>
      <c r="H2651" s="4" t="s">
        <v>79</v>
      </c>
      <c r="I2651" s="4" t="s">
        <v>69</v>
      </c>
      <c r="J2651" s="4" t="s">
        <v>66</v>
      </c>
      <c r="K2651" s="4">
        <v>0</v>
      </c>
      <c r="L2651" s="94">
        <v>4198203</v>
      </c>
      <c r="M2651" s="94">
        <v>62973045</v>
      </c>
    </row>
    <row r="2652" spans="3:13" x14ac:dyDescent="0.3">
      <c r="C2652" t="s">
        <v>71</v>
      </c>
      <c r="D2652" t="s">
        <v>67</v>
      </c>
      <c r="E2652" t="s">
        <v>63</v>
      </c>
      <c r="F2652" t="s">
        <v>26</v>
      </c>
      <c r="G2652" s="4">
        <v>9</v>
      </c>
      <c r="H2652" s="4" t="s">
        <v>14</v>
      </c>
      <c r="I2652" s="4" t="s">
        <v>69</v>
      </c>
      <c r="J2652" s="4" t="s">
        <v>66</v>
      </c>
      <c r="K2652" s="4">
        <v>0</v>
      </c>
      <c r="L2652" s="94">
        <v>-201962</v>
      </c>
      <c r="M2652" s="94">
        <v>0</v>
      </c>
    </row>
    <row r="2653" spans="3:13" x14ac:dyDescent="0.3">
      <c r="C2653" t="s">
        <v>61</v>
      </c>
      <c r="D2653" t="s">
        <v>67</v>
      </c>
      <c r="E2653" t="s">
        <v>63</v>
      </c>
      <c r="F2653" t="s">
        <v>26</v>
      </c>
      <c r="G2653" s="4">
        <v>2</v>
      </c>
      <c r="H2653" s="4" t="s">
        <v>87</v>
      </c>
      <c r="I2653" s="4" t="s">
        <v>69</v>
      </c>
      <c r="J2653" s="4" t="s">
        <v>66</v>
      </c>
      <c r="K2653" s="4">
        <v>0</v>
      </c>
      <c r="L2653" s="94">
        <v>-1734</v>
      </c>
      <c r="M2653" s="94">
        <v>0</v>
      </c>
    </row>
    <row r="2654" spans="3:13" x14ac:dyDescent="0.3">
      <c r="C2654" t="s">
        <v>61</v>
      </c>
      <c r="D2654" t="s">
        <v>84</v>
      </c>
      <c r="E2654" t="s">
        <v>68</v>
      </c>
      <c r="F2654" t="s">
        <v>25</v>
      </c>
      <c r="G2654" s="4">
        <v>5</v>
      </c>
      <c r="H2654" s="4" t="s">
        <v>81</v>
      </c>
      <c r="I2654" s="4" t="s">
        <v>69</v>
      </c>
      <c r="J2654" s="4" t="s">
        <v>66</v>
      </c>
      <c r="K2654" s="4">
        <v>0</v>
      </c>
      <c r="L2654" s="94">
        <v>71163</v>
      </c>
      <c r="M2654" s="94">
        <v>355815</v>
      </c>
    </row>
    <row r="2655" spans="3:13" x14ac:dyDescent="0.3">
      <c r="C2655" t="s">
        <v>70</v>
      </c>
      <c r="D2655" t="s">
        <v>67</v>
      </c>
      <c r="E2655" t="s">
        <v>68</v>
      </c>
      <c r="F2655" t="s">
        <v>25</v>
      </c>
      <c r="G2655" s="4">
        <v>0</v>
      </c>
      <c r="H2655" s="4" t="s">
        <v>75</v>
      </c>
      <c r="I2655" s="4" t="s">
        <v>69</v>
      </c>
      <c r="J2655" s="4" t="s">
        <v>66</v>
      </c>
      <c r="K2655" s="4">
        <v>0</v>
      </c>
      <c r="L2655" s="94">
        <v>705573</v>
      </c>
      <c r="M2655" s="94">
        <v>0</v>
      </c>
    </row>
    <row r="2656" spans="3:13" x14ac:dyDescent="0.3">
      <c r="C2656" t="s">
        <v>61</v>
      </c>
      <c r="D2656" t="s">
        <v>67</v>
      </c>
      <c r="E2656" t="s">
        <v>68</v>
      </c>
      <c r="F2656" t="s">
        <v>26</v>
      </c>
      <c r="G2656" s="4">
        <v>4</v>
      </c>
      <c r="H2656" s="4" t="s">
        <v>77</v>
      </c>
      <c r="I2656" s="4" t="s">
        <v>69</v>
      </c>
      <c r="J2656" s="4" t="s">
        <v>66</v>
      </c>
      <c r="K2656" s="4">
        <v>0</v>
      </c>
      <c r="L2656" s="94">
        <v>6046962</v>
      </c>
      <c r="M2656" s="94">
        <v>24187848</v>
      </c>
    </row>
    <row r="2657" spans="3:13" x14ac:dyDescent="0.3">
      <c r="C2657" t="s">
        <v>61</v>
      </c>
      <c r="D2657" t="s">
        <v>62</v>
      </c>
      <c r="E2657" t="s">
        <v>68</v>
      </c>
      <c r="F2657" t="s">
        <v>25</v>
      </c>
      <c r="G2657" s="4">
        <v>19</v>
      </c>
      <c r="I2657" s="4" t="s">
        <v>69</v>
      </c>
      <c r="J2657" s="4" t="s">
        <v>66</v>
      </c>
      <c r="K2657" s="4">
        <v>0</v>
      </c>
      <c r="L2657" s="94">
        <v>291634</v>
      </c>
      <c r="M2657" s="94">
        <v>5541046</v>
      </c>
    </row>
    <row r="2658" spans="3:13" x14ac:dyDescent="0.3">
      <c r="C2658" t="s">
        <v>61</v>
      </c>
      <c r="D2658" t="s">
        <v>67</v>
      </c>
      <c r="E2658" t="s">
        <v>68</v>
      </c>
      <c r="F2658" t="s">
        <v>26</v>
      </c>
      <c r="G2658" s="4">
        <v>-1</v>
      </c>
      <c r="H2658" s="4" t="s">
        <v>16</v>
      </c>
      <c r="I2658" s="4" t="s">
        <v>69</v>
      </c>
      <c r="J2658" s="4" t="s">
        <v>66</v>
      </c>
      <c r="K2658" s="4">
        <v>0</v>
      </c>
      <c r="L2658" s="94">
        <v>4635753</v>
      </c>
      <c r="M2658" s="94">
        <v>0</v>
      </c>
    </row>
    <row r="2659" spans="3:13" x14ac:dyDescent="0.3">
      <c r="C2659" t="s">
        <v>70</v>
      </c>
      <c r="D2659" t="s">
        <v>62</v>
      </c>
      <c r="E2659" t="s">
        <v>68</v>
      </c>
      <c r="F2659" t="s">
        <v>24</v>
      </c>
      <c r="G2659" s="4">
        <v>26</v>
      </c>
      <c r="I2659" s="4" t="s">
        <v>69</v>
      </c>
      <c r="J2659" s="4" t="s">
        <v>66</v>
      </c>
      <c r="K2659" s="4">
        <v>0</v>
      </c>
      <c r="L2659" s="94">
        <v>51820138</v>
      </c>
      <c r="M2659" s="94">
        <v>1347323588</v>
      </c>
    </row>
    <row r="2660" spans="3:13" x14ac:dyDescent="0.3">
      <c r="C2660" t="s">
        <v>61</v>
      </c>
      <c r="D2660" t="s">
        <v>67</v>
      </c>
      <c r="E2660" t="s">
        <v>63</v>
      </c>
      <c r="F2660" t="s">
        <v>25</v>
      </c>
      <c r="G2660" s="4">
        <v>6</v>
      </c>
      <c r="H2660" s="4" t="s">
        <v>77</v>
      </c>
      <c r="I2660" s="4" t="s">
        <v>69</v>
      </c>
      <c r="J2660" s="4" t="s">
        <v>66</v>
      </c>
      <c r="K2660" s="4">
        <v>0</v>
      </c>
      <c r="L2660" s="94">
        <v>-119</v>
      </c>
      <c r="M2660" s="94">
        <v>0</v>
      </c>
    </row>
    <row r="2661" spans="3:13" x14ac:dyDescent="0.3">
      <c r="C2661" t="s">
        <v>70</v>
      </c>
      <c r="D2661" t="s">
        <v>67</v>
      </c>
      <c r="E2661" t="s">
        <v>63</v>
      </c>
      <c r="F2661" t="s">
        <v>26</v>
      </c>
      <c r="G2661" s="4">
        <v>3</v>
      </c>
      <c r="H2661" s="4" t="s">
        <v>64</v>
      </c>
      <c r="I2661" s="4" t="s">
        <v>69</v>
      </c>
      <c r="J2661" s="4" t="s">
        <v>66</v>
      </c>
      <c r="K2661" s="4">
        <v>0</v>
      </c>
      <c r="L2661" s="94">
        <v>-281571</v>
      </c>
      <c r="M2661" s="94">
        <v>0</v>
      </c>
    </row>
    <row r="2662" spans="3:13" x14ac:dyDescent="0.3">
      <c r="C2662" t="s">
        <v>71</v>
      </c>
      <c r="D2662" t="s">
        <v>67</v>
      </c>
      <c r="E2662" t="s">
        <v>63</v>
      </c>
      <c r="F2662" t="s">
        <v>25</v>
      </c>
      <c r="G2662" s="4">
        <v>8</v>
      </c>
      <c r="H2662" s="4" t="s">
        <v>18</v>
      </c>
      <c r="I2662" s="4" t="s">
        <v>69</v>
      </c>
      <c r="J2662" s="4" t="s">
        <v>66</v>
      </c>
      <c r="K2662" s="4">
        <v>0</v>
      </c>
      <c r="L2662" s="94">
        <v>-52966</v>
      </c>
      <c r="M2662" s="94">
        <v>0</v>
      </c>
    </row>
    <row r="2663" spans="3:13" x14ac:dyDescent="0.3">
      <c r="C2663" t="s">
        <v>71</v>
      </c>
      <c r="D2663" t="s">
        <v>67</v>
      </c>
      <c r="E2663" t="s">
        <v>68</v>
      </c>
      <c r="F2663" t="s">
        <v>25</v>
      </c>
      <c r="G2663" s="4">
        <v>1</v>
      </c>
      <c r="H2663" s="4" t="s">
        <v>18</v>
      </c>
      <c r="I2663" s="4" t="s">
        <v>69</v>
      </c>
      <c r="J2663" s="4" t="s">
        <v>66</v>
      </c>
      <c r="K2663" s="4">
        <v>0</v>
      </c>
      <c r="L2663" s="94">
        <v>57819</v>
      </c>
      <c r="M2663" s="94">
        <v>57819</v>
      </c>
    </row>
    <row r="2664" spans="3:13" x14ac:dyDescent="0.3">
      <c r="C2664" t="s">
        <v>61</v>
      </c>
      <c r="D2664" t="s">
        <v>67</v>
      </c>
      <c r="E2664" t="s">
        <v>63</v>
      </c>
      <c r="F2664" t="s">
        <v>72</v>
      </c>
      <c r="G2664" s="4">
        <v>11</v>
      </c>
      <c r="H2664" s="4" t="s">
        <v>75</v>
      </c>
      <c r="I2664" s="4" t="s">
        <v>69</v>
      </c>
      <c r="J2664" s="4" t="s">
        <v>66</v>
      </c>
      <c r="K2664" s="4">
        <v>0</v>
      </c>
      <c r="L2664" s="94">
        <v>-464</v>
      </c>
      <c r="M2664" s="94">
        <v>0</v>
      </c>
    </row>
    <row r="2665" spans="3:13" x14ac:dyDescent="0.3">
      <c r="C2665" t="s">
        <v>70</v>
      </c>
      <c r="D2665" t="s">
        <v>67</v>
      </c>
      <c r="E2665" t="s">
        <v>68</v>
      </c>
      <c r="F2665" t="s">
        <v>25</v>
      </c>
      <c r="G2665" s="4">
        <v>10</v>
      </c>
      <c r="H2665" s="4" t="s">
        <v>12</v>
      </c>
      <c r="I2665" s="4" t="s">
        <v>69</v>
      </c>
      <c r="J2665" s="4" t="s">
        <v>66</v>
      </c>
      <c r="K2665" s="4">
        <v>1</v>
      </c>
      <c r="L2665" s="94">
        <v>897802</v>
      </c>
      <c r="M2665" s="94">
        <v>8978020</v>
      </c>
    </row>
    <row r="2666" spans="3:13" x14ac:dyDescent="0.3">
      <c r="C2666" t="s">
        <v>70</v>
      </c>
      <c r="D2666" t="s">
        <v>67</v>
      </c>
      <c r="E2666" t="s">
        <v>68</v>
      </c>
      <c r="F2666" t="s">
        <v>26</v>
      </c>
      <c r="G2666" s="4">
        <v>-1</v>
      </c>
      <c r="H2666" s="4" t="s">
        <v>82</v>
      </c>
      <c r="I2666" s="4" t="s">
        <v>69</v>
      </c>
      <c r="J2666" s="4" t="s">
        <v>73</v>
      </c>
      <c r="K2666" s="4">
        <v>1</v>
      </c>
      <c r="L2666" s="94">
        <v>65296</v>
      </c>
      <c r="M2666" s="94">
        <v>0</v>
      </c>
    </row>
    <row r="2667" spans="3:13" x14ac:dyDescent="0.3">
      <c r="C2667" t="s">
        <v>61</v>
      </c>
      <c r="D2667" t="s">
        <v>67</v>
      </c>
      <c r="E2667" t="s">
        <v>68</v>
      </c>
      <c r="F2667" t="s">
        <v>72</v>
      </c>
      <c r="G2667" s="4">
        <v>3</v>
      </c>
      <c r="H2667" s="4" t="s">
        <v>12</v>
      </c>
      <c r="I2667" s="4" t="s">
        <v>65</v>
      </c>
      <c r="J2667" s="4" t="s">
        <v>73</v>
      </c>
      <c r="K2667" s="4">
        <v>1</v>
      </c>
      <c r="L2667" s="94">
        <v>98525</v>
      </c>
      <c r="M2667" s="94">
        <v>295575</v>
      </c>
    </row>
    <row r="2668" spans="3:13" x14ac:dyDescent="0.3">
      <c r="C2668" t="s">
        <v>71</v>
      </c>
      <c r="D2668" t="s">
        <v>67</v>
      </c>
      <c r="E2668" t="s">
        <v>63</v>
      </c>
      <c r="F2668" t="s">
        <v>26</v>
      </c>
      <c r="G2668" s="4">
        <v>0</v>
      </c>
      <c r="H2668" s="4" t="s">
        <v>64</v>
      </c>
      <c r="I2668" s="4" t="s">
        <v>69</v>
      </c>
      <c r="J2668" s="4" t="s">
        <v>66</v>
      </c>
      <c r="K2668" s="4">
        <v>0</v>
      </c>
      <c r="L2668" s="94">
        <v>-9968</v>
      </c>
      <c r="M2668" s="94">
        <v>0</v>
      </c>
    </row>
    <row r="2669" spans="3:13" x14ac:dyDescent="0.3">
      <c r="C2669" t="s">
        <v>71</v>
      </c>
      <c r="D2669" t="s">
        <v>62</v>
      </c>
      <c r="E2669" t="s">
        <v>68</v>
      </c>
      <c r="F2669" t="s">
        <v>24</v>
      </c>
      <c r="G2669" s="4">
        <v>5</v>
      </c>
      <c r="I2669" s="4" t="s">
        <v>69</v>
      </c>
      <c r="J2669" s="4" t="s">
        <v>66</v>
      </c>
      <c r="K2669" s="4">
        <v>0</v>
      </c>
      <c r="L2669" s="94">
        <v>1675310</v>
      </c>
      <c r="M2669" s="94">
        <v>8376550</v>
      </c>
    </row>
    <row r="2670" spans="3:13" x14ac:dyDescent="0.3">
      <c r="C2670" t="s">
        <v>71</v>
      </c>
      <c r="D2670" t="s">
        <v>62</v>
      </c>
      <c r="E2670" t="s">
        <v>68</v>
      </c>
      <c r="F2670" t="s">
        <v>25</v>
      </c>
      <c r="G2670" s="4">
        <v>-4</v>
      </c>
      <c r="I2670" s="4" t="s">
        <v>69</v>
      </c>
      <c r="J2670" s="4" t="s">
        <v>66</v>
      </c>
      <c r="K2670" s="4">
        <v>1</v>
      </c>
      <c r="L2670" s="94">
        <v>10537</v>
      </c>
      <c r="M2670" s="94">
        <v>0</v>
      </c>
    </row>
    <row r="2671" spans="3:13" x14ac:dyDescent="0.3">
      <c r="C2671" t="s">
        <v>70</v>
      </c>
      <c r="D2671" t="s">
        <v>67</v>
      </c>
      <c r="E2671" t="s">
        <v>68</v>
      </c>
      <c r="F2671" t="s">
        <v>26</v>
      </c>
      <c r="G2671" s="4">
        <v>4</v>
      </c>
      <c r="H2671" s="4" t="s">
        <v>18</v>
      </c>
      <c r="I2671" s="4" t="s">
        <v>69</v>
      </c>
      <c r="J2671" s="4" t="s">
        <v>73</v>
      </c>
      <c r="K2671" s="4">
        <v>1</v>
      </c>
      <c r="L2671" s="94">
        <v>2342347</v>
      </c>
      <c r="M2671" s="94">
        <v>9369388</v>
      </c>
    </row>
    <row r="2672" spans="3:13" x14ac:dyDescent="0.3">
      <c r="C2672" t="s">
        <v>70</v>
      </c>
      <c r="D2672" t="s">
        <v>67</v>
      </c>
      <c r="E2672" t="s">
        <v>63</v>
      </c>
      <c r="F2672" t="s">
        <v>25</v>
      </c>
      <c r="G2672" s="4">
        <v>-4</v>
      </c>
      <c r="H2672" s="4" t="s">
        <v>77</v>
      </c>
      <c r="I2672" s="4" t="s">
        <v>69</v>
      </c>
      <c r="J2672" s="4" t="s">
        <v>66</v>
      </c>
      <c r="K2672" s="4">
        <v>0</v>
      </c>
      <c r="L2672" s="94">
        <v>-166</v>
      </c>
      <c r="M2672" s="94">
        <v>0</v>
      </c>
    </row>
    <row r="2673" spans="3:13" x14ac:dyDescent="0.3">
      <c r="C2673" t="s">
        <v>70</v>
      </c>
      <c r="D2673" t="s">
        <v>62</v>
      </c>
      <c r="E2673" t="s">
        <v>63</v>
      </c>
      <c r="F2673" t="s">
        <v>25</v>
      </c>
      <c r="G2673" s="4">
        <v>-4</v>
      </c>
      <c r="I2673" s="4" t="s">
        <v>69</v>
      </c>
      <c r="J2673" s="4" t="s">
        <v>66</v>
      </c>
      <c r="K2673" s="4">
        <v>0</v>
      </c>
      <c r="L2673" s="94">
        <v>-38485</v>
      </c>
      <c r="M2673" s="94">
        <v>0</v>
      </c>
    </row>
    <row r="2674" spans="3:13" x14ac:dyDescent="0.3">
      <c r="C2674" t="s">
        <v>61</v>
      </c>
      <c r="D2674" t="s">
        <v>62</v>
      </c>
      <c r="E2674" t="s">
        <v>68</v>
      </c>
      <c r="F2674" t="s">
        <v>24</v>
      </c>
      <c r="G2674" s="4">
        <v>22</v>
      </c>
      <c r="I2674" s="4" t="s">
        <v>69</v>
      </c>
      <c r="J2674" s="4" t="s">
        <v>66</v>
      </c>
      <c r="K2674" s="4">
        <v>1</v>
      </c>
      <c r="L2674" s="94">
        <v>3575247</v>
      </c>
      <c r="M2674" s="94">
        <v>78655434</v>
      </c>
    </row>
    <row r="2675" spans="3:13" x14ac:dyDescent="0.3">
      <c r="C2675" t="s">
        <v>61</v>
      </c>
      <c r="D2675" t="s">
        <v>62</v>
      </c>
      <c r="E2675" t="s">
        <v>68</v>
      </c>
      <c r="F2675" t="s">
        <v>24</v>
      </c>
      <c r="G2675" s="4">
        <v>34</v>
      </c>
      <c r="I2675" s="4" t="s">
        <v>65</v>
      </c>
      <c r="J2675" s="4" t="s">
        <v>66</v>
      </c>
      <c r="K2675" s="4">
        <v>1</v>
      </c>
      <c r="L2675" s="94">
        <v>18032521</v>
      </c>
      <c r="M2675" s="94">
        <v>613105714</v>
      </c>
    </row>
    <row r="2676" spans="3:13" x14ac:dyDescent="0.3">
      <c r="C2676" t="s">
        <v>71</v>
      </c>
      <c r="D2676" t="s">
        <v>67</v>
      </c>
      <c r="E2676" t="s">
        <v>63</v>
      </c>
      <c r="F2676" t="s">
        <v>26</v>
      </c>
      <c r="G2676" s="4">
        <v>-4</v>
      </c>
      <c r="H2676" s="4" t="s">
        <v>75</v>
      </c>
      <c r="I2676" s="4" t="s">
        <v>69</v>
      </c>
      <c r="J2676" s="4" t="s">
        <v>66</v>
      </c>
      <c r="K2676" s="4">
        <v>0</v>
      </c>
      <c r="L2676" s="94">
        <v>-976755</v>
      </c>
      <c r="M2676" s="94">
        <v>0</v>
      </c>
    </row>
    <row r="2677" spans="3:13" x14ac:dyDescent="0.3">
      <c r="C2677" t="s">
        <v>61</v>
      </c>
      <c r="D2677" t="s">
        <v>67</v>
      </c>
      <c r="E2677" t="s">
        <v>68</v>
      </c>
      <c r="F2677" t="s">
        <v>25</v>
      </c>
      <c r="G2677" s="4">
        <v>12</v>
      </c>
      <c r="H2677" s="4" t="s">
        <v>17</v>
      </c>
      <c r="I2677" s="4" t="s">
        <v>69</v>
      </c>
      <c r="J2677" s="4" t="s">
        <v>66</v>
      </c>
      <c r="K2677" s="4">
        <v>1</v>
      </c>
      <c r="L2677" s="94">
        <v>75903</v>
      </c>
      <c r="M2677" s="94">
        <v>910836</v>
      </c>
    </row>
    <row r="2678" spans="3:13" x14ac:dyDescent="0.3">
      <c r="C2678" t="s">
        <v>61</v>
      </c>
      <c r="D2678" t="s">
        <v>67</v>
      </c>
      <c r="E2678" t="s">
        <v>63</v>
      </c>
      <c r="F2678" t="s">
        <v>72</v>
      </c>
      <c r="G2678" s="4">
        <v>0</v>
      </c>
      <c r="H2678" s="4" t="s">
        <v>17</v>
      </c>
      <c r="I2678" s="4" t="s">
        <v>69</v>
      </c>
      <c r="J2678" s="4" t="s">
        <v>73</v>
      </c>
      <c r="K2678" s="4">
        <v>1</v>
      </c>
      <c r="L2678" s="94">
        <v>-25</v>
      </c>
      <c r="M2678" s="94">
        <v>0</v>
      </c>
    </row>
    <row r="2679" spans="3:13" x14ac:dyDescent="0.3">
      <c r="C2679" t="s">
        <v>61</v>
      </c>
      <c r="D2679" t="s">
        <v>67</v>
      </c>
      <c r="E2679" t="s">
        <v>68</v>
      </c>
      <c r="F2679" t="s">
        <v>72</v>
      </c>
      <c r="G2679" s="4">
        <v>5</v>
      </c>
      <c r="H2679" s="4" t="s">
        <v>17</v>
      </c>
      <c r="I2679" s="4" t="s">
        <v>69</v>
      </c>
      <c r="J2679" s="4" t="s">
        <v>66</v>
      </c>
      <c r="K2679" s="4">
        <v>0</v>
      </c>
      <c r="L2679" s="94">
        <v>4428896</v>
      </c>
      <c r="M2679" s="94">
        <v>22144480</v>
      </c>
    </row>
    <row r="2680" spans="3:13" x14ac:dyDescent="0.3">
      <c r="C2680" t="s">
        <v>61</v>
      </c>
      <c r="D2680" t="s">
        <v>67</v>
      </c>
      <c r="E2680" t="s">
        <v>68</v>
      </c>
      <c r="F2680" t="s">
        <v>26</v>
      </c>
      <c r="G2680" s="4">
        <v>7</v>
      </c>
      <c r="H2680" s="4" t="s">
        <v>79</v>
      </c>
      <c r="I2680" s="4" t="s">
        <v>69</v>
      </c>
      <c r="J2680" s="4" t="s">
        <v>66</v>
      </c>
      <c r="K2680" s="4">
        <v>0</v>
      </c>
      <c r="L2680" s="94">
        <v>428461</v>
      </c>
      <c r="M2680" s="94">
        <v>2999227</v>
      </c>
    </row>
    <row r="2681" spans="3:13" x14ac:dyDescent="0.3">
      <c r="C2681" t="s">
        <v>61</v>
      </c>
      <c r="D2681" t="s">
        <v>67</v>
      </c>
      <c r="E2681" t="s">
        <v>63</v>
      </c>
      <c r="F2681" t="s">
        <v>26</v>
      </c>
      <c r="G2681" s="4">
        <v>0</v>
      </c>
      <c r="H2681" s="4" t="s">
        <v>13</v>
      </c>
      <c r="I2681" s="4" t="s">
        <v>69</v>
      </c>
      <c r="J2681" s="4" t="s">
        <v>66</v>
      </c>
      <c r="K2681" s="4">
        <v>0</v>
      </c>
      <c r="L2681" s="94">
        <v>-134</v>
      </c>
      <c r="M2681" s="94">
        <v>0</v>
      </c>
    </row>
    <row r="2682" spans="3:13" x14ac:dyDescent="0.3">
      <c r="C2682" t="s">
        <v>61</v>
      </c>
      <c r="D2682" t="s">
        <v>67</v>
      </c>
      <c r="E2682" t="s">
        <v>68</v>
      </c>
      <c r="F2682" t="s">
        <v>72</v>
      </c>
      <c r="G2682" s="4">
        <v>3</v>
      </c>
      <c r="H2682" s="4" t="s">
        <v>80</v>
      </c>
      <c r="I2682" s="4" t="s">
        <v>69</v>
      </c>
      <c r="J2682" s="4" t="s">
        <v>66</v>
      </c>
      <c r="K2682" s="4">
        <v>0</v>
      </c>
      <c r="L2682" s="94">
        <v>681775</v>
      </c>
      <c r="M2682" s="94">
        <v>2045325</v>
      </c>
    </row>
    <row r="2683" spans="3:13" x14ac:dyDescent="0.3">
      <c r="C2683" t="s">
        <v>61</v>
      </c>
      <c r="D2683" t="s">
        <v>62</v>
      </c>
      <c r="E2683" t="s">
        <v>68</v>
      </c>
      <c r="F2683" t="s">
        <v>24</v>
      </c>
      <c r="G2683" s="4">
        <v>40</v>
      </c>
      <c r="I2683" s="4" t="s">
        <v>65</v>
      </c>
      <c r="J2683" s="4" t="s">
        <v>66</v>
      </c>
      <c r="K2683" s="4">
        <v>1</v>
      </c>
      <c r="L2683" s="94">
        <v>4918588</v>
      </c>
      <c r="M2683" s="94">
        <v>196743520</v>
      </c>
    </row>
    <row r="2684" spans="3:13" x14ac:dyDescent="0.3">
      <c r="C2684" t="s">
        <v>61</v>
      </c>
      <c r="D2684" t="s">
        <v>67</v>
      </c>
      <c r="E2684" t="s">
        <v>63</v>
      </c>
      <c r="F2684" t="s">
        <v>72</v>
      </c>
      <c r="G2684" s="4">
        <v>2</v>
      </c>
      <c r="H2684" s="4" t="s">
        <v>13</v>
      </c>
      <c r="I2684" s="4" t="s">
        <v>69</v>
      </c>
      <c r="J2684" s="4" t="s">
        <v>73</v>
      </c>
      <c r="K2684" s="4">
        <v>1</v>
      </c>
      <c r="L2684" s="94">
        <v>-4114</v>
      </c>
      <c r="M2684" s="94">
        <v>0</v>
      </c>
    </row>
    <row r="2685" spans="3:13" x14ac:dyDescent="0.3">
      <c r="C2685" t="s">
        <v>61</v>
      </c>
      <c r="D2685" t="s">
        <v>67</v>
      </c>
      <c r="E2685" t="s">
        <v>68</v>
      </c>
      <c r="F2685" t="s">
        <v>72</v>
      </c>
      <c r="G2685" s="4">
        <v>0</v>
      </c>
      <c r="H2685" s="4" t="s">
        <v>83</v>
      </c>
      <c r="I2685" s="4" t="s">
        <v>69</v>
      </c>
      <c r="J2685" s="4" t="s">
        <v>66</v>
      </c>
      <c r="K2685" s="4">
        <v>0</v>
      </c>
      <c r="L2685" s="94">
        <v>8064</v>
      </c>
      <c r="M2685" s="94">
        <v>0</v>
      </c>
    </row>
    <row r="2686" spans="3:13" x14ac:dyDescent="0.3">
      <c r="C2686" t="s">
        <v>61</v>
      </c>
      <c r="D2686" t="s">
        <v>67</v>
      </c>
      <c r="E2686" t="s">
        <v>68</v>
      </c>
      <c r="F2686" t="s">
        <v>25</v>
      </c>
      <c r="G2686" s="4">
        <v>7</v>
      </c>
      <c r="H2686" s="4" t="s">
        <v>82</v>
      </c>
      <c r="I2686" s="4" t="s">
        <v>69</v>
      </c>
      <c r="J2686" s="4" t="s">
        <v>66</v>
      </c>
      <c r="K2686" s="4">
        <v>0</v>
      </c>
      <c r="L2686" s="94">
        <v>388517</v>
      </c>
      <c r="M2686" s="94">
        <v>2719619</v>
      </c>
    </row>
    <row r="2687" spans="3:13" x14ac:dyDescent="0.3">
      <c r="C2687" t="s">
        <v>61</v>
      </c>
      <c r="D2687" t="s">
        <v>67</v>
      </c>
      <c r="E2687" t="s">
        <v>63</v>
      </c>
      <c r="F2687" t="s">
        <v>25</v>
      </c>
      <c r="G2687" s="4">
        <v>2</v>
      </c>
      <c r="H2687" s="4" t="s">
        <v>17</v>
      </c>
      <c r="I2687" s="4" t="s">
        <v>69</v>
      </c>
      <c r="J2687" s="4" t="s">
        <v>66</v>
      </c>
      <c r="K2687" s="4">
        <v>1</v>
      </c>
      <c r="L2687" s="94">
        <v>-27</v>
      </c>
      <c r="M2687" s="94">
        <v>0</v>
      </c>
    </row>
    <row r="2688" spans="3:13" x14ac:dyDescent="0.3">
      <c r="C2688" t="s">
        <v>61</v>
      </c>
      <c r="D2688" t="s">
        <v>67</v>
      </c>
      <c r="E2688" t="s">
        <v>68</v>
      </c>
      <c r="F2688" t="s">
        <v>26</v>
      </c>
      <c r="G2688" s="4">
        <v>-1</v>
      </c>
      <c r="H2688" s="4" t="s">
        <v>81</v>
      </c>
      <c r="I2688" s="4" t="s">
        <v>69</v>
      </c>
      <c r="J2688" s="4" t="s">
        <v>66</v>
      </c>
      <c r="K2688" s="4">
        <v>0</v>
      </c>
      <c r="L2688" s="94">
        <v>1835694</v>
      </c>
      <c r="M2688" s="94">
        <v>0</v>
      </c>
    </row>
    <row r="2689" spans="3:13" x14ac:dyDescent="0.3">
      <c r="C2689" t="s">
        <v>61</v>
      </c>
      <c r="D2689" t="s">
        <v>62</v>
      </c>
      <c r="E2689" t="s">
        <v>68</v>
      </c>
      <c r="F2689" t="s">
        <v>25</v>
      </c>
      <c r="G2689" s="4">
        <v>13</v>
      </c>
      <c r="I2689" s="4" t="s">
        <v>69</v>
      </c>
      <c r="J2689" s="4" t="s">
        <v>66</v>
      </c>
      <c r="K2689" s="4">
        <v>0</v>
      </c>
      <c r="L2689" s="94">
        <v>1947405</v>
      </c>
      <c r="M2689" s="94">
        <v>25316265</v>
      </c>
    </row>
    <row r="2690" spans="3:13" x14ac:dyDescent="0.3">
      <c r="C2690" t="s">
        <v>61</v>
      </c>
      <c r="D2690" t="s">
        <v>62</v>
      </c>
      <c r="E2690" t="s">
        <v>68</v>
      </c>
      <c r="F2690" t="s">
        <v>24</v>
      </c>
      <c r="G2690" s="4">
        <v>19</v>
      </c>
      <c r="I2690" s="4" t="s">
        <v>69</v>
      </c>
      <c r="J2690" s="4" t="s">
        <v>66</v>
      </c>
      <c r="K2690" s="4">
        <v>1</v>
      </c>
      <c r="L2690" s="94">
        <v>2025857</v>
      </c>
      <c r="M2690" s="94">
        <v>38491283</v>
      </c>
    </row>
    <row r="2691" spans="3:13" x14ac:dyDescent="0.3">
      <c r="C2691" t="s">
        <v>61</v>
      </c>
      <c r="D2691" t="s">
        <v>67</v>
      </c>
      <c r="E2691" t="s">
        <v>68</v>
      </c>
      <c r="F2691" t="s">
        <v>25</v>
      </c>
      <c r="G2691" s="4">
        <v>3</v>
      </c>
      <c r="H2691" s="4" t="s">
        <v>75</v>
      </c>
      <c r="I2691" s="4" t="s">
        <v>69</v>
      </c>
      <c r="J2691" s="4" t="s">
        <v>66</v>
      </c>
      <c r="K2691" s="4">
        <v>0</v>
      </c>
      <c r="L2691" s="94">
        <v>63354576</v>
      </c>
      <c r="M2691" s="94">
        <v>190063728</v>
      </c>
    </row>
    <row r="2692" spans="3:13" x14ac:dyDescent="0.3">
      <c r="C2692" t="s">
        <v>71</v>
      </c>
      <c r="D2692" t="s">
        <v>67</v>
      </c>
      <c r="E2692" t="s">
        <v>63</v>
      </c>
      <c r="F2692" t="s">
        <v>25</v>
      </c>
      <c r="G2692" s="4">
        <v>-4</v>
      </c>
      <c r="H2692" s="4" t="s">
        <v>12</v>
      </c>
      <c r="I2692" s="4" t="s">
        <v>69</v>
      </c>
      <c r="J2692" s="4" t="s">
        <v>66</v>
      </c>
      <c r="K2692" s="4">
        <v>0</v>
      </c>
      <c r="L2692" s="94">
        <v>-29086</v>
      </c>
      <c r="M2692" s="94">
        <v>0</v>
      </c>
    </row>
    <row r="2693" spans="3:13" x14ac:dyDescent="0.3">
      <c r="C2693" t="s">
        <v>61</v>
      </c>
      <c r="D2693" t="s">
        <v>67</v>
      </c>
      <c r="E2693" t="s">
        <v>68</v>
      </c>
      <c r="F2693" t="s">
        <v>72</v>
      </c>
      <c r="G2693" s="4">
        <v>-4</v>
      </c>
      <c r="I2693" s="4" t="s">
        <v>69</v>
      </c>
      <c r="J2693" s="4" t="s">
        <v>66</v>
      </c>
      <c r="K2693" s="4">
        <v>0</v>
      </c>
      <c r="L2693" s="94">
        <v>19684</v>
      </c>
      <c r="M2693" s="94">
        <v>0</v>
      </c>
    </row>
    <row r="2694" spans="3:13" x14ac:dyDescent="0.3">
      <c r="C2694" t="s">
        <v>71</v>
      </c>
      <c r="D2694" t="s">
        <v>67</v>
      </c>
      <c r="E2694" t="s">
        <v>68</v>
      </c>
      <c r="F2694" t="s">
        <v>26</v>
      </c>
      <c r="G2694" s="4">
        <v>-1</v>
      </c>
      <c r="H2694" s="4" t="s">
        <v>12</v>
      </c>
      <c r="I2694" s="4" t="s">
        <v>69</v>
      </c>
      <c r="J2694" s="4" t="s">
        <v>66</v>
      </c>
      <c r="K2694" s="4">
        <v>0</v>
      </c>
      <c r="L2694" s="94">
        <v>421360</v>
      </c>
      <c r="M2694" s="94">
        <v>0</v>
      </c>
    </row>
    <row r="2695" spans="3:13" x14ac:dyDescent="0.3">
      <c r="C2695" t="s">
        <v>61</v>
      </c>
      <c r="D2695" t="s">
        <v>67</v>
      </c>
      <c r="E2695" t="s">
        <v>68</v>
      </c>
      <c r="F2695" t="s">
        <v>26</v>
      </c>
      <c r="G2695" s="4">
        <v>6</v>
      </c>
      <c r="H2695" s="4" t="s">
        <v>83</v>
      </c>
      <c r="I2695" s="4" t="s">
        <v>69</v>
      </c>
      <c r="J2695" s="4" t="s">
        <v>66</v>
      </c>
      <c r="K2695" s="4">
        <v>0</v>
      </c>
      <c r="L2695" s="94">
        <v>9585801</v>
      </c>
      <c r="M2695" s="94">
        <v>57514806</v>
      </c>
    </row>
    <row r="2696" spans="3:13" x14ac:dyDescent="0.3">
      <c r="C2696" t="s">
        <v>61</v>
      </c>
      <c r="D2696" t="s">
        <v>62</v>
      </c>
      <c r="E2696" t="s">
        <v>63</v>
      </c>
      <c r="F2696" t="s">
        <v>24</v>
      </c>
      <c r="G2696" s="4">
        <v>27</v>
      </c>
      <c r="I2696" s="4" t="s">
        <v>69</v>
      </c>
      <c r="J2696" s="4" t="s">
        <v>66</v>
      </c>
      <c r="K2696" s="4">
        <v>0</v>
      </c>
      <c r="L2696" s="94">
        <v>-367400</v>
      </c>
      <c r="M2696" s="94">
        <v>0</v>
      </c>
    </row>
    <row r="2697" spans="3:13" x14ac:dyDescent="0.3">
      <c r="C2697" t="s">
        <v>61</v>
      </c>
      <c r="D2697" t="s">
        <v>67</v>
      </c>
      <c r="E2697" t="s">
        <v>63</v>
      </c>
      <c r="F2697" t="s">
        <v>25</v>
      </c>
      <c r="G2697" s="4">
        <v>1</v>
      </c>
      <c r="H2697" s="4" t="s">
        <v>77</v>
      </c>
      <c r="I2697" s="4" t="s">
        <v>69</v>
      </c>
      <c r="J2697" s="4" t="s">
        <v>66</v>
      </c>
      <c r="K2697" s="4">
        <v>0</v>
      </c>
      <c r="L2697" s="94">
        <v>-54</v>
      </c>
      <c r="M2697" s="94">
        <v>0</v>
      </c>
    </row>
    <row r="2698" spans="3:13" x14ac:dyDescent="0.3">
      <c r="C2698" t="s">
        <v>61</v>
      </c>
      <c r="D2698" t="s">
        <v>67</v>
      </c>
      <c r="E2698" t="s">
        <v>68</v>
      </c>
      <c r="F2698" t="s">
        <v>25</v>
      </c>
      <c r="G2698" s="4">
        <v>-1</v>
      </c>
      <c r="H2698" s="4" t="s">
        <v>78</v>
      </c>
      <c r="I2698" s="4" t="s">
        <v>69</v>
      </c>
      <c r="J2698" s="4" t="s">
        <v>66</v>
      </c>
      <c r="K2698" s="4">
        <v>0</v>
      </c>
      <c r="L2698" s="94">
        <v>200446</v>
      </c>
      <c r="M2698" s="94">
        <v>0</v>
      </c>
    </row>
    <row r="2699" spans="3:13" x14ac:dyDescent="0.3">
      <c r="C2699" t="s">
        <v>71</v>
      </c>
      <c r="D2699" t="s">
        <v>67</v>
      </c>
      <c r="E2699" t="s">
        <v>63</v>
      </c>
      <c r="F2699" t="s">
        <v>26</v>
      </c>
      <c r="G2699" s="4">
        <v>5</v>
      </c>
      <c r="H2699" s="4" t="s">
        <v>12</v>
      </c>
      <c r="I2699" s="4" t="s">
        <v>69</v>
      </c>
      <c r="J2699" s="4" t="s">
        <v>73</v>
      </c>
      <c r="K2699" s="4">
        <v>1</v>
      </c>
      <c r="L2699" s="94">
        <v>-577280</v>
      </c>
      <c r="M2699" s="94">
        <v>0</v>
      </c>
    </row>
    <row r="2700" spans="3:13" x14ac:dyDescent="0.3">
      <c r="C2700" t="s">
        <v>61</v>
      </c>
      <c r="D2700" t="s">
        <v>67</v>
      </c>
      <c r="E2700" t="s">
        <v>63</v>
      </c>
      <c r="F2700" t="s">
        <v>25</v>
      </c>
      <c r="G2700" s="4">
        <v>15</v>
      </c>
      <c r="H2700" s="4" t="s">
        <v>83</v>
      </c>
      <c r="I2700" s="4" t="s">
        <v>69</v>
      </c>
      <c r="J2700" s="4" t="s">
        <v>66</v>
      </c>
      <c r="K2700" s="4">
        <v>0</v>
      </c>
      <c r="L2700" s="94">
        <v>-1538</v>
      </c>
      <c r="M2700" s="94">
        <v>0</v>
      </c>
    </row>
    <row r="2701" spans="3:13" x14ac:dyDescent="0.3">
      <c r="C2701" t="s">
        <v>61</v>
      </c>
      <c r="D2701" t="s">
        <v>67</v>
      </c>
      <c r="E2701" t="s">
        <v>68</v>
      </c>
      <c r="F2701" t="s">
        <v>25</v>
      </c>
      <c r="G2701" s="4">
        <v>1</v>
      </c>
      <c r="H2701" s="4" t="s">
        <v>79</v>
      </c>
      <c r="I2701" s="4" t="s">
        <v>69</v>
      </c>
      <c r="J2701" s="4" t="s">
        <v>66</v>
      </c>
      <c r="K2701" s="4">
        <v>0</v>
      </c>
      <c r="L2701" s="94">
        <v>404131</v>
      </c>
      <c r="M2701" s="94">
        <v>404131</v>
      </c>
    </row>
    <row r="2702" spans="3:13" x14ac:dyDescent="0.3">
      <c r="C2702" t="s">
        <v>71</v>
      </c>
      <c r="D2702" t="s">
        <v>67</v>
      </c>
      <c r="E2702" t="s">
        <v>68</v>
      </c>
      <c r="F2702" t="s">
        <v>72</v>
      </c>
      <c r="G2702" s="4">
        <v>0</v>
      </c>
      <c r="H2702" s="4" t="s">
        <v>18</v>
      </c>
      <c r="I2702" s="4" t="s">
        <v>69</v>
      </c>
      <c r="J2702" s="4" t="s">
        <v>66</v>
      </c>
      <c r="K2702" s="4">
        <v>0</v>
      </c>
      <c r="L2702" s="94">
        <v>21588</v>
      </c>
      <c r="M2702" s="94">
        <v>0</v>
      </c>
    </row>
    <row r="2703" spans="3:13" x14ac:dyDescent="0.3">
      <c r="C2703" t="s">
        <v>71</v>
      </c>
      <c r="D2703" t="s">
        <v>67</v>
      </c>
      <c r="E2703" t="s">
        <v>68</v>
      </c>
      <c r="F2703" t="s">
        <v>72</v>
      </c>
      <c r="G2703" s="4">
        <v>3</v>
      </c>
      <c r="H2703" s="4" t="s">
        <v>17</v>
      </c>
      <c r="I2703" s="4" t="s">
        <v>69</v>
      </c>
      <c r="J2703" s="4" t="s">
        <v>66</v>
      </c>
      <c r="K2703" s="4">
        <v>0</v>
      </c>
      <c r="L2703" s="94">
        <v>234639</v>
      </c>
      <c r="M2703" s="94">
        <v>703917</v>
      </c>
    </row>
    <row r="2704" spans="3:13" x14ac:dyDescent="0.3">
      <c r="C2704" t="s">
        <v>61</v>
      </c>
      <c r="D2704" t="s">
        <v>67</v>
      </c>
      <c r="E2704" t="s">
        <v>63</v>
      </c>
      <c r="F2704" t="s">
        <v>26</v>
      </c>
      <c r="G2704" s="4">
        <v>7</v>
      </c>
      <c r="H2704" s="4" t="s">
        <v>75</v>
      </c>
      <c r="I2704" s="4" t="s">
        <v>69</v>
      </c>
      <c r="J2704" s="4" t="s">
        <v>66</v>
      </c>
      <c r="K2704" s="4">
        <v>0</v>
      </c>
      <c r="L2704" s="94">
        <v>-3022</v>
      </c>
      <c r="M2704" s="94">
        <v>0</v>
      </c>
    </row>
    <row r="2705" spans="3:13" x14ac:dyDescent="0.3">
      <c r="C2705" t="s">
        <v>70</v>
      </c>
      <c r="D2705" t="s">
        <v>62</v>
      </c>
      <c r="E2705" t="s">
        <v>68</v>
      </c>
      <c r="F2705" t="s">
        <v>24</v>
      </c>
      <c r="G2705" s="4">
        <v>40</v>
      </c>
      <c r="I2705" s="4" t="s">
        <v>69</v>
      </c>
      <c r="J2705" s="4" t="s">
        <v>66</v>
      </c>
      <c r="K2705" s="4">
        <v>0</v>
      </c>
      <c r="L2705" s="94">
        <v>9390068</v>
      </c>
      <c r="M2705" s="94">
        <v>375602720</v>
      </c>
    </row>
    <row r="2706" spans="3:13" x14ac:dyDescent="0.3">
      <c r="C2706" t="s">
        <v>71</v>
      </c>
      <c r="D2706" t="s">
        <v>67</v>
      </c>
      <c r="E2706" t="s">
        <v>68</v>
      </c>
      <c r="F2706" t="s">
        <v>26</v>
      </c>
      <c r="G2706" s="4">
        <v>4</v>
      </c>
      <c r="H2706" s="4" t="s">
        <v>64</v>
      </c>
      <c r="I2706" s="4" t="s">
        <v>69</v>
      </c>
      <c r="J2706" s="4" t="s">
        <v>66</v>
      </c>
      <c r="K2706" s="4">
        <v>0</v>
      </c>
      <c r="L2706" s="94">
        <v>185226</v>
      </c>
      <c r="M2706" s="94">
        <v>740904</v>
      </c>
    </row>
    <row r="2707" spans="3:13" x14ac:dyDescent="0.3">
      <c r="C2707" t="s">
        <v>61</v>
      </c>
      <c r="D2707" t="s">
        <v>67</v>
      </c>
      <c r="E2707" t="s">
        <v>68</v>
      </c>
      <c r="F2707" t="s">
        <v>26</v>
      </c>
      <c r="G2707" s="4">
        <v>5</v>
      </c>
      <c r="H2707" s="4" t="s">
        <v>18</v>
      </c>
      <c r="I2707" s="4" t="s">
        <v>69</v>
      </c>
      <c r="J2707" s="4" t="s">
        <v>66</v>
      </c>
      <c r="K2707" s="4">
        <v>0</v>
      </c>
      <c r="L2707" s="94">
        <v>21154935</v>
      </c>
      <c r="M2707" s="94">
        <v>105774675</v>
      </c>
    </row>
    <row r="2708" spans="3:13" x14ac:dyDescent="0.3">
      <c r="C2708" t="s">
        <v>70</v>
      </c>
      <c r="D2708" t="s">
        <v>67</v>
      </c>
      <c r="E2708" t="s">
        <v>63</v>
      </c>
      <c r="F2708" t="s">
        <v>25</v>
      </c>
      <c r="G2708" s="4">
        <v>8</v>
      </c>
      <c r="H2708" s="4" t="s">
        <v>75</v>
      </c>
      <c r="I2708" s="4" t="s">
        <v>69</v>
      </c>
      <c r="J2708" s="4" t="s">
        <v>66</v>
      </c>
      <c r="K2708" s="4">
        <v>0</v>
      </c>
      <c r="L2708" s="94">
        <v>-595528</v>
      </c>
      <c r="M2708" s="94">
        <v>0</v>
      </c>
    </row>
    <row r="2709" spans="3:13" x14ac:dyDescent="0.3">
      <c r="C2709" t="s">
        <v>61</v>
      </c>
      <c r="D2709" t="s">
        <v>67</v>
      </c>
      <c r="E2709" t="s">
        <v>63</v>
      </c>
      <c r="F2709" t="s">
        <v>72</v>
      </c>
      <c r="G2709" s="4">
        <v>-1</v>
      </c>
      <c r="H2709" s="4" t="s">
        <v>17</v>
      </c>
      <c r="I2709" s="4" t="s">
        <v>69</v>
      </c>
      <c r="J2709" s="4" t="s">
        <v>66</v>
      </c>
      <c r="K2709" s="4">
        <v>0</v>
      </c>
      <c r="L2709" s="94">
        <v>-5821</v>
      </c>
      <c r="M2709" s="94">
        <v>0</v>
      </c>
    </row>
    <row r="2710" spans="3:13" x14ac:dyDescent="0.3">
      <c r="C2710" t="s">
        <v>71</v>
      </c>
      <c r="D2710" t="s">
        <v>67</v>
      </c>
      <c r="E2710" t="s">
        <v>68</v>
      </c>
      <c r="F2710" t="s">
        <v>72</v>
      </c>
      <c r="G2710" s="4">
        <v>1</v>
      </c>
      <c r="H2710" s="4" t="s">
        <v>74</v>
      </c>
      <c r="I2710" s="4" t="s">
        <v>69</v>
      </c>
      <c r="J2710" s="4" t="s">
        <v>66</v>
      </c>
      <c r="K2710" s="4">
        <v>0</v>
      </c>
      <c r="L2710" s="94">
        <v>52692</v>
      </c>
      <c r="M2710" s="94">
        <v>52692</v>
      </c>
    </row>
    <row r="2711" spans="3:13" x14ac:dyDescent="0.3">
      <c r="C2711" t="s">
        <v>61</v>
      </c>
      <c r="D2711" t="s">
        <v>67</v>
      </c>
      <c r="E2711" t="s">
        <v>63</v>
      </c>
      <c r="F2711" t="s">
        <v>26</v>
      </c>
      <c r="G2711" s="4">
        <v>5</v>
      </c>
      <c r="H2711" s="4" t="s">
        <v>15</v>
      </c>
      <c r="I2711" s="4" t="s">
        <v>65</v>
      </c>
      <c r="J2711" s="4" t="s">
        <v>66</v>
      </c>
      <c r="K2711" s="4">
        <v>1</v>
      </c>
      <c r="L2711" s="94">
        <v>-4288</v>
      </c>
      <c r="M2711" s="94">
        <v>0</v>
      </c>
    </row>
    <row r="2712" spans="3:13" x14ac:dyDescent="0.3">
      <c r="C2712" t="s">
        <v>61</v>
      </c>
      <c r="D2712" t="s">
        <v>67</v>
      </c>
      <c r="E2712" t="s">
        <v>63</v>
      </c>
      <c r="F2712" t="s">
        <v>72</v>
      </c>
      <c r="G2712" s="4">
        <v>1</v>
      </c>
      <c r="H2712" s="4" t="s">
        <v>64</v>
      </c>
      <c r="I2712" s="4" t="s">
        <v>69</v>
      </c>
      <c r="J2712" s="4" t="s">
        <v>66</v>
      </c>
      <c r="K2712" s="4">
        <v>0</v>
      </c>
      <c r="L2712" s="94">
        <v>-31316</v>
      </c>
      <c r="M2712" s="94">
        <v>0</v>
      </c>
    </row>
    <row r="2713" spans="3:13" x14ac:dyDescent="0.3">
      <c r="C2713" t="s">
        <v>71</v>
      </c>
      <c r="D2713" t="s">
        <v>67</v>
      </c>
      <c r="E2713" t="s">
        <v>68</v>
      </c>
      <c r="F2713" t="s">
        <v>26</v>
      </c>
      <c r="G2713" s="4">
        <v>13</v>
      </c>
      <c r="H2713" s="4" t="s">
        <v>18</v>
      </c>
      <c r="I2713" s="4" t="s">
        <v>69</v>
      </c>
      <c r="J2713" s="4" t="s">
        <v>66</v>
      </c>
      <c r="K2713" s="4">
        <v>0</v>
      </c>
      <c r="L2713" s="94">
        <v>64489</v>
      </c>
      <c r="M2713" s="94">
        <v>838357</v>
      </c>
    </row>
    <row r="2714" spans="3:13" x14ac:dyDescent="0.3">
      <c r="C2714" t="s">
        <v>70</v>
      </c>
      <c r="D2714" t="s">
        <v>62</v>
      </c>
      <c r="E2714" t="s">
        <v>68</v>
      </c>
      <c r="F2714" t="s">
        <v>24</v>
      </c>
      <c r="G2714" s="4">
        <v>31</v>
      </c>
      <c r="I2714" s="4" t="s">
        <v>69</v>
      </c>
      <c r="J2714" s="4" t="s">
        <v>66</v>
      </c>
      <c r="K2714" s="4">
        <v>0</v>
      </c>
      <c r="L2714" s="94">
        <v>41338079</v>
      </c>
      <c r="M2714" s="94">
        <v>1281480449</v>
      </c>
    </row>
    <row r="2715" spans="3:13" x14ac:dyDescent="0.3">
      <c r="C2715" t="s">
        <v>71</v>
      </c>
      <c r="D2715" t="s">
        <v>67</v>
      </c>
      <c r="E2715" t="s">
        <v>63</v>
      </c>
      <c r="F2715" t="s">
        <v>26</v>
      </c>
      <c r="G2715" s="4">
        <v>7</v>
      </c>
      <c r="H2715" s="4" t="s">
        <v>64</v>
      </c>
      <c r="I2715" s="4" t="s">
        <v>69</v>
      </c>
      <c r="J2715" s="4" t="s">
        <v>66</v>
      </c>
      <c r="K2715" s="4">
        <v>0</v>
      </c>
      <c r="L2715" s="94">
        <v>-365531</v>
      </c>
      <c r="M2715" s="94">
        <v>0</v>
      </c>
    </row>
    <row r="2716" spans="3:13" x14ac:dyDescent="0.3">
      <c r="C2716" t="s">
        <v>61</v>
      </c>
      <c r="D2716" t="s">
        <v>67</v>
      </c>
      <c r="E2716" t="s">
        <v>68</v>
      </c>
      <c r="F2716" t="s">
        <v>72</v>
      </c>
      <c r="G2716" s="4">
        <v>5</v>
      </c>
      <c r="H2716" s="4" t="s">
        <v>82</v>
      </c>
      <c r="I2716" s="4" t="s">
        <v>69</v>
      </c>
      <c r="J2716" s="4" t="s">
        <v>66</v>
      </c>
      <c r="K2716" s="4">
        <v>0</v>
      </c>
      <c r="L2716" s="94">
        <v>8144057</v>
      </c>
      <c r="M2716" s="94">
        <v>40720285</v>
      </c>
    </row>
    <row r="2717" spans="3:13" x14ac:dyDescent="0.3">
      <c r="C2717" t="s">
        <v>61</v>
      </c>
      <c r="D2717" t="s">
        <v>67</v>
      </c>
      <c r="E2717" t="s">
        <v>68</v>
      </c>
      <c r="F2717" t="s">
        <v>26</v>
      </c>
      <c r="G2717" s="4">
        <v>3</v>
      </c>
      <c r="H2717" s="4" t="s">
        <v>76</v>
      </c>
      <c r="I2717" s="4" t="s">
        <v>69</v>
      </c>
      <c r="J2717" s="4" t="s">
        <v>66</v>
      </c>
      <c r="K2717" s="4">
        <v>0</v>
      </c>
      <c r="L2717" s="94">
        <v>48339994</v>
      </c>
      <c r="M2717" s="94">
        <v>145019982</v>
      </c>
    </row>
    <row r="2718" spans="3:13" x14ac:dyDescent="0.3">
      <c r="C2718" t="s">
        <v>61</v>
      </c>
      <c r="D2718" t="s">
        <v>67</v>
      </c>
      <c r="E2718" t="s">
        <v>68</v>
      </c>
      <c r="F2718" t="s">
        <v>72</v>
      </c>
      <c r="G2718" s="4">
        <v>4</v>
      </c>
      <c r="H2718" s="4" t="s">
        <v>17</v>
      </c>
      <c r="I2718" s="4" t="s">
        <v>65</v>
      </c>
      <c r="J2718" s="4" t="s">
        <v>66</v>
      </c>
      <c r="K2718" s="4">
        <v>1</v>
      </c>
      <c r="L2718" s="94">
        <v>16989</v>
      </c>
      <c r="M2718" s="94">
        <v>67956</v>
      </c>
    </row>
    <row r="2719" spans="3:13" x14ac:dyDescent="0.3">
      <c r="C2719" t="s">
        <v>61</v>
      </c>
      <c r="D2719" t="s">
        <v>67</v>
      </c>
      <c r="E2719" t="s">
        <v>63</v>
      </c>
      <c r="F2719" t="s">
        <v>26</v>
      </c>
      <c r="G2719" s="4">
        <v>5</v>
      </c>
      <c r="H2719" s="4" t="s">
        <v>14</v>
      </c>
      <c r="I2719" s="4" t="s">
        <v>69</v>
      </c>
      <c r="J2719" s="4" t="s">
        <v>73</v>
      </c>
      <c r="K2719" s="4">
        <v>1</v>
      </c>
      <c r="L2719" s="94">
        <v>-33893</v>
      </c>
      <c r="M2719" s="94">
        <v>0</v>
      </c>
    </row>
    <row r="2720" spans="3:13" x14ac:dyDescent="0.3">
      <c r="C2720" t="s">
        <v>71</v>
      </c>
      <c r="D2720" t="s">
        <v>67</v>
      </c>
      <c r="E2720" t="s">
        <v>68</v>
      </c>
      <c r="F2720" t="s">
        <v>26</v>
      </c>
      <c r="G2720" s="4">
        <v>0</v>
      </c>
      <c r="H2720" s="4" t="s">
        <v>82</v>
      </c>
      <c r="I2720" s="4" t="s">
        <v>69</v>
      </c>
      <c r="J2720" s="4" t="s">
        <v>66</v>
      </c>
      <c r="K2720" s="4">
        <v>0</v>
      </c>
      <c r="L2720" s="94">
        <v>190555</v>
      </c>
      <c r="M2720" s="94">
        <v>0</v>
      </c>
    </row>
    <row r="2721" spans="3:13" x14ac:dyDescent="0.3">
      <c r="C2721" t="s">
        <v>61</v>
      </c>
      <c r="D2721" t="s">
        <v>62</v>
      </c>
      <c r="E2721" t="s">
        <v>63</v>
      </c>
      <c r="F2721" t="s">
        <v>24</v>
      </c>
      <c r="G2721" s="4">
        <v>12</v>
      </c>
      <c r="I2721" s="4" t="s">
        <v>69</v>
      </c>
      <c r="J2721" s="4" t="s">
        <v>66</v>
      </c>
      <c r="K2721" s="4">
        <v>1</v>
      </c>
      <c r="L2721" s="94">
        <v>-2025</v>
      </c>
      <c r="M2721" s="94">
        <v>0</v>
      </c>
    </row>
    <row r="2722" spans="3:13" x14ac:dyDescent="0.3">
      <c r="C2722" t="s">
        <v>70</v>
      </c>
      <c r="D2722" t="s">
        <v>67</v>
      </c>
      <c r="E2722" t="s">
        <v>68</v>
      </c>
      <c r="F2722" t="s">
        <v>72</v>
      </c>
      <c r="G2722" s="4">
        <v>3</v>
      </c>
      <c r="H2722" s="4" t="s">
        <v>15</v>
      </c>
      <c r="I2722" s="4" t="s">
        <v>69</v>
      </c>
      <c r="J2722" s="4" t="s">
        <v>73</v>
      </c>
      <c r="K2722" s="4">
        <v>1</v>
      </c>
      <c r="L2722" s="94">
        <v>23819</v>
      </c>
      <c r="M2722" s="94">
        <v>71457</v>
      </c>
    </row>
    <row r="2723" spans="3:13" x14ac:dyDescent="0.3">
      <c r="C2723" t="s">
        <v>71</v>
      </c>
      <c r="D2723" t="s">
        <v>67</v>
      </c>
      <c r="E2723" t="s">
        <v>68</v>
      </c>
      <c r="F2723" t="s">
        <v>72</v>
      </c>
      <c r="G2723" s="4">
        <v>-4</v>
      </c>
      <c r="H2723" s="4" t="s">
        <v>64</v>
      </c>
      <c r="I2723" s="4" t="s">
        <v>69</v>
      </c>
      <c r="J2723" s="4" t="s">
        <v>66</v>
      </c>
      <c r="K2723" s="4">
        <v>0</v>
      </c>
      <c r="L2723" s="94">
        <v>732187</v>
      </c>
      <c r="M2723" s="94">
        <v>0</v>
      </c>
    </row>
    <row r="2724" spans="3:13" x14ac:dyDescent="0.3">
      <c r="C2724" t="s">
        <v>71</v>
      </c>
      <c r="D2724" t="s">
        <v>62</v>
      </c>
      <c r="E2724" t="s">
        <v>63</v>
      </c>
      <c r="F2724" t="s">
        <v>24</v>
      </c>
      <c r="G2724" s="4">
        <v>19</v>
      </c>
      <c r="I2724" s="4" t="s">
        <v>69</v>
      </c>
      <c r="J2724" s="4" t="s">
        <v>66</v>
      </c>
      <c r="K2724" s="4">
        <v>0</v>
      </c>
      <c r="L2724" s="94">
        <v>-2063023</v>
      </c>
      <c r="M2724" s="94">
        <v>0</v>
      </c>
    </row>
    <row r="2725" spans="3:13" x14ac:dyDescent="0.3">
      <c r="C2725" t="s">
        <v>61</v>
      </c>
      <c r="D2725" t="s">
        <v>67</v>
      </c>
      <c r="E2725" t="s">
        <v>68</v>
      </c>
      <c r="F2725" t="s">
        <v>25</v>
      </c>
      <c r="G2725" s="4">
        <v>10</v>
      </c>
      <c r="H2725" s="4" t="s">
        <v>75</v>
      </c>
      <c r="I2725" s="4" t="s">
        <v>65</v>
      </c>
      <c r="J2725" s="4" t="s">
        <v>66</v>
      </c>
      <c r="K2725" s="4">
        <v>1</v>
      </c>
      <c r="L2725" s="94">
        <v>263987</v>
      </c>
      <c r="M2725" s="94">
        <v>2639870</v>
      </c>
    </row>
    <row r="2726" spans="3:13" x14ac:dyDescent="0.3">
      <c r="C2726" t="s">
        <v>70</v>
      </c>
      <c r="D2726" t="s">
        <v>67</v>
      </c>
      <c r="E2726" t="s">
        <v>63</v>
      </c>
      <c r="F2726" t="s">
        <v>72</v>
      </c>
      <c r="G2726" s="4">
        <v>-1</v>
      </c>
      <c r="H2726" s="4" t="s">
        <v>17</v>
      </c>
      <c r="I2726" s="4" t="s">
        <v>69</v>
      </c>
      <c r="J2726" s="4" t="s">
        <v>66</v>
      </c>
      <c r="K2726" s="4">
        <v>0</v>
      </c>
      <c r="L2726" s="94">
        <v>-10651</v>
      </c>
      <c r="M2726" s="94">
        <v>0</v>
      </c>
    </row>
    <row r="2727" spans="3:13" x14ac:dyDescent="0.3">
      <c r="C2727" t="s">
        <v>71</v>
      </c>
      <c r="D2727" t="s">
        <v>67</v>
      </c>
      <c r="E2727" t="s">
        <v>63</v>
      </c>
      <c r="F2727" t="s">
        <v>72</v>
      </c>
      <c r="G2727" s="4">
        <v>0</v>
      </c>
      <c r="H2727" s="4" t="s">
        <v>82</v>
      </c>
      <c r="I2727" s="4" t="s">
        <v>69</v>
      </c>
      <c r="J2727" s="4" t="s">
        <v>66</v>
      </c>
      <c r="K2727" s="4">
        <v>0</v>
      </c>
      <c r="L2727" s="94">
        <v>-116316</v>
      </c>
      <c r="M2727" s="94">
        <v>0</v>
      </c>
    </row>
    <row r="2728" spans="3:13" x14ac:dyDescent="0.3">
      <c r="C2728" t="s">
        <v>61</v>
      </c>
      <c r="D2728" t="s">
        <v>67</v>
      </c>
      <c r="E2728" t="s">
        <v>63</v>
      </c>
      <c r="F2728" t="s">
        <v>26</v>
      </c>
      <c r="G2728" s="4">
        <v>4</v>
      </c>
      <c r="H2728" s="4" t="s">
        <v>77</v>
      </c>
      <c r="I2728" s="4" t="s">
        <v>69</v>
      </c>
      <c r="J2728" s="4" t="s">
        <v>66</v>
      </c>
      <c r="K2728" s="4">
        <v>0</v>
      </c>
      <c r="L2728" s="94">
        <v>-15140</v>
      </c>
      <c r="M2728" s="94">
        <v>0</v>
      </c>
    </row>
    <row r="2729" spans="3:13" x14ac:dyDescent="0.3">
      <c r="C2729" t="s">
        <v>71</v>
      </c>
      <c r="D2729" t="s">
        <v>67</v>
      </c>
      <c r="E2729" t="s">
        <v>68</v>
      </c>
      <c r="F2729" t="s">
        <v>26</v>
      </c>
      <c r="G2729" s="4">
        <v>3</v>
      </c>
      <c r="H2729" s="4" t="s">
        <v>14</v>
      </c>
      <c r="I2729" s="4" t="s">
        <v>69</v>
      </c>
      <c r="J2729" s="4" t="s">
        <v>66</v>
      </c>
      <c r="K2729" s="4">
        <v>0</v>
      </c>
      <c r="L2729" s="94">
        <v>3698014</v>
      </c>
      <c r="M2729" s="94">
        <v>11094042</v>
      </c>
    </row>
    <row r="2730" spans="3:13" x14ac:dyDescent="0.3">
      <c r="C2730" t="s">
        <v>71</v>
      </c>
      <c r="D2730" t="s">
        <v>67</v>
      </c>
      <c r="E2730" t="s">
        <v>68</v>
      </c>
      <c r="F2730" t="s">
        <v>25</v>
      </c>
      <c r="G2730" s="4">
        <v>1</v>
      </c>
      <c r="H2730" s="4" t="s">
        <v>76</v>
      </c>
      <c r="I2730" s="4" t="s">
        <v>69</v>
      </c>
      <c r="J2730" s="4" t="s">
        <v>66</v>
      </c>
      <c r="K2730" s="4">
        <v>0</v>
      </c>
      <c r="L2730" s="94">
        <v>70715</v>
      </c>
      <c r="M2730" s="94">
        <v>70715</v>
      </c>
    </row>
    <row r="2731" spans="3:13" x14ac:dyDescent="0.3">
      <c r="C2731" t="s">
        <v>61</v>
      </c>
      <c r="D2731" t="s">
        <v>67</v>
      </c>
      <c r="E2731" t="s">
        <v>68</v>
      </c>
      <c r="F2731" t="s">
        <v>26</v>
      </c>
      <c r="G2731" s="4">
        <v>0</v>
      </c>
      <c r="H2731" s="4" t="s">
        <v>13</v>
      </c>
      <c r="I2731" s="4" t="s">
        <v>69</v>
      </c>
      <c r="J2731" s="4" t="s">
        <v>66</v>
      </c>
      <c r="K2731" s="4">
        <v>0</v>
      </c>
      <c r="L2731" s="94">
        <v>140609</v>
      </c>
      <c r="M2731" s="94">
        <v>0</v>
      </c>
    </row>
    <row r="2732" spans="3:13" x14ac:dyDescent="0.3">
      <c r="C2732" t="s">
        <v>70</v>
      </c>
      <c r="D2732" t="s">
        <v>67</v>
      </c>
      <c r="E2732" t="s">
        <v>63</v>
      </c>
      <c r="F2732" t="s">
        <v>25</v>
      </c>
      <c r="G2732" s="4">
        <v>-1</v>
      </c>
      <c r="H2732" s="4" t="s">
        <v>18</v>
      </c>
      <c r="I2732" s="4" t="s">
        <v>69</v>
      </c>
      <c r="J2732" s="4" t="s">
        <v>66</v>
      </c>
      <c r="K2732" s="4">
        <v>0</v>
      </c>
      <c r="L2732" s="94">
        <v>-34773</v>
      </c>
      <c r="M2732" s="94">
        <v>0</v>
      </c>
    </row>
    <row r="2733" spans="3:13" x14ac:dyDescent="0.3">
      <c r="C2733" t="s">
        <v>70</v>
      </c>
      <c r="D2733" t="s">
        <v>67</v>
      </c>
      <c r="E2733" t="s">
        <v>63</v>
      </c>
      <c r="F2733" t="s">
        <v>25</v>
      </c>
      <c r="G2733" s="4">
        <v>15</v>
      </c>
      <c r="H2733" s="4" t="s">
        <v>74</v>
      </c>
      <c r="I2733" s="4" t="s">
        <v>69</v>
      </c>
      <c r="J2733" s="4" t="s">
        <v>66</v>
      </c>
      <c r="K2733" s="4">
        <v>0</v>
      </c>
      <c r="L2733" s="94">
        <v>-16155</v>
      </c>
      <c r="M2733" s="94">
        <v>0</v>
      </c>
    </row>
    <row r="2734" spans="3:13" x14ac:dyDescent="0.3">
      <c r="C2734" t="s">
        <v>70</v>
      </c>
      <c r="D2734" t="s">
        <v>67</v>
      </c>
      <c r="E2734" t="s">
        <v>68</v>
      </c>
      <c r="F2734" t="s">
        <v>25</v>
      </c>
      <c r="G2734" s="4">
        <v>9</v>
      </c>
      <c r="H2734" s="4" t="s">
        <v>17</v>
      </c>
      <c r="I2734" s="4" t="s">
        <v>69</v>
      </c>
      <c r="J2734" s="4" t="s">
        <v>66</v>
      </c>
      <c r="K2734" s="4">
        <v>0</v>
      </c>
      <c r="L2734" s="94">
        <v>1581125</v>
      </c>
      <c r="M2734" s="94">
        <v>14230125</v>
      </c>
    </row>
    <row r="2735" spans="3:13" x14ac:dyDescent="0.3">
      <c r="C2735" t="s">
        <v>61</v>
      </c>
      <c r="D2735" t="s">
        <v>62</v>
      </c>
      <c r="E2735" t="s">
        <v>63</v>
      </c>
      <c r="F2735" t="s">
        <v>24</v>
      </c>
      <c r="G2735" s="4">
        <v>13</v>
      </c>
      <c r="I2735" s="4" t="s">
        <v>69</v>
      </c>
      <c r="J2735" s="4" t="s">
        <v>66</v>
      </c>
      <c r="K2735" s="4">
        <v>1</v>
      </c>
      <c r="L2735" s="94">
        <v>-622</v>
      </c>
      <c r="M2735" s="94">
        <v>0</v>
      </c>
    </row>
    <row r="2736" spans="3:13" x14ac:dyDescent="0.3">
      <c r="C2736" t="s">
        <v>61</v>
      </c>
      <c r="D2736" t="s">
        <v>67</v>
      </c>
      <c r="E2736" t="s">
        <v>63</v>
      </c>
      <c r="F2736" t="s">
        <v>26</v>
      </c>
      <c r="G2736" s="4">
        <v>7</v>
      </c>
      <c r="H2736" s="4" t="s">
        <v>83</v>
      </c>
      <c r="I2736" s="4" t="s">
        <v>69</v>
      </c>
      <c r="J2736" s="4" t="s">
        <v>66</v>
      </c>
      <c r="K2736" s="4">
        <v>0</v>
      </c>
      <c r="L2736" s="94">
        <v>-3812</v>
      </c>
      <c r="M2736" s="94">
        <v>0</v>
      </c>
    </row>
    <row r="2737" spans="3:13" x14ac:dyDescent="0.3">
      <c r="C2737" t="s">
        <v>61</v>
      </c>
      <c r="D2737" t="s">
        <v>62</v>
      </c>
      <c r="E2737" t="s">
        <v>68</v>
      </c>
      <c r="F2737" t="s">
        <v>24</v>
      </c>
      <c r="G2737" s="4">
        <v>30</v>
      </c>
      <c r="I2737" s="4" t="s">
        <v>69</v>
      </c>
      <c r="J2737" s="4" t="s">
        <v>66</v>
      </c>
      <c r="K2737" s="4">
        <v>0</v>
      </c>
      <c r="L2737" s="94">
        <v>829760995</v>
      </c>
      <c r="M2737" s="94">
        <v>24892829850</v>
      </c>
    </row>
    <row r="2738" spans="3:13" x14ac:dyDescent="0.3">
      <c r="C2738" t="s">
        <v>61</v>
      </c>
      <c r="D2738" t="s">
        <v>67</v>
      </c>
      <c r="E2738" t="s">
        <v>68</v>
      </c>
      <c r="F2738" t="s">
        <v>25</v>
      </c>
      <c r="G2738" s="4">
        <v>-1</v>
      </c>
      <c r="H2738" s="4" t="s">
        <v>76</v>
      </c>
      <c r="I2738" s="4" t="s">
        <v>65</v>
      </c>
      <c r="J2738" s="4" t="s">
        <v>66</v>
      </c>
      <c r="K2738" s="4">
        <v>1</v>
      </c>
      <c r="L2738" s="94">
        <v>191533</v>
      </c>
      <c r="M2738" s="94">
        <v>0</v>
      </c>
    </row>
    <row r="2739" spans="3:13" x14ac:dyDescent="0.3">
      <c r="C2739" t="s">
        <v>61</v>
      </c>
      <c r="D2739" t="s">
        <v>67</v>
      </c>
      <c r="E2739" t="s">
        <v>63</v>
      </c>
      <c r="F2739" t="s">
        <v>26</v>
      </c>
      <c r="G2739" s="4">
        <v>4</v>
      </c>
      <c r="H2739" s="4" t="s">
        <v>12</v>
      </c>
      <c r="I2739" s="4" t="s">
        <v>65</v>
      </c>
      <c r="J2739" s="4" t="s">
        <v>73</v>
      </c>
      <c r="K2739" s="4">
        <v>1</v>
      </c>
      <c r="L2739" s="94">
        <v>-1915</v>
      </c>
      <c r="M2739" s="94">
        <v>0</v>
      </c>
    </row>
    <row r="2740" spans="3:13" x14ac:dyDescent="0.3">
      <c r="C2740" t="s">
        <v>61</v>
      </c>
      <c r="D2740" t="s">
        <v>84</v>
      </c>
      <c r="E2740" t="s">
        <v>68</v>
      </c>
      <c r="F2740" t="s">
        <v>25</v>
      </c>
      <c r="G2740" s="4">
        <v>11</v>
      </c>
      <c r="H2740" s="4" t="s">
        <v>75</v>
      </c>
      <c r="I2740" s="4" t="s">
        <v>69</v>
      </c>
      <c r="J2740" s="4" t="s">
        <v>66</v>
      </c>
      <c r="K2740" s="4">
        <v>0</v>
      </c>
      <c r="L2740" s="94">
        <v>3625638</v>
      </c>
      <c r="M2740" s="94">
        <v>39882018</v>
      </c>
    </row>
    <row r="2741" spans="3:13" x14ac:dyDescent="0.3">
      <c r="C2741" t="s">
        <v>70</v>
      </c>
      <c r="D2741" t="s">
        <v>67</v>
      </c>
      <c r="E2741" t="s">
        <v>68</v>
      </c>
      <c r="F2741" t="s">
        <v>26</v>
      </c>
      <c r="G2741" s="4">
        <v>-4</v>
      </c>
      <c r="H2741" s="4" t="s">
        <v>82</v>
      </c>
      <c r="I2741" s="4" t="s">
        <v>69</v>
      </c>
      <c r="J2741" s="4" t="s">
        <v>66</v>
      </c>
      <c r="K2741" s="4">
        <v>0</v>
      </c>
      <c r="L2741" s="94">
        <v>60751</v>
      </c>
      <c r="M2741" s="94">
        <v>0</v>
      </c>
    </row>
    <row r="2742" spans="3:13" x14ac:dyDescent="0.3">
      <c r="C2742" t="s">
        <v>70</v>
      </c>
      <c r="D2742" t="s">
        <v>67</v>
      </c>
      <c r="E2742" t="s">
        <v>63</v>
      </c>
      <c r="F2742" t="s">
        <v>26</v>
      </c>
      <c r="G2742" s="4">
        <v>0</v>
      </c>
      <c r="H2742" s="4" t="s">
        <v>82</v>
      </c>
      <c r="I2742" s="4" t="s">
        <v>69</v>
      </c>
      <c r="J2742" s="4" t="s">
        <v>73</v>
      </c>
      <c r="K2742" s="4">
        <v>1</v>
      </c>
      <c r="L2742" s="94">
        <v>-263</v>
      </c>
      <c r="M2742" s="94">
        <v>0</v>
      </c>
    </row>
    <row r="2743" spans="3:13" x14ac:dyDescent="0.3">
      <c r="C2743" t="s">
        <v>71</v>
      </c>
      <c r="D2743" t="s">
        <v>62</v>
      </c>
      <c r="E2743" t="s">
        <v>68</v>
      </c>
      <c r="F2743" t="s">
        <v>24</v>
      </c>
      <c r="G2743" s="4">
        <v>7</v>
      </c>
      <c r="I2743" s="4" t="s">
        <v>69</v>
      </c>
      <c r="J2743" s="4" t="s">
        <v>66</v>
      </c>
      <c r="K2743" s="4">
        <v>1</v>
      </c>
      <c r="L2743" s="94">
        <v>58625</v>
      </c>
      <c r="M2743" s="94">
        <v>410375</v>
      </c>
    </row>
    <row r="2744" spans="3:13" x14ac:dyDescent="0.3">
      <c r="C2744" t="s">
        <v>61</v>
      </c>
      <c r="D2744" t="s">
        <v>67</v>
      </c>
      <c r="E2744" t="s">
        <v>68</v>
      </c>
      <c r="F2744" t="s">
        <v>72</v>
      </c>
      <c r="G2744" s="4">
        <v>0</v>
      </c>
      <c r="H2744" s="4" t="s">
        <v>75</v>
      </c>
      <c r="I2744" s="4" t="s">
        <v>69</v>
      </c>
      <c r="J2744" s="4" t="s">
        <v>66</v>
      </c>
      <c r="K2744" s="4">
        <v>0</v>
      </c>
      <c r="L2744" s="94">
        <v>1931049</v>
      </c>
      <c r="M2744" s="94">
        <v>0</v>
      </c>
    </row>
    <row r="2745" spans="3:13" x14ac:dyDescent="0.3">
      <c r="C2745" t="s">
        <v>61</v>
      </c>
      <c r="D2745" t="s">
        <v>67</v>
      </c>
      <c r="E2745" t="s">
        <v>68</v>
      </c>
      <c r="F2745" t="s">
        <v>26</v>
      </c>
      <c r="G2745" s="4">
        <v>-1</v>
      </c>
      <c r="H2745" s="4" t="s">
        <v>87</v>
      </c>
      <c r="I2745" s="4" t="s">
        <v>69</v>
      </c>
      <c r="J2745" s="4" t="s">
        <v>66</v>
      </c>
      <c r="K2745" s="4">
        <v>0</v>
      </c>
      <c r="L2745" s="94">
        <v>119</v>
      </c>
      <c r="M2745" s="94">
        <v>0</v>
      </c>
    </row>
    <row r="2746" spans="3:13" x14ac:dyDescent="0.3">
      <c r="C2746" t="s">
        <v>61</v>
      </c>
      <c r="D2746" t="s">
        <v>62</v>
      </c>
      <c r="E2746" t="s">
        <v>63</v>
      </c>
      <c r="F2746" t="s">
        <v>24</v>
      </c>
      <c r="G2746" s="4">
        <v>24</v>
      </c>
      <c r="I2746" s="4" t="s">
        <v>65</v>
      </c>
      <c r="J2746" s="4" t="s">
        <v>73</v>
      </c>
      <c r="K2746" s="4">
        <v>1</v>
      </c>
      <c r="L2746" s="94">
        <v>-4</v>
      </c>
      <c r="M2746" s="94">
        <v>0</v>
      </c>
    </row>
    <row r="2747" spans="3:13" x14ac:dyDescent="0.3">
      <c r="C2747" t="s">
        <v>71</v>
      </c>
      <c r="D2747" t="s">
        <v>67</v>
      </c>
      <c r="E2747" t="s">
        <v>68</v>
      </c>
      <c r="F2747" t="s">
        <v>26</v>
      </c>
      <c r="G2747" s="4">
        <v>6</v>
      </c>
      <c r="H2747" s="4" t="s">
        <v>17</v>
      </c>
      <c r="I2747" s="4" t="s">
        <v>69</v>
      </c>
      <c r="J2747" s="4" t="s">
        <v>66</v>
      </c>
      <c r="K2747" s="4">
        <v>0</v>
      </c>
      <c r="L2747" s="94">
        <v>1137159</v>
      </c>
      <c r="M2747" s="94">
        <v>6822954</v>
      </c>
    </row>
    <row r="2748" spans="3:13" x14ac:dyDescent="0.3">
      <c r="C2748" t="s">
        <v>71</v>
      </c>
      <c r="D2748" t="s">
        <v>67</v>
      </c>
      <c r="E2748" t="s">
        <v>68</v>
      </c>
      <c r="F2748" t="s">
        <v>26</v>
      </c>
      <c r="G2748" s="4">
        <v>0</v>
      </c>
      <c r="H2748" s="4" t="s">
        <v>12</v>
      </c>
      <c r="I2748" s="4" t="s">
        <v>65</v>
      </c>
      <c r="J2748" s="4" t="s">
        <v>73</v>
      </c>
      <c r="K2748" s="4">
        <v>1</v>
      </c>
      <c r="L2748" s="94">
        <v>62700</v>
      </c>
      <c r="M2748" s="94">
        <v>0</v>
      </c>
    </row>
    <row r="2749" spans="3:13" x14ac:dyDescent="0.3">
      <c r="C2749" t="s">
        <v>70</v>
      </c>
      <c r="D2749" t="s">
        <v>67</v>
      </c>
      <c r="E2749" t="s">
        <v>68</v>
      </c>
      <c r="F2749" t="s">
        <v>72</v>
      </c>
      <c r="G2749" s="4">
        <v>5</v>
      </c>
      <c r="H2749" s="4" t="s">
        <v>12</v>
      </c>
      <c r="I2749" s="4" t="s">
        <v>69</v>
      </c>
      <c r="J2749" s="4" t="s">
        <v>73</v>
      </c>
      <c r="K2749" s="4">
        <v>1</v>
      </c>
      <c r="L2749" s="94">
        <v>183919</v>
      </c>
      <c r="M2749" s="94">
        <v>919595</v>
      </c>
    </row>
    <row r="2750" spans="3:13" x14ac:dyDescent="0.3">
      <c r="C2750" t="s">
        <v>61</v>
      </c>
      <c r="D2750" t="s">
        <v>84</v>
      </c>
      <c r="E2750" t="s">
        <v>63</v>
      </c>
      <c r="F2750" t="s">
        <v>25</v>
      </c>
      <c r="G2750" s="4">
        <v>10</v>
      </c>
      <c r="H2750" s="4" t="s">
        <v>81</v>
      </c>
      <c r="I2750" s="4" t="s">
        <v>69</v>
      </c>
      <c r="J2750" s="4" t="s">
        <v>66</v>
      </c>
      <c r="K2750" s="4">
        <v>0</v>
      </c>
      <c r="L2750" s="94">
        <v>-130</v>
      </c>
      <c r="M2750" s="94">
        <v>0</v>
      </c>
    </row>
    <row r="2751" spans="3:13" x14ac:dyDescent="0.3">
      <c r="C2751" t="s">
        <v>71</v>
      </c>
      <c r="D2751" t="s">
        <v>67</v>
      </c>
      <c r="E2751" t="s">
        <v>63</v>
      </c>
      <c r="F2751" t="s">
        <v>26</v>
      </c>
      <c r="G2751" s="4">
        <v>8</v>
      </c>
      <c r="H2751" s="4" t="s">
        <v>74</v>
      </c>
      <c r="I2751" s="4" t="s">
        <v>69</v>
      </c>
      <c r="J2751" s="4" t="s">
        <v>66</v>
      </c>
      <c r="K2751" s="4">
        <v>0</v>
      </c>
      <c r="L2751" s="94">
        <v>-426552</v>
      </c>
      <c r="M2751" s="94">
        <v>0</v>
      </c>
    </row>
    <row r="2752" spans="3:13" x14ac:dyDescent="0.3">
      <c r="C2752" t="s">
        <v>61</v>
      </c>
      <c r="D2752" t="s">
        <v>67</v>
      </c>
      <c r="E2752" t="s">
        <v>63</v>
      </c>
      <c r="F2752" t="s">
        <v>26</v>
      </c>
      <c r="G2752" s="4">
        <v>2</v>
      </c>
      <c r="H2752" s="4" t="s">
        <v>16</v>
      </c>
      <c r="I2752" s="4" t="s">
        <v>69</v>
      </c>
      <c r="J2752" s="4" t="s">
        <v>66</v>
      </c>
      <c r="K2752" s="4">
        <v>0</v>
      </c>
      <c r="L2752" s="94">
        <v>-3917</v>
      </c>
      <c r="M2752" s="94">
        <v>0</v>
      </c>
    </row>
    <row r="2753" spans="3:13" x14ac:dyDescent="0.3">
      <c r="C2753" t="s">
        <v>70</v>
      </c>
      <c r="D2753" t="s">
        <v>67</v>
      </c>
      <c r="E2753" t="s">
        <v>68</v>
      </c>
      <c r="F2753" t="s">
        <v>25</v>
      </c>
      <c r="G2753" s="4">
        <v>14</v>
      </c>
      <c r="H2753" s="4" t="s">
        <v>75</v>
      </c>
      <c r="I2753" s="4" t="s">
        <v>69</v>
      </c>
      <c r="J2753" s="4" t="s">
        <v>66</v>
      </c>
      <c r="K2753" s="4">
        <v>0</v>
      </c>
      <c r="L2753" s="94">
        <v>5708213</v>
      </c>
      <c r="M2753" s="94">
        <v>79914982</v>
      </c>
    </row>
    <row r="2754" spans="3:13" x14ac:dyDescent="0.3">
      <c r="C2754" t="s">
        <v>70</v>
      </c>
      <c r="D2754" t="s">
        <v>67</v>
      </c>
      <c r="E2754" t="s">
        <v>68</v>
      </c>
      <c r="F2754" t="s">
        <v>26</v>
      </c>
      <c r="G2754" s="4">
        <v>1</v>
      </c>
      <c r="H2754" s="4" t="s">
        <v>18</v>
      </c>
      <c r="I2754" s="4" t="s">
        <v>69</v>
      </c>
      <c r="J2754" s="4" t="s">
        <v>66</v>
      </c>
      <c r="K2754" s="4">
        <v>0</v>
      </c>
      <c r="L2754" s="94">
        <v>15803870</v>
      </c>
      <c r="M2754" s="94">
        <v>15803870</v>
      </c>
    </row>
    <row r="2755" spans="3:13" x14ac:dyDescent="0.3">
      <c r="C2755" t="s">
        <v>71</v>
      </c>
      <c r="D2755" t="s">
        <v>62</v>
      </c>
      <c r="E2755" t="s">
        <v>68</v>
      </c>
      <c r="F2755" t="s">
        <v>24</v>
      </c>
      <c r="G2755" s="4">
        <v>10</v>
      </c>
      <c r="I2755" s="4" t="s">
        <v>69</v>
      </c>
      <c r="J2755" s="4" t="s">
        <v>66</v>
      </c>
      <c r="K2755" s="4">
        <v>0</v>
      </c>
      <c r="L2755" s="94">
        <v>2599067</v>
      </c>
      <c r="M2755" s="94">
        <v>25990670</v>
      </c>
    </row>
    <row r="2756" spans="3:13" x14ac:dyDescent="0.3">
      <c r="C2756" t="s">
        <v>70</v>
      </c>
      <c r="D2756" t="s">
        <v>67</v>
      </c>
      <c r="E2756" t="s">
        <v>63</v>
      </c>
      <c r="F2756" t="s">
        <v>72</v>
      </c>
      <c r="G2756" s="4">
        <v>1</v>
      </c>
      <c r="H2756" s="4" t="s">
        <v>78</v>
      </c>
      <c r="I2756" s="4" t="s">
        <v>69</v>
      </c>
      <c r="J2756" s="4" t="s">
        <v>66</v>
      </c>
      <c r="K2756" s="4">
        <v>0</v>
      </c>
      <c r="L2756" s="94">
        <v>-753</v>
      </c>
      <c r="M2756" s="94">
        <v>0</v>
      </c>
    </row>
    <row r="2757" spans="3:13" x14ac:dyDescent="0.3">
      <c r="C2757" t="s">
        <v>61</v>
      </c>
      <c r="D2757" t="s">
        <v>67</v>
      </c>
      <c r="E2757" t="s">
        <v>68</v>
      </c>
      <c r="F2757" t="s">
        <v>25</v>
      </c>
      <c r="G2757" s="4">
        <v>7</v>
      </c>
      <c r="H2757" s="4" t="s">
        <v>79</v>
      </c>
      <c r="I2757" s="4" t="s">
        <v>65</v>
      </c>
      <c r="J2757" s="4" t="s">
        <v>66</v>
      </c>
      <c r="K2757" s="4">
        <v>1</v>
      </c>
      <c r="L2757" s="94">
        <v>99766</v>
      </c>
      <c r="M2757" s="94">
        <v>698362</v>
      </c>
    </row>
    <row r="2758" spans="3:13" x14ac:dyDescent="0.3">
      <c r="C2758" t="s">
        <v>61</v>
      </c>
      <c r="D2758" t="s">
        <v>67</v>
      </c>
      <c r="E2758" t="s">
        <v>63</v>
      </c>
      <c r="F2758" t="s">
        <v>25</v>
      </c>
      <c r="G2758" s="4">
        <v>7</v>
      </c>
      <c r="H2758" s="4" t="s">
        <v>14</v>
      </c>
      <c r="I2758" s="4" t="s">
        <v>69</v>
      </c>
      <c r="J2758" s="4" t="s">
        <v>66</v>
      </c>
      <c r="K2758" s="4">
        <v>1</v>
      </c>
      <c r="L2758" s="94">
        <v>-5990</v>
      </c>
      <c r="M2758" s="94">
        <v>0</v>
      </c>
    </row>
    <row r="2759" spans="3:13" x14ac:dyDescent="0.3">
      <c r="C2759" t="s">
        <v>71</v>
      </c>
      <c r="D2759" t="s">
        <v>67</v>
      </c>
      <c r="E2759" t="s">
        <v>63</v>
      </c>
      <c r="F2759" t="s">
        <v>25</v>
      </c>
      <c r="G2759" s="4">
        <v>4</v>
      </c>
      <c r="H2759" s="4" t="s">
        <v>74</v>
      </c>
      <c r="I2759" s="4" t="s">
        <v>69</v>
      </c>
      <c r="J2759" s="4" t="s">
        <v>66</v>
      </c>
      <c r="K2759" s="4">
        <v>0</v>
      </c>
      <c r="L2759" s="94">
        <v>-36107</v>
      </c>
      <c r="M2759" s="94">
        <v>0</v>
      </c>
    </row>
    <row r="2760" spans="3:13" x14ac:dyDescent="0.3">
      <c r="C2760" t="s">
        <v>61</v>
      </c>
      <c r="D2760" t="s">
        <v>67</v>
      </c>
      <c r="E2760" t="s">
        <v>63</v>
      </c>
      <c r="F2760" t="s">
        <v>25</v>
      </c>
      <c r="G2760" s="4">
        <v>9</v>
      </c>
      <c r="H2760" s="4" t="s">
        <v>17</v>
      </c>
      <c r="I2760" s="4" t="s">
        <v>69</v>
      </c>
      <c r="J2760" s="4" t="s">
        <v>66</v>
      </c>
      <c r="K2760" s="4">
        <v>1</v>
      </c>
      <c r="L2760" s="94">
        <v>-733</v>
      </c>
      <c r="M2760" s="94">
        <v>0</v>
      </c>
    </row>
    <row r="2761" spans="3:13" x14ac:dyDescent="0.3">
      <c r="C2761" t="s">
        <v>61</v>
      </c>
      <c r="D2761" t="s">
        <v>84</v>
      </c>
      <c r="E2761" t="s">
        <v>68</v>
      </c>
      <c r="F2761" t="s">
        <v>25</v>
      </c>
      <c r="G2761" s="4">
        <v>0</v>
      </c>
      <c r="H2761" s="4" t="s">
        <v>82</v>
      </c>
      <c r="I2761" s="4" t="s">
        <v>69</v>
      </c>
      <c r="J2761" s="4" t="s">
        <v>66</v>
      </c>
      <c r="K2761" s="4">
        <v>0</v>
      </c>
      <c r="L2761" s="94">
        <v>15858</v>
      </c>
      <c r="M2761" s="94">
        <v>0</v>
      </c>
    </row>
    <row r="2762" spans="3:13" x14ac:dyDescent="0.3">
      <c r="C2762" t="s">
        <v>70</v>
      </c>
      <c r="D2762" t="s">
        <v>62</v>
      </c>
      <c r="E2762" t="s">
        <v>68</v>
      </c>
      <c r="F2762" t="s">
        <v>24</v>
      </c>
      <c r="G2762" s="4">
        <v>18</v>
      </c>
      <c r="I2762" s="4" t="s">
        <v>69</v>
      </c>
      <c r="J2762" s="4" t="s">
        <v>66</v>
      </c>
      <c r="K2762" s="4">
        <v>1</v>
      </c>
      <c r="L2762" s="94">
        <v>272745</v>
      </c>
      <c r="M2762" s="94">
        <v>4909410</v>
      </c>
    </row>
    <row r="2763" spans="3:13" x14ac:dyDescent="0.3">
      <c r="C2763" t="s">
        <v>71</v>
      </c>
      <c r="D2763" t="s">
        <v>67</v>
      </c>
      <c r="E2763" t="s">
        <v>68</v>
      </c>
      <c r="F2763" t="s">
        <v>25</v>
      </c>
      <c r="G2763" s="4">
        <v>-4</v>
      </c>
      <c r="H2763" s="4" t="s">
        <v>75</v>
      </c>
      <c r="I2763" s="4" t="s">
        <v>69</v>
      </c>
      <c r="J2763" s="4" t="s">
        <v>66</v>
      </c>
      <c r="K2763" s="4">
        <v>1</v>
      </c>
      <c r="L2763" s="94">
        <v>11921911</v>
      </c>
      <c r="M2763" s="94">
        <v>0</v>
      </c>
    </row>
    <row r="2764" spans="3:13" x14ac:dyDescent="0.3">
      <c r="C2764" t="s">
        <v>70</v>
      </c>
      <c r="D2764" t="s">
        <v>62</v>
      </c>
      <c r="E2764" t="s">
        <v>63</v>
      </c>
      <c r="F2764" t="s">
        <v>24</v>
      </c>
      <c r="G2764" s="4">
        <v>-4</v>
      </c>
      <c r="I2764" s="4" t="s">
        <v>69</v>
      </c>
      <c r="J2764" s="4" t="s">
        <v>66</v>
      </c>
      <c r="K2764" s="4">
        <v>0</v>
      </c>
      <c r="L2764" s="94">
        <v>-125</v>
      </c>
      <c r="M2764" s="94">
        <v>0</v>
      </c>
    </row>
    <row r="2765" spans="3:13" x14ac:dyDescent="0.3">
      <c r="C2765" t="s">
        <v>61</v>
      </c>
      <c r="D2765" t="s">
        <v>67</v>
      </c>
      <c r="E2765" t="s">
        <v>68</v>
      </c>
      <c r="F2765" t="s">
        <v>26</v>
      </c>
      <c r="G2765" s="4">
        <v>2</v>
      </c>
      <c r="H2765" s="4" t="s">
        <v>12</v>
      </c>
      <c r="I2765" s="4" t="s">
        <v>69</v>
      </c>
      <c r="J2765" s="4" t="s">
        <v>66</v>
      </c>
      <c r="K2765" s="4">
        <v>0</v>
      </c>
      <c r="L2765" s="94">
        <v>1871026</v>
      </c>
      <c r="M2765" s="94">
        <v>3742052</v>
      </c>
    </row>
    <row r="2766" spans="3:13" x14ac:dyDescent="0.3">
      <c r="C2766" t="s">
        <v>71</v>
      </c>
      <c r="D2766" t="s">
        <v>67</v>
      </c>
      <c r="E2766" t="s">
        <v>63</v>
      </c>
      <c r="F2766" t="s">
        <v>26</v>
      </c>
      <c r="G2766" s="4">
        <v>2</v>
      </c>
      <c r="H2766" s="4" t="s">
        <v>18</v>
      </c>
      <c r="I2766" s="4" t="s">
        <v>69</v>
      </c>
      <c r="J2766" s="4" t="s">
        <v>66</v>
      </c>
      <c r="K2766" s="4">
        <v>0</v>
      </c>
      <c r="L2766" s="94">
        <v>-2190313</v>
      </c>
      <c r="M2766" s="94">
        <v>0</v>
      </c>
    </row>
    <row r="2767" spans="3:13" x14ac:dyDescent="0.3">
      <c r="C2767" t="s">
        <v>61</v>
      </c>
      <c r="D2767" t="s">
        <v>67</v>
      </c>
      <c r="E2767" t="s">
        <v>68</v>
      </c>
      <c r="F2767" t="s">
        <v>72</v>
      </c>
      <c r="G2767" s="4">
        <v>1</v>
      </c>
      <c r="H2767" s="4" t="s">
        <v>17</v>
      </c>
      <c r="I2767" s="4" t="s">
        <v>69</v>
      </c>
      <c r="J2767" s="4" t="s">
        <v>66</v>
      </c>
      <c r="K2767" s="4">
        <v>0</v>
      </c>
      <c r="L2767" s="94">
        <v>4921862</v>
      </c>
      <c r="M2767" s="94">
        <v>4921862</v>
      </c>
    </row>
    <row r="2768" spans="3:13" x14ac:dyDescent="0.3">
      <c r="C2768" t="s">
        <v>61</v>
      </c>
      <c r="D2768" t="s">
        <v>67</v>
      </c>
      <c r="E2768" t="s">
        <v>68</v>
      </c>
      <c r="F2768" t="s">
        <v>26</v>
      </c>
      <c r="G2768" s="4">
        <v>11</v>
      </c>
      <c r="H2768" s="4" t="s">
        <v>17</v>
      </c>
      <c r="I2768" s="4" t="s">
        <v>69</v>
      </c>
      <c r="J2768" s="4" t="s">
        <v>66</v>
      </c>
      <c r="K2768" s="4">
        <v>0</v>
      </c>
      <c r="L2768" s="94">
        <v>32603217</v>
      </c>
      <c r="M2768" s="94">
        <v>358635387</v>
      </c>
    </row>
    <row r="2769" spans="3:13" x14ac:dyDescent="0.3">
      <c r="C2769" t="s">
        <v>70</v>
      </c>
      <c r="D2769" t="s">
        <v>62</v>
      </c>
      <c r="E2769" t="s">
        <v>63</v>
      </c>
      <c r="F2769" t="s">
        <v>24</v>
      </c>
      <c r="G2769" s="4">
        <v>17</v>
      </c>
      <c r="I2769" s="4" t="s">
        <v>69</v>
      </c>
      <c r="J2769" s="4" t="s">
        <v>66</v>
      </c>
      <c r="K2769" s="4">
        <v>0</v>
      </c>
      <c r="L2769" s="94">
        <v>-617246</v>
      </c>
      <c r="M2769" s="94">
        <v>0</v>
      </c>
    </row>
    <row r="2770" spans="3:13" x14ac:dyDescent="0.3">
      <c r="C2770" t="s">
        <v>61</v>
      </c>
      <c r="D2770" t="s">
        <v>62</v>
      </c>
      <c r="E2770" t="s">
        <v>68</v>
      </c>
      <c r="F2770" t="s">
        <v>24</v>
      </c>
      <c r="G2770" s="4">
        <v>42</v>
      </c>
      <c r="I2770" s="4" t="s">
        <v>69</v>
      </c>
      <c r="J2770" s="4" t="s">
        <v>66</v>
      </c>
      <c r="K2770" s="4">
        <v>0</v>
      </c>
      <c r="L2770" s="94">
        <v>28525550</v>
      </c>
      <c r="M2770" s="94">
        <v>1198073100</v>
      </c>
    </row>
    <row r="2771" spans="3:13" x14ac:dyDescent="0.3">
      <c r="C2771" t="s">
        <v>71</v>
      </c>
      <c r="D2771" t="s">
        <v>67</v>
      </c>
      <c r="E2771" t="s">
        <v>68</v>
      </c>
      <c r="F2771" t="s">
        <v>72</v>
      </c>
      <c r="G2771" s="4">
        <v>1</v>
      </c>
      <c r="H2771" s="4" t="s">
        <v>80</v>
      </c>
      <c r="I2771" s="4" t="s">
        <v>69</v>
      </c>
      <c r="J2771" s="4" t="s">
        <v>66</v>
      </c>
      <c r="K2771" s="4">
        <v>0</v>
      </c>
      <c r="L2771" s="94">
        <v>25782</v>
      </c>
      <c r="M2771" s="94">
        <v>25782</v>
      </c>
    </row>
    <row r="2772" spans="3:13" x14ac:dyDescent="0.3">
      <c r="C2772" t="s">
        <v>70</v>
      </c>
      <c r="D2772" t="s">
        <v>67</v>
      </c>
      <c r="E2772" t="s">
        <v>63</v>
      </c>
      <c r="F2772" t="s">
        <v>26</v>
      </c>
      <c r="G2772" s="4">
        <v>5</v>
      </c>
      <c r="H2772" s="4" t="s">
        <v>76</v>
      </c>
      <c r="I2772" s="4" t="s">
        <v>69</v>
      </c>
      <c r="J2772" s="4" t="s">
        <v>66</v>
      </c>
      <c r="K2772" s="4">
        <v>0</v>
      </c>
      <c r="L2772" s="94">
        <v>-179329</v>
      </c>
      <c r="M2772" s="94">
        <v>0</v>
      </c>
    </row>
    <row r="2773" spans="3:13" x14ac:dyDescent="0.3">
      <c r="C2773" t="s">
        <v>61</v>
      </c>
      <c r="D2773" t="s">
        <v>67</v>
      </c>
      <c r="E2773" t="s">
        <v>63</v>
      </c>
      <c r="F2773" t="s">
        <v>25</v>
      </c>
      <c r="G2773" s="4">
        <v>4</v>
      </c>
      <c r="H2773" s="4" t="s">
        <v>76</v>
      </c>
      <c r="I2773" s="4" t="s">
        <v>69</v>
      </c>
      <c r="J2773" s="4" t="s">
        <v>66</v>
      </c>
      <c r="K2773" s="4">
        <v>0</v>
      </c>
      <c r="L2773" s="94">
        <v>-10810</v>
      </c>
      <c r="M2773" s="94">
        <v>0</v>
      </c>
    </row>
    <row r="2774" spans="3:13" x14ac:dyDescent="0.3">
      <c r="C2774" t="s">
        <v>70</v>
      </c>
      <c r="D2774" t="s">
        <v>67</v>
      </c>
      <c r="E2774" t="s">
        <v>68</v>
      </c>
      <c r="F2774" t="s">
        <v>25</v>
      </c>
      <c r="G2774" s="4">
        <v>6</v>
      </c>
      <c r="H2774" s="4" t="s">
        <v>75</v>
      </c>
      <c r="I2774" s="4" t="s">
        <v>69</v>
      </c>
      <c r="J2774" s="4" t="s">
        <v>66</v>
      </c>
      <c r="K2774" s="4">
        <v>1</v>
      </c>
      <c r="L2774" s="94">
        <v>67063</v>
      </c>
      <c r="M2774" s="94">
        <v>402378</v>
      </c>
    </row>
    <row r="2775" spans="3:13" x14ac:dyDescent="0.3">
      <c r="C2775" t="s">
        <v>70</v>
      </c>
      <c r="D2775" t="s">
        <v>67</v>
      </c>
      <c r="E2775" t="s">
        <v>63</v>
      </c>
      <c r="F2775" t="s">
        <v>72</v>
      </c>
      <c r="G2775" s="4">
        <v>3</v>
      </c>
      <c r="H2775" s="4" t="s">
        <v>15</v>
      </c>
      <c r="I2775" s="4" t="s">
        <v>69</v>
      </c>
      <c r="J2775" s="4" t="s">
        <v>73</v>
      </c>
      <c r="K2775" s="4">
        <v>1</v>
      </c>
      <c r="L2775" s="94">
        <v>-1179</v>
      </c>
      <c r="M2775" s="94">
        <v>0</v>
      </c>
    </row>
    <row r="2776" spans="3:13" x14ac:dyDescent="0.3">
      <c r="C2776" t="s">
        <v>71</v>
      </c>
      <c r="D2776" t="s">
        <v>67</v>
      </c>
      <c r="E2776" t="s">
        <v>68</v>
      </c>
      <c r="F2776" t="s">
        <v>26</v>
      </c>
      <c r="G2776" s="4">
        <v>17</v>
      </c>
      <c r="H2776" s="4" t="s">
        <v>82</v>
      </c>
      <c r="I2776" s="4" t="s">
        <v>69</v>
      </c>
      <c r="J2776" s="4" t="s">
        <v>66</v>
      </c>
      <c r="K2776" s="4">
        <v>0</v>
      </c>
      <c r="L2776" s="94">
        <v>80418</v>
      </c>
      <c r="M2776" s="94">
        <v>1367106</v>
      </c>
    </row>
    <row r="2777" spans="3:13" x14ac:dyDescent="0.3">
      <c r="C2777" t="s">
        <v>71</v>
      </c>
      <c r="D2777" t="s">
        <v>67</v>
      </c>
      <c r="E2777" t="s">
        <v>63</v>
      </c>
      <c r="F2777" t="s">
        <v>26</v>
      </c>
      <c r="G2777" s="4">
        <v>5</v>
      </c>
      <c r="H2777" s="4" t="s">
        <v>76</v>
      </c>
      <c r="I2777" s="4" t="s">
        <v>69</v>
      </c>
      <c r="J2777" s="4" t="s">
        <v>66</v>
      </c>
      <c r="K2777" s="4">
        <v>0</v>
      </c>
      <c r="L2777" s="94">
        <v>-110320</v>
      </c>
      <c r="M2777" s="94">
        <v>0</v>
      </c>
    </row>
    <row r="2778" spans="3:13" x14ac:dyDescent="0.3">
      <c r="C2778" t="s">
        <v>61</v>
      </c>
      <c r="D2778" t="s">
        <v>67</v>
      </c>
      <c r="E2778" t="s">
        <v>63</v>
      </c>
      <c r="F2778" t="s">
        <v>26</v>
      </c>
      <c r="G2778" s="4">
        <v>15</v>
      </c>
      <c r="H2778" s="4" t="s">
        <v>12</v>
      </c>
      <c r="I2778" s="4" t="s">
        <v>69</v>
      </c>
      <c r="J2778" s="4" t="s">
        <v>73</v>
      </c>
      <c r="K2778" s="4">
        <v>1</v>
      </c>
      <c r="L2778" s="94">
        <v>-4797</v>
      </c>
      <c r="M2778" s="94">
        <v>0</v>
      </c>
    </row>
    <row r="2779" spans="3:13" x14ac:dyDescent="0.3">
      <c r="C2779" t="s">
        <v>61</v>
      </c>
      <c r="D2779" t="s">
        <v>67</v>
      </c>
      <c r="E2779" t="s">
        <v>63</v>
      </c>
      <c r="F2779" t="s">
        <v>26</v>
      </c>
      <c r="G2779" s="4">
        <v>7</v>
      </c>
      <c r="H2779" s="4" t="s">
        <v>15</v>
      </c>
      <c r="I2779" s="4" t="s">
        <v>69</v>
      </c>
      <c r="J2779" s="4" t="s">
        <v>73</v>
      </c>
      <c r="K2779" s="4">
        <v>1</v>
      </c>
      <c r="L2779" s="94">
        <v>-74413</v>
      </c>
      <c r="M2779" s="94">
        <v>0</v>
      </c>
    </row>
    <row r="2780" spans="3:13" x14ac:dyDescent="0.3">
      <c r="C2780" t="s">
        <v>61</v>
      </c>
      <c r="D2780" t="s">
        <v>62</v>
      </c>
      <c r="E2780" t="s">
        <v>68</v>
      </c>
      <c r="F2780" t="s">
        <v>24</v>
      </c>
      <c r="G2780" s="4">
        <v>3</v>
      </c>
      <c r="I2780" s="4" t="s">
        <v>69</v>
      </c>
      <c r="J2780" s="4" t="s">
        <v>66</v>
      </c>
      <c r="K2780" s="4">
        <v>0</v>
      </c>
      <c r="L2780" s="94">
        <v>30846847</v>
      </c>
      <c r="M2780" s="94">
        <v>92540541</v>
      </c>
    </row>
    <row r="2781" spans="3:13" x14ac:dyDescent="0.3">
      <c r="C2781" t="s">
        <v>70</v>
      </c>
      <c r="D2781" t="s">
        <v>67</v>
      </c>
      <c r="E2781" t="s">
        <v>68</v>
      </c>
      <c r="F2781" t="s">
        <v>26</v>
      </c>
      <c r="G2781" s="4">
        <v>3</v>
      </c>
      <c r="H2781" s="4" t="s">
        <v>64</v>
      </c>
      <c r="I2781" s="4" t="s">
        <v>69</v>
      </c>
      <c r="J2781" s="4" t="s">
        <v>66</v>
      </c>
      <c r="K2781" s="4">
        <v>0</v>
      </c>
      <c r="L2781" s="94">
        <v>4475511</v>
      </c>
      <c r="M2781" s="94">
        <v>13426533</v>
      </c>
    </row>
    <row r="2782" spans="3:13" x14ac:dyDescent="0.3">
      <c r="C2782" t="s">
        <v>70</v>
      </c>
      <c r="D2782" t="s">
        <v>62</v>
      </c>
      <c r="E2782" t="s">
        <v>63</v>
      </c>
      <c r="F2782" t="s">
        <v>25</v>
      </c>
      <c r="G2782" s="4">
        <v>15</v>
      </c>
      <c r="I2782" s="4" t="s">
        <v>69</v>
      </c>
      <c r="J2782" s="4" t="s">
        <v>66</v>
      </c>
      <c r="K2782" s="4">
        <v>0</v>
      </c>
      <c r="L2782" s="94">
        <v>-22874</v>
      </c>
      <c r="M2782" s="94">
        <v>0</v>
      </c>
    </row>
    <row r="2783" spans="3:13" x14ac:dyDescent="0.3">
      <c r="C2783" t="s">
        <v>61</v>
      </c>
      <c r="D2783" t="s">
        <v>62</v>
      </c>
      <c r="E2783" t="s">
        <v>63</v>
      </c>
      <c r="F2783" t="s">
        <v>24</v>
      </c>
      <c r="G2783" s="4">
        <v>19</v>
      </c>
      <c r="I2783" s="4" t="s">
        <v>69</v>
      </c>
      <c r="J2783" s="4" t="s">
        <v>66</v>
      </c>
      <c r="K2783" s="4">
        <v>1</v>
      </c>
      <c r="L2783" s="94">
        <v>-1238</v>
      </c>
      <c r="M2783" s="94">
        <v>0</v>
      </c>
    </row>
    <row r="2784" spans="3:13" x14ac:dyDescent="0.3">
      <c r="C2784" t="s">
        <v>61</v>
      </c>
      <c r="D2784" t="s">
        <v>62</v>
      </c>
      <c r="E2784" t="s">
        <v>63</v>
      </c>
      <c r="F2784" t="s">
        <v>25</v>
      </c>
      <c r="G2784" s="4">
        <v>19</v>
      </c>
      <c r="I2784" s="4" t="s">
        <v>65</v>
      </c>
      <c r="J2784" s="4" t="s">
        <v>66</v>
      </c>
      <c r="K2784" s="4">
        <v>1</v>
      </c>
      <c r="L2784" s="94">
        <v>-107</v>
      </c>
      <c r="M2784" s="94">
        <v>0</v>
      </c>
    </row>
    <row r="2785" spans="3:13" x14ac:dyDescent="0.3">
      <c r="C2785" t="s">
        <v>70</v>
      </c>
      <c r="D2785" t="s">
        <v>67</v>
      </c>
      <c r="E2785" t="s">
        <v>63</v>
      </c>
      <c r="F2785" t="s">
        <v>72</v>
      </c>
      <c r="G2785" s="4">
        <v>3</v>
      </c>
      <c r="H2785" s="4" t="s">
        <v>75</v>
      </c>
      <c r="I2785" s="4" t="s">
        <v>69</v>
      </c>
      <c r="J2785" s="4" t="s">
        <v>66</v>
      </c>
      <c r="K2785" s="4">
        <v>0</v>
      </c>
      <c r="L2785" s="94">
        <v>-17316</v>
      </c>
      <c r="M2785" s="94">
        <v>0</v>
      </c>
    </row>
    <row r="2786" spans="3:13" x14ac:dyDescent="0.3">
      <c r="C2786" t="s">
        <v>71</v>
      </c>
      <c r="D2786" t="s">
        <v>67</v>
      </c>
      <c r="E2786" t="s">
        <v>68</v>
      </c>
      <c r="F2786" t="s">
        <v>25</v>
      </c>
      <c r="G2786" s="4">
        <v>-4</v>
      </c>
      <c r="H2786" s="4" t="s">
        <v>82</v>
      </c>
      <c r="I2786" s="4" t="s">
        <v>69</v>
      </c>
      <c r="J2786" s="4" t="s">
        <v>66</v>
      </c>
      <c r="K2786" s="4">
        <v>0</v>
      </c>
      <c r="L2786" s="94">
        <v>125848</v>
      </c>
      <c r="M2786" s="94">
        <v>0</v>
      </c>
    </row>
    <row r="2787" spans="3:13" x14ac:dyDescent="0.3">
      <c r="C2787" t="s">
        <v>70</v>
      </c>
      <c r="D2787" t="s">
        <v>67</v>
      </c>
      <c r="E2787" t="s">
        <v>68</v>
      </c>
      <c r="F2787" t="s">
        <v>72</v>
      </c>
      <c r="G2787" s="4">
        <v>-4</v>
      </c>
      <c r="H2787" s="4" t="s">
        <v>74</v>
      </c>
      <c r="I2787" s="4" t="s">
        <v>69</v>
      </c>
      <c r="J2787" s="4" t="s">
        <v>66</v>
      </c>
      <c r="K2787" s="4">
        <v>0</v>
      </c>
      <c r="L2787" s="94">
        <v>2139</v>
      </c>
      <c r="M2787" s="94">
        <v>0</v>
      </c>
    </row>
    <row r="2788" spans="3:13" x14ac:dyDescent="0.3">
      <c r="C2788" t="s">
        <v>71</v>
      </c>
      <c r="D2788" t="s">
        <v>67</v>
      </c>
      <c r="E2788" t="s">
        <v>68</v>
      </c>
      <c r="F2788" t="s">
        <v>72</v>
      </c>
      <c r="G2788" s="4">
        <v>3</v>
      </c>
      <c r="H2788" s="4" t="s">
        <v>18</v>
      </c>
      <c r="I2788" s="4" t="s">
        <v>69</v>
      </c>
      <c r="J2788" s="4" t="s">
        <v>73</v>
      </c>
      <c r="K2788" s="4">
        <v>1</v>
      </c>
      <c r="L2788" s="94">
        <v>52832</v>
      </c>
      <c r="M2788" s="94">
        <v>158496</v>
      </c>
    </row>
    <row r="2789" spans="3:13" x14ac:dyDescent="0.3">
      <c r="C2789" t="s">
        <v>70</v>
      </c>
      <c r="D2789" t="s">
        <v>62</v>
      </c>
      <c r="E2789" t="s">
        <v>68</v>
      </c>
      <c r="F2789" t="s">
        <v>24</v>
      </c>
      <c r="G2789" s="4">
        <v>3</v>
      </c>
      <c r="I2789" s="4" t="s">
        <v>65</v>
      </c>
      <c r="J2789" s="4" t="s">
        <v>66</v>
      </c>
      <c r="K2789" s="4">
        <v>1</v>
      </c>
      <c r="L2789" s="94">
        <v>23752</v>
      </c>
      <c r="M2789" s="94">
        <v>71256</v>
      </c>
    </row>
    <row r="2790" spans="3:13" x14ac:dyDescent="0.3">
      <c r="C2790" t="s">
        <v>71</v>
      </c>
      <c r="D2790" t="s">
        <v>67</v>
      </c>
      <c r="E2790" t="s">
        <v>63</v>
      </c>
      <c r="F2790" t="s">
        <v>25</v>
      </c>
      <c r="G2790" s="4">
        <v>5</v>
      </c>
      <c r="H2790" s="4" t="s">
        <v>14</v>
      </c>
      <c r="I2790" s="4" t="s">
        <v>69</v>
      </c>
      <c r="J2790" s="4" t="s">
        <v>66</v>
      </c>
      <c r="K2790" s="4">
        <v>0</v>
      </c>
      <c r="L2790" s="94">
        <v>-1104167</v>
      </c>
      <c r="M2790" s="94">
        <v>0</v>
      </c>
    </row>
    <row r="2791" spans="3:13" x14ac:dyDescent="0.3">
      <c r="C2791" t="s">
        <v>61</v>
      </c>
      <c r="D2791" t="s">
        <v>67</v>
      </c>
      <c r="E2791" t="s">
        <v>68</v>
      </c>
      <c r="F2791" t="s">
        <v>26</v>
      </c>
      <c r="G2791" s="4">
        <v>-1</v>
      </c>
      <c r="H2791" s="4" t="s">
        <v>17</v>
      </c>
      <c r="I2791" s="4" t="s">
        <v>65</v>
      </c>
      <c r="J2791" s="4" t="s">
        <v>66</v>
      </c>
      <c r="K2791" s="4">
        <v>1</v>
      </c>
      <c r="L2791" s="94">
        <v>356075</v>
      </c>
      <c r="M2791" s="94">
        <v>0</v>
      </c>
    </row>
    <row r="2792" spans="3:13" x14ac:dyDescent="0.3">
      <c r="C2792" t="s">
        <v>71</v>
      </c>
      <c r="D2792" t="s">
        <v>62</v>
      </c>
      <c r="E2792" t="s">
        <v>63</v>
      </c>
      <c r="F2792" t="s">
        <v>24</v>
      </c>
      <c r="G2792" s="4">
        <v>22</v>
      </c>
      <c r="I2792" s="4" t="s">
        <v>65</v>
      </c>
      <c r="J2792" s="4" t="s">
        <v>66</v>
      </c>
      <c r="K2792" s="4">
        <v>1</v>
      </c>
      <c r="L2792" s="94">
        <v>-17228</v>
      </c>
      <c r="M2792" s="94">
        <v>0</v>
      </c>
    </row>
    <row r="2793" spans="3:13" x14ac:dyDescent="0.3">
      <c r="C2793" t="s">
        <v>71</v>
      </c>
      <c r="D2793" t="s">
        <v>62</v>
      </c>
      <c r="E2793" t="s">
        <v>63</v>
      </c>
      <c r="F2793" t="s">
        <v>25</v>
      </c>
      <c r="G2793" s="4">
        <v>0</v>
      </c>
      <c r="I2793" s="4" t="s">
        <v>69</v>
      </c>
      <c r="J2793" s="4" t="s">
        <v>66</v>
      </c>
      <c r="K2793" s="4">
        <v>0</v>
      </c>
      <c r="L2793" s="94">
        <v>-44658</v>
      </c>
      <c r="M2793" s="94">
        <v>0</v>
      </c>
    </row>
    <row r="2794" spans="3:13" x14ac:dyDescent="0.3">
      <c r="C2794" t="s">
        <v>61</v>
      </c>
      <c r="D2794" t="s">
        <v>67</v>
      </c>
      <c r="E2794" t="s">
        <v>68</v>
      </c>
      <c r="F2794" t="s">
        <v>26</v>
      </c>
      <c r="G2794" s="4">
        <v>-1</v>
      </c>
      <c r="H2794" s="4" t="s">
        <v>12</v>
      </c>
      <c r="I2794" s="4" t="s">
        <v>69</v>
      </c>
      <c r="J2794" s="4" t="s">
        <v>73</v>
      </c>
      <c r="K2794" s="4">
        <v>1</v>
      </c>
      <c r="L2794" s="94">
        <v>30619239</v>
      </c>
      <c r="M2794" s="94">
        <v>0</v>
      </c>
    </row>
    <row r="2795" spans="3:13" x14ac:dyDescent="0.3">
      <c r="C2795" t="s">
        <v>70</v>
      </c>
      <c r="D2795" t="s">
        <v>62</v>
      </c>
      <c r="E2795" t="s">
        <v>68</v>
      </c>
      <c r="F2795" t="s">
        <v>25</v>
      </c>
      <c r="G2795" s="4">
        <v>10</v>
      </c>
      <c r="I2795" s="4" t="s">
        <v>69</v>
      </c>
      <c r="J2795" s="4" t="s">
        <v>66</v>
      </c>
      <c r="K2795" s="4">
        <v>0</v>
      </c>
      <c r="L2795" s="94">
        <v>955552</v>
      </c>
      <c r="M2795" s="94">
        <v>9555520</v>
      </c>
    </row>
    <row r="2796" spans="3:13" x14ac:dyDescent="0.3">
      <c r="C2796" t="s">
        <v>61</v>
      </c>
      <c r="D2796" t="s">
        <v>67</v>
      </c>
      <c r="E2796" t="s">
        <v>63</v>
      </c>
      <c r="F2796" t="s">
        <v>25</v>
      </c>
      <c r="G2796" s="4">
        <v>10</v>
      </c>
      <c r="H2796" s="4" t="s">
        <v>76</v>
      </c>
      <c r="I2796" s="4" t="s">
        <v>65</v>
      </c>
      <c r="J2796" s="4" t="s">
        <v>66</v>
      </c>
      <c r="K2796" s="4">
        <v>1</v>
      </c>
      <c r="L2796" s="94">
        <v>-10653</v>
      </c>
      <c r="M2796" s="94">
        <v>0</v>
      </c>
    </row>
    <row r="2797" spans="3:13" x14ac:dyDescent="0.3">
      <c r="C2797" t="s">
        <v>71</v>
      </c>
      <c r="D2797" t="s">
        <v>67</v>
      </c>
      <c r="E2797" t="s">
        <v>63</v>
      </c>
      <c r="F2797" t="s">
        <v>26</v>
      </c>
      <c r="G2797" s="4">
        <v>1</v>
      </c>
      <c r="H2797" s="4" t="s">
        <v>14</v>
      </c>
      <c r="I2797" s="4" t="s">
        <v>69</v>
      </c>
      <c r="J2797" s="4" t="s">
        <v>73</v>
      </c>
      <c r="K2797" s="4">
        <v>1</v>
      </c>
      <c r="L2797" s="94">
        <v>-1431466</v>
      </c>
      <c r="M2797" s="94">
        <v>0</v>
      </c>
    </row>
    <row r="2798" spans="3:13" x14ac:dyDescent="0.3">
      <c r="C2798" t="s">
        <v>70</v>
      </c>
      <c r="D2798" t="s">
        <v>67</v>
      </c>
      <c r="E2798" t="s">
        <v>63</v>
      </c>
      <c r="F2798" t="s">
        <v>26</v>
      </c>
      <c r="G2798" s="4">
        <v>1</v>
      </c>
      <c r="H2798" s="4" t="s">
        <v>87</v>
      </c>
      <c r="I2798" s="4" t="s">
        <v>69</v>
      </c>
      <c r="J2798" s="4" t="s">
        <v>66</v>
      </c>
      <c r="K2798" s="4">
        <v>0</v>
      </c>
      <c r="L2798" s="94">
        <v>-2775</v>
      </c>
      <c r="M2798" s="94">
        <v>0</v>
      </c>
    </row>
    <row r="2799" spans="3:13" x14ac:dyDescent="0.3">
      <c r="C2799" t="s">
        <v>61</v>
      </c>
      <c r="D2799" t="s">
        <v>84</v>
      </c>
      <c r="E2799" t="s">
        <v>68</v>
      </c>
      <c r="F2799" t="s">
        <v>25</v>
      </c>
      <c r="G2799" s="4">
        <v>13</v>
      </c>
      <c r="H2799" s="4" t="s">
        <v>81</v>
      </c>
      <c r="I2799" s="4" t="s">
        <v>69</v>
      </c>
      <c r="J2799" s="4" t="s">
        <v>66</v>
      </c>
      <c r="K2799" s="4">
        <v>0</v>
      </c>
      <c r="L2799" s="94">
        <v>279728</v>
      </c>
      <c r="M2799" s="94">
        <v>3636464</v>
      </c>
    </row>
    <row r="2800" spans="3:13" x14ac:dyDescent="0.3">
      <c r="C2800" t="s">
        <v>70</v>
      </c>
      <c r="D2800" t="s">
        <v>67</v>
      </c>
      <c r="E2800" t="s">
        <v>63</v>
      </c>
      <c r="F2800" t="s">
        <v>26</v>
      </c>
      <c r="G2800" s="4">
        <v>8</v>
      </c>
      <c r="H2800" s="4" t="s">
        <v>74</v>
      </c>
      <c r="I2800" s="4" t="s">
        <v>69</v>
      </c>
      <c r="J2800" s="4" t="s">
        <v>66</v>
      </c>
      <c r="K2800" s="4">
        <v>0</v>
      </c>
      <c r="L2800" s="94">
        <v>-96433</v>
      </c>
      <c r="M2800" s="94">
        <v>0</v>
      </c>
    </row>
    <row r="2801" spans="3:13" x14ac:dyDescent="0.3">
      <c r="C2801" t="s">
        <v>61</v>
      </c>
      <c r="D2801" t="s">
        <v>67</v>
      </c>
      <c r="E2801" t="s">
        <v>63</v>
      </c>
      <c r="F2801" t="s">
        <v>72</v>
      </c>
      <c r="G2801" s="4">
        <v>3</v>
      </c>
      <c r="H2801" s="4" t="s">
        <v>75</v>
      </c>
      <c r="I2801" s="4" t="s">
        <v>69</v>
      </c>
      <c r="J2801" s="4" t="s">
        <v>66</v>
      </c>
      <c r="K2801" s="4">
        <v>0</v>
      </c>
      <c r="L2801" s="94">
        <v>-2699</v>
      </c>
      <c r="M2801" s="94">
        <v>0</v>
      </c>
    </row>
    <row r="2802" spans="3:13" x14ac:dyDescent="0.3">
      <c r="C2802" t="s">
        <v>71</v>
      </c>
      <c r="D2802" t="s">
        <v>67</v>
      </c>
      <c r="E2802" t="s">
        <v>68</v>
      </c>
      <c r="F2802" t="s">
        <v>72</v>
      </c>
      <c r="G2802" s="4">
        <v>2</v>
      </c>
      <c r="H2802" s="4" t="s">
        <v>17</v>
      </c>
      <c r="I2802" s="4" t="s">
        <v>69</v>
      </c>
      <c r="J2802" s="4" t="s">
        <v>66</v>
      </c>
      <c r="K2802" s="4">
        <v>0</v>
      </c>
      <c r="L2802" s="94">
        <v>161742</v>
      </c>
      <c r="M2802" s="94">
        <v>323484</v>
      </c>
    </row>
    <row r="2803" spans="3:13" x14ac:dyDescent="0.3">
      <c r="C2803" t="s">
        <v>61</v>
      </c>
      <c r="D2803" t="s">
        <v>67</v>
      </c>
      <c r="E2803" t="s">
        <v>68</v>
      </c>
      <c r="F2803" t="s">
        <v>26</v>
      </c>
      <c r="G2803" s="4">
        <v>0</v>
      </c>
      <c r="H2803" s="4" t="s">
        <v>82</v>
      </c>
      <c r="I2803" s="4" t="s">
        <v>69</v>
      </c>
      <c r="J2803" s="4" t="s">
        <v>73</v>
      </c>
      <c r="K2803" s="4">
        <v>1</v>
      </c>
      <c r="L2803" s="94">
        <v>1950</v>
      </c>
      <c r="M2803" s="94">
        <v>0</v>
      </c>
    </row>
    <row r="2804" spans="3:13" x14ac:dyDescent="0.3">
      <c r="C2804" t="s">
        <v>70</v>
      </c>
      <c r="D2804" t="s">
        <v>67</v>
      </c>
      <c r="E2804" t="s">
        <v>63</v>
      </c>
      <c r="F2804" t="s">
        <v>72</v>
      </c>
      <c r="G2804" s="4">
        <v>4</v>
      </c>
      <c r="H2804" s="4" t="s">
        <v>83</v>
      </c>
      <c r="I2804" s="4" t="s">
        <v>69</v>
      </c>
      <c r="J2804" s="4" t="s">
        <v>66</v>
      </c>
      <c r="K2804" s="4">
        <v>0</v>
      </c>
      <c r="L2804" s="94">
        <v>-14995</v>
      </c>
      <c r="M2804" s="94">
        <v>0</v>
      </c>
    </row>
    <row r="2805" spans="3:13" x14ac:dyDescent="0.3">
      <c r="C2805" t="s">
        <v>61</v>
      </c>
      <c r="D2805" t="s">
        <v>67</v>
      </c>
      <c r="E2805" t="s">
        <v>68</v>
      </c>
      <c r="F2805" t="s">
        <v>25</v>
      </c>
      <c r="G2805" s="4">
        <v>9</v>
      </c>
      <c r="H2805" s="4" t="s">
        <v>17</v>
      </c>
      <c r="I2805" s="4" t="s">
        <v>69</v>
      </c>
      <c r="J2805" s="4" t="s">
        <v>66</v>
      </c>
      <c r="K2805" s="4">
        <v>0</v>
      </c>
      <c r="L2805" s="94">
        <v>24684354</v>
      </c>
      <c r="M2805" s="94">
        <v>222159186</v>
      </c>
    </row>
    <row r="2806" spans="3:13" x14ac:dyDescent="0.3">
      <c r="C2806" t="s">
        <v>70</v>
      </c>
      <c r="D2806" t="s">
        <v>67</v>
      </c>
      <c r="E2806" t="s">
        <v>68</v>
      </c>
      <c r="F2806" t="s">
        <v>26</v>
      </c>
      <c r="G2806" s="4">
        <v>4</v>
      </c>
      <c r="H2806" s="4" t="s">
        <v>14</v>
      </c>
      <c r="I2806" s="4" t="s">
        <v>69</v>
      </c>
      <c r="J2806" s="4" t="s">
        <v>66</v>
      </c>
      <c r="K2806" s="4">
        <v>0</v>
      </c>
      <c r="L2806" s="94">
        <v>6455724</v>
      </c>
      <c r="M2806" s="94">
        <v>25822896</v>
      </c>
    </row>
    <row r="2807" spans="3:13" x14ac:dyDescent="0.3">
      <c r="C2807" t="s">
        <v>70</v>
      </c>
      <c r="D2807" t="s">
        <v>62</v>
      </c>
      <c r="E2807" t="s">
        <v>63</v>
      </c>
      <c r="F2807" t="s">
        <v>24</v>
      </c>
      <c r="G2807" s="4">
        <v>12</v>
      </c>
      <c r="I2807" s="4" t="s">
        <v>69</v>
      </c>
      <c r="J2807" s="4" t="s">
        <v>66</v>
      </c>
      <c r="K2807" s="4">
        <v>0</v>
      </c>
      <c r="L2807" s="94">
        <v>-353635</v>
      </c>
      <c r="M2807" s="94">
        <v>0</v>
      </c>
    </row>
    <row r="2808" spans="3:13" x14ac:dyDescent="0.3">
      <c r="C2808" t="s">
        <v>61</v>
      </c>
      <c r="D2808" t="s">
        <v>67</v>
      </c>
      <c r="E2808" t="s">
        <v>68</v>
      </c>
      <c r="F2808" t="s">
        <v>26</v>
      </c>
      <c r="G2808" s="4">
        <v>3</v>
      </c>
      <c r="H2808" s="4" t="s">
        <v>14</v>
      </c>
      <c r="I2808" s="4" t="s">
        <v>69</v>
      </c>
      <c r="J2808" s="4" t="s">
        <v>73</v>
      </c>
      <c r="K2808" s="4">
        <v>1</v>
      </c>
      <c r="L2808" s="94">
        <v>51885213</v>
      </c>
      <c r="M2808" s="94">
        <v>155655639</v>
      </c>
    </row>
    <row r="2809" spans="3:13" x14ac:dyDescent="0.3">
      <c r="C2809" t="s">
        <v>61</v>
      </c>
      <c r="D2809" t="s">
        <v>67</v>
      </c>
      <c r="E2809" t="s">
        <v>63</v>
      </c>
      <c r="F2809" t="s">
        <v>25</v>
      </c>
      <c r="G2809" s="4">
        <v>5</v>
      </c>
      <c r="H2809" s="4" t="s">
        <v>18</v>
      </c>
      <c r="I2809" s="4" t="s">
        <v>69</v>
      </c>
      <c r="J2809" s="4" t="s">
        <v>66</v>
      </c>
      <c r="K2809" s="4">
        <v>0</v>
      </c>
      <c r="L2809" s="94">
        <v>-19949</v>
      </c>
      <c r="M2809" s="94">
        <v>0</v>
      </c>
    </row>
    <row r="2810" spans="3:13" x14ac:dyDescent="0.3">
      <c r="C2810" t="s">
        <v>71</v>
      </c>
      <c r="D2810" t="s">
        <v>62</v>
      </c>
      <c r="E2810" t="s">
        <v>63</v>
      </c>
      <c r="F2810" t="s">
        <v>25</v>
      </c>
      <c r="G2810" s="4">
        <v>11</v>
      </c>
      <c r="I2810" s="4" t="s">
        <v>69</v>
      </c>
      <c r="J2810" s="4" t="s">
        <v>66</v>
      </c>
      <c r="K2810" s="4">
        <v>0</v>
      </c>
      <c r="L2810" s="94">
        <v>-17854</v>
      </c>
      <c r="M2810" s="94">
        <v>0</v>
      </c>
    </row>
    <row r="2811" spans="3:13" x14ac:dyDescent="0.3">
      <c r="C2811" t="s">
        <v>70</v>
      </c>
      <c r="D2811" t="s">
        <v>67</v>
      </c>
      <c r="E2811" t="s">
        <v>63</v>
      </c>
      <c r="F2811" t="s">
        <v>25</v>
      </c>
      <c r="G2811" s="4">
        <v>5</v>
      </c>
      <c r="H2811" s="4" t="s">
        <v>17</v>
      </c>
      <c r="I2811" s="4" t="s">
        <v>69</v>
      </c>
      <c r="J2811" s="4" t="s">
        <v>66</v>
      </c>
      <c r="K2811" s="4">
        <v>0</v>
      </c>
      <c r="L2811" s="94">
        <v>-92823</v>
      </c>
      <c r="M2811" s="94">
        <v>0</v>
      </c>
    </row>
    <row r="2812" spans="3:13" x14ac:dyDescent="0.3">
      <c r="C2812" t="s">
        <v>61</v>
      </c>
      <c r="D2812" t="s">
        <v>62</v>
      </c>
      <c r="E2812" t="s">
        <v>63</v>
      </c>
      <c r="F2812" t="s">
        <v>24</v>
      </c>
      <c r="G2812" s="4">
        <v>8</v>
      </c>
      <c r="I2812" s="4" t="s">
        <v>69</v>
      </c>
      <c r="J2812" s="4" t="s">
        <v>66</v>
      </c>
      <c r="K2812" s="4">
        <v>0</v>
      </c>
      <c r="L2812" s="94">
        <v>-65285</v>
      </c>
      <c r="M2812" s="94">
        <v>0</v>
      </c>
    </row>
    <row r="2813" spans="3:13" x14ac:dyDescent="0.3">
      <c r="C2813" t="s">
        <v>61</v>
      </c>
      <c r="D2813" t="s">
        <v>62</v>
      </c>
      <c r="E2813" t="s">
        <v>68</v>
      </c>
      <c r="F2813" t="s">
        <v>24</v>
      </c>
      <c r="G2813" s="4">
        <v>28</v>
      </c>
      <c r="I2813" s="4" t="s">
        <v>65</v>
      </c>
      <c r="J2813" s="4" t="s">
        <v>66</v>
      </c>
      <c r="K2813" s="4">
        <v>1</v>
      </c>
      <c r="L2813" s="94">
        <v>12985824</v>
      </c>
      <c r="M2813" s="94">
        <v>363603072</v>
      </c>
    </row>
    <row r="2814" spans="3:13" x14ac:dyDescent="0.3">
      <c r="C2814" t="s">
        <v>61</v>
      </c>
      <c r="D2814" t="s">
        <v>62</v>
      </c>
      <c r="E2814" t="s">
        <v>68</v>
      </c>
      <c r="F2814" t="s">
        <v>25</v>
      </c>
      <c r="G2814" s="4">
        <v>4</v>
      </c>
      <c r="I2814" s="4" t="s">
        <v>69</v>
      </c>
      <c r="J2814" s="4" t="s">
        <v>66</v>
      </c>
      <c r="K2814" s="4">
        <v>0</v>
      </c>
      <c r="L2814" s="94">
        <v>3063586</v>
      </c>
      <c r="M2814" s="94">
        <v>12254344</v>
      </c>
    </row>
    <row r="2815" spans="3:13" x14ac:dyDescent="0.3">
      <c r="C2815" t="s">
        <v>61</v>
      </c>
      <c r="D2815" t="s">
        <v>67</v>
      </c>
      <c r="E2815" t="s">
        <v>68</v>
      </c>
      <c r="F2815" t="s">
        <v>72</v>
      </c>
      <c r="G2815" s="4">
        <v>2</v>
      </c>
      <c r="H2815" s="4" t="s">
        <v>80</v>
      </c>
      <c r="I2815" s="4" t="s">
        <v>69</v>
      </c>
      <c r="J2815" s="4" t="s">
        <v>66</v>
      </c>
      <c r="K2815" s="4">
        <v>0</v>
      </c>
      <c r="L2815" s="94">
        <v>254488</v>
      </c>
      <c r="M2815" s="94">
        <v>508976</v>
      </c>
    </row>
    <row r="2816" spans="3:13" x14ac:dyDescent="0.3">
      <c r="C2816" t="s">
        <v>70</v>
      </c>
      <c r="D2816" t="s">
        <v>62</v>
      </c>
      <c r="E2816" t="s">
        <v>63</v>
      </c>
      <c r="F2816" t="s">
        <v>24</v>
      </c>
      <c r="G2816" s="4">
        <v>34</v>
      </c>
      <c r="I2816" s="4" t="s">
        <v>69</v>
      </c>
      <c r="J2816" s="4" t="s">
        <v>73</v>
      </c>
      <c r="K2816" s="4">
        <v>1</v>
      </c>
      <c r="L2816" s="94">
        <v>-314</v>
      </c>
      <c r="M2816" s="94">
        <v>0</v>
      </c>
    </row>
    <row r="2817" spans="3:13" x14ac:dyDescent="0.3">
      <c r="C2817" t="s">
        <v>70</v>
      </c>
      <c r="D2817" t="s">
        <v>67</v>
      </c>
      <c r="E2817" t="s">
        <v>68</v>
      </c>
      <c r="F2817" t="s">
        <v>72</v>
      </c>
      <c r="G2817" s="4">
        <v>-4</v>
      </c>
      <c r="H2817" s="4" t="s">
        <v>80</v>
      </c>
      <c r="I2817" s="4" t="s">
        <v>69</v>
      </c>
      <c r="J2817" s="4" t="s">
        <v>66</v>
      </c>
      <c r="K2817" s="4">
        <v>0</v>
      </c>
      <c r="L2817" s="94">
        <v>317</v>
      </c>
      <c r="M2817" s="94">
        <v>0</v>
      </c>
    </row>
    <row r="2818" spans="3:13" x14ac:dyDescent="0.3">
      <c r="C2818" t="s">
        <v>61</v>
      </c>
      <c r="D2818" t="s">
        <v>67</v>
      </c>
      <c r="E2818" t="s">
        <v>63</v>
      </c>
      <c r="F2818" t="s">
        <v>26</v>
      </c>
      <c r="G2818" s="4">
        <v>12</v>
      </c>
      <c r="H2818" s="4" t="s">
        <v>82</v>
      </c>
      <c r="I2818" s="4" t="s">
        <v>69</v>
      </c>
      <c r="J2818" s="4" t="s">
        <v>66</v>
      </c>
      <c r="K2818" s="4">
        <v>0</v>
      </c>
      <c r="L2818" s="94">
        <v>-17858</v>
      </c>
      <c r="M2818" s="94">
        <v>0</v>
      </c>
    </row>
    <row r="2819" spans="3:13" x14ac:dyDescent="0.3">
      <c r="C2819" t="s">
        <v>71</v>
      </c>
      <c r="D2819" t="s">
        <v>67</v>
      </c>
      <c r="E2819" t="s">
        <v>68</v>
      </c>
      <c r="F2819" t="s">
        <v>25</v>
      </c>
      <c r="G2819" s="4">
        <v>27</v>
      </c>
      <c r="H2819" s="4" t="s">
        <v>76</v>
      </c>
      <c r="I2819" s="4" t="s">
        <v>69</v>
      </c>
      <c r="J2819" s="4" t="s">
        <v>66</v>
      </c>
      <c r="K2819" s="4">
        <v>0</v>
      </c>
      <c r="L2819" s="94">
        <v>6330301</v>
      </c>
      <c r="M2819" s="94">
        <v>170918127</v>
      </c>
    </row>
    <row r="2820" spans="3:13" x14ac:dyDescent="0.3">
      <c r="C2820" t="s">
        <v>61</v>
      </c>
      <c r="D2820" t="s">
        <v>62</v>
      </c>
      <c r="E2820" t="s">
        <v>68</v>
      </c>
      <c r="F2820" t="s">
        <v>24</v>
      </c>
      <c r="G2820" s="4">
        <v>29</v>
      </c>
      <c r="I2820" s="4" t="s">
        <v>69</v>
      </c>
      <c r="J2820" s="4" t="s">
        <v>66</v>
      </c>
      <c r="K2820" s="4">
        <v>0</v>
      </c>
      <c r="L2820" s="94">
        <v>1087455293</v>
      </c>
      <c r="M2820" s="94">
        <v>31536203497</v>
      </c>
    </row>
    <row r="2821" spans="3:13" x14ac:dyDescent="0.3">
      <c r="C2821" t="s">
        <v>61</v>
      </c>
      <c r="D2821" t="s">
        <v>67</v>
      </c>
      <c r="E2821" t="s">
        <v>63</v>
      </c>
      <c r="F2821" t="s">
        <v>25</v>
      </c>
      <c r="G2821" s="4">
        <v>14</v>
      </c>
      <c r="H2821" s="4" t="s">
        <v>78</v>
      </c>
      <c r="I2821" s="4" t="s">
        <v>69</v>
      </c>
      <c r="J2821" s="4" t="s">
        <v>66</v>
      </c>
      <c r="K2821" s="4">
        <v>0</v>
      </c>
      <c r="L2821" s="94">
        <v>-1310</v>
      </c>
      <c r="M2821" s="94">
        <v>0</v>
      </c>
    </row>
    <row r="2822" spans="3:13" x14ac:dyDescent="0.3">
      <c r="C2822" t="s">
        <v>71</v>
      </c>
      <c r="D2822" t="s">
        <v>62</v>
      </c>
      <c r="E2822" t="s">
        <v>68</v>
      </c>
      <c r="F2822" t="s">
        <v>25</v>
      </c>
      <c r="G2822" s="4">
        <v>25</v>
      </c>
      <c r="I2822" s="4" t="s">
        <v>69</v>
      </c>
      <c r="J2822" s="4" t="s">
        <v>66</v>
      </c>
      <c r="K2822" s="4">
        <v>0</v>
      </c>
      <c r="L2822" s="94">
        <v>41349</v>
      </c>
      <c r="M2822" s="94">
        <v>1033725</v>
      </c>
    </row>
    <row r="2823" spans="3:13" x14ac:dyDescent="0.3">
      <c r="C2823" t="s">
        <v>71</v>
      </c>
      <c r="D2823" t="s">
        <v>67</v>
      </c>
      <c r="E2823" t="s">
        <v>63</v>
      </c>
      <c r="F2823" t="s">
        <v>25</v>
      </c>
      <c r="G2823" s="4">
        <v>3</v>
      </c>
      <c r="H2823" s="4" t="s">
        <v>17</v>
      </c>
      <c r="I2823" s="4" t="s">
        <v>69</v>
      </c>
      <c r="J2823" s="4" t="s">
        <v>66</v>
      </c>
      <c r="K2823" s="4">
        <v>0</v>
      </c>
      <c r="L2823" s="94">
        <v>-2241230</v>
      </c>
      <c r="M2823" s="94">
        <v>0</v>
      </c>
    </row>
    <row r="2824" spans="3:13" x14ac:dyDescent="0.3">
      <c r="C2824" t="s">
        <v>71</v>
      </c>
      <c r="D2824" t="s">
        <v>62</v>
      </c>
      <c r="E2824" t="s">
        <v>63</v>
      </c>
      <c r="F2824" t="s">
        <v>24</v>
      </c>
      <c r="G2824" s="4">
        <v>25</v>
      </c>
      <c r="I2824" s="4" t="s">
        <v>69</v>
      </c>
      <c r="J2824" s="4" t="s">
        <v>66</v>
      </c>
      <c r="K2824" s="4">
        <v>1</v>
      </c>
      <c r="L2824" s="94">
        <v>-27288</v>
      </c>
      <c r="M2824" s="94">
        <v>0</v>
      </c>
    </row>
    <row r="2825" spans="3:13" x14ac:dyDescent="0.3">
      <c r="C2825" t="s">
        <v>70</v>
      </c>
      <c r="D2825" t="s">
        <v>67</v>
      </c>
      <c r="E2825" t="s">
        <v>68</v>
      </c>
      <c r="F2825" t="s">
        <v>72</v>
      </c>
      <c r="G2825" s="4">
        <v>1</v>
      </c>
      <c r="H2825" s="4" t="s">
        <v>78</v>
      </c>
      <c r="I2825" s="4" t="s">
        <v>69</v>
      </c>
      <c r="J2825" s="4" t="s">
        <v>66</v>
      </c>
      <c r="K2825" s="4">
        <v>0</v>
      </c>
      <c r="L2825" s="94">
        <v>25827</v>
      </c>
      <c r="M2825" s="94">
        <v>25827</v>
      </c>
    </row>
    <row r="2826" spans="3:13" x14ac:dyDescent="0.3">
      <c r="C2826" t="s">
        <v>70</v>
      </c>
      <c r="D2826" t="s">
        <v>67</v>
      </c>
      <c r="E2826" t="s">
        <v>63</v>
      </c>
      <c r="F2826" t="s">
        <v>25</v>
      </c>
      <c r="G2826" s="4">
        <v>4</v>
      </c>
      <c r="H2826" s="4" t="s">
        <v>12</v>
      </c>
      <c r="I2826" s="4" t="s">
        <v>69</v>
      </c>
      <c r="J2826" s="4" t="s">
        <v>66</v>
      </c>
      <c r="K2826" s="4">
        <v>1</v>
      </c>
      <c r="L2826" s="94">
        <v>-19476</v>
      </c>
      <c r="M2826" s="94">
        <v>0</v>
      </c>
    </row>
    <row r="2827" spans="3:13" x14ac:dyDescent="0.3">
      <c r="C2827" t="s">
        <v>61</v>
      </c>
      <c r="D2827" t="s">
        <v>67</v>
      </c>
      <c r="E2827" t="s">
        <v>63</v>
      </c>
      <c r="F2827" t="s">
        <v>25</v>
      </c>
      <c r="G2827" s="4">
        <v>10</v>
      </c>
      <c r="H2827" s="4" t="s">
        <v>14</v>
      </c>
      <c r="I2827" s="4" t="s">
        <v>69</v>
      </c>
      <c r="J2827" s="4" t="s">
        <v>66</v>
      </c>
      <c r="K2827" s="4">
        <v>0</v>
      </c>
      <c r="L2827" s="94">
        <v>-5173</v>
      </c>
      <c r="M2827" s="94">
        <v>0</v>
      </c>
    </row>
    <row r="2828" spans="3:13" x14ac:dyDescent="0.3">
      <c r="C2828" t="s">
        <v>70</v>
      </c>
      <c r="D2828" t="s">
        <v>62</v>
      </c>
      <c r="E2828" t="s">
        <v>63</v>
      </c>
      <c r="F2828" t="s">
        <v>24</v>
      </c>
      <c r="G2828" s="4">
        <v>13</v>
      </c>
      <c r="I2828" s="4" t="s">
        <v>69</v>
      </c>
      <c r="J2828" s="4" t="s">
        <v>66</v>
      </c>
      <c r="K2828" s="4">
        <v>0</v>
      </c>
      <c r="L2828" s="94">
        <v>-476783</v>
      </c>
      <c r="M2828" s="94">
        <v>0</v>
      </c>
    </row>
    <row r="2829" spans="3:13" x14ac:dyDescent="0.3">
      <c r="C2829" t="s">
        <v>61</v>
      </c>
      <c r="D2829" t="s">
        <v>67</v>
      </c>
      <c r="E2829" t="s">
        <v>63</v>
      </c>
      <c r="F2829" t="s">
        <v>25</v>
      </c>
      <c r="G2829" s="4">
        <v>19</v>
      </c>
      <c r="H2829" s="4" t="s">
        <v>17</v>
      </c>
      <c r="I2829" s="4" t="s">
        <v>69</v>
      </c>
      <c r="J2829" s="4" t="s">
        <v>66</v>
      </c>
      <c r="K2829" s="4">
        <v>0</v>
      </c>
      <c r="L2829" s="94">
        <v>-2328</v>
      </c>
      <c r="M2829" s="94">
        <v>0</v>
      </c>
    </row>
    <row r="2830" spans="3:13" x14ac:dyDescent="0.3">
      <c r="C2830" t="s">
        <v>70</v>
      </c>
      <c r="D2830" t="s">
        <v>67</v>
      </c>
      <c r="E2830" t="s">
        <v>68</v>
      </c>
      <c r="F2830" t="s">
        <v>26</v>
      </c>
      <c r="G2830" s="4">
        <v>3</v>
      </c>
      <c r="H2830" s="4" t="s">
        <v>78</v>
      </c>
      <c r="I2830" s="4" t="s">
        <v>69</v>
      </c>
      <c r="J2830" s="4" t="s">
        <v>66</v>
      </c>
      <c r="K2830" s="4">
        <v>0</v>
      </c>
      <c r="L2830" s="94">
        <v>1120617</v>
      </c>
      <c r="M2830" s="94">
        <v>3361851</v>
      </c>
    </row>
    <row r="2831" spans="3:13" x14ac:dyDescent="0.3">
      <c r="C2831" t="s">
        <v>70</v>
      </c>
      <c r="D2831" t="s">
        <v>67</v>
      </c>
      <c r="E2831" t="s">
        <v>63</v>
      </c>
      <c r="F2831" t="s">
        <v>72</v>
      </c>
      <c r="G2831" s="4">
        <v>2</v>
      </c>
      <c r="H2831" s="4" t="s">
        <v>77</v>
      </c>
      <c r="I2831" s="4" t="s">
        <v>69</v>
      </c>
      <c r="J2831" s="4" t="s">
        <v>66</v>
      </c>
      <c r="K2831" s="4">
        <v>0</v>
      </c>
      <c r="L2831" s="94">
        <v>-2359</v>
      </c>
      <c r="M2831" s="94">
        <v>0</v>
      </c>
    </row>
    <row r="2832" spans="3:13" x14ac:dyDescent="0.3">
      <c r="C2832" t="s">
        <v>70</v>
      </c>
      <c r="D2832" t="s">
        <v>62</v>
      </c>
      <c r="E2832" t="s">
        <v>63</v>
      </c>
      <c r="F2832" t="s">
        <v>24</v>
      </c>
      <c r="G2832" s="4">
        <v>20</v>
      </c>
      <c r="I2832" s="4" t="s">
        <v>65</v>
      </c>
      <c r="J2832" s="4" t="s">
        <v>66</v>
      </c>
      <c r="K2832" s="4">
        <v>1</v>
      </c>
      <c r="L2832" s="94">
        <v>-34579</v>
      </c>
      <c r="M2832" s="94">
        <v>0</v>
      </c>
    </row>
    <row r="2833" spans="3:13" x14ac:dyDescent="0.3">
      <c r="C2833" t="s">
        <v>61</v>
      </c>
      <c r="D2833" t="s">
        <v>62</v>
      </c>
      <c r="E2833" t="s">
        <v>63</v>
      </c>
      <c r="F2833" t="s">
        <v>24</v>
      </c>
      <c r="G2833" s="4">
        <v>28</v>
      </c>
      <c r="I2833" s="4" t="s">
        <v>65</v>
      </c>
      <c r="J2833" s="4" t="s">
        <v>66</v>
      </c>
      <c r="K2833" s="4">
        <v>1</v>
      </c>
      <c r="L2833" s="94">
        <v>-7490</v>
      </c>
      <c r="M2833" s="94">
        <v>0</v>
      </c>
    </row>
    <row r="2834" spans="3:13" x14ac:dyDescent="0.3">
      <c r="C2834" t="s">
        <v>70</v>
      </c>
      <c r="D2834" t="s">
        <v>67</v>
      </c>
      <c r="E2834" t="s">
        <v>63</v>
      </c>
      <c r="F2834" t="s">
        <v>72</v>
      </c>
      <c r="G2834" s="4">
        <v>3</v>
      </c>
      <c r="H2834" s="4" t="s">
        <v>83</v>
      </c>
      <c r="I2834" s="4" t="s">
        <v>69</v>
      </c>
      <c r="J2834" s="4" t="s">
        <v>66</v>
      </c>
      <c r="K2834" s="4">
        <v>0</v>
      </c>
      <c r="L2834" s="94">
        <v>-13120</v>
      </c>
      <c r="M2834" s="94">
        <v>0</v>
      </c>
    </row>
    <row r="2835" spans="3:13" x14ac:dyDescent="0.3">
      <c r="C2835" t="s">
        <v>71</v>
      </c>
      <c r="D2835" t="s">
        <v>67</v>
      </c>
      <c r="E2835" t="s">
        <v>68</v>
      </c>
      <c r="F2835" t="s">
        <v>26</v>
      </c>
      <c r="G2835" s="4">
        <v>2</v>
      </c>
      <c r="H2835" s="4" t="s">
        <v>17</v>
      </c>
      <c r="I2835" s="4" t="s">
        <v>65</v>
      </c>
      <c r="J2835" s="4" t="s">
        <v>66</v>
      </c>
      <c r="K2835" s="4">
        <v>1</v>
      </c>
      <c r="L2835" s="94">
        <v>28678</v>
      </c>
      <c r="M2835" s="94">
        <v>57356</v>
      </c>
    </row>
    <row r="2836" spans="3:13" x14ac:dyDescent="0.3">
      <c r="C2836" t="s">
        <v>70</v>
      </c>
      <c r="D2836" t="s">
        <v>67</v>
      </c>
      <c r="E2836" t="s">
        <v>68</v>
      </c>
      <c r="F2836" t="s">
        <v>25</v>
      </c>
      <c r="G2836" s="4">
        <v>3</v>
      </c>
      <c r="H2836" s="4" t="s">
        <v>75</v>
      </c>
      <c r="I2836" s="4" t="s">
        <v>69</v>
      </c>
      <c r="J2836" s="4" t="s">
        <v>66</v>
      </c>
      <c r="K2836" s="4">
        <v>0</v>
      </c>
      <c r="L2836" s="94">
        <v>9640938</v>
      </c>
      <c r="M2836" s="94">
        <v>28922814</v>
      </c>
    </row>
    <row r="2837" spans="3:13" x14ac:dyDescent="0.3">
      <c r="C2837" t="s">
        <v>61</v>
      </c>
      <c r="D2837" t="s">
        <v>67</v>
      </c>
      <c r="E2837" t="s">
        <v>68</v>
      </c>
      <c r="F2837" t="s">
        <v>25</v>
      </c>
      <c r="G2837" s="4">
        <v>14</v>
      </c>
      <c r="H2837" s="4" t="s">
        <v>83</v>
      </c>
      <c r="I2837" s="4" t="s">
        <v>69</v>
      </c>
      <c r="J2837" s="4" t="s">
        <v>66</v>
      </c>
      <c r="K2837" s="4">
        <v>0</v>
      </c>
      <c r="L2837" s="94">
        <v>576586</v>
      </c>
      <c r="M2837" s="94">
        <v>8072204</v>
      </c>
    </row>
    <row r="2838" spans="3:13" x14ac:dyDescent="0.3">
      <c r="C2838" t="s">
        <v>70</v>
      </c>
      <c r="D2838" t="s">
        <v>67</v>
      </c>
      <c r="E2838" t="s">
        <v>68</v>
      </c>
      <c r="F2838" t="s">
        <v>25</v>
      </c>
      <c r="G2838" s="4">
        <v>7</v>
      </c>
      <c r="H2838" s="4" t="s">
        <v>82</v>
      </c>
      <c r="I2838" s="4" t="s">
        <v>69</v>
      </c>
      <c r="J2838" s="4" t="s">
        <v>66</v>
      </c>
      <c r="K2838" s="4">
        <v>0</v>
      </c>
      <c r="L2838" s="94">
        <v>166876</v>
      </c>
      <c r="M2838" s="94">
        <v>1168132</v>
      </c>
    </row>
    <row r="2839" spans="3:13" x14ac:dyDescent="0.3">
      <c r="C2839" t="s">
        <v>71</v>
      </c>
      <c r="D2839" t="s">
        <v>67</v>
      </c>
      <c r="E2839" t="s">
        <v>68</v>
      </c>
      <c r="F2839" t="s">
        <v>26</v>
      </c>
      <c r="G2839" s="4">
        <v>2</v>
      </c>
      <c r="H2839" s="4" t="s">
        <v>12</v>
      </c>
      <c r="I2839" s="4" t="s">
        <v>69</v>
      </c>
      <c r="J2839" s="4" t="s">
        <v>73</v>
      </c>
      <c r="K2839" s="4">
        <v>1</v>
      </c>
      <c r="L2839" s="94">
        <v>169746</v>
      </c>
      <c r="M2839" s="94">
        <v>339492</v>
      </c>
    </row>
    <row r="2840" spans="3:13" x14ac:dyDescent="0.3">
      <c r="C2840" t="s">
        <v>70</v>
      </c>
      <c r="D2840" t="s">
        <v>67</v>
      </c>
      <c r="E2840" t="s">
        <v>63</v>
      </c>
      <c r="F2840" t="s">
        <v>26</v>
      </c>
      <c r="G2840" s="4">
        <v>5</v>
      </c>
      <c r="H2840" s="4" t="s">
        <v>12</v>
      </c>
      <c r="I2840" s="4" t="s">
        <v>69</v>
      </c>
      <c r="J2840" s="4" t="s">
        <v>73</v>
      </c>
      <c r="K2840" s="4">
        <v>1</v>
      </c>
      <c r="L2840" s="94">
        <v>-37809</v>
      </c>
      <c r="M2840" s="94">
        <v>0</v>
      </c>
    </row>
    <row r="2841" spans="3:13" x14ac:dyDescent="0.3">
      <c r="C2841" t="s">
        <v>71</v>
      </c>
      <c r="D2841" t="s">
        <v>67</v>
      </c>
      <c r="E2841" t="s">
        <v>63</v>
      </c>
      <c r="F2841" t="s">
        <v>26</v>
      </c>
      <c r="G2841" s="4">
        <v>14</v>
      </c>
      <c r="H2841" s="4" t="s">
        <v>14</v>
      </c>
      <c r="I2841" s="4" t="s">
        <v>69</v>
      </c>
      <c r="J2841" s="4" t="s">
        <v>73</v>
      </c>
      <c r="K2841" s="4">
        <v>1</v>
      </c>
      <c r="L2841" s="94">
        <v>-33446</v>
      </c>
      <c r="M2841" s="94">
        <v>0</v>
      </c>
    </row>
    <row r="2842" spans="3:13" x14ac:dyDescent="0.3">
      <c r="C2842" t="s">
        <v>70</v>
      </c>
      <c r="D2842" t="s">
        <v>62</v>
      </c>
      <c r="E2842" t="s">
        <v>63</v>
      </c>
      <c r="F2842" t="s">
        <v>24</v>
      </c>
      <c r="G2842" s="4">
        <v>25</v>
      </c>
      <c r="I2842" s="4" t="s">
        <v>69</v>
      </c>
      <c r="J2842" s="4" t="s">
        <v>66</v>
      </c>
      <c r="K2842" s="4">
        <v>1</v>
      </c>
      <c r="L2842" s="94">
        <v>-14475</v>
      </c>
      <c r="M2842" s="94">
        <v>0</v>
      </c>
    </row>
    <row r="2843" spans="3:13" x14ac:dyDescent="0.3">
      <c r="C2843" t="s">
        <v>61</v>
      </c>
      <c r="D2843" t="s">
        <v>67</v>
      </c>
      <c r="E2843" t="s">
        <v>63</v>
      </c>
      <c r="F2843" t="s">
        <v>25</v>
      </c>
      <c r="G2843" s="4">
        <v>7</v>
      </c>
      <c r="H2843" s="4" t="s">
        <v>77</v>
      </c>
      <c r="I2843" s="4" t="s">
        <v>69</v>
      </c>
      <c r="J2843" s="4" t="s">
        <v>66</v>
      </c>
      <c r="K2843" s="4">
        <v>0</v>
      </c>
      <c r="L2843" s="94">
        <v>-3185</v>
      </c>
      <c r="M2843" s="94">
        <v>0</v>
      </c>
    </row>
    <row r="2844" spans="3:13" x14ac:dyDescent="0.3">
      <c r="C2844" t="s">
        <v>71</v>
      </c>
      <c r="D2844" t="s">
        <v>67</v>
      </c>
      <c r="E2844" t="s">
        <v>63</v>
      </c>
      <c r="F2844" t="s">
        <v>25</v>
      </c>
      <c r="G2844" s="4">
        <v>10</v>
      </c>
      <c r="H2844" s="4" t="s">
        <v>18</v>
      </c>
      <c r="I2844" s="4" t="s">
        <v>69</v>
      </c>
      <c r="J2844" s="4" t="s">
        <v>66</v>
      </c>
      <c r="K2844" s="4">
        <v>0</v>
      </c>
      <c r="L2844" s="94">
        <v>-179815</v>
      </c>
      <c r="M2844" s="94">
        <v>0</v>
      </c>
    </row>
    <row r="2845" spans="3:13" x14ac:dyDescent="0.3">
      <c r="C2845" t="s">
        <v>70</v>
      </c>
      <c r="D2845" t="s">
        <v>67</v>
      </c>
      <c r="E2845" t="s">
        <v>68</v>
      </c>
      <c r="F2845" t="s">
        <v>26</v>
      </c>
      <c r="G2845" s="4">
        <v>7</v>
      </c>
      <c r="H2845" s="4" t="s">
        <v>82</v>
      </c>
      <c r="I2845" s="4" t="s">
        <v>69</v>
      </c>
      <c r="J2845" s="4" t="s">
        <v>66</v>
      </c>
      <c r="K2845" s="4">
        <v>0</v>
      </c>
      <c r="L2845" s="94">
        <v>340778</v>
      </c>
      <c r="M2845" s="94">
        <v>2385446</v>
      </c>
    </row>
    <row r="2846" spans="3:13" x14ac:dyDescent="0.3">
      <c r="C2846" t="s">
        <v>70</v>
      </c>
      <c r="D2846" t="s">
        <v>67</v>
      </c>
      <c r="E2846" t="s">
        <v>63</v>
      </c>
      <c r="F2846" t="s">
        <v>26</v>
      </c>
      <c r="G2846" s="4">
        <v>1</v>
      </c>
      <c r="H2846" s="4" t="s">
        <v>81</v>
      </c>
      <c r="I2846" s="4" t="s">
        <v>69</v>
      </c>
      <c r="J2846" s="4" t="s">
        <v>66</v>
      </c>
      <c r="K2846" s="4">
        <v>0</v>
      </c>
      <c r="L2846" s="94">
        <v>-109</v>
      </c>
      <c r="M2846" s="94">
        <v>0</v>
      </c>
    </row>
    <row r="2847" spans="3:13" x14ac:dyDescent="0.3">
      <c r="C2847" t="s">
        <v>70</v>
      </c>
      <c r="D2847" t="s">
        <v>67</v>
      </c>
      <c r="E2847" t="s">
        <v>68</v>
      </c>
      <c r="F2847" t="s">
        <v>25</v>
      </c>
      <c r="G2847" s="4">
        <v>1</v>
      </c>
      <c r="H2847" s="4" t="s">
        <v>79</v>
      </c>
      <c r="I2847" s="4" t="s">
        <v>69</v>
      </c>
      <c r="J2847" s="4" t="s">
        <v>66</v>
      </c>
      <c r="K2847" s="4">
        <v>0</v>
      </c>
      <c r="L2847" s="94">
        <v>21601</v>
      </c>
      <c r="M2847" s="94">
        <v>21601</v>
      </c>
    </row>
    <row r="2848" spans="3:13" x14ac:dyDescent="0.3">
      <c r="C2848" t="s">
        <v>71</v>
      </c>
      <c r="D2848" t="s">
        <v>67</v>
      </c>
      <c r="E2848" t="s">
        <v>63</v>
      </c>
      <c r="F2848" t="s">
        <v>26</v>
      </c>
      <c r="G2848" s="4">
        <v>6</v>
      </c>
      <c r="H2848" s="4" t="s">
        <v>79</v>
      </c>
      <c r="I2848" s="4" t="s">
        <v>69</v>
      </c>
      <c r="J2848" s="4" t="s">
        <v>66</v>
      </c>
      <c r="K2848" s="4">
        <v>0</v>
      </c>
      <c r="L2848" s="94">
        <v>-27587</v>
      </c>
      <c r="M2848" s="94">
        <v>0</v>
      </c>
    </row>
    <row r="2849" spans="3:13" x14ac:dyDescent="0.3">
      <c r="C2849" t="s">
        <v>61</v>
      </c>
      <c r="D2849" t="s">
        <v>67</v>
      </c>
      <c r="E2849" t="s">
        <v>63</v>
      </c>
      <c r="F2849" t="s">
        <v>72</v>
      </c>
      <c r="G2849" s="4">
        <v>3</v>
      </c>
      <c r="H2849" s="4" t="s">
        <v>83</v>
      </c>
      <c r="I2849" s="4" t="s">
        <v>69</v>
      </c>
      <c r="J2849" s="4" t="s">
        <v>66</v>
      </c>
      <c r="K2849" s="4">
        <v>0</v>
      </c>
      <c r="L2849" s="94">
        <v>-1012</v>
      </c>
      <c r="M2849" s="94">
        <v>0</v>
      </c>
    </row>
    <row r="2850" spans="3:13" x14ac:dyDescent="0.3">
      <c r="C2850" t="s">
        <v>61</v>
      </c>
      <c r="D2850" t="s">
        <v>62</v>
      </c>
      <c r="E2850" t="s">
        <v>68</v>
      </c>
      <c r="F2850" t="s">
        <v>24</v>
      </c>
      <c r="G2850" s="4">
        <v>44</v>
      </c>
      <c r="I2850" s="4" t="s">
        <v>69</v>
      </c>
      <c r="J2850" s="4" t="s">
        <v>66</v>
      </c>
      <c r="K2850" s="4">
        <v>0</v>
      </c>
      <c r="L2850" s="94">
        <v>8065400</v>
      </c>
      <c r="M2850" s="94">
        <v>354877600</v>
      </c>
    </row>
    <row r="2851" spans="3:13" x14ac:dyDescent="0.3">
      <c r="C2851" t="s">
        <v>70</v>
      </c>
      <c r="D2851" t="s">
        <v>67</v>
      </c>
      <c r="E2851" t="s">
        <v>63</v>
      </c>
      <c r="F2851" t="s">
        <v>72</v>
      </c>
      <c r="G2851" s="4">
        <v>4</v>
      </c>
      <c r="H2851" s="4" t="s">
        <v>75</v>
      </c>
      <c r="I2851" s="4" t="s">
        <v>69</v>
      </c>
      <c r="J2851" s="4" t="s">
        <v>66</v>
      </c>
      <c r="K2851" s="4">
        <v>0</v>
      </c>
      <c r="L2851" s="94">
        <v>-41427</v>
      </c>
      <c r="M2851" s="94">
        <v>0</v>
      </c>
    </row>
    <row r="2852" spans="3:13" x14ac:dyDescent="0.3">
      <c r="C2852" t="s">
        <v>61</v>
      </c>
      <c r="D2852" t="s">
        <v>67</v>
      </c>
      <c r="E2852" t="s">
        <v>63</v>
      </c>
      <c r="F2852" t="s">
        <v>25</v>
      </c>
      <c r="G2852" s="4">
        <v>2</v>
      </c>
      <c r="H2852" s="4" t="s">
        <v>79</v>
      </c>
      <c r="I2852" s="4" t="s">
        <v>69</v>
      </c>
      <c r="J2852" s="4" t="s">
        <v>66</v>
      </c>
      <c r="K2852" s="4">
        <v>0</v>
      </c>
      <c r="L2852" s="94">
        <v>-1661</v>
      </c>
      <c r="M2852" s="94">
        <v>0</v>
      </c>
    </row>
    <row r="2853" spans="3:13" x14ac:dyDescent="0.3">
      <c r="C2853" t="s">
        <v>70</v>
      </c>
      <c r="D2853" t="s">
        <v>67</v>
      </c>
      <c r="E2853" t="s">
        <v>63</v>
      </c>
      <c r="F2853" t="s">
        <v>72</v>
      </c>
      <c r="G2853" s="4">
        <v>1</v>
      </c>
      <c r="H2853" s="4" t="s">
        <v>17</v>
      </c>
      <c r="I2853" s="4" t="s">
        <v>69</v>
      </c>
      <c r="J2853" s="4" t="s">
        <v>73</v>
      </c>
      <c r="K2853" s="4">
        <v>1</v>
      </c>
      <c r="L2853" s="94">
        <v>-803</v>
      </c>
      <c r="M2853" s="94">
        <v>0</v>
      </c>
    </row>
    <row r="2854" spans="3:13" x14ac:dyDescent="0.3">
      <c r="C2854" t="s">
        <v>61</v>
      </c>
      <c r="D2854" t="s">
        <v>67</v>
      </c>
      <c r="E2854" t="s">
        <v>68</v>
      </c>
      <c r="F2854" t="s">
        <v>72</v>
      </c>
      <c r="G2854" s="4">
        <v>3</v>
      </c>
      <c r="H2854" s="4" t="s">
        <v>13</v>
      </c>
      <c r="I2854" s="4" t="s">
        <v>69</v>
      </c>
      <c r="J2854" s="4" t="s">
        <v>73</v>
      </c>
      <c r="K2854" s="4">
        <v>1</v>
      </c>
      <c r="L2854" s="94">
        <v>116755</v>
      </c>
      <c r="M2854" s="94">
        <v>350265</v>
      </c>
    </row>
    <row r="2855" spans="3:13" x14ac:dyDescent="0.3">
      <c r="C2855" t="s">
        <v>61</v>
      </c>
      <c r="D2855" t="s">
        <v>62</v>
      </c>
      <c r="E2855" t="s">
        <v>68</v>
      </c>
      <c r="F2855" t="s">
        <v>24</v>
      </c>
      <c r="G2855" s="4">
        <v>38</v>
      </c>
      <c r="I2855" s="4" t="s">
        <v>69</v>
      </c>
      <c r="J2855" s="4" t="s">
        <v>66</v>
      </c>
      <c r="K2855" s="4">
        <v>0</v>
      </c>
      <c r="L2855" s="94">
        <v>450649899</v>
      </c>
      <c r="M2855" s="94">
        <v>17124696162</v>
      </c>
    </row>
    <row r="2856" spans="3:13" x14ac:dyDescent="0.3">
      <c r="C2856" t="s">
        <v>61</v>
      </c>
      <c r="D2856" t="s">
        <v>62</v>
      </c>
      <c r="E2856" t="s">
        <v>68</v>
      </c>
      <c r="F2856" t="s">
        <v>24</v>
      </c>
      <c r="G2856" s="4">
        <v>33</v>
      </c>
      <c r="I2856" s="4" t="s">
        <v>69</v>
      </c>
      <c r="J2856" s="4" t="s">
        <v>73</v>
      </c>
      <c r="K2856" s="4">
        <v>1</v>
      </c>
      <c r="L2856" s="94">
        <v>5435</v>
      </c>
      <c r="M2856" s="94">
        <v>179355</v>
      </c>
    </row>
    <row r="2857" spans="3:13" x14ac:dyDescent="0.3">
      <c r="C2857" t="s">
        <v>71</v>
      </c>
      <c r="D2857" t="s">
        <v>67</v>
      </c>
      <c r="E2857" t="s">
        <v>68</v>
      </c>
      <c r="F2857" t="s">
        <v>26</v>
      </c>
      <c r="G2857" s="4">
        <v>7</v>
      </c>
      <c r="H2857" s="4" t="s">
        <v>12</v>
      </c>
      <c r="I2857" s="4" t="s">
        <v>69</v>
      </c>
      <c r="J2857" s="4" t="s">
        <v>73</v>
      </c>
      <c r="K2857" s="4">
        <v>1</v>
      </c>
      <c r="L2857" s="94">
        <v>41233</v>
      </c>
      <c r="M2857" s="94">
        <v>288631</v>
      </c>
    </row>
    <row r="2858" spans="3:13" x14ac:dyDescent="0.3">
      <c r="C2858" t="s">
        <v>61</v>
      </c>
      <c r="D2858" t="s">
        <v>67</v>
      </c>
      <c r="E2858" t="s">
        <v>63</v>
      </c>
      <c r="F2858" t="s">
        <v>25</v>
      </c>
      <c r="G2858" s="4">
        <v>13</v>
      </c>
      <c r="H2858" s="4" t="s">
        <v>83</v>
      </c>
      <c r="I2858" s="4" t="s">
        <v>69</v>
      </c>
      <c r="J2858" s="4" t="s">
        <v>66</v>
      </c>
      <c r="K2858" s="4">
        <v>0</v>
      </c>
      <c r="L2858" s="94">
        <v>-24896</v>
      </c>
      <c r="M2858" s="94">
        <v>0</v>
      </c>
    </row>
    <row r="2859" spans="3:13" x14ac:dyDescent="0.3">
      <c r="C2859" t="s">
        <v>70</v>
      </c>
      <c r="D2859" t="s">
        <v>67</v>
      </c>
      <c r="E2859" t="s">
        <v>68</v>
      </c>
      <c r="F2859" t="s">
        <v>72</v>
      </c>
      <c r="G2859" s="4">
        <v>5</v>
      </c>
      <c r="H2859" s="4" t="s">
        <v>64</v>
      </c>
      <c r="I2859" s="4" t="s">
        <v>69</v>
      </c>
      <c r="J2859" s="4" t="s">
        <v>66</v>
      </c>
      <c r="K2859" s="4">
        <v>0</v>
      </c>
      <c r="L2859" s="94">
        <v>280019</v>
      </c>
      <c r="M2859" s="94">
        <v>1400095</v>
      </c>
    </row>
    <row r="2860" spans="3:13" x14ac:dyDescent="0.3">
      <c r="C2860" t="s">
        <v>71</v>
      </c>
      <c r="D2860" t="s">
        <v>67</v>
      </c>
      <c r="E2860" t="s">
        <v>68</v>
      </c>
      <c r="F2860" t="s">
        <v>25</v>
      </c>
      <c r="G2860" s="4">
        <v>1</v>
      </c>
      <c r="H2860" s="4" t="s">
        <v>14</v>
      </c>
      <c r="I2860" s="4" t="s">
        <v>69</v>
      </c>
      <c r="J2860" s="4" t="s">
        <v>66</v>
      </c>
      <c r="K2860" s="4">
        <v>1</v>
      </c>
      <c r="L2860" s="94">
        <v>403448</v>
      </c>
      <c r="M2860" s="94">
        <v>403448</v>
      </c>
    </row>
    <row r="2861" spans="3:13" x14ac:dyDescent="0.3">
      <c r="C2861" t="s">
        <v>61</v>
      </c>
      <c r="D2861" t="s">
        <v>67</v>
      </c>
      <c r="E2861" t="s">
        <v>68</v>
      </c>
      <c r="F2861" t="s">
        <v>25</v>
      </c>
      <c r="G2861" s="4">
        <v>10</v>
      </c>
      <c r="H2861" s="4" t="s">
        <v>12</v>
      </c>
      <c r="I2861" s="4" t="s">
        <v>69</v>
      </c>
      <c r="J2861" s="4" t="s">
        <v>66</v>
      </c>
      <c r="K2861" s="4">
        <v>1</v>
      </c>
      <c r="L2861" s="94">
        <v>9659808</v>
      </c>
      <c r="M2861" s="94">
        <v>96598080</v>
      </c>
    </row>
    <row r="2862" spans="3:13" x14ac:dyDescent="0.3">
      <c r="C2862" t="s">
        <v>61</v>
      </c>
      <c r="D2862" t="s">
        <v>67</v>
      </c>
      <c r="E2862" t="s">
        <v>63</v>
      </c>
      <c r="F2862" t="s">
        <v>72</v>
      </c>
      <c r="G2862" s="4">
        <v>0</v>
      </c>
      <c r="H2862" s="4" t="s">
        <v>64</v>
      </c>
      <c r="I2862" s="4" t="s">
        <v>69</v>
      </c>
      <c r="J2862" s="4" t="s">
        <v>66</v>
      </c>
      <c r="K2862" s="4">
        <v>0</v>
      </c>
      <c r="L2862" s="94">
        <v>-19230</v>
      </c>
      <c r="M2862" s="94">
        <v>0</v>
      </c>
    </row>
    <row r="2863" spans="3:13" x14ac:dyDescent="0.3">
      <c r="C2863" t="s">
        <v>70</v>
      </c>
      <c r="D2863" t="s">
        <v>67</v>
      </c>
      <c r="E2863" t="s">
        <v>63</v>
      </c>
      <c r="F2863" t="s">
        <v>25</v>
      </c>
      <c r="G2863" s="4">
        <v>10</v>
      </c>
      <c r="H2863" s="4" t="s">
        <v>75</v>
      </c>
      <c r="I2863" s="4" t="s">
        <v>69</v>
      </c>
      <c r="J2863" s="4" t="s">
        <v>66</v>
      </c>
      <c r="K2863" s="4">
        <v>0</v>
      </c>
      <c r="L2863" s="94">
        <v>-154790</v>
      </c>
      <c r="M2863" s="94">
        <v>0</v>
      </c>
    </row>
    <row r="2864" spans="3:13" x14ac:dyDescent="0.3">
      <c r="C2864" t="s">
        <v>70</v>
      </c>
      <c r="D2864" t="s">
        <v>67</v>
      </c>
      <c r="E2864" t="s">
        <v>68</v>
      </c>
      <c r="F2864" t="s">
        <v>72</v>
      </c>
      <c r="G2864" s="4">
        <v>4</v>
      </c>
      <c r="H2864" s="4" t="s">
        <v>18</v>
      </c>
      <c r="I2864" s="4" t="s">
        <v>69</v>
      </c>
      <c r="J2864" s="4" t="s">
        <v>73</v>
      </c>
      <c r="K2864" s="4">
        <v>1</v>
      </c>
      <c r="L2864" s="94">
        <v>294426</v>
      </c>
      <c r="M2864" s="94">
        <v>1177704</v>
      </c>
    </row>
    <row r="2865" spans="3:13" x14ac:dyDescent="0.3">
      <c r="C2865" t="s">
        <v>70</v>
      </c>
      <c r="D2865" t="s">
        <v>62</v>
      </c>
      <c r="E2865" t="s">
        <v>68</v>
      </c>
      <c r="F2865" t="s">
        <v>25</v>
      </c>
      <c r="G2865" s="4">
        <v>2</v>
      </c>
      <c r="I2865" s="4" t="s">
        <v>69</v>
      </c>
      <c r="J2865" s="4" t="s">
        <v>66</v>
      </c>
      <c r="K2865" s="4">
        <v>1</v>
      </c>
      <c r="L2865" s="94">
        <v>6739</v>
      </c>
      <c r="M2865" s="94">
        <v>13478</v>
      </c>
    </row>
    <row r="2866" spans="3:13" x14ac:dyDescent="0.3">
      <c r="C2866" t="s">
        <v>61</v>
      </c>
      <c r="D2866" t="s">
        <v>67</v>
      </c>
      <c r="E2866" t="s">
        <v>63</v>
      </c>
      <c r="F2866" t="s">
        <v>72</v>
      </c>
      <c r="G2866" s="4">
        <v>7</v>
      </c>
      <c r="H2866" s="4" t="s">
        <v>77</v>
      </c>
      <c r="I2866" s="4" t="s">
        <v>69</v>
      </c>
      <c r="J2866" s="4" t="s">
        <v>66</v>
      </c>
      <c r="K2866" s="4">
        <v>0</v>
      </c>
      <c r="L2866" s="94">
        <v>-724</v>
      </c>
      <c r="M2866" s="94">
        <v>0</v>
      </c>
    </row>
    <row r="2867" spans="3:13" x14ac:dyDescent="0.3">
      <c r="C2867" t="s">
        <v>61</v>
      </c>
      <c r="D2867" t="s">
        <v>67</v>
      </c>
      <c r="E2867" t="s">
        <v>63</v>
      </c>
      <c r="F2867" t="s">
        <v>26</v>
      </c>
      <c r="G2867" s="4">
        <v>2</v>
      </c>
      <c r="H2867" s="4" t="s">
        <v>14</v>
      </c>
      <c r="I2867" s="4" t="s">
        <v>69</v>
      </c>
      <c r="J2867" s="4" t="s">
        <v>73</v>
      </c>
      <c r="K2867" s="4">
        <v>1</v>
      </c>
      <c r="L2867" s="94">
        <v>-205362</v>
      </c>
      <c r="M2867" s="94">
        <v>0</v>
      </c>
    </row>
    <row r="2868" spans="3:13" x14ac:dyDescent="0.3">
      <c r="C2868" t="s">
        <v>61</v>
      </c>
      <c r="D2868" t="s">
        <v>84</v>
      </c>
      <c r="E2868" t="s">
        <v>68</v>
      </c>
      <c r="F2868" t="s">
        <v>25</v>
      </c>
      <c r="G2868" s="4">
        <v>1</v>
      </c>
      <c r="H2868" s="4" t="s">
        <v>81</v>
      </c>
      <c r="I2868" s="4" t="s">
        <v>69</v>
      </c>
      <c r="J2868" s="4" t="s">
        <v>66</v>
      </c>
      <c r="K2868" s="4">
        <v>0</v>
      </c>
      <c r="L2868" s="94">
        <v>6637269</v>
      </c>
      <c r="M2868" s="94">
        <v>6637269</v>
      </c>
    </row>
    <row r="2869" spans="3:13" x14ac:dyDescent="0.3">
      <c r="C2869" t="s">
        <v>71</v>
      </c>
      <c r="D2869" t="s">
        <v>67</v>
      </c>
      <c r="E2869" t="s">
        <v>63</v>
      </c>
      <c r="F2869" t="s">
        <v>72</v>
      </c>
      <c r="G2869" s="4">
        <v>1</v>
      </c>
      <c r="H2869" s="4" t="s">
        <v>82</v>
      </c>
      <c r="I2869" s="4" t="s">
        <v>69</v>
      </c>
      <c r="J2869" s="4" t="s">
        <v>66</v>
      </c>
      <c r="K2869" s="4">
        <v>0</v>
      </c>
      <c r="L2869" s="94">
        <v>-154291</v>
      </c>
      <c r="M2869" s="94">
        <v>0</v>
      </c>
    </row>
    <row r="2870" spans="3:13" x14ac:dyDescent="0.3">
      <c r="C2870" t="s">
        <v>61</v>
      </c>
      <c r="D2870" t="s">
        <v>67</v>
      </c>
      <c r="E2870" t="s">
        <v>63</v>
      </c>
      <c r="F2870" t="s">
        <v>25</v>
      </c>
      <c r="G2870" s="4">
        <v>9</v>
      </c>
      <c r="H2870" s="4" t="s">
        <v>12</v>
      </c>
      <c r="I2870" s="4" t="s">
        <v>69</v>
      </c>
      <c r="J2870" s="4" t="s">
        <v>66</v>
      </c>
      <c r="K2870" s="4">
        <v>0</v>
      </c>
      <c r="L2870" s="94">
        <v>-2910</v>
      </c>
      <c r="M2870" s="94">
        <v>0</v>
      </c>
    </row>
    <row r="2871" spans="3:13" x14ac:dyDescent="0.3">
      <c r="C2871" t="s">
        <v>70</v>
      </c>
      <c r="D2871" t="s">
        <v>67</v>
      </c>
      <c r="E2871" t="s">
        <v>63</v>
      </c>
      <c r="F2871" t="s">
        <v>72</v>
      </c>
      <c r="G2871" s="4">
        <v>-4</v>
      </c>
      <c r="H2871" s="4" t="s">
        <v>77</v>
      </c>
      <c r="I2871" s="4" t="s">
        <v>69</v>
      </c>
      <c r="J2871" s="4" t="s">
        <v>66</v>
      </c>
      <c r="K2871" s="4">
        <v>0</v>
      </c>
      <c r="L2871" s="94">
        <v>-191</v>
      </c>
      <c r="M2871" s="94">
        <v>0</v>
      </c>
    </row>
    <row r="2872" spans="3:13" x14ac:dyDescent="0.3">
      <c r="C2872" t="s">
        <v>61</v>
      </c>
      <c r="D2872" t="s">
        <v>67</v>
      </c>
      <c r="E2872" t="s">
        <v>63</v>
      </c>
      <c r="F2872" t="s">
        <v>25</v>
      </c>
      <c r="G2872" s="4">
        <v>0</v>
      </c>
      <c r="H2872" s="4" t="s">
        <v>64</v>
      </c>
      <c r="I2872" s="4" t="s">
        <v>69</v>
      </c>
      <c r="J2872" s="4" t="s">
        <v>66</v>
      </c>
      <c r="K2872" s="4">
        <v>0</v>
      </c>
      <c r="L2872" s="94">
        <v>-124</v>
      </c>
      <c r="M2872" s="94">
        <v>0</v>
      </c>
    </row>
    <row r="2873" spans="3:13" x14ac:dyDescent="0.3">
      <c r="C2873" t="s">
        <v>70</v>
      </c>
      <c r="D2873" t="s">
        <v>67</v>
      </c>
      <c r="E2873" t="s">
        <v>63</v>
      </c>
      <c r="F2873" t="s">
        <v>26</v>
      </c>
      <c r="G2873" s="4">
        <v>0</v>
      </c>
      <c r="H2873" s="4" t="s">
        <v>64</v>
      </c>
      <c r="I2873" s="4" t="s">
        <v>69</v>
      </c>
      <c r="J2873" s="4" t="s">
        <v>66</v>
      </c>
      <c r="K2873" s="4">
        <v>0</v>
      </c>
      <c r="L2873" s="94">
        <v>-62517</v>
      </c>
      <c r="M2873" s="94">
        <v>0</v>
      </c>
    </row>
    <row r="2874" spans="3:13" x14ac:dyDescent="0.3">
      <c r="C2874" t="s">
        <v>70</v>
      </c>
      <c r="D2874" t="s">
        <v>62</v>
      </c>
      <c r="E2874" t="s">
        <v>68</v>
      </c>
      <c r="F2874" t="s">
        <v>24</v>
      </c>
      <c r="G2874" s="4">
        <v>38</v>
      </c>
      <c r="I2874" s="4" t="s">
        <v>65</v>
      </c>
      <c r="J2874" s="4" t="s">
        <v>66</v>
      </c>
      <c r="K2874" s="4">
        <v>1</v>
      </c>
      <c r="L2874" s="94">
        <v>1470015</v>
      </c>
      <c r="M2874" s="94">
        <v>55860570</v>
      </c>
    </row>
    <row r="2875" spans="3:13" x14ac:dyDescent="0.3">
      <c r="C2875" t="s">
        <v>71</v>
      </c>
      <c r="D2875" t="s">
        <v>67</v>
      </c>
      <c r="E2875" t="s">
        <v>63</v>
      </c>
      <c r="F2875" t="s">
        <v>26</v>
      </c>
      <c r="G2875" s="4">
        <v>3</v>
      </c>
      <c r="H2875" s="4" t="s">
        <v>64</v>
      </c>
      <c r="I2875" s="4" t="s">
        <v>69</v>
      </c>
      <c r="J2875" s="4" t="s">
        <v>66</v>
      </c>
      <c r="K2875" s="4">
        <v>0</v>
      </c>
      <c r="L2875" s="94">
        <v>-139211</v>
      </c>
      <c r="M2875" s="94">
        <v>0</v>
      </c>
    </row>
    <row r="2876" spans="3:13" x14ac:dyDescent="0.3">
      <c r="C2876" t="s">
        <v>70</v>
      </c>
      <c r="D2876" t="s">
        <v>67</v>
      </c>
      <c r="E2876" t="s">
        <v>63</v>
      </c>
      <c r="F2876" t="s">
        <v>26</v>
      </c>
      <c r="G2876" s="4">
        <v>4</v>
      </c>
      <c r="H2876" s="4" t="s">
        <v>17</v>
      </c>
      <c r="I2876" s="4" t="s">
        <v>69</v>
      </c>
      <c r="J2876" s="4" t="s">
        <v>66</v>
      </c>
      <c r="K2876" s="4">
        <v>0</v>
      </c>
      <c r="L2876" s="94">
        <v>-281891</v>
      </c>
      <c r="M2876" s="94">
        <v>0</v>
      </c>
    </row>
    <row r="2877" spans="3:13" x14ac:dyDescent="0.3">
      <c r="C2877" t="s">
        <v>70</v>
      </c>
      <c r="D2877" t="s">
        <v>67</v>
      </c>
      <c r="E2877" t="s">
        <v>63</v>
      </c>
      <c r="F2877" t="s">
        <v>72</v>
      </c>
      <c r="G2877" s="4">
        <v>5</v>
      </c>
      <c r="H2877" s="4" t="s">
        <v>83</v>
      </c>
      <c r="I2877" s="4" t="s">
        <v>69</v>
      </c>
      <c r="J2877" s="4" t="s">
        <v>66</v>
      </c>
      <c r="K2877" s="4">
        <v>0</v>
      </c>
      <c r="L2877" s="94">
        <v>-24100</v>
      </c>
      <c r="M2877" s="94">
        <v>0</v>
      </c>
    </row>
    <row r="2878" spans="3:13" x14ac:dyDescent="0.3">
      <c r="C2878" t="s">
        <v>61</v>
      </c>
      <c r="D2878" t="s">
        <v>67</v>
      </c>
      <c r="E2878" t="s">
        <v>63</v>
      </c>
      <c r="F2878" t="s">
        <v>26</v>
      </c>
      <c r="G2878" s="4">
        <v>3</v>
      </c>
      <c r="H2878" s="4" t="s">
        <v>75</v>
      </c>
      <c r="I2878" s="4" t="s">
        <v>69</v>
      </c>
      <c r="J2878" s="4" t="s">
        <v>66</v>
      </c>
      <c r="K2878" s="4">
        <v>0</v>
      </c>
      <c r="L2878" s="94">
        <v>-45979</v>
      </c>
      <c r="M2878" s="94">
        <v>0</v>
      </c>
    </row>
    <row r="2879" spans="3:13" x14ac:dyDescent="0.3">
      <c r="C2879" t="s">
        <v>71</v>
      </c>
      <c r="D2879" t="s">
        <v>62</v>
      </c>
      <c r="E2879" t="s">
        <v>68</v>
      </c>
      <c r="F2879" t="s">
        <v>25</v>
      </c>
      <c r="G2879" s="4">
        <v>2</v>
      </c>
      <c r="I2879" s="4" t="s">
        <v>69</v>
      </c>
      <c r="J2879" s="4" t="s">
        <v>66</v>
      </c>
      <c r="K2879" s="4">
        <v>0</v>
      </c>
      <c r="L2879" s="94">
        <v>108426</v>
      </c>
      <c r="M2879" s="94">
        <v>216852</v>
      </c>
    </row>
    <row r="2880" spans="3:13" x14ac:dyDescent="0.3">
      <c r="C2880" t="s">
        <v>61</v>
      </c>
      <c r="D2880" t="s">
        <v>84</v>
      </c>
      <c r="E2880" t="s">
        <v>68</v>
      </c>
      <c r="F2880" t="s">
        <v>25</v>
      </c>
      <c r="G2880" s="4">
        <v>6</v>
      </c>
      <c r="H2880" s="4" t="s">
        <v>75</v>
      </c>
      <c r="I2880" s="4" t="s">
        <v>69</v>
      </c>
      <c r="J2880" s="4" t="s">
        <v>66</v>
      </c>
      <c r="K2880" s="4">
        <v>0</v>
      </c>
      <c r="L2880" s="94">
        <v>2051160</v>
      </c>
      <c r="M2880" s="94">
        <v>12306960</v>
      </c>
    </row>
    <row r="2881" spans="3:13" x14ac:dyDescent="0.3">
      <c r="C2881" t="s">
        <v>71</v>
      </c>
      <c r="D2881" t="s">
        <v>62</v>
      </c>
      <c r="E2881" t="s">
        <v>68</v>
      </c>
      <c r="F2881" t="s">
        <v>24</v>
      </c>
      <c r="G2881" s="4">
        <v>19</v>
      </c>
      <c r="I2881" s="4" t="s">
        <v>69</v>
      </c>
      <c r="J2881" s="4" t="s">
        <v>73</v>
      </c>
      <c r="K2881" s="4">
        <v>1</v>
      </c>
      <c r="L2881" s="94">
        <v>2634</v>
      </c>
      <c r="M2881" s="94">
        <v>50046</v>
      </c>
    </row>
    <row r="2882" spans="3:13" x14ac:dyDescent="0.3">
      <c r="C2882" t="s">
        <v>70</v>
      </c>
      <c r="D2882" t="s">
        <v>67</v>
      </c>
      <c r="E2882" t="s">
        <v>68</v>
      </c>
      <c r="F2882" t="s">
        <v>26</v>
      </c>
      <c r="G2882" s="4">
        <v>4</v>
      </c>
      <c r="H2882" s="4" t="s">
        <v>80</v>
      </c>
      <c r="I2882" s="4" t="s">
        <v>69</v>
      </c>
      <c r="J2882" s="4" t="s">
        <v>66</v>
      </c>
      <c r="K2882" s="4">
        <v>0</v>
      </c>
      <c r="L2882" s="94">
        <v>412049</v>
      </c>
      <c r="M2882" s="94">
        <v>1648196</v>
      </c>
    </row>
    <row r="2883" spans="3:13" x14ac:dyDescent="0.3">
      <c r="C2883" t="s">
        <v>70</v>
      </c>
      <c r="D2883" t="s">
        <v>67</v>
      </c>
      <c r="E2883" t="s">
        <v>68</v>
      </c>
      <c r="F2883" t="s">
        <v>26</v>
      </c>
      <c r="G2883" s="4">
        <v>7</v>
      </c>
      <c r="H2883" s="4" t="s">
        <v>17</v>
      </c>
      <c r="I2883" s="4" t="s">
        <v>69</v>
      </c>
      <c r="J2883" s="4" t="s">
        <v>66</v>
      </c>
      <c r="K2883" s="4">
        <v>0</v>
      </c>
      <c r="L2883" s="94">
        <v>68378</v>
      </c>
      <c r="M2883" s="94">
        <v>478646</v>
      </c>
    </row>
    <row r="2884" spans="3:13" x14ac:dyDescent="0.3">
      <c r="C2884" t="s">
        <v>61</v>
      </c>
      <c r="D2884" t="s">
        <v>67</v>
      </c>
      <c r="E2884" t="s">
        <v>63</v>
      </c>
      <c r="F2884" t="s">
        <v>25</v>
      </c>
      <c r="G2884" s="4">
        <v>12</v>
      </c>
      <c r="H2884" s="4" t="s">
        <v>18</v>
      </c>
      <c r="I2884" s="4" t="s">
        <v>69</v>
      </c>
      <c r="J2884" s="4" t="s">
        <v>66</v>
      </c>
      <c r="K2884" s="4">
        <v>1</v>
      </c>
      <c r="L2884" s="94">
        <v>-841</v>
      </c>
      <c r="M2884" s="94">
        <v>0</v>
      </c>
    </row>
    <row r="2885" spans="3:13" x14ac:dyDescent="0.3">
      <c r="C2885" t="s">
        <v>70</v>
      </c>
      <c r="D2885" t="s">
        <v>67</v>
      </c>
      <c r="E2885" t="s">
        <v>63</v>
      </c>
      <c r="F2885" t="s">
        <v>26</v>
      </c>
      <c r="G2885" s="4">
        <v>1</v>
      </c>
      <c r="H2885" s="4" t="s">
        <v>16</v>
      </c>
      <c r="I2885" s="4" t="s">
        <v>69</v>
      </c>
      <c r="J2885" s="4" t="s">
        <v>66</v>
      </c>
      <c r="K2885" s="4">
        <v>0</v>
      </c>
      <c r="L2885" s="94">
        <v>-768</v>
      </c>
      <c r="M2885" s="94">
        <v>0</v>
      </c>
    </row>
    <row r="2886" spans="3:13" x14ac:dyDescent="0.3">
      <c r="C2886" t="s">
        <v>70</v>
      </c>
      <c r="D2886" t="s">
        <v>67</v>
      </c>
      <c r="E2886" t="s">
        <v>63</v>
      </c>
      <c r="F2886" t="s">
        <v>25</v>
      </c>
      <c r="G2886" s="4">
        <v>12</v>
      </c>
      <c r="H2886" s="4" t="s">
        <v>17</v>
      </c>
      <c r="I2886" s="4" t="s">
        <v>69</v>
      </c>
      <c r="J2886" s="4" t="s">
        <v>66</v>
      </c>
      <c r="K2886" s="4">
        <v>1</v>
      </c>
      <c r="L2886" s="94">
        <v>-549</v>
      </c>
      <c r="M2886" s="94">
        <v>0</v>
      </c>
    </row>
    <row r="2887" spans="3:13" x14ac:dyDescent="0.3">
      <c r="C2887" t="s">
        <v>71</v>
      </c>
      <c r="D2887" t="s">
        <v>67</v>
      </c>
      <c r="E2887" t="s">
        <v>63</v>
      </c>
      <c r="F2887" t="s">
        <v>26</v>
      </c>
      <c r="G2887" s="4">
        <v>2</v>
      </c>
      <c r="H2887" s="4" t="s">
        <v>12</v>
      </c>
      <c r="I2887" s="4" t="s">
        <v>69</v>
      </c>
      <c r="J2887" s="4" t="s">
        <v>73</v>
      </c>
      <c r="K2887" s="4">
        <v>1</v>
      </c>
      <c r="L2887" s="94">
        <v>-104248</v>
      </c>
      <c r="M2887" s="94">
        <v>0</v>
      </c>
    </row>
    <row r="2888" spans="3:13" x14ac:dyDescent="0.3">
      <c r="C2888" t="s">
        <v>61</v>
      </c>
      <c r="D2888" t="s">
        <v>67</v>
      </c>
      <c r="E2888" t="s">
        <v>68</v>
      </c>
      <c r="F2888" t="s">
        <v>25</v>
      </c>
      <c r="G2888" s="4">
        <v>7</v>
      </c>
      <c r="H2888" s="4" t="s">
        <v>13</v>
      </c>
      <c r="I2888" s="4" t="s">
        <v>69</v>
      </c>
      <c r="J2888" s="4" t="s">
        <v>66</v>
      </c>
      <c r="K2888" s="4">
        <v>1</v>
      </c>
      <c r="L2888" s="94">
        <v>534341</v>
      </c>
      <c r="M2888" s="94">
        <v>3740387</v>
      </c>
    </row>
    <row r="2889" spans="3:13" x14ac:dyDescent="0.3">
      <c r="C2889" t="s">
        <v>70</v>
      </c>
      <c r="D2889" t="s">
        <v>62</v>
      </c>
      <c r="E2889" t="s">
        <v>68</v>
      </c>
      <c r="F2889" t="s">
        <v>25</v>
      </c>
      <c r="G2889" s="4">
        <v>8</v>
      </c>
      <c r="I2889" s="4" t="s">
        <v>69</v>
      </c>
      <c r="J2889" s="4" t="s">
        <v>66</v>
      </c>
      <c r="K2889" s="4">
        <v>1</v>
      </c>
      <c r="L2889" s="94">
        <v>126137</v>
      </c>
      <c r="M2889" s="94">
        <v>1009096</v>
      </c>
    </row>
    <row r="2890" spans="3:13" x14ac:dyDescent="0.3">
      <c r="C2890" t="s">
        <v>61</v>
      </c>
      <c r="D2890" t="s">
        <v>67</v>
      </c>
      <c r="E2890" t="s">
        <v>63</v>
      </c>
      <c r="F2890" t="s">
        <v>25</v>
      </c>
      <c r="G2890" s="4">
        <v>3</v>
      </c>
      <c r="H2890" s="4" t="s">
        <v>75</v>
      </c>
      <c r="I2890" s="4" t="s">
        <v>69</v>
      </c>
      <c r="J2890" s="4" t="s">
        <v>66</v>
      </c>
      <c r="K2890" s="4">
        <v>0</v>
      </c>
      <c r="L2890" s="94">
        <v>-105273</v>
      </c>
      <c r="M2890" s="94">
        <v>0</v>
      </c>
    </row>
    <row r="2891" spans="3:13" x14ac:dyDescent="0.3">
      <c r="C2891" t="s">
        <v>61</v>
      </c>
      <c r="D2891" t="s">
        <v>62</v>
      </c>
      <c r="E2891" t="s">
        <v>68</v>
      </c>
      <c r="F2891" t="s">
        <v>24</v>
      </c>
      <c r="G2891" s="4">
        <v>2</v>
      </c>
      <c r="I2891" s="4" t="s">
        <v>69</v>
      </c>
      <c r="J2891" s="4" t="s">
        <v>66</v>
      </c>
      <c r="K2891" s="4">
        <v>1</v>
      </c>
      <c r="L2891" s="94">
        <v>156537</v>
      </c>
      <c r="M2891" s="94">
        <v>313074</v>
      </c>
    </row>
    <row r="2892" spans="3:13" x14ac:dyDescent="0.3">
      <c r="C2892" t="s">
        <v>70</v>
      </c>
      <c r="D2892" t="s">
        <v>67</v>
      </c>
      <c r="E2892" t="s">
        <v>68</v>
      </c>
      <c r="F2892" t="s">
        <v>26</v>
      </c>
      <c r="G2892" s="4">
        <v>5</v>
      </c>
      <c r="H2892" s="4" t="s">
        <v>78</v>
      </c>
      <c r="I2892" s="4" t="s">
        <v>69</v>
      </c>
      <c r="J2892" s="4" t="s">
        <v>66</v>
      </c>
      <c r="K2892" s="4">
        <v>0</v>
      </c>
      <c r="L2892" s="94">
        <v>51764</v>
      </c>
      <c r="M2892" s="94">
        <v>258820</v>
      </c>
    </row>
    <row r="2893" spans="3:13" x14ac:dyDescent="0.3">
      <c r="C2893" t="s">
        <v>70</v>
      </c>
      <c r="D2893" t="s">
        <v>84</v>
      </c>
      <c r="E2893" t="s">
        <v>68</v>
      </c>
      <c r="F2893" t="s">
        <v>25</v>
      </c>
      <c r="G2893" s="4">
        <v>5</v>
      </c>
      <c r="H2893" s="4" t="s">
        <v>81</v>
      </c>
      <c r="I2893" s="4" t="s">
        <v>69</v>
      </c>
      <c r="J2893" s="4" t="s">
        <v>66</v>
      </c>
      <c r="K2893" s="4">
        <v>0</v>
      </c>
      <c r="L2893" s="94">
        <v>95018</v>
      </c>
      <c r="M2893" s="94">
        <v>475090</v>
      </c>
    </row>
    <row r="2894" spans="3:13" x14ac:dyDescent="0.3">
      <c r="C2894" t="s">
        <v>61</v>
      </c>
      <c r="D2894" t="s">
        <v>62</v>
      </c>
      <c r="E2894" t="s">
        <v>63</v>
      </c>
      <c r="F2894" t="s">
        <v>25</v>
      </c>
      <c r="G2894" s="4">
        <v>21</v>
      </c>
      <c r="I2894" s="4" t="s">
        <v>69</v>
      </c>
      <c r="J2894" s="4" t="s">
        <v>66</v>
      </c>
      <c r="K2894" s="4">
        <v>0</v>
      </c>
      <c r="L2894" s="94">
        <v>-1574</v>
      </c>
      <c r="M2894" s="94">
        <v>0</v>
      </c>
    </row>
    <row r="2895" spans="3:13" x14ac:dyDescent="0.3">
      <c r="C2895" t="s">
        <v>71</v>
      </c>
      <c r="D2895" t="s">
        <v>67</v>
      </c>
      <c r="E2895" t="s">
        <v>68</v>
      </c>
      <c r="F2895" t="s">
        <v>26</v>
      </c>
      <c r="G2895" s="4">
        <v>2</v>
      </c>
      <c r="H2895" s="4" t="s">
        <v>82</v>
      </c>
      <c r="I2895" s="4" t="s">
        <v>65</v>
      </c>
      <c r="J2895" s="4" t="s">
        <v>66</v>
      </c>
      <c r="K2895" s="4">
        <v>1</v>
      </c>
      <c r="L2895" s="94">
        <v>149738</v>
      </c>
      <c r="M2895" s="94">
        <v>299476</v>
      </c>
    </row>
    <row r="2896" spans="3:13" x14ac:dyDescent="0.3">
      <c r="C2896" t="s">
        <v>71</v>
      </c>
      <c r="D2896" t="s">
        <v>84</v>
      </c>
      <c r="E2896" t="s">
        <v>68</v>
      </c>
      <c r="F2896" t="s">
        <v>25</v>
      </c>
      <c r="G2896" s="4">
        <v>-1</v>
      </c>
      <c r="H2896" s="4" t="s">
        <v>83</v>
      </c>
      <c r="I2896" s="4" t="s">
        <v>69</v>
      </c>
      <c r="J2896" s="4" t="s">
        <v>66</v>
      </c>
      <c r="K2896" s="4">
        <v>0</v>
      </c>
      <c r="L2896" s="94">
        <v>2903188</v>
      </c>
      <c r="M2896" s="94">
        <v>0</v>
      </c>
    </row>
    <row r="2897" spans="3:13" x14ac:dyDescent="0.3">
      <c r="C2897" t="s">
        <v>61</v>
      </c>
      <c r="D2897" t="s">
        <v>62</v>
      </c>
      <c r="E2897" t="s">
        <v>63</v>
      </c>
      <c r="F2897" t="s">
        <v>25</v>
      </c>
      <c r="G2897" s="4">
        <v>8</v>
      </c>
      <c r="I2897" s="4" t="s">
        <v>69</v>
      </c>
      <c r="J2897" s="4" t="s">
        <v>66</v>
      </c>
      <c r="K2897" s="4">
        <v>1</v>
      </c>
      <c r="L2897" s="94">
        <v>-537</v>
      </c>
      <c r="M2897" s="94">
        <v>0</v>
      </c>
    </row>
    <row r="2898" spans="3:13" x14ac:dyDescent="0.3">
      <c r="C2898" t="s">
        <v>61</v>
      </c>
      <c r="D2898" t="s">
        <v>67</v>
      </c>
      <c r="E2898" t="s">
        <v>68</v>
      </c>
      <c r="F2898" t="s">
        <v>25</v>
      </c>
      <c r="G2898" s="4">
        <v>0</v>
      </c>
      <c r="H2898" s="4" t="s">
        <v>75</v>
      </c>
      <c r="I2898" s="4" t="s">
        <v>69</v>
      </c>
      <c r="J2898" s="4" t="s">
        <v>66</v>
      </c>
      <c r="K2898" s="4">
        <v>0</v>
      </c>
      <c r="L2898" s="94">
        <v>12191496</v>
      </c>
      <c r="M2898" s="94">
        <v>0</v>
      </c>
    </row>
    <row r="2899" spans="3:13" x14ac:dyDescent="0.3">
      <c r="C2899" t="s">
        <v>70</v>
      </c>
      <c r="D2899" t="s">
        <v>67</v>
      </c>
      <c r="E2899" t="s">
        <v>68</v>
      </c>
      <c r="F2899" t="s">
        <v>25</v>
      </c>
      <c r="G2899" s="4">
        <v>15</v>
      </c>
      <c r="H2899" s="4" t="s">
        <v>79</v>
      </c>
      <c r="I2899" s="4" t="s">
        <v>69</v>
      </c>
      <c r="J2899" s="4" t="s">
        <v>66</v>
      </c>
      <c r="K2899" s="4">
        <v>0</v>
      </c>
      <c r="L2899" s="94">
        <v>502203</v>
      </c>
      <c r="M2899" s="94">
        <v>7533045</v>
      </c>
    </row>
    <row r="2900" spans="3:13" x14ac:dyDescent="0.3">
      <c r="C2900" t="s">
        <v>61</v>
      </c>
      <c r="D2900" t="s">
        <v>67</v>
      </c>
      <c r="E2900" t="s">
        <v>63</v>
      </c>
      <c r="F2900" t="s">
        <v>72</v>
      </c>
      <c r="G2900" s="4">
        <v>-1</v>
      </c>
      <c r="H2900" s="4" t="s">
        <v>18</v>
      </c>
      <c r="I2900" s="4" t="s">
        <v>65</v>
      </c>
      <c r="J2900" s="4" t="s">
        <v>66</v>
      </c>
      <c r="K2900" s="4">
        <v>1</v>
      </c>
      <c r="L2900" s="94">
        <v>-302</v>
      </c>
      <c r="M2900" s="94">
        <v>0</v>
      </c>
    </row>
    <row r="2901" spans="3:13" x14ac:dyDescent="0.3">
      <c r="C2901" t="s">
        <v>61</v>
      </c>
      <c r="D2901" t="s">
        <v>62</v>
      </c>
      <c r="E2901" t="s">
        <v>68</v>
      </c>
      <c r="F2901" t="s">
        <v>24</v>
      </c>
      <c r="G2901" s="4">
        <v>24</v>
      </c>
      <c r="I2901" s="4" t="s">
        <v>69</v>
      </c>
      <c r="J2901" s="4" t="s">
        <v>66</v>
      </c>
      <c r="K2901" s="4">
        <v>0</v>
      </c>
      <c r="L2901" s="94">
        <v>686312552</v>
      </c>
      <c r="M2901" s="94">
        <v>16471501248</v>
      </c>
    </row>
    <row r="2902" spans="3:13" x14ac:dyDescent="0.3">
      <c r="C2902" t="s">
        <v>70</v>
      </c>
      <c r="D2902" t="s">
        <v>67</v>
      </c>
      <c r="E2902" t="s">
        <v>63</v>
      </c>
      <c r="F2902" t="s">
        <v>26</v>
      </c>
      <c r="G2902" s="4">
        <v>2</v>
      </c>
      <c r="H2902" s="4" t="s">
        <v>76</v>
      </c>
      <c r="I2902" s="4" t="s">
        <v>69</v>
      </c>
      <c r="J2902" s="4" t="s">
        <v>66</v>
      </c>
      <c r="K2902" s="4">
        <v>0</v>
      </c>
      <c r="L2902" s="94">
        <v>-392973</v>
      </c>
      <c r="M2902" s="94">
        <v>0</v>
      </c>
    </row>
    <row r="2903" spans="3:13" x14ac:dyDescent="0.3">
      <c r="C2903" t="s">
        <v>70</v>
      </c>
      <c r="D2903" t="s">
        <v>67</v>
      </c>
      <c r="E2903" t="s">
        <v>68</v>
      </c>
      <c r="F2903" t="s">
        <v>25</v>
      </c>
      <c r="G2903" s="4">
        <v>13</v>
      </c>
      <c r="H2903" s="4" t="s">
        <v>79</v>
      </c>
      <c r="I2903" s="4" t="s">
        <v>69</v>
      </c>
      <c r="J2903" s="4" t="s">
        <v>66</v>
      </c>
      <c r="K2903" s="4">
        <v>0</v>
      </c>
      <c r="L2903" s="94">
        <v>183582</v>
      </c>
      <c r="M2903" s="94">
        <v>2386566</v>
      </c>
    </row>
    <row r="2904" spans="3:13" x14ac:dyDescent="0.3">
      <c r="C2904" t="s">
        <v>61</v>
      </c>
      <c r="D2904" t="s">
        <v>67</v>
      </c>
      <c r="E2904" t="s">
        <v>68</v>
      </c>
      <c r="F2904" t="s">
        <v>26</v>
      </c>
      <c r="G2904" s="4">
        <v>4</v>
      </c>
      <c r="H2904" s="4" t="s">
        <v>18</v>
      </c>
      <c r="I2904" s="4" t="s">
        <v>65</v>
      </c>
      <c r="J2904" s="4" t="s">
        <v>66</v>
      </c>
      <c r="K2904" s="4">
        <v>1</v>
      </c>
      <c r="L2904" s="94">
        <v>47953</v>
      </c>
      <c r="M2904" s="94">
        <v>191812</v>
      </c>
    </row>
    <row r="2905" spans="3:13" x14ac:dyDescent="0.3">
      <c r="C2905" t="s">
        <v>70</v>
      </c>
      <c r="D2905" t="s">
        <v>67</v>
      </c>
      <c r="E2905" t="s">
        <v>63</v>
      </c>
      <c r="F2905" t="s">
        <v>26</v>
      </c>
      <c r="G2905" s="4">
        <v>0</v>
      </c>
      <c r="H2905" s="4" t="s">
        <v>78</v>
      </c>
      <c r="I2905" s="4" t="s">
        <v>69</v>
      </c>
      <c r="J2905" s="4" t="s">
        <v>66</v>
      </c>
      <c r="K2905" s="4">
        <v>0</v>
      </c>
      <c r="L2905" s="94">
        <v>-1561</v>
      </c>
      <c r="M2905" s="94">
        <v>0</v>
      </c>
    </row>
    <row r="2906" spans="3:13" x14ac:dyDescent="0.3">
      <c r="C2906" t="s">
        <v>70</v>
      </c>
      <c r="D2906" t="s">
        <v>67</v>
      </c>
      <c r="E2906" t="s">
        <v>63</v>
      </c>
      <c r="F2906" t="s">
        <v>25</v>
      </c>
      <c r="G2906" s="4">
        <v>0</v>
      </c>
      <c r="H2906" s="4" t="s">
        <v>79</v>
      </c>
      <c r="I2906" s="4" t="s">
        <v>69</v>
      </c>
      <c r="J2906" s="4" t="s">
        <v>66</v>
      </c>
      <c r="K2906" s="4">
        <v>0</v>
      </c>
      <c r="L2906" s="94">
        <v>-706</v>
      </c>
      <c r="M2906" s="94">
        <v>0</v>
      </c>
    </row>
    <row r="2907" spans="3:13" x14ac:dyDescent="0.3">
      <c r="C2907" t="s">
        <v>61</v>
      </c>
      <c r="D2907" t="s">
        <v>62</v>
      </c>
      <c r="E2907" t="s">
        <v>68</v>
      </c>
      <c r="F2907" t="s">
        <v>24</v>
      </c>
      <c r="G2907" s="4">
        <v>25</v>
      </c>
      <c r="I2907" s="4" t="s">
        <v>65</v>
      </c>
      <c r="J2907" s="4" t="s">
        <v>66</v>
      </c>
      <c r="K2907" s="4">
        <v>1</v>
      </c>
      <c r="L2907" s="94">
        <v>9375856</v>
      </c>
      <c r="M2907" s="94">
        <v>234396400</v>
      </c>
    </row>
    <row r="2908" spans="3:13" x14ac:dyDescent="0.3">
      <c r="C2908" t="s">
        <v>70</v>
      </c>
      <c r="D2908" t="s">
        <v>62</v>
      </c>
      <c r="E2908" t="s">
        <v>68</v>
      </c>
      <c r="F2908" t="s">
        <v>25</v>
      </c>
      <c r="G2908" s="4">
        <v>29</v>
      </c>
      <c r="I2908" s="4" t="s">
        <v>69</v>
      </c>
      <c r="J2908" s="4" t="s">
        <v>66</v>
      </c>
      <c r="K2908" s="4">
        <v>0</v>
      </c>
      <c r="L2908" s="94">
        <v>195775</v>
      </c>
      <c r="M2908" s="94">
        <v>5677475</v>
      </c>
    </row>
    <row r="2909" spans="3:13" x14ac:dyDescent="0.3">
      <c r="C2909" t="s">
        <v>70</v>
      </c>
      <c r="D2909" t="s">
        <v>62</v>
      </c>
      <c r="E2909" t="s">
        <v>63</v>
      </c>
      <c r="F2909" t="s">
        <v>25</v>
      </c>
      <c r="G2909" s="4">
        <v>6</v>
      </c>
      <c r="I2909" s="4" t="s">
        <v>69</v>
      </c>
      <c r="J2909" s="4" t="s">
        <v>66</v>
      </c>
      <c r="K2909" s="4">
        <v>0</v>
      </c>
      <c r="L2909" s="94">
        <v>-84099</v>
      </c>
      <c r="M2909" s="94">
        <v>0</v>
      </c>
    </row>
    <row r="2910" spans="3:13" x14ac:dyDescent="0.3">
      <c r="C2910" t="s">
        <v>61</v>
      </c>
      <c r="D2910" t="s">
        <v>67</v>
      </c>
      <c r="E2910" t="s">
        <v>68</v>
      </c>
      <c r="F2910" t="s">
        <v>26</v>
      </c>
      <c r="G2910" s="4">
        <v>-1</v>
      </c>
      <c r="H2910" s="4" t="s">
        <v>82</v>
      </c>
      <c r="I2910" s="4" t="s">
        <v>65</v>
      </c>
      <c r="J2910" s="4" t="s">
        <v>66</v>
      </c>
      <c r="K2910" s="4">
        <v>1</v>
      </c>
      <c r="L2910" s="94">
        <v>1534086</v>
      </c>
      <c r="M2910" s="94">
        <v>0</v>
      </c>
    </row>
    <row r="2911" spans="3:13" x14ac:dyDescent="0.3">
      <c r="C2911" t="s">
        <v>71</v>
      </c>
      <c r="D2911" t="s">
        <v>67</v>
      </c>
      <c r="E2911" t="s">
        <v>68</v>
      </c>
      <c r="F2911" t="s">
        <v>25</v>
      </c>
      <c r="G2911" s="4">
        <v>-4</v>
      </c>
      <c r="H2911" s="4" t="s">
        <v>17</v>
      </c>
      <c r="I2911" s="4" t="s">
        <v>69</v>
      </c>
      <c r="J2911" s="4" t="s">
        <v>66</v>
      </c>
      <c r="K2911" s="4">
        <v>0</v>
      </c>
      <c r="L2911" s="94">
        <v>769646</v>
      </c>
      <c r="M2911" s="94">
        <v>0</v>
      </c>
    </row>
    <row r="2912" spans="3:13" x14ac:dyDescent="0.3">
      <c r="C2912" t="s">
        <v>61</v>
      </c>
      <c r="D2912" t="s">
        <v>67</v>
      </c>
      <c r="E2912" t="s">
        <v>68</v>
      </c>
      <c r="F2912" t="s">
        <v>25</v>
      </c>
      <c r="G2912" s="4">
        <v>5</v>
      </c>
      <c r="H2912" s="4" t="s">
        <v>12</v>
      </c>
      <c r="I2912" s="4" t="s">
        <v>69</v>
      </c>
      <c r="J2912" s="4" t="s">
        <v>66</v>
      </c>
      <c r="K2912" s="4">
        <v>0</v>
      </c>
      <c r="L2912" s="94">
        <v>272608</v>
      </c>
      <c r="M2912" s="94">
        <v>1363040</v>
      </c>
    </row>
    <row r="2913" spans="3:13" x14ac:dyDescent="0.3">
      <c r="C2913" t="s">
        <v>70</v>
      </c>
      <c r="D2913" t="s">
        <v>62</v>
      </c>
      <c r="E2913" t="s">
        <v>68</v>
      </c>
      <c r="F2913" t="s">
        <v>24</v>
      </c>
      <c r="G2913" s="4">
        <v>25</v>
      </c>
      <c r="I2913" s="4" t="s">
        <v>69</v>
      </c>
      <c r="J2913" s="4" t="s">
        <v>66</v>
      </c>
      <c r="K2913" s="4">
        <v>0</v>
      </c>
      <c r="L2913" s="94">
        <v>46691269</v>
      </c>
      <c r="M2913" s="94">
        <v>1167281725</v>
      </c>
    </row>
    <row r="2914" spans="3:13" x14ac:dyDescent="0.3">
      <c r="C2914" t="s">
        <v>61</v>
      </c>
      <c r="D2914" t="s">
        <v>67</v>
      </c>
      <c r="E2914" t="s">
        <v>68</v>
      </c>
      <c r="F2914" t="s">
        <v>26</v>
      </c>
      <c r="G2914" s="4">
        <v>5</v>
      </c>
      <c r="H2914" s="4" t="s">
        <v>15</v>
      </c>
      <c r="I2914" s="4" t="s">
        <v>65</v>
      </c>
      <c r="J2914" s="4" t="s">
        <v>66</v>
      </c>
      <c r="K2914" s="4">
        <v>1</v>
      </c>
      <c r="L2914" s="94">
        <v>4766600</v>
      </c>
      <c r="M2914" s="94">
        <v>23833000</v>
      </c>
    </row>
    <row r="2915" spans="3:13" x14ac:dyDescent="0.3">
      <c r="C2915" t="s">
        <v>61</v>
      </c>
      <c r="D2915" t="s">
        <v>67</v>
      </c>
      <c r="E2915" t="s">
        <v>63</v>
      </c>
      <c r="F2915" t="s">
        <v>25</v>
      </c>
      <c r="G2915" s="4">
        <v>0</v>
      </c>
      <c r="H2915" s="4" t="s">
        <v>14</v>
      </c>
      <c r="I2915" s="4" t="s">
        <v>69</v>
      </c>
      <c r="J2915" s="4" t="s">
        <v>73</v>
      </c>
      <c r="K2915" s="4">
        <v>1</v>
      </c>
      <c r="L2915" s="94">
        <v>-9105</v>
      </c>
      <c r="M2915" s="94">
        <v>0</v>
      </c>
    </row>
    <row r="2916" spans="3:13" x14ac:dyDescent="0.3">
      <c r="C2916" t="s">
        <v>61</v>
      </c>
      <c r="D2916" t="s">
        <v>62</v>
      </c>
      <c r="E2916" t="s">
        <v>63</v>
      </c>
      <c r="F2916" t="s">
        <v>25</v>
      </c>
      <c r="G2916" s="4">
        <v>37</v>
      </c>
      <c r="I2916" s="4" t="s">
        <v>69</v>
      </c>
      <c r="J2916" s="4" t="s">
        <v>66</v>
      </c>
      <c r="K2916" s="4">
        <v>0</v>
      </c>
      <c r="L2916" s="94">
        <v>-357</v>
      </c>
      <c r="M2916" s="94">
        <v>0</v>
      </c>
    </row>
    <row r="2917" spans="3:13" x14ac:dyDescent="0.3">
      <c r="C2917" t="s">
        <v>70</v>
      </c>
      <c r="D2917" t="s">
        <v>67</v>
      </c>
      <c r="E2917" t="s">
        <v>68</v>
      </c>
      <c r="F2917" t="s">
        <v>25</v>
      </c>
      <c r="G2917" s="4">
        <v>2</v>
      </c>
      <c r="H2917" s="4" t="s">
        <v>12</v>
      </c>
      <c r="I2917" s="4" t="s">
        <v>69</v>
      </c>
      <c r="J2917" s="4" t="s">
        <v>66</v>
      </c>
      <c r="K2917" s="4">
        <v>1</v>
      </c>
      <c r="L2917" s="94">
        <v>72319</v>
      </c>
      <c r="M2917" s="94">
        <v>144638</v>
      </c>
    </row>
    <row r="2918" spans="3:13" x14ac:dyDescent="0.3">
      <c r="C2918" t="s">
        <v>61</v>
      </c>
      <c r="D2918" t="s">
        <v>67</v>
      </c>
      <c r="E2918" t="s">
        <v>63</v>
      </c>
      <c r="F2918" t="s">
        <v>72</v>
      </c>
      <c r="G2918" s="4">
        <v>5</v>
      </c>
      <c r="H2918" s="4" t="s">
        <v>75</v>
      </c>
      <c r="I2918" s="4" t="s">
        <v>69</v>
      </c>
      <c r="J2918" s="4" t="s">
        <v>66</v>
      </c>
      <c r="K2918" s="4">
        <v>0</v>
      </c>
      <c r="L2918" s="94">
        <v>-6647</v>
      </c>
      <c r="M2918" s="94">
        <v>0</v>
      </c>
    </row>
    <row r="2919" spans="3:13" x14ac:dyDescent="0.3">
      <c r="C2919" t="s">
        <v>61</v>
      </c>
      <c r="D2919" t="s">
        <v>67</v>
      </c>
      <c r="E2919" t="s">
        <v>63</v>
      </c>
      <c r="F2919" t="s">
        <v>72</v>
      </c>
      <c r="G2919" s="4">
        <v>0</v>
      </c>
      <c r="H2919" s="4" t="s">
        <v>78</v>
      </c>
      <c r="I2919" s="4" t="s">
        <v>69</v>
      </c>
      <c r="J2919" s="4" t="s">
        <v>66</v>
      </c>
      <c r="K2919" s="4">
        <v>0</v>
      </c>
      <c r="L2919" s="94">
        <v>-8</v>
      </c>
      <c r="M2919" s="94">
        <v>0</v>
      </c>
    </row>
    <row r="2920" spans="3:13" x14ac:dyDescent="0.3">
      <c r="C2920" t="s">
        <v>70</v>
      </c>
      <c r="D2920" t="s">
        <v>67</v>
      </c>
      <c r="E2920" t="s">
        <v>68</v>
      </c>
      <c r="F2920" t="s">
        <v>26</v>
      </c>
      <c r="G2920" s="4">
        <v>2</v>
      </c>
      <c r="H2920" s="4" t="s">
        <v>12</v>
      </c>
      <c r="I2920" s="4" t="s">
        <v>65</v>
      </c>
      <c r="J2920" s="4" t="s">
        <v>73</v>
      </c>
      <c r="K2920" s="4">
        <v>1</v>
      </c>
      <c r="L2920" s="94">
        <v>53757</v>
      </c>
      <c r="M2920" s="94">
        <v>107514</v>
      </c>
    </row>
    <row r="2921" spans="3:13" x14ac:dyDescent="0.3">
      <c r="C2921" t="s">
        <v>70</v>
      </c>
      <c r="D2921" t="s">
        <v>67</v>
      </c>
      <c r="E2921" t="s">
        <v>63</v>
      </c>
      <c r="F2921" t="s">
        <v>25</v>
      </c>
      <c r="G2921" s="4">
        <v>3</v>
      </c>
      <c r="H2921" s="4" t="s">
        <v>80</v>
      </c>
      <c r="I2921" s="4" t="s">
        <v>69</v>
      </c>
      <c r="J2921" s="4" t="s">
        <v>66</v>
      </c>
      <c r="K2921" s="4">
        <v>0</v>
      </c>
      <c r="L2921" s="94">
        <v>-2935</v>
      </c>
      <c r="M2921" s="94">
        <v>0</v>
      </c>
    </row>
    <row r="2922" spans="3:13" x14ac:dyDescent="0.3">
      <c r="C2922" t="s">
        <v>71</v>
      </c>
      <c r="D2922" t="s">
        <v>67</v>
      </c>
      <c r="E2922" t="s">
        <v>63</v>
      </c>
      <c r="F2922" t="s">
        <v>26</v>
      </c>
      <c r="G2922" s="4">
        <v>-1</v>
      </c>
      <c r="H2922" s="4" t="s">
        <v>18</v>
      </c>
      <c r="I2922" s="4" t="s">
        <v>69</v>
      </c>
      <c r="J2922" s="4" t="s">
        <v>73</v>
      </c>
      <c r="K2922" s="4">
        <v>1</v>
      </c>
      <c r="L2922" s="94">
        <v>-617750</v>
      </c>
      <c r="M2922" s="94">
        <v>0</v>
      </c>
    </row>
    <row r="2923" spans="3:13" x14ac:dyDescent="0.3">
      <c r="C2923" t="s">
        <v>61</v>
      </c>
      <c r="D2923" t="s">
        <v>67</v>
      </c>
      <c r="E2923" t="s">
        <v>63</v>
      </c>
      <c r="F2923" t="s">
        <v>25</v>
      </c>
      <c r="G2923" s="4">
        <v>3</v>
      </c>
      <c r="H2923" s="4" t="s">
        <v>83</v>
      </c>
      <c r="I2923" s="4" t="s">
        <v>69</v>
      </c>
      <c r="J2923" s="4" t="s">
        <v>66</v>
      </c>
      <c r="K2923" s="4">
        <v>0</v>
      </c>
      <c r="L2923" s="94">
        <v>-703</v>
      </c>
      <c r="M2923" s="94">
        <v>0</v>
      </c>
    </row>
    <row r="2924" spans="3:13" x14ac:dyDescent="0.3">
      <c r="C2924" t="s">
        <v>61</v>
      </c>
      <c r="D2924" t="s">
        <v>67</v>
      </c>
      <c r="E2924" t="s">
        <v>63</v>
      </c>
      <c r="F2924" t="s">
        <v>25</v>
      </c>
      <c r="G2924" s="4">
        <v>5</v>
      </c>
      <c r="H2924" s="4" t="s">
        <v>76</v>
      </c>
      <c r="I2924" s="4" t="s">
        <v>69</v>
      </c>
      <c r="J2924" s="4" t="s">
        <v>66</v>
      </c>
      <c r="K2924" s="4">
        <v>0</v>
      </c>
      <c r="L2924" s="94">
        <v>-60279</v>
      </c>
      <c r="M2924" s="94">
        <v>0</v>
      </c>
    </row>
    <row r="2925" spans="3:13" x14ac:dyDescent="0.3">
      <c r="C2925" t="s">
        <v>70</v>
      </c>
      <c r="D2925" t="s">
        <v>62</v>
      </c>
      <c r="E2925" t="s">
        <v>68</v>
      </c>
      <c r="F2925" t="s">
        <v>24</v>
      </c>
      <c r="G2925" s="4">
        <v>36</v>
      </c>
      <c r="I2925" s="4" t="s">
        <v>69</v>
      </c>
      <c r="J2925" s="4" t="s">
        <v>66</v>
      </c>
      <c r="K2925" s="4">
        <v>0</v>
      </c>
      <c r="L2925" s="94">
        <v>81360306</v>
      </c>
      <c r="M2925" s="94">
        <v>2928971016</v>
      </c>
    </row>
    <row r="2926" spans="3:13" x14ac:dyDescent="0.3">
      <c r="C2926" t="s">
        <v>61</v>
      </c>
      <c r="D2926" t="s">
        <v>67</v>
      </c>
      <c r="E2926" t="s">
        <v>63</v>
      </c>
      <c r="F2926" t="s">
        <v>26</v>
      </c>
      <c r="G2926" s="4">
        <v>1</v>
      </c>
      <c r="H2926" s="4" t="s">
        <v>82</v>
      </c>
      <c r="I2926" s="4" t="s">
        <v>65</v>
      </c>
      <c r="J2926" s="4" t="s">
        <v>66</v>
      </c>
      <c r="K2926" s="4">
        <v>1</v>
      </c>
      <c r="L2926" s="94">
        <v>-144707</v>
      </c>
      <c r="M2926" s="94">
        <v>0</v>
      </c>
    </row>
    <row r="2927" spans="3:13" x14ac:dyDescent="0.3">
      <c r="C2927" t="s">
        <v>61</v>
      </c>
      <c r="D2927" t="s">
        <v>67</v>
      </c>
      <c r="E2927" t="s">
        <v>63</v>
      </c>
      <c r="F2927" t="s">
        <v>25</v>
      </c>
      <c r="G2927" s="4">
        <v>11</v>
      </c>
      <c r="H2927" s="4" t="s">
        <v>17</v>
      </c>
      <c r="I2927" s="4" t="s">
        <v>69</v>
      </c>
      <c r="J2927" s="4" t="s">
        <v>66</v>
      </c>
      <c r="K2927" s="4">
        <v>1</v>
      </c>
      <c r="L2927" s="94">
        <v>-212</v>
      </c>
      <c r="M2927" s="94">
        <v>0</v>
      </c>
    </row>
    <row r="2928" spans="3:13" x14ac:dyDescent="0.3">
      <c r="C2928" t="s">
        <v>61</v>
      </c>
      <c r="D2928" t="s">
        <v>62</v>
      </c>
      <c r="E2928" t="s">
        <v>68</v>
      </c>
      <c r="F2928" t="s">
        <v>24</v>
      </c>
      <c r="G2928" s="4">
        <v>36</v>
      </c>
      <c r="I2928" s="4" t="s">
        <v>65</v>
      </c>
      <c r="J2928" s="4" t="s">
        <v>66</v>
      </c>
      <c r="K2928" s="4">
        <v>1</v>
      </c>
      <c r="L2928" s="94">
        <v>19981643</v>
      </c>
      <c r="M2928" s="94">
        <v>719339148</v>
      </c>
    </row>
    <row r="2929" spans="3:13" x14ac:dyDescent="0.3">
      <c r="C2929" t="s">
        <v>61</v>
      </c>
      <c r="D2929" t="s">
        <v>67</v>
      </c>
      <c r="E2929" t="s">
        <v>68</v>
      </c>
      <c r="F2929" t="s">
        <v>26</v>
      </c>
      <c r="G2929" s="4">
        <v>1</v>
      </c>
      <c r="H2929" s="4" t="s">
        <v>78</v>
      </c>
      <c r="I2929" s="4" t="s">
        <v>69</v>
      </c>
      <c r="J2929" s="4" t="s">
        <v>66</v>
      </c>
      <c r="K2929" s="4">
        <v>0</v>
      </c>
      <c r="L2929" s="94">
        <v>5617312</v>
      </c>
      <c r="M2929" s="94">
        <v>5617312</v>
      </c>
    </row>
    <row r="2930" spans="3:13" x14ac:dyDescent="0.3">
      <c r="C2930" t="s">
        <v>61</v>
      </c>
      <c r="D2930" t="s">
        <v>67</v>
      </c>
      <c r="E2930" t="s">
        <v>63</v>
      </c>
      <c r="F2930" t="s">
        <v>25</v>
      </c>
      <c r="G2930" s="4">
        <v>3</v>
      </c>
      <c r="H2930" s="4" t="s">
        <v>12</v>
      </c>
      <c r="I2930" s="4" t="s">
        <v>69</v>
      </c>
      <c r="J2930" s="4" t="s">
        <v>73</v>
      </c>
      <c r="K2930" s="4">
        <v>1</v>
      </c>
      <c r="L2930" s="94">
        <v>-14</v>
      </c>
      <c r="M2930" s="94">
        <v>0</v>
      </c>
    </row>
    <row r="2931" spans="3:13" x14ac:dyDescent="0.3">
      <c r="C2931" t="s">
        <v>61</v>
      </c>
      <c r="D2931" t="s">
        <v>67</v>
      </c>
      <c r="E2931" t="s">
        <v>68</v>
      </c>
      <c r="F2931" t="s">
        <v>72</v>
      </c>
      <c r="G2931" s="4">
        <v>4</v>
      </c>
      <c r="H2931" s="4" t="s">
        <v>64</v>
      </c>
      <c r="I2931" s="4" t="s">
        <v>69</v>
      </c>
      <c r="J2931" s="4" t="s">
        <v>66</v>
      </c>
      <c r="K2931" s="4">
        <v>0</v>
      </c>
      <c r="L2931" s="94">
        <v>11067200</v>
      </c>
      <c r="M2931" s="94">
        <v>44268800</v>
      </c>
    </row>
    <row r="2932" spans="3:13" x14ac:dyDescent="0.3">
      <c r="C2932" t="s">
        <v>70</v>
      </c>
      <c r="D2932" t="s">
        <v>67</v>
      </c>
      <c r="E2932" t="s">
        <v>63</v>
      </c>
      <c r="F2932" t="s">
        <v>25</v>
      </c>
      <c r="G2932" s="4">
        <v>11</v>
      </c>
      <c r="H2932" s="4" t="s">
        <v>18</v>
      </c>
      <c r="I2932" s="4" t="s">
        <v>69</v>
      </c>
      <c r="J2932" s="4" t="s">
        <v>66</v>
      </c>
      <c r="K2932" s="4">
        <v>1</v>
      </c>
      <c r="L2932" s="94">
        <v>-11524</v>
      </c>
      <c r="M2932" s="94">
        <v>0</v>
      </c>
    </row>
    <row r="2933" spans="3:13" x14ac:dyDescent="0.3">
      <c r="C2933" t="s">
        <v>70</v>
      </c>
      <c r="D2933" t="s">
        <v>67</v>
      </c>
      <c r="E2933" t="s">
        <v>63</v>
      </c>
      <c r="F2933" t="s">
        <v>72</v>
      </c>
      <c r="G2933" s="4">
        <v>0</v>
      </c>
      <c r="H2933" s="4" t="s">
        <v>78</v>
      </c>
      <c r="I2933" s="4" t="s">
        <v>69</v>
      </c>
      <c r="J2933" s="4" t="s">
        <v>66</v>
      </c>
      <c r="K2933" s="4">
        <v>0</v>
      </c>
      <c r="L2933" s="94">
        <v>-34</v>
      </c>
      <c r="M2933" s="94">
        <v>0</v>
      </c>
    </row>
    <row r="2934" spans="3:13" x14ac:dyDescent="0.3">
      <c r="C2934" t="s">
        <v>71</v>
      </c>
      <c r="D2934" t="s">
        <v>67</v>
      </c>
      <c r="E2934" t="s">
        <v>68</v>
      </c>
      <c r="F2934" t="s">
        <v>72</v>
      </c>
      <c r="G2934" s="4">
        <v>1</v>
      </c>
      <c r="H2934" s="4" t="s">
        <v>13</v>
      </c>
      <c r="I2934" s="4" t="s">
        <v>69</v>
      </c>
      <c r="J2934" s="4" t="s">
        <v>73</v>
      </c>
      <c r="K2934" s="4">
        <v>1</v>
      </c>
      <c r="L2934" s="94">
        <v>71154</v>
      </c>
      <c r="M2934" s="94">
        <v>71154</v>
      </c>
    </row>
    <row r="2935" spans="3:13" x14ac:dyDescent="0.3">
      <c r="C2935" t="s">
        <v>70</v>
      </c>
      <c r="D2935" t="s">
        <v>67</v>
      </c>
      <c r="E2935" t="s">
        <v>63</v>
      </c>
      <c r="F2935" t="s">
        <v>26</v>
      </c>
      <c r="G2935" s="4">
        <v>3</v>
      </c>
      <c r="H2935" s="4" t="s">
        <v>17</v>
      </c>
      <c r="I2935" s="4" t="s">
        <v>69</v>
      </c>
      <c r="J2935" s="4" t="s">
        <v>73</v>
      </c>
      <c r="K2935" s="4">
        <v>1</v>
      </c>
      <c r="L2935" s="94">
        <v>-93061</v>
      </c>
      <c r="M2935" s="94">
        <v>0</v>
      </c>
    </row>
    <row r="2936" spans="3:13" x14ac:dyDescent="0.3">
      <c r="C2936" t="s">
        <v>61</v>
      </c>
      <c r="D2936" t="s">
        <v>67</v>
      </c>
      <c r="E2936" t="s">
        <v>63</v>
      </c>
      <c r="F2936" t="s">
        <v>26</v>
      </c>
      <c r="G2936" s="4">
        <v>3</v>
      </c>
      <c r="H2936" s="4" t="s">
        <v>83</v>
      </c>
      <c r="I2936" s="4" t="s">
        <v>69</v>
      </c>
      <c r="J2936" s="4" t="s">
        <v>66</v>
      </c>
      <c r="K2936" s="4">
        <v>0</v>
      </c>
      <c r="L2936" s="94">
        <v>-11743</v>
      </c>
      <c r="M2936" s="94">
        <v>0</v>
      </c>
    </row>
    <row r="2937" spans="3:13" x14ac:dyDescent="0.3">
      <c r="C2937" t="s">
        <v>70</v>
      </c>
      <c r="D2937" t="s">
        <v>67</v>
      </c>
      <c r="E2937" t="s">
        <v>68</v>
      </c>
      <c r="F2937" t="s">
        <v>26</v>
      </c>
      <c r="G2937" s="4">
        <v>4</v>
      </c>
      <c r="H2937" s="4" t="s">
        <v>74</v>
      </c>
      <c r="I2937" s="4" t="s">
        <v>69</v>
      </c>
      <c r="J2937" s="4" t="s">
        <v>66</v>
      </c>
      <c r="K2937" s="4">
        <v>0</v>
      </c>
      <c r="L2937" s="94">
        <v>1627136</v>
      </c>
      <c r="M2937" s="94">
        <v>6508544</v>
      </c>
    </row>
    <row r="2938" spans="3:13" x14ac:dyDescent="0.3">
      <c r="C2938" t="s">
        <v>71</v>
      </c>
      <c r="D2938" t="s">
        <v>67</v>
      </c>
      <c r="E2938" t="s">
        <v>63</v>
      </c>
      <c r="F2938" t="s">
        <v>26</v>
      </c>
      <c r="G2938" s="4">
        <v>0</v>
      </c>
      <c r="H2938" s="4" t="s">
        <v>17</v>
      </c>
      <c r="I2938" s="4" t="s">
        <v>69</v>
      </c>
      <c r="J2938" s="4" t="s">
        <v>73</v>
      </c>
      <c r="K2938" s="4">
        <v>1</v>
      </c>
      <c r="L2938" s="94">
        <v>-10534</v>
      </c>
      <c r="M2938" s="94">
        <v>0</v>
      </c>
    </row>
    <row r="2939" spans="3:13" x14ac:dyDescent="0.3">
      <c r="C2939" t="s">
        <v>71</v>
      </c>
      <c r="D2939" t="s">
        <v>67</v>
      </c>
      <c r="E2939" t="s">
        <v>63</v>
      </c>
      <c r="F2939" t="s">
        <v>25</v>
      </c>
      <c r="G2939" s="4">
        <v>19</v>
      </c>
      <c r="H2939" s="4" t="s">
        <v>83</v>
      </c>
      <c r="I2939" s="4" t="s">
        <v>69</v>
      </c>
      <c r="J2939" s="4" t="s">
        <v>66</v>
      </c>
      <c r="K2939" s="4">
        <v>0</v>
      </c>
      <c r="L2939" s="94">
        <v>-2148609</v>
      </c>
      <c r="M2939" s="94">
        <v>0</v>
      </c>
    </row>
    <row r="2940" spans="3:13" x14ac:dyDescent="0.3">
      <c r="C2940" t="s">
        <v>61</v>
      </c>
      <c r="D2940" t="s">
        <v>62</v>
      </c>
      <c r="E2940" t="s">
        <v>68</v>
      </c>
      <c r="F2940" t="s">
        <v>24</v>
      </c>
      <c r="G2940" s="4">
        <v>21</v>
      </c>
      <c r="I2940" s="4" t="s">
        <v>69</v>
      </c>
      <c r="J2940" s="4" t="s">
        <v>66</v>
      </c>
      <c r="K2940" s="4">
        <v>1</v>
      </c>
      <c r="L2940" s="94">
        <v>3194178</v>
      </c>
      <c r="M2940" s="94">
        <v>67077738</v>
      </c>
    </row>
    <row r="2941" spans="3:13" x14ac:dyDescent="0.3">
      <c r="C2941" t="s">
        <v>70</v>
      </c>
      <c r="D2941" t="s">
        <v>67</v>
      </c>
      <c r="E2941" t="s">
        <v>68</v>
      </c>
      <c r="F2941" t="s">
        <v>26</v>
      </c>
      <c r="G2941" s="4">
        <v>-1</v>
      </c>
      <c r="H2941" s="4" t="s">
        <v>13</v>
      </c>
      <c r="I2941" s="4" t="s">
        <v>69</v>
      </c>
      <c r="J2941" s="4" t="s">
        <v>66</v>
      </c>
      <c r="K2941" s="4">
        <v>0</v>
      </c>
      <c r="L2941" s="94">
        <v>938</v>
      </c>
      <c r="M2941" s="94">
        <v>0</v>
      </c>
    </row>
    <row r="2942" spans="3:13" x14ac:dyDescent="0.3">
      <c r="C2942" t="s">
        <v>70</v>
      </c>
      <c r="D2942" t="s">
        <v>67</v>
      </c>
      <c r="E2942" t="s">
        <v>68</v>
      </c>
      <c r="F2942" t="s">
        <v>72</v>
      </c>
      <c r="G2942" s="4">
        <v>0</v>
      </c>
      <c r="H2942" s="4" t="s">
        <v>77</v>
      </c>
      <c r="I2942" s="4" t="s">
        <v>69</v>
      </c>
      <c r="J2942" s="4" t="s">
        <v>66</v>
      </c>
      <c r="K2942" s="4">
        <v>0</v>
      </c>
      <c r="L2942" s="94">
        <v>1274</v>
      </c>
      <c r="M2942" s="94">
        <v>0</v>
      </c>
    </row>
    <row r="2943" spans="3:13" x14ac:dyDescent="0.3">
      <c r="C2943" t="s">
        <v>71</v>
      </c>
      <c r="D2943" t="s">
        <v>67</v>
      </c>
      <c r="E2943" t="s">
        <v>68</v>
      </c>
      <c r="F2943" t="s">
        <v>25</v>
      </c>
      <c r="G2943" s="4">
        <v>11</v>
      </c>
      <c r="H2943" s="4" t="s">
        <v>64</v>
      </c>
      <c r="I2943" s="4" t="s">
        <v>69</v>
      </c>
      <c r="J2943" s="4" t="s">
        <v>66</v>
      </c>
      <c r="K2943" s="4">
        <v>0</v>
      </c>
      <c r="L2943" s="94">
        <v>5604</v>
      </c>
      <c r="M2943" s="94">
        <v>61644</v>
      </c>
    </row>
    <row r="2944" spans="3:13" x14ac:dyDescent="0.3">
      <c r="C2944" t="s">
        <v>61</v>
      </c>
      <c r="D2944" t="s">
        <v>67</v>
      </c>
      <c r="E2944" t="s">
        <v>63</v>
      </c>
      <c r="F2944" t="s">
        <v>72</v>
      </c>
      <c r="G2944" s="4">
        <v>3</v>
      </c>
      <c r="H2944" s="4" t="s">
        <v>13</v>
      </c>
      <c r="I2944" s="4" t="s">
        <v>69</v>
      </c>
      <c r="J2944" s="4" t="s">
        <v>66</v>
      </c>
      <c r="K2944" s="4">
        <v>0</v>
      </c>
      <c r="L2944" s="94">
        <v>-53</v>
      </c>
      <c r="M2944" s="94">
        <v>0</v>
      </c>
    </row>
    <row r="2945" spans="3:13" x14ac:dyDescent="0.3">
      <c r="C2945" t="s">
        <v>71</v>
      </c>
      <c r="D2945" t="s">
        <v>67</v>
      </c>
      <c r="E2945" t="s">
        <v>68</v>
      </c>
      <c r="F2945" t="s">
        <v>72</v>
      </c>
      <c r="G2945" s="4">
        <v>2</v>
      </c>
      <c r="H2945" s="4" t="s">
        <v>82</v>
      </c>
      <c r="I2945" s="4" t="s">
        <v>69</v>
      </c>
      <c r="J2945" s="4" t="s">
        <v>66</v>
      </c>
      <c r="K2945" s="4">
        <v>0</v>
      </c>
      <c r="L2945" s="94">
        <v>159619</v>
      </c>
      <c r="M2945" s="94">
        <v>319238</v>
      </c>
    </row>
    <row r="2946" spans="3:13" x14ac:dyDescent="0.3">
      <c r="C2946" t="s">
        <v>61</v>
      </c>
      <c r="D2946" t="s">
        <v>67</v>
      </c>
      <c r="E2946" t="s">
        <v>68</v>
      </c>
      <c r="F2946" t="s">
        <v>26</v>
      </c>
      <c r="G2946" s="4">
        <v>0</v>
      </c>
      <c r="H2946" s="4" t="s">
        <v>17</v>
      </c>
      <c r="I2946" s="4" t="s">
        <v>69</v>
      </c>
      <c r="J2946" s="4" t="s">
        <v>73</v>
      </c>
      <c r="K2946" s="4">
        <v>1</v>
      </c>
      <c r="L2946" s="94">
        <v>1492359</v>
      </c>
      <c r="M2946" s="94">
        <v>0</v>
      </c>
    </row>
    <row r="2947" spans="3:13" x14ac:dyDescent="0.3">
      <c r="C2947" t="s">
        <v>61</v>
      </c>
      <c r="D2947" t="s">
        <v>67</v>
      </c>
      <c r="E2947" t="s">
        <v>68</v>
      </c>
      <c r="F2947" t="s">
        <v>72</v>
      </c>
      <c r="G2947" s="4">
        <v>-1</v>
      </c>
      <c r="H2947" s="4" t="s">
        <v>74</v>
      </c>
      <c r="I2947" s="4" t="s">
        <v>69</v>
      </c>
      <c r="J2947" s="4" t="s">
        <v>66</v>
      </c>
      <c r="K2947" s="4">
        <v>0</v>
      </c>
      <c r="L2947" s="94">
        <v>2047332</v>
      </c>
      <c r="M2947" s="94">
        <v>0</v>
      </c>
    </row>
    <row r="2948" spans="3:13" x14ac:dyDescent="0.3">
      <c r="C2948" t="s">
        <v>71</v>
      </c>
      <c r="D2948" t="s">
        <v>67</v>
      </c>
      <c r="E2948" t="s">
        <v>68</v>
      </c>
      <c r="F2948" t="s">
        <v>72</v>
      </c>
      <c r="G2948" s="4">
        <v>-4</v>
      </c>
      <c r="H2948" s="4" t="s">
        <v>12</v>
      </c>
      <c r="I2948" s="4" t="s">
        <v>69</v>
      </c>
      <c r="J2948" s="4" t="s">
        <v>73</v>
      </c>
      <c r="K2948" s="4">
        <v>1</v>
      </c>
      <c r="L2948" s="94">
        <v>52425</v>
      </c>
      <c r="M2948" s="94">
        <v>0</v>
      </c>
    </row>
    <row r="2949" spans="3:13" x14ac:dyDescent="0.3">
      <c r="C2949" t="s">
        <v>61</v>
      </c>
      <c r="D2949" t="s">
        <v>67</v>
      </c>
      <c r="E2949" t="s">
        <v>68</v>
      </c>
      <c r="F2949" t="s">
        <v>25</v>
      </c>
      <c r="G2949" s="4">
        <v>16</v>
      </c>
      <c r="H2949" s="4" t="s">
        <v>12</v>
      </c>
      <c r="I2949" s="4" t="s">
        <v>69</v>
      </c>
      <c r="J2949" s="4" t="s">
        <v>66</v>
      </c>
      <c r="K2949" s="4">
        <v>1</v>
      </c>
      <c r="L2949" s="94">
        <v>907920</v>
      </c>
      <c r="M2949" s="94">
        <v>14526720</v>
      </c>
    </row>
    <row r="2950" spans="3:13" x14ac:dyDescent="0.3">
      <c r="C2950" t="s">
        <v>70</v>
      </c>
      <c r="D2950" t="s">
        <v>67</v>
      </c>
      <c r="E2950" t="s">
        <v>68</v>
      </c>
      <c r="F2950" t="s">
        <v>25</v>
      </c>
      <c r="G2950" s="4">
        <v>16</v>
      </c>
      <c r="H2950" s="4" t="s">
        <v>16</v>
      </c>
      <c r="I2950" s="4" t="s">
        <v>69</v>
      </c>
      <c r="J2950" s="4" t="s">
        <v>66</v>
      </c>
      <c r="K2950" s="4">
        <v>0</v>
      </c>
      <c r="L2950" s="94">
        <v>126507</v>
      </c>
      <c r="M2950" s="94">
        <v>2024112</v>
      </c>
    </row>
    <row r="2951" spans="3:13" x14ac:dyDescent="0.3">
      <c r="C2951" t="s">
        <v>71</v>
      </c>
      <c r="D2951" t="s">
        <v>62</v>
      </c>
      <c r="E2951" t="s">
        <v>68</v>
      </c>
      <c r="F2951" t="s">
        <v>24</v>
      </c>
      <c r="G2951" s="4">
        <v>29</v>
      </c>
      <c r="I2951" s="4" t="s">
        <v>69</v>
      </c>
      <c r="J2951" s="4" t="s">
        <v>66</v>
      </c>
      <c r="K2951" s="4">
        <v>0</v>
      </c>
      <c r="L2951" s="94">
        <v>10700102</v>
      </c>
      <c r="M2951" s="94">
        <v>310302958</v>
      </c>
    </row>
    <row r="2952" spans="3:13" x14ac:dyDescent="0.3">
      <c r="C2952" t="s">
        <v>61</v>
      </c>
      <c r="D2952" t="s">
        <v>67</v>
      </c>
      <c r="E2952" t="s">
        <v>68</v>
      </c>
      <c r="F2952" t="s">
        <v>26</v>
      </c>
      <c r="G2952" s="4">
        <v>8</v>
      </c>
      <c r="H2952" s="4" t="s">
        <v>12</v>
      </c>
      <c r="I2952" s="4" t="s">
        <v>69</v>
      </c>
      <c r="J2952" s="4" t="s">
        <v>73</v>
      </c>
      <c r="K2952" s="4">
        <v>1</v>
      </c>
      <c r="L2952" s="94">
        <v>1356287</v>
      </c>
      <c r="M2952" s="94">
        <v>10850296</v>
      </c>
    </row>
    <row r="2953" spans="3:13" x14ac:dyDescent="0.3">
      <c r="C2953" t="s">
        <v>70</v>
      </c>
      <c r="D2953" t="s">
        <v>67</v>
      </c>
      <c r="E2953" t="s">
        <v>63</v>
      </c>
      <c r="F2953" t="s">
        <v>26</v>
      </c>
      <c r="G2953" s="4">
        <v>-1</v>
      </c>
      <c r="H2953" s="4" t="s">
        <v>81</v>
      </c>
      <c r="I2953" s="4" t="s">
        <v>69</v>
      </c>
      <c r="J2953" s="4" t="s">
        <v>66</v>
      </c>
      <c r="K2953" s="4">
        <v>0</v>
      </c>
      <c r="L2953" s="94">
        <v>-2038</v>
      </c>
      <c r="M2953" s="94">
        <v>0</v>
      </c>
    </row>
    <row r="2954" spans="3:13" x14ac:dyDescent="0.3">
      <c r="C2954" t="s">
        <v>70</v>
      </c>
      <c r="D2954" t="s">
        <v>62</v>
      </c>
      <c r="E2954" t="s">
        <v>68</v>
      </c>
      <c r="F2954" t="s">
        <v>24</v>
      </c>
      <c r="G2954" s="4">
        <v>37</v>
      </c>
      <c r="I2954" s="4" t="s">
        <v>69</v>
      </c>
      <c r="J2954" s="4" t="s">
        <v>66</v>
      </c>
      <c r="K2954" s="4">
        <v>1</v>
      </c>
      <c r="L2954" s="94">
        <v>372293</v>
      </c>
      <c r="M2954" s="94">
        <v>13774841</v>
      </c>
    </row>
    <row r="2955" spans="3:13" x14ac:dyDescent="0.3">
      <c r="C2955" t="s">
        <v>70</v>
      </c>
      <c r="D2955" t="s">
        <v>62</v>
      </c>
      <c r="E2955" t="s">
        <v>63</v>
      </c>
      <c r="F2955" t="s">
        <v>25</v>
      </c>
      <c r="G2955" s="4">
        <v>2</v>
      </c>
      <c r="I2955" s="4" t="s">
        <v>69</v>
      </c>
      <c r="J2955" s="4" t="s">
        <v>66</v>
      </c>
      <c r="K2955" s="4">
        <v>0</v>
      </c>
      <c r="L2955" s="94">
        <v>-44148</v>
      </c>
      <c r="M2955" s="94">
        <v>0</v>
      </c>
    </row>
    <row r="2956" spans="3:13" x14ac:dyDescent="0.3">
      <c r="C2956" t="s">
        <v>61</v>
      </c>
      <c r="D2956" t="s">
        <v>67</v>
      </c>
      <c r="E2956" t="s">
        <v>63</v>
      </c>
      <c r="F2956" t="s">
        <v>72</v>
      </c>
      <c r="G2956" s="4">
        <v>0</v>
      </c>
      <c r="H2956" s="4" t="s">
        <v>77</v>
      </c>
      <c r="I2956" s="4" t="s">
        <v>69</v>
      </c>
      <c r="J2956" s="4" t="s">
        <v>66</v>
      </c>
      <c r="K2956" s="4">
        <v>0</v>
      </c>
      <c r="L2956" s="94">
        <v>-124</v>
      </c>
      <c r="M2956" s="94">
        <v>0</v>
      </c>
    </row>
    <row r="2957" spans="3:13" x14ac:dyDescent="0.3">
      <c r="C2957" t="s">
        <v>71</v>
      </c>
      <c r="D2957" t="s">
        <v>67</v>
      </c>
      <c r="E2957" t="s">
        <v>63</v>
      </c>
      <c r="F2957" t="s">
        <v>72</v>
      </c>
      <c r="G2957" s="4">
        <v>1</v>
      </c>
      <c r="H2957" s="4" t="s">
        <v>75</v>
      </c>
      <c r="I2957" s="4" t="s">
        <v>69</v>
      </c>
      <c r="J2957" s="4" t="s">
        <v>66</v>
      </c>
      <c r="K2957" s="4">
        <v>0</v>
      </c>
      <c r="L2957" s="94">
        <v>-7337</v>
      </c>
      <c r="M2957" s="94">
        <v>0</v>
      </c>
    </row>
    <row r="2958" spans="3:13" x14ac:dyDescent="0.3">
      <c r="C2958" t="s">
        <v>71</v>
      </c>
      <c r="D2958" t="s">
        <v>67</v>
      </c>
      <c r="E2958" t="s">
        <v>63</v>
      </c>
      <c r="F2958" t="s">
        <v>25</v>
      </c>
      <c r="G2958" s="4">
        <v>3</v>
      </c>
      <c r="H2958" s="4" t="s">
        <v>75</v>
      </c>
      <c r="I2958" s="4" t="s">
        <v>69</v>
      </c>
      <c r="J2958" s="4" t="s">
        <v>66</v>
      </c>
      <c r="K2958" s="4">
        <v>0</v>
      </c>
      <c r="L2958" s="94">
        <v>-680561</v>
      </c>
      <c r="M2958" s="94">
        <v>0</v>
      </c>
    </row>
    <row r="2959" spans="3:13" x14ac:dyDescent="0.3">
      <c r="C2959" t="s">
        <v>70</v>
      </c>
      <c r="D2959" t="s">
        <v>67</v>
      </c>
      <c r="E2959" t="s">
        <v>68</v>
      </c>
      <c r="F2959" t="s">
        <v>26</v>
      </c>
      <c r="G2959" s="4">
        <v>0</v>
      </c>
      <c r="H2959" s="4" t="s">
        <v>79</v>
      </c>
      <c r="I2959" s="4" t="s">
        <v>69</v>
      </c>
      <c r="J2959" s="4" t="s">
        <v>66</v>
      </c>
      <c r="K2959" s="4">
        <v>0</v>
      </c>
      <c r="L2959" s="94">
        <v>393618</v>
      </c>
      <c r="M2959" s="94">
        <v>0</v>
      </c>
    </row>
    <row r="2960" spans="3:13" x14ac:dyDescent="0.3">
      <c r="C2960" t="s">
        <v>71</v>
      </c>
      <c r="D2960" t="s">
        <v>67</v>
      </c>
      <c r="E2960" t="s">
        <v>63</v>
      </c>
      <c r="F2960" t="s">
        <v>25</v>
      </c>
      <c r="G2960" s="4">
        <v>-1</v>
      </c>
      <c r="H2960" s="4" t="s">
        <v>12</v>
      </c>
      <c r="I2960" s="4" t="s">
        <v>69</v>
      </c>
      <c r="J2960" s="4" t="s">
        <v>66</v>
      </c>
      <c r="K2960" s="4">
        <v>1</v>
      </c>
      <c r="L2960" s="94">
        <v>-223</v>
      </c>
      <c r="M2960" s="94">
        <v>0</v>
      </c>
    </row>
    <row r="2961" spans="3:13" x14ac:dyDescent="0.3">
      <c r="C2961" t="s">
        <v>70</v>
      </c>
      <c r="D2961" t="s">
        <v>67</v>
      </c>
      <c r="E2961" t="s">
        <v>68</v>
      </c>
      <c r="F2961" t="s">
        <v>26</v>
      </c>
      <c r="G2961" s="4">
        <v>2</v>
      </c>
      <c r="H2961" s="4" t="s">
        <v>75</v>
      </c>
      <c r="I2961" s="4" t="s">
        <v>69</v>
      </c>
      <c r="J2961" s="4" t="s">
        <v>66</v>
      </c>
      <c r="K2961" s="4">
        <v>0</v>
      </c>
      <c r="L2961" s="94">
        <v>2927630</v>
      </c>
      <c r="M2961" s="94">
        <v>5855260</v>
      </c>
    </row>
    <row r="2962" spans="3:13" x14ac:dyDescent="0.3">
      <c r="C2962" t="s">
        <v>61</v>
      </c>
      <c r="D2962" t="s">
        <v>67</v>
      </c>
      <c r="E2962" t="s">
        <v>63</v>
      </c>
      <c r="F2962" t="s">
        <v>72</v>
      </c>
      <c r="G2962" s="4">
        <v>0</v>
      </c>
      <c r="H2962" s="4" t="s">
        <v>12</v>
      </c>
      <c r="I2962" s="4" t="s">
        <v>65</v>
      </c>
      <c r="J2962" s="4" t="s">
        <v>73</v>
      </c>
      <c r="K2962" s="4">
        <v>1</v>
      </c>
      <c r="L2962" s="94">
        <v>-9</v>
      </c>
      <c r="M2962" s="94">
        <v>0</v>
      </c>
    </row>
    <row r="2963" spans="3:13" x14ac:dyDescent="0.3">
      <c r="C2963" t="s">
        <v>70</v>
      </c>
      <c r="D2963" t="s">
        <v>67</v>
      </c>
      <c r="E2963" t="s">
        <v>63</v>
      </c>
      <c r="F2963" t="s">
        <v>72</v>
      </c>
      <c r="G2963" s="4">
        <v>-4</v>
      </c>
      <c r="H2963" s="4" t="s">
        <v>64</v>
      </c>
      <c r="I2963" s="4" t="s">
        <v>69</v>
      </c>
      <c r="J2963" s="4" t="s">
        <v>66</v>
      </c>
      <c r="K2963" s="4">
        <v>0</v>
      </c>
      <c r="L2963" s="94">
        <v>-1797</v>
      </c>
      <c r="M2963" s="94">
        <v>0</v>
      </c>
    </row>
    <row r="2964" spans="3:13" x14ac:dyDescent="0.3">
      <c r="C2964" t="s">
        <v>70</v>
      </c>
      <c r="D2964" t="s">
        <v>67</v>
      </c>
      <c r="E2964" t="s">
        <v>68</v>
      </c>
      <c r="F2964" t="s">
        <v>26</v>
      </c>
      <c r="G2964" s="4">
        <v>1</v>
      </c>
      <c r="H2964" s="4" t="s">
        <v>18</v>
      </c>
      <c r="I2964" s="4" t="s">
        <v>69</v>
      </c>
      <c r="J2964" s="4" t="s">
        <v>73</v>
      </c>
      <c r="K2964" s="4">
        <v>1</v>
      </c>
      <c r="L2964" s="94">
        <v>662980</v>
      </c>
      <c r="M2964" s="94">
        <v>662980</v>
      </c>
    </row>
    <row r="2965" spans="3:13" x14ac:dyDescent="0.3">
      <c r="C2965" t="s">
        <v>61</v>
      </c>
      <c r="D2965" t="s">
        <v>67</v>
      </c>
      <c r="E2965" t="s">
        <v>68</v>
      </c>
      <c r="F2965" t="s">
        <v>26</v>
      </c>
      <c r="G2965" s="4">
        <v>2</v>
      </c>
      <c r="H2965" s="4" t="s">
        <v>12</v>
      </c>
      <c r="I2965" s="4" t="s">
        <v>69</v>
      </c>
      <c r="J2965" s="4" t="s">
        <v>73</v>
      </c>
      <c r="K2965" s="4">
        <v>1</v>
      </c>
      <c r="L2965" s="94">
        <v>7569136</v>
      </c>
      <c r="M2965" s="94">
        <v>15138272</v>
      </c>
    </row>
    <row r="2966" spans="3:13" x14ac:dyDescent="0.3">
      <c r="C2966" t="s">
        <v>61</v>
      </c>
      <c r="D2966" t="s">
        <v>67</v>
      </c>
      <c r="E2966" t="s">
        <v>68</v>
      </c>
      <c r="F2966" t="s">
        <v>25</v>
      </c>
      <c r="G2966" s="4">
        <v>21</v>
      </c>
      <c r="H2966" s="4" t="s">
        <v>79</v>
      </c>
      <c r="I2966" s="4" t="s">
        <v>69</v>
      </c>
      <c r="J2966" s="4" t="s">
        <v>66</v>
      </c>
      <c r="K2966" s="4">
        <v>0</v>
      </c>
      <c r="L2966" s="94">
        <v>445505</v>
      </c>
      <c r="M2966" s="94">
        <v>9355605</v>
      </c>
    </row>
    <row r="2967" spans="3:13" x14ac:dyDescent="0.3">
      <c r="C2967" t="s">
        <v>61</v>
      </c>
      <c r="D2967" t="s">
        <v>62</v>
      </c>
      <c r="E2967" t="s">
        <v>63</v>
      </c>
      <c r="F2967" t="s">
        <v>25</v>
      </c>
      <c r="G2967" s="4">
        <v>9</v>
      </c>
      <c r="I2967" s="4" t="s">
        <v>69</v>
      </c>
      <c r="J2967" s="4" t="s">
        <v>66</v>
      </c>
      <c r="K2967" s="4">
        <v>1</v>
      </c>
      <c r="L2967" s="94">
        <v>-1106</v>
      </c>
      <c r="M2967" s="94">
        <v>0</v>
      </c>
    </row>
    <row r="2968" spans="3:13" x14ac:dyDescent="0.3">
      <c r="C2968" t="s">
        <v>70</v>
      </c>
      <c r="D2968" t="s">
        <v>67</v>
      </c>
      <c r="E2968" t="s">
        <v>63</v>
      </c>
      <c r="F2968" t="s">
        <v>26</v>
      </c>
      <c r="G2968" s="4">
        <v>4</v>
      </c>
      <c r="H2968" s="4" t="s">
        <v>13</v>
      </c>
      <c r="I2968" s="4" t="s">
        <v>69</v>
      </c>
      <c r="J2968" s="4" t="s">
        <v>66</v>
      </c>
      <c r="K2968" s="4">
        <v>0</v>
      </c>
      <c r="L2968" s="94">
        <v>-11837</v>
      </c>
      <c r="M2968" s="94">
        <v>0</v>
      </c>
    </row>
    <row r="2969" spans="3:13" x14ac:dyDescent="0.3">
      <c r="C2969" t="s">
        <v>61</v>
      </c>
      <c r="D2969" t="s">
        <v>67</v>
      </c>
      <c r="E2969" t="s">
        <v>63</v>
      </c>
      <c r="F2969" t="s">
        <v>26</v>
      </c>
      <c r="G2969" s="4">
        <v>3</v>
      </c>
      <c r="H2969" s="4" t="s">
        <v>82</v>
      </c>
      <c r="I2969" s="4" t="s">
        <v>69</v>
      </c>
      <c r="J2969" s="4" t="s">
        <v>66</v>
      </c>
      <c r="K2969" s="4">
        <v>0</v>
      </c>
      <c r="L2969" s="94">
        <v>-75769</v>
      </c>
      <c r="M2969" s="94">
        <v>0</v>
      </c>
    </row>
    <row r="2970" spans="3:13" x14ac:dyDescent="0.3">
      <c r="C2970" t="s">
        <v>71</v>
      </c>
      <c r="D2970" t="s">
        <v>67</v>
      </c>
      <c r="E2970" t="s">
        <v>68</v>
      </c>
      <c r="F2970" t="s">
        <v>25</v>
      </c>
      <c r="G2970" s="4">
        <v>5</v>
      </c>
      <c r="H2970" s="4" t="s">
        <v>14</v>
      </c>
      <c r="I2970" s="4" t="s">
        <v>69</v>
      </c>
      <c r="J2970" s="4" t="s">
        <v>66</v>
      </c>
      <c r="K2970" s="4">
        <v>0</v>
      </c>
      <c r="L2970" s="94">
        <v>1201439</v>
      </c>
      <c r="M2970" s="94">
        <v>6007195</v>
      </c>
    </row>
    <row r="2971" spans="3:13" x14ac:dyDescent="0.3">
      <c r="C2971" t="s">
        <v>70</v>
      </c>
      <c r="D2971" t="s">
        <v>67</v>
      </c>
      <c r="E2971" t="s">
        <v>63</v>
      </c>
      <c r="F2971" t="s">
        <v>72</v>
      </c>
      <c r="G2971" s="4">
        <v>4</v>
      </c>
      <c r="H2971" s="4" t="s">
        <v>17</v>
      </c>
      <c r="I2971" s="4" t="s">
        <v>69</v>
      </c>
      <c r="J2971" s="4" t="s">
        <v>66</v>
      </c>
      <c r="K2971" s="4">
        <v>0</v>
      </c>
      <c r="L2971" s="94">
        <v>-103463</v>
      </c>
      <c r="M2971" s="94">
        <v>0</v>
      </c>
    </row>
    <row r="2972" spans="3:13" x14ac:dyDescent="0.3">
      <c r="C2972" t="s">
        <v>70</v>
      </c>
      <c r="D2972" t="s">
        <v>67</v>
      </c>
      <c r="E2972" t="s">
        <v>68</v>
      </c>
      <c r="F2972" t="s">
        <v>72</v>
      </c>
      <c r="G2972" s="4">
        <v>0</v>
      </c>
      <c r="H2972" s="4" t="s">
        <v>78</v>
      </c>
      <c r="I2972" s="4" t="s">
        <v>69</v>
      </c>
      <c r="J2972" s="4" t="s">
        <v>66</v>
      </c>
      <c r="K2972" s="4">
        <v>0</v>
      </c>
      <c r="L2972" s="94">
        <v>1496</v>
      </c>
      <c r="M2972" s="94">
        <v>0</v>
      </c>
    </row>
    <row r="2973" spans="3:13" x14ac:dyDescent="0.3">
      <c r="C2973" t="s">
        <v>70</v>
      </c>
      <c r="D2973" t="s">
        <v>67</v>
      </c>
      <c r="E2973" t="s">
        <v>68</v>
      </c>
      <c r="F2973" t="s">
        <v>72</v>
      </c>
      <c r="G2973" s="4">
        <v>3</v>
      </c>
      <c r="H2973" s="4" t="s">
        <v>79</v>
      </c>
      <c r="I2973" s="4" t="s">
        <v>69</v>
      </c>
      <c r="J2973" s="4" t="s">
        <v>66</v>
      </c>
      <c r="K2973" s="4">
        <v>0</v>
      </c>
      <c r="L2973" s="94">
        <v>683285</v>
      </c>
      <c r="M2973" s="94">
        <v>2049855</v>
      </c>
    </row>
    <row r="2974" spans="3:13" x14ac:dyDescent="0.3">
      <c r="C2974" t="s">
        <v>61</v>
      </c>
      <c r="D2974" t="s">
        <v>67</v>
      </c>
      <c r="E2974" t="s">
        <v>68</v>
      </c>
      <c r="F2974" t="s">
        <v>26</v>
      </c>
      <c r="G2974" s="4">
        <v>2</v>
      </c>
      <c r="H2974" s="4" t="s">
        <v>17</v>
      </c>
      <c r="I2974" s="4" t="s">
        <v>65</v>
      </c>
      <c r="J2974" s="4" t="s">
        <v>66</v>
      </c>
      <c r="K2974" s="4">
        <v>1</v>
      </c>
      <c r="L2974" s="94">
        <v>69369</v>
      </c>
      <c r="M2974" s="94">
        <v>138738</v>
      </c>
    </row>
    <row r="2975" spans="3:13" x14ac:dyDescent="0.3">
      <c r="C2975" t="s">
        <v>61</v>
      </c>
      <c r="D2975" t="s">
        <v>84</v>
      </c>
      <c r="E2975" t="s">
        <v>63</v>
      </c>
      <c r="F2975" t="s">
        <v>25</v>
      </c>
      <c r="G2975" s="4">
        <v>4</v>
      </c>
      <c r="H2975" s="4" t="s">
        <v>81</v>
      </c>
      <c r="I2975" s="4" t="s">
        <v>69</v>
      </c>
      <c r="J2975" s="4" t="s">
        <v>66</v>
      </c>
      <c r="K2975" s="4">
        <v>0</v>
      </c>
      <c r="L2975" s="94">
        <v>-23660</v>
      </c>
      <c r="M2975" s="94">
        <v>0</v>
      </c>
    </row>
    <row r="2976" spans="3:13" x14ac:dyDescent="0.3">
      <c r="C2976" t="s">
        <v>71</v>
      </c>
      <c r="D2976" t="s">
        <v>67</v>
      </c>
      <c r="E2976" t="s">
        <v>68</v>
      </c>
      <c r="F2976" t="s">
        <v>72</v>
      </c>
      <c r="G2976" s="4">
        <v>2</v>
      </c>
      <c r="H2976" s="4" t="s">
        <v>83</v>
      </c>
      <c r="I2976" s="4" t="s">
        <v>69</v>
      </c>
      <c r="J2976" s="4" t="s">
        <v>66</v>
      </c>
      <c r="K2976" s="4">
        <v>0</v>
      </c>
      <c r="L2976" s="94">
        <v>15314</v>
      </c>
      <c r="M2976" s="94">
        <v>30628</v>
      </c>
    </row>
    <row r="2977" spans="3:13" x14ac:dyDescent="0.3">
      <c r="C2977" t="s">
        <v>70</v>
      </c>
      <c r="D2977" t="s">
        <v>67</v>
      </c>
      <c r="E2977" t="s">
        <v>68</v>
      </c>
      <c r="F2977" t="s">
        <v>25</v>
      </c>
      <c r="G2977" s="4">
        <v>4</v>
      </c>
      <c r="H2977" s="4" t="s">
        <v>12</v>
      </c>
      <c r="I2977" s="4" t="s">
        <v>69</v>
      </c>
      <c r="J2977" s="4" t="s">
        <v>66</v>
      </c>
      <c r="K2977" s="4">
        <v>1</v>
      </c>
      <c r="L2977" s="94">
        <v>763356</v>
      </c>
      <c r="M2977" s="94">
        <v>3053424</v>
      </c>
    </row>
    <row r="2978" spans="3:13" x14ac:dyDescent="0.3">
      <c r="C2978" t="s">
        <v>71</v>
      </c>
      <c r="D2978" t="s">
        <v>67</v>
      </c>
      <c r="E2978" t="s">
        <v>68</v>
      </c>
      <c r="F2978" t="s">
        <v>25</v>
      </c>
      <c r="G2978" s="4">
        <v>2</v>
      </c>
      <c r="H2978" s="4" t="s">
        <v>18</v>
      </c>
      <c r="I2978" s="4" t="s">
        <v>69</v>
      </c>
      <c r="J2978" s="4" t="s">
        <v>66</v>
      </c>
      <c r="K2978" s="4">
        <v>0</v>
      </c>
      <c r="L2978" s="94">
        <v>78181</v>
      </c>
      <c r="M2978" s="94">
        <v>156362</v>
      </c>
    </row>
    <row r="2979" spans="3:13" x14ac:dyDescent="0.3">
      <c r="C2979" t="s">
        <v>70</v>
      </c>
      <c r="D2979" t="s">
        <v>67</v>
      </c>
      <c r="E2979" t="s">
        <v>63</v>
      </c>
      <c r="F2979" t="s">
        <v>26</v>
      </c>
      <c r="G2979" s="4">
        <v>9</v>
      </c>
      <c r="H2979" s="4" t="s">
        <v>18</v>
      </c>
      <c r="I2979" s="4" t="s">
        <v>69</v>
      </c>
      <c r="J2979" s="4" t="s">
        <v>66</v>
      </c>
      <c r="K2979" s="4">
        <v>0</v>
      </c>
      <c r="L2979" s="94">
        <v>-151005</v>
      </c>
      <c r="M2979" s="94">
        <v>0</v>
      </c>
    </row>
    <row r="2980" spans="3:13" x14ac:dyDescent="0.3">
      <c r="C2980" t="s">
        <v>70</v>
      </c>
      <c r="D2980" t="s">
        <v>67</v>
      </c>
      <c r="E2980" t="s">
        <v>68</v>
      </c>
      <c r="F2980" t="s">
        <v>72</v>
      </c>
      <c r="G2980" s="4">
        <v>1</v>
      </c>
      <c r="H2980" s="4" t="s">
        <v>17</v>
      </c>
      <c r="I2980" s="4" t="s">
        <v>65</v>
      </c>
      <c r="J2980" s="4" t="s">
        <v>73</v>
      </c>
      <c r="K2980" s="4">
        <v>1</v>
      </c>
      <c r="L2980" s="94">
        <v>6455</v>
      </c>
      <c r="M2980" s="94">
        <v>6455</v>
      </c>
    </row>
    <row r="2981" spans="3:13" x14ac:dyDescent="0.3">
      <c r="C2981" t="s">
        <v>61</v>
      </c>
      <c r="D2981" t="s">
        <v>67</v>
      </c>
      <c r="E2981" t="s">
        <v>68</v>
      </c>
      <c r="F2981" t="s">
        <v>72</v>
      </c>
      <c r="G2981" s="4">
        <v>2</v>
      </c>
      <c r="H2981" s="4" t="s">
        <v>18</v>
      </c>
      <c r="I2981" s="4" t="s">
        <v>69</v>
      </c>
      <c r="J2981" s="4" t="s">
        <v>66</v>
      </c>
      <c r="K2981" s="4">
        <v>0</v>
      </c>
      <c r="L2981" s="94">
        <v>8102422</v>
      </c>
      <c r="M2981" s="94">
        <v>16204844</v>
      </c>
    </row>
    <row r="2982" spans="3:13" x14ac:dyDescent="0.3">
      <c r="C2982" t="s">
        <v>70</v>
      </c>
      <c r="D2982" t="s">
        <v>67</v>
      </c>
      <c r="E2982" t="s">
        <v>63</v>
      </c>
      <c r="F2982" t="s">
        <v>26</v>
      </c>
      <c r="G2982" s="4">
        <v>2</v>
      </c>
      <c r="H2982" s="4" t="s">
        <v>17</v>
      </c>
      <c r="I2982" s="4" t="s">
        <v>65</v>
      </c>
      <c r="J2982" s="4" t="s">
        <v>73</v>
      </c>
      <c r="K2982" s="4">
        <v>1</v>
      </c>
      <c r="L2982" s="94">
        <v>-20585</v>
      </c>
      <c r="M2982" s="94">
        <v>0</v>
      </c>
    </row>
    <row r="2983" spans="3:13" x14ac:dyDescent="0.3">
      <c r="C2983" t="s">
        <v>61</v>
      </c>
      <c r="D2983" t="s">
        <v>67</v>
      </c>
      <c r="E2983" t="s">
        <v>63</v>
      </c>
      <c r="F2983" t="s">
        <v>72</v>
      </c>
      <c r="G2983" s="4">
        <v>-1</v>
      </c>
      <c r="H2983" s="4" t="s">
        <v>15</v>
      </c>
      <c r="I2983" s="4" t="s">
        <v>69</v>
      </c>
      <c r="J2983" s="4" t="s">
        <v>73</v>
      </c>
      <c r="K2983" s="4">
        <v>1</v>
      </c>
      <c r="L2983" s="94">
        <v>-1031</v>
      </c>
      <c r="M2983" s="94">
        <v>0</v>
      </c>
    </row>
    <row r="2984" spans="3:13" x14ac:dyDescent="0.3">
      <c r="C2984" t="s">
        <v>70</v>
      </c>
      <c r="D2984" t="s">
        <v>67</v>
      </c>
      <c r="E2984" t="s">
        <v>63</v>
      </c>
      <c r="F2984" t="s">
        <v>25</v>
      </c>
      <c r="G2984" s="4">
        <v>3</v>
      </c>
      <c r="H2984" s="4" t="s">
        <v>76</v>
      </c>
      <c r="I2984" s="4" t="s">
        <v>69</v>
      </c>
      <c r="J2984" s="4" t="s">
        <v>66</v>
      </c>
      <c r="K2984" s="4">
        <v>0</v>
      </c>
      <c r="L2984" s="94">
        <v>-103652</v>
      </c>
      <c r="M2984" s="94">
        <v>0</v>
      </c>
    </row>
    <row r="2985" spans="3:13" x14ac:dyDescent="0.3">
      <c r="C2985" t="s">
        <v>61</v>
      </c>
      <c r="D2985" t="s">
        <v>67</v>
      </c>
      <c r="E2985" t="s">
        <v>68</v>
      </c>
      <c r="F2985" t="s">
        <v>25</v>
      </c>
      <c r="G2985" s="4">
        <v>7</v>
      </c>
      <c r="H2985" s="4" t="s">
        <v>17</v>
      </c>
      <c r="I2985" s="4" t="s">
        <v>69</v>
      </c>
      <c r="J2985" s="4" t="s">
        <v>66</v>
      </c>
      <c r="K2985" s="4">
        <v>1</v>
      </c>
      <c r="L2985" s="94">
        <v>33276</v>
      </c>
      <c r="M2985" s="94">
        <v>232932</v>
      </c>
    </row>
    <row r="2986" spans="3:13" x14ac:dyDescent="0.3">
      <c r="C2986" t="s">
        <v>70</v>
      </c>
      <c r="D2986" t="s">
        <v>67</v>
      </c>
      <c r="E2986" t="s">
        <v>68</v>
      </c>
      <c r="F2986" t="s">
        <v>25</v>
      </c>
      <c r="G2986" s="4">
        <v>3</v>
      </c>
      <c r="H2986" s="4" t="s">
        <v>17</v>
      </c>
      <c r="I2986" s="4" t="s">
        <v>69</v>
      </c>
      <c r="J2986" s="4" t="s">
        <v>66</v>
      </c>
      <c r="K2986" s="4">
        <v>0</v>
      </c>
      <c r="L2986" s="94">
        <v>1128622</v>
      </c>
      <c r="M2986" s="94">
        <v>3385866</v>
      </c>
    </row>
    <row r="2987" spans="3:13" x14ac:dyDescent="0.3">
      <c r="C2987" t="s">
        <v>70</v>
      </c>
      <c r="D2987" t="s">
        <v>62</v>
      </c>
      <c r="E2987" t="s">
        <v>63</v>
      </c>
      <c r="F2987" t="s">
        <v>24</v>
      </c>
      <c r="G2987" s="4">
        <v>35</v>
      </c>
      <c r="I2987" s="4" t="s">
        <v>69</v>
      </c>
      <c r="J2987" s="4" t="s">
        <v>66</v>
      </c>
      <c r="K2987" s="4">
        <v>1</v>
      </c>
      <c r="L2987" s="94">
        <v>-735</v>
      </c>
      <c r="M2987" s="94">
        <v>0</v>
      </c>
    </row>
    <row r="2988" spans="3:13" x14ac:dyDescent="0.3">
      <c r="C2988" t="s">
        <v>61</v>
      </c>
      <c r="D2988" t="s">
        <v>67</v>
      </c>
      <c r="E2988" t="s">
        <v>63</v>
      </c>
      <c r="F2988" t="s">
        <v>25</v>
      </c>
      <c r="G2988" s="4">
        <v>5</v>
      </c>
      <c r="H2988" s="4" t="s">
        <v>80</v>
      </c>
      <c r="I2988" s="4" t="s">
        <v>69</v>
      </c>
      <c r="J2988" s="4" t="s">
        <v>66</v>
      </c>
      <c r="K2988" s="4">
        <v>0</v>
      </c>
      <c r="L2988" s="94">
        <v>-858</v>
      </c>
      <c r="M2988" s="94">
        <v>0</v>
      </c>
    </row>
    <row r="2989" spans="3:13" x14ac:dyDescent="0.3">
      <c r="C2989" t="s">
        <v>70</v>
      </c>
      <c r="D2989" t="s">
        <v>67</v>
      </c>
      <c r="E2989" t="s">
        <v>68</v>
      </c>
      <c r="F2989" t="s">
        <v>26</v>
      </c>
      <c r="G2989" s="4">
        <v>6</v>
      </c>
      <c r="H2989" s="4" t="s">
        <v>12</v>
      </c>
      <c r="I2989" s="4" t="s">
        <v>69</v>
      </c>
      <c r="J2989" s="4" t="s">
        <v>66</v>
      </c>
      <c r="K2989" s="4">
        <v>0</v>
      </c>
      <c r="L2989" s="94">
        <v>27420</v>
      </c>
      <c r="M2989" s="94">
        <v>164520</v>
      </c>
    </row>
    <row r="2990" spans="3:13" x14ac:dyDescent="0.3">
      <c r="C2990" t="s">
        <v>71</v>
      </c>
      <c r="D2990" t="s">
        <v>67</v>
      </c>
      <c r="E2990" t="s">
        <v>68</v>
      </c>
      <c r="F2990" t="s">
        <v>26</v>
      </c>
      <c r="G2990" s="4">
        <v>2</v>
      </c>
      <c r="H2990" s="4" t="s">
        <v>75</v>
      </c>
      <c r="I2990" s="4" t="s">
        <v>65</v>
      </c>
      <c r="J2990" s="4" t="s">
        <v>66</v>
      </c>
      <c r="K2990" s="4">
        <v>1</v>
      </c>
      <c r="L2990" s="94">
        <v>7543</v>
      </c>
      <c r="M2990" s="94">
        <v>15086</v>
      </c>
    </row>
    <row r="2991" spans="3:13" x14ac:dyDescent="0.3">
      <c r="C2991" t="s">
        <v>71</v>
      </c>
      <c r="D2991" t="s">
        <v>67</v>
      </c>
      <c r="E2991" t="s">
        <v>63</v>
      </c>
      <c r="F2991" t="s">
        <v>72</v>
      </c>
      <c r="G2991" s="4">
        <v>1</v>
      </c>
      <c r="H2991" s="4" t="s">
        <v>83</v>
      </c>
      <c r="I2991" s="4" t="s">
        <v>69</v>
      </c>
      <c r="J2991" s="4" t="s">
        <v>66</v>
      </c>
      <c r="K2991" s="4">
        <v>0</v>
      </c>
      <c r="L2991" s="94">
        <v>-10663</v>
      </c>
      <c r="M2991" s="94">
        <v>0</v>
      </c>
    </row>
    <row r="2992" spans="3:13" x14ac:dyDescent="0.3">
      <c r="C2992" t="s">
        <v>61</v>
      </c>
      <c r="D2992" t="s">
        <v>62</v>
      </c>
      <c r="E2992" t="s">
        <v>63</v>
      </c>
      <c r="F2992" t="s">
        <v>25</v>
      </c>
      <c r="G2992" s="4">
        <v>33</v>
      </c>
      <c r="I2992" s="4" t="s">
        <v>69</v>
      </c>
      <c r="J2992" s="4" t="s">
        <v>66</v>
      </c>
      <c r="K2992" s="4">
        <v>0</v>
      </c>
      <c r="L2992" s="94">
        <v>-118</v>
      </c>
      <c r="M2992" s="94">
        <v>0</v>
      </c>
    </row>
    <row r="2993" spans="3:13" x14ac:dyDescent="0.3">
      <c r="C2993" t="s">
        <v>61</v>
      </c>
      <c r="D2993" t="s">
        <v>67</v>
      </c>
      <c r="E2993" t="s">
        <v>63</v>
      </c>
      <c r="F2993" t="s">
        <v>26</v>
      </c>
      <c r="G2993" s="4">
        <v>0</v>
      </c>
      <c r="H2993" s="4" t="s">
        <v>18</v>
      </c>
      <c r="I2993" s="4" t="s">
        <v>65</v>
      </c>
      <c r="J2993" s="4" t="s">
        <v>66</v>
      </c>
      <c r="K2993" s="4">
        <v>1</v>
      </c>
      <c r="L2993" s="94">
        <v>-2342</v>
      </c>
      <c r="M2993" s="94">
        <v>0</v>
      </c>
    </row>
    <row r="2994" spans="3:13" x14ac:dyDescent="0.3">
      <c r="C2994" t="s">
        <v>70</v>
      </c>
      <c r="D2994" t="s">
        <v>67</v>
      </c>
      <c r="E2994" t="s">
        <v>63</v>
      </c>
      <c r="F2994" t="s">
        <v>26</v>
      </c>
      <c r="G2994" s="4">
        <v>2</v>
      </c>
      <c r="H2994" s="4" t="s">
        <v>74</v>
      </c>
      <c r="I2994" s="4" t="s">
        <v>69</v>
      </c>
      <c r="J2994" s="4" t="s">
        <v>66</v>
      </c>
      <c r="K2994" s="4">
        <v>0</v>
      </c>
      <c r="L2994" s="94">
        <v>-215681</v>
      </c>
      <c r="M2994" s="94">
        <v>0</v>
      </c>
    </row>
    <row r="2995" spans="3:13" x14ac:dyDescent="0.3">
      <c r="C2995" t="s">
        <v>70</v>
      </c>
      <c r="D2995" t="s">
        <v>67</v>
      </c>
      <c r="E2995" t="s">
        <v>68</v>
      </c>
      <c r="F2995" t="s">
        <v>26</v>
      </c>
      <c r="G2995" s="4">
        <v>2</v>
      </c>
      <c r="H2995" s="4" t="s">
        <v>83</v>
      </c>
      <c r="I2995" s="4" t="s">
        <v>69</v>
      </c>
      <c r="J2995" s="4" t="s">
        <v>66</v>
      </c>
      <c r="K2995" s="4">
        <v>0</v>
      </c>
      <c r="L2995" s="94">
        <v>902502</v>
      </c>
      <c r="M2995" s="94">
        <v>1805004</v>
      </c>
    </row>
    <row r="2996" spans="3:13" x14ac:dyDescent="0.3">
      <c r="C2996" t="s">
        <v>70</v>
      </c>
      <c r="D2996" t="s">
        <v>67</v>
      </c>
      <c r="E2996" t="s">
        <v>63</v>
      </c>
      <c r="F2996" t="s">
        <v>25</v>
      </c>
      <c r="G2996" s="4">
        <v>6</v>
      </c>
      <c r="H2996" s="4" t="s">
        <v>17</v>
      </c>
      <c r="I2996" s="4" t="s">
        <v>69</v>
      </c>
      <c r="J2996" s="4" t="s">
        <v>66</v>
      </c>
      <c r="K2996" s="4">
        <v>1</v>
      </c>
      <c r="L2996" s="94">
        <v>-665</v>
      </c>
      <c r="M2996" s="94">
        <v>0</v>
      </c>
    </row>
    <row r="2997" spans="3:13" x14ac:dyDescent="0.3">
      <c r="C2997" t="s">
        <v>61</v>
      </c>
      <c r="D2997" t="s">
        <v>67</v>
      </c>
      <c r="E2997" t="s">
        <v>68</v>
      </c>
      <c r="F2997" t="s">
        <v>26</v>
      </c>
      <c r="G2997" s="4">
        <v>-1</v>
      </c>
      <c r="H2997" s="4" t="s">
        <v>75</v>
      </c>
      <c r="I2997" s="4" t="s">
        <v>65</v>
      </c>
      <c r="J2997" s="4" t="s">
        <v>66</v>
      </c>
      <c r="K2997" s="4">
        <v>1</v>
      </c>
      <c r="L2997" s="94">
        <v>96936</v>
      </c>
      <c r="M2997" s="94">
        <v>0</v>
      </c>
    </row>
    <row r="2998" spans="3:13" x14ac:dyDescent="0.3">
      <c r="C2998" t="s">
        <v>71</v>
      </c>
      <c r="D2998" t="s">
        <v>67</v>
      </c>
      <c r="E2998" t="s">
        <v>63</v>
      </c>
      <c r="F2998" t="s">
        <v>25</v>
      </c>
      <c r="G2998" s="4">
        <v>5</v>
      </c>
      <c r="H2998" s="4" t="s">
        <v>76</v>
      </c>
      <c r="I2998" s="4" t="s">
        <v>69</v>
      </c>
      <c r="J2998" s="4" t="s">
        <v>66</v>
      </c>
      <c r="K2998" s="4">
        <v>0</v>
      </c>
      <c r="L2998" s="94">
        <v>-12811</v>
      </c>
      <c r="M2998" s="94">
        <v>0</v>
      </c>
    </row>
    <row r="2999" spans="3:13" x14ac:dyDescent="0.3">
      <c r="C2999" t="s">
        <v>70</v>
      </c>
      <c r="D2999" t="s">
        <v>67</v>
      </c>
      <c r="E2999" t="s">
        <v>63</v>
      </c>
      <c r="F2999" t="s">
        <v>72</v>
      </c>
      <c r="G2999" s="4">
        <v>-4</v>
      </c>
      <c r="H2999" s="4" t="s">
        <v>78</v>
      </c>
      <c r="I2999" s="4" t="s">
        <v>69</v>
      </c>
      <c r="J2999" s="4" t="s">
        <v>66</v>
      </c>
      <c r="K2999" s="4">
        <v>0</v>
      </c>
      <c r="L2999" s="94">
        <v>-9</v>
      </c>
      <c r="M2999" s="94">
        <v>0</v>
      </c>
    </row>
    <row r="3000" spans="3:13" x14ac:dyDescent="0.3">
      <c r="C3000" t="s">
        <v>71</v>
      </c>
      <c r="D3000" t="s">
        <v>62</v>
      </c>
      <c r="E3000" t="s">
        <v>68</v>
      </c>
      <c r="F3000" t="s">
        <v>24</v>
      </c>
      <c r="G3000" s="4">
        <v>3</v>
      </c>
      <c r="I3000" s="4" t="s">
        <v>69</v>
      </c>
      <c r="J3000" s="4" t="s">
        <v>66</v>
      </c>
      <c r="K3000" s="4">
        <v>0</v>
      </c>
      <c r="L3000" s="94">
        <v>544620</v>
      </c>
      <c r="M3000" s="94">
        <v>1633860</v>
      </c>
    </row>
    <row r="3001" spans="3:13" x14ac:dyDescent="0.3">
      <c r="C3001" t="s">
        <v>70</v>
      </c>
      <c r="D3001" t="s">
        <v>67</v>
      </c>
      <c r="E3001" t="s">
        <v>68</v>
      </c>
      <c r="F3001" t="s">
        <v>72</v>
      </c>
      <c r="G3001" s="4">
        <v>-4</v>
      </c>
      <c r="H3001" s="4" t="s">
        <v>18</v>
      </c>
      <c r="I3001" s="4" t="s">
        <v>69</v>
      </c>
      <c r="J3001" s="4" t="s">
        <v>66</v>
      </c>
      <c r="K3001" s="4">
        <v>0</v>
      </c>
      <c r="L3001" s="94">
        <v>28517</v>
      </c>
      <c r="M3001" s="94">
        <v>0</v>
      </c>
    </row>
    <row r="3002" spans="3:13" x14ac:dyDescent="0.3">
      <c r="C3002" t="s">
        <v>61</v>
      </c>
      <c r="D3002" t="s">
        <v>67</v>
      </c>
      <c r="E3002" t="s">
        <v>63</v>
      </c>
      <c r="F3002" t="s">
        <v>26</v>
      </c>
      <c r="G3002" s="4">
        <v>3</v>
      </c>
      <c r="H3002" s="4" t="s">
        <v>14</v>
      </c>
      <c r="I3002" s="4" t="s">
        <v>65</v>
      </c>
      <c r="J3002" s="4" t="s">
        <v>73</v>
      </c>
      <c r="K3002" s="4">
        <v>1</v>
      </c>
      <c r="L3002" s="94">
        <v>-656</v>
      </c>
      <c r="M3002" s="94">
        <v>0</v>
      </c>
    </row>
    <row r="3003" spans="3:13" x14ac:dyDescent="0.3">
      <c r="C3003" t="s">
        <v>61</v>
      </c>
      <c r="D3003" t="s">
        <v>62</v>
      </c>
      <c r="E3003" t="s">
        <v>68</v>
      </c>
      <c r="F3003" t="s">
        <v>24</v>
      </c>
      <c r="G3003" s="4">
        <v>13</v>
      </c>
      <c r="I3003" s="4" t="s">
        <v>69</v>
      </c>
      <c r="J3003" s="4" t="s">
        <v>66</v>
      </c>
      <c r="K3003" s="4">
        <v>1</v>
      </c>
      <c r="L3003" s="94">
        <v>1190325</v>
      </c>
      <c r="M3003" s="94">
        <v>15474225</v>
      </c>
    </row>
    <row r="3004" spans="3:13" x14ac:dyDescent="0.3">
      <c r="C3004" t="s">
        <v>61</v>
      </c>
      <c r="D3004" t="s">
        <v>67</v>
      </c>
      <c r="E3004" t="s">
        <v>63</v>
      </c>
      <c r="F3004" t="s">
        <v>26</v>
      </c>
      <c r="G3004" s="4">
        <v>-1</v>
      </c>
      <c r="H3004" s="4" t="s">
        <v>17</v>
      </c>
      <c r="I3004" s="4" t="s">
        <v>65</v>
      </c>
      <c r="J3004" s="4" t="s">
        <v>66</v>
      </c>
      <c r="K3004" s="4">
        <v>1</v>
      </c>
      <c r="L3004" s="94">
        <v>-3861</v>
      </c>
      <c r="M3004" s="94">
        <v>0</v>
      </c>
    </row>
    <row r="3005" spans="3:13" x14ac:dyDescent="0.3">
      <c r="C3005" t="s">
        <v>70</v>
      </c>
      <c r="D3005" t="s">
        <v>67</v>
      </c>
      <c r="E3005" t="s">
        <v>68</v>
      </c>
      <c r="F3005" t="s">
        <v>25</v>
      </c>
      <c r="G3005" s="4">
        <v>5</v>
      </c>
      <c r="H3005" s="4" t="s">
        <v>12</v>
      </c>
      <c r="I3005" s="4" t="s">
        <v>69</v>
      </c>
      <c r="J3005" s="4" t="s">
        <v>66</v>
      </c>
      <c r="K3005" s="4">
        <v>1</v>
      </c>
      <c r="L3005" s="94">
        <v>728221</v>
      </c>
      <c r="M3005" s="94">
        <v>3641105</v>
      </c>
    </row>
    <row r="3006" spans="3:13" x14ac:dyDescent="0.3">
      <c r="C3006" t="s">
        <v>70</v>
      </c>
      <c r="D3006" t="s">
        <v>67</v>
      </c>
      <c r="E3006" t="s">
        <v>68</v>
      </c>
      <c r="F3006" t="s">
        <v>26</v>
      </c>
      <c r="G3006" s="4">
        <v>3</v>
      </c>
      <c r="H3006" s="4" t="s">
        <v>15</v>
      </c>
      <c r="I3006" s="4" t="s">
        <v>69</v>
      </c>
      <c r="J3006" s="4" t="s">
        <v>66</v>
      </c>
      <c r="K3006" s="4">
        <v>0</v>
      </c>
      <c r="L3006" s="94">
        <v>15392</v>
      </c>
      <c r="M3006" s="94">
        <v>46176</v>
      </c>
    </row>
    <row r="3007" spans="3:13" x14ac:dyDescent="0.3">
      <c r="C3007" t="s">
        <v>71</v>
      </c>
      <c r="D3007" t="s">
        <v>67</v>
      </c>
      <c r="E3007" t="s">
        <v>68</v>
      </c>
      <c r="F3007" t="s">
        <v>26</v>
      </c>
      <c r="G3007" s="4">
        <v>-1</v>
      </c>
      <c r="H3007" s="4" t="s">
        <v>12</v>
      </c>
      <c r="I3007" s="4" t="s">
        <v>69</v>
      </c>
      <c r="J3007" s="4" t="s">
        <v>73</v>
      </c>
      <c r="K3007" s="4">
        <v>1</v>
      </c>
      <c r="L3007" s="94">
        <v>1514605</v>
      </c>
      <c r="M3007" s="94">
        <v>0</v>
      </c>
    </row>
    <row r="3008" spans="3:13" x14ac:dyDescent="0.3">
      <c r="C3008" t="s">
        <v>61</v>
      </c>
      <c r="D3008" t="s">
        <v>84</v>
      </c>
      <c r="E3008" t="s">
        <v>68</v>
      </c>
      <c r="F3008" t="s">
        <v>25</v>
      </c>
      <c r="G3008" s="4">
        <v>3</v>
      </c>
      <c r="H3008" s="4" t="s">
        <v>75</v>
      </c>
      <c r="I3008" s="4" t="s">
        <v>69</v>
      </c>
      <c r="J3008" s="4" t="s">
        <v>66</v>
      </c>
      <c r="K3008" s="4">
        <v>0</v>
      </c>
      <c r="L3008" s="94">
        <v>10244578</v>
      </c>
      <c r="M3008" s="94">
        <v>30733734</v>
      </c>
    </row>
    <row r="3009" spans="3:13" x14ac:dyDescent="0.3">
      <c r="C3009" t="s">
        <v>61</v>
      </c>
      <c r="D3009" t="s">
        <v>67</v>
      </c>
      <c r="E3009" t="s">
        <v>68</v>
      </c>
      <c r="F3009" t="s">
        <v>26</v>
      </c>
      <c r="G3009" s="4">
        <v>5</v>
      </c>
      <c r="H3009" s="4" t="s">
        <v>18</v>
      </c>
      <c r="I3009" s="4" t="s">
        <v>69</v>
      </c>
      <c r="J3009" s="4" t="s">
        <v>73</v>
      </c>
      <c r="K3009" s="4">
        <v>1</v>
      </c>
      <c r="L3009" s="94">
        <v>5426872</v>
      </c>
      <c r="M3009" s="94">
        <v>27134360</v>
      </c>
    </row>
    <row r="3010" spans="3:13" x14ac:dyDescent="0.3">
      <c r="C3010" t="s">
        <v>61</v>
      </c>
      <c r="D3010" t="s">
        <v>67</v>
      </c>
      <c r="E3010" t="s">
        <v>63</v>
      </c>
      <c r="F3010" t="s">
        <v>26</v>
      </c>
      <c r="G3010" s="4">
        <v>-1</v>
      </c>
      <c r="H3010" s="4" t="s">
        <v>12</v>
      </c>
      <c r="I3010" s="4" t="s">
        <v>69</v>
      </c>
      <c r="J3010" s="4" t="s">
        <v>73</v>
      </c>
      <c r="K3010" s="4">
        <v>1</v>
      </c>
      <c r="L3010" s="94">
        <v>-220115</v>
      </c>
      <c r="M3010" s="94">
        <v>0</v>
      </c>
    </row>
    <row r="3011" spans="3:13" x14ac:dyDescent="0.3">
      <c r="C3011" t="s">
        <v>71</v>
      </c>
      <c r="D3011" t="s">
        <v>67</v>
      </c>
      <c r="E3011" t="s">
        <v>68</v>
      </c>
      <c r="F3011" t="s">
        <v>25</v>
      </c>
      <c r="G3011" s="4">
        <v>4</v>
      </c>
      <c r="H3011" s="4" t="s">
        <v>14</v>
      </c>
      <c r="I3011" s="4" t="s">
        <v>69</v>
      </c>
      <c r="J3011" s="4" t="s">
        <v>66</v>
      </c>
      <c r="K3011" s="4">
        <v>0</v>
      </c>
      <c r="L3011" s="94">
        <v>54951</v>
      </c>
      <c r="M3011" s="94">
        <v>219804</v>
      </c>
    </row>
    <row r="3012" spans="3:13" x14ac:dyDescent="0.3">
      <c r="C3012" t="s">
        <v>61</v>
      </c>
      <c r="D3012" t="s">
        <v>67</v>
      </c>
      <c r="E3012" t="s">
        <v>63</v>
      </c>
      <c r="F3012" t="s">
        <v>72</v>
      </c>
      <c r="G3012" s="4">
        <v>5</v>
      </c>
      <c r="H3012" s="4" t="s">
        <v>82</v>
      </c>
      <c r="I3012" s="4" t="s">
        <v>69</v>
      </c>
      <c r="J3012" s="4" t="s">
        <v>66</v>
      </c>
      <c r="K3012" s="4">
        <v>0</v>
      </c>
      <c r="L3012" s="94">
        <v>-46624</v>
      </c>
      <c r="M3012" s="94">
        <v>0</v>
      </c>
    </row>
    <row r="3013" spans="3:13" x14ac:dyDescent="0.3">
      <c r="C3013" t="s">
        <v>61</v>
      </c>
      <c r="D3013" t="s">
        <v>67</v>
      </c>
      <c r="E3013" t="s">
        <v>68</v>
      </c>
      <c r="F3013" t="s">
        <v>25</v>
      </c>
      <c r="G3013" s="4">
        <v>11</v>
      </c>
      <c r="H3013" s="4" t="s">
        <v>83</v>
      </c>
      <c r="I3013" s="4" t="s">
        <v>69</v>
      </c>
      <c r="J3013" s="4" t="s">
        <v>66</v>
      </c>
      <c r="K3013" s="4">
        <v>0</v>
      </c>
      <c r="L3013" s="94">
        <v>236519</v>
      </c>
      <c r="M3013" s="94">
        <v>2601709</v>
      </c>
    </row>
    <row r="3014" spans="3:13" x14ac:dyDescent="0.3">
      <c r="C3014" t="s">
        <v>70</v>
      </c>
      <c r="D3014" t="s">
        <v>67</v>
      </c>
      <c r="E3014" t="s">
        <v>68</v>
      </c>
      <c r="F3014" t="s">
        <v>26</v>
      </c>
      <c r="G3014" s="4">
        <v>5</v>
      </c>
      <c r="H3014" s="4" t="s">
        <v>77</v>
      </c>
      <c r="I3014" s="4" t="s">
        <v>69</v>
      </c>
      <c r="J3014" s="4" t="s">
        <v>66</v>
      </c>
      <c r="K3014" s="4">
        <v>0</v>
      </c>
      <c r="L3014" s="94">
        <v>1031850</v>
      </c>
      <c r="M3014" s="94">
        <v>5159250</v>
      </c>
    </row>
    <row r="3015" spans="3:13" x14ac:dyDescent="0.3">
      <c r="C3015" t="s">
        <v>61</v>
      </c>
      <c r="D3015" t="s">
        <v>62</v>
      </c>
      <c r="E3015" t="s">
        <v>68</v>
      </c>
      <c r="F3015" t="s">
        <v>25</v>
      </c>
      <c r="G3015" s="4">
        <v>12</v>
      </c>
      <c r="I3015" s="4" t="s">
        <v>65</v>
      </c>
      <c r="J3015" s="4" t="s">
        <v>66</v>
      </c>
      <c r="K3015" s="4">
        <v>1</v>
      </c>
      <c r="L3015" s="94">
        <v>31303</v>
      </c>
      <c r="M3015" s="94">
        <v>375636</v>
      </c>
    </row>
    <row r="3016" spans="3:13" x14ac:dyDescent="0.3">
      <c r="C3016" t="s">
        <v>71</v>
      </c>
      <c r="D3016" t="s">
        <v>67</v>
      </c>
      <c r="E3016" t="s">
        <v>63</v>
      </c>
      <c r="F3016" t="s">
        <v>72</v>
      </c>
      <c r="G3016" s="4">
        <v>3</v>
      </c>
      <c r="H3016" s="4" t="s">
        <v>17</v>
      </c>
      <c r="I3016" s="4" t="s">
        <v>69</v>
      </c>
      <c r="J3016" s="4" t="s">
        <v>73</v>
      </c>
      <c r="K3016" s="4">
        <v>1</v>
      </c>
      <c r="L3016" s="94">
        <v>-31827</v>
      </c>
      <c r="M3016" s="94">
        <v>0</v>
      </c>
    </row>
    <row r="3017" spans="3:13" x14ac:dyDescent="0.3">
      <c r="C3017" t="s">
        <v>61</v>
      </c>
      <c r="D3017" t="s">
        <v>67</v>
      </c>
      <c r="E3017" t="s">
        <v>63</v>
      </c>
      <c r="F3017" t="s">
        <v>72</v>
      </c>
      <c r="G3017" s="4">
        <v>-4</v>
      </c>
      <c r="H3017" s="4" t="s">
        <v>78</v>
      </c>
      <c r="I3017" s="4" t="s">
        <v>69</v>
      </c>
      <c r="J3017" s="4" t="s">
        <v>66</v>
      </c>
      <c r="K3017" s="4">
        <v>0</v>
      </c>
      <c r="L3017" s="94">
        <v>0</v>
      </c>
      <c r="M3017" s="94">
        <v>0</v>
      </c>
    </row>
    <row r="3018" spans="3:13" x14ac:dyDescent="0.3">
      <c r="C3018" t="s">
        <v>70</v>
      </c>
      <c r="D3018" t="s">
        <v>67</v>
      </c>
      <c r="E3018" t="s">
        <v>68</v>
      </c>
      <c r="F3018" t="s">
        <v>25</v>
      </c>
      <c r="G3018" s="4">
        <v>15</v>
      </c>
      <c r="H3018" s="4" t="s">
        <v>81</v>
      </c>
      <c r="I3018" s="4" t="s">
        <v>69</v>
      </c>
      <c r="J3018" s="4" t="s">
        <v>66</v>
      </c>
      <c r="K3018" s="4">
        <v>0</v>
      </c>
      <c r="L3018" s="94">
        <v>167919</v>
      </c>
      <c r="M3018" s="94">
        <v>2518785</v>
      </c>
    </row>
    <row r="3019" spans="3:13" x14ac:dyDescent="0.3">
      <c r="C3019" t="s">
        <v>70</v>
      </c>
      <c r="D3019" t="s">
        <v>67</v>
      </c>
      <c r="E3019" t="s">
        <v>63</v>
      </c>
      <c r="F3019" t="s">
        <v>26</v>
      </c>
      <c r="G3019" s="4">
        <v>0</v>
      </c>
      <c r="H3019" s="4" t="s">
        <v>12</v>
      </c>
      <c r="I3019" s="4" t="s">
        <v>65</v>
      </c>
      <c r="J3019" s="4" t="s">
        <v>73</v>
      </c>
      <c r="K3019" s="4">
        <v>1</v>
      </c>
      <c r="L3019" s="94">
        <v>-1583</v>
      </c>
      <c r="M3019" s="94">
        <v>0</v>
      </c>
    </row>
    <row r="3020" spans="3:13" x14ac:dyDescent="0.3">
      <c r="C3020" t="s">
        <v>61</v>
      </c>
      <c r="D3020" t="s">
        <v>67</v>
      </c>
      <c r="E3020" t="s">
        <v>63</v>
      </c>
      <c r="F3020" t="s">
        <v>25</v>
      </c>
      <c r="G3020" s="4">
        <v>2</v>
      </c>
      <c r="H3020" s="4" t="s">
        <v>79</v>
      </c>
      <c r="I3020" s="4" t="s">
        <v>65</v>
      </c>
      <c r="J3020" s="4" t="s">
        <v>66</v>
      </c>
      <c r="K3020" s="4">
        <v>1</v>
      </c>
      <c r="L3020" s="94">
        <v>-33</v>
      </c>
      <c r="M3020" s="94">
        <v>0</v>
      </c>
    </row>
    <row r="3021" spans="3:13" x14ac:dyDescent="0.3">
      <c r="C3021" t="s">
        <v>70</v>
      </c>
      <c r="D3021" t="s">
        <v>62</v>
      </c>
      <c r="E3021" t="s">
        <v>68</v>
      </c>
      <c r="F3021" t="s">
        <v>25</v>
      </c>
      <c r="G3021" s="4">
        <v>14</v>
      </c>
      <c r="I3021" s="4" t="s">
        <v>69</v>
      </c>
      <c r="J3021" s="4" t="s">
        <v>66</v>
      </c>
      <c r="K3021" s="4">
        <v>0</v>
      </c>
      <c r="L3021" s="94">
        <v>210556</v>
      </c>
      <c r="M3021" s="94">
        <v>2947784</v>
      </c>
    </row>
    <row r="3022" spans="3:13" x14ac:dyDescent="0.3">
      <c r="C3022" t="s">
        <v>71</v>
      </c>
      <c r="D3022" t="s">
        <v>67</v>
      </c>
      <c r="E3022" t="s">
        <v>63</v>
      </c>
      <c r="F3022" t="s">
        <v>25</v>
      </c>
      <c r="G3022" s="4">
        <v>6</v>
      </c>
      <c r="H3022" s="4" t="s">
        <v>14</v>
      </c>
      <c r="I3022" s="4" t="s">
        <v>69</v>
      </c>
      <c r="J3022" s="4" t="s">
        <v>66</v>
      </c>
      <c r="K3022" s="4">
        <v>1</v>
      </c>
      <c r="L3022" s="94">
        <v>-469979</v>
      </c>
      <c r="M3022" s="94">
        <v>0</v>
      </c>
    </row>
    <row r="3023" spans="3:13" x14ac:dyDescent="0.3">
      <c r="C3023" t="s">
        <v>71</v>
      </c>
      <c r="D3023" t="s">
        <v>62</v>
      </c>
      <c r="E3023" t="s">
        <v>68</v>
      </c>
      <c r="F3023" t="s">
        <v>24</v>
      </c>
      <c r="G3023" s="4">
        <v>28</v>
      </c>
      <c r="I3023" s="4" t="s">
        <v>65</v>
      </c>
      <c r="J3023" s="4" t="s">
        <v>66</v>
      </c>
      <c r="K3023" s="4">
        <v>1</v>
      </c>
      <c r="L3023" s="94">
        <v>110233</v>
      </c>
      <c r="M3023" s="94">
        <v>3086524</v>
      </c>
    </row>
    <row r="3024" spans="3:13" x14ac:dyDescent="0.3">
      <c r="C3024" t="s">
        <v>70</v>
      </c>
      <c r="D3024" t="s">
        <v>67</v>
      </c>
      <c r="E3024" t="s">
        <v>68</v>
      </c>
      <c r="F3024" t="s">
        <v>26</v>
      </c>
      <c r="G3024" s="4">
        <v>4</v>
      </c>
      <c r="H3024" s="4" t="s">
        <v>76</v>
      </c>
      <c r="I3024" s="4" t="s">
        <v>69</v>
      </c>
      <c r="J3024" s="4" t="s">
        <v>66</v>
      </c>
      <c r="K3024" s="4">
        <v>0</v>
      </c>
      <c r="L3024" s="94">
        <v>2945576</v>
      </c>
      <c r="M3024" s="94">
        <v>11782304</v>
      </c>
    </row>
    <row r="3025" spans="3:13" x14ac:dyDescent="0.3">
      <c r="C3025" t="s">
        <v>70</v>
      </c>
      <c r="D3025" t="s">
        <v>62</v>
      </c>
      <c r="E3025" t="s">
        <v>68</v>
      </c>
      <c r="F3025" t="s">
        <v>24</v>
      </c>
      <c r="G3025" s="4">
        <v>23</v>
      </c>
      <c r="I3025" s="4" t="s">
        <v>69</v>
      </c>
      <c r="J3025" s="4" t="s">
        <v>73</v>
      </c>
      <c r="K3025" s="4">
        <v>1</v>
      </c>
      <c r="L3025" s="94">
        <v>1042</v>
      </c>
      <c r="M3025" s="94">
        <v>23966</v>
      </c>
    </row>
    <row r="3026" spans="3:13" x14ac:dyDescent="0.3">
      <c r="C3026" t="s">
        <v>61</v>
      </c>
      <c r="D3026" t="s">
        <v>67</v>
      </c>
      <c r="E3026" t="s">
        <v>63</v>
      </c>
      <c r="F3026" t="s">
        <v>26</v>
      </c>
      <c r="G3026" s="4">
        <v>1</v>
      </c>
      <c r="H3026" s="4" t="s">
        <v>75</v>
      </c>
      <c r="I3026" s="4" t="s">
        <v>65</v>
      </c>
      <c r="J3026" s="4" t="s">
        <v>66</v>
      </c>
      <c r="K3026" s="4">
        <v>1</v>
      </c>
      <c r="L3026" s="94">
        <v>-15</v>
      </c>
      <c r="M3026" s="94">
        <v>0</v>
      </c>
    </row>
    <row r="3027" spans="3:13" x14ac:dyDescent="0.3">
      <c r="C3027" t="s">
        <v>61</v>
      </c>
      <c r="D3027" t="s">
        <v>67</v>
      </c>
      <c r="E3027" t="s">
        <v>68</v>
      </c>
      <c r="F3027" t="s">
        <v>25</v>
      </c>
      <c r="G3027" s="4">
        <v>9</v>
      </c>
      <c r="H3027" s="4" t="s">
        <v>75</v>
      </c>
      <c r="I3027" s="4" t="s">
        <v>69</v>
      </c>
      <c r="J3027" s="4" t="s">
        <v>66</v>
      </c>
      <c r="K3027" s="4">
        <v>0</v>
      </c>
      <c r="L3027" s="94">
        <v>37297417</v>
      </c>
      <c r="M3027" s="94">
        <v>335676753</v>
      </c>
    </row>
    <row r="3028" spans="3:13" x14ac:dyDescent="0.3">
      <c r="C3028" t="s">
        <v>61</v>
      </c>
      <c r="D3028" t="s">
        <v>67</v>
      </c>
      <c r="E3028" t="s">
        <v>63</v>
      </c>
      <c r="F3028" t="s">
        <v>25</v>
      </c>
      <c r="G3028" s="4">
        <v>2</v>
      </c>
      <c r="H3028" s="4" t="s">
        <v>16</v>
      </c>
      <c r="I3028" s="4" t="s">
        <v>69</v>
      </c>
      <c r="J3028" s="4" t="s">
        <v>66</v>
      </c>
      <c r="K3028" s="4">
        <v>0</v>
      </c>
      <c r="L3028" s="94">
        <v>-557</v>
      </c>
      <c r="M3028" s="94">
        <v>0</v>
      </c>
    </row>
    <row r="3029" spans="3:13" x14ac:dyDescent="0.3">
      <c r="C3029" t="s">
        <v>70</v>
      </c>
      <c r="D3029" t="s">
        <v>67</v>
      </c>
      <c r="E3029" t="s">
        <v>63</v>
      </c>
      <c r="F3029" t="s">
        <v>25</v>
      </c>
      <c r="G3029" s="4">
        <v>11</v>
      </c>
      <c r="H3029" s="4" t="s">
        <v>14</v>
      </c>
      <c r="I3029" s="4" t="s">
        <v>69</v>
      </c>
      <c r="J3029" s="4" t="s">
        <v>66</v>
      </c>
      <c r="K3029" s="4">
        <v>1</v>
      </c>
      <c r="L3029" s="94">
        <v>-62721</v>
      </c>
      <c r="M3029" s="94">
        <v>0</v>
      </c>
    </row>
    <row r="3030" spans="3:13" x14ac:dyDescent="0.3">
      <c r="C3030" t="s">
        <v>70</v>
      </c>
      <c r="D3030" t="s">
        <v>67</v>
      </c>
      <c r="E3030" t="s">
        <v>68</v>
      </c>
      <c r="F3030" t="s">
        <v>72</v>
      </c>
      <c r="G3030" s="4">
        <v>0</v>
      </c>
      <c r="H3030" s="4" t="s">
        <v>64</v>
      </c>
      <c r="I3030" s="4" t="s">
        <v>69</v>
      </c>
      <c r="J3030" s="4" t="s">
        <v>66</v>
      </c>
      <c r="K3030" s="4">
        <v>0</v>
      </c>
      <c r="L3030" s="94">
        <v>136880</v>
      </c>
      <c r="M3030" s="94">
        <v>0</v>
      </c>
    </row>
    <row r="3031" spans="3:13" x14ac:dyDescent="0.3">
      <c r="C3031" t="s">
        <v>61</v>
      </c>
      <c r="D3031" t="s">
        <v>67</v>
      </c>
      <c r="E3031" t="s">
        <v>68</v>
      </c>
      <c r="F3031" t="s">
        <v>26</v>
      </c>
      <c r="G3031" s="4">
        <v>0</v>
      </c>
      <c r="H3031" s="4" t="s">
        <v>13</v>
      </c>
      <c r="I3031" s="4" t="s">
        <v>69</v>
      </c>
      <c r="J3031" s="4" t="s">
        <v>73</v>
      </c>
      <c r="K3031" s="4">
        <v>1</v>
      </c>
      <c r="L3031" s="94">
        <v>2258916</v>
      </c>
      <c r="M3031" s="94">
        <v>0</v>
      </c>
    </row>
    <row r="3032" spans="3:13" x14ac:dyDescent="0.3">
      <c r="C3032" t="s">
        <v>71</v>
      </c>
      <c r="D3032" t="s">
        <v>67</v>
      </c>
      <c r="E3032" t="s">
        <v>63</v>
      </c>
      <c r="F3032" t="s">
        <v>25</v>
      </c>
      <c r="G3032" s="4">
        <v>0</v>
      </c>
      <c r="H3032" s="4" t="s">
        <v>14</v>
      </c>
      <c r="I3032" s="4" t="s">
        <v>69</v>
      </c>
      <c r="J3032" s="4" t="s">
        <v>73</v>
      </c>
      <c r="K3032" s="4">
        <v>1</v>
      </c>
      <c r="L3032" s="94">
        <v>-4532</v>
      </c>
      <c r="M3032" s="94">
        <v>0</v>
      </c>
    </row>
    <row r="3033" spans="3:13" x14ac:dyDescent="0.3">
      <c r="C3033" t="s">
        <v>70</v>
      </c>
      <c r="D3033" t="s">
        <v>67</v>
      </c>
      <c r="E3033" t="s">
        <v>63</v>
      </c>
      <c r="F3033" t="s">
        <v>25</v>
      </c>
      <c r="G3033" s="4">
        <v>13</v>
      </c>
      <c r="H3033" s="4" t="s">
        <v>18</v>
      </c>
      <c r="I3033" s="4" t="s">
        <v>69</v>
      </c>
      <c r="J3033" s="4" t="s">
        <v>66</v>
      </c>
      <c r="K3033" s="4">
        <v>0</v>
      </c>
      <c r="L3033" s="94">
        <v>-46385</v>
      </c>
      <c r="M3033" s="94">
        <v>0</v>
      </c>
    </row>
    <row r="3034" spans="3:13" x14ac:dyDescent="0.3">
      <c r="C3034" t="s">
        <v>61</v>
      </c>
      <c r="D3034" t="s">
        <v>67</v>
      </c>
      <c r="E3034" t="s">
        <v>63</v>
      </c>
      <c r="F3034" t="s">
        <v>26</v>
      </c>
      <c r="G3034" s="4">
        <v>-1</v>
      </c>
      <c r="H3034" s="4" t="s">
        <v>82</v>
      </c>
      <c r="I3034" s="4" t="s">
        <v>65</v>
      </c>
      <c r="J3034" s="4" t="s">
        <v>66</v>
      </c>
      <c r="K3034" s="4">
        <v>1</v>
      </c>
      <c r="L3034" s="94">
        <v>-10417</v>
      </c>
      <c r="M3034" s="94">
        <v>0</v>
      </c>
    </row>
    <row r="3035" spans="3:13" x14ac:dyDescent="0.3">
      <c r="C3035" t="s">
        <v>61</v>
      </c>
      <c r="D3035" t="s">
        <v>67</v>
      </c>
      <c r="E3035" t="s">
        <v>68</v>
      </c>
      <c r="F3035" t="s">
        <v>25</v>
      </c>
      <c r="G3035" s="4">
        <v>5</v>
      </c>
      <c r="H3035" s="4" t="s">
        <v>81</v>
      </c>
      <c r="I3035" s="4" t="s">
        <v>69</v>
      </c>
      <c r="J3035" s="4" t="s">
        <v>66</v>
      </c>
      <c r="K3035" s="4">
        <v>0</v>
      </c>
      <c r="L3035" s="94">
        <v>4602070</v>
      </c>
      <c r="M3035" s="94">
        <v>23010350</v>
      </c>
    </row>
    <row r="3036" spans="3:13" x14ac:dyDescent="0.3">
      <c r="C3036" t="s">
        <v>71</v>
      </c>
      <c r="D3036" t="s">
        <v>67</v>
      </c>
      <c r="E3036" t="s">
        <v>68</v>
      </c>
      <c r="F3036" t="s">
        <v>25</v>
      </c>
      <c r="G3036" s="4">
        <v>-4</v>
      </c>
      <c r="H3036" s="4" t="s">
        <v>75</v>
      </c>
      <c r="I3036" s="4" t="s">
        <v>69</v>
      </c>
      <c r="J3036" s="4" t="s">
        <v>66</v>
      </c>
      <c r="K3036" s="4">
        <v>0</v>
      </c>
      <c r="L3036" s="94">
        <v>5574910</v>
      </c>
      <c r="M3036" s="94">
        <v>0</v>
      </c>
    </row>
    <row r="3037" spans="3:13" x14ac:dyDescent="0.3">
      <c r="C3037" t="s">
        <v>70</v>
      </c>
      <c r="D3037" t="s">
        <v>67</v>
      </c>
      <c r="E3037" t="s">
        <v>63</v>
      </c>
      <c r="F3037" t="s">
        <v>72</v>
      </c>
      <c r="G3037" s="4">
        <v>3</v>
      </c>
      <c r="H3037" s="4" t="s">
        <v>82</v>
      </c>
      <c r="I3037" s="4" t="s">
        <v>69</v>
      </c>
      <c r="J3037" s="4" t="s">
        <v>66</v>
      </c>
      <c r="K3037" s="4">
        <v>0</v>
      </c>
      <c r="L3037" s="94">
        <v>-160901</v>
      </c>
      <c r="M3037" s="94">
        <v>0</v>
      </c>
    </row>
    <row r="3038" spans="3:13" x14ac:dyDescent="0.3">
      <c r="C3038" t="s">
        <v>61</v>
      </c>
      <c r="D3038" t="s">
        <v>67</v>
      </c>
      <c r="E3038" t="s">
        <v>63</v>
      </c>
      <c r="F3038" t="s">
        <v>25</v>
      </c>
      <c r="G3038" s="4">
        <v>13</v>
      </c>
      <c r="H3038" s="4" t="s">
        <v>17</v>
      </c>
      <c r="I3038" s="4" t="s">
        <v>69</v>
      </c>
      <c r="J3038" s="4" t="s">
        <v>66</v>
      </c>
      <c r="K3038" s="4">
        <v>0</v>
      </c>
      <c r="L3038" s="94">
        <v>-27321</v>
      </c>
      <c r="M3038" s="94">
        <v>0</v>
      </c>
    </row>
    <row r="3039" spans="3:13" x14ac:dyDescent="0.3">
      <c r="C3039" t="s">
        <v>61</v>
      </c>
      <c r="D3039" t="s">
        <v>62</v>
      </c>
      <c r="E3039" t="s">
        <v>63</v>
      </c>
      <c r="F3039" t="s">
        <v>24</v>
      </c>
      <c r="G3039" s="4">
        <v>21</v>
      </c>
      <c r="I3039" s="4" t="s">
        <v>69</v>
      </c>
      <c r="J3039" s="4" t="s">
        <v>66</v>
      </c>
      <c r="K3039" s="4">
        <v>1</v>
      </c>
      <c r="L3039" s="94">
        <v>-5148</v>
      </c>
      <c r="M3039" s="94">
        <v>0</v>
      </c>
    </row>
    <row r="3040" spans="3:13" x14ac:dyDescent="0.3">
      <c r="C3040" t="s">
        <v>70</v>
      </c>
      <c r="D3040" t="s">
        <v>67</v>
      </c>
      <c r="E3040" t="s">
        <v>63</v>
      </c>
      <c r="F3040" t="s">
        <v>72</v>
      </c>
      <c r="G3040" s="4">
        <v>2</v>
      </c>
      <c r="H3040" s="4" t="s">
        <v>78</v>
      </c>
      <c r="I3040" s="4" t="s">
        <v>69</v>
      </c>
      <c r="J3040" s="4" t="s">
        <v>66</v>
      </c>
      <c r="K3040" s="4">
        <v>0</v>
      </c>
      <c r="L3040" s="94">
        <v>-247</v>
      </c>
      <c r="M3040" s="94">
        <v>0</v>
      </c>
    </row>
    <row r="3041" spans="3:13" x14ac:dyDescent="0.3">
      <c r="C3041" t="s">
        <v>71</v>
      </c>
      <c r="D3041" t="s">
        <v>67</v>
      </c>
      <c r="E3041" t="s">
        <v>68</v>
      </c>
      <c r="F3041" t="s">
        <v>26</v>
      </c>
      <c r="G3041" s="4">
        <v>5</v>
      </c>
      <c r="H3041" s="4" t="s">
        <v>14</v>
      </c>
      <c r="I3041" s="4" t="s">
        <v>69</v>
      </c>
      <c r="J3041" s="4" t="s">
        <v>73</v>
      </c>
      <c r="K3041" s="4">
        <v>1</v>
      </c>
      <c r="L3041" s="94">
        <v>905065</v>
      </c>
      <c r="M3041" s="94">
        <v>4525325</v>
      </c>
    </row>
    <row r="3042" spans="3:13" x14ac:dyDescent="0.3">
      <c r="C3042" t="s">
        <v>70</v>
      </c>
      <c r="D3042" t="s">
        <v>67</v>
      </c>
      <c r="E3042" t="s">
        <v>68</v>
      </c>
      <c r="F3042" t="s">
        <v>72</v>
      </c>
      <c r="G3042" s="4">
        <v>-4</v>
      </c>
      <c r="H3042" s="4" t="s">
        <v>76</v>
      </c>
      <c r="I3042" s="4" t="s">
        <v>69</v>
      </c>
      <c r="J3042" s="4" t="s">
        <v>66</v>
      </c>
      <c r="K3042" s="4">
        <v>0</v>
      </c>
      <c r="L3042" s="94">
        <v>949</v>
      </c>
      <c r="M3042" s="94">
        <v>0</v>
      </c>
    </row>
    <row r="3043" spans="3:13" x14ac:dyDescent="0.3">
      <c r="C3043" t="s">
        <v>71</v>
      </c>
      <c r="D3043" t="s">
        <v>67</v>
      </c>
      <c r="E3043" t="s">
        <v>68</v>
      </c>
      <c r="F3043" t="s">
        <v>72</v>
      </c>
      <c r="G3043" s="4">
        <v>3</v>
      </c>
      <c r="H3043" s="4" t="s">
        <v>14</v>
      </c>
      <c r="I3043" s="4" t="s">
        <v>69</v>
      </c>
      <c r="J3043" s="4" t="s">
        <v>73</v>
      </c>
      <c r="K3043" s="4">
        <v>1</v>
      </c>
      <c r="L3043" s="94">
        <v>113503</v>
      </c>
      <c r="M3043" s="94">
        <v>340509</v>
      </c>
    </row>
    <row r="3044" spans="3:13" x14ac:dyDescent="0.3">
      <c r="C3044" t="s">
        <v>70</v>
      </c>
      <c r="D3044" t="s">
        <v>67</v>
      </c>
      <c r="E3044" t="s">
        <v>68</v>
      </c>
      <c r="F3044" t="s">
        <v>72</v>
      </c>
      <c r="G3044" s="4">
        <v>1</v>
      </c>
      <c r="H3044" s="4" t="s">
        <v>77</v>
      </c>
      <c r="I3044" s="4" t="s">
        <v>69</v>
      </c>
      <c r="J3044" s="4" t="s">
        <v>66</v>
      </c>
      <c r="K3044" s="4">
        <v>0</v>
      </c>
      <c r="L3044" s="94">
        <v>34811</v>
      </c>
      <c r="M3044" s="94">
        <v>34811</v>
      </c>
    </row>
    <row r="3045" spans="3:13" x14ac:dyDescent="0.3">
      <c r="C3045" t="s">
        <v>61</v>
      </c>
      <c r="D3045" t="s">
        <v>62</v>
      </c>
      <c r="E3045" t="s">
        <v>63</v>
      </c>
      <c r="F3045" t="s">
        <v>24</v>
      </c>
      <c r="G3045" s="4">
        <v>7</v>
      </c>
      <c r="I3045" s="4" t="s">
        <v>65</v>
      </c>
      <c r="J3045" s="4" t="s">
        <v>66</v>
      </c>
      <c r="K3045" s="4">
        <v>1</v>
      </c>
      <c r="L3045" s="94">
        <v>-764</v>
      </c>
      <c r="M3045" s="94">
        <v>0</v>
      </c>
    </row>
    <row r="3046" spans="3:13" x14ac:dyDescent="0.3">
      <c r="C3046" t="s">
        <v>70</v>
      </c>
      <c r="D3046" t="s">
        <v>67</v>
      </c>
      <c r="E3046" t="s">
        <v>68</v>
      </c>
      <c r="F3046" t="s">
        <v>26</v>
      </c>
      <c r="G3046" s="4">
        <v>0</v>
      </c>
      <c r="H3046" s="4" t="s">
        <v>12</v>
      </c>
      <c r="I3046" s="4" t="s">
        <v>69</v>
      </c>
      <c r="J3046" s="4" t="s">
        <v>66</v>
      </c>
      <c r="K3046" s="4">
        <v>0</v>
      </c>
      <c r="L3046" s="94">
        <v>248771</v>
      </c>
      <c r="M3046" s="94">
        <v>0</v>
      </c>
    </row>
    <row r="3047" spans="3:13" x14ac:dyDescent="0.3">
      <c r="C3047" t="s">
        <v>61</v>
      </c>
      <c r="D3047" t="s">
        <v>62</v>
      </c>
      <c r="E3047" t="s">
        <v>68</v>
      </c>
      <c r="F3047" t="s">
        <v>24</v>
      </c>
      <c r="G3047" s="4">
        <v>45</v>
      </c>
      <c r="I3047" s="4" t="s">
        <v>69</v>
      </c>
      <c r="J3047" s="4" t="s">
        <v>66</v>
      </c>
      <c r="K3047" s="4">
        <v>1</v>
      </c>
      <c r="L3047" s="94">
        <v>141357</v>
      </c>
      <c r="M3047" s="94">
        <v>6361065</v>
      </c>
    </row>
    <row r="3048" spans="3:13" x14ac:dyDescent="0.3">
      <c r="C3048" t="s">
        <v>71</v>
      </c>
      <c r="D3048" t="s">
        <v>67</v>
      </c>
      <c r="E3048" t="s">
        <v>63</v>
      </c>
      <c r="F3048" t="s">
        <v>25</v>
      </c>
      <c r="G3048" s="4">
        <v>1</v>
      </c>
      <c r="H3048" s="4" t="s">
        <v>14</v>
      </c>
      <c r="I3048" s="4" t="s">
        <v>69</v>
      </c>
      <c r="J3048" s="4" t="s">
        <v>66</v>
      </c>
      <c r="K3048" s="4">
        <v>1</v>
      </c>
      <c r="L3048" s="94">
        <v>-383640</v>
      </c>
      <c r="M3048" s="94">
        <v>0</v>
      </c>
    </row>
    <row r="3049" spans="3:13" x14ac:dyDescent="0.3">
      <c r="C3049" t="s">
        <v>70</v>
      </c>
      <c r="D3049" t="s">
        <v>67</v>
      </c>
      <c r="E3049" t="s">
        <v>68</v>
      </c>
      <c r="F3049" t="s">
        <v>26</v>
      </c>
      <c r="G3049" s="4">
        <v>-1</v>
      </c>
      <c r="H3049" s="4" t="s">
        <v>82</v>
      </c>
      <c r="I3049" s="4" t="s">
        <v>69</v>
      </c>
      <c r="J3049" s="4" t="s">
        <v>66</v>
      </c>
      <c r="K3049" s="4">
        <v>0</v>
      </c>
      <c r="L3049" s="94">
        <v>7148097</v>
      </c>
      <c r="M3049" s="94">
        <v>0</v>
      </c>
    </row>
    <row r="3050" spans="3:13" x14ac:dyDescent="0.3">
      <c r="C3050" t="s">
        <v>70</v>
      </c>
      <c r="D3050" t="s">
        <v>67</v>
      </c>
      <c r="E3050" t="s">
        <v>68</v>
      </c>
      <c r="F3050" t="s">
        <v>72</v>
      </c>
      <c r="G3050" s="4">
        <v>3</v>
      </c>
      <c r="H3050" s="4" t="s">
        <v>12</v>
      </c>
      <c r="I3050" s="4" t="s">
        <v>69</v>
      </c>
      <c r="J3050" s="4" t="s">
        <v>66</v>
      </c>
      <c r="K3050" s="4">
        <v>0</v>
      </c>
      <c r="L3050" s="94">
        <v>513047</v>
      </c>
      <c r="M3050" s="94">
        <v>1539141</v>
      </c>
    </row>
    <row r="3051" spans="3:13" x14ac:dyDescent="0.3">
      <c r="C3051" t="s">
        <v>61</v>
      </c>
      <c r="D3051" t="s">
        <v>67</v>
      </c>
      <c r="E3051" t="s">
        <v>68</v>
      </c>
      <c r="F3051" t="s">
        <v>72</v>
      </c>
      <c r="G3051" s="4">
        <v>-1</v>
      </c>
      <c r="H3051" s="4" t="s">
        <v>18</v>
      </c>
      <c r="I3051" s="4" t="s">
        <v>69</v>
      </c>
      <c r="J3051" s="4" t="s">
        <v>66</v>
      </c>
      <c r="K3051" s="4">
        <v>0</v>
      </c>
      <c r="L3051" s="94">
        <v>8541053</v>
      </c>
      <c r="M3051" s="94">
        <v>0</v>
      </c>
    </row>
    <row r="3052" spans="3:13" x14ac:dyDescent="0.3">
      <c r="C3052" t="s">
        <v>61</v>
      </c>
      <c r="D3052" t="s">
        <v>67</v>
      </c>
      <c r="E3052" t="s">
        <v>63</v>
      </c>
      <c r="F3052" t="s">
        <v>72</v>
      </c>
      <c r="G3052" s="4">
        <v>3</v>
      </c>
      <c r="H3052" s="4" t="s">
        <v>82</v>
      </c>
      <c r="I3052" s="4" t="s">
        <v>69</v>
      </c>
      <c r="J3052" s="4" t="s">
        <v>66</v>
      </c>
      <c r="K3052" s="4">
        <v>0</v>
      </c>
      <c r="L3052" s="94">
        <v>-45461</v>
      </c>
      <c r="M3052" s="94">
        <v>0</v>
      </c>
    </row>
    <row r="3053" spans="3:13" x14ac:dyDescent="0.3">
      <c r="C3053" t="s">
        <v>61</v>
      </c>
      <c r="D3053" t="s">
        <v>67</v>
      </c>
      <c r="E3053" t="s">
        <v>68</v>
      </c>
      <c r="F3053" t="s">
        <v>72</v>
      </c>
      <c r="G3053" s="4">
        <v>17</v>
      </c>
      <c r="H3053" s="4" t="s">
        <v>80</v>
      </c>
      <c r="I3053" s="4" t="s">
        <v>69</v>
      </c>
      <c r="J3053" s="4" t="s">
        <v>66</v>
      </c>
      <c r="K3053" s="4">
        <v>0</v>
      </c>
      <c r="L3053" s="94">
        <v>1882773</v>
      </c>
      <c r="M3053" s="94">
        <v>32007141</v>
      </c>
    </row>
    <row r="3054" spans="3:13" x14ac:dyDescent="0.3">
      <c r="C3054" t="s">
        <v>61</v>
      </c>
      <c r="D3054" t="s">
        <v>67</v>
      </c>
      <c r="E3054" t="s">
        <v>63</v>
      </c>
      <c r="F3054" t="s">
        <v>26</v>
      </c>
      <c r="G3054" s="4">
        <v>9</v>
      </c>
      <c r="H3054" s="4" t="s">
        <v>14</v>
      </c>
      <c r="I3054" s="4" t="s">
        <v>69</v>
      </c>
      <c r="J3054" s="4" t="s">
        <v>73</v>
      </c>
      <c r="K3054" s="4">
        <v>1</v>
      </c>
      <c r="L3054" s="94">
        <v>-1158</v>
      </c>
      <c r="M3054" s="94">
        <v>0</v>
      </c>
    </row>
    <row r="3055" spans="3:13" x14ac:dyDescent="0.3">
      <c r="C3055" t="s">
        <v>70</v>
      </c>
      <c r="D3055" t="s">
        <v>67</v>
      </c>
      <c r="E3055" t="s">
        <v>68</v>
      </c>
      <c r="F3055" t="s">
        <v>26</v>
      </c>
      <c r="G3055" s="4">
        <v>7</v>
      </c>
      <c r="H3055" s="4" t="s">
        <v>83</v>
      </c>
      <c r="I3055" s="4" t="s">
        <v>69</v>
      </c>
      <c r="J3055" s="4" t="s">
        <v>66</v>
      </c>
      <c r="K3055" s="4">
        <v>0</v>
      </c>
      <c r="L3055" s="94">
        <v>22386</v>
      </c>
      <c r="M3055" s="94">
        <v>156702</v>
      </c>
    </row>
    <row r="3056" spans="3:13" x14ac:dyDescent="0.3">
      <c r="C3056" t="s">
        <v>61</v>
      </c>
      <c r="D3056" t="s">
        <v>67</v>
      </c>
      <c r="E3056" t="s">
        <v>63</v>
      </c>
      <c r="F3056" t="s">
        <v>25</v>
      </c>
      <c r="G3056" s="4">
        <v>7</v>
      </c>
      <c r="H3056" s="4" t="s">
        <v>78</v>
      </c>
      <c r="I3056" s="4" t="s">
        <v>69</v>
      </c>
      <c r="J3056" s="4" t="s">
        <v>66</v>
      </c>
      <c r="K3056" s="4">
        <v>0</v>
      </c>
      <c r="L3056" s="94">
        <v>-1184</v>
      </c>
      <c r="M3056" s="94">
        <v>0</v>
      </c>
    </row>
    <row r="3057" spans="3:13" x14ac:dyDescent="0.3">
      <c r="C3057" t="s">
        <v>71</v>
      </c>
      <c r="D3057" t="s">
        <v>67</v>
      </c>
      <c r="E3057" t="s">
        <v>63</v>
      </c>
      <c r="F3057" t="s">
        <v>25</v>
      </c>
      <c r="G3057" s="4">
        <v>-4</v>
      </c>
      <c r="H3057" s="4" t="s">
        <v>75</v>
      </c>
      <c r="I3057" s="4" t="s">
        <v>69</v>
      </c>
      <c r="J3057" s="4" t="s">
        <v>66</v>
      </c>
      <c r="K3057" s="4">
        <v>1</v>
      </c>
      <c r="L3057" s="94">
        <v>-11921911</v>
      </c>
      <c r="M3057" s="94">
        <v>0</v>
      </c>
    </row>
    <row r="3058" spans="3:13" x14ac:dyDescent="0.3">
      <c r="C3058" t="s">
        <v>61</v>
      </c>
      <c r="D3058" t="s">
        <v>67</v>
      </c>
      <c r="E3058" t="s">
        <v>63</v>
      </c>
      <c r="F3058" t="s">
        <v>72</v>
      </c>
      <c r="G3058" s="4">
        <v>2</v>
      </c>
      <c r="H3058" s="4" t="s">
        <v>78</v>
      </c>
      <c r="I3058" s="4" t="s">
        <v>69</v>
      </c>
      <c r="J3058" s="4" t="s">
        <v>66</v>
      </c>
      <c r="K3058" s="4">
        <v>0</v>
      </c>
      <c r="L3058" s="94">
        <v>-229</v>
      </c>
      <c r="M3058" s="94">
        <v>0</v>
      </c>
    </row>
    <row r="3059" spans="3:13" x14ac:dyDescent="0.3">
      <c r="C3059" t="s">
        <v>61</v>
      </c>
      <c r="D3059" t="s">
        <v>67</v>
      </c>
      <c r="E3059" t="s">
        <v>63</v>
      </c>
      <c r="F3059" t="s">
        <v>26</v>
      </c>
      <c r="G3059" s="4">
        <v>4</v>
      </c>
      <c r="H3059" s="4" t="s">
        <v>12</v>
      </c>
      <c r="I3059" s="4" t="s">
        <v>65</v>
      </c>
      <c r="J3059" s="4" t="s">
        <v>66</v>
      </c>
      <c r="K3059" s="4">
        <v>1</v>
      </c>
      <c r="L3059" s="94">
        <v>-692</v>
      </c>
      <c r="M3059" s="94">
        <v>0</v>
      </c>
    </row>
    <row r="3060" spans="3:13" x14ac:dyDescent="0.3">
      <c r="C3060" t="s">
        <v>70</v>
      </c>
      <c r="D3060" t="s">
        <v>67</v>
      </c>
      <c r="E3060" t="s">
        <v>63</v>
      </c>
      <c r="F3060" t="s">
        <v>25</v>
      </c>
      <c r="G3060" s="4">
        <v>7</v>
      </c>
      <c r="H3060" s="4" t="s">
        <v>79</v>
      </c>
      <c r="I3060" s="4" t="s">
        <v>69</v>
      </c>
      <c r="J3060" s="4" t="s">
        <v>66</v>
      </c>
      <c r="K3060" s="4">
        <v>0</v>
      </c>
      <c r="L3060" s="94">
        <v>-6125</v>
      </c>
      <c r="M3060" s="94">
        <v>0</v>
      </c>
    </row>
    <row r="3061" spans="3:13" x14ac:dyDescent="0.3">
      <c r="C3061" t="s">
        <v>70</v>
      </c>
      <c r="D3061" t="s">
        <v>62</v>
      </c>
      <c r="E3061" t="s">
        <v>63</v>
      </c>
      <c r="F3061" t="s">
        <v>25</v>
      </c>
      <c r="G3061" s="4">
        <v>35</v>
      </c>
      <c r="I3061" s="4" t="s">
        <v>69</v>
      </c>
      <c r="J3061" s="4" t="s">
        <v>66</v>
      </c>
      <c r="K3061" s="4">
        <v>0</v>
      </c>
      <c r="L3061" s="94">
        <v>-12639</v>
      </c>
      <c r="M3061" s="94">
        <v>0</v>
      </c>
    </row>
    <row r="3062" spans="3:13" x14ac:dyDescent="0.3">
      <c r="C3062" t="s">
        <v>70</v>
      </c>
      <c r="D3062" t="s">
        <v>67</v>
      </c>
      <c r="E3062" t="s">
        <v>68</v>
      </c>
      <c r="F3062" t="s">
        <v>26</v>
      </c>
      <c r="G3062" s="4">
        <v>4</v>
      </c>
      <c r="H3062" s="4" t="s">
        <v>18</v>
      </c>
      <c r="I3062" s="4" t="s">
        <v>69</v>
      </c>
      <c r="J3062" s="4" t="s">
        <v>66</v>
      </c>
      <c r="K3062" s="4">
        <v>0</v>
      </c>
      <c r="L3062" s="94">
        <v>16275629</v>
      </c>
      <c r="M3062" s="94">
        <v>65102516</v>
      </c>
    </row>
    <row r="3063" spans="3:13" x14ac:dyDescent="0.3">
      <c r="C3063" t="s">
        <v>70</v>
      </c>
      <c r="D3063" t="s">
        <v>67</v>
      </c>
      <c r="E3063" t="s">
        <v>63</v>
      </c>
      <c r="F3063" t="s">
        <v>72</v>
      </c>
      <c r="G3063" s="4">
        <v>6</v>
      </c>
      <c r="H3063" s="4" t="s">
        <v>64</v>
      </c>
      <c r="I3063" s="4" t="s">
        <v>69</v>
      </c>
      <c r="J3063" s="4" t="s">
        <v>66</v>
      </c>
      <c r="K3063" s="4">
        <v>0</v>
      </c>
      <c r="L3063" s="94">
        <v>-6862</v>
      </c>
      <c r="M3063" s="94">
        <v>0</v>
      </c>
    </row>
    <row r="3064" spans="3:13" x14ac:dyDescent="0.3">
      <c r="C3064" t="s">
        <v>70</v>
      </c>
      <c r="D3064" t="s">
        <v>67</v>
      </c>
      <c r="E3064" t="s">
        <v>63</v>
      </c>
      <c r="F3064" t="s">
        <v>26</v>
      </c>
      <c r="G3064" s="4">
        <v>4</v>
      </c>
      <c r="H3064" s="4" t="s">
        <v>83</v>
      </c>
      <c r="I3064" s="4" t="s">
        <v>69</v>
      </c>
      <c r="J3064" s="4" t="s">
        <v>66</v>
      </c>
      <c r="K3064" s="4">
        <v>0</v>
      </c>
      <c r="L3064" s="94">
        <v>-112642</v>
      </c>
      <c r="M3064" s="94">
        <v>0</v>
      </c>
    </row>
    <row r="3065" spans="3:13" x14ac:dyDescent="0.3">
      <c r="C3065" t="s">
        <v>61</v>
      </c>
      <c r="D3065" t="s">
        <v>67</v>
      </c>
      <c r="E3065" t="s">
        <v>68</v>
      </c>
      <c r="F3065" t="s">
        <v>72</v>
      </c>
      <c r="G3065" s="4">
        <v>4</v>
      </c>
      <c r="H3065" s="4" t="s">
        <v>15</v>
      </c>
      <c r="I3065" s="4" t="s">
        <v>69</v>
      </c>
      <c r="J3065" s="4" t="s">
        <v>66</v>
      </c>
      <c r="K3065" s="4">
        <v>0</v>
      </c>
      <c r="L3065" s="94">
        <v>81782</v>
      </c>
      <c r="M3065" s="94">
        <v>327128</v>
      </c>
    </row>
    <row r="3066" spans="3:13" x14ac:dyDescent="0.3">
      <c r="C3066" t="s">
        <v>70</v>
      </c>
      <c r="D3066" t="s">
        <v>62</v>
      </c>
      <c r="E3066" t="s">
        <v>63</v>
      </c>
      <c r="F3066" t="s">
        <v>24</v>
      </c>
      <c r="G3066" s="4">
        <v>50</v>
      </c>
      <c r="I3066" s="4" t="s">
        <v>69</v>
      </c>
      <c r="J3066" s="4" t="s">
        <v>66</v>
      </c>
      <c r="K3066" s="4">
        <v>0</v>
      </c>
      <c r="L3066" s="94">
        <v>-4826</v>
      </c>
      <c r="M3066" s="94">
        <v>0</v>
      </c>
    </row>
    <row r="3067" spans="3:13" x14ac:dyDescent="0.3">
      <c r="C3067" t="s">
        <v>61</v>
      </c>
      <c r="D3067" t="s">
        <v>62</v>
      </c>
      <c r="E3067" t="s">
        <v>63</v>
      </c>
      <c r="F3067" t="s">
        <v>24</v>
      </c>
      <c r="G3067" s="4">
        <v>11</v>
      </c>
      <c r="I3067" s="4" t="s">
        <v>69</v>
      </c>
      <c r="J3067" s="4" t="s">
        <v>66</v>
      </c>
      <c r="K3067" s="4">
        <v>0</v>
      </c>
      <c r="L3067" s="94">
        <v>-88037</v>
      </c>
      <c r="M3067" s="94">
        <v>0</v>
      </c>
    </row>
    <row r="3068" spans="3:13" x14ac:dyDescent="0.3">
      <c r="C3068" t="s">
        <v>61</v>
      </c>
      <c r="D3068" t="s">
        <v>67</v>
      </c>
      <c r="E3068" t="s">
        <v>68</v>
      </c>
      <c r="F3068" t="s">
        <v>26</v>
      </c>
      <c r="G3068" s="4">
        <v>3</v>
      </c>
      <c r="H3068" s="4" t="s">
        <v>18</v>
      </c>
      <c r="I3068" s="4" t="s">
        <v>69</v>
      </c>
      <c r="J3068" s="4" t="s">
        <v>73</v>
      </c>
      <c r="K3068" s="4">
        <v>1</v>
      </c>
      <c r="L3068" s="94">
        <v>6399906</v>
      </c>
      <c r="M3068" s="94">
        <v>19199718</v>
      </c>
    </row>
    <row r="3069" spans="3:13" x14ac:dyDescent="0.3">
      <c r="C3069" t="s">
        <v>70</v>
      </c>
      <c r="D3069" t="s">
        <v>67</v>
      </c>
      <c r="E3069" t="s">
        <v>68</v>
      </c>
      <c r="F3069" t="s">
        <v>26</v>
      </c>
      <c r="G3069" s="4">
        <v>6</v>
      </c>
      <c r="H3069" s="4" t="s">
        <v>79</v>
      </c>
      <c r="I3069" s="4" t="s">
        <v>69</v>
      </c>
      <c r="J3069" s="4" t="s">
        <v>66</v>
      </c>
      <c r="K3069" s="4">
        <v>0</v>
      </c>
      <c r="L3069" s="94">
        <v>3032107</v>
      </c>
      <c r="M3069" s="94">
        <v>18192642</v>
      </c>
    </row>
    <row r="3070" spans="3:13" x14ac:dyDescent="0.3">
      <c r="C3070" t="s">
        <v>61</v>
      </c>
      <c r="D3070" t="s">
        <v>67</v>
      </c>
      <c r="E3070" t="s">
        <v>63</v>
      </c>
      <c r="F3070" t="s">
        <v>72</v>
      </c>
      <c r="G3070" s="4">
        <v>3</v>
      </c>
      <c r="H3070" s="4" t="s">
        <v>14</v>
      </c>
      <c r="I3070" s="4" t="s">
        <v>65</v>
      </c>
      <c r="J3070" s="4" t="s">
        <v>73</v>
      </c>
      <c r="K3070" s="4">
        <v>1</v>
      </c>
      <c r="L3070" s="94">
        <v>-35</v>
      </c>
      <c r="M3070" s="94">
        <v>0</v>
      </c>
    </row>
    <row r="3071" spans="3:13" x14ac:dyDescent="0.3">
      <c r="C3071" t="s">
        <v>70</v>
      </c>
      <c r="D3071" t="s">
        <v>62</v>
      </c>
      <c r="E3071" t="s">
        <v>63</v>
      </c>
      <c r="F3071" t="s">
        <v>24</v>
      </c>
      <c r="G3071" s="4">
        <v>15</v>
      </c>
      <c r="I3071" s="4" t="s">
        <v>69</v>
      </c>
      <c r="J3071" s="4" t="s">
        <v>66</v>
      </c>
      <c r="K3071" s="4">
        <v>0</v>
      </c>
      <c r="L3071" s="94">
        <v>-472240</v>
      </c>
      <c r="M3071" s="94">
        <v>0</v>
      </c>
    </row>
    <row r="3072" spans="3:13" x14ac:dyDescent="0.3">
      <c r="C3072" t="s">
        <v>70</v>
      </c>
      <c r="D3072" t="s">
        <v>67</v>
      </c>
      <c r="E3072" t="s">
        <v>68</v>
      </c>
      <c r="F3072" t="s">
        <v>26</v>
      </c>
      <c r="G3072" s="4">
        <v>14</v>
      </c>
      <c r="H3072" s="4" t="s">
        <v>76</v>
      </c>
      <c r="I3072" s="4" t="s">
        <v>69</v>
      </c>
      <c r="J3072" s="4" t="s">
        <v>66</v>
      </c>
      <c r="K3072" s="4">
        <v>0</v>
      </c>
      <c r="L3072" s="94">
        <v>39467</v>
      </c>
      <c r="M3072" s="94">
        <v>552538</v>
      </c>
    </row>
    <row r="3073" spans="3:13" x14ac:dyDescent="0.3">
      <c r="C3073" t="s">
        <v>70</v>
      </c>
      <c r="D3073" t="s">
        <v>67</v>
      </c>
      <c r="E3073" t="s">
        <v>63</v>
      </c>
      <c r="F3073" t="s">
        <v>25</v>
      </c>
      <c r="G3073" s="4">
        <v>8</v>
      </c>
      <c r="H3073" s="4" t="s">
        <v>12</v>
      </c>
      <c r="I3073" s="4" t="s">
        <v>69</v>
      </c>
      <c r="J3073" s="4" t="s">
        <v>66</v>
      </c>
      <c r="K3073" s="4">
        <v>1</v>
      </c>
      <c r="L3073" s="94">
        <v>-20468</v>
      </c>
      <c r="M3073" s="94">
        <v>0</v>
      </c>
    </row>
    <row r="3074" spans="3:13" x14ac:dyDescent="0.3">
      <c r="C3074" t="s">
        <v>70</v>
      </c>
      <c r="D3074" t="s">
        <v>62</v>
      </c>
      <c r="E3074" t="s">
        <v>63</v>
      </c>
      <c r="F3074" t="s">
        <v>24</v>
      </c>
      <c r="G3074" s="4">
        <v>16</v>
      </c>
      <c r="I3074" s="4" t="s">
        <v>65</v>
      </c>
      <c r="J3074" s="4" t="s">
        <v>66</v>
      </c>
      <c r="K3074" s="4">
        <v>1</v>
      </c>
      <c r="L3074" s="94">
        <v>-3412</v>
      </c>
      <c r="M3074" s="94">
        <v>0</v>
      </c>
    </row>
    <row r="3075" spans="3:13" x14ac:dyDescent="0.3">
      <c r="C3075" t="s">
        <v>71</v>
      </c>
      <c r="D3075" t="s">
        <v>62</v>
      </c>
      <c r="E3075" t="s">
        <v>68</v>
      </c>
      <c r="F3075" t="s">
        <v>24</v>
      </c>
      <c r="G3075" s="4">
        <v>21</v>
      </c>
      <c r="I3075" s="4" t="s">
        <v>69</v>
      </c>
      <c r="J3075" s="4" t="s">
        <v>66</v>
      </c>
      <c r="K3075" s="4">
        <v>1</v>
      </c>
      <c r="L3075" s="94">
        <v>350917</v>
      </c>
      <c r="M3075" s="94">
        <v>7369257</v>
      </c>
    </row>
    <row r="3076" spans="3:13" x14ac:dyDescent="0.3">
      <c r="C3076" t="s">
        <v>61</v>
      </c>
      <c r="D3076" t="s">
        <v>67</v>
      </c>
      <c r="E3076" t="s">
        <v>63</v>
      </c>
      <c r="F3076" t="s">
        <v>26</v>
      </c>
      <c r="G3076" s="4">
        <v>12</v>
      </c>
      <c r="H3076" s="4" t="s">
        <v>75</v>
      </c>
      <c r="I3076" s="4" t="s">
        <v>69</v>
      </c>
      <c r="J3076" s="4" t="s">
        <v>66</v>
      </c>
      <c r="K3076" s="4">
        <v>0</v>
      </c>
      <c r="L3076" s="94">
        <v>-4973</v>
      </c>
      <c r="M3076" s="94">
        <v>0</v>
      </c>
    </row>
    <row r="3077" spans="3:13" x14ac:dyDescent="0.3">
      <c r="C3077" t="s">
        <v>61</v>
      </c>
      <c r="D3077" t="s">
        <v>67</v>
      </c>
      <c r="E3077" t="s">
        <v>68</v>
      </c>
      <c r="F3077" t="s">
        <v>72</v>
      </c>
      <c r="G3077" s="4">
        <v>4</v>
      </c>
      <c r="H3077" s="4" t="s">
        <v>17</v>
      </c>
      <c r="I3077" s="4" t="s">
        <v>65</v>
      </c>
      <c r="J3077" s="4" t="s">
        <v>73</v>
      </c>
      <c r="K3077" s="4">
        <v>1</v>
      </c>
      <c r="L3077" s="94">
        <v>464215</v>
      </c>
      <c r="M3077" s="94">
        <v>1856860</v>
      </c>
    </row>
    <row r="3078" spans="3:13" x14ac:dyDescent="0.3">
      <c r="C3078" t="s">
        <v>70</v>
      </c>
      <c r="D3078" t="s">
        <v>67</v>
      </c>
      <c r="E3078" t="s">
        <v>63</v>
      </c>
      <c r="F3078" t="s">
        <v>26</v>
      </c>
      <c r="G3078" s="4">
        <v>0</v>
      </c>
      <c r="H3078" s="4" t="s">
        <v>15</v>
      </c>
      <c r="I3078" s="4" t="s">
        <v>69</v>
      </c>
      <c r="J3078" s="4" t="s">
        <v>66</v>
      </c>
      <c r="K3078" s="4">
        <v>0</v>
      </c>
      <c r="L3078" s="94">
        <v>-1461</v>
      </c>
      <c r="M3078" s="94">
        <v>0</v>
      </c>
    </row>
    <row r="3079" spans="3:13" x14ac:dyDescent="0.3">
      <c r="C3079" t="s">
        <v>71</v>
      </c>
      <c r="D3079" t="s">
        <v>67</v>
      </c>
      <c r="E3079" t="s">
        <v>68</v>
      </c>
      <c r="F3079" t="s">
        <v>25</v>
      </c>
      <c r="G3079" s="4">
        <v>14</v>
      </c>
      <c r="H3079" s="4" t="s">
        <v>64</v>
      </c>
      <c r="I3079" s="4" t="s">
        <v>69</v>
      </c>
      <c r="J3079" s="4" t="s">
        <v>66</v>
      </c>
      <c r="K3079" s="4">
        <v>0</v>
      </c>
      <c r="L3079" s="94">
        <v>139174</v>
      </c>
      <c r="M3079" s="94">
        <v>1948436</v>
      </c>
    </row>
    <row r="3080" spans="3:13" x14ac:dyDescent="0.3">
      <c r="C3080" t="s">
        <v>70</v>
      </c>
      <c r="D3080" t="s">
        <v>67</v>
      </c>
      <c r="E3080" t="s">
        <v>63</v>
      </c>
      <c r="F3080" t="s">
        <v>25</v>
      </c>
      <c r="G3080" s="4">
        <v>9</v>
      </c>
      <c r="H3080" s="4" t="s">
        <v>77</v>
      </c>
      <c r="I3080" s="4" t="s">
        <v>69</v>
      </c>
      <c r="J3080" s="4" t="s">
        <v>66</v>
      </c>
      <c r="K3080" s="4">
        <v>0</v>
      </c>
      <c r="L3080" s="94">
        <v>-39962</v>
      </c>
      <c r="M3080" s="94">
        <v>0</v>
      </c>
    </row>
    <row r="3081" spans="3:13" x14ac:dyDescent="0.3">
      <c r="C3081" t="s">
        <v>61</v>
      </c>
      <c r="D3081" t="s">
        <v>67</v>
      </c>
      <c r="E3081" t="s">
        <v>68</v>
      </c>
      <c r="F3081" t="s">
        <v>25</v>
      </c>
      <c r="G3081" s="4">
        <v>13</v>
      </c>
      <c r="H3081" s="4" t="s">
        <v>12</v>
      </c>
      <c r="I3081" s="4" t="s">
        <v>69</v>
      </c>
      <c r="J3081" s="4" t="s">
        <v>66</v>
      </c>
      <c r="K3081" s="4">
        <v>1</v>
      </c>
      <c r="L3081" s="94">
        <v>4482227</v>
      </c>
      <c r="M3081" s="94">
        <v>58268951</v>
      </c>
    </row>
    <row r="3082" spans="3:13" x14ac:dyDescent="0.3">
      <c r="C3082" t="s">
        <v>61</v>
      </c>
      <c r="D3082" t="s">
        <v>62</v>
      </c>
      <c r="E3082" t="s">
        <v>68</v>
      </c>
      <c r="F3082" t="s">
        <v>24</v>
      </c>
      <c r="G3082" s="4">
        <v>0</v>
      </c>
      <c r="I3082" s="4" t="s">
        <v>65</v>
      </c>
      <c r="J3082" s="4" t="s">
        <v>66</v>
      </c>
      <c r="K3082" s="4">
        <v>1</v>
      </c>
      <c r="L3082" s="94">
        <v>19099</v>
      </c>
      <c r="M3082" s="94">
        <v>0</v>
      </c>
    </row>
    <row r="3083" spans="3:13" x14ac:dyDescent="0.3">
      <c r="C3083" t="s">
        <v>61</v>
      </c>
      <c r="D3083" t="s">
        <v>67</v>
      </c>
      <c r="E3083" t="s">
        <v>63</v>
      </c>
      <c r="F3083" t="s">
        <v>25</v>
      </c>
      <c r="G3083" s="4">
        <v>9</v>
      </c>
      <c r="H3083" s="4" t="s">
        <v>81</v>
      </c>
      <c r="I3083" s="4" t="s">
        <v>69</v>
      </c>
      <c r="J3083" s="4" t="s">
        <v>66</v>
      </c>
      <c r="K3083" s="4">
        <v>0</v>
      </c>
      <c r="L3083" s="94">
        <v>-185</v>
      </c>
      <c r="M3083" s="94">
        <v>0</v>
      </c>
    </row>
    <row r="3084" spans="3:13" x14ac:dyDescent="0.3">
      <c r="C3084" t="s">
        <v>61</v>
      </c>
      <c r="D3084" t="s">
        <v>67</v>
      </c>
      <c r="E3084" t="s">
        <v>68</v>
      </c>
      <c r="F3084" t="s">
        <v>25</v>
      </c>
      <c r="G3084" s="4">
        <v>12</v>
      </c>
      <c r="H3084" s="4" t="s">
        <v>82</v>
      </c>
      <c r="I3084" s="4" t="s">
        <v>69</v>
      </c>
      <c r="J3084" s="4" t="s">
        <v>66</v>
      </c>
      <c r="K3084" s="4">
        <v>0</v>
      </c>
      <c r="L3084" s="94">
        <v>248788</v>
      </c>
      <c r="M3084" s="94">
        <v>2985456</v>
      </c>
    </row>
    <row r="3085" spans="3:13" x14ac:dyDescent="0.3">
      <c r="C3085" t="s">
        <v>61</v>
      </c>
      <c r="D3085" t="s">
        <v>67</v>
      </c>
      <c r="E3085" t="s">
        <v>68</v>
      </c>
      <c r="F3085" t="s">
        <v>26</v>
      </c>
      <c r="G3085" s="4">
        <v>7</v>
      </c>
      <c r="H3085" s="4" t="s">
        <v>12</v>
      </c>
      <c r="I3085" s="4" t="s">
        <v>69</v>
      </c>
      <c r="J3085" s="4" t="s">
        <v>73</v>
      </c>
      <c r="K3085" s="4">
        <v>1</v>
      </c>
      <c r="L3085" s="94">
        <v>2124380</v>
      </c>
      <c r="M3085" s="94">
        <v>14870660</v>
      </c>
    </row>
    <row r="3086" spans="3:13" x14ac:dyDescent="0.3">
      <c r="C3086" t="s">
        <v>71</v>
      </c>
      <c r="D3086" t="s">
        <v>67</v>
      </c>
      <c r="E3086" t="s">
        <v>63</v>
      </c>
      <c r="F3086" t="s">
        <v>26</v>
      </c>
      <c r="G3086" s="4">
        <v>8</v>
      </c>
      <c r="H3086" s="4" t="s">
        <v>12</v>
      </c>
      <c r="I3086" s="4" t="s">
        <v>69</v>
      </c>
      <c r="J3086" s="4" t="s">
        <v>73</v>
      </c>
      <c r="K3086" s="4">
        <v>1</v>
      </c>
      <c r="L3086" s="94">
        <v>-78706</v>
      </c>
      <c r="M3086" s="94">
        <v>0</v>
      </c>
    </row>
    <row r="3087" spans="3:13" x14ac:dyDescent="0.3">
      <c r="C3087" t="s">
        <v>70</v>
      </c>
      <c r="D3087" t="s">
        <v>67</v>
      </c>
      <c r="E3087" t="s">
        <v>63</v>
      </c>
      <c r="F3087" t="s">
        <v>26</v>
      </c>
      <c r="G3087" s="4">
        <v>6</v>
      </c>
      <c r="H3087" s="4" t="s">
        <v>14</v>
      </c>
      <c r="I3087" s="4" t="s">
        <v>69</v>
      </c>
      <c r="J3087" s="4" t="s">
        <v>73</v>
      </c>
      <c r="K3087" s="4">
        <v>1</v>
      </c>
      <c r="L3087" s="94">
        <v>-315606</v>
      </c>
      <c r="M3087" s="94">
        <v>0</v>
      </c>
    </row>
    <row r="3088" spans="3:13" x14ac:dyDescent="0.3">
      <c r="C3088" t="s">
        <v>70</v>
      </c>
      <c r="D3088" t="s">
        <v>62</v>
      </c>
      <c r="E3088" t="s">
        <v>63</v>
      </c>
      <c r="F3088" t="s">
        <v>24</v>
      </c>
      <c r="G3088" s="4">
        <v>14</v>
      </c>
      <c r="I3088" s="4" t="s">
        <v>69</v>
      </c>
      <c r="J3088" s="4" t="s">
        <v>66</v>
      </c>
      <c r="K3088" s="4">
        <v>0</v>
      </c>
      <c r="L3088" s="94">
        <v>-570287</v>
      </c>
      <c r="M3088" s="94">
        <v>0</v>
      </c>
    </row>
    <row r="3089" spans="3:13" x14ac:dyDescent="0.3">
      <c r="C3089" t="s">
        <v>61</v>
      </c>
      <c r="D3089" t="s">
        <v>62</v>
      </c>
      <c r="E3089" t="s">
        <v>63</v>
      </c>
      <c r="F3089" t="s">
        <v>24</v>
      </c>
      <c r="G3089" s="4">
        <v>38</v>
      </c>
      <c r="I3089" s="4" t="s">
        <v>69</v>
      </c>
      <c r="J3089" s="4" t="s">
        <v>66</v>
      </c>
      <c r="K3089" s="4">
        <v>0</v>
      </c>
      <c r="L3089" s="94">
        <v>-228145</v>
      </c>
      <c r="M3089" s="94">
        <v>0</v>
      </c>
    </row>
    <row r="3090" spans="3:13" x14ac:dyDescent="0.3">
      <c r="C3090" t="s">
        <v>71</v>
      </c>
      <c r="D3090" t="s">
        <v>62</v>
      </c>
      <c r="E3090" t="s">
        <v>63</v>
      </c>
      <c r="F3090" t="s">
        <v>24</v>
      </c>
      <c r="G3090" s="4">
        <v>3</v>
      </c>
      <c r="I3090" s="4" t="s">
        <v>69</v>
      </c>
      <c r="J3090" s="4" t="s">
        <v>66</v>
      </c>
      <c r="K3090" s="4">
        <v>0</v>
      </c>
      <c r="L3090" s="94">
        <v>-201947</v>
      </c>
      <c r="M3090" s="94">
        <v>0</v>
      </c>
    </row>
    <row r="3091" spans="3:13" x14ac:dyDescent="0.3">
      <c r="C3091" t="s">
        <v>61</v>
      </c>
      <c r="D3091" t="s">
        <v>67</v>
      </c>
      <c r="E3091" t="s">
        <v>68</v>
      </c>
      <c r="F3091" t="s">
        <v>25</v>
      </c>
      <c r="G3091" s="4">
        <v>17</v>
      </c>
      <c r="H3091" s="4" t="s">
        <v>12</v>
      </c>
      <c r="I3091" s="4" t="s">
        <v>69</v>
      </c>
      <c r="J3091" s="4" t="s">
        <v>66</v>
      </c>
      <c r="K3091" s="4">
        <v>0</v>
      </c>
      <c r="L3091" s="94">
        <v>209625</v>
      </c>
      <c r="M3091" s="94">
        <v>3563625</v>
      </c>
    </row>
    <row r="3092" spans="3:13" x14ac:dyDescent="0.3">
      <c r="C3092" t="s">
        <v>61</v>
      </c>
      <c r="D3092" t="s">
        <v>67</v>
      </c>
      <c r="E3092" t="s">
        <v>63</v>
      </c>
      <c r="F3092" t="s">
        <v>25</v>
      </c>
      <c r="G3092" s="4">
        <v>4</v>
      </c>
      <c r="H3092" s="4" t="s">
        <v>15</v>
      </c>
      <c r="I3092" s="4" t="s">
        <v>69</v>
      </c>
      <c r="J3092" s="4" t="s">
        <v>66</v>
      </c>
      <c r="K3092" s="4">
        <v>1</v>
      </c>
      <c r="L3092" s="94">
        <v>-5313</v>
      </c>
      <c r="M3092" s="94">
        <v>0</v>
      </c>
    </row>
    <row r="3093" spans="3:13" x14ac:dyDescent="0.3">
      <c r="C3093" t="s">
        <v>61</v>
      </c>
      <c r="D3093" t="s">
        <v>67</v>
      </c>
      <c r="E3093" t="s">
        <v>63</v>
      </c>
      <c r="F3093" t="s">
        <v>25</v>
      </c>
      <c r="G3093" s="4">
        <v>10</v>
      </c>
      <c r="H3093" s="4" t="s">
        <v>18</v>
      </c>
      <c r="I3093" s="4" t="s">
        <v>69</v>
      </c>
      <c r="J3093" s="4" t="s">
        <v>66</v>
      </c>
      <c r="K3093" s="4">
        <v>0</v>
      </c>
      <c r="L3093" s="94">
        <v>-12743</v>
      </c>
      <c r="M3093" s="94">
        <v>0</v>
      </c>
    </row>
    <row r="3094" spans="3:13" x14ac:dyDescent="0.3">
      <c r="C3094" t="s">
        <v>61</v>
      </c>
      <c r="D3094" t="s">
        <v>84</v>
      </c>
      <c r="E3094" t="s">
        <v>63</v>
      </c>
      <c r="F3094" t="s">
        <v>25</v>
      </c>
      <c r="G3094" s="4">
        <v>12</v>
      </c>
      <c r="H3094" s="4" t="s">
        <v>75</v>
      </c>
      <c r="I3094" s="4" t="s">
        <v>69</v>
      </c>
      <c r="J3094" s="4" t="s">
        <v>66</v>
      </c>
      <c r="K3094" s="4">
        <v>0</v>
      </c>
      <c r="L3094" s="94">
        <v>-10069</v>
      </c>
      <c r="M3094" s="94">
        <v>0</v>
      </c>
    </row>
    <row r="3095" spans="3:13" x14ac:dyDescent="0.3">
      <c r="C3095" t="s">
        <v>61</v>
      </c>
      <c r="D3095" t="s">
        <v>62</v>
      </c>
      <c r="E3095" t="s">
        <v>63</v>
      </c>
      <c r="F3095" t="s">
        <v>24</v>
      </c>
      <c r="G3095" s="4">
        <v>10</v>
      </c>
      <c r="I3095" s="4" t="s">
        <v>69</v>
      </c>
      <c r="J3095" s="4" t="s">
        <v>66</v>
      </c>
      <c r="K3095" s="4">
        <v>0</v>
      </c>
      <c r="L3095" s="94">
        <v>-66409</v>
      </c>
      <c r="M3095" s="94">
        <v>0</v>
      </c>
    </row>
    <row r="3096" spans="3:13" x14ac:dyDescent="0.3">
      <c r="C3096" t="s">
        <v>71</v>
      </c>
      <c r="D3096" t="s">
        <v>62</v>
      </c>
      <c r="E3096" t="s">
        <v>68</v>
      </c>
      <c r="F3096" t="s">
        <v>25</v>
      </c>
      <c r="G3096" s="4">
        <v>3</v>
      </c>
      <c r="I3096" s="4" t="s">
        <v>69</v>
      </c>
      <c r="J3096" s="4" t="s">
        <v>66</v>
      </c>
      <c r="K3096" s="4">
        <v>0</v>
      </c>
      <c r="L3096" s="94">
        <v>2083518</v>
      </c>
      <c r="M3096" s="94">
        <v>6250554</v>
      </c>
    </row>
    <row r="3097" spans="3:13" x14ac:dyDescent="0.3">
      <c r="C3097" t="s">
        <v>61</v>
      </c>
      <c r="D3097" t="s">
        <v>67</v>
      </c>
      <c r="E3097" t="s">
        <v>63</v>
      </c>
      <c r="F3097" t="s">
        <v>72</v>
      </c>
      <c r="G3097" s="4">
        <v>4</v>
      </c>
      <c r="H3097" s="4" t="s">
        <v>82</v>
      </c>
      <c r="I3097" s="4" t="s">
        <v>69</v>
      </c>
      <c r="J3097" s="4" t="s">
        <v>66</v>
      </c>
      <c r="K3097" s="4">
        <v>0</v>
      </c>
      <c r="L3097" s="94">
        <v>-72321</v>
      </c>
      <c r="M3097" s="94">
        <v>0</v>
      </c>
    </row>
    <row r="3098" spans="3:13" x14ac:dyDescent="0.3">
      <c r="C3098" t="s">
        <v>61</v>
      </c>
      <c r="D3098" t="s">
        <v>67</v>
      </c>
      <c r="E3098" t="s">
        <v>68</v>
      </c>
      <c r="F3098" t="s">
        <v>25</v>
      </c>
      <c r="G3098" s="4">
        <v>2</v>
      </c>
      <c r="H3098" s="4" t="s">
        <v>79</v>
      </c>
      <c r="I3098" s="4" t="s">
        <v>69</v>
      </c>
      <c r="J3098" s="4" t="s">
        <v>66</v>
      </c>
      <c r="K3098" s="4">
        <v>0</v>
      </c>
      <c r="L3098" s="94">
        <v>1174677</v>
      </c>
      <c r="M3098" s="94">
        <v>2349354</v>
      </c>
    </row>
    <row r="3099" spans="3:13" x14ac:dyDescent="0.3">
      <c r="C3099" t="s">
        <v>71</v>
      </c>
      <c r="D3099" t="s">
        <v>62</v>
      </c>
      <c r="E3099" t="s">
        <v>63</v>
      </c>
      <c r="F3099" t="s">
        <v>25</v>
      </c>
      <c r="G3099" s="4">
        <v>-1</v>
      </c>
      <c r="I3099" s="4" t="s">
        <v>69</v>
      </c>
      <c r="J3099" s="4" t="s">
        <v>66</v>
      </c>
      <c r="K3099" s="4">
        <v>0</v>
      </c>
      <c r="L3099" s="94">
        <v>-11</v>
      </c>
      <c r="M3099" s="94">
        <v>0</v>
      </c>
    </row>
    <row r="3100" spans="3:13" x14ac:dyDescent="0.3">
      <c r="C3100" t="s">
        <v>61</v>
      </c>
      <c r="D3100" t="s">
        <v>67</v>
      </c>
      <c r="E3100" t="s">
        <v>68</v>
      </c>
      <c r="F3100" t="s">
        <v>26</v>
      </c>
      <c r="G3100" s="4">
        <v>8</v>
      </c>
      <c r="H3100" s="4" t="s">
        <v>82</v>
      </c>
      <c r="I3100" s="4" t="s">
        <v>65</v>
      </c>
      <c r="J3100" s="4" t="s">
        <v>66</v>
      </c>
      <c r="K3100" s="4">
        <v>1</v>
      </c>
      <c r="L3100" s="94">
        <v>44801335</v>
      </c>
      <c r="M3100" s="94">
        <v>358410680</v>
      </c>
    </row>
    <row r="3101" spans="3:13" x14ac:dyDescent="0.3">
      <c r="C3101" t="s">
        <v>71</v>
      </c>
      <c r="D3101" t="s">
        <v>67</v>
      </c>
      <c r="E3101" t="s">
        <v>68</v>
      </c>
      <c r="F3101" t="s">
        <v>25</v>
      </c>
      <c r="G3101" s="4">
        <v>-4</v>
      </c>
      <c r="H3101" s="4" t="s">
        <v>83</v>
      </c>
      <c r="I3101" s="4" t="s">
        <v>69</v>
      </c>
      <c r="J3101" s="4" t="s">
        <v>66</v>
      </c>
      <c r="K3101" s="4">
        <v>0</v>
      </c>
      <c r="L3101" s="94">
        <v>4698</v>
      </c>
      <c r="M3101" s="94">
        <v>0</v>
      </c>
    </row>
    <row r="3102" spans="3:13" x14ac:dyDescent="0.3">
      <c r="C3102" t="s">
        <v>70</v>
      </c>
      <c r="D3102" t="s">
        <v>67</v>
      </c>
      <c r="E3102" t="s">
        <v>68</v>
      </c>
      <c r="F3102" t="s">
        <v>26</v>
      </c>
      <c r="G3102" s="4">
        <v>-1</v>
      </c>
      <c r="H3102" s="4" t="s">
        <v>12</v>
      </c>
      <c r="I3102" s="4" t="s">
        <v>65</v>
      </c>
      <c r="J3102" s="4" t="s">
        <v>73</v>
      </c>
      <c r="K3102" s="4">
        <v>1</v>
      </c>
      <c r="L3102" s="94">
        <v>670712</v>
      </c>
      <c r="M3102" s="94">
        <v>0</v>
      </c>
    </row>
    <row r="3103" spans="3:13" x14ac:dyDescent="0.3">
      <c r="C3103" t="s">
        <v>70</v>
      </c>
      <c r="D3103" t="s">
        <v>62</v>
      </c>
      <c r="E3103" t="s">
        <v>63</v>
      </c>
      <c r="F3103" t="s">
        <v>24</v>
      </c>
      <c r="G3103" s="4">
        <v>18</v>
      </c>
      <c r="I3103" s="4" t="s">
        <v>65</v>
      </c>
      <c r="J3103" s="4" t="s">
        <v>66</v>
      </c>
      <c r="K3103" s="4">
        <v>1</v>
      </c>
      <c r="L3103" s="94">
        <v>-5676</v>
      </c>
      <c r="M3103" s="94">
        <v>0</v>
      </c>
    </row>
    <row r="3104" spans="3:13" x14ac:dyDescent="0.3">
      <c r="C3104" t="s">
        <v>70</v>
      </c>
      <c r="D3104" t="s">
        <v>67</v>
      </c>
      <c r="E3104" t="s">
        <v>63</v>
      </c>
      <c r="F3104" t="s">
        <v>26</v>
      </c>
      <c r="G3104" s="4">
        <v>7</v>
      </c>
      <c r="H3104" s="4" t="s">
        <v>77</v>
      </c>
      <c r="I3104" s="4" t="s">
        <v>69</v>
      </c>
      <c r="J3104" s="4" t="s">
        <v>66</v>
      </c>
      <c r="K3104" s="4">
        <v>0</v>
      </c>
      <c r="L3104" s="94">
        <v>-39660</v>
      </c>
      <c r="M3104" s="94">
        <v>0</v>
      </c>
    </row>
    <row r="3105" spans="3:13" x14ac:dyDescent="0.3">
      <c r="C3105" t="s">
        <v>70</v>
      </c>
      <c r="D3105" t="s">
        <v>67</v>
      </c>
      <c r="E3105" t="s">
        <v>63</v>
      </c>
      <c r="F3105" t="s">
        <v>72</v>
      </c>
      <c r="G3105" s="4">
        <v>2</v>
      </c>
      <c r="H3105" s="4" t="s">
        <v>64</v>
      </c>
      <c r="I3105" s="4" t="s">
        <v>69</v>
      </c>
      <c r="J3105" s="4" t="s">
        <v>66</v>
      </c>
      <c r="K3105" s="4">
        <v>0</v>
      </c>
      <c r="L3105" s="94">
        <v>-26241</v>
      </c>
      <c r="M3105" s="94">
        <v>0</v>
      </c>
    </row>
    <row r="3106" spans="3:13" x14ac:dyDescent="0.3">
      <c r="C3106" t="s">
        <v>61</v>
      </c>
      <c r="D3106" t="s">
        <v>62</v>
      </c>
      <c r="E3106" t="s">
        <v>63</v>
      </c>
      <c r="F3106" t="s">
        <v>25</v>
      </c>
      <c r="G3106" s="4">
        <v>5</v>
      </c>
      <c r="I3106" s="4" t="s">
        <v>69</v>
      </c>
      <c r="J3106" s="4" t="s">
        <v>66</v>
      </c>
      <c r="K3106" s="4">
        <v>1</v>
      </c>
      <c r="L3106" s="94">
        <v>-2842</v>
      </c>
      <c r="M3106" s="94">
        <v>0</v>
      </c>
    </row>
    <row r="3107" spans="3:13" x14ac:dyDescent="0.3">
      <c r="C3107" t="s">
        <v>71</v>
      </c>
      <c r="D3107" t="s">
        <v>67</v>
      </c>
      <c r="E3107" t="s">
        <v>68</v>
      </c>
      <c r="F3107" t="s">
        <v>26</v>
      </c>
      <c r="G3107" s="4">
        <v>-4</v>
      </c>
      <c r="H3107" s="4" t="s">
        <v>12</v>
      </c>
      <c r="I3107" s="4" t="s">
        <v>69</v>
      </c>
      <c r="J3107" s="4" t="s">
        <v>66</v>
      </c>
      <c r="K3107" s="4">
        <v>0</v>
      </c>
      <c r="L3107" s="94">
        <v>298014</v>
      </c>
      <c r="M3107" s="94">
        <v>0</v>
      </c>
    </row>
    <row r="3108" spans="3:13" x14ac:dyDescent="0.3">
      <c r="C3108" t="s">
        <v>61</v>
      </c>
      <c r="D3108" t="s">
        <v>62</v>
      </c>
      <c r="E3108" t="s">
        <v>68</v>
      </c>
      <c r="F3108" t="s">
        <v>24</v>
      </c>
      <c r="G3108" s="4">
        <v>19</v>
      </c>
      <c r="I3108" s="4" t="s">
        <v>69</v>
      </c>
      <c r="J3108" s="4" t="s">
        <v>73</v>
      </c>
      <c r="K3108" s="4">
        <v>1</v>
      </c>
      <c r="L3108" s="94">
        <v>21321</v>
      </c>
      <c r="M3108" s="94">
        <v>405099</v>
      </c>
    </row>
    <row r="3109" spans="3:13" x14ac:dyDescent="0.3">
      <c r="C3109" t="s">
        <v>70</v>
      </c>
      <c r="D3109" t="s">
        <v>67</v>
      </c>
      <c r="E3109" t="s">
        <v>68</v>
      </c>
      <c r="F3109" t="s">
        <v>72</v>
      </c>
      <c r="G3109" s="4">
        <v>6</v>
      </c>
      <c r="H3109" s="4" t="s">
        <v>75</v>
      </c>
      <c r="I3109" s="4" t="s">
        <v>69</v>
      </c>
      <c r="J3109" s="4" t="s">
        <v>66</v>
      </c>
      <c r="K3109" s="4">
        <v>0</v>
      </c>
      <c r="L3109" s="94">
        <v>127497</v>
      </c>
      <c r="M3109" s="94">
        <v>764982</v>
      </c>
    </row>
    <row r="3110" spans="3:13" x14ac:dyDescent="0.3">
      <c r="C3110" t="s">
        <v>61</v>
      </c>
      <c r="D3110" t="s">
        <v>62</v>
      </c>
      <c r="E3110" t="s">
        <v>63</v>
      </c>
      <c r="F3110" t="s">
        <v>24</v>
      </c>
      <c r="G3110" s="4">
        <v>23</v>
      </c>
      <c r="I3110" s="4" t="s">
        <v>69</v>
      </c>
      <c r="J3110" s="4" t="s">
        <v>66</v>
      </c>
      <c r="K3110" s="4">
        <v>1</v>
      </c>
      <c r="L3110" s="94">
        <v>-2980</v>
      </c>
      <c r="M3110" s="94">
        <v>0</v>
      </c>
    </row>
    <row r="3111" spans="3:13" x14ac:dyDescent="0.3">
      <c r="C3111" t="s">
        <v>71</v>
      </c>
      <c r="D3111" t="s">
        <v>67</v>
      </c>
      <c r="E3111" t="s">
        <v>68</v>
      </c>
      <c r="F3111" t="s">
        <v>26</v>
      </c>
      <c r="G3111" s="4">
        <v>1</v>
      </c>
      <c r="H3111" s="4" t="s">
        <v>64</v>
      </c>
      <c r="I3111" s="4" t="s">
        <v>69</v>
      </c>
      <c r="J3111" s="4" t="s">
        <v>66</v>
      </c>
      <c r="K3111" s="4">
        <v>0</v>
      </c>
      <c r="L3111" s="94">
        <v>438042</v>
      </c>
      <c r="M3111" s="94">
        <v>438042</v>
      </c>
    </row>
    <row r="3112" spans="3:13" x14ac:dyDescent="0.3">
      <c r="C3112" t="s">
        <v>61</v>
      </c>
      <c r="D3112" t="s">
        <v>62</v>
      </c>
      <c r="E3112" t="s">
        <v>68</v>
      </c>
      <c r="F3112" t="s">
        <v>25</v>
      </c>
      <c r="G3112" s="4">
        <v>7</v>
      </c>
      <c r="I3112" s="4" t="s">
        <v>69</v>
      </c>
      <c r="J3112" s="4" t="s">
        <v>66</v>
      </c>
      <c r="K3112" s="4">
        <v>1</v>
      </c>
      <c r="L3112" s="94">
        <v>1100879</v>
      </c>
      <c r="M3112" s="94">
        <v>7706153</v>
      </c>
    </row>
    <row r="3113" spans="3:13" x14ac:dyDescent="0.3">
      <c r="C3113" t="s">
        <v>70</v>
      </c>
      <c r="D3113" t="s">
        <v>67</v>
      </c>
      <c r="E3113" t="s">
        <v>63</v>
      </c>
      <c r="F3113" t="s">
        <v>25</v>
      </c>
      <c r="G3113" s="4">
        <v>3</v>
      </c>
      <c r="H3113" s="4" t="s">
        <v>18</v>
      </c>
      <c r="I3113" s="4" t="s">
        <v>69</v>
      </c>
      <c r="J3113" s="4" t="s">
        <v>66</v>
      </c>
      <c r="K3113" s="4">
        <v>0</v>
      </c>
      <c r="L3113" s="94">
        <v>-16415</v>
      </c>
      <c r="M3113" s="94">
        <v>0</v>
      </c>
    </row>
    <row r="3114" spans="3:13" x14ac:dyDescent="0.3">
      <c r="C3114" t="s">
        <v>61</v>
      </c>
      <c r="D3114" t="s">
        <v>67</v>
      </c>
      <c r="E3114" t="s">
        <v>63</v>
      </c>
      <c r="F3114" t="s">
        <v>26</v>
      </c>
      <c r="G3114" s="4">
        <v>5</v>
      </c>
      <c r="H3114" s="4" t="s">
        <v>79</v>
      </c>
      <c r="I3114" s="4" t="s">
        <v>69</v>
      </c>
      <c r="J3114" s="4" t="s">
        <v>66</v>
      </c>
      <c r="K3114" s="4">
        <v>0</v>
      </c>
      <c r="L3114" s="94">
        <v>-9512</v>
      </c>
      <c r="M3114" s="94">
        <v>0</v>
      </c>
    </row>
    <row r="3115" spans="3:13" x14ac:dyDescent="0.3">
      <c r="C3115" t="s">
        <v>61</v>
      </c>
      <c r="D3115" t="s">
        <v>67</v>
      </c>
      <c r="E3115" t="s">
        <v>63</v>
      </c>
      <c r="F3115" t="s">
        <v>25</v>
      </c>
      <c r="G3115" s="4">
        <v>3</v>
      </c>
      <c r="H3115" s="4" t="s">
        <v>17</v>
      </c>
      <c r="I3115" s="4" t="s">
        <v>69</v>
      </c>
      <c r="J3115" s="4" t="s">
        <v>66</v>
      </c>
      <c r="K3115" s="4">
        <v>0</v>
      </c>
      <c r="L3115" s="94">
        <v>-90183</v>
      </c>
      <c r="M3115" s="94">
        <v>0</v>
      </c>
    </row>
    <row r="3116" spans="3:13" x14ac:dyDescent="0.3">
      <c r="C3116" t="s">
        <v>71</v>
      </c>
      <c r="D3116" t="s">
        <v>62</v>
      </c>
      <c r="E3116" t="s">
        <v>68</v>
      </c>
      <c r="F3116" t="s">
        <v>24</v>
      </c>
      <c r="G3116" s="4">
        <v>2</v>
      </c>
      <c r="I3116" s="4" t="s">
        <v>69</v>
      </c>
      <c r="J3116" s="4" t="s">
        <v>66</v>
      </c>
      <c r="K3116" s="4">
        <v>1</v>
      </c>
      <c r="L3116" s="94">
        <v>0</v>
      </c>
      <c r="M3116" s="94">
        <v>0</v>
      </c>
    </row>
    <row r="3117" spans="3:13" x14ac:dyDescent="0.3">
      <c r="C3117" t="s">
        <v>71</v>
      </c>
      <c r="D3117" t="s">
        <v>67</v>
      </c>
      <c r="E3117" t="s">
        <v>68</v>
      </c>
      <c r="F3117" t="s">
        <v>25</v>
      </c>
      <c r="G3117" s="4">
        <v>2</v>
      </c>
      <c r="H3117" s="4" t="s">
        <v>76</v>
      </c>
      <c r="I3117" s="4" t="s">
        <v>69</v>
      </c>
      <c r="J3117" s="4" t="s">
        <v>66</v>
      </c>
      <c r="K3117" s="4">
        <v>0</v>
      </c>
      <c r="L3117" s="94">
        <v>654974</v>
      </c>
      <c r="M3117" s="94">
        <v>1309948</v>
      </c>
    </row>
    <row r="3118" spans="3:13" x14ac:dyDescent="0.3">
      <c r="C3118" t="s">
        <v>61</v>
      </c>
      <c r="D3118" t="s">
        <v>67</v>
      </c>
      <c r="E3118" t="s">
        <v>68</v>
      </c>
      <c r="F3118" t="s">
        <v>26</v>
      </c>
      <c r="G3118" s="4">
        <v>2</v>
      </c>
      <c r="H3118" s="4" t="s">
        <v>82</v>
      </c>
      <c r="I3118" s="4" t="s">
        <v>65</v>
      </c>
      <c r="J3118" s="4" t="s">
        <v>66</v>
      </c>
      <c r="K3118" s="4">
        <v>1</v>
      </c>
      <c r="L3118" s="94">
        <v>1588473</v>
      </c>
      <c r="M3118" s="94">
        <v>3176946</v>
      </c>
    </row>
    <row r="3119" spans="3:13" x14ac:dyDescent="0.3">
      <c r="C3119" t="s">
        <v>71</v>
      </c>
      <c r="D3119" t="s">
        <v>62</v>
      </c>
      <c r="E3119" t="s">
        <v>63</v>
      </c>
      <c r="F3119" t="s">
        <v>24</v>
      </c>
      <c r="G3119" s="4">
        <v>14</v>
      </c>
      <c r="I3119" s="4" t="s">
        <v>69</v>
      </c>
      <c r="J3119" s="4" t="s">
        <v>66</v>
      </c>
      <c r="K3119" s="4">
        <v>0</v>
      </c>
      <c r="L3119" s="94">
        <v>-1701871</v>
      </c>
      <c r="M3119" s="94">
        <v>0</v>
      </c>
    </row>
    <row r="3120" spans="3:13" x14ac:dyDescent="0.3">
      <c r="C3120" t="s">
        <v>61</v>
      </c>
      <c r="D3120" t="s">
        <v>67</v>
      </c>
      <c r="E3120" t="s">
        <v>68</v>
      </c>
      <c r="F3120" t="s">
        <v>26</v>
      </c>
      <c r="G3120" s="4">
        <v>-4</v>
      </c>
      <c r="H3120" s="4" t="s">
        <v>81</v>
      </c>
      <c r="I3120" s="4" t="s">
        <v>69</v>
      </c>
      <c r="J3120" s="4" t="s">
        <v>66</v>
      </c>
      <c r="K3120" s="4">
        <v>0</v>
      </c>
      <c r="L3120" s="94">
        <v>333880</v>
      </c>
      <c r="M3120" s="94">
        <v>0</v>
      </c>
    </row>
    <row r="3121" spans="3:13" x14ac:dyDescent="0.3">
      <c r="C3121" t="s">
        <v>70</v>
      </c>
      <c r="D3121" t="s">
        <v>62</v>
      </c>
      <c r="E3121" t="s">
        <v>63</v>
      </c>
      <c r="F3121" t="s">
        <v>24</v>
      </c>
      <c r="G3121" s="4">
        <v>3</v>
      </c>
      <c r="I3121" s="4" t="s">
        <v>69</v>
      </c>
      <c r="J3121" s="4" t="s">
        <v>66</v>
      </c>
      <c r="K3121" s="4">
        <v>0</v>
      </c>
      <c r="L3121" s="94">
        <v>-123693</v>
      </c>
      <c r="M3121" s="94">
        <v>0</v>
      </c>
    </row>
    <row r="3122" spans="3:13" x14ac:dyDescent="0.3">
      <c r="C3122" t="s">
        <v>61</v>
      </c>
      <c r="D3122" t="s">
        <v>67</v>
      </c>
      <c r="E3122" t="s">
        <v>63</v>
      </c>
      <c r="F3122" t="s">
        <v>25</v>
      </c>
      <c r="G3122" s="4">
        <v>7</v>
      </c>
      <c r="H3122" s="4" t="s">
        <v>64</v>
      </c>
      <c r="I3122" s="4" t="s">
        <v>69</v>
      </c>
      <c r="J3122" s="4" t="s">
        <v>66</v>
      </c>
      <c r="K3122" s="4">
        <v>0</v>
      </c>
      <c r="L3122" s="94">
        <v>-377</v>
      </c>
      <c r="M3122" s="94">
        <v>0</v>
      </c>
    </row>
    <row r="3123" spans="3:13" x14ac:dyDescent="0.3">
      <c r="C3123" t="s">
        <v>70</v>
      </c>
      <c r="D3123" t="s">
        <v>62</v>
      </c>
      <c r="E3123" t="s">
        <v>68</v>
      </c>
      <c r="F3123" t="s">
        <v>24</v>
      </c>
      <c r="G3123" s="4">
        <v>9</v>
      </c>
      <c r="I3123" s="4" t="s">
        <v>65</v>
      </c>
      <c r="J3123" s="4" t="s">
        <v>66</v>
      </c>
      <c r="K3123" s="4">
        <v>1</v>
      </c>
      <c r="L3123" s="94">
        <v>132124</v>
      </c>
      <c r="M3123" s="94">
        <v>1189116</v>
      </c>
    </row>
    <row r="3124" spans="3:13" x14ac:dyDescent="0.3">
      <c r="C3124" t="s">
        <v>71</v>
      </c>
      <c r="D3124" t="s">
        <v>62</v>
      </c>
      <c r="E3124" t="s">
        <v>63</v>
      </c>
      <c r="F3124" t="s">
        <v>24</v>
      </c>
      <c r="G3124" s="4">
        <v>18</v>
      </c>
      <c r="I3124" s="4" t="s">
        <v>65</v>
      </c>
      <c r="J3124" s="4" t="s">
        <v>66</v>
      </c>
      <c r="K3124" s="4">
        <v>1</v>
      </c>
      <c r="L3124" s="94">
        <v>-188930</v>
      </c>
      <c r="M3124" s="94">
        <v>0</v>
      </c>
    </row>
    <row r="3125" spans="3:13" x14ac:dyDescent="0.3">
      <c r="C3125" t="s">
        <v>61</v>
      </c>
      <c r="D3125" t="s">
        <v>67</v>
      </c>
      <c r="E3125" t="s">
        <v>68</v>
      </c>
      <c r="F3125" t="s">
        <v>26</v>
      </c>
      <c r="G3125" s="4">
        <v>1</v>
      </c>
      <c r="H3125" s="4" t="s">
        <v>15</v>
      </c>
      <c r="I3125" s="4" t="s">
        <v>69</v>
      </c>
      <c r="J3125" s="4" t="s">
        <v>66</v>
      </c>
      <c r="K3125" s="4">
        <v>0</v>
      </c>
      <c r="L3125" s="94">
        <v>6916711</v>
      </c>
      <c r="M3125" s="94">
        <v>6916711</v>
      </c>
    </row>
    <row r="3126" spans="3:13" x14ac:dyDescent="0.3">
      <c r="C3126" t="s">
        <v>61</v>
      </c>
      <c r="D3126" t="s">
        <v>67</v>
      </c>
      <c r="E3126" t="s">
        <v>68</v>
      </c>
      <c r="F3126" t="s">
        <v>25</v>
      </c>
      <c r="G3126" s="4">
        <v>-4</v>
      </c>
      <c r="H3126" s="4" t="s">
        <v>77</v>
      </c>
      <c r="I3126" s="4" t="s">
        <v>69</v>
      </c>
      <c r="J3126" s="4" t="s">
        <v>66</v>
      </c>
      <c r="K3126" s="4">
        <v>0</v>
      </c>
      <c r="L3126" s="94">
        <v>185725</v>
      </c>
      <c r="M3126" s="94">
        <v>0</v>
      </c>
    </row>
    <row r="3127" spans="3:13" x14ac:dyDescent="0.3">
      <c r="C3127" t="s">
        <v>61</v>
      </c>
      <c r="D3127" t="s">
        <v>67</v>
      </c>
      <c r="E3127" t="s">
        <v>63</v>
      </c>
      <c r="F3127" t="s">
        <v>26</v>
      </c>
      <c r="G3127" s="4">
        <v>3</v>
      </c>
      <c r="H3127" s="4" t="s">
        <v>17</v>
      </c>
      <c r="I3127" s="4" t="s">
        <v>69</v>
      </c>
      <c r="J3127" s="4" t="s">
        <v>66</v>
      </c>
      <c r="K3127" s="4">
        <v>0</v>
      </c>
      <c r="L3127" s="94">
        <v>-148132</v>
      </c>
      <c r="M3127" s="94">
        <v>0</v>
      </c>
    </row>
    <row r="3128" spans="3:13" x14ac:dyDescent="0.3">
      <c r="C3128" t="s">
        <v>71</v>
      </c>
      <c r="D3128" t="s">
        <v>67</v>
      </c>
      <c r="E3128" t="s">
        <v>63</v>
      </c>
      <c r="F3128" t="s">
        <v>26</v>
      </c>
      <c r="G3128" s="4">
        <v>-4</v>
      </c>
      <c r="H3128" s="4" t="s">
        <v>17</v>
      </c>
      <c r="I3128" s="4" t="s">
        <v>69</v>
      </c>
      <c r="J3128" s="4" t="s">
        <v>73</v>
      </c>
      <c r="K3128" s="4">
        <v>1</v>
      </c>
      <c r="L3128" s="94">
        <v>-4547</v>
      </c>
      <c r="M3128" s="94">
        <v>0</v>
      </c>
    </row>
    <row r="3129" spans="3:13" x14ac:dyDescent="0.3">
      <c r="C3129" t="s">
        <v>61</v>
      </c>
      <c r="D3129" t="s">
        <v>67</v>
      </c>
      <c r="E3129" t="s">
        <v>63</v>
      </c>
      <c r="F3129" t="s">
        <v>25</v>
      </c>
      <c r="G3129" s="4">
        <v>5</v>
      </c>
      <c r="H3129" s="4" t="s">
        <v>81</v>
      </c>
      <c r="I3129" s="4" t="s">
        <v>69</v>
      </c>
      <c r="J3129" s="4" t="s">
        <v>66</v>
      </c>
      <c r="K3129" s="4">
        <v>0</v>
      </c>
      <c r="L3129" s="94">
        <v>-12415</v>
      </c>
      <c r="M3129" s="94">
        <v>0</v>
      </c>
    </row>
    <row r="3130" spans="3:13" x14ac:dyDescent="0.3">
      <c r="C3130" t="s">
        <v>70</v>
      </c>
      <c r="D3130" t="s">
        <v>67</v>
      </c>
      <c r="E3130" t="s">
        <v>68</v>
      </c>
      <c r="F3130" t="s">
        <v>25</v>
      </c>
      <c r="G3130" s="4">
        <v>15</v>
      </c>
      <c r="H3130" s="4" t="s">
        <v>74</v>
      </c>
      <c r="I3130" s="4" t="s">
        <v>69</v>
      </c>
      <c r="J3130" s="4" t="s">
        <v>66</v>
      </c>
      <c r="K3130" s="4">
        <v>0</v>
      </c>
      <c r="L3130" s="94">
        <v>342614</v>
      </c>
      <c r="M3130" s="94">
        <v>5139210</v>
      </c>
    </row>
    <row r="3131" spans="3:13" x14ac:dyDescent="0.3">
      <c r="C3131" t="s">
        <v>61</v>
      </c>
      <c r="D3131" t="s">
        <v>67</v>
      </c>
      <c r="E3131" t="s">
        <v>68</v>
      </c>
      <c r="F3131" t="s">
        <v>26</v>
      </c>
      <c r="G3131" s="4">
        <v>3</v>
      </c>
      <c r="H3131" s="4" t="s">
        <v>82</v>
      </c>
      <c r="I3131" s="4" t="s">
        <v>65</v>
      </c>
      <c r="J3131" s="4" t="s">
        <v>66</v>
      </c>
      <c r="K3131" s="4">
        <v>1</v>
      </c>
      <c r="L3131" s="94">
        <v>297036</v>
      </c>
      <c r="M3131" s="94">
        <v>891108</v>
      </c>
    </row>
    <row r="3132" spans="3:13" x14ac:dyDescent="0.3">
      <c r="C3132" t="s">
        <v>61</v>
      </c>
      <c r="D3132" t="s">
        <v>67</v>
      </c>
      <c r="E3132" t="s">
        <v>63</v>
      </c>
      <c r="F3132" t="s">
        <v>26</v>
      </c>
      <c r="G3132" s="4">
        <v>5</v>
      </c>
      <c r="H3132" s="4" t="s">
        <v>18</v>
      </c>
      <c r="I3132" s="4" t="s">
        <v>69</v>
      </c>
      <c r="J3132" s="4" t="s">
        <v>66</v>
      </c>
      <c r="K3132" s="4">
        <v>0</v>
      </c>
      <c r="L3132" s="94">
        <v>-84466</v>
      </c>
      <c r="M3132" s="94">
        <v>0</v>
      </c>
    </row>
    <row r="3133" spans="3:13" x14ac:dyDescent="0.3">
      <c r="C3133" t="s">
        <v>61</v>
      </c>
      <c r="D3133" t="s">
        <v>67</v>
      </c>
      <c r="E3133" t="s">
        <v>63</v>
      </c>
      <c r="F3133" t="s">
        <v>25</v>
      </c>
      <c r="G3133" s="4">
        <v>7</v>
      </c>
      <c r="H3133" s="4" t="s">
        <v>75</v>
      </c>
      <c r="I3133" s="4" t="s">
        <v>65</v>
      </c>
      <c r="J3133" s="4" t="s">
        <v>66</v>
      </c>
      <c r="K3133" s="4">
        <v>1</v>
      </c>
      <c r="L3133" s="94">
        <v>-1376</v>
      </c>
      <c r="M3133" s="94">
        <v>0</v>
      </c>
    </row>
    <row r="3134" spans="3:13" x14ac:dyDescent="0.3">
      <c r="C3134" t="s">
        <v>61</v>
      </c>
      <c r="D3134" t="s">
        <v>62</v>
      </c>
      <c r="E3134" t="s">
        <v>63</v>
      </c>
      <c r="F3134" t="s">
        <v>25</v>
      </c>
      <c r="G3134" s="4">
        <v>22</v>
      </c>
      <c r="I3134" s="4" t="s">
        <v>69</v>
      </c>
      <c r="J3134" s="4" t="s">
        <v>66</v>
      </c>
      <c r="K3134" s="4">
        <v>0</v>
      </c>
      <c r="L3134" s="94">
        <v>-345</v>
      </c>
      <c r="M3134" s="94">
        <v>0</v>
      </c>
    </row>
    <row r="3135" spans="3:13" x14ac:dyDescent="0.3">
      <c r="C3135" t="s">
        <v>61</v>
      </c>
      <c r="D3135" t="s">
        <v>62</v>
      </c>
      <c r="E3135" t="s">
        <v>68</v>
      </c>
      <c r="F3135" t="s">
        <v>25</v>
      </c>
      <c r="G3135" s="4">
        <v>26</v>
      </c>
      <c r="I3135" s="4" t="s">
        <v>69</v>
      </c>
      <c r="J3135" s="4" t="s">
        <v>66</v>
      </c>
      <c r="K3135" s="4">
        <v>0</v>
      </c>
      <c r="L3135" s="94">
        <v>238180</v>
      </c>
      <c r="M3135" s="94">
        <v>6192680</v>
      </c>
    </row>
    <row r="3136" spans="3:13" x14ac:dyDescent="0.3">
      <c r="C3136" t="s">
        <v>61</v>
      </c>
      <c r="D3136" t="s">
        <v>62</v>
      </c>
      <c r="E3136" t="s">
        <v>63</v>
      </c>
      <c r="F3136" t="s">
        <v>24</v>
      </c>
      <c r="G3136" s="4">
        <v>-1</v>
      </c>
      <c r="I3136" s="4" t="s">
        <v>69</v>
      </c>
      <c r="J3136" s="4" t="s">
        <v>66</v>
      </c>
      <c r="K3136" s="4">
        <v>1</v>
      </c>
      <c r="L3136" s="94">
        <v>-245</v>
      </c>
      <c r="M3136" s="94">
        <v>0</v>
      </c>
    </row>
    <row r="3137" spans="3:13" x14ac:dyDescent="0.3">
      <c r="C3137" t="s">
        <v>61</v>
      </c>
      <c r="D3137" t="s">
        <v>67</v>
      </c>
      <c r="E3137" t="s">
        <v>68</v>
      </c>
      <c r="F3137" t="s">
        <v>26</v>
      </c>
      <c r="G3137" s="4">
        <v>0</v>
      </c>
      <c r="H3137" s="4" t="s">
        <v>15</v>
      </c>
      <c r="I3137" s="4" t="s">
        <v>69</v>
      </c>
      <c r="J3137" s="4" t="s">
        <v>73</v>
      </c>
      <c r="K3137" s="4">
        <v>1</v>
      </c>
      <c r="L3137" s="94">
        <v>10796878</v>
      </c>
      <c r="M3137" s="94">
        <v>0</v>
      </c>
    </row>
    <row r="3138" spans="3:13" x14ac:dyDescent="0.3">
      <c r="C3138" t="s">
        <v>70</v>
      </c>
      <c r="D3138" t="s">
        <v>67</v>
      </c>
      <c r="E3138" t="s">
        <v>68</v>
      </c>
      <c r="F3138" t="s">
        <v>72</v>
      </c>
      <c r="G3138" s="4">
        <v>3</v>
      </c>
      <c r="H3138" s="4" t="s">
        <v>76</v>
      </c>
      <c r="I3138" s="4" t="s">
        <v>69</v>
      </c>
      <c r="J3138" s="4" t="s">
        <v>66</v>
      </c>
      <c r="K3138" s="4">
        <v>0</v>
      </c>
      <c r="L3138" s="94">
        <v>208076</v>
      </c>
      <c r="M3138" s="94">
        <v>624228</v>
      </c>
    </row>
    <row r="3139" spans="3:13" x14ac:dyDescent="0.3">
      <c r="C3139" t="s">
        <v>71</v>
      </c>
      <c r="D3139" t="s">
        <v>67</v>
      </c>
      <c r="E3139" t="s">
        <v>68</v>
      </c>
      <c r="F3139" t="s">
        <v>72</v>
      </c>
      <c r="G3139" s="4">
        <v>-4</v>
      </c>
      <c r="H3139" s="4" t="s">
        <v>14</v>
      </c>
      <c r="I3139" s="4" t="s">
        <v>69</v>
      </c>
      <c r="J3139" s="4" t="s">
        <v>73</v>
      </c>
      <c r="K3139" s="4">
        <v>1</v>
      </c>
      <c r="L3139" s="94">
        <v>492112</v>
      </c>
      <c r="M3139" s="94">
        <v>0</v>
      </c>
    </row>
    <row r="3140" spans="3:13" x14ac:dyDescent="0.3">
      <c r="C3140" t="s">
        <v>61</v>
      </c>
      <c r="D3140" t="s">
        <v>62</v>
      </c>
      <c r="E3140" t="s">
        <v>68</v>
      </c>
      <c r="F3140" t="s">
        <v>25</v>
      </c>
      <c r="G3140" s="4">
        <v>13</v>
      </c>
      <c r="I3140" s="4" t="s">
        <v>65</v>
      </c>
      <c r="J3140" s="4" t="s">
        <v>66</v>
      </c>
      <c r="K3140" s="4">
        <v>1</v>
      </c>
      <c r="L3140" s="94">
        <v>119064</v>
      </c>
      <c r="M3140" s="94">
        <v>1547832</v>
      </c>
    </row>
    <row r="3141" spans="3:13" x14ac:dyDescent="0.3">
      <c r="C3141" t="s">
        <v>61</v>
      </c>
      <c r="D3141" t="s">
        <v>67</v>
      </c>
      <c r="E3141" t="s">
        <v>68</v>
      </c>
      <c r="F3141" t="s">
        <v>25</v>
      </c>
      <c r="G3141" s="4">
        <v>1</v>
      </c>
      <c r="H3141" s="4" t="s">
        <v>18</v>
      </c>
      <c r="I3141" s="4" t="s">
        <v>69</v>
      </c>
      <c r="J3141" s="4" t="s">
        <v>66</v>
      </c>
      <c r="K3141" s="4">
        <v>1</v>
      </c>
      <c r="L3141" s="94">
        <v>322138</v>
      </c>
      <c r="M3141" s="94">
        <v>322138</v>
      </c>
    </row>
    <row r="3142" spans="3:13" x14ac:dyDescent="0.3">
      <c r="C3142" t="s">
        <v>70</v>
      </c>
      <c r="D3142" t="s">
        <v>67</v>
      </c>
      <c r="E3142" t="s">
        <v>68</v>
      </c>
      <c r="F3142" t="s">
        <v>72</v>
      </c>
      <c r="G3142" s="4">
        <v>0</v>
      </c>
      <c r="H3142" s="4" t="s">
        <v>82</v>
      </c>
      <c r="I3142" s="4" t="s">
        <v>69</v>
      </c>
      <c r="J3142" s="4" t="s">
        <v>66</v>
      </c>
      <c r="K3142" s="4">
        <v>0</v>
      </c>
      <c r="L3142" s="94">
        <v>269362</v>
      </c>
      <c r="M3142" s="94">
        <v>0</v>
      </c>
    </row>
    <row r="3143" spans="3:13" x14ac:dyDescent="0.3">
      <c r="C3143" t="s">
        <v>61</v>
      </c>
      <c r="D3143" t="s">
        <v>67</v>
      </c>
      <c r="E3143" t="s">
        <v>68</v>
      </c>
      <c r="F3143" t="s">
        <v>25</v>
      </c>
      <c r="G3143" s="4">
        <v>9</v>
      </c>
      <c r="H3143" s="4" t="s">
        <v>77</v>
      </c>
      <c r="I3143" s="4" t="s">
        <v>69</v>
      </c>
      <c r="J3143" s="4" t="s">
        <v>66</v>
      </c>
      <c r="K3143" s="4">
        <v>0</v>
      </c>
      <c r="L3143" s="94">
        <v>1387877</v>
      </c>
      <c r="M3143" s="94">
        <v>12490893</v>
      </c>
    </row>
    <row r="3144" spans="3:13" x14ac:dyDescent="0.3">
      <c r="C3144" t="s">
        <v>61</v>
      </c>
      <c r="D3144" t="s">
        <v>67</v>
      </c>
      <c r="E3144" t="s">
        <v>63</v>
      </c>
      <c r="F3144" t="s">
        <v>25</v>
      </c>
      <c r="G3144" s="4">
        <v>2</v>
      </c>
      <c r="H3144" s="4" t="s">
        <v>14</v>
      </c>
      <c r="I3144" s="4" t="s">
        <v>69</v>
      </c>
      <c r="J3144" s="4" t="s">
        <v>66</v>
      </c>
      <c r="K3144" s="4">
        <v>0</v>
      </c>
      <c r="L3144" s="94">
        <v>-5123</v>
      </c>
      <c r="M3144" s="94">
        <v>0</v>
      </c>
    </row>
    <row r="3145" spans="3:13" x14ac:dyDescent="0.3">
      <c r="C3145" t="s">
        <v>70</v>
      </c>
      <c r="D3145" t="s">
        <v>67</v>
      </c>
      <c r="E3145" t="s">
        <v>63</v>
      </c>
      <c r="F3145" t="s">
        <v>72</v>
      </c>
      <c r="G3145" s="4">
        <v>0</v>
      </c>
      <c r="H3145" s="4" t="s">
        <v>83</v>
      </c>
      <c r="I3145" s="4" t="s">
        <v>69</v>
      </c>
      <c r="J3145" s="4" t="s">
        <v>66</v>
      </c>
      <c r="K3145" s="4">
        <v>0</v>
      </c>
      <c r="L3145" s="94">
        <v>-141</v>
      </c>
      <c r="M3145" s="94">
        <v>0</v>
      </c>
    </row>
    <row r="3146" spans="3:13" x14ac:dyDescent="0.3">
      <c r="C3146" t="s">
        <v>61</v>
      </c>
      <c r="D3146" t="s">
        <v>67</v>
      </c>
      <c r="E3146" t="s">
        <v>63</v>
      </c>
      <c r="F3146" t="s">
        <v>26</v>
      </c>
      <c r="G3146" s="4">
        <v>3</v>
      </c>
      <c r="H3146" s="4" t="s">
        <v>78</v>
      </c>
      <c r="I3146" s="4" t="s">
        <v>69</v>
      </c>
      <c r="J3146" s="4" t="s">
        <v>66</v>
      </c>
      <c r="K3146" s="4">
        <v>0</v>
      </c>
      <c r="L3146" s="94">
        <v>-9867</v>
      </c>
      <c r="M3146" s="94">
        <v>0</v>
      </c>
    </row>
    <row r="3147" spans="3:13" x14ac:dyDescent="0.3">
      <c r="C3147" t="s">
        <v>61</v>
      </c>
      <c r="D3147" t="s">
        <v>67</v>
      </c>
      <c r="E3147" t="s">
        <v>68</v>
      </c>
      <c r="F3147" t="s">
        <v>25</v>
      </c>
      <c r="G3147" s="4">
        <v>8</v>
      </c>
      <c r="H3147" s="4" t="s">
        <v>14</v>
      </c>
      <c r="I3147" s="4" t="s">
        <v>69</v>
      </c>
      <c r="J3147" s="4" t="s">
        <v>66</v>
      </c>
      <c r="K3147" s="4">
        <v>1</v>
      </c>
      <c r="L3147" s="94">
        <v>12288145</v>
      </c>
      <c r="M3147" s="94">
        <v>98305160</v>
      </c>
    </row>
    <row r="3148" spans="3:13" x14ac:dyDescent="0.3">
      <c r="C3148" t="s">
        <v>71</v>
      </c>
      <c r="D3148" t="s">
        <v>62</v>
      </c>
      <c r="E3148" t="s">
        <v>68</v>
      </c>
      <c r="F3148" t="s">
        <v>24</v>
      </c>
      <c r="G3148" s="4">
        <v>41</v>
      </c>
      <c r="I3148" s="4" t="s">
        <v>65</v>
      </c>
      <c r="J3148" s="4" t="s">
        <v>66</v>
      </c>
      <c r="K3148" s="4">
        <v>1</v>
      </c>
      <c r="L3148" s="94">
        <v>97803</v>
      </c>
      <c r="M3148" s="94">
        <v>4009923</v>
      </c>
    </row>
    <row r="3149" spans="3:13" x14ac:dyDescent="0.3">
      <c r="C3149" t="s">
        <v>70</v>
      </c>
      <c r="D3149" t="s">
        <v>67</v>
      </c>
      <c r="E3149" t="s">
        <v>63</v>
      </c>
      <c r="F3149" t="s">
        <v>26</v>
      </c>
      <c r="G3149" s="4">
        <v>0</v>
      </c>
      <c r="H3149" s="4" t="s">
        <v>83</v>
      </c>
      <c r="I3149" s="4" t="s">
        <v>69</v>
      </c>
      <c r="J3149" s="4" t="s">
        <v>66</v>
      </c>
      <c r="K3149" s="4">
        <v>0</v>
      </c>
      <c r="L3149" s="94">
        <v>-18416</v>
      </c>
      <c r="M3149" s="94">
        <v>0</v>
      </c>
    </row>
    <row r="3150" spans="3:13" x14ac:dyDescent="0.3">
      <c r="C3150" t="s">
        <v>70</v>
      </c>
      <c r="D3150" t="s">
        <v>62</v>
      </c>
      <c r="E3150" t="s">
        <v>68</v>
      </c>
      <c r="F3150" t="s">
        <v>24</v>
      </c>
      <c r="G3150" s="4">
        <v>23</v>
      </c>
      <c r="I3150" s="4" t="s">
        <v>69</v>
      </c>
      <c r="J3150" s="4" t="s">
        <v>66</v>
      </c>
      <c r="K3150" s="4">
        <v>0</v>
      </c>
      <c r="L3150" s="94">
        <v>47997796</v>
      </c>
      <c r="M3150" s="94">
        <v>1103949308</v>
      </c>
    </row>
    <row r="3151" spans="3:13" x14ac:dyDescent="0.3">
      <c r="C3151" t="s">
        <v>61</v>
      </c>
      <c r="D3151" t="s">
        <v>67</v>
      </c>
      <c r="E3151" t="s">
        <v>63</v>
      </c>
      <c r="F3151" t="s">
        <v>25</v>
      </c>
      <c r="G3151" s="4">
        <v>0</v>
      </c>
      <c r="H3151" s="4" t="s">
        <v>83</v>
      </c>
      <c r="I3151" s="4" t="s">
        <v>69</v>
      </c>
      <c r="J3151" s="4" t="s">
        <v>66</v>
      </c>
      <c r="K3151" s="4">
        <v>0</v>
      </c>
      <c r="L3151" s="94">
        <v>-5</v>
      </c>
      <c r="M3151" s="94">
        <v>0</v>
      </c>
    </row>
    <row r="3152" spans="3:13" x14ac:dyDescent="0.3">
      <c r="C3152" t="s">
        <v>71</v>
      </c>
      <c r="D3152" t="s">
        <v>67</v>
      </c>
      <c r="E3152" t="s">
        <v>63</v>
      </c>
      <c r="F3152" t="s">
        <v>26</v>
      </c>
      <c r="G3152" s="4">
        <v>3</v>
      </c>
      <c r="H3152" s="4" t="s">
        <v>83</v>
      </c>
      <c r="I3152" s="4" t="s">
        <v>69</v>
      </c>
      <c r="J3152" s="4" t="s">
        <v>66</v>
      </c>
      <c r="K3152" s="4">
        <v>0</v>
      </c>
      <c r="L3152" s="94">
        <v>-58665</v>
      </c>
      <c r="M3152" s="94">
        <v>0</v>
      </c>
    </row>
    <row r="3153" spans="3:13" x14ac:dyDescent="0.3">
      <c r="C3153" t="s">
        <v>70</v>
      </c>
      <c r="D3153" t="s">
        <v>67</v>
      </c>
      <c r="E3153" t="s">
        <v>63</v>
      </c>
      <c r="F3153" t="s">
        <v>25</v>
      </c>
      <c r="G3153" s="4">
        <v>10</v>
      </c>
      <c r="H3153" s="4" t="s">
        <v>14</v>
      </c>
      <c r="I3153" s="4" t="s">
        <v>69</v>
      </c>
      <c r="J3153" s="4" t="s">
        <v>73</v>
      </c>
      <c r="K3153" s="4">
        <v>1</v>
      </c>
      <c r="L3153" s="94">
        <v>-145</v>
      </c>
      <c r="M3153" s="94">
        <v>0</v>
      </c>
    </row>
    <row r="3154" spans="3:13" x14ac:dyDescent="0.3">
      <c r="C3154" t="s">
        <v>70</v>
      </c>
      <c r="D3154" t="s">
        <v>67</v>
      </c>
      <c r="E3154" t="s">
        <v>63</v>
      </c>
      <c r="F3154" t="s">
        <v>25</v>
      </c>
      <c r="G3154" s="4">
        <v>14</v>
      </c>
      <c r="H3154" s="4" t="s">
        <v>14</v>
      </c>
      <c r="I3154" s="4" t="s">
        <v>69</v>
      </c>
      <c r="J3154" s="4" t="s">
        <v>66</v>
      </c>
      <c r="K3154" s="4">
        <v>0</v>
      </c>
      <c r="L3154" s="94">
        <v>-4774</v>
      </c>
      <c r="M3154" s="94">
        <v>0</v>
      </c>
    </row>
    <row r="3155" spans="3:13" x14ac:dyDescent="0.3">
      <c r="C3155" t="s">
        <v>61</v>
      </c>
      <c r="D3155" t="s">
        <v>67</v>
      </c>
      <c r="E3155" t="s">
        <v>68</v>
      </c>
      <c r="F3155" t="s">
        <v>72</v>
      </c>
      <c r="G3155" s="4">
        <v>2</v>
      </c>
      <c r="H3155" s="4" t="s">
        <v>14</v>
      </c>
      <c r="I3155" s="4" t="s">
        <v>65</v>
      </c>
      <c r="J3155" s="4" t="s">
        <v>73</v>
      </c>
      <c r="K3155" s="4">
        <v>1</v>
      </c>
      <c r="L3155" s="94">
        <v>19901</v>
      </c>
      <c r="M3155" s="94">
        <v>39802</v>
      </c>
    </row>
    <row r="3156" spans="3:13" x14ac:dyDescent="0.3">
      <c r="C3156" t="s">
        <v>70</v>
      </c>
      <c r="D3156" t="s">
        <v>67</v>
      </c>
      <c r="E3156" t="s">
        <v>68</v>
      </c>
      <c r="F3156" t="s">
        <v>72</v>
      </c>
      <c r="G3156" s="4">
        <v>5</v>
      </c>
      <c r="H3156" s="4" t="s">
        <v>83</v>
      </c>
      <c r="I3156" s="4" t="s">
        <v>69</v>
      </c>
      <c r="J3156" s="4" t="s">
        <v>66</v>
      </c>
      <c r="K3156" s="4">
        <v>0</v>
      </c>
      <c r="L3156" s="94">
        <v>293530</v>
      </c>
      <c r="M3156" s="94">
        <v>1467650</v>
      </c>
    </row>
    <row r="3157" spans="3:13" x14ac:dyDescent="0.3">
      <c r="C3157" t="s">
        <v>71</v>
      </c>
      <c r="D3157" t="s">
        <v>67</v>
      </c>
      <c r="E3157" t="s">
        <v>68</v>
      </c>
      <c r="F3157" t="s">
        <v>25</v>
      </c>
      <c r="G3157" s="4">
        <v>-4</v>
      </c>
      <c r="H3157" s="4" t="s">
        <v>14</v>
      </c>
      <c r="I3157" s="4" t="s">
        <v>65</v>
      </c>
      <c r="J3157" s="4" t="s">
        <v>66</v>
      </c>
      <c r="K3157" s="4">
        <v>1</v>
      </c>
      <c r="L3157" s="94">
        <v>32363</v>
      </c>
      <c r="M3157" s="94">
        <v>0</v>
      </c>
    </row>
    <row r="3158" spans="3:13" x14ac:dyDescent="0.3">
      <c r="C3158" t="s">
        <v>61</v>
      </c>
      <c r="D3158" t="s">
        <v>67</v>
      </c>
      <c r="E3158" t="s">
        <v>63</v>
      </c>
      <c r="F3158" t="s">
        <v>26</v>
      </c>
      <c r="G3158" s="4">
        <v>-1</v>
      </c>
      <c r="H3158" s="4" t="s">
        <v>18</v>
      </c>
      <c r="I3158" s="4" t="s">
        <v>69</v>
      </c>
      <c r="J3158" s="4" t="s">
        <v>73</v>
      </c>
      <c r="K3158" s="4">
        <v>1</v>
      </c>
      <c r="L3158" s="94">
        <v>-85266</v>
      </c>
      <c r="M3158" s="94">
        <v>0</v>
      </c>
    </row>
    <row r="3159" spans="3:13" x14ac:dyDescent="0.3">
      <c r="C3159" t="s">
        <v>61</v>
      </c>
      <c r="D3159" t="s">
        <v>67</v>
      </c>
      <c r="E3159" t="s">
        <v>68</v>
      </c>
      <c r="F3159" t="s">
        <v>26</v>
      </c>
      <c r="G3159" s="4">
        <v>5</v>
      </c>
      <c r="H3159" s="4" t="s">
        <v>12</v>
      </c>
      <c r="I3159" s="4" t="s">
        <v>69</v>
      </c>
      <c r="J3159" s="4" t="s">
        <v>73</v>
      </c>
      <c r="K3159" s="4">
        <v>1</v>
      </c>
      <c r="L3159" s="94">
        <v>2649894</v>
      </c>
      <c r="M3159" s="94">
        <v>13249470</v>
      </c>
    </row>
    <row r="3160" spans="3:13" x14ac:dyDescent="0.3">
      <c r="C3160" t="s">
        <v>71</v>
      </c>
      <c r="D3160" t="s">
        <v>62</v>
      </c>
      <c r="E3160" t="s">
        <v>63</v>
      </c>
      <c r="F3160" t="s">
        <v>24</v>
      </c>
      <c r="G3160" s="4">
        <v>33</v>
      </c>
      <c r="I3160" s="4" t="s">
        <v>65</v>
      </c>
      <c r="J3160" s="4" t="s">
        <v>66</v>
      </c>
      <c r="K3160" s="4">
        <v>1</v>
      </c>
      <c r="L3160" s="94">
        <v>-10854</v>
      </c>
      <c r="M3160" s="94">
        <v>0</v>
      </c>
    </row>
    <row r="3161" spans="3:13" x14ac:dyDescent="0.3">
      <c r="C3161" t="s">
        <v>61</v>
      </c>
      <c r="D3161" t="s">
        <v>62</v>
      </c>
      <c r="E3161" t="s">
        <v>68</v>
      </c>
      <c r="F3161" t="s">
        <v>24</v>
      </c>
      <c r="G3161" s="4">
        <v>23</v>
      </c>
      <c r="I3161" s="4" t="s">
        <v>65</v>
      </c>
      <c r="J3161" s="4" t="s">
        <v>66</v>
      </c>
      <c r="K3161" s="4">
        <v>1</v>
      </c>
      <c r="L3161" s="94">
        <v>7451465</v>
      </c>
      <c r="M3161" s="94">
        <v>171383695</v>
      </c>
    </row>
    <row r="3162" spans="3:13" x14ac:dyDescent="0.3">
      <c r="C3162" t="s">
        <v>61</v>
      </c>
      <c r="D3162" t="s">
        <v>67</v>
      </c>
      <c r="E3162" t="s">
        <v>68</v>
      </c>
      <c r="F3162" t="s">
        <v>25</v>
      </c>
      <c r="G3162" s="4">
        <v>5</v>
      </c>
      <c r="H3162" s="4" t="s">
        <v>14</v>
      </c>
      <c r="I3162" s="4" t="s">
        <v>69</v>
      </c>
      <c r="J3162" s="4" t="s">
        <v>66</v>
      </c>
      <c r="K3162" s="4">
        <v>0</v>
      </c>
      <c r="L3162" s="94">
        <v>12251740</v>
      </c>
      <c r="M3162" s="94">
        <v>61258700</v>
      </c>
    </row>
    <row r="3163" spans="3:13" x14ac:dyDescent="0.3">
      <c r="C3163" t="s">
        <v>70</v>
      </c>
      <c r="D3163" t="s">
        <v>67</v>
      </c>
      <c r="E3163" t="s">
        <v>68</v>
      </c>
      <c r="F3163" t="s">
        <v>25</v>
      </c>
      <c r="G3163" s="4">
        <v>5</v>
      </c>
      <c r="H3163" s="4" t="s">
        <v>18</v>
      </c>
      <c r="I3163" s="4" t="s">
        <v>69</v>
      </c>
      <c r="J3163" s="4" t="s">
        <v>66</v>
      </c>
      <c r="K3163" s="4">
        <v>1</v>
      </c>
      <c r="L3163" s="94">
        <v>46190</v>
      </c>
      <c r="M3163" s="94">
        <v>230950</v>
      </c>
    </row>
    <row r="3164" spans="3:13" x14ac:dyDescent="0.3">
      <c r="C3164" t="s">
        <v>70</v>
      </c>
      <c r="D3164" t="s">
        <v>67</v>
      </c>
      <c r="E3164" t="s">
        <v>68</v>
      </c>
      <c r="F3164" t="s">
        <v>72</v>
      </c>
      <c r="G3164" s="4">
        <v>6</v>
      </c>
      <c r="H3164" s="4" t="s">
        <v>17</v>
      </c>
      <c r="I3164" s="4" t="s">
        <v>65</v>
      </c>
      <c r="J3164" s="4" t="s">
        <v>73</v>
      </c>
      <c r="K3164" s="4">
        <v>1</v>
      </c>
      <c r="L3164" s="94">
        <v>136944</v>
      </c>
      <c r="M3164" s="94">
        <v>821664</v>
      </c>
    </row>
    <row r="3165" spans="3:13" x14ac:dyDescent="0.3">
      <c r="C3165" t="s">
        <v>71</v>
      </c>
      <c r="D3165" t="s">
        <v>67</v>
      </c>
      <c r="E3165" t="s">
        <v>63</v>
      </c>
      <c r="F3165" t="s">
        <v>25</v>
      </c>
      <c r="G3165" s="4">
        <v>2</v>
      </c>
      <c r="H3165" s="4" t="s">
        <v>18</v>
      </c>
      <c r="I3165" s="4" t="s">
        <v>69</v>
      </c>
      <c r="J3165" s="4" t="s">
        <v>66</v>
      </c>
      <c r="K3165" s="4">
        <v>0</v>
      </c>
      <c r="L3165" s="94">
        <v>-54576</v>
      </c>
      <c r="M3165" s="94">
        <v>0</v>
      </c>
    </row>
    <row r="3166" spans="3:13" x14ac:dyDescent="0.3">
      <c r="C3166" t="s">
        <v>61</v>
      </c>
      <c r="D3166" t="s">
        <v>67</v>
      </c>
      <c r="E3166" t="s">
        <v>63</v>
      </c>
      <c r="F3166" t="s">
        <v>72</v>
      </c>
      <c r="G3166" s="4">
        <v>2</v>
      </c>
      <c r="H3166" s="4" t="s">
        <v>17</v>
      </c>
      <c r="I3166" s="4" t="s">
        <v>69</v>
      </c>
      <c r="J3166" s="4" t="s">
        <v>66</v>
      </c>
      <c r="K3166" s="4">
        <v>0</v>
      </c>
      <c r="L3166" s="94">
        <v>-16588</v>
      </c>
      <c r="M3166" s="94">
        <v>0</v>
      </c>
    </row>
    <row r="3167" spans="3:13" x14ac:dyDescent="0.3">
      <c r="C3167" t="s">
        <v>61</v>
      </c>
      <c r="D3167" t="s">
        <v>67</v>
      </c>
      <c r="E3167" t="s">
        <v>63</v>
      </c>
      <c r="F3167" t="s">
        <v>25</v>
      </c>
      <c r="G3167" s="4">
        <v>7</v>
      </c>
      <c r="H3167" s="4" t="s">
        <v>17</v>
      </c>
      <c r="I3167" s="4" t="s">
        <v>69</v>
      </c>
      <c r="J3167" s="4" t="s">
        <v>66</v>
      </c>
      <c r="K3167" s="4">
        <v>0</v>
      </c>
      <c r="L3167" s="94">
        <v>-2889</v>
      </c>
      <c r="M3167" s="94">
        <v>0</v>
      </c>
    </row>
    <row r="3168" spans="3:13" x14ac:dyDescent="0.3">
      <c r="C3168" t="s">
        <v>70</v>
      </c>
      <c r="D3168" t="s">
        <v>67</v>
      </c>
      <c r="E3168" t="s">
        <v>68</v>
      </c>
      <c r="F3168" t="s">
        <v>25</v>
      </c>
      <c r="G3168" s="4">
        <v>4</v>
      </c>
      <c r="H3168" s="4" t="s">
        <v>18</v>
      </c>
      <c r="I3168" s="4" t="s">
        <v>69</v>
      </c>
      <c r="J3168" s="4" t="s">
        <v>66</v>
      </c>
      <c r="K3168" s="4">
        <v>1</v>
      </c>
      <c r="L3168" s="94">
        <v>360399</v>
      </c>
      <c r="M3168" s="94">
        <v>1441596</v>
      </c>
    </row>
    <row r="3169" spans="3:13" x14ac:dyDescent="0.3">
      <c r="C3169" t="s">
        <v>71</v>
      </c>
      <c r="D3169" t="s">
        <v>67</v>
      </c>
      <c r="E3169" t="s">
        <v>63</v>
      </c>
      <c r="F3169" t="s">
        <v>26</v>
      </c>
      <c r="G3169" s="4">
        <v>2</v>
      </c>
      <c r="H3169" s="4" t="s">
        <v>14</v>
      </c>
      <c r="I3169" s="4" t="s">
        <v>69</v>
      </c>
      <c r="J3169" s="4" t="s">
        <v>73</v>
      </c>
      <c r="K3169" s="4">
        <v>1</v>
      </c>
      <c r="L3169" s="94">
        <v>-1997754</v>
      </c>
      <c r="M3169" s="94">
        <v>0</v>
      </c>
    </row>
    <row r="3170" spans="3:13" x14ac:dyDescent="0.3">
      <c r="C3170" t="s">
        <v>61</v>
      </c>
      <c r="D3170" t="s">
        <v>67</v>
      </c>
      <c r="E3170" t="s">
        <v>68</v>
      </c>
      <c r="F3170" t="s">
        <v>72</v>
      </c>
      <c r="G3170" s="4">
        <v>4</v>
      </c>
      <c r="H3170" s="4" t="s">
        <v>83</v>
      </c>
      <c r="I3170" s="4" t="s">
        <v>69</v>
      </c>
      <c r="J3170" s="4" t="s">
        <v>66</v>
      </c>
      <c r="K3170" s="4">
        <v>0</v>
      </c>
      <c r="L3170" s="94">
        <v>1258715</v>
      </c>
      <c r="M3170" s="94">
        <v>5034860</v>
      </c>
    </row>
    <row r="3171" spans="3:13" x14ac:dyDescent="0.3">
      <c r="C3171" t="s">
        <v>61</v>
      </c>
      <c r="D3171" t="s">
        <v>67</v>
      </c>
      <c r="E3171" t="s">
        <v>63</v>
      </c>
      <c r="F3171" t="s">
        <v>26</v>
      </c>
      <c r="G3171" s="4">
        <v>3</v>
      </c>
      <c r="H3171" s="4" t="s">
        <v>64</v>
      </c>
      <c r="I3171" s="4" t="s">
        <v>69</v>
      </c>
      <c r="J3171" s="4" t="s">
        <v>66</v>
      </c>
      <c r="K3171" s="4">
        <v>0</v>
      </c>
      <c r="L3171" s="94">
        <v>-71764</v>
      </c>
      <c r="M3171" s="94">
        <v>0</v>
      </c>
    </row>
    <row r="3172" spans="3:13" x14ac:dyDescent="0.3">
      <c r="C3172" t="s">
        <v>70</v>
      </c>
      <c r="D3172" t="s">
        <v>62</v>
      </c>
      <c r="E3172" t="s">
        <v>68</v>
      </c>
      <c r="F3172" t="s">
        <v>24</v>
      </c>
      <c r="G3172" s="4">
        <v>22</v>
      </c>
      <c r="I3172" s="4" t="s">
        <v>65</v>
      </c>
      <c r="J3172" s="4" t="s">
        <v>66</v>
      </c>
      <c r="K3172" s="4">
        <v>1</v>
      </c>
      <c r="L3172" s="94">
        <v>521532</v>
      </c>
      <c r="M3172" s="94">
        <v>11473704</v>
      </c>
    </row>
    <row r="3173" spans="3:13" x14ac:dyDescent="0.3">
      <c r="C3173" t="s">
        <v>71</v>
      </c>
      <c r="D3173" t="s">
        <v>67</v>
      </c>
      <c r="E3173" t="s">
        <v>68</v>
      </c>
      <c r="F3173" t="s">
        <v>72</v>
      </c>
      <c r="G3173" s="4">
        <v>4</v>
      </c>
      <c r="H3173" s="4" t="s">
        <v>18</v>
      </c>
      <c r="I3173" s="4" t="s">
        <v>69</v>
      </c>
      <c r="J3173" s="4" t="s">
        <v>66</v>
      </c>
      <c r="K3173" s="4">
        <v>0</v>
      </c>
      <c r="L3173" s="94">
        <v>131191</v>
      </c>
      <c r="M3173" s="94">
        <v>524764</v>
      </c>
    </row>
    <row r="3174" spans="3:13" x14ac:dyDescent="0.3">
      <c r="C3174" t="s">
        <v>71</v>
      </c>
      <c r="D3174" t="s">
        <v>62</v>
      </c>
      <c r="E3174" t="s">
        <v>68</v>
      </c>
      <c r="F3174" t="s">
        <v>24</v>
      </c>
      <c r="G3174" s="4">
        <v>5</v>
      </c>
      <c r="I3174" s="4" t="s">
        <v>69</v>
      </c>
      <c r="J3174" s="4" t="s">
        <v>66</v>
      </c>
      <c r="K3174" s="4">
        <v>1</v>
      </c>
      <c r="L3174" s="94">
        <v>30112</v>
      </c>
      <c r="M3174" s="94">
        <v>150560</v>
      </c>
    </row>
    <row r="3175" spans="3:13" x14ac:dyDescent="0.3">
      <c r="C3175" t="s">
        <v>61</v>
      </c>
      <c r="D3175" t="s">
        <v>67</v>
      </c>
      <c r="E3175" t="s">
        <v>68</v>
      </c>
      <c r="F3175" t="s">
        <v>26</v>
      </c>
      <c r="G3175" s="4">
        <v>9</v>
      </c>
      <c r="H3175" s="4" t="s">
        <v>14</v>
      </c>
      <c r="I3175" s="4" t="s">
        <v>69</v>
      </c>
      <c r="J3175" s="4" t="s">
        <v>73</v>
      </c>
      <c r="K3175" s="4">
        <v>1</v>
      </c>
      <c r="L3175" s="94">
        <v>424155</v>
      </c>
      <c r="M3175" s="94">
        <v>3817395</v>
      </c>
    </row>
    <row r="3176" spans="3:13" x14ac:dyDescent="0.3">
      <c r="C3176" t="s">
        <v>61</v>
      </c>
      <c r="D3176" t="s">
        <v>67</v>
      </c>
      <c r="E3176" t="s">
        <v>63</v>
      </c>
      <c r="F3176" t="s">
        <v>25</v>
      </c>
      <c r="G3176" s="4">
        <v>3</v>
      </c>
      <c r="H3176" s="4" t="s">
        <v>64</v>
      </c>
      <c r="I3176" s="4" t="s">
        <v>69</v>
      </c>
      <c r="J3176" s="4" t="s">
        <v>66</v>
      </c>
      <c r="K3176" s="4">
        <v>0</v>
      </c>
      <c r="L3176" s="94">
        <v>-148</v>
      </c>
      <c r="M3176" s="94">
        <v>0</v>
      </c>
    </row>
    <row r="3177" spans="3:13" x14ac:dyDescent="0.3">
      <c r="C3177" t="s">
        <v>61</v>
      </c>
      <c r="D3177" t="s">
        <v>67</v>
      </c>
      <c r="E3177" t="s">
        <v>63</v>
      </c>
      <c r="F3177" t="s">
        <v>72</v>
      </c>
      <c r="G3177" s="4">
        <v>-4</v>
      </c>
      <c r="H3177" s="4" t="s">
        <v>82</v>
      </c>
      <c r="I3177" s="4" t="s">
        <v>69</v>
      </c>
      <c r="J3177" s="4" t="s">
        <v>66</v>
      </c>
      <c r="K3177" s="4">
        <v>0</v>
      </c>
      <c r="L3177" s="94">
        <v>-6</v>
      </c>
      <c r="M3177" s="94">
        <v>0</v>
      </c>
    </row>
    <row r="3178" spans="3:13" x14ac:dyDescent="0.3">
      <c r="C3178" t="s">
        <v>71</v>
      </c>
      <c r="D3178" t="s">
        <v>67</v>
      </c>
      <c r="E3178" t="s">
        <v>68</v>
      </c>
      <c r="F3178" t="s">
        <v>26</v>
      </c>
      <c r="G3178" s="4">
        <v>1</v>
      </c>
      <c r="H3178" s="4" t="s">
        <v>17</v>
      </c>
      <c r="I3178" s="4" t="s">
        <v>69</v>
      </c>
      <c r="J3178" s="4" t="s">
        <v>66</v>
      </c>
      <c r="K3178" s="4">
        <v>0</v>
      </c>
      <c r="L3178" s="94">
        <v>1164737</v>
      </c>
      <c r="M3178" s="94">
        <v>1164737</v>
      </c>
    </row>
    <row r="3179" spans="3:13" x14ac:dyDescent="0.3">
      <c r="C3179" t="s">
        <v>70</v>
      </c>
      <c r="D3179" t="s">
        <v>67</v>
      </c>
      <c r="E3179" t="s">
        <v>63</v>
      </c>
      <c r="F3179" t="s">
        <v>25</v>
      </c>
      <c r="G3179" s="4">
        <v>-1</v>
      </c>
      <c r="H3179" s="4" t="s">
        <v>13</v>
      </c>
      <c r="I3179" s="4" t="s">
        <v>69</v>
      </c>
      <c r="J3179" s="4" t="s">
        <v>66</v>
      </c>
      <c r="K3179" s="4">
        <v>1</v>
      </c>
      <c r="L3179" s="94">
        <v>0</v>
      </c>
      <c r="M3179" s="94">
        <v>0</v>
      </c>
    </row>
    <row r="3180" spans="3:13" x14ac:dyDescent="0.3">
      <c r="C3180" t="s">
        <v>61</v>
      </c>
      <c r="D3180" t="s">
        <v>67</v>
      </c>
      <c r="E3180" t="s">
        <v>68</v>
      </c>
      <c r="F3180" t="s">
        <v>72</v>
      </c>
      <c r="G3180" s="4">
        <v>2</v>
      </c>
      <c r="H3180" s="4" t="s">
        <v>12</v>
      </c>
      <c r="I3180" s="4" t="s">
        <v>69</v>
      </c>
      <c r="J3180" s="4" t="s">
        <v>66</v>
      </c>
      <c r="K3180" s="4">
        <v>0</v>
      </c>
      <c r="L3180" s="94">
        <v>424307</v>
      </c>
      <c r="M3180" s="94">
        <v>848614</v>
      </c>
    </row>
    <row r="3181" spans="3:13" x14ac:dyDescent="0.3">
      <c r="C3181" t="s">
        <v>71</v>
      </c>
      <c r="D3181" t="s">
        <v>62</v>
      </c>
      <c r="E3181" t="s">
        <v>68</v>
      </c>
      <c r="F3181" t="s">
        <v>24</v>
      </c>
      <c r="G3181" s="4">
        <v>14</v>
      </c>
      <c r="I3181" s="4" t="s">
        <v>69</v>
      </c>
      <c r="J3181" s="4" t="s">
        <v>66</v>
      </c>
      <c r="K3181" s="4">
        <v>0</v>
      </c>
      <c r="L3181" s="94">
        <v>4566592</v>
      </c>
      <c r="M3181" s="94">
        <v>63932288</v>
      </c>
    </row>
    <row r="3182" spans="3:13" x14ac:dyDescent="0.3">
      <c r="C3182" t="s">
        <v>61</v>
      </c>
      <c r="D3182" t="s">
        <v>67</v>
      </c>
      <c r="E3182" t="s">
        <v>63</v>
      </c>
      <c r="F3182" t="s">
        <v>72</v>
      </c>
      <c r="G3182" s="4">
        <v>5</v>
      </c>
      <c r="H3182" s="4" t="s">
        <v>78</v>
      </c>
      <c r="I3182" s="4" t="s">
        <v>69</v>
      </c>
      <c r="J3182" s="4" t="s">
        <v>66</v>
      </c>
      <c r="K3182" s="4">
        <v>0</v>
      </c>
      <c r="L3182" s="94">
        <v>-542</v>
      </c>
      <c r="M3182" s="94">
        <v>0</v>
      </c>
    </row>
    <row r="3183" spans="3:13" x14ac:dyDescent="0.3">
      <c r="C3183" t="s">
        <v>61</v>
      </c>
      <c r="D3183" t="s">
        <v>67</v>
      </c>
      <c r="E3183" t="s">
        <v>63</v>
      </c>
      <c r="F3183" t="s">
        <v>72</v>
      </c>
      <c r="G3183" s="4">
        <v>0</v>
      </c>
      <c r="H3183" s="4" t="s">
        <v>75</v>
      </c>
      <c r="I3183" s="4" t="s">
        <v>69</v>
      </c>
      <c r="J3183" s="4" t="s">
        <v>66</v>
      </c>
      <c r="K3183" s="4">
        <v>0</v>
      </c>
      <c r="L3183" s="94">
        <v>-660</v>
      </c>
      <c r="M3183" s="94">
        <v>0</v>
      </c>
    </row>
    <row r="3184" spans="3:13" x14ac:dyDescent="0.3">
      <c r="C3184" t="s">
        <v>70</v>
      </c>
      <c r="D3184" t="s">
        <v>67</v>
      </c>
      <c r="E3184" t="s">
        <v>68</v>
      </c>
      <c r="F3184" t="s">
        <v>26</v>
      </c>
      <c r="G3184" s="4">
        <v>4</v>
      </c>
      <c r="H3184" s="4" t="s">
        <v>17</v>
      </c>
      <c r="I3184" s="4" t="s">
        <v>65</v>
      </c>
      <c r="J3184" s="4" t="s">
        <v>73</v>
      </c>
      <c r="K3184" s="4">
        <v>1</v>
      </c>
      <c r="L3184" s="94">
        <v>277674</v>
      </c>
      <c r="M3184" s="94">
        <v>1110696</v>
      </c>
    </row>
    <row r="3185" spans="3:13" x14ac:dyDescent="0.3">
      <c r="C3185" t="s">
        <v>71</v>
      </c>
      <c r="D3185" t="s">
        <v>67</v>
      </c>
      <c r="E3185" t="s">
        <v>68</v>
      </c>
      <c r="F3185" t="s">
        <v>25</v>
      </c>
      <c r="G3185" s="4">
        <v>1</v>
      </c>
      <c r="H3185" s="4" t="s">
        <v>12</v>
      </c>
      <c r="I3185" s="4" t="s">
        <v>69</v>
      </c>
      <c r="J3185" s="4" t="s">
        <v>66</v>
      </c>
      <c r="K3185" s="4">
        <v>1</v>
      </c>
      <c r="L3185" s="94">
        <v>45195</v>
      </c>
      <c r="M3185" s="94">
        <v>45195</v>
      </c>
    </row>
    <row r="3186" spans="3:13" x14ac:dyDescent="0.3">
      <c r="C3186" t="s">
        <v>61</v>
      </c>
      <c r="D3186" t="s">
        <v>67</v>
      </c>
      <c r="E3186" t="s">
        <v>68</v>
      </c>
      <c r="F3186" t="s">
        <v>72</v>
      </c>
      <c r="G3186" s="4">
        <v>0</v>
      </c>
      <c r="H3186" s="4" t="s">
        <v>17</v>
      </c>
      <c r="I3186" s="4" t="s">
        <v>65</v>
      </c>
      <c r="J3186" s="4" t="s">
        <v>66</v>
      </c>
      <c r="K3186" s="4">
        <v>1</v>
      </c>
      <c r="L3186" s="94">
        <v>1092</v>
      </c>
      <c r="M3186" s="94">
        <v>0</v>
      </c>
    </row>
    <row r="3187" spans="3:13" x14ac:dyDescent="0.3">
      <c r="C3187" t="s">
        <v>61</v>
      </c>
      <c r="D3187" t="s">
        <v>67</v>
      </c>
      <c r="E3187" t="s">
        <v>63</v>
      </c>
      <c r="F3187" t="s">
        <v>72</v>
      </c>
      <c r="G3187" s="4">
        <v>7</v>
      </c>
      <c r="H3187" s="4" t="s">
        <v>82</v>
      </c>
      <c r="I3187" s="4" t="s">
        <v>69</v>
      </c>
      <c r="J3187" s="4" t="s">
        <v>66</v>
      </c>
      <c r="K3187" s="4">
        <v>0</v>
      </c>
      <c r="L3187" s="94">
        <v>-9723</v>
      </c>
      <c r="M3187" s="94">
        <v>0</v>
      </c>
    </row>
    <row r="3188" spans="3:13" x14ac:dyDescent="0.3">
      <c r="C3188" t="s">
        <v>70</v>
      </c>
      <c r="D3188" t="s">
        <v>62</v>
      </c>
      <c r="E3188" t="s">
        <v>68</v>
      </c>
      <c r="F3188" t="s">
        <v>24</v>
      </c>
      <c r="G3188" s="4">
        <v>26</v>
      </c>
      <c r="I3188" s="4" t="s">
        <v>69</v>
      </c>
      <c r="J3188" s="4" t="s">
        <v>66</v>
      </c>
      <c r="K3188" s="4">
        <v>1</v>
      </c>
      <c r="L3188" s="94">
        <v>23617</v>
      </c>
      <c r="M3188" s="94">
        <v>614042</v>
      </c>
    </row>
    <row r="3189" spans="3:13" x14ac:dyDescent="0.3">
      <c r="C3189" t="s">
        <v>70</v>
      </c>
      <c r="D3189" t="s">
        <v>67</v>
      </c>
      <c r="E3189" t="s">
        <v>63</v>
      </c>
      <c r="F3189" t="s">
        <v>26</v>
      </c>
      <c r="G3189" s="4">
        <v>-1</v>
      </c>
      <c r="H3189" s="4" t="s">
        <v>74</v>
      </c>
      <c r="I3189" s="4" t="s">
        <v>69</v>
      </c>
      <c r="J3189" s="4" t="s">
        <v>66</v>
      </c>
      <c r="K3189" s="4">
        <v>0</v>
      </c>
      <c r="L3189" s="94">
        <v>-665389</v>
      </c>
      <c r="M3189" s="94">
        <v>0</v>
      </c>
    </row>
    <row r="3190" spans="3:13" x14ac:dyDescent="0.3">
      <c r="C3190" t="s">
        <v>61</v>
      </c>
      <c r="D3190" t="s">
        <v>67</v>
      </c>
      <c r="E3190" t="s">
        <v>68</v>
      </c>
      <c r="F3190" t="s">
        <v>26</v>
      </c>
      <c r="G3190" s="4">
        <v>8</v>
      </c>
      <c r="H3190" s="4" t="s">
        <v>18</v>
      </c>
      <c r="I3190" s="4" t="s">
        <v>69</v>
      </c>
      <c r="J3190" s="4" t="s">
        <v>73</v>
      </c>
      <c r="K3190" s="4">
        <v>1</v>
      </c>
      <c r="L3190" s="94">
        <v>1323535</v>
      </c>
      <c r="M3190" s="94">
        <v>10588280</v>
      </c>
    </row>
    <row r="3191" spans="3:13" x14ac:dyDescent="0.3">
      <c r="C3191" t="s">
        <v>70</v>
      </c>
      <c r="D3191" t="s">
        <v>67</v>
      </c>
      <c r="E3191" t="s">
        <v>63</v>
      </c>
      <c r="F3191" t="s">
        <v>72</v>
      </c>
      <c r="G3191" s="4">
        <v>2</v>
      </c>
      <c r="H3191" s="4" t="s">
        <v>17</v>
      </c>
      <c r="I3191" s="4" t="s">
        <v>69</v>
      </c>
      <c r="J3191" s="4" t="s">
        <v>66</v>
      </c>
      <c r="K3191" s="4">
        <v>0</v>
      </c>
      <c r="L3191" s="94">
        <v>-48670</v>
      </c>
      <c r="M3191" s="94">
        <v>0</v>
      </c>
    </row>
    <row r="3192" spans="3:13" x14ac:dyDescent="0.3">
      <c r="C3192" t="s">
        <v>71</v>
      </c>
      <c r="D3192" t="s">
        <v>67</v>
      </c>
      <c r="E3192" t="s">
        <v>68</v>
      </c>
      <c r="F3192" t="s">
        <v>25</v>
      </c>
      <c r="G3192" s="4">
        <v>9</v>
      </c>
      <c r="H3192" s="4" t="s">
        <v>75</v>
      </c>
      <c r="I3192" s="4" t="s">
        <v>69</v>
      </c>
      <c r="J3192" s="4" t="s">
        <v>66</v>
      </c>
      <c r="K3192" s="4">
        <v>0</v>
      </c>
      <c r="L3192" s="94">
        <v>27607</v>
      </c>
      <c r="M3192" s="94">
        <v>248463</v>
      </c>
    </row>
    <row r="3193" spans="3:13" x14ac:dyDescent="0.3">
      <c r="C3193" t="s">
        <v>61</v>
      </c>
      <c r="D3193" t="s">
        <v>67</v>
      </c>
      <c r="E3193" t="s">
        <v>63</v>
      </c>
      <c r="F3193" t="s">
        <v>25</v>
      </c>
      <c r="G3193" s="4">
        <v>13</v>
      </c>
      <c r="H3193" s="4" t="s">
        <v>78</v>
      </c>
      <c r="I3193" s="4" t="s">
        <v>69</v>
      </c>
      <c r="J3193" s="4" t="s">
        <v>66</v>
      </c>
      <c r="K3193" s="4">
        <v>0</v>
      </c>
      <c r="L3193" s="94">
        <v>-175</v>
      </c>
      <c r="M3193" s="94">
        <v>0</v>
      </c>
    </row>
    <row r="3194" spans="3:13" x14ac:dyDescent="0.3">
      <c r="C3194" t="s">
        <v>71</v>
      </c>
      <c r="D3194" t="s">
        <v>67</v>
      </c>
      <c r="E3194" t="s">
        <v>68</v>
      </c>
      <c r="F3194" t="s">
        <v>26</v>
      </c>
      <c r="G3194" s="4">
        <v>7</v>
      </c>
      <c r="H3194" s="4" t="s">
        <v>14</v>
      </c>
      <c r="I3194" s="4" t="s">
        <v>69</v>
      </c>
      <c r="J3194" s="4" t="s">
        <v>73</v>
      </c>
      <c r="K3194" s="4">
        <v>1</v>
      </c>
      <c r="L3194" s="94">
        <v>924699</v>
      </c>
      <c r="M3194" s="94">
        <v>6472893</v>
      </c>
    </row>
    <row r="3195" spans="3:13" x14ac:dyDescent="0.3">
      <c r="C3195" t="s">
        <v>70</v>
      </c>
      <c r="D3195" t="s">
        <v>67</v>
      </c>
      <c r="E3195" t="s">
        <v>68</v>
      </c>
      <c r="F3195" t="s">
        <v>26</v>
      </c>
      <c r="G3195" s="4">
        <v>1</v>
      </c>
      <c r="H3195" s="4" t="s">
        <v>12</v>
      </c>
      <c r="I3195" s="4" t="s">
        <v>69</v>
      </c>
      <c r="J3195" s="4" t="s">
        <v>73</v>
      </c>
      <c r="K3195" s="4">
        <v>1</v>
      </c>
      <c r="L3195" s="94">
        <v>1277109</v>
      </c>
      <c r="M3195" s="94">
        <v>1277109</v>
      </c>
    </row>
    <row r="3196" spans="3:13" x14ac:dyDescent="0.3">
      <c r="C3196" t="s">
        <v>70</v>
      </c>
      <c r="D3196" t="s">
        <v>67</v>
      </c>
      <c r="E3196" t="s">
        <v>63</v>
      </c>
      <c r="F3196" t="s">
        <v>26</v>
      </c>
      <c r="G3196" s="4">
        <v>0</v>
      </c>
      <c r="H3196" s="4" t="s">
        <v>75</v>
      </c>
      <c r="I3196" s="4" t="s">
        <v>69</v>
      </c>
      <c r="J3196" s="4" t="s">
        <v>66</v>
      </c>
      <c r="K3196" s="4">
        <v>0</v>
      </c>
      <c r="L3196" s="94">
        <v>-46965</v>
      </c>
      <c r="M3196" s="94">
        <v>0</v>
      </c>
    </row>
    <row r="3197" spans="3:13" x14ac:dyDescent="0.3">
      <c r="C3197" t="s">
        <v>70</v>
      </c>
      <c r="D3197" t="s">
        <v>67</v>
      </c>
      <c r="E3197" t="s">
        <v>68</v>
      </c>
      <c r="F3197" t="s">
        <v>26</v>
      </c>
      <c r="G3197" s="4">
        <v>2</v>
      </c>
      <c r="H3197" s="4" t="s">
        <v>77</v>
      </c>
      <c r="I3197" s="4" t="s">
        <v>69</v>
      </c>
      <c r="J3197" s="4" t="s">
        <v>66</v>
      </c>
      <c r="K3197" s="4">
        <v>0</v>
      </c>
      <c r="L3197" s="94">
        <v>1611543</v>
      </c>
      <c r="M3197" s="94">
        <v>3223086</v>
      </c>
    </row>
    <row r="3198" spans="3:13" x14ac:dyDescent="0.3">
      <c r="C3198" t="s">
        <v>70</v>
      </c>
      <c r="D3198" t="s">
        <v>67</v>
      </c>
      <c r="E3198" t="s">
        <v>68</v>
      </c>
      <c r="F3198" t="s">
        <v>26</v>
      </c>
      <c r="G3198" s="4">
        <v>1</v>
      </c>
      <c r="H3198" s="4" t="s">
        <v>17</v>
      </c>
      <c r="I3198" s="4" t="s">
        <v>65</v>
      </c>
      <c r="J3198" s="4" t="s">
        <v>66</v>
      </c>
      <c r="K3198" s="4">
        <v>1</v>
      </c>
      <c r="L3198" s="94">
        <v>45523</v>
      </c>
      <c r="M3198" s="94">
        <v>45523</v>
      </c>
    </row>
    <row r="3199" spans="3:13" x14ac:dyDescent="0.3">
      <c r="C3199" t="s">
        <v>61</v>
      </c>
      <c r="D3199" t="s">
        <v>67</v>
      </c>
      <c r="E3199" t="s">
        <v>63</v>
      </c>
      <c r="F3199" t="s">
        <v>26</v>
      </c>
      <c r="G3199" s="4">
        <v>2</v>
      </c>
      <c r="H3199" s="4" t="s">
        <v>12</v>
      </c>
      <c r="I3199" s="4" t="s">
        <v>69</v>
      </c>
      <c r="J3199" s="4" t="s">
        <v>73</v>
      </c>
      <c r="K3199" s="4">
        <v>1</v>
      </c>
      <c r="L3199" s="94">
        <v>-22931</v>
      </c>
      <c r="M3199" s="94">
        <v>0</v>
      </c>
    </row>
    <row r="3200" spans="3:13" x14ac:dyDescent="0.3">
      <c r="C3200" t="s">
        <v>70</v>
      </c>
      <c r="D3200" t="s">
        <v>67</v>
      </c>
      <c r="E3200" t="s">
        <v>63</v>
      </c>
      <c r="F3200" t="s">
        <v>26</v>
      </c>
      <c r="G3200" s="4">
        <v>5</v>
      </c>
      <c r="H3200" s="4" t="s">
        <v>14</v>
      </c>
      <c r="I3200" s="4" t="s">
        <v>69</v>
      </c>
      <c r="J3200" s="4" t="s">
        <v>73</v>
      </c>
      <c r="K3200" s="4">
        <v>1</v>
      </c>
      <c r="L3200" s="94">
        <v>-218920</v>
      </c>
      <c r="M3200" s="94">
        <v>0</v>
      </c>
    </row>
    <row r="3201" spans="3:13" x14ac:dyDescent="0.3">
      <c r="C3201" t="s">
        <v>70</v>
      </c>
      <c r="D3201" t="s">
        <v>67</v>
      </c>
      <c r="E3201" t="s">
        <v>63</v>
      </c>
      <c r="F3201" t="s">
        <v>25</v>
      </c>
      <c r="G3201" s="4">
        <v>15</v>
      </c>
      <c r="H3201" s="4" t="s">
        <v>17</v>
      </c>
      <c r="I3201" s="4" t="s">
        <v>69</v>
      </c>
      <c r="J3201" s="4" t="s">
        <v>66</v>
      </c>
      <c r="K3201" s="4">
        <v>1</v>
      </c>
      <c r="L3201" s="94">
        <v>-1535</v>
      </c>
      <c r="M3201" s="94">
        <v>0</v>
      </c>
    </row>
    <row r="3202" spans="3:13" x14ac:dyDescent="0.3">
      <c r="C3202" t="s">
        <v>61</v>
      </c>
      <c r="D3202" t="s">
        <v>62</v>
      </c>
      <c r="E3202" t="s">
        <v>63</v>
      </c>
      <c r="F3202" t="s">
        <v>24</v>
      </c>
      <c r="G3202" s="4">
        <v>4</v>
      </c>
      <c r="I3202" s="4" t="s">
        <v>65</v>
      </c>
      <c r="J3202" s="4" t="s">
        <v>66</v>
      </c>
      <c r="K3202" s="4">
        <v>1</v>
      </c>
      <c r="L3202" s="94">
        <v>-234</v>
      </c>
      <c r="M3202" s="94">
        <v>0</v>
      </c>
    </row>
    <row r="3203" spans="3:13" x14ac:dyDescent="0.3">
      <c r="C3203" t="s">
        <v>61</v>
      </c>
      <c r="D3203" t="s">
        <v>67</v>
      </c>
      <c r="E3203" t="s">
        <v>63</v>
      </c>
      <c r="F3203" t="s">
        <v>72</v>
      </c>
      <c r="G3203" s="4">
        <v>-4</v>
      </c>
      <c r="H3203" s="4" t="s">
        <v>17</v>
      </c>
      <c r="I3203" s="4" t="s">
        <v>69</v>
      </c>
      <c r="J3203" s="4" t="s">
        <v>66</v>
      </c>
      <c r="K3203" s="4">
        <v>0</v>
      </c>
      <c r="L3203" s="94">
        <v>-2</v>
      </c>
      <c r="M3203" s="94">
        <v>0</v>
      </c>
    </row>
    <row r="3204" spans="3:13" x14ac:dyDescent="0.3">
      <c r="C3204" t="s">
        <v>71</v>
      </c>
      <c r="D3204" t="s">
        <v>67</v>
      </c>
      <c r="E3204" t="s">
        <v>68</v>
      </c>
      <c r="F3204" t="s">
        <v>26</v>
      </c>
      <c r="G3204" s="4">
        <v>1</v>
      </c>
      <c r="H3204" s="4" t="s">
        <v>82</v>
      </c>
      <c r="I3204" s="4" t="s">
        <v>69</v>
      </c>
      <c r="J3204" s="4" t="s">
        <v>66</v>
      </c>
      <c r="K3204" s="4">
        <v>0</v>
      </c>
      <c r="L3204" s="94">
        <v>1121051</v>
      </c>
      <c r="M3204" s="94">
        <v>1121051</v>
      </c>
    </row>
    <row r="3205" spans="3:13" x14ac:dyDescent="0.3">
      <c r="C3205" t="s">
        <v>71</v>
      </c>
      <c r="D3205" t="s">
        <v>62</v>
      </c>
      <c r="E3205" t="s">
        <v>63</v>
      </c>
      <c r="F3205" t="s">
        <v>24</v>
      </c>
      <c r="G3205" s="4">
        <v>28</v>
      </c>
      <c r="I3205" s="4" t="s">
        <v>65</v>
      </c>
      <c r="J3205" s="4" t="s">
        <v>66</v>
      </c>
      <c r="K3205" s="4">
        <v>1</v>
      </c>
      <c r="L3205" s="94">
        <v>-40694</v>
      </c>
      <c r="M3205" s="94">
        <v>0</v>
      </c>
    </row>
    <row r="3206" spans="3:13" x14ac:dyDescent="0.3">
      <c r="C3206" t="s">
        <v>61</v>
      </c>
      <c r="D3206" t="s">
        <v>67</v>
      </c>
      <c r="E3206" t="s">
        <v>63</v>
      </c>
      <c r="F3206" t="s">
        <v>25</v>
      </c>
      <c r="G3206" s="4">
        <v>2</v>
      </c>
      <c r="H3206" s="4" t="s">
        <v>18</v>
      </c>
      <c r="I3206" s="4" t="s">
        <v>65</v>
      </c>
      <c r="J3206" s="4" t="s">
        <v>66</v>
      </c>
      <c r="K3206" s="4">
        <v>1</v>
      </c>
      <c r="L3206" s="94">
        <v>-113</v>
      </c>
      <c r="M3206" s="94">
        <v>0</v>
      </c>
    </row>
    <row r="3207" spans="3:13" x14ac:dyDescent="0.3">
      <c r="C3207" t="s">
        <v>70</v>
      </c>
      <c r="D3207" t="s">
        <v>67</v>
      </c>
      <c r="E3207" t="s">
        <v>68</v>
      </c>
      <c r="F3207" t="s">
        <v>72</v>
      </c>
      <c r="G3207" s="4">
        <v>6</v>
      </c>
      <c r="H3207" s="4" t="s">
        <v>77</v>
      </c>
      <c r="I3207" s="4" t="s">
        <v>69</v>
      </c>
      <c r="J3207" s="4" t="s">
        <v>66</v>
      </c>
      <c r="K3207" s="4">
        <v>0</v>
      </c>
      <c r="L3207" s="94">
        <v>15659</v>
      </c>
      <c r="M3207" s="94">
        <v>93954</v>
      </c>
    </row>
    <row r="3208" spans="3:13" x14ac:dyDescent="0.3">
      <c r="C3208" t="s">
        <v>61</v>
      </c>
      <c r="D3208" t="s">
        <v>67</v>
      </c>
      <c r="E3208" t="s">
        <v>68</v>
      </c>
      <c r="F3208" t="s">
        <v>25</v>
      </c>
      <c r="G3208" s="4">
        <v>14</v>
      </c>
      <c r="H3208" s="4" t="s">
        <v>78</v>
      </c>
      <c r="I3208" s="4" t="s">
        <v>69</v>
      </c>
      <c r="J3208" s="4" t="s">
        <v>66</v>
      </c>
      <c r="K3208" s="4">
        <v>0</v>
      </c>
      <c r="L3208" s="94">
        <v>801320</v>
      </c>
      <c r="M3208" s="94">
        <v>11218480</v>
      </c>
    </row>
    <row r="3209" spans="3:13" x14ac:dyDescent="0.3">
      <c r="C3209" t="s">
        <v>70</v>
      </c>
      <c r="D3209" t="s">
        <v>67</v>
      </c>
      <c r="E3209" t="s">
        <v>68</v>
      </c>
      <c r="F3209" t="s">
        <v>25</v>
      </c>
      <c r="G3209" s="4">
        <v>3</v>
      </c>
      <c r="H3209" s="4" t="s">
        <v>64</v>
      </c>
      <c r="I3209" s="4" t="s">
        <v>69</v>
      </c>
      <c r="J3209" s="4" t="s">
        <v>66</v>
      </c>
      <c r="K3209" s="4">
        <v>0</v>
      </c>
      <c r="L3209" s="94">
        <v>201666</v>
      </c>
      <c r="M3209" s="94">
        <v>604998</v>
      </c>
    </row>
    <row r="3210" spans="3:13" x14ac:dyDescent="0.3">
      <c r="C3210" t="s">
        <v>71</v>
      </c>
      <c r="D3210" t="s">
        <v>67</v>
      </c>
      <c r="E3210" t="s">
        <v>68</v>
      </c>
      <c r="F3210" t="s">
        <v>26</v>
      </c>
      <c r="G3210" s="4">
        <v>-4</v>
      </c>
      <c r="H3210" s="4" t="s">
        <v>18</v>
      </c>
      <c r="I3210" s="4" t="s">
        <v>69</v>
      </c>
      <c r="J3210" s="4" t="s">
        <v>66</v>
      </c>
      <c r="K3210" s="4">
        <v>0</v>
      </c>
      <c r="L3210" s="94">
        <v>7623382</v>
      </c>
      <c r="M3210" s="94">
        <v>0</v>
      </c>
    </row>
    <row r="3211" spans="3:13" x14ac:dyDescent="0.3">
      <c r="C3211" t="s">
        <v>70</v>
      </c>
      <c r="D3211" t="s">
        <v>67</v>
      </c>
      <c r="E3211" t="s">
        <v>68</v>
      </c>
      <c r="F3211" t="s">
        <v>72</v>
      </c>
      <c r="G3211" s="4">
        <v>7</v>
      </c>
      <c r="H3211" s="4" t="s">
        <v>14</v>
      </c>
      <c r="I3211" s="4" t="s">
        <v>69</v>
      </c>
      <c r="J3211" s="4" t="s">
        <v>73</v>
      </c>
      <c r="K3211" s="4">
        <v>1</v>
      </c>
      <c r="L3211" s="94">
        <v>169746</v>
      </c>
      <c r="M3211" s="94">
        <v>1188222</v>
      </c>
    </row>
    <row r="3212" spans="3:13" x14ac:dyDescent="0.3">
      <c r="C3212" t="s">
        <v>71</v>
      </c>
      <c r="D3212" t="s">
        <v>62</v>
      </c>
      <c r="E3212" t="s">
        <v>63</v>
      </c>
      <c r="F3212" t="s">
        <v>24</v>
      </c>
      <c r="G3212" s="4">
        <v>42</v>
      </c>
      <c r="I3212" s="4" t="s">
        <v>69</v>
      </c>
      <c r="J3212" s="4" t="s">
        <v>66</v>
      </c>
      <c r="K3212" s="4">
        <v>0</v>
      </c>
      <c r="L3212" s="94">
        <v>-298050</v>
      </c>
      <c r="M3212" s="94">
        <v>0</v>
      </c>
    </row>
    <row r="3213" spans="3:13" x14ac:dyDescent="0.3">
      <c r="C3213" t="s">
        <v>61</v>
      </c>
      <c r="D3213" t="s">
        <v>62</v>
      </c>
      <c r="E3213" t="s">
        <v>68</v>
      </c>
      <c r="F3213" t="s">
        <v>24</v>
      </c>
      <c r="G3213" s="4">
        <v>48</v>
      </c>
      <c r="I3213" s="4" t="s">
        <v>69</v>
      </c>
      <c r="J3213" s="4" t="s">
        <v>66</v>
      </c>
      <c r="K3213" s="4">
        <v>0</v>
      </c>
      <c r="L3213" s="94">
        <v>102988</v>
      </c>
      <c r="M3213" s="94">
        <v>4943424</v>
      </c>
    </row>
    <row r="3214" spans="3:13" x14ac:dyDescent="0.3">
      <c r="C3214" t="s">
        <v>61</v>
      </c>
      <c r="D3214" t="s">
        <v>67</v>
      </c>
      <c r="E3214" t="s">
        <v>68</v>
      </c>
      <c r="F3214" t="s">
        <v>26</v>
      </c>
      <c r="G3214" s="4">
        <v>1</v>
      </c>
      <c r="H3214" s="4" t="s">
        <v>13</v>
      </c>
      <c r="I3214" s="4" t="s">
        <v>69</v>
      </c>
      <c r="J3214" s="4" t="s">
        <v>66</v>
      </c>
      <c r="K3214" s="4">
        <v>0</v>
      </c>
      <c r="L3214" s="94">
        <v>56355</v>
      </c>
      <c r="M3214" s="94">
        <v>56355</v>
      </c>
    </row>
    <row r="3215" spans="3:13" x14ac:dyDescent="0.3">
      <c r="C3215" t="s">
        <v>61</v>
      </c>
      <c r="D3215" t="s">
        <v>67</v>
      </c>
      <c r="E3215" t="s">
        <v>68</v>
      </c>
      <c r="F3215" t="s">
        <v>25</v>
      </c>
      <c r="G3215" s="4">
        <v>-4</v>
      </c>
      <c r="H3215" s="4" t="s">
        <v>75</v>
      </c>
      <c r="I3215" s="4" t="s">
        <v>69</v>
      </c>
      <c r="J3215" s="4" t="s">
        <v>66</v>
      </c>
      <c r="K3215" s="4">
        <v>0</v>
      </c>
      <c r="L3215" s="94">
        <v>373679</v>
      </c>
      <c r="M3215" s="94">
        <v>0</v>
      </c>
    </row>
    <row r="3216" spans="3:13" x14ac:dyDescent="0.3">
      <c r="C3216" t="s">
        <v>70</v>
      </c>
      <c r="D3216" t="s">
        <v>62</v>
      </c>
      <c r="E3216" t="s">
        <v>63</v>
      </c>
      <c r="F3216" t="s">
        <v>24</v>
      </c>
      <c r="G3216" s="4">
        <v>17</v>
      </c>
      <c r="I3216" s="4" t="s">
        <v>69</v>
      </c>
      <c r="J3216" s="4" t="s">
        <v>66</v>
      </c>
      <c r="K3216" s="4">
        <v>1</v>
      </c>
      <c r="L3216" s="94">
        <v>-1741</v>
      </c>
      <c r="M3216" s="94">
        <v>0</v>
      </c>
    </row>
    <row r="3217" spans="3:13" x14ac:dyDescent="0.3">
      <c r="C3217" t="s">
        <v>70</v>
      </c>
      <c r="D3217" t="s">
        <v>67</v>
      </c>
      <c r="E3217" t="s">
        <v>68</v>
      </c>
      <c r="F3217" t="s">
        <v>26</v>
      </c>
      <c r="G3217" s="4">
        <v>10</v>
      </c>
      <c r="H3217" s="4" t="s">
        <v>18</v>
      </c>
      <c r="I3217" s="4" t="s">
        <v>69</v>
      </c>
      <c r="J3217" s="4" t="s">
        <v>66</v>
      </c>
      <c r="K3217" s="4">
        <v>0</v>
      </c>
      <c r="L3217" s="94">
        <v>29849</v>
      </c>
      <c r="M3217" s="94">
        <v>298490</v>
      </c>
    </row>
    <row r="3218" spans="3:13" x14ac:dyDescent="0.3">
      <c r="C3218" t="s">
        <v>61</v>
      </c>
      <c r="D3218" t="s">
        <v>62</v>
      </c>
      <c r="E3218" t="s">
        <v>63</v>
      </c>
      <c r="F3218" t="s">
        <v>24</v>
      </c>
      <c r="G3218" s="4">
        <v>25</v>
      </c>
      <c r="I3218" s="4" t="s">
        <v>69</v>
      </c>
      <c r="J3218" s="4" t="s">
        <v>66</v>
      </c>
      <c r="K3218" s="4">
        <v>1</v>
      </c>
      <c r="L3218" s="94">
        <v>-1236</v>
      </c>
      <c r="M3218" s="94">
        <v>0</v>
      </c>
    </row>
    <row r="3219" spans="3:13" x14ac:dyDescent="0.3">
      <c r="C3219" t="s">
        <v>70</v>
      </c>
      <c r="D3219" t="s">
        <v>67</v>
      </c>
      <c r="E3219" t="s">
        <v>63</v>
      </c>
      <c r="F3219" t="s">
        <v>25</v>
      </c>
      <c r="G3219" s="4">
        <v>7</v>
      </c>
      <c r="H3219" s="4" t="s">
        <v>76</v>
      </c>
      <c r="I3219" s="4" t="s">
        <v>69</v>
      </c>
      <c r="J3219" s="4" t="s">
        <v>66</v>
      </c>
      <c r="K3219" s="4">
        <v>0</v>
      </c>
      <c r="L3219" s="94">
        <v>-475171</v>
      </c>
      <c r="M3219" s="94">
        <v>0</v>
      </c>
    </row>
    <row r="3220" spans="3:13" x14ac:dyDescent="0.3">
      <c r="C3220" t="s">
        <v>61</v>
      </c>
      <c r="D3220" t="s">
        <v>67</v>
      </c>
      <c r="E3220" t="s">
        <v>63</v>
      </c>
      <c r="F3220" t="s">
        <v>25</v>
      </c>
      <c r="G3220" s="4">
        <v>7</v>
      </c>
      <c r="H3220" s="4" t="s">
        <v>82</v>
      </c>
      <c r="I3220" s="4" t="s">
        <v>69</v>
      </c>
      <c r="J3220" s="4" t="s">
        <v>66</v>
      </c>
      <c r="K3220" s="4">
        <v>0</v>
      </c>
      <c r="L3220" s="94">
        <v>-961</v>
      </c>
      <c r="M3220" s="94">
        <v>0</v>
      </c>
    </row>
    <row r="3221" spans="3:13" x14ac:dyDescent="0.3">
      <c r="C3221" t="s">
        <v>61</v>
      </c>
      <c r="D3221" t="s">
        <v>67</v>
      </c>
      <c r="E3221" t="s">
        <v>63</v>
      </c>
      <c r="F3221" t="s">
        <v>72</v>
      </c>
      <c r="G3221" s="4">
        <v>3</v>
      </c>
      <c r="H3221" s="4" t="s">
        <v>78</v>
      </c>
      <c r="I3221" s="4" t="s">
        <v>69</v>
      </c>
      <c r="J3221" s="4" t="s">
        <v>66</v>
      </c>
      <c r="K3221" s="4">
        <v>0</v>
      </c>
      <c r="L3221" s="94">
        <v>-700</v>
      </c>
      <c r="M3221" s="94">
        <v>0</v>
      </c>
    </row>
    <row r="3222" spans="3:13" x14ac:dyDescent="0.3">
      <c r="C3222" t="s">
        <v>70</v>
      </c>
      <c r="D3222" t="s">
        <v>62</v>
      </c>
      <c r="E3222" t="s">
        <v>68</v>
      </c>
      <c r="F3222" t="s">
        <v>24</v>
      </c>
      <c r="G3222" s="4">
        <v>31</v>
      </c>
      <c r="I3222" s="4" t="s">
        <v>69</v>
      </c>
      <c r="J3222" s="4" t="s">
        <v>66</v>
      </c>
      <c r="K3222" s="4">
        <v>1</v>
      </c>
      <c r="L3222" s="94">
        <v>72541</v>
      </c>
      <c r="M3222" s="94">
        <v>2248771</v>
      </c>
    </row>
    <row r="3223" spans="3:13" x14ac:dyDescent="0.3">
      <c r="C3223" t="s">
        <v>70</v>
      </c>
      <c r="D3223" t="s">
        <v>67</v>
      </c>
      <c r="E3223" t="s">
        <v>68</v>
      </c>
      <c r="F3223" t="s">
        <v>26</v>
      </c>
      <c r="G3223" s="4">
        <v>-1</v>
      </c>
      <c r="H3223" s="4" t="s">
        <v>78</v>
      </c>
      <c r="I3223" s="4" t="s">
        <v>69</v>
      </c>
      <c r="J3223" s="4" t="s">
        <v>66</v>
      </c>
      <c r="K3223" s="4">
        <v>0</v>
      </c>
      <c r="L3223" s="94">
        <v>698084</v>
      </c>
      <c r="M3223" s="94">
        <v>0</v>
      </c>
    </row>
    <row r="3224" spans="3:13" x14ac:dyDescent="0.3">
      <c r="C3224" t="s">
        <v>70</v>
      </c>
      <c r="D3224" t="s">
        <v>67</v>
      </c>
      <c r="E3224" t="s">
        <v>68</v>
      </c>
      <c r="F3224" t="s">
        <v>25</v>
      </c>
      <c r="G3224" s="4">
        <v>1</v>
      </c>
      <c r="H3224" s="4" t="s">
        <v>80</v>
      </c>
      <c r="I3224" s="4" t="s">
        <v>69</v>
      </c>
      <c r="J3224" s="4" t="s">
        <v>66</v>
      </c>
      <c r="K3224" s="4">
        <v>0</v>
      </c>
      <c r="L3224" s="94">
        <v>92879</v>
      </c>
      <c r="M3224" s="94">
        <v>92879</v>
      </c>
    </row>
    <row r="3225" spans="3:13" x14ac:dyDescent="0.3">
      <c r="C3225" t="s">
        <v>61</v>
      </c>
      <c r="D3225" t="s">
        <v>67</v>
      </c>
      <c r="E3225" t="s">
        <v>63</v>
      </c>
      <c r="F3225" t="s">
        <v>26</v>
      </c>
      <c r="G3225" s="4">
        <v>6</v>
      </c>
      <c r="H3225" s="4" t="s">
        <v>79</v>
      </c>
      <c r="I3225" s="4" t="s">
        <v>69</v>
      </c>
      <c r="J3225" s="4" t="s">
        <v>66</v>
      </c>
      <c r="K3225" s="4">
        <v>0</v>
      </c>
      <c r="L3225" s="94">
        <v>-1030</v>
      </c>
      <c r="M3225" s="94">
        <v>0</v>
      </c>
    </row>
    <row r="3226" spans="3:13" x14ac:dyDescent="0.3">
      <c r="C3226" t="s">
        <v>61</v>
      </c>
      <c r="D3226" t="s">
        <v>67</v>
      </c>
      <c r="E3226" t="s">
        <v>68</v>
      </c>
      <c r="F3226" t="s">
        <v>26</v>
      </c>
      <c r="G3226" s="4">
        <v>7</v>
      </c>
      <c r="H3226" s="4" t="s">
        <v>18</v>
      </c>
      <c r="I3226" s="4" t="s">
        <v>69</v>
      </c>
      <c r="J3226" s="4" t="s">
        <v>73</v>
      </c>
      <c r="K3226" s="4">
        <v>1</v>
      </c>
      <c r="L3226" s="94">
        <v>3218979</v>
      </c>
      <c r="M3226" s="94">
        <v>22532853</v>
      </c>
    </row>
    <row r="3227" spans="3:13" x14ac:dyDescent="0.3">
      <c r="C3227" t="s">
        <v>70</v>
      </c>
      <c r="D3227" t="s">
        <v>62</v>
      </c>
      <c r="E3227" t="s">
        <v>63</v>
      </c>
      <c r="F3227" t="s">
        <v>24</v>
      </c>
      <c r="G3227" s="4">
        <v>28</v>
      </c>
      <c r="I3227" s="4" t="s">
        <v>65</v>
      </c>
      <c r="J3227" s="4" t="s">
        <v>66</v>
      </c>
      <c r="K3227" s="4">
        <v>1</v>
      </c>
      <c r="L3227" s="94">
        <v>-33197</v>
      </c>
      <c r="M3227" s="94">
        <v>0</v>
      </c>
    </row>
    <row r="3228" spans="3:13" x14ac:dyDescent="0.3">
      <c r="C3228" t="s">
        <v>71</v>
      </c>
      <c r="D3228" t="s">
        <v>62</v>
      </c>
      <c r="E3228" t="s">
        <v>63</v>
      </c>
      <c r="F3228" t="s">
        <v>24</v>
      </c>
      <c r="G3228" s="4">
        <v>6</v>
      </c>
      <c r="I3228" s="4" t="s">
        <v>65</v>
      </c>
      <c r="J3228" s="4" t="s">
        <v>66</v>
      </c>
      <c r="K3228" s="4">
        <v>1</v>
      </c>
      <c r="L3228" s="94">
        <v>-27879</v>
      </c>
      <c r="M3228" s="94">
        <v>0</v>
      </c>
    </row>
    <row r="3229" spans="3:13" x14ac:dyDescent="0.3">
      <c r="C3229" t="s">
        <v>70</v>
      </c>
      <c r="D3229" t="s">
        <v>67</v>
      </c>
      <c r="E3229" t="s">
        <v>68</v>
      </c>
      <c r="F3229" t="s">
        <v>26</v>
      </c>
      <c r="G3229" s="4">
        <v>1</v>
      </c>
      <c r="H3229" s="4" t="s">
        <v>82</v>
      </c>
      <c r="I3229" s="4" t="s">
        <v>65</v>
      </c>
      <c r="J3229" s="4" t="s">
        <v>66</v>
      </c>
      <c r="K3229" s="4">
        <v>1</v>
      </c>
      <c r="L3229" s="94">
        <v>81461</v>
      </c>
      <c r="M3229" s="94">
        <v>81461</v>
      </c>
    </row>
    <row r="3230" spans="3:13" x14ac:dyDescent="0.3">
      <c r="C3230" t="s">
        <v>61</v>
      </c>
      <c r="D3230" t="s">
        <v>67</v>
      </c>
      <c r="E3230" t="s">
        <v>63</v>
      </c>
      <c r="F3230" t="s">
        <v>25</v>
      </c>
      <c r="G3230" s="4">
        <v>9</v>
      </c>
      <c r="H3230" s="4" t="s">
        <v>74</v>
      </c>
      <c r="I3230" s="4" t="s">
        <v>69</v>
      </c>
      <c r="J3230" s="4" t="s">
        <v>66</v>
      </c>
      <c r="K3230" s="4">
        <v>0</v>
      </c>
      <c r="L3230" s="94">
        <v>-7433</v>
      </c>
      <c r="M3230" s="94">
        <v>0</v>
      </c>
    </row>
    <row r="3231" spans="3:13" x14ac:dyDescent="0.3">
      <c r="C3231" t="s">
        <v>70</v>
      </c>
      <c r="D3231" t="s">
        <v>67</v>
      </c>
      <c r="E3231" t="s">
        <v>68</v>
      </c>
      <c r="F3231" t="s">
        <v>72</v>
      </c>
      <c r="G3231" s="4">
        <v>1</v>
      </c>
      <c r="H3231" s="4" t="s">
        <v>83</v>
      </c>
      <c r="I3231" s="4" t="s">
        <v>69</v>
      </c>
      <c r="J3231" s="4" t="s">
        <v>66</v>
      </c>
      <c r="K3231" s="4">
        <v>0</v>
      </c>
      <c r="L3231" s="94">
        <v>62653</v>
      </c>
      <c r="M3231" s="94">
        <v>62653</v>
      </c>
    </row>
    <row r="3232" spans="3:13" x14ac:dyDescent="0.3">
      <c r="C3232" t="s">
        <v>61</v>
      </c>
      <c r="D3232" t="s">
        <v>67</v>
      </c>
      <c r="E3232" t="s">
        <v>68</v>
      </c>
      <c r="F3232" t="s">
        <v>25</v>
      </c>
      <c r="G3232" s="4">
        <v>13</v>
      </c>
      <c r="H3232" s="4" t="s">
        <v>18</v>
      </c>
      <c r="I3232" s="4" t="s">
        <v>69</v>
      </c>
      <c r="J3232" s="4" t="s">
        <v>66</v>
      </c>
      <c r="K3232" s="4">
        <v>1</v>
      </c>
      <c r="L3232" s="94">
        <v>152328</v>
      </c>
      <c r="M3232" s="94">
        <v>1980264</v>
      </c>
    </row>
    <row r="3233" spans="3:13" x14ac:dyDescent="0.3">
      <c r="C3233" t="s">
        <v>70</v>
      </c>
      <c r="D3233" t="s">
        <v>67</v>
      </c>
      <c r="E3233" t="s">
        <v>63</v>
      </c>
      <c r="F3233" t="s">
        <v>26</v>
      </c>
      <c r="G3233" s="4">
        <v>0</v>
      </c>
      <c r="H3233" s="4" t="s">
        <v>13</v>
      </c>
      <c r="I3233" s="4" t="s">
        <v>69</v>
      </c>
      <c r="J3233" s="4" t="s">
        <v>66</v>
      </c>
      <c r="K3233" s="4">
        <v>0</v>
      </c>
      <c r="L3233" s="94">
        <v>-32</v>
      </c>
      <c r="M3233" s="94">
        <v>0</v>
      </c>
    </row>
    <row r="3234" spans="3:13" x14ac:dyDescent="0.3">
      <c r="C3234" t="s">
        <v>70</v>
      </c>
      <c r="D3234" t="s">
        <v>67</v>
      </c>
      <c r="E3234" t="s">
        <v>68</v>
      </c>
      <c r="F3234" t="s">
        <v>72</v>
      </c>
      <c r="G3234" s="4">
        <v>-4</v>
      </c>
      <c r="H3234" s="4" t="s">
        <v>79</v>
      </c>
      <c r="I3234" s="4" t="s">
        <v>69</v>
      </c>
      <c r="J3234" s="4" t="s">
        <v>66</v>
      </c>
      <c r="K3234" s="4">
        <v>0</v>
      </c>
      <c r="L3234" s="94">
        <v>780</v>
      </c>
      <c r="M3234" s="94">
        <v>0</v>
      </c>
    </row>
    <row r="3235" spans="3:13" x14ac:dyDescent="0.3">
      <c r="C3235" t="s">
        <v>71</v>
      </c>
      <c r="D3235" t="s">
        <v>67</v>
      </c>
      <c r="E3235" t="s">
        <v>68</v>
      </c>
      <c r="F3235" t="s">
        <v>26</v>
      </c>
      <c r="G3235" s="4">
        <v>8</v>
      </c>
      <c r="H3235" s="4" t="s">
        <v>14</v>
      </c>
      <c r="I3235" s="4" t="s">
        <v>69</v>
      </c>
      <c r="J3235" s="4" t="s">
        <v>73</v>
      </c>
      <c r="K3235" s="4">
        <v>1</v>
      </c>
      <c r="L3235" s="94">
        <v>90267</v>
      </c>
      <c r="M3235" s="94">
        <v>722136</v>
      </c>
    </row>
    <row r="3236" spans="3:13" x14ac:dyDescent="0.3">
      <c r="C3236" t="s">
        <v>70</v>
      </c>
      <c r="D3236" t="s">
        <v>67</v>
      </c>
      <c r="E3236" t="s">
        <v>63</v>
      </c>
      <c r="F3236" t="s">
        <v>72</v>
      </c>
      <c r="G3236" s="4">
        <v>-4</v>
      </c>
      <c r="H3236" s="4" t="s">
        <v>17</v>
      </c>
      <c r="I3236" s="4" t="s">
        <v>69</v>
      </c>
      <c r="J3236" s="4" t="s">
        <v>66</v>
      </c>
      <c r="K3236" s="4">
        <v>0</v>
      </c>
      <c r="L3236" s="94">
        <v>-935</v>
      </c>
      <c r="M3236" s="94">
        <v>0</v>
      </c>
    </row>
    <row r="3237" spans="3:13" x14ac:dyDescent="0.3">
      <c r="C3237" t="s">
        <v>71</v>
      </c>
      <c r="D3237" t="s">
        <v>62</v>
      </c>
      <c r="E3237" t="s">
        <v>68</v>
      </c>
      <c r="F3237" t="s">
        <v>24</v>
      </c>
      <c r="G3237" s="4">
        <v>1</v>
      </c>
      <c r="I3237" s="4" t="s">
        <v>65</v>
      </c>
      <c r="J3237" s="4" t="s">
        <v>66</v>
      </c>
      <c r="K3237" s="4">
        <v>1</v>
      </c>
      <c r="L3237" s="94">
        <v>5543</v>
      </c>
      <c r="M3237" s="94">
        <v>5543</v>
      </c>
    </row>
    <row r="3238" spans="3:13" x14ac:dyDescent="0.3">
      <c r="C3238" t="s">
        <v>70</v>
      </c>
      <c r="D3238" t="s">
        <v>62</v>
      </c>
      <c r="E3238" t="s">
        <v>63</v>
      </c>
      <c r="F3238" t="s">
        <v>24</v>
      </c>
      <c r="G3238" s="4">
        <v>42</v>
      </c>
      <c r="I3238" s="4" t="s">
        <v>69</v>
      </c>
      <c r="J3238" s="4" t="s">
        <v>66</v>
      </c>
      <c r="K3238" s="4">
        <v>0</v>
      </c>
      <c r="L3238" s="94">
        <v>-137655</v>
      </c>
      <c r="M3238" s="94">
        <v>0</v>
      </c>
    </row>
    <row r="3239" spans="3:13" x14ac:dyDescent="0.3">
      <c r="C3239" t="s">
        <v>70</v>
      </c>
      <c r="D3239" t="s">
        <v>67</v>
      </c>
      <c r="E3239" t="s">
        <v>63</v>
      </c>
      <c r="F3239" t="s">
        <v>25</v>
      </c>
      <c r="G3239" s="4">
        <v>14</v>
      </c>
      <c r="H3239" s="4" t="s">
        <v>80</v>
      </c>
      <c r="I3239" s="4" t="s">
        <v>69</v>
      </c>
      <c r="J3239" s="4" t="s">
        <v>66</v>
      </c>
      <c r="K3239" s="4">
        <v>0</v>
      </c>
      <c r="L3239" s="94">
        <v>-3122</v>
      </c>
      <c r="M3239" s="94">
        <v>0</v>
      </c>
    </row>
    <row r="3240" spans="3:13" x14ac:dyDescent="0.3">
      <c r="C3240" t="s">
        <v>70</v>
      </c>
      <c r="D3240" t="s">
        <v>62</v>
      </c>
      <c r="E3240" t="s">
        <v>63</v>
      </c>
      <c r="F3240" t="s">
        <v>24</v>
      </c>
      <c r="G3240" s="4">
        <v>9</v>
      </c>
      <c r="I3240" s="4" t="s">
        <v>69</v>
      </c>
      <c r="J3240" s="4" t="s">
        <v>66</v>
      </c>
      <c r="K3240" s="4">
        <v>0</v>
      </c>
      <c r="L3240" s="94">
        <v>-351681</v>
      </c>
      <c r="M3240" s="94">
        <v>0</v>
      </c>
    </row>
    <row r="3241" spans="3:13" x14ac:dyDescent="0.3">
      <c r="C3241" t="s">
        <v>61</v>
      </c>
      <c r="D3241" t="s">
        <v>67</v>
      </c>
      <c r="E3241" t="s">
        <v>68</v>
      </c>
      <c r="F3241" t="s">
        <v>26</v>
      </c>
      <c r="G3241" s="4">
        <v>6</v>
      </c>
      <c r="H3241" s="4" t="s">
        <v>15</v>
      </c>
      <c r="I3241" s="4" t="s">
        <v>69</v>
      </c>
      <c r="J3241" s="4" t="s">
        <v>73</v>
      </c>
      <c r="K3241" s="4">
        <v>1</v>
      </c>
      <c r="L3241" s="94">
        <v>6473826</v>
      </c>
      <c r="M3241" s="94">
        <v>38842956</v>
      </c>
    </row>
    <row r="3242" spans="3:13" x14ac:dyDescent="0.3">
      <c r="C3242" t="s">
        <v>70</v>
      </c>
      <c r="D3242" t="s">
        <v>67</v>
      </c>
      <c r="E3242" t="s">
        <v>68</v>
      </c>
      <c r="F3242" t="s">
        <v>26</v>
      </c>
      <c r="G3242" s="4">
        <v>3</v>
      </c>
      <c r="H3242" s="4" t="s">
        <v>83</v>
      </c>
      <c r="I3242" s="4" t="s">
        <v>69</v>
      </c>
      <c r="J3242" s="4" t="s">
        <v>66</v>
      </c>
      <c r="K3242" s="4">
        <v>0</v>
      </c>
      <c r="L3242" s="94">
        <v>1176445</v>
      </c>
      <c r="M3242" s="94">
        <v>3529335</v>
      </c>
    </row>
    <row r="3243" spans="3:13" x14ac:dyDescent="0.3">
      <c r="C3243" t="s">
        <v>61</v>
      </c>
      <c r="D3243" t="s">
        <v>67</v>
      </c>
      <c r="E3243" t="s">
        <v>68</v>
      </c>
      <c r="F3243" t="s">
        <v>25</v>
      </c>
      <c r="G3243" s="4">
        <v>5</v>
      </c>
      <c r="H3243" s="4" t="s">
        <v>80</v>
      </c>
      <c r="I3243" s="4" t="s">
        <v>69</v>
      </c>
      <c r="J3243" s="4" t="s">
        <v>66</v>
      </c>
      <c r="K3243" s="4">
        <v>0</v>
      </c>
      <c r="L3243" s="94">
        <v>1464658</v>
      </c>
      <c r="M3243" s="94">
        <v>7323290</v>
      </c>
    </row>
    <row r="3244" spans="3:13" x14ac:dyDescent="0.3">
      <c r="C3244" t="s">
        <v>71</v>
      </c>
      <c r="D3244" t="s">
        <v>62</v>
      </c>
      <c r="E3244" t="s">
        <v>63</v>
      </c>
      <c r="F3244" t="s">
        <v>24</v>
      </c>
      <c r="G3244" s="4">
        <v>17</v>
      </c>
      <c r="I3244" s="4" t="s">
        <v>69</v>
      </c>
      <c r="J3244" s="4" t="s">
        <v>66</v>
      </c>
      <c r="K3244" s="4">
        <v>1</v>
      </c>
      <c r="L3244" s="94">
        <v>-40322</v>
      </c>
      <c r="M3244" s="94">
        <v>0</v>
      </c>
    </row>
    <row r="3245" spans="3:13" x14ac:dyDescent="0.3">
      <c r="C3245" t="s">
        <v>61</v>
      </c>
      <c r="D3245" t="s">
        <v>67</v>
      </c>
      <c r="E3245" t="s">
        <v>68</v>
      </c>
      <c r="F3245" t="s">
        <v>72</v>
      </c>
      <c r="G3245" s="4">
        <v>0</v>
      </c>
      <c r="H3245" s="4" t="s">
        <v>82</v>
      </c>
      <c r="I3245" s="4" t="s">
        <v>65</v>
      </c>
      <c r="J3245" s="4" t="s">
        <v>66</v>
      </c>
      <c r="K3245" s="4">
        <v>1</v>
      </c>
      <c r="L3245" s="94">
        <v>1960</v>
      </c>
      <c r="M3245" s="94">
        <v>0</v>
      </c>
    </row>
    <row r="3246" spans="3:13" x14ac:dyDescent="0.3">
      <c r="C3246" t="s">
        <v>70</v>
      </c>
      <c r="D3246" t="s">
        <v>67</v>
      </c>
      <c r="E3246" t="s">
        <v>68</v>
      </c>
      <c r="F3246" t="s">
        <v>25</v>
      </c>
      <c r="G3246" s="4">
        <v>10</v>
      </c>
      <c r="H3246" s="4" t="s">
        <v>76</v>
      </c>
      <c r="I3246" s="4" t="s">
        <v>69</v>
      </c>
      <c r="J3246" s="4" t="s">
        <v>66</v>
      </c>
      <c r="K3246" s="4">
        <v>0</v>
      </c>
      <c r="L3246" s="94">
        <v>14089808</v>
      </c>
      <c r="M3246" s="94">
        <v>140898080</v>
      </c>
    </row>
    <row r="3247" spans="3:13" x14ac:dyDescent="0.3">
      <c r="C3247" t="s">
        <v>71</v>
      </c>
      <c r="D3247" t="s">
        <v>67</v>
      </c>
      <c r="E3247" t="s">
        <v>63</v>
      </c>
      <c r="F3247" t="s">
        <v>25</v>
      </c>
      <c r="G3247" s="4">
        <v>7</v>
      </c>
      <c r="H3247" s="4" t="s">
        <v>75</v>
      </c>
      <c r="I3247" s="4" t="s">
        <v>69</v>
      </c>
      <c r="J3247" s="4" t="s">
        <v>66</v>
      </c>
      <c r="K3247" s="4">
        <v>0</v>
      </c>
      <c r="L3247" s="94">
        <v>-3481980</v>
      </c>
      <c r="M3247" s="94">
        <v>0</v>
      </c>
    </row>
    <row r="3248" spans="3:13" x14ac:dyDescent="0.3">
      <c r="C3248" t="s">
        <v>61</v>
      </c>
      <c r="D3248" t="s">
        <v>67</v>
      </c>
      <c r="E3248" t="s">
        <v>63</v>
      </c>
      <c r="F3248" t="s">
        <v>25</v>
      </c>
      <c r="G3248" s="4">
        <v>2</v>
      </c>
      <c r="H3248" s="4" t="s">
        <v>74</v>
      </c>
      <c r="I3248" s="4" t="s">
        <v>69</v>
      </c>
      <c r="J3248" s="4" t="s">
        <v>66</v>
      </c>
      <c r="K3248" s="4">
        <v>0</v>
      </c>
      <c r="L3248" s="94">
        <v>-5518</v>
      </c>
      <c r="M3248" s="94">
        <v>0</v>
      </c>
    </row>
    <row r="3249" spans="3:13" x14ac:dyDescent="0.3">
      <c r="C3249" t="s">
        <v>70</v>
      </c>
      <c r="D3249" t="s">
        <v>67</v>
      </c>
      <c r="E3249" t="s">
        <v>63</v>
      </c>
      <c r="F3249" t="s">
        <v>72</v>
      </c>
      <c r="G3249" s="4">
        <v>4</v>
      </c>
      <c r="H3249" s="4" t="s">
        <v>78</v>
      </c>
      <c r="I3249" s="4" t="s">
        <v>69</v>
      </c>
      <c r="J3249" s="4" t="s">
        <v>66</v>
      </c>
      <c r="K3249" s="4">
        <v>0</v>
      </c>
      <c r="L3249" s="94">
        <v>-3660</v>
      </c>
      <c r="M3249" s="94">
        <v>0</v>
      </c>
    </row>
    <row r="3250" spans="3:13" x14ac:dyDescent="0.3">
      <c r="C3250" t="s">
        <v>61</v>
      </c>
      <c r="D3250" t="s">
        <v>62</v>
      </c>
      <c r="E3250" t="s">
        <v>63</v>
      </c>
      <c r="F3250" t="s">
        <v>24</v>
      </c>
      <c r="G3250" s="4">
        <v>22</v>
      </c>
      <c r="I3250" s="4" t="s">
        <v>65</v>
      </c>
      <c r="J3250" s="4" t="s">
        <v>66</v>
      </c>
      <c r="K3250" s="4">
        <v>1</v>
      </c>
      <c r="L3250" s="94">
        <v>-6177</v>
      </c>
      <c r="M3250" s="94">
        <v>0</v>
      </c>
    </row>
    <row r="3251" spans="3:13" x14ac:dyDescent="0.3">
      <c r="C3251" t="s">
        <v>70</v>
      </c>
      <c r="D3251" t="s">
        <v>67</v>
      </c>
      <c r="E3251" t="s">
        <v>68</v>
      </c>
      <c r="F3251" t="s">
        <v>25</v>
      </c>
      <c r="G3251" s="4">
        <v>-1</v>
      </c>
      <c r="H3251" s="4" t="s">
        <v>75</v>
      </c>
      <c r="I3251" s="4" t="s">
        <v>69</v>
      </c>
      <c r="J3251" s="4" t="s">
        <v>66</v>
      </c>
      <c r="K3251" s="4">
        <v>0</v>
      </c>
      <c r="L3251" s="94">
        <v>400261</v>
      </c>
      <c r="M3251" s="94">
        <v>0</v>
      </c>
    </row>
    <row r="3252" spans="3:13" x14ac:dyDescent="0.3">
      <c r="C3252" t="s">
        <v>70</v>
      </c>
      <c r="D3252" t="s">
        <v>67</v>
      </c>
      <c r="E3252" t="s">
        <v>63</v>
      </c>
      <c r="F3252" t="s">
        <v>25</v>
      </c>
      <c r="G3252" s="4">
        <v>2</v>
      </c>
      <c r="H3252" s="4" t="s">
        <v>75</v>
      </c>
      <c r="I3252" s="4" t="s">
        <v>69</v>
      </c>
      <c r="J3252" s="4" t="s">
        <v>66</v>
      </c>
      <c r="K3252" s="4">
        <v>0</v>
      </c>
      <c r="L3252" s="94">
        <v>-47225</v>
      </c>
      <c r="M3252" s="94">
        <v>0</v>
      </c>
    </row>
    <row r="3253" spans="3:13" x14ac:dyDescent="0.3">
      <c r="C3253" t="s">
        <v>61</v>
      </c>
      <c r="D3253" t="s">
        <v>62</v>
      </c>
      <c r="E3253" t="s">
        <v>68</v>
      </c>
      <c r="F3253" t="s">
        <v>24</v>
      </c>
      <c r="G3253" s="4">
        <v>18</v>
      </c>
      <c r="I3253" s="4" t="s">
        <v>65</v>
      </c>
      <c r="J3253" s="4" t="s">
        <v>66</v>
      </c>
      <c r="K3253" s="4">
        <v>1</v>
      </c>
      <c r="L3253" s="94">
        <v>3724469</v>
      </c>
      <c r="M3253" s="94">
        <v>67040442</v>
      </c>
    </row>
    <row r="3254" spans="3:13" x14ac:dyDescent="0.3">
      <c r="C3254" t="s">
        <v>61</v>
      </c>
      <c r="D3254" t="s">
        <v>67</v>
      </c>
      <c r="E3254" t="s">
        <v>68</v>
      </c>
      <c r="F3254" t="s">
        <v>25</v>
      </c>
      <c r="G3254" s="4">
        <v>21</v>
      </c>
      <c r="H3254" s="4" t="s">
        <v>18</v>
      </c>
      <c r="I3254" s="4" t="s">
        <v>69</v>
      </c>
      <c r="J3254" s="4" t="s">
        <v>66</v>
      </c>
      <c r="K3254" s="4">
        <v>0</v>
      </c>
      <c r="L3254" s="94">
        <v>428340</v>
      </c>
      <c r="M3254" s="94">
        <v>8995140</v>
      </c>
    </row>
    <row r="3255" spans="3:13" x14ac:dyDescent="0.3">
      <c r="C3255" t="s">
        <v>70</v>
      </c>
      <c r="D3255" t="s">
        <v>67</v>
      </c>
      <c r="E3255" t="s">
        <v>68</v>
      </c>
      <c r="F3255" t="s">
        <v>26</v>
      </c>
      <c r="G3255" s="4">
        <v>4</v>
      </c>
      <c r="H3255" s="4" t="s">
        <v>12</v>
      </c>
      <c r="I3255" s="4" t="s">
        <v>69</v>
      </c>
      <c r="J3255" s="4" t="s">
        <v>66</v>
      </c>
      <c r="K3255" s="4">
        <v>0</v>
      </c>
      <c r="L3255" s="94">
        <v>852302</v>
      </c>
      <c r="M3255" s="94">
        <v>3409208</v>
      </c>
    </row>
    <row r="3256" spans="3:13" x14ac:dyDescent="0.3">
      <c r="C3256" t="s">
        <v>61</v>
      </c>
      <c r="D3256" t="s">
        <v>62</v>
      </c>
      <c r="E3256" t="s">
        <v>68</v>
      </c>
      <c r="F3256" t="s">
        <v>25</v>
      </c>
      <c r="G3256" s="4">
        <v>19</v>
      </c>
      <c r="I3256" s="4" t="s">
        <v>65</v>
      </c>
      <c r="J3256" s="4" t="s">
        <v>66</v>
      </c>
      <c r="K3256" s="4">
        <v>1</v>
      </c>
      <c r="L3256" s="94">
        <v>72801</v>
      </c>
      <c r="M3256" s="94">
        <v>1383219</v>
      </c>
    </row>
    <row r="3257" spans="3:13" x14ac:dyDescent="0.3">
      <c r="C3257" t="s">
        <v>61</v>
      </c>
      <c r="D3257" t="s">
        <v>67</v>
      </c>
      <c r="E3257" t="s">
        <v>63</v>
      </c>
      <c r="F3257" t="s">
        <v>26</v>
      </c>
      <c r="G3257" s="4">
        <v>4</v>
      </c>
      <c r="H3257" s="4" t="s">
        <v>18</v>
      </c>
      <c r="I3257" s="4" t="s">
        <v>65</v>
      </c>
      <c r="J3257" s="4" t="s">
        <v>66</v>
      </c>
      <c r="K3257" s="4">
        <v>1</v>
      </c>
      <c r="L3257" s="94">
        <v>-270</v>
      </c>
      <c r="M3257" s="94">
        <v>0</v>
      </c>
    </row>
    <row r="3258" spans="3:13" x14ac:dyDescent="0.3">
      <c r="C3258" t="s">
        <v>70</v>
      </c>
      <c r="D3258" t="s">
        <v>67</v>
      </c>
      <c r="E3258" t="s">
        <v>68</v>
      </c>
      <c r="F3258" t="s">
        <v>72</v>
      </c>
      <c r="G3258" s="4">
        <v>3</v>
      </c>
      <c r="H3258" s="4" t="s">
        <v>18</v>
      </c>
      <c r="I3258" s="4" t="s">
        <v>69</v>
      </c>
      <c r="J3258" s="4" t="s">
        <v>66</v>
      </c>
      <c r="K3258" s="4">
        <v>0</v>
      </c>
      <c r="L3258" s="94">
        <v>2064943</v>
      </c>
      <c r="M3258" s="94">
        <v>6194829</v>
      </c>
    </row>
    <row r="3259" spans="3:13" x14ac:dyDescent="0.3">
      <c r="C3259" t="s">
        <v>61</v>
      </c>
      <c r="D3259" t="s">
        <v>67</v>
      </c>
      <c r="E3259" t="s">
        <v>68</v>
      </c>
      <c r="F3259" t="s">
        <v>72</v>
      </c>
      <c r="G3259" s="4">
        <v>-1</v>
      </c>
      <c r="H3259" s="4" t="s">
        <v>12</v>
      </c>
      <c r="I3259" s="4" t="s">
        <v>69</v>
      </c>
      <c r="J3259" s="4" t="s">
        <v>66</v>
      </c>
      <c r="K3259" s="4">
        <v>0</v>
      </c>
      <c r="L3259" s="94">
        <v>583513</v>
      </c>
      <c r="M3259" s="94">
        <v>0</v>
      </c>
    </row>
    <row r="3260" spans="3:13" x14ac:dyDescent="0.3">
      <c r="C3260" t="s">
        <v>61</v>
      </c>
      <c r="D3260" t="s">
        <v>67</v>
      </c>
      <c r="E3260" t="s">
        <v>68</v>
      </c>
      <c r="F3260" t="s">
        <v>25</v>
      </c>
      <c r="G3260" s="4">
        <v>4</v>
      </c>
      <c r="H3260" s="4" t="s">
        <v>80</v>
      </c>
      <c r="I3260" s="4" t="s">
        <v>69</v>
      </c>
      <c r="J3260" s="4" t="s">
        <v>66</v>
      </c>
      <c r="K3260" s="4">
        <v>0</v>
      </c>
      <c r="L3260" s="94">
        <v>169917</v>
      </c>
      <c r="M3260" s="94">
        <v>679668</v>
      </c>
    </row>
    <row r="3261" spans="3:13" x14ac:dyDescent="0.3">
      <c r="C3261" t="s">
        <v>61</v>
      </c>
      <c r="D3261" t="s">
        <v>62</v>
      </c>
      <c r="E3261" t="s">
        <v>63</v>
      </c>
      <c r="F3261" t="s">
        <v>24</v>
      </c>
      <c r="G3261" s="4">
        <v>12</v>
      </c>
      <c r="I3261" s="4" t="s">
        <v>69</v>
      </c>
      <c r="J3261" s="4" t="s">
        <v>66</v>
      </c>
      <c r="K3261" s="4">
        <v>0</v>
      </c>
      <c r="L3261" s="94">
        <v>-81985</v>
      </c>
      <c r="M3261" s="94">
        <v>0</v>
      </c>
    </row>
    <row r="3262" spans="3:13" x14ac:dyDescent="0.3">
      <c r="C3262" t="s">
        <v>71</v>
      </c>
      <c r="D3262" t="s">
        <v>67</v>
      </c>
      <c r="E3262" t="s">
        <v>68</v>
      </c>
      <c r="F3262" t="s">
        <v>25</v>
      </c>
      <c r="G3262" s="4">
        <v>2</v>
      </c>
      <c r="H3262" s="4" t="s">
        <v>79</v>
      </c>
      <c r="I3262" s="4" t="s">
        <v>69</v>
      </c>
      <c r="J3262" s="4" t="s">
        <v>66</v>
      </c>
      <c r="K3262" s="4">
        <v>0</v>
      </c>
      <c r="L3262" s="94">
        <v>87545</v>
      </c>
      <c r="M3262" s="94">
        <v>175090</v>
      </c>
    </row>
    <row r="3263" spans="3:13" x14ac:dyDescent="0.3">
      <c r="C3263" t="s">
        <v>61</v>
      </c>
      <c r="D3263" t="s">
        <v>67</v>
      </c>
      <c r="E3263" t="s">
        <v>63</v>
      </c>
      <c r="F3263" t="s">
        <v>72</v>
      </c>
      <c r="G3263" s="4">
        <v>3</v>
      </c>
      <c r="H3263" s="4" t="s">
        <v>64</v>
      </c>
      <c r="I3263" s="4" t="s">
        <v>69</v>
      </c>
      <c r="J3263" s="4" t="s">
        <v>66</v>
      </c>
      <c r="K3263" s="4">
        <v>0</v>
      </c>
      <c r="L3263" s="94">
        <v>-22241</v>
      </c>
      <c r="M3263" s="94">
        <v>0</v>
      </c>
    </row>
    <row r="3264" spans="3:13" x14ac:dyDescent="0.3">
      <c r="C3264" t="s">
        <v>71</v>
      </c>
      <c r="D3264" t="s">
        <v>67</v>
      </c>
      <c r="E3264" t="s">
        <v>63</v>
      </c>
      <c r="F3264" t="s">
        <v>26</v>
      </c>
      <c r="G3264" s="4">
        <v>6</v>
      </c>
      <c r="H3264" s="4" t="s">
        <v>74</v>
      </c>
      <c r="I3264" s="4" t="s">
        <v>69</v>
      </c>
      <c r="J3264" s="4" t="s">
        <v>66</v>
      </c>
      <c r="K3264" s="4">
        <v>0</v>
      </c>
      <c r="L3264" s="94">
        <v>-164578</v>
      </c>
      <c r="M3264" s="94">
        <v>0</v>
      </c>
    </row>
    <row r="3265" spans="3:13" x14ac:dyDescent="0.3">
      <c r="C3265" t="s">
        <v>61</v>
      </c>
      <c r="D3265" t="s">
        <v>62</v>
      </c>
      <c r="E3265" t="s">
        <v>63</v>
      </c>
      <c r="F3265" t="s">
        <v>25</v>
      </c>
      <c r="G3265" s="4">
        <v>2</v>
      </c>
      <c r="I3265" s="4" t="s">
        <v>69</v>
      </c>
      <c r="J3265" s="4" t="s">
        <v>66</v>
      </c>
      <c r="K3265" s="4">
        <v>0</v>
      </c>
      <c r="L3265" s="94">
        <v>-3107</v>
      </c>
      <c r="M3265" s="94">
        <v>0</v>
      </c>
    </row>
    <row r="3266" spans="3:13" x14ac:dyDescent="0.3">
      <c r="C3266" t="s">
        <v>61</v>
      </c>
      <c r="D3266" t="s">
        <v>62</v>
      </c>
      <c r="E3266" t="s">
        <v>63</v>
      </c>
      <c r="F3266" t="s">
        <v>24</v>
      </c>
      <c r="G3266" s="4">
        <v>0</v>
      </c>
      <c r="I3266" s="4" t="s">
        <v>65</v>
      </c>
      <c r="J3266" s="4" t="s">
        <v>66</v>
      </c>
      <c r="K3266" s="4">
        <v>1</v>
      </c>
      <c r="L3266" s="94">
        <v>-4</v>
      </c>
      <c r="M3266" s="94">
        <v>0</v>
      </c>
    </row>
    <row r="3267" spans="3:13" x14ac:dyDescent="0.3">
      <c r="C3267" t="s">
        <v>71</v>
      </c>
      <c r="D3267" t="s">
        <v>67</v>
      </c>
      <c r="E3267" t="s">
        <v>63</v>
      </c>
      <c r="F3267" t="s">
        <v>26</v>
      </c>
      <c r="G3267" s="4">
        <v>15</v>
      </c>
      <c r="H3267" s="4" t="s">
        <v>12</v>
      </c>
      <c r="I3267" s="4" t="s">
        <v>69</v>
      </c>
      <c r="J3267" s="4" t="s">
        <v>73</v>
      </c>
      <c r="K3267" s="4">
        <v>1</v>
      </c>
      <c r="L3267" s="94">
        <v>-26792</v>
      </c>
      <c r="M3267" s="94">
        <v>0</v>
      </c>
    </row>
    <row r="3268" spans="3:13" x14ac:dyDescent="0.3">
      <c r="C3268" t="s">
        <v>71</v>
      </c>
      <c r="D3268" t="s">
        <v>62</v>
      </c>
      <c r="E3268" t="s">
        <v>63</v>
      </c>
      <c r="F3268" t="s">
        <v>24</v>
      </c>
      <c r="G3268" s="4">
        <v>19</v>
      </c>
      <c r="I3268" s="4" t="s">
        <v>69</v>
      </c>
      <c r="J3268" s="4" t="s">
        <v>66</v>
      </c>
      <c r="K3268" s="4">
        <v>1</v>
      </c>
      <c r="L3268" s="94">
        <v>-52171</v>
      </c>
      <c r="M3268" s="94">
        <v>0</v>
      </c>
    </row>
    <row r="3269" spans="3:13" x14ac:dyDescent="0.3">
      <c r="C3269" t="s">
        <v>71</v>
      </c>
      <c r="D3269" t="s">
        <v>67</v>
      </c>
      <c r="E3269" t="s">
        <v>68</v>
      </c>
      <c r="F3269" t="s">
        <v>26</v>
      </c>
      <c r="G3269" s="4">
        <v>0</v>
      </c>
      <c r="H3269" s="4" t="s">
        <v>18</v>
      </c>
      <c r="I3269" s="4" t="s">
        <v>65</v>
      </c>
      <c r="J3269" s="4" t="s">
        <v>66</v>
      </c>
      <c r="K3269" s="4">
        <v>1</v>
      </c>
      <c r="L3269" s="94">
        <v>33034</v>
      </c>
      <c r="M3269" s="94">
        <v>0</v>
      </c>
    </row>
    <row r="3270" spans="3:13" x14ac:dyDescent="0.3">
      <c r="C3270" t="s">
        <v>61</v>
      </c>
      <c r="D3270" t="s">
        <v>67</v>
      </c>
      <c r="E3270" t="s">
        <v>68</v>
      </c>
      <c r="F3270" t="s">
        <v>72</v>
      </c>
      <c r="G3270" s="4">
        <v>2</v>
      </c>
      <c r="H3270" s="4" t="s">
        <v>79</v>
      </c>
      <c r="I3270" s="4" t="s">
        <v>69</v>
      </c>
      <c r="J3270" s="4" t="s">
        <v>66</v>
      </c>
      <c r="K3270" s="4">
        <v>0</v>
      </c>
      <c r="L3270" s="94">
        <v>3369145</v>
      </c>
      <c r="M3270" s="94">
        <v>6738290</v>
      </c>
    </row>
    <row r="3271" spans="3:13" x14ac:dyDescent="0.3">
      <c r="C3271" t="s">
        <v>61</v>
      </c>
      <c r="D3271" t="s">
        <v>67</v>
      </c>
      <c r="E3271" t="s">
        <v>63</v>
      </c>
      <c r="F3271" t="s">
        <v>25</v>
      </c>
      <c r="G3271" s="4">
        <v>1</v>
      </c>
      <c r="H3271" s="4" t="s">
        <v>12</v>
      </c>
      <c r="I3271" s="4" t="s">
        <v>69</v>
      </c>
      <c r="J3271" s="4" t="s">
        <v>66</v>
      </c>
      <c r="K3271" s="4">
        <v>1</v>
      </c>
      <c r="L3271" s="94">
        <v>-1874</v>
      </c>
      <c r="M3271" s="94">
        <v>0</v>
      </c>
    </row>
    <row r="3272" spans="3:13" x14ac:dyDescent="0.3">
      <c r="C3272" t="s">
        <v>70</v>
      </c>
      <c r="D3272" t="s">
        <v>62</v>
      </c>
      <c r="E3272" t="s">
        <v>68</v>
      </c>
      <c r="F3272" t="s">
        <v>24</v>
      </c>
      <c r="G3272" s="4">
        <v>18</v>
      </c>
      <c r="I3272" s="4" t="s">
        <v>69</v>
      </c>
      <c r="J3272" s="4" t="s">
        <v>66</v>
      </c>
      <c r="K3272" s="4">
        <v>0</v>
      </c>
      <c r="L3272" s="94">
        <v>34377923</v>
      </c>
      <c r="M3272" s="94">
        <v>618802614</v>
      </c>
    </row>
    <row r="3273" spans="3:13" x14ac:dyDescent="0.3">
      <c r="C3273" t="s">
        <v>61</v>
      </c>
      <c r="D3273" t="s">
        <v>67</v>
      </c>
      <c r="E3273" t="s">
        <v>63</v>
      </c>
      <c r="F3273" t="s">
        <v>25</v>
      </c>
      <c r="G3273" s="4">
        <v>8</v>
      </c>
      <c r="H3273" s="4" t="s">
        <v>17</v>
      </c>
      <c r="I3273" s="4" t="s">
        <v>69</v>
      </c>
      <c r="J3273" s="4" t="s">
        <v>66</v>
      </c>
      <c r="K3273" s="4">
        <v>1</v>
      </c>
      <c r="L3273" s="94">
        <v>-1095</v>
      </c>
      <c r="M3273" s="94">
        <v>0</v>
      </c>
    </row>
    <row r="3274" spans="3:13" x14ac:dyDescent="0.3">
      <c r="C3274" t="s">
        <v>61</v>
      </c>
      <c r="D3274" t="s">
        <v>67</v>
      </c>
      <c r="E3274" t="s">
        <v>68</v>
      </c>
      <c r="F3274" t="s">
        <v>25</v>
      </c>
      <c r="G3274" s="4">
        <v>15</v>
      </c>
      <c r="H3274" s="4" t="s">
        <v>18</v>
      </c>
      <c r="I3274" s="4" t="s">
        <v>69</v>
      </c>
      <c r="J3274" s="4" t="s">
        <v>66</v>
      </c>
      <c r="K3274" s="4">
        <v>1</v>
      </c>
      <c r="L3274" s="94">
        <v>318554</v>
      </c>
      <c r="M3274" s="94">
        <v>4778310</v>
      </c>
    </row>
    <row r="3275" spans="3:13" x14ac:dyDescent="0.3">
      <c r="C3275" t="s">
        <v>61</v>
      </c>
      <c r="D3275" t="s">
        <v>67</v>
      </c>
      <c r="E3275" t="s">
        <v>63</v>
      </c>
      <c r="F3275" t="s">
        <v>26</v>
      </c>
      <c r="G3275" s="4">
        <v>10</v>
      </c>
      <c r="H3275" s="4" t="s">
        <v>83</v>
      </c>
      <c r="I3275" s="4" t="s">
        <v>69</v>
      </c>
      <c r="J3275" s="4" t="s">
        <v>66</v>
      </c>
      <c r="K3275" s="4">
        <v>0</v>
      </c>
      <c r="L3275" s="94">
        <v>-48953</v>
      </c>
      <c r="M3275" s="94">
        <v>0</v>
      </c>
    </row>
    <row r="3276" spans="3:13" x14ac:dyDescent="0.3">
      <c r="C3276" t="s">
        <v>71</v>
      </c>
      <c r="D3276" t="s">
        <v>67</v>
      </c>
      <c r="E3276" t="s">
        <v>68</v>
      </c>
      <c r="F3276" t="s">
        <v>25</v>
      </c>
      <c r="G3276" s="4">
        <v>4</v>
      </c>
      <c r="H3276" s="4" t="s">
        <v>75</v>
      </c>
      <c r="I3276" s="4" t="s">
        <v>65</v>
      </c>
      <c r="J3276" s="4" t="s">
        <v>66</v>
      </c>
      <c r="K3276" s="4">
        <v>1</v>
      </c>
      <c r="L3276" s="94">
        <v>67507</v>
      </c>
      <c r="M3276" s="94">
        <v>270028</v>
      </c>
    </row>
    <row r="3277" spans="3:13" x14ac:dyDescent="0.3">
      <c r="C3277" t="s">
        <v>70</v>
      </c>
      <c r="D3277" t="s">
        <v>67</v>
      </c>
      <c r="E3277" t="s">
        <v>68</v>
      </c>
      <c r="F3277" t="s">
        <v>26</v>
      </c>
      <c r="G3277" s="4">
        <v>3</v>
      </c>
      <c r="H3277" s="4" t="s">
        <v>75</v>
      </c>
      <c r="I3277" s="4" t="s">
        <v>69</v>
      </c>
      <c r="J3277" s="4" t="s">
        <v>66</v>
      </c>
      <c r="K3277" s="4">
        <v>0</v>
      </c>
      <c r="L3277" s="94">
        <v>5565898</v>
      </c>
      <c r="M3277" s="94">
        <v>16697694</v>
      </c>
    </row>
    <row r="3278" spans="3:13" x14ac:dyDescent="0.3">
      <c r="C3278" t="s">
        <v>70</v>
      </c>
      <c r="D3278" t="s">
        <v>62</v>
      </c>
      <c r="E3278" t="s">
        <v>63</v>
      </c>
      <c r="F3278" t="s">
        <v>25</v>
      </c>
      <c r="G3278" s="4">
        <v>9</v>
      </c>
      <c r="I3278" s="4" t="s">
        <v>69</v>
      </c>
      <c r="J3278" s="4" t="s">
        <v>66</v>
      </c>
      <c r="K3278" s="4">
        <v>1</v>
      </c>
      <c r="L3278" s="94">
        <v>-3505</v>
      </c>
      <c r="M3278" s="94">
        <v>0</v>
      </c>
    </row>
    <row r="3279" spans="3:13" x14ac:dyDescent="0.3">
      <c r="C3279" t="s">
        <v>70</v>
      </c>
      <c r="D3279" t="s">
        <v>67</v>
      </c>
      <c r="E3279" t="s">
        <v>63</v>
      </c>
      <c r="F3279" t="s">
        <v>72</v>
      </c>
      <c r="G3279" s="4">
        <v>3</v>
      </c>
      <c r="H3279" s="4" t="s">
        <v>64</v>
      </c>
      <c r="I3279" s="4" t="s">
        <v>69</v>
      </c>
      <c r="J3279" s="4" t="s">
        <v>66</v>
      </c>
      <c r="K3279" s="4">
        <v>0</v>
      </c>
      <c r="L3279" s="94">
        <v>-34308</v>
      </c>
      <c r="M3279" s="94">
        <v>0</v>
      </c>
    </row>
    <row r="3280" spans="3:13" x14ac:dyDescent="0.3">
      <c r="C3280" t="s">
        <v>71</v>
      </c>
      <c r="D3280" t="s">
        <v>67</v>
      </c>
      <c r="E3280" t="s">
        <v>68</v>
      </c>
      <c r="F3280" t="s">
        <v>25</v>
      </c>
      <c r="G3280" s="4">
        <v>-4</v>
      </c>
      <c r="H3280" s="4" t="s">
        <v>77</v>
      </c>
      <c r="I3280" s="4" t="s">
        <v>69</v>
      </c>
      <c r="J3280" s="4" t="s">
        <v>66</v>
      </c>
      <c r="K3280" s="4">
        <v>0</v>
      </c>
      <c r="L3280" s="94">
        <v>54484</v>
      </c>
      <c r="M3280" s="94">
        <v>0</v>
      </c>
    </row>
    <row r="3281" spans="3:13" x14ac:dyDescent="0.3">
      <c r="C3281" t="s">
        <v>70</v>
      </c>
      <c r="D3281" t="s">
        <v>62</v>
      </c>
      <c r="E3281" t="s">
        <v>68</v>
      </c>
      <c r="F3281" t="s">
        <v>24</v>
      </c>
      <c r="G3281" s="4">
        <v>50</v>
      </c>
      <c r="I3281" s="4" t="s">
        <v>69</v>
      </c>
      <c r="J3281" s="4" t="s">
        <v>66</v>
      </c>
      <c r="K3281" s="4">
        <v>0</v>
      </c>
      <c r="L3281" s="94">
        <v>59102</v>
      </c>
      <c r="M3281" s="94">
        <v>2955100</v>
      </c>
    </row>
    <row r="3282" spans="3:13" x14ac:dyDescent="0.3">
      <c r="C3282" t="s">
        <v>70</v>
      </c>
      <c r="D3282" t="s">
        <v>62</v>
      </c>
      <c r="E3282" t="s">
        <v>63</v>
      </c>
      <c r="F3282" t="s">
        <v>25</v>
      </c>
      <c r="G3282" s="4">
        <v>23</v>
      </c>
      <c r="I3282" s="4" t="s">
        <v>69</v>
      </c>
      <c r="J3282" s="4" t="s">
        <v>66</v>
      </c>
      <c r="K3282" s="4">
        <v>0</v>
      </c>
      <c r="L3282" s="94">
        <v>-5818</v>
      </c>
      <c r="M3282" s="94">
        <v>0</v>
      </c>
    </row>
    <row r="3283" spans="3:13" x14ac:dyDescent="0.3">
      <c r="C3283" t="s">
        <v>71</v>
      </c>
      <c r="D3283" t="s">
        <v>62</v>
      </c>
      <c r="E3283" t="s">
        <v>68</v>
      </c>
      <c r="F3283" t="s">
        <v>24</v>
      </c>
      <c r="G3283" s="4">
        <v>35</v>
      </c>
      <c r="I3283" s="4" t="s">
        <v>65</v>
      </c>
      <c r="J3283" s="4" t="s">
        <v>66</v>
      </c>
      <c r="K3283" s="4">
        <v>1</v>
      </c>
      <c r="L3283" s="94">
        <v>307689</v>
      </c>
      <c r="M3283" s="94">
        <v>10769115</v>
      </c>
    </row>
    <row r="3284" spans="3:13" x14ac:dyDescent="0.3">
      <c r="C3284" t="s">
        <v>61</v>
      </c>
      <c r="D3284" t="s">
        <v>67</v>
      </c>
      <c r="E3284" t="s">
        <v>68</v>
      </c>
      <c r="F3284" t="s">
        <v>25</v>
      </c>
      <c r="G3284" s="4">
        <v>2</v>
      </c>
      <c r="H3284" s="4" t="s">
        <v>76</v>
      </c>
      <c r="I3284" s="4" t="s">
        <v>69</v>
      </c>
      <c r="J3284" s="4" t="s">
        <v>66</v>
      </c>
      <c r="K3284" s="4">
        <v>0</v>
      </c>
      <c r="L3284" s="94">
        <v>51765437</v>
      </c>
      <c r="M3284" s="94">
        <v>103530874</v>
      </c>
    </row>
    <row r="3285" spans="3:13" x14ac:dyDescent="0.3">
      <c r="C3285" t="s">
        <v>71</v>
      </c>
      <c r="D3285" t="s">
        <v>84</v>
      </c>
      <c r="E3285" t="s">
        <v>63</v>
      </c>
      <c r="F3285" t="s">
        <v>25</v>
      </c>
      <c r="G3285" s="4">
        <v>-4</v>
      </c>
      <c r="H3285" s="4" t="s">
        <v>81</v>
      </c>
      <c r="I3285" s="4" t="s">
        <v>69</v>
      </c>
      <c r="J3285" s="4" t="s">
        <v>66</v>
      </c>
      <c r="K3285" s="4">
        <v>0</v>
      </c>
      <c r="L3285" s="94">
        <v>-210953</v>
      </c>
      <c r="M3285" s="94">
        <v>0</v>
      </c>
    </row>
    <row r="3286" spans="3:13" x14ac:dyDescent="0.3">
      <c r="C3286" t="s">
        <v>61</v>
      </c>
      <c r="D3286" t="s">
        <v>67</v>
      </c>
      <c r="E3286" t="s">
        <v>63</v>
      </c>
      <c r="F3286" t="s">
        <v>72</v>
      </c>
      <c r="G3286" s="4">
        <v>4</v>
      </c>
      <c r="H3286" s="4" t="s">
        <v>78</v>
      </c>
      <c r="I3286" s="4" t="s">
        <v>69</v>
      </c>
      <c r="J3286" s="4" t="s">
        <v>66</v>
      </c>
      <c r="K3286" s="4">
        <v>0</v>
      </c>
      <c r="L3286" s="94">
        <v>-1413</v>
      </c>
      <c r="M3286" s="94">
        <v>0</v>
      </c>
    </row>
    <row r="3287" spans="3:13" x14ac:dyDescent="0.3">
      <c r="C3287" t="s">
        <v>70</v>
      </c>
      <c r="D3287" t="s">
        <v>67</v>
      </c>
      <c r="E3287" t="s">
        <v>63</v>
      </c>
      <c r="F3287" t="s">
        <v>26</v>
      </c>
      <c r="G3287" s="4">
        <v>14</v>
      </c>
      <c r="H3287" s="4" t="s">
        <v>76</v>
      </c>
      <c r="I3287" s="4" t="s">
        <v>69</v>
      </c>
      <c r="J3287" s="4" t="s">
        <v>66</v>
      </c>
      <c r="K3287" s="4">
        <v>0</v>
      </c>
      <c r="L3287" s="94">
        <v>-11322</v>
      </c>
      <c r="M3287" s="94">
        <v>0</v>
      </c>
    </row>
    <row r="3288" spans="3:13" x14ac:dyDescent="0.3">
      <c r="C3288" t="s">
        <v>61</v>
      </c>
      <c r="D3288" t="s">
        <v>62</v>
      </c>
      <c r="E3288" t="s">
        <v>63</v>
      </c>
      <c r="F3288" t="s">
        <v>24</v>
      </c>
      <c r="G3288" s="4">
        <v>27</v>
      </c>
      <c r="I3288" s="4" t="s">
        <v>69</v>
      </c>
      <c r="J3288" s="4" t="s">
        <v>66</v>
      </c>
      <c r="K3288" s="4">
        <v>1</v>
      </c>
      <c r="L3288" s="94">
        <v>-676</v>
      </c>
      <c r="M3288" s="94">
        <v>0</v>
      </c>
    </row>
    <row r="3289" spans="3:13" x14ac:dyDescent="0.3">
      <c r="C3289" t="s">
        <v>70</v>
      </c>
      <c r="D3289" t="s">
        <v>67</v>
      </c>
      <c r="E3289" t="s">
        <v>63</v>
      </c>
      <c r="F3289" t="s">
        <v>26</v>
      </c>
      <c r="G3289" s="4">
        <v>2</v>
      </c>
      <c r="H3289" s="4" t="s">
        <v>16</v>
      </c>
      <c r="I3289" s="4" t="s">
        <v>69</v>
      </c>
      <c r="J3289" s="4" t="s">
        <v>66</v>
      </c>
      <c r="K3289" s="4">
        <v>0</v>
      </c>
      <c r="L3289" s="94">
        <v>-15972</v>
      </c>
      <c r="M3289" s="94">
        <v>0</v>
      </c>
    </row>
    <row r="3290" spans="3:13" x14ac:dyDescent="0.3">
      <c r="C3290" t="s">
        <v>70</v>
      </c>
      <c r="D3290" t="s">
        <v>67</v>
      </c>
      <c r="E3290" t="s">
        <v>68</v>
      </c>
      <c r="F3290" t="s">
        <v>72</v>
      </c>
      <c r="G3290" s="4">
        <v>1</v>
      </c>
      <c r="H3290" s="4" t="s">
        <v>75</v>
      </c>
      <c r="I3290" s="4" t="s">
        <v>69</v>
      </c>
      <c r="J3290" s="4" t="s">
        <v>66</v>
      </c>
      <c r="K3290" s="4">
        <v>0</v>
      </c>
      <c r="L3290" s="94">
        <v>35405</v>
      </c>
      <c r="M3290" s="94">
        <v>35405</v>
      </c>
    </row>
    <row r="3291" spans="3:13" x14ac:dyDescent="0.3">
      <c r="C3291" t="s">
        <v>61</v>
      </c>
      <c r="D3291" t="s">
        <v>62</v>
      </c>
      <c r="E3291" t="s">
        <v>68</v>
      </c>
      <c r="F3291" t="s">
        <v>24</v>
      </c>
      <c r="G3291" s="4">
        <v>30</v>
      </c>
      <c r="I3291" s="4" t="s">
        <v>69</v>
      </c>
      <c r="J3291" s="4" t="s">
        <v>66</v>
      </c>
      <c r="K3291" s="4">
        <v>1</v>
      </c>
      <c r="L3291" s="94">
        <v>2794077</v>
      </c>
      <c r="M3291" s="94">
        <v>83822310</v>
      </c>
    </row>
    <row r="3292" spans="3:13" x14ac:dyDescent="0.3">
      <c r="C3292" t="s">
        <v>71</v>
      </c>
      <c r="D3292" t="s">
        <v>67</v>
      </c>
      <c r="E3292" t="s">
        <v>63</v>
      </c>
      <c r="F3292" t="s">
        <v>26</v>
      </c>
      <c r="G3292" s="4">
        <v>1</v>
      </c>
      <c r="H3292" s="4" t="s">
        <v>12</v>
      </c>
      <c r="I3292" s="4" t="s">
        <v>69</v>
      </c>
      <c r="J3292" s="4" t="s">
        <v>73</v>
      </c>
      <c r="K3292" s="4">
        <v>1</v>
      </c>
      <c r="L3292" s="94">
        <v>-236201</v>
      </c>
      <c r="M3292" s="94">
        <v>0</v>
      </c>
    </row>
    <row r="3293" spans="3:13" x14ac:dyDescent="0.3">
      <c r="C3293" t="s">
        <v>61</v>
      </c>
      <c r="D3293" t="s">
        <v>67</v>
      </c>
      <c r="E3293" t="s">
        <v>68</v>
      </c>
      <c r="F3293" t="s">
        <v>72</v>
      </c>
      <c r="G3293" s="4">
        <v>6</v>
      </c>
      <c r="H3293" s="4" t="s">
        <v>14</v>
      </c>
      <c r="I3293" s="4" t="s">
        <v>69</v>
      </c>
      <c r="J3293" s="4" t="s">
        <v>73</v>
      </c>
      <c r="K3293" s="4">
        <v>1</v>
      </c>
      <c r="L3293" s="94">
        <v>549475</v>
      </c>
      <c r="M3293" s="94">
        <v>3296850</v>
      </c>
    </row>
    <row r="3294" spans="3:13" x14ac:dyDescent="0.3">
      <c r="C3294" t="s">
        <v>61</v>
      </c>
      <c r="D3294" t="s">
        <v>67</v>
      </c>
      <c r="E3294" t="s">
        <v>63</v>
      </c>
      <c r="F3294" t="s">
        <v>25</v>
      </c>
      <c r="G3294" s="4">
        <v>9</v>
      </c>
      <c r="H3294" s="4" t="s">
        <v>80</v>
      </c>
      <c r="I3294" s="4" t="s">
        <v>69</v>
      </c>
      <c r="J3294" s="4" t="s">
        <v>66</v>
      </c>
      <c r="K3294" s="4">
        <v>0</v>
      </c>
      <c r="L3294" s="94">
        <v>-779</v>
      </c>
      <c r="M3294" s="94">
        <v>0</v>
      </c>
    </row>
    <row r="3295" spans="3:13" x14ac:dyDescent="0.3">
      <c r="C3295" t="s">
        <v>70</v>
      </c>
      <c r="D3295" t="s">
        <v>67</v>
      </c>
      <c r="E3295" t="s">
        <v>63</v>
      </c>
      <c r="F3295" t="s">
        <v>25</v>
      </c>
      <c r="G3295" s="4">
        <v>9</v>
      </c>
      <c r="H3295" s="4" t="s">
        <v>83</v>
      </c>
      <c r="I3295" s="4" t="s">
        <v>69</v>
      </c>
      <c r="J3295" s="4" t="s">
        <v>66</v>
      </c>
      <c r="K3295" s="4">
        <v>0</v>
      </c>
      <c r="L3295" s="94">
        <v>-9625</v>
      </c>
      <c r="M3295" s="94">
        <v>0</v>
      </c>
    </row>
    <row r="3296" spans="3:13" x14ac:dyDescent="0.3">
      <c r="C3296" t="s">
        <v>70</v>
      </c>
      <c r="D3296" t="s">
        <v>67</v>
      </c>
      <c r="E3296" t="s">
        <v>68</v>
      </c>
      <c r="F3296" t="s">
        <v>72</v>
      </c>
      <c r="G3296" s="4">
        <v>2</v>
      </c>
      <c r="H3296" s="4" t="s">
        <v>17</v>
      </c>
      <c r="I3296" s="4" t="s">
        <v>69</v>
      </c>
      <c r="J3296" s="4" t="s">
        <v>73</v>
      </c>
      <c r="K3296" s="4">
        <v>1</v>
      </c>
      <c r="L3296" s="94">
        <v>9684</v>
      </c>
      <c r="M3296" s="94">
        <v>19368</v>
      </c>
    </row>
    <row r="3297" spans="3:13" x14ac:dyDescent="0.3">
      <c r="C3297" t="s">
        <v>71</v>
      </c>
      <c r="D3297" t="s">
        <v>67</v>
      </c>
      <c r="E3297" t="s">
        <v>63</v>
      </c>
      <c r="F3297" t="s">
        <v>26</v>
      </c>
      <c r="G3297" s="4">
        <v>1</v>
      </c>
      <c r="H3297" s="4" t="s">
        <v>17</v>
      </c>
      <c r="I3297" s="4" t="s">
        <v>65</v>
      </c>
      <c r="J3297" s="4" t="s">
        <v>66</v>
      </c>
      <c r="K3297" s="4">
        <v>1</v>
      </c>
      <c r="L3297" s="94">
        <v>-22169</v>
      </c>
      <c r="M3297" s="94">
        <v>0</v>
      </c>
    </row>
    <row r="3298" spans="3:13" x14ac:dyDescent="0.3">
      <c r="C3298" t="s">
        <v>70</v>
      </c>
      <c r="D3298" t="s">
        <v>67</v>
      </c>
      <c r="E3298" t="s">
        <v>63</v>
      </c>
      <c r="F3298" t="s">
        <v>26</v>
      </c>
      <c r="G3298" s="4">
        <v>5</v>
      </c>
      <c r="H3298" s="4" t="s">
        <v>18</v>
      </c>
      <c r="I3298" s="4" t="s">
        <v>69</v>
      </c>
      <c r="J3298" s="4" t="s">
        <v>73</v>
      </c>
      <c r="K3298" s="4">
        <v>1</v>
      </c>
      <c r="L3298" s="94">
        <v>-50363</v>
      </c>
      <c r="M3298" s="94">
        <v>0</v>
      </c>
    </row>
    <row r="3299" spans="3:13" x14ac:dyDescent="0.3">
      <c r="C3299" t="s">
        <v>61</v>
      </c>
      <c r="D3299" t="s">
        <v>67</v>
      </c>
      <c r="E3299" t="s">
        <v>63</v>
      </c>
      <c r="F3299" t="s">
        <v>26</v>
      </c>
      <c r="G3299" s="4">
        <v>5</v>
      </c>
      <c r="H3299" s="4" t="s">
        <v>80</v>
      </c>
      <c r="I3299" s="4" t="s">
        <v>69</v>
      </c>
      <c r="J3299" s="4" t="s">
        <v>66</v>
      </c>
      <c r="K3299" s="4">
        <v>0</v>
      </c>
      <c r="L3299" s="94">
        <v>-385</v>
      </c>
      <c r="M3299" s="94">
        <v>0</v>
      </c>
    </row>
    <row r="3300" spans="3:13" x14ac:dyDescent="0.3">
      <c r="C3300" t="s">
        <v>70</v>
      </c>
      <c r="D3300" t="s">
        <v>67</v>
      </c>
      <c r="E3300" t="s">
        <v>68</v>
      </c>
      <c r="F3300" t="s">
        <v>25</v>
      </c>
      <c r="G3300" s="4">
        <v>7</v>
      </c>
      <c r="H3300" s="4" t="s">
        <v>64</v>
      </c>
      <c r="I3300" s="4" t="s">
        <v>69</v>
      </c>
      <c r="J3300" s="4" t="s">
        <v>66</v>
      </c>
      <c r="K3300" s="4">
        <v>0</v>
      </c>
      <c r="L3300" s="94">
        <v>3127206</v>
      </c>
      <c r="M3300" s="94">
        <v>21890442</v>
      </c>
    </row>
    <row r="3301" spans="3:13" x14ac:dyDescent="0.3">
      <c r="C3301" t="s">
        <v>61</v>
      </c>
      <c r="D3301" t="s">
        <v>67</v>
      </c>
      <c r="E3301" t="s">
        <v>63</v>
      </c>
      <c r="F3301" t="s">
        <v>25</v>
      </c>
      <c r="G3301" s="4">
        <v>15</v>
      </c>
      <c r="H3301" s="4" t="s">
        <v>14</v>
      </c>
      <c r="I3301" s="4" t="s">
        <v>69</v>
      </c>
      <c r="J3301" s="4" t="s">
        <v>66</v>
      </c>
      <c r="K3301" s="4">
        <v>1</v>
      </c>
      <c r="L3301" s="94">
        <v>-6693</v>
      </c>
      <c r="M3301" s="94">
        <v>0</v>
      </c>
    </row>
    <row r="3302" spans="3:13" x14ac:dyDescent="0.3">
      <c r="C3302" t="s">
        <v>71</v>
      </c>
      <c r="D3302" t="s">
        <v>67</v>
      </c>
      <c r="E3302" t="s">
        <v>63</v>
      </c>
      <c r="F3302" t="s">
        <v>25</v>
      </c>
      <c r="G3302" s="4">
        <v>9</v>
      </c>
      <c r="H3302" s="4" t="s">
        <v>74</v>
      </c>
      <c r="I3302" s="4" t="s">
        <v>69</v>
      </c>
      <c r="J3302" s="4" t="s">
        <v>66</v>
      </c>
      <c r="K3302" s="4">
        <v>0</v>
      </c>
      <c r="L3302" s="94">
        <v>-486861</v>
      </c>
      <c r="M3302" s="94">
        <v>0</v>
      </c>
    </row>
    <row r="3303" spans="3:13" x14ac:dyDescent="0.3">
      <c r="C3303" t="s">
        <v>61</v>
      </c>
      <c r="D3303" t="s">
        <v>62</v>
      </c>
      <c r="E3303" t="s">
        <v>63</v>
      </c>
      <c r="F3303" t="s">
        <v>24</v>
      </c>
      <c r="G3303" s="4">
        <v>3</v>
      </c>
      <c r="I3303" s="4" t="s">
        <v>69</v>
      </c>
      <c r="J3303" s="4" t="s">
        <v>66</v>
      </c>
      <c r="K3303" s="4">
        <v>0</v>
      </c>
      <c r="L3303" s="94">
        <v>-10878</v>
      </c>
      <c r="M3303" s="94">
        <v>0</v>
      </c>
    </row>
    <row r="3304" spans="3:13" x14ac:dyDescent="0.3">
      <c r="C3304" t="s">
        <v>61</v>
      </c>
      <c r="D3304" t="s">
        <v>67</v>
      </c>
      <c r="E3304" t="s">
        <v>63</v>
      </c>
      <c r="F3304" t="s">
        <v>26</v>
      </c>
      <c r="G3304" s="4">
        <v>10</v>
      </c>
      <c r="H3304" s="4" t="s">
        <v>82</v>
      </c>
      <c r="I3304" s="4" t="s">
        <v>69</v>
      </c>
      <c r="J3304" s="4" t="s">
        <v>66</v>
      </c>
      <c r="K3304" s="4">
        <v>0</v>
      </c>
      <c r="L3304" s="94">
        <v>-1047</v>
      </c>
      <c r="M3304" s="94">
        <v>0</v>
      </c>
    </row>
    <row r="3305" spans="3:13" x14ac:dyDescent="0.3">
      <c r="C3305" t="s">
        <v>61</v>
      </c>
      <c r="D3305" t="s">
        <v>67</v>
      </c>
      <c r="E3305" t="s">
        <v>68</v>
      </c>
      <c r="F3305" t="s">
        <v>72</v>
      </c>
      <c r="G3305" s="4">
        <v>1</v>
      </c>
      <c r="H3305" s="4" t="s">
        <v>12</v>
      </c>
      <c r="I3305" s="4" t="s">
        <v>69</v>
      </c>
      <c r="J3305" s="4" t="s">
        <v>73</v>
      </c>
      <c r="K3305" s="4">
        <v>1</v>
      </c>
      <c r="L3305" s="94">
        <v>1240501</v>
      </c>
      <c r="M3305" s="94">
        <v>1240501</v>
      </c>
    </row>
    <row r="3306" spans="3:13" x14ac:dyDescent="0.3">
      <c r="C3306" t="s">
        <v>70</v>
      </c>
      <c r="D3306" t="s">
        <v>67</v>
      </c>
      <c r="E3306" t="s">
        <v>68</v>
      </c>
      <c r="F3306" t="s">
        <v>72</v>
      </c>
      <c r="G3306" s="4">
        <v>6</v>
      </c>
      <c r="H3306" s="4" t="s">
        <v>64</v>
      </c>
      <c r="I3306" s="4" t="s">
        <v>69</v>
      </c>
      <c r="J3306" s="4" t="s">
        <v>66</v>
      </c>
      <c r="K3306" s="4">
        <v>0</v>
      </c>
      <c r="L3306" s="94">
        <v>131372</v>
      </c>
      <c r="M3306" s="94">
        <v>788232</v>
      </c>
    </row>
    <row r="3307" spans="3:13" x14ac:dyDescent="0.3">
      <c r="C3307" t="s">
        <v>61</v>
      </c>
      <c r="D3307" t="s">
        <v>62</v>
      </c>
      <c r="E3307" t="s">
        <v>68</v>
      </c>
      <c r="F3307" t="s">
        <v>24</v>
      </c>
      <c r="G3307" s="4">
        <v>5</v>
      </c>
      <c r="I3307" s="4" t="s">
        <v>69</v>
      </c>
      <c r="J3307" s="4" t="s">
        <v>66</v>
      </c>
      <c r="K3307" s="4">
        <v>1</v>
      </c>
      <c r="L3307" s="94">
        <v>499532</v>
      </c>
      <c r="M3307" s="94">
        <v>2497660</v>
      </c>
    </row>
    <row r="3308" spans="3:13" x14ac:dyDescent="0.3">
      <c r="C3308" t="s">
        <v>61</v>
      </c>
      <c r="D3308" t="s">
        <v>62</v>
      </c>
      <c r="E3308" t="s">
        <v>63</v>
      </c>
      <c r="F3308" t="s">
        <v>24</v>
      </c>
      <c r="G3308" s="4">
        <v>31</v>
      </c>
      <c r="I3308" s="4" t="s">
        <v>69</v>
      </c>
      <c r="J3308" s="4" t="s">
        <v>66</v>
      </c>
      <c r="K3308" s="4">
        <v>1</v>
      </c>
      <c r="L3308" s="94">
        <v>-2062</v>
      </c>
      <c r="M3308" s="94">
        <v>0</v>
      </c>
    </row>
    <row r="3309" spans="3:13" x14ac:dyDescent="0.3">
      <c r="C3309" t="s">
        <v>61</v>
      </c>
      <c r="D3309" t="s">
        <v>67</v>
      </c>
      <c r="E3309" t="s">
        <v>68</v>
      </c>
      <c r="F3309" t="s">
        <v>26</v>
      </c>
      <c r="G3309" s="4">
        <v>1</v>
      </c>
      <c r="H3309" s="4" t="s">
        <v>17</v>
      </c>
      <c r="I3309" s="4" t="s">
        <v>69</v>
      </c>
      <c r="J3309" s="4" t="s">
        <v>66</v>
      </c>
      <c r="K3309" s="4">
        <v>0</v>
      </c>
      <c r="L3309" s="94">
        <v>36123841</v>
      </c>
      <c r="M3309" s="94">
        <v>36123841</v>
      </c>
    </row>
    <row r="3310" spans="3:13" x14ac:dyDescent="0.3">
      <c r="C3310" t="s">
        <v>61</v>
      </c>
      <c r="D3310" t="s">
        <v>67</v>
      </c>
      <c r="E3310" t="s">
        <v>63</v>
      </c>
      <c r="F3310" t="s">
        <v>26</v>
      </c>
      <c r="G3310" s="4">
        <v>8</v>
      </c>
      <c r="H3310" s="4" t="s">
        <v>12</v>
      </c>
      <c r="I3310" s="4" t="s">
        <v>69</v>
      </c>
      <c r="J3310" s="4" t="s">
        <v>73</v>
      </c>
      <c r="K3310" s="4">
        <v>1</v>
      </c>
      <c r="L3310" s="94">
        <v>-5846</v>
      </c>
      <c r="M3310" s="94">
        <v>0</v>
      </c>
    </row>
    <row r="3311" spans="3:13" x14ac:dyDescent="0.3">
      <c r="C3311" t="s">
        <v>61</v>
      </c>
      <c r="D3311" t="s">
        <v>67</v>
      </c>
      <c r="E3311" t="s">
        <v>68</v>
      </c>
      <c r="F3311" t="s">
        <v>25</v>
      </c>
      <c r="G3311" s="4">
        <v>4</v>
      </c>
      <c r="H3311" s="4" t="s">
        <v>76</v>
      </c>
      <c r="I3311" s="4" t="s">
        <v>69</v>
      </c>
      <c r="J3311" s="4" t="s">
        <v>66</v>
      </c>
      <c r="K3311" s="4">
        <v>0</v>
      </c>
      <c r="L3311" s="94">
        <v>10460463</v>
      </c>
      <c r="M3311" s="94">
        <v>41841852</v>
      </c>
    </row>
    <row r="3312" spans="3:13" x14ac:dyDescent="0.3">
      <c r="C3312" t="s">
        <v>70</v>
      </c>
      <c r="D3312" t="s">
        <v>67</v>
      </c>
      <c r="E3312" t="s">
        <v>68</v>
      </c>
      <c r="F3312" t="s">
        <v>26</v>
      </c>
      <c r="G3312" s="4">
        <v>-1</v>
      </c>
      <c r="H3312" s="4" t="s">
        <v>89</v>
      </c>
      <c r="I3312" s="4" t="s">
        <v>69</v>
      </c>
      <c r="J3312" s="4" t="s">
        <v>66</v>
      </c>
      <c r="K3312" s="4">
        <v>0</v>
      </c>
      <c r="L3312" s="94">
        <v>13</v>
      </c>
      <c r="M3312" s="94">
        <v>0</v>
      </c>
    </row>
    <row r="3313" spans="3:13" x14ac:dyDescent="0.3">
      <c r="C3313" t="s">
        <v>61</v>
      </c>
      <c r="D3313" t="s">
        <v>62</v>
      </c>
      <c r="E3313" t="s">
        <v>68</v>
      </c>
      <c r="F3313" t="s">
        <v>24</v>
      </c>
      <c r="G3313" s="4">
        <v>14</v>
      </c>
      <c r="I3313" s="4" t="s">
        <v>69</v>
      </c>
      <c r="J3313" s="4" t="s">
        <v>66</v>
      </c>
      <c r="K3313" s="4">
        <v>0</v>
      </c>
      <c r="L3313" s="94">
        <v>269135226</v>
      </c>
      <c r="M3313" s="94">
        <v>3767893164</v>
      </c>
    </row>
    <row r="3314" spans="3:13" x14ac:dyDescent="0.3">
      <c r="C3314" t="s">
        <v>70</v>
      </c>
      <c r="D3314" t="s">
        <v>67</v>
      </c>
      <c r="E3314" t="s">
        <v>68</v>
      </c>
      <c r="F3314" t="s">
        <v>26</v>
      </c>
      <c r="G3314" s="4">
        <v>3</v>
      </c>
      <c r="H3314" s="4" t="s">
        <v>12</v>
      </c>
      <c r="I3314" s="4" t="s">
        <v>65</v>
      </c>
      <c r="J3314" s="4" t="s">
        <v>73</v>
      </c>
      <c r="K3314" s="4">
        <v>1</v>
      </c>
      <c r="L3314" s="94">
        <v>502433</v>
      </c>
      <c r="M3314" s="94">
        <v>1507299</v>
      </c>
    </row>
    <row r="3315" spans="3:13" x14ac:dyDescent="0.3">
      <c r="C3315" t="s">
        <v>61</v>
      </c>
      <c r="D3315" t="s">
        <v>67</v>
      </c>
      <c r="E3315" t="s">
        <v>63</v>
      </c>
      <c r="F3315" t="s">
        <v>72</v>
      </c>
      <c r="G3315" s="4">
        <v>2</v>
      </c>
      <c r="H3315" s="4" t="s">
        <v>75</v>
      </c>
      <c r="I3315" s="4" t="s">
        <v>69</v>
      </c>
      <c r="J3315" s="4" t="s">
        <v>66</v>
      </c>
      <c r="K3315" s="4">
        <v>0</v>
      </c>
      <c r="L3315" s="94">
        <v>-12167</v>
      </c>
      <c r="M3315" s="94">
        <v>0</v>
      </c>
    </row>
    <row r="3316" spans="3:13" x14ac:dyDescent="0.3">
      <c r="C3316" t="s">
        <v>61</v>
      </c>
      <c r="D3316" t="s">
        <v>67</v>
      </c>
      <c r="E3316" t="s">
        <v>63</v>
      </c>
      <c r="F3316" t="s">
        <v>25</v>
      </c>
      <c r="G3316" s="4">
        <v>7</v>
      </c>
      <c r="H3316" s="4" t="s">
        <v>75</v>
      </c>
      <c r="I3316" s="4" t="s">
        <v>69</v>
      </c>
      <c r="J3316" s="4" t="s">
        <v>66</v>
      </c>
      <c r="K3316" s="4">
        <v>0</v>
      </c>
      <c r="L3316" s="94">
        <v>-118183</v>
      </c>
      <c r="M3316" s="94">
        <v>0</v>
      </c>
    </row>
    <row r="3317" spans="3:13" x14ac:dyDescent="0.3">
      <c r="C3317" t="s">
        <v>71</v>
      </c>
      <c r="D3317" t="s">
        <v>67</v>
      </c>
      <c r="E3317" t="s">
        <v>63</v>
      </c>
      <c r="F3317" t="s">
        <v>72</v>
      </c>
      <c r="G3317" s="4">
        <v>-4</v>
      </c>
      <c r="H3317" s="4" t="s">
        <v>13</v>
      </c>
      <c r="I3317" s="4" t="s">
        <v>69</v>
      </c>
      <c r="J3317" s="4" t="s">
        <v>73</v>
      </c>
      <c r="K3317" s="4">
        <v>1</v>
      </c>
      <c r="L3317" s="94">
        <v>-32424</v>
      </c>
      <c r="M3317" s="94">
        <v>0</v>
      </c>
    </row>
    <row r="3318" spans="3:13" x14ac:dyDescent="0.3">
      <c r="C3318" t="s">
        <v>71</v>
      </c>
      <c r="D3318" t="s">
        <v>67</v>
      </c>
      <c r="E3318" t="s">
        <v>68</v>
      </c>
      <c r="F3318" t="s">
        <v>26</v>
      </c>
      <c r="G3318" s="4">
        <v>9</v>
      </c>
      <c r="H3318" s="4" t="s">
        <v>14</v>
      </c>
      <c r="I3318" s="4" t="s">
        <v>69</v>
      </c>
      <c r="J3318" s="4" t="s">
        <v>73</v>
      </c>
      <c r="K3318" s="4">
        <v>1</v>
      </c>
      <c r="L3318" s="94">
        <v>887709</v>
      </c>
      <c r="M3318" s="94">
        <v>7989381</v>
      </c>
    </row>
    <row r="3319" spans="3:13" x14ac:dyDescent="0.3">
      <c r="C3319" t="s">
        <v>70</v>
      </c>
      <c r="D3319" t="s">
        <v>67</v>
      </c>
      <c r="E3319" t="s">
        <v>68</v>
      </c>
      <c r="F3319" t="s">
        <v>26</v>
      </c>
      <c r="G3319" s="4">
        <v>11</v>
      </c>
      <c r="H3319" s="4" t="s">
        <v>18</v>
      </c>
      <c r="I3319" s="4" t="s">
        <v>69</v>
      </c>
      <c r="J3319" s="4" t="s">
        <v>66</v>
      </c>
      <c r="K3319" s="4">
        <v>0</v>
      </c>
      <c r="L3319" s="94">
        <v>1906766</v>
      </c>
      <c r="M3319" s="94">
        <v>20974426</v>
      </c>
    </row>
    <row r="3320" spans="3:13" x14ac:dyDescent="0.3">
      <c r="C3320" t="s">
        <v>61</v>
      </c>
      <c r="D3320" t="s">
        <v>62</v>
      </c>
      <c r="E3320" t="s">
        <v>63</v>
      </c>
      <c r="F3320" t="s">
        <v>25</v>
      </c>
      <c r="G3320" s="4">
        <v>18</v>
      </c>
      <c r="I3320" s="4" t="s">
        <v>65</v>
      </c>
      <c r="J3320" s="4" t="s">
        <v>66</v>
      </c>
      <c r="K3320" s="4">
        <v>1</v>
      </c>
      <c r="L3320" s="94">
        <v>-204</v>
      </c>
      <c r="M3320" s="94">
        <v>0</v>
      </c>
    </row>
    <row r="3321" spans="3:13" x14ac:dyDescent="0.3">
      <c r="C3321" t="s">
        <v>61</v>
      </c>
      <c r="D3321" t="s">
        <v>67</v>
      </c>
      <c r="E3321" t="s">
        <v>68</v>
      </c>
      <c r="F3321" t="s">
        <v>25</v>
      </c>
      <c r="G3321" s="4">
        <v>13</v>
      </c>
      <c r="H3321" s="4" t="s">
        <v>14</v>
      </c>
      <c r="I3321" s="4" t="s">
        <v>69</v>
      </c>
      <c r="J3321" s="4" t="s">
        <v>66</v>
      </c>
      <c r="K3321" s="4">
        <v>1</v>
      </c>
      <c r="L3321" s="94">
        <v>1385637</v>
      </c>
      <c r="M3321" s="94">
        <v>18013281</v>
      </c>
    </row>
    <row r="3322" spans="3:13" x14ac:dyDescent="0.3">
      <c r="C3322" t="s">
        <v>70</v>
      </c>
      <c r="D3322" t="s">
        <v>67</v>
      </c>
      <c r="E3322" t="s">
        <v>63</v>
      </c>
      <c r="F3322" t="s">
        <v>25</v>
      </c>
      <c r="G3322" s="4">
        <v>9</v>
      </c>
      <c r="H3322" s="4" t="s">
        <v>82</v>
      </c>
      <c r="I3322" s="4" t="s">
        <v>69</v>
      </c>
      <c r="J3322" s="4" t="s">
        <v>66</v>
      </c>
      <c r="K3322" s="4">
        <v>0</v>
      </c>
      <c r="L3322" s="94">
        <v>-164456</v>
      </c>
      <c r="M3322" s="94">
        <v>0</v>
      </c>
    </row>
    <row r="3323" spans="3:13" x14ac:dyDescent="0.3">
      <c r="C3323" t="s">
        <v>61</v>
      </c>
      <c r="D3323" t="s">
        <v>67</v>
      </c>
      <c r="E3323" t="s">
        <v>63</v>
      </c>
      <c r="F3323" t="s">
        <v>26</v>
      </c>
      <c r="G3323" s="4">
        <v>5</v>
      </c>
      <c r="H3323" s="4" t="s">
        <v>17</v>
      </c>
      <c r="I3323" s="4" t="s">
        <v>65</v>
      </c>
      <c r="J3323" s="4" t="s">
        <v>73</v>
      </c>
      <c r="K3323" s="4">
        <v>1</v>
      </c>
      <c r="L3323" s="94">
        <v>-3445</v>
      </c>
      <c r="M3323" s="94">
        <v>0</v>
      </c>
    </row>
    <row r="3324" spans="3:13" x14ac:dyDescent="0.3">
      <c r="C3324" t="s">
        <v>71</v>
      </c>
      <c r="D3324" t="s">
        <v>67</v>
      </c>
      <c r="E3324" t="s">
        <v>63</v>
      </c>
      <c r="F3324" t="s">
        <v>26</v>
      </c>
      <c r="G3324" s="4">
        <v>8</v>
      </c>
      <c r="H3324" s="4" t="s">
        <v>14</v>
      </c>
      <c r="I3324" s="4" t="s">
        <v>69</v>
      </c>
      <c r="J3324" s="4" t="s">
        <v>73</v>
      </c>
      <c r="K3324" s="4">
        <v>1</v>
      </c>
      <c r="L3324" s="94">
        <v>-67987</v>
      </c>
      <c r="M3324" s="94">
        <v>0</v>
      </c>
    </row>
    <row r="3325" spans="3:13" x14ac:dyDescent="0.3">
      <c r="C3325" t="s">
        <v>61</v>
      </c>
      <c r="D3325" t="s">
        <v>67</v>
      </c>
      <c r="E3325" t="s">
        <v>68</v>
      </c>
      <c r="F3325" t="s">
        <v>72</v>
      </c>
      <c r="G3325" s="4">
        <v>7</v>
      </c>
      <c r="H3325" s="4" t="s">
        <v>78</v>
      </c>
      <c r="I3325" s="4" t="s">
        <v>69</v>
      </c>
      <c r="J3325" s="4" t="s">
        <v>66</v>
      </c>
      <c r="K3325" s="4">
        <v>0</v>
      </c>
      <c r="L3325" s="94">
        <v>38867</v>
      </c>
      <c r="M3325" s="94">
        <v>272069</v>
      </c>
    </row>
    <row r="3326" spans="3:13" x14ac:dyDescent="0.3">
      <c r="C3326" t="s">
        <v>61</v>
      </c>
      <c r="D3326" t="s">
        <v>62</v>
      </c>
      <c r="E3326" t="s">
        <v>68</v>
      </c>
      <c r="F3326" t="s">
        <v>24</v>
      </c>
      <c r="G3326" s="4">
        <v>6</v>
      </c>
      <c r="I3326" s="4" t="s">
        <v>65</v>
      </c>
      <c r="J3326" s="4" t="s">
        <v>66</v>
      </c>
      <c r="K3326" s="4">
        <v>1</v>
      </c>
      <c r="L3326" s="94">
        <v>2040746</v>
      </c>
      <c r="M3326" s="94">
        <v>12244476</v>
      </c>
    </row>
    <row r="3327" spans="3:13" x14ac:dyDescent="0.3">
      <c r="C3327" t="s">
        <v>71</v>
      </c>
      <c r="D3327" t="s">
        <v>62</v>
      </c>
      <c r="E3327" t="s">
        <v>63</v>
      </c>
      <c r="F3327" t="s">
        <v>24</v>
      </c>
      <c r="G3327" s="4">
        <v>2</v>
      </c>
      <c r="I3327" s="4" t="s">
        <v>69</v>
      </c>
      <c r="J3327" s="4" t="s">
        <v>66</v>
      </c>
      <c r="K3327" s="4">
        <v>0</v>
      </c>
      <c r="L3327" s="94">
        <v>-75705</v>
      </c>
      <c r="M3327" s="94">
        <v>0</v>
      </c>
    </row>
    <row r="3328" spans="3:13" x14ac:dyDescent="0.3">
      <c r="C3328" t="s">
        <v>61</v>
      </c>
      <c r="D3328" t="s">
        <v>67</v>
      </c>
      <c r="E3328" t="s">
        <v>63</v>
      </c>
      <c r="F3328" t="s">
        <v>26</v>
      </c>
      <c r="G3328" s="4">
        <v>2</v>
      </c>
      <c r="H3328" s="4" t="s">
        <v>75</v>
      </c>
      <c r="I3328" s="4" t="s">
        <v>65</v>
      </c>
      <c r="J3328" s="4" t="s">
        <v>66</v>
      </c>
      <c r="K3328" s="4">
        <v>1</v>
      </c>
      <c r="L3328" s="94">
        <v>-770</v>
      </c>
      <c r="M3328" s="94">
        <v>0</v>
      </c>
    </row>
    <row r="3329" spans="3:13" x14ac:dyDescent="0.3">
      <c r="C3329" t="s">
        <v>61</v>
      </c>
      <c r="D3329" t="s">
        <v>62</v>
      </c>
      <c r="E3329" t="s">
        <v>63</v>
      </c>
      <c r="F3329" t="s">
        <v>24</v>
      </c>
      <c r="G3329" s="4">
        <v>14</v>
      </c>
      <c r="I3329" s="4" t="s">
        <v>69</v>
      </c>
      <c r="J3329" s="4" t="s">
        <v>66</v>
      </c>
      <c r="K3329" s="4">
        <v>0</v>
      </c>
      <c r="L3329" s="94">
        <v>-108225</v>
      </c>
      <c r="M3329" s="94">
        <v>0</v>
      </c>
    </row>
    <row r="3330" spans="3:13" x14ac:dyDescent="0.3">
      <c r="C3330" t="s">
        <v>70</v>
      </c>
      <c r="D3330" t="s">
        <v>67</v>
      </c>
      <c r="E3330" t="s">
        <v>63</v>
      </c>
      <c r="F3330" t="s">
        <v>25</v>
      </c>
      <c r="G3330" s="4">
        <v>0</v>
      </c>
      <c r="H3330" s="4" t="s">
        <v>18</v>
      </c>
      <c r="I3330" s="4" t="s">
        <v>69</v>
      </c>
      <c r="J3330" s="4" t="s">
        <v>66</v>
      </c>
      <c r="K3330" s="4">
        <v>0</v>
      </c>
      <c r="L3330" s="94">
        <v>-13802</v>
      </c>
      <c r="M3330" s="94">
        <v>0</v>
      </c>
    </row>
    <row r="3331" spans="3:13" x14ac:dyDescent="0.3">
      <c r="C3331" t="s">
        <v>61</v>
      </c>
      <c r="D3331" t="s">
        <v>67</v>
      </c>
      <c r="E3331" t="s">
        <v>68</v>
      </c>
      <c r="F3331" t="s">
        <v>26</v>
      </c>
      <c r="G3331" s="4">
        <v>7</v>
      </c>
      <c r="H3331" s="4" t="s">
        <v>15</v>
      </c>
      <c r="I3331" s="4" t="s">
        <v>65</v>
      </c>
      <c r="J3331" s="4" t="s">
        <v>66</v>
      </c>
      <c r="K3331" s="4">
        <v>1</v>
      </c>
      <c r="L3331" s="94">
        <v>40209627</v>
      </c>
      <c r="M3331" s="94">
        <v>281467389</v>
      </c>
    </row>
    <row r="3332" spans="3:13" x14ac:dyDescent="0.3">
      <c r="C3332" t="s">
        <v>71</v>
      </c>
      <c r="D3332" t="s">
        <v>67</v>
      </c>
      <c r="E3332" t="s">
        <v>68</v>
      </c>
      <c r="F3332" t="s">
        <v>25</v>
      </c>
      <c r="G3332" s="4">
        <v>14</v>
      </c>
      <c r="H3332" s="4" t="s">
        <v>75</v>
      </c>
      <c r="I3332" s="4" t="s">
        <v>69</v>
      </c>
      <c r="J3332" s="4" t="s">
        <v>66</v>
      </c>
      <c r="K3332" s="4">
        <v>0</v>
      </c>
      <c r="L3332" s="94">
        <v>158359</v>
      </c>
      <c r="M3332" s="94">
        <v>2217026</v>
      </c>
    </row>
    <row r="3333" spans="3:13" x14ac:dyDescent="0.3">
      <c r="C3333" t="s">
        <v>61</v>
      </c>
      <c r="D3333" t="s">
        <v>67</v>
      </c>
      <c r="E3333" t="s">
        <v>63</v>
      </c>
      <c r="F3333" t="s">
        <v>25</v>
      </c>
      <c r="G3333" s="4">
        <v>0</v>
      </c>
      <c r="H3333" s="4" t="s">
        <v>17</v>
      </c>
      <c r="I3333" s="4" t="s">
        <v>69</v>
      </c>
      <c r="J3333" s="4" t="s">
        <v>66</v>
      </c>
      <c r="K3333" s="4">
        <v>0</v>
      </c>
      <c r="L3333" s="94">
        <v>-18905</v>
      </c>
      <c r="M3333" s="94">
        <v>0</v>
      </c>
    </row>
    <row r="3334" spans="3:13" x14ac:dyDescent="0.3">
      <c r="C3334" t="s">
        <v>70</v>
      </c>
      <c r="D3334" t="s">
        <v>67</v>
      </c>
      <c r="E3334" t="s">
        <v>68</v>
      </c>
      <c r="F3334" t="s">
        <v>25</v>
      </c>
      <c r="G3334" s="4">
        <v>6</v>
      </c>
      <c r="H3334" s="4" t="s">
        <v>78</v>
      </c>
      <c r="I3334" s="4" t="s">
        <v>69</v>
      </c>
      <c r="J3334" s="4" t="s">
        <v>66</v>
      </c>
      <c r="K3334" s="4">
        <v>0</v>
      </c>
      <c r="L3334" s="94">
        <v>800658</v>
      </c>
      <c r="M3334" s="94">
        <v>4803948</v>
      </c>
    </row>
    <row r="3335" spans="3:13" x14ac:dyDescent="0.3">
      <c r="C3335" t="s">
        <v>71</v>
      </c>
      <c r="D3335" t="s">
        <v>62</v>
      </c>
      <c r="E3335" t="s">
        <v>63</v>
      </c>
      <c r="F3335" t="s">
        <v>24</v>
      </c>
      <c r="G3335" s="4">
        <v>23</v>
      </c>
      <c r="I3335" s="4" t="s">
        <v>69</v>
      </c>
      <c r="J3335" s="4" t="s">
        <v>66</v>
      </c>
      <c r="K3335" s="4">
        <v>1</v>
      </c>
      <c r="L3335" s="94">
        <v>-17590</v>
      </c>
      <c r="M3335" s="94">
        <v>0</v>
      </c>
    </row>
    <row r="3336" spans="3:13" x14ac:dyDescent="0.3">
      <c r="C3336" t="s">
        <v>61</v>
      </c>
      <c r="D3336" t="s">
        <v>67</v>
      </c>
      <c r="E3336" t="s">
        <v>63</v>
      </c>
      <c r="F3336" t="s">
        <v>72</v>
      </c>
      <c r="G3336" s="4">
        <v>1</v>
      </c>
      <c r="H3336" s="4" t="s">
        <v>18</v>
      </c>
      <c r="I3336" s="4" t="s">
        <v>65</v>
      </c>
      <c r="J3336" s="4" t="s">
        <v>66</v>
      </c>
      <c r="K3336" s="4">
        <v>1</v>
      </c>
      <c r="L3336" s="94">
        <v>-16</v>
      </c>
      <c r="M3336" s="94">
        <v>0</v>
      </c>
    </row>
    <row r="3337" spans="3:13" x14ac:dyDescent="0.3">
      <c r="C3337" t="s">
        <v>70</v>
      </c>
      <c r="D3337" t="s">
        <v>67</v>
      </c>
      <c r="E3337" t="s">
        <v>63</v>
      </c>
      <c r="F3337" t="s">
        <v>72</v>
      </c>
      <c r="G3337" s="4">
        <v>2</v>
      </c>
      <c r="H3337" s="4" t="s">
        <v>75</v>
      </c>
      <c r="I3337" s="4" t="s">
        <v>69</v>
      </c>
      <c r="J3337" s="4" t="s">
        <v>66</v>
      </c>
      <c r="K3337" s="4">
        <v>0</v>
      </c>
      <c r="L3337" s="94">
        <v>-9865</v>
      </c>
      <c r="M3337" s="94">
        <v>0</v>
      </c>
    </row>
    <row r="3338" spans="3:13" x14ac:dyDescent="0.3">
      <c r="C3338" t="s">
        <v>70</v>
      </c>
      <c r="D3338" t="s">
        <v>67</v>
      </c>
      <c r="E3338" t="s">
        <v>63</v>
      </c>
      <c r="F3338" t="s">
        <v>26</v>
      </c>
      <c r="G3338" s="4">
        <v>-1</v>
      </c>
      <c r="H3338" s="4" t="s">
        <v>18</v>
      </c>
      <c r="I3338" s="4" t="s">
        <v>69</v>
      </c>
      <c r="J3338" s="4" t="s">
        <v>66</v>
      </c>
      <c r="K3338" s="4">
        <v>0</v>
      </c>
      <c r="L3338" s="94">
        <v>-3339177</v>
      </c>
      <c r="M3338" s="94">
        <v>0</v>
      </c>
    </row>
    <row r="3339" spans="3:13" x14ac:dyDescent="0.3">
      <c r="C3339" t="s">
        <v>71</v>
      </c>
      <c r="D3339" t="s">
        <v>67</v>
      </c>
      <c r="E3339" t="s">
        <v>63</v>
      </c>
      <c r="F3339" t="s">
        <v>25</v>
      </c>
      <c r="G3339" s="4">
        <v>7</v>
      </c>
      <c r="H3339" s="4" t="s">
        <v>82</v>
      </c>
      <c r="I3339" s="4" t="s">
        <v>69</v>
      </c>
      <c r="J3339" s="4" t="s">
        <v>66</v>
      </c>
      <c r="K3339" s="4">
        <v>0</v>
      </c>
      <c r="L3339" s="94">
        <v>-141088</v>
      </c>
      <c r="M3339" s="94">
        <v>0</v>
      </c>
    </row>
    <row r="3340" spans="3:13" x14ac:dyDescent="0.3">
      <c r="C3340" t="s">
        <v>70</v>
      </c>
      <c r="D3340" t="s">
        <v>62</v>
      </c>
      <c r="E3340" t="s">
        <v>68</v>
      </c>
      <c r="F3340" t="s">
        <v>24</v>
      </c>
      <c r="G3340" s="4">
        <v>6</v>
      </c>
      <c r="I3340" s="4" t="s">
        <v>69</v>
      </c>
      <c r="J3340" s="4" t="s">
        <v>66</v>
      </c>
      <c r="K3340" s="4">
        <v>0</v>
      </c>
      <c r="L3340" s="94">
        <v>15623276</v>
      </c>
      <c r="M3340" s="94">
        <v>93739656</v>
      </c>
    </row>
    <row r="3341" spans="3:13" x14ac:dyDescent="0.3">
      <c r="C3341" t="s">
        <v>70</v>
      </c>
      <c r="D3341" t="s">
        <v>67</v>
      </c>
      <c r="E3341" t="s">
        <v>68</v>
      </c>
      <c r="F3341" t="s">
        <v>72</v>
      </c>
      <c r="G3341" s="4">
        <v>5</v>
      </c>
      <c r="H3341" s="4" t="s">
        <v>17</v>
      </c>
      <c r="I3341" s="4" t="s">
        <v>69</v>
      </c>
      <c r="J3341" s="4" t="s">
        <v>66</v>
      </c>
      <c r="K3341" s="4">
        <v>0</v>
      </c>
      <c r="L3341" s="94">
        <v>1393113</v>
      </c>
      <c r="M3341" s="94">
        <v>6965565</v>
      </c>
    </row>
    <row r="3342" spans="3:13" x14ac:dyDescent="0.3">
      <c r="C3342" t="s">
        <v>71</v>
      </c>
      <c r="D3342" t="s">
        <v>62</v>
      </c>
      <c r="E3342" t="s">
        <v>63</v>
      </c>
      <c r="F3342" t="s">
        <v>25</v>
      </c>
      <c r="G3342" s="4">
        <v>29</v>
      </c>
      <c r="I3342" s="4" t="s">
        <v>69</v>
      </c>
      <c r="J3342" s="4" t="s">
        <v>66</v>
      </c>
      <c r="K3342" s="4">
        <v>0</v>
      </c>
      <c r="L3342" s="94">
        <v>-50856</v>
      </c>
      <c r="M3342" s="94">
        <v>0</v>
      </c>
    </row>
    <row r="3343" spans="3:13" x14ac:dyDescent="0.3">
      <c r="C3343" t="s">
        <v>70</v>
      </c>
      <c r="D3343" t="s">
        <v>62</v>
      </c>
      <c r="E3343" t="s">
        <v>68</v>
      </c>
      <c r="F3343" t="s">
        <v>24</v>
      </c>
      <c r="G3343" s="4">
        <v>41</v>
      </c>
      <c r="I3343" s="4" t="s">
        <v>69</v>
      </c>
      <c r="J3343" s="4" t="s">
        <v>66</v>
      </c>
      <c r="K3343" s="4">
        <v>0</v>
      </c>
      <c r="L3343" s="94">
        <v>3528706</v>
      </c>
      <c r="M3343" s="94">
        <v>144676946</v>
      </c>
    </row>
    <row r="3344" spans="3:13" x14ac:dyDescent="0.3">
      <c r="C3344" t="s">
        <v>70</v>
      </c>
      <c r="D3344" t="s">
        <v>67</v>
      </c>
      <c r="E3344" t="s">
        <v>63</v>
      </c>
      <c r="F3344" t="s">
        <v>72</v>
      </c>
      <c r="G3344" s="4">
        <v>6</v>
      </c>
      <c r="H3344" s="4" t="s">
        <v>75</v>
      </c>
      <c r="I3344" s="4" t="s">
        <v>69</v>
      </c>
      <c r="J3344" s="4" t="s">
        <v>66</v>
      </c>
      <c r="K3344" s="4">
        <v>0</v>
      </c>
      <c r="L3344" s="94">
        <v>-11716</v>
      </c>
      <c r="M3344" s="94">
        <v>0</v>
      </c>
    </row>
    <row r="3345" spans="3:13" x14ac:dyDescent="0.3">
      <c r="C3345" t="s">
        <v>71</v>
      </c>
      <c r="D3345" t="s">
        <v>62</v>
      </c>
      <c r="E3345" t="s">
        <v>63</v>
      </c>
      <c r="F3345" t="s">
        <v>24</v>
      </c>
      <c r="G3345" s="4">
        <v>7</v>
      </c>
      <c r="I3345" s="4" t="s">
        <v>65</v>
      </c>
      <c r="J3345" s="4" t="s">
        <v>66</v>
      </c>
      <c r="K3345" s="4">
        <v>1</v>
      </c>
      <c r="L3345" s="94">
        <v>-1736</v>
      </c>
      <c r="M3345" s="94">
        <v>0</v>
      </c>
    </row>
    <row r="3346" spans="3:13" x14ac:dyDescent="0.3">
      <c r="C3346" t="s">
        <v>70</v>
      </c>
      <c r="D3346" t="s">
        <v>62</v>
      </c>
      <c r="E3346" t="s">
        <v>63</v>
      </c>
      <c r="F3346" t="s">
        <v>24</v>
      </c>
      <c r="G3346" s="4">
        <v>24</v>
      </c>
      <c r="I3346" s="4" t="s">
        <v>65</v>
      </c>
      <c r="J3346" s="4" t="s">
        <v>66</v>
      </c>
      <c r="K3346" s="4">
        <v>1</v>
      </c>
      <c r="L3346" s="94">
        <v>-11290</v>
      </c>
      <c r="M3346" s="94">
        <v>0</v>
      </c>
    </row>
    <row r="3347" spans="3:13" x14ac:dyDescent="0.3">
      <c r="C3347" t="s">
        <v>70</v>
      </c>
      <c r="D3347" t="s">
        <v>67</v>
      </c>
      <c r="E3347" t="s">
        <v>68</v>
      </c>
      <c r="F3347" t="s">
        <v>25</v>
      </c>
      <c r="G3347" s="4">
        <v>-1</v>
      </c>
      <c r="H3347" s="4" t="s">
        <v>82</v>
      </c>
      <c r="I3347" s="4" t="s">
        <v>69</v>
      </c>
      <c r="J3347" s="4" t="s">
        <v>66</v>
      </c>
      <c r="K3347" s="4">
        <v>0</v>
      </c>
      <c r="L3347" s="94">
        <v>35600</v>
      </c>
      <c r="M3347" s="94">
        <v>0</v>
      </c>
    </row>
    <row r="3348" spans="3:13" x14ac:dyDescent="0.3">
      <c r="C3348" t="s">
        <v>70</v>
      </c>
      <c r="D3348" t="s">
        <v>67</v>
      </c>
      <c r="E3348" t="s">
        <v>68</v>
      </c>
      <c r="F3348" t="s">
        <v>25</v>
      </c>
      <c r="G3348" s="4">
        <v>8</v>
      </c>
      <c r="H3348" s="4" t="s">
        <v>74</v>
      </c>
      <c r="I3348" s="4" t="s">
        <v>69</v>
      </c>
      <c r="J3348" s="4" t="s">
        <v>66</v>
      </c>
      <c r="K3348" s="4">
        <v>0</v>
      </c>
      <c r="L3348" s="94">
        <v>538762</v>
      </c>
      <c r="M3348" s="94">
        <v>4310096</v>
      </c>
    </row>
    <row r="3349" spans="3:13" x14ac:dyDescent="0.3">
      <c r="C3349" t="s">
        <v>70</v>
      </c>
      <c r="D3349" t="s">
        <v>67</v>
      </c>
      <c r="E3349" t="s">
        <v>68</v>
      </c>
      <c r="F3349" t="s">
        <v>72</v>
      </c>
      <c r="G3349" s="4">
        <v>3</v>
      </c>
      <c r="H3349" s="4" t="s">
        <v>14</v>
      </c>
      <c r="I3349" s="4" t="s">
        <v>69</v>
      </c>
      <c r="J3349" s="4" t="s">
        <v>66</v>
      </c>
      <c r="K3349" s="4">
        <v>0</v>
      </c>
      <c r="L3349" s="94">
        <v>1340258</v>
      </c>
      <c r="M3349" s="94">
        <v>4020774</v>
      </c>
    </row>
    <row r="3350" spans="3:13" x14ac:dyDescent="0.3">
      <c r="C3350" t="s">
        <v>71</v>
      </c>
      <c r="D3350" t="s">
        <v>67</v>
      </c>
      <c r="E3350" t="s">
        <v>68</v>
      </c>
      <c r="F3350" t="s">
        <v>25</v>
      </c>
      <c r="G3350" s="4">
        <v>11</v>
      </c>
      <c r="H3350" s="4" t="s">
        <v>17</v>
      </c>
      <c r="I3350" s="4" t="s">
        <v>69</v>
      </c>
      <c r="J3350" s="4" t="s">
        <v>66</v>
      </c>
      <c r="K3350" s="4">
        <v>0</v>
      </c>
      <c r="L3350" s="94">
        <v>156373</v>
      </c>
      <c r="M3350" s="94">
        <v>1720103</v>
      </c>
    </row>
    <row r="3351" spans="3:13" x14ac:dyDescent="0.3">
      <c r="C3351" t="s">
        <v>61</v>
      </c>
      <c r="D3351" t="s">
        <v>67</v>
      </c>
      <c r="E3351" t="s">
        <v>63</v>
      </c>
      <c r="F3351" t="s">
        <v>72</v>
      </c>
      <c r="G3351" s="4">
        <v>3</v>
      </c>
      <c r="H3351" s="4" t="s">
        <v>77</v>
      </c>
      <c r="I3351" s="4" t="s">
        <v>69</v>
      </c>
      <c r="J3351" s="4" t="s">
        <v>66</v>
      </c>
      <c r="K3351" s="4">
        <v>0</v>
      </c>
      <c r="L3351" s="94">
        <v>-4724</v>
      </c>
      <c r="M3351" s="94">
        <v>0</v>
      </c>
    </row>
    <row r="3352" spans="3:13" x14ac:dyDescent="0.3">
      <c r="C3352" t="s">
        <v>61</v>
      </c>
      <c r="D3352" t="s">
        <v>67</v>
      </c>
      <c r="E3352" t="s">
        <v>63</v>
      </c>
      <c r="F3352" t="s">
        <v>26</v>
      </c>
      <c r="G3352" s="4">
        <v>9</v>
      </c>
      <c r="H3352" s="4" t="s">
        <v>12</v>
      </c>
      <c r="I3352" s="4" t="s">
        <v>69</v>
      </c>
      <c r="J3352" s="4" t="s">
        <v>73</v>
      </c>
      <c r="K3352" s="4">
        <v>1</v>
      </c>
      <c r="L3352" s="94">
        <v>-1170</v>
      </c>
      <c r="M3352" s="94">
        <v>0</v>
      </c>
    </row>
    <row r="3353" spans="3:13" x14ac:dyDescent="0.3">
      <c r="C3353" t="s">
        <v>70</v>
      </c>
      <c r="D3353" t="s">
        <v>67</v>
      </c>
      <c r="E3353" t="s">
        <v>68</v>
      </c>
      <c r="F3353" t="s">
        <v>72</v>
      </c>
      <c r="G3353" s="4">
        <v>0</v>
      </c>
      <c r="H3353" s="4" t="s">
        <v>13</v>
      </c>
      <c r="I3353" s="4" t="s">
        <v>69</v>
      </c>
      <c r="J3353" s="4" t="s">
        <v>66</v>
      </c>
      <c r="K3353" s="4">
        <v>0</v>
      </c>
      <c r="L3353" s="94">
        <v>5854</v>
      </c>
      <c r="M3353" s="94">
        <v>0</v>
      </c>
    </row>
    <row r="3354" spans="3:13" x14ac:dyDescent="0.3">
      <c r="C3354" t="s">
        <v>70</v>
      </c>
      <c r="D3354" t="s">
        <v>67</v>
      </c>
      <c r="E3354" t="s">
        <v>68</v>
      </c>
      <c r="F3354" t="s">
        <v>26</v>
      </c>
      <c r="G3354" s="4">
        <v>-1</v>
      </c>
      <c r="H3354" s="4" t="s">
        <v>77</v>
      </c>
      <c r="I3354" s="4" t="s">
        <v>69</v>
      </c>
      <c r="J3354" s="4" t="s">
        <v>66</v>
      </c>
      <c r="K3354" s="4">
        <v>0</v>
      </c>
      <c r="L3354" s="94">
        <v>2998199</v>
      </c>
      <c r="M3354" s="94">
        <v>0</v>
      </c>
    </row>
    <row r="3355" spans="3:13" x14ac:dyDescent="0.3">
      <c r="C3355" t="s">
        <v>70</v>
      </c>
      <c r="D3355" t="s">
        <v>67</v>
      </c>
      <c r="E3355" t="s">
        <v>63</v>
      </c>
      <c r="F3355" t="s">
        <v>26</v>
      </c>
      <c r="G3355" s="4">
        <v>1</v>
      </c>
      <c r="H3355" s="4" t="s">
        <v>80</v>
      </c>
      <c r="I3355" s="4" t="s">
        <v>69</v>
      </c>
      <c r="J3355" s="4" t="s">
        <v>66</v>
      </c>
      <c r="K3355" s="4">
        <v>0</v>
      </c>
      <c r="L3355" s="94">
        <v>-19200</v>
      </c>
      <c r="M3355" s="94">
        <v>0</v>
      </c>
    </row>
    <row r="3356" spans="3:13" x14ac:dyDescent="0.3">
      <c r="C3356" t="s">
        <v>61</v>
      </c>
      <c r="D3356" t="s">
        <v>67</v>
      </c>
      <c r="E3356" t="s">
        <v>63</v>
      </c>
      <c r="F3356" t="s">
        <v>26</v>
      </c>
      <c r="G3356" s="4">
        <v>4</v>
      </c>
      <c r="H3356" s="4" t="s">
        <v>14</v>
      </c>
      <c r="I3356" s="4" t="s">
        <v>65</v>
      </c>
      <c r="J3356" s="4" t="s">
        <v>66</v>
      </c>
      <c r="K3356" s="4">
        <v>1</v>
      </c>
      <c r="L3356" s="94">
        <v>-922</v>
      </c>
      <c r="M3356" s="94">
        <v>0</v>
      </c>
    </row>
    <row r="3357" spans="3:13" x14ac:dyDescent="0.3">
      <c r="C3357" t="s">
        <v>70</v>
      </c>
      <c r="D3357" t="s">
        <v>62</v>
      </c>
      <c r="E3357" t="s">
        <v>63</v>
      </c>
      <c r="F3357" t="s">
        <v>24</v>
      </c>
      <c r="G3357" s="4">
        <v>11</v>
      </c>
      <c r="I3357" s="4" t="s">
        <v>69</v>
      </c>
      <c r="J3357" s="4" t="s">
        <v>66</v>
      </c>
      <c r="K3357" s="4">
        <v>0</v>
      </c>
      <c r="L3357" s="94">
        <v>-302758</v>
      </c>
      <c r="M3357" s="94">
        <v>0</v>
      </c>
    </row>
    <row r="3358" spans="3:13" x14ac:dyDescent="0.3">
      <c r="C3358" t="s">
        <v>71</v>
      </c>
      <c r="D3358" t="s">
        <v>67</v>
      </c>
      <c r="E3358" t="s">
        <v>63</v>
      </c>
      <c r="F3358" t="s">
        <v>25</v>
      </c>
      <c r="G3358" s="4">
        <v>27</v>
      </c>
      <c r="H3358" s="4" t="s">
        <v>76</v>
      </c>
      <c r="I3358" s="4" t="s">
        <v>69</v>
      </c>
      <c r="J3358" s="4" t="s">
        <v>66</v>
      </c>
      <c r="K3358" s="4">
        <v>0</v>
      </c>
      <c r="L3358" s="94">
        <v>-6330301</v>
      </c>
      <c r="M3358" s="94">
        <v>0</v>
      </c>
    </row>
    <row r="3359" spans="3:13" x14ac:dyDescent="0.3">
      <c r="C3359" t="s">
        <v>70</v>
      </c>
      <c r="D3359" t="s">
        <v>67</v>
      </c>
      <c r="E3359" t="s">
        <v>68</v>
      </c>
      <c r="F3359" t="s">
        <v>25</v>
      </c>
      <c r="G3359" s="4">
        <v>7</v>
      </c>
      <c r="H3359" s="4" t="s">
        <v>78</v>
      </c>
      <c r="I3359" s="4" t="s">
        <v>69</v>
      </c>
      <c r="J3359" s="4" t="s">
        <v>66</v>
      </c>
      <c r="K3359" s="4">
        <v>0</v>
      </c>
      <c r="L3359" s="94">
        <v>247077</v>
      </c>
      <c r="M3359" s="94">
        <v>1729539</v>
      </c>
    </row>
    <row r="3360" spans="3:13" x14ac:dyDescent="0.3">
      <c r="C3360" t="s">
        <v>71</v>
      </c>
      <c r="D3360" t="s">
        <v>84</v>
      </c>
      <c r="E3360" t="s">
        <v>63</v>
      </c>
      <c r="F3360" t="s">
        <v>25</v>
      </c>
      <c r="G3360" s="4">
        <v>-1</v>
      </c>
      <c r="H3360" s="4" t="s">
        <v>83</v>
      </c>
      <c r="I3360" s="4" t="s">
        <v>69</v>
      </c>
      <c r="J3360" s="4" t="s">
        <v>66</v>
      </c>
      <c r="K3360" s="4">
        <v>0</v>
      </c>
      <c r="L3360" s="94">
        <v>-2903188</v>
      </c>
      <c r="M3360" s="94">
        <v>0</v>
      </c>
    </row>
    <row r="3361" spans="3:13" x14ac:dyDescent="0.3">
      <c r="C3361" t="s">
        <v>61</v>
      </c>
      <c r="D3361" t="s">
        <v>62</v>
      </c>
      <c r="E3361" t="s">
        <v>68</v>
      </c>
      <c r="F3361" t="s">
        <v>24</v>
      </c>
      <c r="G3361" s="4">
        <v>41</v>
      </c>
      <c r="I3361" s="4" t="s">
        <v>65</v>
      </c>
      <c r="J3361" s="4" t="s">
        <v>66</v>
      </c>
      <c r="K3361" s="4">
        <v>1</v>
      </c>
      <c r="L3361" s="94">
        <v>482791</v>
      </c>
      <c r="M3361" s="94">
        <v>19794431</v>
      </c>
    </row>
    <row r="3362" spans="3:13" x14ac:dyDescent="0.3">
      <c r="C3362" t="s">
        <v>61</v>
      </c>
      <c r="D3362" t="s">
        <v>67</v>
      </c>
      <c r="E3362" t="s">
        <v>63</v>
      </c>
      <c r="F3362" t="s">
        <v>26</v>
      </c>
      <c r="G3362" s="4">
        <v>11</v>
      </c>
      <c r="H3362" s="4" t="s">
        <v>82</v>
      </c>
      <c r="I3362" s="4" t="s">
        <v>69</v>
      </c>
      <c r="J3362" s="4" t="s">
        <v>66</v>
      </c>
      <c r="K3362" s="4">
        <v>0</v>
      </c>
      <c r="L3362" s="94">
        <v>-16463</v>
      </c>
      <c r="M3362" s="94">
        <v>0</v>
      </c>
    </row>
    <row r="3363" spans="3:13" x14ac:dyDescent="0.3">
      <c r="C3363" t="s">
        <v>70</v>
      </c>
      <c r="D3363" t="s">
        <v>67</v>
      </c>
      <c r="E3363" t="s">
        <v>63</v>
      </c>
      <c r="F3363" t="s">
        <v>25</v>
      </c>
      <c r="G3363" s="4">
        <v>8</v>
      </c>
      <c r="H3363" s="4" t="s">
        <v>14</v>
      </c>
      <c r="I3363" s="4" t="s">
        <v>69</v>
      </c>
      <c r="J3363" s="4" t="s">
        <v>66</v>
      </c>
      <c r="K3363" s="4">
        <v>1</v>
      </c>
      <c r="L3363" s="94">
        <v>-55935</v>
      </c>
      <c r="M3363" s="94">
        <v>0</v>
      </c>
    </row>
    <row r="3364" spans="3:13" x14ac:dyDescent="0.3">
      <c r="C3364" t="s">
        <v>71</v>
      </c>
      <c r="D3364" t="s">
        <v>67</v>
      </c>
      <c r="E3364" t="s">
        <v>63</v>
      </c>
      <c r="F3364" t="s">
        <v>26</v>
      </c>
      <c r="G3364" s="4">
        <v>-1</v>
      </c>
      <c r="H3364" s="4" t="s">
        <v>82</v>
      </c>
      <c r="I3364" s="4" t="s">
        <v>65</v>
      </c>
      <c r="J3364" s="4" t="s">
        <v>66</v>
      </c>
      <c r="K3364" s="4">
        <v>1</v>
      </c>
      <c r="L3364" s="94">
        <v>-41249</v>
      </c>
      <c r="M3364" s="94">
        <v>0</v>
      </c>
    </row>
    <row r="3365" spans="3:13" x14ac:dyDescent="0.3">
      <c r="C3365" t="s">
        <v>61</v>
      </c>
      <c r="D3365" t="s">
        <v>67</v>
      </c>
      <c r="E3365" t="s">
        <v>63</v>
      </c>
      <c r="F3365" t="s">
        <v>25</v>
      </c>
      <c r="G3365" s="4">
        <v>5</v>
      </c>
      <c r="H3365" s="4" t="s">
        <v>12</v>
      </c>
      <c r="I3365" s="4" t="s">
        <v>69</v>
      </c>
      <c r="J3365" s="4" t="s">
        <v>66</v>
      </c>
      <c r="K3365" s="4">
        <v>0</v>
      </c>
      <c r="L3365" s="94">
        <v>-682</v>
      </c>
      <c r="M3365" s="94">
        <v>0</v>
      </c>
    </row>
    <row r="3366" spans="3:13" x14ac:dyDescent="0.3">
      <c r="C3366" t="s">
        <v>71</v>
      </c>
      <c r="D3366" t="s">
        <v>67</v>
      </c>
      <c r="E3366" t="s">
        <v>63</v>
      </c>
      <c r="F3366" t="s">
        <v>25</v>
      </c>
      <c r="G3366" s="4">
        <v>14</v>
      </c>
      <c r="H3366" s="4" t="s">
        <v>75</v>
      </c>
      <c r="I3366" s="4" t="s">
        <v>69</v>
      </c>
      <c r="J3366" s="4" t="s">
        <v>66</v>
      </c>
      <c r="K3366" s="4">
        <v>0</v>
      </c>
      <c r="L3366" s="94">
        <v>-43854</v>
      </c>
      <c r="M3366" s="94">
        <v>0</v>
      </c>
    </row>
    <row r="3367" spans="3:13" x14ac:dyDescent="0.3">
      <c r="C3367" t="s">
        <v>71</v>
      </c>
      <c r="D3367" t="s">
        <v>67</v>
      </c>
      <c r="E3367" t="s">
        <v>68</v>
      </c>
      <c r="F3367" t="s">
        <v>25</v>
      </c>
      <c r="G3367" s="4">
        <v>-4</v>
      </c>
      <c r="H3367" s="4" t="s">
        <v>64</v>
      </c>
      <c r="I3367" s="4" t="s">
        <v>69</v>
      </c>
      <c r="J3367" s="4" t="s">
        <v>66</v>
      </c>
      <c r="K3367" s="4">
        <v>0</v>
      </c>
      <c r="L3367" s="94">
        <v>1149093</v>
      </c>
      <c r="M3367" s="94">
        <v>0</v>
      </c>
    </row>
    <row r="3368" spans="3:13" x14ac:dyDescent="0.3">
      <c r="C3368" t="s">
        <v>70</v>
      </c>
      <c r="D3368" t="s">
        <v>67</v>
      </c>
      <c r="E3368" t="s">
        <v>63</v>
      </c>
      <c r="F3368" t="s">
        <v>72</v>
      </c>
      <c r="G3368" s="4">
        <v>3</v>
      </c>
      <c r="H3368" s="4" t="s">
        <v>77</v>
      </c>
      <c r="I3368" s="4" t="s">
        <v>69</v>
      </c>
      <c r="J3368" s="4" t="s">
        <v>66</v>
      </c>
      <c r="K3368" s="4">
        <v>0</v>
      </c>
      <c r="L3368" s="94">
        <v>-22063</v>
      </c>
      <c r="M3368" s="94">
        <v>0</v>
      </c>
    </row>
    <row r="3369" spans="3:13" x14ac:dyDescent="0.3">
      <c r="C3369" t="s">
        <v>61</v>
      </c>
      <c r="D3369" t="s">
        <v>67</v>
      </c>
      <c r="E3369" t="s">
        <v>68</v>
      </c>
      <c r="F3369" t="s">
        <v>25</v>
      </c>
      <c r="G3369" s="4">
        <v>5</v>
      </c>
      <c r="H3369" s="4" t="s">
        <v>76</v>
      </c>
      <c r="I3369" s="4" t="s">
        <v>69</v>
      </c>
      <c r="J3369" s="4" t="s">
        <v>66</v>
      </c>
      <c r="K3369" s="4">
        <v>0</v>
      </c>
      <c r="L3369" s="94">
        <v>43281098</v>
      </c>
      <c r="M3369" s="94">
        <v>216405490</v>
      </c>
    </row>
    <row r="3370" spans="3:13" x14ac:dyDescent="0.3">
      <c r="C3370" t="s">
        <v>70</v>
      </c>
      <c r="D3370" t="s">
        <v>67</v>
      </c>
      <c r="E3370" t="s">
        <v>68</v>
      </c>
      <c r="F3370" t="s">
        <v>26</v>
      </c>
      <c r="G3370" s="4">
        <v>3</v>
      </c>
      <c r="H3370" s="4" t="s">
        <v>82</v>
      </c>
      <c r="I3370" s="4" t="s">
        <v>69</v>
      </c>
      <c r="J3370" s="4" t="s">
        <v>66</v>
      </c>
      <c r="K3370" s="4">
        <v>0</v>
      </c>
      <c r="L3370" s="94">
        <v>7376565</v>
      </c>
      <c r="M3370" s="94">
        <v>22129695</v>
      </c>
    </row>
    <row r="3371" spans="3:13" x14ac:dyDescent="0.3">
      <c r="C3371" t="s">
        <v>71</v>
      </c>
      <c r="D3371" t="s">
        <v>62</v>
      </c>
      <c r="E3371" t="s">
        <v>63</v>
      </c>
      <c r="F3371" t="s">
        <v>24</v>
      </c>
      <c r="G3371" s="4">
        <v>11</v>
      </c>
      <c r="I3371" s="4" t="s">
        <v>69</v>
      </c>
      <c r="J3371" s="4" t="s">
        <v>66</v>
      </c>
      <c r="K3371" s="4">
        <v>0</v>
      </c>
      <c r="L3371" s="94">
        <v>-761439</v>
      </c>
      <c r="M3371" s="94">
        <v>0</v>
      </c>
    </row>
    <row r="3372" spans="3:13" x14ac:dyDescent="0.3">
      <c r="C3372" t="s">
        <v>71</v>
      </c>
      <c r="D3372" t="s">
        <v>67</v>
      </c>
      <c r="E3372" t="s">
        <v>68</v>
      </c>
      <c r="F3372" t="s">
        <v>26</v>
      </c>
      <c r="G3372" s="4">
        <v>4</v>
      </c>
      <c r="H3372" s="4" t="s">
        <v>13</v>
      </c>
      <c r="I3372" s="4" t="s">
        <v>69</v>
      </c>
      <c r="J3372" s="4" t="s">
        <v>73</v>
      </c>
      <c r="K3372" s="4">
        <v>1</v>
      </c>
      <c r="L3372" s="94">
        <v>191128</v>
      </c>
      <c r="M3372" s="94">
        <v>764512</v>
      </c>
    </row>
    <row r="3373" spans="3:13" x14ac:dyDescent="0.3">
      <c r="C3373" t="s">
        <v>70</v>
      </c>
      <c r="D3373" t="s">
        <v>67</v>
      </c>
      <c r="E3373" t="s">
        <v>63</v>
      </c>
      <c r="F3373" t="s">
        <v>25</v>
      </c>
      <c r="G3373" s="4">
        <v>16</v>
      </c>
      <c r="H3373" s="4" t="s">
        <v>83</v>
      </c>
      <c r="I3373" s="4" t="s">
        <v>69</v>
      </c>
      <c r="J3373" s="4" t="s">
        <v>66</v>
      </c>
      <c r="K3373" s="4">
        <v>0</v>
      </c>
      <c r="L3373" s="94">
        <v>-3404</v>
      </c>
      <c r="M3373" s="94">
        <v>0</v>
      </c>
    </row>
    <row r="3374" spans="3:13" x14ac:dyDescent="0.3">
      <c r="C3374" t="s">
        <v>61</v>
      </c>
      <c r="D3374" t="s">
        <v>67</v>
      </c>
      <c r="E3374" t="s">
        <v>68</v>
      </c>
      <c r="F3374" t="s">
        <v>72</v>
      </c>
      <c r="G3374" s="4">
        <v>6</v>
      </c>
      <c r="H3374" s="4" t="s">
        <v>18</v>
      </c>
      <c r="I3374" s="4" t="s">
        <v>69</v>
      </c>
      <c r="J3374" s="4" t="s">
        <v>73</v>
      </c>
      <c r="K3374" s="4">
        <v>1</v>
      </c>
      <c r="L3374" s="94">
        <v>80618</v>
      </c>
      <c r="M3374" s="94">
        <v>483708</v>
      </c>
    </row>
    <row r="3375" spans="3:13" x14ac:dyDescent="0.3">
      <c r="C3375" t="s">
        <v>71</v>
      </c>
      <c r="D3375" t="s">
        <v>67</v>
      </c>
      <c r="E3375" t="s">
        <v>63</v>
      </c>
      <c r="F3375" t="s">
        <v>25</v>
      </c>
      <c r="G3375" s="4">
        <v>1</v>
      </c>
      <c r="H3375" s="4" t="s">
        <v>12</v>
      </c>
      <c r="I3375" s="4" t="s">
        <v>69</v>
      </c>
      <c r="J3375" s="4" t="s">
        <v>66</v>
      </c>
      <c r="K3375" s="4">
        <v>1</v>
      </c>
      <c r="L3375" s="94">
        <v>-41424</v>
      </c>
      <c r="M3375" s="94">
        <v>0</v>
      </c>
    </row>
    <row r="3376" spans="3:13" x14ac:dyDescent="0.3">
      <c r="C3376" t="s">
        <v>61</v>
      </c>
      <c r="D3376" t="s">
        <v>67</v>
      </c>
      <c r="E3376" t="s">
        <v>68</v>
      </c>
      <c r="F3376" t="s">
        <v>72</v>
      </c>
      <c r="G3376" s="4">
        <v>7</v>
      </c>
      <c r="H3376" s="4" t="s">
        <v>64</v>
      </c>
      <c r="I3376" s="4" t="s">
        <v>69</v>
      </c>
      <c r="J3376" s="4" t="s">
        <v>66</v>
      </c>
      <c r="K3376" s="4">
        <v>0</v>
      </c>
      <c r="L3376" s="94">
        <v>3817864</v>
      </c>
      <c r="M3376" s="94">
        <v>26725048</v>
      </c>
    </row>
    <row r="3377" spans="3:13" x14ac:dyDescent="0.3">
      <c r="C3377" t="s">
        <v>70</v>
      </c>
      <c r="D3377" t="s">
        <v>67</v>
      </c>
      <c r="E3377" t="s">
        <v>63</v>
      </c>
      <c r="F3377" t="s">
        <v>72</v>
      </c>
      <c r="G3377" s="4">
        <v>3</v>
      </c>
      <c r="H3377" s="4" t="s">
        <v>12</v>
      </c>
      <c r="I3377" s="4" t="s">
        <v>65</v>
      </c>
      <c r="J3377" s="4" t="s">
        <v>73</v>
      </c>
      <c r="K3377" s="4">
        <v>1</v>
      </c>
      <c r="L3377" s="94">
        <v>-9118</v>
      </c>
      <c r="M3377" s="94">
        <v>0</v>
      </c>
    </row>
    <row r="3378" spans="3:13" x14ac:dyDescent="0.3">
      <c r="C3378" t="s">
        <v>71</v>
      </c>
      <c r="D3378" t="s">
        <v>62</v>
      </c>
      <c r="E3378" t="s">
        <v>68</v>
      </c>
      <c r="F3378" t="s">
        <v>24</v>
      </c>
      <c r="G3378" s="4">
        <v>32</v>
      </c>
      <c r="I3378" s="4" t="s">
        <v>69</v>
      </c>
      <c r="J3378" s="4" t="s">
        <v>66</v>
      </c>
      <c r="K3378" s="4">
        <v>1</v>
      </c>
      <c r="L3378" s="94">
        <v>123160</v>
      </c>
      <c r="M3378" s="94">
        <v>3941120</v>
      </c>
    </row>
    <row r="3379" spans="3:13" x14ac:dyDescent="0.3">
      <c r="C3379" t="s">
        <v>61</v>
      </c>
      <c r="D3379" t="s">
        <v>67</v>
      </c>
      <c r="E3379" t="s">
        <v>63</v>
      </c>
      <c r="F3379" t="s">
        <v>25</v>
      </c>
      <c r="G3379" s="4">
        <v>14</v>
      </c>
      <c r="H3379" s="4" t="s">
        <v>82</v>
      </c>
      <c r="I3379" s="4" t="s">
        <v>69</v>
      </c>
      <c r="J3379" s="4" t="s">
        <v>66</v>
      </c>
      <c r="K3379" s="4">
        <v>0</v>
      </c>
      <c r="L3379" s="94">
        <v>-366</v>
      </c>
      <c r="M3379" s="94">
        <v>0</v>
      </c>
    </row>
    <row r="3380" spans="3:13" x14ac:dyDescent="0.3">
      <c r="C3380" t="s">
        <v>70</v>
      </c>
      <c r="D3380" t="s">
        <v>62</v>
      </c>
      <c r="E3380" t="s">
        <v>63</v>
      </c>
      <c r="F3380" t="s">
        <v>25</v>
      </c>
      <c r="G3380" s="4">
        <v>21</v>
      </c>
      <c r="I3380" s="4" t="s">
        <v>69</v>
      </c>
      <c r="J3380" s="4" t="s">
        <v>66</v>
      </c>
      <c r="K3380" s="4">
        <v>0</v>
      </c>
      <c r="L3380" s="94">
        <v>-1895</v>
      </c>
      <c r="M3380" s="94">
        <v>0</v>
      </c>
    </row>
    <row r="3381" spans="3:13" x14ac:dyDescent="0.3">
      <c r="C3381" t="s">
        <v>70</v>
      </c>
      <c r="D3381" t="s">
        <v>67</v>
      </c>
      <c r="E3381" t="s">
        <v>63</v>
      </c>
      <c r="F3381" t="s">
        <v>25</v>
      </c>
      <c r="G3381" s="4">
        <v>14</v>
      </c>
      <c r="H3381" s="4" t="s">
        <v>76</v>
      </c>
      <c r="I3381" s="4" t="s">
        <v>69</v>
      </c>
      <c r="J3381" s="4" t="s">
        <v>66</v>
      </c>
      <c r="K3381" s="4">
        <v>0</v>
      </c>
      <c r="L3381" s="94">
        <v>-20536</v>
      </c>
      <c r="M3381" s="94">
        <v>0</v>
      </c>
    </row>
    <row r="3382" spans="3:13" x14ac:dyDescent="0.3">
      <c r="C3382" t="s">
        <v>61</v>
      </c>
      <c r="D3382" t="s">
        <v>62</v>
      </c>
      <c r="E3382" t="s">
        <v>68</v>
      </c>
      <c r="F3382" t="s">
        <v>25</v>
      </c>
      <c r="G3382" s="4">
        <v>18</v>
      </c>
      <c r="I3382" s="4" t="s">
        <v>69</v>
      </c>
      <c r="J3382" s="4" t="s">
        <v>66</v>
      </c>
      <c r="K3382" s="4">
        <v>0</v>
      </c>
      <c r="L3382" s="94">
        <v>279834</v>
      </c>
      <c r="M3382" s="94">
        <v>5037012</v>
      </c>
    </row>
    <row r="3383" spans="3:13" x14ac:dyDescent="0.3">
      <c r="C3383" t="s">
        <v>71</v>
      </c>
      <c r="D3383" t="s">
        <v>67</v>
      </c>
      <c r="E3383" t="s">
        <v>68</v>
      </c>
      <c r="F3383" t="s">
        <v>26</v>
      </c>
      <c r="G3383" s="4">
        <v>5</v>
      </c>
      <c r="H3383" s="4" t="s">
        <v>12</v>
      </c>
      <c r="I3383" s="4" t="s">
        <v>69</v>
      </c>
      <c r="J3383" s="4" t="s">
        <v>73</v>
      </c>
      <c r="K3383" s="4">
        <v>1</v>
      </c>
      <c r="L3383" s="94">
        <v>577280</v>
      </c>
      <c r="M3383" s="94">
        <v>2886400</v>
      </c>
    </row>
    <row r="3384" spans="3:13" x14ac:dyDescent="0.3">
      <c r="C3384" t="s">
        <v>70</v>
      </c>
      <c r="D3384" t="s">
        <v>67</v>
      </c>
      <c r="E3384" t="s">
        <v>68</v>
      </c>
      <c r="F3384" t="s">
        <v>25</v>
      </c>
      <c r="G3384" s="4">
        <v>6</v>
      </c>
      <c r="H3384" s="4" t="s">
        <v>64</v>
      </c>
      <c r="I3384" s="4" t="s">
        <v>69</v>
      </c>
      <c r="J3384" s="4" t="s">
        <v>66</v>
      </c>
      <c r="K3384" s="4">
        <v>0</v>
      </c>
      <c r="L3384" s="94">
        <v>45426</v>
      </c>
      <c r="M3384" s="94">
        <v>272556</v>
      </c>
    </row>
    <row r="3385" spans="3:13" x14ac:dyDescent="0.3">
      <c r="C3385" t="s">
        <v>61</v>
      </c>
      <c r="D3385" t="s">
        <v>62</v>
      </c>
      <c r="E3385" t="s">
        <v>63</v>
      </c>
      <c r="F3385" t="s">
        <v>25</v>
      </c>
      <c r="G3385" s="4">
        <v>12</v>
      </c>
      <c r="I3385" s="4" t="s">
        <v>65</v>
      </c>
      <c r="J3385" s="4" t="s">
        <v>66</v>
      </c>
      <c r="K3385" s="4">
        <v>1</v>
      </c>
      <c r="L3385" s="94">
        <v>-91</v>
      </c>
      <c r="M3385" s="94">
        <v>0</v>
      </c>
    </row>
    <row r="3386" spans="3:13" x14ac:dyDescent="0.3">
      <c r="C3386" t="s">
        <v>61</v>
      </c>
      <c r="D3386" t="s">
        <v>67</v>
      </c>
      <c r="E3386" t="s">
        <v>63</v>
      </c>
      <c r="F3386" t="s">
        <v>26</v>
      </c>
      <c r="G3386" s="4">
        <v>11</v>
      </c>
      <c r="H3386" s="4" t="s">
        <v>17</v>
      </c>
      <c r="I3386" s="4" t="s">
        <v>69</v>
      </c>
      <c r="J3386" s="4" t="s">
        <v>66</v>
      </c>
      <c r="K3386" s="4">
        <v>0</v>
      </c>
      <c r="L3386" s="94">
        <v>-26156</v>
      </c>
      <c r="M3386" s="94">
        <v>0</v>
      </c>
    </row>
    <row r="3387" spans="3:13" x14ac:dyDescent="0.3">
      <c r="C3387" t="s">
        <v>70</v>
      </c>
      <c r="D3387" t="s">
        <v>67</v>
      </c>
      <c r="E3387" t="s">
        <v>68</v>
      </c>
      <c r="F3387" t="s">
        <v>25</v>
      </c>
      <c r="G3387" s="4">
        <v>15</v>
      </c>
      <c r="H3387" s="4" t="s">
        <v>76</v>
      </c>
      <c r="I3387" s="4" t="s">
        <v>69</v>
      </c>
      <c r="J3387" s="4" t="s">
        <v>66</v>
      </c>
      <c r="K3387" s="4">
        <v>0</v>
      </c>
      <c r="L3387" s="94">
        <v>741079</v>
      </c>
      <c r="M3387" s="94">
        <v>11116185</v>
      </c>
    </row>
    <row r="3388" spans="3:13" x14ac:dyDescent="0.3">
      <c r="C3388" t="s">
        <v>70</v>
      </c>
      <c r="D3388" t="s">
        <v>67</v>
      </c>
      <c r="E3388" t="s">
        <v>63</v>
      </c>
      <c r="F3388" t="s">
        <v>25</v>
      </c>
      <c r="G3388" s="4">
        <v>5</v>
      </c>
      <c r="H3388" s="4" t="s">
        <v>64</v>
      </c>
      <c r="I3388" s="4" t="s">
        <v>69</v>
      </c>
      <c r="J3388" s="4" t="s">
        <v>66</v>
      </c>
      <c r="K3388" s="4">
        <v>0</v>
      </c>
      <c r="L3388" s="94">
        <v>-33042</v>
      </c>
      <c r="M3388" s="94">
        <v>0</v>
      </c>
    </row>
    <row r="3389" spans="3:13" x14ac:dyDescent="0.3">
      <c r="C3389" t="s">
        <v>71</v>
      </c>
      <c r="D3389" t="s">
        <v>67</v>
      </c>
      <c r="E3389" t="s">
        <v>63</v>
      </c>
      <c r="F3389" t="s">
        <v>25</v>
      </c>
      <c r="G3389" s="4">
        <v>6</v>
      </c>
      <c r="H3389" s="4" t="s">
        <v>12</v>
      </c>
      <c r="I3389" s="4" t="s">
        <v>69</v>
      </c>
      <c r="J3389" s="4" t="s">
        <v>66</v>
      </c>
      <c r="K3389" s="4">
        <v>1</v>
      </c>
      <c r="L3389" s="94">
        <v>-142713</v>
      </c>
      <c r="M3389" s="94">
        <v>0</v>
      </c>
    </row>
    <row r="3390" spans="3:13" x14ac:dyDescent="0.3">
      <c r="C3390" t="s">
        <v>71</v>
      </c>
      <c r="D3390" t="s">
        <v>67</v>
      </c>
      <c r="E3390" t="s">
        <v>63</v>
      </c>
      <c r="F3390" t="s">
        <v>26</v>
      </c>
      <c r="G3390" s="4">
        <v>-1</v>
      </c>
      <c r="H3390" s="4" t="s">
        <v>17</v>
      </c>
      <c r="I3390" s="4" t="s">
        <v>65</v>
      </c>
      <c r="J3390" s="4" t="s">
        <v>66</v>
      </c>
      <c r="K3390" s="4">
        <v>1</v>
      </c>
      <c r="L3390" s="94">
        <v>-85991</v>
      </c>
      <c r="M3390" s="94">
        <v>0</v>
      </c>
    </row>
    <row r="3391" spans="3:13" x14ac:dyDescent="0.3">
      <c r="C3391" t="s">
        <v>70</v>
      </c>
      <c r="D3391" t="s">
        <v>67</v>
      </c>
      <c r="E3391" t="s">
        <v>63</v>
      </c>
      <c r="F3391" t="s">
        <v>72</v>
      </c>
      <c r="G3391" s="4">
        <v>5</v>
      </c>
      <c r="H3391" s="4" t="s">
        <v>12</v>
      </c>
      <c r="I3391" s="4" t="s">
        <v>65</v>
      </c>
      <c r="J3391" s="4" t="s">
        <v>73</v>
      </c>
      <c r="K3391" s="4">
        <v>1</v>
      </c>
      <c r="L3391" s="94">
        <v>-3584</v>
      </c>
      <c r="M3391" s="94">
        <v>0</v>
      </c>
    </row>
    <row r="3392" spans="3:13" x14ac:dyDescent="0.3">
      <c r="C3392" t="s">
        <v>70</v>
      </c>
      <c r="D3392" t="s">
        <v>62</v>
      </c>
      <c r="E3392" t="s">
        <v>68</v>
      </c>
      <c r="F3392" t="s">
        <v>24</v>
      </c>
      <c r="G3392" s="4">
        <v>12</v>
      </c>
      <c r="I3392" s="4" t="s">
        <v>69</v>
      </c>
      <c r="J3392" s="4" t="s">
        <v>66</v>
      </c>
      <c r="K3392" s="4">
        <v>0</v>
      </c>
      <c r="L3392" s="94">
        <v>16808052</v>
      </c>
      <c r="M3392" s="94">
        <v>201696624</v>
      </c>
    </row>
    <row r="3393" spans="3:13" x14ac:dyDescent="0.3">
      <c r="C3393" t="s">
        <v>71</v>
      </c>
      <c r="D3393" t="s">
        <v>67</v>
      </c>
      <c r="E3393" t="s">
        <v>63</v>
      </c>
      <c r="F3393" t="s">
        <v>26</v>
      </c>
      <c r="G3393" s="4">
        <v>-1</v>
      </c>
      <c r="H3393" s="4" t="s">
        <v>12</v>
      </c>
      <c r="I3393" s="4" t="s">
        <v>69</v>
      </c>
      <c r="J3393" s="4" t="s">
        <v>73</v>
      </c>
      <c r="K3393" s="4">
        <v>1</v>
      </c>
      <c r="L3393" s="94">
        <v>-928893</v>
      </c>
      <c r="M3393" s="94">
        <v>0</v>
      </c>
    </row>
    <row r="3394" spans="3:13" x14ac:dyDescent="0.3">
      <c r="C3394" t="s">
        <v>61</v>
      </c>
      <c r="D3394" t="s">
        <v>67</v>
      </c>
      <c r="E3394" t="s">
        <v>63</v>
      </c>
      <c r="F3394" t="s">
        <v>72</v>
      </c>
      <c r="G3394" s="4">
        <v>-4</v>
      </c>
      <c r="H3394" s="4" t="s">
        <v>83</v>
      </c>
      <c r="I3394" s="4" t="s">
        <v>69</v>
      </c>
      <c r="J3394" s="4" t="s">
        <v>66</v>
      </c>
      <c r="K3394" s="4">
        <v>0</v>
      </c>
      <c r="L3394" s="94">
        <v>0</v>
      </c>
      <c r="M3394" s="94">
        <v>0</v>
      </c>
    </row>
    <row r="3395" spans="3:13" x14ac:dyDescent="0.3">
      <c r="C3395" t="s">
        <v>71</v>
      </c>
      <c r="D3395" t="s">
        <v>67</v>
      </c>
      <c r="E3395" t="s">
        <v>63</v>
      </c>
      <c r="F3395" t="s">
        <v>26</v>
      </c>
      <c r="G3395" s="4">
        <v>6</v>
      </c>
      <c r="H3395" s="4" t="s">
        <v>18</v>
      </c>
      <c r="I3395" s="4" t="s">
        <v>69</v>
      </c>
      <c r="J3395" s="4" t="s">
        <v>66</v>
      </c>
      <c r="K3395" s="4">
        <v>0</v>
      </c>
      <c r="L3395" s="94">
        <v>-844293</v>
      </c>
      <c r="M3395" s="94">
        <v>0</v>
      </c>
    </row>
    <row r="3396" spans="3:13" x14ac:dyDescent="0.3">
      <c r="C3396" t="s">
        <v>61</v>
      </c>
      <c r="D3396" t="s">
        <v>67</v>
      </c>
      <c r="E3396" t="s">
        <v>63</v>
      </c>
      <c r="F3396" t="s">
        <v>72</v>
      </c>
      <c r="G3396" s="4">
        <v>3</v>
      </c>
      <c r="H3396" s="4" t="s">
        <v>15</v>
      </c>
      <c r="I3396" s="4" t="s">
        <v>69</v>
      </c>
      <c r="J3396" s="4" t="s">
        <v>66</v>
      </c>
      <c r="K3396" s="4">
        <v>0</v>
      </c>
      <c r="L3396" s="94">
        <v>-2371</v>
      </c>
      <c r="M3396" s="94">
        <v>0</v>
      </c>
    </row>
    <row r="3397" spans="3:13" x14ac:dyDescent="0.3">
      <c r="C3397" t="s">
        <v>61</v>
      </c>
      <c r="D3397" t="s">
        <v>62</v>
      </c>
      <c r="E3397" t="s">
        <v>68</v>
      </c>
      <c r="F3397" t="s">
        <v>24</v>
      </c>
      <c r="G3397" s="4">
        <v>12</v>
      </c>
      <c r="I3397" s="4" t="s">
        <v>65</v>
      </c>
      <c r="J3397" s="4" t="s">
        <v>66</v>
      </c>
      <c r="K3397" s="4">
        <v>1</v>
      </c>
      <c r="L3397" s="94">
        <v>2976778</v>
      </c>
      <c r="M3397" s="94">
        <v>35721336</v>
      </c>
    </row>
    <row r="3398" spans="3:13" x14ac:dyDescent="0.3">
      <c r="C3398" t="s">
        <v>70</v>
      </c>
      <c r="D3398" t="s">
        <v>67</v>
      </c>
      <c r="E3398" t="s">
        <v>68</v>
      </c>
      <c r="F3398" t="s">
        <v>72</v>
      </c>
      <c r="G3398" s="4">
        <v>3</v>
      </c>
      <c r="H3398" s="4" t="s">
        <v>74</v>
      </c>
      <c r="I3398" s="4" t="s">
        <v>69</v>
      </c>
      <c r="J3398" s="4" t="s">
        <v>66</v>
      </c>
      <c r="K3398" s="4">
        <v>0</v>
      </c>
      <c r="L3398" s="94">
        <v>750208</v>
      </c>
      <c r="M3398" s="94">
        <v>2250624</v>
      </c>
    </row>
    <row r="3399" spans="3:13" x14ac:dyDescent="0.3">
      <c r="C3399" t="s">
        <v>71</v>
      </c>
      <c r="D3399" t="s">
        <v>67</v>
      </c>
      <c r="E3399" t="s">
        <v>68</v>
      </c>
      <c r="F3399" t="s">
        <v>72</v>
      </c>
      <c r="G3399" s="4">
        <v>-4</v>
      </c>
      <c r="H3399" s="4" t="s">
        <v>18</v>
      </c>
      <c r="I3399" s="4" t="s">
        <v>69</v>
      </c>
      <c r="J3399" s="4" t="s">
        <v>73</v>
      </c>
      <c r="K3399" s="4">
        <v>1</v>
      </c>
      <c r="L3399" s="94">
        <v>8499</v>
      </c>
      <c r="M3399" s="94">
        <v>0</v>
      </c>
    </row>
    <row r="3400" spans="3:13" x14ac:dyDescent="0.3">
      <c r="C3400" t="s">
        <v>71</v>
      </c>
      <c r="D3400" t="s">
        <v>67</v>
      </c>
      <c r="E3400" t="s">
        <v>68</v>
      </c>
      <c r="F3400" t="s">
        <v>26</v>
      </c>
      <c r="G3400" s="4">
        <v>3</v>
      </c>
      <c r="H3400" s="4" t="s">
        <v>12</v>
      </c>
      <c r="I3400" s="4" t="s">
        <v>69</v>
      </c>
      <c r="J3400" s="4" t="s">
        <v>73</v>
      </c>
      <c r="K3400" s="4">
        <v>1</v>
      </c>
      <c r="L3400" s="94">
        <v>340896</v>
      </c>
      <c r="M3400" s="94">
        <v>1022688</v>
      </c>
    </row>
    <row r="3401" spans="3:13" x14ac:dyDescent="0.3">
      <c r="C3401" t="s">
        <v>61</v>
      </c>
      <c r="D3401" t="s">
        <v>67</v>
      </c>
      <c r="E3401" t="s">
        <v>68</v>
      </c>
      <c r="F3401" t="s">
        <v>25</v>
      </c>
      <c r="G3401" s="4">
        <v>1</v>
      </c>
      <c r="H3401" s="4" t="s">
        <v>14</v>
      </c>
      <c r="I3401" s="4" t="s">
        <v>69</v>
      </c>
      <c r="J3401" s="4" t="s">
        <v>66</v>
      </c>
      <c r="K3401" s="4">
        <v>1</v>
      </c>
      <c r="L3401" s="94">
        <v>497998</v>
      </c>
      <c r="M3401" s="94">
        <v>497998</v>
      </c>
    </row>
    <row r="3402" spans="3:13" x14ac:dyDescent="0.3">
      <c r="C3402" t="s">
        <v>61</v>
      </c>
      <c r="D3402" t="s">
        <v>67</v>
      </c>
      <c r="E3402" t="s">
        <v>68</v>
      </c>
      <c r="F3402" t="s">
        <v>25</v>
      </c>
      <c r="G3402" s="4">
        <v>9</v>
      </c>
      <c r="H3402" s="4" t="s">
        <v>76</v>
      </c>
      <c r="I3402" s="4" t="s">
        <v>65</v>
      </c>
      <c r="J3402" s="4" t="s">
        <v>66</v>
      </c>
      <c r="K3402" s="4">
        <v>1</v>
      </c>
      <c r="L3402" s="94">
        <v>266303</v>
      </c>
      <c r="M3402" s="94">
        <v>2396727</v>
      </c>
    </row>
    <row r="3403" spans="3:13" x14ac:dyDescent="0.3">
      <c r="C3403" t="s">
        <v>61</v>
      </c>
      <c r="D3403" t="s">
        <v>62</v>
      </c>
      <c r="E3403" t="s">
        <v>63</v>
      </c>
      <c r="F3403" t="s">
        <v>25</v>
      </c>
      <c r="G3403" s="4">
        <v>20</v>
      </c>
      <c r="I3403" s="4" t="s">
        <v>69</v>
      </c>
      <c r="J3403" s="4" t="s">
        <v>66</v>
      </c>
      <c r="K3403" s="4">
        <v>0</v>
      </c>
      <c r="L3403" s="94">
        <v>-1312</v>
      </c>
      <c r="M3403" s="94">
        <v>0</v>
      </c>
    </row>
    <row r="3404" spans="3:13" x14ac:dyDescent="0.3">
      <c r="C3404" t="s">
        <v>70</v>
      </c>
      <c r="D3404" t="s">
        <v>67</v>
      </c>
      <c r="E3404" t="s">
        <v>63</v>
      </c>
      <c r="F3404" t="s">
        <v>26</v>
      </c>
      <c r="G3404" s="4">
        <v>3</v>
      </c>
      <c r="H3404" s="4" t="s">
        <v>18</v>
      </c>
      <c r="I3404" s="4" t="s">
        <v>65</v>
      </c>
      <c r="J3404" s="4" t="s">
        <v>66</v>
      </c>
      <c r="K3404" s="4">
        <v>1</v>
      </c>
      <c r="L3404" s="94">
        <v>-8570</v>
      </c>
      <c r="M3404" s="94">
        <v>0</v>
      </c>
    </row>
    <row r="3405" spans="3:13" x14ac:dyDescent="0.3">
      <c r="C3405" t="s">
        <v>71</v>
      </c>
      <c r="D3405" t="s">
        <v>67</v>
      </c>
      <c r="E3405" t="s">
        <v>68</v>
      </c>
      <c r="F3405" t="s">
        <v>72</v>
      </c>
      <c r="G3405" s="4">
        <v>1</v>
      </c>
      <c r="H3405" s="4" t="s">
        <v>14</v>
      </c>
      <c r="I3405" s="4" t="s">
        <v>65</v>
      </c>
      <c r="J3405" s="4" t="s">
        <v>66</v>
      </c>
      <c r="K3405" s="4">
        <v>1</v>
      </c>
      <c r="L3405" s="94">
        <v>20706</v>
      </c>
      <c r="M3405" s="94">
        <v>20706</v>
      </c>
    </row>
    <row r="3406" spans="3:13" x14ac:dyDescent="0.3">
      <c r="C3406" t="s">
        <v>71</v>
      </c>
      <c r="D3406" t="s">
        <v>67</v>
      </c>
      <c r="E3406" t="s">
        <v>68</v>
      </c>
      <c r="F3406" t="s">
        <v>26</v>
      </c>
      <c r="G3406" s="4">
        <v>3</v>
      </c>
      <c r="H3406" s="4" t="s">
        <v>17</v>
      </c>
      <c r="I3406" s="4" t="s">
        <v>65</v>
      </c>
      <c r="J3406" s="4" t="s">
        <v>66</v>
      </c>
      <c r="K3406" s="4">
        <v>1</v>
      </c>
      <c r="L3406" s="94">
        <v>4077311</v>
      </c>
      <c r="M3406" s="94">
        <v>12231933</v>
      </c>
    </row>
    <row r="3407" spans="3:13" x14ac:dyDescent="0.3">
      <c r="C3407" t="s">
        <v>61</v>
      </c>
      <c r="D3407" t="s">
        <v>67</v>
      </c>
      <c r="E3407" t="s">
        <v>68</v>
      </c>
      <c r="F3407" t="s">
        <v>72</v>
      </c>
      <c r="G3407" s="4">
        <v>5</v>
      </c>
      <c r="H3407" s="4" t="s">
        <v>12</v>
      </c>
      <c r="I3407" s="4" t="s">
        <v>69</v>
      </c>
      <c r="J3407" s="4" t="s">
        <v>73</v>
      </c>
      <c r="K3407" s="4">
        <v>1</v>
      </c>
      <c r="L3407" s="94">
        <v>1761470</v>
      </c>
      <c r="M3407" s="94">
        <v>8807350</v>
      </c>
    </row>
    <row r="3408" spans="3:13" x14ac:dyDescent="0.3">
      <c r="C3408" t="s">
        <v>70</v>
      </c>
      <c r="D3408" t="s">
        <v>67</v>
      </c>
      <c r="E3408" t="s">
        <v>63</v>
      </c>
      <c r="F3408" t="s">
        <v>72</v>
      </c>
      <c r="G3408" s="4">
        <v>7</v>
      </c>
      <c r="H3408" s="4" t="s">
        <v>83</v>
      </c>
      <c r="I3408" s="4" t="s">
        <v>69</v>
      </c>
      <c r="J3408" s="4" t="s">
        <v>66</v>
      </c>
      <c r="K3408" s="4">
        <v>0</v>
      </c>
      <c r="L3408" s="94">
        <v>-13536</v>
      </c>
      <c r="M3408" s="94">
        <v>0</v>
      </c>
    </row>
    <row r="3409" spans="3:13" x14ac:dyDescent="0.3">
      <c r="C3409" t="s">
        <v>70</v>
      </c>
      <c r="D3409" t="s">
        <v>67</v>
      </c>
      <c r="E3409" t="s">
        <v>63</v>
      </c>
      <c r="F3409" t="s">
        <v>25</v>
      </c>
      <c r="G3409" s="4">
        <v>11</v>
      </c>
      <c r="H3409" s="4" t="s">
        <v>12</v>
      </c>
      <c r="I3409" s="4" t="s">
        <v>69</v>
      </c>
      <c r="J3409" s="4" t="s">
        <v>66</v>
      </c>
      <c r="K3409" s="4">
        <v>1</v>
      </c>
      <c r="L3409" s="94">
        <v>-33075</v>
      </c>
      <c r="M3409" s="94">
        <v>0</v>
      </c>
    </row>
    <row r="3410" spans="3:13" x14ac:dyDescent="0.3">
      <c r="C3410" t="s">
        <v>61</v>
      </c>
      <c r="D3410" t="s">
        <v>67</v>
      </c>
      <c r="E3410" t="s">
        <v>68</v>
      </c>
      <c r="F3410" t="s">
        <v>72</v>
      </c>
      <c r="G3410" s="4">
        <v>4</v>
      </c>
      <c r="H3410" s="4" t="s">
        <v>82</v>
      </c>
      <c r="I3410" s="4" t="s">
        <v>69</v>
      </c>
      <c r="J3410" s="4" t="s">
        <v>66</v>
      </c>
      <c r="K3410" s="4">
        <v>0</v>
      </c>
      <c r="L3410" s="94">
        <v>22023746</v>
      </c>
      <c r="M3410" s="94">
        <v>88094984</v>
      </c>
    </row>
    <row r="3411" spans="3:13" x14ac:dyDescent="0.3">
      <c r="C3411" t="s">
        <v>71</v>
      </c>
      <c r="D3411" t="s">
        <v>67</v>
      </c>
      <c r="E3411" t="s">
        <v>63</v>
      </c>
      <c r="F3411" t="s">
        <v>25</v>
      </c>
      <c r="G3411" s="4">
        <v>13</v>
      </c>
      <c r="H3411" s="4" t="s">
        <v>64</v>
      </c>
      <c r="I3411" s="4" t="s">
        <v>69</v>
      </c>
      <c r="J3411" s="4" t="s">
        <v>66</v>
      </c>
      <c r="K3411" s="4">
        <v>0</v>
      </c>
      <c r="L3411" s="94">
        <v>-215812</v>
      </c>
      <c r="M3411" s="94">
        <v>0</v>
      </c>
    </row>
    <row r="3412" spans="3:13" x14ac:dyDescent="0.3">
      <c r="C3412" t="s">
        <v>61</v>
      </c>
      <c r="D3412" t="s">
        <v>67</v>
      </c>
      <c r="E3412" t="s">
        <v>63</v>
      </c>
      <c r="F3412" t="s">
        <v>72</v>
      </c>
      <c r="G3412" s="4">
        <v>5</v>
      </c>
      <c r="H3412" s="4" t="s">
        <v>12</v>
      </c>
      <c r="I3412" s="4" t="s">
        <v>65</v>
      </c>
      <c r="J3412" s="4" t="s">
        <v>73</v>
      </c>
      <c r="K3412" s="4">
        <v>1</v>
      </c>
      <c r="L3412" s="94">
        <v>-99</v>
      </c>
      <c r="M3412" s="94">
        <v>0</v>
      </c>
    </row>
    <row r="3413" spans="3:13" x14ac:dyDescent="0.3">
      <c r="C3413" t="s">
        <v>61</v>
      </c>
      <c r="D3413" t="s">
        <v>67</v>
      </c>
      <c r="E3413" t="s">
        <v>63</v>
      </c>
      <c r="F3413" t="s">
        <v>25</v>
      </c>
      <c r="G3413" s="4">
        <v>14</v>
      </c>
      <c r="H3413" s="4" t="s">
        <v>17</v>
      </c>
      <c r="I3413" s="4" t="s">
        <v>69</v>
      </c>
      <c r="J3413" s="4" t="s">
        <v>66</v>
      </c>
      <c r="K3413" s="4">
        <v>0</v>
      </c>
      <c r="L3413" s="94">
        <v>-3714</v>
      </c>
      <c r="M3413" s="94">
        <v>0</v>
      </c>
    </row>
    <row r="3414" spans="3:13" x14ac:dyDescent="0.3">
      <c r="C3414" t="s">
        <v>61</v>
      </c>
      <c r="D3414" t="s">
        <v>62</v>
      </c>
      <c r="E3414" t="s">
        <v>68</v>
      </c>
      <c r="F3414" t="s">
        <v>24</v>
      </c>
      <c r="G3414" s="4">
        <v>35</v>
      </c>
      <c r="I3414" s="4" t="s">
        <v>65</v>
      </c>
      <c r="J3414" s="4" t="s">
        <v>66</v>
      </c>
      <c r="K3414" s="4">
        <v>1</v>
      </c>
      <c r="L3414" s="94">
        <v>23115071</v>
      </c>
      <c r="M3414" s="94">
        <v>809027485</v>
      </c>
    </row>
    <row r="3415" spans="3:13" x14ac:dyDescent="0.3">
      <c r="C3415" t="s">
        <v>70</v>
      </c>
      <c r="D3415" t="s">
        <v>67</v>
      </c>
      <c r="E3415" t="s">
        <v>63</v>
      </c>
      <c r="F3415" t="s">
        <v>25</v>
      </c>
      <c r="G3415" s="4">
        <v>14</v>
      </c>
      <c r="H3415" s="4" t="s">
        <v>18</v>
      </c>
      <c r="I3415" s="4" t="s">
        <v>69</v>
      </c>
      <c r="J3415" s="4" t="s">
        <v>66</v>
      </c>
      <c r="K3415" s="4">
        <v>0</v>
      </c>
      <c r="L3415" s="94">
        <v>-28139</v>
      </c>
      <c r="M3415" s="94">
        <v>0</v>
      </c>
    </row>
    <row r="3416" spans="3:13" x14ac:dyDescent="0.3">
      <c r="C3416" t="s">
        <v>70</v>
      </c>
      <c r="D3416" t="s">
        <v>67</v>
      </c>
      <c r="E3416" t="s">
        <v>68</v>
      </c>
      <c r="F3416" t="s">
        <v>72</v>
      </c>
      <c r="G3416" s="4">
        <v>-4</v>
      </c>
      <c r="H3416" s="4" t="s">
        <v>16</v>
      </c>
      <c r="I3416" s="4" t="s">
        <v>69</v>
      </c>
      <c r="J3416" s="4" t="s">
        <v>66</v>
      </c>
      <c r="K3416" s="4">
        <v>0</v>
      </c>
      <c r="L3416" s="94">
        <v>71</v>
      </c>
      <c r="M3416" s="94">
        <v>0</v>
      </c>
    </row>
    <row r="3417" spans="3:13" x14ac:dyDescent="0.3">
      <c r="C3417" t="s">
        <v>61</v>
      </c>
      <c r="D3417" t="s">
        <v>62</v>
      </c>
      <c r="E3417" t="s">
        <v>68</v>
      </c>
      <c r="F3417" t="s">
        <v>24</v>
      </c>
      <c r="G3417" s="4">
        <v>10</v>
      </c>
      <c r="I3417" s="4" t="s">
        <v>69</v>
      </c>
      <c r="J3417" s="4" t="s">
        <v>66</v>
      </c>
      <c r="K3417" s="4">
        <v>1</v>
      </c>
      <c r="L3417" s="94">
        <v>934698</v>
      </c>
      <c r="M3417" s="94">
        <v>9346980</v>
      </c>
    </row>
    <row r="3418" spans="3:13" x14ac:dyDescent="0.3">
      <c r="C3418" t="s">
        <v>70</v>
      </c>
      <c r="D3418" t="s">
        <v>67</v>
      </c>
      <c r="E3418" t="s">
        <v>68</v>
      </c>
      <c r="F3418" t="s">
        <v>72</v>
      </c>
      <c r="G3418" s="4">
        <v>1</v>
      </c>
      <c r="H3418" s="4" t="s">
        <v>17</v>
      </c>
      <c r="I3418" s="4" t="s">
        <v>69</v>
      </c>
      <c r="J3418" s="4" t="s">
        <v>66</v>
      </c>
      <c r="K3418" s="4">
        <v>0</v>
      </c>
      <c r="L3418" s="94">
        <v>566731</v>
      </c>
      <c r="M3418" s="94">
        <v>566731</v>
      </c>
    </row>
    <row r="3419" spans="3:13" x14ac:dyDescent="0.3">
      <c r="C3419" t="s">
        <v>71</v>
      </c>
      <c r="D3419" t="s">
        <v>67</v>
      </c>
      <c r="E3419" t="s">
        <v>63</v>
      </c>
      <c r="F3419" t="s">
        <v>25</v>
      </c>
      <c r="G3419" s="4">
        <v>3</v>
      </c>
      <c r="H3419" s="4" t="s">
        <v>78</v>
      </c>
      <c r="I3419" s="4" t="s">
        <v>69</v>
      </c>
      <c r="J3419" s="4" t="s">
        <v>66</v>
      </c>
      <c r="K3419" s="4">
        <v>0</v>
      </c>
      <c r="L3419" s="94">
        <v>-39704</v>
      </c>
      <c r="M3419" s="94">
        <v>0</v>
      </c>
    </row>
    <row r="3420" spans="3:13" x14ac:dyDescent="0.3">
      <c r="C3420" t="s">
        <v>61</v>
      </c>
      <c r="D3420" t="s">
        <v>62</v>
      </c>
      <c r="E3420" t="s">
        <v>68</v>
      </c>
      <c r="F3420" t="s">
        <v>24</v>
      </c>
      <c r="G3420" s="4">
        <v>7</v>
      </c>
      <c r="I3420" s="4" t="s">
        <v>69</v>
      </c>
      <c r="J3420" s="4" t="s">
        <v>66</v>
      </c>
      <c r="K3420" s="4">
        <v>0</v>
      </c>
      <c r="L3420" s="94">
        <v>152487288</v>
      </c>
      <c r="M3420" s="94">
        <v>1067411016</v>
      </c>
    </row>
    <row r="3421" spans="3:13" x14ac:dyDescent="0.3">
      <c r="C3421" t="s">
        <v>61</v>
      </c>
      <c r="D3421" t="s">
        <v>67</v>
      </c>
      <c r="E3421" t="s">
        <v>68</v>
      </c>
      <c r="F3421" t="s">
        <v>26</v>
      </c>
      <c r="G3421" s="4">
        <v>1</v>
      </c>
      <c r="H3421" s="4" t="s">
        <v>12</v>
      </c>
      <c r="I3421" s="4" t="s">
        <v>65</v>
      </c>
      <c r="J3421" s="4" t="s">
        <v>73</v>
      </c>
      <c r="K3421" s="4">
        <v>1</v>
      </c>
      <c r="L3421" s="94">
        <v>383779</v>
      </c>
      <c r="M3421" s="94">
        <v>383779</v>
      </c>
    </row>
    <row r="3422" spans="3:13" x14ac:dyDescent="0.3">
      <c r="C3422" t="s">
        <v>61</v>
      </c>
      <c r="D3422" t="s">
        <v>67</v>
      </c>
      <c r="E3422" t="s">
        <v>63</v>
      </c>
      <c r="F3422" t="s">
        <v>25</v>
      </c>
      <c r="G3422" s="4">
        <v>22</v>
      </c>
      <c r="H3422" s="4" t="s">
        <v>79</v>
      </c>
      <c r="I3422" s="4" t="s">
        <v>69</v>
      </c>
      <c r="J3422" s="4" t="s">
        <v>66</v>
      </c>
      <c r="K3422" s="4">
        <v>0</v>
      </c>
      <c r="L3422" s="94">
        <v>-90</v>
      </c>
      <c r="M3422" s="94">
        <v>0</v>
      </c>
    </row>
    <row r="3423" spans="3:13" x14ac:dyDescent="0.3">
      <c r="C3423" t="s">
        <v>61</v>
      </c>
      <c r="D3423" t="s">
        <v>67</v>
      </c>
      <c r="E3423" t="s">
        <v>68</v>
      </c>
      <c r="F3423" t="s">
        <v>25</v>
      </c>
      <c r="G3423" s="4">
        <v>2</v>
      </c>
      <c r="H3423" s="4" t="s">
        <v>14</v>
      </c>
      <c r="I3423" s="4" t="s">
        <v>69</v>
      </c>
      <c r="J3423" s="4" t="s">
        <v>66</v>
      </c>
      <c r="K3423" s="4">
        <v>0</v>
      </c>
      <c r="L3423" s="94">
        <v>4338879</v>
      </c>
      <c r="M3423" s="94">
        <v>8677758</v>
      </c>
    </row>
    <row r="3424" spans="3:13" x14ac:dyDescent="0.3">
      <c r="C3424" t="s">
        <v>70</v>
      </c>
      <c r="D3424" t="s">
        <v>62</v>
      </c>
      <c r="E3424" t="s">
        <v>68</v>
      </c>
      <c r="F3424" t="s">
        <v>24</v>
      </c>
      <c r="G3424" s="4">
        <v>35</v>
      </c>
      <c r="I3424" s="4" t="s">
        <v>69</v>
      </c>
      <c r="J3424" s="4" t="s">
        <v>66</v>
      </c>
      <c r="K3424" s="4">
        <v>0</v>
      </c>
      <c r="L3424" s="94">
        <v>56312663</v>
      </c>
      <c r="M3424" s="94">
        <v>1970943205</v>
      </c>
    </row>
    <row r="3425" spans="3:13" x14ac:dyDescent="0.3">
      <c r="C3425" t="s">
        <v>61</v>
      </c>
      <c r="D3425" t="s">
        <v>67</v>
      </c>
      <c r="E3425" t="s">
        <v>68</v>
      </c>
      <c r="F3425" t="s">
        <v>25</v>
      </c>
      <c r="G3425" s="4">
        <v>5</v>
      </c>
      <c r="H3425" s="4" t="s">
        <v>18</v>
      </c>
      <c r="I3425" s="4" t="s">
        <v>69</v>
      </c>
      <c r="J3425" s="4" t="s">
        <v>66</v>
      </c>
      <c r="K3425" s="4">
        <v>0</v>
      </c>
      <c r="L3425" s="94">
        <v>9734351</v>
      </c>
      <c r="M3425" s="94">
        <v>48671755</v>
      </c>
    </row>
    <row r="3426" spans="3:13" x14ac:dyDescent="0.3">
      <c r="C3426" t="s">
        <v>61</v>
      </c>
      <c r="D3426" t="s">
        <v>67</v>
      </c>
      <c r="E3426" t="s">
        <v>63</v>
      </c>
      <c r="F3426" t="s">
        <v>26</v>
      </c>
      <c r="G3426" s="4">
        <v>-1</v>
      </c>
      <c r="H3426" s="4" t="s">
        <v>15</v>
      </c>
      <c r="I3426" s="4" t="s">
        <v>65</v>
      </c>
      <c r="J3426" s="4" t="s">
        <v>66</v>
      </c>
      <c r="K3426" s="4">
        <v>1</v>
      </c>
      <c r="L3426" s="94">
        <v>-2</v>
      </c>
      <c r="M3426" s="94">
        <v>0</v>
      </c>
    </row>
    <row r="3427" spans="3:13" x14ac:dyDescent="0.3">
      <c r="C3427" t="s">
        <v>61</v>
      </c>
      <c r="D3427" t="s">
        <v>67</v>
      </c>
      <c r="E3427" t="s">
        <v>63</v>
      </c>
      <c r="F3427" t="s">
        <v>26</v>
      </c>
      <c r="G3427" s="4">
        <v>3</v>
      </c>
      <c r="H3427" s="4" t="s">
        <v>12</v>
      </c>
      <c r="I3427" s="4" t="s">
        <v>65</v>
      </c>
      <c r="J3427" s="4" t="s">
        <v>73</v>
      </c>
      <c r="K3427" s="4">
        <v>1</v>
      </c>
      <c r="L3427" s="94">
        <v>-2959</v>
      </c>
      <c r="M3427" s="94">
        <v>0</v>
      </c>
    </row>
    <row r="3428" spans="3:13" x14ac:dyDescent="0.3">
      <c r="C3428" t="s">
        <v>70</v>
      </c>
      <c r="D3428" t="s">
        <v>67</v>
      </c>
      <c r="E3428" t="s">
        <v>63</v>
      </c>
      <c r="F3428" t="s">
        <v>25</v>
      </c>
      <c r="G3428" s="4">
        <v>19</v>
      </c>
      <c r="H3428" s="4" t="s">
        <v>79</v>
      </c>
      <c r="I3428" s="4" t="s">
        <v>69</v>
      </c>
      <c r="J3428" s="4" t="s">
        <v>66</v>
      </c>
      <c r="K3428" s="4">
        <v>0</v>
      </c>
      <c r="L3428" s="94">
        <v>-31588</v>
      </c>
      <c r="M3428" s="94">
        <v>0</v>
      </c>
    </row>
    <row r="3429" spans="3:13" x14ac:dyDescent="0.3">
      <c r="C3429" t="s">
        <v>71</v>
      </c>
      <c r="D3429" t="s">
        <v>67</v>
      </c>
      <c r="E3429" t="s">
        <v>68</v>
      </c>
      <c r="F3429" t="s">
        <v>26</v>
      </c>
      <c r="G3429" s="4">
        <v>-1</v>
      </c>
      <c r="H3429" s="4" t="s">
        <v>14</v>
      </c>
      <c r="I3429" s="4" t="s">
        <v>69</v>
      </c>
      <c r="J3429" s="4" t="s">
        <v>73</v>
      </c>
      <c r="K3429" s="4">
        <v>1</v>
      </c>
      <c r="L3429" s="94">
        <v>4912165</v>
      </c>
      <c r="M3429" s="94">
        <v>0</v>
      </c>
    </row>
    <row r="3430" spans="3:13" x14ac:dyDescent="0.3">
      <c r="C3430" t="s">
        <v>70</v>
      </c>
      <c r="D3430" t="s">
        <v>67</v>
      </c>
      <c r="E3430" t="s">
        <v>68</v>
      </c>
      <c r="F3430" t="s">
        <v>25</v>
      </c>
      <c r="G3430" s="4">
        <v>4</v>
      </c>
      <c r="H3430" s="4" t="s">
        <v>14</v>
      </c>
      <c r="I3430" s="4" t="s">
        <v>69</v>
      </c>
      <c r="J3430" s="4" t="s">
        <v>66</v>
      </c>
      <c r="K3430" s="4">
        <v>1</v>
      </c>
      <c r="L3430" s="94">
        <v>275597</v>
      </c>
      <c r="M3430" s="94">
        <v>1102388</v>
      </c>
    </row>
    <row r="3431" spans="3:13" x14ac:dyDescent="0.3">
      <c r="C3431" t="s">
        <v>61</v>
      </c>
      <c r="D3431" t="s">
        <v>67</v>
      </c>
      <c r="E3431" t="s">
        <v>68</v>
      </c>
      <c r="F3431" t="s">
        <v>26</v>
      </c>
      <c r="G3431" s="4">
        <v>11</v>
      </c>
      <c r="H3431" s="4" t="s">
        <v>15</v>
      </c>
      <c r="I3431" s="4" t="s">
        <v>69</v>
      </c>
      <c r="J3431" s="4" t="s">
        <v>73</v>
      </c>
      <c r="K3431" s="4">
        <v>1</v>
      </c>
      <c r="L3431" s="94">
        <v>34489109</v>
      </c>
      <c r="M3431" s="94">
        <v>379380199</v>
      </c>
    </row>
    <row r="3432" spans="3:13" x14ac:dyDescent="0.3">
      <c r="C3432" t="s">
        <v>70</v>
      </c>
      <c r="D3432" t="s">
        <v>67</v>
      </c>
      <c r="E3432" t="s">
        <v>68</v>
      </c>
      <c r="F3432" t="s">
        <v>72</v>
      </c>
      <c r="G3432" s="4">
        <v>0</v>
      </c>
      <c r="H3432" s="4" t="s">
        <v>83</v>
      </c>
      <c r="I3432" s="4" t="s">
        <v>69</v>
      </c>
      <c r="J3432" s="4" t="s">
        <v>66</v>
      </c>
      <c r="K3432" s="4">
        <v>0</v>
      </c>
      <c r="L3432" s="94">
        <v>6310</v>
      </c>
      <c r="M3432" s="94">
        <v>0</v>
      </c>
    </row>
    <row r="3433" spans="3:13" x14ac:dyDescent="0.3">
      <c r="C3433" t="s">
        <v>70</v>
      </c>
      <c r="D3433" t="s">
        <v>67</v>
      </c>
      <c r="E3433" t="s">
        <v>63</v>
      </c>
      <c r="F3433" t="s">
        <v>25</v>
      </c>
      <c r="G3433" s="4">
        <v>5</v>
      </c>
      <c r="H3433" s="4" t="s">
        <v>14</v>
      </c>
      <c r="I3433" s="4" t="s">
        <v>69</v>
      </c>
      <c r="J3433" s="4" t="s">
        <v>73</v>
      </c>
      <c r="K3433" s="4">
        <v>1</v>
      </c>
      <c r="L3433" s="94">
        <v>-2704</v>
      </c>
      <c r="M3433" s="94">
        <v>0</v>
      </c>
    </row>
    <row r="3434" spans="3:13" x14ac:dyDescent="0.3">
      <c r="C3434" t="s">
        <v>70</v>
      </c>
      <c r="D3434" t="s">
        <v>67</v>
      </c>
      <c r="E3434" t="s">
        <v>63</v>
      </c>
      <c r="F3434" t="s">
        <v>25</v>
      </c>
      <c r="G3434" s="4">
        <v>7</v>
      </c>
      <c r="H3434" s="4" t="s">
        <v>14</v>
      </c>
      <c r="I3434" s="4" t="s">
        <v>69</v>
      </c>
      <c r="J3434" s="4" t="s">
        <v>66</v>
      </c>
      <c r="K3434" s="4">
        <v>0</v>
      </c>
      <c r="L3434" s="94">
        <v>-76783</v>
      </c>
      <c r="M3434" s="94">
        <v>0</v>
      </c>
    </row>
    <row r="3435" spans="3:13" x14ac:dyDescent="0.3">
      <c r="C3435" t="s">
        <v>61</v>
      </c>
      <c r="D3435" t="s">
        <v>67</v>
      </c>
      <c r="E3435" t="s">
        <v>63</v>
      </c>
      <c r="F3435" t="s">
        <v>72</v>
      </c>
      <c r="G3435" s="4">
        <v>2</v>
      </c>
      <c r="H3435" s="4" t="s">
        <v>13</v>
      </c>
      <c r="I3435" s="4" t="s">
        <v>69</v>
      </c>
      <c r="J3435" s="4" t="s">
        <v>66</v>
      </c>
      <c r="K3435" s="4">
        <v>0</v>
      </c>
      <c r="L3435" s="94">
        <v>-103</v>
      </c>
      <c r="M3435" s="94">
        <v>0</v>
      </c>
    </row>
    <row r="3436" spans="3:13" x14ac:dyDescent="0.3">
      <c r="C3436" t="s">
        <v>61</v>
      </c>
      <c r="D3436" t="s">
        <v>67</v>
      </c>
      <c r="E3436" t="s">
        <v>63</v>
      </c>
      <c r="F3436" t="s">
        <v>25</v>
      </c>
      <c r="G3436" s="4">
        <v>12</v>
      </c>
      <c r="H3436" s="4" t="s">
        <v>12</v>
      </c>
      <c r="I3436" s="4" t="s">
        <v>69</v>
      </c>
      <c r="J3436" s="4" t="s">
        <v>66</v>
      </c>
      <c r="K3436" s="4">
        <v>1</v>
      </c>
      <c r="L3436" s="94">
        <v>-12474</v>
      </c>
      <c r="M3436" s="94">
        <v>0</v>
      </c>
    </row>
    <row r="3437" spans="3:13" x14ac:dyDescent="0.3">
      <c r="C3437" t="s">
        <v>70</v>
      </c>
      <c r="D3437" t="s">
        <v>62</v>
      </c>
      <c r="E3437" t="s">
        <v>68</v>
      </c>
      <c r="F3437" t="s">
        <v>24</v>
      </c>
      <c r="G3437" s="4">
        <v>33</v>
      </c>
      <c r="I3437" s="4" t="s">
        <v>65</v>
      </c>
      <c r="J3437" s="4" t="s">
        <v>66</v>
      </c>
      <c r="K3437" s="4">
        <v>1</v>
      </c>
      <c r="L3437" s="94">
        <v>1313588</v>
      </c>
      <c r="M3437" s="94">
        <v>43348404</v>
      </c>
    </row>
    <row r="3438" spans="3:13" x14ac:dyDescent="0.3">
      <c r="C3438" t="s">
        <v>70</v>
      </c>
      <c r="D3438" t="s">
        <v>67</v>
      </c>
      <c r="E3438" t="s">
        <v>63</v>
      </c>
      <c r="F3438" t="s">
        <v>72</v>
      </c>
      <c r="G3438" s="4">
        <v>0</v>
      </c>
      <c r="H3438" s="4" t="s">
        <v>82</v>
      </c>
      <c r="I3438" s="4" t="s">
        <v>69</v>
      </c>
      <c r="J3438" s="4" t="s">
        <v>66</v>
      </c>
      <c r="K3438" s="4">
        <v>0</v>
      </c>
      <c r="L3438" s="94">
        <v>-9725</v>
      </c>
      <c r="M3438" s="94">
        <v>0</v>
      </c>
    </row>
    <row r="3439" spans="3:13" x14ac:dyDescent="0.3">
      <c r="C3439" t="s">
        <v>71</v>
      </c>
      <c r="D3439" t="s">
        <v>67</v>
      </c>
      <c r="E3439" t="s">
        <v>63</v>
      </c>
      <c r="F3439" t="s">
        <v>25</v>
      </c>
      <c r="G3439" s="4">
        <v>0</v>
      </c>
      <c r="H3439" s="4" t="s">
        <v>75</v>
      </c>
      <c r="I3439" s="4" t="s">
        <v>69</v>
      </c>
      <c r="J3439" s="4" t="s">
        <v>66</v>
      </c>
      <c r="K3439" s="4">
        <v>0</v>
      </c>
      <c r="L3439" s="94">
        <v>-249111</v>
      </c>
      <c r="M3439" s="94">
        <v>0</v>
      </c>
    </row>
    <row r="3440" spans="3:13" x14ac:dyDescent="0.3">
      <c r="C3440" t="s">
        <v>70</v>
      </c>
      <c r="D3440" t="s">
        <v>62</v>
      </c>
      <c r="E3440" t="s">
        <v>68</v>
      </c>
      <c r="F3440" t="s">
        <v>25</v>
      </c>
      <c r="G3440" s="4">
        <v>0</v>
      </c>
      <c r="I3440" s="4" t="s">
        <v>69</v>
      </c>
      <c r="J3440" s="4" t="s">
        <v>66</v>
      </c>
      <c r="K3440" s="4">
        <v>0</v>
      </c>
      <c r="L3440" s="94">
        <v>17897</v>
      </c>
      <c r="M3440" s="94">
        <v>0</v>
      </c>
    </row>
    <row r="3441" spans="3:13" x14ac:dyDescent="0.3">
      <c r="C3441" t="s">
        <v>70</v>
      </c>
      <c r="D3441" t="s">
        <v>67</v>
      </c>
      <c r="E3441" t="s">
        <v>63</v>
      </c>
      <c r="F3441" t="s">
        <v>25</v>
      </c>
      <c r="G3441" s="4">
        <v>5</v>
      </c>
      <c r="H3441" s="4" t="s">
        <v>78</v>
      </c>
      <c r="I3441" s="4" t="s">
        <v>69</v>
      </c>
      <c r="J3441" s="4" t="s">
        <v>66</v>
      </c>
      <c r="K3441" s="4">
        <v>0</v>
      </c>
      <c r="L3441" s="94">
        <v>-7699</v>
      </c>
      <c r="M3441" s="94">
        <v>0</v>
      </c>
    </row>
    <row r="3442" spans="3:13" x14ac:dyDescent="0.3">
      <c r="C3442" t="s">
        <v>61</v>
      </c>
      <c r="D3442" t="s">
        <v>67</v>
      </c>
      <c r="E3442" t="s">
        <v>63</v>
      </c>
      <c r="F3442" t="s">
        <v>25</v>
      </c>
      <c r="G3442" s="4">
        <v>5</v>
      </c>
      <c r="H3442" s="4" t="s">
        <v>79</v>
      </c>
      <c r="I3442" s="4" t="s">
        <v>69</v>
      </c>
      <c r="J3442" s="4" t="s">
        <v>66</v>
      </c>
      <c r="K3442" s="4">
        <v>0</v>
      </c>
      <c r="L3442" s="94">
        <v>-3060</v>
      </c>
      <c r="M3442" s="94">
        <v>0</v>
      </c>
    </row>
    <row r="3443" spans="3:13" x14ac:dyDescent="0.3">
      <c r="C3443" t="s">
        <v>61</v>
      </c>
      <c r="D3443" t="s">
        <v>67</v>
      </c>
      <c r="E3443" t="s">
        <v>68</v>
      </c>
      <c r="F3443" t="s">
        <v>72</v>
      </c>
      <c r="G3443" s="4">
        <v>1</v>
      </c>
      <c r="H3443" s="4" t="s">
        <v>82</v>
      </c>
      <c r="I3443" s="4" t="s">
        <v>65</v>
      </c>
      <c r="J3443" s="4" t="s">
        <v>66</v>
      </c>
      <c r="K3443" s="4">
        <v>1</v>
      </c>
      <c r="L3443" s="94">
        <v>76009</v>
      </c>
      <c r="M3443" s="94">
        <v>76009</v>
      </c>
    </row>
    <row r="3444" spans="3:13" x14ac:dyDescent="0.3">
      <c r="C3444" t="s">
        <v>71</v>
      </c>
      <c r="D3444" t="s">
        <v>67</v>
      </c>
      <c r="E3444" t="s">
        <v>63</v>
      </c>
      <c r="F3444" t="s">
        <v>25</v>
      </c>
      <c r="G3444" s="4">
        <v>9</v>
      </c>
      <c r="H3444" s="4" t="s">
        <v>14</v>
      </c>
      <c r="I3444" s="4" t="s">
        <v>69</v>
      </c>
      <c r="J3444" s="4" t="s">
        <v>66</v>
      </c>
      <c r="K3444" s="4">
        <v>0</v>
      </c>
      <c r="L3444" s="94">
        <v>-5125</v>
      </c>
      <c r="M3444" s="94">
        <v>0</v>
      </c>
    </row>
    <row r="3445" spans="3:13" x14ac:dyDescent="0.3">
      <c r="C3445" t="s">
        <v>61</v>
      </c>
      <c r="D3445" t="s">
        <v>67</v>
      </c>
      <c r="E3445" t="s">
        <v>63</v>
      </c>
      <c r="F3445" t="s">
        <v>72</v>
      </c>
      <c r="G3445" s="4">
        <v>7</v>
      </c>
      <c r="H3445" s="4" t="s">
        <v>75</v>
      </c>
      <c r="I3445" s="4" t="s">
        <v>69</v>
      </c>
      <c r="J3445" s="4" t="s">
        <v>66</v>
      </c>
      <c r="K3445" s="4">
        <v>0</v>
      </c>
      <c r="L3445" s="94">
        <v>-5255</v>
      </c>
      <c r="M3445" s="94">
        <v>0</v>
      </c>
    </row>
    <row r="3446" spans="3:13" x14ac:dyDescent="0.3">
      <c r="C3446" t="s">
        <v>70</v>
      </c>
      <c r="D3446" t="s">
        <v>67</v>
      </c>
      <c r="E3446" t="s">
        <v>63</v>
      </c>
      <c r="F3446" t="s">
        <v>26</v>
      </c>
      <c r="G3446" s="4">
        <v>-1</v>
      </c>
      <c r="H3446" s="4" t="s">
        <v>76</v>
      </c>
      <c r="I3446" s="4" t="s">
        <v>69</v>
      </c>
      <c r="J3446" s="4" t="s">
        <v>66</v>
      </c>
      <c r="K3446" s="4">
        <v>0</v>
      </c>
      <c r="L3446" s="94">
        <v>-582273</v>
      </c>
      <c r="M3446" s="94">
        <v>0</v>
      </c>
    </row>
    <row r="3447" spans="3:13" x14ac:dyDescent="0.3">
      <c r="C3447" t="s">
        <v>70</v>
      </c>
      <c r="D3447" t="s">
        <v>67</v>
      </c>
      <c r="E3447" t="s">
        <v>63</v>
      </c>
      <c r="F3447" t="s">
        <v>25</v>
      </c>
      <c r="G3447" s="4">
        <v>10</v>
      </c>
      <c r="H3447" s="4" t="s">
        <v>77</v>
      </c>
      <c r="I3447" s="4" t="s">
        <v>69</v>
      </c>
      <c r="J3447" s="4" t="s">
        <v>66</v>
      </c>
      <c r="K3447" s="4">
        <v>0</v>
      </c>
      <c r="L3447" s="94">
        <v>-28274</v>
      </c>
      <c r="M3447" s="94">
        <v>0</v>
      </c>
    </row>
    <row r="3448" spans="3:13" x14ac:dyDescent="0.3">
      <c r="C3448" t="s">
        <v>61</v>
      </c>
      <c r="D3448" t="s">
        <v>67</v>
      </c>
      <c r="E3448" t="s">
        <v>68</v>
      </c>
      <c r="F3448" t="s">
        <v>26</v>
      </c>
      <c r="G3448" s="4">
        <v>8</v>
      </c>
      <c r="H3448" s="4" t="s">
        <v>14</v>
      </c>
      <c r="I3448" s="4" t="s">
        <v>69</v>
      </c>
      <c r="J3448" s="4" t="s">
        <v>73</v>
      </c>
      <c r="K3448" s="4">
        <v>1</v>
      </c>
      <c r="L3448" s="94">
        <v>191504</v>
      </c>
      <c r="M3448" s="94">
        <v>1532032</v>
      </c>
    </row>
    <row r="3449" spans="3:13" x14ac:dyDescent="0.3">
      <c r="C3449" t="s">
        <v>61</v>
      </c>
      <c r="D3449" t="s">
        <v>67</v>
      </c>
      <c r="E3449" t="s">
        <v>68</v>
      </c>
      <c r="F3449" t="s">
        <v>25</v>
      </c>
      <c r="G3449" s="4">
        <v>11</v>
      </c>
      <c r="H3449" s="4" t="s">
        <v>64</v>
      </c>
      <c r="I3449" s="4" t="s">
        <v>69</v>
      </c>
      <c r="J3449" s="4" t="s">
        <v>66</v>
      </c>
      <c r="K3449" s="4">
        <v>0</v>
      </c>
      <c r="L3449" s="94">
        <v>1168741</v>
      </c>
      <c r="M3449" s="94">
        <v>12856151</v>
      </c>
    </row>
    <row r="3450" spans="3:13" x14ac:dyDescent="0.3">
      <c r="C3450" t="s">
        <v>61</v>
      </c>
      <c r="D3450" t="s">
        <v>67</v>
      </c>
      <c r="E3450" t="s">
        <v>63</v>
      </c>
      <c r="F3450" t="s">
        <v>72</v>
      </c>
      <c r="G3450" s="4">
        <v>4</v>
      </c>
      <c r="H3450" s="4" t="s">
        <v>15</v>
      </c>
      <c r="I3450" s="4" t="s">
        <v>69</v>
      </c>
      <c r="J3450" s="4" t="s">
        <v>66</v>
      </c>
      <c r="K3450" s="4">
        <v>0</v>
      </c>
      <c r="L3450" s="94">
        <v>-806</v>
      </c>
      <c r="M3450" s="94">
        <v>0</v>
      </c>
    </row>
    <row r="3451" spans="3:13" x14ac:dyDescent="0.3">
      <c r="C3451" t="s">
        <v>70</v>
      </c>
      <c r="D3451" t="s">
        <v>67</v>
      </c>
      <c r="E3451" t="s">
        <v>68</v>
      </c>
      <c r="F3451" t="s">
        <v>72</v>
      </c>
      <c r="G3451" s="4">
        <v>5</v>
      </c>
      <c r="H3451" s="4" t="s">
        <v>82</v>
      </c>
      <c r="I3451" s="4" t="s">
        <v>69</v>
      </c>
      <c r="J3451" s="4" t="s">
        <v>66</v>
      </c>
      <c r="K3451" s="4">
        <v>0</v>
      </c>
      <c r="L3451" s="94">
        <v>2107756</v>
      </c>
      <c r="M3451" s="94">
        <v>10538780</v>
      </c>
    </row>
    <row r="3452" spans="3:13" x14ac:dyDescent="0.3">
      <c r="C3452" t="s">
        <v>71</v>
      </c>
      <c r="D3452" t="s">
        <v>67</v>
      </c>
      <c r="E3452" t="s">
        <v>68</v>
      </c>
      <c r="F3452" t="s">
        <v>25</v>
      </c>
      <c r="G3452" s="4">
        <v>8</v>
      </c>
      <c r="H3452" s="4" t="s">
        <v>12</v>
      </c>
      <c r="I3452" s="4" t="s">
        <v>69</v>
      </c>
      <c r="J3452" s="4" t="s">
        <v>66</v>
      </c>
      <c r="K3452" s="4">
        <v>1</v>
      </c>
      <c r="L3452" s="94">
        <v>259380</v>
      </c>
      <c r="M3452" s="94">
        <v>2075040</v>
      </c>
    </row>
    <row r="3453" spans="3:13" x14ac:dyDescent="0.3">
      <c r="C3453" t="s">
        <v>70</v>
      </c>
      <c r="D3453" t="s">
        <v>67</v>
      </c>
      <c r="E3453" t="s">
        <v>68</v>
      </c>
      <c r="F3453" t="s">
        <v>26</v>
      </c>
      <c r="G3453" s="4">
        <v>2</v>
      </c>
      <c r="H3453" s="4" t="s">
        <v>64</v>
      </c>
      <c r="I3453" s="4" t="s">
        <v>69</v>
      </c>
      <c r="J3453" s="4" t="s">
        <v>66</v>
      </c>
      <c r="K3453" s="4">
        <v>0</v>
      </c>
      <c r="L3453" s="94">
        <v>3662616</v>
      </c>
      <c r="M3453" s="94">
        <v>7325232</v>
      </c>
    </row>
    <row r="3454" spans="3:13" x14ac:dyDescent="0.3">
      <c r="C3454" t="s">
        <v>70</v>
      </c>
      <c r="D3454" t="s">
        <v>67</v>
      </c>
      <c r="E3454" t="s">
        <v>63</v>
      </c>
      <c r="F3454" t="s">
        <v>26</v>
      </c>
      <c r="G3454" s="4">
        <v>0</v>
      </c>
      <c r="H3454" s="4" t="s">
        <v>82</v>
      </c>
      <c r="I3454" s="4" t="s">
        <v>69</v>
      </c>
      <c r="J3454" s="4" t="s">
        <v>66</v>
      </c>
      <c r="K3454" s="4">
        <v>0</v>
      </c>
      <c r="L3454" s="94">
        <v>-130286</v>
      </c>
      <c r="M3454" s="94">
        <v>0</v>
      </c>
    </row>
    <row r="3455" spans="3:13" x14ac:dyDescent="0.3">
      <c r="C3455" t="s">
        <v>70</v>
      </c>
      <c r="D3455" t="s">
        <v>67</v>
      </c>
      <c r="E3455" t="s">
        <v>63</v>
      </c>
      <c r="F3455" t="s">
        <v>25</v>
      </c>
      <c r="G3455" s="4">
        <v>0</v>
      </c>
      <c r="H3455" s="4" t="s">
        <v>76</v>
      </c>
      <c r="I3455" s="4" t="s">
        <v>69</v>
      </c>
      <c r="J3455" s="4" t="s">
        <v>66</v>
      </c>
      <c r="K3455" s="4">
        <v>0</v>
      </c>
      <c r="L3455" s="94">
        <v>-536</v>
      </c>
      <c r="M3455" s="94">
        <v>0</v>
      </c>
    </row>
    <row r="3456" spans="3:13" x14ac:dyDescent="0.3">
      <c r="C3456" t="s">
        <v>61</v>
      </c>
      <c r="D3456" t="s">
        <v>67</v>
      </c>
      <c r="E3456" t="s">
        <v>63</v>
      </c>
      <c r="F3456" t="s">
        <v>25</v>
      </c>
      <c r="G3456" s="4">
        <v>0</v>
      </c>
      <c r="H3456" s="4" t="s">
        <v>82</v>
      </c>
      <c r="I3456" s="4" t="s">
        <v>69</v>
      </c>
      <c r="J3456" s="4" t="s">
        <v>66</v>
      </c>
      <c r="K3456" s="4">
        <v>0</v>
      </c>
      <c r="L3456" s="94">
        <v>-16</v>
      </c>
      <c r="M3456" s="94">
        <v>0</v>
      </c>
    </row>
    <row r="3457" spans="3:13" x14ac:dyDescent="0.3">
      <c r="C3457" t="s">
        <v>70</v>
      </c>
      <c r="D3457" t="s">
        <v>67</v>
      </c>
      <c r="E3457" t="s">
        <v>68</v>
      </c>
      <c r="F3457" t="s">
        <v>26</v>
      </c>
      <c r="G3457" s="4">
        <v>11</v>
      </c>
      <c r="H3457" s="4" t="s">
        <v>76</v>
      </c>
      <c r="I3457" s="4" t="s">
        <v>69</v>
      </c>
      <c r="J3457" s="4" t="s">
        <v>66</v>
      </c>
      <c r="K3457" s="4">
        <v>0</v>
      </c>
      <c r="L3457" s="94">
        <v>98611</v>
      </c>
      <c r="M3457" s="94">
        <v>1084721</v>
      </c>
    </row>
    <row r="3458" spans="3:13" x14ac:dyDescent="0.3">
      <c r="C3458" t="s">
        <v>61</v>
      </c>
      <c r="D3458" t="s">
        <v>67</v>
      </c>
      <c r="E3458" t="s">
        <v>63</v>
      </c>
      <c r="F3458" t="s">
        <v>25</v>
      </c>
      <c r="G3458" s="4">
        <v>9</v>
      </c>
      <c r="H3458" s="4" t="s">
        <v>18</v>
      </c>
      <c r="I3458" s="4" t="s">
        <v>69</v>
      </c>
      <c r="J3458" s="4" t="s">
        <v>66</v>
      </c>
      <c r="K3458" s="4">
        <v>0</v>
      </c>
      <c r="L3458" s="94">
        <v>-12793</v>
      </c>
      <c r="M3458" s="94">
        <v>0</v>
      </c>
    </row>
    <row r="3459" spans="3:13" x14ac:dyDescent="0.3">
      <c r="C3459" t="s">
        <v>71</v>
      </c>
      <c r="D3459" t="s">
        <v>67</v>
      </c>
      <c r="E3459" t="s">
        <v>63</v>
      </c>
      <c r="F3459" t="s">
        <v>25</v>
      </c>
      <c r="G3459" s="4">
        <v>3</v>
      </c>
      <c r="H3459" s="4" t="s">
        <v>64</v>
      </c>
      <c r="I3459" s="4" t="s">
        <v>69</v>
      </c>
      <c r="J3459" s="4" t="s">
        <v>66</v>
      </c>
      <c r="K3459" s="4">
        <v>0</v>
      </c>
      <c r="L3459" s="94">
        <v>-21380</v>
      </c>
      <c r="M3459" s="94">
        <v>0</v>
      </c>
    </row>
    <row r="3460" spans="3:13" x14ac:dyDescent="0.3">
      <c r="C3460" t="s">
        <v>71</v>
      </c>
      <c r="D3460" t="s">
        <v>67</v>
      </c>
      <c r="E3460" t="s">
        <v>63</v>
      </c>
      <c r="F3460" t="s">
        <v>25</v>
      </c>
      <c r="G3460" s="4">
        <v>-1</v>
      </c>
      <c r="H3460" s="4" t="s">
        <v>14</v>
      </c>
      <c r="I3460" s="4" t="s">
        <v>69</v>
      </c>
      <c r="J3460" s="4" t="s">
        <v>66</v>
      </c>
      <c r="K3460" s="4">
        <v>1</v>
      </c>
      <c r="L3460" s="94">
        <v>-307</v>
      </c>
      <c r="M3460" s="94">
        <v>0</v>
      </c>
    </row>
    <row r="3461" spans="3:13" x14ac:dyDescent="0.3">
      <c r="C3461" t="s">
        <v>70</v>
      </c>
      <c r="D3461" t="s">
        <v>67</v>
      </c>
      <c r="E3461" t="s">
        <v>68</v>
      </c>
      <c r="F3461" t="s">
        <v>26</v>
      </c>
      <c r="G3461" s="4">
        <v>4</v>
      </c>
      <c r="H3461" s="4" t="s">
        <v>18</v>
      </c>
      <c r="I3461" s="4" t="s">
        <v>65</v>
      </c>
      <c r="J3461" s="4" t="s">
        <v>66</v>
      </c>
      <c r="K3461" s="4">
        <v>1</v>
      </c>
      <c r="L3461" s="94">
        <v>47227</v>
      </c>
      <c r="M3461" s="94">
        <v>188908</v>
      </c>
    </row>
    <row r="3462" spans="3:13" x14ac:dyDescent="0.3">
      <c r="C3462" t="s">
        <v>71</v>
      </c>
      <c r="D3462" t="s">
        <v>67</v>
      </c>
      <c r="E3462" t="s">
        <v>63</v>
      </c>
      <c r="F3462" t="s">
        <v>26</v>
      </c>
      <c r="G3462" s="4">
        <v>0</v>
      </c>
      <c r="H3462" s="4" t="s">
        <v>76</v>
      </c>
      <c r="I3462" s="4" t="s">
        <v>69</v>
      </c>
      <c r="J3462" s="4" t="s">
        <v>66</v>
      </c>
      <c r="K3462" s="4">
        <v>0</v>
      </c>
      <c r="L3462" s="94">
        <v>-233592</v>
      </c>
      <c r="M3462" s="94">
        <v>0</v>
      </c>
    </row>
    <row r="3463" spans="3:13" x14ac:dyDescent="0.3">
      <c r="C3463" t="s">
        <v>71</v>
      </c>
      <c r="D3463" t="s">
        <v>67</v>
      </c>
      <c r="E3463" t="s">
        <v>68</v>
      </c>
      <c r="F3463" t="s">
        <v>26</v>
      </c>
      <c r="G3463" s="4">
        <v>3</v>
      </c>
      <c r="H3463" s="4" t="s">
        <v>77</v>
      </c>
      <c r="I3463" s="4" t="s">
        <v>69</v>
      </c>
      <c r="J3463" s="4" t="s">
        <v>66</v>
      </c>
      <c r="K3463" s="4">
        <v>0</v>
      </c>
      <c r="L3463" s="94">
        <v>294341</v>
      </c>
      <c r="M3463" s="94">
        <v>883023</v>
      </c>
    </row>
    <row r="3464" spans="3:13" x14ac:dyDescent="0.3">
      <c r="C3464" t="s">
        <v>61</v>
      </c>
      <c r="D3464" t="s">
        <v>67</v>
      </c>
      <c r="E3464" t="s">
        <v>68</v>
      </c>
      <c r="F3464" t="s">
        <v>72</v>
      </c>
      <c r="G3464" s="4">
        <v>3</v>
      </c>
      <c r="H3464" s="4" t="s">
        <v>17</v>
      </c>
      <c r="I3464" s="4" t="s">
        <v>65</v>
      </c>
      <c r="J3464" s="4" t="s">
        <v>73</v>
      </c>
      <c r="K3464" s="4">
        <v>1</v>
      </c>
      <c r="L3464" s="94">
        <v>95403</v>
      </c>
      <c r="M3464" s="94">
        <v>286209</v>
      </c>
    </row>
    <row r="3465" spans="3:13" x14ac:dyDescent="0.3">
      <c r="C3465" t="s">
        <v>61</v>
      </c>
      <c r="D3465" t="s">
        <v>67</v>
      </c>
      <c r="E3465" t="s">
        <v>63</v>
      </c>
      <c r="F3465" t="s">
        <v>26</v>
      </c>
      <c r="G3465" s="4">
        <v>4</v>
      </c>
      <c r="H3465" s="4" t="s">
        <v>14</v>
      </c>
      <c r="I3465" s="4" t="s">
        <v>69</v>
      </c>
      <c r="J3465" s="4" t="s">
        <v>66</v>
      </c>
      <c r="K3465" s="4">
        <v>0</v>
      </c>
      <c r="L3465" s="94">
        <v>-124512</v>
      </c>
      <c r="M3465" s="94">
        <v>0</v>
      </c>
    </row>
    <row r="3466" spans="3:13" x14ac:dyDescent="0.3">
      <c r="C3466" t="s">
        <v>70</v>
      </c>
      <c r="D3466" t="s">
        <v>67</v>
      </c>
      <c r="E3466" t="s">
        <v>63</v>
      </c>
      <c r="F3466" t="s">
        <v>25</v>
      </c>
      <c r="G3466" s="4">
        <v>6</v>
      </c>
      <c r="H3466" s="4" t="s">
        <v>75</v>
      </c>
      <c r="I3466" s="4" t="s">
        <v>69</v>
      </c>
      <c r="J3466" s="4" t="s">
        <v>66</v>
      </c>
      <c r="K3466" s="4">
        <v>0</v>
      </c>
      <c r="L3466" s="94">
        <v>-247501</v>
      </c>
      <c r="M3466" s="94">
        <v>0</v>
      </c>
    </row>
    <row r="3467" spans="3:13" x14ac:dyDescent="0.3">
      <c r="C3467" t="s">
        <v>61</v>
      </c>
      <c r="D3467" t="s">
        <v>67</v>
      </c>
      <c r="E3467" t="s">
        <v>68</v>
      </c>
      <c r="F3467" t="s">
        <v>72</v>
      </c>
      <c r="G3467" s="4">
        <v>1</v>
      </c>
      <c r="H3467" s="4" t="s">
        <v>79</v>
      </c>
      <c r="I3467" s="4" t="s">
        <v>69</v>
      </c>
      <c r="J3467" s="4" t="s">
        <v>66</v>
      </c>
      <c r="K3467" s="4">
        <v>0</v>
      </c>
      <c r="L3467" s="94">
        <v>1805735</v>
      </c>
      <c r="M3467" s="94">
        <v>1805735</v>
      </c>
    </row>
    <row r="3468" spans="3:13" x14ac:dyDescent="0.3">
      <c r="C3468" t="s">
        <v>70</v>
      </c>
      <c r="D3468" t="s">
        <v>67</v>
      </c>
      <c r="E3468" t="s">
        <v>63</v>
      </c>
      <c r="F3468" t="s">
        <v>26</v>
      </c>
      <c r="G3468" s="4">
        <v>3</v>
      </c>
      <c r="H3468" s="4" t="s">
        <v>76</v>
      </c>
      <c r="I3468" s="4" t="s">
        <v>69</v>
      </c>
      <c r="J3468" s="4" t="s">
        <v>66</v>
      </c>
      <c r="K3468" s="4">
        <v>0</v>
      </c>
      <c r="L3468" s="94">
        <v>-433952</v>
      </c>
      <c r="M3468" s="94">
        <v>0</v>
      </c>
    </row>
    <row r="3469" spans="3:13" x14ac:dyDescent="0.3">
      <c r="C3469" t="s">
        <v>71</v>
      </c>
      <c r="D3469" t="s">
        <v>62</v>
      </c>
      <c r="E3469" t="s">
        <v>68</v>
      </c>
      <c r="F3469" t="s">
        <v>25</v>
      </c>
      <c r="G3469" s="4">
        <v>-1</v>
      </c>
      <c r="I3469" s="4" t="s">
        <v>69</v>
      </c>
      <c r="J3469" s="4" t="s">
        <v>66</v>
      </c>
      <c r="K3469" s="4">
        <v>0</v>
      </c>
      <c r="L3469" s="94">
        <v>13</v>
      </c>
      <c r="M3469" s="94">
        <v>0</v>
      </c>
    </row>
    <row r="3470" spans="3:13" x14ac:dyDescent="0.3">
      <c r="C3470" t="s">
        <v>71</v>
      </c>
      <c r="D3470" t="s">
        <v>67</v>
      </c>
      <c r="E3470" t="s">
        <v>63</v>
      </c>
      <c r="F3470" t="s">
        <v>26</v>
      </c>
      <c r="G3470" s="4">
        <v>2</v>
      </c>
      <c r="H3470" s="4" t="s">
        <v>78</v>
      </c>
      <c r="I3470" s="4" t="s">
        <v>69</v>
      </c>
      <c r="J3470" s="4" t="s">
        <v>66</v>
      </c>
      <c r="K3470" s="4">
        <v>0</v>
      </c>
      <c r="L3470" s="94">
        <v>-75988</v>
      </c>
      <c r="M3470" s="94">
        <v>0</v>
      </c>
    </row>
    <row r="3471" spans="3:13" x14ac:dyDescent="0.3">
      <c r="C3471" t="s">
        <v>61</v>
      </c>
      <c r="D3471" t="s">
        <v>67</v>
      </c>
      <c r="E3471" t="s">
        <v>68</v>
      </c>
      <c r="F3471" t="s">
        <v>72</v>
      </c>
      <c r="G3471" s="4">
        <v>-4</v>
      </c>
      <c r="H3471" s="4" t="s">
        <v>83</v>
      </c>
      <c r="I3471" s="4" t="s">
        <v>69</v>
      </c>
      <c r="J3471" s="4" t="s">
        <v>66</v>
      </c>
      <c r="K3471" s="4">
        <v>0</v>
      </c>
      <c r="L3471" s="94">
        <v>38</v>
      </c>
      <c r="M3471" s="94">
        <v>0</v>
      </c>
    </row>
    <row r="3472" spans="3:13" x14ac:dyDescent="0.3">
      <c r="C3472" t="s">
        <v>70</v>
      </c>
      <c r="D3472" t="s">
        <v>62</v>
      </c>
      <c r="E3472" t="s">
        <v>68</v>
      </c>
      <c r="F3472" t="s">
        <v>24</v>
      </c>
      <c r="G3472" s="4">
        <v>37</v>
      </c>
      <c r="I3472" s="4" t="s">
        <v>65</v>
      </c>
      <c r="J3472" s="4" t="s">
        <v>66</v>
      </c>
      <c r="K3472" s="4">
        <v>1</v>
      </c>
      <c r="L3472" s="94">
        <v>1679056</v>
      </c>
      <c r="M3472" s="94">
        <v>62125072</v>
      </c>
    </row>
    <row r="3473" spans="3:13" x14ac:dyDescent="0.3">
      <c r="C3473" t="s">
        <v>61</v>
      </c>
      <c r="D3473" t="s">
        <v>88</v>
      </c>
      <c r="E3473" t="s">
        <v>63</v>
      </c>
      <c r="F3473" t="s">
        <v>24</v>
      </c>
      <c r="G3473" s="4">
        <v>4</v>
      </c>
      <c r="H3473" s="4" t="s">
        <v>86</v>
      </c>
      <c r="I3473" s="4" t="s">
        <v>69</v>
      </c>
      <c r="J3473" s="4" t="s">
        <v>66</v>
      </c>
      <c r="K3473" s="4">
        <v>0</v>
      </c>
      <c r="L3473" s="94">
        <v>-24</v>
      </c>
      <c r="M3473" s="94">
        <v>0</v>
      </c>
    </row>
    <row r="3474" spans="3:13" x14ac:dyDescent="0.3">
      <c r="C3474" t="s">
        <v>71</v>
      </c>
      <c r="D3474" t="s">
        <v>67</v>
      </c>
      <c r="E3474" t="s">
        <v>68</v>
      </c>
      <c r="F3474" t="s">
        <v>72</v>
      </c>
      <c r="G3474" s="4">
        <v>-4</v>
      </c>
      <c r="H3474" s="4" t="s">
        <v>18</v>
      </c>
      <c r="I3474" s="4" t="s">
        <v>69</v>
      </c>
      <c r="J3474" s="4" t="s">
        <v>66</v>
      </c>
      <c r="K3474" s="4">
        <v>0</v>
      </c>
      <c r="L3474" s="94">
        <v>545514</v>
      </c>
      <c r="M3474" s="94">
        <v>0</v>
      </c>
    </row>
    <row r="3475" spans="3:13" x14ac:dyDescent="0.3">
      <c r="C3475" t="s">
        <v>61</v>
      </c>
      <c r="D3475" t="s">
        <v>67</v>
      </c>
      <c r="E3475" t="s">
        <v>63</v>
      </c>
      <c r="F3475" t="s">
        <v>25</v>
      </c>
      <c r="G3475" s="4">
        <v>-4</v>
      </c>
      <c r="H3475" s="4" t="s">
        <v>75</v>
      </c>
      <c r="I3475" s="4" t="s">
        <v>69</v>
      </c>
      <c r="J3475" s="4" t="s">
        <v>66</v>
      </c>
      <c r="K3475" s="4">
        <v>0</v>
      </c>
      <c r="L3475" s="94">
        <v>-321</v>
      </c>
      <c r="M3475" s="94">
        <v>0</v>
      </c>
    </row>
    <row r="3476" spans="3:13" x14ac:dyDescent="0.3">
      <c r="C3476" t="s">
        <v>70</v>
      </c>
      <c r="D3476" t="s">
        <v>67</v>
      </c>
      <c r="E3476" t="s">
        <v>63</v>
      </c>
      <c r="F3476" t="s">
        <v>25</v>
      </c>
      <c r="G3476" s="4">
        <v>-4</v>
      </c>
      <c r="H3476" s="4" t="s">
        <v>74</v>
      </c>
      <c r="I3476" s="4" t="s">
        <v>69</v>
      </c>
      <c r="J3476" s="4" t="s">
        <v>66</v>
      </c>
      <c r="K3476" s="4">
        <v>0</v>
      </c>
      <c r="L3476" s="94">
        <v>-19</v>
      </c>
      <c r="M3476" s="94">
        <v>0</v>
      </c>
    </row>
    <row r="3477" spans="3:13" x14ac:dyDescent="0.3">
      <c r="C3477" t="s">
        <v>61</v>
      </c>
      <c r="D3477" t="s">
        <v>67</v>
      </c>
      <c r="E3477" t="s">
        <v>63</v>
      </c>
      <c r="F3477" t="s">
        <v>72</v>
      </c>
      <c r="G3477" s="4">
        <v>0</v>
      </c>
      <c r="H3477" s="4" t="s">
        <v>17</v>
      </c>
      <c r="I3477" s="4" t="s">
        <v>65</v>
      </c>
      <c r="J3477" s="4" t="s">
        <v>66</v>
      </c>
      <c r="K3477" s="4">
        <v>1</v>
      </c>
      <c r="L3477" s="94">
        <v>-3</v>
      </c>
      <c r="M3477" s="94">
        <v>0</v>
      </c>
    </row>
    <row r="3478" spans="3:13" x14ac:dyDescent="0.3">
      <c r="C3478" t="s">
        <v>61</v>
      </c>
      <c r="D3478" t="s">
        <v>62</v>
      </c>
      <c r="E3478" t="s">
        <v>68</v>
      </c>
      <c r="F3478" t="s">
        <v>24</v>
      </c>
      <c r="G3478" s="4">
        <v>37</v>
      </c>
      <c r="I3478" s="4" t="s">
        <v>69</v>
      </c>
      <c r="J3478" s="4" t="s">
        <v>66</v>
      </c>
      <c r="K3478" s="4">
        <v>0</v>
      </c>
      <c r="L3478" s="94">
        <v>1294994969</v>
      </c>
      <c r="M3478" s="94">
        <v>47914813853</v>
      </c>
    </row>
    <row r="3479" spans="3:13" x14ac:dyDescent="0.3">
      <c r="C3479" t="s">
        <v>71</v>
      </c>
      <c r="D3479" t="s">
        <v>62</v>
      </c>
      <c r="E3479" t="s">
        <v>63</v>
      </c>
      <c r="F3479" t="s">
        <v>24</v>
      </c>
      <c r="G3479" s="4">
        <v>35</v>
      </c>
      <c r="I3479" s="4" t="s">
        <v>65</v>
      </c>
      <c r="J3479" s="4" t="s">
        <v>66</v>
      </c>
      <c r="K3479" s="4">
        <v>1</v>
      </c>
      <c r="L3479" s="94">
        <v>-107514</v>
      </c>
      <c r="M3479" s="94">
        <v>0</v>
      </c>
    </row>
    <row r="3480" spans="3:13" x14ac:dyDescent="0.3">
      <c r="C3480" t="s">
        <v>61</v>
      </c>
      <c r="D3480" t="s">
        <v>62</v>
      </c>
      <c r="E3480" t="s">
        <v>68</v>
      </c>
      <c r="F3480" t="s">
        <v>24</v>
      </c>
      <c r="G3480" s="4">
        <v>22</v>
      </c>
      <c r="I3480" s="4" t="s">
        <v>65</v>
      </c>
      <c r="J3480" s="4" t="s">
        <v>73</v>
      </c>
      <c r="K3480" s="4">
        <v>1</v>
      </c>
      <c r="L3480" s="94">
        <v>435</v>
      </c>
      <c r="M3480" s="94">
        <v>9570</v>
      </c>
    </row>
    <row r="3481" spans="3:13" x14ac:dyDescent="0.3">
      <c r="C3481" t="s">
        <v>61</v>
      </c>
      <c r="D3481" t="s">
        <v>67</v>
      </c>
      <c r="E3481" t="s">
        <v>68</v>
      </c>
      <c r="F3481" t="s">
        <v>25</v>
      </c>
      <c r="G3481" s="4">
        <v>13</v>
      </c>
      <c r="H3481" s="4" t="s">
        <v>82</v>
      </c>
      <c r="I3481" s="4" t="s">
        <v>69</v>
      </c>
      <c r="J3481" s="4" t="s">
        <v>66</v>
      </c>
      <c r="K3481" s="4">
        <v>0</v>
      </c>
      <c r="L3481" s="94">
        <v>511823</v>
      </c>
      <c r="M3481" s="94">
        <v>6653699</v>
      </c>
    </row>
    <row r="3482" spans="3:13" x14ac:dyDescent="0.3">
      <c r="C3482" t="s">
        <v>71</v>
      </c>
      <c r="D3482" t="s">
        <v>67</v>
      </c>
      <c r="E3482" t="s">
        <v>63</v>
      </c>
      <c r="F3482" t="s">
        <v>72</v>
      </c>
      <c r="G3482" s="4">
        <v>3</v>
      </c>
      <c r="H3482" s="4" t="s">
        <v>80</v>
      </c>
      <c r="I3482" s="4" t="s">
        <v>69</v>
      </c>
      <c r="J3482" s="4" t="s">
        <v>66</v>
      </c>
      <c r="K3482" s="4">
        <v>0</v>
      </c>
      <c r="L3482" s="94">
        <v>-31663</v>
      </c>
      <c r="M3482" s="94">
        <v>0</v>
      </c>
    </row>
    <row r="3483" spans="3:13" x14ac:dyDescent="0.3">
      <c r="C3483" t="s">
        <v>61</v>
      </c>
      <c r="D3483" t="s">
        <v>67</v>
      </c>
      <c r="E3483" t="s">
        <v>68</v>
      </c>
      <c r="F3483" t="s">
        <v>26</v>
      </c>
      <c r="G3483" s="4">
        <v>5</v>
      </c>
      <c r="H3483" s="4" t="s">
        <v>64</v>
      </c>
      <c r="I3483" s="4" t="s">
        <v>69</v>
      </c>
      <c r="J3483" s="4" t="s">
        <v>66</v>
      </c>
      <c r="K3483" s="4">
        <v>0</v>
      </c>
      <c r="L3483" s="94">
        <v>1353589</v>
      </c>
      <c r="M3483" s="94">
        <v>6767945</v>
      </c>
    </row>
    <row r="3484" spans="3:13" x14ac:dyDescent="0.3">
      <c r="C3484" t="s">
        <v>70</v>
      </c>
      <c r="D3484" t="s">
        <v>67</v>
      </c>
      <c r="E3484" t="s">
        <v>68</v>
      </c>
      <c r="F3484" t="s">
        <v>72</v>
      </c>
      <c r="G3484" s="4">
        <v>2</v>
      </c>
      <c r="H3484" s="4" t="s">
        <v>75</v>
      </c>
      <c r="I3484" s="4" t="s">
        <v>69</v>
      </c>
      <c r="J3484" s="4" t="s">
        <v>66</v>
      </c>
      <c r="K3484" s="4">
        <v>0</v>
      </c>
      <c r="L3484" s="94">
        <v>162045</v>
      </c>
      <c r="M3484" s="94">
        <v>324090</v>
      </c>
    </row>
    <row r="3485" spans="3:13" x14ac:dyDescent="0.3">
      <c r="C3485" t="s">
        <v>71</v>
      </c>
      <c r="D3485" t="s">
        <v>67</v>
      </c>
      <c r="E3485" t="s">
        <v>68</v>
      </c>
      <c r="F3485" t="s">
        <v>26</v>
      </c>
      <c r="G3485" s="4">
        <v>4</v>
      </c>
      <c r="H3485" s="4" t="s">
        <v>18</v>
      </c>
      <c r="I3485" s="4" t="s">
        <v>69</v>
      </c>
      <c r="J3485" s="4" t="s">
        <v>66</v>
      </c>
      <c r="K3485" s="4">
        <v>0</v>
      </c>
      <c r="L3485" s="94">
        <v>5967422</v>
      </c>
      <c r="M3485" s="94">
        <v>23869688</v>
      </c>
    </row>
    <row r="3486" spans="3:13" x14ac:dyDescent="0.3">
      <c r="C3486" t="s">
        <v>71</v>
      </c>
      <c r="D3486" t="s">
        <v>67</v>
      </c>
      <c r="E3486" t="s">
        <v>68</v>
      </c>
      <c r="F3486" t="s">
        <v>72</v>
      </c>
      <c r="G3486" s="4">
        <v>0</v>
      </c>
      <c r="H3486" s="4" t="s">
        <v>64</v>
      </c>
      <c r="I3486" s="4" t="s">
        <v>69</v>
      </c>
      <c r="J3486" s="4" t="s">
        <v>66</v>
      </c>
      <c r="K3486" s="4">
        <v>0</v>
      </c>
      <c r="L3486" s="94">
        <v>21909</v>
      </c>
      <c r="M3486" s="94">
        <v>0</v>
      </c>
    </row>
    <row r="3487" spans="3:13" x14ac:dyDescent="0.3">
      <c r="C3487" t="s">
        <v>70</v>
      </c>
      <c r="D3487" t="s">
        <v>67</v>
      </c>
      <c r="E3487" t="s">
        <v>68</v>
      </c>
      <c r="F3487" t="s">
        <v>25</v>
      </c>
      <c r="G3487" s="4">
        <v>9</v>
      </c>
      <c r="H3487" s="4" t="s">
        <v>79</v>
      </c>
      <c r="I3487" s="4" t="s">
        <v>69</v>
      </c>
      <c r="J3487" s="4" t="s">
        <v>66</v>
      </c>
      <c r="K3487" s="4">
        <v>0</v>
      </c>
      <c r="L3487" s="94">
        <v>296841</v>
      </c>
      <c r="M3487" s="94">
        <v>2671569</v>
      </c>
    </row>
    <row r="3488" spans="3:13" x14ac:dyDescent="0.3">
      <c r="C3488" t="s">
        <v>70</v>
      </c>
      <c r="D3488" t="s">
        <v>67</v>
      </c>
      <c r="E3488" t="s">
        <v>68</v>
      </c>
      <c r="F3488" t="s">
        <v>72</v>
      </c>
      <c r="G3488" s="4">
        <v>1</v>
      </c>
      <c r="H3488" s="4" t="s">
        <v>17</v>
      </c>
      <c r="I3488" s="4" t="s">
        <v>69</v>
      </c>
      <c r="J3488" s="4" t="s">
        <v>73</v>
      </c>
      <c r="K3488" s="4">
        <v>1</v>
      </c>
      <c r="L3488" s="94">
        <v>19548</v>
      </c>
      <c r="M3488" s="94">
        <v>19548</v>
      </c>
    </row>
    <row r="3489" spans="3:13" x14ac:dyDescent="0.3">
      <c r="C3489" t="s">
        <v>61</v>
      </c>
      <c r="D3489" t="s">
        <v>67</v>
      </c>
      <c r="E3489" t="s">
        <v>63</v>
      </c>
      <c r="F3489" t="s">
        <v>26</v>
      </c>
      <c r="G3489" s="4">
        <v>-1</v>
      </c>
      <c r="H3489" s="4" t="s">
        <v>77</v>
      </c>
      <c r="I3489" s="4" t="s">
        <v>69</v>
      </c>
      <c r="J3489" s="4" t="s">
        <v>66</v>
      </c>
      <c r="K3489" s="4">
        <v>0</v>
      </c>
      <c r="L3489" s="94">
        <v>-70706</v>
      </c>
      <c r="M3489" s="94">
        <v>0</v>
      </c>
    </row>
    <row r="3490" spans="3:13" x14ac:dyDescent="0.3">
      <c r="C3490" t="s">
        <v>61</v>
      </c>
      <c r="D3490" t="s">
        <v>67</v>
      </c>
      <c r="E3490" t="s">
        <v>63</v>
      </c>
      <c r="F3490" t="s">
        <v>25</v>
      </c>
      <c r="G3490" s="4">
        <v>1</v>
      </c>
      <c r="H3490" s="4" t="s">
        <v>14</v>
      </c>
      <c r="I3490" s="4" t="s">
        <v>69</v>
      </c>
      <c r="J3490" s="4" t="s">
        <v>66</v>
      </c>
      <c r="K3490" s="4">
        <v>0</v>
      </c>
      <c r="L3490" s="94">
        <v>-1119</v>
      </c>
      <c r="M3490" s="94">
        <v>0</v>
      </c>
    </row>
    <row r="3491" spans="3:13" x14ac:dyDescent="0.3">
      <c r="C3491" t="s">
        <v>70</v>
      </c>
      <c r="D3491" t="s">
        <v>84</v>
      </c>
      <c r="E3491" t="s">
        <v>68</v>
      </c>
      <c r="F3491" t="s">
        <v>25</v>
      </c>
      <c r="G3491" s="4">
        <v>6</v>
      </c>
      <c r="H3491" s="4" t="s">
        <v>81</v>
      </c>
      <c r="I3491" s="4" t="s">
        <v>69</v>
      </c>
      <c r="J3491" s="4" t="s">
        <v>66</v>
      </c>
      <c r="K3491" s="4">
        <v>0</v>
      </c>
      <c r="L3491" s="94">
        <v>33625</v>
      </c>
      <c r="M3491" s="94">
        <v>201750</v>
      </c>
    </row>
    <row r="3492" spans="3:13" x14ac:dyDescent="0.3">
      <c r="C3492" t="s">
        <v>71</v>
      </c>
      <c r="D3492" t="s">
        <v>67</v>
      </c>
      <c r="E3492" t="s">
        <v>68</v>
      </c>
      <c r="F3492" t="s">
        <v>26</v>
      </c>
      <c r="G3492" s="4">
        <v>-1</v>
      </c>
      <c r="H3492" s="4" t="s">
        <v>82</v>
      </c>
      <c r="I3492" s="4" t="s">
        <v>69</v>
      </c>
      <c r="J3492" s="4" t="s">
        <v>66</v>
      </c>
      <c r="K3492" s="4">
        <v>0</v>
      </c>
      <c r="L3492" s="94">
        <v>2296372</v>
      </c>
      <c r="M3492" s="94">
        <v>0</v>
      </c>
    </row>
    <row r="3493" spans="3:13" x14ac:dyDescent="0.3">
      <c r="C3493" t="s">
        <v>61</v>
      </c>
      <c r="D3493" t="s">
        <v>67</v>
      </c>
      <c r="E3493" t="s">
        <v>68</v>
      </c>
      <c r="F3493" t="s">
        <v>26</v>
      </c>
      <c r="G3493" s="4">
        <v>4</v>
      </c>
      <c r="H3493" s="4" t="s">
        <v>74</v>
      </c>
      <c r="I3493" s="4" t="s">
        <v>69</v>
      </c>
      <c r="J3493" s="4" t="s">
        <v>66</v>
      </c>
      <c r="K3493" s="4">
        <v>0</v>
      </c>
      <c r="L3493" s="94">
        <v>137581382</v>
      </c>
      <c r="M3493" s="94">
        <v>550325528</v>
      </c>
    </row>
    <row r="3494" spans="3:13" x14ac:dyDescent="0.3">
      <c r="C3494" t="s">
        <v>71</v>
      </c>
      <c r="D3494" t="s">
        <v>62</v>
      </c>
      <c r="E3494" t="s">
        <v>68</v>
      </c>
      <c r="F3494" t="s">
        <v>24</v>
      </c>
      <c r="G3494" s="4">
        <v>17</v>
      </c>
      <c r="I3494" s="4" t="s">
        <v>69</v>
      </c>
      <c r="J3494" s="4" t="s">
        <v>66</v>
      </c>
      <c r="K3494" s="4">
        <v>0</v>
      </c>
      <c r="L3494" s="94">
        <v>5661564</v>
      </c>
      <c r="M3494" s="94">
        <v>96246588</v>
      </c>
    </row>
    <row r="3495" spans="3:13" x14ac:dyDescent="0.3">
      <c r="C3495" t="s">
        <v>71</v>
      </c>
      <c r="D3495" t="s">
        <v>67</v>
      </c>
      <c r="E3495" t="s">
        <v>63</v>
      </c>
      <c r="F3495" t="s">
        <v>25</v>
      </c>
      <c r="G3495" s="4">
        <v>-4</v>
      </c>
      <c r="H3495" s="4" t="s">
        <v>82</v>
      </c>
      <c r="I3495" s="4" t="s">
        <v>69</v>
      </c>
      <c r="J3495" s="4" t="s">
        <v>66</v>
      </c>
      <c r="K3495" s="4">
        <v>0</v>
      </c>
      <c r="L3495" s="94">
        <v>-123010</v>
      </c>
      <c r="M3495" s="94">
        <v>0</v>
      </c>
    </row>
    <row r="3496" spans="3:13" x14ac:dyDescent="0.3">
      <c r="C3496" t="s">
        <v>61</v>
      </c>
      <c r="D3496" t="s">
        <v>84</v>
      </c>
      <c r="E3496" t="s">
        <v>68</v>
      </c>
      <c r="F3496" t="s">
        <v>25</v>
      </c>
      <c r="G3496" s="4">
        <v>5</v>
      </c>
      <c r="H3496" s="4" t="s">
        <v>75</v>
      </c>
      <c r="I3496" s="4" t="s">
        <v>69</v>
      </c>
      <c r="J3496" s="4" t="s">
        <v>66</v>
      </c>
      <c r="K3496" s="4">
        <v>0</v>
      </c>
      <c r="L3496" s="94">
        <v>10601895</v>
      </c>
      <c r="M3496" s="94">
        <v>53009475</v>
      </c>
    </row>
    <row r="3497" spans="3:13" x14ac:dyDescent="0.3">
      <c r="C3497" t="s">
        <v>70</v>
      </c>
      <c r="D3497" t="s">
        <v>67</v>
      </c>
      <c r="E3497" t="s">
        <v>68</v>
      </c>
      <c r="F3497" t="s">
        <v>26</v>
      </c>
      <c r="G3497" s="4">
        <v>1</v>
      </c>
      <c r="H3497" s="4" t="s">
        <v>78</v>
      </c>
      <c r="I3497" s="4" t="s">
        <v>69</v>
      </c>
      <c r="J3497" s="4" t="s">
        <v>66</v>
      </c>
      <c r="K3497" s="4">
        <v>0</v>
      </c>
      <c r="L3497" s="94">
        <v>543544</v>
      </c>
      <c r="M3497" s="94">
        <v>543544</v>
      </c>
    </row>
    <row r="3498" spans="3:13" x14ac:dyDescent="0.3">
      <c r="C3498" t="s">
        <v>71</v>
      </c>
      <c r="D3498" t="s">
        <v>67</v>
      </c>
      <c r="E3498" t="s">
        <v>68</v>
      </c>
      <c r="F3498" t="s">
        <v>25</v>
      </c>
      <c r="G3498" s="4">
        <v>6</v>
      </c>
      <c r="H3498" s="4" t="s">
        <v>18</v>
      </c>
      <c r="I3498" s="4" t="s">
        <v>69</v>
      </c>
      <c r="J3498" s="4" t="s">
        <v>66</v>
      </c>
      <c r="K3498" s="4">
        <v>0</v>
      </c>
      <c r="L3498" s="94">
        <v>1130382</v>
      </c>
      <c r="M3498" s="94">
        <v>6782292</v>
      </c>
    </row>
    <row r="3499" spans="3:13" x14ac:dyDescent="0.3">
      <c r="C3499" t="s">
        <v>70</v>
      </c>
      <c r="D3499" t="s">
        <v>67</v>
      </c>
      <c r="E3499" t="s">
        <v>68</v>
      </c>
      <c r="F3499" t="s">
        <v>26</v>
      </c>
      <c r="G3499" s="4">
        <v>0</v>
      </c>
      <c r="H3499" s="4" t="s">
        <v>17</v>
      </c>
      <c r="I3499" s="4" t="s">
        <v>69</v>
      </c>
      <c r="J3499" s="4" t="s">
        <v>73</v>
      </c>
      <c r="K3499" s="4">
        <v>1</v>
      </c>
      <c r="L3499" s="94">
        <v>48510</v>
      </c>
      <c r="M3499" s="94">
        <v>0</v>
      </c>
    </row>
    <row r="3500" spans="3:13" x14ac:dyDescent="0.3">
      <c r="C3500" t="s">
        <v>61</v>
      </c>
      <c r="D3500" t="s">
        <v>67</v>
      </c>
      <c r="E3500" t="s">
        <v>63</v>
      </c>
      <c r="F3500" t="s">
        <v>25</v>
      </c>
      <c r="G3500" s="4">
        <v>11</v>
      </c>
      <c r="H3500" s="4" t="s">
        <v>82</v>
      </c>
      <c r="I3500" s="4" t="s">
        <v>69</v>
      </c>
      <c r="J3500" s="4" t="s">
        <v>66</v>
      </c>
      <c r="K3500" s="4">
        <v>0</v>
      </c>
      <c r="L3500" s="94">
        <v>-1180</v>
      </c>
      <c r="M3500" s="94">
        <v>0</v>
      </c>
    </row>
    <row r="3501" spans="3:13" x14ac:dyDescent="0.3">
      <c r="C3501" t="s">
        <v>71</v>
      </c>
      <c r="D3501" t="s">
        <v>67</v>
      </c>
      <c r="E3501" t="s">
        <v>63</v>
      </c>
      <c r="F3501" t="s">
        <v>26</v>
      </c>
      <c r="G3501" s="4">
        <v>4</v>
      </c>
      <c r="H3501" s="4" t="s">
        <v>12</v>
      </c>
      <c r="I3501" s="4" t="s">
        <v>69</v>
      </c>
      <c r="J3501" s="4" t="s">
        <v>66</v>
      </c>
      <c r="K3501" s="4">
        <v>0</v>
      </c>
      <c r="L3501" s="94">
        <v>-3899</v>
      </c>
      <c r="M3501" s="94">
        <v>0</v>
      </c>
    </row>
    <row r="3502" spans="3:13" x14ac:dyDescent="0.3">
      <c r="C3502" t="s">
        <v>61</v>
      </c>
      <c r="D3502" t="s">
        <v>67</v>
      </c>
      <c r="E3502" t="s">
        <v>68</v>
      </c>
      <c r="F3502" t="s">
        <v>26</v>
      </c>
      <c r="G3502" s="4">
        <v>-1</v>
      </c>
      <c r="H3502" s="4" t="s">
        <v>13</v>
      </c>
      <c r="I3502" s="4" t="s">
        <v>69</v>
      </c>
      <c r="J3502" s="4" t="s">
        <v>66</v>
      </c>
      <c r="K3502" s="4">
        <v>0</v>
      </c>
      <c r="L3502" s="94">
        <v>152691</v>
      </c>
      <c r="M3502" s="94">
        <v>0</v>
      </c>
    </row>
    <row r="3503" spans="3:13" x14ac:dyDescent="0.3">
      <c r="C3503" t="s">
        <v>61</v>
      </c>
      <c r="D3503" t="s">
        <v>67</v>
      </c>
      <c r="E3503" t="s">
        <v>63</v>
      </c>
      <c r="F3503" t="s">
        <v>25</v>
      </c>
      <c r="G3503" s="4">
        <v>20</v>
      </c>
      <c r="H3503" s="4" t="s">
        <v>75</v>
      </c>
      <c r="I3503" s="4" t="s">
        <v>69</v>
      </c>
      <c r="J3503" s="4" t="s">
        <v>66</v>
      </c>
      <c r="K3503" s="4">
        <v>0</v>
      </c>
      <c r="L3503" s="94">
        <v>-473</v>
      </c>
      <c r="M3503" s="94">
        <v>0</v>
      </c>
    </row>
    <row r="3504" spans="3:13" x14ac:dyDescent="0.3">
      <c r="C3504" t="s">
        <v>70</v>
      </c>
      <c r="D3504" t="s">
        <v>67</v>
      </c>
      <c r="E3504" t="s">
        <v>63</v>
      </c>
      <c r="F3504" t="s">
        <v>25</v>
      </c>
      <c r="G3504" s="4">
        <v>11</v>
      </c>
      <c r="H3504" s="4" t="s">
        <v>76</v>
      </c>
      <c r="I3504" s="4" t="s">
        <v>69</v>
      </c>
      <c r="J3504" s="4" t="s">
        <v>66</v>
      </c>
      <c r="K3504" s="4">
        <v>0</v>
      </c>
      <c r="L3504" s="94">
        <v>-657412</v>
      </c>
      <c r="M3504" s="94">
        <v>0</v>
      </c>
    </row>
    <row r="3505" spans="3:13" x14ac:dyDescent="0.3">
      <c r="C3505" t="s">
        <v>71</v>
      </c>
      <c r="D3505" t="s">
        <v>62</v>
      </c>
      <c r="E3505" t="s">
        <v>68</v>
      </c>
      <c r="F3505" t="s">
        <v>24</v>
      </c>
      <c r="G3505" s="4">
        <v>16</v>
      </c>
      <c r="I3505" s="4" t="s">
        <v>65</v>
      </c>
      <c r="J3505" s="4" t="s">
        <v>66</v>
      </c>
      <c r="K3505" s="4">
        <v>1</v>
      </c>
      <c r="L3505" s="94">
        <v>98209</v>
      </c>
      <c r="M3505" s="94">
        <v>1571344</v>
      </c>
    </row>
    <row r="3506" spans="3:13" x14ac:dyDescent="0.3">
      <c r="C3506" t="s">
        <v>71</v>
      </c>
      <c r="D3506" t="s">
        <v>67</v>
      </c>
      <c r="E3506" t="s">
        <v>68</v>
      </c>
      <c r="F3506" t="s">
        <v>26</v>
      </c>
      <c r="G3506" s="4">
        <v>-4</v>
      </c>
      <c r="H3506" s="4" t="s">
        <v>17</v>
      </c>
      <c r="I3506" s="4" t="s">
        <v>69</v>
      </c>
      <c r="J3506" s="4" t="s">
        <v>73</v>
      </c>
      <c r="K3506" s="4">
        <v>1</v>
      </c>
      <c r="L3506" s="94">
        <v>6047</v>
      </c>
      <c r="M3506" s="94">
        <v>0</v>
      </c>
    </row>
    <row r="3507" spans="3:13" x14ac:dyDescent="0.3">
      <c r="C3507" t="s">
        <v>71</v>
      </c>
      <c r="D3507" t="s">
        <v>67</v>
      </c>
      <c r="E3507" t="s">
        <v>68</v>
      </c>
      <c r="F3507" t="s">
        <v>25</v>
      </c>
      <c r="G3507" s="4">
        <v>3</v>
      </c>
      <c r="H3507" s="4" t="s">
        <v>14</v>
      </c>
      <c r="I3507" s="4" t="s">
        <v>69</v>
      </c>
      <c r="J3507" s="4" t="s">
        <v>66</v>
      </c>
      <c r="K3507" s="4">
        <v>0</v>
      </c>
      <c r="L3507" s="94">
        <v>1108156</v>
      </c>
      <c r="M3507" s="94">
        <v>3324468</v>
      </c>
    </row>
    <row r="3508" spans="3:13" x14ac:dyDescent="0.3">
      <c r="C3508" t="s">
        <v>70</v>
      </c>
      <c r="D3508" t="s">
        <v>62</v>
      </c>
      <c r="E3508" t="s">
        <v>68</v>
      </c>
      <c r="F3508" t="s">
        <v>25</v>
      </c>
      <c r="G3508" s="4">
        <v>7</v>
      </c>
      <c r="I3508" s="4" t="s">
        <v>69</v>
      </c>
      <c r="J3508" s="4" t="s">
        <v>66</v>
      </c>
      <c r="K3508" s="4">
        <v>1</v>
      </c>
      <c r="L3508" s="94">
        <v>30265</v>
      </c>
      <c r="M3508" s="94">
        <v>211855</v>
      </c>
    </row>
    <row r="3509" spans="3:13" x14ac:dyDescent="0.3">
      <c r="C3509" t="s">
        <v>61</v>
      </c>
      <c r="D3509" t="s">
        <v>67</v>
      </c>
      <c r="E3509" t="s">
        <v>68</v>
      </c>
      <c r="F3509" t="s">
        <v>26</v>
      </c>
      <c r="G3509" s="4">
        <v>0</v>
      </c>
      <c r="H3509" s="4" t="s">
        <v>87</v>
      </c>
      <c r="I3509" s="4" t="s">
        <v>69</v>
      </c>
      <c r="J3509" s="4" t="s">
        <v>66</v>
      </c>
      <c r="K3509" s="4">
        <v>0</v>
      </c>
      <c r="L3509" s="94">
        <v>77711239</v>
      </c>
      <c r="M3509" s="94">
        <v>0</v>
      </c>
    </row>
    <row r="3510" spans="3:13" x14ac:dyDescent="0.3">
      <c r="C3510" t="s">
        <v>61</v>
      </c>
      <c r="D3510" t="s">
        <v>67</v>
      </c>
      <c r="E3510" t="s">
        <v>68</v>
      </c>
      <c r="F3510" t="s">
        <v>25</v>
      </c>
      <c r="G3510" s="4">
        <v>2</v>
      </c>
      <c r="H3510" s="4" t="s">
        <v>17</v>
      </c>
      <c r="I3510" s="4" t="s">
        <v>69</v>
      </c>
      <c r="J3510" s="4" t="s">
        <v>66</v>
      </c>
      <c r="K3510" s="4">
        <v>1</v>
      </c>
      <c r="L3510" s="94">
        <v>31860</v>
      </c>
      <c r="M3510" s="94">
        <v>63720</v>
      </c>
    </row>
    <row r="3511" spans="3:13" x14ac:dyDescent="0.3">
      <c r="C3511" t="s">
        <v>71</v>
      </c>
      <c r="D3511" t="s">
        <v>67</v>
      </c>
      <c r="E3511" t="s">
        <v>68</v>
      </c>
      <c r="F3511" t="s">
        <v>72</v>
      </c>
      <c r="G3511" s="4">
        <v>5</v>
      </c>
      <c r="H3511" s="4" t="s">
        <v>77</v>
      </c>
      <c r="I3511" s="4" t="s">
        <v>69</v>
      </c>
      <c r="J3511" s="4" t="s">
        <v>66</v>
      </c>
      <c r="K3511" s="4">
        <v>0</v>
      </c>
      <c r="L3511" s="94">
        <v>25077</v>
      </c>
      <c r="M3511" s="94">
        <v>125385</v>
      </c>
    </row>
    <row r="3512" spans="3:13" x14ac:dyDescent="0.3">
      <c r="C3512" t="s">
        <v>71</v>
      </c>
      <c r="D3512" t="s">
        <v>67</v>
      </c>
      <c r="E3512" t="s">
        <v>68</v>
      </c>
      <c r="F3512" t="s">
        <v>26</v>
      </c>
      <c r="G3512" s="4">
        <v>-1</v>
      </c>
      <c r="H3512" s="4" t="s">
        <v>12</v>
      </c>
      <c r="I3512" s="4" t="s">
        <v>65</v>
      </c>
      <c r="J3512" s="4" t="s">
        <v>73</v>
      </c>
      <c r="K3512" s="4">
        <v>1</v>
      </c>
      <c r="L3512" s="94">
        <v>129571</v>
      </c>
      <c r="M3512" s="94">
        <v>0</v>
      </c>
    </row>
    <row r="3513" spans="3:13" x14ac:dyDescent="0.3">
      <c r="C3513" t="s">
        <v>71</v>
      </c>
      <c r="D3513" t="s">
        <v>67</v>
      </c>
      <c r="E3513" t="s">
        <v>63</v>
      </c>
      <c r="F3513" t="s">
        <v>72</v>
      </c>
      <c r="G3513" s="4">
        <v>5</v>
      </c>
      <c r="H3513" s="4" t="s">
        <v>14</v>
      </c>
      <c r="I3513" s="4" t="s">
        <v>69</v>
      </c>
      <c r="J3513" s="4" t="s">
        <v>66</v>
      </c>
      <c r="K3513" s="4">
        <v>0</v>
      </c>
      <c r="L3513" s="94">
        <v>-61560</v>
      </c>
      <c r="M3513" s="94">
        <v>0</v>
      </c>
    </row>
    <row r="3514" spans="3:13" x14ac:dyDescent="0.3">
      <c r="C3514" t="s">
        <v>71</v>
      </c>
      <c r="D3514" t="s">
        <v>67</v>
      </c>
      <c r="E3514" t="s">
        <v>68</v>
      </c>
      <c r="F3514" t="s">
        <v>26</v>
      </c>
      <c r="G3514" s="4">
        <v>9</v>
      </c>
      <c r="H3514" s="4" t="s">
        <v>17</v>
      </c>
      <c r="I3514" s="4" t="s">
        <v>69</v>
      </c>
      <c r="J3514" s="4" t="s">
        <v>66</v>
      </c>
      <c r="K3514" s="4">
        <v>0</v>
      </c>
      <c r="L3514" s="94">
        <v>1571625</v>
      </c>
      <c r="M3514" s="94">
        <v>14144625</v>
      </c>
    </row>
    <row r="3515" spans="3:13" x14ac:dyDescent="0.3">
      <c r="C3515" t="s">
        <v>61</v>
      </c>
      <c r="D3515" t="s">
        <v>67</v>
      </c>
      <c r="E3515" t="s">
        <v>63</v>
      </c>
      <c r="F3515" t="s">
        <v>25</v>
      </c>
      <c r="G3515" s="4">
        <v>6</v>
      </c>
      <c r="H3515" s="4" t="s">
        <v>80</v>
      </c>
      <c r="I3515" s="4" t="s">
        <v>69</v>
      </c>
      <c r="J3515" s="4" t="s">
        <v>66</v>
      </c>
      <c r="K3515" s="4">
        <v>0</v>
      </c>
      <c r="L3515" s="94">
        <v>-364</v>
      </c>
      <c r="M3515" s="94">
        <v>0</v>
      </c>
    </row>
    <row r="3516" spans="3:13" x14ac:dyDescent="0.3">
      <c r="C3516" t="s">
        <v>61</v>
      </c>
      <c r="D3516" t="s">
        <v>67</v>
      </c>
      <c r="E3516" t="s">
        <v>68</v>
      </c>
      <c r="F3516" t="s">
        <v>72</v>
      </c>
      <c r="G3516" s="4">
        <v>1</v>
      </c>
      <c r="H3516" s="4" t="s">
        <v>86</v>
      </c>
      <c r="I3516" s="4" t="s">
        <v>69</v>
      </c>
      <c r="J3516" s="4" t="s">
        <v>66</v>
      </c>
      <c r="K3516" s="4">
        <v>0</v>
      </c>
      <c r="L3516" s="94">
        <v>9800</v>
      </c>
      <c r="M3516" s="94">
        <v>9800</v>
      </c>
    </row>
    <row r="3517" spans="3:13" x14ac:dyDescent="0.3">
      <c r="C3517" t="s">
        <v>71</v>
      </c>
      <c r="D3517" t="s">
        <v>67</v>
      </c>
      <c r="E3517" t="s">
        <v>63</v>
      </c>
      <c r="F3517" t="s">
        <v>26</v>
      </c>
      <c r="G3517" s="4">
        <v>2</v>
      </c>
      <c r="H3517" s="4" t="s">
        <v>64</v>
      </c>
      <c r="I3517" s="4" t="s">
        <v>69</v>
      </c>
      <c r="J3517" s="4" t="s">
        <v>66</v>
      </c>
      <c r="K3517" s="4">
        <v>0</v>
      </c>
      <c r="L3517" s="94">
        <v>-291849</v>
      </c>
      <c r="M3517" s="94">
        <v>0</v>
      </c>
    </row>
    <row r="3518" spans="3:13" x14ac:dyDescent="0.3">
      <c r="C3518" t="s">
        <v>61</v>
      </c>
      <c r="D3518" t="s">
        <v>62</v>
      </c>
      <c r="E3518" t="s">
        <v>68</v>
      </c>
      <c r="F3518" t="s">
        <v>25</v>
      </c>
      <c r="G3518" s="4">
        <v>3</v>
      </c>
      <c r="I3518" s="4" t="s">
        <v>69</v>
      </c>
      <c r="J3518" s="4" t="s">
        <v>66</v>
      </c>
      <c r="K3518" s="4">
        <v>1</v>
      </c>
      <c r="L3518" s="94">
        <v>11492</v>
      </c>
      <c r="M3518" s="94">
        <v>34476</v>
      </c>
    </row>
    <row r="3519" spans="3:13" x14ac:dyDescent="0.3">
      <c r="C3519" t="s">
        <v>70</v>
      </c>
      <c r="D3519" t="s">
        <v>67</v>
      </c>
      <c r="E3519" t="s">
        <v>63</v>
      </c>
      <c r="F3519" t="s">
        <v>72</v>
      </c>
      <c r="G3519" s="4">
        <v>-1</v>
      </c>
      <c r="H3519" s="4" t="s">
        <v>79</v>
      </c>
      <c r="I3519" s="4" t="s">
        <v>69</v>
      </c>
      <c r="J3519" s="4" t="s">
        <v>66</v>
      </c>
      <c r="K3519" s="4">
        <v>0</v>
      </c>
      <c r="L3519" s="94">
        <v>-270</v>
      </c>
      <c r="M3519" s="94">
        <v>0</v>
      </c>
    </row>
    <row r="3520" spans="3:13" x14ac:dyDescent="0.3">
      <c r="C3520" t="s">
        <v>70</v>
      </c>
      <c r="D3520" t="s">
        <v>62</v>
      </c>
      <c r="E3520" t="s">
        <v>63</v>
      </c>
      <c r="F3520" t="s">
        <v>24</v>
      </c>
      <c r="G3520" s="4">
        <v>39</v>
      </c>
      <c r="I3520" s="4" t="s">
        <v>65</v>
      </c>
      <c r="J3520" s="4" t="s">
        <v>66</v>
      </c>
      <c r="K3520" s="4">
        <v>1</v>
      </c>
      <c r="L3520" s="94">
        <v>-58864</v>
      </c>
      <c r="M3520" s="94">
        <v>0</v>
      </c>
    </row>
    <row r="3521" spans="3:13" x14ac:dyDescent="0.3">
      <c r="C3521" t="s">
        <v>61</v>
      </c>
      <c r="D3521" t="s">
        <v>67</v>
      </c>
      <c r="E3521" t="s">
        <v>68</v>
      </c>
      <c r="F3521" t="s">
        <v>72</v>
      </c>
      <c r="G3521" s="4">
        <v>-4</v>
      </c>
      <c r="H3521" s="4" t="s">
        <v>75</v>
      </c>
      <c r="I3521" s="4" t="s">
        <v>69</v>
      </c>
      <c r="J3521" s="4" t="s">
        <v>66</v>
      </c>
      <c r="K3521" s="4">
        <v>0</v>
      </c>
      <c r="L3521" s="94">
        <v>99</v>
      </c>
      <c r="M3521" s="94">
        <v>0</v>
      </c>
    </row>
    <row r="3522" spans="3:13" x14ac:dyDescent="0.3">
      <c r="C3522" t="s">
        <v>61</v>
      </c>
      <c r="D3522" t="s">
        <v>67</v>
      </c>
      <c r="E3522" t="s">
        <v>63</v>
      </c>
      <c r="F3522" t="s">
        <v>26</v>
      </c>
      <c r="G3522" s="4">
        <v>-1</v>
      </c>
      <c r="H3522" s="4" t="s">
        <v>12</v>
      </c>
      <c r="I3522" s="4" t="s">
        <v>65</v>
      </c>
      <c r="J3522" s="4" t="s">
        <v>73</v>
      </c>
      <c r="K3522" s="4">
        <v>1</v>
      </c>
      <c r="L3522" s="94">
        <v>-8784</v>
      </c>
      <c r="M3522" s="94">
        <v>0</v>
      </c>
    </row>
    <row r="3523" spans="3:13" x14ac:dyDescent="0.3">
      <c r="C3523" t="s">
        <v>71</v>
      </c>
      <c r="D3523" t="s">
        <v>67</v>
      </c>
      <c r="E3523" t="s">
        <v>63</v>
      </c>
      <c r="F3523" t="s">
        <v>26</v>
      </c>
      <c r="G3523" s="4">
        <v>3</v>
      </c>
      <c r="H3523" s="4" t="s">
        <v>17</v>
      </c>
      <c r="I3523" s="4" t="s">
        <v>65</v>
      </c>
      <c r="J3523" s="4" t="s">
        <v>66</v>
      </c>
      <c r="K3523" s="4">
        <v>1</v>
      </c>
      <c r="L3523" s="94">
        <v>-652370</v>
      </c>
      <c r="M3523" s="94">
        <v>0</v>
      </c>
    </row>
    <row r="3524" spans="3:13" x14ac:dyDescent="0.3">
      <c r="C3524" t="s">
        <v>61</v>
      </c>
      <c r="D3524" t="s">
        <v>67</v>
      </c>
      <c r="E3524" t="s">
        <v>68</v>
      </c>
      <c r="F3524" t="s">
        <v>26</v>
      </c>
      <c r="G3524" s="4">
        <v>4</v>
      </c>
      <c r="H3524" s="4" t="s">
        <v>80</v>
      </c>
      <c r="I3524" s="4" t="s">
        <v>69</v>
      </c>
      <c r="J3524" s="4" t="s">
        <v>66</v>
      </c>
      <c r="K3524" s="4">
        <v>0</v>
      </c>
      <c r="L3524" s="94">
        <v>2000638</v>
      </c>
      <c r="M3524" s="94">
        <v>8002552</v>
      </c>
    </row>
    <row r="3525" spans="3:13" x14ac:dyDescent="0.3">
      <c r="C3525" t="s">
        <v>61</v>
      </c>
      <c r="D3525" t="s">
        <v>62</v>
      </c>
      <c r="E3525" t="s">
        <v>68</v>
      </c>
      <c r="F3525" t="s">
        <v>24</v>
      </c>
      <c r="G3525" s="4">
        <v>11</v>
      </c>
      <c r="I3525" s="4" t="s">
        <v>69</v>
      </c>
      <c r="J3525" s="4" t="s">
        <v>66</v>
      </c>
      <c r="K3525" s="4">
        <v>1</v>
      </c>
      <c r="L3525" s="94">
        <v>810279</v>
      </c>
      <c r="M3525" s="94">
        <v>8913069</v>
      </c>
    </row>
    <row r="3526" spans="3:13" x14ac:dyDescent="0.3">
      <c r="C3526" t="s">
        <v>61</v>
      </c>
      <c r="D3526" t="s">
        <v>67</v>
      </c>
      <c r="E3526" t="s">
        <v>63</v>
      </c>
      <c r="F3526" t="s">
        <v>25</v>
      </c>
      <c r="G3526" s="4">
        <v>12</v>
      </c>
      <c r="H3526" s="4" t="s">
        <v>76</v>
      </c>
      <c r="I3526" s="4" t="s">
        <v>69</v>
      </c>
      <c r="J3526" s="4" t="s">
        <v>66</v>
      </c>
      <c r="K3526" s="4">
        <v>0</v>
      </c>
      <c r="L3526" s="94">
        <v>-681337</v>
      </c>
      <c r="M3526" s="94">
        <v>0</v>
      </c>
    </row>
    <row r="3527" spans="3:13" x14ac:dyDescent="0.3">
      <c r="C3527" t="s">
        <v>70</v>
      </c>
      <c r="D3527" t="s">
        <v>67</v>
      </c>
      <c r="E3527" t="s">
        <v>63</v>
      </c>
      <c r="F3527" t="s">
        <v>72</v>
      </c>
      <c r="G3527" s="4">
        <v>5</v>
      </c>
      <c r="H3527" s="4" t="s">
        <v>14</v>
      </c>
      <c r="I3527" s="4" t="s">
        <v>69</v>
      </c>
      <c r="J3527" s="4" t="s">
        <v>73</v>
      </c>
      <c r="K3527" s="4">
        <v>1</v>
      </c>
      <c r="L3527" s="94">
        <v>-85247</v>
      </c>
      <c r="M3527" s="94">
        <v>0</v>
      </c>
    </row>
    <row r="3528" spans="3:13" x14ac:dyDescent="0.3">
      <c r="C3528" t="s">
        <v>61</v>
      </c>
      <c r="D3528" t="s">
        <v>67</v>
      </c>
      <c r="E3528" t="s">
        <v>68</v>
      </c>
      <c r="F3528" t="s">
        <v>25</v>
      </c>
      <c r="G3528" s="4">
        <v>14</v>
      </c>
      <c r="H3528" s="4" t="s">
        <v>12</v>
      </c>
      <c r="I3528" s="4" t="s">
        <v>69</v>
      </c>
      <c r="J3528" s="4" t="s">
        <v>66</v>
      </c>
      <c r="K3528" s="4">
        <v>1</v>
      </c>
      <c r="L3528" s="94">
        <v>18330384</v>
      </c>
      <c r="M3528" s="94">
        <v>256625376</v>
      </c>
    </row>
    <row r="3529" spans="3:13" x14ac:dyDescent="0.3">
      <c r="C3529" t="s">
        <v>70</v>
      </c>
      <c r="D3529" t="s">
        <v>67</v>
      </c>
      <c r="E3529" t="s">
        <v>68</v>
      </c>
      <c r="F3529" t="s">
        <v>26</v>
      </c>
      <c r="G3529" s="4">
        <v>1</v>
      </c>
      <c r="H3529" s="4" t="s">
        <v>64</v>
      </c>
      <c r="I3529" s="4" t="s">
        <v>69</v>
      </c>
      <c r="J3529" s="4" t="s">
        <v>66</v>
      </c>
      <c r="K3529" s="4">
        <v>0</v>
      </c>
      <c r="L3529" s="94">
        <v>1925145</v>
      </c>
      <c r="M3529" s="94">
        <v>1925145</v>
      </c>
    </row>
    <row r="3530" spans="3:13" x14ac:dyDescent="0.3">
      <c r="C3530" t="s">
        <v>61</v>
      </c>
      <c r="D3530" t="s">
        <v>67</v>
      </c>
      <c r="E3530" t="s">
        <v>63</v>
      </c>
      <c r="F3530" t="s">
        <v>26</v>
      </c>
      <c r="G3530" s="4">
        <v>2</v>
      </c>
      <c r="H3530" s="4" t="s">
        <v>75</v>
      </c>
      <c r="I3530" s="4" t="s">
        <v>69</v>
      </c>
      <c r="J3530" s="4" t="s">
        <v>66</v>
      </c>
      <c r="K3530" s="4">
        <v>0</v>
      </c>
      <c r="L3530" s="94">
        <v>-59305</v>
      </c>
      <c r="M3530" s="94">
        <v>0</v>
      </c>
    </row>
    <row r="3531" spans="3:13" x14ac:dyDescent="0.3">
      <c r="C3531" t="s">
        <v>70</v>
      </c>
      <c r="D3531" t="s">
        <v>67</v>
      </c>
      <c r="E3531" t="s">
        <v>63</v>
      </c>
      <c r="F3531" t="s">
        <v>26</v>
      </c>
      <c r="G3531" s="4">
        <v>6</v>
      </c>
      <c r="H3531" s="4" t="s">
        <v>17</v>
      </c>
      <c r="I3531" s="4" t="s">
        <v>69</v>
      </c>
      <c r="J3531" s="4" t="s">
        <v>66</v>
      </c>
      <c r="K3531" s="4">
        <v>0</v>
      </c>
      <c r="L3531" s="94">
        <v>-13085</v>
      </c>
      <c r="M3531" s="94">
        <v>0</v>
      </c>
    </row>
    <row r="3532" spans="3:13" x14ac:dyDescent="0.3">
      <c r="C3532" t="s">
        <v>71</v>
      </c>
      <c r="D3532" t="s">
        <v>62</v>
      </c>
      <c r="E3532" t="s">
        <v>68</v>
      </c>
      <c r="F3532" t="s">
        <v>25</v>
      </c>
      <c r="G3532" s="4">
        <v>7</v>
      </c>
      <c r="I3532" s="4" t="s">
        <v>69</v>
      </c>
      <c r="J3532" s="4" t="s">
        <v>66</v>
      </c>
      <c r="K3532" s="4">
        <v>0</v>
      </c>
      <c r="L3532" s="94">
        <v>320322</v>
      </c>
      <c r="M3532" s="94">
        <v>2242254</v>
      </c>
    </row>
    <row r="3533" spans="3:13" x14ac:dyDescent="0.3">
      <c r="C3533" t="s">
        <v>61</v>
      </c>
      <c r="D3533" t="s">
        <v>62</v>
      </c>
      <c r="E3533" t="s">
        <v>68</v>
      </c>
      <c r="F3533" t="s">
        <v>25</v>
      </c>
      <c r="G3533" s="4">
        <v>12</v>
      </c>
      <c r="I3533" s="4" t="s">
        <v>69</v>
      </c>
      <c r="J3533" s="4" t="s">
        <v>66</v>
      </c>
      <c r="K3533" s="4">
        <v>1</v>
      </c>
      <c r="L3533" s="94">
        <v>574630</v>
      </c>
      <c r="M3533" s="94">
        <v>6895560</v>
      </c>
    </row>
    <row r="3534" spans="3:13" x14ac:dyDescent="0.3">
      <c r="C3534" t="s">
        <v>61</v>
      </c>
      <c r="D3534" t="s">
        <v>67</v>
      </c>
      <c r="E3534" t="s">
        <v>68</v>
      </c>
      <c r="F3534" t="s">
        <v>25</v>
      </c>
      <c r="G3534" s="4">
        <v>15</v>
      </c>
      <c r="H3534" s="4" t="s">
        <v>82</v>
      </c>
      <c r="I3534" s="4" t="s">
        <v>69</v>
      </c>
      <c r="J3534" s="4" t="s">
        <v>66</v>
      </c>
      <c r="K3534" s="4">
        <v>0</v>
      </c>
      <c r="L3534" s="94">
        <v>1016440</v>
      </c>
      <c r="M3534" s="94">
        <v>15246600</v>
      </c>
    </row>
    <row r="3535" spans="3:13" x14ac:dyDescent="0.3">
      <c r="C3535" t="s">
        <v>71</v>
      </c>
      <c r="D3535" t="s">
        <v>67</v>
      </c>
      <c r="E3535" t="s">
        <v>68</v>
      </c>
      <c r="F3535" t="s">
        <v>25</v>
      </c>
      <c r="G3535" s="4">
        <v>13</v>
      </c>
      <c r="H3535" s="4" t="s">
        <v>64</v>
      </c>
      <c r="I3535" s="4" t="s">
        <v>69</v>
      </c>
      <c r="J3535" s="4" t="s">
        <v>66</v>
      </c>
      <c r="K3535" s="4">
        <v>0</v>
      </c>
      <c r="L3535" s="94">
        <v>494415</v>
      </c>
      <c r="M3535" s="94">
        <v>6427395</v>
      </c>
    </row>
    <row r="3536" spans="3:13" x14ac:dyDescent="0.3">
      <c r="C3536" t="s">
        <v>61</v>
      </c>
      <c r="D3536" t="s">
        <v>67</v>
      </c>
      <c r="E3536" t="s">
        <v>68</v>
      </c>
      <c r="F3536" t="s">
        <v>72</v>
      </c>
      <c r="G3536" s="4">
        <v>0</v>
      </c>
      <c r="H3536" s="4" t="s">
        <v>16</v>
      </c>
      <c r="I3536" s="4" t="s">
        <v>69</v>
      </c>
      <c r="J3536" s="4" t="s">
        <v>66</v>
      </c>
      <c r="K3536" s="4">
        <v>0</v>
      </c>
      <c r="L3536" s="94">
        <v>114792</v>
      </c>
      <c r="M3536" s="94">
        <v>0</v>
      </c>
    </row>
    <row r="3537" spans="3:13" x14ac:dyDescent="0.3">
      <c r="C3537" t="s">
        <v>61</v>
      </c>
      <c r="D3537" t="s">
        <v>62</v>
      </c>
      <c r="E3537" t="s">
        <v>63</v>
      </c>
      <c r="F3537" t="s">
        <v>24</v>
      </c>
      <c r="G3537" s="4">
        <v>45</v>
      </c>
      <c r="I3537" s="4" t="s">
        <v>69</v>
      </c>
      <c r="J3537" s="4" t="s">
        <v>66</v>
      </c>
      <c r="K3537" s="4">
        <v>1</v>
      </c>
      <c r="L3537" s="94">
        <v>-37</v>
      </c>
      <c r="M3537" s="94">
        <v>0</v>
      </c>
    </row>
    <row r="3538" spans="3:13" x14ac:dyDescent="0.3">
      <c r="C3538" t="s">
        <v>70</v>
      </c>
      <c r="D3538" t="s">
        <v>67</v>
      </c>
      <c r="E3538" t="s">
        <v>63</v>
      </c>
      <c r="F3538" t="s">
        <v>26</v>
      </c>
      <c r="G3538" s="4">
        <v>0</v>
      </c>
      <c r="H3538" s="4" t="s">
        <v>12</v>
      </c>
      <c r="I3538" s="4" t="s">
        <v>69</v>
      </c>
      <c r="J3538" s="4" t="s">
        <v>73</v>
      </c>
      <c r="K3538" s="4">
        <v>1</v>
      </c>
      <c r="L3538" s="94">
        <v>-24137</v>
      </c>
      <c r="M3538" s="94">
        <v>0</v>
      </c>
    </row>
    <row r="3539" spans="3:13" x14ac:dyDescent="0.3">
      <c r="C3539" t="s">
        <v>61</v>
      </c>
      <c r="D3539" t="s">
        <v>67</v>
      </c>
      <c r="E3539" t="s">
        <v>63</v>
      </c>
      <c r="F3539" t="s">
        <v>26</v>
      </c>
      <c r="G3539" s="4">
        <v>0</v>
      </c>
      <c r="H3539" s="4" t="s">
        <v>87</v>
      </c>
      <c r="I3539" s="4" t="s">
        <v>69</v>
      </c>
      <c r="J3539" s="4" t="s">
        <v>66</v>
      </c>
      <c r="K3539" s="4">
        <v>0</v>
      </c>
      <c r="L3539" s="94">
        <v>-1194791</v>
      </c>
      <c r="M3539" s="94">
        <v>0</v>
      </c>
    </row>
    <row r="3540" spans="3:13" x14ac:dyDescent="0.3">
      <c r="C3540" t="s">
        <v>70</v>
      </c>
      <c r="D3540" t="s">
        <v>67</v>
      </c>
      <c r="E3540" t="s">
        <v>68</v>
      </c>
      <c r="F3540" t="s">
        <v>72</v>
      </c>
      <c r="G3540" s="4">
        <v>2</v>
      </c>
      <c r="H3540" s="4" t="s">
        <v>83</v>
      </c>
      <c r="I3540" s="4" t="s">
        <v>69</v>
      </c>
      <c r="J3540" s="4" t="s">
        <v>66</v>
      </c>
      <c r="K3540" s="4">
        <v>0</v>
      </c>
      <c r="L3540" s="94">
        <v>108492</v>
      </c>
      <c r="M3540" s="94">
        <v>216984</v>
      </c>
    </row>
    <row r="3541" spans="3:13" x14ac:dyDescent="0.3">
      <c r="C3541" t="s">
        <v>71</v>
      </c>
      <c r="D3541" t="s">
        <v>67</v>
      </c>
      <c r="E3541" t="s">
        <v>68</v>
      </c>
      <c r="F3541" t="s">
        <v>72</v>
      </c>
      <c r="G3541" s="4">
        <v>0</v>
      </c>
      <c r="H3541" s="4" t="s">
        <v>78</v>
      </c>
      <c r="I3541" s="4" t="s">
        <v>69</v>
      </c>
      <c r="J3541" s="4" t="s">
        <v>66</v>
      </c>
      <c r="K3541" s="4">
        <v>0</v>
      </c>
      <c r="L3541" s="94">
        <v>5445</v>
      </c>
      <c r="M3541" s="94">
        <v>0</v>
      </c>
    </row>
    <row r="3542" spans="3:13" x14ac:dyDescent="0.3">
      <c r="C3542" t="s">
        <v>61</v>
      </c>
      <c r="D3542" t="s">
        <v>67</v>
      </c>
      <c r="E3542" t="s">
        <v>68</v>
      </c>
      <c r="F3542" t="s">
        <v>25</v>
      </c>
      <c r="G3542" s="4">
        <v>1</v>
      </c>
      <c r="H3542" s="4" t="s">
        <v>17</v>
      </c>
      <c r="I3542" s="4" t="s">
        <v>69</v>
      </c>
      <c r="J3542" s="4" t="s">
        <v>66</v>
      </c>
      <c r="K3542" s="4">
        <v>0</v>
      </c>
      <c r="L3542" s="94">
        <v>48731073</v>
      </c>
      <c r="M3542" s="94">
        <v>48731073</v>
      </c>
    </row>
    <row r="3543" spans="3:13" x14ac:dyDescent="0.3">
      <c r="C3543" t="s">
        <v>71</v>
      </c>
      <c r="D3543" t="s">
        <v>67</v>
      </c>
      <c r="E3543" t="s">
        <v>68</v>
      </c>
      <c r="F3543" t="s">
        <v>26</v>
      </c>
      <c r="G3543" s="4">
        <v>7</v>
      </c>
      <c r="H3543" s="4" t="s">
        <v>75</v>
      </c>
      <c r="I3543" s="4" t="s">
        <v>69</v>
      </c>
      <c r="J3543" s="4" t="s">
        <v>66</v>
      </c>
      <c r="K3543" s="4">
        <v>0</v>
      </c>
      <c r="L3543" s="94">
        <v>369167</v>
      </c>
      <c r="M3543" s="94">
        <v>2584169</v>
      </c>
    </row>
    <row r="3544" spans="3:13" x14ac:dyDescent="0.3">
      <c r="C3544" t="s">
        <v>61</v>
      </c>
      <c r="D3544" t="s">
        <v>67</v>
      </c>
      <c r="E3544" t="s">
        <v>68</v>
      </c>
      <c r="F3544" t="s">
        <v>25</v>
      </c>
      <c r="G3544" s="4">
        <v>-1</v>
      </c>
      <c r="H3544" s="4" t="s">
        <v>18</v>
      </c>
      <c r="I3544" s="4" t="s">
        <v>69</v>
      </c>
      <c r="J3544" s="4" t="s">
        <v>66</v>
      </c>
      <c r="K3544" s="4">
        <v>0</v>
      </c>
      <c r="L3544" s="94">
        <v>1313757</v>
      </c>
      <c r="M3544" s="94">
        <v>0</v>
      </c>
    </row>
    <row r="3545" spans="3:13" x14ac:dyDescent="0.3">
      <c r="C3545" t="s">
        <v>70</v>
      </c>
      <c r="D3545" t="s">
        <v>62</v>
      </c>
      <c r="E3545" t="s">
        <v>63</v>
      </c>
      <c r="F3545" t="s">
        <v>24</v>
      </c>
      <c r="G3545" s="4">
        <v>40</v>
      </c>
      <c r="I3545" s="4" t="s">
        <v>69</v>
      </c>
      <c r="J3545" s="4" t="s">
        <v>66</v>
      </c>
      <c r="K3545" s="4">
        <v>0</v>
      </c>
      <c r="L3545" s="94">
        <v>-296156</v>
      </c>
      <c r="M3545" s="94">
        <v>0</v>
      </c>
    </row>
    <row r="3546" spans="3:13" x14ac:dyDescent="0.3">
      <c r="C3546" t="s">
        <v>70</v>
      </c>
      <c r="D3546" t="s">
        <v>67</v>
      </c>
      <c r="E3546" t="s">
        <v>63</v>
      </c>
      <c r="F3546" t="s">
        <v>26</v>
      </c>
      <c r="G3546" s="4">
        <v>1</v>
      </c>
      <c r="H3546" s="4" t="s">
        <v>15</v>
      </c>
      <c r="I3546" s="4" t="s">
        <v>69</v>
      </c>
      <c r="J3546" s="4" t="s">
        <v>73</v>
      </c>
      <c r="K3546" s="4">
        <v>1</v>
      </c>
      <c r="L3546" s="94">
        <v>-2396</v>
      </c>
      <c r="M3546" s="94">
        <v>0</v>
      </c>
    </row>
    <row r="3547" spans="3:13" x14ac:dyDescent="0.3">
      <c r="C3547" t="s">
        <v>61</v>
      </c>
      <c r="D3547" t="s">
        <v>62</v>
      </c>
      <c r="E3547" t="s">
        <v>63</v>
      </c>
      <c r="F3547" t="s">
        <v>24</v>
      </c>
      <c r="G3547" s="4">
        <v>21</v>
      </c>
      <c r="I3547" s="4" t="s">
        <v>65</v>
      </c>
      <c r="J3547" s="4" t="s">
        <v>66</v>
      </c>
      <c r="K3547" s="4">
        <v>1</v>
      </c>
      <c r="L3547" s="94">
        <v>-7909</v>
      </c>
      <c r="M3547" s="94">
        <v>0</v>
      </c>
    </row>
    <row r="3548" spans="3:13" x14ac:dyDescent="0.3">
      <c r="C3548" t="s">
        <v>70</v>
      </c>
      <c r="D3548" t="s">
        <v>67</v>
      </c>
      <c r="E3548" t="s">
        <v>68</v>
      </c>
      <c r="F3548" t="s">
        <v>25</v>
      </c>
      <c r="G3548" s="4">
        <v>2</v>
      </c>
      <c r="H3548" s="4" t="s">
        <v>75</v>
      </c>
      <c r="I3548" s="4" t="s">
        <v>69</v>
      </c>
      <c r="J3548" s="4" t="s">
        <v>66</v>
      </c>
      <c r="K3548" s="4">
        <v>0</v>
      </c>
      <c r="L3548" s="94">
        <v>1811592</v>
      </c>
      <c r="M3548" s="94">
        <v>3623184</v>
      </c>
    </row>
    <row r="3549" spans="3:13" x14ac:dyDescent="0.3">
      <c r="C3549" t="s">
        <v>70</v>
      </c>
      <c r="D3549" t="s">
        <v>67</v>
      </c>
      <c r="E3549" t="s">
        <v>68</v>
      </c>
      <c r="F3549" t="s">
        <v>72</v>
      </c>
      <c r="G3549" s="4">
        <v>7</v>
      </c>
      <c r="H3549" s="4" t="s">
        <v>18</v>
      </c>
      <c r="I3549" s="4" t="s">
        <v>69</v>
      </c>
      <c r="J3549" s="4" t="s">
        <v>66</v>
      </c>
      <c r="K3549" s="4">
        <v>0</v>
      </c>
      <c r="L3549" s="94">
        <v>331143</v>
      </c>
      <c r="M3549" s="94">
        <v>2318001</v>
      </c>
    </row>
    <row r="3550" spans="3:13" x14ac:dyDescent="0.3">
      <c r="C3550" t="s">
        <v>70</v>
      </c>
      <c r="D3550" t="s">
        <v>62</v>
      </c>
      <c r="E3550" t="s">
        <v>63</v>
      </c>
      <c r="F3550" t="s">
        <v>24</v>
      </c>
      <c r="G3550" s="4">
        <v>29</v>
      </c>
      <c r="I3550" s="4" t="s">
        <v>65</v>
      </c>
      <c r="J3550" s="4" t="s">
        <v>66</v>
      </c>
      <c r="K3550" s="4">
        <v>1</v>
      </c>
      <c r="L3550" s="94">
        <v>-41519</v>
      </c>
      <c r="M3550" s="94">
        <v>0</v>
      </c>
    </row>
    <row r="3551" spans="3:13" x14ac:dyDescent="0.3">
      <c r="C3551" t="s">
        <v>70</v>
      </c>
      <c r="D3551" t="s">
        <v>67</v>
      </c>
      <c r="E3551" t="s">
        <v>63</v>
      </c>
      <c r="F3551" t="s">
        <v>26</v>
      </c>
      <c r="G3551" s="4">
        <v>1</v>
      </c>
      <c r="H3551" s="4" t="s">
        <v>14</v>
      </c>
      <c r="I3551" s="4" t="s">
        <v>65</v>
      </c>
      <c r="J3551" s="4" t="s">
        <v>66</v>
      </c>
      <c r="K3551" s="4">
        <v>1</v>
      </c>
      <c r="L3551" s="94">
        <v>-601</v>
      </c>
      <c r="M3551" s="94">
        <v>0</v>
      </c>
    </row>
    <row r="3552" spans="3:13" x14ac:dyDescent="0.3">
      <c r="C3552" t="s">
        <v>71</v>
      </c>
      <c r="D3552" t="s">
        <v>62</v>
      </c>
      <c r="E3552" t="s">
        <v>68</v>
      </c>
      <c r="F3552" t="s">
        <v>24</v>
      </c>
      <c r="G3552" s="4">
        <v>25</v>
      </c>
      <c r="I3552" s="4" t="s">
        <v>69</v>
      </c>
      <c r="J3552" s="4" t="s">
        <v>66</v>
      </c>
      <c r="K3552" s="4">
        <v>1</v>
      </c>
      <c r="L3552" s="94">
        <v>93473</v>
      </c>
      <c r="M3552" s="94">
        <v>2336825</v>
      </c>
    </row>
    <row r="3553" spans="3:13" x14ac:dyDescent="0.3">
      <c r="C3553" t="s">
        <v>61</v>
      </c>
      <c r="D3553" t="s">
        <v>67</v>
      </c>
      <c r="E3553" t="s">
        <v>68</v>
      </c>
      <c r="F3553" t="s">
        <v>72</v>
      </c>
      <c r="G3553" s="4">
        <v>5</v>
      </c>
      <c r="H3553" s="4" t="s">
        <v>79</v>
      </c>
      <c r="I3553" s="4" t="s">
        <v>69</v>
      </c>
      <c r="J3553" s="4" t="s">
        <v>66</v>
      </c>
      <c r="K3553" s="4">
        <v>0</v>
      </c>
      <c r="L3553" s="94">
        <v>3598200</v>
      </c>
      <c r="M3553" s="94">
        <v>17991000</v>
      </c>
    </row>
    <row r="3554" spans="3:13" x14ac:dyDescent="0.3">
      <c r="C3554" t="s">
        <v>71</v>
      </c>
      <c r="D3554" t="s">
        <v>67</v>
      </c>
      <c r="E3554" t="s">
        <v>68</v>
      </c>
      <c r="F3554" t="s">
        <v>26</v>
      </c>
      <c r="G3554" s="4">
        <v>1</v>
      </c>
      <c r="H3554" s="4" t="s">
        <v>18</v>
      </c>
      <c r="I3554" s="4" t="s">
        <v>69</v>
      </c>
      <c r="J3554" s="4" t="s">
        <v>73</v>
      </c>
      <c r="K3554" s="4">
        <v>1</v>
      </c>
      <c r="L3554" s="94">
        <v>134437</v>
      </c>
      <c r="M3554" s="94">
        <v>134437</v>
      </c>
    </row>
    <row r="3555" spans="3:13" x14ac:dyDescent="0.3">
      <c r="C3555" t="s">
        <v>61</v>
      </c>
      <c r="D3555" t="s">
        <v>62</v>
      </c>
      <c r="E3555" t="s">
        <v>63</v>
      </c>
      <c r="F3555" t="s">
        <v>25</v>
      </c>
      <c r="G3555" s="4">
        <v>10</v>
      </c>
      <c r="I3555" s="4" t="s">
        <v>69</v>
      </c>
      <c r="J3555" s="4" t="s">
        <v>66</v>
      </c>
      <c r="K3555" s="4">
        <v>0</v>
      </c>
      <c r="L3555" s="94">
        <v>-5889</v>
      </c>
      <c r="M3555" s="94">
        <v>0</v>
      </c>
    </row>
    <row r="3556" spans="3:13" x14ac:dyDescent="0.3">
      <c r="C3556" t="s">
        <v>71</v>
      </c>
      <c r="D3556" t="s">
        <v>67</v>
      </c>
      <c r="E3556" t="s">
        <v>68</v>
      </c>
      <c r="F3556" t="s">
        <v>25</v>
      </c>
      <c r="G3556" s="4">
        <v>7</v>
      </c>
      <c r="H3556" s="4" t="s">
        <v>76</v>
      </c>
      <c r="I3556" s="4" t="s">
        <v>69</v>
      </c>
      <c r="J3556" s="4" t="s">
        <v>66</v>
      </c>
      <c r="K3556" s="4">
        <v>0</v>
      </c>
      <c r="L3556" s="94">
        <v>249590</v>
      </c>
      <c r="M3556" s="94">
        <v>1747130</v>
      </c>
    </row>
    <row r="3557" spans="3:13" x14ac:dyDescent="0.3">
      <c r="C3557" t="s">
        <v>70</v>
      </c>
      <c r="D3557" t="s">
        <v>67</v>
      </c>
      <c r="E3557" t="s">
        <v>63</v>
      </c>
      <c r="F3557" t="s">
        <v>72</v>
      </c>
      <c r="G3557" s="4">
        <v>3</v>
      </c>
      <c r="H3557" s="4" t="s">
        <v>14</v>
      </c>
      <c r="I3557" s="4" t="s">
        <v>69</v>
      </c>
      <c r="J3557" s="4" t="s">
        <v>73</v>
      </c>
      <c r="K3557" s="4">
        <v>1</v>
      </c>
      <c r="L3557" s="94">
        <v>-74814</v>
      </c>
      <c r="M3557" s="94">
        <v>0</v>
      </c>
    </row>
    <row r="3558" spans="3:13" x14ac:dyDescent="0.3">
      <c r="C3558" t="s">
        <v>71</v>
      </c>
      <c r="D3558" t="s">
        <v>62</v>
      </c>
      <c r="E3558" t="s">
        <v>63</v>
      </c>
      <c r="F3558" t="s">
        <v>24</v>
      </c>
      <c r="G3558" s="4">
        <v>16</v>
      </c>
      <c r="I3558" s="4" t="s">
        <v>69</v>
      </c>
      <c r="J3558" s="4" t="s">
        <v>66</v>
      </c>
      <c r="K3558" s="4">
        <v>1</v>
      </c>
      <c r="L3558" s="94">
        <v>-61709</v>
      </c>
      <c r="M3558" s="94">
        <v>0</v>
      </c>
    </row>
    <row r="3559" spans="3:13" x14ac:dyDescent="0.3">
      <c r="C3559" t="s">
        <v>71</v>
      </c>
      <c r="D3559" t="s">
        <v>67</v>
      </c>
      <c r="E3559" t="s">
        <v>68</v>
      </c>
      <c r="F3559" t="s">
        <v>25</v>
      </c>
      <c r="G3559" s="4">
        <v>3</v>
      </c>
      <c r="H3559" s="4" t="s">
        <v>74</v>
      </c>
      <c r="I3559" s="4" t="s">
        <v>69</v>
      </c>
      <c r="J3559" s="4" t="s">
        <v>66</v>
      </c>
      <c r="K3559" s="4">
        <v>0</v>
      </c>
      <c r="L3559" s="94">
        <v>1212860</v>
      </c>
      <c r="M3559" s="94">
        <v>3638580</v>
      </c>
    </row>
    <row r="3560" spans="3:13" x14ac:dyDescent="0.3">
      <c r="C3560" t="s">
        <v>61</v>
      </c>
      <c r="D3560" t="s">
        <v>67</v>
      </c>
      <c r="E3560" t="s">
        <v>68</v>
      </c>
      <c r="F3560" t="s">
        <v>26</v>
      </c>
      <c r="G3560" s="4">
        <v>3</v>
      </c>
      <c r="H3560" s="4" t="s">
        <v>78</v>
      </c>
      <c r="I3560" s="4" t="s">
        <v>69</v>
      </c>
      <c r="J3560" s="4" t="s">
        <v>66</v>
      </c>
      <c r="K3560" s="4">
        <v>0</v>
      </c>
      <c r="L3560" s="94">
        <v>1809073</v>
      </c>
      <c r="M3560" s="94">
        <v>5427219</v>
      </c>
    </row>
    <row r="3561" spans="3:13" x14ac:dyDescent="0.3">
      <c r="C3561" t="s">
        <v>61</v>
      </c>
      <c r="D3561" t="s">
        <v>67</v>
      </c>
      <c r="E3561" t="s">
        <v>63</v>
      </c>
      <c r="F3561" t="s">
        <v>25</v>
      </c>
      <c r="G3561" s="4">
        <v>4</v>
      </c>
      <c r="H3561" s="4" t="s">
        <v>64</v>
      </c>
      <c r="I3561" s="4" t="s">
        <v>69</v>
      </c>
      <c r="J3561" s="4" t="s">
        <v>66</v>
      </c>
      <c r="K3561" s="4">
        <v>0</v>
      </c>
      <c r="L3561" s="94">
        <v>-627</v>
      </c>
      <c r="M3561" s="94">
        <v>0</v>
      </c>
    </row>
    <row r="3562" spans="3:13" x14ac:dyDescent="0.3">
      <c r="C3562" t="s">
        <v>70</v>
      </c>
      <c r="D3562" t="s">
        <v>67</v>
      </c>
      <c r="E3562" t="s">
        <v>63</v>
      </c>
      <c r="F3562" t="s">
        <v>25</v>
      </c>
      <c r="G3562" s="4">
        <v>15</v>
      </c>
      <c r="H3562" s="4" t="s">
        <v>77</v>
      </c>
      <c r="I3562" s="4" t="s">
        <v>69</v>
      </c>
      <c r="J3562" s="4" t="s">
        <v>66</v>
      </c>
      <c r="K3562" s="4">
        <v>0</v>
      </c>
      <c r="L3562" s="94">
        <v>-2050</v>
      </c>
      <c r="M3562" s="94">
        <v>0</v>
      </c>
    </row>
    <row r="3563" spans="3:13" x14ac:dyDescent="0.3">
      <c r="C3563" t="s">
        <v>61</v>
      </c>
      <c r="D3563" t="s">
        <v>67</v>
      </c>
      <c r="E3563" t="s">
        <v>63</v>
      </c>
      <c r="F3563" t="s">
        <v>25</v>
      </c>
      <c r="G3563" s="4">
        <v>3</v>
      </c>
      <c r="H3563" s="4" t="s">
        <v>75</v>
      </c>
      <c r="I3563" s="4" t="s">
        <v>69</v>
      </c>
      <c r="J3563" s="4" t="s">
        <v>66</v>
      </c>
      <c r="K3563" s="4">
        <v>1</v>
      </c>
      <c r="L3563" s="94">
        <v>-248</v>
      </c>
      <c r="M3563" s="94">
        <v>0</v>
      </c>
    </row>
    <row r="3564" spans="3:13" x14ac:dyDescent="0.3">
      <c r="C3564" t="s">
        <v>61</v>
      </c>
      <c r="D3564" t="s">
        <v>67</v>
      </c>
      <c r="E3564" t="s">
        <v>63</v>
      </c>
      <c r="F3564" t="s">
        <v>25</v>
      </c>
      <c r="G3564" s="4">
        <v>1</v>
      </c>
      <c r="H3564" s="4" t="s">
        <v>80</v>
      </c>
      <c r="I3564" s="4" t="s">
        <v>69</v>
      </c>
      <c r="J3564" s="4" t="s">
        <v>66</v>
      </c>
      <c r="K3564" s="4">
        <v>0</v>
      </c>
      <c r="L3564" s="94">
        <v>-213</v>
      </c>
      <c r="M3564" s="94">
        <v>0</v>
      </c>
    </row>
    <row r="3565" spans="3:13" x14ac:dyDescent="0.3">
      <c r="C3565" t="s">
        <v>71</v>
      </c>
      <c r="D3565" t="s">
        <v>62</v>
      </c>
      <c r="E3565" t="s">
        <v>63</v>
      </c>
      <c r="F3565" t="s">
        <v>24</v>
      </c>
      <c r="G3565" s="4">
        <v>29</v>
      </c>
      <c r="I3565" s="4" t="s">
        <v>65</v>
      </c>
      <c r="J3565" s="4" t="s">
        <v>66</v>
      </c>
      <c r="K3565" s="4">
        <v>1</v>
      </c>
      <c r="L3565" s="94">
        <v>-63415</v>
      </c>
      <c r="M3565" s="94">
        <v>0</v>
      </c>
    </row>
    <row r="3566" spans="3:13" x14ac:dyDescent="0.3">
      <c r="C3566" t="s">
        <v>61</v>
      </c>
      <c r="D3566" t="s">
        <v>67</v>
      </c>
      <c r="E3566" t="s">
        <v>68</v>
      </c>
      <c r="F3566" t="s">
        <v>25</v>
      </c>
      <c r="G3566" s="4">
        <v>1</v>
      </c>
      <c r="H3566" s="4" t="s">
        <v>82</v>
      </c>
      <c r="I3566" s="4" t="s">
        <v>69</v>
      </c>
      <c r="J3566" s="4" t="s">
        <v>66</v>
      </c>
      <c r="K3566" s="4">
        <v>0</v>
      </c>
      <c r="L3566" s="94">
        <v>743719</v>
      </c>
      <c r="M3566" s="94">
        <v>743719</v>
      </c>
    </row>
    <row r="3567" spans="3:13" x14ac:dyDescent="0.3">
      <c r="C3567" t="s">
        <v>61</v>
      </c>
      <c r="D3567" t="s">
        <v>67</v>
      </c>
      <c r="E3567" t="s">
        <v>63</v>
      </c>
      <c r="F3567" t="s">
        <v>72</v>
      </c>
      <c r="G3567" s="4">
        <v>3</v>
      </c>
      <c r="H3567" s="4" t="s">
        <v>14</v>
      </c>
      <c r="I3567" s="4" t="s">
        <v>69</v>
      </c>
      <c r="J3567" s="4" t="s">
        <v>73</v>
      </c>
      <c r="K3567" s="4">
        <v>1</v>
      </c>
      <c r="L3567" s="94">
        <v>-26767</v>
      </c>
      <c r="M3567" s="94">
        <v>0</v>
      </c>
    </row>
    <row r="3568" spans="3:13" x14ac:dyDescent="0.3">
      <c r="C3568" t="s">
        <v>70</v>
      </c>
      <c r="D3568" t="s">
        <v>67</v>
      </c>
      <c r="E3568" t="s">
        <v>68</v>
      </c>
      <c r="F3568" t="s">
        <v>26</v>
      </c>
      <c r="G3568" s="4">
        <v>2</v>
      </c>
      <c r="H3568" s="4" t="s">
        <v>75</v>
      </c>
      <c r="I3568" s="4" t="s">
        <v>65</v>
      </c>
      <c r="J3568" s="4" t="s">
        <v>66</v>
      </c>
      <c r="K3568" s="4">
        <v>1</v>
      </c>
      <c r="L3568" s="94">
        <v>15921</v>
      </c>
      <c r="M3568" s="94">
        <v>31842</v>
      </c>
    </row>
    <row r="3569" spans="3:13" x14ac:dyDescent="0.3">
      <c r="C3569" t="s">
        <v>71</v>
      </c>
      <c r="D3569" t="s">
        <v>62</v>
      </c>
      <c r="E3569" t="s">
        <v>68</v>
      </c>
      <c r="F3569" t="s">
        <v>24</v>
      </c>
      <c r="G3569" s="4">
        <v>36</v>
      </c>
      <c r="I3569" s="4" t="s">
        <v>69</v>
      </c>
      <c r="J3569" s="4" t="s">
        <v>66</v>
      </c>
      <c r="K3569" s="4">
        <v>1</v>
      </c>
      <c r="L3569" s="94">
        <v>131496</v>
      </c>
      <c r="M3569" s="94">
        <v>4733856</v>
      </c>
    </row>
    <row r="3570" spans="3:13" x14ac:dyDescent="0.3">
      <c r="C3570" t="s">
        <v>61</v>
      </c>
      <c r="D3570" t="s">
        <v>67</v>
      </c>
      <c r="E3570" t="s">
        <v>68</v>
      </c>
      <c r="F3570" t="s">
        <v>26</v>
      </c>
      <c r="G3570" s="4">
        <v>-1</v>
      </c>
      <c r="H3570" s="4" t="s">
        <v>83</v>
      </c>
      <c r="I3570" s="4" t="s">
        <v>69</v>
      </c>
      <c r="J3570" s="4" t="s">
        <v>66</v>
      </c>
      <c r="K3570" s="4">
        <v>0</v>
      </c>
      <c r="L3570" s="94">
        <v>3238312</v>
      </c>
      <c r="M3570" s="94">
        <v>0</v>
      </c>
    </row>
    <row r="3571" spans="3:13" x14ac:dyDescent="0.3">
      <c r="C3571" t="s">
        <v>61</v>
      </c>
      <c r="D3571" t="s">
        <v>67</v>
      </c>
      <c r="E3571" t="s">
        <v>68</v>
      </c>
      <c r="F3571" t="s">
        <v>25</v>
      </c>
      <c r="G3571" s="4">
        <v>7</v>
      </c>
      <c r="H3571" s="4" t="s">
        <v>79</v>
      </c>
      <c r="I3571" s="4" t="s">
        <v>69</v>
      </c>
      <c r="J3571" s="4" t="s">
        <v>66</v>
      </c>
      <c r="K3571" s="4">
        <v>0</v>
      </c>
      <c r="L3571" s="94">
        <v>4631585</v>
      </c>
      <c r="M3571" s="94">
        <v>32421095</v>
      </c>
    </row>
    <row r="3572" spans="3:13" x14ac:dyDescent="0.3">
      <c r="C3572" t="s">
        <v>61</v>
      </c>
      <c r="D3572" t="s">
        <v>67</v>
      </c>
      <c r="E3572" t="s">
        <v>68</v>
      </c>
      <c r="F3572" t="s">
        <v>72</v>
      </c>
      <c r="G3572" s="4">
        <v>3</v>
      </c>
      <c r="H3572" s="4" t="s">
        <v>77</v>
      </c>
      <c r="I3572" s="4" t="s">
        <v>69</v>
      </c>
      <c r="J3572" s="4" t="s">
        <v>66</v>
      </c>
      <c r="K3572" s="4">
        <v>0</v>
      </c>
      <c r="L3572" s="94">
        <v>2461201</v>
      </c>
      <c r="M3572" s="94">
        <v>7383603</v>
      </c>
    </row>
    <row r="3573" spans="3:13" x14ac:dyDescent="0.3">
      <c r="C3573" t="s">
        <v>61</v>
      </c>
      <c r="D3573" t="s">
        <v>84</v>
      </c>
      <c r="E3573" t="s">
        <v>68</v>
      </c>
      <c r="F3573" t="s">
        <v>25</v>
      </c>
      <c r="G3573" s="4">
        <v>11</v>
      </c>
      <c r="H3573" s="4" t="s">
        <v>81</v>
      </c>
      <c r="I3573" s="4" t="s">
        <v>69</v>
      </c>
      <c r="J3573" s="4" t="s">
        <v>66</v>
      </c>
      <c r="K3573" s="4">
        <v>0</v>
      </c>
      <c r="L3573" s="94">
        <v>145621</v>
      </c>
      <c r="M3573" s="94">
        <v>1601831</v>
      </c>
    </row>
    <row r="3574" spans="3:13" x14ac:dyDescent="0.3">
      <c r="C3574" t="s">
        <v>61</v>
      </c>
      <c r="D3574" t="s">
        <v>67</v>
      </c>
      <c r="E3574" t="s">
        <v>68</v>
      </c>
      <c r="F3574" t="s">
        <v>26</v>
      </c>
      <c r="G3574" s="4">
        <v>7</v>
      </c>
      <c r="H3574" s="4" t="s">
        <v>82</v>
      </c>
      <c r="I3574" s="4" t="s">
        <v>69</v>
      </c>
      <c r="J3574" s="4" t="s">
        <v>66</v>
      </c>
      <c r="K3574" s="4">
        <v>0</v>
      </c>
      <c r="L3574" s="94">
        <v>67702226</v>
      </c>
      <c r="M3574" s="94">
        <v>473915582</v>
      </c>
    </row>
    <row r="3575" spans="3:13" x14ac:dyDescent="0.3">
      <c r="C3575" t="s">
        <v>71</v>
      </c>
      <c r="D3575" t="s">
        <v>62</v>
      </c>
      <c r="E3575" t="s">
        <v>68</v>
      </c>
      <c r="F3575" t="s">
        <v>24</v>
      </c>
      <c r="G3575" s="4">
        <v>21</v>
      </c>
      <c r="I3575" s="4" t="s">
        <v>65</v>
      </c>
      <c r="J3575" s="4" t="s">
        <v>66</v>
      </c>
      <c r="K3575" s="4">
        <v>1</v>
      </c>
      <c r="L3575" s="94">
        <v>151848</v>
      </c>
      <c r="M3575" s="94">
        <v>3188808</v>
      </c>
    </row>
    <row r="3576" spans="3:13" x14ac:dyDescent="0.3">
      <c r="C3576" t="s">
        <v>61</v>
      </c>
      <c r="D3576" t="s">
        <v>67</v>
      </c>
      <c r="E3576" t="s">
        <v>63</v>
      </c>
      <c r="F3576" t="s">
        <v>25</v>
      </c>
      <c r="G3576" s="4">
        <v>12</v>
      </c>
      <c r="H3576" s="4" t="s">
        <v>18</v>
      </c>
      <c r="I3576" s="4" t="s">
        <v>69</v>
      </c>
      <c r="J3576" s="4" t="s">
        <v>66</v>
      </c>
      <c r="K3576" s="4">
        <v>0</v>
      </c>
      <c r="L3576" s="94">
        <v>-8428</v>
      </c>
      <c r="M3576" s="94">
        <v>0</v>
      </c>
    </row>
    <row r="3577" spans="3:13" x14ac:dyDescent="0.3">
      <c r="C3577" t="s">
        <v>71</v>
      </c>
      <c r="D3577" t="s">
        <v>67</v>
      </c>
      <c r="E3577" t="s">
        <v>63</v>
      </c>
      <c r="F3577" t="s">
        <v>26</v>
      </c>
      <c r="G3577" s="4">
        <v>1</v>
      </c>
      <c r="H3577" s="4" t="s">
        <v>83</v>
      </c>
      <c r="I3577" s="4" t="s">
        <v>69</v>
      </c>
      <c r="J3577" s="4" t="s">
        <v>66</v>
      </c>
      <c r="K3577" s="4">
        <v>0</v>
      </c>
      <c r="L3577" s="94">
        <v>-91955</v>
      </c>
      <c r="M3577" s="94">
        <v>0</v>
      </c>
    </row>
    <row r="3578" spans="3:13" x14ac:dyDescent="0.3">
      <c r="C3578" t="s">
        <v>61</v>
      </c>
      <c r="D3578" t="s">
        <v>67</v>
      </c>
      <c r="E3578" t="s">
        <v>63</v>
      </c>
      <c r="F3578" t="s">
        <v>26</v>
      </c>
      <c r="G3578" s="4">
        <v>2</v>
      </c>
      <c r="H3578" s="4" t="s">
        <v>13</v>
      </c>
      <c r="I3578" s="4" t="s">
        <v>69</v>
      </c>
      <c r="J3578" s="4" t="s">
        <v>66</v>
      </c>
      <c r="K3578" s="4">
        <v>0</v>
      </c>
      <c r="L3578" s="94">
        <v>-60</v>
      </c>
      <c r="M3578" s="94">
        <v>0</v>
      </c>
    </row>
    <row r="3579" spans="3:13" x14ac:dyDescent="0.3">
      <c r="C3579" t="s">
        <v>61</v>
      </c>
      <c r="D3579" t="s">
        <v>84</v>
      </c>
      <c r="E3579" t="s">
        <v>63</v>
      </c>
      <c r="F3579" t="s">
        <v>25</v>
      </c>
      <c r="G3579" s="4">
        <v>10</v>
      </c>
      <c r="H3579" s="4" t="s">
        <v>75</v>
      </c>
      <c r="I3579" s="4" t="s">
        <v>69</v>
      </c>
      <c r="J3579" s="4" t="s">
        <v>66</v>
      </c>
      <c r="K3579" s="4">
        <v>0</v>
      </c>
      <c r="L3579" s="94">
        <v>-18057</v>
      </c>
      <c r="M3579" s="94">
        <v>0</v>
      </c>
    </row>
    <row r="3580" spans="3:13" x14ac:dyDescent="0.3">
      <c r="C3580" t="s">
        <v>70</v>
      </c>
      <c r="D3580" t="s">
        <v>67</v>
      </c>
      <c r="E3580" t="s">
        <v>63</v>
      </c>
      <c r="F3580" t="s">
        <v>26</v>
      </c>
      <c r="G3580" s="4">
        <v>6</v>
      </c>
      <c r="H3580" s="4" t="s">
        <v>82</v>
      </c>
      <c r="I3580" s="4" t="s">
        <v>69</v>
      </c>
      <c r="J3580" s="4" t="s">
        <v>66</v>
      </c>
      <c r="K3580" s="4">
        <v>0</v>
      </c>
      <c r="L3580" s="94">
        <v>-13277</v>
      </c>
      <c r="M3580" s="94">
        <v>0</v>
      </c>
    </row>
    <row r="3581" spans="3:13" x14ac:dyDescent="0.3">
      <c r="C3581" t="s">
        <v>61</v>
      </c>
      <c r="D3581" t="s">
        <v>67</v>
      </c>
      <c r="E3581" t="s">
        <v>63</v>
      </c>
      <c r="F3581" t="s">
        <v>25</v>
      </c>
      <c r="G3581" s="4">
        <v>1</v>
      </c>
      <c r="H3581" s="4" t="s">
        <v>18</v>
      </c>
      <c r="I3581" s="4" t="s">
        <v>65</v>
      </c>
      <c r="J3581" s="4" t="s">
        <v>66</v>
      </c>
      <c r="K3581" s="4">
        <v>1</v>
      </c>
      <c r="L3581" s="94">
        <v>-210</v>
      </c>
      <c r="M3581" s="94">
        <v>0</v>
      </c>
    </row>
    <row r="3582" spans="3:13" x14ac:dyDescent="0.3">
      <c r="C3582" t="s">
        <v>61</v>
      </c>
      <c r="D3582" t="s">
        <v>67</v>
      </c>
      <c r="E3582" t="s">
        <v>63</v>
      </c>
      <c r="F3582" t="s">
        <v>72</v>
      </c>
      <c r="G3582" s="4">
        <v>4</v>
      </c>
      <c r="H3582" s="4" t="s">
        <v>14</v>
      </c>
      <c r="I3582" s="4" t="s">
        <v>69</v>
      </c>
      <c r="J3582" s="4" t="s">
        <v>73</v>
      </c>
      <c r="K3582" s="4">
        <v>1</v>
      </c>
      <c r="L3582" s="94">
        <v>-23005</v>
      </c>
      <c r="M3582" s="94">
        <v>0</v>
      </c>
    </row>
    <row r="3583" spans="3:13" x14ac:dyDescent="0.3">
      <c r="C3583" t="s">
        <v>61</v>
      </c>
      <c r="D3583" t="s">
        <v>67</v>
      </c>
      <c r="E3583" t="s">
        <v>68</v>
      </c>
      <c r="F3583" t="s">
        <v>25</v>
      </c>
      <c r="G3583" s="4">
        <v>13</v>
      </c>
      <c r="H3583" s="4" t="s">
        <v>17</v>
      </c>
      <c r="I3583" s="4" t="s">
        <v>69</v>
      </c>
      <c r="J3583" s="4" t="s">
        <v>66</v>
      </c>
      <c r="K3583" s="4">
        <v>0</v>
      </c>
      <c r="L3583" s="94">
        <v>12567769</v>
      </c>
      <c r="M3583" s="94">
        <v>163380997</v>
      </c>
    </row>
    <row r="3584" spans="3:13" x14ac:dyDescent="0.3">
      <c r="C3584" t="s">
        <v>70</v>
      </c>
      <c r="D3584" t="s">
        <v>67</v>
      </c>
      <c r="E3584" t="s">
        <v>68</v>
      </c>
      <c r="F3584" t="s">
        <v>72</v>
      </c>
      <c r="G3584" s="4">
        <v>3</v>
      </c>
      <c r="H3584" s="4" t="s">
        <v>14</v>
      </c>
      <c r="I3584" s="4" t="s">
        <v>69</v>
      </c>
      <c r="J3584" s="4" t="s">
        <v>73</v>
      </c>
      <c r="K3584" s="4">
        <v>1</v>
      </c>
      <c r="L3584" s="94">
        <v>1534437</v>
      </c>
      <c r="M3584" s="94">
        <v>4603311</v>
      </c>
    </row>
    <row r="3585" spans="3:13" x14ac:dyDescent="0.3">
      <c r="C3585" t="s">
        <v>61</v>
      </c>
      <c r="D3585" t="s">
        <v>62</v>
      </c>
      <c r="E3585" t="s">
        <v>63</v>
      </c>
      <c r="F3585" t="s">
        <v>25</v>
      </c>
      <c r="G3585" s="4">
        <v>30</v>
      </c>
      <c r="I3585" s="4" t="s">
        <v>69</v>
      </c>
      <c r="J3585" s="4" t="s">
        <v>66</v>
      </c>
      <c r="K3585" s="4">
        <v>0</v>
      </c>
      <c r="L3585" s="94">
        <v>-496</v>
      </c>
      <c r="M3585" s="94">
        <v>0</v>
      </c>
    </row>
    <row r="3586" spans="3:13" x14ac:dyDescent="0.3">
      <c r="C3586" t="s">
        <v>61</v>
      </c>
      <c r="D3586" t="s">
        <v>62</v>
      </c>
      <c r="E3586" t="s">
        <v>68</v>
      </c>
      <c r="F3586" t="s">
        <v>25</v>
      </c>
      <c r="G3586" s="4">
        <v>14</v>
      </c>
      <c r="I3586" s="4" t="s">
        <v>69</v>
      </c>
      <c r="J3586" s="4" t="s">
        <v>66</v>
      </c>
      <c r="K3586" s="4">
        <v>0</v>
      </c>
      <c r="L3586" s="94">
        <v>1180716</v>
      </c>
      <c r="M3586" s="94">
        <v>16530024</v>
      </c>
    </row>
    <row r="3587" spans="3:13" x14ac:dyDescent="0.3">
      <c r="C3587" t="s">
        <v>61</v>
      </c>
      <c r="D3587" t="s">
        <v>67</v>
      </c>
      <c r="E3587" t="s">
        <v>68</v>
      </c>
      <c r="F3587" t="s">
        <v>25</v>
      </c>
      <c r="G3587" s="4">
        <v>6</v>
      </c>
      <c r="H3587" s="4" t="s">
        <v>79</v>
      </c>
      <c r="I3587" s="4" t="s">
        <v>69</v>
      </c>
      <c r="J3587" s="4" t="s">
        <v>66</v>
      </c>
      <c r="K3587" s="4">
        <v>0</v>
      </c>
      <c r="L3587" s="94">
        <v>4012796</v>
      </c>
      <c r="M3587" s="94">
        <v>24076776</v>
      </c>
    </row>
    <row r="3588" spans="3:13" x14ac:dyDescent="0.3">
      <c r="C3588" t="s">
        <v>71</v>
      </c>
      <c r="D3588" t="s">
        <v>62</v>
      </c>
      <c r="E3588" t="s">
        <v>68</v>
      </c>
      <c r="F3588" t="s">
        <v>24</v>
      </c>
      <c r="G3588" s="4">
        <v>20</v>
      </c>
      <c r="I3588" s="4" t="s">
        <v>69</v>
      </c>
      <c r="J3588" s="4" t="s">
        <v>66</v>
      </c>
      <c r="K3588" s="4">
        <v>0</v>
      </c>
      <c r="L3588" s="94">
        <v>7088272</v>
      </c>
      <c r="M3588" s="94">
        <v>141765440</v>
      </c>
    </row>
    <row r="3589" spans="3:13" x14ac:dyDescent="0.3">
      <c r="C3589" t="s">
        <v>71</v>
      </c>
      <c r="D3589" t="s">
        <v>67</v>
      </c>
      <c r="E3589" t="s">
        <v>63</v>
      </c>
      <c r="F3589" t="s">
        <v>26</v>
      </c>
      <c r="G3589" s="4">
        <v>-1</v>
      </c>
      <c r="H3589" s="4" t="s">
        <v>17</v>
      </c>
      <c r="I3589" s="4" t="s">
        <v>69</v>
      </c>
      <c r="J3589" s="4" t="s">
        <v>66</v>
      </c>
      <c r="K3589" s="4">
        <v>0</v>
      </c>
      <c r="L3589" s="94">
        <v>-4268503</v>
      </c>
      <c r="M3589" s="94">
        <v>0</v>
      </c>
    </row>
    <row r="3590" spans="3:13" x14ac:dyDescent="0.3">
      <c r="C3590" t="s">
        <v>61</v>
      </c>
      <c r="D3590" t="s">
        <v>67</v>
      </c>
      <c r="E3590" t="s">
        <v>63</v>
      </c>
      <c r="F3590" t="s">
        <v>25</v>
      </c>
      <c r="G3590" s="4">
        <v>4</v>
      </c>
      <c r="H3590" s="4" t="s">
        <v>78</v>
      </c>
      <c r="I3590" s="4" t="s">
        <v>69</v>
      </c>
      <c r="J3590" s="4" t="s">
        <v>66</v>
      </c>
      <c r="K3590" s="4">
        <v>0</v>
      </c>
      <c r="L3590" s="94">
        <v>-189</v>
      </c>
      <c r="M3590" s="94">
        <v>0</v>
      </c>
    </row>
    <row r="3591" spans="3:13" x14ac:dyDescent="0.3">
      <c r="C3591" t="s">
        <v>70</v>
      </c>
      <c r="D3591" t="s">
        <v>67</v>
      </c>
      <c r="E3591" t="s">
        <v>68</v>
      </c>
      <c r="F3591" t="s">
        <v>26</v>
      </c>
      <c r="G3591" s="4">
        <v>-1</v>
      </c>
      <c r="H3591" s="4" t="s">
        <v>17</v>
      </c>
      <c r="I3591" s="4" t="s">
        <v>65</v>
      </c>
      <c r="J3591" s="4" t="s">
        <v>66</v>
      </c>
      <c r="K3591" s="4">
        <v>1</v>
      </c>
      <c r="L3591" s="94">
        <v>259655</v>
      </c>
      <c r="M3591" s="94">
        <v>0</v>
      </c>
    </row>
    <row r="3592" spans="3:13" x14ac:dyDescent="0.3">
      <c r="C3592" t="s">
        <v>61</v>
      </c>
      <c r="D3592" t="s">
        <v>62</v>
      </c>
      <c r="E3592" t="s">
        <v>68</v>
      </c>
      <c r="F3592" t="s">
        <v>24</v>
      </c>
      <c r="G3592" s="4">
        <v>-1</v>
      </c>
      <c r="I3592" s="4" t="s">
        <v>69</v>
      </c>
      <c r="J3592" s="4" t="s">
        <v>66</v>
      </c>
      <c r="K3592" s="4">
        <v>0</v>
      </c>
      <c r="L3592" s="94">
        <v>103722</v>
      </c>
      <c r="M3592" s="94">
        <v>0</v>
      </c>
    </row>
    <row r="3593" spans="3:13" x14ac:dyDescent="0.3">
      <c r="C3593" t="s">
        <v>71</v>
      </c>
      <c r="D3593" t="s">
        <v>67</v>
      </c>
      <c r="E3593" t="s">
        <v>63</v>
      </c>
      <c r="F3593" t="s">
        <v>25</v>
      </c>
      <c r="G3593" s="4">
        <v>1</v>
      </c>
      <c r="H3593" s="4" t="s">
        <v>76</v>
      </c>
      <c r="I3593" s="4" t="s">
        <v>69</v>
      </c>
      <c r="J3593" s="4" t="s">
        <v>66</v>
      </c>
      <c r="K3593" s="4">
        <v>0</v>
      </c>
      <c r="L3593" s="94">
        <v>-28222</v>
      </c>
      <c r="M3593" s="94">
        <v>0</v>
      </c>
    </row>
    <row r="3594" spans="3:13" x14ac:dyDescent="0.3">
      <c r="C3594" t="s">
        <v>61</v>
      </c>
      <c r="D3594" t="s">
        <v>67</v>
      </c>
      <c r="E3594" t="s">
        <v>63</v>
      </c>
      <c r="F3594" t="s">
        <v>26</v>
      </c>
      <c r="G3594" s="4">
        <v>1</v>
      </c>
      <c r="H3594" s="4" t="s">
        <v>64</v>
      </c>
      <c r="I3594" s="4" t="s">
        <v>69</v>
      </c>
      <c r="J3594" s="4" t="s">
        <v>66</v>
      </c>
      <c r="K3594" s="4">
        <v>0</v>
      </c>
      <c r="L3594" s="94">
        <v>-43947</v>
      </c>
      <c r="M3594" s="94">
        <v>0</v>
      </c>
    </row>
    <row r="3595" spans="3:13" x14ac:dyDescent="0.3">
      <c r="C3595" t="s">
        <v>71</v>
      </c>
      <c r="D3595" t="s">
        <v>67</v>
      </c>
      <c r="E3595" t="s">
        <v>63</v>
      </c>
      <c r="F3595" t="s">
        <v>26</v>
      </c>
      <c r="G3595" s="4">
        <v>0</v>
      </c>
      <c r="H3595" s="4" t="s">
        <v>18</v>
      </c>
      <c r="I3595" s="4" t="s">
        <v>69</v>
      </c>
      <c r="J3595" s="4" t="s">
        <v>66</v>
      </c>
      <c r="K3595" s="4">
        <v>0</v>
      </c>
      <c r="L3595" s="94">
        <v>-2706463</v>
      </c>
      <c r="M3595" s="94">
        <v>0</v>
      </c>
    </row>
    <row r="3596" spans="3:13" x14ac:dyDescent="0.3">
      <c r="C3596" t="s">
        <v>70</v>
      </c>
      <c r="D3596" t="s">
        <v>67</v>
      </c>
      <c r="E3596" t="s">
        <v>68</v>
      </c>
      <c r="F3596" t="s">
        <v>26</v>
      </c>
      <c r="G3596" s="4">
        <v>-1</v>
      </c>
      <c r="H3596" s="4" t="s">
        <v>12</v>
      </c>
      <c r="I3596" s="4" t="s">
        <v>69</v>
      </c>
      <c r="J3596" s="4" t="s">
        <v>73</v>
      </c>
      <c r="K3596" s="4">
        <v>1</v>
      </c>
      <c r="L3596" s="94">
        <v>5521409</v>
      </c>
      <c r="M3596" s="94">
        <v>0</v>
      </c>
    </row>
    <row r="3597" spans="3:13" x14ac:dyDescent="0.3">
      <c r="C3597" t="s">
        <v>70</v>
      </c>
      <c r="D3597" t="s">
        <v>62</v>
      </c>
      <c r="E3597" t="s">
        <v>63</v>
      </c>
      <c r="F3597" t="s">
        <v>24</v>
      </c>
      <c r="G3597" s="4">
        <v>18</v>
      </c>
      <c r="I3597" s="4" t="s">
        <v>69</v>
      </c>
      <c r="J3597" s="4" t="s">
        <v>66</v>
      </c>
      <c r="K3597" s="4">
        <v>1</v>
      </c>
      <c r="L3597" s="94">
        <v>-4434</v>
      </c>
      <c r="M3597" s="94">
        <v>0</v>
      </c>
    </row>
    <row r="3598" spans="3:13" x14ac:dyDescent="0.3">
      <c r="C3598" t="s">
        <v>61</v>
      </c>
      <c r="D3598" t="s">
        <v>67</v>
      </c>
      <c r="E3598" t="s">
        <v>63</v>
      </c>
      <c r="F3598" t="s">
        <v>26</v>
      </c>
      <c r="G3598" s="4">
        <v>4</v>
      </c>
      <c r="H3598" s="4" t="s">
        <v>74</v>
      </c>
      <c r="I3598" s="4" t="s">
        <v>69</v>
      </c>
      <c r="J3598" s="4" t="s">
        <v>66</v>
      </c>
      <c r="K3598" s="4">
        <v>0</v>
      </c>
      <c r="L3598" s="94">
        <v>-178545</v>
      </c>
      <c r="M3598" s="94">
        <v>0</v>
      </c>
    </row>
    <row r="3599" spans="3:13" x14ac:dyDescent="0.3">
      <c r="C3599" t="s">
        <v>61</v>
      </c>
      <c r="D3599" t="s">
        <v>67</v>
      </c>
      <c r="E3599" t="s">
        <v>63</v>
      </c>
      <c r="F3599" t="s">
        <v>25</v>
      </c>
      <c r="G3599" s="4">
        <v>6</v>
      </c>
      <c r="H3599" s="4" t="s">
        <v>14</v>
      </c>
      <c r="I3599" s="4" t="s">
        <v>69</v>
      </c>
      <c r="J3599" s="4" t="s">
        <v>66</v>
      </c>
      <c r="K3599" s="4">
        <v>0</v>
      </c>
      <c r="L3599" s="94">
        <v>-10441</v>
      </c>
      <c r="M3599" s="94">
        <v>0</v>
      </c>
    </row>
    <row r="3600" spans="3:13" x14ac:dyDescent="0.3">
      <c r="C3600" t="s">
        <v>70</v>
      </c>
      <c r="D3600" t="s">
        <v>62</v>
      </c>
      <c r="E3600" t="s">
        <v>68</v>
      </c>
      <c r="F3600" t="s">
        <v>25</v>
      </c>
      <c r="G3600" s="4">
        <v>6</v>
      </c>
      <c r="I3600" s="4" t="s">
        <v>69</v>
      </c>
      <c r="J3600" s="4" t="s">
        <v>66</v>
      </c>
      <c r="K3600" s="4">
        <v>0</v>
      </c>
      <c r="L3600" s="94">
        <v>2086135</v>
      </c>
      <c r="M3600" s="94">
        <v>12516810</v>
      </c>
    </row>
    <row r="3601" spans="3:13" x14ac:dyDescent="0.3">
      <c r="C3601" t="s">
        <v>70</v>
      </c>
      <c r="D3601" t="s">
        <v>67</v>
      </c>
      <c r="E3601" t="s">
        <v>63</v>
      </c>
      <c r="F3601" t="s">
        <v>26</v>
      </c>
      <c r="G3601" s="4">
        <v>12</v>
      </c>
      <c r="H3601" s="4" t="s">
        <v>74</v>
      </c>
      <c r="I3601" s="4" t="s">
        <v>69</v>
      </c>
      <c r="J3601" s="4" t="s">
        <v>66</v>
      </c>
      <c r="K3601" s="4">
        <v>0</v>
      </c>
      <c r="L3601" s="94">
        <v>-151158</v>
      </c>
      <c r="M3601" s="94">
        <v>0</v>
      </c>
    </row>
    <row r="3602" spans="3:13" x14ac:dyDescent="0.3">
      <c r="C3602" t="s">
        <v>70</v>
      </c>
      <c r="D3602" t="s">
        <v>67</v>
      </c>
      <c r="E3602" t="s">
        <v>68</v>
      </c>
      <c r="F3602" t="s">
        <v>26</v>
      </c>
      <c r="G3602" s="4">
        <v>0</v>
      </c>
      <c r="H3602" s="4" t="s">
        <v>82</v>
      </c>
      <c r="I3602" s="4" t="s">
        <v>69</v>
      </c>
      <c r="J3602" s="4" t="s">
        <v>73</v>
      </c>
      <c r="K3602" s="4">
        <v>1</v>
      </c>
      <c r="L3602" s="94">
        <v>5191</v>
      </c>
      <c r="M3602" s="94">
        <v>0</v>
      </c>
    </row>
    <row r="3603" spans="3:13" x14ac:dyDescent="0.3">
      <c r="C3603" t="s">
        <v>61</v>
      </c>
      <c r="D3603" t="s">
        <v>62</v>
      </c>
      <c r="E3603" t="s">
        <v>63</v>
      </c>
      <c r="F3603" t="s">
        <v>25</v>
      </c>
      <c r="G3603" s="4">
        <v>-1</v>
      </c>
      <c r="I3603" s="4" t="s">
        <v>69</v>
      </c>
      <c r="J3603" s="4" t="s">
        <v>66</v>
      </c>
      <c r="K3603" s="4">
        <v>0</v>
      </c>
      <c r="L3603" s="94">
        <v>-7537</v>
      </c>
      <c r="M3603" s="94">
        <v>0</v>
      </c>
    </row>
    <row r="3604" spans="3:13" x14ac:dyDescent="0.3">
      <c r="C3604" t="s">
        <v>70</v>
      </c>
      <c r="D3604" t="s">
        <v>62</v>
      </c>
      <c r="E3604" t="s">
        <v>63</v>
      </c>
      <c r="F3604" t="s">
        <v>24</v>
      </c>
      <c r="G3604" s="4">
        <v>44</v>
      </c>
      <c r="I3604" s="4" t="s">
        <v>69</v>
      </c>
      <c r="J3604" s="4" t="s">
        <v>66</v>
      </c>
      <c r="K3604" s="4">
        <v>0</v>
      </c>
      <c r="L3604" s="94">
        <v>-98241</v>
      </c>
      <c r="M3604" s="94">
        <v>0</v>
      </c>
    </row>
    <row r="3605" spans="3:13" x14ac:dyDescent="0.3">
      <c r="C3605" t="s">
        <v>61</v>
      </c>
      <c r="D3605" t="s">
        <v>67</v>
      </c>
      <c r="E3605" t="s">
        <v>63</v>
      </c>
      <c r="F3605" t="s">
        <v>25</v>
      </c>
      <c r="G3605" s="4">
        <v>2</v>
      </c>
      <c r="H3605" s="4" t="s">
        <v>12</v>
      </c>
      <c r="I3605" s="4" t="s">
        <v>69</v>
      </c>
      <c r="J3605" s="4" t="s">
        <v>66</v>
      </c>
      <c r="K3605" s="4">
        <v>1</v>
      </c>
      <c r="L3605" s="94">
        <v>-360</v>
      </c>
      <c r="M3605" s="94">
        <v>0</v>
      </c>
    </row>
    <row r="3606" spans="3:13" x14ac:dyDescent="0.3">
      <c r="C3606" t="s">
        <v>61</v>
      </c>
      <c r="D3606" t="s">
        <v>67</v>
      </c>
      <c r="E3606" t="s">
        <v>68</v>
      </c>
      <c r="F3606" t="s">
        <v>26</v>
      </c>
      <c r="G3606" s="4">
        <v>-1</v>
      </c>
      <c r="H3606" s="4" t="s">
        <v>75</v>
      </c>
      <c r="I3606" s="4" t="s">
        <v>69</v>
      </c>
      <c r="J3606" s="4" t="s">
        <v>66</v>
      </c>
      <c r="K3606" s="4">
        <v>0</v>
      </c>
      <c r="L3606" s="94">
        <v>20966807</v>
      </c>
      <c r="M3606" s="94">
        <v>0</v>
      </c>
    </row>
    <row r="3607" spans="3:13" x14ac:dyDescent="0.3">
      <c r="C3607" t="s">
        <v>70</v>
      </c>
      <c r="D3607" t="s">
        <v>62</v>
      </c>
      <c r="E3607" t="s">
        <v>63</v>
      </c>
      <c r="F3607" t="s">
        <v>25</v>
      </c>
      <c r="G3607" s="4">
        <v>7</v>
      </c>
      <c r="I3607" s="4" t="s">
        <v>69</v>
      </c>
      <c r="J3607" s="4" t="s">
        <v>66</v>
      </c>
      <c r="K3607" s="4">
        <v>1</v>
      </c>
      <c r="L3607" s="94">
        <v>-972</v>
      </c>
      <c r="M3607" s="94">
        <v>0</v>
      </c>
    </row>
    <row r="3608" spans="3:13" x14ac:dyDescent="0.3">
      <c r="C3608" t="s">
        <v>61</v>
      </c>
      <c r="D3608" t="s">
        <v>62</v>
      </c>
      <c r="E3608" t="s">
        <v>63</v>
      </c>
      <c r="F3608" t="s">
        <v>25</v>
      </c>
      <c r="G3608" s="4">
        <v>5</v>
      </c>
      <c r="I3608" s="4" t="s">
        <v>65</v>
      </c>
      <c r="J3608" s="4" t="s">
        <v>66</v>
      </c>
      <c r="K3608" s="4">
        <v>1</v>
      </c>
      <c r="L3608" s="94">
        <v>-362</v>
      </c>
      <c r="M3608" s="94">
        <v>0</v>
      </c>
    </row>
    <row r="3609" spans="3:13" x14ac:dyDescent="0.3">
      <c r="C3609" t="s">
        <v>70</v>
      </c>
      <c r="D3609" t="s">
        <v>67</v>
      </c>
      <c r="E3609" t="s">
        <v>68</v>
      </c>
      <c r="F3609" t="s">
        <v>26</v>
      </c>
      <c r="G3609" s="4">
        <v>-4</v>
      </c>
      <c r="H3609" s="4" t="s">
        <v>79</v>
      </c>
      <c r="I3609" s="4" t="s">
        <v>69</v>
      </c>
      <c r="J3609" s="4" t="s">
        <v>66</v>
      </c>
      <c r="K3609" s="4">
        <v>0</v>
      </c>
      <c r="L3609" s="94">
        <v>2551</v>
      </c>
      <c r="M3609" s="94">
        <v>0</v>
      </c>
    </row>
    <row r="3610" spans="3:13" x14ac:dyDescent="0.3">
      <c r="C3610" t="s">
        <v>61</v>
      </c>
      <c r="D3610" t="s">
        <v>67</v>
      </c>
      <c r="E3610" t="s">
        <v>63</v>
      </c>
      <c r="F3610" t="s">
        <v>26</v>
      </c>
      <c r="G3610" s="4">
        <v>0</v>
      </c>
      <c r="H3610" s="4" t="s">
        <v>16</v>
      </c>
      <c r="I3610" s="4" t="s">
        <v>69</v>
      </c>
      <c r="J3610" s="4" t="s">
        <v>66</v>
      </c>
      <c r="K3610" s="4">
        <v>0</v>
      </c>
      <c r="L3610" s="94">
        <v>-29355</v>
      </c>
      <c r="M3610" s="94">
        <v>0</v>
      </c>
    </row>
    <row r="3611" spans="3:13" x14ac:dyDescent="0.3">
      <c r="C3611" t="s">
        <v>71</v>
      </c>
      <c r="D3611" t="s">
        <v>67</v>
      </c>
      <c r="E3611" t="s">
        <v>68</v>
      </c>
      <c r="F3611" t="s">
        <v>72</v>
      </c>
      <c r="G3611" s="4">
        <v>5</v>
      </c>
      <c r="H3611" s="4" t="s">
        <v>17</v>
      </c>
      <c r="I3611" s="4" t="s">
        <v>65</v>
      </c>
      <c r="J3611" s="4" t="s">
        <v>73</v>
      </c>
      <c r="K3611" s="4">
        <v>1</v>
      </c>
      <c r="L3611" s="94">
        <v>27443</v>
      </c>
      <c r="M3611" s="94">
        <v>137215</v>
      </c>
    </row>
    <row r="3612" spans="3:13" x14ac:dyDescent="0.3">
      <c r="C3612" t="s">
        <v>70</v>
      </c>
      <c r="D3612" t="s">
        <v>67</v>
      </c>
      <c r="E3612" t="s">
        <v>63</v>
      </c>
      <c r="F3612" t="s">
        <v>72</v>
      </c>
      <c r="G3612" s="4">
        <v>1</v>
      </c>
      <c r="H3612" s="4" t="s">
        <v>76</v>
      </c>
      <c r="I3612" s="4" t="s">
        <v>69</v>
      </c>
      <c r="J3612" s="4" t="s">
        <v>66</v>
      </c>
      <c r="K3612" s="4">
        <v>0</v>
      </c>
      <c r="L3612" s="94">
        <v>-16230</v>
      </c>
      <c r="M3612" s="94">
        <v>0</v>
      </c>
    </row>
    <row r="3613" spans="3:13" x14ac:dyDescent="0.3">
      <c r="C3613" t="s">
        <v>71</v>
      </c>
      <c r="D3613" t="s">
        <v>67</v>
      </c>
      <c r="E3613" t="s">
        <v>63</v>
      </c>
      <c r="F3613" t="s">
        <v>25</v>
      </c>
      <c r="G3613" s="4">
        <v>-4</v>
      </c>
      <c r="H3613" s="4" t="s">
        <v>17</v>
      </c>
      <c r="I3613" s="4" t="s">
        <v>69</v>
      </c>
      <c r="J3613" s="4" t="s">
        <v>66</v>
      </c>
      <c r="K3613" s="4">
        <v>0</v>
      </c>
      <c r="L3613" s="94">
        <v>-498424</v>
      </c>
      <c r="M3613" s="94">
        <v>0</v>
      </c>
    </row>
    <row r="3614" spans="3:13" x14ac:dyDescent="0.3">
      <c r="C3614" t="s">
        <v>70</v>
      </c>
      <c r="D3614" t="s">
        <v>67</v>
      </c>
      <c r="E3614" t="s">
        <v>68</v>
      </c>
      <c r="F3614" t="s">
        <v>72</v>
      </c>
      <c r="G3614" s="4">
        <v>4</v>
      </c>
      <c r="H3614" s="4" t="s">
        <v>79</v>
      </c>
      <c r="I3614" s="4" t="s">
        <v>69</v>
      </c>
      <c r="J3614" s="4" t="s">
        <v>66</v>
      </c>
      <c r="K3614" s="4">
        <v>0</v>
      </c>
      <c r="L3614" s="94">
        <v>674732</v>
      </c>
      <c r="M3614" s="94">
        <v>2698928</v>
      </c>
    </row>
    <row r="3615" spans="3:13" x14ac:dyDescent="0.3">
      <c r="C3615" t="s">
        <v>70</v>
      </c>
      <c r="D3615" t="s">
        <v>62</v>
      </c>
      <c r="E3615" t="s">
        <v>63</v>
      </c>
      <c r="F3615" t="s">
        <v>24</v>
      </c>
      <c r="G3615" s="4">
        <v>31</v>
      </c>
      <c r="I3615" s="4" t="s">
        <v>65</v>
      </c>
      <c r="J3615" s="4" t="s">
        <v>66</v>
      </c>
      <c r="K3615" s="4">
        <v>1</v>
      </c>
      <c r="L3615" s="94">
        <v>-22080</v>
      </c>
      <c r="M3615" s="94">
        <v>0</v>
      </c>
    </row>
    <row r="3616" spans="3:13" x14ac:dyDescent="0.3">
      <c r="C3616" t="s">
        <v>70</v>
      </c>
      <c r="D3616" t="s">
        <v>67</v>
      </c>
      <c r="E3616" t="s">
        <v>63</v>
      </c>
      <c r="F3616" t="s">
        <v>26</v>
      </c>
      <c r="G3616" s="4">
        <v>2</v>
      </c>
      <c r="H3616" s="4" t="s">
        <v>82</v>
      </c>
      <c r="I3616" s="4" t="s">
        <v>69</v>
      </c>
      <c r="J3616" s="4" t="s">
        <v>73</v>
      </c>
      <c r="K3616" s="4">
        <v>1</v>
      </c>
      <c r="L3616" s="94">
        <v>-3521</v>
      </c>
      <c r="M3616" s="94">
        <v>0</v>
      </c>
    </row>
    <row r="3617" spans="3:13" x14ac:dyDescent="0.3">
      <c r="C3617" t="s">
        <v>70</v>
      </c>
      <c r="D3617" t="s">
        <v>67</v>
      </c>
      <c r="E3617" t="s">
        <v>63</v>
      </c>
      <c r="F3617" t="s">
        <v>72</v>
      </c>
      <c r="G3617" s="4">
        <v>4</v>
      </c>
      <c r="H3617" s="4" t="s">
        <v>14</v>
      </c>
      <c r="I3617" s="4" t="s">
        <v>69</v>
      </c>
      <c r="J3617" s="4" t="s">
        <v>73</v>
      </c>
      <c r="K3617" s="4">
        <v>1</v>
      </c>
      <c r="L3617" s="94">
        <v>-107017</v>
      </c>
      <c r="M3617" s="94">
        <v>0</v>
      </c>
    </row>
    <row r="3618" spans="3:13" x14ac:dyDescent="0.3">
      <c r="C3618" t="s">
        <v>61</v>
      </c>
      <c r="D3618" t="s">
        <v>62</v>
      </c>
      <c r="E3618" t="s">
        <v>68</v>
      </c>
      <c r="F3618" t="s">
        <v>24</v>
      </c>
      <c r="G3618" s="4">
        <v>47</v>
      </c>
      <c r="I3618" s="4" t="s">
        <v>69</v>
      </c>
      <c r="J3618" s="4" t="s">
        <v>66</v>
      </c>
      <c r="K3618" s="4">
        <v>0</v>
      </c>
      <c r="L3618" s="94">
        <v>136614</v>
      </c>
      <c r="M3618" s="94">
        <v>6420858</v>
      </c>
    </row>
    <row r="3619" spans="3:13" x14ac:dyDescent="0.3">
      <c r="C3619" t="s">
        <v>61</v>
      </c>
      <c r="D3619" t="s">
        <v>62</v>
      </c>
      <c r="E3619" t="s">
        <v>63</v>
      </c>
      <c r="F3619" t="s">
        <v>24</v>
      </c>
      <c r="G3619" s="4">
        <v>23</v>
      </c>
      <c r="I3619" s="4" t="s">
        <v>65</v>
      </c>
      <c r="J3619" s="4" t="s">
        <v>66</v>
      </c>
      <c r="K3619" s="4">
        <v>1</v>
      </c>
      <c r="L3619" s="94">
        <v>-4513</v>
      </c>
      <c r="M3619" s="94">
        <v>0</v>
      </c>
    </row>
    <row r="3620" spans="3:13" x14ac:dyDescent="0.3">
      <c r="C3620" t="s">
        <v>70</v>
      </c>
      <c r="D3620" t="s">
        <v>67</v>
      </c>
      <c r="E3620" t="s">
        <v>68</v>
      </c>
      <c r="F3620" t="s">
        <v>25</v>
      </c>
      <c r="G3620" s="4">
        <v>-4</v>
      </c>
      <c r="H3620" s="4" t="s">
        <v>76</v>
      </c>
      <c r="I3620" s="4" t="s">
        <v>69</v>
      </c>
      <c r="J3620" s="4" t="s">
        <v>66</v>
      </c>
      <c r="K3620" s="4">
        <v>0</v>
      </c>
      <c r="L3620" s="94">
        <v>746</v>
      </c>
      <c r="M3620" s="94">
        <v>0</v>
      </c>
    </row>
    <row r="3621" spans="3:13" x14ac:dyDescent="0.3">
      <c r="C3621" t="s">
        <v>70</v>
      </c>
      <c r="D3621" t="s">
        <v>62</v>
      </c>
      <c r="E3621" t="s">
        <v>68</v>
      </c>
      <c r="F3621" t="s">
        <v>24</v>
      </c>
      <c r="G3621" s="4">
        <v>9</v>
      </c>
      <c r="I3621" s="4" t="s">
        <v>69</v>
      </c>
      <c r="J3621" s="4" t="s">
        <v>66</v>
      </c>
      <c r="K3621" s="4">
        <v>1</v>
      </c>
      <c r="L3621" s="94">
        <v>169001</v>
      </c>
      <c r="M3621" s="94">
        <v>1521009</v>
      </c>
    </row>
    <row r="3622" spans="3:13" x14ac:dyDescent="0.3">
      <c r="C3622" t="s">
        <v>61</v>
      </c>
      <c r="D3622" t="s">
        <v>67</v>
      </c>
      <c r="E3622" t="s">
        <v>63</v>
      </c>
      <c r="F3622" t="s">
        <v>26</v>
      </c>
      <c r="G3622" s="4">
        <v>-1</v>
      </c>
      <c r="H3622" s="4" t="s">
        <v>15</v>
      </c>
      <c r="I3622" s="4" t="s">
        <v>69</v>
      </c>
      <c r="J3622" s="4" t="s">
        <v>66</v>
      </c>
      <c r="K3622" s="4">
        <v>0</v>
      </c>
      <c r="L3622" s="94">
        <v>-1798</v>
      </c>
      <c r="M3622" s="94">
        <v>0</v>
      </c>
    </row>
    <row r="3623" spans="3:13" x14ac:dyDescent="0.3">
      <c r="C3623" t="s">
        <v>61</v>
      </c>
      <c r="D3623" t="s">
        <v>67</v>
      </c>
      <c r="E3623" t="s">
        <v>63</v>
      </c>
      <c r="F3623" t="s">
        <v>25</v>
      </c>
      <c r="G3623" s="4">
        <v>1</v>
      </c>
      <c r="H3623" s="4" t="s">
        <v>74</v>
      </c>
      <c r="I3623" s="4" t="s">
        <v>69</v>
      </c>
      <c r="J3623" s="4" t="s">
        <v>66</v>
      </c>
      <c r="K3623" s="4">
        <v>0</v>
      </c>
      <c r="L3623" s="94">
        <v>-2173</v>
      </c>
      <c r="M3623" s="94">
        <v>0</v>
      </c>
    </row>
    <row r="3624" spans="3:13" x14ac:dyDescent="0.3">
      <c r="C3624" t="s">
        <v>70</v>
      </c>
      <c r="D3624" t="s">
        <v>67</v>
      </c>
      <c r="E3624" t="s">
        <v>63</v>
      </c>
      <c r="F3624" t="s">
        <v>25</v>
      </c>
      <c r="G3624" s="4">
        <v>1</v>
      </c>
      <c r="H3624" s="4" t="s">
        <v>75</v>
      </c>
      <c r="I3624" s="4" t="s">
        <v>69</v>
      </c>
      <c r="J3624" s="4" t="s">
        <v>66</v>
      </c>
      <c r="K3624" s="4">
        <v>0</v>
      </c>
      <c r="L3624" s="94">
        <v>-9758</v>
      </c>
      <c r="M3624" s="94">
        <v>0</v>
      </c>
    </row>
    <row r="3625" spans="3:13" x14ac:dyDescent="0.3">
      <c r="C3625" t="s">
        <v>70</v>
      </c>
      <c r="D3625" t="s">
        <v>67</v>
      </c>
      <c r="E3625" t="s">
        <v>68</v>
      </c>
      <c r="F3625" t="s">
        <v>26</v>
      </c>
      <c r="G3625" s="4">
        <v>3</v>
      </c>
      <c r="H3625" s="4" t="s">
        <v>14</v>
      </c>
      <c r="I3625" s="4" t="s">
        <v>69</v>
      </c>
      <c r="J3625" s="4" t="s">
        <v>73</v>
      </c>
      <c r="K3625" s="4">
        <v>1</v>
      </c>
      <c r="L3625" s="94">
        <v>19304039</v>
      </c>
      <c r="M3625" s="94">
        <v>57912117</v>
      </c>
    </row>
    <row r="3626" spans="3:13" x14ac:dyDescent="0.3">
      <c r="C3626" t="s">
        <v>61</v>
      </c>
      <c r="D3626" t="s">
        <v>67</v>
      </c>
      <c r="E3626" t="s">
        <v>63</v>
      </c>
      <c r="F3626" t="s">
        <v>26</v>
      </c>
      <c r="G3626" s="4">
        <v>-4</v>
      </c>
      <c r="H3626" s="4" t="s">
        <v>18</v>
      </c>
      <c r="I3626" s="4" t="s">
        <v>69</v>
      </c>
      <c r="J3626" s="4" t="s">
        <v>66</v>
      </c>
      <c r="K3626" s="4">
        <v>0</v>
      </c>
      <c r="L3626" s="94">
        <v>-17</v>
      </c>
      <c r="M3626" s="94">
        <v>0</v>
      </c>
    </row>
    <row r="3627" spans="3:13" x14ac:dyDescent="0.3">
      <c r="C3627" t="s">
        <v>61</v>
      </c>
      <c r="D3627" t="s">
        <v>67</v>
      </c>
      <c r="E3627" t="s">
        <v>63</v>
      </c>
      <c r="F3627" t="s">
        <v>72</v>
      </c>
      <c r="G3627" s="4">
        <v>-1</v>
      </c>
      <c r="H3627" s="4" t="s">
        <v>12</v>
      </c>
      <c r="I3627" s="4" t="s">
        <v>69</v>
      </c>
      <c r="J3627" s="4" t="s">
        <v>66</v>
      </c>
      <c r="K3627" s="4">
        <v>0</v>
      </c>
      <c r="L3627" s="94">
        <v>-1191</v>
      </c>
      <c r="M3627" s="94">
        <v>0</v>
      </c>
    </row>
    <row r="3628" spans="3:13" x14ac:dyDescent="0.3">
      <c r="C3628" t="s">
        <v>61</v>
      </c>
      <c r="D3628" t="s">
        <v>67</v>
      </c>
      <c r="E3628" t="s">
        <v>63</v>
      </c>
      <c r="F3628" t="s">
        <v>25</v>
      </c>
      <c r="G3628" s="4">
        <v>8</v>
      </c>
      <c r="H3628" s="4" t="s">
        <v>77</v>
      </c>
      <c r="I3628" s="4" t="s">
        <v>69</v>
      </c>
      <c r="J3628" s="4" t="s">
        <v>66</v>
      </c>
      <c r="K3628" s="4">
        <v>0</v>
      </c>
      <c r="L3628" s="94">
        <v>-6024</v>
      </c>
      <c r="M3628" s="94">
        <v>0</v>
      </c>
    </row>
    <row r="3629" spans="3:13" x14ac:dyDescent="0.3">
      <c r="C3629" t="s">
        <v>70</v>
      </c>
      <c r="D3629" t="s">
        <v>67</v>
      </c>
      <c r="E3629" t="s">
        <v>63</v>
      </c>
      <c r="F3629" t="s">
        <v>25</v>
      </c>
      <c r="G3629" s="4">
        <v>8</v>
      </c>
      <c r="H3629" s="4" t="s">
        <v>81</v>
      </c>
      <c r="I3629" s="4" t="s">
        <v>69</v>
      </c>
      <c r="J3629" s="4" t="s">
        <v>66</v>
      </c>
      <c r="K3629" s="4">
        <v>0</v>
      </c>
      <c r="L3629" s="94">
        <v>-10521</v>
      </c>
      <c r="M3629" s="94">
        <v>0</v>
      </c>
    </row>
    <row r="3630" spans="3:13" x14ac:dyDescent="0.3">
      <c r="C3630" t="s">
        <v>71</v>
      </c>
      <c r="D3630" t="s">
        <v>67</v>
      </c>
      <c r="E3630" t="s">
        <v>63</v>
      </c>
      <c r="F3630" t="s">
        <v>26</v>
      </c>
      <c r="G3630" s="4">
        <v>11</v>
      </c>
      <c r="H3630" s="4" t="s">
        <v>14</v>
      </c>
      <c r="I3630" s="4" t="s">
        <v>69</v>
      </c>
      <c r="J3630" s="4" t="s">
        <v>73</v>
      </c>
      <c r="K3630" s="4">
        <v>1</v>
      </c>
      <c r="L3630" s="94">
        <v>-341869</v>
      </c>
      <c r="M3630" s="94">
        <v>0</v>
      </c>
    </row>
    <row r="3631" spans="3:13" x14ac:dyDescent="0.3">
      <c r="C3631" t="s">
        <v>71</v>
      </c>
      <c r="D3631" t="s">
        <v>62</v>
      </c>
      <c r="E3631" t="s">
        <v>68</v>
      </c>
      <c r="F3631" t="s">
        <v>24</v>
      </c>
      <c r="G3631" s="4">
        <v>34</v>
      </c>
      <c r="I3631" s="4" t="s">
        <v>69</v>
      </c>
      <c r="J3631" s="4" t="s">
        <v>66</v>
      </c>
      <c r="K3631" s="4">
        <v>0</v>
      </c>
      <c r="L3631" s="94">
        <v>5702094</v>
      </c>
      <c r="M3631" s="94">
        <v>193871196</v>
      </c>
    </row>
    <row r="3632" spans="3:13" x14ac:dyDescent="0.3">
      <c r="C3632" t="s">
        <v>70</v>
      </c>
      <c r="D3632" t="s">
        <v>67</v>
      </c>
      <c r="E3632" t="s">
        <v>68</v>
      </c>
      <c r="F3632" t="s">
        <v>25</v>
      </c>
      <c r="G3632" s="4">
        <v>0</v>
      </c>
      <c r="H3632" s="4" t="s">
        <v>18</v>
      </c>
      <c r="I3632" s="4" t="s">
        <v>69</v>
      </c>
      <c r="J3632" s="4" t="s">
        <v>66</v>
      </c>
      <c r="K3632" s="4">
        <v>0</v>
      </c>
      <c r="L3632" s="94">
        <v>1947899</v>
      </c>
      <c r="M3632" s="94">
        <v>0</v>
      </c>
    </row>
    <row r="3633" spans="3:13" x14ac:dyDescent="0.3">
      <c r="C3633" t="s">
        <v>61</v>
      </c>
      <c r="D3633" t="s">
        <v>67</v>
      </c>
      <c r="E3633" t="s">
        <v>68</v>
      </c>
      <c r="F3633" t="s">
        <v>26</v>
      </c>
      <c r="G3633" s="4">
        <v>4</v>
      </c>
      <c r="H3633" s="4" t="s">
        <v>12</v>
      </c>
      <c r="I3633" s="4" t="s">
        <v>69</v>
      </c>
      <c r="J3633" s="4" t="s">
        <v>66</v>
      </c>
      <c r="K3633" s="4">
        <v>0</v>
      </c>
      <c r="L3633" s="94">
        <v>1974100</v>
      </c>
      <c r="M3633" s="94">
        <v>7896400</v>
      </c>
    </row>
    <row r="3634" spans="3:13" x14ac:dyDescent="0.3">
      <c r="C3634" t="s">
        <v>61</v>
      </c>
      <c r="D3634" t="s">
        <v>67</v>
      </c>
      <c r="E3634" t="s">
        <v>63</v>
      </c>
      <c r="F3634" t="s">
        <v>25</v>
      </c>
      <c r="G3634" s="4">
        <v>17</v>
      </c>
      <c r="H3634" s="4" t="s">
        <v>12</v>
      </c>
      <c r="I3634" s="4" t="s">
        <v>69</v>
      </c>
      <c r="J3634" s="4" t="s">
        <v>66</v>
      </c>
      <c r="K3634" s="4">
        <v>0</v>
      </c>
      <c r="L3634" s="94">
        <v>-640</v>
      </c>
      <c r="M3634" s="94">
        <v>0</v>
      </c>
    </row>
    <row r="3635" spans="3:13" x14ac:dyDescent="0.3">
      <c r="C3635" t="s">
        <v>61</v>
      </c>
      <c r="D3635" t="s">
        <v>67</v>
      </c>
      <c r="E3635" t="s">
        <v>68</v>
      </c>
      <c r="F3635" t="s">
        <v>25</v>
      </c>
      <c r="G3635" s="4">
        <v>3</v>
      </c>
      <c r="H3635" s="4" t="s">
        <v>76</v>
      </c>
      <c r="I3635" s="4" t="s">
        <v>69</v>
      </c>
      <c r="J3635" s="4" t="s">
        <v>66</v>
      </c>
      <c r="K3635" s="4">
        <v>0</v>
      </c>
      <c r="L3635" s="94">
        <v>59385712</v>
      </c>
      <c r="M3635" s="94">
        <v>178157136</v>
      </c>
    </row>
    <row r="3636" spans="3:13" x14ac:dyDescent="0.3">
      <c r="C3636" t="s">
        <v>71</v>
      </c>
      <c r="D3636" t="s">
        <v>67</v>
      </c>
      <c r="E3636" t="s">
        <v>68</v>
      </c>
      <c r="F3636" t="s">
        <v>26</v>
      </c>
      <c r="G3636" s="4">
        <v>5</v>
      </c>
      <c r="H3636" s="4" t="s">
        <v>82</v>
      </c>
      <c r="I3636" s="4" t="s">
        <v>69</v>
      </c>
      <c r="J3636" s="4" t="s">
        <v>66</v>
      </c>
      <c r="K3636" s="4">
        <v>0</v>
      </c>
      <c r="L3636" s="94">
        <v>640966</v>
      </c>
      <c r="M3636" s="94">
        <v>3204830</v>
      </c>
    </row>
    <row r="3637" spans="3:13" x14ac:dyDescent="0.3">
      <c r="C3637" t="s">
        <v>61</v>
      </c>
      <c r="D3637" t="s">
        <v>67</v>
      </c>
      <c r="E3637" t="s">
        <v>63</v>
      </c>
      <c r="F3637" t="s">
        <v>72</v>
      </c>
      <c r="G3637" s="4">
        <v>8</v>
      </c>
      <c r="H3637" s="4" t="s">
        <v>82</v>
      </c>
      <c r="I3637" s="4" t="s">
        <v>69</v>
      </c>
      <c r="J3637" s="4" t="s">
        <v>66</v>
      </c>
      <c r="K3637" s="4">
        <v>0</v>
      </c>
      <c r="L3637" s="94">
        <v>-29151</v>
      </c>
      <c r="M3637" s="94">
        <v>0</v>
      </c>
    </row>
    <row r="3638" spans="3:13" x14ac:dyDescent="0.3">
      <c r="C3638" t="s">
        <v>70</v>
      </c>
      <c r="D3638" t="s">
        <v>62</v>
      </c>
      <c r="E3638" t="s">
        <v>68</v>
      </c>
      <c r="F3638" t="s">
        <v>24</v>
      </c>
      <c r="G3638" s="4">
        <v>14</v>
      </c>
      <c r="I3638" s="4" t="s">
        <v>69</v>
      </c>
      <c r="J3638" s="4" t="s">
        <v>66</v>
      </c>
      <c r="K3638" s="4">
        <v>1</v>
      </c>
      <c r="L3638" s="94">
        <v>151605</v>
      </c>
      <c r="M3638" s="94">
        <v>2122470</v>
      </c>
    </row>
    <row r="3639" spans="3:13" x14ac:dyDescent="0.3">
      <c r="C3639" t="s">
        <v>61</v>
      </c>
      <c r="D3639" t="s">
        <v>67</v>
      </c>
      <c r="E3639" t="s">
        <v>63</v>
      </c>
      <c r="F3639" t="s">
        <v>25</v>
      </c>
      <c r="G3639" s="4">
        <v>-1</v>
      </c>
      <c r="H3639" s="4" t="s">
        <v>76</v>
      </c>
      <c r="I3639" s="4" t="s">
        <v>65</v>
      </c>
      <c r="J3639" s="4" t="s">
        <v>66</v>
      </c>
      <c r="K3639" s="4">
        <v>1</v>
      </c>
      <c r="L3639" s="94">
        <v>-582</v>
      </c>
      <c r="M3639" s="94">
        <v>0</v>
      </c>
    </row>
    <row r="3640" spans="3:13" x14ac:dyDescent="0.3">
      <c r="C3640" t="s">
        <v>71</v>
      </c>
      <c r="D3640" t="s">
        <v>62</v>
      </c>
      <c r="E3640" t="s">
        <v>63</v>
      </c>
      <c r="F3640" t="s">
        <v>24</v>
      </c>
      <c r="G3640" s="4">
        <v>26</v>
      </c>
      <c r="I3640" s="4" t="s">
        <v>69</v>
      </c>
      <c r="J3640" s="4" t="s">
        <v>66</v>
      </c>
      <c r="K3640" s="4">
        <v>1</v>
      </c>
      <c r="L3640" s="94">
        <v>-35796</v>
      </c>
      <c r="M3640" s="94">
        <v>0</v>
      </c>
    </row>
    <row r="3641" spans="3:13" x14ac:dyDescent="0.3">
      <c r="C3641" t="s">
        <v>61</v>
      </c>
      <c r="D3641" t="s">
        <v>67</v>
      </c>
      <c r="E3641" t="s">
        <v>63</v>
      </c>
      <c r="F3641" t="s">
        <v>25</v>
      </c>
      <c r="G3641" s="4">
        <v>2</v>
      </c>
      <c r="H3641" s="4" t="s">
        <v>14</v>
      </c>
      <c r="I3641" s="4" t="s">
        <v>69</v>
      </c>
      <c r="J3641" s="4" t="s">
        <v>66</v>
      </c>
      <c r="K3641" s="4">
        <v>1</v>
      </c>
      <c r="L3641" s="94">
        <v>-6131</v>
      </c>
      <c r="M3641" s="94">
        <v>0</v>
      </c>
    </row>
    <row r="3642" spans="3:13" x14ac:dyDescent="0.3">
      <c r="C3642" t="s">
        <v>61</v>
      </c>
      <c r="D3642" t="s">
        <v>67</v>
      </c>
      <c r="E3642" t="s">
        <v>68</v>
      </c>
      <c r="F3642" t="s">
        <v>26</v>
      </c>
      <c r="G3642" s="4">
        <v>-1</v>
      </c>
      <c r="H3642" s="4" t="s">
        <v>64</v>
      </c>
      <c r="I3642" s="4" t="s">
        <v>69</v>
      </c>
      <c r="J3642" s="4" t="s">
        <v>66</v>
      </c>
      <c r="K3642" s="4">
        <v>0</v>
      </c>
      <c r="L3642" s="94">
        <v>24695568</v>
      </c>
      <c r="M3642" s="94">
        <v>0</v>
      </c>
    </row>
    <row r="3643" spans="3:13" x14ac:dyDescent="0.3">
      <c r="C3643" t="s">
        <v>61</v>
      </c>
      <c r="D3643" t="s">
        <v>67</v>
      </c>
      <c r="E3643" t="s">
        <v>63</v>
      </c>
      <c r="F3643" t="s">
        <v>26</v>
      </c>
      <c r="G3643" s="4">
        <v>0</v>
      </c>
      <c r="H3643" s="4" t="s">
        <v>18</v>
      </c>
      <c r="I3643" s="4" t="s">
        <v>69</v>
      </c>
      <c r="J3643" s="4" t="s">
        <v>66</v>
      </c>
      <c r="K3643" s="4">
        <v>0</v>
      </c>
      <c r="L3643" s="94">
        <v>-1900342</v>
      </c>
      <c r="M3643" s="94">
        <v>0</v>
      </c>
    </row>
    <row r="3644" spans="3:13" x14ac:dyDescent="0.3">
      <c r="C3644" t="s">
        <v>61</v>
      </c>
      <c r="D3644" t="s">
        <v>67</v>
      </c>
      <c r="E3644" t="s">
        <v>68</v>
      </c>
      <c r="F3644" t="s">
        <v>26</v>
      </c>
      <c r="G3644" s="4">
        <v>12</v>
      </c>
      <c r="H3644" s="4" t="s">
        <v>75</v>
      </c>
      <c r="I3644" s="4" t="s">
        <v>69</v>
      </c>
      <c r="J3644" s="4" t="s">
        <v>66</v>
      </c>
      <c r="K3644" s="4">
        <v>0</v>
      </c>
      <c r="L3644" s="94">
        <v>1743808</v>
      </c>
      <c r="M3644" s="94">
        <v>20925696</v>
      </c>
    </row>
    <row r="3645" spans="3:13" x14ac:dyDescent="0.3">
      <c r="C3645" t="s">
        <v>70</v>
      </c>
      <c r="D3645" t="s">
        <v>62</v>
      </c>
      <c r="E3645" t="s">
        <v>63</v>
      </c>
      <c r="F3645" t="s">
        <v>25</v>
      </c>
      <c r="G3645" s="4">
        <v>4</v>
      </c>
      <c r="I3645" s="4" t="s">
        <v>69</v>
      </c>
      <c r="J3645" s="4" t="s">
        <v>66</v>
      </c>
      <c r="K3645" s="4">
        <v>0</v>
      </c>
      <c r="L3645" s="94">
        <v>-21063</v>
      </c>
      <c r="M3645" s="94">
        <v>0</v>
      </c>
    </row>
    <row r="3646" spans="3:13" x14ac:dyDescent="0.3">
      <c r="C3646" t="s">
        <v>61</v>
      </c>
      <c r="D3646" t="s">
        <v>67</v>
      </c>
      <c r="E3646" t="s">
        <v>63</v>
      </c>
      <c r="F3646" t="s">
        <v>25</v>
      </c>
      <c r="G3646" s="4">
        <v>18</v>
      </c>
      <c r="H3646" s="4" t="s">
        <v>75</v>
      </c>
      <c r="I3646" s="4" t="s">
        <v>69</v>
      </c>
      <c r="J3646" s="4" t="s">
        <v>66</v>
      </c>
      <c r="K3646" s="4">
        <v>0</v>
      </c>
      <c r="L3646" s="94">
        <v>-1441</v>
      </c>
      <c r="M3646" s="94">
        <v>0</v>
      </c>
    </row>
    <row r="3647" spans="3:13" x14ac:dyDescent="0.3">
      <c r="C3647" t="s">
        <v>61</v>
      </c>
      <c r="D3647" t="s">
        <v>67</v>
      </c>
      <c r="E3647" t="s">
        <v>63</v>
      </c>
      <c r="F3647" t="s">
        <v>25</v>
      </c>
      <c r="G3647" s="4">
        <v>8</v>
      </c>
      <c r="H3647" s="4" t="s">
        <v>82</v>
      </c>
      <c r="I3647" s="4" t="s">
        <v>69</v>
      </c>
      <c r="J3647" s="4" t="s">
        <v>66</v>
      </c>
      <c r="K3647" s="4">
        <v>0</v>
      </c>
      <c r="L3647" s="94">
        <v>-442</v>
      </c>
      <c r="M3647" s="94">
        <v>0</v>
      </c>
    </row>
    <row r="3648" spans="3:13" x14ac:dyDescent="0.3">
      <c r="C3648" t="s">
        <v>70</v>
      </c>
      <c r="D3648" t="s">
        <v>62</v>
      </c>
      <c r="E3648" t="s">
        <v>63</v>
      </c>
      <c r="F3648" t="s">
        <v>24</v>
      </c>
      <c r="G3648" s="4">
        <v>23</v>
      </c>
      <c r="I3648" s="4" t="s">
        <v>65</v>
      </c>
      <c r="J3648" s="4" t="s">
        <v>66</v>
      </c>
      <c r="K3648" s="4">
        <v>1</v>
      </c>
      <c r="L3648" s="94">
        <v>-38061</v>
      </c>
      <c r="M3648" s="94">
        <v>0</v>
      </c>
    </row>
    <row r="3649" spans="3:13" x14ac:dyDescent="0.3">
      <c r="C3649" t="s">
        <v>61</v>
      </c>
      <c r="D3649" t="s">
        <v>62</v>
      </c>
      <c r="E3649" t="s">
        <v>68</v>
      </c>
      <c r="F3649" t="s">
        <v>24</v>
      </c>
      <c r="G3649" s="4">
        <v>5</v>
      </c>
      <c r="I3649" s="4" t="s">
        <v>65</v>
      </c>
      <c r="J3649" s="4" t="s">
        <v>66</v>
      </c>
      <c r="K3649" s="4">
        <v>1</v>
      </c>
      <c r="L3649" s="94">
        <v>1275026</v>
      </c>
      <c r="M3649" s="94">
        <v>6375130</v>
      </c>
    </row>
    <row r="3650" spans="3:13" x14ac:dyDescent="0.3">
      <c r="C3650" t="s">
        <v>70</v>
      </c>
      <c r="D3650" t="s">
        <v>67</v>
      </c>
      <c r="E3650" t="s">
        <v>68</v>
      </c>
      <c r="F3650" t="s">
        <v>26</v>
      </c>
      <c r="G3650" s="4">
        <v>3</v>
      </c>
      <c r="H3650" s="4" t="s">
        <v>17</v>
      </c>
      <c r="I3650" s="4" t="s">
        <v>65</v>
      </c>
      <c r="J3650" s="4" t="s">
        <v>66</v>
      </c>
      <c r="K3650" s="4">
        <v>1</v>
      </c>
      <c r="L3650" s="94">
        <v>220086</v>
      </c>
      <c r="M3650" s="94">
        <v>660258</v>
      </c>
    </row>
    <row r="3651" spans="3:13" x14ac:dyDescent="0.3">
      <c r="C3651" t="s">
        <v>61</v>
      </c>
      <c r="D3651" t="s">
        <v>67</v>
      </c>
      <c r="E3651" t="s">
        <v>68</v>
      </c>
      <c r="F3651" t="s">
        <v>25</v>
      </c>
      <c r="G3651" s="4">
        <v>8</v>
      </c>
      <c r="H3651" s="4" t="s">
        <v>78</v>
      </c>
      <c r="I3651" s="4" t="s">
        <v>69</v>
      </c>
      <c r="J3651" s="4" t="s">
        <v>66</v>
      </c>
      <c r="K3651" s="4">
        <v>0</v>
      </c>
      <c r="L3651" s="94">
        <v>673939</v>
      </c>
      <c r="M3651" s="94">
        <v>5391512</v>
      </c>
    </row>
    <row r="3652" spans="3:13" x14ac:dyDescent="0.3">
      <c r="C3652" t="s">
        <v>71</v>
      </c>
      <c r="D3652" t="s">
        <v>67</v>
      </c>
      <c r="E3652" t="s">
        <v>68</v>
      </c>
      <c r="F3652" t="s">
        <v>26</v>
      </c>
      <c r="G3652" s="4">
        <v>-1</v>
      </c>
      <c r="H3652" s="4" t="s">
        <v>15</v>
      </c>
      <c r="I3652" s="4" t="s">
        <v>69</v>
      </c>
      <c r="J3652" s="4" t="s">
        <v>66</v>
      </c>
      <c r="K3652" s="4">
        <v>0</v>
      </c>
      <c r="L3652" s="94">
        <v>7045</v>
      </c>
      <c r="M3652" s="94">
        <v>0</v>
      </c>
    </row>
    <row r="3653" spans="3:13" x14ac:dyDescent="0.3">
      <c r="C3653" t="s">
        <v>61</v>
      </c>
      <c r="D3653" t="s">
        <v>62</v>
      </c>
      <c r="E3653" t="s">
        <v>63</v>
      </c>
      <c r="F3653" t="s">
        <v>24</v>
      </c>
      <c r="G3653" s="4">
        <v>44</v>
      </c>
      <c r="I3653" s="4" t="s">
        <v>69</v>
      </c>
      <c r="J3653" s="4" t="s">
        <v>66</v>
      </c>
      <c r="K3653" s="4">
        <v>0</v>
      </c>
      <c r="L3653" s="94">
        <v>-4878</v>
      </c>
      <c r="M3653" s="94">
        <v>0</v>
      </c>
    </row>
    <row r="3654" spans="3:13" x14ac:dyDescent="0.3">
      <c r="C3654" t="s">
        <v>61</v>
      </c>
      <c r="D3654" t="s">
        <v>62</v>
      </c>
      <c r="E3654" t="s">
        <v>68</v>
      </c>
      <c r="F3654" t="s">
        <v>24</v>
      </c>
      <c r="G3654" s="4">
        <v>6</v>
      </c>
      <c r="I3654" s="4" t="s">
        <v>69</v>
      </c>
      <c r="J3654" s="4" t="s">
        <v>66</v>
      </c>
      <c r="K3654" s="4">
        <v>1</v>
      </c>
      <c r="L3654" s="94">
        <v>690759</v>
      </c>
      <c r="M3654" s="94">
        <v>4144554</v>
      </c>
    </row>
    <row r="3655" spans="3:13" x14ac:dyDescent="0.3">
      <c r="C3655" t="s">
        <v>71</v>
      </c>
      <c r="D3655" t="s">
        <v>67</v>
      </c>
      <c r="E3655" t="s">
        <v>63</v>
      </c>
      <c r="F3655" t="s">
        <v>72</v>
      </c>
      <c r="G3655" s="4">
        <v>0</v>
      </c>
      <c r="H3655" s="4" t="s">
        <v>17</v>
      </c>
      <c r="I3655" s="4" t="s">
        <v>65</v>
      </c>
      <c r="J3655" s="4" t="s">
        <v>73</v>
      </c>
      <c r="K3655" s="4">
        <v>1</v>
      </c>
      <c r="L3655" s="94">
        <v>-16310</v>
      </c>
      <c r="M3655" s="94">
        <v>0</v>
      </c>
    </row>
    <row r="3656" spans="3:13" x14ac:dyDescent="0.3">
      <c r="C3656" t="s">
        <v>71</v>
      </c>
      <c r="D3656" t="s">
        <v>67</v>
      </c>
      <c r="E3656" t="s">
        <v>68</v>
      </c>
      <c r="F3656" t="s">
        <v>72</v>
      </c>
      <c r="G3656" s="4">
        <v>-4</v>
      </c>
      <c r="H3656" s="4" t="s">
        <v>81</v>
      </c>
      <c r="I3656" s="4" t="s">
        <v>69</v>
      </c>
      <c r="J3656" s="4" t="s">
        <v>66</v>
      </c>
      <c r="K3656" s="4">
        <v>0</v>
      </c>
      <c r="L3656" s="94">
        <v>26</v>
      </c>
      <c r="M3656" s="94">
        <v>0</v>
      </c>
    </row>
    <row r="3657" spans="3:13" x14ac:dyDescent="0.3">
      <c r="C3657" t="s">
        <v>70</v>
      </c>
      <c r="D3657" t="s">
        <v>62</v>
      </c>
      <c r="E3657" t="s">
        <v>63</v>
      </c>
      <c r="F3657" t="s">
        <v>24</v>
      </c>
      <c r="G3657" s="4">
        <v>26</v>
      </c>
      <c r="I3657" s="4" t="s">
        <v>69</v>
      </c>
      <c r="J3657" s="4" t="s">
        <v>66</v>
      </c>
      <c r="K3657" s="4">
        <v>1</v>
      </c>
      <c r="L3657" s="94">
        <v>-571</v>
      </c>
      <c r="M3657" s="94">
        <v>0</v>
      </c>
    </row>
    <row r="3658" spans="3:13" x14ac:dyDescent="0.3">
      <c r="C3658" t="s">
        <v>71</v>
      </c>
      <c r="D3658" t="s">
        <v>67</v>
      </c>
      <c r="E3658" t="s">
        <v>63</v>
      </c>
      <c r="F3658" t="s">
        <v>26</v>
      </c>
      <c r="G3658" s="4">
        <v>-1</v>
      </c>
      <c r="H3658" s="4" t="s">
        <v>15</v>
      </c>
      <c r="I3658" s="4" t="s">
        <v>69</v>
      </c>
      <c r="J3658" s="4" t="s">
        <v>66</v>
      </c>
      <c r="K3658" s="4">
        <v>0</v>
      </c>
      <c r="L3658" s="94">
        <v>-6193</v>
      </c>
      <c r="M3658" s="94">
        <v>0</v>
      </c>
    </row>
    <row r="3659" spans="3:13" x14ac:dyDescent="0.3">
      <c r="C3659" t="s">
        <v>70</v>
      </c>
      <c r="D3659" t="s">
        <v>67</v>
      </c>
      <c r="E3659" t="s">
        <v>63</v>
      </c>
      <c r="F3659" t="s">
        <v>26</v>
      </c>
      <c r="G3659" s="4">
        <v>5</v>
      </c>
      <c r="H3659" s="4" t="s">
        <v>83</v>
      </c>
      <c r="I3659" s="4" t="s">
        <v>69</v>
      </c>
      <c r="J3659" s="4" t="s">
        <v>66</v>
      </c>
      <c r="K3659" s="4">
        <v>0</v>
      </c>
      <c r="L3659" s="94">
        <v>-22546</v>
      </c>
      <c r="M3659" s="94">
        <v>0</v>
      </c>
    </row>
    <row r="3660" spans="3:13" x14ac:dyDescent="0.3">
      <c r="C3660" t="s">
        <v>61</v>
      </c>
      <c r="D3660" t="s">
        <v>67</v>
      </c>
      <c r="E3660" t="s">
        <v>63</v>
      </c>
      <c r="F3660" t="s">
        <v>72</v>
      </c>
      <c r="G3660" s="4">
        <v>4</v>
      </c>
      <c r="H3660" s="4" t="s">
        <v>17</v>
      </c>
      <c r="I3660" s="4" t="s">
        <v>65</v>
      </c>
      <c r="J3660" s="4" t="s">
        <v>66</v>
      </c>
      <c r="K3660" s="4">
        <v>1</v>
      </c>
      <c r="L3660" s="94">
        <v>-32</v>
      </c>
      <c r="M3660" s="94">
        <v>0</v>
      </c>
    </row>
    <row r="3661" spans="3:13" x14ac:dyDescent="0.3">
      <c r="C3661" t="s">
        <v>71</v>
      </c>
      <c r="D3661" t="s">
        <v>67</v>
      </c>
      <c r="E3661" t="s">
        <v>68</v>
      </c>
      <c r="F3661" t="s">
        <v>26</v>
      </c>
      <c r="G3661" s="4">
        <v>0</v>
      </c>
      <c r="H3661" s="4" t="s">
        <v>74</v>
      </c>
      <c r="I3661" s="4" t="s">
        <v>69</v>
      </c>
      <c r="J3661" s="4" t="s">
        <v>66</v>
      </c>
      <c r="K3661" s="4">
        <v>0</v>
      </c>
      <c r="L3661" s="94">
        <v>68647</v>
      </c>
      <c r="M3661" s="94">
        <v>0</v>
      </c>
    </row>
    <row r="3662" spans="3:13" x14ac:dyDescent="0.3">
      <c r="C3662" t="s">
        <v>70</v>
      </c>
      <c r="D3662" t="s">
        <v>67</v>
      </c>
      <c r="E3662" t="s">
        <v>63</v>
      </c>
      <c r="F3662" t="s">
        <v>72</v>
      </c>
      <c r="G3662" s="4">
        <v>2</v>
      </c>
      <c r="H3662" s="4" t="s">
        <v>18</v>
      </c>
      <c r="I3662" s="4" t="s">
        <v>69</v>
      </c>
      <c r="J3662" s="4" t="s">
        <v>73</v>
      </c>
      <c r="K3662" s="4">
        <v>1</v>
      </c>
      <c r="L3662" s="94">
        <v>-6948</v>
      </c>
      <c r="M3662" s="94">
        <v>0</v>
      </c>
    </row>
    <row r="3663" spans="3:13" x14ac:dyDescent="0.3">
      <c r="C3663" t="s">
        <v>61</v>
      </c>
      <c r="D3663" t="s">
        <v>67</v>
      </c>
      <c r="E3663" t="s">
        <v>63</v>
      </c>
      <c r="F3663" t="s">
        <v>72</v>
      </c>
      <c r="G3663" s="4">
        <v>1</v>
      </c>
      <c r="H3663" s="4" t="s">
        <v>81</v>
      </c>
      <c r="I3663" s="4" t="s">
        <v>69</v>
      </c>
      <c r="J3663" s="4" t="s">
        <v>66</v>
      </c>
      <c r="K3663" s="4">
        <v>0</v>
      </c>
      <c r="L3663" s="94">
        <v>-89</v>
      </c>
      <c r="M3663" s="94">
        <v>0</v>
      </c>
    </row>
    <row r="3664" spans="3:13" x14ac:dyDescent="0.3">
      <c r="C3664" t="s">
        <v>61</v>
      </c>
      <c r="D3664" t="s">
        <v>67</v>
      </c>
      <c r="E3664" t="s">
        <v>68</v>
      </c>
      <c r="F3664" t="s">
        <v>72</v>
      </c>
      <c r="G3664" s="4">
        <v>5</v>
      </c>
      <c r="H3664" s="4" t="s">
        <v>74</v>
      </c>
      <c r="I3664" s="4" t="s">
        <v>69</v>
      </c>
      <c r="J3664" s="4" t="s">
        <v>66</v>
      </c>
      <c r="K3664" s="4">
        <v>0</v>
      </c>
      <c r="L3664" s="94">
        <v>3233829</v>
      </c>
      <c r="M3664" s="94">
        <v>16169145</v>
      </c>
    </row>
    <row r="3665" spans="3:13" x14ac:dyDescent="0.3">
      <c r="C3665" t="s">
        <v>71</v>
      </c>
      <c r="D3665" t="s">
        <v>67</v>
      </c>
      <c r="E3665" t="s">
        <v>68</v>
      </c>
      <c r="F3665" t="s">
        <v>26</v>
      </c>
      <c r="G3665" s="4">
        <v>2</v>
      </c>
      <c r="H3665" s="4" t="s">
        <v>78</v>
      </c>
      <c r="I3665" s="4" t="s">
        <v>69</v>
      </c>
      <c r="J3665" s="4" t="s">
        <v>66</v>
      </c>
      <c r="K3665" s="4">
        <v>0</v>
      </c>
      <c r="L3665" s="94">
        <v>109497</v>
      </c>
      <c r="M3665" s="94">
        <v>218994</v>
      </c>
    </row>
    <row r="3666" spans="3:13" x14ac:dyDescent="0.3">
      <c r="C3666" t="s">
        <v>71</v>
      </c>
      <c r="D3666" t="s">
        <v>67</v>
      </c>
      <c r="E3666" t="s">
        <v>63</v>
      </c>
      <c r="F3666" t="s">
        <v>26</v>
      </c>
      <c r="G3666" s="4">
        <v>-4</v>
      </c>
      <c r="H3666" s="4" t="s">
        <v>18</v>
      </c>
      <c r="I3666" s="4" t="s">
        <v>69</v>
      </c>
      <c r="J3666" s="4" t="s">
        <v>66</v>
      </c>
      <c r="K3666" s="4">
        <v>0</v>
      </c>
      <c r="L3666" s="94">
        <v>-5939416</v>
      </c>
      <c r="M3666" s="94">
        <v>0</v>
      </c>
    </row>
    <row r="3667" spans="3:13" x14ac:dyDescent="0.3">
      <c r="C3667" t="s">
        <v>61</v>
      </c>
      <c r="D3667" t="s">
        <v>67</v>
      </c>
      <c r="E3667" t="s">
        <v>63</v>
      </c>
      <c r="F3667" t="s">
        <v>72</v>
      </c>
      <c r="G3667" s="4">
        <v>4</v>
      </c>
      <c r="H3667" s="4" t="s">
        <v>12</v>
      </c>
      <c r="I3667" s="4" t="s">
        <v>69</v>
      </c>
      <c r="J3667" s="4" t="s">
        <v>73</v>
      </c>
      <c r="K3667" s="4">
        <v>1</v>
      </c>
      <c r="L3667" s="94">
        <v>-4305</v>
      </c>
      <c r="M3667" s="94">
        <v>0</v>
      </c>
    </row>
    <row r="3668" spans="3:13" x14ac:dyDescent="0.3">
      <c r="C3668" t="s">
        <v>71</v>
      </c>
      <c r="D3668" t="s">
        <v>67</v>
      </c>
      <c r="E3668" t="s">
        <v>68</v>
      </c>
      <c r="F3668" t="s">
        <v>26</v>
      </c>
      <c r="G3668" s="4">
        <v>3</v>
      </c>
      <c r="H3668" s="4" t="s">
        <v>17</v>
      </c>
      <c r="I3668" s="4" t="s">
        <v>69</v>
      </c>
      <c r="J3668" s="4" t="s">
        <v>66</v>
      </c>
      <c r="K3668" s="4">
        <v>0</v>
      </c>
      <c r="L3668" s="94">
        <v>2257837</v>
      </c>
      <c r="M3668" s="94">
        <v>6773511</v>
      </c>
    </row>
    <row r="3669" spans="3:13" x14ac:dyDescent="0.3">
      <c r="C3669" t="s">
        <v>61</v>
      </c>
      <c r="D3669" t="s">
        <v>67</v>
      </c>
      <c r="E3669" t="s">
        <v>68</v>
      </c>
      <c r="F3669" t="s">
        <v>25</v>
      </c>
      <c r="G3669" s="4">
        <v>10</v>
      </c>
      <c r="H3669" s="4" t="s">
        <v>64</v>
      </c>
      <c r="I3669" s="4" t="s">
        <v>69</v>
      </c>
      <c r="J3669" s="4" t="s">
        <v>66</v>
      </c>
      <c r="K3669" s="4">
        <v>0</v>
      </c>
      <c r="L3669" s="94">
        <v>1108642</v>
      </c>
      <c r="M3669" s="94">
        <v>11086420</v>
      </c>
    </row>
    <row r="3670" spans="3:13" x14ac:dyDescent="0.3">
      <c r="C3670" t="s">
        <v>71</v>
      </c>
      <c r="D3670" t="s">
        <v>67</v>
      </c>
      <c r="E3670" t="s">
        <v>63</v>
      </c>
      <c r="F3670" t="s">
        <v>26</v>
      </c>
      <c r="G3670" s="4">
        <v>0</v>
      </c>
      <c r="H3670" s="4" t="s">
        <v>16</v>
      </c>
      <c r="I3670" s="4" t="s">
        <v>69</v>
      </c>
      <c r="J3670" s="4" t="s">
        <v>66</v>
      </c>
      <c r="K3670" s="4">
        <v>0</v>
      </c>
      <c r="L3670" s="94">
        <v>-35481</v>
      </c>
      <c r="M3670" s="94">
        <v>0</v>
      </c>
    </row>
    <row r="3671" spans="3:13" x14ac:dyDescent="0.3">
      <c r="C3671" t="s">
        <v>70</v>
      </c>
      <c r="D3671" t="s">
        <v>84</v>
      </c>
      <c r="E3671" t="s">
        <v>63</v>
      </c>
      <c r="F3671" t="s">
        <v>25</v>
      </c>
      <c r="G3671" s="4">
        <v>5</v>
      </c>
      <c r="H3671" s="4" t="s">
        <v>81</v>
      </c>
      <c r="I3671" s="4" t="s">
        <v>69</v>
      </c>
      <c r="J3671" s="4" t="s">
        <v>66</v>
      </c>
      <c r="K3671" s="4">
        <v>0</v>
      </c>
      <c r="L3671" s="94">
        <v>-2755</v>
      </c>
      <c r="M3671" s="94">
        <v>0</v>
      </c>
    </row>
    <row r="3672" spans="3:13" x14ac:dyDescent="0.3">
      <c r="C3672" t="s">
        <v>70</v>
      </c>
      <c r="D3672" t="s">
        <v>62</v>
      </c>
      <c r="E3672" t="s">
        <v>68</v>
      </c>
      <c r="F3672" t="s">
        <v>24</v>
      </c>
      <c r="G3672" s="4">
        <v>8</v>
      </c>
      <c r="I3672" s="4" t="s">
        <v>65</v>
      </c>
      <c r="J3672" s="4" t="s">
        <v>66</v>
      </c>
      <c r="K3672" s="4">
        <v>1</v>
      </c>
      <c r="L3672" s="94">
        <v>294082</v>
      </c>
      <c r="M3672" s="94">
        <v>2352656</v>
      </c>
    </row>
    <row r="3673" spans="3:13" x14ac:dyDescent="0.3">
      <c r="C3673" t="s">
        <v>61</v>
      </c>
      <c r="D3673" t="s">
        <v>67</v>
      </c>
      <c r="E3673" t="s">
        <v>68</v>
      </c>
      <c r="F3673" t="s">
        <v>25</v>
      </c>
      <c r="G3673" s="4">
        <v>11</v>
      </c>
      <c r="H3673" s="4" t="s">
        <v>18</v>
      </c>
      <c r="I3673" s="4" t="s">
        <v>69</v>
      </c>
      <c r="J3673" s="4" t="s">
        <v>66</v>
      </c>
      <c r="K3673" s="4">
        <v>1</v>
      </c>
      <c r="L3673" s="94">
        <v>1144475</v>
      </c>
      <c r="M3673" s="94">
        <v>12589225</v>
      </c>
    </row>
    <row r="3674" spans="3:13" x14ac:dyDescent="0.3">
      <c r="C3674" t="s">
        <v>70</v>
      </c>
      <c r="D3674" t="s">
        <v>67</v>
      </c>
      <c r="E3674" t="s">
        <v>63</v>
      </c>
      <c r="F3674" t="s">
        <v>26</v>
      </c>
      <c r="G3674" s="4">
        <v>3</v>
      </c>
      <c r="H3674" s="4" t="s">
        <v>16</v>
      </c>
      <c r="I3674" s="4" t="s">
        <v>69</v>
      </c>
      <c r="J3674" s="4" t="s">
        <v>66</v>
      </c>
      <c r="K3674" s="4">
        <v>0</v>
      </c>
      <c r="L3674" s="94">
        <v>-24565</v>
      </c>
      <c r="M3674" s="94">
        <v>0</v>
      </c>
    </row>
    <row r="3675" spans="3:13" x14ac:dyDescent="0.3">
      <c r="C3675" t="s">
        <v>70</v>
      </c>
      <c r="D3675" t="s">
        <v>67</v>
      </c>
      <c r="E3675" t="s">
        <v>63</v>
      </c>
      <c r="F3675" t="s">
        <v>25</v>
      </c>
      <c r="G3675" s="4">
        <v>14</v>
      </c>
      <c r="H3675" s="4" t="s">
        <v>14</v>
      </c>
      <c r="I3675" s="4" t="s">
        <v>69</v>
      </c>
      <c r="J3675" s="4" t="s">
        <v>66</v>
      </c>
      <c r="K3675" s="4">
        <v>1</v>
      </c>
      <c r="L3675" s="94">
        <v>-10303</v>
      </c>
      <c r="M3675" s="94">
        <v>0</v>
      </c>
    </row>
    <row r="3676" spans="3:13" x14ac:dyDescent="0.3">
      <c r="C3676" t="s">
        <v>71</v>
      </c>
      <c r="D3676" t="s">
        <v>62</v>
      </c>
      <c r="E3676" t="s">
        <v>63</v>
      </c>
      <c r="F3676" t="s">
        <v>25</v>
      </c>
      <c r="G3676" s="4">
        <v>6</v>
      </c>
      <c r="I3676" s="4" t="s">
        <v>69</v>
      </c>
      <c r="J3676" s="4" t="s">
        <v>66</v>
      </c>
      <c r="K3676" s="4">
        <v>0</v>
      </c>
      <c r="L3676" s="94">
        <v>-10088</v>
      </c>
      <c r="M3676" s="94">
        <v>0</v>
      </c>
    </row>
    <row r="3677" spans="3:13" x14ac:dyDescent="0.3">
      <c r="C3677" t="s">
        <v>61</v>
      </c>
      <c r="D3677" t="s">
        <v>84</v>
      </c>
      <c r="E3677" t="s">
        <v>63</v>
      </c>
      <c r="F3677" t="s">
        <v>25</v>
      </c>
      <c r="G3677" s="4">
        <v>3</v>
      </c>
      <c r="H3677" s="4" t="s">
        <v>79</v>
      </c>
      <c r="I3677" s="4" t="s">
        <v>69</v>
      </c>
      <c r="J3677" s="4" t="s">
        <v>66</v>
      </c>
      <c r="K3677" s="4">
        <v>0</v>
      </c>
      <c r="L3677" s="94">
        <v>-1438</v>
      </c>
      <c r="M3677" s="94">
        <v>0</v>
      </c>
    </row>
    <row r="3678" spans="3:13" x14ac:dyDescent="0.3">
      <c r="C3678" t="s">
        <v>70</v>
      </c>
      <c r="D3678" t="s">
        <v>67</v>
      </c>
      <c r="E3678" t="s">
        <v>68</v>
      </c>
      <c r="F3678" t="s">
        <v>26</v>
      </c>
      <c r="G3678" s="4">
        <v>-1</v>
      </c>
      <c r="H3678" s="4" t="s">
        <v>15</v>
      </c>
      <c r="I3678" s="4" t="s">
        <v>65</v>
      </c>
      <c r="J3678" s="4" t="s">
        <v>66</v>
      </c>
      <c r="K3678" s="4">
        <v>1</v>
      </c>
      <c r="L3678" s="94">
        <v>27</v>
      </c>
      <c r="M3678" s="94">
        <v>0</v>
      </c>
    </row>
    <row r="3679" spans="3:13" x14ac:dyDescent="0.3">
      <c r="C3679" t="s">
        <v>70</v>
      </c>
      <c r="D3679" t="s">
        <v>67</v>
      </c>
      <c r="E3679" t="s">
        <v>63</v>
      </c>
      <c r="F3679" t="s">
        <v>72</v>
      </c>
      <c r="G3679" s="4">
        <v>-1</v>
      </c>
      <c r="H3679" s="4" t="s">
        <v>14</v>
      </c>
      <c r="I3679" s="4" t="s">
        <v>69</v>
      </c>
      <c r="J3679" s="4" t="s">
        <v>66</v>
      </c>
      <c r="K3679" s="4">
        <v>0</v>
      </c>
      <c r="L3679" s="94">
        <v>-17056</v>
      </c>
      <c r="M3679" s="94">
        <v>0</v>
      </c>
    </row>
    <row r="3680" spans="3:13" x14ac:dyDescent="0.3">
      <c r="C3680" t="s">
        <v>61</v>
      </c>
      <c r="D3680" t="s">
        <v>67</v>
      </c>
      <c r="E3680" t="s">
        <v>63</v>
      </c>
      <c r="F3680" t="s">
        <v>26</v>
      </c>
      <c r="G3680" s="4">
        <v>1</v>
      </c>
      <c r="H3680" s="4" t="s">
        <v>75</v>
      </c>
      <c r="I3680" s="4" t="s">
        <v>69</v>
      </c>
      <c r="J3680" s="4" t="s">
        <v>66</v>
      </c>
      <c r="K3680" s="4">
        <v>0</v>
      </c>
      <c r="L3680" s="94">
        <v>-44141</v>
      </c>
      <c r="M3680" s="94">
        <v>0</v>
      </c>
    </row>
    <row r="3681" spans="3:13" x14ac:dyDescent="0.3">
      <c r="C3681" t="s">
        <v>71</v>
      </c>
      <c r="D3681" t="s">
        <v>67</v>
      </c>
      <c r="E3681" t="s">
        <v>68</v>
      </c>
      <c r="F3681" t="s">
        <v>25</v>
      </c>
      <c r="G3681" s="4">
        <v>-1</v>
      </c>
      <c r="H3681" s="4" t="s">
        <v>74</v>
      </c>
      <c r="I3681" s="4" t="s">
        <v>69</v>
      </c>
      <c r="J3681" s="4" t="s">
        <v>66</v>
      </c>
      <c r="K3681" s="4">
        <v>0</v>
      </c>
      <c r="L3681" s="94">
        <v>189</v>
      </c>
      <c r="M3681" s="94">
        <v>0</v>
      </c>
    </row>
    <row r="3682" spans="3:13" x14ac:dyDescent="0.3">
      <c r="C3682" t="s">
        <v>61</v>
      </c>
      <c r="D3682" t="s">
        <v>67</v>
      </c>
      <c r="E3682" t="s">
        <v>63</v>
      </c>
      <c r="F3682" t="s">
        <v>25</v>
      </c>
      <c r="G3682" s="4">
        <v>11</v>
      </c>
      <c r="H3682" s="4" t="s">
        <v>64</v>
      </c>
      <c r="I3682" s="4" t="s">
        <v>65</v>
      </c>
      <c r="J3682" s="4" t="s">
        <v>66</v>
      </c>
      <c r="K3682" s="4">
        <v>1</v>
      </c>
      <c r="L3682" s="94">
        <v>-84</v>
      </c>
      <c r="M3682" s="94">
        <v>0</v>
      </c>
    </row>
    <row r="3683" spans="3:13" x14ac:dyDescent="0.3">
      <c r="C3683" t="s">
        <v>71</v>
      </c>
      <c r="D3683" t="s">
        <v>62</v>
      </c>
      <c r="E3683" t="s">
        <v>63</v>
      </c>
      <c r="F3683" t="s">
        <v>24</v>
      </c>
      <c r="G3683" s="4">
        <v>7</v>
      </c>
      <c r="I3683" s="4" t="s">
        <v>69</v>
      </c>
      <c r="J3683" s="4" t="s">
        <v>66</v>
      </c>
      <c r="K3683" s="4">
        <v>1</v>
      </c>
      <c r="L3683" s="94">
        <v>-18383</v>
      </c>
      <c r="M3683" s="94">
        <v>0</v>
      </c>
    </row>
    <row r="3684" spans="3:13" x14ac:dyDescent="0.3">
      <c r="C3684" t="s">
        <v>70</v>
      </c>
      <c r="D3684" t="s">
        <v>62</v>
      </c>
      <c r="E3684" t="s">
        <v>63</v>
      </c>
      <c r="F3684" t="s">
        <v>24</v>
      </c>
      <c r="G3684" s="4">
        <v>24</v>
      </c>
      <c r="I3684" s="4" t="s">
        <v>69</v>
      </c>
      <c r="J3684" s="4" t="s">
        <v>66</v>
      </c>
      <c r="K3684" s="4">
        <v>1</v>
      </c>
      <c r="L3684" s="94">
        <v>-7273</v>
      </c>
      <c r="M3684" s="94">
        <v>0</v>
      </c>
    </row>
    <row r="3685" spans="3:13" x14ac:dyDescent="0.3">
      <c r="C3685" t="s">
        <v>61</v>
      </c>
      <c r="D3685" t="s">
        <v>67</v>
      </c>
      <c r="E3685" t="s">
        <v>68</v>
      </c>
      <c r="F3685" t="s">
        <v>25</v>
      </c>
      <c r="G3685" s="4">
        <v>1</v>
      </c>
      <c r="H3685" s="4" t="s">
        <v>77</v>
      </c>
      <c r="I3685" s="4" t="s">
        <v>69</v>
      </c>
      <c r="J3685" s="4" t="s">
        <v>66</v>
      </c>
      <c r="K3685" s="4">
        <v>0</v>
      </c>
      <c r="L3685" s="94">
        <v>27904</v>
      </c>
      <c r="M3685" s="94">
        <v>27904</v>
      </c>
    </row>
    <row r="3686" spans="3:13" x14ac:dyDescent="0.3">
      <c r="C3686" t="s">
        <v>61</v>
      </c>
      <c r="D3686" t="s">
        <v>67</v>
      </c>
      <c r="E3686" t="s">
        <v>68</v>
      </c>
      <c r="F3686" t="s">
        <v>25</v>
      </c>
      <c r="G3686" s="4">
        <v>8</v>
      </c>
      <c r="H3686" s="4" t="s">
        <v>64</v>
      </c>
      <c r="I3686" s="4" t="s">
        <v>69</v>
      </c>
      <c r="J3686" s="4" t="s">
        <v>66</v>
      </c>
      <c r="K3686" s="4">
        <v>0</v>
      </c>
      <c r="L3686" s="94">
        <v>1074705</v>
      </c>
      <c r="M3686" s="94">
        <v>8597640</v>
      </c>
    </row>
    <row r="3687" spans="3:13" x14ac:dyDescent="0.3">
      <c r="C3687" t="s">
        <v>70</v>
      </c>
      <c r="D3687" t="s">
        <v>67</v>
      </c>
      <c r="E3687" t="s">
        <v>63</v>
      </c>
      <c r="F3687" t="s">
        <v>26</v>
      </c>
      <c r="G3687" s="4">
        <v>-4</v>
      </c>
      <c r="H3687" s="4" t="s">
        <v>82</v>
      </c>
      <c r="I3687" s="4" t="s">
        <v>65</v>
      </c>
      <c r="J3687" s="4" t="s">
        <v>66</v>
      </c>
      <c r="K3687" s="4">
        <v>1</v>
      </c>
      <c r="L3687" s="94">
        <v>-4344</v>
      </c>
      <c r="M3687" s="94">
        <v>0</v>
      </c>
    </row>
    <row r="3688" spans="3:13" x14ac:dyDescent="0.3">
      <c r="C3688" t="s">
        <v>61</v>
      </c>
      <c r="D3688" t="s">
        <v>67</v>
      </c>
      <c r="E3688" t="s">
        <v>68</v>
      </c>
      <c r="F3688" t="s">
        <v>25</v>
      </c>
      <c r="G3688" s="4">
        <v>9</v>
      </c>
      <c r="H3688" s="4" t="s">
        <v>18</v>
      </c>
      <c r="I3688" s="4" t="s">
        <v>69</v>
      </c>
      <c r="J3688" s="4" t="s">
        <v>66</v>
      </c>
      <c r="K3688" s="4">
        <v>1</v>
      </c>
      <c r="L3688" s="94">
        <v>2090995</v>
      </c>
      <c r="M3688" s="94">
        <v>18818955</v>
      </c>
    </row>
    <row r="3689" spans="3:13" x14ac:dyDescent="0.3">
      <c r="C3689" t="s">
        <v>61</v>
      </c>
      <c r="D3689" t="s">
        <v>67</v>
      </c>
      <c r="E3689" t="s">
        <v>63</v>
      </c>
      <c r="F3689" t="s">
        <v>25</v>
      </c>
      <c r="G3689" s="4">
        <v>-1</v>
      </c>
      <c r="H3689" s="4" t="s">
        <v>14</v>
      </c>
      <c r="I3689" s="4" t="s">
        <v>69</v>
      </c>
      <c r="J3689" s="4" t="s">
        <v>66</v>
      </c>
      <c r="K3689" s="4">
        <v>0</v>
      </c>
      <c r="L3689" s="94">
        <v>-12016</v>
      </c>
      <c r="M3689" s="94">
        <v>0</v>
      </c>
    </row>
    <row r="3690" spans="3:13" x14ac:dyDescent="0.3">
      <c r="C3690" t="s">
        <v>61</v>
      </c>
      <c r="D3690" t="s">
        <v>67</v>
      </c>
      <c r="E3690" t="s">
        <v>63</v>
      </c>
      <c r="F3690" t="s">
        <v>25</v>
      </c>
      <c r="G3690" s="4">
        <v>1</v>
      </c>
      <c r="H3690" s="4" t="s">
        <v>79</v>
      </c>
      <c r="I3690" s="4" t="s">
        <v>69</v>
      </c>
      <c r="J3690" s="4" t="s">
        <v>66</v>
      </c>
      <c r="K3690" s="4">
        <v>0</v>
      </c>
      <c r="L3690" s="94">
        <v>-570</v>
      </c>
      <c r="M3690" s="94">
        <v>0</v>
      </c>
    </row>
    <row r="3691" spans="3:13" x14ac:dyDescent="0.3">
      <c r="C3691" t="s">
        <v>71</v>
      </c>
      <c r="D3691" t="s">
        <v>62</v>
      </c>
      <c r="E3691" t="s">
        <v>63</v>
      </c>
      <c r="F3691" t="s">
        <v>24</v>
      </c>
      <c r="G3691" s="4">
        <v>21</v>
      </c>
      <c r="I3691" s="4" t="s">
        <v>65</v>
      </c>
      <c r="J3691" s="4" t="s">
        <v>66</v>
      </c>
      <c r="K3691" s="4">
        <v>1</v>
      </c>
      <c r="L3691" s="94">
        <v>-65900</v>
      </c>
      <c r="M3691" s="94">
        <v>0</v>
      </c>
    </row>
    <row r="3692" spans="3:13" x14ac:dyDescent="0.3">
      <c r="C3692" t="s">
        <v>70</v>
      </c>
      <c r="D3692" t="s">
        <v>67</v>
      </c>
      <c r="E3692" t="s">
        <v>68</v>
      </c>
      <c r="F3692" t="s">
        <v>72</v>
      </c>
      <c r="G3692" s="4">
        <v>4</v>
      </c>
      <c r="H3692" s="4" t="s">
        <v>74</v>
      </c>
      <c r="I3692" s="4" t="s">
        <v>69</v>
      </c>
      <c r="J3692" s="4" t="s">
        <v>66</v>
      </c>
      <c r="K3692" s="4">
        <v>0</v>
      </c>
      <c r="L3692" s="94">
        <v>981515</v>
      </c>
      <c r="M3692" s="94">
        <v>3926060</v>
      </c>
    </row>
    <row r="3693" spans="3:13" x14ac:dyDescent="0.3">
      <c r="C3693" t="s">
        <v>61</v>
      </c>
      <c r="D3693" t="s">
        <v>67</v>
      </c>
      <c r="E3693" t="s">
        <v>63</v>
      </c>
      <c r="F3693" t="s">
        <v>72</v>
      </c>
      <c r="G3693" s="4">
        <v>3</v>
      </c>
      <c r="H3693" s="4" t="s">
        <v>17</v>
      </c>
      <c r="I3693" s="4" t="s">
        <v>65</v>
      </c>
      <c r="J3693" s="4" t="s">
        <v>66</v>
      </c>
      <c r="K3693" s="4">
        <v>1</v>
      </c>
      <c r="L3693" s="94">
        <v>-61</v>
      </c>
      <c r="M3693" s="94">
        <v>0</v>
      </c>
    </row>
    <row r="3694" spans="3:13" x14ac:dyDescent="0.3">
      <c r="C3694" t="s">
        <v>71</v>
      </c>
      <c r="D3694" t="s">
        <v>67</v>
      </c>
      <c r="E3694" t="s">
        <v>63</v>
      </c>
      <c r="F3694" t="s">
        <v>26</v>
      </c>
      <c r="G3694" s="4">
        <v>1</v>
      </c>
      <c r="H3694" s="4" t="s">
        <v>78</v>
      </c>
      <c r="I3694" s="4" t="s">
        <v>69</v>
      </c>
      <c r="J3694" s="4" t="s">
        <v>66</v>
      </c>
      <c r="K3694" s="4">
        <v>0</v>
      </c>
      <c r="L3694" s="94">
        <v>-125137</v>
      </c>
      <c r="M3694" s="94">
        <v>0</v>
      </c>
    </row>
    <row r="3695" spans="3:13" x14ac:dyDescent="0.3">
      <c r="C3695" t="s">
        <v>61</v>
      </c>
      <c r="D3695" t="s">
        <v>67</v>
      </c>
      <c r="E3695" t="s">
        <v>63</v>
      </c>
      <c r="F3695" t="s">
        <v>25</v>
      </c>
      <c r="G3695" s="4">
        <v>7</v>
      </c>
      <c r="H3695" s="4" t="s">
        <v>17</v>
      </c>
      <c r="I3695" s="4" t="s">
        <v>69</v>
      </c>
      <c r="J3695" s="4" t="s">
        <v>66</v>
      </c>
      <c r="K3695" s="4">
        <v>1</v>
      </c>
      <c r="L3695" s="94">
        <v>-28</v>
      </c>
      <c r="M3695" s="94">
        <v>0</v>
      </c>
    </row>
    <row r="3696" spans="3:13" x14ac:dyDescent="0.3">
      <c r="C3696" t="s">
        <v>70</v>
      </c>
      <c r="D3696" t="s">
        <v>67</v>
      </c>
      <c r="E3696" t="s">
        <v>63</v>
      </c>
      <c r="F3696" t="s">
        <v>72</v>
      </c>
      <c r="G3696" s="4">
        <v>6</v>
      </c>
      <c r="H3696" s="4" t="s">
        <v>18</v>
      </c>
      <c r="I3696" s="4" t="s">
        <v>69</v>
      </c>
      <c r="J3696" s="4" t="s">
        <v>73</v>
      </c>
      <c r="K3696" s="4">
        <v>1</v>
      </c>
      <c r="L3696" s="94">
        <v>-13390</v>
      </c>
      <c r="M3696" s="94">
        <v>0</v>
      </c>
    </row>
    <row r="3697" spans="3:13" x14ac:dyDescent="0.3">
      <c r="C3697" t="s">
        <v>70</v>
      </c>
      <c r="D3697" t="s">
        <v>67</v>
      </c>
      <c r="E3697" t="s">
        <v>68</v>
      </c>
      <c r="F3697" t="s">
        <v>72</v>
      </c>
      <c r="G3697" s="4">
        <v>5</v>
      </c>
      <c r="H3697" s="4" t="s">
        <v>15</v>
      </c>
      <c r="I3697" s="4" t="s">
        <v>69</v>
      </c>
      <c r="J3697" s="4" t="s">
        <v>73</v>
      </c>
      <c r="K3697" s="4">
        <v>1</v>
      </c>
      <c r="L3697" s="94">
        <v>114985</v>
      </c>
      <c r="M3697" s="94">
        <v>574925</v>
      </c>
    </row>
    <row r="3698" spans="3:13" x14ac:dyDescent="0.3">
      <c r="C3698" t="s">
        <v>70</v>
      </c>
      <c r="D3698" t="s">
        <v>67</v>
      </c>
      <c r="E3698" t="s">
        <v>63</v>
      </c>
      <c r="F3698" t="s">
        <v>26</v>
      </c>
      <c r="G3698" s="4">
        <v>6</v>
      </c>
      <c r="H3698" s="4" t="s">
        <v>77</v>
      </c>
      <c r="I3698" s="4" t="s">
        <v>69</v>
      </c>
      <c r="J3698" s="4" t="s">
        <v>66</v>
      </c>
      <c r="K3698" s="4">
        <v>0</v>
      </c>
      <c r="L3698" s="94">
        <v>-64332</v>
      </c>
      <c r="M3698" s="94">
        <v>0</v>
      </c>
    </row>
    <row r="3699" spans="3:13" x14ac:dyDescent="0.3">
      <c r="C3699" t="s">
        <v>70</v>
      </c>
      <c r="D3699" t="s">
        <v>67</v>
      </c>
      <c r="E3699" t="s">
        <v>68</v>
      </c>
      <c r="F3699" t="s">
        <v>25</v>
      </c>
      <c r="G3699" s="4">
        <v>14</v>
      </c>
      <c r="H3699" s="4" t="s">
        <v>76</v>
      </c>
      <c r="I3699" s="4" t="s">
        <v>69</v>
      </c>
      <c r="J3699" s="4" t="s">
        <v>66</v>
      </c>
      <c r="K3699" s="4">
        <v>0</v>
      </c>
      <c r="L3699" s="94">
        <v>926279</v>
      </c>
      <c r="M3699" s="94">
        <v>12967906</v>
      </c>
    </row>
    <row r="3700" spans="3:13" x14ac:dyDescent="0.3">
      <c r="C3700" t="s">
        <v>61</v>
      </c>
      <c r="D3700" t="s">
        <v>67</v>
      </c>
      <c r="E3700" t="s">
        <v>68</v>
      </c>
      <c r="F3700" t="s">
        <v>25</v>
      </c>
      <c r="G3700" s="4">
        <v>7</v>
      </c>
      <c r="H3700" s="4" t="s">
        <v>80</v>
      </c>
      <c r="I3700" s="4" t="s">
        <v>69</v>
      </c>
      <c r="J3700" s="4" t="s">
        <v>66</v>
      </c>
      <c r="K3700" s="4">
        <v>0</v>
      </c>
      <c r="L3700" s="94">
        <v>115838</v>
      </c>
      <c r="M3700" s="94">
        <v>810866</v>
      </c>
    </row>
    <row r="3701" spans="3:13" x14ac:dyDescent="0.3">
      <c r="C3701" t="s">
        <v>61</v>
      </c>
      <c r="D3701" t="s">
        <v>67</v>
      </c>
      <c r="E3701" t="s">
        <v>63</v>
      </c>
      <c r="F3701" t="s">
        <v>72</v>
      </c>
      <c r="G3701" s="4">
        <v>3</v>
      </c>
      <c r="H3701" s="4" t="s">
        <v>12</v>
      </c>
      <c r="I3701" s="4" t="s">
        <v>69</v>
      </c>
      <c r="J3701" s="4" t="s">
        <v>73</v>
      </c>
      <c r="K3701" s="4">
        <v>1</v>
      </c>
      <c r="L3701" s="94">
        <v>-2308</v>
      </c>
      <c r="M3701" s="94">
        <v>0</v>
      </c>
    </row>
    <row r="3702" spans="3:13" x14ac:dyDescent="0.3">
      <c r="C3702" t="s">
        <v>61</v>
      </c>
      <c r="D3702" t="s">
        <v>67</v>
      </c>
      <c r="E3702" t="s">
        <v>68</v>
      </c>
      <c r="F3702" t="s">
        <v>72</v>
      </c>
      <c r="G3702" s="4">
        <v>3</v>
      </c>
      <c r="H3702" s="4" t="s">
        <v>82</v>
      </c>
      <c r="I3702" s="4" t="s">
        <v>69</v>
      </c>
      <c r="J3702" s="4" t="s">
        <v>66</v>
      </c>
      <c r="K3702" s="4">
        <v>0</v>
      </c>
      <c r="L3702" s="94">
        <v>17302329</v>
      </c>
      <c r="M3702" s="94">
        <v>51906987</v>
      </c>
    </row>
    <row r="3703" spans="3:13" x14ac:dyDescent="0.3">
      <c r="C3703" t="s">
        <v>70</v>
      </c>
      <c r="D3703" t="s">
        <v>67</v>
      </c>
      <c r="E3703" t="s">
        <v>68</v>
      </c>
      <c r="F3703" t="s">
        <v>72</v>
      </c>
      <c r="G3703" s="4">
        <v>-1</v>
      </c>
      <c r="H3703" s="4" t="s">
        <v>64</v>
      </c>
      <c r="I3703" s="4" t="s">
        <v>69</v>
      </c>
      <c r="J3703" s="4" t="s">
        <v>66</v>
      </c>
      <c r="K3703" s="4">
        <v>0</v>
      </c>
      <c r="L3703" s="94">
        <v>364457</v>
      </c>
      <c r="M3703" s="94">
        <v>0</v>
      </c>
    </row>
    <row r="3704" spans="3:13" x14ac:dyDescent="0.3">
      <c r="C3704" t="s">
        <v>70</v>
      </c>
      <c r="D3704" t="s">
        <v>67</v>
      </c>
      <c r="E3704" t="s">
        <v>68</v>
      </c>
      <c r="F3704" t="s">
        <v>26</v>
      </c>
      <c r="G3704" s="4">
        <v>-4</v>
      </c>
      <c r="H3704" s="4" t="s">
        <v>74</v>
      </c>
      <c r="I3704" s="4" t="s">
        <v>69</v>
      </c>
      <c r="J3704" s="4" t="s">
        <v>66</v>
      </c>
      <c r="K3704" s="4">
        <v>0</v>
      </c>
      <c r="L3704" s="94">
        <v>1009</v>
      </c>
      <c r="M3704" s="94">
        <v>0</v>
      </c>
    </row>
    <row r="3705" spans="3:13" x14ac:dyDescent="0.3">
      <c r="C3705" t="s">
        <v>61</v>
      </c>
      <c r="D3705" t="s">
        <v>62</v>
      </c>
      <c r="E3705" t="s">
        <v>68</v>
      </c>
      <c r="F3705" t="s">
        <v>24</v>
      </c>
      <c r="G3705" s="4">
        <v>3</v>
      </c>
      <c r="I3705" s="4" t="s">
        <v>65</v>
      </c>
      <c r="J3705" s="4" t="s">
        <v>73</v>
      </c>
      <c r="K3705" s="4">
        <v>1</v>
      </c>
      <c r="L3705" s="94">
        <v>777</v>
      </c>
      <c r="M3705" s="94">
        <v>2331</v>
      </c>
    </row>
    <row r="3706" spans="3:13" x14ac:dyDescent="0.3">
      <c r="C3706" t="s">
        <v>71</v>
      </c>
      <c r="D3706" t="s">
        <v>62</v>
      </c>
      <c r="E3706" t="s">
        <v>68</v>
      </c>
      <c r="F3706" t="s">
        <v>25</v>
      </c>
      <c r="G3706" s="4">
        <v>22</v>
      </c>
      <c r="I3706" s="4" t="s">
        <v>69</v>
      </c>
      <c r="J3706" s="4" t="s">
        <v>66</v>
      </c>
      <c r="K3706" s="4">
        <v>0</v>
      </c>
      <c r="L3706" s="94">
        <v>155682</v>
      </c>
      <c r="M3706" s="94">
        <v>3425004</v>
      </c>
    </row>
    <row r="3707" spans="3:13" x14ac:dyDescent="0.3">
      <c r="C3707" t="s">
        <v>61</v>
      </c>
      <c r="D3707" t="s">
        <v>67</v>
      </c>
      <c r="E3707" t="s">
        <v>68</v>
      </c>
      <c r="F3707" t="s">
        <v>72</v>
      </c>
      <c r="G3707" s="4">
        <v>0</v>
      </c>
      <c r="H3707" s="4" t="s">
        <v>76</v>
      </c>
      <c r="I3707" s="4" t="s">
        <v>69</v>
      </c>
      <c r="J3707" s="4" t="s">
        <v>66</v>
      </c>
      <c r="K3707" s="4">
        <v>0</v>
      </c>
      <c r="L3707" s="94">
        <v>203325</v>
      </c>
      <c r="M3707" s="94">
        <v>0</v>
      </c>
    </row>
    <row r="3708" spans="3:13" x14ac:dyDescent="0.3">
      <c r="C3708" t="s">
        <v>70</v>
      </c>
      <c r="D3708" t="s">
        <v>62</v>
      </c>
      <c r="E3708" t="s">
        <v>63</v>
      </c>
      <c r="F3708" t="s">
        <v>24</v>
      </c>
      <c r="G3708" s="4">
        <v>7</v>
      </c>
      <c r="I3708" s="4" t="s">
        <v>69</v>
      </c>
      <c r="J3708" s="4" t="s">
        <v>66</v>
      </c>
      <c r="K3708" s="4">
        <v>1</v>
      </c>
      <c r="L3708" s="94">
        <v>-1478</v>
      </c>
      <c r="M3708" s="94">
        <v>0</v>
      </c>
    </row>
    <row r="3709" spans="3:13" x14ac:dyDescent="0.3">
      <c r="C3709" t="s">
        <v>70</v>
      </c>
      <c r="D3709" t="s">
        <v>62</v>
      </c>
      <c r="E3709" t="s">
        <v>68</v>
      </c>
      <c r="F3709" t="s">
        <v>25</v>
      </c>
      <c r="G3709" s="4">
        <v>1</v>
      </c>
      <c r="I3709" s="4" t="s">
        <v>69</v>
      </c>
      <c r="J3709" s="4" t="s">
        <v>66</v>
      </c>
      <c r="K3709" s="4">
        <v>0</v>
      </c>
      <c r="L3709" s="94">
        <v>105382</v>
      </c>
      <c r="M3709" s="94">
        <v>105382</v>
      </c>
    </row>
    <row r="3710" spans="3:13" x14ac:dyDescent="0.3">
      <c r="C3710" t="s">
        <v>71</v>
      </c>
      <c r="D3710" t="s">
        <v>62</v>
      </c>
      <c r="E3710" t="s">
        <v>63</v>
      </c>
      <c r="F3710" t="s">
        <v>24</v>
      </c>
      <c r="G3710" s="4">
        <v>24</v>
      </c>
      <c r="I3710" s="4" t="s">
        <v>69</v>
      </c>
      <c r="J3710" s="4" t="s">
        <v>66</v>
      </c>
      <c r="K3710" s="4">
        <v>1</v>
      </c>
      <c r="L3710" s="94">
        <v>-23679</v>
      </c>
      <c r="M3710" s="94">
        <v>0</v>
      </c>
    </row>
    <row r="3711" spans="3:13" x14ac:dyDescent="0.3">
      <c r="C3711" t="s">
        <v>61</v>
      </c>
      <c r="D3711" t="s">
        <v>67</v>
      </c>
      <c r="E3711" t="s">
        <v>68</v>
      </c>
      <c r="F3711" t="s">
        <v>25</v>
      </c>
      <c r="G3711" s="4">
        <v>10</v>
      </c>
      <c r="H3711" s="4" t="s">
        <v>78</v>
      </c>
      <c r="I3711" s="4" t="s">
        <v>69</v>
      </c>
      <c r="J3711" s="4" t="s">
        <v>66</v>
      </c>
      <c r="K3711" s="4">
        <v>0</v>
      </c>
      <c r="L3711" s="94">
        <v>588881</v>
      </c>
      <c r="M3711" s="94">
        <v>5888810</v>
      </c>
    </row>
    <row r="3712" spans="3:13" x14ac:dyDescent="0.3">
      <c r="C3712" t="s">
        <v>70</v>
      </c>
      <c r="D3712" t="s">
        <v>67</v>
      </c>
      <c r="E3712" t="s">
        <v>68</v>
      </c>
      <c r="F3712" t="s">
        <v>25</v>
      </c>
      <c r="G3712" s="4">
        <v>2</v>
      </c>
      <c r="H3712" s="4" t="s">
        <v>64</v>
      </c>
      <c r="I3712" s="4" t="s">
        <v>69</v>
      </c>
      <c r="J3712" s="4" t="s">
        <v>66</v>
      </c>
      <c r="K3712" s="4">
        <v>0</v>
      </c>
      <c r="L3712" s="94">
        <v>81442</v>
      </c>
      <c r="M3712" s="94">
        <v>162884</v>
      </c>
    </row>
    <row r="3713" spans="3:13" x14ac:dyDescent="0.3">
      <c r="C3713" t="s">
        <v>70</v>
      </c>
      <c r="D3713" t="s">
        <v>67</v>
      </c>
      <c r="E3713" t="s">
        <v>68</v>
      </c>
      <c r="F3713" t="s">
        <v>72</v>
      </c>
      <c r="G3713" s="4">
        <v>10</v>
      </c>
      <c r="H3713" s="4" t="s">
        <v>74</v>
      </c>
      <c r="I3713" s="4" t="s">
        <v>69</v>
      </c>
      <c r="J3713" s="4" t="s">
        <v>66</v>
      </c>
      <c r="K3713" s="4">
        <v>0</v>
      </c>
      <c r="L3713" s="94">
        <v>49231</v>
      </c>
      <c r="M3713" s="94">
        <v>492310</v>
      </c>
    </row>
    <row r="3714" spans="3:13" x14ac:dyDescent="0.3">
      <c r="C3714" t="s">
        <v>61</v>
      </c>
      <c r="D3714" t="s">
        <v>62</v>
      </c>
      <c r="E3714" t="s">
        <v>68</v>
      </c>
      <c r="F3714" t="s">
        <v>25</v>
      </c>
      <c r="G3714" s="4">
        <v>9</v>
      </c>
      <c r="I3714" s="4" t="s">
        <v>69</v>
      </c>
      <c r="J3714" s="4" t="s">
        <v>66</v>
      </c>
      <c r="K3714" s="4">
        <v>1</v>
      </c>
      <c r="L3714" s="94">
        <v>710202</v>
      </c>
      <c r="M3714" s="94">
        <v>6391818</v>
      </c>
    </row>
    <row r="3715" spans="3:13" x14ac:dyDescent="0.3">
      <c r="C3715" t="s">
        <v>61</v>
      </c>
      <c r="D3715" t="s">
        <v>67</v>
      </c>
      <c r="E3715" t="s">
        <v>68</v>
      </c>
      <c r="F3715" t="s">
        <v>72</v>
      </c>
      <c r="G3715" s="4">
        <v>1</v>
      </c>
      <c r="H3715" s="4" t="s">
        <v>14</v>
      </c>
      <c r="I3715" s="4" t="s">
        <v>69</v>
      </c>
      <c r="J3715" s="4" t="s">
        <v>66</v>
      </c>
      <c r="K3715" s="4">
        <v>0</v>
      </c>
      <c r="L3715" s="94">
        <v>3611644</v>
      </c>
      <c r="M3715" s="94">
        <v>3611644</v>
      </c>
    </row>
    <row r="3716" spans="3:13" x14ac:dyDescent="0.3">
      <c r="C3716" t="s">
        <v>61</v>
      </c>
      <c r="D3716" t="s">
        <v>67</v>
      </c>
      <c r="E3716" t="s">
        <v>68</v>
      </c>
      <c r="F3716" t="s">
        <v>26</v>
      </c>
      <c r="G3716" s="4">
        <v>1</v>
      </c>
      <c r="H3716" s="4" t="s">
        <v>82</v>
      </c>
      <c r="I3716" s="4" t="s">
        <v>65</v>
      </c>
      <c r="J3716" s="4" t="s">
        <v>66</v>
      </c>
      <c r="K3716" s="4">
        <v>1</v>
      </c>
      <c r="L3716" s="94">
        <v>19801449</v>
      </c>
      <c r="M3716" s="94">
        <v>19801449</v>
      </c>
    </row>
    <row r="3717" spans="3:13" x14ac:dyDescent="0.3">
      <c r="C3717" t="s">
        <v>61</v>
      </c>
      <c r="D3717" t="s">
        <v>67</v>
      </c>
      <c r="E3717" t="s">
        <v>63</v>
      </c>
      <c r="F3717" t="s">
        <v>26</v>
      </c>
      <c r="G3717" s="4">
        <v>8</v>
      </c>
      <c r="H3717" s="4" t="s">
        <v>77</v>
      </c>
      <c r="I3717" s="4" t="s">
        <v>69</v>
      </c>
      <c r="J3717" s="4" t="s">
        <v>66</v>
      </c>
      <c r="K3717" s="4">
        <v>0</v>
      </c>
      <c r="L3717" s="94">
        <v>-563</v>
      </c>
      <c r="M3717" s="94">
        <v>0</v>
      </c>
    </row>
    <row r="3718" spans="3:13" x14ac:dyDescent="0.3">
      <c r="C3718" t="s">
        <v>61</v>
      </c>
      <c r="D3718" t="s">
        <v>67</v>
      </c>
      <c r="E3718" t="s">
        <v>68</v>
      </c>
      <c r="F3718" t="s">
        <v>26</v>
      </c>
      <c r="G3718" s="4">
        <v>2</v>
      </c>
      <c r="H3718" s="4" t="s">
        <v>15</v>
      </c>
      <c r="I3718" s="4" t="s">
        <v>69</v>
      </c>
      <c r="J3718" s="4" t="s">
        <v>66</v>
      </c>
      <c r="K3718" s="4">
        <v>0</v>
      </c>
      <c r="L3718" s="94">
        <v>533209</v>
      </c>
      <c r="M3718" s="94">
        <v>1066418</v>
      </c>
    </row>
    <row r="3719" spans="3:13" x14ac:dyDescent="0.3">
      <c r="C3719" t="s">
        <v>71</v>
      </c>
      <c r="D3719" t="s">
        <v>67</v>
      </c>
      <c r="E3719" t="s">
        <v>63</v>
      </c>
      <c r="F3719" t="s">
        <v>25</v>
      </c>
      <c r="G3719" s="4">
        <v>-1</v>
      </c>
      <c r="H3719" s="4" t="s">
        <v>18</v>
      </c>
      <c r="I3719" s="4" t="s">
        <v>69</v>
      </c>
      <c r="J3719" s="4" t="s">
        <v>66</v>
      </c>
      <c r="K3719" s="4">
        <v>0</v>
      </c>
      <c r="L3719" s="94">
        <v>-130174</v>
      </c>
      <c r="M3719" s="94">
        <v>0</v>
      </c>
    </row>
    <row r="3720" spans="3:13" x14ac:dyDescent="0.3">
      <c r="D3720" t="s">
        <v>67</v>
      </c>
      <c r="E3720" t="s">
        <v>68</v>
      </c>
      <c r="G3720" s="4">
        <v>-3</v>
      </c>
      <c r="H3720" s="4" t="s">
        <v>75</v>
      </c>
      <c r="I3720" s="4" t="s">
        <v>69</v>
      </c>
      <c r="J3720" s="4" t="s">
        <v>66</v>
      </c>
      <c r="K3720" s="4">
        <v>0</v>
      </c>
      <c r="L3720" s="94">
        <v>131176</v>
      </c>
      <c r="M3720" s="94">
        <v>0</v>
      </c>
    </row>
    <row r="3721" spans="3:13" x14ac:dyDescent="0.3">
      <c r="C3721" t="s">
        <v>61</v>
      </c>
      <c r="D3721" t="s">
        <v>67</v>
      </c>
      <c r="E3721" t="s">
        <v>63</v>
      </c>
      <c r="F3721" t="s">
        <v>26</v>
      </c>
      <c r="G3721" s="4">
        <v>3</v>
      </c>
      <c r="H3721" s="4" t="s">
        <v>82</v>
      </c>
      <c r="I3721" s="4" t="s">
        <v>65</v>
      </c>
      <c r="J3721" s="4" t="s">
        <v>66</v>
      </c>
      <c r="K3721" s="4">
        <v>1</v>
      </c>
      <c r="L3721" s="94">
        <v>-1563</v>
      </c>
      <c r="M3721" s="94">
        <v>0</v>
      </c>
    </row>
    <row r="3722" spans="3:13" x14ac:dyDescent="0.3">
      <c r="C3722" t="s">
        <v>61</v>
      </c>
      <c r="D3722" t="s">
        <v>62</v>
      </c>
      <c r="E3722" t="s">
        <v>63</v>
      </c>
      <c r="F3722" t="s">
        <v>24</v>
      </c>
      <c r="G3722" s="4">
        <v>29</v>
      </c>
      <c r="I3722" s="4" t="s">
        <v>65</v>
      </c>
      <c r="J3722" s="4" t="s">
        <v>66</v>
      </c>
      <c r="K3722" s="4">
        <v>1</v>
      </c>
      <c r="L3722" s="94">
        <v>-6299</v>
      </c>
      <c r="M3722" s="94">
        <v>0</v>
      </c>
    </row>
    <row r="3723" spans="3:13" x14ac:dyDescent="0.3">
      <c r="C3723" t="s">
        <v>70</v>
      </c>
      <c r="D3723" t="s">
        <v>67</v>
      </c>
      <c r="E3723" t="s">
        <v>63</v>
      </c>
      <c r="F3723" t="s">
        <v>72</v>
      </c>
      <c r="G3723" s="4">
        <v>3</v>
      </c>
      <c r="H3723" s="4" t="s">
        <v>12</v>
      </c>
      <c r="I3723" s="4" t="s">
        <v>69</v>
      </c>
      <c r="J3723" s="4" t="s">
        <v>73</v>
      </c>
      <c r="K3723" s="4">
        <v>1</v>
      </c>
      <c r="L3723" s="94">
        <v>-3385</v>
      </c>
      <c r="M3723" s="94">
        <v>0</v>
      </c>
    </row>
    <row r="3724" spans="3:13" x14ac:dyDescent="0.3">
      <c r="C3724" t="s">
        <v>70</v>
      </c>
      <c r="D3724" t="s">
        <v>67</v>
      </c>
      <c r="E3724" t="s">
        <v>63</v>
      </c>
      <c r="F3724" t="s">
        <v>25</v>
      </c>
      <c r="G3724" s="4">
        <v>4</v>
      </c>
      <c r="H3724" s="4" t="s">
        <v>74</v>
      </c>
      <c r="I3724" s="4" t="s">
        <v>69</v>
      </c>
      <c r="J3724" s="4" t="s">
        <v>66</v>
      </c>
      <c r="K3724" s="4">
        <v>0</v>
      </c>
      <c r="L3724" s="94">
        <v>-10707</v>
      </c>
      <c r="M3724" s="94">
        <v>0</v>
      </c>
    </row>
    <row r="3725" spans="3:13" x14ac:dyDescent="0.3">
      <c r="C3725" t="s">
        <v>71</v>
      </c>
      <c r="D3725" t="s">
        <v>62</v>
      </c>
      <c r="E3725" t="s">
        <v>68</v>
      </c>
      <c r="F3725" t="s">
        <v>24</v>
      </c>
      <c r="G3725" s="4">
        <v>23</v>
      </c>
      <c r="I3725" s="4" t="s">
        <v>69</v>
      </c>
      <c r="J3725" s="4" t="s">
        <v>66</v>
      </c>
      <c r="K3725" s="4">
        <v>1</v>
      </c>
      <c r="L3725" s="94">
        <v>51449</v>
      </c>
      <c r="M3725" s="94">
        <v>1183327</v>
      </c>
    </row>
    <row r="3726" spans="3:13" x14ac:dyDescent="0.3">
      <c r="C3726" t="s">
        <v>61</v>
      </c>
      <c r="D3726" t="s">
        <v>67</v>
      </c>
      <c r="E3726" t="s">
        <v>63</v>
      </c>
      <c r="F3726" t="s">
        <v>72</v>
      </c>
      <c r="G3726" s="4">
        <v>6</v>
      </c>
      <c r="H3726" s="4" t="s">
        <v>18</v>
      </c>
      <c r="I3726" s="4" t="s">
        <v>69</v>
      </c>
      <c r="J3726" s="4" t="s">
        <v>73</v>
      </c>
      <c r="K3726" s="4">
        <v>1</v>
      </c>
      <c r="L3726" s="94">
        <v>-537</v>
      </c>
      <c r="M3726" s="94">
        <v>0</v>
      </c>
    </row>
    <row r="3727" spans="3:13" x14ac:dyDescent="0.3">
      <c r="C3727" t="s">
        <v>61</v>
      </c>
      <c r="D3727" t="s">
        <v>62</v>
      </c>
      <c r="E3727" t="s">
        <v>63</v>
      </c>
      <c r="F3727" t="s">
        <v>25</v>
      </c>
      <c r="G3727" s="4">
        <v>29</v>
      </c>
      <c r="I3727" s="4" t="s">
        <v>69</v>
      </c>
      <c r="J3727" s="4" t="s">
        <v>66</v>
      </c>
      <c r="K3727" s="4">
        <v>0</v>
      </c>
      <c r="L3727" s="94">
        <v>-247</v>
      </c>
      <c r="M3727" s="94">
        <v>0</v>
      </c>
    </row>
    <row r="3728" spans="3:13" x14ac:dyDescent="0.3">
      <c r="C3728" t="s">
        <v>71</v>
      </c>
      <c r="D3728" t="s">
        <v>67</v>
      </c>
      <c r="E3728" t="s">
        <v>68</v>
      </c>
      <c r="F3728" t="s">
        <v>26</v>
      </c>
      <c r="G3728" s="4">
        <v>2</v>
      </c>
      <c r="H3728" s="4" t="s">
        <v>64</v>
      </c>
      <c r="I3728" s="4" t="s">
        <v>69</v>
      </c>
      <c r="J3728" s="4" t="s">
        <v>66</v>
      </c>
      <c r="K3728" s="4">
        <v>0</v>
      </c>
      <c r="L3728" s="94">
        <v>452897</v>
      </c>
      <c r="M3728" s="94">
        <v>905794</v>
      </c>
    </row>
    <row r="3729" spans="3:13" x14ac:dyDescent="0.3">
      <c r="C3729" t="s">
        <v>71</v>
      </c>
      <c r="D3729" t="s">
        <v>67</v>
      </c>
      <c r="E3729" t="s">
        <v>63</v>
      </c>
      <c r="F3729" t="s">
        <v>26</v>
      </c>
      <c r="G3729" s="4">
        <v>4</v>
      </c>
      <c r="H3729" s="4" t="s">
        <v>17</v>
      </c>
      <c r="I3729" s="4" t="s">
        <v>65</v>
      </c>
      <c r="J3729" s="4" t="s">
        <v>73</v>
      </c>
      <c r="K3729" s="4">
        <v>1</v>
      </c>
      <c r="L3729" s="94">
        <v>-23346</v>
      </c>
      <c r="M3729" s="94">
        <v>0</v>
      </c>
    </row>
    <row r="3730" spans="3:13" x14ac:dyDescent="0.3">
      <c r="C3730" t="s">
        <v>61</v>
      </c>
      <c r="D3730" t="s">
        <v>67</v>
      </c>
      <c r="E3730" t="s">
        <v>63</v>
      </c>
      <c r="F3730" t="s">
        <v>25</v>
      </c>
      <c r="G3730" s="4">
        <v>8</v>
      </c>
      <c r="H3730" s="4" t="s">
        <v>75</v>
      </c>
      <c r="I3730" s="4" t="s">
        <v>65</v>
      </c>
      <c r="J3730" s="4" t="s">
        <v>66</v>
      </c>
      <c r="K3730" s="4">
        <v>1</v>
      </c>
      <c r="L3730" s="94">
        <v>-1307</v>
      </c>
      <c r="M3730" s="94">
        <v>0</v>
      </c>
    </row>
    <row r="3731" spans="3:13" x14ac:dyDescent="0.3">
      <c r="C3731" t="s">
        <v>71</v>
      </c>
      <c r="D3731" t="s">
        <v>62</v>
      </c>
      <c r="E3731" t="s">
        <v>68</v>
      </c>
      <c r="F3731" t="s">
        <v>24</v>
      </c>
      <c r="G3731" s="4">
        <v>18</v>
      </c>
      <c r="I3731" s="4" t="s">
        <v>69</v>
      </c>
      <c r="J3731" s="4" t="s">
        <v>66</v>
      </c>
      <c r="K3731" s="4">
        <v>1</v>
      </c>
      <c r="L3731" s="94">
        <v>144040</v>
      </c>
      <c r="M3731" s="94">
        <v>2592720</v>
      </c>
    </row>
    <row r="3732" spans="3:13" x14ac:dyDescent="0.3">
      <c r="C3732" t="s">
        <v>71</v>
      </c>
      <c r="D3732" t="s">
        <v>67</v>
      </c>
      <c r="E3732" t="s">
        <v>63</v>
      </c>
      <c r="F3732" t="s">
        <v>26</v>
      </c>
      <c r="G3732" s="4">
        <v>3</v>
      </c>
      <c r="H3732" s="4" t="s">
        <v>14</v>
      </c>
      <c r="I3732" s="4" t="s">
        <v>69</v>
      </c>
      <c r="J3732" s="4" t="s">
        <v>73</v>
      </c>
      <c r="K3732" s="4">
        <v>1</v>
      </c>
      <c r="L3732" s="94">
        <v>-1880367</v>
      </c>
      <c r="M3732" s="94">
        <v>0</v>
      </c>
    </row>
    <row r="3733" spans="3:13" x14ac:dyDescent="0.3">
      <c r="C3733" t="s">
        <v>71</v>
      </c>
      <c r="D3733" t="s">
        <v>67</v>
      </c>
      <c r="E3733" t="s">
        <v>68</v>
      </c>
      <c r="F3733" t="s">
        <v>26</v>
      </c>
      <c r="G3733" s="4">
        <v>6</v>
      </c>
      <c r="H3733" s="4" t="s">
        <v>74</v>
      </c>
      <c r="I3733" s="4" t="s">
        <v>69</v>
      </c>
      <c r="J3733" s="4" t="s">
        <v>66</v>
      </c>
      <c r="K3733" s="4">
        <v>0</v>
      </c>
      <c r="L3733" s="94">
        <v>289554</v>
      </c>
      <c r="M3733" s="94">
        <v>1737324</v>
      </c>
    </row>
    <row r="3734" spans="3:13" x14ac:dyDescent="0.3">
      <c r="C3734" t="s">
        <v>61</v>
      </c>
      <c r="D3734" t="s">
        <v>67</v>
      </c>
      <c r="E3734" t="s">
        <v>68</v>
      </c>
      <c r="F3734" t="s">
        <v>72</v>
      </c>
      <c r="G3734" s="4">
        <v>3</v>
      </c>
      <c r="H3734" s="4" t="s">
        <v>17</v>
      </c>
      <c r="I3734" s="4" t="s">
        <v>69</v>
      </c>
      <c r="J3734" s="4" t="s">
        <v>66</v>
      </c>
      <c r="K3734" s="4">
        <v>0</v>
      </c>
      <c r="L3734" s="94">
        <v>7631307</v>
      </c>
      <c r="M3734" s="94">
        <v>22893921</v>
      </c>
    </row>
    <row r="3735" spans="3:13" x14ac:dyDescent="0.3">
      <c r="C3735" t="s">
        <v>70</v>
      </c>
      <c r="D3735" t="s">
        <v>67</v>
      </c>
      <c r="E3735" t="s">
        <v>63</v>
      </c>
      <c r="F3735" t="s">
        <v>26</v>
      </c>
      <c r="G3735" s="4">
        <v>0</v>
      </c>
      <c r="H3735" s="4" t="s">
        <v>14</v>
      </c>
      <c r="I3735" s="4" t="s">
        <v>69</v>
      </c>
      <c r="J3735" s="4" t="s">
        <v>73</v>
      </c>
      <c r="K3735" s="4">
        <v>1</v>
      </c>
      <c r="L3735" s="94">
        <v>-555034</v>
      </c>
      <c r="M3735" s="94">
        <v>0</v>
      </c>
    </row>
    <row r="3736" spans="3:13" x14ac:dyDescent="0.3">
      <c r="C3736" t="s">
        <v>70</v>
      </c>
      <c r="D3736" t="s">
        <v>62</v>
      </c>
      <c r="E3736" t="s">
        <v>68</v>
      </c>
      <c r="F3736" t="s">
        <v>24</v>
      </c>
      <c r="G3736" s="4">
        <v>4</v>
      </c>
      <c r="I3736" s="4" t="s">
        <v>65</v>
      </c>
      <c r="J3736" s="4" t="s">
        <v>66</v>
      </c>
      <c r="K3736" s="4">
        <v>1</v>
      </c>
      <c r="L3736" s="94">
        <v>124487</v>
      </c>
      <c r="M3736" s="94">
        <v>497948</v>
      </c>
    </row>
    <row r="3737" spans="3:13" x14ac:dyDescent="0.3">
      <c r="C3737" t="s">
        <v>70</v>
      </c>
      <c r="D3737" t="s">
        <v>67</v>
      </c>
      <c r="E3737" t="s">
        <v>68</v>
      </c>
      <c r="F3737" t="s">
        <v>72</v>
      </c>
      <c r="G3737" s="4">
        <v>4</v>
      </c>
      <c r="H3737" s="4" t="s">
        <v>14</v>
      </c>
      <c r="I3737" s="4" t="s">
        <v>69</v>
      </c>
      <c r="J3737" s="4" t="s">
        <v>66</v>
      </c>
      <c r="K3737" s="4">
        <v>0</v>
      </c>
      <c r="L3737" s="94">
        <v>1169375</v>
      </c>
      <c r="M3737" s="94">
        <v>4677500</v>
      </c>
    </row>
    <row r="3738" spans="3:13" x14ac:dyDescent="0.3">
      <c r="C3738" t="s">
        <v>61</v>
      </c>
      <c r="D3738" t="s">
        <v>67</v>
      </c>
      <c r="E3738" t="s">
        <v>68</v>
      </c>
      <c r="F3738" t="s">
        <v>26</v>
      </c>
      <c r="G3738" s="4">
        <v>10</v>
      </c>
      <c r="H3738" s="4" t="s">
        <v>76</v>
      </c>
      <c r="I3738" s="4" t="s">
        <v>69</v>
      </c>
      <c r="J3738" s="4" t="s">
        <v>66</v>
      </c>
      <c r="K3738" s="4">
        <v>0</v>
      </c>
      <c r="L3738" s="94">
        <v>4511743</v>
      </c>
      <c r="M3738" s="94">
        <v>45117430</v>
      </c>
    </row>
    <row r="3739" spans="3:13" x14ac:dyDescent="0.3">
      <c r="C3739" t="s">
        <v>61</v>
      </c>
      <c r="D3739" t="s">
        <v>67</v>
      </c>
      <c r="E3739" t="s">
        <v>68</v>
      </c>
      <c r="F3739" t="s">
        <v>26</v>
      </c>
      <c r="G3739" s="4">
        <v>4</v>
      </c>
      <c r="H3739" s="4" t="s">
        <v>79</v>
      </c>
      <c r="I3739" s="4" t="s">
        <v>69</v>
      </c>
      <c r="J3739" s="4" t="s">
        <v>66</v>
      </c>
      <c r="K3739" s="4">
        <v>0</v>
      </c>
      <c r="L3739" s="94">
        <v>5537392</v>
      </c>
      <c r="M3739" s="94">
        <v>22149568</v>
      </c>
    </row>
    <row r="3740" spans="3:13" x14ac:dyDescent="0.3">
      <c r="C3740" t="s">
        <v>71</v>
      </c>
      <c r="D3740" t="s">
        <v>67</v>
      </c>
      <c r="E3740" t="s">
        <v>63</v>
      </c>
      <c r="F3740" t="s">
        <v>26</v>
      </c>
      <c r="G3740" s="4">
        <v>8</v>
      </c>
      <c r="H3740" s="4" t="s">
        <v>17</v>
      </c>
      <c r="I3740" s="4" t="s">
        <v>69</v>
      </c>
      <c r="J3740" s="4" t="s">
        <v>66</v>
      </c>
      <c r="K3740" s="4">
        <v>0</v>
      </c>
      <c r="L3740" s="94">
        <v>-835040</v>
      </c>
      <c r="M3740" s="94">
        <v>0</v>
      </c>
    </row>
    <row r="3741" spans="3:13" x14ac:dyDescent="0.3">
      <c r="C3741" t="s">
        <v>61</v>
      </c>
      <c r="D3741" t="s">
        <v>67</v>
      </c>
      <c r="E3741" t="s">
        <v>63</v>
      </c>
      <c r="F3741" t="s">
        <v>26</v>
      </c>
      <c r="G3741" s="4">
        <v>2</v>
      </c>
      <c r="H3741" s="4" t="s">
        <v>64</v>
      </c>
      <c r="I3741" s="4" t="s">
        <v>69</v>
      </c>
      <c r="J3741" s="4" t="s">
        <v>66</v>
      </c>
      <c r="K3741" s="4">
        <v>0</v>
      </c>
      <c r="L3741" s="94">
        <v>-61094</v>
      </c>
      <c r="M3741" s="94">
        <v>0</v>
      </c>
    </row>
    <row r="3742" spans="3:13" x14ac:dyDescent="0.3">
      <c r="C3742" t="s">
        <v>70</v>
      </c>
      <c r="D3742" t="s">
        <v>67</v>
      </c>
      <c r="E3742" t="s">
        <v>68</v>
      </c>
      <c r="F3742" t="s">
        <v>25</v>
      </c>
      <c r="G3742" s="4">
        <v>14</v>
      </c>
      <c r="H3742" s="4" t="s">
        <v>18</v>
      </c>
      <c r="I3742" s="4" t="s">
        <v>69</v>
      </c>
      <c r="J3742" s="4" t="s">
        <v>66</v>
      </c>
      <c r="K3742" s="4">
        <v>0</v>
      </c>
      <c r="L3742" s="94">
        <v>509551</v>
      </c>
      <c r="M3742" s="94">
        <v>7133714</v>
      </c>
    </row>
    <row r="3743" spans="3:13" x14ac:dyDescent="0.3">
      <c r="C3743" t="s">
        <v>70</v>
      </c>
      <c r="D3743" t="s">
        <v>67</v>
      </c>
      <c r="E3743" t="s">
        <v>68</v>
      </c>
      <c r="F3743" t="s">
        <v>26</v>
      </c>
      <c r="G3743" s="4">
        <v>1</v>
      </c>
      <c r="H3743" s="4" t="s">
        <v>75</v>
      </c>
      <c r="I3743" s="4" t="s">
        <v>69</v>
      </c>
      <c r="J3743" s="4" t="s">
        <v>66</v>
      </c>
      <c r="K3743" s="4">
        <v>0</v>
      </c>
      <c r="L3743" s="94">
        <v>1314662</v>
      </c>
      <c r="M3743" s="94">
        <v>1314662</v>
      </c>
    </row>
    <row r="3744" spans="3:13" x14ac:dyDescent="0.3">
      <c r="C3744" t="s">
        <v>71</v>
      </c>
      <c r="D3744" t="s">
        <v>67</v>
      </c>
      <c r="E3744" t="s">
        <v>68</v>
      </c>
      <c r="F3744" t="s">
        <v>26</v>
      </c>
      <c r="G3744" s="4">
        <v>7</v>
      </c>
      <c r="H3744" s="4" t="s">
        <v>64</v>
      </c>
      <c r="I3744" s="4" t="s">
        <v>69</v>
      </c>
      <c r="J3744" s="4" t="s">
        <v>66</v>
      </c>
      <c r="K3744" s="4">
        <v>0</v>
      </c>
      <c r="L3744" s="94">
        <v>605293</v>
      </c>
      <c r="M3744" s="94">
        <v>4237051</v>
      </c>
    </row>
    <row r="3745" spans="3:13" x14ac:dyDescent="0.3">
      <c r="C3745" t="s">
        <v>70</v>
      </c>
      <c r="D3745" t="s">
        <v>67</v>
      </c>
      <c r="E3745" t="s">
        <v>63</v>
      </c>
      <c r="F3745" t="s">
        <v>26</v>
      </c>
      <c r="G3745" s="4">
        <v>-1</v>
      </c>
      <c r="H3745" s="4" t="s">
        <v>13</v>
      </c>
      <c r="I3745" s="4" t="s">
        <v>69</v>
      </c>
      <c r="J3745" s="4" t="s">
        <v>73</v>
      </c>
      <c r="K3745" s="4">
        <v>1</v>
      </c>
      <c r="L3745" s="94">
        <v>-41567</v>
      </c>
      <c r="M3745" s="94">
        <v>0</v>
      </c>
    </row>
    <row r="3746" spans="3:13" x14ac:dyDescent="0.3">
      <c r="C3746" t="s">
        <v>61</v>
      </c>
      <c r="D3746" t="s">
        <v>67</v>
      </c>
      <c r="E3746" t="s">
        <v>63</v>
      </c>
      <c r="F3746" t="s">
        <v>25</v>
      </c>
      <c r="G3746" s="4">
        <v>15</v>
      </c>
      <c r="H3746" s="4" t="s">
        <v>18</v>
      </c>
      <c r="I3746" s="4" t="s">
        <v>69</v>
      </c>
      <c r="J3746" s="4" t="s">
        <v>66</v>
      </c>
      <c r="K3746" s="4">
        <v>0</v>
      </c>
      <c r="L3746" s="94">
        <v>-5435</v>
      </c>
      <c r="M3746" s="94">
        <v>0</v>
      </c>
    </row>
    <row r="3747" spans="3:13" x14ac:dyDescent="0.3">
      <c r="C3747" t="s">
        <v>70</v>
      </c>
      <c r="D3747" t="s">
        <v>67</v>
      </c>
      <c r="E3747" t="s">
        <v>68</v>
      </c>
      <c r="F3747" t="s">
        <v>25</v>
      </c>
      <c r="G3747" s="4">
        <v>9</v>
      </c>
      <c r="H3747" s="4" t="s">
        <v>74</v>
      </c>
      <c r="I3747" s="4" t="s">
        <v>69</v>
      </c>
      <c r="J3747" s="4" t="s">
        <v>66</v>
      </c>
      <c r="K3747" s="4">
        <v>0</v>
      </c>
      <c r="L3747" s="94">
        <v>1114877</v>
      </c>
      <c r="M3747" s="94">
        <v>10033893</v>
      </c>
    </row>
    <row r="3748" spans="3:13" x14ac:dyDescent="0.3">
      <c r="C3748" t="s">
        <v>61</v>
      </c>
      <c r="D3748" t="s">
        <v>62</v>
      </c>
      <c r="E3748" t="s">
        <v>68</v>
      </c>
      <c r="F3748" t="s">
        <v>24</v>
      </c>
      <c r="G3748" s="4">
        <v>12</v>
      </c>
      <c r="I3748" s="4" t="s">
        <v>69</v>
      </c>
      <c r="J3748" s="4" t="s">
        <v>66</v>
      </c>
      <c r="K3748" s="4">
        <v>1</v>
      </c>
      <c r="L3748" s="94">
        <v>1279309</v>
      </c>
      <c r="M3748" s="94">
        <v>15351708</v>
      </c>
    </row>
    <row r="3749" spans="3:13" x14ac:dyDescent="0.3">
      <c r="C3749" t="s">
        <v>61</v>
      </c>
      <c r="D3749" t="s">
        <v>67</v>
      </c>
      <c r="E3749" t="s">
        <v>68</v>
      </c>
      <c r="F3749" t="s">
        <v>26</v>
      </c>
      <c r="G3749" s="4">
        <v>6</v>
      </c>
      <c r="H3749" s="4" t="s">
        <v>18</v>
      </c>
      <c r="I3749" s="4" t="s">
        <v>69</v>
      </c>
      <c r="J3749" s="4" t="s">
        <v>66</v>
      </c>
      <c r="K3749" s="4">
        <v>0</v>
      </c>
      <c r="L3749" s="94">
        <v>13469068</v>
      </c>
      <c r="M3749" s="94">
        <v>80814408</v>
      </c>
    </row>
    <row r="3750" spans="3:13" x14ac:dyDescent="0.3">
      <c r="C3750" t="s">
        <v>61</v>
      </c>
      <c r="D3750" t="s">
        <v>67</v>
      </c>
      <c r="E3750" t="s">
        <v>68</v>
      </c>
      <c r="F3750" t="s">
        <v>26</v>
      </c>
      <c r="G3750" s="4">
        <v>5</v>
      </c>
      <c r="H3750" s="4" t="s">
        <v>83</v>
      </c>
      <c r="I3750" s="4" t="s">
        <v>69</v>
      </c>
      <c r="J3750" s="4" t="s">
        <v>66</v>
      </c>
      <c r="K3750" s="4">
        <v>0</v>
      </c>
      <c r="L3750" s="94">
        <v>185112</v>
      </c>
      <c r="M3750" s="94">
        <v>925560</v>
      </c>
    </row>
    <row r="3751" spans="3:13" x14ac:dyDescent="0.3">
      <c r="C3751" t="s">
        <v>70</v>
      </c>
      <c r="D3751" t="s">
        <v>67</v>
      </c>
      <c r="E3751" t="s">
        <v>63</v>
      </c>
      <c r="F3751" t="s">
        <v>26</v>
      </c>
      <c r="G3751" s="4">
        <v>-4</v>
      </c>
      <c r="H3751" s="4" t="s">
        <v>12</v>
      </c>
      <c r="I3751" s="4" t="s">
        <v>69</v>
      </c>
      <c r="J3751" s="4" t="s">
        <v>73</v>
      </c>
      <c r="K3751" s="4">
        <v>1</v>
      </c>
      <c r="L3751" s="94">
        <v>-264</v>
      </c>
      <c r="M3751" s="94">
        <v>0</v>
      </c>
    </row>
    <row r="3752" spans="3:13" x14ac:dyDescent="0.3">
      <c r="C3752" t="s">
        <v>71</v>
      </c>
      <c r="D3752" t="s">
        <v>67</v>
      </c>
      <c r="E3752" t="s">
        <v>68</v>
      </c>
      <c r="F3752" t="s">
        <v>72</v>
      </c>
      <c r="G3752" s="4">
        <v>0</v>
      </c>
      <c r="H3752" s="4" t="s">
        <v>83</v>
      </c>
      <c r="I3752" s="4" t="s">
        <v>69</v>
      </c>
      <c r="J3752" s="4" t="s">
        <v>66</v>
      </c>
      <c r="K3752" s="4">
        <v>0</v>
      </c>
      <c r="L3752" s="94">
        <v>11255</v>
      </c>
      <c r="M3752" s="94">
        <v>0</v>
      </c>
    </row>
    <row r="3753" spans="3:13" x14ac:dyDescent="0.3">
      <c r="C3753" t="s">
        <v>71</v>
      </c>
      <c r="D3753" t="s">
        <v>67</v>
      </c>
      <c r="E3753" t="s">
        <v>63</v>
      </c>
      <c r="F3753" t="s">
        <v>25</v>
      </c>
      <c r="G3753" s="4">
        <v>0</v>
      </c>
      <c r="H3753" s="4" t="s">
        <v>17</v>
      </c>
      <c r="I3753" s="4" t="s">
        <v>69</v>
      </c>
      <c r="J3753" s="4" t="s">
        <v>66</v>
      </c>
      <c r="K3753" s="4">
        <v>1</v>
      </c>
      <c r="L3753" s="94">
        <v>-13374</v>
      </c>
      <c r="M3753" s="94">
        <v>0</v>
      </c>
    </row>
    <row r="3754" spans="3:13" x14ac:dyDescent="0.3">
      <c r="C3754" t="s">
        <v>71</v>
      </c>
      <c r="D3754" t="s">
        <v>67</v>
      </c>
      <c r="E3754" t="s">
        <v>68</v>
      </c>
      <c r="F3754" t="s">
        <v>25</v>
      </c>
      <c r="G3754" s="4">
        <v>10</v>
      </c>
      <c r="H3754" s="4" t="s">
        <v>17</v>
      </c>
      <c r="I3754" s="4" t="s">
        <v>69</v>
      </c>
      <c r="J3754" s="4" t="s">
        <v>66</v>
      </c>
      <c r="K3754" s="4">
        <v>0</v>
      </c>
      <c r="L3754" s="94">
        <v>46213</v>
      </c>
      <c r="M3754" s="94">
        <v>462130</v>
      </c>
    </row>
    <row r="3755" spans="3:13" x14ac:dyDescent="0.3">
      <c r="C3755" t="s">
        <v>71</v>
      </c>
      <c r="D3755" t="s">
        <v>67</v>
      </c>
      <c r="E3755" t="s">
        <v>68</v>
      </c>
      <c r="F3755" t="s">
        <v>26</v>
      </c>
      <c r="G3755" s="4">
        <v>10</v>
      </c>
      <c r="H3755" s="4" t="s">
        <v>14</v>
      </c>
      <c r="I3755" s="4" t="s">
        <v>69</v>
      </c>
      <c r="J3755" s="4" t="s">
        <v>66</v>
      </c>
      <c r="K3755" s="4">
        <v>0</v>
      </c>
      <c r="L3755" s="94">
        <v>28196</v>
      </c>
      <c r="M3755" s="94">
        <v>281960</v>
      </c>
    </row>
    <row r="3756" spans="3:13" x14ac:dyDescent="0.3">
      <c r="C3756" t="s">
        <v>61</v>
      </c>
      <c r="D3756" t="s">
        <v>67</v>
      </c>
      <c r="E3756" t="s">
        <v>68</v>
      </c>
      <c r="F3756" t="s">
        <v>72</v>
      </c>
      <c r="G3756" s="4">
        <v>5</v>
      </c>
      <c r="H3756" s="4" t="s">
        <v>12</v>
      </c>
      <c r="I3756" s="4" t="s">
        <v>65</v>
      </c>
      <c r="J3756" s="4" t="s">
        <v>73</v>
      </c>
      <c r="K3756" s="4">
        <v>1</v>
      </c>
      <c r="L3756" s="94">
        <v>52279</v>
      </c>
      <c r="M3756" s="94">
        <v>261395</v>
      </c>
    </row>
    <row r="3757" spans="3:13" x14ac:dyDescent="0.3">
      <c r="C3757" t="s">
        <v>61</v>
      </c>
      <c r="D3757" t="s">
        <v>62</v>
      </c>
      <c r="E3757" t="s">
        <v>68</v>
      </c>
      <c r="F3757" t="s">
        <v>24</v>
      </c>
      <c r="G3757" s="4">
        <v>35</v>
      </c>
      <c r="I3757" s="4" t="s">
        <v>69</v>
      </c>
      <c r="J3757" s="4" t="s">
        <v>66</v>
      </c>
      <c r="K3757" s="4">
        <v>1</v>
      </c>
      <c r="L3757" s="94">
        <v>1833592</v>
      </c>
      <c r="M3757" s="94">
        <v>64175720</v>
      </c>
    </row>
    <row r="3758" spans="3:13" x14ac:dyDescent="0.3">
      <c r="C3758" t="s">
        <v>61</v>
      </c>
      <c r="D3758" t="s">
        <v>67</v>
      </c>
      <c r="E3758" t="s">
        <v>63</v>
      </c>
      <c r="F3758" t="s">
        <v>72</v>
      </c>
      <c r="G3758" s="4">
        <v>5</v>
      </c>
      <c r="H3758" s="4" t="s">
        <v>12</v>
      </c>
      <c r="I3758" s="4" t="s">
        <v>69</v>
      </c>
      <c r="J3758" s="4" t="s">
        <v>73</v>
      </c>
      <c r="K3758" s="4">
        <v>1</v>
      </c>
      <c r="L3758" s="94">
        <v>-4482</v>
      </c>
      <c r="M3758" s="94">
        <v>0</v>
      </c>
    </row>
    <row r="3759" spans="3:13" x14ac:dyDescent="0.3">
      <c r="C3759" t="s">
        <v>61</v>
      </c>
      <c r="D3759" t="s">
        <v>67</v>
      </c>
      <c r="E3759" t="s">
        <v>68</v>
      </c>
      <c r="F3759" t="s">
        <v>26</v>
      </c>
      <c r="G3759" s="4">
        <v>4</v>
      </c>
      <c r="H3759" s="4" t="s">
        <v>17</v>
      </c>
      <c r="I3759" s="4" t="s">
        <v>65</v>
      </c>
      <c r="J3759" s="4" t="s">
        <v>73</v>
      </c>
      <c r="K3759" s="4">
        <v>1</v>
      </c>
      <c r="L3759" s="94">
        <v>924619</v>
      </c>
      <c r="M3759" s="94">
        <v>3698476</v>
      </c>
    </row>
    <row r="3760" spans="3:13" x14ac:dyDescent="0.3">
      <c r="C3760" t="s">
        <v>70</v>
      </c>
      <c r="D3760" t="s">
        <v>67</v>
      </c>
      <c r="E3760" t="s">
        <v>68</v>
      </c>
      <c r="F3760" t="s">
        <v>25</v>
      </c>
      <c r="G3760" s="4">
        <v>6</v>
      </c>
      <c r="H3760" s="4" t="s">
        <v>18</v>
      </c>
      <c r="I3760" s="4" t="s">
        <v>69</v>
      </c>
      <c r="J3760" s="4" t="s">
        <v>66</v>
      </c>
      <c r="K3760" s="4">
        <v>1</v>
      </c>
      <c r="L3760" s="94">
        <v>731268</v>
      </c>
      <c r="M3760" s="94">
        <v>4387608</v>
      </c>
    </row>
    <row r="3761" spans="3:13" x14ac:dyDescent="0.3">
      <c r="C3761" t="s">
        <v>61</v>
      </c>
      <c r="D3761" t="s">
        <v>67</v>
      </c>
      <c r="E3761" t="s">
        <v>68</v>
      </c>
      <c r="F3761" t="s">
        <v>25</v>
      </c>
      <c r="G3761" s="4">
        <v>6</v>
      </c>
      <c r="H3761" s="4" t="s">
        <v>14</v>
      </c>
      <c r="I3761" s="4" t="s">
        <v>69</v>
      </c>
      <c r="J3761" s="4" t="s">
        <v>66</v>
      </c>
      <c r="K3761" s="4">
        <v>0</v>
      </c>
      <c r="L3761" s="94">
        <v>3113268</v>
      </c>
      <c r="M3761" s="94">
        <v>18679608</v>
      </c>
    </row>
    <row r="3762" spans="3:13" x14ac:dyDescent="0.3">
      <c r="C3762" t="s">
        <v>61</v>
      </c>
      <c r="D3762" t="s">
        <v>67</v>
      </c>
      <c r="E3762" t="s">
        <v>63</v>
      </c>
      <c r="F3762" t="s">
        <v>25</v>
      </c>
      <c r="G3762" s="4">
        <v>10</v>
      </c>
      <c r="H3762" s="4" t="s">
        <v>12</v>
      </c>
      <c r="I3762" s="4" t="s">
        <v>69</v>
      </c>
      <c r="J3762" s="4" t="s">
        <v>66</v>
      </c>
      <c r="K3762" s="4">
        <v>1</v>
      </c>
      <c r="L3762" s="94">
        <v>-10310</v>
      </c>
      <c r="M3762" s="94">
        <v>0</v>
      </c>
    </row>
    <row r="3763" spans="3:13" x14ac:dyDescent="0.3">
      <c r="C3763" t="s">
        <v>70</v>
      </c>
      <c r="D3763" t="s">
        <v>67</v>
      </c>
      <c r="E3763" t="s">
        <v>63</v>
      </c>
      <c r="F3763" t="s">
        <v>25</v>
      </c>
      <c r="G3763" s="4">
        <v>-4</v>
      </c>
      <c r="H3763" s="4" t="s">
        <v>79</v>
      </c>
      <c r="I3763" s="4" t="s">
        <v>69</v>
      </c>
      <c r="J3763" s="4" t="s">
        <v>66</v>
      </c>
      <c r="K3763" s="4">
        <v>0</v>
      </c>
      <c r="L3763" s="94">
        <v>0</v>
      </c>
      <c r="M3763" s="94">
        <v>0</v>
      </c>
    </row>
    <row r="3764" spans="3:13" x14ac:dyDescent="0.3">
      <c r="C3764" t="s">
        <v>71</v>
      </c>
      <c r="D3764" t="s">
        <v>62</v>
      </c>
      <c r="E3764" t="s">
        <v>63</v>
      </c>
      <c r="F3764" t="s">
        <v>25</v>
      </c>
      <c r="G3764" s="4">
        <v>20</v>
      </c>
      <c r="I3764" s="4" t="s">
        <v>69</v>
      </c>
      <c r="J3764" s="4" t="s">
        <v>66</v>
      </c>
      <c r="K3764" s="4">
        <v>0</v>
      </c>
      <c r="L3764" s="94">
        <v>-241057</v>
      </c>
      <c r="M3764" s="94">
        <v>0</v>
      </c>
    </row>
    <row r="3765" spans="3:13" x14ac:dyDescent="0.3">
      <c r="C3765" t="s">
        <v>61</v>
      </c>
      <c r="D3765" t="s">
        <v>67</v>
      </c>
      <c r="E3765" t="s">
        <v>68</v>
      </c>
      <c r="F3765" t="s">
        <v>72</v>
      </c>
      <c r="G3765" s="4">
        <v>-4</v>
      </c>
      <c r="H3765" s="4" t="s">
        <v>64</v>
      </c>
      <c r="I3765" s="4" t="s">
        <v>69</v>
      </c>
      <c r="J3765" s="4" t="s">
        <v>66</v>
      </c>
      <c r="K3765" s="4">
        <v>0</v>
      </c>
      <c r="L3765" s="94">
        <v>81</v>
      </c>
      <c r="M3765" s="94">
        <v>0</v>
      </c>
    </row>
    <row r="3766" spans="3:13" x14ac:dyDescent="0.3">
      <c r="C3766" t="s">
        <v>61</v>
      </c>
      <c r="D3766" t="s">
        <v>67</v>
      </c>
      <c r="E3766" t="s">
        <v>63</v>
      </c>
      <c r="F3766" t="s">
        <v>26</v>
      </c>
      <c r="G3766" s="4">
        <v>3</v>
      </c>
      <c r="H3766" s="4" t="s">
        <v>17</v>
      </c>
      <c r="I3766" s="4" t="s">
        <v>65</v>
      </c>
      <c r="J3766" s="4" t="s">
        <v>66</v>
      </c>
      <c r="K3766" s="4">
        <v>1</v>
      </c>
      <c r="L3766" s="94">
        <v>-857</v>
      </c>
      <c r="M3766" s="94">
        <v>0</v>
      </c>
    </row>
    <row r="3767" spans="3:13" x14ac:dyDescent="0.3">
      <c r="C3767" t="s">
        <v>61</v>
      </c>
      <c r="D3767" t="s">
        <v>67</v>
      </c>
      <c r="E3767" t="s">
        <v>63</v>
      </c>
      <c r="F3767" t="s">
        <v>26</v>
      </c>
      <c r="G3767" s="4">
        <v>-1</v>
      </c>
      <c r="H3767" s="4" t="s">
        <v>14</v>
      </c>
      <c r="I3767" s="4" t="s">
        <v>65</v>
      </c>
      <c r="J3767" s="4" t="s">
        <v>73</v>
      </c>
      <c r="K3767" s="4">
        <v>1</v>
      </c>
      <c r="L3767" s="94">
        <v>-1609</v>
      </c>
      <c r="M3767" s="94">
        <v>0</v>
      </c>
    </row>
    <row r="3768" spans="3:13" x14ac:dyDescent="0.3">
      <c r="C3768" t="s">
        <v>71</v>
      </c>
      <c r="D3768" t="s">
        <v>62</v>
      </c>
      <c r="E3768" t="s">
        <v>68</v>
      </c>
      <c r="F3768" t="s">
        <v>24</v>
      </c>
      <c r="G3768" s="4">
        <v>30</v>
      </c>
      <c r="I3768" s="4" t="s">
        <v>65</v>
      </c>
      <c r="J3768" s="4" t="s">
        <v>66</v>
      </c>
      <c r="K3768" s="4">
        <v>1</v>
      </c>
      <c r="L3768" s="94">
        <v>354498</v>
      </c>
      <c r="M3768" s="94">
        <v>10634940</v>
      </c>
    </row>
    <row r="3769" spans="3:13" x14ac:dyDescent="0.3">
      <c r="C3769" t="s">
        <v>71</v>
      </c>
      <c r="D3769" t="s">
        <v>67</v>
      </c>
      <c r="E3769" t="s">
        <v>68</v>
      </c>
      <c r="F3769" t="s">
        <v>72</v>
      </c>
      <c r="G3769" s="4">
        <v>5</v>
      </c>
      <c r="H3769" s="4" t="s">
        <v>82</v>
      </c>
      <c r="I3769" s="4" t="s">
        <v>69</v>
      </c>
      <c r="J3769" s="4" t="s">
        <v>66</v>
      </c>
      <c r="K3769" s="4">
        <v>0</v>
      </c>
      <c r="L3769" s="94">
        <v>76979</v>
      </c>
      <c r="M3769" s="94">
        <v>384895</v>
      </c>
    </row>
    <row r="3770" spans="3:13" x14ac:dyDescent="0.3">
      <c r="C3770" t="s">
        <v>61</v>
      </c>
      <c r="D3770" t="s">
        <v>67</v>
      </c>
      <c r="E3770" t="s">
        <v>63</v>
      </c>
      <c r="F3770" t="s">
        <v>25</v>
      </c>
      <c r="G3770" s="4">
        <v>6</v>
      </c>
      <c r="H3770" s="4" t="s">
        <v>79</v>
      </c>
      <c r="I3770" s="4" t="s">
        <v>69</v>
      </c>
      <c r="J3770" s="4" t="s">
        <v>66</v>
      </c>
      <c r="K3770" s="4">
        <v>0</v>
      </c>
      <c r="L3770" s="94">
        <v>-6567</v>
      </c>
      <c r="M3770" s="94">
        <v>0</v>
      </c>
    </row>
    <row r="3771" spans="3:13" x14ac:dyDescent="0.3">
      <c r="C3771" t="s">
        <v>61</v>
      </c>
      <c r="D3771" t="s">
        <v>67</v>
      </c>
      <c r="E3771" t="s">
        <v>63</v>
      </c>
      <c r="F3771" t="s">
        <v>26</v>
      </c>
      <c r="G3771" s="4">
        <v>3</v>
      </c>
      <c r="H3771" s="4" t="s">
        <v>12</v>
      </c>
      <c r="I3771" s="4" t="s">
        <v>69</v>
      </c>
      <c r="J3771" s="4" t="s">
        <v>73</v>
      </c>
      <c r="K3771" s="4">
        <v>1</v>
      </c>
      <c r="L3771" s="94">
        <v>-30738</v>
      </c>
      <c r="M3771" s="94">
        <v>0</v>
      </c>
    </row>
    <row r="3772" spans="3:13" x14ac:dyDescent="0.3">
      <c r="C3772" t="s">
        <v>61</v>
      </c>
      <c r="D3772" t="s">
        <v>67</v>
      </c>
      <c r="E3772" t="s">
        <v>68</v>
      </c>
      <c r="F3772" t="s">
        <v>26</v>
      </c>
      <c r="G3772" s="4">
        <v>1</v>
      </c>
      <c r="H3772" s="4" t="s">
        <v>17</v>
      </c>
      <c r="I3772" s="4" t="s">
        <v>65</v>
      </c>
      <c r="J3772" s="4" t="s">
        <v>66</v>
      </c>
      <c r="K3772" s="4">
        <v>1</v>
      </c>
      <c r="L3772" s="94">
        <v>39216</v>
      </c>
      <c r="M3772" s="94">
        <v>39216</v>
      </c>
    </row>
    <row r="3773" spans="3:13" x14ac:dyDescent="0.3">
      <c r="C3773" t="s">
        <v>70</v>
      </c>
      <c r="D3773" t="s">
        <v>67</v>
      </c>
      <c r="E3773" t="s">
        <v>63</v>
      </c>
      <c r="F3773" t="s">
        <v>25</v>
      </c>
      <c r="G3773" s="4">
        <v>6</v>
      </c>
      <c r="H3773" s="4" t="s">
        <v>78</v>
      </c>
      <c r="I3773" s="4" t="s">
        <v>69</v>
      </c>
      <c r="J3773" s="4" t="s">
        <v>66</v>
      </c>
      <c r="K3773" s="4">
        <v>0</v>
      </c>
      <c r="L3773" s="94">
        <v>-27631</v>
      </c>
      <c r="M3773" s="94">
        <v>0</v>
      </c>
    </row>
    <row r="3774" spans="3:13" x14ac:dyDescent="0.3">
      <c r="C3774" t="s">
        <v>61</v>
      </c>
      <c r="D3774" t="s">
        <v>67</v>
      </c>
      <c r="E3774" t="s">
        <v>63</v>
      </c>
      <c r="F3774" t="s">
        <v>26</v>
      </c>
      <c r="G3774" s="4">
        <v>-1</v>
      </c>
      <c r="H3774" s="4" t="s">
        <v>82</v>
      </c>
      <c r="I3774" s="4" t="s">
        <v>69</v>
      </c>
      <c r="J3774" s="4" t="s">
        <v>66</v>
      </c>
      <c r="K3774" s="4">
        <v>0</v>
      </c>
      <c r="L3774" s="94">
        <v>-221075</v>
      </c>
      <c r="M3774" s="94">
        <v>0</v>
      </c>
    </row>
    <row r="3775" spans="3:13" x14ac:dyDescent="0.3">
      <c r="C3775" t="s">
        <v>71</v>
      </c>
      <c r="D3775" t="s">
        <v>67</v>
      </c>
      <c r="E3775" t="s">
        <v>63</v>
      </c>
      <c r="F3775" t="s">
        <v>25</v>
      </c>
      <c r="G3775" s="4">
        <v>4</v>
      </c>
      <c r="H3775" s="4" t="s">
        <v>75</v>
      </c>
      <c r="I3775" s="4" t="s">
        <v>65</v>
      </c>
      <c r="J3775" s="4" t="s">
        <v>66</v>
      </c>
      <c r="K3775" s="4">
        <v>1</v>
      </c>
      <c r="L3775" s="94">
        <v>-18695</v>
      </c>
      <c r="M3775" s="94">
        <v>0</v>
      </c>
    </row>
    <row r="3776" spans="3:13" x14ac:dyDescent="0.3">
      <c r="C3776" t="s">
        <v>70</v>
      </c>
      <c r="D3776" t="s">
        <v>67</v>
      </c>
      <c r="E3776" t="s">
        <v>68</v>
      </c>
      <c r="F3776" t="s">
        <v>25</v>
      </c>
      <c r="G3776" s="4">
        <v>-4</v>
      </c>
      <c r="H3776" s="4" t="s">
        <v>16</v>
      </c>
      <c r="I3776" s="4" t="s">
        <v>69</v>
      </c>
      <c r="J3776" s="4" t="s">
        <v>66</v>
      </c>
      <c r="K3776" s="4">
        <v>0</v>
      </c>
      <c r="L3776" s="94">
        <v>127</v>
      </c>
      <c r="M3776" s="94">
        <v>0</v>
      </c>
    </row>
    <row r="3777" spans="3:13" x14ac:dyDescent="0.3">
      <c r="C3777" t="s">
        <v>70</v>
      </c>
      <c r="D3777" t="s">
        <v>67</v>
      </c>
      <c r="E3777" t="s">
        <v>68</v>
      </c>
      <c r="F3777" t="s">
        <v>72</v>
      </c>
      <c r="G3777" s="4">
        <v>1</v>
      </c>
      <c r="H3777" s="4" t="s">
        <v>15</v>
      </c>
      <c r="I3777" s="4" t="s">
        <v>69</v>
      </c>
      <c r="J3777" s="4" t="s">
        <v>73</v>
      </c>
      <c r="K3777" s="4">
        <v>1</v>
      </c>
      <c r="L3777" s="94">
        <v>42730</v>
      </c>
      <c r="M3777" s="94">
        <v>42730</v>
      </c>
    </row>
    <row r="3778" spans="3:13" x14ac:dyDescent="0.3">
      <c r="C3778" t="s">
        <v>71</v>
      </c>
      <c r="D3778" t="s">
        <v>67</v>
      </c>
      <c r="E3778" t="s">
        <v>68</v>
      </c>
      <c r="F3778" t="s">
        <v>26</v>
      </c>
      <c r="G3778" s="4">
        <v>-1</v>
      </c>
      <c r="H3778" s="4" t="s">
        <v>77</v>
      </c>
      <c r="I3778" s="4" t="s">
        <v>69</v>
      </c>
      <c r="J3778" s="4" t="s">
        <v>66</v>
      </c>
      <c r="K3778" s="4">
        <v>0</v>
      </c>
      <c r="L3778" s="94">
        <v>732597</v>
      </c>
      <c r="M3778" s="94">
        <v>0</v>
      </c>
    </row>
    <row r="3779" spans="3:13" x14ac:dyDescent="0.3">
      <c r="C3779" t="s">
        <v>71</v>
      </c>
      <c r="D3779" t="s">
        <v>62</v>
      </c>
      <c r="E3779" t="s">
        <v>68</v>
      </c>
      <c r="F3779" t="s">
        <v>24</v>
      </c>
      <c r="G3779" s="4">
        <v>31</v>
      </c>
      <c r="I3779" s="4" t="s">
        <v>69</v>
      </c>
      <c r="J3779" s="4" t="s">
        <v>66</v>
      </c>
      <c r="K3779" s="4">
        <v>0</v>
      </c>
      <c r="L3779" s="94">
        <v>4766213</v>
      </c>
      <c r="M3779" s="94">
        <v>147752603</v>
      </c>
    </row>
    <row r="3780" spans="3:13" x14ac:dyDescent="0.3">
      <c r="C3780" t="s">
        <v>61</v>
      </c>
      <c r="D3780" t="s">
        <v>67</v>
      </c>
      <c r="E3780" t="s">
        <v>63</v>
      </c>
      <c r="F3780" t="s">
        <v>25</v>
      </c>
      <c r="G3780" s="4">
        <v>1</v>
      </c>
      <c r="H3780" s="4" t="s">
        <v>12</v>
      </c>
      <c r="I3780" s="4" t="s">
        <v>69</v>
      </c>
      <c r="J3780" s="4" t="s">
        <v>66</v>
      </c>
      <c r="K3780" s="4">
        <v>0</v>
      </c>
      <c r="L3780" s="94">
        <v>-195</v>
      </c>
      <c r="M3780" s="94">
        <v>0</v>
      </c>
    </row>
    <row r="3781" spans="3:13" x14ac:dyDescent="0.3">
      <c r="C3781" t="s">
        <v>61</v>
      </c>
      <c r="D3781" t="s">
        <v>67</v>
      </c>
      <c r="E3781" t="s">
        <v>68</v>
      </c>
      <c r="F3781" t="s">
        <v>26</v>
      </c>
      <c r="G3781" s="4">
        <v>5</v>
      </c>
      <c r="H3781" s="4" t="s">
        <v>75</v>
      </c>
      <c r="I3781" s="4" t="s">
        <v>69</v>
      </c>
      <c r="J3781" s="4" t="s">
        <v>66</v>
      </c>
      <c r="K3781" s="4">
        <v>0</v>
      </c>
      <c r="L3781" s="94">
        <v>53173638</v>
      </c>
      <c r="M3781" s="94">
        <v>265868190</v>
      </c>
    </row>
    <row r="3782" spans="3:13" x14ac:dyDescent="0.3">
      <c r="C3782" t="s">
        <v>61</v>
      </c>
      <c r="D3782" t="s">
        <v>67</v>
      </c>
      <c r="E3782" t="s">
        <v>63</v>
      </c>
      <c r="F3782" t="s">
        <v>25</v>
      </c>
      <c r="G3782" s="4">
        <v>8</v>
      </c>
      <c r="H3782" s="4" t="s">
        <v>17</v>
      </c>
      <c r="I3782" s="4" t="s">
        <v>69</v>
      </c>
      <c r="J3782" s="4" t="s">
        <v>66</v>
      </c>
      <c r="K3782" s="4">
        <v>0</v>
      </c>
      <c r="L3782" s="94">
        <v>-6296</v>
      </c>
      <c r="M3782" s="94">
        <v>0</v>
      </c>
    </row>
    <row r="3783" spans="3:13" x14ac:dyDescent="0.3">
      <c r="C3783" t="s">
        <v>61</v>
      </c>
      <c r="D3783" t="s">
        <v>67</v>
      </c>
      <c r="E3783" t="s">
        <v>63</v>
      </c>
      <c r="F3783" t="s">
        <v>72</v>
      </c>
      <c r="G3783" s="4">
        <v>-1</v>
      </c>
      <c r="H3783" s="4" t="s">
        <v>74</v>
      </c>
      <c r="I3783" s="4" t="s">
        <v>69</v>
      </c>
      <c r="J3783" s="4" t="s">
        <v>66</v>
      </c>
      <c r="K3783" s="4">
        <v>0</v>
      </c>
      <c r="L3783" s="94">
        <v>-127</v>
      </c>
      <c r="M3783" s="94">
        <v>0</v>
      </c>
    </row>
    <row r="3784" spans="3:13" x14ac:dyDescent="0.3">
      <c r="C3784" t="s">
        <v>61</v>
      </c>
      <c r="D3784" t="s">
        <v>67</v>
      </c>
      <c r="E3784" t="s">
        <v>68</v>
      </c>
      <c r="F3784" t="s">
        <v>26</v>
      </c>
      <c r="G3784" s="4">
        <v>2</v>
      </c>
      <c r="H3784" s="4" t="s">
        <v>14</v>
      </c>
      <c r="I3784" s="4" t="s">
        <v>65</v>
      </c>
      <c r="J3784" s="4" t="s">
        <v>73</v>
      </c>
      <c r="K3784" s="4">
        <v>1</v>
      </c>
      <c r="L3784" s="94">
        <v>1094541</v>
      </c>
      <c r="M3784" s="94">
        <v>2189082</v>
      </c>
    </row>
    <row r="3785" spans="3:13" x14ac:dyDescent="0.3">
      <c r="C3785" t="s">
        <v>70</v>
      </c>
      <c r="D3785" t="s">
        <v>67</v>
      </c>
      <c r="E3785" t="s">
        <v>68</v>
      </c>
      <c r="F3785" t="s">
        <v>72</v>
      </c>
      <c r="G3785" s="4">
        <v>2</v>
      </c>
      <c r="H3785" s="4" t="s">
        <v>64</v>
      </c>
      <c r="I3785" s="4" t="s">
        <v>69</v>
      </c>
      <c r="J3785" s="4" t="s">
        <v>66</v>
      </c>
      <c r="K3785" s="4">
        <v>0</v>
      </c>
      <c r="L3785" s="94">
        <v>553218</v>
      </c>
      <c r="M3785" s="94">
        <v>1106436</v>
      </c>
    </row>
    <row r="3786" spans="3:13" x14ac:dyDescent="0.3">
      <c r="C3786" t="s">
        <v>61</v>
      </c>
      <c r="D3786" t="s">
        <v>62</v>
      </c>
      <c r="E3786" t="s">
        <v>68</v>
      </c>
      <c r="F3786" t="s">
        <v>25</v>
      </c>
      <c r="G3786" s="4">
        <v>11</v>
      </c>
      <c r="I3786" s="4" t="s">
        <v>69</v>
      </c>
      <c r="J3786" s="4" t="s">
        <v>66</v>
      </c>
      <c r="K3786" s="4">
        <v>0</v>
      </c>
      <c r="L3786" s="94">
        <v>4259245</v>
      </c>
      <c r="M3786" s="94">
        <v>46851695</v>
      </c>
    </row>
    <row r="3787" spans="3:13" x14ac:dyDescent="0.3">
      <c r="C3787" t="s">
        <v>71</v>
      </c>
      <c r="D3787" t="s">
        <v>67</v>
      </c>
      <c r="E3787" t="s">
        <v>68</v>
      </c>
      <c r="F3787" t="s">
        <v>25</v>
      </c>
      <c r="G3787" s="4">
        <v>2</v>
      </c>
      <c r="H3787" s="4" t="s">
        <v>13</v>
      </c>
      <c r="I3787" s="4" t="s">
        <v>69</v>
      </c>
      <c r="J3787" s="4" t="s">
        <v>66</v>
      </c>
      <c r="K3787" s="4">
        <v>1</v>
      </c>
      <c r="L3787" s="94">
        <v>739499</v>
      </c>
      <c r="M3787" s="94">
        <v>1478998</v>
      </c>
    </row>
    <row r="3788" spans="3:13" x14ac:dyDescent="0.3">
      <c r="C3788" t="s">
        <v>61</v>
      </c>
      <c r="D3788" t="s">
        <v>67</v>
      </c>
      <c r="E3788" t="s">
        <v>68</v>
      </c>
      <c r="F3788" t="s">
        <v>25</v>
      </c>
      <c r="G3788" s="4">
        <v>7</v>
      </c>
      <c r="H3788" s="4" t="s">
        <v>14</v>
      </c>
      <c r="I3788" s="4" t="s">
        <v>69</v>
      </c>
      <c r="J3788" s="4" t="s">
        <v>66</v>
      </c>
      <c r="K3788" s="4">
        <v>0</v>
      </c>
      <c r="L3788" s="94">
        <v>797637</v>
      </c>
      <c r="M3788" s="94">
        <v>5583459</v>
      </c>
    </row>
    <row r="3789" spans="3:13" x14ac:dyDescent="0.3">
      <c r="C3789" t="s">
        <v>70</v>
      </c>
      <c r="D3789" t="s">
        <v>67</v>
      </c>
      <c r="E3789" t="s">
        <v>68</v>
      </c>
      <c r="F3789" t="s">
        <v>26</v>
      </c>
      <c r="G3789" s="4">
        <v>0</v>
      </c>
      <c r="H3789" s="4" t="s">
        <v>15</v>
      </c>
      <c r="I3789" s="4" t="s">
        <v>69</v>
      </c>
      <c r="J3789" s="4" t="s">
        <v>73</v>
      </c>
      <c r="K3789" s="4">
        <v>1</v>
      </c>
      <c r="L3789" s="94">
        <v>82032</v>
      </c>
      <c r="M3789" s="94">
        <v>0</v>
      </c>
    </row>
    <row r="3790" spans="3:13" x14ac:dyDescent="0.3">
      <c r="C3790" t="s">
        <v>71</v>
      </c>
      <c r="D3790" t="s">
        <v>67</v>
      </c>
      <c r="E3790" t="s">
        <v>68</v>
      </c>
      <c r="F3790" t="s">
        <v>26</v>
      </c>
      <c r="G3790" s="4">
        <v>6</v>
      </c>
      <c r="H3790" s="4" t="s">
        <v>80</v>
      </c>
      <c r="I3790" s="4" t="s">
        <v>69</v>
      </c>
      <c r="J3790" s="4" t="s">
        <v>66</v>
      </c>
      <c r="K3790" s="4">
        <v>0</v>
      </c>
      <c r="L3790" s="94">
        <v>36173</v>
      </c>
      <c r="M3790" s="94">
        <v>217038</v>
      </c>
    </row>
    <row r="3791" spans="3:13" x14ac:dyDescent="0.3">
      <c r="C3791" t="s">
        <v>70</v>
      </c>
      <c r="D3791" t="s">
        <v>67</v>
      </c>
      <c r="E3791" t="s">
        <v>63</v>
      </c>
      <c r="F3791" t="s">
        <v>26</v>
      </c>
      <c r="G3791" s="4">
        <v>2</v>
      </c>
      <c r="H3791" s="4" t="s">
        <v>14</v>
      </c>
      <c r="I3791" s="4" t="s">
        <v>65</v>
      </c>
      <c r="J3791" s="4" t="s">
        <v>66</v>
      </c>
      <c r="K3791" s="4">
        <v>1</v>
      </c>
      <c r="L3791" s="94">
        <v>-1565</v>
      </c>
      <c r="M3791" s="94">
        <v>0</v>
      </c>
    </row>
    <row r="3792" spans="3:13" x14ac:dyDescent="0.3">
      <c r="C3792" t="s">
        <v>61</v>
      </c>
      <c r="D3792" t="s">
        <v>62</v>
      </c>
      <c r="E3792" t="s">
        <v>63</v>
      </c>
      <c r="F3792" t="s">
        <v>25</v>
      </c>
      <c r="G3792" s="4">
        <v>1</v>
      </c>
      <c r="I3792" s="4" t="s">
        <v>65</v>
      </c>
      <c r="J3792" s="4" t="s">
        <v>66</v>
      </c>
      <c r="K3792" s="4">
        <v>1</v>
      </c>
      <c r="L3792" s="94">
        <v>-14</v>
      </c>
      <c r="M3792" s="94">
        <v>0</v>
      </c>
    </row>
    <row r="3793" spans="3:13" x14ac:dyDescent="0.3">
      <c r="C3793" t="s">
        <v>61</v>
      </c>
      <c r="D3793" t="s">
        <v>67</v>
      </c>
      <c r="E3793" t="s">
        <v>63</v>
      </c>
      <c r="F3793" t="s">
        <v>26</v>
      </c>
      <c r="G3793" s="4">
        <v>0</v>
      </c>
      <c r="H3793" s="4" t="s">
        <v>76</v>
      </c>
      <c r="I3793" s="4" t="s">
        <v>69</v>
      </c>
      <c r="J3793" s="4" t="s">
        <v>66</v>
      </c>
      <c r="K3793" s="4">
        <v>0</v>
      </c>
      <c r="L3793" s="94">
        <v>-77011</v>
      </c>
      <c r="M3793" s="94">
        <v>0</v>
      </c>
    </row>
    <row r="3794" spans="3:13" x14ac:dyDescent="0.3">
      <c r="C3794" t="s">
        <v>70</v>
      </c>
      <c r="D3794" t="s">
        <v>67</v>
      </c>
      <c r="E3794" t="s">
        <v>63</v>
      </c>
      <c r="F3794" t="s">
        <v>72</v>
      </c>
      <c r="G3794" s="4">
        <v>1</v>
      </c>
      <c r="H3794" s="4" t="s">
        <v>16</v>
      </c>
      <c r="I3794" s="4" t="s">
        <v>69</v>
      </c>
      <c r="J3794" s="4" t="s">
        <v>66</v>
      </c>
      <c r="K3794" s="4">
        <v>0</v>
      </c>
      <c r="L3794" s="94">
        <v>-2071</v>
      </c>
      <c r="M3794" s="94">
        <v>0</v>
      </c>
    </row>
    <row r="3795" spans="3:13" x14ac:dyDescent="0.3">
      <c r="C3795" t="s">
        <v>61</v>
      </c>
      <c r="D3795" t="s">
        <v>67</v>
      </c>
      <c r="E3795" t="s">
        <v>68</v>
      </c>
      <c r="F3795" t="s">
        <v>25</v>
      </c>
      <c r="G3795" s="4">
        <v>3</v>
      </c>
      <c r="H3795" s="4" t="s">
        <v>18</v>
      </c>
      <c r="I3795" s="4" t="s">
        <v>69</v>
      </c>
      <c r="J3795" s="4" t="s">
        <v>66</v>
      </c>
      <c r="K3795" s="4">
        <v>0</v>
      </c>
      <c r="L3795" s="94">
        <v>8172452</v>
      </c>
      <c r="M3795" s="94">
        <v>24517356</v>
      </c>
    </row>
    <row r="3796" spans="3:13" x14ac:dyDescent="0.3">
      <c r="C3796" t="s">
        <v>71</v>
      </c>
      <c r="D3796" t="s">
        <v>67</v>
      </c>
      <c r="E3796" t="s">
        <v>68</v>
      </c>
      <c r="F3796" t="s">
        <v>26</v>
      </c>
      <c r="G3796" s="4">
        <v>5</v>
      </c>
      <c r="H3796" s="4" t="s">
        <v>17</v>
      </c>
      <c r="I3796" s="4" t="s">
        <v>69</v>
      </c>
      <c r="J3796" s="4" t="s">
        <v>66</v>
      </c>
      <c r="K3796" s="4">
        <v>0</v>
      </c>
      <c r="L3796" s="94">
        <v>4113846</v>
      </c>
      <c r="M3796" s="94">
        <v>20569230</v>
      </c>
    </row>
    <row r="3797" spans="3:13" x14ac:dyDescent="0.3">
      <c r="C3797" t="s">
        <v>70</v>
      </c>
      <c r="D3797" t="s">
        <v>67</v>
      </c>
      <c r="E3797" t="s">
        <v>63</v>
      </c>
      <c r="F3797" t="s">
        <v>26</v>
      </c>
      <c r="G3797" s="4">
        <v>2</v>
      </c>
      <c r="H3797" s="4" t="s">
        <v>15</v>
      </c>
      <c r="I3797" s="4" t="s">
        <v>69</v>
      </c>
      <c r="J3797" s="4" t="s">
        <v>73</v>
      </c>
      <c r="K3797" s="4">
        <v>1</v>
      </c>
      <c r="L3797" s="94">
        <v>-3524</v>
      </c>
      <c r="M3797" s="94">
        <v>0</v>
      </c>
    </row>
    <row r="3798" spans="3:13" x14ac:dyDescent="0.3">
      <c r="C3798" t="s">
        <v>70</v>
      </c>
      <c r="D3798" t="s">
        <v>67</v>
      </c>
      <c r="E3798" t="s">
        <v>68</v>
      </c>
      <c r="F3798" t="s">
        <v>26</v>
      </c>
      <c r="G3798" s="4">
        <v>1</v>
      </c>
      <c r="H3798" s="4" t="s">
        <v>83</v>
      </c>
      <c r="I3798" s="4" t="s">
        <v>69</v>
      </c>
      <c r="J3798" s="4" t="s">
        <v>66</v>
      </c>
      <c r="K3798" s="4">
        <v>0</v>
      </c>
      <c r="L3798" s="94">
        <v>1216364</v>
      </c>
      <c r="M3798" s="94">
        <v>1216364</v>
      </c>
    </row>
    <row r="3799" spans="3:13" x14ac:dyDescent="0.3">
      <c r="C3799" t="s">
        <v>61</v>
      </c>
      <c r="D3799" t="s">
        <v>67</v>
      </c>
      <c r="E3799" t="s">
        <v>63</v>
      </c>
      <c r="F3799" t="s">
        <v>26</v>
      </c>
      <c r="G3799" s="4">
        <v>9</v>
      </c>
      <c r="H3799" s="4" t="s">
        <v>15</v>
      </c>
      <c r="I3799" s="4" t="s">
        <v>69</v>
      </c>
      <c r="J3799" s="4" t="s">
        <v>66</v>
      </c>
      <c r="K3799" s="4">
        <v>0</v>
      </c>
      <c r="L3799" s="94">
        <v>-26203</v>
      </c>
      <c r="M3799" s="94">
        <v>0</v>
      </c>
    </row>
    <row r="3800" spans="3:13" x14ac:dyDescent="0.3">
      <c r="C3800" t="s">
        <v>70</v>
      </c>
      <c r="D3800" t="s">
        <v>67</v>
      </c>
      <c r="E3800" t="s">
        <v>63</v>
      </c>
      <c r="F3800" t="s">
        <v>72</v>
      </c>
      <c r="G3800" s="4">
        <v>-1</v>
      </c>
      <c r="H3800" s="4" t="s">
        <v>74</v>
      </c>
      <c r="I3800" s="4" t="s">
        <v>69</v>
      </c>
      <c r="J3800" s="4" t="s">
        <v>66</v>
      </c>
      <c r="K3800" s="4">
        <v>0</v>
      </c>
      <c r="L3800" s="94">
        <v>-4072</v>
      </c>
      <c r="M3800" s="94">
        <v>0</v>
      </c>
    </row>
    <row r="3801" spans="3:13" x14ac:dyDescent="0.3">
      <c r="C3801" t="s">
        <v>71</v>
      </c>
      <c r="D3801" t="s">
        <v>67</v>
      </c>
      <c r="E3801" t="s">
        <v>63</v>
      </c>
      <c r="F3801" t="s">
        <v>26</v>
      </c>
      <c r="G3801" s="4">
        <v>2</v>
      </c>
      <c r="H3801" s="4" t="s">
        <v>83</v>
      </c>
      <c r="I3801" s="4" t="s">
        <v>69</v>
      </c>
      <c r="J3801" s="4" t="s">
        <v>66</v>
      </c>
      <c r="K3801" s="4">
        <v>0</v>
      </c>
      <c r="L3801" s="94">
        <v>-96880</v>
      </c>
      <c r="M3801" s="94">
        <v>0</v>
      </c>
    </row>
    <row r="3802" spans="3:13" x14ac:dyDescent="0.3">
      <c r="C3802" t="s">
        <v>71</v>
      </c>
      <c r="D3802" t="s">
        <v>67</v>
      </c>
      <c r="E3802" t="s">
        <v>68</v>
      </c>
      <c r="F3802" t="s">
        <v>25</v>
      </c>
      <c r="G3802" s="4">
        <v>-1</v>
      </c>
      <c r="H3802" s="4" t="s">
        <v>14</v>
      </c>
      <c r="I3802" s="4" t="s">
        <v>69</v>
      </c>
      <c r="J3802" s="4" t="s">
        <v>66</v>
      </c>
      <c r="K3802" s="4">
        <v>0</v>
      </c>
      <c r="L3802" s="94">
        <v>1781926</v>
      </c>
      <c r="M3802" s="94">
        <v>0</v>
      </c>
    </row>
    <row r="3803" spans="3:13" x14ac:dyDescent="0.3">
      <c r="C3803" t="s">
        <v>61</v>
      </c>
      <c r="D3803" t="s">
        <v>67</v>
      </c>
      <c r="E3803" t="s">
        <v>68</v>
      </c>
      <c r="F3803" t="s">
        <v>26</v>
      </c>
      <c r="G3803" s="4">
        <v>13</v>
      </c>
      <c r="H3803" s="4" t="s">
        <v>17</v>
      </c>
      <c r="I3803" s="4" t="s">
        <v>69</v>
      </c>
      <c r="J3803" s="4" t="s">
        <v>66</v>
      </c>
      <c r="K3803" s="4">
        <v>0</v>
      </c>
      <c r="L3803" s="94">
        <v>10110</v>
      </c>
      <c r="M3803" s="94">
        <v>131430</v>
      </c>
    </row>
    <row r="3804" spans="3:13" x14ac:dyDescent="0.3">
      <c r="C3804" t="s">
        <v>70</v>
      </c>
      <c r="D3804" t="s">
        <v>67</v>
      </c>
      <c r="E3804" t="s">
        <v>63</v>
      </c>
      <c r="F3804" t="s">
        <v>72</v>
      </c>
      <c r="G3804" s="4">
        <v>-4</v>
      </c>
      <c r="H3804" s="4" t="s">
        <v>18</v>
      </c>
      <c r="I3804" s="4" t="s">
        <v>69</v>
      </c>
      <c r="J3804" s="4" t="s">
        <v>73</v>
      </c>
      <c r="K3804" s="4">
        <v>1</v>
      </c>
      <c r="L3804" s="94">
        <v>-157</v>
      </c>
      <c r="M3804" s="94">
        <v>0</v>
      </c>
    </row>
    <row r="3805" spans="3:13" x14ac:dyDescent="0.3">
      <c r="C3805" t="s">
        <v>61</v>
      </c>
      <c r="D3805" t="s">
        <v>62</v>
      </c>
      <c r="E3805" t="s">
        <v>68</v>
      </c>
      <c r="F3805" t="s">
        <v>24</v>
      </c>
      <c r="G3805" s="4">
        <v>1</v>
      </c>
      <c r="I3805" s="4" t="s">
        <v>69</v>
      </c>
      <c r="J3805" s="4" t="s">
        <v>66</v>
      </c>
      <c r="K3805" s="4">
        <v>1</v>
      </c>
      <c r="L3805" s="94">
        <v>45562</v>
      </c>
      <c r="M3805" s="94">
        <v>45562</v>
      </c>
    </row>
    <row r="3806" spans="3:13" x14ac:dyDescent="0.3">
      <c r="C3806" t="s">
        <v>71</v>
      </c>
      <c r="D3806" t="s">
        <v>67</v>
      </c>
      <c r="E3806" t="s">
        <v>68</v>
      </c>
      <c r="F3806" t="s">
        <v>26</v>
      </c>
      <c r="G3806" s="4">
        <v>3</v>
      </c>
      <c r="H3806" s="4" t="s">
        <v>82</v>
      </c>
      <c r="I3806" s="4" t="s">
        <v>69</v>
      </c>
      <c r="J3806" s="4" t="s">
        <v>66</v>
      </c>
      <c r="K3806" s="4">
        <v>0</v>
      </c>
      <c r="L3806" s="94">
        <v>1296166</v>
      </c>
      <c r="M3806" s="94">
        <v>3888498</v>
      </c>
    </row>
    <row r="3807" spans="3:13" x14ac:dyDescent="0.3">
      <c r="C3807" t="s">
        <v>61</v>
      </c>
      <c r="D3807" t="s">
        <v>62</v>
      </c>
      <c r="E3807" t="s">
        <v>68</v>
      </c>
      <c r="F3807" t="s">
        <v>24</v>
      </c>
      <c r="G3807" s="4">
        <v>24</v>
      </c>
      <c r="I3807" s="4" t="s">
        <v>65</v>
      </c>
      <c r="J3807" s="4" t="s">
        <v>73</v>
      </c>
      <c r="K3807" s="4">
        <v>1</v>
      </c>
      <c r="L3807" s="94">
        <v>11587</v>
      </c>
      <c r="M3807" s="94">
        <v>278088</v>
      </c>
    </row>
    <row r="3808" spans="3:13" x14ac:dyDescent="0.3">
      <c r="C3808" t="s">
        <v>61</v>
      </c>
      <c r="D3808" t="s">
        <v>67</v>
      </c>
      <c r="E3808" t="s">
        <v>68</v>
      </c>
      <c r="F3808" t="s">
        <v>26</v>
      </c>
      <c r="G3808" s="4">
        <v>0</v>
      </c>
      <c r="H3808" s="4" t="s">
        <v>76</v>
      </c>
      <c r="I3808" s="4" t="s">
        <v>69</v>
      </c>
      <c r="J3808" s="4" t="s">
        <v>66</v>
      </c>
      <c r="K3808" s="4">
        <v>0</v>
      </c>
      <c r="L3808" s="94">
        <v>17164716</v>
      </c>
      <c r="M3808" s="94">
        <v>0</v>
      </c>
    </row>
    <row r="3809" spans="3:13" x14ac:dyDescent="0.3">
      <c r="C3809" t="s">
        <v>71</v>
      </c>
      <c r="D3809" t="s">
        <v>67</v>
      </c>
      <c r="E3809" t="s">
        <v>63</v>
      </c>
      <c r="F3809" t="s">
        <v>72</v>
      </c>
      <c r="G3809" s="4">
        <v>0</v>
      </c>
      <c r="H3809" s="4" t="s">
        <v>14</v>
      </c>
      <c r="I3809" s="4" t="s">
        <v>69</v>
      </c>
      <c r="J3809" s="4" t="s">
        <v>66</v>
      </c>
      <c r="K3809" s="4">
        <v>0</v>
      </c>
      <c r="L3809" s="94">
        <v>-27590</v>
      </c>
      <c r="M3809" s="94">
        <v>0</v>
      </c>
    </row>
    <row r="3810" spans="3:13" x14ac:dyDescent="0.3">
      <c r="C3810" t="s">
        <v>70</v>
      </c>
      <c r="D3810" t="s">
        <v>67</v>
      </c>
      <c r="E3810" t="s">
        <v>68</v>
      </c>
      <c r="F3810" t="s">
        <v>72</v>
      </c>
      <c r="G3810" s="4">
        <v>3</v>
      </c>
      <c r="H3810" s="4" t="s">
        <v>82</v>
      </c>
      <c r="I3810" s="4" t="s">
        <v>65</v>
      </c>
      <c r="J3810" s="4" t="s">
        <v>66</v>
      </c>
      <c r="K3810" s="4">
        <v>1</v>
      </c>
      <c r="L3810" s="94">
        <v>48292</v>
      </c>
      <c r="M3810" s="94">
        <v>144876</v>
      </c>
    </row>
    <row r="3811" spans="3:13" x14ac:dyDescent="0.3">
      <c r="C3811" t="s">
        <v>71</v>
      </c>
      <c r="D3811" t="s">
        <v>67</v>
      </c>
      <c r="E3811" t="s">
        <v>63</v>
      </c>
      <c r="F3811" t="s">
        <v>25</v>
      </c>
      <c r="G3811" s="4">
        <v>11</v>
      </c>
      <c r="H3811" s="4" t="s">
        <v>64</v>
      </c>
      <c r="I3811" s="4" t="s">
        <v>69</v>
      </c>
      <c r="J3811" s="4" t="s">
        <v>66</v>
      </c>
      <c r="K3811" s="4">
        <v>0</v>
      </c>
      <c r="L3811" s="94">
        <v>-5604</v>
      </c>
      <c r="M3811" s="94">
        <v>0</v>
      </c>
    </row>
    <row r="3812" spans="3:13" x14ac:dyDescent="0.3">
      <c r="C3812" t="s">
        <v>71</v>
      </c>
      <c r="D3812" t="s">
        <v>67</v>
      </c>
      <c r="E3812" t="s">
        <v>63</v>
      </c>
      <c r="F3812" t="s">
        <v>26</v>
      </c>
      <c r="G3812" s="4">
        <v>-4</v>
      </c>
      <c r="H3812" s="4" t="s">
        <v>76</v>
      </c>
      <c r="I3812" s="4" t="s">
        <v>69</v>
      </c>
      <c r="J3812" s="4" t="s">
        <v>66</v>
      </c>
      <c r="K3812" s="4">
        <v>0</v>
      </c>
      <c r="L3812" s="94">
        <v>-357189</v>
      </c>
      <c r="M3812" s="94">
        <v>0</v>
      </c>
    </row>
    <row r="3813" spans="3:13" x14ac:dyDescent="0.3">
      <c r="C3813" t="s">
        <v>61</v>
      </c>
      <c r="D3813" t="s">
        <v>67</v>
      </c>
      <c r="E3813" t="s">
        <v>68</v>
      </c>
      <c r="F3813" t="s">
        <v>25</v>
      </c>
      <c r="G3813" s="4">
        <v>12</v>
      </c>
      <c r="H3813" s="4" t="s">
        <v>14</v>
      </c>
      <c r="I3813" s="4" t="s">
        <v>69</v>
      </c>
      <c r="J3813" s="4" t="s">
        <v>66</v>
      </c>
      <c r="K3813" s="4">
        <v>1</v>
      </c>
      <c r="L3813" s="94">
        <v>2368360</v>
      </c>
      <c r="M3813" s="94">
        <v>28420320</v>
      </c>
    </row>
    <row r="3814" spans="3:13" x14ac:dyDescent="0.3">
      <c r="C3814" t="s">
        <v>61</v>
      </c>
      <c r="D3814" t="s">
        <v>67</v>
      </c>
      <c r="E3814" t="s">
        <v>63</v>
      </c>
      <c r="F3814" t="s">
        <v>72</v>
      </c>
      <c r="G3814" s="4">
        <v>0</v>
      </c>
      <c r="H3814" s="4" t="s">
        <v>14</v>
      </c>
      <c r="I3814" s="4" t="s">
        <v>69</v>
      </c>
      <c r="J3814" s="4" t="s">
        <v>73</v>
      </c>
      <c r="K3814" s="4">
        <v>1</v>
      </c>
      <c r="L3814" s="94">
        <v>-1851</v>
      </c>
      <c r="M3814" s="94">
        <v>0</v>
      </c>
    </row>
    <row r="3815" spans="3:13" x14ac:dyDescent="0.3">
      <c r="C3815" t="s">
        <v>71</v>
      </c>
      <c r="D3815" t="s">
        <v>67</v>
      </c>
      <c r="E3815" t="s">
        <v>68</v>
      </c>
      <c r="F3815" t="s">
        <v>72</v>
      </c>
      <c r="G3815" s="4">
        <v>1</v>
      </c>
      <c r="H3815" s="4" t="s">
        <v>17</v>
      </c>
      <c r="I3815" s="4" t="s">
        <v>69</v>
      </c>
      <c r="J3815" s="4" t="s">
        <v>66</v>
      </c>
      <c r="K3815" s="4">
        <v>0</v>
      </c>
      <c r="L3815" s="94">
        <v>166102</v>
      </c>
      <c r="M3815" s="94">
        <v>166102</v>
      </c>
    </row>
    <row r="3816" spans="3:13" x14ac:dyDescent="0.3">
      <c r="C3816" t="s">
        <v>71</v>
      </c>
      <c r="D3816" t="s">
        <v>62</v>
      </c>
      <c r="E3816" t="s">
        <v>68</v>
      </c>
      <c r="F3816" t="s">
        <v>24</v>
      </c>
      <c r="G3816" s="4">
        <v>40</v>
      </c>
      <c r="I3816" s="4" t="s">
        <v>69</v>
      </c>
      <c r="J3816" s="4" t="s">
        <v>66</v>
      </c>
      <c r="K3816" s="4">
        <v>0</v>
      </c>
      <c r="L3816" s="94">
        <v>1160185</v>
      </c>
      <c r="M3816" s="94">
        <v>46407400</v>
      </c>
    </row>
    <row r="3817" spans="3:13" x14ac:dyDescent="0.3">
      <c r="C3817" t="s">
        <v>70</v>
      </c>
      <c r="D3817" t="s">
        <v>67</v>
      </c>
      <c r="E3817" t="s">
        <v>68</v>
      </c>
      <c r="F3817" t="s">
        <v>26</v>
      </c>
      <c r="G3817" s="4">
        <v>5</v>
      </c>
      <c r="H3817" s="4" t="s">
        <v>17</v>
      </c>
      <c r="I3817" s="4" t="s">
        <v>65</v>
      </c>
      <c r="J3817" s="4" t="s">
        <v>66</v>
      </c>
      <c r="K3817" s="4">
        <v>1</v>
      </c>
      <c r="L3817" s="94">
        <v>88996</v>
      </c>
      <c r="M3817" s="94">
        <v>444980</v>
      </c>
    </row>
    <row r="3818" spans="3:13" x14ac:dyDescent="0.3">
      <c r="C3818" t="s">
        <v>61</v>
      </c>
      <c r="D3818" t="s">
        <v>67</v>
      </c>
      <c r="E3818" t="s">
        <v>68</v>
      </c>
      <c r="F3818" t="s">
        <v>25</v>
      </c>
      <c r="G3818" s="4">
        <v>13</v>
      </c>
      <c r="H3818" s="4" t="s">
        <v>74</v>
      </c>
      <c r="I3818" s="4" t="s">
        <v>65</v>
      </c>
      <c r="J3818" s="4" t="s">
        <v>66</v>
      </c>
      <c r="K3818" s="4">
        <v>1</v>
      </c>
      <c r="L3818" s="94">
        <v>113655</v>
      </c>
      <c r="M3818" s="94">
        <v>1477515</v>
      </c>
    </row>
    <row r="3819" spans="3:13" x14ac:dyDescent="0.3">
      <c r="C3819" t="s">
        <v>71</v>
      </c>
      <c r="D3819" t="s">
        <v>67</v>
      </c>
      <c r="E3819" t="s">
        <v>68</v>
      </c>
      <c r="F3819" t="s">
        <v>26</v>
      </c>
      <c r="G3819" s="4">
        <v>0</v>
      </c>
      <c r="H3819" s="4" t="s">
        <v>14</v>
      </c>
      <c r="I3819" s="4" t="s">
        <v>69</v>
      </c>
      <c r="J3819" s="4" t="s">
        <v>66</v>
      </c>
      <c r="K3819" s="4">
        <v>0</v>
      </c>
      <c r="L3819" s="94">
        <v>954307</v>
      </c>
      <c r="M3819" s="94">
        <v>0</v>
      </c>
    </row>
    <row r="3820" spans="3:13" x14ac:dyDescent="0.3">
      <c r="C3820" t="s">
        <v>70</v>
      </c>
      <c r="D3820" t="s">
        <v>67</v>
      </c>
      <c r="E3820" t="s">
        <v>68</v>
      </c>
      <c r="F3820" t="s">
        <v>72</v>
      </c>
      <c r="G3820" s="4">
        <v>4</v>
      </c>
      <c r="H3820" s="4" t="s">
        <v>13</v>
      </c>
      <c r="I3820" s="4" t="s">
        <v>69</v>
      </c>
      <c r="J3820" s="4" t="s">
        <v>73</v>
      </c>
      <c r="K3820" s="4">
        <v>1</v>
      </c>
      <c r="L3820" s="94">
        <v>91204</v>
      </c>
      <c r="M3820" s="94">
        <v>364816</v>
      </c>
    </row>
    <row r="3821" spans="3:13" x14ac:dyDescent="0.3">
      <c r="C3821" t="s">
        <v>61</v>
      </c>
      <c r="D3821" t="s">
        <v>67</v>
      </c>
      <c r="E3821" t="s">
        <v>63</v>
      </c>
      <c r="F3821" t="s">
        <v>72</v>
      </c>
      <c r="G3821" s="4">
        <v>0</v>
      </c>
      <c r="H3821" s="4" t="s">
        <v>81</v>
      </c>
      <c r="I3821" s="4" t="s">
        <v>69</v>
      </c>
      <c r="J3821" s="4" t="s">
        <v>66</v>
      </c>
      <c r="K3821" s="4">
        <v>0</v>
      </c>
      <c r="L3821" s="94">
        <v>-50</v>
      </c>
      <c r="M3821" s="94">
        <v>0</v>
      </c>
    </row>
    <row r="3822" spans="3:13" x14ac:dyDescent="0.3">
      <c r="C3822" t="s">
        <v>70</v>
      </c>
      <c r="D3822" t="s">
        <v>67</v>
      </c>
      <c r="E3822" t="s">
        <v>63</v>
      </c>
      <c r="F3822" t="s">
        <v>26</v>
      </c>
      <c r="G3822" s="4">
        <v>-4</v>
      </c>
      <c r="H3822" s="4" t="s">
        <v>76</v>
      </c>
      <c r="I3822" s="4" t="s">
        <v>69</v>
      </c>
      <c r="J3822" s="4" t="s">
        <v>66</v>
      </c>
      <c r="K3822" s="4">
        <v>0</v>
      </c>
      <c r="L3822" s="94">
        <v>-4</v>
      </c>
      <c r="M3822" s="94">
        <v>0</v>
      </c>
    </row>
    <row r="3823" spans="3:13" x14ac:dyDescent="0.3">
      <c r="C3823" t="s">
        <v>71</v>
      </c>
      <c r="D3823" t="s">
        <v>62</v>
      </c>
      <c r="E3823" t="s">
        <v>68</v>
      </c>
      <c r="F3823" t="s">
        <v>24</v>
      </c>
      <c r="G3823" s="4">
        <v>17</v>
      </c>
      <c r="I3823" s="4" t="s">
        <v>69</v>
      </c>
      <c r="J3823" s="4" t="s">
        <v>66</v>
      </c>
      <c r="K3823" s="4">
        <v>1</v>
      </c>
      <c r="L3823" s="94">
        <v>121188</v>
      </c>
      <c r="M3823" s="94">
        <v>2060196</v>
      </c>
    </row>
    <row r="3824" spans="3:13" x14ac:dyDescent="0.3">
      <c r="C3824" t="s">
        <v>61</v>
      </c>
      <c r="D3824" t="s">
        <v>67</v>
      </c>
      <c r="E3824" t="s">
        <v>68</v>
      </c>
      <c r="F3824" t="s">
        <v>25</v>
      </c>
      <c r="G3824" s="4">
        <v>18</v>
      </c>
      <c r="H3824" s="4" t="s">
        <v>76</v>
      </c>
      <c r="I3824" s="4" t="s">
        <v>69</v>
      </c>
      <c r="J3824" s="4" t="s">
        <v>66</v>
      </c>
      <c r="K3824" s="4">
        <v>0</v>
      </c>
      <c r="L3824" s="94">
        <v>198776</v>
      </c>
      <c r="M3824" s="94">
        <v>3577968</v>
      </c>
    </row>
    <row r="3825" spans="3:13" x14ac:dyDescent="0.3">
      <c r="C3825" t="s">
        <v>61</v>
      </c>
      <c r="D3825" t="s">
        <v>62</v>
      </c>
      <c r="E3825" t="s">
        <v>63</v>
      </c>
      <c r="F3825" t="s">
        <v>24</v>
      </c>
      <c r="G3825" s="4">
        <v>45</v>
      </c>
      <c r="I3825" s="4" t="s">
        <v>69</v>
      </c>
      <c r="J3825" s="4" t="s">
        <v>66</v>
      </c>
      <c r="K3825" s="4">
        <v>0</v>
      </c>
      <c r="L3825" s="94">
        <v>-1812</v>
      </c>
      <c r="M3825" s="94">
        <v>0</v>
      </c>
    </row>
    <row r="3826" spans="3:13" x14ac:dyDescent="0.3">
      <c r="C3826" t="s">
        <v>61</v>
      </c>
      <c r="D3826" t="s">
        <v>67</v>
      </c>
      <c r="E3826" t="s">
        <v>68</v>
      </c>
      <c r="F3826" t="s">
        <v>72</v>
      </c>
      <c r="G3826" s="4">
        <v>3</v>
      </c>
      <c r="H3826" s="4" t="s">
        <v>18</v>
      </c>
      <c r="I3826" s="4" t="s">
        <v>69</v>
      </c>
      <c r="J3826" s="4" t="s">
        <v>73</v>
      </c>
      <c r="K3826" s="4">
        <v>1</v>
      </c>
      <c r="L3826" s="94">
        <v>1209017</v>
      </c>
      <c r="M3826" s="94">
        <v>3627051</v>
      </c>
    </row>
    <row r="3827" spans="3:13" x14ac:dyDescent="0.3">
      <c r="C3827" t="s">
        <v>70</v>
      </c>
      <c r="D3827" t="s">
        <v>67</v>
      </c>
      <c r="E3827" t="s">
        <v>68</v>
      </c>
      <c r="F3827" t="s">
        <v>72</v>
      </c>
      <c r="G3827" s="4">
        <v>-1</v>
      </c>
      <c r="H3827" s="4" t="s">
        <v>12</v>
      </c>
      <c r="I3827" s="4" t="s">
        <v>69</v>
      </c>
      <c r="J3827" s="4" t="s">
        <v>73</v>
      </c>
      <c r="K3827" s="4">
        <v>1</v>
      </c>
      <c r="L3827" s="94">
        <v>1050864</v>
      </c>
      <c r="M3827" s="94">
        <v>0</v>
      </c>
    </row>
    <row r="3828" spans="3:13" x14ac:dyDescent="0.3">
      <c r="C3828" t="s">
        <v>61</v>
      </c>
      <c r="D3828" t="s">
        <v>62</v>
      </c>
      <c r="E3828" t="s">
        <v>68</v>
      </c>
      <c r="F3828" t="s">
        <v>25</v>
      </c>
      <c r="G3828" s="4">
        <v>-1</v>
      </c>
      <c r="I3828" s="4" t="s">
        <v>69</v>
      </c>
      <c r="J3828" s="4" t="s">
        <v>66</v>
      </c>
      <c r="K3828" s="4">
        <v>0</v>
      </c>
      <c r="L3828" s="94">
        <v>8233018</v>
      </c>
      <c r="M3828" s="94">
        <v>0</v>
      </c>
    </row>
    <row r="3829" spans="3:13" x14ac:dyDescent="0.3">
      <c r="C3829" t="s">
        <v>71</v>
      </c>
      <c r="D3829" t="s">
        <v>67</v>
      </c>
      <c r="E3829" t="s">
        <v>63</v>
      </c>
      <c r="F3829" t="s">
        <v>72</v>
      </c>
      <c r="G3829" s="4">
        <v>1</v>
      </c>
      <c r="H3829" s="4" t="s">
        <v>74</v>
      </c>
      <c r="I3829" s="4" t="s">
        <v>69</v>
      </c>
      <c r="J3829" s="4" t="s">
        <v>66</v>
      </c>
      <c r="K3829" s="4">
        <v>0</v>
      </c>
      <c r="L3829" s="94">
        <v>-38837</v>
      </c>
      <c r="M3829" s="94">
        <v>0</v>
      </c>
    </row>
    <row r="3830" spans="3:13" x14ac:dyDescent="0.3">
      <c r="C3830" t="s">
        <v>70</v>
      </c>
      <c r="D3830" t="s">
        <v>67</v>
      </c>
      <c r="E3830" t="s">
        <v>63</v>
      </c>
      <c r="F3830" t="s">
        <v>25</v>
      </c>
      <c r="G3830" s="4">
        <v>9</v>
      </c>
      <c r="H3830" s="4" t="s">
        <v>16</v>
      </c>
      <c r="I3830" s="4" t="s">
        <v>69</v>
      </c>
      <c r="J3830" s="4" t="s">
        <v>66</v>
      </c>
      <c r="K3830" s="4">
        <v>0</v>
      </c>
      <c r="L3830" s="94">
        <v>-12797</v>
      </c>
      <c r="M3830" s="94">
        <v>0</v>
      </c>
    </row>
    <row r="3831" spans="3:13" x14ac:dyDescent="0.3">
      <c r="C3831" t="s">
        <v>70</v>
      </c>
      <c r="D3831" t="s">
        <v>67</v>
      </c>
      <c r="E3831" t="s">
        <v>68</v>
      </c>
      <c r="F3831" t="s">
        <v>26</v>
      </c>
      <c r="G3831" s="4">
        <v>0</v>
      </c>
      <c r="H3831" s="4" t="s">
        <v>78</v>
      </c>
      <c r="I3831" s="4" t="s">
        <v>69</v>
      </c>
      <c r="J3831" s="4" t="s">
        <v>66</v>
      </c>
      <c r="K3831" s="4">
        <v>0</v>
      </c>
      <c r="L3831" s="94">
        <v>25236</v>
      </c>
      <c r="M3831" s="94">
        <v>0</v>
      </c>
    </row>
    <row r="3832" spans="3:13" x14ac:dyDescent="0.3">
      <c r="C3832" t="s">
        <v>70</v>
      </c>
      <c r="D3832" t="s">
        <v>62</v>
      </c>
      <c r="E3832" t="s">
        <v>63</v>
      </c>
      <c r="F3832" t="s">
        <v>25</v>
      </c>
      <c r="G3832" s="4">
        <v>17</v>
      </c>
      <c r="I3832" s="4" t="s">
        <v>69</v>
      </c>
      <c r="J3832" s="4" t="s">
        <v>66</v>
      </c>
      <c r="K3832" s="4">
        <v>0</v>
      </c>
      <c r="L3832" s="94">
        <v>-78827</v>
      </c>
      <c r="M3832" s="94">
        <v>0</v>
      </c>
    </row>
    <row r="3833" spans="3:13" x14ac:dyDescent="0.3">
      <c r="C3833" t="s">
        <v>71</v>
      </c>
      <c r="D3833" t="s">
        <v>67</v>
      </c>
      <c r="E3833" t="s">
        <v>68</v>
      </c>
      <c r="F3833" t="s">
        <v>26</v>
      </c>
      <c r="G3833" s="4">
        <v>6</v>
      </c>
      <c r="H3833" s="4" t="s">
        <v>18</v>
      </c>
      <c r="I3833" s="4" t="s">
        <v>69</v>
      </c>
      <c r="J3833" s="4" t="s">
        <v>73</v>
      </c>
      <c r="K3833" s="4">
        <v>1</v>
      </c>
      <c r="L3833" s="94">
        <v>81717</v>
      </c>
      <c r="M3833" s="94">
        <v>490302</v>
      </c>
    </row>
    <row r="3834" spans="3:13" x14ac:dyDescent="0.3">
      <c r="C3834" t="s">
        <v>70</v>
      </c>
      <c r="D3834" t="s">
        <v>67</v>
      </c>
      <c r="E3834" t="s">
        <v>68</v>
      </c>
      <c r="F3834" t="s">
        <v>25</v>
      </c>
      <c r="G3834" s="4">
        <v>12</v>
      </c>
      <c r="H3834" s="4" t="s">
        <v>14</v>
      </c>
      <c r="I3834" s="4" t="s">
        <v>69</v>
      </c>
      <c r="J3834" s="4" t="s">
        <v>66</v>
      </c>
      <c r="K3834" s="4">
        <v>1</v>
      </c>
      <c r="L3834" s="94">
        <v>1214861</v>
      </c>
      <c r="M3834" s="94">
        <v>14578332</v>
      </c>
    </row>
    <row r="3835" spans="3:13" x14ac:dyDescent="0.3">
      <c r="C3835" t="s">
        <v>70</v>
      </c>
      <c r="D3835" t="s">
        <v>67</v>
      </c>
      <c r="E3835" t="s">
        <v>68</v>
      </c>
      <c r="F3835" t="s">
        <v>72</v>
      </c>
      <c r="G3835" s="4">
        <v>3</v>
      </c>
      <c r="H3835" s="4" t="s">
        <v>78</v>
      </c>
      <c r="I3835" s="4" t="s">
        <v>69</v>
      </c>
      <c r="J3835" s="4" t="s">
        <v>66</v>
      </c>
      <c r="K3835" s="4">
        <v>0</v>
      </c>
      <c r="L3835" s="94">
        <v>30248</v>
      </c>
      <c r="M3835" s="94">
        <v>90744</v>
      </c>
    </row>
    <row r="3836" spans="3:13" x14ac:dyDescent="0.3">
      <c r="C3836" t="s">
        <v>61</v>
      </c>
      <c r="D3836" t="s">
        <v>67</v>
      </c>
      <c r="E3836" t="s">
        <v>68</v>
      </c>
      <c r="F3836" t="s">
        <v>26</v>
      </c>
      <c r="G3836" s="4">
        <v>2</v>
      </c>
      <c r="H3836" s="4" t="s">
        <v>18</v>
      </c>
      <c r="I3836" s="4" t="s">
        <v>65</v>
      </c>
      <c r="J3836" s="4" t="s">
        <v>66</v>
      </c>
      <c r="K3836" s="4">
        <v>1</v>
      </c>
      <c r="L3836" s="94">
        <v>532794</v>
      </c>
      <c r="M3836" s="94">
        <v>1065588</v>
      </c>
    </row>
    <row r="3837" spans="3:13" x14ac:dyDescent="0.3">
      <c r="C3837" t="s">
        <v>71</v>
      </c>
      <c r="D3837" t="s">
        <v>62</v>
      </c>
      <c r="E3837" t="s">
        <v>63</v>
      </c>
      <c r="F3837" t="s">
        <v>25</v>
      </c>
      <c r="G3837" s="4">
        <v>25</v>
      </c>
      <c r="I3837" s="4" t="s">
        <v>69</v>
      </c>
      <c r="J3837" s="4" t="s">
        <v>66</v>
      </c>
      <c r="K3837" s="4">
        <v>0</v>
      </c>
      <c r="L3837" s="94">
        <v>-12071</v>
      </c>
      <c r="M3837" s="94">
        <v>0</v>
      </c>
    </row>
    <row r="3838" spans="3:13" x14ac:dyDescent="0.3">
      <c r="C3838" t="s">
        <v>70</v>
      </c>
      <c r="D3838" t="s">
        <v>67</v>
      </c>
      <c r="E3838" t="s">
        <v>63</v>
      </c>
      <c r="F3838" t="s">
        <v>26</v>
      </c>
      <c r="G3838" s="4">
        <v>9</v>
      </c>
      <c r="H3838" s="4" t="s">
        <v>17</v>
      </c>
      <c r="I3838" s="4" t="s">
        <v>69</v>
      </c>
      <c r="J3838" s="4" t="s">
        <v>66</v>
      </c>
      <c r="K3838" s="4">
        <v>0</v>
      </c>
      <c r="L3838" s="94">
        <v>-1786</v>
      </c>
      <c r="M3838" s="94">
        <v>0</v>
      </c>
    </row>
    <row r="3839" spans="3:13" x14ac:dyDescent="0.3">
      <c r="C3839" t="s">
        <v>61</v>
      </c>
      <c r="D3839" t="s">
        <v>67</v>
      </c>
      <c r="E3839" t="s">
        <v>63</v>
      </c>
      <c r="F3839" t="s">
        <v>25</v>
      </c>
      <c r="G3839" s="4">
        <v>7</v>
      </c>
      <c r="H3839" s="4" t="s">
        <v>12</v>
      </c>
      <c r="I3839" s="4" t="s">
        <v>69</v>
      </c>
      <c r="J3839" s="4" t="s">
        <v>66</v>
      </c>
      <c r="K3839" s="4">
        <v>0</v>
      </c>
      <c r="L3839" s="94">
        <v>-1024</v>
      </c>
      <c r="M3839" s="94">
        <v>0</v>
      </c>
    </row>
    <row r="3840" spans="3:13" x14ac:dyDescent="0.3">
      <c r="C3840" t="s">
        <v>70</v>
      </c>
      <c r="D3840" t="s">
        <v>67</v>
      </c>
      <c r="E3840" t="s">
        <v>63</v>
      </c>
      <c r="F3840" t="s">
        <v>25</v>
      </c>
      <c r="G3840" s="4">
        <v>12</v>
      </c>
      <c r="H3840" s="4" t="s">
        <v>14</v>
      </c>
      <c r="I3840" s="4" t="s">
        <v>69</v>
      </c>
      <c r="J3840" s="4" t="s">
        <v>66</v>
      </c>
      <c r="K3840" s="4">
        <v>1</v>
      </c>
      <c r="L3840" s="94">
        <v>-60371</v>
      </c>
      <c r="M3840" s="94">
        <v>0</v>
      </c>
    </row>
    <row r="3841" spans="3:13" x14ac:dyDescent="0.3">
      <c r="C3841" t="s">
        <v>70</v>
      </c>
      <c r="D3841" t="s">
        <v>67</v>
      </c>
      <c r="E3841" t="s">
        <v>63</v>
      </c>
      <c r="F3841" t="s">
        <v>26</v>
      </c>
      <c r="G3841" s="4">
        <v>4</v>
      </c>
      <c r="H3841" s="4" t="s">
        <v>14</v>
      </c>
      <c r="I3841" s="4" t="s">
        <v>69</v>
      </c>
      <c r="J3841" s="4" t="s">
        <v>66</v>
      </c>
      <c r="K3841" s="4">
        <v>0</v>
      </c>
      <c r="L3841" s="94">
        <v>-367209</v>
      </c>
      <c r="M3841" s="94">
        <v>0</v>
      </c>
    </row>
    <row r="3842" spans="3:13" x14ac:dyDescent="0.3">
      <c r="C3842" t="s">
        <v>61</v>
      </c>
      <c r="D3842" t="s">
        <v>62</v>
      </c>
      <c r="E3842" t="s">
        <v>68</v>
      </c>
      <c r="F3842" t="s">
        <v>24</v>
      </c>
      <c r="G3842" s="4">
        <v>37</v>
      </c>
      <c r="I3842" s="4" t="s">
        <v>69</v>
      </c>
      <c r="J3842" s="4" t="s">
        <v>66</v>
      </c>
      <c r="K3842" s="4">
        <v>1</v>
      </c>
      <c r="L3842" s="94">
        <v>1081106</v>
      </c>
      <c r="M3842" s="94">
        <v>40000922</v>
      </c>
    </row>
    <row r="3843" spans="3:13" x14ac:dyDescent="0.3">
      <c r="C3843" t="s">
        <v>61</v>
      </c>
      <c r="D3843" t="s">
        <v>67</v>
      </c>
      <c r="E3843" t="s">
        <v>68</v>
      </c>
      <c r="F3843" t="s">
        <v>25</v>
      </c>
      <c r="G3843" s="4">
        <v>9</v>
      </c>
      <c r="H3843" s="4" t="s">
        <v>80</v>
      </c>
      <c r="I3843" s="4" t="s">
        <v>69</v>
      </c>
      <c r="J3843" s="4" t="s">
        <v>66</v>
      </c>
      <c r="K3843" s="4">
        <v>0</v>
      </c>
      <c r="L3843" s="94">
        <v>253712</v>
      </c>
      <c r="M3843" s="94">
        <v>2283408</v>
      </c>
    </row>
    <row r="3844" spans="3:13" x14ac:dyDescent="0.3">
      <c r="C3844" t="s">
        <v>61</v>
      </c>
      <c r="D3844" t="s">
        <v>67</v>
      </c>
      <c r="E3844" t="s">
        <v>68</v>
      </c>
      <c r="F3844" t="s">
        <v>26</v>
      </c>
      <c r="G3844" s="4">
        <v>9</v>
      </c>
      <c r="H3844" s="4" t="s">
        <v>15</v>
      </c>
      <c r="I3844" s="4" t="s">
        <v>69</v>
      </c>
      <c r="J3844" s="4" t="s">
        <v>73</v>
      </c>
      <c r="K3844" s="4">
        <v>1</v>
      </c>
      <c r="L3844" s="94">
        <v>26999430</v>
      </c>
      <c r="M3844" s="94">
        <v>242994870</v>
      </c>
    </row>
    <row r="3845" spans="3:13" x14ac:dyDescent="0.3">
      <c r="C3845" t="s">
        <v>71</v>
      </c>
      <c r="D3845" t="s">
        <v>67</v>
      </c>
      <c r="E3845" t="s">
        <v>68</v>
      </c>
      <c r="F3845" t="s">
        <v>26</v>
      </c>
      <c r="G3845" s="4">
        <v>-4</v>
      </c>
      <c r="H3845" s="4" t="s">
        <v>64</v>
      </c>
      <c r="I3845" s="4" t="s">
        <v>69</v>
      </c>
      <c r="J3845" s="4" t="s">
        <v>66</v>
      </c>
      <c r="K3845" s="4">
        <v>0</v>
      </c>
      <c r="L3845" s="94">
        <v>723518</v>
      </c>
      <c r="M3845" s="94">
        <v>0</v>
      </c>
    </row>
    <row r="3846" spans="3:13" x14ac:dyDescent="0.3">
      <c r="C3846" t="s">
        <v>70</v>
      </c>
      <c r="D3846" t="s">
        <v>67</v>
      </c>
      <c r="E3846" t="s">
        <v>68</v>
      </c>
      <c r="F3846" t="s">
        <v>25</v>
      </c>
      <c r="G3846" s="4">
        <v>3</v>
      </c>
      <c r="H3846" s="4" t="s">
        <v>18</v>
      </c>
      <c r="I3846" s="4" t="s">
        <v>69</v>
      </c>
      <c r="J3846" s="4" t="s">
        <v>66</v>
      </c>
      <c r="K3846" s="4">
        <v>0</v>
      </c>
      <c r="L3846" s="94">
        <v>466782</v>
      </c>
      <c r="M3846" s="94">
        <v>1400346</v>
      </c>
    </row>
    <row r="3847" spans="3:13" x14ac:dyDescent="0.3">
      <c r="C3847" t="s">
        <v>61</v>
      </c>
      <c r="D3847" t="s">
        <v>67</v>
      </c>
      <c r="E3847" t="s">
        <v>68</v>
      </c>
      <c r="F3847" t="s">
        <v>25</v>
      </c>
      <c r="G3847" s="4">
        <v>0</v>
      </c>
      <c r="H3847" s="4" t="s">
        <v>76</v>
      </c>
      <c r="I3847" s="4" t="s">
        <v>69</v>
      </c>
      <c r="J3847" s="4" t="s">
        <v>66</v>
      </c>
      <c r="K3847" s="4">
        <v>0</v>
      </c>
      <c r="L3847" s="94">
        <v>552762</v>
      </c>
      <c r="M3847" s="94">
        <v>0</v>
      </c>
    </row>
    <row r="3848" spans="3:13" x14ac:dyDescent="0.3">
      <c r="C3848" t="s">
        <v>70</v>
      </c>
      <c r="D3848" t="s">
        <v>67</v>
      </c>
      <c r="E3848" t="s">
        <v>63</v>
      </c>
      <c r="F3848" t="s">
        <v>25</v>
      </c>
      <c r="G3848" s="4">
        <v>5</v>
      </c>
      <c r="H3848" s="4" t="s">
        <v>80</v>
      </c>
      <c r="I3848" s="4" t="s">
        <v>69</v>
      </c>
      <c r="J3848" s="4" t="s">
        <v>66</v>
      </c>
      <c r="K3848" s="4">
        <v>0</v>
      </c>
      <c r="L3848" s="94">
        <v>-103</v>
      </c>
      <c r="M3848" s="94">
        <v>0</v>
      </c>
    </row>
    <row r="3849" spans="3:13" x14ac:dyDescent="0.3">
      <c r="C3849" t="s">
        <v>61</v>
      </c>
      <c r="D3849" t="s">
        <v>67</v>
      </c>
      <c r="E3849" t="s">
        <v>68</v>
      </c>
      <c r="F3849" t="s">
        <v>72</v>
      </c>
      <c r="G3849" s="4">
        <v>-1</v>
      </c>
      <c r="I3849" s="4" t="s">
        <v>69</v>
      </c>
      <c r="J3849" s="4" t="s">
        <v>66</v>
      </c>
      <c r="K3849" s="4">
        <v>0</v>
      </c>
      <c r="L3849" s="94">
        <v>0</v>
      </c>
      <c r="M3849" s="94">
        <v>0</v>
      </c>
    </row>
    <row r="3850" spans="3:13" x14ac:dyDescent="0.3">
      <c r="C3850" t="s">
        <v>61</v>
      </c>
      <c r="D3850" t="s">
        <v>67</v>
      </c>
      <c r="E3850" t="s">
        <v>68</v>
      </c>
      <c r="F3850" t="s">
        <v>72</v>
      </c>
      <c r="G3850" s="4">
        <v>2</v>
      </c>
      <c r="H3850" s="4" t="s">
        <v>17</v>
      </c>
      <c r="I3850" s="4" t="s">
        <v>69</v>
      </c>
      <c r="J3850" s="4" t="s">
        <v>66</v>
      </c>
      <c r="K3850" s="4">
        <v>0</v>
      </c>
      <c r="L3850" s="94">
        <v>6636246</v>
      </c>
      <c r="M3850" s="94">
        <v>13272492</v>
      </c>
    </row>
    <row r="3851" spans="3:13" x14ac:dyDescent="0.3">
      <c r="C3851" t="s">
        <v>70</v>
      </c>
      <c r="D3851" t="s">
        <v>67</v>
      </c>
      <c r="E3851" t="s">
        <v>63</v>
      </c>
      <c r="F3851" t="s">
        <v>25</v>
      </c>
      <c r="G3851" s="4">
        <v>3</v>
      </c>
      <c r="H3851" s="4" t="s">
        <v>82</v>
      </c>
      <c r="I3851" s="4" t="s">
        <v>69</v>
      </c>
      <c r="J3851" s="4" t="s">
        <v>66</v>
      </c>
      <c r="K3851" s="4">
        <v>0</v>
      </c>
      <c r="L3851" s="94">
        <v>-724</v>
      </c>
      <c r="M3851" s="94">
        <v>0</v>
      </c>
    </row>
    <row r="3852" spans="3:13" x14ac:dyDescent="0.3">
      <c r="C3852" t="s">
        <v>70</v>
      </c>
      <c r="D3852" t="s">
        <v>67</v>
      </c>
      <c r="E3852" t="s">
        <v>68</v>
      </c>
      <c r="F3852" t="s">
        <v>25</v>
      </c>
      <c r="G3852" s="4">
        <v>7</v>
      </c>
      <c r="H3852" s="4" t="s">
        <v>14</v>
      </c>
      <c r="I3852" s="4" t="s">
        <v>69</v>
      </c>
      <c r="J3852" s="4" t="s">
        <v>66</v>
      </c>
      <c r="K3852" s="4">
        <v>0</v>
      </c>
      <c r="L3852" s="94">
        <v>1329951</v>
      </c>
      <c r="M3852" s="94">
        <v>9309657</v>
      </c>
    </row>
    <row r="3853" spans="3:13" x14ac:dyDescent="0.3">
      <c r="C3853" t="s">
        <v>61</v>
      </c>
      <c r="D3853" t="s">
        <v>67</v>
      </c>
      <c r="E3853" t="s">
        <v>68</v>
      </c>
      <c r="F3853" t="s">
        <v>25</v>
      </c>
      <c r="G3853" s="4">
        <v>7</v>
      </c>
      <c r="H3853" s="4" t="s">
        <v>18</v>
      </c>
      <c r="I3853" s="4" t="s">
        <v>69</v>
      </c>
      <c r="J3853" s="4" t="s">
        <v>66</v>
      </c>
      <c r="K3853" s="4">
        <v>1</v>
      </c>
      <c r="L3853" s="94">
        <v>529289</v>
      </c>
      <c r="M3853" s="94">
        <v>3705023</v>
      </c>
    </row>
    <row r="3854" spans="3:13" x14ac:dyDescent="0.3">
      <c r="C3854" t="s">
        <v>70</v>
      </c>
      <c r="D3854" t="s">
        <v>62</v>
      </c>
      <c r="E3854" t="s">
        <v>68</v>
      </c>
      <c r="F3854" t="s">
        <v>24</v>
      </c>
      <c r="G3854" s="4">
        <v>11</v>
      </c>
      <c r="I3854" s="4" t="s">
        <v>65</v>
      </c>
      <c r="J3854" s="4" t="s">
        <v>66</v>
      </c>
      <c r="K3854" s="4">
        <v>1</v>
      </c>
      <c r="L3854" s="94">
        <v>110079</v>
      </c>
      <c r="M3854" s="94">
        <v>1210869</v>
      </c>
    </row>
    <row r="3855" spans="3:13" x14ac:dyDescent="0.3">
      <c r="C3855" t="s">
        <v>61</v>
      </c>
      <c r="D3855" t="s">
        <v>67</v>
      </c>
      <c r="E3855" t="s">
        <v>63</v>
      </c>
      <c r="F3855" t="s">
        <v>25</v>
      </c>
      <c r="G3855" s="4">
        <v>14</v>
      </c>
      <c r="H3855" s="4" t="s">
        <v>16</v>
      </c>
      <c r="I3855" s="4" t="s">
        <v>69</v>
      </c>
      <c r="J3855" s="4" t="s">
        <v>66</v>
      </c>
      <c r="K3855" s="4">
        <v>0</v>
      </c>
      <c r="L3855" s="94">
        <v>-918</v>
      </c>
      <c r="M3855" s="94">
        <v>0</v>
      </c>
    </row>
    <row r="3856" spans="3:13" x14ac:dyDescent="0.3">
      <c r="C3856" t="s">
        <v>61</v>
      </c>
      <c r="D3856" t="s">
        <v>67</v>
      </c>
      <c r="E3856" t="s">
        <v>63</v>
      </c>
      <c r="F3856" t="s">
        <v>25</v>
      </c>
      <c r="G3856" s="4">
        <v>6</v>
      </c>
      <c r="H3856" s="4" t="s">
        <v>17</v>
      </c>
      <c r="I3856" s="4" t="s">
        <v>69</v>
      </c>
      <c r="J3856" s="4" t="s">
        <v>66</v>
      </c>
      <c r="K3856" s="4">
        <v>1</v>
      </c>
      <c r="L3856" s="94">
        <v>-350</v>
      </c>
      <c r="M3856" s="94">
        <v>0</v>
      </c>
    </row>
    <row r="3857" spans="3:13" x14ac:dyDescent="0.3">
      <c r="C3857" t="s">
        <v>70</v>
      </c>
      <c r="D3857" t="s">
        <v>67</v>
      </c>
      <c r="E3857" t="s">
        <v>68</v>
      </c>
      <c r="F3857" t="s">
        <v>25</v>
      </c>
      <c r="G3857" s="4">
        <v>6</v>
      </c>
      <c r="H3857" s="4" t="s">
        <v>14</v>
      </c>
      <c r="I3857" s="4" t="s">
        <v>69</v>
      </c>
      <c r="J3857" s="4" t="s">
        <v>66</v>
      </c>
      <c r="K3857" s="4">
        <v>0</v>
      </c>
      <c r="L3857" s="94">
        <v>2036025</v>
      </c>
      <c r="M3857" s="94">
        <v>12216150</v>
      </c>
    </row>
    <row r="3858" spans="3:13" x14ac:dyDescent="0.3">
      <c r="C3858" t="s">
        <v>70</v>
      </c>
      <c r="D3858" t="s">
        <v>67</v>
      </c>
      <c r="E3858" t="s">
        <v>68</v>
      </c>
      <c r="F3858" t="s">
        <v>72</v>
      </c>
      <c r="G3858" s="4">
        <v>-4</v>
      </c>
      <c r="H3858" s="4" t="s">
        <v>17</v>
      </c>
      <c r="I3858" s="4" t="s">
        <v>69</v>
      </c>
      <c r="J3858" s="4" t="s">
        <v>66</v>
      </c>
      <c r="K3858" s="4">
        <v>0</v>
      </c>
      <c r="L3858" s="94">
        <v>21569</v>
      </c>
      <c r="M3858" s="94">
        <v>0</v>
      </c>
    </row>
    <row r="3859" spans="3:13" x14ac:dyDescent="0.3">
      <c r="C3859" t="s">
        <v>71</v>
      </c>
      <c r="D3859" t="s">
        <v>67</v>
      </c>
      <c r="E3859" t="s">
        <v>63</v>
      </c>
      <c r="F3859" t="s">
        <v>26</v>
      </c>
      <c r="G3859" s="4">
        <v>1</v>
      </c>
      <c r="H3859" s="4" t="s">
        <v>82</v>
      </c>
      <c r="I3859" s="4" t="s">
        <v>69</v>
      </c>
      <c r="J3859" s="4" t="s">
        <v>73</v>
      </c>
      <c r="K3859" s="4">
        <v>1</v>
      </c>
      <c r="L3859" s="94">
        <v>-13802</v>
      </c>
      <c r="M3859" s="94">
        <v>0</v>
      </c>
    </row>
    <row r="3860" spans="3:13" x14ac:dyDescent="0.3">
      <c r="C3860" t="s">
        <v>70</v>
      </c>
      <c r="D3860" t="s">
        <v>67</v>
      </c>
      <c r="E3860" t="s">
        <v>63</v>
      </c>
      <c r="F3860" t="s">
        <v>26</v>
      </c>
      <c r="G3860" s="4">
        <v>2</v>
      </c>
      <c r="H3860" s="4" t="s">
        <v>75</v>
      </c>
      <c r="I3860" s="4" t="s">
        <v>69</v>
      </c>
      <c r="J3860" s="4" t="s">
        <v>66</v>
      </c>
      <c r="K3860" s="4">
        <v>0</v>
      </c>
      <c r="L3860" s="94">
        <v>-173731</v>
      </c>
      <c r="M3860" s="94">
        <v>0</v>
      </c>
    </row>
    <row r="3861" spans="3:13" x14ac:dyDescent="0.3">
      <c r="C3861" t="s">
        <v>61</v>
      </c>
      <c r="D3861" t="s">
        <v>67</v>
      </c>
      <c r="E3861" t="s">
        <v>68</v>
      </c>
      <c r="F3861" t="s">
        <v>72</v>
      </c>
      <c r="G3861" s="4">
        <v>7</v>
      </c>
      <c r="H3861" s="4" t="s">
        <v>14</v>
      </c>
      <c r="I3861" s="4" t="s">
        <v>69</v>
      </c>
      <c r="J3861" s="4" t="s">
        <v>66</v>
      </c>
      <c r="K3861" s="4">
        <v>0</v>
      </c>
      <c r="L3861" s="94">
        <v>596201</v>
      </c>
      <c r="M3861" s="94">
        <v>4173407</v>
      </c>
    </row>
    <row r="3862" spans="3:13" x14ac:dyDescent="0.3">
      <c r="C3862" t="s">
        <v>71</v>
      </c>
      <c r="D3862" t="s">
        <v>62</v>
      </c>
      <c r="E3862" t="s">
        <v>68</v>
      </c>
      <c r="F3862" t="s">
        <v>24</v>
      </c>
      <c r="G3862" s="4">
        <v>28</v>
      </c>
      <c r="I3862" s="4" t="s">
        <v>69</v>
      </c>
      <c r="J3862" s="4" t="s">
        <v>66</v>
      </c>
      <c r="K3862" s="4">
        <v>0</v>
      </c>
      <c r="L3862" s="94">
        <v>10494643</v>
      </c>
      <c r="M3862" s="94">
        <v>293850004</v>
      </c>
    </row>
    <row r="3863" spans="3:13" x14ac:dyDescent="0.3">
      <c r="C3863" t="s">
        <v>61</v>
      </c>
      <c r="D3863" t="s">
        <v>67</v>
      </c>
      <c r="E3863" t="s">
        <v>63</v>
      </c>
      <c r="F3863" t="s">
        <v>26</v>
      </c>
      <c r="G3863" s="4">
        <v>6</v>
      </c>
      <c r="H3863" s="4" t="s">
        <v>17</v>
      </c>
      <c r="I3863" s="4" t="s">
        <v>69</v>
      </c>
      <c r="J3863" s="4" t="s">
        <v>66</v>
      </c>
      <c r="K3863" s="4">
        <v>0</v>
      </c>
      <c r="L3863" s="94">
        <v>-1013</v>
      </c>
      <c r="M3863" s="94">
        <v>0</v>
      </c>
    </row>
    <row r="3864" spans="3:13" x14ac:dyDescent="0.3">
      <c r="C3864" t="s">
        <v>70</v>
      </c>
      <c r="D3864" t="s">
        <v>67</v>
      </c>
      <c r="E3864" t="s">
        <v>63</v>
      </c>
      <c r="F3864" t="s">
        <v>26</v>
      </c>
      <c r="G3864" s="4">
        <v>-1</v>
      </c>
      <c r="H3864" s="4" t="s">
        <v>89</v>
      </c>
      <c r="I3864" s="4" t="s">
        <v>69</v>
      </c>
      <c r="J3864" s="4" t="s">
        <v>66</v>
      </c>
      <c r="K3864" s="4">
        <v>0</v>
      </c>
      <c r="L3864" s="94">
        <v>-4</v>
      </c>
      <c r="M3864" s="94">
        <v>0</v>
      </c>
    </row>
    <row r="3865" spans="3:13" x14ac:dyDescent="0.3">
      <c r="C3865" t="s">
        <v>70</v>
      </c>
      <c r="D3865" t="s">
        <v>67</v>
      </c>
      <c r="E3865" t="s">
        <v>63</v>
      </c>
      <c r="F3865" t="s">
        <v>25</v>
      </c>
      <c r="G3865" s="4">
        <v>-4</v>
      </c>
      <c r="H3865" s="4" t="s">
        <v>17</v>
      </c>
      <c r="I3865" s="4" t="s">
        <v>69</v>
      </c>
      <c r="J3865" s="4" t="s">
        <v>66</v>
      </c>
      <c r="K3865" s="4">
        <v>1</v>
      </c>
      <c r="L3865" s="94">
        <v>-6</v>
      </c>
      <c r="M3865" s="94">
        <v>0</v>
      </c>
    </row>
    <row r="3866" spans="3:13" x14ac:dyDescent="0.3">
      <c r="C3866" t="s">
        <v>61</v>
      </c>
      <c r="D3866" t="s">
        <v>84</v>
      </c>
      <c r="E3866" t="s">
        <v>68</v>
      </c>
      <c r="F3866" t="s">
        <v>25</v>
      </c>
      <c r="G3866" s="4">
        <v>7</v>
      </c>
      <c r="H3866" s="4" t="s">
        <v>76</v>
      </c>
      <c r="I3866" s="4" t="s">
        <v>69</v>
      </c>
      <c r="J3866" s="4" t="s">
        <v>66</v>
      </c>
      <c r="K3866" s="4">
        <v>0</v>
      </c>
      <c r="L3866" s="94">
        <v>2480464</v>
      </c>
      <c r="M3866" s="94">
        <v>17363248</v>
      </c>
    </row>
    <row r="3867" spans="3:13" x14ac:dyDescent="0.3">
      <c r="C3867" t="s">
        <v>61</v>
      </c>
      <c r="D3867" t="s">
        <v>67</v>
      </c>
      <c r="E3867" t="s">
        <v>63</v>
      </c>
      <c r="F3867" t="s">
        <v>26</v>
      </c>
      <c r="G3867" s="4">
        <v>-1</v>
      </c>
      <c r="H3867" s="4" t="s">
        <v>18</v>
      </c>
      <c r="I3867" s="4" t="s">
        <v>65</v>
      </c>
      <c r="J3867" s="4" t="s">
        <v>66</v>
      </c>
      <c r="K3867" s="4">
        <v>1</v>
      </c>
      <c r="L3867" s="94">
        <v>-1479</v>
      </c>
      <c r="M3867" s="94">
        <v>0</v>
      </c>
    </row>
    <row r="3868" spans="3:13" x14ac:dyDescent="0.3">
      <c r="C3868" t="s">
        <v>61</v>
      </c>
      <c r="D3868" t="s">
        <v>67</v>
      </c>
      <c r="E3868" t="s">
        <v>63</v>
      </c>
      <c r="F3868" t="s">
        <v>25</v>
      </c>
      <c r="G3868" s="4">
        <v>13</v>
      </c>
      <c r="H3868" s="4" t="s">
        <v>76</v>
      </c>
      <c r="I3868" s="4" t="s">
        <v>69</v>
      </c>
      <c r="J3868" s="4" t="s">
        <v>66</v>
      </c>
      <c r="K3868" s="4">
        <v>0</v>
      </c>
      <c r="L3868" s="94">
        <v>-11981</v>
      </c>
      <c r="M3868" s="94">
        <v>0</v>
      </c>
    </row>
    <row r="3869" spans="3:13" x14ac:dyDescent="0.3">
      <c r="C3869" t="s">
        <v>61</v>
      </c>
      <c r="D3869" t="s">
        <v>67</v>
      </c>
      <c r="E3869" t="s">
        <v>68</v>
      </c>
      <c r="F3869" t="s">
        <v>25</v>
      </c>
      <c r="G3869" s="4">
        <v>2</v>
      </c>
      <c r="H3869" s="4" t="s">
        <v>18</v>
      </c>
      <c r="I3869" s="4" t="s">
        <v>65</v>
      </c>
      <c r="J3869" s="4" t="s">
        <v>66</v>
      </c>
      <c r="K3869" s="4">
        <v>1</v>
      </c>
      <c r="L3869" s="94">
        <v>36675</v>
      </c>
      <c r="M3869" s="94">
        <v>73350</v>
      </c>
    </row>
    <row r="3870" spans="3:13" x14ac:dyDescent="0.3">
      <c r="C3870" t="s">
        <v>61</v>
      </c>
      <c r="D3870" t="s">
        <v>67</v>
      </c>
      <c r="E3870" t="s">
        <v>63</v>
      </c>
      <c r="F3870" t="s">
        <v>25</v>
      </c>
      <c r="G3870" s="4">
        <v>5</v>
      </c>
      <c r="H3870" s="4" t="s">
        <v>75</v>
      </c>
      <c r="I3870" s="4" t="s">
        <v>69</v>
      </c>
      <c r="J3870" s="4" t="s">
        <v>66</v>
      </c>
      <c r="K3870" s="4">
        <v>0</v>
      </c>
      <c r="L3870" s="94">
        <v>-67044</v>
      </c>
      <c r="M3870" s="94">
        <v>0</v>
      </c>
    </row>
    <row r="3871" spans="3:13" x14ac:dyDescent="0.3">
      <c r="C3871" t="s">
        <v>61</v>
      </c>
      <c r="D3871" t="s">
        <v>67</v>
      </c>
      <c r="E3871" t="s">
        <v>63</v>
      </c>
      <c r="F3871" t="s">
        <v>25</v>
      </c>
      <c r="G3871" s="4">
        <v>1</v>
      </c>
      <c r="H3871" s="4" t="s">
        <v>82</v>
      </c>
      <c r="I3871" s="4" t="s">
        <v>69</v>
      </c>
      <c r="J3871" s="4" t="s">
        <v>66</v>
      </c>
      <c r="K3871" s="4">
        <v>1</v>
      </c>
      <c r="L3871" s="94">
        <v>-28</v>
      </c>
      <c r="M3871" s="94">
        <v>0</v>
      </c>
    </row>
    <row r="3872" spans="3:13" x14ac:dyDescent="0.3">
      <c r="C3872" t="s">
        <v>71</v>
      </c>
      <c r="D3872" t="s">
        <v>67</v>
      </c>
      <c r="E3872" t="s">
        <v>63</v>
      </c>
      <c r="F3872" t="s">
        <v>72</v>
      </c>
      <c r="G3872" s="4">
        <v>3</v>
      </c>
      <c r="H3872" s="4" t="s">
        <v>18</v>
      </c>
      <c r="I3872" s="4" t="s">
        <v>69</v>
      </c>
      <c r="J3872" s="4" t="s">
        <v>73</v>
      </c>
      <c r="K3872" s="4">
        <v>1</v>
      </c>
      <c r="L3872" s="94">
        <v>-33555</v>
      </c>
      <c r="M3872" s="94">
        <v>0</v>
      </c>
    </row>
    <row r="3873" spans="3:13" x14ac:dyDescent="0.3">
      <c r="C3873" t="s">
        <v>71</v>
      </c>
      <c r="D3873" t="s">
        <v>67</v>
      </c>
      <c r="E3873" t="s">
        <v>63</v>
      </c>
      <c r="F3873" t="s">
        <v>26</v>
      </c>
      <c r="G3873" s="4">
        <v>-4</v>
      </c>
      <c r="H3873" s="4" t="s">
        <v>17</v>
      </c>
      <c r="I3873" s="4" t="s">
        <v>65</v>
      </c>
      <c r="J3873" s="4" t="s">
        <v>66</v>
      </c>
      <c r="K3873" s="4">
        <v>1</v>
      </c>
      <c r="L3873" s="94">
        <v>-433</v>
      </c>
      <c r="M3873" s="94">
        <v>0</v>
      </c>
    </row>
    <row r="3874" spans="3:13" x14ac:dyDescent="0.3">
      <c r="C3874" t="s">
        <v>61</v>
      </c>
      <c r="D3874" t="s">
        <v>62</v>
      </c>
      <c r="E3874" t="s">
        <v>63</v>
      </c>
      <c r="F3874" t="s">
        <v>25</v>
      </c>
      <c r="G3874" s="4">
        <v>7</v>
      </c>
      <c r="I3874" s="4" t="s">
        <v>69</v>
      </c>
      <c r="J3874" s="4" t="s">
        <v>66</v>
      </c>
      <c r="K3874" s="4">
        <v>0</v>
      </c>
      <c r="L3874" s="94">
        <v>-9974</v>
      </c>
      <c r="M3874" s="94">
        <v>0</v>
      </c>
    </row>
    <row r="3875" spans="3:13" x14ac:dyDescent="0.3">
      <c r="C3875" t="s">
        <v>71</v>
      </c>
      <c r="D3875" t="s">
        <v>67</v>
      </c>
      <c r="E3875" t="s">
        <v>63</v>
      </c>
      <c r="F3875" t="s">
        <v>26</v>
      </c>
      <c r="G3875" s="4">
        <v>-1</v>
      </c>
      <c r="H3875" s="4" t="s">
        <v>13</v>
      </c>
      <c r="I3875" s="4" t="s">
        <v>69</v>
      </c>
      <c r="J3875" s="4" t="s">
        <v>73</v>
      </c>
      <c r="K3875" s="4">
        <v>1</v>
      </c>
      <c r="L3875" s="94">
        <v>-36630</v>
      </c>
      <c r="M3875" s="94">
        <v>0</v>
      </c>
    </row>
    <row r="3876" spans="3:13" x14ac:dyDescent="0.3">
      <c r="C3876" t="s">
        <v>70</v>
      </c>
      <c r="D3876" t="s">
        <v>67</v>
      </c>
      <c r="E3876" t="s">
        <v>68</v>
      </c>
      <c r="F3876" t="s">
        <v>26</v>
      </c>
      <c r="G3876" s="4">
        <v>-1</v>
      </c>
      <c r="H3876" s="4" t="s">
        <v>18</v>
      </c>
      <c r="I3876" s="4" t="s">
        <v>69</v>
      </c>
      <c r="J3876" s="4" t="s">
        <v>66</v>
      </c>
      <c r="K3876" s="4">
        <v>0</v>
      </c>
      <c r="L3876" s="94">
        <v>59814688</v>
      </c>
      <c r="M3876" s="94">
        <v>0</v>
      </c>
    </row>
    <row r="3877" spans="3:13" x14ac:dyDescent="0.3">
      <c r="C3877" t="s">
        <v>71</v>
      </c>
      <c r="D3877" t="s">
        <v>62</v>
      </c>
      <c r="E3877" t="s">
        <v>68</v>
      </c>
      <c r="F3877" t="s">
        <v>24</v>
      </c>
      <c r="G3877" s="4">
        <v>3</v>
      </c>
      <c r="I3877" s="4" t="s">
        <v>65</v>
      </c>
      <c r="J3877" s="4" t="s">
        <v>66</v>
      </c>
      <c r="K3877" s="4">
        <v>1</v>
      </c>
      <c r="L3877" s="94">
        <v>1115</v>
      </c>
      <c r="M3877" s="94">
        <v>3345</v>
      </c>
    </row>
    <row r="3878" spans="3:13" x14ac:dyDescent="0.3">
      <c r="C3878" t="s">
        <v>61</v>
      </c>
      <c r="D3878" t="s">
        <v>67</v>
      </c>
      <c r="E3878" t="s">
        <v>68</v>
      </c>
      <c r="F3878" t="s">
        <v>26</v>
      </c>
      <c r="G3878" s="4">
        <v>0</v>
      </c>
      <c r="H3878" s="4" t="s">
        <v>14</v>
      </c>
      <c r="I3878" s="4" t="s">
        <v>69</v>
      </c>
      <c r="J3878" s="4" t="s">
        <v>73</v>
      </c>
      <c r="K3878" s="4">
        <v>1</v>
      </c>
      <c r="L3878" s="94">
        <v>376235114</v>
      </c>
      <c r="M3878" s="94">
        <v>0</v>
      </c>
    </row>
    <row r="3879" spans="3:13" x14ac:dyDescent="0.3">
      <c r="C3879" t="s">
        <v>61</v>
      </c>
      <c r="D3879" t="s">
        <v>67</v>
      </c>
      <c r="E3879" t="s">
        <v>63</v>
      </c>
      <c r="F3879" t="s">
        <v>72</v>
      </c>
      <c r="G3879" s="4">
        <v>3</v>
      </c>
      <c r="H3879" s="4" t="s">
        <v>18</v>
      </c>
      <c r="I3879" s="4" t="s">
        <v>69</v>
      </c>
      <c r="J3879" s="4" t="s">
        <v>66</v>
      </c>
      <c r="K3879" s="4">
        <v>0</v>
      </c>
      <c r="L3879" s="94">
        <v>-25659</v>
      </c>
      <c r="M3879" s="94">
        <v>0</v>
      </c>
    </row>
    <row r="3880" spans="3:13" x14ac:dyDescent="0.3">
      <c r="C3880" t="s">
        <v>61</v>
      </c>
      <c r="D3880" t="s">
        <v>67</v>
      </c>
      <c r="E3880" t="s">
        <v>68</v>
      </c>
      <c r="F3880" t="s">
        <v>72</v>
      </c>
      <c r="G3880" s="4">
        <v>-1</v>
      </c>
      <c r="H3880" s="4" t="s">
        <v>82</v>
      </c>
      <c r="I3880" s="4" t="s">
        <v>69</v>
      </c>
      <c r="J3880" s="4" t="s">
        <v>66</v>
      </c>
      <c r="K3880" s="4">
        <v>0</v>
      </c>
      <c r="L3880" s="94">
        <v>267677</v>
      </c>
      <c r="M3880" s="94">
        <v>0</v>
      </c>
    </row>
    <row r="3881" spans="3:13" x14ac:dyDescent="0.3">
      <c r="C3881" t="s">
        <v>70</v>
      </c>
      <c r="D3881" t="s">
        <v>62</v>
      </c>
      <c r="E3881" t="s">
        <v>68</v>
      </c>
      <c r="F3881" t="s">
        <v>24</v>
      </c>
      <c r="G3881" s="4">
        <v>13</v>
      </c>
      <c r="I3881" s="4" t="s">
        <v>69</v>
      </c>
      <c r="J3881" s="4" t="s">
        <v>66</v>
      </c>
      <c r="K3881" s="4">
        <v>1</v>
      </c>
      <c r="L3881" s="94">
        <v>151186</v>
      </c>
      <c r="M3881" s="94">
        <v>1965418</v>
      </c>
    </row>
    <row r="3882" spans="3:13" x14ac:dyDescent="0.3">
      <c r="C3882" t="s">
        <v>61</v>
      </c>
      <c r="D3882" t="s">
        <v>67</v>
      </c>
      <c r="E3882" t="s">
        <v>68</v>
      </c>
      <c r="F3882" t="s">
        <v>26</v>
      </c>
      <c r="G3882" s="4">
        <v>0</v>
      </c>
      <c r="H3882" s="4" t="s">
        <v>15</v>
      </c>
      <c r="I3882" s="4" t="s">
        <v>65</v>
      </c>
      <c r="J3882" s="4" t="s">
        <v>66</v>
      </c>
      <c r="K3882" s="4">
        <v>1</v>
      </c>
      <c r="L3882" s="94">
        <v>33663</v>
      </c>
      <c r="M3882" s="94">
        <v>0</v>
      </c>
    </row>
    <row r="3883" spans="3:13" x14ac:dyDescent="0.3">
      <c r="C3883" t="s">
        <v>70</v>
      </c>
      <c r="D3883" t="s">
        <v>67</v>
      </c>
      <c r="E3883" t="s">
        <v>68</v>
      </c>
      <c r="F3883" t="s">
        <v>26</v>
      </c>
      <c r="G3883" s="4">
        <v>4</v>
      </c>
      <c r="H3883" s="4" t="s">
        <v>82</v>
      </c>
      <c r="I3883" s="4" t="s">
        <v>69</v>
      </c>
      <c r="J3883" s="4" t="s">
        <v>66</v>
      </c>
      <c r="K3883" s="4">
        <v>0</v>
      </c>
      <c r="L3883" s="94">
        <v>3051087</v>
      </c>
      <c r="M3883" s="94">
        <v>12204348</v>
      </c>
    </row>
    <row r="3884" spans="3:13" x14ac:dyDescent="0.3">
      <c r="C3884" t="s">
        <v>70</v>
      </c>
      <c r="D3884" t="s">
        <v>67</v>
      </c>
      <c r="E3884" t="s">
        <v>63</v>
      </c>
      <c r="F3884" t="s">
        <v>72</v>
      </c>
      <c r="G3884" s="4">
        <v>7</v>
      </c>
      <c r="H3884" s="4" t="s">
        <v>79</v>
      </c>
      <c r="I3884" s="4" t="s">
        <v>69</v>
      </c>
      <c r="J3884" s="4" t="s">
        <v>66</v>
      </c>
      <c r="K3884" s="4">
        <v>0</v>
      </c>
      <c r="L3884" s="94">
        <v>-11986</v>
      </c>
      <c r="M3884" s="94">
        <v>0</v>
      </c>
    </row>
    <row r="3885" spans="3:13" x14ac:dyDescent="0.3">
      <c r="C3885" t="s">
        <v>70</v>
      </c>
      <c r="D3885" t="s">
        <v>67</v>
      </c>
      <c r="E3885" t="s">
        <v>63</v>
      </c>
      <c r="F3885" t="s">
        <v>25</v>
      </c>
      <c r="G3885" s="4">
        <v>2</v>
      </c>
      <c r="H3885" s="4" t="s">
        <v>16</v>
      </c>
      <c r="I3885" s="4" t="s">
        <v>69</v>
      </c>
      <c r="J3885" s="4" t="s">
        <v>66</v>
      </c>
      <c r="K3885" s="4">
        <v>0</v>
      </c>
      <c r="L3885" s="94">
        <v>-333</v>
      </c>
      <c r="M3885" s="94">
        <v>0</v>
      </c>
    </row>
    <row r="3886" spans="3:13" x14ac:dyDescent="0.3">
      <c r="C3886" t="s">
        <v>61</v>
      </c>
      <c r="D3886" t="s">
        <v>67</v>
      </c>
      <c r="E3886" t="s">
        <v>68</v>
      </c>
      <c r="F3886" t="s">
        <v>26</v>
      </c>
      <c r="G3886" s="4">
        <v>1</v>
      </c>
      <c r="H3886" s="4" t="s">
        <v>87</v>
      </c>
      <c r="I3886" s="4" t="s">
        <v>69</v>
      </c>
      <c r="J3886" s="4" t="s">
        <v>66</v>
      </c>
      <c r="K3886" s="4">
        <v>0</v>
      </c>
      <c r="L3886" s="94">
        <v>29159047</v>
      </c>
      <c r="M3886" s="94">
        <v>29159047</v>
      </c>
    </row>
    <row r="3887" spans="3:13" x14ac:dyDescent="0.3">
      <c r="C3887" t="s">
        <v>61</v>
      </c>
      <c r="D3887" t="s">
        <v>67</v>
      </c>
      <c r="E3887" t="s">
        <v>68</v>
      </c>
      <c r="F3887" t="s">
        <v>72</v>
      </c>
      <c r="G3887" s="4">
        <v>4</v>
      </c>
      <c r="H3887" s="4" t="s">
        <v>81</v>
      </c>
      <c r="I3887" s="4" t="s">
        <v>69</v>
      </c>
      <c r="J3887" s="4" t="s">
        <v>66</v>
      </c>
      <c r="K3887" s="4">
        <v>0</v>
      </c>
      <c r="L3887" s="94">
        <v>45555</v>
      </c>
      <c r="M3887" s="94">
        <v>182220</v>
      </c>
    </row>
    <row r="3888" spans="3:13" x14ac:dyDescent="0.3">
      <c r="C3888" t="s">
        <v>70</v>
      </c>
      <c r="D3888" t="s">
        <v>67</v>
      </c>
      <c r="E3888" t="s">
        <v>63</v>
      </c>
      <c r="F3888" t="s">
        <v>72</v>
      </c>
      <c r="G3888" s="4">
        <v>5</v>
      </c>
      <c r="H3888" s="4" t="s">
        <v>76</v>
      </c>
      <c r="I3888" s="4" t="s">
        <v>69</v>
      </c>
      <c r="J3888" s="4" t="s">
        <v>66</v>
      </c>
      <c r="K3888" s="4">
        <v>0</v>
      </c>
      <c r="L3888" s="94">
        <v>-45100</v>
      </c>
      <c r="M3888" s="94">
        <v>0</v>
      </c>
    </row>
    <row r="3889" spans="3:13" x14ac:dyDescent="0.3">
      <c r="C3889" t="s">
        <v>61</v>
      </c>
      <c r="D3889" t="s">
        <v>62</v>
      </c>
      <c r="E3889" t="s">
        <v>68</v>
      </c>
      <c r="F3889" t="s">
        <v>25</v>
      </c>
      <c r="G3889" s="4">
        <v>7</v>
      </c>
      <c r="I3889" s="4" t="s">
        <v>69</v>
      </c>
      <c r="J3889" s="4" t="s">
        <v>66</v>
      </c>
      <c r="K3889" s="4">
        <v>0</v>
      </c>
      <c r="L3889" s="94">
        <v>3788043</v>
      </c>
      <c r="M3889" s="94">
        <v>26516301</v>
      </c>
    </row>
    <row r="3890" spans="3:13" x14ac:dyDescent="0.3">
      <c r="C3890" t="s">
        <v>71</v>
      </c>
      <c r="D3890" t="s">
        <v>67</v>
      </c>
      <c r="E3890" t="s">
        <v>63</v>
      </c>
      <c r="F3890" t="s">
        <v>25</v>
      </c>
      <c r="G3890" s="4">
        <v>2</v>
      </c>
      <c r="H3890" s="4" t="s">
        <v>64</v>
      </c>
      <c r="I3890" s="4" t="s">
        <v>69</v>
      </c>
      <c r="J3890" s="4" t="s">
        <v>66</v>
      </c>
      <c r="K3890" s="4">
        <v>0</v>
      </c>
      <c r="L3890" s="94">
        <v>-633976</v>
      </c>
      <c r="M3890" s="94">
        <v>0</v>
      </c>
    </row>
    <row r="3891" spans="3:13" x14ac:dyDescent="0.3">
      <c r="C3891" t="s">
        <v>70</v>
      </c>
      <c r="D3891" t="s">
        <v>67</v>
      </c>
      <c r="E3891" t="s">
        <v>63</v>
      </c>
      <c r="F3891" t="s">
        <v>26</v>
      </c>
      <c r="G3891" s="4">
        <v>4</v>
      </c>
      <c r="H3891" s="4" t="s">
        <v>17</v>
      </c>
      <c r="I3891" s="4" t="s">
        <v>65</v>
      </c>
      <c r="J3891" s="4" t="s">
        <v>73</v>
      </c>
      <c r="K3891" s="4">
        <v>1</v>
      </c>
      <c r="L3891" s="94">
        <v>-19920</v>
      </c>
      <c r="M3891" s="94">
        <v>0</v>
      </c>
    </row>
    <row r="3892" spans="3:13" x14ac:dyDescent="0.3">
      <c r="C3892" t="s">
        <v>70</v>
      </c>
      <c r="D3892" t="s">
        <v>67</v>
      </c>
      <c r="E3892" t="s">
        <v>63</v>
      </c>
      <c r="F3892" t="s">
        <v>72</v>
      </c>
      <c r="G3892" s="4">
        <v>3</v>
      </c>
      <c r="H3892" s="4" t="s">
        <v>76</v>
      </c>
      <c r="I3892" s="4" t="s">
        <v>69</v>
      </c>
      <c r="J3892" s="4" t="s">
        <v>66</v>
      </c>
      <c r="K3892" s="4">
        <v>0</v>
      </c>
      <c r="L3892" s="94">
        <v>-16232</v>
      </c>
      <c r="M3892" s="94">
        <v>0</v>
      </c>
    </row>
    <row r="3893" spans="3:13" x14ac:dyDescent="0.3">
      <c r="C3893" t="s">
        <v>61</v>
      </c>
      <c r="D3893" t="s">
        <v>67</v>
      </c>
      <c r="E3893" t="s">
        <v>63</v>
      </c>
      <c r="F3893" t="s">
        <v>25</v>
      </c>
      <c r="G3893" s="4">
        <v>13</v>
      </c>
      <c r="H3893" s="4" t="s">
        <v>18</v>
      </c>
      <c r="I3893" s="4" t="s">
        <v>69</v>
      </c>
      <c r="J3893" s="4" t="s">
        <v>66</v>
      </c>
      <c r="K3893" s="4">
        <v>0</v>
      </c>
      <c r="L3893" s="94">
        <v>-2962</v>
      </c>
      <c r="M3893" s="94">
        <v>0</v>
      </c>
    </row>
    <row r="3894" spans="3:13" x14ac:dyDescent="0.3">
      <c r="C3894" t="s">
        <v>71</v>
      </c>
      <c r="D3894" t="s">
        <v>67</v>
      </c>
      <c r="E3894" t="s">
        <v>68</v>
      </c>
      <c r="F3894" t="s">
        <v>26</v>
      </c>
      <c r="G3894" s="4">
        <v>4</v>
      </c>
      <c r="H3894" s="4" t="s">
        <v>17</v>
      </c>
      <c r="I3894" s="4" t="s">
        <v>65</v>
      </c>
      <c r="J3894" s="4" t="s">
        <v>66</v>
      </c>
      <c r="K3894" s="4">
        <v>1</v>
      </c>
      <c r="L3894" s="94">
        <v>64798</v>
      </c>
      <c r="M3894" s="94">
        <v>259192</v>
      </c>
    </row>
    <row r="3895" spans="3:13" x14ac:dyDescent="0.3">
      <c r="C3895" t="s">
        <v>70</v>
      </c>
      <c r="D3895" t="s">
        <v>62</v>
      </c>
      <c r="E3895" t="s">
        <v>68</v>
      </c>
      <c r="F3895" t="s">
        <v>25</v>
      </c>
      <c r="G3895" s="4">
        <v>17</v>
      </c>
      <c r="I3895" s="4" t="s">
        <v>69</v>
      </c>
      <c r="J3895" s="4" t="s">
        <v>66</v>
      </c>
      <c r="K3895" s="4">
        <v>0</v>
      </c>
      <c r="L3895" s="94">
        <v>678281</v>
      </c>
      <c r="M3895" s="94">
        <v>11530777</v>
      </c>
    </row>
    <row r="3896" spans="3:13" x14ac:dyDescent="0.3">
      <c r="C3896" t="s">
        <v>70</v>
      </c>
      <c r="D3896" t="s">
        <v>67</v>
      </c>
      <c r="E3896" t="s">
        <v>63</v>
      </c>
      <c r="F3896" t="s">
        <v>72</v>
      </c>
      <c r="G3896" s="4">
        <v>2</v>
      </c>
      <c r="H3896" s="4" t="s">
        <v>79</v>
      </c>
      <c r="I3896" s="4" t="s">
        <v>69</v>
      </c>
      <c r="J3896" s="4" t="s">
        <v>66</v>
      </c>
      <c r="K3896" s="4">
        <v>0</v>
      </c>
      <c r="L3896" s="94">
        <v>-46092</v>
      </c>
      <c r="M3896" s="94">
        <v>0</v>
      </c>
    </row>
    <row r="3897" spans="3:13" x14ac:dyDescent="0.3">
      <c r="C3897" t="s">
        <v>71</v>
      </c>
      <c r="D3897" t="s">
        <v>62</v>
      </c>
      <c r="E3897" t="s">
        <v>68</v>
      </c>
      <c r="F3897" t="s">
        <v>24</v>
      </c>
      <c r="G3897" s="4">
        <v>36</v>
      </c>
      <c r="I3897" s="4" t="s">
        <v>69</v>
      </c>
      <c r="J3897" s="4" t="s">
        <v>66</v>
      </c>
      <c r="K3897" s="4">
        <v>0</v>
      </c>
      <c r="L3897" s="94">
        <v>11688431</v>
      </c>
      <c r="M3897" s="94">
        <v>420783516</v>
      </c>
    </row>
    <row r="3898" spans="3:13" x14ac:dyDescent="0.3">
      <c r="C3898" t="s">
        <v>71</v>
      </c>
      <c r="D3898" t="s">
        <v>62</v>
      </c>
      <c r="E3898" t="s">
        <v>63</v>
      </c>
      <c r="F3898" t="s">
        <v>25</v>
      </c>
      <c r="G3898" s="4">
        <v>-4</v>
      </c>
      <c r="I3898" s="4" t="s">
        <v>69</v>
      </c>
      <c r="J3898" s="4" t="s">
        <v>66</v>
      </c>
      <c r="K3898" s="4">
        <v>0</v>
      </c>
      <c r="L3898" s="94">
        <v>-1194244</v>
      </c>
      <c r="M3898" s="94">
        <v>0</v>
      </c>
    </row>
    <row r="3899" spans="3:13" x14ac:dyDescent="0.3">
      <c r="C3899" t="s">
        <v>71</v>
      </c>
      <c r="D3899" t="s">
        <v>67</v>
      </c>
      <c r="E3899" t="s">
        <v>63</v>
      </c>
      <c r="F3899" t="s">
        <v>26</v>
      </c>
      <c r="G3899" s="4">
        <v>5</v>
      </c>
      <c r="H3899" s="4" t="s">
        <v>75</v>
      </c>
      <c r="I3899" s="4" t="s">
        <v>69</v>
      </c>
      <c r="J3899" s="4" t="s">
        <v>66</v>
      </c>
      <c r="K3899" s="4">
        <v>0</v>
      </c>
      <c r="L3899" s="94">
        <v>-119093</v>
      </c>
      <c r="M3899" s="94">
        <v>0</v>
      </c>
    </row>
    <row r="3900" spans="3:13" x14ac:dyDescent="0.3">
      <c r="C3900" t="s">
        <v>71</v>
      </c>
      <c r="D3900" t="s">
        <v>67</v>
      </c>
      <c r="E3900" t="s">
        <v>63</v>
      </c>
      <c r="F3900" t="s">
        <v>25</v>
      </c>
      <c r="G3900" s="4">
        <v>3</v>
      </c>
      <c r="H3900" s="4" t="s">
        <v>76</v>
      </c>
      <c r="I3900" s="4" t="s">
        <v>65</v>
      </c>
      <c r="J3900" s="4" t="s">
        <v>66</v>
      </c>
      <c r="K3900" s="4">
        <v>1</v>
      </c>
      <c r="L3900" s="94">
        <v>-10574</v>
      </c>
      <c r="M3900" s="94">
        <v>0</v>
      </c>
    </row>
    <row r="3901" spans="3:13" x14ac:dyDescent="0.3">
      <c r="C3901" t="s">
        <v>61</v>
      </c>
      <c r="D3901" t="s">
        <v>67</v>
      </c>
      <c r="E3901" t="s">
        <v>68</v>
      </c>
      <c r="F3901" t="s">
        <v>25</v>
      </c>
      <c r="G3901" s="4">
        <v>2</v>
      </c>
      <c r="H3901" s="4" t="s">
        <v>64</v>
      </c>
      <c r="I3901" s="4" t="s">
        <v>69</v>
      </c>
      <c r="J3901" s="4" t="s">
        <v>66</v>
      </c>
      <c r="K3901" s="4">
        <v>0</v>
      </c>
      <c r="L3901" s="94">
        <v>660061</v>
      </c>
      <c r="M3901" s="94">
        <v>1320122</v>
      </c>
    </row>
    <row r="3902" spans="3:13" x14ac:dyDescent="0.3">
      <c r="C3902" t="s">
        <v>61</v>
      </c>
      <c r="D3902" t="s">
        <v>67</v>
      </c>
      <c r="E3902" t="s">
        <v>63</v>
      </c>
      <c r="F3902" t="s">
        <v>72</v>
      </c>
      <c r="G3902" s="4">
        <v>5</v>
      </c>
      <c r="H3902" s="4" t="s">
        <v>18</v>
      </c>
      <c r="I3902" s="4" t="s">
        <v>69</v>
      </c>
      <c r="J3902" s="4" t="s">
        <v>66</v>
      </c>
      <c r="K3902" s="4">
        <v>0</v>
      </c>
      <c r="L3902" s="94">
        <v>-19802</v>
      </c>
      <c r="M3902" s="94">
        <v>0</v>
      </c>
    </row>
    <row r="3903" spans="3:13" x14ac:dyDescent="0.3">
      <c r="C3903" t="s">
        <v>71</v>
      </c>
      <c r="D3903" t="s">
        <v>67</v>
      </c>
      <c r="E3903" t="s">
        <v>68</v>
      </c>
      <c r="F3903" t="s">
        <v>26</v>
      </c>
      <c r="G3903" s="4">
        <v>4</v>
      </c>
      <c r="H3903" s="4" t="s">
        <v>12</v>
      </c>
      <c r="I3903" s="4" t="s">
        <v>69</v>
      </c>
      <c r="J3903" s="4" t="s">
        <v>73</v>
      </c>
      <c r="K3903" s="4">
        <v>1</v>
      </c>
      <c r="L3903" s="94">
        <v>11548</v>
      </c>
      <c r="M3903" s="94">
        <v>46192</v>
      </c>
    </row>
    <row r="3904" spans="3:13" x14ac:dyDescent="0.3">
      <c r="C3904" t="s">
        <v>71</v>
      </c>
      <c r="D3904" t="s">
        <v>67</v>
      </c>
      <c r="E3904" t="s">
        <v>68</v>
      </c>
      <c r="F3904" t="s">
        <v>25</v>
      </c>
      <c r="G3904" s="4">
        <v>4</v>
      </c>
      <c r="H3904" s="4" t="s">
        <v>75</v>
      </c>
      <c r="I3904" s="4" t="s">
        <v>69</v>
      </c>
      <c r="J3904" s="4" t="s">
        <v>66</v>
      </c>
      <c r="K3904" s="4">
        <v>0</v>
      </c>
      <c r="L3904" s="94">
        <v>4021532</v>
      </c>
      <c r="M3904" s="94">
        <v>16086128</v>
      </c>
    </row>
    <row r="3905" spans="3:13" x14ac:dyDescent="0.3">
      <c r="C3905" t="s">
        <v>61</v>
      </c>
      <c r="D3905" t="s">
        <v>67</v>
      </c>
      <c r="E3905" t="s">
        <v>68</v>
      </c>
      <c r="F3905" t="s">
        <v>26</v>
      </c>
      <c r="G3905" s="4">
        <v>-1</v>
      </c>
      <c r="H3905" s="4" t="s">
        <v>15</v>
      </c>
      <c r="I3905" s="4" t="s">
        <v>69</v>
      </c>
      <c r="J3905" s="4" t="s">
        <v>73</v>
      </c>
      <c r="K3905" s="4">
        <v>1</v>
      </c>
      <c r="L3905" s="94">
        <v>7787994</v>
      </c>
      <c r="M3905" s="94">
        <v>0</v>
      </c>
    </row>
    <row r="3906" spans="3:13" x14ac:dyDescent="0.3">
      <c r="C3906" t="s">
        <v>70</v>
      </c>
      <c r="D3906" t="s">
        <v>62</v>
      </c>
      <c r="E3906" t="s">
        <v>63</v>
      </c>
      <c r="F3906" t="s">
        <v>24</v>
      </c>
      <c r="G3906" s="4">
        <v>3</v>
      </c>
      <c r="I3906" s="4" t="s">
        <v>65</v>
      </c>
      <c r="J3906" s="4" t="s">
        <v>66</v>
      </c>
      <c r="K3906" s="4">
        <v>1</v>
      </c>
      <c r="L3906" s="94">
        <v>-9</v>
      </c>
      <c r="M3906" s="94">
        <v>0</v>
      </c>
    </row>
    <row r="3907" spans="3:13" x14ac:dyDescent="0.3">
      <c r="C3907" t="s">
        <v>61</v>
      </c>
      <c r="D3907" t="s">
        <v>67</v>
      </c>
      <c r="E3907" t="s">
        <v>63</v>
      </c>
      <c r="F3907" t="s">
        <v>25</v>
      </c>
      <c r="G3907" s="4">
        <v>10</v>
      </c>
      <c r="H3907" s="4" t="s">
        <v>75</v>
      </c>
      <c r="I3907" s="4" t="s">
        <v>65</v>
      </c>
      <c r="J3907" s="4" t="s">
        <v>66</v>
      </c>
      <c r="K3907" s="4">
        <v>1</v>
      </c>
      <c r="L3907" s="94">
        <v>-929</v>
      </c>
      <c r="M3907" s="94">
        <v>0</v>
      </c>
    </row>
    <row r="3908" spans="3:13" x14ac:dyDescent="0.3">
      <c r="C3908" t="s">
        <v>71</v>
      </c>
      <c r="D3908" t="s">
        <v>67</v>
      </c>
      <c r="E3908" t="s">
        <v>63</v>
      </c>
      <c r="F3908" t="s">
        <v>26</v>
      </c>
      <c r="G3908" s="4">
        <v>1</v>
      </c>
      <c r="H3908" s="4" t="s">
        <v>17</v>
      </c>
      <c r="I3908" s="4" t="s">
        <v>69</v>
      </c>
      <c r="J3908" s="4" t="s">
        <v>73</v>
      </c>
      <c r="K3908" s="4">
        <v>1</v>
      </c>
      <c r="L3908" s="94">
        <v>-34261</v>
      </c>
      <c r="M3908" s="94">
        <v>0</v>
      </c>
    </row>
    <row r="3909" spans="3:13" x14ac:dyDescent="0.3">
      <c r="C3909" t="s">
        <v>61</v>
      </c>
      <c r="D3909" t="s">
        <v>67</v>
      </c>
      <c r="E3909" t="s">
        <v>68</v>
      </c>
      <c r="F3909" t="s">
        <v>72</v>
      </c>
      <c r="G3909" s="4">
        <v>7</v>
      </c>
      <c r="H3909" s="4" t="s">
        <v>74</v>
      </c>
      <c r="I3909" s="4" t="s">
        <v>69</v>
      </c>
      <c r="J3909" s="4" t="s">
        <v>66</v>
      </c>
      <c r="K3909" s="4">
        <v>0</v>
      </c>
      <c r="L3909" s="94">
        <v>223276</v>
      </c>
      <c r="M3909" s="94">
        <v>1562932</v>
      </c>
    </row>
    <row r="3910" spans="3:13" x14ac:dyDescent="0.3">
      <c r="C3910" t="s">
        <v>61</v>
      </c>
      <c r="D3910" t="s">
        <v>67</v>
      </c>
      <c r="E3910" t="s">
        <v>68</v>
      </c>
      <c r="F3910" t="s">
        <v>26</v>
      </c>
      <c r="G3910" s="4">
        <v>-1</v>
      </c>
      <c r="H3910" s="4" t="s">
        <v>14</v>
      </c>
      <c r="I3910" s="4" t="s">
        <v>65</v>
      </c>
      <c r="J3910" s="4" t="s">
        <v>66</v>
      </c>
      <c r="K3910" s="4">
        <v>1</v>
      </c>
      <c r="L3910" s="94">
        <v>69796</v>
      </c>
      <c r="M3910" s="94">
        <v>0</v>
      </c>
    </row>
    <row r="3911" spans="3:13" x14ac:dyDescent="0.3">
      <c r="C3911" t="s">
        <v>71</v>
      </c>
      <c r="D3911" t="s">
        <v>67</v>
      </c>
      <c r="E3911" t="s">
        <v>63</v>
      </c>
      <c r="F3911" t="s">
        <v>25</v>
      </c>
      <c r="G3911" s="4">
        <v>5</v>
      </c>
      <c r="H3911" s="4" t="s">
        <v>17</v>
      </c>
      <c r="I3911" s="4" t="s">
        <v>69</v>
      </c>
      <c r="J3911" s="4" t="s">
        <v>66</v>
      </c>
      <c r="K3911" s="4">
        <v>0</v>
      </c>
      <c r="L3911" s="94">
        <v>-69244</v>
      </c>
      <c r="M3911" s="94">
        <v>0</v>
      </c>
    </row>
    <row r="3912" spans="3:13" x14ac:dyDescent="0.3">
      <c r="C3912" t="s">
        <v>71</v>
      </c>
      <c r="D3912" t="s">
        <v>67</v>
      </c>
      <c r="E3912" t="s">
        <v>68</v>
      </c>
      <c r="F3912" t="s">
        <v>26</v>
      </c>
      <c r="G3912" s="4">
        <v>21</v>
      </c>
      <c r="H3912" s="4" t="s">
        <v>64</v>
      </c>
      <c r="I3912" s="4" t="s">
        <v>69</v>
      </c>
      <c r="J3912" s="4" t="s">
        <v>66</v>
      </c>
      <c r="K3912" s="4">
        <v>0</v>
      </c>
      <c r="L3912" s="94">
        <v>4442523</v>
      </c>
      <c r="M3912" s="94">
        <v>93292983</v>
      </c>
    </row>
    <row r="3913" spans="3:13" x14ac:dyDescent="0.3">
      <c r="C3913" t="s">
        <v>71</v>
      </c>
      <c r="D3913" t="s">
        <v>62</v>
      </c>
      <c r="E3913" t="s">
        <v>63</v>
      </c>
      <c r="F3913" t="s">
        <v>24</v>
      </c>
      <c r="G3913" s="4">
        <v>18</v>
      </c>
      <c r="I3913" s="4" t="s">
        <v>69</v>
      </c>
      <c r="J3913" s="4" t="s">
        <v>66</v>
      </c>
      <c r="K3913" s="4">
        <v>0</v>
      </c>
      <c r="L3913" s="94">
        <v>-1774164</v>
      </c>
      <c r="M3913" s="94">
        <v>0</v>
      </c>
    </row>
    <row r="3914" spans="3:13" x14ac:dyDescent="0.3">
      <c r="C3914" t="s">
        <v>70</v>
      </c>
      <c r="D3914" t="s">
        <v>67</v>
      </c>
      <c r="E3914" t="s">
        <v>68</v>
      </c>
      <c r="F3914" t="s">
        <v>25</v>
      </c>
      <c r="G3914" s="4">
        <v>6</v>
      </c>
      <c r="H3914" s="4" t="s">
        <v>74</v>
      </c>
      <c r="I3914" s="4" t="s">
        <v>69</v>
      </c>
      <c r="J3914" s="4" t="s">
        <v>66</v>
      </c>
      <c r="K3914" s="4">
        <v>0</v>
      </c>
      <c r="L3914" s="94">
        <v>744529</v>
      </c>
      <c r="M3914" s="94">
        <v>4467174</v>
      </c>
    </row>
    <row r="3915" spans="3:13" x14ac:dyDescent="0.3">
      <c r="C3915" t="s">
        <v>70</v>
      </c>
      <c r="D3915" t="s">
        <v>67</v>
      </c>
      <c r="E3915" t="s">
        <v>68</v>
      </c>
      <c r="F3915" t="s">
        <v>72</v>
      </c>
      <c r="G3915" s="4">
        <v>-4</v>
      </c>
      <c r="H3915" s="4" t="s">
        <v>82</v>
      </c>
      <c r="I3915" s="4" t="s">
        <v>69</v>
      </c>
      <c r="J3915" s="4" t="s">
        <v>66</v>
      </c>
      <c r="K3915" s="4">
        <v>0</v>
      </c>
      <c r="L3915" s="94">
        <v>14335</v>
      </c>
      <c r="M3915" s="94">
        <v>0</v>
      </c>
    </row>
    <row r="3916" spans="3:13" x14ac:dyDescent="0.3">
      <c r="C3916" t="s">
        <v>61</v>
      </c>
      <c r="D3916" t="s">
        <v>62</v>
      </c>
      <c r="E3916" t="s">
        <v>68</v>
      </c>
      <c r="F3916" t="s">
        <v>24</v>
      </c>
      <c r="G3916" s="4">
        <v>-4</v>
      </c>
      <c r="I3916" s="4" t="s">
        <v>69</v>
      </c>
      <c r="J3916" s="4" t="s">
        <v>66</v>
      </c>
      <c r="K3916" s="4">
        <v>0</v>
      </c>
      <c r="L3916" s="94">
        <v>59574</v>
      </c>
      <c r="M3916" s="94">
        <v>0</v>
      </c>
    </row>
    <row r="3917" spans="3:13" x14ac:dyDescent="0.3">
      <c r="C3917" t="s">
        <v>61</v>
      </c>
      <c r="D3917" t="s">
        <v>67</v>
      </c>
      <c r="E3917" t="s">
        <v>63</v>
      </c>
      <c r="F3917" t="s">
        <v>26</v>
      </c>
      <c r="G3917" s="4">
        <v>1</v>
      </c>
      <c r="H3917" s="4" t="s">
        <v>14</v>
      </c>
      <c r="I3917" s="4" t="s">
        <v>65</v>
      </c>
      <c r="J3917" s="4" t="s">
        <v>66</v>
      </c>
      <c r="K3917" s="4">
        <v>1</v>
      </c>
      <c r="L3917" s="94">
        <v>-502</v>
      </c>
      <c r="M3917" s="94">
        <v>0</v>
      </c>
    </row>
    <row r="3918" spans="3:13" x14ac:dyDescent="0.3">
      <c r="C3918" t="s">
        <v>61</v>
      </c>
      <c r="D3918" t="s">
        <v>67</v>
      </c>
      <c r="E3918" t="s">
        <v>63</v>
      </c>
      <c r="F3918" t="s">
        <v>26</v>
      </c>
      <c r="G3918" s="4">
        <v>4</v>
      </c>
      <c r="H3918" s="4" t="s">
        <v>18</v>
      </c>
      <c r="I3918" s="4" t="s">
        <v>69</v>
      </c>
      <c r="J3918" s="4" t="s">
        <v>73</v>
      </c>
      <c r="K3918" s="4">
        <v>1</v>
      </c>
      <c r="L3918" s="94">
        <v>-14038</v>
      </c>
      <c r="M3918" s="94">
        <v>0</v>
      </c>
    </row>
    <row r="3919" spans="3:13" x14ac:dyDescent="0.3">
      <c r="C3919" t="s">
        <v>70</v>
      </c>
      <c r="D3919" t="s">
        <v>67</v>
      </c>
      <c r="E3919" t="s">
        <v>63</v>
      </c>
      <c r="F3919" t="s">
        <v>72</v>
      </c>
      <c r="G3919" s="4">
        <v>5</v>
      </c>
      <c r="H3919" s="4" t="s">
        <v>18</v>
      </c>
      <c r="I3919" s="4" t="s">
        <v>69</v>
      </c>
      <c r="J3919" s="4" t="s">
        <v>66</v>
      </c>
      <c r="K3919" s="4">
        <v>0</v>
      </c>
      <c r="L3919" s="94">
        <v>-98057</v>
      </c>
      <c r="M3919" s="94">
        <v>0</v>
      </c>
    </row>
    <row r="3920" spans="3:13" x14ac:dyDescent="0.3">
      <c r="C3920" t="s">
        <v>61</v>
      </c>
      <c r="D3920" t="s">
        <v>67</v>
      </c>
      <c r="E3920" t="s">
        <v>68</v>
      </c>
      <c r="F3920" t="s">
        <v>25</v>
      </c>
      <c r="G3920" s="4">
        <v>9</v>
      </c>
      <c r="H3920" s="4" t="s">
        <v>14</v>
      </c>
      <c r="I3920" s="4" t="s">
        <v>69</v>
      </c>
      <c r="J3920" s="4" t="s">
        <v>66</v>
      </c>
      <c r="K3920" s="4">
        <v>0</v>
      </c>
      <c r="L3920" s="94">
        <v>5417755</v>
      </c>
      <c r="M3920" s="94">
        <v>48759795</v>
      </c>
    </row>
    <row r="3921" spans="3:13" x14ac:dyDescent="0.3">
      <c r="C3921" t="s">
        <v>70</v>
      </c>
      <c r="D3921" t="s">
        <v>67</v>
      </c>
      <c r="E3921" t="s">
        <v>68</v>
      </c>
      <c r="F3921" t="s">
        <v>25</v>
      </c>
      <c r="G3921" s="4">
        <v>1</v>
      </c>
      <c r="H3921" s="4" t="s">
        <v>77</v>
      </c>
      <c r="I3921" s="4" t="s">
        <v>69</v>
      </c>
      <c r="J3921" s="4" t="s">
        <v>66</v>
      </c>
      <c r="K3921" s="4">
        <v>0</v>
      </c>
      <c r="L3921" s="94">
        <v>12776</v>
      </c>
      <c r="M3921" s="94">
        <v>12776</v>
      </c>
    </row>
    <row r="3922" spans="3:13" x14ac:dyDescent="0.3">
      <c r="C3922" t="s">
        <v>61</v>
      </c>
      <c r="D3922" t="s">
        <v>62</v>
      </c>
      <c r="E3922" t="s">
        <v>63</v>
      </c>
      <c r="F3922" t="s">
        <v>25</v>
      </c>
      <c r="G3922" s="4">
        <v>13</v>
      </c>
      <c r="I3922" s="4" t="s">
        <v>69</v>
      </c>
      <c r="J3922" s="4" t="s">
        <v>66</v>
      </c>
      <c r="K3922" s="4">
        <v>0</v>
      </c>
      <c r="L3922" s="94">
        <v>-4860</v>
      </c>
      <c r="M3922" s="94">
        <v>0</v>
      </c>
    </row>
    <row r="3923" spans="3:13" x14ac:dyDescent="0.3">
      <c r="C3923" t="s">
        <v>61</v>
      </c>
      <c r="D3923" t="s">
        <v>67</v>
      </c>
      <c r="E3923" t="s">
        <v>63</v>
      </c>
      <c r="F3923" t="s">
        <v>26</v>
      </c>
      <c r="G3923" s="4">
        <v>1</v>
      </c>
      <c r="H3923" s="4" t="s">
        <v>15</v>
      </c>
      <c r="I3923" s="4" t="s">
        <v>69</v>
      </c>
      <c r="J3923" s="4" t="s">
        <v>73</v>
      </c>
      <c r="K3923" s="4">
        <v>1</v>
      </c>
      <c r="L3923" s="94">
        <v>-35524</v>
      </c>
      <c r="M3923" s="94">
        <v>0</v>
      </c>
    </row>
    <row r="3924" spans="3:13" x14ac:dyDescent="0.3">
      <c r="C3924" t="s">
        <v>61</v>
      </c>
      <c r="D3924" t="s">
        <v>67</v>
      </c>
      <c r="E3924" t="s">
        <v>63</v>
      </c>
      <c r="F3924" t="s">
        <v>72</v>
      </c>
      <c r="G3924" s="4">
        <v>2</v>
      </c>
      <c r="H3924" s="4" t="s">
        <v>79</v>
      </c>
      <c r="I3924" s="4" t="s">
        <v>69</v>
      </c>
      <c r="J3924" s="4" t="s">
        <v>66</v>
      </c>
      <c r="K3924" s="4">
        <v>0</v>
      </c>
      <c r="L3924" s="94">
        <v>-8355</v>
      </c>
      <c r="M3924" s="94">
        <v>0</v>
      </c>
    </row>
    <row r="3925" spans="3:13" x14ac:dyDescent="0.3">
      <c r="C3925" t="s">
        <v>70</v>
      </c>
      <c r="D3925" t="s">
        <v>67</v>
      </c>
      <c r="E3925" t="s">
        <v>63</v>
      </c>
      <c r="F3925" t="s">
        <v>25</v>
      </c>
      <c r="G3925" s="4">
        <v>7</v>
      </c>
      <c r="H3925" s="4" t="s">
        <v>78</v>
      </c>
      <c r="I3925" s="4" t="s">
        <v>69</v>
      </c>
      <c r="J3925" s="4" t="s">
        <v>66</v>
      </c>
      <c r="K3925" s="4">
        <v>0</v>
      </c>
      <c r="L3925" s="94">
        <v>-8373</v>
      </c>
      <c r="M3925" s="94">
        <v>0</v>
      </c>
    </row>
    <row r="3926" spans="3:13" x14ac:dyDescent="0.3">
      <c r="C3926" t="s">
        <v>70</v>
      </c>
      <c r="D3926" t="s">
        <v>67</v>
      </c>
      <c r="E3926" t="s">
        <v>63</v>
      </c>
      <c r="F3926" t="s">
        <v>25</v>
      </c>
      <c r="G3926" s="4">
        <v>1</v>
      </c>
      <c r="H3926" s="4" t="s">
        <v>18</v>
      </c>
      <c r="I3926" s="4" t="s">
        <v>69</v>
      </c>
      <c r="J3926" s="4" t="s">
        <v>66</v>
      </c>
      <c r="K3926" s="4">
        <v>1</v>
      </c>
      <c r="L3926" s="94">
        <v>-294</v>
      </c>
      <c r="M3926" s="94">
        <v>0</v>
      </c>
    </row>
    <row r="3927" spans="3:13" x14ac:dyDescent="0.3">
      <c r="C3927" t="s">
        <v>70</v>
      </c>
      <c r="D3927" t="s">
        <v>62</v>
      </c>
      <c r="E3927" t="s">
        <v>63</v>
      </c>
      <c r="F3927" t="s">
        <v>24</v>
      </c>
      <c r="G3927" s="4">
        <v>14</v>
      </c>
      <c r="I3927" s="4" t="s">
        <v>65</v>
      </c>
      <c r="J3927" s="4" t="s">
        <v>66</v>
      </c>
      <c r="K3927" s="4">
        <v>1</v>
      </c>
      <c r="L3927" s="94">
        <v>-5711</v>
      </c>
      <c r="M3927" s="94">
        <v>0</v>
      </c>
    </row>
    <row r="3928" spans="3:13" x14ac:dyDescent="0.3">
      <c r="C3928" t="s">
        <v>71</v>
      </c>
      <c r="D3928" t="s">
        <v>62</v>
      </c>
      <c r="E3928" t="s">
        <v>68</v>
      </c>
      <c r="F3928" t="s">
        <v>24</v>
      </c>
      <c r="G3928" s="4">
        <v>25</v>
      </c>
      <c r="I3928" s="4" t="s">
        <v>69</v>
      </c>
      <c r="J3928" s="4" t="s">
        <v>66</v>
      </c>
      <c r="K3928" s="4">
        <v>0</v>
      </c>
      <c r="L3928" s="94">
        <v>10823019</v>
      </c>
      <c r="M3928" s="94">
        <v>270575475</v>
      </c>
    </row>
    <row r="3929" spans="3:13" x14ac:dyDescent="0.3">
      <c r="C3929" t="s">
        <v>61</v>
      </c>
      <c r="D3929" t="s">
        <v>67</v>
      </c>
      <c r="E3929" t="s">
        <v>63</v>
      </c>
      <c r="F3929" t="s">
        <v>26</v>
      </c>
      <c r="G3929" s="4">
        <v>5</v>
      </c>
      <c r="H3929" s="4" t="s">
        <v>64</v>
      </c>
      <c r="I3929" s="4" t="s">
        <v>69</v>
      </c>
      <c r="J3929" s="4" t="s">
        <v>66</v>
      </c>
      <c r="K3929" s="4">
        <v>0</v>
      </c>
      <c r="L3929" s="94">
        <v>-2456</v>
      </c>
      <c r="M3929" s="94">
        <v>0</v>
      </c>
    </row>
    <row r="3930" spans="3:13" x14ac:dyDescent="0.3">
      <c r="C3930" t="s">
        <v>61</v>
      </c>
      <c r="D3930" t="s">
        <v>62</v>
      </c>
      <c r="E3930" t="s">
        <v>63</v>
      </c>
      <c r="F3930" t="s">
        <v>24</v>
      </c>
      <c r="G3930" s="4">
        <v>26</v>
      </c>
      <c r="I3930" s="4" t="s">
        <v>69</v>
      </c>
      <c r="J3930" s="4" t="s">
        <v>66</v>
      </c>
      <c r="K3930" s="4">
        <v>0</v>
      </c>
      <c r="L3930" s="94">
        <v>-399150</v>
      </c>
      <c r="M3930" s="94">
        <v>0</v>
      </c>
    </row>
    <row r="3931" spans="3:13" x14ac:dyDescent="0.3">
      <c r="C3931" t="s">
        <v>61</v>
      </c>
      <c r="D3931" t="s">
        <v>67</v>
      </c>
      <c r="E3931" t="s">
        <v>63</v>
      </c>
      <c r="F3931" t="s">
        <v>25</v>
      </c>
      <c r="G3931" s="4">
        <v>8</v>
      </c>
      <c r="H3931" s="4" t="s">
        <v>12</v>
      </c>
      <c r="I3931" s="4" t="s">
        <v>69</v>
      </c>
      <c r="J3931" s="4" t="s">
        <v>66</v>
      </c>
      <c r="K3931" s="4">
        <v>1</v>
      </c>
      <c r="L3931" s="94">
        <v>-7838</v>
      </c>
      <c r="M3931" s="94">
        <v>0</v>
      </c>
    </row>
    <row r="3932" spans="3:13" x14ac:dyDescent="0.3">
      <c r="C3932" t="s">
        <v>70</v>
      </c>
      <c r="D3932" t="s">
        <v>67</v>
      </c>
      <c r="E3932" t="s">
        <v>68</v>
      </c>
      <c r="F3932" t="s">
        <v>26</v>
      </c>
      <c r="G3932" s="4">
        <v>6</v>
      </c>
      <c r="H3932" s="4" t="s">
        <v>78</v>
      </c>
      <c r="I3932" s="4" t="s">
        <v>69</v>
      </c>
      <c r="J3932" s="4" t="s">
        <v>66</v>
      </c>
      <c r="K3932" s="4">
        <v>0</v>
      </c>
      <c r="L3932" s="94">
        <v>18891</v>
      </c>
      <c r="M3932" s="94">
        <v>113346</v>
      </c>
    </row>
    <row r="3933" spans="3:13" x14ac:dyDescent="0.3">
      <c r="C3933" t="s">
        <v>71</v>
      </c>
      <c r="D3933" t="s">
        <v>67</v>
      </c>
      <c r="E3933" t="s">
        <v>68</v>
      </c>
      <c r="F3933" t="s">
        <v>26</v>
      </c>
      <c r="G3933" s="4">
        <v>0</v>
      </c>
      <c r="H3933" s="4" t="s">
        <v>18</v>
      </c>
      <c r="I3933" s="4" t="s">
        <v>69</v>
      </c>
      <c r="J3933" s="4" t="s">
        <v>73</v>
      </c>
      <c r="K3933" s="4">
        <v>1</v>
      </c>
      <c r="L3933" s="94">
        <v>30706</v>
      </c>
      <c r="M3933" s="94">
        <v>0</v>
      </c>
    </row>
    <row r="3934" spans="3:13" x14ac:dyDescent="0.3">
      <c r="C3934" t="s">
        <v>70</v>
      </c>
      <c r="D3934" t="s">
        <v>67</v>
      </c>
      <c r="E3934" t="s">
        <v>63</v>
      </c>
      <c r="F3934" t="s">
        <v>72</v>
      </c>
      <c r="G3934" s="4">
        <v>-1</v>
      </c>
      <c r="H3934" s="4" t="s">
        <v>75</v>
      </c>
      <c r="I3934" s="4" t="s">
        <v>65</v>
      </c>
      <c r="J3934" s="4" t="s">
        <v>66</v>
      </c>
      <c r="K3934" s="4">
        <v>1</v>
      </c>
      <c r="L3934" s="94">
        <v>-177</v>
      </c>
      <c r="M3934" s="94">
        <v>0</v>
      </c>
    </row>
    <row r="3935" spans="3:13" x14ac:dyDescent="0.3">
      <c r="C3935" t="s">
        <v>71</v>
      </c>
      <c r="D3935" t="s">
        <v>67</v>
      </c>
      <c r="E3935" t="s">
        <v>63</v>
      </c>
      <c r="F3935" t="s">
        <v>72</v>
      </c>
      <c r="G3935" s="4">
        <v>1</v>
      </c>
      <c r="H3935" s="4" t="s">
        <v>14</v>
      </c>
      <c r="I3935" s="4" t="s">
        <v>69</v>
      </c>
      <c r="J3935" s="4" t="s">
        <v>66</v>
      </c>
      <c r="K3935" s="4">
        <v>0</v>
      </c>
      <c r="L3935" s="94">
        <v>-107707</v>
      </c>
      <c r="M3935" s="94">
        <v>0</v>
      </c>
    </row>
    <row r="3936" spans="3:13" x14ac:dyDescent="0.3">
      <c r="C3936" t="s">
        <v>61</v>
      </c>
      <c r="D3936" t="s">
        <v>67</v>
      </c>
      <c r="E3936" t="s">
        <v>63</v>
      </c>
      <c r="F3936" t="s">
        <v>25</v>
      </c>
      <c r="G3936" s="4">
        <v>9</v>
      </c>
      <c r="H3936" s="4" t="s">
        <v>77</v>
      </c>
      <c r="I3936" s="4" t="s">
        <v>69</v>
      </c>
      <c r="J3936" s="4" t="s">
        <v>66</v>
      </c>
      <c r="K3936" s="4">
        <v>0</v>
      </c>
      <c r="L3936" s="94">
        <v>-2855</v>
      </c>
      <c r="M3936" s="94">
        <v>0</v>
      </c>
    </row>
    <row r="3937" spans="3:13" x14ac:dyDescent="0.3">
      <c r="C3937" t="s">
        <v>70</v>
      </c>
      <c r="D3937" t="s">
        <v>67</v>
      </c>
      <c r="E3937" t="s">
        <v>63</v>
      </c>
      <c r="F3937" t="s">
        <v>26</v>
      </c>
      <c r="G3937" s="4">
        <v>6</v>
      </c>
      <c r="H3937" s="4" t="s">
        <v>13</v>
      </c>
      <c r="I3937" s="4" t="s">
        <v>69</v>
      </c>
      <c r="J3937" s="4" t="s">
        <v>73</v>
      </c>
      <c r="K3937" s="4">
        <v>1</v>
      </c>
      <c r="L3937" s="94">
        <v>-18111</v>
      </c>
      <c r="M3937" s="94">
        <v>0</v>
      </c>
    </row>
    <row r="3938" spans="3:13" x14ac:dyDescent="0.3">
      <c r="C3938" t="s">
        <v>70</v>
      </c>
      <c r="D3938" t="s">
        <v>62</v>
      </c>
      <c r="E3938" t="s">
        <v>68</v>
      </c>
      <c r="F3938" t="s">
        <v>24</v>
      </c>
      <c r="G3938" s="4">
        <v>9</v>
      </c>
      <c r="I3938" s="4" t="s">
        <v>69</v>
      </c>
      <c r="J3938" s="4" t="s">
        <v>66</v>
      </c>
      <c r="K3938" s="4">
        <v>0</v>
      </c>
      <c r="L3938" s="94">
        <v>19956050</v>
      </c>
      <c r="M3938" s="94">
        <v>179604450</v>
      </c>
    </row>
    <row r="3939" spans="3:13" x14ac:dyDescent="0.3">
      <c r="C3939" t="s">
        <v>70</v>
      </c>
      <c r="D3939" t="s">
        <v>67</v>
      </c>
      <c r="E3939" t="s">
        <v>63</v>
      </c>
      <c r="F3939" t="s">
        <v>26</v>
      </c>
      <c r="G3939" s="4">
        <v>0</v>
      </c>
      <c r="H3939" s="4" t="s">
        <v>16</v>
      </c>
      <c r="I3939" s="4" t="s">
        <v>69</v>
      </c>
      <c r="J3939" s="4" t="s">
        <v>66</v>
      </c>
      <c r="K3939" s="4">
        <v>0</v>
      </c>
      <c r="L3939" s="94">
        <v>-3928</v>
      </c>
      <c r="M3939" s="94">
        <v>0</v>
      </c>
    </row>
    <row r="3940" spans="3:13" x14ac:dyDescent="0.3">
      <c r="C3940" t="s">
        <v>61</v>
      </c>
      <c r="D3940" t="s">
        <v>62</v>
      </c>
      <c r="E3940" t="s">
        <v>68</v>
      </c>
      <c r="F3940" t="s">
        <v>24</v>
      </c>
      <c r="G3940" s="4">
        <v>9</v>
      </c>
      <c r="I3940" s="4" t="s">
        <v>65</v>
      </c>
      <c r="J3940" s="4" t="s">
        <v>66</v>
      </c>
      <c r="K3940" s="4">
        <v>1</v>
      </c>
      <c r="L3940" s="94">
        <v>2222870</v>
      </c>
      <c r="M3940" s="94">
        <v>20005830</v>
      </c>
    </row>
    <row r="3941" spans="3:13" x14ac:dyDescent="0.3">
      <c r="C3941" t="s">
        <v>71</v>
      </c>
      <c r="D3941" t="s">
        <v>67</v>
      </c>
      <c r="E3941" t="s">
        <v>68</v>
      </c>
      <c r="F3941" t="s">
        <v>25</v>
      </c>
      <c r="G3941" s="4">
        <v>-4</v>
      </c>
      <c r="H3941" s="4" t="s">
        <v>80</v>
      </c>
      <c r="I3941" s="4" t="s">
        <v>69</v>
      </c>
      <c r="J3941" s="4" t="s">
        <v>66</v>
      </c>
      <c r="K3941" s="4">
        <v>0</v>
      </c>
      <c r="L3941" s="94">
        <v>84660</v>
      </c>
      <c r="M3941" s="94">
        <v>0</v>
      </c>
    </row>
    <row r="3942" spans="3:13" x14ac:dyDescent="0.3">
      <c r="C3942" t="s">
        <v>61</v>
      </c>
      <c r="D3942" t="s">
        <v>62</v>
      </c>
      <c r="E3942" t="s">
        <v>68</v>
      </c>
      <c r="F3942" t="s">
        <v>25</v>
      </c>
      <c r="G3942" s="4">
        <v>6</v>
      </c>
      <c r="I3942" s="4" t="s">
        <v>69</v>
      </c>
      <c r="J3942" s="4" t="s">
        <v>66</v>
      </c>
      <c r="K3942" s="4">
        <v>1</v>
      </c>
      <c r="L3942" s="94">
        <v>361369</v>
      </c>
      <c r="M3942" s="94">
        <v>2168214</v>
      </c>
    </row>
    <row r="3943" spans="3:13" x14ac:dyDescent="0.3">
      <c r="C3943" t="s">
        <v>61</v>
      </c>
      <c r="D3943" t="s">
        <v>62</v>
      </c>
      <c r="E3943" t="s">
        <v>63</v>
      </c>
      <c r="F3943" t="s">
        <v>24</v>
      </c>
      <c r="G3943" s="4">
        <v>34</v>
      </c>
      <c r="I3943" s="4" t="s">
        <v>65</v>
      </c>
      <c r="J3943" s="4" t="s">
        <v>66</v>
      </c>
      <c r="K3943" s="4">
        <v>1</v>
      </c>
      <c r="L3943" s="94">
        <v>-7192</v>
      </c>
      <c r="M3943" s="94">
        <v>0</v>
      </c>
    </row>
    <row r="3944" spans="3:13" x14ac:dyDescent="0.3">
      <c r="C3944" t="s">
        <v>71</v>
      </c>
      <c r="D3944" t="s">
        <v>62</v>
      </c>
      <c r="E3944" t="s">
        <v>68</v>
      </c>
      <c r="F3944" t="s">
        <v>25</v>
      </c>
      <c r="G3944" s="4">
        <v>14</v>
      </c>
      <c r="I3944" s="4" t="s">
        <v>69</v>
      </c>
      <c r="J3944" s="4" t="s">
        <v>66</v>
      </c>
      <c r="K3944" s="4">
        <v>0</v>
      </c>
      <c r="L3944" s="94">
        <v>220219</v>
      </c>
      <c r="M3944" s="94">
        <v>3083066</v>
      </c>
    </row>
    <row r="3945" spans="3:13" x14ac:dyDescent="0.3">
      <c r="C3945" t="s">
        <v>61</v>
      </c>
      <c r="D3945" t="s">
        <v>62</v>
      </c>
      <c r="E3945" t="s">
        <v>63</v>
      </c>
      <c r="F3945" t="s">
        <v>24</v>
      </c>
      <c r="G3945" s="4">
        <v>11</v>
      </c>
      <c r="I3945" s="4" t="s">
        <v>65</v>
      </c>
      <c r="J3945" s="4" t="s">
        <v>66</v>
      </c>
      <c r="K3945" s="4">
        <v>1</v>
      </c>
      <c r="L3945" s="94">
        <v>-1275</v>
      </c>
      <c r="M3945" s="94">
        <v>0</v>
      </c>
    </row>
    <row r="3946" spans="3:13" x14ac:dyDescent="0.3">
      <c r="C3946" t="s">
        <v>61</v>
      </c>
      <c r="D3946" t="s">
        <v>67</v>
      </c>
      <c r="E3946" t="s">
        <v>63</v>
      </c>
      <c r="F3946" t="s">
        <v>72</v>
      </c>
      <c r="G3946" s="4">
        <v>1</v>
      </c>
      <c r="H3946" s="4" t="s">
        <v>14</v>
      </c>
      <c r="I3946" s="4" t="s">
        <v>69</v>
      </c>
      <c r="J3946" s="4" t="s">
        <v>73</v>
      </c>
      <c r="K3946" s="4">
        <v>1</v>
      </c>
      <c r="L3946" s="94">
        <v>-9996</v>
      </c>
      <c r="M3946" s="94">
        <v>0</v>
      </c>
    </row>
    <row r="3947" spans="3:13" x14ac:dyDescent="0.3">
      <c r="C3947" t="s">
        <v>70</v>
      </c>
      <c r="D3947" t="s">
        <v>67</v>
      </c>
      <c r="E3947" t="s">
        <v>63</v>
      </c>
      <c r="F3947" t="s">
        <v>25</v>
      </c>
      <c r="G3947" s="4">
        <v>10</v>
      </c>
      <c r="H3947" s="4" t="s">
        <v>18</v>
      </c>
      <c r="I3947" s="4" t="s">
        <v>69</v>
      </c>
      <c r="J3947" s="4" t="s">
        <v>66</v>
      </c>
      <c r="K3947" s="4">
        <v>0</v>
      </c>
      <c r="L3947" s="94">
        <v>-73815</v>
      </c>
      <c r="M3947" s="94">
        <v>0</v>
      </c>
    </row>
    <row r="3948" spans="3:13" x14ac:dyDescent="0.3">
      <c r="C3948" t="s">
        <v>70</v>
      </c>
      <c r="D3948" t="s">
        <v>67</v>
      </c>
      <c r="E3948" t="s">
        <v>63</v>
      </c>
      <c r="F3948" t="s">
        <v>26</v>
      </c>
      <c r="G3948" s="4">
        <v>-1</v>
      </c>
      <c r="H3948" s="4" t="s">
        <v>15</v>
      </c>
      <c r="I3948" s="4" t="s">
        <v>69</v>
      </c>
      <c r="J3948" s="4" t="s">
        <v>66</v>
      </c>
      <c r="K3948" s="4">
        <v>0</v>
      </c>
      <c r="L3948" s="94">
        <v>-3082</v>
      </c>
      <c r="M3948" s="94">
        <v>0</v>
      </c>
    </row>
    <row r="3949" spans="3:13" x14ac:dyDescent="0.3">
      <c r="C3949" t="s">
        <v>61</v>
      </c>
      <c r="D3949" t="s">
        <v>67</v>
      </c>
      <c r="E3949" t="s">
        <v>63</v>
      </c>
      <c r="F3949" t="s">
        <v>72</v>
      </c>
      <c r="G3949" s="4">
        <v>6</v>
      </c>
      <c r="H3949" s="4" t="s">
        <v>79</v>
      </c>
      <c r="I3949" s="4" t="s">
        <v>69</v>
      </c>
      <c r="J3949" s="4" t="s">
        <v>66</v>
      </c>
      <c r="K3949" s="4">
        <v>0</v>
      </c>
      <c r="L3949" s="94">
        <v>-3796</v>
      </c>
      <c r="M3949" s="94">
        <v>0</v>
      </c>
    </row>
    <row r="3950" spans="3:13" x14ac:dyDescent="0.3">
      <c r="C3950" t="s">
        <v>61</v>
      </c>
      <c r="D3950" t="s">
        <v>67</v>
      </c>
      <c r="E3950" t="s">
        <v>63</v>
      </c>
      <c r="F3950" t="s">
        <v>25</v>
      </c>
      <c r="G3950" s="4">
        <v>10</v>
      </c>
      <c r="H3950" s="4" t="s">
        <v>17</v>
      </c>
      <c r="I3950" s="4" t="s">
        <v>69</v>
      </c>
      <c r="J3950" s="4" t="s">
        <v>66</v>
      </c>
      <c r="K3950" s="4">
        <v>0</v>
      </c>
      <c r="L3950" s="94">
        <v>-24083</v>
      </c>
      <c r="M3950" s="94">
        <v>0</v>
      </c>
    </row>
    <row r="3951" spans="3:13" x14ac:dyDescent="0.3">
      <c r="C3951" t="s">
        <v>61</v>
      </c>
      <c r="D3951" t="s">
        <v>67</v>
      </c>
      <c r="E3951" t="s">
        <v>63</v>
      </c>
      <c r="F3951" t="s">
        <v>26</v>
      </c>
      <c r="G3951" s="4">
        <v>14</v>
      </c>
      <c r="H3951" s="4" t="s">
        <v>15</v>
      </c>
      <c r="I3951" s="4" t="s">
        <v>69</v>
      </c>
      <c r="J3951" s="4" t="s">
        <v>73</v>
      </c>
      <c r="K3951" s="4">
        <v>1</v>
      </c>
      <c r="L3951" s="94">
        <v>-1468</v>
      </c>
      <c r="M3951" s="94">
        <v>0</v>
      </c>
    </row>
    <row r="3952" spans="3:13" x14ac:dyDescent="0.3">
      <c r="C3952" t="s">
        <v>61</v>
      </c>
      <c r="D3952" t="s">
        <v>67</v>
      </c>
      <c r="E3952" t="s">
        <v>63</v>
      </c>
      <c r="F3952" t="s">
        <v>72</v>
      </c>
      <c r="G3952" s="4">
        <v>4</v>
      </c>
      <c r="H3952" s="4" t="s">
        <v>76</v>
      </c>
      <c r="I3952" s="4" t="s">
        <v>69</v>
      </c>
      <c r="J3952" s="4" t="s">
        <v>66</v>
      </c>
      <c r="K3952" s="4">
        <v>0</v>
      </c>
      <c r="L3952" s="94">
        <v>-8082</v>
      </c>
      <c r="M3952" s="94">
        <v>0</v>
      </c>
    </row>
    <row r="3953" spans="3:13" x14ac:dyDescent="0.3">
      <c r="C3953" t="s">
        <v>70</v>
      </c>
      <c r="D3953" t="s">
        <v>62</v>
      </c>
      <c r="E3953" t="s">
        <v>63</v>
      </c>
      <c r="F3953" t="s">
        <v>24</v>
      </c>
      <c r="G3953" s="4">
        <v>16</v>
      </c>
      <c r="I3953" s="4" t="s">
        <v>69</v>
      </c>
      <c r="J3953" s="4" t="s">
        <v>66</v>
      </c>
      <c r="K3953" s="4">
        <v>0</v>
      </c>
      <c r="L3953" s="94">
        <v>-652240</v>
      </c>
      <c r="M3953" s="94">
        <v>0</v>
      </c>
    </row>
    <row r="3954" spans="3:13" x14ac:dyDescent="0.3">
      <c r="C3954" t="s">
        <v>61</v>
      </c>
      <c r="D3954" t="s">
        <v>67</v>
      </c>
      <c r="E3954" t="s">
        <v>68</v>
      </c>
      <c r="F3954" t="s">
        <v>25</v>
      </c>
      <c r="G3954" s="4">
        <v>11</v>
      </c>
      <c r="H3954" s="4" t="s">
        <v>14</v>
      </c>
      <c r="I3954" s="4" t="s">
        <v>69</v>
      </c>
      <c r="J3954" s="4" t="s">
        <v>66</v>
      </c>
      <c r="K3954" s="4">
        <v>0</v>
      </c>
      <c r="L3954" s="94">
        <v>19394180</v>
      </c>
      <c r="M3954" s="94">
        <v>213335980</v>
      </c>
    </row>
    <row r="3955" spans="3:13" x14ac:dyDescent="0.3">
      <c r="C3955" t="s">
        <v>61</v>
      </c>
      <c r="D3955" t="s">
        <v>67</v>
      </c>
      <c r="E3955" t="s">
        <v>68</v>
      </c>
      <c r="F3955" t="s">
        <v>25</v>
      </c>
      <c r="G3955" s="4">
        <v>2</v>
      </c>
      <c r="H3955" s="4" t="s">
        <v>78</v>
      </c>
      <c r="I3955" s="4" t="s">
        <v>69</v>
      </c>
      <c r="J3955" s="4" t="s">
        <v>66</v>
      </c>
      <c r="K3955" s="4">
        <v>0</v>
      </c>
      <c r="L3955" s="94">
        <v>196011</v>
      </c>
      <c r="M3955" s="94">
        <v>392022</v>
      </c>
    </row>
    <row r="3956" spans="3:13" x14ac:dyDescent="0.3">
      <c r="C3956" t="s">
        <v>61</v>
      </c>
      <c r="D3956" t="s">
        <v>67</v>
      </c>
      <c r="E3956" t="s">
        <v>63</v>
      </c>
      <c r="F3956" t="s">
        <v>72</v>
      </c>
      <c r="G3956" s="4">
        <v>0</v>
      </c>
      <c r="H3956" s="4" t="s">
        <v>16</v>
      </c>
      <c r="I3956" s="4" t="s">
        <v>69</v>
      </c>
      <c r="J3956" s="4" t="s">
        <v>66</v>
      </c>
      <c r="K3956" s="4">
        <v>0</v>
      </c>
      <c r="L3956" s="94">
        <v>-175</v>
      </c>
      <c r="M3956" s="94">
        <v>0</v>
      </c>
    </row>
    <row r="3957" spans="3:13" x14ac:dyDescent="0.3">
      <c r="C3957" t="s">
        <v>61</v>
      </c>
      <c r="D3957" t="s">
        <v>67</v>
      </c>
      <c r="E3957" t="s">
        <v>68</v>
      </c>
      <c r="F3957" t="s">
        <v>72</v>
      </c>
      <c r="G3957" s="4">
        <v>-4</v>
      </c>
      <c r="H3957" s="4" t="s">
        <v>12</v>
      </c>
      <c r="I3957" s="4" t="s">
        <v>69</v>
      </c>
      <c r="J3957" s="4" t="s">
        <v>73</v>
      </c>
      <c r="K3957" s="4">
        <v>1</v>
      </c>
      <c r="L3957" s="94">
        <v>58</v>
      </c>
      <c r="M3957" s="94">
        <v>0</v>
      </c>
    </row>
    <row r="3958" spans="3:13" x14ac:dyDescent="0.3">
      <c r="C3958" t="s">
        <v>61</v>
      </c>
      <c r="D3958" t="s">
        <v>67</v>
      </c>
      <c r="E3958" t="s">
        <v>68</v>
      </c>
      <c r="F3958" t="s">
        <v>72</v>
      </c>
      <c r="G3958" s="4">
        <v>2</v>
      </c>
      <c r="H3958" s="4" t="s">
        <v>82</v>
      </c>
      <c r="I3958" s="4" t="s">
        <v>69</v>
      </c>
      <c r="J3958" s="4" t="s">
        <v>66</v>
      </c>
      <c r="K3958" s="4">
        <v>0</v>
      </c>
      <c r="L3958" s="94">
        <v>9066123</v>
      </c>
      <c r="M3958" s="94">
        <v>18132246</v>
      </c>
    </row>
    <row r="3959" spans="3:13" x14ac:dyDescent="0.3">
      <c r="C3959" t="s">
        <v>70</v>
      </c>
      <c r="D3959" t="s">
        <v>67</v>
      </c>
      <c r="E3959" t="s">
        <v>68</v>
      </c>
      <c r="F3959" t="s">
        <v>26</v>
      </c>
      <c r="G3959" s="4">
        <v>8</v>
      </c>
      <c r="H3959" s="4" t="s">
        <v>14</v>
      </c>
      <c r="I3959" s="4" t="s">
        <v>69</v>
      </c>
      <c r="J3959" s="4" t="s">
        <v>66</v>
      </c>
      <c r="K3959" s="4">
        <v>0</v>
      </c>
      <c r="L3959" s="94">
        <v>603527</v>
      </c>
      <c r="M3959" s="94">
        <v>4828216</v>
      </c>
    </row>
    <row r="3960" spans="3:13" x14ac:dyDescent="0.3">
      <c r="C3960" t="s">
        <v>70</v>
      </c>
      <c r="D3960" t="s">
        <v>67</v>
      </c>
      <c r="E3960" t="s">
        <v>63</v>
      </c>
      <c r="F3960" t="s">
        <v>25</v>
      </c>
      <c r="G3960" s="4">
        <v>3</v>
      </c>
      <c r="H3960" s="4" t="s">
        <v>17</v>
      </c>
      <c r="I3960" s="4" t="s">
        <v>69</v>
      </c>
      <c r="J3960" s="4" t="s">
        <v>66</v>
      </c>
      <c r="K3960" s="4">
        <v>0</v>
      </c>
      <c r="L3960" s="94">
        <v>-32398</v>
      </c>
      <c r="M3960" s="94">
        <v>0</v>
      </c>
    </row>
    <row r="3961" spans="3:13" x14ac:dyDescent="0.3">
      <c r="C3961" t="s">
        <v>70</v>
      </c>
      <c r="D3961" t="s">
        <v>67</v>
      </c>
      <c r="E3961" t="s">
        <v>68</v>
      </c>
      <c r="F3961" t="s">
        <v>25</v>
      </c>
      <c r="G3961" s="4">
        <v>7</v>
      </c>
      <c r="H3961" s="4" t="s">
        <v>74</v>
      </c>
      <c r="I3961" s="4" t="s">
        <v>69</v>
      </c>
      <c r="J3961" s="4" t="s">
        <v>66</v>
      </c>
      <c r="K3961" s="4">
        <v>0</v>
      </c>
      <c r="L3961" s="94">
        <v>557034</v>
      </c>
      <c r="M3961" s="94">
        <v>3899238</v>
      </c>
    </row>
    <row r="3962" spans="3:13" x14ac:dyDescent="0.3">
      <c r="C3962" t="s">
        <v>61</v>
      </c>
      <c r="D3962" t="s">
        <v>62</v>
      </c>
      <c r="E3962" t="s">
        <v>68</v>
      </c>
      <c r="F3962" t="s">
        <v>24</v>
      </c>
      <c r="G3962" s="4">
        <v>15</v>
      </c>
      <c r="I3962" s="4" t="s">
        <v>69</v>
      </c>
      <c r="J3962" s="4" t="s">
        <v>66</v>
      </c>
      <c r="K3962" s="4">
        <v>1</v>
      </c>
      <c r="L3962" s="94">
        <v>783640</v>
      </c>
      <c r="M3962" s="94">
        <v>11754600</v>
      </c>
    </row>
    <row r="3963" spans="3:13" x14ac:dyDescent="0.3">
      <c r="C3963" t="s">
        <v>61</v>
      </c>
      <c r="D3963" t="s">
        <v>67</v>
      </c>
      <c r="E3963" t="s">
        <v>63</v>
      </c>
      <c r="F3963" t="s">
        <v>25</v>
      </c>
      <c r="G3963" s="4">
        <v>3</v>
      </c>
      <c r="H3963" s="4" t="s">
        <v>18</v>
      </c>
      <c r="I3963" s="4" t="s">
        <v>69</v>
      </c>
      <c r="J3963" s="4" t="s">
        <v>66</v>
      </c>
      <c r="K3963" s="4">
        <v>0</v>
      </c>
      <c r="L3963" s="94">
        <v>-10132</v>
      </c>
      <c r="M3963" s="94">
        <v>0</v>
      </c>
    </row>
    <row r="3964" spans="3:13" x14ac:dyDescent="0.3">
      <c r="C3964" t="s">
        <v>70</v>
      </c>
      <c r="D3964" t="s">
        <v>67</v>
      </c>
      <c r="E3964" t="s">
        <v>68</v>
      </c>
      <c r="F3964" t="s">
        <v>25</v>
      </c>
      <c r="G3964" s="4">
        <v>3</v>
      </c>
      <c r="H3964" s="4" t="s">
        <v>76</v>
      </c>
      <c r="I3964" s="4" t="s">
        <v>69</v>
      </c>
      <c r="J3964" s="4" t="s">
        <v>66</v>
      </c>
      <c r="K3964" s="4">
        <v>0</v>
      </c>
      <c r="L3964" s="94">
        <v>1707233</v>
      </c>
      <c r="M3964" s="94">
        <v>5121699</v>
      </c>
    </row>
    <row r="3965" spans="3:13" x14ac:dyDescent="0.3">
      <c r="C3965" t="s">
        <v>70</v>
      </c>
      <c r="D3965" t="s">
        <v>67</v>
      </c>
      <c r="E3965" t="s">
        <v>63</v>
      </c>
      <c r="F3965" t="s">
        <v>26</v>
      </c>
      <c r="G3965" s="4">
        <v>11</v>
      </c>
      <c r="H3965" s="4" t="s">
        <v>12</v>
      </c>
      <c r="I3965" s="4" t="s">
        <v>69</v>
      </c>
      <c r="J3965" s="4" t="s">
        <v>73</v>
      </c>
      <c r="K3965" s="4">
        <v>1</v>
      </c>
      <c r="L3965" s="94">
        <v>-19095</v>
      </c>
      <c r="M3965" s="94">
        <v>0</v>
      </c>
    </row>
    <row r="3966" spans="3:13" x14ac:dyDescent="0.3">
      <c r="C3966" t="s">
        <v>71</v>
      </c>
      <c r="D3966" t="s">
        <v>67</v>
      </c>
      <c r="E3966" t="s">
        <v>63</v>
      </c>
      <c r="F3966" t="s">
        <v>25</v>
      </c>
      <c r="G3966" s="4">
        <v>0</v>
      </c>
      <c r="H3966" s="4" t="s">
        <v>12</v>
      </c>
      <c r="I3966" s="4" t="s">
        <v>69</v>
      </c>
      <c r="J3966" s="4" t="s">
        <v>66</v>
      </c>
      <c r="K3966" s="4">
        <v>0</v>
      </c>
      <c r="L3966" s="94">
        <v>-1806</v>
      </c>
      <c r="M3966" s="94">
        <v>0</v>
      </c>
    </row>
    <row r="3967" spans="3:13" x14ac:dyDescent="0.3">
      <c r="C3967" t="s">
        <v>61</v>
      </c>
      <c r="D3967" t="s">
        <v>62</v>
      </c>
      <c r="E3967" t="s">
        <v>68</v>
      </c>
      <c r="F3967" t="s">
        <v>24</v>
      </c>
      <c r="G3967" s="4">
        <v>-1</v>
      </c>
      <c r="I3967" s="4" t="s">
        <v>69</v>
      </c>
      <c r="J3967" s="4" t="s">
        <v>66</v>
      </c>
      <c r="K3967" s="4">
        <v>1</v>
      </c>
      <c r="L3967" s="94">
        <v>30128</v>
      </c>
      <c r="M3967" s="94">
        <v>0</v>
      </c>
    </row>
    <row r="3968" spans="3:13" x14ac:dyDescent="0.3">
      <c r="C3968" t="s">
        <v>61</v>
      </c>
      <c r="D3968" t="s">
        <v>67</v>
      </c>
      <c r="E3968" t="s">
        <v>68</v>
      </c>
      <c r="F3968" t="s">
        <v>72</v>
      </c>
      <c r="G3968" s="4">
        <v>1</v>
      </c>
      <c r="H3968" s="4" t="s">
        <v>13</v>
      </c>
      <c r="I3968" s="4" t="s">
        <v>69</v>
      </c>
      <c r="J3968" s="4" t="s">
        <v>73</v>
      </c>
      <c r="K3968" s="4">
        <v>1</v>
      </c>
      <c r="L3968" s="94">
        <v>172658</v>
      </c>
      <c r="M3968" s="94">
        <v>172658</v>
      </c>
    </row>
    <row r="3969" spans="3:13" x14ac:dyDescent="0.3">
      <c r="C3969" t="s">
        <v>71</v>
      </c>
      <c r="D3969" t="s">
        <v>67</v>
      </c>
      <c r="E3969" t="s">
        <v>68</v>
      </c>
      <c r="F3969" t="s">
        <v>72</v>
      </c>
      <c r="G3969" s="4">
        <v>4</v>
      </c>
      <c r="H3969" s="4" t="s">
        <v>64</v>
      </c>
      <c r="I3969" s="4" t="s">
        <v>69</v>
      </c>
      <c r="J3969" s="4" t="s">
        <v>66</v>
      </c>
      <c r="K3969" s="4">
        <v>0</v>
      </c>
      <c r="L3969" s="94">
        <v>41120</v>
      </c>
      <c r="M3969" s="94">
        <v>164480</v>
      </c>
    </row>
    <row r="3970" spans="3:13" x14ac:dyDescent="0.3">
      <c r="C3970" t="s">
        <v>71</v>
      </c>
      <c r="D3970" t="s">
        <v>67</v>
      </c>
      <c r="E3970" t="s">
        <v>68</v>
      </c>
      <c r="F3970" t="s">
        <v>26</v>
      </c>
      <c r="G3970" s="4">
        <v>11</v>
      </c>
      <c r="H3970" s="4" t="s">
        <v>14</v>
      </c>
      <c r="I3970" s="4" t="s">
        <v>69</v>
      </c>
      <c r="J3970" s="4" t="s">
        <v>73</v>
      </c>
      <c r="K3970" s="4">
        <v>1</v>
      </c>
      <c r="L3970" s="94">
        <v>359131</v>
      </c>
      <c r="M3970" s="94">
        <v>3950441</v>
      </c>
    </row>
    <row r="3971" spans="3:13" x14ac:dyDescent="0.3">
      <c r="C3971" t="s">
        <v>70</v>
      </c>
      <c r="D3971" t="s">
        <v>67</v>
      </c>
      <c r="E3971" t="s">
        <v>68</v>
      </c>
      <c r="F3971" t="s">
        <v>25</v>
      </c>
      <c r="G3971" s="4">
        <v>0</v>
      </c>
      <c r="H3971" s="4" t="s">
        <v>14</v>
      </c>
      <c r="I3971" s="4" t="s">
        <v>69</v>
      </c>
      <c r="J3971" s="4" t="s">
        <v>66</v>
      </c>
      <c r="K3971" s="4">
        <v>1</v>
      </c>
      <c r="L3971" s="94">
        <v>22264</v>
      </c>
      <c r="M3971" s="94">
        <v>0</v>
      </c>
    </row>
    <row r="3972" spans="3:13" x14ac:dyDescent="0.3">
      <c r="C3972" t="s">
        <v>70</v>
      </c>
      <c r="D3972" t="s">
        <v>67</v>
      </c>
      <c r="E3972" t="s">
        <v>63</v>
      </c>
      <c r="F3972" t="s">
        <v>72</v>
      </c>
      <c r="G3972" s="4">
        <v>7</v>
      </c>
      <c r="H3972" s="4" t="s">
        <v>12</v>
      </c>
      <c r="I3972" s="4" t="s">
        <v>69</v>
      </c>
      <c r="J3972" s="4" t="s">
        <v>66</v>
      </c>
      <c r="K3972" s="4">
        <v>0</v>
      </c>
      <c r="L3972" s="94">
        <v>-1924</v>
      </c>
      <c r="M3972" s="94">
        <v>0</v>
      </c>
    </row>
    <row r="3973" spans="3:13" x14ac:dyDescent="0.3">
      <c r="C3973" t="s">
        <v>61</v>
      </c>
      <c r="D3973" t="s">
        <v>84</v>
      </c>
      <c r="E3973" t="s">
        <v>68</v>
      </c>
      <c r="F3973" t="s">
        <v>25</v>
      </c>
      <c r="G3973" s="4">
        <v>6</v>
      </c>
      <c r="H3973" s="4" t="s">
        <v>18</v>
      </c>
      <c r="I3973" s="4" t="s">
        <v>69</v>
      </c>
      <c r="J3973" s="4" t="s">
        <v>66</v>
      </c>
      <c r="K3973" s="4">
        <v>0</v>
      </c>
      <c r="L3973" s="94">
        <v>4268896</v>
      </c>
      <c r="M3973" s="94">
        <v>25613376</v>
      </c>
    </row>
    <row r="3974" spans="3:13" x14ac:dyDescent="0.3">
      <c r="C3974" t="s">
        <v>70</v>
      </c>
      <c r="D3974" t="s">
        <v>67</v>
      </c>
      <c r="E3974" t="s">
        <v>63</v>
      </c>
      <c r="F3974" t="s">
        <v>26</v>
      </c>
      <c r="G3974" s="4">
        <v>4</v>
      </c>
      <c r="H3974" s="4" t="s">
        <v>74</v>
      </c>
      <c r="I3974" s="4" t="s">
        <v>69</v>
      </c>
      <c r="J3974" s="4" t="s">
        <v>66</v>
      </c>
      <c r="K3974" s="4">
        <v>0</v>
      </c>
      <c r="L3974" s="94">
        <v>-113634</v>
      </c>
      <c r="M3974" s="94">
        <v>0</v>
      </c>
    </row>
    <row r="3975" spans="3:13" x14ac:dyDescent="0.3">
      <c r="C3975" t="s">
        <v>71</v>
      </c>
      <c r="D3975" t="s">
        <v>62</v>
      </c>
      <c r="E3975" t="s">
        <v>63</v>
      </c>
      <c r="F3975" t="s">
        <v>24</v>
      </c>
      <c r="G3975" s="4">
        <v>15</v>
      </c>
      <c r="I3975" s="4" t="s">
        <v>65</v>
      </c>
      <c r="J3975" s="4" t="s">
        <v>66</v>
      </c>
      <c r="K3975" s="4">
        <v>1</v>
      </c>
      <c r="L3975" s="94">
        <v>-6748</v>
      </c>
      <c r="M3975" s="94">
        <v>0</v>
      </c>
    </row>
    <row r="3976" spans="3:13" x14ac:dyDescent="0.3">
      <c r="C3976" t="s">
        <v>70</v>
      </c>
      <c r="D3976" t="s">
        <v>62</v>
      </c>
      <c r="E3976" t="s">
        <v>63</v>
      </c>
      <c r="F3976" t="s">
        <v>24</v>
      </c>
      <c r="G3976" s="4">
        <v>5</v>
      </c>
      <c r="I3976" s="4" t="s">
        <v>69</v>
      </c>
      <c r="J3976" s="4" t="s">
        <v>66</v>
      </c>
      <c r="K3976" s="4">
        <v>0</v>
      </c>
      <c r="L3976" s="94">
        <v>-203470</v>
      </c>
      <c r="M3976" s="94">
        <v>0</v>
      </c>
    </row>
    <row r="3977" spans="3:13" x14ac:dyDescent="0.3">
      <c r="C3977" t="s">
        <v>71</v>
      </c>
      <c r="D3977" t="s">
        <v>62</v>
      </c>
      <c r="E3977" t="s">
        <v>63</v>
      </c>
      <c r="F3977" t="s">
        <v>24</v>
      </c>
      <c r="G3977" s="4">
        <v>16</v>
      </c>
      <c r="I3977" s="4" t="s">
        <v>69</v>
      </c>
      <c r="J3977" s="4" t="s">
        <v>66</v>
      </c>
      <c r="K3977" s="4">
        <v>0</v>
      </c>
      <c r="L3977" s="94">
        <v>-1466702</v>
      </c>
      <c r="M3977" s="94">
        <v>0</v>
      </c>
    </row>
    <row r="3978" spans="3:13" x14ac:dyDescent="0.3">
      <c r="C3978" t="s">
        <v>71</v>
      </c>
      <c r="D3978" t="s">
        <v>62</v>
      </c>
      <c r="E3978" t="s">
        <v>68</v>
      </c>
      <c r="F3978" t="s">
        <v>24</v>
      </c>
      <c r="G3978" s="4">
        <v>38</v>
      </c>
      <c r="I3978" s="4" t="s">
        <v>65</v>
      </c>
      <c r="J3978" s="4" t="s">
        <v>66</v>
      </c>
      <c r="K3978" s="4">
        <v>1</v>
      </c>
      <c r="L3978" s="94">
        <v>114725</v>
      </c>
      <c r="M3978" s="94">
        <v>4359550</v>
      </c>
    </row>
    <row r="3979" spans="3:13" x14ac:dyDescent="0.3">
      <c r="C3979" t="s">
        <v>70</v>
      </c>
      <c r="D3979" t="s">
        <v>67</v>
      </c>
      <c r="E3979" t="s">
        <v>68</v>
      </c>
      <c r="F3979" t="s">
        <v>26</v>
      </c>
      <c r="G3979" s="4">
        <v>7</v>
      </c>
      <c r="H3979" s="4" t="s">
        <v>74</v>
      </c>
      <c r="I3979" s="4" t="s">
        <v>69</v>
      </c>
      <c r="J3979" s="4" t="s">
        <v>66</v>
      </c>
      <c r="K3979" s="4">
        <v>0</v>
      </c>
      <c r="L3979" s="94">
        <v>1326827</v>
      </c>
      <c r="M3979" s="94">
        <v>9287789</v>
      </c>
    </row>
    <row r="3980" spans="3:13" x14ac:dyDescent="0.3">
      <c r="C3980" t="s">
        <v>61</v>
      </c>
      <c r="D3980" t="s">
        <v>67</v>
      </c>
      <c r="E3980" t="s">
        <v>63</v>
      </c>
      <c r="F3980" t="s">
        <v>72</v>
      </c>
      <c r="G3980" s="4">
        <v>2</v>
      </c>
      <c r="H3980" s="4" t="s">
        <v>86</v>
      </c>
      <c r="I3980" s="4" t="s">
        <v>69</v>
      </c>
      <c r="J3980" s="4" t="s">
        <v>66</v>
      </c>
      <c r="K3980" s="4">
        <v>0</v>
      </c>
      <c r="L3980" s="94">
        <v>-25</v>
      </c>
      <c r="M3980" s="94">
        <v>0</v>
      </c>
    </row>
    <row r="3981" spans="3:13" x14ac:dyDescent="0.3">
      <c r="C3981" t="s">
        <v>70</v>
      </c>
      <c r="D3981" t="s">
        <v>67</v>
      </c>
      <c r="E3981" t="s">
        <v>63</v>
      </c>
      <c r="F3981" t="s">
        <v>25</v>
      </c>
      <c r="G3981" s="4">
        <v>7</v>
      </c>
      <c r="H3981" s="4" t="s">
        <v>64</v>
      </c>
      <c r="I3981" s="4" t="s">
        <v>69</v>
      </c>
      <c r="J3981" s="4" t="s">
        <v>66</v>
      </c>
      <c r="K3981" s="4">
        <v>0</v>
      </c>
      <c r="L3981" s="94">
        <v>-116267</v>
      </c>
      <c r="M3981" s="94">
        <v>0</v>
      </c>
    </row>
    <row r="3982" spans="3:13" x14ac:dyDescent="0.3">
      <c r="C3982" t="s">
        <v>71</v>
      </c>
      <c r="D3982" t="s">
        <v>67</v>
      </c>
      <c r="E3982" t="s">
        <v>63</v>
      </c>
      <c r="F3982" t="s">
        <v>26</v>
      </c>
      <c r="G3982" s="4">
        <v>-1</v>
      </c>
      <c r="I3982" s="4" t="s">
        <v>69</v>
      </c>
      <c r="J3982" s="4" t="s">
        <v>66</v>
      </c>
      <c r="K3982" s="4">
        <v>0</v>
      </c>
      <c r="L3982" s="94">
        <v>-9273</v>
      </c>
      <c r="M3982" s="94">
        <v>0</v>
      </c>
    </row>
    <row r="3983" spans="3:13" x14ac:dyDescent="0.3">
      <c r="C3983" t="s">
        <v>70</v>
      </c>
      <c r="D3983" t="s">
        <v>67</v>
      </c>
      <c r="E3983" t="s">
        <v>63</v>
      </c>
      <c r="F3983" t="s">
        <v>26</v>
      </c>
      <c r="G3983" s="4">
        <v>1</v>
      </c>
      <c r="H3983" s="4" t="s">
        <v>64</v>
      </c>
      <c r="I3983" s="4" t="s">
        <v>69</v>
      </c>
      <c r="J3983" s="4" t="s">
        <v>66</v>
      </c>
      <c r="K3983" s="4">
        <v>0</v>
      </c>
      <c r="L3983" s="94">
        <v>-86910</v>
      </c>
      <c r="M3983" s="94">
        <v>0</v>
      </c>
    </row>
    <row r="3984" spans="3:13" x14ac:dyDescent="0.3">
      <c r="C3984" t="s">
        <v>61</v>
      </c>
      <c r="D3984" t="s">
        <v>67</v>
      </c>
      <c r="E3984" t="s">
        <v>63</v>
      </c>
      <c r="F3984" t="s">
        <v>72</v>
      </c>
      <c r="G3984" s="4">
        <v>2</v>
      </c>
      <c r="H3984" s="4" t="s">
        <v>17</v>
      </c>
      <c r="I3984" s="4" t="s">
        <v>65</v>
      </c>
      <c r="J3984" s="4" t="s">
        <v>73</v>
      </c>
      <c r="K3984" s="4">
        <v>1</v>
      </c>
      <c r="L3984" s="94">
        <v>-174</v>
      </c>
      <c r="M3984" s="94">
        <v>0</v>
      </c>
    </row>
    <row r="3985" spans="3:13" x14ac:dyDescent="0.3">
      <c r="C3985" t="s">
        <v>71</v>
      </c>
      <c r="D3985" t="s">
        <v>67</v>
      </c>
      <c r="E3985" t="s">
        <v>63</v>
      </c>
      <c r="F3985" t="s">
        <v>25</v>
      </c>
      <c r="G3985" s="4">
        <v>0</v>
      </c>
      <c r="H3985" s="4" t="s">
        <v>14</v>
      </c>
      <c r="I3985" s="4" t="s">
        <v>69</v>
      </c>
      <c r="J3985" s="4" t="s">
        <v>66</v>
      </c>
      <c r="K3985" s="4">
        <v>0</v>
      </c>
      <c r="L3985" s="94">
        <v>-335129</v>
      </c>
      <c r="M3985" s="94">
        <v>0</v>
      </c>
    </row>
    <row r="3986" spans="3:13" x14ac:dyDescent="0.3">
      <c r="C3986" t="s">
        <v>71</v>
      </c>
      <c r="D3986" t="s">
        <v>62</v>
      </c>
      <c r="E3986" t="s">
        <v>63</v>
      </c>
      <c r="F3986" t="s">
        <v>24</v>
      </c>
      <c r="G3986" s="4">
        <v>24</v>
      </c>
      <c r="I3986" s="4" t="s">
        <v>69</v>
      </c>
      <c r="J3986" s="4" t="s">
        <v>66</v>
      </c>
      <c r="K3986" s="4">
        <v>0</v>
      </c>
      <c r="L3986" s="94">
        <v>-1939825</v>
      </c>
      <c r="M3986" s="94">
        <v>0</v>
      </c>
    </row>
    <row r="3987" spans="3:13" x14ac:dyDescent="0.3">
      <c r="C3987" t="s">
        <v>70</v>
      </c>
      <c r="D3987" t="s">
        <v>62</v>
      </c>
      <c r="E3987" t="s">
        <v>68</v>
      </c>
      <c r="F3987" t="s">
        <v>24</v>
      </c>
      <c r="G3987" s="4">
        <v>6</v>
      </c>
      <c r="I3987" s="4" t="s">
        <v>65</v>
      </c>
      <c r="J3987" s="4" t="s">
        <v>66</v>
      </c>
      <c r="K3987" s="4">
        <v>1</v>
      </c>
      <c r="L3987" s="94">
        <v>209828</v>
      </c>
      <c r="M3987" s="94">
        <v>1258968</v>
      </c>
    </row>
    <row r="3988" spans="3:13" x14ac:dyDescent="0.3">
      <c r="C3988" t="s">
        <v>61</v>
      </c>
      <c r="D3988" t="s">
        <v>88</v>
      </c>
      <c r="E3988" t="s">
        <v>63</v>
      </c>
      <c r="F3988" t="s">
        <v>25</v>
      </c>
      <c r="G3988" s="4">
        <v>5</v>
      </c>
      <c r="H3988" s="4" t="s">
        <v>86</v>
      </c>
      <c r="I3988" s="4" t="s">
        <v>69</v>
      </c>
      <c r="J3988" s="4" t="s">
        <v>66</v>
      </c>
      <c r="K3988" s="4">
        <v>0</v>
      </c>
      <c r="L3988" s="94">
        <v>-8</v>
      </c>
      <c r="M3988" s="94">
        <v>0</v>
      </c>
    </row>
    <row r="3989" spans="3:13" x14ac:dyDescent="0.3">
      <c r="C3989" t="s">
        <v>71</v>
      </c>
      <c r="D3989" t="s">
        <v>67</v>
      </c>
      <c r="E3989" t="s">
        <v>68</v>
      </c>
      <c r="F3989" t="s">
        <v>72</v>
      </c>
      <c r="G3989" s="4">
        <v>4</v>
      </c>
      <c r="H3989" s="4" t="s">
        <v>75</v>
      </c>
      <c r="I3989" s="4" t="s">
        <v>69</v>
      </c>
      <c r="J3989" s="4" t="s">
        <v>66</v>
      </c>
      <c r="K3989" s="4">
        <v>0</v>
      </c>
      <c r="L3989" s="94">
        <v>42971</v>
      </c>
      <c r="M3989" s="94">
        <v>171884</v>
      </c>
    </row>
    <row r="3990" spans="3:13" x14ac:dyDescent="0.3">
      <c r="C3990" t="s">
        <v>71</v>
      </c>
      <c r="D3990" t="s">
        <v>67</v>
      </c>
      <c r="E3990" t="s">
        <v>68</v>
      </c>
      <c r="F3990" t="s">
        <v>26</v>
      </c>
      <c r="G3990" s="4">
        <v>1</v>
      </c>
      <c r="H3990" s="4" t="s">
        <v>74</v>
      </c>
      <c r="I3990" s="4" t="s">
        <v>69</v>
      </c>
      <c r="J3990" s="4" t="s">
        <v>66</v>
      </c>
      <c r="K3990" s="4">
        <v>0</v>
      </c>
      <c r="L3990" s="94">
        <v>2393687</v>
      </c>
      <c r="M3990" s="94">
        <v>2393687</v>
      </c>
    </row>
    <row r="3991" spans="3:13" x14ac:dyDescent="0.3">
      <c r="C3991" t="s">
        <v>61</v>
      </c>
      <c r="D3991" t="s">
        <v>67</v>
      </c>
      <c r="E3991" t="s">
        <v>68</v>
      </c>
      <c r="F3991" t="s">
        <v>72</v>
      </c>
      <c r="G3991" s="4">
        <v>-4</v>
      </c>
      <c r="H3991" s="4" t="s">
        <v>14</v>
      </c>
      <c r="I3991" s="4" t="s">
        <v>69</v>
      </c>
      <c r="J3991" s="4" t="s">
        <v>73</v>
      </c>
      <c r="K3991" s="4">
        <v>1</v>
      </c>
      <c r="L3991" s="94">
        <v>277</v>
      </c>
      <c r="M3991" s="94">
        <v>0</v>
      </c>
    </row>
    <row r="3992" spans="3:13" x14ac:dyDescent="0.3">
      <c r="C3992" t="s">
        <v>71</v>
      </c>
      <c r="D3992" t="s">
        <v>62</v>
      </c>
      <c r="E3992" t="s">
        <v>63</v>
      </c>
      <c r="F3992" t="s">
        <v>24</v>
      </c>
      <c r="G3992" s="4">
        <v>34</v>
      </c>
      <c r="I3992" s="4" t="s">
        <v>65</v>
      </c>
      <c r="J3992" s="4" t="s">
        <v>66</v>
      </c>
      <c r="K3992" s="4">
        <v>1</v>
      </c>
      <c r="L3992" s="94">
        <v>-43628</v>
      </c>
      <c r="M3992" s="94">
        <v>0</v>
      </c>
    </row>
    <row r="3993" spans="3:13" x14ac:dyDescent="0.3">
      <c r="C3993" t="s">
        <v>61</v>
      </c>
      <c r="D3993" t="s">
        <v>67</v>
      </c>
      <c r="E3993" t="s">
        <v>68</v>
      </c>
      <c r="F3993" t="s">
        <v>72</v>
      </c>
      <c r="G3993" s="4">
        <v>2</v>
      </c>
      <c r="H3993" s="4" t="s">
        <v>77</v>
      </c>
      <c r="I3993" s="4" t="s">
        <v>69</v>
      </c>
      <c r="J3993" s="4" t="s">
        <v>66</v>
      </c>
      <c r="K3993" s="4">
        <v>0</v>
      </c>
      <c r="L3993" s="94">
        <v>2924395</v>
      </c>
      <c r="M3993" s="94">
        <v>5848790</v>
      </c>
    </row>
    <row r="3994" spans="3:13" x14ac:dyDescent="0.3">
      <c r="C3994" t="s">
        <v>61</v>
      </c>
      <c r="D3994" t="s">
        <v>67</v>
      </c>
      <c r="E3994" t="s">
        <v>68</v>
      </c>
      <c r="F3994" t="s">
        <v>72</v>
      </c>
      <c r="G3994" s="4">
        <v>1</v>
      </c>
      <c r="H3994" s="4" t="s">
        <v>18</v>
      </c>
      <c r="I3994" s="4" t="s">
        <v>65</v>
      </c>
      <c r="J3994" s="4" t="s">
        <v>66</v>
      </c>
      <c r="K3994" s="4">
        <v>1</v>
      </c>
      <c r="L3994" s="94">
        <v>8299</v>
      </c>
      <c r="M3994" s="94">
        <v>8299</v>
      </c>
    </row>
    <row r="3995" spans="3:13" x14ac:dyDescent="0.3">
      <c r="C3995" t="s">
        <v>71</v>
      </c>
      <c r="D3995" t="s">
        <v>67</v>
      </c>
      <c r="E3995" t="s">
        <v>63</v>
      </c>
      <c r="F3995" t="s">
        <v>25</v>
      </c>
      <c r="G3995" s="4">
        <v>9</v>
      </c>
      <c r="H3995" s="4" t="s">
        <v>75</v>
      </c>
      <c r="I3995" s="4" t="s">
        <v>69</v>
      </c>
      <c r="J3995" s="4" t="s">
        <v>66</v>
      </c>
      <c r="K3995" s="4">
        <v>0</v>
      </c>
      <c r="L3995" s="94">
        <v>-10858</v>
      </c>
      <c r="M3995" s="94">
        <v>0</v>
      </c>
    </row>
    <row r="3996" spans="3:13" x14ac:dyDescent="0.3">
      <c r="C3996" t="s">
        <v>71</v>
      </c>
      <c r="D3996" t="s">
        <v>67</v>
      </c>
      <c r="E3996" t="s">
        <v>68</v>
      </c>
      <c r="F3996" t="s">
        <v>25</v>
      </c>
      <c r="G3996" s="4">
        <v>2</v>
      </c>
      <c r="H3996" s="4" t="s">
        <v>77</v>
      </c>
      <c r="I3996" s="4" t="s">
        <v>69</v>
      </c>
      <c r="J3996" s="4" t="s">
        <v>66</v>
      </c>
      <c r="K3996" s="4">
        <v>0</v>
      </c>
      <c r="L3996" s="94">
        <v>33421</v>
      </c>
      <c r="M3996" s="94">
        <v>66842</v>
      </c>
    </row>
    <row r="3997" spans="3:13" x14ac:dyDescent="0.3">
      <c r="C3997" t="s">
        <v>61</v>
      </c>
      <c r="D3997" t="s">
        <v>62</v>
      </c>
      <c r="E3997" t="s">
        <v>68</v>
      </c>
      <c r="F3997" t="s">
        <v>24</v>
      </c>
      <c r="G3997" s="4">
        <v>8</v>
      </c>
      <c r="I3997" s="4" t="s">
        <v>69</v>
      </c>
      <c r="J3997" s="4" t="s">
        <v>66</v>
      </c>
      <c r="K3997" s="4">
        <v>1</v>
      </c>
      <c r="L3997" s="94">
        <v>634970</v>
      </c>
      <c r="M3997" s="94">
        <v>5079760</v>
      </c>
    </row>
    <row r="3998" spans="3:13" x14ac:dyDescent="0.3">
      <c r="C3998" t="s">
        <v>70</v>
      </c>
      <c r="D3998" t="s">
        <v>67</v>
      </c>
      <c r="E3998" t="s">
        <v>63</v>
      </c>
      <c r="F3998" t="s">
        <v>26</v>
      </c>
      <c r="G3998" s="4">
        <v>1</v>
      </c>
      <c r="H3998" s="4" t="s">
        <v>75</v>
      </c>
      <c r="I3998" s="4" t="s">
        <v>69</v>
      </c>
      <c r="J3998" s="4" t="s">
        <v>66</v>
      </c>
      <c r="K3998" s="4">
        <v>0</v>
      </c>
      <c r="L3998" s="94">
        <v>-57797</v>
      </c>
      <c r="M3998" s="94">
        <v>0</v>
      </c>
    </row>
    <row r="3999" spans="3:13" x14ac:dyDescent="0.3">
      <c r="C3999" t="s">
        <v>70</v>
      </c>
      <c r="D3999" t="s">
        <v>67</v>
      </c>
      <c r="E3999" t="s">
        <v>63</v>
      </c>
      <c r="F3999" t="s">
        <v>72</v>
      </c>
      <c r="G3999" s="4">
        <v>7</v>
      </c>
      <c r="H3999" s="4" t="s">
        <v>14</v>
      </c>
      <c r="I3999" s="4" t="s">
        <v>69</v>
      </c>
      <c r="J3999" s="4" t="s">
        <v>66</v>
      </c>
      <c r="K3999" s="4">
        <v>0</v>
      </c>
      <c r="L3999" s="94">
        <v>-3619</v>
      </c>
      <c r="M3999" s="94">
        <v>0</v>
      </c>
    </row>
    <row r="4000" spans="3:13" x14ac:dyDescent="0.3">
      <c r="C4000" t="s">
        <v>61</v>
      </c>
      <c r="D4000" t="s">
        <v>62</v>
      </c>
      <c r="E4000" t="s">
        <v>63</v>
      </c>
      <c r="F4000" t="s">
        <v>24</v>
      </c>
      <c r="G4000" s="4">
        <v>40</v>
      </c>
      <c r="I4000" s="4" t="s">
        <v>69</v>
      </c>
      <c r="J4000" s="4" t="s">
        <v>66</v>
      </c>
      <c r="K4000" s="4">
        <v>1</v>
      </c>
      <c r="L4000" s="94">
        <v>-642</v>
      </c>
      <c r="M4000" s="94">
        <v>0</v>
      </c>
    </row>
    <row r="4001" spans="3:13" x14ac:dyDescent="0.3">
      <c r="C4001" t="s">
        <v>61</v>
      </c>
      <c r="D4001" t="s">
        <v>67</v>
      </c>
      <c r="E4001" t="s">
        <v>68</v>
      </c>
      <c r="F4001" t="s">
        <v>26</v>
      </c>
      <c r="G4001" s="4">
        <v>1</v>
      </c>
      <c r="H4001" s="4" t="s">
        <v>18</v>
      </c>
      <c r="I4001" s="4" t="s">
        <v>69</v>
      </c>
      <c r="J4001" s="4" t="s">
        <v>66</v>
      </c>
      <c r="K4001" s="4">
        <v>0</v>
      </c>
      <c r="L4001" s="94">
        <v>217159382</v>
      </c>
      <c r="M4001" s="94">
        <v>217159382</v>
      </c>
    </row>
    <row r="4002" spans="3:13" x14ac:dyDescent="0.3">
      <c r="C4002" t="s">
        <v>70</v>
      </c>
      <c r="D4002" t="s">
        <v>67</v>
      </c>
      <c r="E4002" t="s">
        <v>63</v>
      </c>
      <c r="F4002" t="s">
        <v>72</v>
      </c>
      <c r="G4002" s="4">
        <v>4</v>
      </c>
      <c r="H4002" s="4" t="s">
        <v>81</v>
      </c>
      <c r="I4002" s="4" t="s">
        <v>69</v>
      </c>
      <c r="J4002" s="4" t="s">
        <v>66</v>
      </c>
      <c r="K4002" s="4">
        <v>0</v>
      </c>
      <c r="L4002" s="94">
        <v>-2954</v>
      </c>
      <c r="M4002" s="94">
        <v>0</v>
      </c>
    </row>
    <row r="4003" spans="3:13" x14ac:dyDescent="0.3">
      <c r="C4003" t="s">
        <v>61</v>
      </c>
      <c r="D4003" t="s">
        <v>67</v>
      </c>
      <c r="E4003" t="s">
        <v>68</v>
      </c>
      <c r="F4003" t="s">
        <v>25</v>
      </c>
      <c r="G4003" s="4">
        <v>-4</v>
      </c>
      <c r="H4003" s="4" t="s">
        <v>76</v>
      </c>
      <c r="I4003" s="4" t="s">
        <v>69</v>
      </c>
      <c r="J4003" s="4" t="s">
        <v>66</v>
      </c>
      <c r="K4003" s="4">
        <v>0</v>
      </c>
      <c r="L4003" s="94">
        <v>56</v>
      </c>
      <c r="M4003" s="94">
        <v>0</v>
      </c>
    </row>
    <row r="4004" spans="3:13" x14ac:dyDescent="0.3">
      <c r="C4004" t="s">
        <v>70</v>
      </c>
      <c r="D4004" t="s">
        <v>67</v>
      </c>
      <c r="E4004" t="s">
        <v>63</v>
      </c>
      <c r="F4004" t="s">
        <v>72</v>
      </c>
      <c r="G4004" s="4">
        <v>0</v>
      </c>
      <c r="H4004" s="4" t="s">
        <v>18</v>
      </c>
      <c r="I4004" s="4" t="s">
        <v>69</v>
      </c>
      <c r="J4004" s="4" t="s">
        <v>66</v>
      </c>
      <c r="K4004" s="4">
        <v>0</v>
      </c>
      <c r="L4004" s="94">
        <v>-4939</v>
      </c>
      <c r="M4004" s="94">
        <v>0</v>
      </c>
    </row>
    <row r="4005" spans="3:13" x14ac:dyDescent="0.3">
      <c r="C4005" t="s">
        <v>71</v>
      </c>
      <c r="D4005" t="s">
        <v>67</v>
      </c>
      <c r="E4005" t="s">
        <v>63</v>
      </c>
      <c r="F4005" t="s">
        <v>26</v>
      </c>
      <c r="G4005" s="4">
        <v>3</v>
      </c>
      <c r="H4005" s="4" t="s">
        <v>18</v>
      </c>
      <c r="I4005" s="4" t="s">
        <v>69</v>
      </c>
      <c r="J4005" s="4" t="s">
        <v>66</v>
      </c>
      <c r="K4005" s="4">
        <v>0</v>
      </c>
      <c r="L4005" s="94">
        <v>-2379118</v>
      </c>
      <c r="M4005" s="94">
        <v>0</v>
      </c>
    </row>
    <row r="4006" spans="3:13" x14ac:dyDescent="0.3">
      <c r="C4006" t="s">
        <v>70</v>
      </c>
      <c r="D4006" t="s">
        <v>67</v>
      </c>
      <c r="E4006" t="s">
        <v>68</v>
      </c>
      <c r="F4006" t="s">
        <v>26</v>
      </c>
      <c r="G4006" s="4">
        <v>2</v>
      </c>
      <c r="H4006" s="4" t="s">
        <v>12</v>
      </c>
      <c r="I4006" s="4" t="s">
        <v>69</v>
      </c>
      <c r="J4006" s="4" t="s">
        <v>66</v>
      </c>
      <c r="K4006" s="4">
        <v>0</v>
      </c>
      <c r="L4006" s="94">
        <v>1005127</v>
      </c>
      <c r="M4006" s="94">
        <v>2010254</v>
      </c>
    </row>
    <row r="4007" spans="3:13" x14ac:dyDescent="0.3">
      <c r="C4007" t="s">
        <v>70</v>
      </c>
      <c r="D4007" t="s">
        <v>67</v>
      </c>
      <c r="E4007" t="s">
        <v>63</v>
      </c>
      <c r="F4007" t="s">
        <v>26</v>
      </c>
      <c r="G4007" s="4">
        <v>0</v>
      </c>
      <c r="H4007" s="4" t="s">
        <v>18</v>
      </c>
      <c r="I4007" s="4" t="s">
        <v>69</v>
      </c>
      <c r="J4007" s="4" t="s">
        <v>66</v>
      </c>
      <c r="K4007" s="4">
        <v>0</v>
      </c>
      <c r="L4007" s="94">
        <v>-1172545</v>
      </c>
      <c r="M4007" s="94">
        <v>0</v>
      </c>
    </row>
    <row r="4008" spans="3:13" x14ac:dyDescent="0.3">
      <c r="C4008" t="s">
        <v>61</v>
      </c>
      <c r="D4008" t="s">
        <v>67</v>
      </c>
      <c r="E4008" t="s">
        <v>63</v>
      </c>
      <c r="F4008" t="s">
        <v>25</v>
      </c>
      <c r="G4008" s="4">
        <v>0</v>
      </c>
      <c r="H4008" s="4" t="s">
        <v>18</v>
      </c>
      <c r="I4008" s="4" t="s">
        <v>69</v>
      </c>
      <c r="J4008" s="4" t="s">
        <v>66</v>
      </c>
      <c r="K4008" s="4">
        <v>0</v>
      </c>
      <c r="L4008" s="94">
        <v>-1933</v>
      </c>
      <c r="M4008" s="94">
        <v>0</v>
      </c>
    </row>
    <row r="4009" spans="3:13" x14ac:dyDescent="0.3">
      <c r="C4009" t="s">
        <v>61</v>
      </c>
      <c r="D4009" t="s">
        <v>85</v>
      </c>
      <c r="E4009" t="s">
        <v>68</v>
      </c>
      <c r="F4009" t="s">
        <v>25</v>
      </c>
      <c r="G4009" s="4">
        <v>12</v>
      </c>
      <c r="H4009" s="4" t="s">
        <v>81</v>
      </c>
      <c r="I4009" s="4" t="s">
        <v>69</v>
      </c>
      <c r="J4009" s="4" t="s">
        <v>66</v>
      </c>
      <c r="K4009" s="4">
        <v>0</v>
      </c>
      <c r="L4009" s="94">
        <v>425209</v>
      </c>
      <c r="M4009" s="94">
        <v>5102508</v>
      </c>
    </row>
    <row r="4010" spans="3:13" x14ac:dyDescent="0.3">
      <c r="C4010" t="s">
        <v>70</v>
      </c>
      <c r="D4010" t="s">
        <v>67</v>
      </c>
      <c r="E4010" t="s">
        <v>63</v>
      </c>
      <c r="F4010" t="s">
        <v>72</v>
      </c>
      <c r="G4010" s="4">
        <v>2</v>
      </c>
      <c r="H4010" s="4" t="s">
        <v>17</v>
      </c>
      <c r="I4010" s="4" t="s">
        <v>65</v>
      </c>
      <c r="J4010" s="4" t="s">
        <v>73</v>
      </c>
      <c r="K4010" s="4">
        <v>1</v>
      </c>
      <c r="L4010" s="94">
        <v>-670</v>
      </c>
      <c r="M4010" s="94">
        <v>0</v>
      </c>
    </row>
    <row r="4011" spans="3:13" x14ac:dyDescent="0.3">
      <c r="C4011" t="s">
        <v>70</v>
      </c>
      <c r="D4011" t="s">
        <v>67</v>
      </c>
      <c r="E4011" t="s">
        <v>63</v>
      </c>
      <c r="F4011" t="s">
        <v>25</v>
      </c>
      <c r="G4011" s="4">
        <v>9</v>
      </c>
      <c r="H4011" s="4" t="s">
        <v>76</v>
      </c>
      <c r="I4011" s="4" t="s">
        <v>69</v>
      </c>
      <c r="J4011" s="4" t="s">
        <v>66</v>
      </c>
      <c r="K4011" s="4">
        <v>0</v>
      </c>
      <c r="L4011" s="94">
        <v>-199105</v>
      </c>
      <c r="M4011" s="94">
        <v>0</v>
      </c>
    </row>
    <row r="4012" spans="3:13" x14ac:dyDescent="0.3">
      <c r="C4012" t="s">
        <v>70</v>
      </c>
      <c r="D4012" t="s">
        <v>67</v>
      </c>
      <c r="E4012" t="s">
        <v>68</v>
      </c>
      <c r="F4012" t="s">
        <v>25</v>
      </c>
      <c r="G4012" s="4">
        <v>13</v>
      </c>
      <c r="H4012" s="4" t="s">
        <v>17</v>
      </c>
      <c r="I4012" s="4" t="s">
        <v>69</v>
      </c>
      <c r="J4012" s="4" t="s">
        <v>66</v>
      </c>
      <c r="K4012" s="4">
        <v>0</v>
      </c>
      <c r="L4012" s="94">
        <v>592266</v>
      </c>
      <c r="M4012" s="94">
        <v>7699458</v>
      </c>
    </row>
    <row r="4013" spans="3:13" x14ac:dyDescent="0.3">
      <c r="C4013" t="s">
        <v>71</v>
      </c>
      <c r="D4013" t="s">
        <v>67</v>
      </c>
      <c r="E4013" t="s">
        <v>63</v>
      </c>
      <c r="F4013" t="s">
        <v>72</v>
      </c>
      <c r="G4013" s="4">
        <v>0</v>
      </c>
      <c r="H4013" s="4" t="s">
        <v>18</v>
      </c>
      <c r="I4013" s="4" t="s">
        <v>69</v>
      </c>
      <c r="J4013" s="4" t="s">
        <v>73</v>
      </c>
      <c r="K4013" s="4">
        <v>1</v>
      </c>
      <c r="L4013" s="94">
        <v>-13448</v>
      </c>
      <c r="M4013" s="94">
        <v>0</v>
      </c>
    </row>
    <row r="4014" spans="3:13" x14ac:dyDescent="0.3">
      <c r="C4014" t="s">
        <v>61</v>
      </c>
      <c r="D4014" t="s">
        <v>67</v>
      </c>
      <c r="E4014" t="s">
        <v>68</v>
      </c>
      <c r="F4014" t="s">
        <v>72</v>
      </c>
      <c r="G4014" s="4">
        <v>-1</v>
      </c>
      <c r="H4014" s="4" t="s">
        <v>17</v>
      </c>
      <c r="I4014" s="4" t="s">
        <v>65</v>
      </c>
      <c r="J4014" s="4" t="s">
        <v>73</v>
      </c>
      <c r="K4014" s="4">
        <v>1</v>
      </c>
      <c r="L4014" s="94">
        <v>327571</v>
      </c>
      <c r="M4014" s="94">
        <v>0</v>
      </c>
    </row>
    <row r="4015" spans="3:13" x14ac:dyDescent="0.3">
      <c r="C4015" t="s">
        <v>61</v>
      </c>
      <c r="D4015" t="s">
        <v>67</v>
      </c>
      <c r="E4015" t="s">
        <v>68</v>
      </c>
      <c r="F4015" t="s">
        <v>72</v>
      </c>
      <c r="G4015" s="4">
        <v>7</v>
      </c>
      <c r="H4015" s="4" t="s">
        <v>79</v>
      </c>
      <c r="I4015" s="4" t="s">
        <v>69</v>
      </c>
      <c r="J4015" s="4" t="s">
        <v>66</v>
      </c>
      <c r="K4015" s="4">
        <v>0</v>
      </c>
      <c r="L4015" s="94">
        <v>1471948</v>
      </c>
      <c r="M4015" s="94">
        <v>10303636</v>
      </c>
    </row>
    <row r="4016" spans="3:13" x14ac:dyDescent="0.3">
      <c r="C4016" t="s">
        <v>70</v>
      </c>
      <c r="D4016" t="s">
        <v>67</v>
      </c>
      <c r="E4016" t="s">
        <v>68</v>
      </c>
      <c r="F4016" t="s">
        <v>72</v>
      </c>
      <c r="G4016" s="4">
        <v>0</v>
      </c>
      <c r="H4016" s="4" t="s">
        <v>12</v>
      </c>
      <c r="I4016" s="4" t="s">
        <v>65</v>
      </c>
      <c r="J4016" s="4" t="s">
        <v>73</v>
      </c>
      <c r="K4016" s="4">
        <v>1</v>
      </c>
      <c r="L4016" s="94">
        <v>2475</v>
      </c>
      <c r="M4016" s="94">
        <v>0</v>
      </c>
    </row>
    <row r="4017" spans="3:13" x14ac:dyDescent="0.3">
      <c r="C4017" t="s">
        <v>61</v>
      </c>
      <c r="D4017" t="s">
        <v>67</v>
      </c>
      <c r="E4017" t="s">
        <v>63</v>
      </c>
      <c r="F4017" t="s">
        <v>72</v>
      </c>
      <c r="G4017" s="4">
        <v>6</v>
      </c>
      <c r="H4017" s="4" t="s">
        <v>80</v>
      </c>
      <c r="I4017" s="4" t="s">
        <v>69</v>
      </c>
      <c r="J4017" s="4" t="s">
        <v>66</v>
      </c>
      <c r="K4017" s="4">
        <v>0</v>
      </c>
      <c r="L4017" s="94">
        <v>-488</v>
      </c>
      <c r="M4017" s="94">
        <v>0</v>
      </c>
    </row>
    <row r="4018" spans="3:13" x14ac:dyDescent="0.3">
      <c r="C4018" t="s">
        <v>61</v>
      </c>
      <c r="D4018" t="s">
        <v>67</v>
      </c>
      <c r="E4018" t="s">
        <v>63</v>
      </c>
      <c r="F4018" t="s">
        <v>25</v>
      </c>
      <c r="G4018" s="4">
        <v>4</v>
      </c>
      <c r="H4018" s="4" t="s">
        <v>18</v>
      </c>
      <c r="I4018" s="4" t="s">
        <v>69</v>
      </c>
      <c r="J4018" s="4" t="s">
        <v>66</v>
      </c>
      <c r="K4018" s="4">
        <v>1</v>
      </c>
      <c r="L4018" s="94">
        <v>-498</v>
      </c>
      <c r="M4018" s="94">
        <v>0</v>
      </c>
    </row>
    <row r="4019" spans="3:13" x14ac:dyDescent="0.3">
      <c r="C4019" t="s">
        <v>71</v>
      </c>
      <c r="D4019" t="s">
        <v>62</v>
      </c>
      <c r="E4019" t="s">
        <v>68</v>
      </c>
      <c r="F4019" t="s">
        <v>24</v>
      </c>
      <c r="G4019" s="4">
        <v>22</v>
      </c>
      <c r="I4019" s="4" t="s">
        <v>65</v>
      </c>
      <c r="J4019" s="4" t="s">
        <v>66</v>
      </c>
      <c r="K4019" s="4">
        <v>1</v>
      </c>
      <c r="L4019" s="94">
        <v>63747</v>
      </c>
      <c r="M4019" s="94">
        <v>1402434</v>
      </c>
    </row>
    <row r="4020" spans="3:13" x14ac:dyDescent="0.3">
      <c r="C4020" t="s">
        <v>70</v>
      </c>
      <c r="D4020" t="s">
        <v>67</v>
      </c>
      <c r="E4020" t="s">
        <v>63</v>
      </c>
      <c r="F4020" t="s">
        <v>25</v>
      </c>
      <c r="G4020" s="4">
        <v>4</v>
      </c>
      <c r="H4020" s="4" t="s">
        <v>17</v>
      </c>
      <c r="I4020" s="4" t="s">
        <v>69</v>
      </c>
      <c r="J4020" s="4" t="s">
        <v>66</v>
      </c>
      <c r="K4020" s="4">
        <v>1</v>
      </c>
      <c r="L4020" s="94">
        <v>-10564</v>
      </c>
      <c r="M4020" s="94">
        <v>0</v>
      </c>
    </row>
    <row r="4021" spans="3:13" x14ac:dyDescent="0.3">
      <c r="C4021" t="s">
        <v>61</v>
      </c>
      <c r="D4021" t="s">
        <v>67</v>
      </c>
      <c r="E4021" t="s">
        <v>68</v>
      </c>
      <c r="F4021" t="s">
        <v>72</v>
      </c>
      <c r="G4021" s="4">
        <v>3</v>
      </c>
      <c r="H4021" s="4" t="s">
        <v>75</v>
      </c>
      <c r="I4021" s="4" t="s">
        <v>65</v>
      </c>
      <c r="J4021" s="4" t="s">
        <v>66</v>
      </c>
      <c r="K4021" s="4">
        <v>1</v>
      </c>
      <c r="L4021" s="94">
        <v>44251</v>
      </c>
      <c r="M4021" s="94">
        <v>132753</v>
      </c>
    </row>
    <row r="4022" spans="3:13" x14ac:dyDescent="0.3">
      <c r="C4022" t="s">
        <v>61</v>
      </c>
      <c r="D4022" t="s">
        <v>67</v>
      </c>
      <c r="E4022" t="s">
        <v>63</v>
      </c>
      <c r="F4022" t="s">
        <v>72</v>
      </c>
      <c r="G4022" s="4">
        <v>4</v>
      </c>
      <c r="H4022" s="4" t="s">
        <v>81</v>
      </c>
      <c r="I4022" s="4" t="s">
        <v>69</v>
      </c>
      <c r="J4022" s="4" t="s">
        <v>66</v>
      </c>
      <c r="K4022" s="4">
        <v>0</v>
      </c>
      <c r="L4022" s="94">
        <v>-87</v>
      </c>
      <c r="M4022" s="94">
        <v>0</v>
      </c>
    </row>
    <row r="4023" spans="3:13" x14ac:dyDescent="0.3">
      <c r="C4023" t="s">
        <v>61</v>
      </c>
      <c r="D4023" t="s">
        <v>67</v>
      </c>
      <c r="E4023" t="s">
        <v>68</v>
      </c>
      <c r="F4023" t="s">
        <v>25</v>
      </c>
      <c r="G4023" s="4">
        <v>2</v>
      </c>
      <c r="H4023" s="4" t="s">
        <v>83</v>
      </c>
      <c r="I4023" s="4" t="s">
        <v>69</v>
      </c>
      <c r="J4023" s="4" t="s">
        <v>66</v>
      </c>
      <c r="K4023" s="4">
        <v>0</v>
      </c>
      <c r="L4023" s="94">
        <v>216196</v>
      </c>
      <c r="M4023" s="94">
        <v>432392</v>
      </c>
    </row>
    <row r="4024" spans="3:13" x14ac:dyDescent="0.3">
      <c r="C4024" t="s">
        <v>70</v>
      </c>
      <c r="D4024" t="s">
        <v>67</v>
      </c>
      <c r="E4024" t="s">
        <v>68</v>
      </c>
      <c r="F4024" t="s">
        <v>72</v>
      </c>
      <c r="G4024" s="4">
        <v>5</v>
      </c>
      <c r="H4024" s="4" t="s">
        <v>18</v>
      </c>
      <c r="I4024" s="4" t="s">
        <v>69</v>
      </c>
      <c r="J4024" s="4" t="s">
        <v>66</v>
      </c>
      <c r="K4024" s="4">
        <v>0</v>
      </c>
      <c r="L4024" s="94">
        <v>1623668</v>
      </c>
      <c r="M4024" s="94">
        <v>8118340</v>
      </c>
    </row>
    <row r="4025" spans="3:13" x14ac:dyDescent="0.3">
      <c r="C4025" t="s">
        <v>71</v>
      </c>
      <c r="D4025" t="s">
        <v>67</v>
      </c>
      <c r="E4025" t="s">
        <v>68</v>
      </c>
      <c r="F4025" t="s">
        <v>25</v>
      </c>
      <c r="G4025" s="4">
        <v>-4</v>
      </c>
      <c r="H4025" s="4" t="s">
        <v>79</v>
      </c>
      <c r="I4025" s="4" t="s">
        <v>69</v>
      </c>
      <c r="J4025" s="4" t="s">
        <v>66</v>
      </c>
      <c r="K4025" s="4">
        <v>0</v>
      </c>
      <c r="L4025" s="94">
        <v>45655</v>
      </c>
      <c r="M4025" s="94">
        <v>0</v>
      </c>
    </row>
    <row r="4026" spans="3:13" x14ac:dyDescent="0.3">
      <c r="C4026" t="s">
        <v>71</v>
      </c>
      <c r="D4026" t="s">
        <v>67</v>
      </c>
      <c r="E4026" t="s">
        <v>68</v>
      </c>
      <c r="F4026" t="s">
        <v>25</v>
      </c>
      <c r="G4026" s="4">
        <v>9</v>
      </c>
      <c r="H4026" s="4" t="s">
        <v>18</v>
      </c>
      <c r="I4026" s="4" t="s">
        <v>69</v>
      </c>
      <c r="J4026" s="4" t="s">
        <v>66</v>
      </c>
      <c r="K4026" s="4">
        <v>0</v>
      </c>
      <c r="L4026" s="94">
        <v>696272</v>
      </c>
      <c r="M4026" s="94">
        <v>6266448</v>
      </c>
    </row>
    <row r="4027" spans="3:13" x14ac:dyDescent="0.3">
      <c r="C4027" t="s">
        <v>71</v>
      </c>
      <c r="D4027" t="s">
        <v>62</v>
      </c>
      <c r="E4027" t="s">
        <v>68</v>
      </c>
      <c r="F4027" t="s">
        <v>24</v>
      </c>
      <c r="G4027" s="4">
        <v>34</v>
      </c>
      <c r="I4027" s="4" t="s">
        <v>69</v>
      </c>
      <c r="J4027" s="4" t="s">
        <v>66</v>
      </c>
      <c r="K4027" s="4">
        <v>1</v>
      </c>
      <c r="L4027" s="94">
        <v>49333</v>
      </c>
      <c r="M4027" s="94">
        <v>1677322</v>
      </c>
    </row>
    <row r="4028" spans="3:13" x14ac:dyDescent="0.3">
      <c r="C4028" t="s">
        <v>61</v>
      </c>
      <c r="D4028" t="s">
        <v>67</v>
      </c>
      <c r="E4028" t="s">
        <v>68</v>
      </c>
      <c r="F4028" t="s">
        <v>26</v>
      </c>
      <c r="G4028" s="4">
        <v>6</v>
      </c>
      <c r="H4028" s="4" t="s">
        <v>12</v>
      </c>
      <c r="I4028" s="4" t="s">
        <v>69</v>
      </c>
      <c r="J4028" s="4" t="s">
        <v>73</v>
      </c>
      <c r="K4028" s="4">
        <v>1</v>
      </c>
      <c r="L4028" s="94">
        <v>5443171</v>
      </c>
      <c r="M4028" s="94">
        <v>32659026</v>
      </c>
    </row>
    <row r="4029" spans="3:13" x14ac:dyDescent="0.3">
      <c r="C4029" t="s">
        <v>70</v>
      </c>
      <c r="D4029" t="s">
        <v>67</v>
      </c>
      <c r="E4029" t="s">
        <v>63</v>
      </c>
      <c r="F4029" t="s">
        <v>72</v>
      </c>
      <c r="G4029" s="4">
        <v>2</v>
      </c>
      <c r="H4029" s="4" t="s">
        <v>74</v>
      </c>
      <c r="I4029" s="4" t="s">
        <v>69</v>
      </c>
      <c r="J4029" s="4" t="s">
        <v>66</v>
      </c>
      <c r="K4029" s="4">
        <v>0</v>
      </c>
      <c r="L4029" s="94">
        <v>-32969</v>
      </c>
      <c r="M4029" s="94">
        <v>0</v>
      </c>
    </row>
    <row r="4030" spans="3:13" x14ac:dyDescent="0.3">
      <c r="C4030" t="s">
        <v>71</v>
      </c>
      <c r="D4030" t="s">
        <v>67</v>
      </c>
      <c r="E4030" t="s">
        <v>63</v>
      </c>
      <c r="F4030" t="s">
        <v>26</v>
      </c>
      <c r="G4030" s="4">
        <v>21</v>
      </c>
      <c r="H4030" s="4" t="s">
        <v>64</v>
      </c>
      <c r="I4030" s="4" t="s">
        <v>69</v>
      </c>
      <c r="J4030" s="4" t="s">
        <v>66</v>
      </c>
      <c r="K4030" s="4">
        <v>0</v>
      </c>
      <c r="L4030" s="94">
        <v>-4340854</v>
      </c>
      <c r="M4030" s="94">
        <v>0</v>
      </c>
    </row>
    <row r="4031" spans="3:13" x14ac:dyDescent="0.3">
      <c r="C4031" t="s">
        <v>71</v>
      </c>
      <c r="D4031" t="s">
        <v>67</v>
      </c>
      <c r="E4031" t="s">
        <v>68</v>
      </c>
      <c r="F4031" t="s">
        <v>25</v>
      </c>
      <c r="G4031" s="4">
        <v>11</v>
      </c>
      <c r="H4031" s="4" t="s">
        <v>18</v>
      </c>
      <c r="I4031" s="4" t="s">
        <v>69</v>
      </c>
      <c r="J4031" s="4" t="s">
        <v>66</v>
      </c>
      <c r="K4031" s="4">
        <v>0</v>
      </c>
      <c r="L4031" s="94">
        <v>80880</v>
      </c>
      <c r="M4031" s="94">
        <v>889680</v>
      </c>
    </row>
    <row r="4032" spans="3:13" x14ac:dyDescent="0.3">
      <c r="C4032" t="s">
        <v>71</v>
      </c>
      <c r="D4032" t="s">
        <v>67</v>
      </c>
      <c r="E4032" t="s">
        <v>68</v>
      </c>
      <c r="F4032" t="s">
        <v>72</v>
      </c>
      <c r="G4032" s="4">
        <v>2</v>
      </c>
      <c r="H4032" s="4" t="s">
        <v>12</v>
      </c>
      <c r="I4032" s="4" t="s">
        <v>69</v>
      </c>
      <c r="J4032" s="4" t="s">
        <v>66</v>
      </c>
      <c r="K4032" s="4">
        <v>0</v>
      </c>
      <c r="L4032" s="94">
        <v>121546</v>
      </c>
      <c r="M4032" s="94">
        <v>243092</v>
      </c>
    </row>
    <row r="4033" spans="3:13" x14ac:dyDescent="0.3">
      <c r="C4033" t="s">
        <v>70</v>
      </c>
      <c r="D4033" t="s">
        <v>84</v>
      </c>
      <c r="E4033" t="s">
        <v>63</v>
      </c>
      <c r="F4033" t="s">
        <v>25</v>
      </c>
      <c r="G4033" s="4">
        <v>-4</v>
      </c>
      <c r="H4033" s="4" t="s">
        <v>81</v>
      </c>
      <c r="I4033" s="4" t="s">
        <v>69</v>
      </c>
      <c r="J4033" s="4" t="s">
        <v>66</v>
      </c>
      <c r="K4033" s="4">
        <v>0</v>
      </c>
      <c r="L4033" s="94">
        <v>0</v>
      </c>
      <c r="M4033" s="94">
        <v>0</v>
      </c>
    </row>
    <row r="4034" spans="3:13" x14ac:dyDescent="0.3">
      <c r="C4034" t="s">
        <v>71</v>
      </c>
      <c r="D4034" t="s">
        <v>67</v>
      </c>
      <c r="E4034" t="s">
        <v>63</v>
      </c>
      <c r="F4034" t="s">
        <v>26</v>
      </c>
      <c r="G4034" s="4">
        <v>0</v>
      </c>
      <c r="H4034" s="4" t="s">
        <v>82</v>
      </c>
      <c r="I4034" s="4" t="s">
        <v>65</v>
      </c>
      <c r="J4034" s="4" t="s">
        <v>66</v>
      </c>
      <c r="K4034" s="4">
        <v>1</v>
      </c>
      <c r="L4034" s="94">
        <v>-7195</v>
      </c>
      <c r="M4034" s="94">
        <v>0</v>
      </c>
    </row>
    <row r="4035" spans="3:13" x14ac:dyDescent="0.3">
      <c r="C4035" t="s">
        <v>70</v>
      </c>
      <c r="D4035" t="s">
        <v>67</v>
      </c>
      <c r="E4035" t="s">
        <v>68</v>
      </c>
      <c r="F4035" t="s">
        <v>25</v>
      </c>
      <c r="G4035" s="4">
        <v>1</v>
      </c>
      <c r="H4035" s="4" t="s">
        <v>82</v>
      </c>
      <c r="I4035" s="4" t="s">
        <v>69</v>
      </c>
      <c r="J4035" s="4" t="s">
        <v>66</v>
      </c>
      <c r="K4035" s="4">
        <v>0</v>
      </c>
      <c r="L4035" s="94">
        <v>11254</v>
      </c>
      <c r="M4035" s="94">
        <v>11254</v>
      </c>
    </row>
    <row r="4036" spans="3:13" x14ac:dyDescent="0.3">
      <c r="C4036" t="s">
        <v>61</v>
      </c>
      <c r="D4036" t="s">
        <v>67</v>
      </c>
      <c r="E4036" t="s">
        <v>68</v>
      </c>
      <c r="F4036" t="s">
        <v>25</v>
      </c>
      <c r="G4036" s="4">
        <v>1</v>
      </c>
      <c r="H4036" s="4" t="s">
        <v>75</v>
      </c>
      <c r="I4036" s="4" t="s">
        <v>69</v>
      </c>
      <c r="J4036" s="4" t="s">
        <v>66</v>
      </c>
      <c r="K4036" s="4">
        <v>1</v>
      </c>
      <c r="L4036" s="94">
        <v>1865651</v>
      </c>
      <c r="M4036" s="94">
        <v>1865651</v>
      </c>
    </row>
    <row r="4037" spans="3:13" x14ac:dyDescent="0.3">
      <c r="C4037" t="s">
        <v>61</v>
      </c>
      <c r="D4037" t="s">
        <v>67</v>
      </c>
      <c r="E4037" t="s">
        <v>63</v>
      </c>
      <c r="F4037" t="s">
        <v>72</v>
      </c>
      <c r="G4037" s="4">
        <v>2</v>
      </c>
      <c r="H4037" s="4" t="s">
        <v>80</v>
      </c>
      <c r="I4037" s="4" t="s">
        <v>69</v>
      </c>
      <c r="J4037" s="4" t="s">
        <v>66</v>
      </c>
      <c r="K4037" s="4">
        <v>0</v>
      </c>
      <c r="L4037" s="94">
        <v>-971</v>
      </c>
      <c r="M4037" s="94">
        <v>0</v>
      </c>
    </row>
    <row r="4038" spans="3:13" x14ac:dyDescent="0.3">
      <c r="C4038" t="s">
        <v>61</v>
      </c>
      <c r="D4038" t="s">
        <v>62</v>
      </c>
      <c r="E4038" t="s">
        <v>63</v>
      </c>
      <c r="F4038" t="s">
        <v>24</v>
      </c>
      <c r="G4038" s="4">
        <v>18</v>
      </c>
      <c r="I4038" s="4" t="s">
        <v>69</v>
      </c>
      <c r="J4038" s="4" t="s">
        <v>66</v>
      </c>
      <c r="K4038" s="4">
        <v>0</v>
      </c>
      <c r="L4038" s="94">
        <v>-191115</v>
      </c>
      <c r="M4038" s="94">
        <v>0</v>
      </c>
    </row>
    <row r="4039" spans="3:13" x14ac:dyDescent="0.3">
      <c r="C4039" t="s">
        <v>61</v>
      </c>
      <c r="D4039" t="s">
        <v>62</v>
      </c>
      <c r="E4039" t="s">
        <v>63</v>
      </c>
      <c r="F4039" t="s">
        <v>25</v>
      </c>
      <c r="G4039" s="4">
        <v>11</v>
      </c>
      <c r="I4039" s="4" t="s">
        <v>69</v>
      </c>
      <c r="J4039" s="4" t="s">
        <v>66</v>
      </c>
      <c r="K4039" s="4">
        <v>1</v>
      </c>
      <c r="L4039" s="94">
        <v>-58</v>
      </c>
      <c r="M4039" s="94">
        <v>0</v>
      </c>
    </row>
    <row r="4040" spans="3:13" x14ac:dyDescent="0.3">
      <c r="C4040" t="s">
        <v>61</v>
      </c>
      <c r="D4040" t="s">
        <v>67</v>
      </c>
      <c r="E4040" t="s">
        <v>63</v>
      </c>
      <c r="F4040" t="s">
        <v>25</v>
      </c>
      <c r="G4040" s="4">
        <v>7</v>
      </c>
      <c r="H4040" s="4" t="s">
        <v>80</v>
      </c>
      <c r="I4040" s="4" t="s">
        <v>69</v>
      </c>
      <c r="J4040" s="4" t="s">
        <v>66</v>
      </c>
      <c r="K4040" s="4">
        <v>0</v>
      </c>
      <c r="L4040" s="94">
        <v>-99</v>
      </c>
      <c r="M4040" s="94">
        <v>0</v>
      </c>
    </row>
    <row r="4041" spans="3:13" x14ac:dyDescent="0.3">
      <c r="C4041" t="s">
        <v>70</v>
      </c>
      <c r="D4041" t="s">
        <v>62</v>
      </c>
      <c r="E4041" t="s">
        <v>63</v>
      </c>
      <c r="F4041" t="s">
        <v>24</v>
      </c>
      <c r="G4041" s="4">
        <v>38</v>
      </c>
      <c r="I4041" s="4" t="s">
        <v>65</v>
      </c>
      <c r="J4041" s="4" t="s">
        <v>66</v>
      </c>
      <c r="K4041" s="4">
        <v>1</v>
      </c>
      <c r="L4041" s="94">
        <v>-68732</v>
      </c>
      <c r="M4041" s="94">
        <v>0</v>
      </c>
    </row>
    <row r="4042" spans="3:13" x14ac:dyDescent="0.3">
      <c r="C4042" t="s">
        <v>61</v>
      </c>
      <c r="D4042" t="s">
        <v>62</v>
      </c>
      <c r="E4042" t="s">
        <v>63</v>
      </c>
      <c r="F4042" t="s">
        <v>24</v>
      </c>
      <c r="G4042" s="4">
        <v>14</v>
      </c>
      <c r="I4042" s="4" t="s">
        <v>65</v>
      </c>
      <c r="J4042" s="4" t="s">
        <v>66</v>
      </c>
      <c r="K4042" s="4">
        <v>1</v>
      </c>
      <c r="L4042" s="94">
        <v>-716</v>
      </c>
      <c r="M4042" s="94">
        <v>0</v>
      </c>
    </row>
    <row r="4043" spans="3:13" x14ac:dyDescent="0.3">
      <c r="C4043" t="s">
        <v>70</v>
      </c>
      <c r="D4043" t="s">
        <v>67</v>
      </c>
      <c r="E4043" t="s">
        <v>63</v>
      </c>
      <c r="F4043" t="s">
        <v>72</v>
      </c>
      <c r="G4043" s="4">
        <v>6</v>
      </c>
      <c r="H4043" s="4" t="s">
        <v>74</v>
      </c>
      <c r="I4043" s="4" t="s">
        <v>69</v>
      </c>
      <c r="J4043" s="4" t="s">
        <v>66</v>
      </c>
      <c r="K4043" s="4">
        <v>0</v>
      </c>
      <c r="L4043" s="94">
        <v>-14925</v>
      </c>
      <c r="M4043" s="94">
        <v>0</v>
      </c>
    </row>
    <row r="4044" spans="3:13" x14ac:dyDescent="0.3">
      <c r="C4044" t="s">
        <v>61</v>
      </c>
      <c r="D4044" t="s">
        <v>67</v>
      </c>
      <c r="E4044" t="s">
        <v>68</v>
      </c>
      <c r="F4044" t="s">
        <v>26</v>
      </c>
      <c r="G4044" s="4">
        <v>0</v>
      </c>
      <c r="H4044" s="4" t="s">
        <v>82</v>
      </c>
      <c r="I4044" s="4" t="s">
        <v>65</v>
      </c>
      <c r="J4044" s="4" t="s">
        <v>66</v>
      </c>
      <c r="K4044" s="4">
        <v>1</v>
      </c>
      <c r="L4044" s="94">
        <v>3776339</v>
      </c>
      <c r="M4044" s="94">
        <v>0</v>
      </c>
    </row>
    <row r="4045" spans="3:13" x14ac:dyDescent="0.3">
      <c r="C4045" t="s">
        <v>71</v>
      </c>
      <c r="D4045" t="s">
        <v>62</v>
      </c>
      <c r="E4045" t="s">
        <v>63</v>
      </c>
      <c r="F4045" t="s">
        <v>24</v>
      </c>
      <c r="G4045" s="4">
        <v>2</v>
      </c>
      <c r="I4045" s="4" t="s">
        <v>65</v>
      </c>
      <c r="J4045" s="4" t="s">
        <v>66</v>
      </c>
      <c r="K4045" s="4">
        <v>1</v>
      </c>
      <c r="L4045" s="94">
        <v>-1146</v>
      </c>
      <c r="M4045" s="94">
        <v>0</v>
      </c>
    </row>
    <row r="4046" spans="3:13" x14ac:dyDescent="0.3">
      <c r="C4046" t="s">
        <v>61</v>
      </c>
      <c r="D4046" t="s">
        <v>67</v>
      </c>
      <c r="E4046" t="s">
        <v>68</v>
      </c>
      <c r="F4046" t="s">
        <v>25</v>
      </c>
      <c r="G4046" s="4">
        <v>9</v>
      </c>
      <c r="H4046" s="4" t="s">
        <v>12</v>
      </c>
      <c r="I4046" s="4" t="s">
        <v>69</v>
      </c>
      <c r="J4046" s="4" t="s">
        <v>66</v>
      </c>
      <c r="K4046" s="4">
        <v>0</v>
      </c>
      <c r="L4046" s="94">
        <v>689800</v>
      </c>
      <c r="M4046" s="94">
        <v>6208200</v>
      </c>
    </row>
    <row r="4047" spans="3:13" x14ac:dyDescent="0.3">
      <c r="C4047" t="s">
        <v>70</v>
      </c>
      <c r="D4047" t="s">
        <v>67</v>
      </c>
      <c r="E4047" t="s">
        <v>68</v>
      </c>
      <c r="F4047" t="s">
        <v>25</v>
      </c>
      <c r="G4047" s="4">
        <v>-1</v>
      </c>
      <c r="H4047" s="4" t="s">
        <v>76</v>
      </c>
      <c r="I4047" s="4" t="s">
        <v>69</v>
      </c>
      <c r="J4047" s="4" t="s">
        <v>66</v>
      </c>
      <c r="K4047" s="4">
        <v>0</v>
      </c>
      <c r="L4047" s="94">
        <v>29800</v>
      </c>
      <c r="M4047" s="94">
        <v>0</v>
      </c>
    </row>
    <row r="4048" spans="3:13" x14ac:dyDescent="0.3">
      <c r="C4048" t="s">
        <v>61</v>
      </c>
      <c r="D4048" t="s">
        <v>67</v>
      </c>
      <c r="E4048" t="s">
        <v>68</v>
      </c>
      <c r="F4048" t="s">
        <v>25</v>
      </c>
      <c r="G4048" s="4">
        <v>8</v>
      </c>
      <c r="H4048" s="4" t="s">
        <v>82</v>
      </c>
      <c r="I4048" s="4" t="s">
        <v>69</v>
      </c>
      <c r="J4048" s="4" t="s">
        <v>66</v>
      </c>
      <c r="K4048" s="4">
        <v>1</v>
      </c>
      <c r="L4048" s="94">
        <v>74909</v>
      </c>
      <c r="M4048" s="94">
        <v>599272</v>
      </c>
    </row>
    <row r="4049" spans="3:13" x14ac:dyDescent="0.3">
      <c r="C4049" t="s">
        <v>70</v>
      </c>
      <c r="D4049" t="s">
        <v>67</v>
      </c>
      <c r="E4049" t="s">
        <v>68</v>
      </c>
      <c r="F4049" t="s">
        <v>25</v>
      </c>
      <c r="G4049" s="4">
        <v>8</v>
      </c>
      <c r="H4049" s="4" t="s">
        <v>75</v>
      </c>
      <c r="I4049" s="4" t="s">
        <v>69</v>
      </c>
      <c r="J4049" s="4" t="s">
        <v>66</v>
      </c>
      <c r="K4049" s="4">
        <v>0</v>
      </c>
      <c r="L4049" s="94">
        <v>10245215</v>
      </c>
      <c r="M4049" s="94">
        <v>81961720</v>
      </c>
    </row>
    <row r="4050" spans="3:13" x14ac:dyDescent="0.3">
      <c r="C4050" t="s">
        <v>61</v>
      </c>
      <c r="D4050" t="s">
        <v>84</v>
      </c>
      <c r="E4050" t="s">
        <v>63</v>
      </c>
      <c r="F4050" t="s">
        <v>25</v>
      </c>
      <c r="G4050" s="4">
        <v>6</v>
      </c>
      <c r="H4050" s="4" t="s">
        <v>81</v>
      </c>
      <c r="I4050" s="4" t="s">
        <v>69</v>
      </c>
      <c r="J4050" s="4" t="s">
        <v>66</v>
      </c>
      <c r="K4050" s="4">
        <v>0</v>
      </c>
      <c r="L4050" s="94">
        <v>-177</v>
      </c>
      <c r="M4050" s="94">
        <v>0</v>
      </c>
    </row>
    <row r="4051" spans="3:13" x14ac:dyDescent="0.3">
      <c r="C4051" t="s">
        <v>70</v>
      </c>
      <c r="D4051" t="s">
        <v>62</v>
      </c>
      <c r="E4051" t="s">
        <v>68</v>
      </c>
      <c r="F4051" t="s">
        <v>25</v>
      </c>
      <c r="G4051" s="4">
        <v>9</v>
      </c>
      <c r="I4051" s="4" t="s">
        <v>69</v>
      </c>
      <c r="J4051" s="4" t="s">
        <v>66</v>
      </c>
      <c r="K4051" s="4">
        <v>0</v>
      </c>
      <c r="L4051" s="94">
        <v>726785</v>
      </c>
      <c r="M4051" s="94">
        <v>6541065</v>
      </c>
    </row>
    <row r="4052" spans="3:13" x14ac:dyDescent="0.3">
      <c r="C4052" t="s">
        <v>70</v>
      </c>
      <c r="D4052" t="s">
        <v>62</v>
      </c>
      <c r="E4052" t="s">
        <v>63</v>
      </c>
      <c r="F4052" t="s">
        <v>24</v>
      </c>
      <c r="G4052" s="4">
        <v>22</v>
      </c>
      <c r="I4052" s="4" t="s">
        <v>69</v>
      </c>
      <c r="J4052" s="4" t="s">
        <v>73</v>
      </c>
      <c r="K4052" s="4">
        <v>1</v>
      </c>
      <c r="L4052" s="94">
        <v>-18</v>
      </c>
      <c r="M4052" s="94">
        <v>0</v>
      </c>
    </row>
    <row r="4053" spans="3:13" x14ac:dyDescent="0.3">
      <c r="C4053" t="s">
        <v>61</v>
      </c>
      <c r="D4053" t="s">
        <v>62</v>
      </c>
      <c r="E4053" t="s">
        <v>68</v>
      </c>
      <c r="F4053" t="s">
        <v>25</v>
      </c>
      <c r="G4053" s="4">
        <v>1</v>
      </c>
      <c r="I4053" s="4" t="s">
        <v>69</v>
      </c>
      <c r="J4053" s="4" t="s">
        <v>66</v>
      </c>
      <c r="K4053" s="4">
        <v>1</v>
      </c>
      <c r="L4053" s="94">
        <v>20688</v>
      </c>
      <c r="M4053" s="94">
        <v>20688</v>
      </c>
    </row>
    <row r="4054" spans="3:13" x14ac:dyDescent="0.3">
      <c r="C4054" t="s">
        <v>70</v>
      </c>
      <c r="D4054" t="s">
        <v>67</v>
      </c>
      <c r="E4054" t="s">
        <v>68</v>
      </c>
      <c r="F4054" t="s">
        <v>25</v>
      </c>
      <c r="G4054" s="4">
        <v>15</v>
      </c>
      <c r="H4054" s="4" t="s">
        <v>17</v>
      </c>
      <c r="I4054" s="4" t="s">
        <v>69</v>
      </c>
      <c r="J4054" s="4" t="s">
        <v>66</v>
      </c>
      <c r="K4054" s="4">
        <v>0</v>
      </c>
      <c r="L4054" s="94">
        <v>932324</v>
      </c>
      <c r="M4054" s="94">
        <v>13984860</v>
      </c>
    </row>
    <row r="4055" spans="3:13" x14ac:dyDescent="0.3">
      <c r="C4055" t="s">
        <v>71</v>
      </c>
      <c r="D4055" t="s">
        <v>67</v>
      </c>
      <c r="E4055" t="s">
        <v>63</v>
      </c>
      <c r="F4055" t="s">
        <v>26</v>
      </c>
      <c r="G4055" s="4">
        <v>7</v>
      </c>
      <c r="H4055" s="4" t="s">
        <v>12</v>
      </c>
      <c r="I4055" s="4" t="s">
        <v>69</v>
      </c>
      <c r="J4055" s="4" t="s">
        <v>73</v>
      </c>
      <c r="K4055" s="4">
        <v>1</v>
      </c>
      <c r="L4055" s="94">
        <v>-35797</v>
      </c>
      <c r="M4055" s="94">
        <v>0</v>
      </c>
    </row>
    <row r="4056" spans="3:13" x14ac:dyDescent="0.3">
      <c r="C4056" t="s">
        <v>61</v>
      </c>
      <c r="D4056" t="s">
        <v>67</v>
      </c>
      <c r="E4056" t="s">
        <v>63</v>
      </c>
      <c r="F4056" t="s">
        <v>26</v>
      </c>
      <c r="G4056" s="4">
        <v>11</v>
      </c>
      <c r="H4056" s="4" t="s">
        <v>76</v>
      </c>
      <c r="I4056" s="4" t="s">
        <v>69</v>
      </c>
      <c r="J4056" s="4" t="s">
        <v>66</v>
      </c>
      <c r="K4056" s="4">
        <v>0</v>
      </c>
      <c r="L4056" s="94">
        <v>-3889</v>
      </c>
      <c r="M4056" s="94">
        <v>0</v>
      </c>
    </row>
    <row r="4057" spans="3:13" x14ac:dyDescent="0.3">
      <c r="C4057" t="s">
        <v>70</v>
      </c>
      <c r="D4057" t="s">
        <v>67</v>
      </c>
      <c r="E4057" t="s">
        <v>63</v>
      </c>
      <c r="F4057" t="s">
        <v>25</v>
      </c>
      <c r="G4057" s="4">
        <v>5</v>
      </c>
      <c r="H4057" s="4" t="s">
        <v>12</v>
      </c>
      <c r="I4057" s="4" t="s">
        <v>69</v>
      </c>
      <c r="J4057" s="4" t="s">
        <v>66</v>
      </c>
      <c r="K4057" s="4">
        <v>0</v>
      </c>
      <c r="L4057" s="94">
        <v>-7330</v>
      </c>
      <c r="M4057" s="94">
        <v>0</v>
      </c>
    </row>
    <row r="4058" spans="3:13" x14ac:dyDescent="0.3">
      <c r="C4058" t="s">
        <v>70</v>
      </c>
      <c r="D4058" t="s">
        <v>67</v>
      </c>
      <c r="E4058" t="s">
        <v>68</v>
      </c>
      <c r="F4058" t="s">
        <v>72</v>
      </c>
      <c r="G4058" s="4">
        <v>6</v>
      </c>
      <c r="H4058" s="4" t="s">
        <v>79</v>
      </c>
      <c r="I4058" s="4" t="s">
        <v>69</v>
      </c>
      <c r="J4058" s="4" t="s">
        <v>66</v>
      </c>
      <c r="K4058" s="4">
        <v>0</v>
      </c>
      <c r="L4058" s="94">
        <v>504176</v>
      </c>
      <c r="M4058" s="94">
        <v>3025056</v>
      </c>
    </row>
    <row r="4059" spans="3:13" x14ac:dyDescent="0.3">
      <c r="C4059" t="s">
        <v>61</v>
      </c>
      <c r="D4059" t="s">
        <v>67</v>
      </c>
      <c r="E4059" t="s">
        <v>63</v>
      </c>
      <c r="F4059" t="s">
        <v>25</v>
      </c>
      <c r="G4059" s="4">
        <v>8</v>
      </c>
      <c r="H4059" s="4" t="s">
        <v>14</v>
      </c>
      <c r="I4059" s="4" t="s">
        <v>69</v>
      </c>
      <c r="J4059" s="4" t="s">
        <v>66</v>
      </c>
      <c r="K4059" s="4">
        <v>1</v>
      </c>
      <c r="L4059" s="94">
        <v>-22863</v>
      </c>
      <c r="M4059" s="94">
        <v>0</v>
      </c>
    </row>
    <row r="4060" spans="3:13" x14ac:dyDescent="0.3">
      <c r="C4060" t="s">
        <v>61</v>
      </c>
      <c r="D4060" t="s">
        <v>67</v>
      </c>
      <c r="E4060" t="s">
        <v>68</v>
      </c>
      <c r="F4060" t="s">
        <v>26</v>
      </c>
      <c r="G4060" s="4">
        <v>3</v>
      </c>
      <c r="H4060" s="4" t="s">
        <v>15</v>
      </c>
      <c r="I4060" s="4" t="s">
        <v>69</v>
      </c>
      <c r="J4060" s="4" t="s">
        <v>73</v>
      </c>
      <c r="K4060" s="4">
        <v>1</v>
      </c>
      <c r="L4060" s="94">
        <v>134155</v>
      </c>
      <c r="M4060" s="94">
        <v>402465</v>
      </c>
    </row>
    <row r="4061" spans="3:13" x14ac:dyDescent="0.3">
      <c r="C4061" t="s">
        <v>71</v>
      </c>
      <c r="D4061" t="s">
        <v>67</v>
      </c>
      <c r="E4061" t="s">
        <v>68</v>
      </c>
      <c r="F4061" t="s">
        <v>26</v>
      </c>
      <c r="G4061" s="4">
        <v>1</v>
      </c>
      <c r="H4061" s="4" t="s">
        <v>80</v>
      </c>
      <c r="I4061" s="4" t="s">
        <v>69</v>
      </c>
      <c r="J4061" s="4" t="s">
        <v>66</v>
      </c>
      <c r="K4061" s="4">
        <v>0</v>
      </c>
      <c r="L4061" s="94">
        <v>224973</v>
      </c>
      <c r="M4061" s="94">
        <v>224973</v>
      </c>
    </row>
    <row r="4062" spans="3:13" x14ac:dyDescent="0.3">
      <c r="C4062" t="s">
        <v>70</v>
      </c>
      <c r="D4062" t="s">
        <v>67</v>
      </c>
      <c r="E4062" t="s">
        <v>68</v>
      </c>
      <c r="F4062" t="s">
        <v>26</v>
      </c>
      <c r="G4062" s="4">
        <v>5</v>
      </c>
      <c r="H4062" s="4" t="s">
        <v>18</v>
      </c>
      <c r="I4062" s="4" t="s">
        <v>69</v>
      </c>
      <c r="J4062" s="4" t="s">
        <v>66</v>
      </c>
      <c r="K4062" s="4">
        <v>0</v>
      </c>
      <c r="L4062" s="94">
        <v>4515334</v>
      </c>
      <c r="M4062" s="94">
        <v>22576670</v>
      </c>
    </row>
    <row r="4063" spans="3:13" x14ac:dyDescent="0.3">
      <c r="C4063" t="s">
        <v>70</v>
      </c>
      <c r="D4063" t="s">
        <v>67</v>
      </c>
      <c r="E4063" t="s">
        <v>63</v>
      </c>
      <c r="F4063" t="s">
        <v>72</v>
      </c>
      <c r="G4063" s="4">
        <v>6</v>
      </c>
      <c r="H4063" s="4" t="s">
        <v>17</v>
      </c>
      <c r="I4063" s="4" t="s">
        <v>65</v>
      </c>
      <c r="J4063" s="4" t="s">
        <v>73</v>
      </c>
      <c r="K4063" s="4">
        <v>1</v>
      </c>
      <c r="L4063" s="94">
        <v>-8433</v>
      </c>
      <c r="M4063" s="94">
        <v>0</v>
      </c>
    </row>
    <row r="4064" spans="3:13" x14ac:dyDescent="0.3">
      <c r="C4064" t="s">
        <v>61</v>
      </c>
      <c r="D4064" t="s">
        <v>67</v>
      </c>
      <c r="E4064" t="s">
        <v>63</v>
      </c>
      <c r="F4064" t="s">
        <v>26</v>
      </c>
      <c r="G4064" s="4">
        <v>5</v>
      </c>
      <c r="H4064" s="4" t="s">
        <v>75</v>
      </c>
      <c r="I4064" s="4" t="s">
        <v>69</v>
      </c>
      <c r="J4064" s="4" t="s">
        <v>66</v>
      </c>
      <c r="K4064" s="4">
        <v>0</v>
      </c>
      <c r="L4064" s="94">
        <v>-132621</v>
      </c>
      <c r="M4064" s="94">
        <v>0</v>
      </c>
    </row>
    <row r="4065" spans="3:13" x14ac:dyDescent="0.3">
      <c r="C4065" t="s">
        <v>70</v>
      </c>
      <c r="D4065" t="s">
        <v>67</v>
      </c>
      <c r="E4065" t="s">
        <v>68</v>
      </c>
      <c r="F4065" t="s">
        <v>25</v>
      </c>
      <c r="G4065" s="4">
        <v>7</v>
      </c>
      <c r="H4065" s="4" t="s">
        <v>79</v>
      </c>
      <c r="I4065" s="4" t="s">
        <v>69</v>
      </c>
      <c r="J4065" s="4" t="s">
        <v>66</v>
      </c>
      <c r="K4065" s="4">
        <v>0</v>
      </c>
      <c r="L4065" s="94">
        <v>389280</v>
      </c>
      <c r="M4065" s="94">
        <v>2724960</v>
      </c>
    </row>
    <row r="4066" spans="3:13" x14ac:dyDescent="0.3">
      <c r="C4066" t="s">
        <v>70</v>
      </c>
      <c r="D4066" t="s">
        <v>67</v>
      </c>
      <c r="E4066" t="s">
        <v>63</v>
      </c>
      <c r="F4066" t="s">
        <v>25</v>
      </c>
      <c r="G4066" s="4">
        <v>9</v>
      </c>
      <c r="H4066" s="4" t="s">
        <v>14</v>
      </c>
      <c r="I4066" s="4" t="s">
        <v>65</v>
      </c>
      <c r="J4066" s="4" t="s">
        <v>66</v>
      </c>
      <c r="K4066" s="4">
        <v>1</v>
      </c>
      <c r="L4066" s="94">
        <v>-8707</v>
      </c>
      <c r="M4066" s="94">
        <v>0</v>
      </c>
    </row>
    <row r="4067" spans="3:13" x14ac:dyDescent="0.3">
      <c r="C4067" t="s">
        <v>71</v>
      </c>
      <c r="D4067" t="s">
        <v>67</v>
      </c>
      <c r="E4067" t="s">
        <v>63</v>
      </c>
      <c r="F4067" t="s">
        <v>26</v>
      </c>
      <c r="G4067" s="4">
        <v>5</v>
      </c>
      <c r="H4067" s="4" t="s">
        <v>64</v>
      </c>
      <c r="I4067" s="4" t="s">
        <v>69</v>
      </c>
      <c r="J4067" s="4" t="s">
        <v>66</v>
      </c>
      <c r="K4067" s="4">
        <v>0</v>
      </c>
      <c r="L4067" s="94">
        <v>-357313</v>
      </c>
      <c r="M4067" s="94">
        <v>0</v>
      </c>
    </row>
    <row r="4068" spans="3:13" x14ac:dyDescent="0.3">
      <c r="C4068" t="s">
        <v>61</v>
      </c>
      <c r="D4068" t="s">
        <v>67</v>
      </c>
      <c r="E4068" t="s">
        <v>63</v>
      </c>
      <c r="F4068" t="s">
        <v>72</v>
      </c>
      <c r="G4068" s="4">
        <v>6</v>
      </c>
      <c r="H4068" s="4" t="s">
        <v>74</v>
      </c>
      <c r="I4068" s="4" t="s">
        <v>69</v>
      </c>
      <c r="J4068" s="4" t="s">
        <v>66</v>
      </c>
      <c r="K4068" s="4">
        <v>0</v>
      </c>
      <c r="L4068" s="94">
        <v>-1115</v>
      </c>
      <c r="M4068" s="94">
        <v>0</v>
      </c>
    </row>
    <row r="4069" spans="3:13" x14ac:dyDescent="0.3">
      <c r="C4069" t="s">
        <v>61</v>
      </c>
      <c r="D4069" t="s">
        <v>67</v>
      </c>
      <c r="E4069" t="s">
        <v>68</v>
      </c>
      <c r="F4069" t="s">
        <v>25</v>
      </c>
      <c r="G4069" s="4">
        <v>2</v>
      </c>
      <c r="H4069" s="4" t="s">
        <v>75</v>
      </c>
      <c r="I4069" s="4" t="s">
        <v>69</v>
      </c>
      <c r="J4069" s="4" t="s">
        <v>66</v>
      </c>
      <c r="K4069" s="4">
        <v>0</v>
      </c>
      <c r="L4069" s="94">
        <v>52780866</v>
      </c>
      <c r="M4069" s="94">
        <v>105561732</v>
      </c>
    </row>
    <row r="4070" spans="3:13" x14ac:dyDescent="0.3">
      <c r="C4070" t="s">
        <v>70</v>
      </c>
      <c r="D4070" t="s">
        <v>62</v>
      </c>
      <c r="E4070" t="s">
        <v>63</v>
      </c>
      <c r="F4070" t="s">
        <v>24</v>
      </c>
      <c r="G4070" s="4">
        <v>2</v>
      </c>
      <c r="I4070" s="4" t="s">
        <v>65</v>
      </c>
      <c r="J4070" s="4" t="s">
        <v>66</v>
      </c>
      <c r="K4070" s="4">
        <v>1</v>
      </c>
      <c r="L4070" s="94">
        <v>-290</v>
      </c>
      <c r="M4070" s="94">
        <v>0</v>
      </c>
    </row>
    <row r="4071" spans="3:13" x14ac:dyDescent="0.3">
      <c r="C4071" t="s">
        <v>61</v>
      </c>
      <c r="D4071" t="s">
        <v>67</v>
      </c>
      <c r="E4071" t="s">
        <v>68</v>
      </c>
      <c r="F4071" t="s">
        <v>25</v>
      </c>
      <c r="G4071" s="4">
        <v>5</v>
      </c>
      <c r="H4071" s="4" t="s">
        <v>82</v>
      </c>
      <c r="I4071" s="4" t="s">
        <v>69</v>
      </c>
      <c r="J4071" s="4" t="s">
        <v>66</v>
      </c>
      <c r="K4071" s="4">
        <v>0</v>
      </c>
      <c r="L4071" s="94">
        <v>1760226</v>
      </c>
      <c r="M4071" s="94">
        <v>8801130</v>
      </c>
    </row>
    <row r="4072" spans="3:13" x14ac:dyDescent="0.3">
      <c r="C4072" t="s">
        <v>71</v>
      </c>
      <c r="D4072" t="s">
        <v>67</v>
      </c>
      <c r="E4072" t="s">
        <v>63</v>
      </c>
      <c r="F4072" t="s">
        <v>25</v>
      </c>
      <c r="G4072" s="4">
        <v>2</v>
      </c>
      <c r="H4072" s="4" t="s">
        <v>75</v>
      </c>
      <c r="I4072" s="4" t="s">
        <v>69</v>
      </c>
      <c r="J4072" s="4" t="s">
        <v>66</v>
      </c>
      <c r="K4072" s="4">
        <v>0</v>
      </c>
      <c r="L4072" s="94">
        <v>-2488325</v>
      </c>
      <c r="M4072" s="94">
        <v>0</v>
      </c>
    </row>
    <row r="4073" spans="3:13" x14ac:dyDescent="0.3">
      <c r="C4073" t="s">
        <v>61</v>
      </c>
      <c r="D4073" t="s">
        <v>62</v>
      </c>
      <c r="E4073" t="s">
        <v>63</v>
      </c>
      <c r="F4073" t="s">
        <v>25</v>
      </c>
      <c r="G4073" s="4">
        <v>0</v>
      </c>
      <c r="I4073" s="4" t="s">
        <v>69</v>
      </c>
      <c r="J4073" s="4" t="s">
        <v>66</v>
      </c>
      <c r="K4073" s="4">
        <v>1</v>
      </c>
      <c r="L4073" s="94">
        <v>-68</v>
      </c>
      <c r="M4073" s="94">
        <v>0</v>
      </c>
    </row>
    <row r="4074" spans="3:13" x14ac:dyDescent="0.3">
      <c r="C4074" t="s">
        <v>70</v>
      </c>
      <c r="D4074" t="s">
        <v>67</v>
      </c>
      <c r="E4074" t="s">
        <v>63</v>
      </c>
      <c r="F4074" t="s">
        <v>72</v>
      </c>
      <c r="G4074" s="4">
        <v>2</v>
      </c>
      <c r="H4074" s="4" t="s">
        <v>80</v>
      </c>
      <c r="I4074" s="4" t="s">
        <v>69</v>
      </c>
      <c r="J4074" s="4" t="s">
        <v>66</v>
      </c>
      <c r="K4074" s="4">
        <v>0</v>
      </c>
      <c r="L4074" s="94">
        <v>-5379</v>
      </c>
      <c r="M4074" s="94">
        <v>0</v>
      </c>
    </row>
    <row r="4075" spans="3:13" x14ac:dyDescent="0.3">
      <c r="C4075" t="s">
        <v>71</v>
      </c>
      <c r="D4075" t="s">
        <v>67</v>
      </c>
      <c r="E4075" t="s">
        <v>68</v>
      </c>
      <c r="F4075" t="s">
        <v>25</v>
      </c>
      <c r="G4075" s="4">
        <v>4</v>
      </c>
      <c r="H4075" s="4" t="s">
        <v>76</v>
      </c>
      <c r="I4075" s="4" t="s">
        <v>65</v>
      </c>
      <c r="J4075" s="4" t="s">
        <v>66</v>
      </c>
      <c r="K4075" s="4">
        <v>1</v>
      </c>
      <c r="L4075" s="94">
        <v>6475</v>
      </c>
      <c r="M4075" s="94">
        <v>25900</v>
      </c>
    </row>
    <row r="4076" spans="3:13" x14ac:dyDescent="0.3">
      <c r="C4076" t="s">
        <v>71</v>
      </c>
      <c r="D4076" t="s">
        <v>62</v>
      </c>
      <c r="E4076" t="s">
        <v>68</v>
      </c>
      <c r="F4076" t="s">
        <v>25</v>
      </c>
      <c r="G4076" s="4">
        <v>0</v>
      </c>
      <c r="I4076" s="4" t="s">
        <v>69</v>
      </c>
      <c r="J4076" s="4" t="s">
        <v>66</v>
      </c>
      <c r="K4076" s="4">
        <v>0</v>
      </c>
      <c r="L4076" s="94">
        <v>76702</v>
      </c>
      <c r="M4076" s="94">
        <v>0</v>
      </c>
    </row>
    <row r="4077" spans="3:13" x14ac:dyDescent="0.3">
      <c r="C4077" t="s">
        <v>71</v>
      </c>
      <c r="D4077" t="s">
        <v>67</v>
      </c>
      <c r="E4077" t="s">
        <v>68</v>
      </c>
      <c r="F4077" t="s">
        <v>25</v>
      </c>
      <c r="G4077" s="4">
        <v>0</v>
      </c>
      <c r="H4077" s="4" t="s">
        <v>14</v>
      </c>
      <c r="I4077" s="4" t="s">
        <v>69</v>
      </c>
      <c r="J4077" s="4" t="s">
        <v>66</v>
      </c>
      <c r="K4077" s="4">
        <v>0</v>
      </c>
      <c r="L4077" s="94">
        <v>340003</v>
      </c>
      <c r="M4077" s="94">
        <v>0</v>
      </c>
    </row>
    <row r="4078" spans="3:13" x14ac:dyDescent="0.3">
      <c r="C4078" t="s">
        <v>61</v>
      </c>
      <c r="D4078" t="s">
        <v>67</v>
      </c>
      <c r="E4078" t="s">
        <v>63</v>
      </c>
      <c r="F4078" t="s">
        <v>25</v>
      </c>
      <c r="G4078" s="4">
        <v>14</v>
      </c>
      <c r="H4078" s="4" t="s">
        <v>76</v>
      </c>
      <c r="I4078" s="4" t="s">
        <v>69</v>
      </c>
      <c r="J4078" s="4" t="s">
        <v>66</v>
      </c>
      <c r="K4078" s="4">
        <v>0</v>
      </c>
      <c r="L4078" s="94">
        <v>-104358</v>
      </c>
      <c r="M4078" s="94">
        <v>0</v>
      </c>
    </row>
    <row r="4079" spans="3:13" x14ac:dyDescent="0.3">
      <c r="C4079" t="s">
        <v>71</v>
      </c>
      <c r="D4079" t="s">
        <v>67</v>
      </c>
      <c r="E4079" t="s">
        <v>63</v>
      </c>
      <c r="F4079" t="s">
        <v>25</v>
      </c>
      <c r="G4079" s="4">
        <v>8</v>
      </c>
      <c r="H4079" s="4" t="s">
        <v>18</v>
      </c>
      <c r="I4079" s="4" t="s">
        <v>69</v>
      </c>
      <c r="J4079" s="4" t="s">
        <v>66</v>
      </c>
      <c r="K4079" s="4">
        <v>1</v>
      </c>
      <c r="L4079" s="94">
        <v>-405480</v>
      </c>
      <c r="M4079" s="94">
        <v>0</v>
      </c>
    </row>
    <row r="4080" spans="3:13" x14ac:dyDescent="0.3">
      <c r="C4080" t="s">
        <v>71</v>
      </c>
      <c r="D4080" t="s">
        <v>67</v>
      </c>
      <c r="E4080" t="s">
        <v>63</v>
      </c>
      <c r="F4080" t="s">
        <v>26</v>
      </c>
      <c r="G4080" s="4">
        <v>4</v>
      </c>
      <c r="H4080" s="4" t="s">
        <v>18</v>
      </c>
      <c r="I4080" s="4" t="s">
        <v>69</v>
      </c>
      <c r="J4080" s="4" t="s">
        <v>73</v>
      </c>
      <c r="K4080" s="4">
        <v>1</v>
      </c>
      <c r="L4080" s="94">
        <v>-77034</v>
      </c>
      <c r="M4080" s="94">
        <v>0</v>
      </c>
    </row>
    <row r="4081" spans="3:13" x14ac:dyDescent="0.3">
      <c r="C4081" t="s">
        <v>70</v>
      </c>
      <c r="D4081" t="s">
        <v>67</v>
      </c>
      <c r="E4081" t="s">
        <v>63</v>
      </c>
      <c r="F4081" t="s">
        <v>25</v>
      </c>
      <c r="G4081" s="4">
        <v>14</v>
      </c>
      <c r="H4081" s="4" t="s">
        <v>82</v>
      </c>
      <c r="I4081" s="4" t="s">
        <v>69</v>
      </c>
      <c r="J4081" s="4" t="s">
        <v>66</v>
      </c>
      <c r="K4081" s="4">
        <v>0</v>
      </c>
      <c r="L4081" s="94">
        <v>-230740</v>
      </c>
      <c r="M4081" s="94">
        <v>0</v>
      </c>
    </row>
    <row r="4082" spans="3:13" x14ac:dyDescent="0.3">
      <c r="C4082" t="s">
        <v>71</v>
      </c>
      <c r="D4082" t="s">
        <v>67</v>
      </c>
      <c r="E4082" t="s">
        <v>68</v>
      </c>
      <c r="F4082" t="s">
        <v>25</v>
      </c>
      <c r="G4082" s="4">
        <v>0</v>
      </c>
      <c r="H4082" s="4" t="s">
        <v>14</v>
      </c>
      <c r="I4082" s="4" t="s">
        <v>69</v>
      </c>
      <c r="J4082" s="4" t="s">
        <v>73</v>
      </c>
      <c r="K4082" s="4">
        <v>1</v>
      </c>
      <c r="L4082" s="94">
        <v>4532</v>
      </c>
      <c r="M4082" s="94">
        <v>0</v>
      </c>
    </row>
    <row r="4083" spans="3:13" x14ac:dyDescent="0.3">
      <c r="C4083" t="s">
        <v>61</v>
      </c>
      <c r="D4083" t="s">
        <v>67</v>
      </c>
      <c r="E4083" t="s">
        <v>63</v>
      </c>
      <c r="F4083" t="s">
        <v>72</v>
      </c>
      <c r="G4083" s="4">
        <v>6</v>
      </c>
      <c r="H4083" s="4" t="s">
        <v>17</v>
      </c>
      <c r="I4083" s="4" t="s">
        <v>65</v>
      </c>
      <c r="J4083" s="4" t="s">
        <v>73</v>
      </c>
      <c r="K4083" s="4">
        <v>1</v>
      </c>
      <c r="L4083" s="94">
        <v>-417</v>
      </c>
      <c r="M4083" s="94">
        <v>0</v>
      </c>
    </row>
    <row r="4084" spans="3:13" x14ac:dyDescent="0.3">
      <c r="C4084" t="s">
        <v>70</v>
      </c>
      <c r="D4084" t="s">
        <v>67</v>
      </c>
      <c r="E4084" t="s">
        <v>68</v>
      </c>
      <c r="F4084" t="s">
        <v>72</v>
      </c>
      <c r="G4084" s="4">
        <v>2</v>
      </c>
      <c r="H4084" s="4" t="s">
        <v>14</v>
      </c>
      <c r="I4084" s="4" t="s">
        <v>69</v>
      </c>
      <c r="J4084" s="4" t="s">
        <v>73</v>
      </c>
      <c r="K4084" s="4">
        <v>1</v>
      </c>
      <c r="L4084" s="94">
        <v>1615773</v>
      </c>
      <c r="M4084" s="94">
        <v>3231546</v>
      </c>
    </row>
    <row r="4085" spans="3:13" x14ac:dyDescent="0.3">
      <c r="C4085" t="s">
        <v>70</v>
      </c>
      <c r="D4085" t="s">
        <v>67</v>
      </c>
      <c r="E4085" t="s">
        <v>68</v>
      </c>
      <c r="F4085" t="s">
        <v>72</v>
      </c>
      <c r="G4085" s="4">
        <v>1</v>
      </c>
      <c r="H4085" s="4" t="s">
        <v>76</v>
      </c>
      <c r="I4085" s="4" t="s">
        <v>69</v>
      </c>
      <c r="J4085" s="4" t="s">
        <v>66</v>
      </c>
      <c r="K4085" s="4">
        <v>0</v>
      </c>
      <c r="L4085" s="94">
        <v>145695</v>
      </c>
      <c r="M4085" s="94">
        <v>145695</v>
      </c>
    </row>
    <row r="4086" spans="3:13" x14ac:dyDescent="0.3">
      <c r="C4086" t="s">
        <v>70</v>
      </c>
      <c r="D4086" t="s">
        <v>67</v>
      </c>
      <c r="E4086" t="s">
        <v>68</v>
      </c>
      <c r="F4086" t="s">
        <v>26</v>
      </c>
      <c r="G4086" s="4">
        <v>0</v>
      </c>
      <c r="H4086" s="4" t="s">
        <v>13</v>
      </c>
      <c r="I4086" s="4" t="s">
        <v>69</v>
      </c>
      <c r="J4086" s="4" t="s">
        <v>66</v>
      </c>
      <c r="K4086" s="4">
        <v>0</v>
      </c>
      <c r="L4086" s="94">
        <v>8343</v>
      </c>
      <c r="M4086" s="94">
        <v>0</v>
      </c>
    </row>
    <row r="4087" spans="3:13" x14ac:dyDescent="0.3">
      <c r="C4087" t="s">
        <v>61</v>
      </c>
      <c r="D4087" t="s">
        <v>67</v>
      </c>
      <c r="E4087" t="s">
        <v>63</v>
      </c>
      <c r="F4087" t="s">
        <v>26</v>
      </c>
      <c r="G4087" s="4">
        <v>6</v>
      </c>
      <c r="H4087" s="4" t="s">
        <v>77</v>
      </c>
      <c r="I4087" s="4" t="s">
        <v>69</v>
      </c>
      <c r="J4087" s="4" t="s">
        <v>66</v>
      </c>
      <c r="K4087" s="4">
        <v>0</v>
      </c>
      <c r="L4087" s="94">
        <v>-131</v>
      </c>
      <c r="M4087" s="94">
        <v>0</v>
      </c>
    </row>
    <row r="4088" spans="3:13" x14ac:dyDescent="0.3">
      <c r="C4088" t="s">
        <v>71</v>
      </c>
      <c r="D4088" t="s">
        <v>67</v>
      </c>
      <c r="E4088" t="s">
        <v>63</v>
      </c>
      <c r="F4088" t="s">
        <v>26</v>
      </c>
      <c r="G4088" s="4">
        <v>9</v>
      </c>
      <c r="H4088" s="4" t="s">
        <v>13</v>
      </c>
      <c r="I4088" s="4" t="s">
        <v>69</v>
      </c>
      <c r="J4088" s="4" t="s">
        <v>73</v>
      </c>
      <c r="K4088" s="4">
        <v>1</v>
      </c>
      <c r="L4088" s="94">
        <v>-177956</v>
      </c>
      <c r="M4088" s="94">
        <v>0</v>
      </c>
    </row>
    <row r="4089" spans="3:13" x14ac:dyDescent="0.3">
      <c r="C4089" t="s">
        <v>70</v>
      </c>
      <c r="D4089" t="s">
        <v>67</v>
      </c>
      <c r="E4089" t="s">
        <v>68</v>
      </c>
      <c r="F4089" t="s">
        <v>26</v>
      </c>
      <c r="G4089" s="4">
        <v>8</v>
      </c>
      <c r="H4089" s="4" t="s">
        <v>79</v>
      </c>
      <c r="I4089" s="4" t="s">
        <v>69</v>
      </c>
      <c r="J4089" s="4" t="s">
        <v>66</v>
      </c>
      <c r="K4089" s="4">
        <v>0</v>
      </c>
      <c r="L4089" s="94">
        <v>2488956</v>
      </c>
      <c r="M4089" s="94">
        <v>19911648</v>
      </c>
    </row>
    <row r="4090" spans="3:13" x14ac:dyDescent="0.3">
      <c r="C4090" t="s">
        <v>70</v>
      </c>
      <c r="D4090" t="s">
        <v>67</v>
      </c>
      <c r="E4090" t="s">
        <v>68</v>
      </c>
      <c r="F4090" t="s">
        <v>26</v>
      </c>
      <c r="G4090" s="4">
        <v>2</v>
      </c>
      <c r="H4090" s="4" t="s">
        <v>17</v>
      </c>
      <c r="I4090" s="4" t="s">
        <v>65</v>
      </c>
      <c r="J4090" s="4" t="s">
        <v>73</v>
      </c>
      <c r="K4090" s="4">
        <v>1</v>
      </c>
      <c r="L4090" s="94">
        <v>151603</v>
      </c>
      <c r="M4090" s="94">
        <v>303206</v>
      </c>
    </row>
    <row r="4091" spans="3:13" x14ac:dyDescent="0.3">
      <c r="C4091" t="s">
        <v>70</v>
      </c>
      <c r="D4091" t="s">
        <v>62</v>
      </c>
      <c r="E4091" t="s">
        <v>68</v>
      </c>
      <c r="F4091" t="s">
        <v>24</v>
      </c>
      <c r="G4091" s="4">
        <v>35</v>
      </c>
      <c r="I4091" s="4" t="s">
        <v>65</v>
      </c>
      <c r="J4091" s="4" t="s">
        <v>66</v>
      </c>
      <c r="K4091" s="4">
        <v>1</v>
      </c>
      <c r="L4091" s="94">
        <v>1388530</v>
      </c>
      <c r="M4091" s="94">
        <v>48598550</v>
      </c>
    </row>
    <row r="4092" spans="3:13" x14ac:dyDescent="0.3">
      <c r="C4092" t="s">
        <v>71</v>
      </c>
      <c r="D4092" t="s">
        <v>67</v>
      </c>
      <c r="E4092" t="s">
        <v>68</v>
      </c>
      <c r="F4092" t="s">
        <v>26</v>
      </c>
      <c r="G4092" s="4">
        <v>-4</v>
      </c>
      <c r="H4092" s="4" t="s">
        <v>83</v>
      </c>
      <c r="I4092" s="4" t="s">
        <v>69</v>
      </c>
      <c r="J4092" s="4" t="s">
        <v>66</v>
      </c>
      <c r="K4092" s="4">
        <v>0</v>
      </c>
      <c r="L4092" s="94">
        <v>159466</v>
      </c>
      <c r="M4092" s="94">
        <v>0</v>
      </c>
    </row>
    <row r="4093" spans="3:13" x14ac:dyDescent="0.3">
      <c r="C4093" t="s">
        <v>61</v>
      </c>
      <c r="D4093" t="s">
        <v>62</v>
      </c>
      <c r="E4093" t="s">
        <v>68</v>
      </c>
      <c r="F4093" t="s">
        <v>25</v>
      </c>
      <c r="G4093" s="4">
        <v>31</v>
      </c>
      <c r="I4093" s="4" t="s">
        <v>65</v>
      </c>
      <c r="J4093" s="4" t="s">
        <v>66</v>
      </c>
      <c r="K4093" s="4">
        <v>1</v>
      </c>
      <c r="L4093" s="94">
        <v>71219</v>
      </c>
      <c r="M4093" s="94">
        <v>2207789</v>
      </c>
    </row>
    <row r="4094" spans="3:13" x14ac:dyDescent="0.3">
      <c r="C4094" t="s">
        <v>61</v>
      </c>
      <c r="D4094" t="s">
        <v>85</v>
      </c>
      <c r="E4094" t="s">
        <v>68</v>
      </c>
      <c r="F4094" t="s">
        <v>25</v>
      </c>
      <c r="G4094" s="4">
        <v>1</v>
      </c>
      <c r="H4094" s="4" t="s">
        <v>81</v>
      </c>
      <c r="I4094" s="4" t="s">
        <v>69</v>
      </c>
      <c r="J4094" s="4" t="s">
        <v>66</v>
      </c>
      <c r="K4094" s="4">
        <v>0</v>
      </c>
      <c r="L4094" s="94">
        <v>16678</v>
      </c>
      <c r="M4094" s="94">
        <v>16678</v>
      </c>
    </row>
    <row r="4095" spans="3:13" x14ac:dyDescent="0.3">
      <c r="C4095" t="s">
        <v>71</v>
      </c>
      <c r="D4095" t="s">
        <v>67</v>
      </c>
      <c r="E4095" t="s">
        <v>63</v>
      </c>
      <c r="F4095" t="s">
        <v>26</v>
      </c>
      <c r="G4095" s="4">
        <v>-4</v>
      </c>
      <c r="H4095" s="4" t="s">
        <v>14</v>
      </c>
      <c r="I4095" s="4" t="s">
        <v>69</v>
      </c>
      <c r="J4095" s="4" t="s">
        <v>73</v>
      </c>
      <c r="K4095" s="4">
        <v>1</v>
      </c>
      <c r="L4095" s="94">
        <v>-3838674</v>
      </c>
      <c r="M4095" s="94">
        <v>0</v>
      </c>
    </row>
    <row r="4096" spans="3:13" x14ac:dyDescent="0.3">
      <c r="C4096" t="s">
        <v>71</v>
      </c>
      <c r="D4096" t="s">
        <v>62</v>
      </c>
      <c r="E4096" t="s">
        <v>63</v>
      </c>
      <c r="F4096" t="s">
        <v>25</v>
      </c>
      <c r="G4096" s="4">
        <v>26</v>
      </c>
      <c r="I4096" s="4" t="s">
        <v>69</v>
      </c>
      <c r="J4096" s="4" t="s">
        <v>66</v>
      </c>
      <c r="K4096" s="4">
        <v>0</v>
      </c>
      <c r="L4096" s="94">
        <v>-48592</v>
      </c>
      <c r="M4096" s="94">
        <v>0</v>
      </c>
    </row>
    <row r="4097" spans="3:13" x14ac:dyDescent="0.3">
      <c r="C4097" t="s">
        <v>71</v>
      </c>
      <c r="D4097" t="s">
        <v>67</v>
      </c>
      <c r="E4097" t="s">
        <v>63</v>
      </c>
      <c r="F4097" t="s">
        <v>26</v>
      </c>
      <c r="G4097" s="4">
        <v>0</v>
      </c>
      <c r="H4097" s="4" t="s">
        <v>12</v>
      </c>
      <c r="I4097" s="4" t="s">
        <v>69</v>
      </c>
      <c r="J4097" s="4" t="s">
        <v>73</v>
      </c>
      <c r="K4097" s="4">
        <v>1</v>
      </c>
      <c r="L4097" s="94">
        <v>-23357</v>
      </c>
      <c r="M4097" s="94">
        <v>0</v>
      </c>
    </row>
    <row r="4098" spans="3:13" x14ac:dyDescent="0.3">
      <c r="C4098" t="s">
        <v>70</v>
      </c>
      <c r="D4098" t="s">
        <v>67</v>
      </c>
      <c r="E4098" t="s">
        <v>68</v>
      </c>
      <c r="F4098" t="s">
        <v>26</v>
      </c>
      <c r="G4098" s="4">
        <v>10</v>
      </c>
      <c r="H4098" s="4" t="s">
        <v>83</v>
      </c>
      <c r="I4098" s="4" t="s">
        <v>69</v>
      </c>
      <c r="J4098" s="4" t="s">
        <v>66</v>
      </c>
      <c r="K4098" s="4">
        <v>0</v>
      </c>
      <c r="L4098" s="94">
        <v>1437513</v>
      </c>
      <c r="M4098" s="94">
        <v>14375130</v>
      </c>
    </row>
    <row r="4099" spans="3:13" x14ac:dyDescent="0.3">
      <c r="C4099" t="s">
        <v>61</v>
      </c>
      <c r="D4099" t="s">
        <v>67</v>
      </c>
      <c r="E4099" t="s">
        <v>63</v>
      </c>
      <c r="F4099" t="s">
        <v>25</v>
      </c>
      <c r="G4099" s="4">
        <v>2</v>
      </c>
      <c r="H4099" s="4" t="s">
        <v>17</v>
      </c>
      <c r="I4099" s="4" t="s">
        <v>69</v>
      </c>
      <c r="J4099" s="4" t="s">
        <v>66</v>
      </c>
      <c r="K4099" s="4">
        <v>0</v>
      </c>
      <c r="L4099" s="94">
        <v>-381402</v>
      </c>
      <c r="M4099" s="94">
        <v>0</v>
      </c>
    </row>
    <row r="4100" spans="3:13" x14ac:dyDescent="0.3">
      <c r="C4100" t="s">
        <v>70</v>
      </c>
      <c r="D4100" t="s">
        <v>67</v>
      </c>
      <c r="E4100" t="s">
        <v>63</v>
      </c>
      <c r="F4100" t="s">
        <v>72</v>
      </c>
      <c r="G4100" s="4">
        <v>5</v>
      </c>
      <c r="H4100" s="4" t="s">
        <v>81</v>
      </c>
      <c r="I4100" s="4" t="s">
        <v>69</v>
      </c>
      <c r="J4100" s="4" t="s">
        <v>66</v>
      </c>
      <c r="K4100" s="4">
        <v>0</v>
      </c>
      <c r="L4100" s="94">
        <v>-794</v>
      </c>
      <c r="M4100" s="94">
        <v>0</v>
      </c>
    </row>
    <row r="4101" spans="3:13" x14ac:dyDescent="0.3">
      <c r="C4101" t="s">
        <v>61</v>
      </c>
      <c r="D4101" t="s">
        <v>67</v>
      </c>
      <c r="E4101" t="s">
        <v>68</v>
      </c>
      <c r="F4101" t="s">
        <v>25</v>
      </c>
      <c r="G4101" s="4">
        <v>-1</v>
      </c>
      <c r="H4101" s="4" t="s">
        <v>14</v>
      </c>
      <c r="I4101" s="4" t="s">
        <v>69</v>
      </c>
      <c r="J4101" s="4" t="s">
        <v>66</v>
      </c>
      <c r="K4101" s="4">
        <v>1</v>
      </c>
      <c r="L4101" s="94">
        <v>1280769</v>
      </c>
      <c r="M4101" s="94">
        <v>0</v>
      </c>
    </row>
    <row r="4102" spans="3:13" x14ac:dyDescent="0.3">
      <c r="C4102" t="s">
        <v>70</v>
      </c>
      <c r="D4102" t="s">
        <v>67</v>
      </c>
      <c r="E4102" t="s">
        <v>68</v>
      </c>
      <c r="F4102" t="s">
        <v>25</v>
      </c>
      <c r="G4102" s="4">
        <v>-1</v>
      </c>
      <c r="H4102" s="4" t="s">
        <v>18</v>
      </c>
      <c r="I4102" s="4" t="s">
        <v>69</v>
      </c>
      <c r="J4102" s="4" t="s">
        <v>66</v>
      </c>
      <c r="K4102" s="4">
        <v>0</v>
      </c>
      <c r="L4102" s="94">
        <v>826075</v>
      </c>
      <c r="M4102" s="94">
        <v>0</v>
      </c>
    </row>
    <row r="4103" spans="3:13" x14ac:dyDescent="0.3">
      <c r="C4103" t="s">
        <v>70</v>
      </c>
      <c r="D4103" t="s">
        <v>67</v>
      </c>
      <c r="E4103" t="s">
        <v>63</v>
      </c>
      <c r="F4103" t="s">
        <v>25</v>
      </c>
      <c r="G4103" s="4">
        <v>2</v>
      </c>
      <c r="H4103" s="4" t="s">
        <v>18</v>
      </c>
      <c r="I4103" s="4" t="s">
        <v>69</v>
      </c>
      <c r="J4103" s="4" t="s">
        <v>66</v>
      </c>
      <c r="K4103" s="4">
        <v>0</v>
      </c>
      <c r="L4103" s="94">
        <v>-48251</v>
      </c>
      <c r="M4103" s="94">
        <v>0</v>
      </c>
    </row>
    <row r="4104" spans="3:13" x14ac:dyDescent="0.3">
      <c r="C4104" t="s">
        <v>61</v>
      </c>
      <c r="D4104" t="s">
        <v>67</v>
      </c>
      <c r="E4104" t="s">
        <v>63</v>
      </c>
      <c r="F4104" t="s">
        <v>72</v>
      </c>
      <c r="G4104" s="4">
        <v>3</v>
      </c>
      <c r="H4104" s="4" t="s">
        <v>16</v>
      </c>
      <c r="I4104" s="4" t="s">
        <v>69</v>
      </c>
      <c r="J4104" s="4" t="s">
        <v>66</v>
      </c>
      <c r="K4104" s="4">
        <v>0</v>
      </c>
      <c r="L4104" s="94">
        <v>-654</v>
      </c>
      <c r="M4104" s="94">
        <v>0</v>
      </c>
    </row>
    <row r="4105" spans="3:13" x14ac:dyDescent="0.3">
      <c r="C4105" t="s">
        <v>71</v>
      </c>
      <c r="D4105" t="s">
        <v>67</v>
      </c>
      <c r="E4105" t="s">
        <v>68</v>
      </c>
      <c r="F4105" t="s">
        <v>25</v>
      </c>
      <c r="G4105" s="4">
        <v>11</v>
      </c>
      <c r="H4105" s="4" t="s">
        <v>76</v>
      </c>
      <c r="I4105" s="4" t="s">
        <v>69</v>
      </c>
      <c r="J4105" s="4" t="s">
        <v>66</v>
      </c>
      <c r="K4105" s="4">
        <v>0</v>
      </c>
      <c r="L4105" s="94">
        <v>92047</v>
      </c>
      <c r="M4105" s="94">
        <v>1012517</v>
      </c>
    </row>
    <row r="4106" spans="3:13" x14ac:dyDescent="0.3">
      <c r="C4106" t="s">
        <v>71</v>
      </c>
      <c r="D4106" t="s">
        <v>67</v>
      </c>
      <c r="E4106" t="s">
        <v>63</v>
      </c>
      <c r="F4106" t="s">
        <v>26</v>
      </c>
      <c r="G4106" s="4">
        <v>0</v>
      </c>
      <c r="H4106" s="4" t="s">
        <v>17</v>
      </c>
      <c r="I4106" s="4" t="s">
        <v>65</v>
      </c>
      <c r="J4106" s="4" t="s">
        <v>66</v>
      </c>
      <c r="K4106" s="4">
        <v>1</v>
      </c>
      <c r="L4106" s="94">
        <v>-12052</v>
      </c>
      <c r="M4106" s="94">
        <v>0</v>
      </c>
    </row>
    <row r="4107" spans="3:13" x14ac:dyDescent="0.3">
      <c r="C4107" t="s">
        <v>70</v>
      </c>
      <c r="D4107" t="s">
        <v>67</v>
      </c>
      <c r="E4107" t="s">
        <v>68</v>
      </c>
      <c r="F4107" t="s">
        <v>72</v>
      </c>
      <c r="G4107" s="4">
        <v>0</v>
      </c>
      <c r="H4107" s="4" t="s">
        <v>74</v>
      </c>
      <c r="I4107" s="4" t="s">
        <v>69</v>
      </c>
      <c r="J4107" s="4" t="s">
        <v>66</v>
      </c>
      <c r="K4107" s="4">
        <v>0</v>
      </c>
      <c r="L4107" s="94">
        <v>86549</v>
      </c>
      <c r="M4107" s="94">
        <v>0</v>
      </c>
    </row>
    <row r="4108" spans="3:13" x14ac:dyDescent="0.3">
      <c r="C4108" t="s">
        <v>61</v>
      </c>
      <c r="D4108" t="s">
        <v>62</v>
      </c>
      <c r="E4108" t="s">
        <v>68</v>
      </c>
      <c r="F4108" t="s">
        <v>24</v>
      </c>
      <c r="G4108" s="4">
        <v>35</v>
      </c>
      <c r="I4108" s="4" t="s">
        <v>69</v>
      </c>
      <c r="J4108" s="4" t="s">
        <v>66</v>
      </c>
      <c r="K4108" s="4">
        <v>0</v>
      </c>
      <c r="L4108" s="94">
        <v>1353274392</v>
      </c>
      <c r="M4108" s="94">
        <v>47364603720</v>
      </c>
    </row>
    <row r="4109" spans="3:13" x14ac:dyDescent="0.3">
      <c r="C4109" t="s">
        <v>70</v>
      </c>
      <c r="D4109" t="s">
        <v>67</v>
      </c>
      <c r="E4109" t="s">
        <v>63</v>
      </c>
      <c r="F4109" t="s">
        <v>26</v>
      </c>
      <c r="G4109" s="4">
        <v>-1</v>
      </c>
      <c r="H4109" s="4" t="s">
        <v>14</v>
      </c>
      <c r="I4109" s="4" t="s">
        <v>65</v>
      </c>
      <c r="J4109" s="4" t="s">
        <v>73</v>
      </c>
      <c r="K4109" s="4">
        <v>1</v>
      </c>
      <c r="L4109" s="94">
        <v>-959</v>
      </c>
      <c r="M4109" s="94">
        <v>0</v>
      </c>
    </row>
    <row r="4110" spans="3:13" x14ac:dyDescent="0.3">
      <c r="C4110" t="s">
        <v>70</v>
      </c>
      <c r="D4110" t="s">
        <v>67</v>
      </c>
      <c r="E4110" t="s">
        <v>63</v>
      </c>
      <c r="F4110" t="s">
        <v>26</v>
      </c>
      <c r="G4110" s="4">
        <v>3</v>
      </c>
      <c r="H4110" s="4" t="s">
        <v>17</v>
      </c>
      <c r="I4110" s="4" t="s">
        <v>65</v>
      </c>
      <c r="J4110" s="4" t="s">
        <v>66</v>
      </c>
      <c r="K4110" s="4">
        <v>1</v>
      </c>
      <c r="L4110" s="94">
        <v>-10013</v>
      </c>
      <c r="M4110" s="94">
        <v>0</v>
      </c>
    </row>
    <row r="4111" spans="3:13" x14ac:dyDescent="0.3">
      <c r="C4111" t="s">
        <v>61</v>
      </c>
      <c r="D4111" t="s">
        <v>62</v>
      </c>
      <c r="E4111" t="s">
        <v>68</v>
      </c>
      <c r="F4111" t="s">
        <v>25</v>
      </c>
      <c r="G4111" s="4">
        <v>32</v>
      </c>
      <c r="I4111" s="4" t="s">
        <v>69</v>
      </c>
      <c r="J4111" s="4" t="s">
        <v>66</v>
      </c>
      <c r="K4111" s="4">
        <v>0</v>
      </c>
      <c r="L4111" s="94">
        <v>356359</v>
      </c>
      <c r="M4111" s="94">
        <v>11403488</v>
      </c>
    </row>
    <row r="4112" spans="3:13" x14ac:dyDescent="0.3">
      <c r="C4112" t="s">
        <v>61</v>
      </c>
      <c r="D4112" t="s">
        <v>84</v>
      </c>
      <c r="E4112" t="s">
        <v>63</v>
      </c>
      <c r="F4112" t="s">
        <v>25</v>
      </c>
      <c r="G4112" s="4">
        <v>1</v>
      </c>
      <c r="H4112" s="4" t="s">
        <v>81</v>
      </c>
      <c r="I4112" s="4" t="s">
        <v>69</v>
      </c>
      <c r="J4112" s="4" t="s">
        <v>66</v>
      </c>
      <c r="K4112" s="4">
        <v>0</v>
      </c>
      <c r="L4112" s="94">
        <v>-4176</v>
      </c>
      <c r="M4112" s="94">
        <v>0</v>
      </c>
    </row>
    <row r="4113" spans="3:13" x14ac:dyDescent="0.3">
      <c r="C4113" t="s">
        <v>71</v>
      </c>
      <c r="D4113" t="s">
        <v>67</v>
      </c>
      <c r="E4113" t="s">
        <v>68</v>
      </c>
      <c r="F4113" t="s">
        <v>25</v>
      </c>
      <c r="G4113" s="4">
        <v>7</v>
      </c>
      <c r="H4113" s="4" t="s">
        <v>14</v>
      </c>
      <c r="I4113" s="4" t="s">
        <v>69</v>
      </c>
      <c r="J4113" s="4" t="s">
        <v>66</v>
      </c>
      <c r="K4113" s="4">
        <v>1</v>
      </c>
      <c r="L4113" s="94">
        <v>301089</v>
      </c>
      <c r="M4113" s="94">
        <v>2107623</v>
      </c>
    </row>
    <row r="4114" spans="3:13" x14ac:dyDescent="0.3">
      <c r="C4114" t="s">
        <v>71</v>
      </c>
      <c r="D4114" t="s">
        <v>67</v>
      </c>
      <c r="E4114" t="s">
        <v>68</v>
      </c>
      <c r="F4114" t="s">
        <v>72</v>
      </c>
      <c r="G4114" s="4">
        <v>0</v>
      </c>
      <c r="H4114" s="4" t="s">
        <v>82</v>
      </c>
      <c r="I4114" s="4" t="s">
        <v>65</v>
      </c>
      <c r="J4114" s="4" t="s">
        <v>66</v>
      </c>
      <c r="K4114" s="4">
        <v>1</v>
      </c>
      <c r="L4114" s="94">
        <v>13698</v>
      </c>
      <c r="M4114" s="94">
        <v>0</v>
      </c>
    </row>
    <row r="4115" spans="3:13" x14ac:dyDescent="0.3">
      <c r="C4115" t="s">
        <v>70</v>
      </c>
      <c r="D4115" t="s">
        <v>62</v>
      </c>
      <c r="E4115" t="s">
        <v>68</v>
      </c>
      <c r="F4115" t="s">
        <v>25</v>
      </c>
      <c r="G4115" s="4">
        <v>33</v>
      </c>
      <c r="I4115" s="4" t="s">
        <v>69</v>
      </c>
      <c r="J4115" s="4" t="s">
        <v>66</v>
      </c>
      <c r="K4115" s="4">
        <v>0</v>
      </c>
      <c r="L4115" s="94">
        <v>83648</v>
      </c>
      <c r="M4115" s="94">
        <v>2760384</v>
      </c>
    </row>
    <row r="4116" spans="3:13" x14ac:dyDescent="0.3">
      <c r="C4116" t="s">
        <v>61</v>
      </c>
      <c r="D4116" t="s">
        <v>67</v>
      </c>
      <c r="E4116" t="s">
        <v>63</v>
      </c>
      <c r="F4116" t="s">
        <v>25</v>
      </c>
      <c r="G4116" s="4">
        <v>14</v>
      </c>
      <c r="H4116" s="4" t="s">
        <v>18</v>
      </c>
      <c r="I4116" s="4" t="s">
        <v>69</v>
      </c>
      <c r="J4116" s="4" t="s">
        <v>66</v>
      </c>
      <c r="K4116" s="4">
        <v>0</v>
      </c>
      <c r="L4116" s="94">
        <v>-6828</v>
      </c>
      <c r="M4116" s="94">
        <v>0</v>
      </c>
    </row>
    <row r="4117" spans="3:13" x14ac:dyDescent="0.3">
      <c r="C4117" t="s">
        <v>70</v>
      </c>
      <c r="D4117" t="s">
        <v>67</v>
      </c>
      <c r="E4117" t="s">
        <v>68</v>
      </c>
      <c r="F4117" t="s">
        <v>26</v>
      </c>
      <c r="G4117" s="4">
        <v>2</v>
      </c>
      <c r="H4117" s="4" t="s">
        <v>79</v>
      </c>
      <c r="I4117" s="4" t="s">
        <v>69</v>
      </c>
      <c r="J4117" s="4" t="s">
        <v>66</v>
      </c>
      <c r="K4117" s="4">
        <v>0</v>
      </c>
      <c r="L4117" s="94">
        <v>2426969</v>
      </c>
      <c r="M4117" s="94">
        <v>4853938</v>
      </c>
    </row>
    <row r="4118" spans="3:13" x14ac:dyDescent="0.3">
      <c r="C4118" t="s">
        <v>61</v>
      </c>
      <c r="D4118" t="s">
        <v>84</v>
      </c>
      <c r="E4118" t="s">
        <v>63</v>
      </c>
      <c r="F4118" t="s">
        <v>25</v>
      </c>
      <c r="G4118" s="4">
        <v>8</v>
      </c>
      <c r="H4118" s="4" t="s">
        <v>75</v>
      </c>
      <c r="I4118" s="4" t="s">
        <v>69</v>
      </c>
      <c r="J4118" s="4" t="s">
        <v>66</v>
      </c>
      <c r="K4118" s="4">
        <v>0</v>
      </c>
      <c r="L4118" s="94">
        <v>-539</v>
      </c>
      <c r="M4118" s="94">
        <v>0</v>
      </c>
    </row>
    <row r="4119" spans="3:13" x14ac:dyDescent="0.3">
      <c r="C4119" t="s">
        <v>70</v>
      </c>
      <c r="D4119" t="s">
        <v>67</v>
      </c>
      <c r="E4119" t="s">
        <v>63</v>
      </c>
      <c r="F4119" t="s">
        <v>72</v>
      </c>
      <c r="G4119" s="4">
        <v>-4</v>
      </c>
      <c r="H4119" s="4" t="s">
        <v>80</v>
      </c>
      <c r="I4119" s="4" t="s">
        <v>69</v>
      </c>
      <c r="J4119" s="4" t="s">
        <v>66</v>
      </c>
      <c r="K4119" s="4">
        <v>0</v>
      </c>
      <c r="L4119" s="94">
        <v>-57</v>
      </c>
      <c r="M4119" s="94">
        <v>0</v>
      </c>
    </row>
    <row r="4120" spans="3:13" x14ac:dyDescent="0.3">
      <c r="C4120" t="s">
        <v>61</v>
      </c>
      <c r="D4120" t="s">
        <v>67</v>
      </c>
      <c r="E4120" t="s">
        <v>68</v>
      </c>
      <c r="F4120" t="s">
        <v>25</v>
      </c>
      <c r="G4120" s="4">
        <v>5</v>
      </c>
      <c r="H4120" s="4" t="s">
        <v>17</v>
      </c>
      <c r="I4120" s="4" t="s">
        <v>69</v>
      </c>
      <c r="J4120" s="4" t="s">
        <v>66</v>
      </c>
      <c r="K4120" s="4">
        <v>0</v>
      </c>
      <c r="L4120" s="94">
        <v>33009556</v>
      </c>
      <c r="M4120" s="94">
        <v>165047780</v>
      </c>
    </row>
    <row r="4121" spans="3:13" x14ac:dyDescent="0.3">
      <c r="C4121" t="s">
        <v>70</v>
      </c>
      <c r="D4121" t="s">
        <v>62</v>
      </c>
      <c r="E4121" t="s">
        <v>68</v>
      </c>
      <c r="F4121" t="s">
        <v>24</v>
      </c>
      <c r="G4121" s="4">
        <v>12</v>
      </c>
      <c r="I4121" s="4" t="s">
        <v>65</v>
      </c>
      <c r="J4121" s="4" t="s">
        <v>66</v>
      </c>
      <c r="K4121" s="4">
        <v>1</v>
      </c>
      <c r="L4121" s="94">
        <v>193957</v>
      </c>
      <c r="M4121" s="94">
        <v>2327484</v>
      </c>
    </row>
    <row r="4122" spans="3:13" x14ac:dyDescent="0.3">
      <c r="C4122" t="s">
        <v>71</v>
      </c>
      <c r="D4122" t="s">
        <v>62</v>
      </c>
      <c r="E4122" t="s">
        <v>68</v>
      </c>
      <c r="F4122" t="s">
        <v>24</v>
      </c>
      <c r="G4122" s="4">
        <v>18</v>
      </c>
      <c r="I4122" s="4" t="s">
        <v>69</v>
      </c>
      <c r="J4122" s="4" t="s">
        <v>66</v>
      </c>
      <c r="K4122" s="4">
        <v>0</v>
      </c>
      <c r="L4122" s="94">
        <v>5595471</v>
      </c>
      <c r="M4122" s="94">
        <v>100718478</v>
      </c>
    </row>
    <row r="4123" spans="3:13" x14ac:dyDescent="0.3">
      <c r="C4123" t="s">
        <v>61</v>
      </c>
      <c r="D4123" t="s">
        <v>62</v>
      </c>
      <c r="E4123" t="s">
        <v>63</v>
      </c>
      <c r="F4123" t="s">
        <v>25</v>
      </c>
      <c r="G4123" s="4">
        <v>34</v>
      </c>
      <c r="I4123" s="4" t="s">
        <v>69</v>
      </c>
      <c r="J4123" s="4" t="s">
        <v>66</v>
      </c>
      <c r="K4123" s="4">
        <v>0</v>
      </c>
      <c r="L4123" s="94">
        <v>-343</v>
      </c>
      <c r="M4123" s="94">
        <v>0</v>
      </c>
    </row>
    <row r="4124" spans="3:13" x14ac:dyDescent="0.3">
      <c r="C4124" t="s">
        <v>70</v>
      </c>
      <c r="D4124" t="s">
        <v>67</v>
      </c>
      <c r="E4124" t="s">
        <v>68</v>
      </c>
      <c r="F4124" t="s">
        <v>25</v>
      </c>
      <c r="G4124" s="4">
        <v>2</v>
      </c>
      <c r="H4124" s="4" t="s">
        <v>17</v>
      </c>
      <c r="I4124" s="4" t="s">
        <v>69</v>
      </c>
      <c r="J4124" s="4" t="s">
        <v>66</v>
      </c>
      <c r="K4124" s="4">
        <v>1</v>
      </c>
      <c r="L4124" s="94">
        <v>246617</v>
      </c>
      <c r="M4124" s="94">
        <v>493234</v>
      </c>
    </row>
    <row r="4125" spans="3:13" x14ac:dyDescent="0.3">
      <c r="C4125" t="s">
        <v>61</v>
      </c>
      <c r="D4125" t="s">
        <v>67</v>
      </c>
      <c r="E4125" t="s">
        <v>68</v>
      </c>
      <c r="F4125" t="s">
        <v>25</v>
      </c>
      <c r="G4125" s="4">
        <v>11</v>
      </c>
      <c r="H4125" s="4" t="s">
        <v>79</v>
      </c>
      <c r="I4125" s="4" t="s">
        <v>69</v>
      </c>
      <c r="J4125" s="4" t="s">
        <v>66</v>
      </c>
      <c r="K4125" s="4">
        <v>0</v>
      </c>
      <c r="L4125" s="94">
        <v>8989407</v>
      </c>
      <c r="M4125" s="94">
        <v>98883477</v>
      </c>
    </row>
    <row r="4126" spans="3:13" x14ac:dyDescent="0.3">
      <c r="C4126" t="s">
        <v>61</v>
      </c>
      <c r="D4126" t="s">
        <v>67</v>
      </c>
      <c r="E4126" t="s">
        <v>68</v>
      </c>
      <c r="F4126" t="s">
        <v>72</v>
      </c>
      <c r="G4126" s="4">
        <v>2</v>
      </c>
      <c r="H4126" s="4" t="s">
        <v>17</v>
      </c>
      <c r="I4126" s="4" t="s">
        <v>65</v>
      </c>
      <c r="J4126" s="4" t="s">
        <v>73</v>
      </c>
      <c r="K4126" s="4">
        <v>1</v>
      </c>
      <c r="L4126" s="94">
        <v>87940</v>
      </c>
      <c r="M4126" s="94">
        <v>175880</v>
      </c>
    </row>
    <row r="4127" spans="3:13" x14ac:dyDescent="0.3">
      <c r="C4127" t="s">
        <v>61</v>
      </c>
      <c r="D4127" t="s">
        <v>84</v>
      </c>
      <c r="E4127" t="s">
        <v>68</v>
      </c>
      <c r="F4127" t="s">
        <v>25</v>
      </c>
      <c r="G4127" s="4">
        <v>6</v>
      </c>
      <c r="H4127" s="4" t="s">
        <v>81</v>
      </c>
      <c r="I4127" s="4" t="s">
        <v>69</v>
      </c>
      <c r="J4127" s="4" t="s">
        <v>66</v>
      </c>
      <c r="K4127" s="4">
        <v>0</v>
      </c>
      <c r="L4127" s="94">
        <v>206626</v>
      </c>
      <c r="M4127" s="94">
        <v>1239756</v>
      </c>
    </row>
    <row r="4128" spans="3:13" x14ac:dyDescent="0.3">
      <c r="C4128" t="s">
        <v>70</v>
      </c>
      <c r="D4128" t="s">
        <v>67</v>
      </c>
      <c r="E4128" t="s">
        <v>63</v>
      </c>
      <c r="F4128" t="s">
        <v>72</v>
      </c>
      <c r="G4128" s="4">
        <v>7</v>
      </c>
      <c r="H4128" s="4" t="s">
        <v>74</v>
      </c>
      <c r="I4128" s="4" t="s">
        <v>69</v>
      </c>
      <c r="J4128" s="4" t="s">
        <v>66</v>
      </c>
      <c r="K4128" s="4">
        <v>0</v>
      </c>
      <c r="L4128" s="94">
        <v>-9692</v>
      </c>
      <c r="M4128" s="94">
        <v>0</v>
      </c>
    </row>
    <row r="4129" spans="3:13" x14ac:dyDescent="0.3">
      <c r="C4129" t="s">
        <v>70</v>
      </c>
      <c r="D4129" t="s">
        <v>67</v>
      </c>
      <c r="E4129" t="s">
        <v>63</v>
      </c>
      <c r="F4129" t="s">
        <v>72</v>
      </c>
      <c r="G4129" s="4">
        <v>0</v>
      </c>
      <c r="H4129" s="4" t="s">
        <v>76</v>
      </c>
      <c r="I4129" s="4" t="s">
        <v>69</v>
      </c>
      <c r="J4129" s="4" t="s">
        <v>66</v>
      </c>
      <c r="K4129" s="4">
        <v>0</v>
      </c>
      <c r="L4129" s="94">
        <v>-73</v>
      </c>
      <c r="M4129" s="94">
        <v>0</v>
      </c>
    </row>
    <row r="4130" spans="3:13" x14ac:dyDescent="0.3">
      <c r="C4130" t="s">
        <v>61</v>
      </c>
      <c r="D4130" t="s">
        <v>67</v>
      </c>
      <c r="E4130" t="s">
        <v>68</v>
      </c>
      <c r="F4130" t="s">
        <v>25</v>
      </c>
      <c r="G4130" s="4">
        <v>9</v>
      </c>
      <c r="H4130" s="4" t="s">
        <v>79</v>
      </c>
      <c r="I4130" s="4" t="s">
        <v>69</v>
      </c>
      <c r="J4130" s="4" t="s">
        <v>66</v>
      </c>
      <c r="K4130" s="4">
        <v>0</v>
      </c>
      <c r="L4130" s="94">
        <v>17784846</v>
      </c>
      <c r="M4130" s="94">
        <v>160063614</v>
      </c>
    </row>
    <row r="4131" spans="3:13" x14ac:dyDescent="0.3">
      <c r="C4131" t="s">
        <v>70</v>
      </c>
      <c r="D4131" t="s">
        <v>67</v>
      </c>
      <c r="E4131" t="s">
        <v>68</v>
      </c>
      <c r="F4131" t="s">
        <v>25</v>
      </c>
      <c r="G4131" s="4">
        <v>-4</v>
      </c>
      <c r="H4131" s="4" t="s">
        <v>14</v>
      </c>
      <c r="I4131" s="4" t="s">
        <v>69</v>
      </c>
      <c r="J4131" s="4" t="s">
        <v>66</v>
      </c>
      <c r="K4131" s="4">
        <v>1</v>
      </c>
      <c r="L4131" s="94">
        <v>218</v>
      </c>
      <c r="M4131" s="94">
        <v>0</v>
      </c>
    </row>
    <row r="4132" spans="3:13" x14ac:dyDescent="0.3">
      <c r="C4132" t="s">
        <v>70</v>
      </c>
      <c r="D4132" t="s">
        <v>67</v>
      </c>
      <c r="E4132" t="s">
        <v>63</v>
      </c>
      <c r="F4132" t="s">
        <v>72</v>
      </c>
      <c r="G4132" s="4">
        <v>1</v>
      </c>
      <c r="H4132" s="4" t="s">
        <v>82</v>
      </c>
      <c r="I4132" s="4" t="s">
        <v>65</v>
      </c>
      <c r="J4132" s="4" t="s">
        <v>66</v>
      </c>
      <c r="K4132" s="4">
        <v>1</v>
      </c>
      <c r="L4132" s="94">
        <v>-5899</v>
      </c>
      <c r="M4132" s="94">
        <v>0</v>
      </c>
    </row>
    <row r="4133" spans="3:13" x14ac:dyDescent="0.3">
      <c r="C4133" t="s">
        <v>61</v>
      </c>
      <c r="D4133" t="s">
        <v>67</v>
      </c>
      <c r="E4133" t="s">
        <v>68</v>
      </c>
      <c r="F4133" t="s">
        <v>26</v>
      </c>
      <c r="G4133" s="4">
        <v>2</v>
      </c>
      <c r="H4133" s="4" t="s">
        <v>16</v>
      </c>
      <c r="I4133" s="4" t="s">
        <v>65</v>
      </c>
      <c r="J4133" s="4" t="s">
        <v>66</v>
      </c>
      <c r="K4133" s="4">
        <v>1</v>
      </c>
      <c r="L4133" s="94">
        <v>219014</v>
      </c>
      <c r="M4133" s="94">
        <v>438028</v>
      </c>
    </row>
    <row r="4134" spans="3:13" x14ac:dyDescent="0.3">
      <c r="C4134" t="s">
        <v>70</v>
      </c>
      <c r="D4134" t="s">
        <v>67</v>
      </c>
      <c r="E4134" t="s">
        <v>68</v>
      </c>
      <c r="F4134" t="s">
        <v>72</v>
      </c>
      <c r="G4134" s="4">
        <v>3</v>
      </c>
      <c r="H4134" s="4" t="s">
        <v>83</v>
      </c>
      <c r="I4134" s="4" t="s">
        <v>69</v>
      </c>
      <c r="J4134" s="4" t="s">
        <v>66</v>
      </c>
      <c r="K4134" s="4">
        <v>0</v>
      </c>
      <c r="L4134" s="94">
        <v>215191</v>
      </c>
      <c r="M4134" s="94">
        <v>645573</v>
      </c>
    </row>
    <row r="4135" spans="3:13" x14ac:dyDescent="0.3">
      <c r="C4135" t="s">
        <v>61</v>
      </c>
      <c r="D4135" t="s">
        <v>67</v>
      </c>
      <c r="E4135" t="s">
        <v>68</v>
      </c>
      <c r="F4135" t="s">
        <v>25</v>
      </c>
      <c r="G4135" s="4">
        <v>4</v>
      </c>
      <c r="H4135" s="4" t="s">
        <v>17</v>
      </c>
      <c r="I4135" s="4" t="s">
        <v>69</v>
      </c>
      <c r="J4135" s="4" t="s">
        <v>66</v>
      </c>
      <c r="K4135" s="4">
        <v>0</v>
      </c>
      <c r="L4135" s="94">
        <v>9279069</v>
      </c>
      <c r="M4135" s="94">
        <v>37116276</v>
      </c>
    </row>
    <row r="4136" spans="3:13" x14ac:dyDescent="0.3">
      <c r="C4136" t="s">
        <v>70</v>
      </c>
      <c r="D4136" t="s">
        <v>67</v>
      </c>
      <c r="E4136" t="s">
        <v>68</v>
      </c>
      <c r="F4136" t="s">
        <v>72</v>
      </c>
      <c r="G4136" s="4">
        <v>0</v>
      </c>
      <c r="H4136" s="4" t="s">
        <v>80</v>
      </c>
      <c r="I4136" s="4" t="s">
        <v>69</v>
      </c>
      <c r="J4136" s="4" t="s">
        <v>66</v>
      </c>
      <c r="K4136" s="4">
        <v>0</v>
      </c>
      <c r="L4136" s="94">
        <v>4115</v>
      </c>
      <c r="M4136" s="94">
        <v>0</v>
      </c>
    </row>
    <row r="4137" spans="3:13" x14ac:dyDescent="0.3">
      <c r="C4137" t="s">
        <v>61</v>
      </c>
      <c r="D4137" t="s">
        <v>67</v>
      </c>
      <c r="E4137" t="s">
        <v>63</v>
      </c>
      <c r="F4137" t="s">
        <v>72</v>
      </c>
      <c r="G4137" s="4">
        <v>2</v>
      </c>
      <c r="H4137" s="4" t="s">
        <v>14</v>
      </c>
      <c r="I4137" s="4" t="s">
        <v>69</v>
      </c>
      <c r="J4137" s="4" t="s">
        <v>66</v>
      </c>
      <c r="K4137" s="4">
        <v>0</v>
      </c>
      <c r="L4137" s="94">
        <v>-7972</v>
      </c>
      <c r="M4137" s="94">
        <v>0</v>
      </c>
    </row>
    <row r="4138" spans="3:13" x14ac:dyDescent="0.3">
      <c r="C4138" t="s">
        <v>71</v>
      </c>
      <c r="D4138" t="s">
        <v>62</v>
      </c>
      <c r="E4138" t="s">
        <v>63</v>
      </c>
      <c r="F4138" t="s">
        <v>25</v>
      </c>
      <c r="G4138" s="4">
        <v>8</v>
      </c>
      <c r="I4138" s="4" t="s">
        <v>69</v>
      </c>
      <c r="J4138" s="4" t="s">
        <v>66</v>
      </c>
      <c r="K4138" s="4">
        <v>0</v>
      </c>
      <c r="L4138" s="94">
        <v>-113470</v>
      </c>
      <c r="M4138" s="94">
        <v>0</v>
      </c>
    </row>
    <row r="4139" spans="3:13" x14ac:dyDescent="0.3">
      <c r="C4139" t="s">
        <v>61</v>
      </c>
      <c r="D4139" t="s">
        <v>67</v>
      </c>
      <c r="E4139" t="s">
        <v>63</v>
      </c>
      <c r="F4139" t="s">
        <v>25</v>
      </c>
      <c r="G4139" s="4">
        <v>7</v>
      </c>
      <c r="H4139" s="4" t="s">
        <v>14</v>
      </c>
      <c r="I4139" s="4" t="s">
        <v>69</v>
      </c>
      <c r="J4139" s="4" t="s">
        <v>66</v>
      </c>
      <c r="K4139" s="4">
        <v>0</v>
      </c>
      <c r="L4139" s="94">
        <v>-2100</v>
      </c>
      <c r="M4139" s="94">
        <v>0</v>
      </c>
    </row>
    <row r="4140" spans="3:13" x14ac:dyDescent="0.3">
      <c r="C4140" t="s">
        <v>61</v>
      </c>
      <c r="D4140" t="s">
        <v>62</v>
      </c>
      <c r="E4140" t="s">
        <v>68</v>
      </c>
      <c r="F4140" t="s">
        <v>24</v>
      </c>
      <c r="G4140" s="4">
        <v>1</v>
      </c>
      <c r="I4140" s="4" t="s">
        <v>69</v>
      </c>
      <c r="J4140" s="4" t="s">
        <v>66</v>
      </c>
      <c r="K4140" s="4">
        <v>0</v>
      </c>
      <c r="L4140" s="94">
        <v>11744586</v>
      </c>
      <c r="M4140" s="94">
        <v>11744586</v>
      </c>
    </row>
    <row r="4141" spans="3:13" x14ac:dyDescent="0.3">
      <c r="C4141" t="s">
        <v>71</v>
      </c>
      <c r="D4141" t="s">
        <v>67</v>
      </c>
      <c r="E4141" t="s">
        <v>68</v>
      </c>
      <c r="F4141" t="s">
        <v>26</v>
      </c>
      <c r="G4141" s="4">
        <v>1</v>
      </c>
      <c r="H4141" s="4" t="s">
        <v>14</v>
      </c>
      <c r="I4141" s="4" t="s">
        <v>69</v>
      </c>
      <c r="J4141" s="4" t="s">
        <v>66</v>
      </c>
      <c r="K4141" s="4">
        <v>0</v>
      </c>
      <c r="L4141" s="94">
        <v>2639987</v>
      </c>
      <c r="M4141" s="94">
        <v>2639987</v>
      </c>
    </row>
    <row r="4142" spans="3:13" x14ac:dyDescent="0.3">
      <c r="C4142" t="s">
        <v>70</v>
      </c>
      <c r="D4142" t="s">
        <v>67</v>
      </c>
      <c r="E4142" t="s">
        <v>63</v>
      </c>
      <c r="F4142" t="s">
        <v>72</v>
      </c>
      <c r="G4142" s="4">
        <v>7</v>
      </c>
      <c r="H4142" s="4" t="s">
        <v>17</v>
      </c>
      <c r="I4142" s="4" t="s">
        <v>65</v>
      </c>
      <c r="J4142" s="4" t="s">
        <v>73</v>
      </c>
      <c r="K4142" s="4">
        <v>1</v>
      </c>
      <c r="L4142" s="94">
        <v>-1135</v>
      </c>
      <c r="M4142" s="94">
        <v>0</v>
      </c>
    </row>
    <row r="4143" spans="3:13" x14ac:dyDescent="0.3">
      <c r="C4143" t="s">
        <v>61</v>
      </c>
      <c r="D4143" t="s">
        <v>67</v>
      </c>
      <c r="E4143" t="s">
        <v>68</v>
      </c>
      <c r="F4143" t="s">
        <v>25</v>
      </c>
      <c r="G4143" s="4">
        <v>3</v>
      </c>
      <c r="H4143" s="4" t="s">
        <v>12</v>
      </c>
      <c r="I4143" s="4" t="s">
        <v>69</v>
      </c>
      <c r="J4143" s="4" t="s">
        <v>66</v>
      </c>
      <c r="K4143" s="4">
        <v>1</v>
      </c>
      <c r="L4143" s="94">
        <v>967612</v>
      </c>
      <c r="M4143" s="94">
        <v>2902836</v>
      </c>
    </row>
    <row r="4144" spans="3:13" x14ac:dyDescent="0.3">
      <c r="C4144" t="s">
        <v>71</v>
      </c>
      <c r="D4144" t="s">
        <v>67</v>
      </c>
      <c r="E4144" t="s">
        <v>68</v>
      </c>
      <c r="F4144" t="s">
        <v>26</v>
      </c>
      <c r="G4144" s="4">
        <v>-4</v>
      </c>
      <c r="H4144" s="4" t="s">
        <v>75</v>
      </c>
      <c r="I4144" s="4" t="s">
        <v>69</v>
      </c>
      <c r="J4144" s="4" t="s">
        <v>66</v>
      </c>
      <c r="K4144" s="4">
        <v>0</v>
      </c>
      <c r="L4144" s="94">
        <v>1738157</v>
      </c>
      <c r="M4144" s="94">
        <v>0</v>
      </c>
    </row>
    <row r="4145" spans="3:13" x14ac:dyDescent="0.3">
      <c r="C4145" t="s">
        <v>61</v>
      </c>
      <c r="D4145" t="s">
        <v>67</v>
      </c>
      <c r="E4145" t="s">
        <v>63</v>
      </c>
      <c r="F4145" t="s">
        <v>25</v>
      </c>
      <c r="G4145" s="4">
        <v>5</v>
      </c>
      <c r="H4145" s="4" t="s">
        <v>78</v>
      </c>
      <c r="I4145" s="4" t="s">
        <v>69</v>
      </c>
      <c r="J4145" s="4" t="s">
        <v>66</v>
      </c>
      <c r="K4145" s="4">
        <v>0</v>
      </c>
      <c r="L4145" s="94">
        <v>-1729</v>
      </c>
      <c r="M4145" s="94">
        <v>0</v>
      </c>
    </row>
    <row r="4146" spans="3:13" x14ac:dyDescent="0.3">
      <c r="C4146" t="s">
        <v>70</v>
      </c>
      <c r="D4146" t="s">
        <v>67</v>
      </c>
      <c r="E4146" t="s">
        <v>68</v>
      </c>
      <c r="F4146" t="s">
        <v>72</v>
      </c>
      <c r="G4146" s="4">
        <v>4</v>
      </c>
      <c r="H4146" s="4" t="s">
        <v>18</v>
      </c>
      <c r="I4146" s="4" t="s">
        <v>65</v>
      </c>
      <c r="J4146" s="4" t="s">
        <v>66</v>
      </c>
      <c r="K4146" s="4">
        <v>1</v>
      </c>
      <c r="L4146" s="94">
        <v>8138</v>
      </c>
      <c r="M4146" s="94">
        <v>32552</v>
      </c>
    </row>
    <row r="4147" spans="3:13" x14ac:dyDescent="0.3">
      <c r="C4147" t="s">
        <v>61</v>
      </c>
      <c r="D4147" t="s">
        <v>84</v>
      </c>
      <c r="E4147" t="s">
        <v>68</v>
      </c>
      <c r="F4147" t="s">
        <v>25</v>
      </c>
      <c r="G4147" s="4">
        <v>3</v>
      </c>
      <c r="H4147" s="4" t="s">
        <v>79</v>
      </c>
      <c r="I4147" s="4" t="s">
        <v>69</v>
      </c>
      <c r="J4147" s="4" t="s">
        <v>66</v>
      </c>
      <c r="K4147" s="4">
        <v>0</v>
      </c>
      <c r="L4147" s="94">
        <v>792943</v>
      </c>
      <c r="M4147" s="94">
        <v>2378829</v>
      </c>
    </row>
    <row r="4148" spans="3:13" x14ac:dyDescent="0.3">
      <c r="C4148" t="s">
        <v>70</v>
      </c>
      <c r="D4148" t="s">
        <v>67</v>
      </c>
      <c r="E4148" t="s">
        <v>63</v>
      </c>
      <c r="F4148" t="s">
        <v>72</v>
      </c>
      <c r="G4148" s="4">
        <v>2</v>
      </c>
      <c r="H4148" s="4" t="s">
        <v>14</v>
      </c>
      <c r="I4148" s="4" t="s">
        <v>69</v>
      </c>
      <c r="J4148" s="4" t="s">
        <v>66</v>
      </c>
      <c r="K4148" s="4">
        <v>0</v>
      </c>
      <c r="L4148" s="94">
        <v>-34732</v>
      </c>
      <c r="M4148" s="94">
        <v>0</v>
      </c>
    </row>
    <row r="4149" spans="3:13" x14ac:dyDescent="0.3">
      <c r="C4149" t="s">
        <v>70</v>
      </c>
      <c r="D4149" t="s">
        <v>67</v>
      </c>
      <c r="E4149" t="s">
        <v>63</v>
      </c>
      <c r="F4149" t="s">
        <v>26</v>
      </c>
      <c r="G4149" s="4">
        <v>7</v>
      </c>
      <c r="H4149" s="4" t="s">
        <v>18</v>
      </c>
      <c r="I4149" s="4" t="s">
        <v>69</v>
      </c>
      <c r="J4149" s="4" t="s">
        <v>66</v>
      </c>
      <c r="K4149" s="4">
        <v>0</v>
      </c>
      <c r="L4149" s="94">
        <v>-170550</v>
      </c>
      <c r="M4149" s="94">
        <v>0</v>
      </c>
    </row>
    <row r="4150" spans="3:13" x14ac:dyDescent="0.3">
      <c r="C4150" t="s">
        <v>71</v>
      </c>
      <c r="D4150" t="s">
        <v>67</v>
      </c>
      <c r="E4150" t="s">
        <v>63</v>
      </c>
      <c r="F4150" t="s">
        <v>25</v>
      </c>
      <c r="G4150" s="4">
        <v>7</v>
      </c>
      <c r="H4150" s="4" t="s">
        <v>18</v>
      </c>
      <c r="I4150" s="4" t="s">
        <v>69</v>
      </c>
      <c r="J4150" s="4" t="s">
        <v>66</v>
      </c>
      <c r="K4150" s="4">
        <v>0</v>
      </c>
      <c r="L4150" s="94">
        <v>-10387</v>
      </c>
      <c r="M4150" s="94">
        <v>0</v>
      </c>
    </row>
    <row r="4151" spans="3:13" x14ac:dyDescent="0.3">
      <c r="C4151" t="s">
        <v>61</v>
      </c>
      <c r="D4151" t="s">
        <v>67</v>
      </c>
      <c r="E4151" t="s">
        <v>63</v>
      </c>
      <c r="F4151" t="s">
        <v>72</v>
      </c>
      <c r="G4151" s="4">
        <v>7</v>
      </c>
      <c r="H4151" s="4" t="s">
        <v>74</v>
      </c>
      <c r="I4151" s="4" t="s">
        <v>69</v>
      </c>
      <c r="J4151" s="4" t="s">
        <v>66</v>
      </c>
      <c r="K4151" s="4">
        <v>0</v>
      </c>
      <c r="L4151" s="94">
        <v>-1502</v>
      </c>
      <c r="M4151" s="94">
        <v>0</v>
      </c>
    </row>
    <row r="4152" spans="3:13" x14ac:dyDescent="0.3">
      <c r="C4152" t="s">
        <v>61</v>
      </c>
      <c r="D4152" t="s">
        <v>67</v>
      </c>
      <c r="E4152" t="s">
        <v>68</v>
      </c>
      <c r="F4152" t="s">
        <v>25</v>
      </c>
      <c r="G4152" s="4">
        <v>17</v>
      </c>
      <c r="H4152" s="4" t="s">
        <v>75</v>
      </c>
      <c r="I4152" s="4" t="s">
        <v>69</v>
      </c>
      <c r="J4152" s="4" t="s">
        <v>66</v>
      </c>
      <c r="K4152" s="4">
        <v>0</v>
      </c>
      <c r="L4152" s="94">
        <v>2189149</v>
      </c>
      <c r="M4152" s="94">
        <v>37215533</v>
      </c>
    </row>
    <row r="4153" spans="3:13" x14ac:dyDescent="0.3">
      <c r="C4153" t="s">
        <v>70</v>
      </c>
      <c r="D4153" t="s">
        <v>67</v>
      </c>
      <c r="E4153" t="s">
        <v>63</v>
      </c>
      <c r="F4153" t="s">
        <v>26</v>
      </c>
      <c r="G4153" s="4">
        <v>-1</v>
      </c>
      <c r="H4153" s="4" t="s">
        <v>82</v>
      </c>
      <c r="I4153" s="4" t="s">
        <v>69</v>
      </c>
      <c r="J4153" s="4" t="s">
        <v>66</v>
      </c>
      <c r="K4153" s="4">
        <v>0</v>
      </c>
      <c r="L4153" s="94">
        <v>-506875</v>
      </c>
      <c r="M4153" s="94">
        <v>0</v>
      </c>
    </row>
    <row r="4154" spans="3:13" x14ac:dyDescent="0.3">
      <c r="C4154" t="s">
        <v>61</v>
      </c>
      <c r="D4154" t="s">
        <v>67</v>
      </c>
      <c r="E4154" t="s">
        <v>63</v>
      </c>
      <c r="F4154" t="s">
        <v>72</v>
      </c>
      <c r="G4154" s="4">
        <v>0</v>
      </c>
      <c r="H4154" s="4" t="s">
        <v>76</v>
      </c>
      <c r="I4154" s="4" t="s">
        <v>69</v>
      </c>
      <c r="J4154" s="4" t="s">
        <v>66</v>
      </c>
      <c r="K4154" s="4">
        <v>0</v>
      </c>
      <c r="L4154" s="94">
        <v>-445</v>
      </c>
      <c r="M4154" s="94">
        <v>0</v>
      </c>
    </row>
    <row r="4155" spans="3:13" x14ac:dyDescent="0.3">
      <c r="C4155" t="s">
        <v>70</v>
      </c>
      <c r="D4155" t="s">
        <v>67</v>
      </c>
      <c r="E4155" t="s">
        <v>68</v>
      </c>
      <c r="F4155" t="s">
        <v>72</v>
      </c>
      <c r="G4155" s="4">
        <v>5</v>
      </c>
      <c r="H4155" s="4" t="s">
        <v>76</v>
      </c>
      <c r="I4155" s="4" t="s">
        <v>69</v>
      </c>
      <c r="J4155" s="4" t="s">
        <v>66</v>
      </c>
      <c r="K4155" s="4">
        <v>0</v>
      </c>
      <c r="L4155" s="94">
        <v>509902</v>
      </c>
      <c r="M4155" s="94">
        <v>2549510</v>
      </c>
    </row>
    <row r="4156" spans="3:13" x14ac:dyDescent="0.3">
      <c r="C4156" t="s">
        <v>61</v>
      </c>
      <c r="D4156" t="s">
        <v>67</v>
      </c>
      <c r="E4156" t="s">
        <v>68</v>
      </c>
      <c r="F4156" t="s">
        <v>25</v>
      </c>
      <c r="G4156" s="4">
        <v>10</v>
      </c>
      <c r="H4156" s="4" t="s">
        <v>17</v>
      </c>
      <c r="I4156" s="4" t="s">
        <v>69</v>
      </c>
      <c r="J4156" s="4" t="s">
        <v>66</v>
      </c>
      <c r="K4156" s="4">
        <v>1</v>
      </c>
      <c r="L4156" s="94">
        <v>57413</v>
      </c>
      <c r="M4156" s="94">
        <v>574130</v>
      </c>
    </row>
    <row r="4157" spans="3:13" x14ac:dyDescent="0.3">
      <c r="C4157" t="s">
        <v>70</v>
      </c>
      <c r="D4157" t="s">
        <v>67</v>
      </c>
      <c r="E4157" t="s">
        <v>68</v>
      </c>
      <c r="F4157" t="s">
        <v>26</v>
      </c>
      <c r="G4157" s="4">
        <v>0</v>
      </c>
      <c r="H4157" s="4" t="s">
        <v>83</v>
      </c>
      <c r="I4157" s="4" t="s">
        <v>69</v>
      </c>
      <c r="J4157" s="4" t="s">
        <v>66</v>
      </c>
      <c r="K4157" s="4">
        <v>0</v>
      </c>
      <c r="L4157" s="94">
        <v>307119</v>
      </c>
      <c r="M4157" s="94">
        <v>0</v>
      </c>
    </row>
    <row r="4158" spans="3:13" x14ac:dyDescent="0.3">
      <c r="C4158" t="s">
        <v>70</v>
      </c>
      <c r="D4158" t="s">
        <v>62</v>
      </c>
      <c r="E4158" t="s">
        <v>63</v>
      </c>
      <c r="F4158" t="s">
        <v>24</v>
      </c>
      <c r="G4158" s="4">
        <v>45</v>
      </c>
      <c r="I4158" s="4" t="s">
        <v>69</v>
      </c>
      <c r="J4158" s="4" t="s">
        <v>66</v>
      </c>
      <c r="K4158" s="4">
        <v>0</v>
      </c>
      <c r="L4158" s="94">
        <v>-9744</v>
      </c>
      <c r="M4158" s="94">
        <v>0</v>
      </c>
    </row>
    <row r="4159" spans="3:13" x14ac:dyDescent="0.3">
      <c r="C4159" t="s">
        <v>70</v>
      </c>
      <c r="D4159" t="s">
        <v>67</v>
      </c>
      <c r="E4159" t="s">
        <v>68</v>
      </c>
      <c r="F4159" t="s">
        <v>25</v>
      </c>
      <c r="G4159" s="4">
        <v>12</v>
      </c>
      <c r="H4159" s="4" t="s">
        <v>12</v>
      </c>
      <c r="I4159" s="4" t="s">
        <v>69</v>
      </c>
      <c r="J4159" s="4" t="s">
        <v>66</v>
      </c>
      <c r="K4159" s="4">
        <v>1</v>
      </c>
      <c r="L4159" s="94">
        <v>15014</v>
      </c>
      <c r="M4159" s="94">
        <v>180168</v>
      </c>
    </row>
    <row r="4160" spans="3:13" x14ac:dyDescent="0.3">
      <c r="C4160" t="s">
        <v>61</v>
      </c>
      <c r="D4160" t="s">
        <v>62</v>
      </c>
      <c r="E4160" t="s">
        <v>63</v>
      </c>
      <c r="F4160" t="s">
        <v>25</v>
      </c>
      <c r="G4160" s="4">
        <v>21</v>
      </c>
      <c r="I4160" s="4" t="s">
        <v>65</v>
      </c>
      <c r="J4160" s="4" t="s">
        <v>66</v>
      </c>
      <c r="K4160" s="4">
        <v>1</v>
      </c>
      <c r="L4160" s="94">
        <v>-4</v>
      </c>
      <c r="M4160" s="94">
        <v>0</v>
      </c>
    </row>
    <row r="4161" spans="3:13" x14ac:dyDescent="0.3">
      <c r="C4161" t="s">
        <v>70</v>
      </c>
      <c r="D4161" t="s">
        <v>67</v>
      </c>
      <c r="E4161" t="s">
        <v>63</v>
      </c>
      <c r="F4161" t="s">
        <v>25</v>
      </c>
      <c r="G4161" s="4">
        <v>9</v>
      </c>
      <c r="H4161" s="4" t="s">
        <v>18</v>
      </c>
      <c r="I4161" s="4" t="s">
        <v>69</v>
      </c>
      <c r="J4161" s="4" t="s">
        <v>66</v>
      </c>
      <c r="K4161" s="4">
        <v>0</v>
      </c>
      <c r="L4161" s="94">
        <v>-157233</v>
      </c>
      <c r="M4161" s="94">
        <v>0</v>
      </c>
    </row>
    <row r="4162" spans="3:13" x14ac:dyDescent="0.3">
      <c r="C4162" t="s">
        <v>70</v>
      </c>
      <c r="D4162" t="s">
        <v>62</v>
      </c>
      <c r="E4162" t="s">
        <v>63</v>
      </c>
      <c r="F4162" t="s">
        <v>25</v>
      </c>
      <c r="G4162" s="4">
        <v>12</v>
      </c>
      <c r="I4162" s="4" t="s">
        <v>69</v>
      </c>
      <c r="J4162" s="4" t="s">
        <v>66</v>
      </c>
      <c r="K4162" s="4">
        <v>0</v>
      </c>
      <c r="L4162" s="94">
        <v>-24280</v>
      </c>
      <c r="M4162" s="94">
        <v>0</v>
      </c>
    </row>
    <row r="4163" spans="3:13" x14ac:dyDescent="0.3">
      <c r="C4163" t="s">
        <v>61</v>
      </c>
      <c r="D4163" t="s">
        <v>67</v>
      </c>
      <c r="E4163" t="s">
        <v>63</v>
      </c>
      <c r="F4163" t="s">
        <v>26</v>
      </c>
      <c r="G4163" s="4">
        <v>2</v>
      </c>
      <c r="H4163" s="4" t="s">
        <v>15</v>
      </c>
      <c r="I4163" s="4" t="s">
        <v>69</v>
      </c>
      <c r="J4163" s="4" t="s">
        <v>73</v>
      </c>
      <c r="K4163" s="4">
        <v>1</v>
      </c>
      <c r="L4163" s="94">
        <v>-1727</v>
      </c>
      <c r="M4163" s="94">
        <v>0</v>
      </c>
    </row>
    <row r="4164" spans="3:13" x14ac:dyDescent="0.3">
      <c r="C4164" t="s">
        <v>70</v>
      </c>
      <c r="D4164" t="s">
        <v>67</v>
      </c>
      <c r="E4164" t="s">
        <v>63</v>
      </c>
      <c r="F4164" t="s">
        <v>72</v>
      </c>
      <c r="G4164" s="4">
        <v>-1</v>
      </c>
      <c r="H4164" s="4" t="s">
        <v>18</v>
      </c>
      <c r="I4164" s="4" t="s">
        <v>69</v>
      </c>
      <c r="J4164" s="4" t="s">
        <v>73</v>
      </c>
      <c r="K4164" s="4">
        <v>1</v>
      </c>
      <c r="L4164" s="94">
        <v>-22</v>
      </c>
      <c r="M4164" s="94">
        <v>0</v>
      </c>
    </row>
    <row r="4165" spans="3:13" x14ac:dyDescent="0.3">
      <c r="C4165" t="s">
        <v>71</v>
      </c>
      <c r="D4165" t="s">
        <v>67</v>
      </c>
      <c r="E4165" t="s">
        <v>63</v>
      </c>
      <c r="F4165" t="s">
        <v>26</v>
      </c>
      <c r="G4165" s="4">
        <v>3</v>
      </c>
      <c r="H4165" s="4" t="s">
        <v>76</v>
      </c>
      <c r="I4165" s="4" t="s">
        <v>69</v>
      </c>
      <c r="J4165" s="4" t="s">
        <v>66</v>
      </c>
      <c r="K4165" s="4">
        <v>0</v>
      </c>
      <c r="L4165" s="94">
        <v>-660259</v>
      </c>
      <c r="M4165" s="94">
        <v>0</v>
      </c>
    </row>
    <row r="4166" spans="3:13" x14ac:dyDescent="0.3">
      <c r="C4166" t="s">
        <v>61</v>
      </c>
      <c r="D4166" t="s">
        <v>84</v>
      </c>
      <c r="E4166" t="s">
        <v>68</v>
      </c>
      <c r="F4166" t="s">
        <v>25</v>
      </c>
      <c r="G4166" s="4">
        <v>-1</v>
      </c>
      <c r="H4166" s="4" t="s">
        <v>74</v>
      </c>
      <c r="I4166" s="4" t="s">
        <v>69</v>
      </c>
      <c r="J4166" s="4" t="s">
        <v>66</v>
      </c>
      <c r="K4166" s="4">
        <v>0</v>
      </c>
      <c r="L4166" s="94">
        <v>300064</v>
      </c>
      <c r="M4166" s="94">
        <v>0</v>
      </c>
    </row>
    <row r="4167" spans="3:13" x14ac:dyDescent="0.3">
      <c r="C4167" t="s">
        <v>71</v>
      </c>
      <c r="D4167" t="s">
        <v>62</v>
      </c>
      <c r="E4167" t="s">
        <v>68</v>
      </c>
      <c r="F4167" t="s">
        <v>24</v>
      </c>
      <c r="G4167" s="4">
        <v>31</v>
      </c>
      <c r="I4167" s="4" t="s">
        <v>69</v>
      </c>
      <c r="J4167" s="4" t="s">
        <v>66</v>
      </c>
      <c r="K4167" s="4">
        <v>1</v>
      </c>
      <c r="L4167" s="94">
        <v>15278</v>
      </c>
      <c r="M4167" s="94">
        <v>473618</v>
      </c>
    </row>
    <row r="4168" spans="3:13" x14ac:dyDescent="0.3">
      <c r="C4168" t="s">
        <v>70</v>
      </c>
      <c r="D4168" t="s">
        <v>62</v>
      </c>
      <c r="E4168" t="s">
        <v>68</v>
      </c>
      <c r="F4168" t="s">
        <v>25</v>
      </c>
      <c r="G4168" s="4">
        <v>11</v>
      </c>
      <c r="I4168" s="4" t="s">
        <v>69</v>
      </c>
      <c r="J4168" s="4" t="s">
        <v>66</v>
      </c>
      <c r="K4168" s="4">
        <v>1</v>
      </c>
      <c r="L4168" s="94">
        <v>23658</v>
      </c>
      <c r="M4168" s="94">
        <v>260238</v>
      </c>
    </row>
    <row r="4169" spans="3:13" x14ac:dyDescent="0.3">
      <c r="C4169" t="s">
        <v>70</v>
      </c>
      <c r="D4169" t="s">
        <v>67</v>
      </c>
      <c r="E4169" t="s">
        <v>68</v>
      </c>
      <c r="F4169" t="s">
        <v>26</v>
      </c>
      <c r="G4169" s="4">
        <v>1</v>
      </c>
      <c r="H4169" s="4" t="s">
        <v>15</v>
      </c>
      <c r="I4169" s="4" t="s">
        <v>69</v>
      </c>
      <c r="J4169" s="4" t="s">
        <v>73</v>
      </c>
      <c r="K4169" s="4">
        <v>1</v>
      </c>
      <c r="L4169" s="94">
        <v>36178</v>
      </c>
      <c r="M4169" s="94">
        <v>36178</v>
      </c>
    </row>
    <row r="4170" spans="3:13" x14ac:dyDescent="0.3">
      <c r="C4170" t="s">
        <v>61</v>
      </c>
      <c r="D4170" t="s">
        <v>67</v>
      </c>
      <c r="E4170" t="s">
        <v>63</v>
      </c>
      <c r="F4170" t="s">
        <v>26</v>
      </c>
      <c r="G4170" s="4">
        <v>2</v>
      </c>
      <c r="H4170" s="4" t="s">
        <v>14</v>
      </c>
      <c r="I4170" s="4" t="s">
        <v>65</v>
      </c>
      <c r="J4170" s="4" t="s">
        <v>66</v>
      </c>
      <c r="K4170" s="4">
        <v>1</v>
      </c>
      <c r="L4170" s="94">
        <v>-556</v>
      </c>
      <c r="M4170" s="94">
        <v>0</v>
      </c>
    </row>
    <row r="4171" spans="3:13" x14ac:dyDescent="0.3">
      <c r="C4171" t="s">
        <v>70</v>
      </c>
      <c r="D4171" t="s">
        <v>67</v>
      </c>
      <c r="E4171" t="s">
        <v>63</v>
      </c>
      <c r="F4171" t="s">
        <v>25</v>
      </c>
      <c r="G4171" s="4">
        <v>0</v>
      </c>
      <c r="H4171" s="4" t="s">
        <v>82</v>
      </c>
      <c r="I4171" s="4" t="s">
        <v>69</v>
      </c>
      <c r="J4171" s="4" t="s">
        <v>66</v>
      </c>
      <c r="K4171" s="4">
        <v>0</v>
      </c>
      <c r="L4171" s="94">
        <v>-2859</v>
      </c>
      <c r="M4171" s="94">
        <v>0</v>
      </c>
    </row>
    <row r="4172" spans="3:13" x14ac:dyDescent="0.3">
      <c r="C4172" t="s">
        <v>70</v>
      </c>
      <c r="D4172" t="s">
        <v>67</v>
      </c>
      <c r="E4172" t="s">
        <v>63</v>
      </c>
      <c r="F4172" t="s">
        <v>72</v>
      </c>
      <c r="G4172" s="4">
        <v>-4</v>
      </c>
      <c r="H4172" s="4" t="s">
        <v>74</v>
      </c>
      <c r="I4172" s="4" t="s">
        <v>69</v>
      </c>
      <c r="J4172" s="4" t="s">
        <v>66</v>
      </c>
      <c r="K4172" s="4">
        <v>0</v>
      </c>
      <c r="L4172" s="94">
        <v>-363</v>
      </c>
      <c r="M4172" s="94">
        <v>0</v>
      </c>
    </row>
    <row r="4173" spans="3:13" x14ac:dyDescent="0.3">
      <c r="C4173" t="s">
        <v>61</v>
      </c>
      <c r="D4173" t="s">
        <v>67</v>
      </c>
      <c r="E4173" t="s">
        <v>68</v>
      </c>
      <c r="F4173" t="s">
        <v>25</v>
      </c>
      <c r="G4173" s="4">
        <v>16</v>
      </c>
      <c r="H4173" s="4" t="s">
        <v>83</v>
      </c>
      <c r="I4173" s="4" t="s">
        <v>69</v>
      </c>
      <c r="J4173" s="4" t="s">
        <v>66</v>
      </c>
      <c r="K4173" s="4">
        <v>0</v>
      </c>
      <c r="L4173" s="94">
        <v>66048</v>
      </c>
      <c r="M4173" s="94">
        <v>1056768</v>
      </c>
    </row>
    <row r="4174" spans="3:13" x14ac:dyDescent="0.3">
      <c r="C4174" t="s">
        <v>61</v>
      </c>
      <c r="D4174" t="s">
        <v>62</v>
      </c>
      <c r="E4174" t="s">
        <v>68</v>
      </c>
      <c r="F4174" t="s">
        <v>24</v>
      </c>
      <c r="G4174" s="4">
        <v>16</v>
      </c>
      <c r="I4174" s="4" t="s">
        <v>65</v>
      </c>
      <c r="J4174" s="4" t="s">
        <v>66</v>
      </c>
      <c r="K4174" s="4">
        <v>1</v>
      </c>
      <c r="L4174" s="94">
        <v>3488190</v>
      </c>
      <c r="M4174" s="94">
        <v>55811040</v>
      </c>
    </row>
    <row r="4175" spans="3:13" x14ac:dyDescent="0.3">
      <c r="C4175" t="s">
        <v>61</v>
      </c>
      <c r="D4175" t="s">
        <v>62</v>
      </c>
      <c r="E4175" t="s">
        <v>63</v>
      </c>
      <c r="F4175" t="s">
        <v>24</v>
      </c>
      <c r="G4175" s="4">
        <v>3</v>
      </c>
      <c r="I4175" s="4" t="s">
        <v>65</v>
      </c>
      <c r="J4175" s="4" t="s">
        <v>73</v>
      </c>
      <c r="K4175" s="4">
        <v>1</v>
      </c>
      <c r="L4175" s="94">
        <v>0</v>
      </c>
      <c r="M4175" s="94">
        <v>0</v>
      </c>
    </row>
    <row r="4176" spans="3:13" x14ac:dyDescent="0.3">
      <c r="C4176" t="s">
        <v>71</v>
      </c>
      <c r="D4176" t="s">
        <v>67</v>
      </c>
      <c r="E4176" t="s">
        <v>63</v>
      </c>
      <c r="F4176" t="s">
        <v>72</v>
      </c>
      <c r="G4176" s="4">
        <v>5</v>
      </c>
      <c r="H4176" s="4" t="s">
        <v>76</v>
      </c>
      <c r="I4176" s="4" t="s">
        <v>69</v>
      </c>
      <c r="J4176" s="4" t="s">
        <v>66</v>
      </c>
      <c r="K4176" s="4">
        <v>0</v>
      </c>
      <c r="L4176" s="94">
        <v>-28579</v>
      </c>
      <c r="M4176" s="94">
        <v>0</v>
      </c>
    </row>
    <row r="4177" spans="3:13" x14ac:dyDescent="0.3">
      <c r="C4177" t="s">
        <v>70</v>
      </c>
      <c r="D4177" t="s">
        <v>67</v>
      </c>
      <c r="E4177" t="s">
        <v>63</v>
      </c>
      <c r="F4177" t="s">
        <v>26</v>
      </c>
      <c r="G4177" s="4">
        <v>4</v>
      </c>
      <c r="H4177" s="4" t="s">
        <v>14</v>
      </c>
      <c r="I4177" s="4" t="s">
        <v>69</v>
      </c>
      <c r="J4177" s="4" t="s">
        <v>73</v>
      </c>
      <c r="K4177" s="4">
        <v>1</v>
      </c>
      <c r="L4177" s="94">
        <v>-739874</v>
      </c>
      <c r="M4177" s="94">
        <v>0</v>
      </c>
    </row>
    <row r="4178" spans="3:13" x14ac:dyDescent="0.3">
      <c r="C4178" t="s">
        <v>70</v>
      </c>
      <c r="D4178" t="s">
        <v>67</v>
      </c>
      <c r="E4178" t="s">
        <v>63</v>
      </c>
      <c r="F4178" t="s">
        <v>26</v>
      </c>
      <c r="G4178" s="4">
        <v>1</v>
      </c>
      <c r="H4178" s="4" t="s">
        <v>18</v>
      </c>
      <c r="I4178" s="4" t="s">
        <v>65</v>
      </c>
      <c r="J4178" s="4" t="s">
        <v>66</v>
      </c>
      <c r="K4178" s="4">
        <v>1</v>
      </c>
      <c r="L4178" s="94">
        <v>-197</v>
      </c>
      <c r="M4178" s="94">
        <v>0</v>
      </c>
    </row>
    <row r="4179" spans="3:13" x14ac:dyDescent="0.3">
      <c r="C4179" t="s">
        <v>70</v>
      </c>
      <c r="D4179" t="s">
        <v>62</v>
      </c>
      <c r="E4179" t="s">
        <v>63</v>
      </c>
      <c r="F4179" t="s">
        <v>24</v>
      </c>
      <c r="G4179" s="4">
        <v>27</v>
      </c>
      <c r="I4179" s="4" t="s">
        <v>65</v>
      </c>
      <c r="J4179" s="4" t="s">
        <v>66</v>
      </c>
      <c r="K4179" s="4">
        <v>1</v>
      </c>
      <c r="L4179" s="94">
        <v>-1268</v>
      </c>
      <c r="M4179" s="94">
        <v>0</v>
      </c>
    </row>
    <row r="4180" spans="3:13" x14ac:dyDescent="0.3">
      <c r="C4180" t="s">
        <v>61</v>
      </c>
      <c r="D4180" t="s">
        <v>88</v>
      </c>
      <c r="E4180" t="s">
        <v>63</v>
      </c>
      <c r="F4180" t="s">
        <v>25</v>
      </c>
      <c r="G4180" s="4">
        <v>3</v>
      </c>
      <c r="H4180" s="4" t="s">
        <v>86</v>
      </c>
      <c r="I4180" s="4" t="s">
        <v>69</v>
      </c>
      <c r="J4180" s="4" t="s">
        <v>66</v>
      </c>
      <c r="K4180" s="4">
        <v>0</v>
      </c>
      <c r="L4180" s="94">
        <v>-16</v>
      </c>
      <c r="M4180" s="94">
        <v>0</v>
      </c>
    </row>
    <row r="4181" spans="3:13" x14ac:dyDescent="0.3">
      <c r="C4181" t="s">
        <v>71</v>
      </c>
      <c r="D4181" t="s">
        <v>67</v>
      </c>
      <c r="E4181" t="s">
        <v>68</v>
      </c>
      <c r="F4181" t="s">
        <v>26</v>
      </c>
      <c r="G4181" s="4">
        <v>2</v>
      </c>
      <c r="H4181" s="4" t="s">
        <v>82</v>
      </c>
      <c r="I4181" s="4" t="s">
        <v>69</v>
      </c>
      <c r="J4181" s="4" t="s">
        <v>66</v>
      </c>
      <c r="K4181" s="4">
        <v>0</v>
      </c>
      <c r="L4181" s="94">
        <v>3611602</v>
      </c>
      <c r="M4181" s="94">
        <v>7223204</v>
      </c>
    </row>
    <row r="4182" spans="3:13" x14ac:dyDescent="0.3">
      <c r="C4182" t="s">
        <v>70</v>
      </c>
      <c r="D4182" t="s">
        <v>62</v>
      </c>
      <c r="E4182" t="s">
        <v>68</v>
      </c>
      <c r="F4182" t="s">
        <v>24</v>
      </c>
      <c r="G4182" s="4">
        <v>3</v>
      </c>
      <c r="I4182" s="4" t="s">
        <v>69</v>
      </c>
      <c r="J4182" s="4" t="s">
        <v>66</v>
      </c>
      <c r="K4182" s="4">
        <v>1</v>
      </c>
      <c r="L4182" s="94">
        <v>109796</v>
      </c>
      <c r="M4182" s="94">
        <v>329388</v>
      </c>
    </row>
    <row r="4183" spans="3:13" x14ac:dyDescent="0.3">
      <c r="C4183" t="s">
        <v>61</v>
      </c>
      <c r="D4183" t="s">
        <v>67</v>
      </c>
      <c r="E4183" t="s">
        <v>68</v>
      </c>
      <c r="F4183" t="s">
        <v>25</v>
      </c>
      <c r="G4183" s="4">
        <v>6</v>
      </c>
      <c r="H4183" s="4" t="s">
        <v>75</v>
      </c>
      <c r="I4183" s="4" t="s">
        <v>65</v>
      </c>
      <c r="J4183" s="4" t="s">
        <v>66</v>
      </c>
      <c r="K4183" s="4">
        <v>1</v>
      </c>
      <c r="L4183" s="94">
        <v>365303</v>
      </c>
      <c r="M4183" s="94">
        <v>2191818</v>
      </c>
    </row>
    <row r="4184" spans="3:13" x14ac:dyDescent="0.3">
      <c r="C4184" t="s">
        <v>71</v>
      </c>
      <c r="D4184" t="s">
        <v>67</v>
      </c>
      <c r="E4184" t="s">
        <v>68</v>
      </c>
      <c r="F4184" t="s">
        <v>72</v>
      </c>
      <c r="G4184" s="4">
        <v>0</v>
      </c>
      <c r="H4184" s="4" t="s">
        <v>17</v>
      </c>
      <c r="I4184" s="4" t="s">
        <v>65</v>
      </c>
      <c r="J4184" s="4" t="s">
        <v>73</v>
      </c>
      <c r="K4184" s="4">
        <v>1</v>
      </c>
      <c r="L4184" s="94">
        <v>21581</v>
      </c>
      <c r="M4184" s="94">
        <v>0</v>
      </c>
    </row>
    <row r="4185" spans="3:13" x14ac:dyDescent="0.3">
      <c r="C4185" t="s">
        <v>61</v>
      </c>
      <c r="D4185" t="s">
        <v>67</v>
      </c>
      <c r="E4185" t="s">
        <v>63</v>
      </c>
      <c r="F4185" t="s">
        <v>72</v>
      </c>
      <c r="G4185" s="4">
        <v>1</v>
      </c>
      <c r="H4185" s="4" t="s">
        <v>80</v>
      </c>
      <c r="I4185" s="4" t="s">
        <v>69</v>
      </c>
      <c r="J4185" s="4" t="s">
        <v>66</v>
      </c>
      <c r="K4185" s="4">
        <v>0</v>
      </c>
      <c r="L4185" s="94">
        <v>-736</v>
      </c>
      <c r="M4185" s="94">
        <v>0</v>
      </c>
    </row>
    <row r="4186" spans="3:13" x14ac:dyDescent="0.3">
      <c r="C4186" t="s">
        <v>61</v>
      </c>
      <c r="D4186" t="s">
        <v>62</v>
      </c>
      <c r="E4186" t="s">
        <v>68</v>
      </c>
      <c r="F4186" t="s">
        <v>25</v>
      </c>
      <c r="G4186" s="4">
        <v>8</v>
      </c>
      <c r="I4186" s="4" t="s">
        <v>69</v>
      </c>
      <c r="J4186" s="4" t="s">
        <v>66</v>
      </c>
      <c r="K4186" s="4">
        <v>1</v>
      </c>
      <c r="L4186" s="94">
        <v>188341</v>
      </c>
      <c r="M4186" s="94">
        <v>1506728</v>
      </c>
    </row>
    <row r="4187" spans="3:13" x14ac:dyDescent="0.3">
      <c r="C4187" t="s">
        <v>71</v>
      </c>
      <c r="D4187" t="s">
        <v>67</v>
      </c>
      <c r="E4187" t="s">
        <v>68</v>
      </c>
      <c r="F4187" t="s">
        <v>25</v>
      </c>
      <c r="G4187" s="4">
        <v>0</v>
      </c>
      <c r="H4187" s="4" t="s">
        <v>14</v>
      </c>
      <c r="I4187" s="4" t="s">
        <v>69</v>
      </c>
      <c r="J4187" s="4" t="s">
        <v>66</v>
      </c>
      <c r="K4187" s="4">
        <v>1</v>
      </c>
      <c r="L4187" s="94">
        <v>776161</v>
      </c>
      <c r="M4187" s="94">
        <v>0</v>
      </c>
    </row>
    <row r="4188" spans="3:13" x14ac:dyDescent="0.3">
      <c r="C4188" t="s">
        <v>70</v>
      </c>
      <c r="D4188" t="s">
        <v>67</v>
      </c>
      <c r="E4188" t="s">
        <v>63</v>
      </c>
      <c r="F4188" t="s">
        <v>26</v>
      </c>
      <c r="G4188" s="4">
        <v>5</v>
      </c>
      <c r="H4188" s="4" t="s">
        <v>77</v>
      </c>
      <c r="I4188" s="4" t="s">
        <v>69</v>
      </c>
      <c r="J4188" s="4" t="s">
        <v>66</v>
      </c>
      <c r="K4188" s="4">
        <v>0</v>
      </c>
      <c r="L4188" s="94">
        <v>-89624</v>
      </c>
      <c r="M4188" s="94">
        <v>0</v>
      </c>
    </row>
    <row r="4189" spans="3:13" x14ac:dyDescent="0.3">
      <c r="C4189" t="s">
        <v>61</v>
      </c>
      <c r="D4189" t="s">
        <v>67</v>
      </c>
      <c r="E4189" t="s">
        <v>63</v>
      </c>
      <c r="F4189" t="s">
        <v>25</v>
      </c>
      <c r="G4189" s="4">
        <v>4</v>
      </c>
      <c r="H4189" s="4" t="s">
        <v>77</v>
      </c>
      <c r="I4189" s="4" t="s">
        <v>69</v>
      </c>
      <c r="J4189" s="4" t="s">
        <v>66</v>
      </c>
      <c r="K4189" s="4">
        <v>0</v>
      </c>
      <c r="L4189" s="94">
        <v>-711</v>
      </c>
      <c r="M4189" s="94">
        <v>0</v>
      </c>
    </row>
    <row r="4190" spans="3:13" x14ac:dyDescent="0.3">
      <c r="C4190" t="s">
        <v>71</v>
      </c>
      <c r="D4190" t="s">
        <v>67</v>
      </c>
      <c r="E4190" t="s">
        <v>68</v>
      </c>
      <c r="F4190" t="s">
        <v>72</v>
      </c>
      <c r="G4190" s="4">
        <v>-4</v>
      </c>
      <c r="H4190" s="4" t="s">
        <v>80</v>
      </c>
      <c r="I4190" s="4" t="s">
        <v>69</v>
      </c>
      <c r="J4190" s="4" t="s">
        <v>66</v>
      </c>
      <c r="K4190" s="4">
        <v>0</v>
      </c>
      <c r="L4190" s="94">
        <v>5353</v>
      </c>
      <c r="M4190" s="94">
        <v>0</v>
      </c>
    </row>
    <row r="4191" spans="3:13" x14ac:dyDescent="0.3">
      <c r="C4191" t="s">
        <v>70</v>
      </c>
      <c r="D4191" t="s">
        <v>62</v>
      </c>
      <c r="E4191" t="s">
        <v>68</v>
      </c>
      <c r="F4191" t="s">
        <v>24</v>
      </c>
      <c r="G4191" s="4">
        <v>16</v>
      </c>
      <c r="I4191" s="4" t="s">
        <v>69</v>
      </c>
      <c r="J4191" s="4" t="s">
        <v>66</v>
      </c>
      <c r="K4191" s="4">
        <v>0</v>
      </c>
      <c r="L4191" s="94">
        <v>25691730</v>
      </c>
      <c r="M4191" s="94">
        <v>411067680</v>
      </c>
    </row>
    <row r="4192" spans="3:13" x14ac:dyDescent="0.3">
      <c r="C4192" t="s">
        <v>71</v>
      </c>
      <c r="D4192" t="s">
        <v>67</v>
      </c>
      <c r="E4192" t="s">
        <v>68</v>
      </c>
      <c r="F4192" t="s">
        <v>25</v>
      </c>
      <c r="G4192" s="4">
        <v>3</v>
      </c>
      <c r="H4192" s="4" t="s">
        <v>76</v>
      </c>
      <c r="I4192" s="4" t="s">
        <v>69</v>
      </c>
      <c r="J4192" s="4" t="s">
        <v>66</v>
      </c>
      <c r="K4192" s="4">
        <v>0</v>
      </c>
      <c r="L4192" s="94">
        <v>5763408</v>
      </c>
      <c r="M4192" s="94">
        <v>17290224</v>
      </c>
    </row>
    <row r="4193" spans="3:13" x14ac:dyDescent="0.3">
      <c r="C4193" t="s">
        <v>71</v>
      </c>
      <c r="D4193" t="s">
        <v>62</v>
      </c>
      <c r="E4193" t="s">
        <v>63</v>
      </c>
      <c r="F4193" t="s">
        <v>24</v>
      </c>
      <c r="G4193" s="4">
        <v>22</v>
      </c>
      <c r="I4193" s="4" t="s">
        <v>69</v>
      </c>
      <c r="J4193" s="4" t="s">
        <v>66</v>
      </c>
      <c r="K4193" s="4">
        <v>1</v>
      </c>
      <c r="L4193" s="94">
        <v>-69354</v>
      </c>
      <c r="M4193" s="94">
        <v>0</v>
      </c>
    </row>
    <row r="4194" spans="3:13" x14ac:dyDescent="0.3">
      <c r="C4194" t="s">
        <v>61</v>
      </c>
      <c r="D4194" t="s">
        <v>62</v>
      </c>
      <c r="E4194" t="s">
        <v>63</v>
      </c>
      <c r="F4194" t="s">
        <v>25</v>
      </c>
      <c r="G4194" s="4">
        <v>0</v>
      </c>
      <c r="I4194" s="4" t="s">
        <v>69</v>
      </c>
      <c r="J4194" s="4" t="s">
        <v>66</v>
      </c>
      <c r="K4194" s="4">
        <v>0</v>
      </c>
      <c r="L4194" s="94">
        <v>-714</v>
      </c>
      <c r="M4194" s="94">
        <v>0</v>
      </c>
    </row>
    <row r="4195" spans="3:13" x14ac:dyDescent="0.3">
      <c r="C4195" t="s">
        <v>71</v>
      </c>
      <c r="D4195" t="s">
        <v>62</v>
      </c>
      <c r="E4195" t="s">
        <v>68</v>
      </c>
      <c r="F4195" t="s">
        <v>24</v>
      </c>
      <c r="G4195" s="4">
        <v>11</v>
      </c>
      <c r="I4195" s="4" t="s">
        <v>69</v>
      </c>
      <c r="J4195" s="4" t="s">
        <v>66</v>
      </c>
      <c r="K4195" s="4">
        <v>1</v>
      </c>
      <c r="L4195" s="94">
        <v>25875</v>
      </c>
      <c r="M4195" s="94">
        <v>284625</v>
      </c>
    </row>
    <row r="4196" spans="3:13" x14ac:dyDescent="0.3">
      <c r="C4196" t="s">
        <v>70</v>
      </c>
      <c r="D4196" t="s">
        <v>67</v>
      </c>
      <c r="E4196" t="s">
        <v>68</v>
      </c>
      <c r="F4196" t="s">
        <v>25</v>
      </c>
      <c r="G4196" s="4">
        <v>-4</v>
      </c>
      <c r="H4196" s="4" t="s">
        <v>80</v>
      </c>
      <c r="I4196" s="4" t="s">
        <v>69</v>
      </c>
      <c r="J4196" s="4" t="s">
        <v>66</v>
      </c>
      <c r="K4196" s="4">
        <v>0</v>
      </c>
      <c r="L4196" s="94">
        <v>18</v>
      </c>
      <c r="M4196" s="94">
        <v>0</v>
      </c>
    </row>
    <row r="4197" spans="3:13" x14ac:dyDescent="0.3">
      <c r="C4197" t="s">
        <v>61</v>
      </c>
      <c r="D4197" t="s">
        <v>67</v>
      </c>
      <c r="E4197" t="s">
        <v>68</v>
      </c>
      <c r="F4197" t="s">
        <v>25</v>
      </c>
      <c r="G4197" s="4">
        <v>-1</v>
      </c>
      <c r="H4197" s="4" t="s">
        <v>74</v>
      </c>
      <c r="I4197" s="4" t="s">
        <v>69</v>
      </c>
      <c r="J4197" s="4" t="s">
        <v>66</v>
      </c>
      <c r="K4197" s="4">
        <v>0</v>
      </c>
      <c r="L4197" s="94">
        <v>200608</v>
      </c>
      <c r="M4197" s="94">
        <v>0</v>
      </c>
    </row>
    <row r="4198" spans="3:13" x14ac:dyDescent="0.3">
      <c r="C4198" t="s">
        <v>71</v>
      </c>
      <c r="D4198" t="s">
        <v>67</v>
      </c>
      <c r="E4198" t="s">
        <v>68</v>
      </c>
      <c r="F4198" t="s">
        <v>26</v>
      </c>
      <c r="G4198" s="4">
        <v>7</v>
      </c>
      <c r="H4198" s="4" t="s">
        <v>17</v>
      </c>
      <c r="I4198" s="4" t="s">
        <v>69</v>
      </c>
      <c r="J4198" s="4" t="s">
        <v>66</v>
      </c>
      <c r="K4198" s="4">
        <v>0</v>
      </c>
      <c r="L4198" s="94">
        <v>54615</v>
      </c>
      <c r="M4198" s="94">
        <v>382305</v>
      </c>
    </row>
    <row r="4199" spans="3:13" x14ac:dyDescent="0.3">
      <c r="C4199" t="s">
        <v>71</v>
      </c>
      <c r="D4199" t="s">
        <v>67</v>
      </c>
      <c r="E4199" t="s">
        <v>68</v>
      </c>
      <c r="F4199" t="s">
        <v>26</v>
      </c>
      <c r="G4199" s="4">
        <v>4</v>
      </c>
      <c r="H4199" s="4" t="s">
        <v>80</v>
      </c>
      <c r="I4199" s="4" t="s">
        <v>69</v>
      </c>
      <c r="J4199" s="4" t="s">
        <v>66</v>
      </c>
      <c r="K4199" s="4">
        <v>0</v>
      </c>
      <c r="L4199" s="94">
        <v>46619</v>
      </c>
      <c r="M4199" s="94">
        <v>186476</v>
      </c>
    </row>
    <row r="4200" spans="3:13" x14ac:dyDescent="0.3">
      <c r="C4200" t="s">
        <v>61</v>
      </c>
      <c r="D4200" t="s">
        <v>67</v>
      </c>
      <c r="E4200" t="s">
        <v>63</v>
      </c>
      <c r="F4200" t="s">
        <v>26</v>
      </c>
      <c r="G4200" s="4">
        <v>7</v>
      </c>
      <c r="H4200" s="4" t="s">
        <v>79</v>
      </c>
      <c r="I4200" s="4" t="s">
        <v>69</v>
      </c>
      <c r="J4200" s="4" t="s">
        <v>66</v>
      </c>
      <c r="K4200" s="4">
        <v>0</v>
      </c>
      <c r="L4200" s="94">
        <v>-2853</v>
      </c>
      <c r="M4200" s="94">
        <v>0</v>
      </c>
    </row>
    <row r="4201" spans="3:13" x14ac:dyDescent="0.3">
      <c r="C4201" t="s">
        <v>61</v>
      </c>
      <c r="D4201" t="s">
        <v>67</v>
      </c>
      <c r="E4201" t="s">
        <v>68</v>
      </c>
      <c r="F4201" t="s">
        <v>25</v>
      </c>
      <c r="G4201" s="4">
        <v>1</v>
      </c>
      <c r="H4201" s="4" t="s">
        <v>75</v>
      </c>
      <c r="I4201" s="4" t="s">
        <v>69</v>
      </c>
      <c r="J4201" s="4" t="s">
        <v>66</v>
      </c>
      <c r="K4201" s="4">
        <v>0</v>
      </c>
      <c r="L4201" s="94">
        <v>105650071</v>
      </c>
      <c r="M4201" s="94">
        <v>105650071</v>
      </c>
    </row>
    <row r="4202" spans="3:13" x14ac:dyDescent="0.3">
      <c r="C4202" t="s">
        <v>61</v>
      </c>
      <c r="D4202" t="s">
        <v>67</v>
      </c>
      <c r="E4202" t="s">
        <v>63</v>
      </c>
      <c r="F4202" t="s">
        <v>25</v>
      </c>
      <c r="G4202" s="4">
        <v>8</v>
      </c>
      <c r="H4202" s="4" t="s">
        <v>78</v>
      </c>
      <c r="I4202" s="4" t="s">
        <v>69</v>
      </c>
      <c r="J4202" s="4" t="s">
        <v>66</v>
      </c>
      <c r="K4202" s="4">
        <v>0</v>
      </c>
      <c r="L4202" s="94">
        <v>-2956</v>
      </c>
      <c r="M4202" s="94">
        <v>0</v>
      </c>
    </row>
    <row r="4203" spans="3:13" x14ac:dyDescent="0.3">
      <c r="C4203" t="s">
        <v>61</v>
      </c>
      <c r="D4203" t="s">
        <v>84</v>
      </c>
      <c r="E4203" t="s">
        <v>63</v>
      </c>
      <c r="F4203" t="s">
        <v>25</v>
      </c>
      <c r="G4203" s="4">
        <v>0</v>
      </c>
      <c r="H4203" s="4" t="s">
        <v>81</v>
      </c>
      <c r="I4203" s="4" t="s">
        <v>69</v>
      </c>
      <c r="J4203" s="4" t="s">
        <v>66</v>
      </c>
      <c r="K4203" s="4">
        <v>0</v>
      </c>
      <c r="L4203" s="94">
        <v>-42</v>
      </c>
      <c r="M4203" s="94">
        <v>0</v>
      </c>
    </row>
    <row r="4204" spans="3:13" x14ac:dyDescent="0.3">
      <c r="C4204" t="s">
        <v>71</v>
      </c>
      <c r="D4204" t="s">
        <v>67</v>
      </c>
      <c r="E4204" t="s">
        <v>63</v>
      </c>
      <c r="F4204" t="s">
        <v>72</v>
      </c>
      <c r="G4204" s="4">
        <v>3</v>
      </c>
      <c r="H4204" s="4" t="s">
        <v>18</v>
      </c>
      <c r="I4204" s="4" t="s">
        <v>69</v>
      </c>
      <c r="J4204" s="4" t="s">
        <v>66</v>
      </c>
      <c r="K4204" s="4">
        <v>0</v>
      </c>
      <c r="L4204" s="94">
        <v>-81676</v>
      </c>
      <c r="M4204" s="94">
        <v>0</v>
      </c>
    </row>
    <row r="4205" spans="3:13" x14ac:dyDescent="0.3">
      <c r="C4205" t="s">
        <v>71</v>
      </c>
      <c r="D4205" t="s">
        <v>67</v>
      </c>
      <c r="E4205" t="s">
        <v>63</v>
      </c>
      <c r="F4205" t="s">
        <v>72</v>
      </c>
      <c r="G4205" s="4">
        <v>-4</v>
      </c>
      <c r="H4205" s="4" t="s">
        <v>79</v>
      </c>
      <c r="I4205" s="4" t="s">
        <v>69</v>
      </c>
      <c r="J4205" s="4" t="s">
        <v>66</v>
      </c>
      <c r="K4205" s="4">
        <v>0</v>
      </c>
      <c r="L4205" s="94">
        <v>-8435</v>
      </c>
      <c r="M4205" s="94">
        <v>0</v>
      </c>
    </row>
    <row r="4206" spans="3:13" x14ac:dyDescent="0.3">
      <c r="C4206" t="s">
        <v>61</v>
      </c>
      <c r="D4206" t="s">
        <v>67</v>
      </c>
      <c r="E4206" t="s">
        <v>68</v>
      </c>
      <c r="F4206" t="s">
        <v>26</v>
      </c>
      <c r="G4206" s="4">
        <v>7</v>
      </c>
      <c r="H4206" s="4" t="s">
        <v>75</v>
      </c>
      <c r="I4206" s="4" t="s">
        <v>69</v>
      </c>
      <c r="J4206" s="4" t="s">
        <v>66</v>
      </c>
      <c r="K4206" s="4">
        <v>0</v>
      </c>
      <c r="L4206" s="94">
        <v>2053855</v>
      </c>
      <c r="M4206" s="94">
        <v>14376985</v>
      </c>
    </row>
    <row r="4207" spans="3:13" x14ac:dyDescent="0.3">
      <c r="C4207" t="s">
        <v>71</v>
      </c>
      <c r="D4207" t="s">
        <v>67</v>
      </c>
      <c r="E4207" t="s">
        <v>63</v>
      </c>
      <c r="F4207" t="s">
        <v>26</v>
      </c>
      <c r="G4207" s="4">
        <v>7</v>
      </c>
      <c r="H4207" s="4" t="s">
        <v>17</v>
      </c>
      <c r="I4207" s="4" t="s">
        <v>65</v>
      </c>
      <c r="J4207" s="4" t="s">
        <v>73</v>
      </c>
      <c r="K4207" s="4">
        <v>1</v>
      </c>
      <c r="L4207" s="94">
        <v>-8243</v>
      </c>
      <c r="M4207" s="94">
        <v>0</v>
      </c>
    </row>
    <row r="4208" spans="3:13" x14ac:dyDescent="0.3">
      <c r="C4208" t="s">
        <v>61</v>
      </c>
      <c r="D4208" t="s">
        <v>62</v>
      </c>
      <c r="E4208" t="s">
        <v>68</v>
      </c>
      <c r="F4208" t="s">
        <v>24</v>
      </c>
      <c r="G4208" s="4">
        <v>28</v>
      </c>
      <c r="I4208" s="4" t="s">
        <v>69</v>
      </c>
      <c r="J4208" s="4" t="s">
        <v>66</v>
      </c>
      <c r="K4208" s="4">
        <v>1</v>
      </c>
      <c r="L4208" s="94">
        <v>2502698</v>
      </c>
      <c r="M4208" s="94">
        <v>70075544</v>
      </c>
    </row>
    <row r="4209" spans="3:13" x14ac:dyDescent="0.3">
      <c r="C4209" t="s">
        <v>61</v>
      </c>
      <c r="D4209" t="s">
        <v>67</v>
      </c>
      <c r="E4209" t="s">
        <v>63</v>
      </c>
      <c r="F4209" t="s">
        <v>72</v>
      </c>
      <c r="G4209" s="4">
        <v>3</v>
      </c>
      <c r="H4209" s="4" t="s">
        <v>18</v>
      </c>
      <c r="I4209" s="4" t="s">
        <v>69</v>
      </c>
      <c r="J4209" s="4" t="s">
        <v>73</v>
      </c>
      <c r="K4209" s="4">
        <v>1</v>
      </c>
      <c r="L4209" s="94">
        <v>-2134</v>
      </c>
      <c r="M4209" s="94">
        <v>0</v>
      </c>
    </row>
    <row r="4210" spans="3:13" x14ac:dyDescent="0.3">
      <c r="C4210" t="s">
        <v>70</v>
      </c>
      <c r="D4210" t="s">
        <v>67</v>
      </c>
      <c r="E4210" t="s">
        <v>63</v>
      </c>
      <c r="F4210" t="s">
        <v>26</v>
      </c>
      <c r="G4210" s="4">
        <v>0</v>
      </c>
      <c r="H4210" s="4" t="s">
        <v>75</v>
      </c>
      <c r="I4210" s="4" t="s">
        <v>65</v>
      </c>
      <c r="J4210" s="4" t="s">
        <v>66</v>
      </c>
      <c r="K4210" s="4">
        <v>1</v>
      </c>
      <c r="L4210" s="94">
        <v>-16</v>
      </c>
      <c r="M4210" s="94">
        <v>0</v>
      </c>
    </row>
    <row r="4211" spans="3:13" x14ac:dyDescent="0.3">
      <c r="C4211" t="s">
        <v>61</v>
      </c>
      <c r="D4211" t="s">
        <v>67</v>
      </c>
      <c r="E4211" t="s">
        <v>63</v>
      </c>
      <c r="F4211" t="s">
        <v>26</v>
      </c>
      <c r="G4211" s="4">
        <v>2</v>
      </c>
      <c r="H4211" s="4" t="s">
        <v>17</v>
      </c>
      <c r="I4211" s="4" t="s">
        <v>69</v>
      </c>
      <c r="J4211" s="4" t="s">
        <v>66</v>
      </c>
      <c r="K4211" s="4">
        <v>0</v>
      </c>
      <c r="L4211" s="94">
        <v>-145157</v>
      </c>
      <c r="M4211" s="94">
        <v>0</v>
      </c>
    </row>
    <row r="4212" spans="3:13" x14ac:dyDescent="0.3">
      <c r="C4212" t="s">
        <v>61</v>
      </c>
      <c r="D4212" t="s">
        <v>67</v>
      </c>
      <c r="E4212" t="s">
        <v>68</v>
      </c>
      <c r="F4212" t="s">
        <v>25</v>
      </c>
      <c r="G4212" s="4">
        <v>3</v>
      </c>
      <c r="H4212" s="4" t="s">
        <v>79</v>
      </c>
      <c r="I4212" s="4" t="s">
        <v>69</v>
      </c>
      <c r="J4212" s="4" t="s">
        <v>66</v>
      </c>
      <c r="K4212" s="4">
        <v>0</v>
      </c>
      <c r="L4212" s="94">
        <v>2835246</v>
      </c>
      <c r="M4212" s="94">
        <v>8505738</v>
      </c>
    </row>
    <row r="4213" spans="3:13" x14ac:dyDescent="0.3">
      <c r="C4213" t="s">
        <v>71</v>
      </c>
      <c r="D4213" t="s">
        <v>67</v>
      </c>
      <c r="E4213" t="s">
        <v>68</v>
      </c>
      <c r="F4213" t="s">
        <v>26</v>
      </c>
      <c r="G4213" s="4">
        <v>8</v>
      </c>
      <c r="H4213" s="4" t="s">
        <v>82</v>
      </c>
      <c r="I4213" s="4" t="s">
        <v>69</v>
      </c>
      <c r="J4213" s="4" t="s">
        <v>66</v>
      </c>
      <c r="K4213" s="4">
        <v>0</v>
      </c>
      <c r="L4213" s="94">
        <v>6335</v>
      </c>
      <c r="M4213" s="94">
        <v>50680</v>
      </c>
    </row>
    <row r="4214" spans="3:13" x14ac:dyDescent="0.3">
      <c r="C4214" t="s">
        <v>70</v>
      </c>
      <c r="D4214" t="s">
        <v>67</v>
      </c>
      <c r="E4214" t="s">
        <v>68</v>
      </c>
      <c r="F4214" t="s">
        <v>72</v>
      </c>
      <c r="G4214" s="4">
        <v>5</v>
      </c>
      <c r="H4214" s="4" t="s">
        <v>13</v>
      </c>
      <c r="I4214" s="4" t="s">
        <v>69</v>
      </c>
      <c r="J4214" s="4" t="s">
        <v>73</v>
      </c>
      <c r="K4214" s="4">
        <v>1</v>
      </c>
      <c r="L4214" s="94">
        <v>151553</v>
      </c>
      <c r="M4214" s="94">
        <v>757765</v>
      </c>
    </row>
    <row r="4215" spans="3:13" x14ac:dyDescent="0.3">
      <c r="C4215" t="s">
        <v>70</v>
      </c>
      <c r="D4215" t="s">
        <v>67</v>
      </c>
      <c r="E4215" t="s">
        <v>68</v>
      </c>
      <c r="F4215" t="s">
        <v>25</v>
      </c>
      <c r="G4215" s="4">
        <v>15</v>
      </c>
      <c r="H4215" s="4" t="s">
        <v>17</v>
      </c>
      <c r="I4215" s="4" t="s">
        <v>69</v>
      </c>
      <c r="J4215" s="4" t="s">
        <v>66</v>
      </c>
      <c r="K4215" s="4">
        <v>1</v>
      </c>
      <c r="L4215" s="94">
        <v>43735</v>
      </c>
      <c r="M4215" s="94">
        <v>656025</v>
      </c>
    </row>
    <row r="4216" spans="3:13" x14ac:dyDescent="0.3">
      <c r="C4216" t="s">
        <v>70</v>
      </c>
      <c r="D4216" t="s">
        <v>67</v>
      </c>
      <c r="E4216" t="s">
        <v>68</v>
      </c>
      <c r="F4216" t="s">
        <v>72</v>
      </c>
      <c r="G4216" s="4">
        <v>4</v>
      </c>
      <c r="H4216" s="4" t="s">
        <v>81</v>
      </c>
      <c r="I4216" s="4" t="s">
        <v>69</v>
      </c>
      <c r="J4216" s="4" t="s">
        <v>66</v>
      </c>
      <c r="K4216" s="4">
        <v>0</v>
      </c>
      <c r="L4216" s="94">
        <v>60506</v>
      </c>
      <c r="M4216" s="94">
        <v>242024</v>
      </c>
    </row>
    <row r="4217" spans="3:13" x14ac:dyDescent="0.3">
      <c r="C4217" t="s">
        <v>61</v>
      </c>
      <c r="D4217" t="s">
        <v>62</v>
      </c>
      <c r="E4217" t="s">
        <v>63</v>
      </c>
      <c r="F4217" t="s">
        <v>24</v>
      </c>
      <c r="G4217" s="4">
        <v>30</v>
      </c>
      <c r="I4217" s="4" t="s">
        <v>69</v>
      </c>
      <c r="J4217" s="4" t="s">
        <v>66</v>
      </c>
      <c r="K4217" s="4">
        <v>1</v>
      </c>
      <c r="L4217" s="94">
        <v>-1490</v>
      </c>
      <c r="M4217" s="94">
        <v>0</v>
      </c>
    </row>
    <row r="4218" spans="3:13" x14ac:dyDescent="0.3">
      <c r="C4218" t="s">
        <v>71</v>
      </c>
      <c r="D4218" t="s">
        <v>67</v>
      </c>
      <c r="E4218" t="s">
        <v>68</v>
      </c>
      <c r="F4218" t="s">
        <v>72</v>
      </c>
      <c r="G4218" s="4">
        <v>6</v>
      </c>
      <c r="H4218" s="4" t="s">
        <v>82</v>
      </c>
      <c r="I4218" s="4" t="s">
        <v>69</v>
      </c>
      <c r="J4218" s="4" t="s">
        <v>66</v>
      </c>
      <c r="K4218" s="4">
        <v>0</v>
      </c>
      <c r="L4218" s="94">
        <v>9060970</v>
      </c>
      <c r="M4218" s="94">
        <v>54365820</v>
      </c>
    </row>
    <row r="4219" spans="3:13" x14ac:dyDescent="0.3">
      <c r="C4219" t="s">
        <v>61</v>
      </c>
      <c r="D4219" t="s">
        <v>67</v>
      </c>
      <c r="E4219" t="s">
        <v>68</v>
      </c>
      <c r="F4219" t="s">
        <v>72</v>
      </c>
      <c r="G4219" s="4">
        <v>4</v>
      </c>
      <c r="H4219" s="4" t="s">
        <v>13</v>
      </c>
      <c r="I4219" s="4" t="s">
        <v>69</v>
      </c>
      <c r="J4219" s="4" t="s">
        <v>73</v>
      </c>
      <c r="K4219" s="4">
        <v>1</v>
      </c>
      <c r="L4219" s="94">
        <v>386180</v>
      </c>
      <c r="M4219" s="94">
        <v>1544720</v>
      </c>
    </row>
    <row r="4220" spans="3:13" x14ac:dyDescent="0.3">
      <c r="C4220" t="s">
        <v>71</v>
      </c>
      <c r="D4220" t="s">
        <v>62</v>
      </c>
      <c r="E4220" t="s">
        <v>63</v>
      </c>
      <c r="F4220" t="s">
        <v>24</v>
      </c>
      <c r="G4220" s="4">
        <v>32</v>
      </c>
      <c r="I4220" s="4" t="s">
        <v>69</v>
      </c>
      <c r="J4220" s="4" t="s">
        <v>66</v>
      </c>
      <c r="K4220" s="4">
        <v>0</v>
      </c>
      <c r="L4220" s="94">
        <v>-1786529</v>
      </c>
      <c r="M4220" s="94">
        <v>0</v>
      </c>
    </row>
    <row r="4221" spans="3:13" x14ac:dyDescent="0.3">
      <c r="C4221" t="s">
        <v>71</v>
      </c>
      <c r="D4221" t="s">
        <v>67</v>
      </c>
      <c r="E4221" t="s">
        <v>63</v>
      </c>
      <c r="F4221" t="s">
        <v>26</v>
      </c>
      <c r="G4221" s="4">
        <v>-4</v>
      </c>
      <c r="H4221" s="4" t="s">
        <v>12</v>
      </c>
      <c r="I4221" s="4" t="s">
        <v>69</v>
      </c>
      <c r="J4221" s="4" t="s">
        <v>66</v>
      </c>
      <c r="K4221" s="4">
        <v>0</v>
      </c>
      <c r="L4221" s="94">
        <v>-250226</v>
      </c>
      <c r="M4221" s="94">
        <v>0</v>
      </c>
    </row>
    <row r="4222" spans="3:13" x14ac:dyDescent="0.3">
      <c r="C4222" t="s">
        <v>71</v>
      </c>
      <c r="D4222" t="s">
        <v>67</v>
      </c>
      <c r="E4222" t="s">
        <v>68</v>
      </c>
      <c r="F4222" t="s">
        <v>26</v>
      </c>
      <c r="G4222" s="4">
        <v>20</v>
      </c>
      <c r="H4222" s="4" t="s">
        <v>64</v>
      </c>
      <c r="I4222" s="4" t="s">
        <v>69</v>
      </c>
      <c r="J4222" s="4" t="s">
        <v>66</v>
      </c>
      <c r="K4222" s="4">
        <v>0</v>
      </c>
      <c r="L4222" s="94">
        <v>75140</v>
      </c>
      <c r="M4222" s="94">
        <v>1502800</v>
      </c>
    </row>
    <row r="4223" spans="3:13" x14ac:dyDescent="0.3">
      <c r="C4223" t="s">
        <v>71</v>
      </c>
      <c r="D4223" t="s">
        <v>67</v>
      </c>
      <c r="E4223" t="s">
        <v>63</v>
      </c>
      <c r="F4223" t="s">
        <v>25</v>
      </c>
      <c r="G4223" s="4">
        <v>11</v>
      </c>
      <c r="H4223" s="4" t="s">
        <v>17</v>
      </c>
      <c r="I4223" s="4" t="s">
        <v>69</v>
      </c>
      <c r="J4223" s="4" t="s">
        <v>66</v>
      </c>
      <c r="K4223" s="4">
        <v>0</v>
      </c>
      <c r="L4223" s="94">
        <v>-35256</v>
      </c>
      <c r="M4223" s="94">
        <v>0</v>
      </c>
    </row>
    <row r="4224" spans="3:13" x14ac:dyDescent="0.3">
      <c r="C4224" t="s">
        <v>61</v>
      </c>
      <c r="D4224" t="s">
        <v>67</v>
      </c>
      <c r="E4224" t="s">
        <v>63</v>
      </c>
      <c r="F4224" t="s">
        <v>72</v>
      </c>
      <c r="G4224" s="4">
        <v>1</v>
      </c>
      <c r="H4224" s="4" t="s">
        <v>74</v>
      </c>
      <c r="I4224" s="4" t="s">
        <v>69</v>
      </c>
      <c r="J4224" s="4" t="s">
        <v>66</v>
      </c>
      <c r="K4224" s="4">
        <v>0</v>
      </c>
      <c r="L4224" s="94">
        <v>-17552</v>
      </c>
      <c r="M4224" s="94">
        <v>0</v>
      </c>
    </row>
    <row r="4225" spans="3:13" x14ac:dyDescent="0.3">
      <c r="C4225" t="s">
        <v>71</v>
      </c>
      <c r="D4225" t="s">
        <v>62</v>
      </c>
      <c r="E4225" t="s">
        <v>63</v>
      </c>
      <c r="F4225" t="s">
        <v>24</v>
      </c>
      <c r="G4225" s="4">
        <v>25</v>
      </c>
      <c r="I4225" s="4" t="s">
        <v>65</v>
      </c>
      <c r="J4225" s="4" t="s">
        <v>66</v>
      </c>
      <c r="K4225" s="4">
        <v>1</v>
      </c>
      <c r="L4225" s="94">
        <v>-19887</v>
      </c>
      <c r="M4225" s="94">
        <v>0</v>
      </c>
    </row>
    <row r="4226" spans="3:13" x14ac:dyDescent="0.3">
      <c r="C4226" t="s">
        <v>71</v>
      </c>
      <c r="D4226" t="s">
        <v>67</v>
      </c>
      <c r="E4226" t="s">
        <v>63</v>
      </c>
      <c r="F4226" t="s">
        <v>26</v>
      </c>
      <c r="G4226" s="4">
        <v>-1</v>
      </c>
      <c r="H4226" s="4" t="s">
        <v>13</v>
      </c>
      <c r="I4226" s="4" t="s">
        <v>69</v>
      </c>
      <c r="J4226" s="4" t="s">
        <v>66</v>
      </c>
      <c r="K4226" s="4">
        <v>0</v>
      </c>
      <c r="L4226" s="94">
        <v>-181</v>
      </c>
      <c r="M4226" s="94">
        <v>0</v>
      </c>
    </row>
    <row r="4227" spans="3:13" x14ac:dyDescent="0.3">
      <c r="C4227" t="s">
        <v>61</v>
      </c>
      <c r="D4227" t="s">
        <v>67</v>
      </c>
      <c r="E4227" t="s">
        <v>68</v>
      </c>
      <c r="F4227" t="s">
        <v>26</v>
      </c>
      <c r="G4227" s="4">
        <v>3</v>
      </c>
      <c r="H4227" s="4" t="s">
        <v>77</v>
      </c>
      <c r="I4227" s="4" t="s">
        <v>69</v>
      </c>
      <c r="J4227" s="4" t="s">
        <v>66</v>
      </c>
      <c r="K4227" s="4">
        <v>0</v>
      </c>
      <c r="L4227" s="94">
        <v>23534880</v>
      </c>
      <c r="M4227" s="94">
        <v>70604640</v>
      </c>
    </row>
    <row r="4228" spans="3:13" x14ac:dyDescent="0.3">
      <c r="C4228" t="s">
        <v>70</v>
      </c>
      <c r="D4228" t="s">
        <v>67</v>
      </c>
      <c r="E4228" t="s">
        <v>63</v>
      </c>
      <c r="F4228" t="s">
        <v>25</v>
      </c>
      <c r="G4228" s="4">
        <v>-4</v>
      </c>
      <c r="H4228" s="4" t="s">
        <v>18</v>
      </c>
      <c r="I4228" s="4" t="s">
        <v>69</v>
      </c>
      <c r="J4228" s="4" t="s">
        <v>66</v>
      </c>
      <c r="K4228" s="4">
        <v>0</v>
      </c>
      <c r="L4228" s="94">
        <v>-408</v>
      </c>
      <c r="M4228" s="94">
        <v>0</v>
      </c>
    </row>
    <row r="4229" spans="3:13" x14ac:dyDescent="0.3">
      <c r="C4229" t="s">
        <v>61</v>
      </c>
      <c r="D4229" t="s">
        <v>67</v>
      </c>
      <c r="E4229" t="s">
        <v>68</v>
      </c>
      <c r="F4229" t="s">
        <v>72</v>
      </c>
      <c r="G4229" s="4">
        <v>-1</v>
      </c>
      <c r="H4229" s="4" t="s">
        <v>12</v>
      </c>
      <c r="I4229" s="4" t="s">
        <v>69</v>
      </c>
      <c r="J4229" s="4" t="s">
        <v>73</v>
      </c>
      <c r="K4229" s="4">
        <v>1</v>
      </c>
      <c r="L4229" s="94">
        <v>2262983</v>
      </c>
      <c r="M4229" s="94">
        <v>0</v>
      </c>
    </row>
    <row r="4230" spans="3:13" x14ac:dyDescent="0.3">
      <c r="C4230" t="s">
        <v>71</v>
      </c>
      <c r="D4230" t="s">
        <v>67</v>
      </c>
      <c r="E4230" t="s">
        <v>68</v>
      </c>
      <c r="F4230" t="s">
        <v>72</v>
      </c>
      <c r="G4230" s="4">
        <v>-4</v>
      </c>
      <c r="H4230" s="4" t="s">
        <v>74</v>
      </c>
      <c r="I4230" s="4" t="s">
        <v>69</v>
      </c>
      <c r="J4230" s="4" t="s">
        <v>66</v>
      </c>
      <c r="K4230" s="4">
        <v>0</v>
      </c>
      <c r="L4230" s="94">
        <v>40366</v>
      </c>
      <c r="M4230" s="94">
        <v>0</v>
      </c>
    </row>
    <row r="4231" spans="3:13" x14ac:dyDescent="0.3">
      <c r="C4231" t="s">
        <v>70</v>
      </c>
      <c r="D4231" t="s">
        <v>67</v>
      </c>
      <c r="E4231" t="s">
        <v>68</v>
      </c>
      <c r="F4231" t="s">
        <v>72</v>
      </c>
      <c r="G4231" s="4">
        <v>3</v>
      </c>
      <c r="H4231" s="4" t="s">
        <v>18</v>
      </c>
      <c r="I4231" s="4" t="s">
        <v>69</v>
      </c>
      <c r="J4231" s="4" t="s">
        <v>73</v>
      </c>
      <c r="K4231" s="4">
        <v>1</v>
      </c>
      <c r="L4231" s="94">
        <v>240701</v>
      </c>
      <c r="M4231" s="94">
        <v>722103</v>
      </c>
    </row>
    <row r="4232" spans="3:13" x14ac:dyDescent="0.3">
      <c r="C4232" t="s">
        <v>70</v>
      </c>
      <c r="D4232" t="s">
        <v>67</v>
      </c>
      <c r="E4232" t="s">
        <v>68</v>
      </c>
      <c r="F4232" t="s">
        <v>72</v>
      </c>
      <c r="G4232" s="4">
        <v>0</v>
      </c>
      <c r="H4232" s="4" t="s">
        <v>17</v>
      </c>
      <c r="I4232" s="4" t="s">
        <v>69</v>
      </c>
      <c r="J4232" s="4" t="s">
        <v>73</v>
      </c>
      <c r="K4232" s="4">
        <v>1</v>
      </c>
      <c r="L4232" s="94">
        <v>2859</v>
      </c>
      <c r="M4232" s="94">
        <v>0</v>
      </c>
    </row>
    <row r="4233" spans="3:13" x14ac:dyDescent="0.3">
      <c r="C4233" t="s">
        <v>61</v>
      </c>
      <c r="D4233" t="s">
        <v>67</v>
      </c>
      <c r="E4233" t="s">
        <v>63</v>
      </c>
      <c r="F4233" t="s">
        <v>26</v>
      </c>
      <c r="G4233" s="4">
        <v>1</v>
      </c>
      <c r="H4233" s="4" t="s">
        <v>77</v>
      </c>
      <c r="I4233" s="4" t="s">
        <v>69</v>
      </c>
      <c r="J4233" s="4" t="s">
        <v>66</v>
      </c>
      <c r="K4233" s="4">
        <v>0</v>
      </c>
      <c r="L4233" s="94">
        <v>-22226</v>
      </c>
      <c r="M4233" s="94">
        <v>0</v>
      </c>
    </row>
    <row r="4234" spans="3:13" x14ac:dyDescent="0.3">
      <c r="C4234" t="s">
        <v>71</v>
      </c>
      <c r="D4234" t="s">
        <v>62</v>
      </c>
      <c r="E4234" t="s">
        <v>68</v>
      </c>
      <c r="F4234" t="s">
        <v>24</v>
      </c>
      <c r="G4234" s="4">
        <v>37</v>
      </c>
      <c r="I4234" s="4" t="s">
        <v>69</v>
      </c>
      <c r="J4234" s="4" t="s">
        <v>66</v>
      </c>
      <c r="K4234" s="4">
        <v>0</v>
      </c>
      <c r="L4234" s="94">
        <v>8883053</v>
      </c>
      <c r="M4234" s="94">
        <v>328672961</v>
      </c>
    </row>
    <row r="4235" spans="3:13" x14ac:dyDescent="0.3">
      <c r="C4235" t="s">
        <v>61</v>
      </c>
      <c r="D4235" t="s">
        <v>67</v>
      </c>
      <c r="E4235" t="s">
        <v>68</v>
      </c>
      <c r="F4235" t="s">
        <v>25</v>
      </c>
      <c r="G4235" s="4">
        <v>16</v>
      </c>
      <c r="H4235" s="4" t="s">
        <v>75</v>
      </c>
      <c r="I4235" s="4" t="s">
        <v>69</v>
      </c>
      <c r="J4235" s="4" t="s">
        <v>66</v>
      </c>
      <c r="K4235" s="4">
        <v>0</v>
      </c>
      <c r="L4235" s="94">
        <v>1029519</v>
      </c>
      <c r="M4235" s="94">
        <v>16472304</v>
      </c>
    </row>
    <row r="4236" spans="3:13" x14ac:dyDescent="0.3">
      <c r="C4236" t="s">
        <v>61</v>
      </c>
      <c r="D4236" t="s">
        <v>67</v>
      </c>
      <c r="E4236" t="s">
        <v>63</v>
      </c>
      <c r="F4236" t="s">
        <v>72</v>
      </c>
      <c r="G4236" s="4">
        <v>1</v>
      </c>
      <c r="H4236" s="4" t="s">
        <v>17</v>
      </c>
      <c r="I4236" s="4" t="s">
        <v>65</v>
      </c>
      <c r="J4236" s="4" t="s">
        <v>73</v>
      </c>
      <c r="K4236" s="4">
        <v>1</v>
      </c>
      <c r="L4236" s="94">
        <v>-706</v>
      </c>
      <c r="M4236" s="94">
        <v>0</v>
      </c>
    </row>
    <row r="4237" spans="3:13" x14ac:dyDescent="0.3">
      <c r="C4237" t="s">
        <v>71</v>
      </c>
      <c r="D4237" t="s">
        <v>67</v>
      </c>
      <c r="E4237" t="s">
        <v>68</v>
      </c>
      <c r="F4237" t="s">
        <v>26</v>
      </c>
      <c r="G4237" s="4">
        <v>15</v>
      </c>
      <c r="H4237" s="4" t="s">
        <v>18</v>
      </c>
      <c r="I4237" s="4" t="s">
        <v>69</v>
      </c>
      <c r="J4237" s="4" t="s">
        <v>66</v>
      </c>
      <c r="K4237" s="4">
        <v>0</v>
      </c>
      <c r="L4237" s="94">
        <v>352760</v>
      </c>
      <c r="M4237" s="94">
        <v>5291400</v>
      </c>
    </row>
    <row r="4238" spans="3:13" x14ac:dyDescent="0.3">
      <c r="C4238" t="s">
        <v>61</v>
      </c>
      <c r="D4238" t="s">
        <v>67</v>
      </c>
      <c r="E4238" t="s">
        <v>63</v>
      </c>
      <c r="F4238" t="s">
        <v>26</v>
      </c>
      <c r="G4238" s="4">
        <v>8</v>
      </c>
      <c r="H4238" s="4" t="s">
        <v>83</v>
      </c>
      <c r="I4238" s="4" t="s">
        <v>69</v>
      </c>
      <c r="J4238" s="4" t="s">
        <v>66</v>
      </c>
      <c r="K4238" s="4">
        <v>0</v>
      </c>
      <c r="L4238" s="94">
        <v>-1312</v>
      </c>
      <c r="M4238" s="94">
        <v>0</v>
      </c>
    </row>
    <row r="4239" spans="3:13" x14ac:dyDescent="0.3">
      <c r="C4239" t="s">
        <v>61</v>
      </c>
      <c r="D4239" t="s">
        <v>67</v>
      </c>
      <c r="E4239" t="s">
        <v>63</v>
      </c>
      <c r="F4239" t="s">
        <v>26</v>
      </c>
      <c r="G4239" s="4">
        <v>9</v>
      </c>
      <c r="H4239" s="4" t="s">
        <v>75</v>
      </c>
      <c r="I4239" s="4" t="s">
        <v>69</v>
      </c>
      <c r="J4239" s="4" t="s">
        <v>66</v>
      </c>
      <c r="K4239" s="4">
        <v>0</v>
      </c>
      <c r="L4239" s="94">
        <v>-310</v>
      </c>
      <c r="M4239" s="94">
        <v>0</v>
      </c>
    </row>
    <row r="4240" spans="3:13" x14ac:dyDescent="0.3">
      <c r="C4240" t="s">
        <v>61</v>
      </c>
      <c r="D4240" t="s">
        <v>62</v>
      </c>
      <c r="E4240" t="s">
        <v>63</v>
      </c>
      <c r="F4240" t="s">
        <v>25</v>
      </c>
      <c r="G4240" s="4">
        <v>28</v>
      </c>
      <c r="I4240" s="4" t="s">
        <v>69</v>
      </c>
      <c r="J4240" s="4" t="s">
        <v>66</v>
      </c>
      <c r="K4240" s="4">
        <v>0</v>
      </c>
      <c r="L4240" s="94">
        <v>-339</v>
      </c>
      <c r="M4240" s="94">
        <v>0</v>
      </c>
    </row>
    <row r="4241" spans="3:13" x14ac:dyDescent="0.3">
      <c r="C4241" t="s">
        <v>70</v>
      </c>
      <c r="D4241" t="s">
        <v>67</v>
      </c>
      <c r="E4241" t="s">
        <v>63</v>
      </c>
      <c r="F4241" t="s">
        <v>26</v>
      </c>
      <c r="G4241" s="4">
        <v>3</v>
      </c>
      <c r="H4241" s="4" t="s">
        <v>14</v>
      </c>
      <c r="I4241" s="4" t="s">
        <v>69</v>
      </c>
      <c r="J4241" s="4" t="s">
        <v>66</v>
      </c>
      <c r="K4241" s="4">
        <v>0</v>
      </c>
      <c r="L4241" s="94">
        <v>-657254</v>
      </c>
      <c r="M4241" s="94">
        <v>0</v>
      </c>
    </row>
    <row r="4242" spans="3:13" x14ac:dyDescent="0.3">
      <c r="C4242" t="s">
        <v>61</v>
      </c>
      <c r="D4242" t="s">
        <v>67</v>
      </c>
      <c r="E4242" t="s">
        <v>63</v>
      </c>
      <c r="F4242" t="s">
        <v>25</v>
      </c>
      <c r="G4242" s="4">
        <v>6</v>
      </c>
      <c r="H4242" s="4" t="s">
        <v>18</v>
      </c>
      <c r="I4242" s="4" t="s">
        <v>69</v>
      </c>
      <c r="J4242" s="4" t="s">
        <v>66</v>
      </c>
      <c r="K4242" s="4">
        <v>0</v>
      </c>
      <c r="L4242" s="94">
        <v>-21115</v>
      </c>
      <c r="M4242" s="94">
        <v>0</v>
      </c>
    </row>
    <row r="4243" spans="3:13" x14ac:dyDescent="0.3">
      <c r="C4243" t="s">
        <v>61</v>
      </c>
      <c r="D4243" t="s">
        <v>67</v>
      </c>
      <c r="E4243" t="s">
        <v>68</v>
      </c>
      <c r="F4243" t="s">
        <v>26</v>
      </c>
      <c r="G4243" s="4">
        <v>0</v>
      </c>
      <c r="H4243" s="4" t="s">
        <v>12</v>
      </c>
      <c r="I4243" s="4" t="s">
        <v>69</v>
      </c>
      <c r="J4243" s="4" t="s">
        <v>66</v>
      </c>
      <c r="K4243" s="4">
        <v>0</v>
      </c>
      <c r="L4243" s="94">
        <v>14977270</v>
      </c>
      <c r="M4243" s="94">
        <v>0</v>
      </c>
    </row>
    <row r="4244" spans="3:13" x14ac:dyDescent="0.3">
      <c r="C4244" t="s">
        <v>70</v>
      </c>
      <c r="D4244" t="s">
        <v>62</v>
      </c>
      <c r="E4244" t="s">
        <v>63</v>
      </c>
      <c r="F4244" t="s">
        <v>24</v>
      </c>
      <c r="G4244" s="4">
        <v>20</v>
      </c>
      <c r="I4244" s="4" t="s">
        <v>69</v>
      </c>
      <c r="J4244" s="4" t="s">
        <v>66</v>
      </c>
      <c r="K4244" s="4">
        <v>1</v>
      </c>
      <c r="L4244" s="94">
        <v>-8787</v>
      </c>
      <c r="M4244" s="94">
        <v>0</v>
      </c>
    </row>
    <row r="4245" spans="3:13" x14ac:dyDescent="0.3">
      <c r="C4245" t="s">
        <v>61</v>
      </c>
      <c r="D4245" t="s">
        <v>67</v>
      </c>
      <c r="E4245" t="s">
        <v>68</v>
      </c>
      <c r="F4245" t="s">
        <v>25</v>
      </c>
      <c r="G4245" s="4">
        <v>10</v>
      </c>
      <c r="H4245" s="4" t="s">
        <v>82</v>
      </c>
      <c r="I4245" s="4" t="s">
        <v>69</v>
      </c>
      <c r="J4245" s="4" t="s">
        <v>66</v>
      </c>
      <c r="K4245" s="4">
        <v>0</v>
      </c>
      <c r="L4245" s="94">
        <v>130317</v>
      </c>
      <c r="M4245" s="94">
        <v>1303170</v>
      </c>
    </row>
    <row r="4246" spans="3:13" x14ac:dyDescent="0.3">
      <c r="C4246" t="s">
        <v>71</v>
      </c>
      <c r="D4246" t="s">
        <v>67</v>
      </c>
      <c r="E4246" t="s">
        <v>63</v>
      </c>
      <c r="F4246" t="s">
        <v>26</v>
      </c>
      <c r="G4246" s="4">
        <v>0</v>
      </c>
      <c r="H4246" s="4" t="s">
        <v>14</v>
      </c>
      <c r="I4246" s="4" t="s">
        <v>69</v>
      </c>
      <c r="J4246" s="4" t="s">
        <v>66</v>
      </c>
      <c r="K4246" s="4">
        <v>0</v>
      </c>
      <c r="L4246" s="94">
        <v>-616461</v>
      </c>
      <c r="M4246" s="94">
        <v>0</v>
      </c>
    </row>
    <row r="4247" spans="3:13" x14ac:dyDescent="0.3">
      <c r="C4247" t="s">
        <v>61</v>
      </c>
      <c r="D4247" t="s">
        <v>67</v>
      </c>
      <c r="E4247" t="s">
        <v>63</v>
      </c>
      <c r="F4247" t="s">
        <v>72</v>
      </c>
      <c r="G4247" s="4">
        <v>2</v>
      </c>
      <c r="H4247" s="4" t="s">
        <v>12</v>
      </c>
      <c r="I4247" s="4" t="s">
        <v>69</v>
      </c>
      <c r="J4247" s="4" t="s">
        <v>73</v>
      </c>
      <c r="K4247" s="4">
        <v>1</v>
      </c>
      <c r="L4247" s="94">
        <v>-2751</v>
      </c>
      <c r="M4247" s="94">
        <v>0</v>
      </c>
    </row>
    <row r="4248" spans="3:13" x14ac:dyDescent="0.3">
      <c r="C4248" t="s">
        <v>61</v>
      </c>
      <c r="D4248" t="s">
        <v>67</v>
      </c>
      <c r="E4248" t="s">
        <v>68</v>
      </c>
      <c r="F4248" t="s">
        <v>26</v>
      </c>
      <c r="G4248" s="4">
        <v>7</v>
      </c>
      <c r="H4248" s="4" t="s">
        <v>83</v>
      </c>
      <c r="I4248" s="4" t="s">
        <v>69</v>
      </c>
      <c r="J4248" s="4" t="s">
        <v>66</v>
      </c>
      <c r="K4248" s="4">
        <v>0</v>
      </c>
      <c r="L4248" s="94">
        <v>1336045</v>
      </c>
      <c r="M4248" s="94">
        <v>9352315</v>
      </c>
    </row>
    <row r="4249" spans="3:13" x14ac:dyDescent="0.3">
      <c r="C4249" t="s">
        <v>61</v>
      </c>
      <c r="D4249" t="s">
        <v>67</v>
      </c>
      <c r="E4249" t="s">
        <v>68</v>
      </c>
      <c r="F4249" t="s">
        <v>72</v>
      </c>
      <c r="G4249" s="4">
        <v>3</v>
      </c>
      <c r="H4249" s="4" t="s">
        <v>78</v>
      </c>
      <c r="I4249" s="4" t="s">
        <v>69</v>
      </c>
      <c r="J4249" s="4" t="s">
        <v>66</v>
      </c>
      <c r="K4249" s="4">
        <v>0</v>
      </c>
      <c r="L4249" s="94">
        <v>343091</v>
      </c>
      <c r="M4249" s="94">
        <v>1029273</v>
      </c>
    </row>
    <row r="4250" spans="3:13" x14ac:dyDescent="0.3">
      <c r="C4250" t="s">
        <v>61</v>
      </c>
      <c r="D4250" t="s">
        <v>67</v>
      </c>
      <c r="E4250" t="s">
        <v>63</v>
      </c>
      <c r="F4250" t="s">
        <v>26</v>
      </c>
      <c r="G4250" s="4">
        <v>0</v>
      </c>
      <c r="H4250" s="4" t="s">
        <v>12</v>
      </c>
      <c r="I4250" s="4" t="s">
        <v>69</v>
      </c>
      <c r="J4250" s="4" t="s">
        <v>66</v>
      </c>
      <c r="K4250" s="4">
        <v>0</v>
      </c>
      <c r="L4250" s="94">
        <v>-90055</v>
      </c>
      <c r="M4250" s="94">
        <v>0</v>
      </c>
    </row>
    <row r="4251" spans="3:13" x14ac:dyDescent="0.3">
      <c r="C4251" t="s">
        <v>71</v>
      </c>
      <c r="D4251" t="s">
        <v>67</v>
      </c>
      <c r="E4251" t="s">
        <v>68</v>
      </c>
      <c r="F4251" t="s">
        <v>26</v>
      </c>
      <c r="G4251" s="4">
        <v>11</v>
      </c>
      <c r="H4251" s="4" t="s">
        <v>17</v>
      </c>
      <c r="I4251" s="4" t="s">
        <v>65</v>
      </c>
      <c r="J4251" s="4" t="s">
        <v>73</v>
      </c>
      <c r="K4251" s="4">
        <v>1</v>
      </c>
      <c r="L4251" s="94">
        <v>181990</v>
      </c>
      <c r="M4251" s="94">
        <v>2001890</v>
      </c>
    </row>
    <row r="4252" spans="3:13" x14ac:dyDescent="0.3">
      <c r="C4252" t="s">
        <v>70</v>
      </c>
      <c r="D4252" t="s">
        <v>62</v>
      </c>
      <c r="E4252" t="s">
        <v>63</v>
      </c>
      <c r="F4252" t="s">
        <v>24</v>
      </c>
      <c r="G4252" s="4">
        <v>32</v>
      </c>
      <c r="I4252" s="4" t="s">
        <v>69</v>
      </c>
      <c r="J4252" s="4" t="s">
        <v>66</v>
      </c>
      <c r="K4252" s="4">
        <v>0</v>
      </c>
      <c r="L4252" s="94">
        <v>-1288384</v>
      </c>
      <c r="M4252" s="94">
        <v>0</v>
      </c>
    </row>
    <row r="4253" spans="3:13" x14ac:dyDescent="0.3">
      <c r="C4253" t="s">
        <v>61</v>
      </c>
      <c r="D4253" t="s">
        <v>67</v>
      </c>
      <c r="E4253" t="s">
        <v>68</v>
      </c>
      <c r="F4253" t="s">
        <v>26</v>
      </c>
      <c r="G4253" s="4">
        <v>-1</v>
      </c>
      <c r="H4253" s="4" t="s">
        <v>82</v>
      </c>
      <c r="I4253" s="4" t="s">
        <v>69</v>
      </c>
      <c r="J4253" s="4" t="s">
        <v>66</v>
      </c>
      <c r="K4253" s="4">
        <v>0</v>
      </c>
      <c r="L4253" s="94">
        <v>45608931</v>
      </c>
      <c r="M4253" s="94">
        <v>0</v>
      </c>
    </row>
    <row r="4254" spans="3:13" x14ac:dyDescent="0.3">
      <c r="C4254" t="s">
        <v>70</v>
      </c>
      <c r="D4254" t="s">
        <v>67</v>
      </c>
      <c r="E4254" t="s">
        <v>63</v>
      </c>
      <c r="F4254" t="s">
        <v>72</v>
      </c>
      <c r="G4254" s="4">
        <v>4</v>
      </c>
      <c r="H4254" s="4" t="s">
        <v>18</v>
      </c>
      <c r="I4254" s="4" t="s">
        <v>69</v>
      </c>
      <c r="J4254" s="4" t="s">
        <v>73</v>
      </c>
      <c r="K4254" s="4">
        <v>1</v>
      </c>
      <c r="L4254" s="94">
        <v>-14099</v>
      </c>
      <c r="M4254" s="94">
        <v>0</v>
      </c>
    </row>
    <row r="4255" spans="3:13" x14ac:dyDescent="0.3">
      <c r="C4255" t="s">
        <v>61</v>
      </c>
      <c r="D4255" t="s">
        <v>62</v>
      </c>
      <c r="E4255" t="s">
        <v>68</v>
      </c>
      <c r="F4255" t="s">
        <v>25</v>
      </c>
      <c r="G4255" s="4">
        <v>29</v>
      </c>
      <c r="I4255" s="4" t="s">
        <v>69</v>
      </c>
      <c r="J4255" s="4" t="s">
        <v>66</v>
      </c>
      <c r="K4255" s="4">
        <v>0</v>
      </c>
      <c r="L4255" s="94">
        <v>85817</v>
      </c>
      <c r="M4255" s="94">
        <v>2488693</v>
      </c>
    </row>
    <row r="4256" spans="3:13" x14ac:dyDescent="0.3">
      <c r="C4256" t="s">
        <v>71</v>
      </c>
      <c r="D4256" t="s">
        <v>67</v>
      </c>
      <c r="E4256" t="s">
        <v>68</v>
      </c>
      <c r="F4256" t="s">
        <v>25</v>
      </c>
      <c r="G4256" s="4">
        <v>6</v>
      </c>
      <c r="H4256" s="4" t="s">
        <v>74</v>
      </c>
      <c r="I4256" s="4" t="s">
        <v>69</v>
      </c>
      <c r="J4256" s="4" t="s">
        <v>66</v>
      </c>
      <c r="K4256" s="4">
        <v>0</v>
      </c>
      <c r="L4256" s="94">
        <v>267963</v>
      </c>
      <c r="M4256" s="94">
        <v>1607778</v>
      </c>
    </row>
    <row r="4257" spans="3:13" x14ac:dyDescent="0.3">
      <c r="C4257" t="s">
        <v>70</v>
      </c>
      <c r="D4257" t="s">
        <v>67</v>
      </c>
      <c r="E4257" t="s">
        <v>63</v>
      </c>
      <c r="F4257" t="s">
        <v>26</v>
      </c>
      <c r="G4257" s="4">
        <v>6</v>
      </c>
      <c r="H4257" s="4" t="s">
        <v>83</v>
      </c>
      <c r="I4257" s="4" t="s">
        <v>69</v>
      </c>
      <c r="J4257" s="4" t="s">
        <v>66</v>
      </c>
      <c r="K4257" s="4">
        <v>0</v>
      </c>
      <c r="L4257" s="94">
        <v>-773</v>
      </c>
      <c r="M4257" s="94">
        <v>0</v>
      </c>
    </row>
    <row r="4258" spans="3:13" x14ac:dyDescent="0.3">
      <c r="C4258" t="s">
        <v>70</v>
      </c>
      <c r="D4258" t="s">
        <v>67</v>
      </c>
      <c r="E4258" t="s">
        <v>63</v>
      </c>
      <c r="F4258" t="s">
        <v>26</v>
      </c>
      <c r="G4258" s="4">
        <v>5</v>
      </c>
      <c r="H4258" s="4" t="s">
        <v>12</v>
      </c>
      <c r="I4258" s="4" t="s">
        <v>65</v>
      </c>
      <c r="J4258" s="4" t="s">
        <v>73</v>
      </c>
      <c r="K4258" s="4">
        <v>1</v>
      </c>
      <c r="L4258" s="94">
        <v>-10343</v>
      </c>
      <c r="M4258" s="94">
        <v>0</v>
      </c>
    </row>
    <row r="4259" spans="3:13" x14ac:dyDescent="0.3">
      <c r="C4259" t="s">
        <v>61</v>
      </c>
      <c r="D4259" t="s">
        <v>67</v>
      </c>
      <c r="E4259" t="s">
        <v>68</v>
      </c>
      <c r="F4259" t="s">
        <v>26</v>
      </c>
      <c r="G4259" s="4">
        <v>4</v>
      </c>
      <c r="H4259" s="4" t="s">
        <v>18</v>
      </c>
      <c r="I4259" s="4" t="s">
        <v>69</v>
      </c>
      <c r="J4259" s="4" t="s">
        <v>66</v>
      </c>
      <c r="K4259" s="4">
        <v>0</v>
      </c>
      <c r="L4259" s="94">
        <v>201055866</v>
      </c>
      <c r="M4259" s="94">
        <v>804223464</v>
      </c>
    </row>
    <row r="4260" spans="3:13" x14ac:dyDescent="0.3">
      <c r="C4260" t="s">
        <v>71</v>
      </c>
      <c r="D4260" t="s">
        <v>67</v>
      </c>
      <c r="E4260" t="s">
        <v>68</v>
      </c>
      <c r="F4260" t="s">
        <v>26</v>
      </c>
      <c r="G4260" s="4">
        <v>2</v>
      </c>
      <c r="H4260" s="4" t="s">
        <v>12</v>
      </c>
      <c r="I4260" s="4" t="s">
        <v>65</v>
      </c>
      <c r="J4260" s="4" t="s">
        <v>73</v>
      </c>
      <c r="K4260" s="4">
        <v>1</v>
      </c>
      <c r="L4260" s="94">
        <v>13650</v>
      </c>
      <c r="M4260" s="94">
        <v>27300</v>
      </c>
    </row>
    <row r="4261" spans="3:13" x14ac:dyDescent="0.3">
      <c r="C4261" t="s">
        <v>71</v>
      </c>
      <c r="D4261" t="s">
        <v>67</v>
      </c>
      <c r="E4261" t="s">
        <v>63</v>
      </c>
      <c r="F4261" t="s">
        <v>26</v>
      </c>
      <c r="G4261" s="4">
        <v>1</v>
      </c>
      <c r="H4261" s="4" t="s">
        <v>82</v>
      </c>
      <c r="I4261" s="4" t="s">
        <v>69</v>
      </c>
      <c r="J4261" s="4" t="s">
        <v>66</v>
      </c>
      <c r="K4261" s="4">
        <v>0</v>
      </c>
      <c r="L4261" s="94">
        <v>-608476</v>
      </c>
      <c r="M4261" s="94">
        <v>0</v>
      </c>
    </row>
    <row r="4262" spans="3:13" x14ac:dyDescent="0.3">
      <c r="C4262" t="s">
        <v>61</v>
      </c>
      <c r="D4262" t="s">
        <v>67</v>
      </c>
      <c r="E4262" t="s">
        <v>68</v>
      </c>
      <c r="F4262" t="s">
        <v>26</v>
      </c>
      <c r="G4262" s="4">
        <v>14</v>
      </c>
      <c r="H4262" s="4" t="s">
        <v>76</v>
      </c>
      <c r="I4262" s="4" t="s">
        <v>69</v>
      </c>
      <c r="J4262" s="4" t="s">
        <v>66</v>
      </c>
      <c r="K4262" s="4">
        <v>0</v>
      </c>
      <c r="L4262" s="94">
        <v>405808</v>
      </c>
      <c r="M4262" s="94">
        <v>5681312</v>
      </c>
    </row>
    <row r="4263" spans="3:13" x14ac:dyDescent="0.3">
      <c r="C4263" t="s">
        <v>61</v>
      </c>
      <c r="D4263" t="s">
        <v>67</v>
      </c>
      <c r="E4263" t="s">
        <v>63</v>
      </c>
      <c r="F4263" t="s">
        <v>25</v>
      </c>
      <c r="G4263" s="4">
        <v>1</v>
      </c>
      <c r="H4263" s="4" t="s">
        <v>76</v>
      </c>
      <c r="I4263" s="4" t="s">
        <v>69</v>
      </c>
      <c r="J4263" s="4" t="s">
        <v>66</v>
      </c>
      <c r="K4263" s="4">
        <v>0</v>
      </c>
      <c r="L4263" s="94">
        <v>-23399</v>
      </c>
      <c r="M4263" s="94">
        <v>0</v>
      </c>
    </row>
    <row r="4264" spans="3:13" x14ac:dyDescent="0.3">
      <c r="C4264" t="s">
        <v>71</v>
      </c>
      <c r="D4264" t="s">
        <v>67</v>
      </c>
      <c r="E4264" t="s">
        <v>68</v>
      </c>
      <c r="F4264" t="s">
        <v>26</v>
      </c>
      <c r="G4264" s="4">
        <v>-1</v>
      </c>
      <c r="H4264" s="4" t="s">
        <v>13</v>
      </c>
      <c r="I4264" s="4" t="s">
        <v>69</v>
      </c>
      <c r="J4264" s="4" t="s">
        <v>66</v>
      </c>
      <c r="K4264" s="4">
        <v>0</v>
      </c>
      <c r="L4264" s="94">
        <v>205</v>
      </c>
      <c r="M4264" s="94">
        <v>0</v>
      </c>
    </row>
    <row r="4265" spans="3:13" x14ac:dyDescent="0.3">
      <c r="C4265" t="s">
        <v>70</v>
      </c>
      <c r="D4265" t="s">
        <v>67</v>
      </c>
      <c r="E4265" t="s">
        <v>68</v>
      </c>
      <c r="F4265" t="s">
        <v>25</v>
      </c>
      <c r="G4265" s="4">
        <v>-4</v>
      </c>
      <c r="H4265" s="4" t="s">
        <v>74</v>
      </c>
      <c r="I4265" s="4" t="s">
        <v>69</v>
      </c>
      <c r="J4265" s="4" t="s">
        <v>66</v>
      </c>
      <c r="K4265" s="4">
        <v>0</v>
      </c>
      <c r="L4265" s="94">
        <v>368</v>
      </c>
      <c r="M4265" s="94">
        <v>0</v>
      </c>
    </row>
    <row r="4266" spans="3:13" x14ac:dyDescent="0.3">
      <c r="C4266" t="s">
        <v>61</v>
      </c>
      <c r="D4266" t="s">
        <v>62</v>
      </c>
      <c r="E4266" t="s">
        <v>68</v>
      </c>
      <c r="F4266" t="s">
        <v>24</v>
      </c>
      <c r="G4266" s="4">
        <v>17</v>
      </c>
      <c r="I4266" s="4" t="s">
        <v>69</v>
      </c>
      <c r="J4266" s="4" t="s">
        <v>66</v>
      </c>
      <c r="K4266" s="4">
        <v>0</v>
      </c>
      <c r="L4266" s="94">
        <v>331800022</v>
      </c>
      <c r="M4266" s="94">
        <v>5640600374</v>
      </c>
    </row>
    <row r="4267" spans="3:13" x14ac:dyDescent="0.3">
      <c r="C4267" t="s">
        <v>70</v>
      </c>
      <c r="D4267" t="s">
        <v>67</v>
      </c>
      <c r="E4267" t="s">
        <v>68</v>
      </c>
      <c r="F4267" t="s">
        <v>25</v>
      </c>
      <c r="G4267" s="4">
        <v>4</v>
      </c>
      <c r="H4267" s="4" t="s">
        <v>75</v>
      </c>
      <c r="I4267" s="4" t="s">
        <v>69</v>
      </c>
      <c r="J4267" s="4" t="s">
        <v>66</v>
      </c>
      <c r="K4267" s="4">
        <v>0</v>
      </c>
      <c r="L4267" s="94">
        <v>29568200</v>
      </c>
      <c r="M4267" s="94">
        <v>118272800</v>
      </c>
    </row>
    <row r="4268" spans="3:13" x14ac:dyDescent="0.3">
      <c r="C4268" t="s">
        <v>70</v>
      </c>
      <c r="D4268" t="s">
        <v>62</v>
      </c>
      <c r="E4268" t="s">
        <v>63</v>
      </c>
      <c r="F4268" t="s">
        <v>24</v>
      </c>
      <c r="G4268" s="4">
        <v>4</v>
      </c>
      <c r="I4268" s="4" t="s">
        <v>69</v>
      </c>
      <c r="J4268" s="4" t="s">
        <v>66</v>
      </c>
      <c r="K4268" s="4">
        <v>1</v>
      </c>
      <c r="L4268" s="94">
        <v>-15034</v>
      </c>
      <c r="M4268" s="94">
        <v>0</v>
      </c>
    </row>
    <row r="4269" spans="3:13" x14ac:dyDescent="0.3">
      <c r="C4269" t="s">
        <v>71</v>
      </c>
      <c r="D4269" t="s">
        <v>67</v>
      </c>
      <c r="E4269" t="s">
        <v>68</v>
      </c>
      <c r="F4269" t="s">
        <v>26</v>
      </c>
      <c r="G4269" s="4">
        <v>4</v>
      </c>
      <c r="H4269" s="4" t="s">
        <v>74</v>
      </c>
      <c r="I4269" s="4" t="s">
        <v>69</v>
      </c>
      <c r="J4269" s="4" t="s">
        <v>66</v>
      </c>
      <c r="K4269" s="4">
        <v>0</v>
      </c>
      <c r="L4269" s="94">
        <v>1498762</v>
      </c>
      <c r="M4269" s="94">
        <v>5995048</v>
      </c>
    </row>
    <row r="4270" spans="3:13" x14ac:dyDescent="0.3">
      <c r="C4270" t="s">
        <v>61</v>
      </c>
      <c r="D4270" t="s">
        <v>67</v>
      </c>
      <c r="E4270" t="s">
        <v>63</v>
      </c>
      <c r="F4270" t="s">
        <v>26</v>
      </c>
      <c r="G4270" s="4">
        <v>-4</v>
      </c>
      <c r="H4270" s="4" t="s">
        <v>14</v>
      </c>
      <c r="I4270" s="4" t="s">
        <v>69</v>
      </c>
      <c r="J4270" s="4" t="s">
        <v>66</v>
      </c>
      <c r="K4270" s="4">
        <v>0</v>
      </c>
      <c r="L4270" s="94">
        <v>-1051</v>
      </c>
      <c r="M4270" s="94">
        <v>0</v>
      </c>
    </row>
    <row r="4271" spans="3:13" x14ac:dyDescent="0.3">
      <c r="C4271" t="s">
        <v>61</v>
      </c>
      <c r="D4271" t="s">
        <v>67</v>
      </c>
      <c r="E4271" t="s">
        <v>63</v>
      </c>
      <c r="F4271" t="s">
        <v>26</v>
      </c>
      <c r="G4271" s="4">
        <v>4</v>
      </c>
      <c r="H4271" s="4" t="s">
        <v>18</v>
      </c>
      <c r="I4271" s="4" t="s">
        <v>69</v>
      </c>
      <c r="J4271" s="4" t="s">
        <v>66</v>
      </c>
      <c r="K4271" s="4">
        <v>0</v>
      </c>
      <c r="L4271" s="94">
        <v>-236909</v>
      </c>
      <c r="M4271" s="94">
        <v>0</v>
      </c>
    </row>
    <row r="4272" spans="3:13" x14ac:dyDescent="0.3">
      <c r="C4272" t="s">
        <v>71</v>
      </c>
      <c r="D4272" t="s">
        <v>67</v>
      </c>
      <c r="E4272" t="s">
        <v>63</v>
      </c>
      <c r="F4272" t="s">
        <v>72</v>
      </c>
      <c r="G4272" s="4">
        <v>4</v>
      </c>
      <c r="H4272" s="4" t="s">
        <v>76</v>
      </c>
      <c r="I4272" s="4" t="s">
        <v>69</v>
      </c>
      <c r="J4272" s="4" t="s">
        <v>66</v>
      </c>
      <c r="K4272" s="4">
        <v>0</v>
      </c>
      <c r="L4272" s="94">
        <v>-64615</v>
      </c>
      <c r="M4272" s="94">
        <v>0</v>
      </c>
    </row>
    <row r="4273" spans="3:13" x14ac:dyDescent="0.3">
      <c r="C4273" t="s">
        <v>70</v>
      </c>
      <c r="D4273" t="s">
        <v>67</v>
      </c>
      <c r="E4273" t="s">
        <v>63</v>
      </c>
      <c r="F4273" t="s">
        <v>26</v>
      </c>
      <c r="G4273" s="4">
        <v>3</v>
      </c>
      <c r="H4273" s="4" t="s">
        <v>74</v>
      </c>
      <c r="I4273" s="4" t="s">
        <v>69</v>
      </c>
      <c r="J4273" s="4" t="s">
        <v>66</v>
      </c>
      <c r="K4273" s="4">
        <v>0</v>
      </c>
      <c r="L4273" s="94">
        <v>-340977</v>
      </c>
      <c r="M4273" s="94">
        <v>0</v>
      </c>
    </row>
    <row r="4274" spans="3:13" x14ac:dyDescent="0.3">
      <c r="C4274" t="s">
        <v>71</v>
      </c>
      <c r="D4274" t="s">
        <v>62</v>
      </c>
      <c r="E4274" t="s">
        <v>63</v>
      </c>
      <c r="F4274" t="s">
        <v>25</v>
      </c>
      <c r="G4274" s="4">
        <v>21</v>
      </c>
      <c r="I4274" s="4" t="s">
        <v>69</v>
      </c>
      <c r="J4274" s="4" t="s">
        <v>66</v>
      </c>
      <c r="K4274" s="4">
        <v>0</v>
      </c>
      <c r="L4274" s="94">
        <v>-288297</v>
      </c>
      <c r="M4274" s="94">
        <v>0</v>
      </c>
    </row>
    <row r="4275" spans="3:13" x14ac:dyDescent="0.3">
      <c r="C4275" t="s">
        <v>61</v>
      </c>
      <c r="D4275" t="s">
        <v>67</v>
      </c>
      <c r="E4275" t="s">
        <v>68</v>
      </c>
      <c r="F4275" t="s">
        <v>26</v>
      </c>
      <c r="G4275" s="4">
        <v>0</v>
      </c>
      <c r="H4275" s="4" t="s">
        <v>86</v>
      </c>
      <c r="I4275" s="4" t="s">
        <v>69</v>
      </c>
      <c r="J4275" s="4" t="s">
        <v>66</v>
      </c>
      <c r="K4275" s="4">
        <v>0</v>
      </c>
      <c r="L4275" s="94">
        <v>469</v>
      </c>
      <c r="M4275" s="94">
        <v>0</v>
      </c>
    </row>
    <row r="4276" spans="3:13" x14ac:dyDescent="0.3">
      <c r="C4276" t="s">
        <v>71</v>
      </c>
      <c r="D4276" t="s">
        <v>67</v>
      </c>
      <c r="E4276" t="s">
        <v>68</v>
      </c>
      <c r="F4276" t="s">
        <v>26</v>
      </c>
      <c r="G4276" s="4">
        <v>3</v>
      </c>
      <c r="H4276" s="4" t="s">
        <v>64</v>
      </c>
      <c r="I4276" s="4" t="s">
        <v>69</v>
      </c>
      <c r="J4276" s="4" t="s">
        <v>66</v>
      </c>
      <c r="K4276" s="4">
        <v>0</v>
      </c>
      <c r="L4276" s="94">
        <v>194901</v>
      </c>
      <c r="M4276" s="94">
        <v>584703</v>
      </c>
    </row>
    <row r="4277" spans="3:13" x14ac:dyDescent="0.3">
      <c r="C4277" t="s">
        <v>61</v>
      </c>
      <c r="D4277" t="s">
        <v>67</v>
      </c>
      <c r="E4277" t="s">
        <v>68</v>
      </c>
      <c r="F4277" t="s">
        <v>25</v>
      </c>
      <c r="G4277" s="4">
        <v>10</v>
      </c>
      <c r="H4277" s="4" t="s">
        <v>17</v>
      </c>
      <c r="I4277" s="4" t="s">
        <v>69</v>
      </c>
      <c r="J4277" s="4" t="s">
        <v>66</v>
      </c>
      <c r="K4277" s="4">
        <v>0</v>
      </c>
      <c r="L4277" s="94">
        <v>13052966</v>
      </c>
      <c r="M4277" s="94">
        <v>130529660</v>
      </c>
    </row>
    <row r="4278" spans="3:13" x14ac:dyDescent="0.3">
      <c r="C4278" t="s">
        <v>71</v>
      </c>
      <c r="D4278" t="s">
        <v>67</v>
      </c>
      <c r="E4278" t="s">
        <v>63</v>
      </c>
      <c r="F4278" t="s">
        <v>26</v>
      </c>
      <c r="G4278" s="4">
        <v>0</v>
      </c>
      <c r="H4278" s="4" t="s">
        <v>74</v>
      </c>
      <c r="I4278" s="4" t="s">
        <v>69</v>
      </c>
      <c r="J4278" s="4" t="s">
        <v>66</v>
      </c>
      <c r="K4278" s="4">
        <v>0</v>
      </c>
      <c r="L4278" s="94">
        <v>-50974</v>
      </c>
      <c r="M4278" s="94">
        <v>0</v>
      </c>
    </row>
    <row r="4279" spans="3:13" x14ac:dyDescent="0.3">
      <c r="C4279" t="s">
        <v>70</v>
      </c>
      <c r="D4279" t="s">
        <v>67</v>
      </c>
      <c r="E4279" t="s">
        <v>68</v>
      </c>
      <c r="F4279" t="s">
        <v>26</v>
      </c>
      <c r="G4279" s="4">
        <v>-1</v>
      </c>
      <c r="H4279" s="4" t="s">
        <v>75</v>
      </c>
      <c r="I4279" s="4" t="s">
        <v>65</v>
      </c>
      <c r="J4279" s="4" t="s">
        <v>66</v>
      </c>
      <c r="K4279" s="4">
        <v>1</v>
      </c>
      <c r="L4279" s="94">
        <v>978</v>
      </c>
      <c r="M4279" s="94">
        <v>0</v>
      </c>
    </row>
    <row r="4280" spans="3:13" x14ac:dyDescent="0.3">
      <c r="C4280" t="s">
        <v>61</v>
      </c>
      <c r="D4280" t="s">
        <v>62</v>
      </c>
      <c r="E4280" t="s">
        <v>68</v>
      </c>
      <c r="F4280" t="s">
        <v>24</v>
      </c>
      <c r="G4280" s="4">
        <v>20</v>
      </c>
      <c r="I4280" s="4" t="s">
        <v>69</v>
      </c>
      <c r="J4280" s="4" t="s">
        <v>66</v>
      </c>
      <c r="K4280" s="4">
        <v>0</v>
      </c>
      <c r="L4280" s="94">
        <v>599391967</v>
      </c>
      <c r="M4280" s="94">
        <v>11987839340</v>
      </c>
    </row>
    <row r="4281" spans="3:13" x14ac:dyDescent="0.3">
      <c r="C4281" t="s">
        <v>61</v>
      </c>
      <c r="D4281" t="s">
        <v>62</v>
      </c>
      <c r="E4281" t="s">
        <v>63</v>
      </c>
      <c r="F4281" t="s">
        <v>24</v>
      </c>
      <c r="G4281" s="4">
        <v>37</v>
      </c>
      <c r="I4281" s="4" t="s">
        <v>69</v>
      </c>
      <c r="J4281" s="4" t="s">
        <v>66</v>
      </c>
      <c r="K4281" s="4">
        <v>1</v>
      </c>
      <c r="L4281" s="94">
        <v>-806</v>
      </c>
      <c r="M4281" s="94">
        <v>0</v>
      </c>
    </row>
    <row r="4282" spans="3:13" x14ac:dyDescent="0.3">
      <c r="C4282" t="s">
        <v>71</v>
      </c>
      <c r="D4282" t="s">
        <v>67</v>
      </c>
      <c r="E4282" t="s">
        <v>63</v>
      </c>
      <c r="F4282" t="s">
        <v>25</v>
      </c>
      <c r="G4282" s="4">
        <v>1</v>
      </c>
      <c r="H4282" s="4" t="s">
        <v>14</v>
      </c>
      <c r="I4282" s="4" t="s">
        <v>69</v>
      </c>
      <c r="J4282" s="4" t="s">
        <v>66</v>
      </c>
      <c r="K4282" s="4">
        <v>0</v>
      </c>
      <c r="L4282" s="94">
        <v>-63505</v>
      </c>
      <c r="M4282" s="94">
        <v>0</v>
      </c>
    </row>
    <row r="4283" spans="3:13" x14ac:dyDescent="0.3">
      <c r="C4283" t="s">
        <v>61</v>
      </c>
      <c r="D4283" t="s">
        <v>84</v>
      </c>
      <c r="E4283" t="s">
        <v>68</v>
      </c>
      <c r="F4283" t="s">
        <v>25</v>
      </c>
      <c r="G4283" s="4">
        <v>14</v>
      </c>
      <c r="H4283" s="4" t="s">
        <v>81</v>
      </c>
      <c r="I4283" s="4" t="s">
        <v>69</v>
      </c>
      <c r="J4283" s="4" t="s">
        <v>66</v>
      </c>
      <c r="K4283" s="4">
        <v>0</v>
      </c>
      <c r="L4283" s="94">
        <v>1826836</v>
      </c>
      <c r="M4283" s="94">
        <v>25575704</v>
      </c>
    </row>
    <row r="4284" spans="3:13" x14ac:dyDescent="0.3">
      <c r="C4284" t="s">
        <v>70</v>
      </c>
      <c r="D4284" t="s">
        <v>62</v>
      </c>
      <c r="E4284" t="s">
        <v>68</v>
      </c>
      <c r="F4284" t="s">
        <v>25</v>
      </c>
      <c r="G4284" s="4">
        <v>4</v>
      </c>
      <c r="I4284" s="4" t="s">
        <v>69</v>
      </c>
      <c r="J4284" s="4" t="s">
        <v>66</v>
      </c>
      <c r="K4284" s="4">
        <v>0</v>
      </c>
      <c r="L4284" s="94">
        <v>405075</v>
      </c>
      <c r="M4284" s="94">
        <v>1620300</v>
      </c>
    </row>
    <row r="4285" spans="3:13" x14ac:dyDescent="0.3">
      <c r="C4285" t="s">
        <v>71</v>
      </c>
      <c r="D4285" t="s">
        <v>67</v>
      </c>
      <c r="E4285" t="s">
        <v>68</v>
      </c>
      <c r="F4285" t="s">
        <v>26</v>
      </c>
      <c r="G4285" s="4">
        <v>0</v>
      </c>
      <c r="H4285" s="4" t="s">
        <v>16</v>
      </c>
      <c r="I4285" s="4" t="s">
        <v>69</v>
      </c>
      <c r="J4285" s="4" t="s">
        <v>66</v>
      </c>
      <c r="K4285" s="4">
        <v>0</v>
      </c>
      <c r="L4285" s="94">
        <v>59451</v>
      </c>
      <c r="M4285" s="94">
        <v>0</v>
      </c>
    </row>
    <row r="4286" spans="3:13" x14ac:dyDescent="0.3">
      <c r="C4286" t="s">
        <v>71</v>
      </c>
      <c r="D4286" t="s">
        <v>67</v>
      </c>
      <c r="E4286" t="s">
        <v>63</v>
      </c>
      <c r="F4286" t="s">
        <v>26</v>
      </c>
      <c r="G4286" s="4">
        <v>15</v>
      </c>
      <c r="H4286" s="4" t="s">
        <v>17</v>
      </c>
      <c r="I4286" s="4" t="s">
        <v>69</v>
      </c>
      <c r="J4286" s="4" t="s">
        <v>66</v>
      </c>
      <c r="K4286" s="4">
        <v>0</v>
      </c>
      <c r="L4286" s="94">
        <v>-47157</v>
      </c>
      <c r="M4286" s="94">
        <v>0</v>
      </c>
    </row>
    <row r="4287" spans="3:13" x14ac:dyDescent="0.3">
      <c r="C4287" t="s">
        <v>70</v>
      </c>
      <c r="D4287" t="s">
        <v>62</v>
      </c>
      <c r="E4287" t="s">
        <v>68</v>
      </c>
      <c r="F4287" t="s">
        <v>24</v>
      </c>
      <c r="G4287" s="4">
        <v>20</v>
      </c>
      <c r="I4287" s="4" t="s">
        <v>65</v>
      </c>
      <c r="J4287" s="4" t="s">
        <v>66</v>
      </c>
      <c r="K4287" s="4">
        <v>1</v>
      </c>
      <c r="L4287" s="94">
        <v>642308</v>
      </c>
      <c r="M4287" s="94">
        <v>12846160</v>
      </c>
    </row>
    <row r="4288" spans="3:13" x14ac:dyDescent="0.3">
      <c r="C4288" t="s">
        <v>71</v>
      </c>
      <c r="D4288" t="s">
        <v>67</v>
      </c>
      <c r="E4288" t="s">
        <v>68</v>
      </c>
      <c r="F4288" t="s">
        <v>72</v>
      </c>
      <c r="G4288" s="4">
        <v>-4</v>
      </c>
      <c r="H4288" s="4" t="s">
        <v>14</v>
      </c>
      <c r="I4288" s="4" t="s">
        <v>69</v>
      </c>
      <c r="J4288" s="4" t="s">
        <v>66</v>
      </c>
      <c r="K4288" s="4">
        <v>0</v>
      </c>
      <c r="L4288" s="94">
        <v>782816</v>
      </c>
      <c r="M4288" s="94">
        <v>0</v>
      </c>
    </row>
    <row r="4289" spans="3:13" x14ac:dyDescent="0.3">
      <c r="C4289" t="s">
        <v>61</v>
      </c>
      <c r="D4289" t="s">
        <v>67</v>
      </c>
      <c r="E4289" t="s">
        <v>63</v>
      </c>
      <c r="F4289" t="s">
        <v>26</v>
      </c>
      <c r="G4289" s="4">
        <v>2</v>
      </c>
      <c r="H4289" s="4" t="s">
        <v>14</v>
      </c>
      <c r="I4289" s="4" t="s">
        <v>65</v>
      </c>
      <c r="J4289" s="4" t="s">
        <v>73</v>
      </c>
      <c r="K4289" s="4">
        <v>1</v>
      </c>
      <c r="L4289" s="94">
        <v>-2381</v>
      </c>
      <c r="M4289" s="94">
        <v>0</v>
      </c>
    </row>
    <row r="4290" spans="3:13" x14ac:dyDescent="0.3">
      <c r="C4290" t="s">
        <v>71</v>
      </c>
      <c r="D4290" t="s">
        <v>62</v>
      </c>
      <c r="E4290" t="s">
        <v>68</v>
      </c>
      <c r="F4290" t="s">
        <v>24</v>
      </c>
      <c r="G4290" s="4">
        <v>15</v>
      </c>
      <c r="I4290" s="4" t="s">
        <v>69</v>
      </c>
      <c r="J4290" s="4" t="s">
        <v>66</v>
      </c>
      <c r="K4290" s="4">
        <v>0</v>
      </c>
      <c r="L4290" s="94">
        <v>4898344</v>
      </c>
      <c r="M4290" s="94">
        <v>73475160</v>
      </c>
    </row>
    <row r="4291" spans="3:13" x14ac:dyDescent="0.3">
      <c r="C4291" t="s">
        <v>61</v>
      </c>
      <c r="D4291" t="s">
        <v>67</v>
      </c>
      <c r="E4291" t="s">
        <v>68</v>
      </c>
      <c r="F4291" t="s">
        <v>25</v>
      </c>
      <c r="G4291" s="4">
        <v>13</v>
      </c>
      <c r="H4291" s="4" t="s">
        <v>75</v>
      </c>
      <c r="I4291" s="4" t="s">
        <v>69</v>
      </c>
      <c r="J4291" s="4" t="s">
        <v>66</v>
      </c>
      <c r="K4291" s="4">
        <v>0</v>
      </c>
      <c r="L4291" s="94">
        <v>17962876</v>
      </c>
      <c r="M4291" s="94">
        <v>233517388</v>
      </c>
    </row>
    <row r="4292" spans="3:13" x14ac:dyDescent="0.3">
      <c r="C4292" t="s">
        <v>61</v>
      </c>
      <c r="D4292" t="s">
        <v>67</v>
      </c>
      <c r="E4292" t="s">
        <v>68</v>
      </c>
      <c r="F4292" t="s">
        <v>72</v>
      </c>
      <c r="G4292" s="4">
        <v>5</v>
      </c>
      <c r="H4292" s="4" t="s">
        <v>16</v>
      </c>
      <c r="I4292" s="4" t="s">
        <v>69</v>
      </c>
      <c r="J4292" s="4" t="s">
        <v>66</v>
      </c>
      <c r="K4292" s="4">
        <v>0</v>
      </c>
      <c r="L4292" s="94">
        <v>61094</v>
      </c>
      <c r="M4292" s="94">
        <v>305470</v>
      </c>
    </row>
    <row r="4293" spans="3:13" x14ac:dyDescent="0.3">
      <c r="C4293" t="s">
        <v>70</v>
      </c>
      <c r="D4293" t="s">
        <v>62</v>
      </c>
      <c r="E4293" t="s">
        <v>68</v>
      </c>
      <c r="F4293" t="s">
        <v>24</v>
      </c>
      <c r="G4293" s="4">
        <v>38</v>
      </c>
      <c r="I4293" s="4" t="s">
        <v>69</v>
      </c>
      <c r="J4293" s="4" t="s">
        <v>66</v>
      </c>
      <c r="K4293" s="4">
        <v>1</v>
      </c>
      <c r="L4293" s="94">
        <v>144559</v>
      </c>
      <c r="M4293" s="94">
        <v>5493242</v>
      </c>
    </row>
    <row r="4294" spans="3:13" x14ac:dyDescent="0.3">
      <c r="C4294" t="s">
        <v>61</v>
      </c>
      <c r="D4294" t="s">
        <v>67</v>
      </c>
      <c r="E4294" t="s">
        <v>63</v>
      </c>
      <c r="F4294" t="s">
        <v>72</v>
      </c>
      <c r="G4294" s="4">
        <v>1</v>
      </c>
      <c r="H4294" s="4" t="s">
        <v>14</v>
      </c>
      <c r="I4294" s="4" t="s">
        <v>69</v>
      </c>
      <c r="J4294" s="4" t="s">
        <v>66</v>
      </c>
      <c r="K4294" s="4">
        <v>0</v>
      </c>
      <c r="L4294" s="94">
        <v>-9550</v>
      </c>
      <c r="M4294" s="94">
        <v>0</v>
      </c>
    </row>
    <row r="4295" spans="3:13" x14ac:dyDescent="0.3">
      <c r="C4295" t="s">
        <v>70</v>
      </c>
      <c r="D4295" t="s">
        <v>67</v>
      </c>
      <c r="E4295" t="s">
        <v>68</v>
      </c>
      <c r="F4295" t="s">
        <v>72</v>
      </c>
      <c r="G4295" s="4">
        <v>-4</v>
      </c>
      <c r="H4295" s="4" t="s">
        <v>12</v>
      </c>
      <c r="I4295" s="4" t="s">
        <v>69</v>
      </c>
      <c r="J4295" s="4" t="s">
        <v>73</v>
      </c>
      <c r="K4295" s="4">
        <v>1</v>
      </c>
      <c r="L4295" s="94">
        <v>79</v>
      </c>
      <c r="M4295" s="94">
        <v>0</v>
      </c>
    </row>
    <row r="4296" spans="3:13" x14ac:dyDescent="0.3">
      <c r="C4296" t="s">
        <v>61</v>
      </c>
      <c r="D4296" t="s">
        <v>67</v>
      </c>
      <c r="E4296" t="s">
        <v>63</v>
      </c>
      <c r="F4296" t="s">
        <v>26</v>
      </c>
      <c r="G4296" s="4">
        <v>7</v>
      </c>
      <c r="H4296" s="4" t="s">
        <v>12</v>
      </c>
      <c r="I4296" s="4" t="s">
        <v>69</v>
      </c>
      <c r="J4296" s="4" t="s">
        <v>66</v>
      </c>
      <c r="K4296" s="4">
        <v>0</v>
      </c>
      <c r="L4296" s="94">
        <v>-2099</v>
      </c>
      <c r="M4296" s="94">
        <v>0</v>
      </c>
    </row>
    <row r="4297" spans="3:13" x14ac:dyDescent="0.3">
      <c r="C4297" t="s">
        <v>71</v>
      </c>
      <c r="D4297" t="s">
        <v>67</v>
      </c>
      <c r="E4297" t="s">
        <v>63</v>
      </c>
      <c r="F4297" t="s">
        <v>25</v>
      </c>
      <c r="G4297" s="4">
        <v>6</v>
      </c>
      <c r="H4297" s="4" t="s">
        <v>74</v>
      </c>
      <c r="I4297" s="4" t="s">
        <v>69</v>
      </c>
      <c r="J4297" s="4" t="s">
        <v>66</v>
      </c>
      <c r="K4297" s="4">
        <v>0</v>
      </c>
      <c r="L4297" s="94">
        <v>-99617</v>
      </c>
      <c r="M4297" s="94">
        <v>0</v>
      </c>
    </row>
    <row r="4298" spans="3:13" x14ac:dyDescent="0.3">
      <c r="C4298" t="s">
        <v>61</v>
      </c>
      <c r="D4298" t="s">
        <v>67</v>
      </c>
      <c r="E4298" t="s">
        <v>68</v>
      </c>
      <c r="F4298" t="s">
        <v>26</v>
      </c>
      <c r="G4298" s="4">
        <v>5</v>
      </c>
      <c r="H4298" s="4" t="s">
        <v>77</v>
      </c>
      <c r="I4298" s="4" t="s">
        <v>69</v>
      </c>
      <c r="J4298" s="4" t="s">
        <v>66</v>
      </c>
      <c r="K4298" s="4">
        <v>0</v>
      </c>
      <c r="L4298" s="94">
        <v>1248724</v>
      </c>
      <c r="M4298" s="94">
        <v>6243620</v>
      </c>
    </row>
    <row r="4299" spans="3:13" x14ac:dyDescent="0.3">
      <c r="C4299" t="s">
        <v>61</v>
      </c>
      <c r="D4299" t="s">
        <v>67</v>
      </c>
      <c r="E4299" t="s">
        <v>68</v>
      </c>
      <c r="F4299" t="s">
        <v>26</v>
      </c>
      <c r="G4299" s="4">
        <v>8</v>
      </c>
      <c r="H4299" s="4" t="s">
        <v>83</v>
      </c>
      <c r="I4299" s="4" t="s">
        <v>69</v>
      </c>
      <c r="J4299" s="4" t="s">
        <v>66</v>
      </c>
      <c r="K4299" s="4">
        <v>0</v>
      </c>
      <c r="L4299" s="94">
        <v>481253</v>
      </c>
      <c r="M4299" s="94">
        <v>3850024</v>
      </c>
    </row>
    <row r="4300" spans="3:13" x14ac:dyDescent="0.3">
      <c r="C4300" t="s">
        <v>61</v>
      </c>
      <c r="D4300" t="s">
        <v>67</v>
      </c>
      <c r="E4300" t="s">
        <v>63</v>
      </c>
      <c r="F4300" t="s">
        <v>25</v>
      </c>
      <c r="G4300" s="4">
        <v>1</v>
      </c>
      <c r="H4300" s="4" t="s">
        <v>18</v>
      </c>
      <c r="I4300" s="4" t="s">
        <v>69</v>
      </c>
      <c r="J4300" s="4" t="s">
        <v>66</v>
      </c>
      <c r="K4300" s="4">
        <v>0</v>
      </c>
      <c r="L4300" s="94">
        <v>-5461</v>
      </c>
      <c r="M4300" s="94">
        <v>0</v>
      </c>
    </row>
    <row r="4301" spans="3:13" x14ac:dyDescent="0.3">
      <c r="C4301" t="s">
        <v>70</v>
      </c>
      <c r="D4301" t="s">
        <v>62</v>
      </c>
      <c r="E4301" t="s">
        <v>68</v>
      </c>
      <c r="F4301" t="s">
        <v>24</v>
      </c>
      <c r="G4301" s="4">
        <v>2</v>
      </c>
      <c r="I4301" s="4" t="s">
        <v>69</v>
      </c>
      <c r="J4301" s="4" t="s">
        <v>66</v>
      </c>
      <c r="K4301" s="4">
        <v>0</v>
      </c>
      <c r="L4301" s="94">
        <v>3144465</v>
      </c>
      <c r="M4301" s="94">
        <v>6288930</v>
      </c>
    </row>
    <row r="4302" spans="3:13" x14ac:dyDescent="0.3">
      <c r="C4302" t="s">
        <v>71</v>
      </c>
      <c r="D4302" t="s">
        <v>67</v>
      </c>
      <c r="E4302" t="s">
        <v>68</v>
      </c>
      <c r="F4302" t="s">
        <v>26</v>
      </c>
      <c r="G4302" s="4">
        <v>-1</v>
      </c>
      <c r="H4302" s="4" t="s">
        <v>75</v>
      </c>
      <c r="I4302" s="4" t="s">
        <v>69</v>
      </c>
      <c r="J4302" s="4" t="s">
        <v>66</v>
      </c>
      <c r="K4302" s="4">
        <v>0</v>
      </c>
      <c r="L4302" s="94">
        <v>1213431</v>
      </c>
      <c r="M4302" s="94">
        <v>0</v>
      </c>
    </row>
    <row r="4303" spans="3:13" x14ac:dyDescent="0.3">
      <c r="C4303" t="s">
        <v>70</v>
      </c>
      <c r="D4303" t="s">
        <v>62</v>
      </c>
      <c r="E4303" t="s">
        <v>68</v>
      </c>
      <c r="F4303" t="s">
        <v>25</v>
      </c>
      <c r="G4303" s="4">
        <v>16</v>
      </c>
      <c r="I4303" s="4" t="s">
        <v>69</v>
      </c>
      <c r="J4303" s="4" t="s">
        <v>66</v>
      </c>
      <c r="K4303" s="4">
        <v>0</v>
      </c>
      <c r="L4303" s="94">
        <v>277986</v>
      </c>
      <c r="M4303" s="94">
        <v>4447776</v>
      </c>
    </row>
    <row r="4304" spans="3:13" x14ac:dyDescent="0.3">
      <c r="C4304" t="s">
        <v>71</v>
      </c>
      <c r="D4304" t="s">
        <v>67</v>
      </c>
      <c r="E4304" t="s">
        <v>63</v>
      </c>
      <c r="F4304" t="s">
        <v>26</v>
      </c>
      <c r="G4304" s="4">
        <v>19</v>
      </c>
      <c r="H4304" s="4" t="s">
        <v>16</v>
      </c>
      <c r="I4304" s="4" t="s">
        <v>69</v>
      </c>
      <c r="J4304" s="4" t="s">
        <v>66</v>
      </c>
      <c r="K4304" s="4">
        <v>0</v>
      </c>
      <c r="L4304" s="94">
        <v>-146603</v>
      </c>
      <c r="M4304" s="94">
        <v>0</v>
      </c>
    </row>
    <row r="4305" spans="3:13" x14ac:dyDescent="0.3">
      <c r="C4305" t="s">
        <v>70</v>
      </c>
      <c r="D4305" t="s">
        <v>67</v>
      </c>
      <c r="E4305" t="s">
        <v>63</v>
      </c>
      <c r="F4305" t="s">
        <v>26</v>
      </c>
      <c r="G4305" s="4">
        <v>2</v>
      </c>
      <c r="H4305" s="4" t="s">
        <v>13</v>
      </c>
      <c r="I4305" s="4" t="s">
        <v>69</v>
      </c>
      <c r="J4305" s="4" t="s">
        <v>73</v>
      </c>
      <c r="K4305" s="4">
        <v>1</v>
      </c>
      <c r="L4305" s="94">
        <v>-3949</v>
      </c>
      <c r="M4305" s="94">
        <v>0</v>
      </c>
    </row>
    <row r="4306" spans="3:13" x14ac:dyDescent="0.3">
      <c r="C4306" t="s">
        <v>61</v>
      </c>
      <c r="D4306" t="s">
        <v>67</v>
      </c>
      <c r="E4306" t="s">
        <v>63</v>
      </c>
      <c r="F4306" t="s">
        <v>25</v>
      </c>
      <c r="G4306" s="4">
        <v>17</v>
      </c>
      <c r="H4306" s="4" t="s">
        <v>76</v>
      </c>
      <c r="I4306" s="4" t="s">
        <v>69</v>
      </c>
      <c r="J4306" s="4" t="s">
        <v>66</v>
      </c>
      <c r="K4306" s="4">
        <v>0</v>
      </c>
      <c r="L4306" s="94">
        <v>-5570</v>
      </c>
      <c r="M4306" s="94">
        <v>0</v>
      </c>
    </row>
    <row r="4307" spans="3:13" x14ac:dyDescent="0.3">
      <c r="C4307" t="s">
        <v>61</v>
      </c>
      <c r="D4307" t="s">
        <v>67</v>
      </c>
      <c r="E4307" t="s">
        <v>68</v>
      </c>
      <c r="F4307" t="s">
        <v>25</v>
      </c>
      <c r="G4307" s="4">
        <v>3</v>
      </c>
      <c r="H4307" s="4" t="s">
        <v>12</v>
      </c>
      <c r="I4307" s="4" t="s">
        <v>69</v>
      </c>
      <c r="J4307" s="4" t="s">
        <v>66</v>
      </c>
      <c r="K4307" s="4">
        <v>0</v>
      </c>
      <c r="L4307" s="94">
        <v>538204</v>
      </c>
      <c r="M4307" s="94">
        <v>1614612</v>
      </c>
    </row>
    <row r="4308" spans="3:13" x14ac:dyDescent="0.3">
      <c r="C4308" t="s">
        <v>61</v>
      </c>
      <c r="D4308" t="s">
        <v>67</v>
      </c>
      <c r="E4308" t="s">
        <v>68</v>
      </c>
      <c r="F4308" t="s">
        <v>25</v>
      </c>
      <c r="G4308" s="4">
        <v>15</v>
      </c>
      <c r="H4308" s="4" t="s">
        <v>83</v>
      </c>
      <c r="I4308" s="4" t="s">
        <v>69</v>
      </c>
      <c r="J4308" s="4" t="s">
        <v>66</v>
      </c>
      <c r="K4308" s="4">
        <v>0</v>
      </c>
      <c r="L4308" s="94">
        <v>344847</v>
      </c>
      <c r="M4308" s="94">
        <v>5172705</v>
      </c>
    </row>
    <row r="4309" spans="3:13" x14ac:dyDescent="0.3">
      <c r="C4309" t="s">
        <v>61</v>
      </c>
      <c r="D4309" t="s">
        <v>67</v>
      </c>
      <c r="E4309" t="s">
        <v>63</v>
      </c>
      <c r="F4309" t="s">
        <v>72</v>
      </c>
      <c r="G4309" s="4">
        <v>2</v>
      </c>
      <c r="H4309" s="4" t="s">
        <v>82</v>
      </c>
      <c r="I4309" s="4" t="s">
        <v>65</v>
      </c>
      <c r="J4309" s="4" t="s">
        <v>66</v>
      </c>
      <c r="K4309" s="4">
        <v>1</v>
      </c>
      <c r="L4309" s="94">
        <v>-48</v>
      </c>
      <c r="M4309" s="94">
        <v>0</v>
      </c>
    </row>
    <row r="4310" spans="3:13" x14ac:dyDescent="0.3">
      <c r="C4310" t="s">
        <v>61</v>
      </c>
      <c r="D4310" t="s">
        <v>84</v>
      </c>
      <c r="E4310" t="s">
        <v>68</v>
      </c>
      <c r="F4310" t="s">
        <v>25</v>
      </c>
      <c r="G4310" s="4">
        <v>2</v>
      </c>
      <c r="H4310" s="4" t="s">
        <v>75</v>
      </c>
      <c r="I4310" s="4" t="s">
        <v>69</v>
      </c>
      <c r="J4310" s="4" t="s">
        <v>66</v>
      </c>
      <c r="K4310" s="4">
        <v>0</v>
      </c>
      <c r="L4310" s="94">
        <v>153165</v>
      </c>
      <c r="M4310" s="94">
        <v>306330</v>
      </c>
    </row>
    <row r="4311" spans="3:13" x14ac:dyDescent="0.3">
      <c r="C4311" t="s">
        <v>70</v>
      </c>
      <c r="D4311" t="s">
        <v>62</v>
      </c>
      <c r="E4311" t="s">
        <v>63</v>
      </c>
      <c r="F4311" t="s">
        <v>25</v>
      </c>
      <c r="G4311" s="4">
        <v>29</v>
      </c>
      <c r="I4311" s="4" t="s">
        <v>69</v>
      </c>
      <c r="J4311" s="4" t="s">
        <v>66</v>
      </c>
      <c r="K4311" s="4">
        <v>0</v>
      </c>
      <c r="L4311" s="94">
        <v>-88584</v>
      </c>
      <c r="M4311" s="94">
        <v>0</v>
      </c>
    </row>
    <row r="4312" spans="3:13" x14ac:dyDescent="0.3">
      <c r="C4312" t="s">
        <v>70</v>
      </c>
      <c r="D4312" t="s">
        <v>67</v>
      </c>
      <c r="E4312" t="s">
        <v>68</v>
      </c>
      <c r="F4312" t="s">
        <v>26</v>
      </c>
      <c r="G4312" s="4">
        <v>0</v>
      </c>
      <c r="H4312" s="4" t="s">
        <v>13</v>
      </c>
      <c r="I4312" s="4" t="s">
        <v>69</v>
      </c>
      <c r="J4312" s="4" t="s">
        <v>73</v>
      </c>
      <c r="K4312" s="4">
        <v>1</v>
      </c>
      <c r="L4312" s="94">
        <v>1669</v>
      </c>
      <c r="M4312" s="94">
        <v>0</v>
      </c>
    </row>
    <row r="4313" spans="3:13" x14ac:dyDescent="0.3">
      <c r="C4313" t="s">
        <v>71</v>
      </c>
      <c r="D4313" t="s">
        <v>67</v>
      </c>
      <c r="E4313" t="s">
        <v>63</v>
      </c>
      <c r="F4313" t="s">
        <v>26</v>
      </c>
      <c r="G4313" s="4">
        <v>-1</v>
      </c>
      <c r="H4313" s="4" t="s">
        <v>83</v>
      </c>
      <c r="I4313" s="4" t="s">
        <v>69</v>
      </c>
      <c r="J4313" s="4" t="s">
        <v>66</v>
      </c>
      <c r="K4313" s="4">
        <v>0</v>
      </c>
      <c r="L4313" s="94">
        <v>-211828</v>
      </c>
      <c r="M4313" s="94">
        <v>0</v>
      </c>
    </row>
    <row r="4314" spans="3:13" x14ac:dyDescent="0.3">
      <c r="C4314" t="s">
        <v>71</v>
      </c>
      <c r="D4314" t="s">
        <v>67</v>
      </c>
      <c r="E4314" t="s">
        <v>68</v>
      </c>
      <c r="F4314" t="s">
        <v>25</v>
      </c>
      <c r="G4314" s="4">
        <v>3</v>
      </c>
      <c r="H4314" s="4" t="s">
        <v>18</v>
      </c>
      <c r="I4314" s="4" t="s">
        <v>69</v>
      </c>
      <c r="J4314" s="4" t="s">
        <v>66</v>
      </c>
      <c r="K4314" s="4">
        <v>0</v>
      </c>
      <c r="L4314" s="94">
        <v>224693</v>
      </c>
      <c r="M4314" s="94">
        <v>674079</v>
      </c>
    </row>
    <row r="4315" spans="3:13" x14ac:dyDescent="0.3">
      <c r="C4315" t="s">
        <v>71</v>
      </c>
      <c r="D4315" t="s">
        <v>67</v>
      </c>
      <c r="E4315" t="s">
        <v>68</v>
      </c>
      <c r="F4315" t="s">
        <v>26</v>
      </c>
      <c r="G4315" s="4">
        <v>-4</v>
      </c>
      <c r="H4315" s="4" t="s">
        <v>13</v>
      </c>
      <c r="I4315" s="4" t="s">
        <v>69</v>
      </c>
      <c r="J4315" s="4" t="s">
        <v>73</v>
      </c>
      <c r="K4315" s="4">
        <v>1</v>
      </c>
      <c r="L4315" s="94">
        <v>20000</v>
      </c>
      <c r="M4315" s="94">
        <v>0</v>
      </c>
    </row>
    <row r="4316" spans="3:13" x14ac:dyDescent="0.3">
      <c r="C4316" t="s">
        <v>61</v>
      </c>
      <c r="D4316" t="s">
        <v>67</v>
      </c>
      <c r="E4316" t="s">
        <v>63</v>
      </c>
      <c r="F4316" t="s">
        <v>72</v>
      </c>
      <c r="G4316" s="4">
        <v>5</v>
      </c>
      <c r="H4316" s="4" t="s">
        <v>18</v>
      </c>
      <c r="I4316" s="4" t="s">
        <v>69</v>
      </c>
      <c r="J4316" s="4" t="s">
        <v>73</v>
      </c>
      <c r="K4316" s="4">
        <v>1</v>
      </c>
      <c r="L4316" s="94">
        <v>-2813</v>
      </c>
      <c r="M4316" s="94">
        <v>0</v>
      </c>
    </row>
    <row r="4317" spans="3:13" x14ac:dyDescent="0.3">
      <c r="C4317" t="s">
        <v>61</v>
      </c>
      <c r="D4317" t="s">
        <v>67</v>
      </c>
      <c r="E4317" t="s">
        <v>68</v>
      </c>
      <c r="F4317" t="s">
        <v>25</v>
      </c>
      <c r="G4317" s="4">
        <v>13</v>
      </c>
      <c r="H4317" s="4" t="s">
        <v>83</v>
      </c>
      <c r="I4317" s="4" t="s">
        <v>69</v>
      </c>
      <c r="J4317" s="4" t="s">
        <v>66</v>
      </c>
      <c r="K4317" s="4">
        <v>0</v>
      </c>
      <c r="L4317" s="94">
        <v>14007976</v>
      </c>
      <c r="M4317" s="94">
        <v>182103688</v>
      </c>
    </row>
    <row r="4318" spans="3:13" x14ac:dyDescent="0.3">
      <c r="C4318" t="s">
        <v>70</v>
      </c>
      <c r="D4318" t="s">
        <v>67</v>
      </c>
      <c r="E4318" t="s">
        <v>68</v>
      </c>
      <c r="F4318" t="s">
        <v>26</v>
      </c>
      <c r="G4318" s="4">
        <v>8</v>
      </c>
      <c r="H4318" s="4" t="s">
        <v>12</v>
      </c>
      <c r="I4318" s="4" t="s">
        <v>69</v>
      </c>
      <c r="J4318" s="4" t="s">
        <v>73</v>
      </c>
      <c r="K4318" s="4">
        <v>1</v>
      </c>
      <c r="L4318" s="94">
        <v>200544</v>
      </c>
      <c r="M4318" s="94">
        <v>1604352</v>
      </c>
    </row>
    <row r="4319" spans="3:13" x14ac:dyDescent="0.3">
      <c r="C4319" t="s">
        <v>71</v>
      </c>
      <c r="D4319" t="s">
        <v>67</v>
      </c>
      <c r="E4319" t="s">
        <v>63</v>
      </c>
      <c r="F4319" t="s">
        <v>72</v>
      </c>
      <c r="G4319" s="4">
        <v>5</v>
      </c>
      <c r="H4319" s="4" t="s">
        <v>18</v>
      </c>
      <c r="I4319" s="4" t="s">
        <v>69</v>
      </c>
      <c r="J4319" s="4" t="s">
        <v>66</v>
      </c>
      <c r="K4319" s="4">
        <v>0</v>
      </c>
      <c r="L4319" s="94">
        <v>-19561</v>
      </c>
      <c r="M4319" s="94">
        <v>0</v>
      </c>
    </row>
    <row r="4320" spans="3:13" x14ac:dyDescent="0.3">
      <c r="C4320" t="s">
        <v>70</v>
      </c>
      <c r="D4320" t="s">
        <v>67</v>
      </c>
      <c r="E4320" t="s">
        <v>63</v>
      </c>
      <c r="F4320" t="s">
        <v>26</v>
      </c>
      <c r="G4320" s="4">
        <v>3</v>
      </c>
      <c r="H4320" s="4" t="s">
        <v>80</v>
      </c>
      <c r="I4320" s="4" t="s">
        <v>69</v>
      </c>
      <c r="J4320" s="4" t="s">
        <v>66</v>
      </c>
      <c r="K4320" s="4">
        <v>0</v>
      </c>
      <c r="L4320" s="94">
        <v>-37559</v>
      </c>
      <c r="M4320" s="94">
        <v>0</v>
      </c>
    </row>
    <row r="4321" spans="3:13" x14ac:dyDescent="0.3">
      <c r="C4321" t="s">
        <v>61</v>
      </c>
      <c r="D4321" t="s">
        <v>67</v>
      </c>
      <c r="E4321" t="s">
        <v>68</v>
      </c>
      <c r="F4321" t="s">
        <v>72</v>
      </c>
      <c r="G4321" s="4">
        <v>1</v>
      </c>
      <c r="H4321" s="4" t="s">
        <v>81</v>
      </c>
      <c r="I4321" s="4" t="s">
        <v>69</v>
      </c>
      <c r="J4321" s="4" t="s">
        <v>66</v>
      </c>
      <c r="K4321" s="4">
        <v>0</v>
      </c>
      <c r="L4321" s="94">
        <v>47129</v>
      </c>
      <c r="M4321" s="94">
        <v>47129</v>
      </c>
    </row>
    <row r="4322" spans="3:13" x14ac:dyDescent="0.3">
      <c r="C4322" t="s">
        <v>61</v>
      </c>
      <c r="D4322" t="s">
        <v>67</v>
      </c>
      <c r="E4322" t="s">
        <v>68</v>
      </c>
      <c r="F4322" t="s">
        <v>72</v>
      </c>
      <c r="G4322" s="4">
        <v>2</v>
      </c>
      <c r="H4322" s="4" t="s">
        <v>17</v>
      </c>
      <c r="I4322" s="4" t="s">
        <v>65</v>
      </c>
      <c r="J4322" s="4" t="s">
        <v>66</v>
      </c>
      <c r="K4322" s="4">
        <v>1</v>
      </c>
      <c r="L4322" s="94">
        <v>15436</v>
      </c>
      <c r="M4322" s="94">
        <v>30872</v>
      </c>
    </row>
    <row r="4323" spans="3:13" x14ac:dyDescent="0.3">
      <c r="C4323" t="s">
        <v>70</v>
      </c>
      <c r="D4323" t="s">
        <v>67</v>
      </c>
      <c r="E4323" t="s">
        <v>68</v>
      </c>
      <c r="F4323" t="s">
        <v>72</v>
      </c>
      <c r="G4323" s="4">
        <v>7</v>
      </c>
      <c r="H4323" s="4" t="s">
        <v>74</v>
      </c>
      <c r="I4323" s="4" t="s">
        <v>69</v>
      </c>
      <c r="J4323" s="4" t="s">
        <v>66</v>
      </c>
      <c r="K4323" s="4">
        <v>0</v>
      </c>
      <c r="L4323" s="94">
        <v>170983</v>
      </c>
      <c r="M4323" s="94">
        <v>1196881</v>
      </c>
    </row>
    <row r="4324" spans="3:13" x14ac:dyDescent="0.3">
      <c r="C4324" t="s">
        <v>71</v>
      </c>
      <c r="D4324" t="s">
        <v>67</v>
      </c>
      <c r="E4324" t="s">
        <v>63</v>
      </c>
      <c r="F4324" t="s">
        <v>26</v>
      </c>
      <c r="G4324" s="4">
        <v>2</v>
      </c>
      <c r="H4324" s="4" t="s">
        <v>77</v>
      </c>
      <c r="I4324" s="4" t="s">
        <v>69</v>
      </c>
      <c r="J4324" s="4" t="s">
        <v>66</v>
      </c>
      <c r="K4324" s="4">
        <v>0</v>
      </c>
      <c r="L4324" s="94">
        <v>-228351</v>
      </c>
      <c r="M4324" s="94">
        <v>0</v>
      </c>
    </row>
    <row r="4325" spans="3:13" x14ac:dyDescent="0.3">
      <c r="C4325" t="s">
        <v>61</v>
      </c>
      <c r="D4325" t="s">
        <v>67</v>
      </c>
      <c r="E4325" t="s">
        <v>68</v>
      </c>
      <c r="F4325" t="s">
        <v>72</v>
      </c>
      <c r="G4325" s="4">
        <v>-4</v>
      </c>
      <c r="H4325" s="4" t="s">
        <v>82</v>
      </c>
      <c r="I4325" s="4" t="s">
        <v>69</v>
      </c>
      <c r="J4325" s="4" t="s">
        <v>66</v>
      </c>
      <c r="K4325" s="4">
        <v>0</v>
      </c>
      <c r="L4325" s="94">
        <v>397</v>
      </c>
      <c r="M4325" s="94">
        <v>0</v>
      </c>
    </row>
    <row r="4326" spans="3:13" x14ac:dyDescent="0.3">
      <c r="C4326" t="s">
        <v>61</v>
      </c>
      <c r="D4326" t="s">
        <v>67</v>
      </c>
      <c r="E4326" t="s">
        <v>68</v>
      </c>
      <c r="F4326" t="s">
        <v>26</v>
      </c>
      <c r="G4326" s="4">
        <v>2</v>
      </c>
      <c r="H4326" s="4" t="s">
        <v>75</v>
      </c>
      <c r="I4326" s="4" t="s">
        <v>69</v>
      </c>
      <c r="J4326" s="4" t="s">
        <v>66</v>
      </c>
      <c r="K4326" s="4">
        <v>0</v>
      </c>
      <c r="L4326" s="94">
        <v>15104058</v>
      </c>
      <c r="M4326" s="94">
        <v>30208116</v>
      </c>
    </row>
    <row r="4327" spans="3:13" x14ac:dyDescent="0.3">
      <c r="C4327" t="s">
        <v>70</v>
      </c>
      <c r="D4327" t="s">
        <v>67</v>
      </c>
      <c r="E4327" t="s">
        <v>63</v>
      </c>
      <c r="F4327" t="s">
        <v>72</v>
      </c>
      <c r="G4327" s="4">
        <v>5</v>
      </c>
      <c r="H4327" s="4" t="s">
        <v>18</v>
      </c>
      <c r="I4327" s="4" t="s">
        <v>69</v>
      </c>
      <c r="J4327" s="4" t="s">
        <v>73</v>
      </c>
      <c r="K4327" s="4">
        <v>1</v>
      </c>
      <c r="L4327" s="94">
        <v>-19709</v>
      </c>
      <c r="M4327" s="94">
        <v>0</v>
      </c>
    </row>
    <row r="4328" spans="3:13" x14ac:dyDescent="0.3">
      <c r="C4328" t="s">
        <v>61</v>
      </c>
      <c r="D4328" t="s">
        <v>67</v>
      </c>
      <c r="E4328" t="s">
        <v>63</v>
      </c>
      <c r="F4328" t="s">
        <v>26</v>
      </c>
      <c r="G4328" s="4">
        <v>2</v>
      </c>
      <c r="H4328" s="4" t="s">
        <v>82</v>
      </c>
      <c r="I4328" s="4" t="s">
        <v>69</v>
      </c>
      <c r="J4328" s="4" t="s">
        <v>66</v>
      </c>
      <c r="K4328" s="4">
        <v>0</v>
      </c>
      <c r="L4328" s="94">
        <v>-107746</v>
      </c>
      <c r="M4328" s="94">
        <v>0</v>
      </c>
    </row>
    <row r="4329" spans="3:13" x14ac:dyDescent="0.3">
      <c r="C4329" t="s">
        <v>71</v>
      </c>
      <c r="D4329" t="s">
        <v>62</v>
      </c>
      <c r="E4329" t="s">
        <v>68</v>
      </c>
      <c r="F4329" t="s">
        <v>24</v>
      </c>
      <c r="G4329" s="4">
        <v>-4</v>
      </c>
      <c r="I4329" s="4" t="s">
        <v>69</v>
      </c>
      <c r="J4329" s="4" t="s">
        <v>66</v>
      </c>
      <c r="K4329" s="4">
        <v>1</v>
      </c>
      <c r="L4329" s="94">
        <v>1202</v>
      </c>
      <c r="M4329" s="94">
        <v>0</v>
      </c>
    </row>
    <row r="4330" spans="3:13" x14ac:dyDescent="0.3">
      <c r="C4330" t="s">
        <v>61</v>
      </c>
      <c r="D4330" t="s">
        <v>67</v>
      </c>
      <c r="E4330" t="s">
        <v>68</v>
      </c>
      <c r="F4330" t="s">
        <v>25</v>
      </c>
      <c r="G4330" s="4">
        <v>15</v>
      </c>
      <c r="H4330" s="4" t="s">
        <v>75</v>
      </c>
      <c r="I4330" s="4" t="s">
        <v>69</v>
      </c>
      <c r="J4330" s="4" t="s">
        <v>66</v>
      </c>
      <c r="K4330" s="4">
        <v>0</v>
      </c>
      <c r="L4330" s="94">
        <v>42812563</v>
      </c>
      <c r="M4330" s="94">
        <v>642188445</v>
      </c>
    </row>
    <row r="4331" spans="3:13" x14ac:dyDescent="0.3">
      <c r="C4331" t="s">
        <v>61</v>
      </c>
      <c r="D4331" t="s">
        <v>67</v>
      </c>
      <c r="E4331" t="s">
        <v>63</v>
      </c>
      <c r="F4331" t="s">
        <v>25</v>
      </c>
      <c r="G4331" s="4">
        <v>12</v>
      </c>
      <c r="H4331" s="4" t="s">
        <v>74</v>
      </c>
      <c r="I4331" s="4" t="s">
        <v>69</v>
      </c>
      <c r="J4331" s="4" t="s">
        <v>66</v>
      </c>
      <c r="K4331" s="4">
        <v>0</v>
      </c>
      <c r="L4331" s="94">
        <v>-7219</v>
      </c>
      <c r="M4331" s="94">
        <v>0</v>
      </c>
    </row>
    <row r="4332" spans="3:13" x14ac:dyDescent="0.3">
      <c r="C4332" t="s">
        <v>70</v>
      </c>
      <c r="D4332" t="s">
        <v>67</v>
      </c>
      <c r="E4332" t="s">
        <v>68</v>
      </c>
      <c r="F4332" t="s">
        <v>25</v>
      </c>
      <c r="G4332" s="4">
        <v>0</v>
      </c>
      <c r="H4332" s="4" t="s">
        <v>79</v>
      </c>
      <c r="I4332" s="4" t="s">
        <v>69</v>
      </c>
      <c r="J4332" s="4" t="s">
        <v>66</v>
      </c>
      <c r="K4332" s="4">
        <v>0</v>
      </c>
      <c r="L4332" s="94">
        <v>34357</v>
      </c>
      <c r="M4332" s="94">
        <v>0</v>
      </c>
    </row>
    <row r="4333" spans="3:13" x14ac:dyDescent="0.3">
      <c r="C4333" t="s">
        <v>71</v>
      </c>
      <c r="D4333" t="s">
        <v>84</v>
      </c>
      <c r="E4333" t="s">
        <v>68</v>
      </c>
      <c r="F4333" t="s">
        <v>25</v>
      </c>
      <c r="G4333" s="4">
        <v>9</v>
      </c>
      <c r="H4333" s="4" t="s">
        <v>18</v>
      </c>
      <c r="I4333" s="4" t="s">
        <v>69</v>
      </c>
      <c r="J4333" s="4" t="s">
        <v>66</v>
      </c>
      <c r="K4333" s="4">
        <v>0</v>
      </c>
      <c r="L4333" s="94">
        <v>976066</v>
      </c>
      <c r="M4333" s="94">
        <v>8784594</v>
      </c>
    </row>
    <row r="4334" spans="3:13" x14ac:dyDescent="0.3">
      <c r="C4334" t="s">
        <v>70</v>
      </c>
      <c r="D4334" t="s">
        <v>67</v>
      </c>
      <c r="E4334" t="s">
        <v>63</v>
      </c>
      <c r="F4334" t="s">
        <v>25</v>
      </c>
      <c r="G4334" s="4">
        <v>12</v>
      </c>
      <c r="H4334" s="4" t="s">
        <v>75</v>
      </c>
      <c r="I4334" s="4" t="s">
        <v>69</v>
      </c>
      <c r="J4334" s="4" t="s">
        <v>66</v>
      </c>
      <c r="K4334" s="4">
        <v>0</v>
      </c>
      <c r="L4334" s="94">
        <v>-146802</v>
      </c>
      <c r="M4334" s="94">
        <v>0</v>
      </c>
    </row>
    <row r="4335" spans="3:13" x14ac:dyDescent="0.3">
      <c r="C4335" t="s">
        <v>61</v>
      </c>
      <c r="D4335" t="s">
        <v>62</v>
      </c>
      <c r="E4335" t="s">
        <v>63</v>
      </c>
      <c r="F4335" t="s">
        <v>24</v>
      </c>
      <c r="G4335" s="4">
        <v>33</v>
      </c>
      <c r="I4335" s="4" t="s">
        <v>69</v>
      </c>
      <c r="J4335" s="4" t="s">
        <v>66</v>
      </c>
      <c r="K4335" s="4">
        <v>1</v>
      </c>
      <c r="L4335" s="94">
        <v>-775</v>
      </c>
      <c r="M4335" s="94">
        <v>0</v>
      </c>
    </row>
    <row r="4336" spans="3:13" x14ac:dyDescent="0.3">
      <c r="C4336" t="s">
        <v>71</v>
      </c>
      <c r="D4336" t="s">
        <v>67</v>
      </c>
      <c r="E4336" t="s">
        <v>68</v>
      </c>
      <c r="F4336" t="s">
        <v>25</v>
      </c>
      <c r="G4336" s="4">
        <v>29</v>
      </c>
      <c r="H4336" s="4" t="s">
        <v>76</v>
      </c>
      <c r="I4336" s="4" t="s">
        <v>69</v>
      </c>
      <c r="J4336" s="4" t="s">
        <v>66</v>
      </c>
      <c r="K4336" s="4">
        <v>0</v>
      </c>
      <c r="L4336" s="94">
        <v>57460429</v>
      </c>
      <c r="M4336" s="94">
        <v>1666352441</v>
      </c>
    </row>
    <row r="4337" spans="3:13" x14ac:dyDescent="0.3">
      <c r="C4337" t="s">
        <v>70</v>
      </c>
      <c r="D4337" t="s">
        <v>67</v>
      </c>
      <c r="E4337" t="s">
        <v>63</v>
      </c>
      <c r="F4337" t="s">
        <v>25</v>
      </c>
      <c r="G4337" s="4">
        <v>11</v>
      </c>
      <c r="H4337" s="4" t="s">
        <v>80</v>
      </c>
      <c r="I4337" s="4" t="s">
        <v>69</v>
      </c>
      <c r="J4337" s="4" t="s">
        <v>66</v>
      </c>
      <c r="K4337" s="4">
        <v>0</v>
      </c>
      <c r="L4337" s="94">
        <v>-2693</v>
      </c>
      <c r="M4337" s="94">
        <v>0</v>
      </c>
    </row>
    <row r="4338" spans="3:13" x14ac:dyDescent="0.3">
      <c r="C4338" t="s">
        <v>61</v>
      </c>
      <c r="D4338" t="s">
        <v>62</v>
      </c>
      <c r="E4338" t="s">
        <v>63</v>
      </c>
      <c r="F4338" t="s">
        <v>24</v>
      </c>
      <c r="G4338" s="4">
        <v>1</v>
      </c>
      <c r="I4338" s="4" t="s">
        <v>69</v>
      </c>
      <c r="J4338" s="4" t="s">
        <v>66</v>
      </c>
      <c r="K4338" s="4">
        <v>1</v>
      </c>
      <c r="L4338" s="94">
        <v>-10</v>
      </c>
      <c r="M4338" s="94">
        <v>0</v>
      </c>
    </row>
    <row r="4339" spans="3:13" x14ac:dyDescent="0.3">
      <c r="C4339" t="s">
        <v>70</v>
      </c>
      <c r="D4339" t="s">
        <v>67</v>
      </c>
      <c r="E4339" t="s">
        <v>68</v>
      </c>
      <c r="F4339" t="s">
        <v>25</v>
      </c>
      <c r="G4339" s="4">
        <v>1</v>
      </c>
      <c r="H4339" s="4" t="s">
        <v>17</v>
      </c>
      <c r="I4339" s="4" t="s">
        <v>69</v>
      </c>
      <c r="J4339" s="4" t="s">
        <v>66</v>
      </c>
      <c r="K4339" s="4">
        <v>1</v>
      </c>
      <c r="L4339" s="94">
        <v>17128</v>
      </c>
      <c r="M4339" s="94">
        <v>17128</v>
      </c>
    </row>
    <row r="4340" spans="3:13" x14ac:dyDescent="0.3">
      <c r="C4340" t="s">
        <v>71</v>
      </c>
      <c r="D4340" t="s">
        <v>67</v>
      </c>
      <c r="E4340" t="s">
        <v>63</v>
      </c>
      <c r="F4340" t="s">
        <v>72</v>
      </c>
      <c r="G4340" s="4">
        <v>3</v>
      </c>
      <c r="H4340" s="4" t="s">
        <v>76</v>
      </c>
      <c r="I4340" s="4" t="s">
        <v>69</v>
      </c>
      <c r="J4340" s="4" t="s">
        <v>66</v>
      </c>
      <c r="K4340" s="4">
        <v>0</v>
      </c>
      <c r="L4340" s="94">
        <v>-20922</v>
      </c>
      <c r="M4340" s="94">
        <v>0</v>
      </c>
    </row>
    <row r="4341" spans="3:13" x14ac:dyDescent="0.3">
      <c r="C4341" t="s">
        <v>61</v>
      </c>
      <c r="D4341" t="s">
        <v>62</v>
      </c>
      <c r="E4341" t="s">
        <v>68</v>
      </c>
      <c r="F4341" t="s">
        <v>24</v>
      </c>
      <c r="G4341" s="4">
        <v>36</v>
      </c>
      <c r="I4341" s="4" t="s">
        <v>69</v>
      </c>
      <c r="J4341" s="4" t="s">
        <v>66</v>
      </c>
      <c r="K4341" s="4">
        <v>1</v>
      </c>
      <c r="L4341" s="94">
        <v>2029823</v>
      </c>
      <c r="M4341" s="94">
        <v>73073628</v>
      </c>
    </row>
    <row r="4342" spans="3:13" x14ac:dyDescent="0.3">
      <c r="C4342" t="s">
        <v>61</v>
      </c>
      <c r="D4342" t="s">
        <v>67</v>
      </c>
      <c r="E4342" t="s">
        <v>68</v>
      </c>
      <c r="F4342" t="s">
        <v>26</v>
      </c>
      <c r="G4342" s="4">
        <v>0</v>
      </c>
      <c r="H4342" s="4" t="s">
        <v>17</v>
      </c>
      <c r="I4342" s="4" t="s">
        <v>65</v>
      </c>
      <c r="J4342" s="4" t="s">
        <v>73</v>
      </c>
      <c r="K4342" s="4">
        <v>1</v>
      </c>
      <c r="L4342" s="94">
        <v>2471319</v>
      </c>
      <c r="M4342" s="94">
        <v>0</v>
      </c>
    </row>
    <row r="4343" spans="3:13" x14ac:dyDescent="0.3">
      <c r="C4343" t="s">
        <v>71</v>
      </c>
      <c r="D4343" t="s">
        <v>67</v>
      </c>
      <c r="E4343" t="s">
        <v>68</v>
      </c>
      <c r="F4343" t="s">
        <v>72</v>
      </c>
      <c r="G4343" s="4">
        <v>-4</v>
      </c>
      <c r="H4343" s="4" t="s">
        <v>12</v>
      </c>
      <c r="I4343" s="4" t="s">
        <v>65</v>
      </c>
      <c r="J4343" s="4" t="s">
        <v>73</v>
      </c>
      <c r="K4343" s="4">
        <v>1</v>
      </c>
      <c r="L4343" s="94">
        <v>1970</v>
      </c>
      <c r="M4343" s="94">
        <v>0</v>
      </c>
    </row>
    <row r="4344" spans="3:13" x14ac:dyDescent="0.3">
      <c r="C4344" t="s">
        <v>71</v>
      </c>
      <c r="D4344" t="s">
        <v>67</v>
      </c>
      <c r="E4344" t="s">
        <v>68</v>
      </c>
      <c r="F4344" t="s">
        <v>26</v>
      </c>
      <c r="G4344" s="4">
        <v>-1</v>
      </c>
      <c r="H4344" s="4" t="s">
        <v>83</v>
      </c>
      <c r="I4344" s="4" t="s">
        <v>69</v>
      </c>
      <c r="J4344" s="4" t="s">
        <v>66</v>
      </c>
      <c r="K4344" s="4">
        <v>0</v>
      </c>
      <c r="L4344" s="94">
        <v>276680</v>
      </c>
      <c r="M4344" s="94">
        <v>0</v>
      </c>
    </row>
    <row r="4345" spans="3:13" x14ac:dyDescent="0.3">
      <c r="C4345" t="s">
        <v>61</v>
      </c>
      <c r="D4345" t="s">
        <v>62</v>
      </c>
      <c r="E4345" t="s">
        <v>68</v>
      </c>
      <c r="F4345" t="s">
        <v>24</v>
      </c>
      <c r="G4345" s="4">
        <v>21</v>
      </c>
      <c r="I4345" s="4" t="s">
        <v>65</v>
      </c>
      <c r="J4345" s="4" t="s">
        <v>66</v>
      </c>
      <c r="K4345" s="4">
        <v>1</v>
      </c>
      <c r="L4345" s="94">
        <v>9773960</v>
      </c>
      <c r="M4345" s="94">
        <v>205253160</v>
      </c>
    </row>
    <row r="4346" spans="3:13" x14ac:dyDescent="0.3">
      <c r="C4346" t="s">
        <v>61</v>
      </c>
      <c r="D4346" t="s">
        <v>67</v>
      </c>
      <c r="E4346" t="s">
        <v>63</v>
      </c>
      <c r="F4346" t="s">
        <v>25</v>
      </c>
      <c r="G4346" s="4">
        <v>3</v>
      </c>
      <c r="H4346" s="4" t="s">
        <v>17</v>
      </c>
      <c r="I4346" s="4" t="s">
        <v>69</v>
      </c>
      <c r="J4346" s="4" t="s">
        <v>66</v>
      </c>
      <c r="K4346" s="4">
        <v>1</v>
      </c>
      <c r="L4346" s="94">
        <v>-186</v>
      </c>
      <c r="M4346" s="94">
        <v>0</v>
      </c>
    </row>
    <row r="4347" spans="3:13" x14ac:dyDescent="0.3">
      <c r="C4347" t="s">
        <v>61</v>
      </c>
      <c r="D4347" t="s">
        <v>67</v>
      </c>
      <c r="E4347" t="s">
        <v>68</v>
      </c>
      <c r="F4347" t="s">
        <v>25</v>
      </c>
      <c r="G4347" s="4">
        <v>-1</v>
      </c>
      <c r="H4347" s="4" t="s">
        <v>14</v>
      </c>
      <c r="I4347" s="4" t="s">
        <v>69</v>
      </c>
      <c r="J4347" s="4" t="s">
        <v>66</v>
      </c>
      <c r="K4347" s="4">
        <v>0</v>
      </c>
      <c r="L4347" s="94">
        <v>1170998</v>
      </c>
      <c r="M4347" s="94">
        <v>0</v>
      </c>
    </row>
    <row r="4348" spans="3:13" x14ac:dyDescent="0.3">
      <c r="C4348" t="s">
        <v>70</v>
      </c>
      <c r="D4348" t="s">
        <v>67</v>
      </c>
      <c r="E4348" t="s">
        <v>63</v>
      </c>
      <c r="F4348" t="s">
        <v>26</v>
      </c>
      <c r="G4348" s="4">
        <v>-1</v>
      </c>
      <c r="H4348" s="4" t="s">
        <v>15</v>
      </c>
      <c r="I4348" s="4" t="s">
        <v>69</v>
      </c>
      <c r="J4348" s="4" t="s">
        <v>73</v>
      </c>
      <c r="K4348" s="4">
        <v>1</v>
      </c>
      <c r="L4348" s="94">
        <v>-9489</v>
      </c>
      <c r="M4348" s="94">
        <v>0</v>
      </c>
    </row>
    <row r="4349" spans="3:13" x14ac:dyDescent="0.3">
      <c r="C4349" t="s">
        <v>70</v>
      </c>
      <c r="D4349" t="s">
        <v>67</v>
      </c>
      <c r="E4349" t="s">
        <v>68</v>
      </c>
      <c r="F4349" t="s">
        <v>26</v>
      </c>
      <c r="G4349" s="4">
        <v>-4</v>
      </c>
      <c r="H4349" s="4" t="s">
        <v>18</v>
      </c>
      <c r="I4349" s="4" t="s">
        <v>69</v>
      </c>
      <c r="J4349" s="4" t="s">
        <v>66</v>
      </c>
      <c r="K4349" s="4">
        <v>0</v>
      </c>
      <c r="L4349" s="94">
        <v>325052</v>
      </c>
      <c r="M4349" s="94">
        <v>0</v>
      </c>
    </row>
    <row r="4350" spans="3:13" x14ac:dyDescent="0.3">
      <c r="C4350" t="s">
        <v>70</v>
      </c>
      <c r="D4350" t="s">
        <v>67</v>
      </c>
      <c r="E4350" t="s">
        <v>63</v>
      </c>
      <c r="F4350" t="s">
        <v>26</v>
      </c>
      <c r="G4350" s="4">
        <v>0</v>
      </c>
      <c r="H4350" s="4" t="s">
        <v>18</v>
      </c>
      <c r="I4350" s="4" t="s">
        <v>69</v>
      </c>
      <c r="J4350" s="4" t="s">
        <v>73</v>
      </c>
      <c r="K4350" s="4">
        <v>1</v>
      </c>
      <c r="L4350" s="94">
        <v>-48482</v>
      </c>
      <c r="M4350" s="94">
        <v>0</v>
      </c>
    </row>
    <row r="4351" spans="3:13" x14ac:dyDescent="0.3">
      <c r="C4351" t="s">
        <v>61</v>
      </c>
      <c r="D4351" t="s">
        <v>67</v>
      </c>
      <c r="E4351" t="s">
        <v>63</v>
      </c>
      <c r="F4351" t="s">
        <v>26</v>
      </c>
      <c r="G4351" s="4">
        <v>0</v>
      </c>
      <c r="H4351" s="4" t="s">
        <v>80</v>
      </c>
      <c r="I4351" s="4" t="s">
        <v>69</v>
      </c>
      <c r="J4351" s="4" t="s">
        <v>66</v>
      </c>
      <c r="K4351" s="4">
        <v>0</v>
      </c>
      <c r="L4351" s="94">
        <v>-9495</v>
      </c>
      <c r="M4351" s="94">
        <v>0</v>
      </c>
    </row>
    <row r="4352" spans="3:13" x14ac:dyDescent="0.3">
      <c r="C4352" t="s">
        <v>61</v>
      </c>
      <c r="D4352" t="s">
        <v>67</v>
      </c>
      <c r="E4352" t="s">
        <v>68</v>
      </c>
      <c r="F4352" t="s">
        <v>72</v>
      </c>
      <c r="G4352" s="4">
        <v>3</v>
      </c>
      <c r="H4352" s="4" t="s">
        <v>13</v>
      </c>
      <c r="I4352" s="4" t="s">
        <v>69</v>
      </c>
      <c r="J4352" s="4" t="s">
        <v>66</v>
      </c>
      <c r="K4352" s="4">
        <v>0</v>
      </c>
      <c r="L4352" s="94">
        <v>55509</v>
      </c>
      <c r="M4352" s="94">
        <v>166527</v>
      </c>
    </row>
    <row r="4353" spans="3:13" x14ac:dyDescent="0.3">
      <c r="C4353" t="s">
        <v>71</v>
      </c>
      <c r="D4353" t="s">
        <v>67</v>
      </c>
      <c r="E4353" t="s">
        <v>63</v>
      </c>
      <c r="F4353" t="s">
        <v>26</v>
      </c>
      <c r="G4353" s="4">
        <v>-4</v>
      </c>
      <c r="H4353" s="4" t="s">
        <v>17</v>
      </c>
      <c r="I4353" s="4" t="s">
        <v>65</v>
      </c>
      <c r="J4353" s="4" t="s">
        <v>73</v>
      </c>
      <c r="K4353" s="4">
        <v>1</v>
      </c>
      <c r="L4353" s="94">
        <v>-50538</v>
      </c>
      <c r="M4353" s="94">
        <v>0</v>
      </c>
    </row>
    <row r="4354" spans="3:13" x14ac:dyDescent="0.3">
      <c r="C4354" t="s">
        <v>70</v>
      </c>
      <c r="D4354" t="s">
        <v>67</v>
      </c>
      <c r="E4354" t="s">
        <v>63</v>
      </c>
      <c r="F4354" t="s">
        <v>25</v>
      </c>
      <c r="G4354" s="4">
        <v>11</v>
      </c>
      <c r="H4354" s="4" t="s">
        <v>79</v>
      </c>
      <c r="I4354" s="4" t="s">
        <v>69</v>
      </c>
      <c r="J4354" s="4" t="s">
        <v>66</v>
      </c>
      <c r="K4354" s="4">
        <v>0</v>
      </c>
      <c r="L4354" s="94">
        <v>-266608</v>
      </c>
      <c r="M4354" s="94">
        <v>0</v>
      </c>
    </row>
    <row r="4355" spans="3:13" x14ac:dyDescent="0.3">
      <c r="C4355" t="s">
        <v>71</v>
      </c>
      <c r="D4355" t="s">
        <v>67</v>
      </c>
      <c r="E4355" t="s">
        <v>63</v>
      </c>
      <c r="F4355" t="s">
        <v>26</v>
      </c>
      <c r="G4355" s="4">
        <v>3</v>
      </c>
      <c r="H4355" s="4" t="s">
        <v>18</v>
      </c>
      <c r="I4355" s="4" t="s">
        <v>69</v>
      </c>
      <c r="J4355" s="4" t="s">
        <v>73</v>
      </c>
      <c r="K4355" s="4">
        <v>1</v>
      </c>
      <c r="L4355" s="94">
        <v>-286210</v>
      </c>
      <c r="M4355" s="94">
        <v>0</v>
      </c>
    </row>
    <row r="4356" spans="3:13" x14ac:dyDescent="0.3">
      <c r="C4356" t="s">
        <v>71</v>
      </c>
      <c r="D4356" t="s">
        <v>67</v>
      </c>
      <c r="E4356" t="s">
        <v>68</v>
      </c>
      <c r="F4356" t="s">
        <v>26</v>
      </c>
      <c r="G4356" s="4">
        <v>6</v>
      </c>
      <c r="H4356" s="4" t="s">
        <v>76</v>
      </c>
      <c r="I4356" s="4" t="s">
        <v>69</v>
      </c>
      <c r="J4356" s="4" t="s">
        <v>66</v>
      </c>
      <c r="K4356" s="4">
        <v>0</v>
      </c>
      <c r="L4356" s="94">
        <v>415184</v>
      </c>
      <c r="M4356" s="94">
        <v>2491104</v>
      </c>
    </row>
    <row r="4357" spans="3:13" x14ac:dyDescent="0.3">
      <c r="C4357" t="s">
        <v>61</v>
      </c>
      <c r="D4357" t="s">
        <v>62</v>
      </c>
      <c r="E4357" t="s">
        <v>68</v>
      </c>
      <c r="F4357" t="s">
        <v>24</v>
      </c>
      <c r="G4357" s="4">
        <v>27</v>
      </c>
      <c r="I4357" s="4" t="s">
        <v>65</v>
      </c>
      <c r="J4357" s="4" t="s">
        <v>66</v>
      </c>
      <c r="K4357" s="4">
        <v>1</v>
      </c>
      <c r="L4357" s="94">
        <v>9801696</v>
      </c>
      <c r="M4357" s="94">
        <v>264645792</v>
      </c>
    </row>
    <row r="4358" spans="3:13" x14ac:dyDescent="0.3">
      <c r="C4358" t="s">
        <v>61</v>
      </c>
      <c r="D4358" t="s">
        <v>67</v>
      </c>
      <c r="E4358" t="s">
        <v>68</v>
      </c>
      <c r="F4358" t="s">
        <v>25</v>
      </c>
      <c r="G4358" s="4">
        <v>14</v>
      </c>
      <c r="H4358" s="4" t="s">
        <v>18</v>
      </c>
      <c r="I4358" s="4" t="s">
        <v>69</v>
      </c>
      <c r="J4358" s="4" t="s">
        <v>66</v>
      </c>
      <c r="K4358" s="4">
        <v>1</v>
      </c>
      <c r="L4358" s="94">
        <v>278226</v>
      </c>
      <c r="M4358" s="94">
        <v>3895164</v>
      </c>
    </row>
    <row r="4359" spans="3:13" x14ac:dyDescent="0.3">
      <c r="C4359" t="s">
        <v>70</v>
      </c>
      <c r="D4359" t="s">
        <v>67</v>
      </c>
      <c r="E4359" t="s">
        <v>68</v>
      </c>
      <c r="F4359" t="s">
        <v>26</v>
      </c>
      <c r="G4359" s="4">
        <v>1</v>
      </c>
      <c r="H4359" s="4" t="s">
        <v>82</v>
      </c>
      <c r="I4359" s="4" t="s">
        <v>69</v>
      </c>
      <c r="J4359" s="4" t="s">
        <v>66</v>
      </c>
      <c r="K4359" s="4">
        <v>0</v>
      </c>
      <c r="L4359" s="94">
        <v>4180254</v>
      </c>
      <c r="M4359" s="94">
        <v>4180254</v>
      </c>
    </row>
    <row r="4360" spans="3:13" x14ac:dyDescent="0.3">
      <c r="C4360" t="s">
        <v>70</v>
      </c>
      <c r="D4360" t="s">
        <v>67</v>
      </c>
      <c r="E4360" t="s">
        <v>68</v>
      </c>
      <c r="F4360" t="s">
        <v>26</v>
      </c>
      <c r="G4360" s="4">
        <v>2</v>
      </c>
      <c r="H4360" s="4" t="s">
        <v>14</v>
      </c>
      <c r="I4360" s="4" t="s">
        <v>69</v>
      </c>
      <c r="J4360" s="4" t="s">
        <v>73</v>
      </c>
      <c r="K4360" s="4">
        <v>1</v>
      </c>
      <c r="L4360" s="94">
        <v>16779916</v>
      </c>
      <c r="M4360" s="94">
        <v>33559832</v>
      </c>
    </row>
    <row r="4361" spans="3:13" x14ac:dyDescent="0.3">
      <c r="C4361" t="s">
        <v>61</v>
      </c>
      <c r="D4361" t="s">
        <v>67</v>
      </c>
      <c r="E4361" t="s">
        <v>63</v>
      </c>
      <c r="F4361" t="s">
        <v>72</v>
      </c>
      <c r="G4361" s="4">
        <v>3</v>
      </c>
      <c r="H4361" s="4" t="s">
        <v>75</v>
      </c>
      <c r="I4361" s="4" t="s">
        <v>65</v>
      </c>
      <c r="J4361" s="4" t="s">
        <v>66</v>
      </c>
      <c r="K4361" s="4">
        <v>1</v>
      </c>
      <c r="L4361" s="94">
        <v>-84</v>
      </c>
      <c r="M4361" s="94">
        <v>0</v>
      </c>
    </row>
    <row r="4362" spans="3:13" x14ac:dyDescent="0.3">
      <c r="C4362" t="s">
        <v>61</v>
      </c>
      <c r="D4362" t="s">
        <v>67</v>
      </c>
      <c r="E4362" t="s">
        <v>68</v>
      </c>
      <c r="F4362" t="s">
        <v>26</v>
      </c>
      <c r="G4362" s="4">
        <v>10</v>
      </c>
      <c r="H4362" s="4" t="s">
        <v>74</v>
      </c>
      <c r="I4362" s="4" t="s">
        <v>69</v>
      </c>
      <c r="J4362" s="4" t="s">
        <v>66</v>
      </c>
      <c r="K4362" s="4">
        <v>0</v>
      </c>
      <c r="L4362" s="94">
        <v>131229709</v>
      </c>
      <c r="M4362" s="94">
        <v>1312297090</v>
      </c>
    </row>
    <row r="4363" spans="3:13" x14ac:dyDescent="0.3">
      <c r="C4363" t="s">
        <v>70</v>
      </c>
      <c r="D4363" t="s">
        <v>62</v>
      </c>
      <c r="E4363" t="s">
        <v>68</v>
      </c>
      <c r="F4363" t="s">
        <v>24</v>
      </c>
      <c r="G4363" s="4">
        <v>27</v>
      </c>
      <c r="I4363" s="4" t="s">
        <v>69</v>
      </c>
      <c r="J4363" s="4" t="s">
        <v>66</v>
      </c>
      <c r="K4363" s="4">
        <v>0</v>
      </c>
      <c r="L4363" s="94">
        <v>50633371</v>
      </c>
      <c r="M4363" s="94">
        <v>1367101017</v>
      </c>
    </row>
    <row r="4364" spans="3:13" x14ac:dyDescent="0.3">
      <c r="C4364" t="s">
        <v>61</v>
      </c>
      <c r="D4364" t="s">
        <v>62</v>
      </c>
      <c r="E4364" t="s">
        <v>68</v>
      </c>
      <c r="F4364" t="s">
        <v>25</v>
      </c>
      <c r="G4364" s="4">
        <v>13</v>
      </c>
      <c r="I4364" s="4" t="s">
        <v>69</v>
      </c>
      <c r="J4364" s="4" t="s">
        <v>66</v>
      </c>
      <c r="K4364" s="4">
        <v>1</v>
      </c>
      <c r="L4364" s="94">
        <v>1081</v>
      </c>
      <c r="M4364" s="94">
        <v>14053</v>
      </c>
    </row>
    <row r="4365" spans="3:13" x14ac:dyDescent="0.3">
      <c r="C4365" t="s">
        <v>70</v>
      </c>
      <c r="D4365" t="s">
        <v>67</v>
      </c>
      <c r="E4365" t="s">
        <v>63</v>
      </c>
      <c r="F4365" t="s">
        <v>26</v>
      </c>
      <c r="G4365" s="4">
        <v>-1</v>
      </c>
      <c r="H4365" s="4" t="s">
        <v>17</v>
      </c>
      <c r="I4365" s="4" t="s">
        <v>69</v>
      </c>
      <c r="J4365" s="4" t="s">
        <v>73</v>
      </c>
      <c r="K4365" s="4">
        <v>1</v>
      </c>
      <c r="L4365" s="94">
        <v>-95031</v>
      </c>
      <c r="M4365" s="94">
        <v>0</v>
      </c>
    </row>
    <row r="4366" spans="3:13" x14ac:dyDescent="0.3">
      <c r="C4366" t="s">
        <v>61</v>
      </c>
      <c r="D4366" t="s">
        <v>67</v>
      </c>
      <c r="E4366" t="s">
        <v>63</v>
      </c>
      <c r="F4366" t="s">
        <v>26</v>
      </c>
      <c r="G4366" s="4">
        <v>-1</v>
      </c>
      <c r="H4366" s="4" t="s">
        <v>83</v>
      </c>
      <c r="I4366" s="4" t="s">
        <v>69</v>
      </c>
      <c r="J4366" s="4" t="s">
        <v>66</v>
      </c>
      <c r="K4366" s="4">
        <v>0</v>
      </c>
      <c r="L4366" s="94">
        <v>-27191</v>
      </c>
      <c r="M4366" s="94">
        <v>0</v>
      </c>
    </row>
    <row r="4367" spans="3:13" x14ac:dyDescent="0.3">
      <c r="C4367" t="s">
        <v>61</v>
      </c>
      <c r="D4367" t="s">
        <v>67</v>
      </c>
      <c r="E4367" t="s">
        <v>63</v>
      </c>
      <c r="F4367" t="s">
        <v>25</v>
      </c>
      <c r="G4367" s="4">
        <v>15</v>
      </c>
      <c r="H4367" s="4" t="s">
        <v>14</v>
      </c>
      <c r="I4367" s="4" t="s">
        <v>69</v>
      </c>
      <c r="J4367" s="4" t="s">
        <v>66</v>
      </c>
      <c r="K4367" s="4">
        <v>0</v>
      </c>
      <c r="L4367" s="94">
        <v>-2226</v>
      </c>
      <c r="M4367" s="94">
        <v>0</v>
      </c>
    </row>
    <row r="4368" spans="3:13" x14ac:dyDescent="0.3">
      <c r="C4368" t="s">
        <v>61</v>
      </c>
      <c r="D4368" t="s">
        <v>67</v>
      </c>
      <c r="E4368" t="s">
        <v>68</v>
      </c>
      <c r="F4368" t="s">
        <v>72</v>
      </c>
      <c r="G4368" s="4">
        <v>6</v>
      </c>
      <c r="H4368" s="4" t="s">
        <v>79</v>
      </c>
      <c r="I4368" s="4" t="s">
        <v>69</v>
      </c>
      <c r="J4368" s="4" t="s">
        <v>66</v>
      </c>
      <c r="K4368" s="4">
        <v>0</v>
      </c>
      <c r="L4368" s="94">
        <v>1340729</v>
      </c>
      <c r="M4368" s="94">
        <v>8044374</v>
      </c>
    </row>
    <row r="4369" spans="3:13" x14ac:dyDescent="0.3">
      <c r="C4369" t="s">
        <v>71</v>
      </c>
      <c r="D4369" t="s">
        <v>67</v>
      </c>
      <c r="E4369" t="s">
        <v>63</v>
      </c>
      <c r="F4369" t="s">
        <v>25</v>
      </c>
      <c r="G4369" s="4">
        <v>6</v>
      </c>
      <c r="H4369" s="4" t="s">
        <v>79</v>
      </c>
      <c r="I4369" s="4" t="s">
        <v>69</v>
      </c>
      <c r="J4369" s="4" t="s">
        <v>66</v>
      </c>
      <c r="K4369" s="4">
        <v>0</v>
      </c>
      <c r="L4369" s="94">
        <v>-65229</v>
      </c>
      <c r="M4369" s="94">
        <v>0</v>
      </c>
    </row>
    <row r="4370" spans="3:13" x14ac:dyDescent="0.3">
      <c r="C4370" t="s">
        <v>70</v>
      </c>
      <c r="D4370" t="s">
        <v>62</v>
      </c>
      <c r="E4370" t="s">
        <v>63</v>
      </c>
      <c r="F4370" t="s">
        <v>25</v>
      </c>
      <c r="G4370" s="4">
        <v>-1</v>
      </c>
      <c r="I4370" s="4" t="s">
        <v>69</v>
      </c>
      <c r="J4370" s="4" t="s">
        <v>66</v>
      </c>
      <c r="K4370" s="4">
        <v>0</v>
      </c>
      <c r="L4370" s="94">
        <v>-2004</v>
      </c>
      <c r="M4370" s="94">
        <v>0</v>
      </c>
    </row>
    <row r="4371" spans="3:13" x14ac:dyDescent="0.3">
      <c r="C4371" t="s">
        <v>61</v>
      </c>
      <c r="D4371" t="s">
        <v>62</v>
      </c>
      <c r="E4371" t="s">
        <v>63</v>
      </c>
      <c r="F4371" t="s">
        <v>25</v>
      </c>
      <c r="G4371" s="4">
        <v>7</v>
      </c>
      <c r="I4371" s="4" t="s">
        <v>69</v>
      </c>
      <c r="J4371" s="4" t="s">
        <v>66</v>
      </c>
      <c r="K4371" s="4">
        <v>1</v>
      </c>
      <c r="L4371" s="94">
        <v>-2031</v>
      </c>
      <c r="M4371" s="94">
        <v>0</v>
      </c>
    </row>
    <row r="4372" spans="3:13" x14ac:dyDescent="0.3">
      <c r="C4372" t="s">
        <v>70</v>
      </c>
      <c r="D4372" t="s">
        <v>67</v>
      </c>
      <c r="E4372" t="s">
        <v>68</v>
      </c>
      <c r="F4372" t="s">
        <v>26</v>
      </c>
      <c r="G4372" s="4">
        <v>8</v>
      </c>
      <c r="H4372" s="4" t="s">
        <v>14</v>
      </c>
      <c r="I4372" s="4" t="s">
        <v>69</v>
      </c>
      <c r="J4372" s="4" t="s">
        <v>73</v>
      </c>
      <c r="K4372" s="4">
        <v>1</v>
      </c>
      <c r="L4372" s="94">
        <v>1259971</v>
      </c>
      <c r="M4372" s="94">
        <v>10079768</v>
      </c>
    </row>
    <row r="4373" spans="3:13" x14ac:dyDescent="0.3">
      <c r="C4373" t="s">
        <v>71</v>
      </c>
      <c r="D4373" t="s">
        <v>67</v>
      </c>
      <c r="E4373" t="s">
        <v>68</v>
      </c>
      <c r="F4373" t="s">
        <v>26</v>
      </c>
      <c r="G4373" s="4">
        <v>-4</v>
      </c>
      <c r="H4373" s="4" t="s">
        <v>18</v>
      </c>
      <c r="I4373" s="4" t="s">
        <v>65</v>
      </c>
      <c r="J4373" s="4" t="s">
        <v>66</v>
      </c>
      <c r="K4373" s="4">
        <v>1</v>
      </c>
      <c r="L4373" s="94">
        <v>294</v>
      </c>
      <c r="M4373" s="94">
        <v>0</v>
      </c>
    </row>
    <row r="4374" spans="3:13" x14ac:dyDescent="0.3">
      <c r="C4374" t="s">
        <v>71</v>
      </c>
      <c r="D4374" t="s">
        <v>67</v>
      </c>
      <c r="E4374" t="s">
        <v>63</v>
      </c>
      <c r="F4374" t="s">
        <v>26</v>
      </c>
      <c r="G4374" s="4">
        <v>-1</v>
      </c>
      <c r="H4374" s="4" t="s">
        <v>78</v>
      </c>
      <c r="I4374" s="4" t="s">
        <v>69</v>
      </c>
      <c r="J4374" s="4" t="s">
        <v>66</v>
      </c>
      <c r="K4374" s="4">
        <v>0</v>
      </c>
      <c r="L4374" s="94">
        <v>-178866</v>
      </c>
      <c r="M4374" s="94">
        <v>0</v>
      </c>
    </row>
    <row r="4375" spans="3:13" x14ac:dyDescent="0.3">
      <c r="C4375" t="s">
        <v>70</v>
      </c>
      <c r="D4375" t="s">
        <v>67</v>
      </c>
      <c r="E4375" t="s">
        <v>63</v>
      </c>
      <c r="F4375" t="s">
        <v>26</v>
      </c>
      <c r="G4375" s="4">
        <v>5</v>
      </c>
      <c r="H4375" s="4" t="s">
        <v>17</v>
      </c>
      <c r="I4375" s="4" t="s">
        <v>69</v>
      </c>
      <c r="J4375" s="4" t="s">
        <v>66</v>
      </c>
      <c r="K4375" s="4">
        <v>0</v>
      </c>
      <c r="L4375" s="94">
        <v>-121308</v>
      </c>
      <c r="M4375" s="94">
        <v>0</v>
      </c>
    </row>
    <row r="4376" spans="3:13" x14ac:dyDescent="0.3">
      <c r="C4376" t="s">
        <v>70</v>
      </c>
      <c r="D4376" t="s">
        <v>67</v>
      </c>
      <c r="E4376" t="s">
        <v>68</v>
      </c>
      <c r="F4376" t="s">
        <v>25</v>
      </c>
      <c r="G4376" s="4">
        <v>6</v>
      </c>
      <c r="H4376" s="4" t="s">
        <v>14</v>
      </c>
      <c r="I4376" s="4" t="s">
        <v>69</v>
      </c>
      <c r="J4376" s="4" t="s">
        <v>66</v>
      </c>
      <c r="K4376" s="4">
        <v>1</v>
      </c>
      <c r="L4376" s="94">
        <v>1568998</v>
      </c>
      <c r="M4376" s="94">
        <v>9413988</v>
      </c>
    </row>
    <row r="4377" spans="3:13" x14ac:dyDescent="0.3">
      <c r="C4377" t="s">
        <v>70</v>
      </c>
      <c r="D4377" t="s">
        <v>62</v>
      </c>
      <c r="E4377" t="s">
        <v>68</v>
      </c>
      <c r="F4377" t="s">
        <v>24</v>
      </c>
      <c r="G4377" s="4">
        <v>32</v>
      </c>
      <c r="I4377" s="4" t="s">
        <v>69</v>
      </c>
      <c r="J4377" s="4" t="s">
        <v>66</v>
      </c>
      <c r="K4377" s="4">
        <v>0</v>
      </c>
      <c r="L4377" s="94">
        <v>43933437</v>
      </c>
      <c r="M4377" s="94">
        <v>1405869984</v>
      </c>
    </row>
    <row r="4378" spans="3:13" x14ac:dyDescent="0.3">
      <c r="C4378" t="s">
        <v>61</v>
      </c>
      <c r="D4378" t="s">
        <v>67</v>
      </c>
      <c r="E4378" t="s">
        <v>68</v>
      </c>
      <c r="F4378" t="s">
        <v>26</v>
      </c>
      <c r="G4378" s="4">
        <v>5</v>
      </c>
      <c r="H4378" s="4" t="s">
        <v>12</v>
      </c>
      <c r="I4378" s="4" t="s">
        <v>65</v>
      </c>
      <c r="J4378" s="4" t="s">
        <v>73</v>
      </c>
      <c r="K4378" s="4">
        <v>1</v>
      </c>
      <c r="L4378" s="94">
        <v>689536</v>
      </c>
      <c r="M4378" s="94">
        <v>3447680</v>
      </c>
    </row>
    <row r="4379" spans="3:13" x14ac:dyDescent="0.3">
      <c r="C4379" t="s">
        <v>71</v>
      </c>
      <c r="D4379" t="s">
        <v>62</v>
      </c>
      <c r="E4379" t="s">
        <v>63</v>
      </c>
      <c r="F4379" t="s">
        <v>25</v>
      </c>
      <c r="G4379" s="4">
        <v>22</v>
      </c>
      <c r="I4379" s="4" t="s">
        <v>69</v>
      </c>
      <c r="J4379" s="4" t="s">
        <v>66</v>
      </c>
      <c r="K4379" s="4">
        <v>0</v>
      </c>
      <c r="L4379" s="94">
        <v>-87357</v>
      </c>
      <c r="M4379" s="94">
        <v>0</v>
      </c>
    </row>
    <row r="4380" spans="3:13" x14ac:dyDescent="0.3">
      <c r="C4380" t="s">
        <v>71</v>
      </c>
      <c r="D4380" t="s">
        <v>67</v>
      </c>
      <c r="E4380" t="s">
        <v>68</v>
      </c>
      <c r="F4380" t="s">
        <v>25</v>
      </c>
      <c r="G4380" s="4">
        <v>-4</v>
      </c>
      <c r="H4380" s="4" t="s">
        <v>14</v>
      </c>
      <c r="I4380" s="4" t="s">
        <v>69</v>
      </c>
      <c r="J4380" s="4" t="s">
        <v>66</v>
      </c>
      <c r="K4380" s="4">
        <v>1</v>
      </c>
      <c r="L4380" s="94">
        <v>1208000</v>
      </c>
      <c r="M4380" s="94">
        <v>0</v>
      </c>
    </row>
    <row r="4381" spans="3:13" x14ac:dyDescent="0.3">
      <c r="C4381" t="s">
        <v>61</v>
      </c>
      <c r="D4381" t="s">
        <v>62</v>
      </c>
      <c r="E4381" t="s">
        <v>68</v>
      </c>
      <c r="F4381" t="s">
        <v>24</v>
      </c>
      <c r="G4381" s="4">
        <v>32</v>
      </c>
      <c r="I4381" s="4" t="s">
        <v>65</v>
      </c>
      <c r="J4381" s="4" t="s">
        <v>66</v>
      </c>
      <c r="K4381" s="4">
        <v>1</v>
      </c>
      <c r="L4381" s="94">
        <v>9590455</v>
      </c>
      <c r="M4381" s="94">
        <v>306894560</v>
      </c>
    </row>
    <row r="4382" spans="3:13" x14ac:dyDescent="0.3">
      <c r="C4382" t="s">
        <v>71</v>
      </c>
      <c r="D4382" t="s">
        <v>67</v>
      </c>
      <c r="E4382" t="s">
        <v>68</v>
      </c>
      <c r="F4382" t="s">
        <v>26</v>
      </c>
      <c r="G4382" s="4">
        <v>3</v>
      </c>
      <c r="H4382" s="4" t="s">
        <v>83</v>
      </c>
      <c r="I4382" s="4" t="s">
        <v>69</v>
      </c>
      <c r="J4382" s="4" t="s">
        <v>66</v>
      </c>
      <c r="K4382" s="4">
        <v>0</v>
      </c>
      <c r="L4382" s="94">
        <v>112514</v>
      </c>
      <c r="M4382" s="94">
        <v>337542</v>
      </c>
    </row>
    <row r="4383" spans="3:13" x14ac:dyDescent="0.3">
      <c r="C4383" t="s">
        <v>61</v>
      </c>
      <c r="D4383" t="s">
        <v>62</v>
      </c>
      <c r="E4383" t="s">
        <v>68</v>
      </c>
      <c r="F4383" t="s">
        <v>24</v>
      </c>
      <c r="G4383" s="4">
        <v>23</v>
      </c>
      <c r="I4383" s="4" t="s">
        <v>69</v>
      </c>
      <c r="J4383" s="4" t="s">
        <v>66</v>
      </c>
      <c r="K4383" s="4">
        <v>1</v>
      </c>
      <c r="L4383" s="94">
        <v>2707524</v>
      </c>
      <c r="M4383" s="94">
        <v>62273052</v>
      </c>
    </row>
    <row r="4384" spans="3:13" x14ac:dyDescent="0.3">
      <c r="C4384" t="s">
        <v>61</v>
      </c>
      <c r="D4384" t="s">
        <v>67</v>
      </c>
      <c r="E4384" t="s">
        <v>68</v>
      </c>
      <c r="F4384" t="s">
        <v>26</v>
      </c>
      <c r="G4384" s="4">
        <v>11</v>
      </c>
      <c r="H4384" s="4" t="s">
        <v>76</v>
      </c>
      <c r="I4384" s="4" t="s">
        <v>69</v>
      </c>
      <c r="J4384" s="4" t="s">
        <v>66</v>
      </c>
      <c r="K4384" s="4">
        <v>0</v>
      </c>
      <c r="L4384" s="94">
        <v>2522493</v>
      </c>
      <c r="M4384" s="94">
        <v>27747423</v>
      </c>
    </row>
    <row r="4385" spans="3:13" x14ac:dyDescent="0.3">
      <c r="C4385" t="s">
        <v>61</v>
      </c>
      <c r="D4385" t="s">
        <v>67</v>
      </c>
      <c r="E4385" t="s">
        <v>68</v>
      </c>
      <c r="F4385" t="s">
        <v>26</v>
      </c>
      <c r="G4385" s="4">
        <v>0</v>
      </c>
      <c r="H4385" s="4" t="s">
        <v>80</v>
      </c>
      <c r="I4385" s="4" t="s">
        <v>69</v>
      </c>
      <c r="J4385" s="4" t="s">
        <v>66</v>
      </c>
      <c r="K4385" s="4">
        <v>0</v>
      </c>
      <c r="L4385" s="94">
        <v>1840562</v>
      </c>
      <c r="M4385" s="94">
        <v>0</v>
      </c>
    </row>
    <row r="4386" spans="3:13" x14ac:dyDescent="0.3">
      <c r="C4386" t="s">
        <v>71</v>
      </c>
      <c r="D4386" t="s">
        <v>67</v>
      </c>
      <c r="E4386" t="s">
        <v>68</v>
      </c>
      <c r="F4386" t="s">
        <v>26</v>
      </c>
      <c r="G4386" s="4">
        <v>-1</v>
      </c>
      <c r="H4386" s="4" t="s">
        <v>64</v>
      </c>
      <c r="I4386" s="4" t="s">
        <v>69</v>
      </c>
      <c r="J4386" s="4" t="s">
        <v>66</v>
      </c>
      <c r="K4386" s="4">
        <v>0</v>
      </c>
      <c r="L4386" s="94">
        <v>1048154</v>
      </c>
      <c r="M4386" s="94">
        <v>0</v>
      </c>
    </row>
    <row r="4387" spans="3:13" x14ac:dyDescent="0.3">
      <c r="C4387" t="s">
        <v>61</v>
      </c>
      <c r="D4387" t="s">
        <v>67</v>
      </c>
      <c r="E4387" t="s">
        <v>63</v>
      </c>
      <c r="F4387" t="s">
        <v>26</v>
      </c>
      <c r="G4387" s="4">
        <v>-1</v>
      </c>
      <c r="H4387" s="4" t="s">
        <v>75</v>
      </c>
      <c r="I4387" s="4" t="s">
        <v>69</v>
      </c>
      <c r="J4387" s="4" t="s">
        <v>66</v>
      </c>
      <c r="K4387" s="4">
        <v>0</v>
      </c>
      <c r="L4387" s="94">
        <v>-154827</v>
      </c>
      <c r="M4387" s="94">
        <v>0</v>
      </c>
    </row>
    <row r="4388" spans="3:13" x14ac:dyDescent="0.3">
      <c r="C4388" t="s">
        <v>61</v>
      </c>
      <c r="D4388" t="s">
        <v>62</v>
      </c>
      <c r="E4388" t="s">
        <v>68</v>
      </c>
      <c r="F4388" t="s">
        <v>24</v>
      </c>
      <c r="G4388" s="4">
        <v>34</v>
      </c>
      <c r="I4388" s="4" t="s">
        <v>69</v>
      </c>
      <c r="J4388" s="4" t="s">
        <v>66</v>
      </c>
      <c r="K4388" s="4">
        <v>0</v>
      </c>
      <c r="L4388" s="94">
        <v>1357023971</v>
      </c>
      <c r="M4388" s="94">
        <v>46138815014</v>
      </c>
    </row>
    <row r="4389" spans="3:13" x14ac:dyDescent="0.3">
      <c r="C4389" t="s">
        <v>71</v>
      </c>
      <c r="D4389" t="s">
        <v>67</v>
      </c>
      <c r="E4389" t="s">
        <v>68</v>
      </c>
      <c r="F4389" t="s">
        <v>72</v>
      </c>
      <c r="G4389" s="4">
        <v>0</v>
      </c>
      <c r="H4389" s="4" t="s">
        <v>82</v>
      </c>
      <c r="I4389" s="4" t="s">
        <v>69</v>
      </c>
      <c r="J4389" s="4" t="s">
        <v>66</v>
      </c>
      <c r="K4389" s="4">
        <v>0</v>
      </c>
      <c r="L4389" s="94">
        <v>141989</v>
      </c>
      <c r="M4389" s="94">
        <v>0</v>
      </c>
    </row>
    <row r="4390" spans="3:13" x14ac:dyDescent="0.3">
      <c r="C4390" t="s">
        <v>71</v>
      </c>
      <c r="D4390" t="s">
        <v>67</v>
      </c>
      <c r="E4390" t="s">
        <v>68</v>
      </c>
      <c r="F4390" t="s">
        <v>26</v>
      </c>
      <c r="G4390" s="4">
        <v>4</v>
      </c>
      <c r="H4390" s="4" t="s">
        <v>12</v>
      </c>
      <c r="I4390" s="4" t="s">
        <v>69</v>
      </c>
      <c r="J4390" s="4" t="s">
        <v>66</v>
      </c>
      <c r="K4390" s="4">
        <v>0</v>
      </c>
      <c r="L4390" s="94">
        <v>7187</v>
      </c>
      <c r="M4390" s="94">
        <v>28748</v>
      </c>
    </row>
    <row r="4391" spans="3:13" x14ac:dyDescent="0.3">
      <c r="C4391" t="s">
        <v>61</v>
      </c>
      <c r="D4391" t="s">
        <v>67</v>
      </c>
      <c r="E4391" t="s">
        <v>63</v>
      </c>
      <c r="F4391" t="s">
        <v>26</v>
      </c>
      <c r="G4391" s="4">
        <v>7</v>
      </c>
      <c r="H4391" s="4" t="s">
        <v>14</v>
      </c>
      <c r="I4391" s="4" t="s">
        <v>69</v>
      </c>
      <c r="J4391" s="4" t="s">
        <v>66</v>
      </c>
      <c r="K4391" s="4">
        <v>0</v>
      </c>
      <c r="L4391" s="94">
        <v>-28036</v>
      </c>
      <c r="M4391" s="94">
        <v>0</v>
      </c>
    </row>
    <row r="4392" spans="3:13" x14ac:dyDescent="0.3">
      <c r="C4392" t="s">
        <v>70</v>
      </c>
      <c r="D4392" t="s">
        <v>67</v>
      </c>
      <c r="E4392" t="s">
        <v>68</v>
      </c>
      <c r="F4392" t="s">
        <v>72</v>
      </c>
      <c r="G4392" s="4">
        <v>-4</v>
      </c>
      <c r="H4392" s="4" t="s">
        <v>14</v>
      </c>
      <c r="I4392" s="4" t="s">
        <v>69</v>
      </c>
      <c r="J4392" s="4" t="s">
        <v>73</v>
      </c>
      <c r="K4392" s="4">
        <v>1</v>
      </c>
      <c r="L4392" s="94">
        <v>4121</v>
      </c>
      <c r="M4392" s="94">
        <v>0</v>
      </c>
    </row>
    <row r="4393" spans="3:13" x14ac:dyDescent="0.3">
      <c r="C4393" t="s">
        <v>70</v>
      </c>
      <c r="D4393" t="s">
        <v>67</v>
      </c>
      <c r="E4393" t="s">
        <v>63</v>
      </c>
      <c r="F4393" t="s">
        <v>25</v>
      </c>
      <c r="G4393" s="4">
        <v>8</v>
      </c>
      <c r="H4393" s="4" t="s">
        <v>14</v>
      </c>
      <c r="I4393" s="4" t="s">
        <v>69</v>
      </c>
      <c r="J4393" s="4" t="s">
        <v>66</v>
      </c>
      <c r="K4393" s="4">
        <v>0</v>
      </c>
      <c r="L4393" s="94">
        <v>-47032</v>
      </c>
      <c r="M4393" s="94">
        <v>0</v>
      </c>
    </row>
    <row r="4394" spans="3:13" x14ac:dyDescent="0.3">
      <c r="C4394" t="s">
        <v>61</v>
      </c>
      <c r="D4394" t="s">
        <v>67</v>
      </c>
      <c r="E4394" t="s">
        <v>63</v>
      </c>
      <c r="F4394" t="s">
        <v>25</v>
      </c>
      <c r="G4394" s="4">
        <v>18</v>
      </c>
      <c r="H4394" s="4" t="s">
        <v>17</v>
      </c>
      <c r="I4394" s="4" t="s">
        <v>69</v>
      </c>
      <c r="J4394" s="4" t="s">
        <v>66</v>
      </c>
      <c r="K4394" s="4">
        <v>0</v>
      </c>
      <c r="L4394" s="94">
        <v>-753</v>
      </c>
      <c r="M4394" s="94">
        <v>0</v>
      </c>
    </row>
    <row r="4395" spans="3:13" x14ac:dyDescent="0.3">
      <c r="C4395" t="s">
        <v>61</v>
      </c>
      <c r="D4395" t="s">
        <v>67</v>
      </c>
      <c r="E4395" t="s">
        <v>68</v>
      </c>
      <c r="F4395" t="s">
        <v>26</v>
      </c>
      <c r="G4395" s="4">
        <v>5</v>
      </c>
      <c r="H4395" s="4" t="s">
        <v>82</v>
      </c>
      <c r="I4395" s="4" t="s">
        <v>69</v>
      </c>
      <c r="J4395" s="4" t="s">
        <v>66</v>
      </c>
      <c r="K4395" s="4">
        <v>0</v>
      </c>
      <c r="L4395" s="94">
        <v>15467661</v>
      </c>
      <c r="M4395" s="94">
        <v>77338305</v>
      </c>
    </row>
    <row r="4396" spans="3:13" x14ac:dyDescent="0.3">
      <c r="C4396" t="s">
        <v>61</v>
      </c>
      <c r="D4396" t="s">
        <v>67</v>
      </c>
      <c r="E4396" t="s">
        <v>68</v>
      </c>
      <c r="F4396" t="s">
        <v>26</v>
      </c>
      <c r="G4396" s="4">
        <v>8</v>
      </c>
      <c r="H4396" s="4" t="s">
        <v>78</v>
      </c>
      <c r="I4396" s="4" t="s">
        <v>69</v>
      </c>
      <c r="J4396" s="4" t="s">
        <v>66</v>
      </c>
      <c r="K4396" s="4">
        <v>0</v>
      </c>
      <c r="L4396" s="94">
        <v>1381019</v>
      </c>
      <c r="M4396" s="94">
        <v>11048152</v>
      </c>
    </row>
    <row r="4397" spans="3:13" x14ac:dyDescent="0.3">
      <c r="C4397" t="s">
        <v>61</v>
      </c>
      <c r="D4397" t="s">
        <v>67</v>
      </c>
      <c r="E4397" t="s">
        <v>63</v>
      </c>
      <c r="F4397" t="s">
        <v>72</v>
      </c>
      <c r="G4397" s="4">
        <v>-1</v>
      </c>
      <c r="H4397" s="4" t="s">
        <v>76</v>
      </c>
      <c r="I4397" s="4" t="s">
        <v>69</v>
      </c>
      <c r="J4397" s="4" t="s">
        <v>66</v>
      </c>
      <c r="K4397" s="4">
        <v>0</v>
      </c>
      <c r="L4397" s="94">
        <v>-5065</v>
      </c>
      <c r="M4397" s="94">
        <v>0</v>
      </c>
    </row>
    <row r="4398" spans="3:13" x14ac:dyDescent="0.3">
      <c r="C4398" t="s">
        <v>61</v>
      </c>
      <c r="D4398" t="s">
        <v>67</v>
      </c>
      <c r="E4398" t="s">
        <v>63</v>
      </c>
      <c r="F4398" t="s">
        <v>25</v>
      </c>
      <c r="G4398" s="4">
        <v>5</v>
      </c>
      <c r="H4398" s="4" t="s">
        <v>12</v>
      </c>
      <c r="I4398" s="4" t="s">
        <v>69</v>
      </c>
      <c r="J4398" s="4" t="s">
        <v>66</v>
      </c>
      <c r="K4398" s="4">
        <v>1</v>
      </c>
      <c r="L4398" s="94">
        <v>-33682</v>
      </c>
      <c r="M4398" s="94">
        <v>0</v>
      </c>
    </row>
    <row r="4399" spans="3:13" x14ac:dyDescent="0.3">
      <c r="C4399" t="s">
        <v>70</v>
      </c>
      <c r="D4399" t="s">
        <v>67</v>
      </c>
      <c r="E4399" t="s">
        <v>63</v>
      </c>
      <c r="F4399" t="s">
        <v>26</v>
      </c>
      <c r="G4399" s="4">
        <v>2</v>
      </c>
      <c r="H4399" s="4" t="s">
        <v>18</v>
      </c>
      <c r="I4399" s="4" t="s">
        <v>65</v>
      </c>
      <c r="J4399" s="4" t="s">
        <v>66</v>
      </c>
      <c r="K4399" s="4">
        <v>1</v>
      </c>
      <c r="L4399" s="94">
        <v>-3971</v>
      </c>
      <c r="M4399" s="94">
        <v>0</v>
      </c>
    </row>
    <row r="4400" spans="3:13" x14ac:dyDescent="0.3">
      <c r="C4400" t="s">
        <v>70</v>
      </c>
      <c r="D4400" t="s">
        <v>67</v>
      </c>
      <c r="E4400" t="s">
        <v>68</v>
      </c>
      <c r="F4400" t="s">
        <v>25</v>
      </c>
      <c r="G4400" s="4">
        <v>7</v>
      </c>
      <c r="H4400" s="4" t="s">
        <v>14</v>
      </c>
      <c r="I4400" s="4" t="s">
        <v>69</v>
      </c>
      <c r="J4400" s="4" t="s">
        <v>66</v>
      </c>
      <c r="K4400" s="4">
        <v>1</v>
      </c>
      <c r="L4400" s="94">
        <v>684735</v>
      </c>
      <c r="M4400" s="94">
        <v>4793145</v>
      </c>
    </row>
    <row r="4401" spans="3:13" x14ac:dyDescent="0.3">
      <c r="C4401" t="s">
        <v>70</v>
      </c>
      <c r="D4401" t="s">
        <v>62</v>
      </c>
      <c r="E4401" t="s">
        <v>63</v>
      </c>
      <c r="F4401" t="s">
        <v>25</v>
      </c>
      <c r="G4401" s="4">
        <v>10</v>
      </c>
      <c r="I4401" s="4" t="s">
        <v>69</v>
      </c>
      <c r="J4401" s="4" t="s">
        <v>66</v>
      </c>
      <c r="K4401" s="4">
        <v>0</v>
      </c>
      <c r="L4401" s="94">
        <v>-79772</v>
      </c>
      <c r="M4401" s="94">
        <v>0</v>
      </c>
    </row>
    <row r="4402" spans="3:13" x14ac:dyDescent="0.3">
      <c r="C4402" t="s">
        <v>71</v>
      </c>
      <c r="D4402" t="s">
        <v>67</v>
      </c>
      <c r="E4402" t="s">
        <v>63</v>
      </c>
      <c r="F4402" t="s">
        <v>26</v>
      </c>
      <c r="G4402" s="4">
        <v>4</v>
      </c>
      <c r="H4402" s="4" t="s">
        <v>18</v>
      </c>
      <c r="I4402" s="4" t="s">
        <v>69</v>
      </c>
      <c r="J4402" s="4" t="s">
        <v>66</v>
      </c>
      <c r="K4402" s="4">
        <v>0</v>
      </c>
      <c r="L4402" s="94">
        <v>-3603096</v>
      </c>
      <c r="M4402" s="94">
        <v>0</v>
      </c>
    </row>
    <row r="4403" spans="3:13" x14ac:dyDescent="0.3">
      <c r="C4403" t="s">
        <v>61</v>
      </c>
      <c r="D4403" t="s">
        <v>67</v>
      </c>
      <c r="E4403" t="s">
        <v>68</v>
      </c>
      <c r="F4403" t="s">
        <v>25</v>
      </c>
      <c r="G4403" s="4">
        <v>3</v>
      </c>
      <c r="H4403" s="4" t="s">
        <v>14</v>
      </c>
      <c r="I4403" s="4" t="s">
        <v>69</v>
      </c>
      <c r="J4403" s="4" t="s">
        <v>66</v>
      </c>
      <c r="K4403" s="4">
        <v>0</v>
      </c>
      <c r="L4403" s="94">
        <v>2051056</v>
      </c>
      <c r="M4403" s="94">
        <v>6153168</v>
      </c>
    </row>
    <row r="4404" spans="3:13" x14ac:dyDescent="0.3">
      <c r="C4404" t="s">
        <v>70</v>
      </c>
      <c r="D4404" t="s">
        <v>67</v>
      </c>
      <c r="E4404" t="s">
        <v>68</v>
      </c>
      <c r="F4404" t="s">
        <v>25</v>
      </c>
      <c r="G4404" s="4">
        <v>3</v>
      </c>
      <c r="H4404" s="4" t="s">
        <v>18</v>
      </c>
      <c r="I4404" s="4" t="s">
        <v>69</v>
      </c>
      <c r="J4404" s="4" t="s">
        <v>66</v>
      </c>
      <c r="K4404" s="4">
        <v>1</v>
      </c>
      <c r="L4404" s="94">
        <v>278262</v>
      </c>
      <c r="M4404" s="94">
        <v>834786</v>
      </c>
    </row>
    <row r="4405" spans="3:13" x14ac:dyDescent="0.3">
      <c r="C4405" t="s">
        <v>70</v>
      </c>
      <c r="D4405" t="s">
        <v>67</v>
      </c>
      <c r="E4405" t="s">
        <v>63</v>
      </c>
      <c r="F4405" t="s">
        <v>72</v>
      </c>
      <c r="G4405" s="4">
        <v>0</v>
      </c>
      <c r="H4405" s="4" t="s">
        <v>18</v>
      </c>
      <c r="I4405" s="4" t="s">
        <v>69</v>
      </c>
      <c r="J4405" s="4" t="s">
        <v>73</v>
      </c>
      <c r="K4405" s="4">
        <v>1</v>
      </c>
      <c r="L4405" s="94">
        <v>-157</v>
      </c>
      <c r="M4405" s="94">
        <v>0</v>
      </c>
    </row>
    <row r="4406" spans="3:13" x14ac:dyDescent="0.3">
      <c r="C4406" t="s">
        <v>71</v>
      </c>
      <c r="D4406" t="s">
        <v>67</v>
      </c>
      <c r="E4406" t="s">
        <v>63</v>
      </c>
      <c r="F4406" t="s">
        <v>25</v>
      </c>
      <c r="G4406" s="4">
        <v>-4</v>
      </c>
      <c r="H4406" s="4" t="s">
        <v>64</v>
      </c>
      <c r="I4406" s="4" t="s">
        <v>69</v>
      </c>
      <c r="J4406" s="4" t="s">
        <v>66</v>
      </c>
      <c r="K4406" s="4">
        <v>0</v>
      </c>
      <c r="L4406" s="94">
        <v>-200392</v>
      </c>
      <c r="M4406" s="94">
        <v>0</v>
      </c>
    </row>
    <row r="4407" spans="3:13" x14ac:dyDescent="0.3">
      <c r="C4407" t="s">
        <v>70</v>
      </c>
      <c r="D4407" t="s">
        <v>62</v>
      </c>
      <c r="E4407" t="s">
        <v>68</v>
      </c>
      <c r="F4407" t="s">
        <v>24</v>
      </c>
      <c r="G4407" s="4">
        <v>34</v>
      </c>
      <c r="I4407" s="4" t="s">
        <v>65</v>
      </c>
      <c r="J4407" s="4" t="s">
        <v>66</v>
      </c>
      <c r="K4407" s="4">
        <v>1</v>
      </c>
      <c r="L4407" s="94">
        <v>1140066</v>
      </c>
      <c r="M4407" s="94">
        <v>38762244</v>
      </c>
    </row>
    <row r="4408" spans="3:13" x14ac:dyDescent="0.3">
      <c r="C4408" t="s">
        <v>61</v>
      </c>
      <c r="D4408" t="s">
        <v>67</v>
      </c>
      <c r="E4408" t="s">
        <v>63</v>
      </c>
      <c r="F4408" t="s">
        <v>25</v>
      </c>
      <c r="G4408" s="4">
        <v>12</v>
      </c>
      <c r="H4408" s="4" t="s">
        <v>79</v>
      </c>
      <c r="I4408" s="4" t="s">
        <v>69</v>
      </c>
      <c r="J4408" s="4" t="s">
        <v>66</v>
      </c>
      <c r="K4408" s="4">
        <v>0</v>
      </c>
      <c r="L4408" s="94">
        <v>-32984</v>
      </c>
      <c r="M4408" s="94">
        <v>0</v>
      </c>
    </row>
    <row r="4409" spans="3:13" x14ac:dyDescent="0.3">
      <c r="C4409" t="s">
        <v>70</v>
      </c>
      <c r="D4409" t="s">
        <v>67</v>
      </c>
      <c r="E4409" t="s">
        <v>63</v>
      </c>
      <c r="F4409" t="s">
        <v>72</v>
      </c>
      <c r="G4409" s="4">
        <v>-4</v>
      </c>
      <c r="H4409" s="4" t="s">
        <v>14</v>
      </c>
      <c r="I4409" s="4" t="s">
        <v>69</v>
      </c>
      <c r="J4409" s="4" t="s">
        <v>73</v>
      </c>
      <c r="K4409" s="4">
        <v>1</v>
      </c>
      <c r="L4409" s="94">
        <v>-720</v>
      </c>
      <c r="M4409" s="94">
        <v>0</v>
      </c>
    </row>
    <row r="4410" spans="3:13" x14ac:dyDescent="0.3">
      <c r="C4410" t="s">
        <v>61</v>
      </c>
      <c r="D4410" t="s">
        <v>84</v>
      </c>
      <c r="E4410" t="s">
        <v>68</v>
      </c>
      <c r="F4410" t="s">
        <v>25</v>
      </c>
      <c r="G4410" s="4">
        <v>14</v>
      </c>
      <c r="H4410" s="4" t="s">
        <v>76</v>
      </c>
      <c r="I4410" s="4" t="s">
        <v>69</v>
      </c>
      <c r="J4410" s="4" t="s">
        <v>66</v>
      </c>
      <c r="K4410" s="4">
        <v>0</v>
      </c>
      <c r="L4410" s="94">
        <v>17206384</v>
      </c>
      <c r="M4410" s="94">
        <v>240889376</v>
      </c>
    </row>
    <row r="4411" spans="3:13" x14ac:dyDescent="0.3">
      <c r="C4411" t="s">
        <v>70</v>
      </c>
      <c r="D4411" t="s">
        <v>67</v>
      </c>
      <c r="E4411" t="s">
        <v>68</v>
      </c>
      <c r="F4411" t="s">
        <v>26</v>
      </c>
      <c r="G4411" s="4">
        <v>4</v>
      </c>
      <c r="H4411" s="4" t="s">
        <v>17</v>
      </c>
      <c r="I4411" s="4" t="s">
        <v>69</v>
      </c>
      <c r="J4411" s="4" t="s">
        <v>73</v>
      </c>
      <c r="K4411" s="4">
        <v>1</v>
      </c>
      <c r="L4411" s="94">
        <v>129491</v>
      </c>
      <c r="M4411" s="94">
        <v>517964</v>
      </c>
    </row>
    <row r="4412" spans="3:13" x14ac:dyDescent="0.3">
      <c r="C4412" t="s">
        <v>61</v>
      </c>
      <c r="D4412" t="s">
        <v>67</v>
      </c>
      <c r="E4412" t="s">
        <v>63</v>
      </c>
      <c r="F4412" t="s">
        <v>26</v>
      </c>
      <c r="G4412" s="4">
        <v>4</v>
      </c>
      <c r="H4412" s="4" t="s">
        <v>16</v>
      </c>
      <c r="I4412" s="4" t="s">
        <v>69</v>
      </c>
      <c r="J4412" s="4" t="s">
        <v>66</v>
      </c>
      <c r="K4412" s="4">
        <v>0</v>
      </c>
      <c r="L4412" s="94">
        <v>-2375</v>
      </c>
      <c r="M4412" s="94">
        <v>0</v>
      </c>
    </row>
    <row r="4413" spans="3:13" x14ac:dyDescent="0.3">
      <c r="C4413" t="s">
        <v>71</v>
      </c>
      <c r="D4413" t="s">
        <v>67</v>
      </c>
      <c r="E4413" t="s">
        <v>68</v>
      </c>
      <c r="F4413" t="s">
        <v>25</v>
      </c>
      <c r="G4413" s="4">
        <v>1</v>
      </c>
      <c r="H4413" s="4" t="s">
        <v>17</v>
      </c>
      <c r="I4413" s="4" t="s">
        <v>69</v>
      </c>
      <c r="J4413" s="4" t="s">
        <v>66</v>
      </c>
      <c r="K4413" s="4">
        <v>0</v>
      </c>
      <c r="L4413" s="94">
        <v>72088</v>
      </c>
      <c r="M4413" s="94">
        <v>72088</v>
      </c>
    </row>
    <row r="4414" spans="3:13" x14ac:dyDescent="0.3">
      <c r="C4414" t="s">
        <v>71</v>
      </c>
      <c r="D4414" t="s">
        <v>62</v>
      </c>
      <c r="E4414" t="s">
        <v>63</v>
      </c>
      <c r="F4414" t="s">
        <v>25</v>
      </c>
      <c r="G4414" s="4">
        <v>14</v>
      </c>
      <c r="I4414" s="4" t="s">
        <v>69</v>
      </c>
      <c r="J4414" s="4" t="s">
        <v>66</v>
      </c>
      <c r="K4414" s="4">
        <v>0</v>
      </c>
      <c r="L4414" s="94">
        <v>-100637</v>
      </c>
      <c r="M4414" s="94">
        <v>0</v>
      </c>
    </row>
    <row r="4415" spans="3:13" x14ac:dyDescent="0.3">
      <c r="C4415" t="s">
        <v>71</v>
      </c>
      <c r="D4415" t="s">
        <v>67</v>
      </c>
      <c r="E4415" t="s">
        <v>63</v>
      </c>
      <c r="F4415" t="s">
        <v>72</v>
      </c>
      <c r="G4415" s="4">
        <v>1</v>
      </c>
      <c r="H4415" s="4" t="s">
        <v>12</v>
      </c>
      <c r="I4415" s="4" t="s">
        <v>69</v>
      </c>
      <c r="J4415" s="4" t="s">
        <v>73</v>
      </c>
      <c r="K4415" s="4">
        <v>1</v>
      </c>
      <c r="L4415" s="94">
        <v>-22755</v>
      </c>
      <c r="M4415" s="94">
        <v>0</v>
      </c>
    </row>
    <row r="4416" spans="3:13" x14ac:dyDescent="0.3">
      <c r="C4416" t="s">
        <v>71</v>
      </c>
      <c r="D4416" t="s">
        <v>62</v>
      </c>
      <c r="E4416" t="s">
        <v>68</v>
      </c>
      <c r="F4416" t="s">
        <v>24</v>
      </c>
      <c r="G4416" s="4">
        <v>8</v>
      </c>
      <c r="I4416" s="4" t="s">
        <v>69</v>
      </c>
      <c r="J4416" s="4" t="s">
        <v>66</v>
      </c>
      <c r="K4416" s="4">
        <v>0</v>
      </c>
      <c r="L4416" s="94">
        <v>2495570</v>
      </c>
      <c r="M4416" s="94">
        <v>19964560</v>
      </c>
    </row>
    <row r="4417" spans="3:13" x14ac:dyDescent="0.3">
      <c r="C4417" t="s">
        <v>61</v>
      </c>
      <c r="D4417" t="s">
        <v>67</v>
      </c>
      <c r="E4417" t="s">
        <v>68</v>
      </c>
      <c r="F4417" t="s">
        <v>25</v>
      </c>
      <c r="G4417" s="4">
        <v>13</v>
      </c>
      <c r="H4417" s="4" t="s">
        <v>64</v>
      </c>
      <c r="I4417" s="4" t="s">
        <v>69</v>
      </c>
      <c r="J4417" s="4" t="s">
        <v>66</v>
      </c>
      <c r="K4417" s="4">
        <v>0</v>
      </c>
      <c r="L4417" s="94">
        <v>1707418</v>
      </c>
      <c r="M4417" s="94">
        <v>22196434</v>
      </c>
    </row>
    <row r="4418" spans="3:13" x14ac:dyDescent="0.3">
      <c r="C4418" t="s">
        <v>61</v>
      </c>
      <c r="D4418" t="s">
        <v>67</v>
      </c>
      <c r="E4418" t="s">
        <v>63</v>
      </c>
      <c r="F4418" t="s">
        <v>72</v>
      </c>
      <c r="G4418" s="4">
        <v>0</v>
      </c>
      <c r="H4418" s="4" t="s">
        <v>18</v>
      </c>
      <c r="I4418" s="4" t="s">
        <v>69</v>
      </c>
      <c r="J4418" s="4" t="s">
        <v>73</v>
      </c>
      <c r="K4418" s="4">
        <v>1</v>
      </c>
      <c r="L4418" s="94">
        <v>-1421</v>
      </c>
      <c r="M4418" s="94">
        <v>0</v>
      </c>
    </row>
    <row r="4419" spans="3:13" x14ac:dyDescent="0.3">
      <c r="C4419" t="s">
        <v>61</v>
      </c>
      <c r="D4419" t="s">
        <v>67</v>
      </c>
      <c r="E4419" t="s">
        <v>63</v>
      </c>
      <c r="F4419" t="s">
        <v>72</v>
      </c>
      <c r="G4419" s="4">
        <v>1</v>
      </c>
      <c r="H4419" s="4" t="s">
        <v>12</v>
      </c>
      <c r="I4419" s="4" t="s">
        <v>69</v>
      </c>
      <c r="J4419" s="4" t="s">
        <v>66</v>
      </c>
      <c r="K4419" s="4">
        <v>0</v>
      </c>
      <c r="L4419" s="94">
        <v>-775</v>
      </c>
      <c r="M4419" s="94">
        <v>0</v>
      </c>
    </row>
    <row r="4420" spans="3:13" x14ac:dyDescent="0.3">
      <c r="C4420" t="s">
        <v>61</v>
      </c>
      <c r="D4420" t="s">
        <v>67</v>
      </c>
      <c r="E4420" t="s">
        <v>63</v>
      </c>
      <c r="F4420" t="s">
        <v>72</v>
      </c>
      <c r="G4420" s="4">
        <v>7</v>
      </c>
      <c r="H4420" s="4" t="s">
        <v>14</v>
      </c>
      <c r="I4420" s="4" t="s">
        <v>69</v>
      </c>
      <c r="J4420" s="4" t="s">
        <v>73</v>
      </c>
      <c r="K4420" s="4">
        <v>1</v>
      </c>
      <c r="L4420" s="94">
        <v>-831</v>
      </c>
      <c r="M4420" s="94">
        <v>0</v>
      </c>
    </row>
    <row r="4421" spans="3:13" x14ac:dyDescent="0.3">
      <c r="C4421" t="s">
        <v>71</v>
      </c>
      <c r="D4421" t="s">
        <v>67</v>
      </c>
      <c r="E4421" t="s">
        <v>68</v>
      </c>
      <c r="F4421" t="s">
        <v>72</v>
      </c>
      <c r="G4421" s="4">
        <v>-4</v>
      </c>
      <c r="H4421" s="4" t="s">
        <v>12</v>
      </c>
      <c r="I4421" s="4" t="s">
        <v>69</v>
      </c>
      <c r="J4421" s="4" t="s">
        <v>66</v>
      </c>
      <c r="K4421" s="4">
        <v>0</v>
      </c>
      <c r="L4421" s="94">
        <v>6374</v>
      </c>
      <c r="M4421" s="94">
        <v>0</v>
      </c>
    </row>
    <row r="4422" spans="3:13" x14ac:dyDescent="0.3">
      <c r="C4422" t="s">
        <v>61</v>
      </c>
      <c r="D4422" t="s">
        <v>62</v>
      </c>
      <c r="E4422" t="s">
        <v>68</v>
      </c>
      <c r="F4422" t="s">
        <v>24</v>
      </c>
      <c r="G4422" s="4">
        <v>31</v>
      </c>
      <c r="I4422" s="4" t="s">
        <v>69</v>
      </c>
      <c r="J4422" s="4" t="s">
        <v>66</v>
      </c>
      <c r="K4422" s="4">
        <v>0</v>
      </c>
      <c r="L4422" s="94">
        <v>702920397</v>
      </c>
      <c r="M4422" s="94">
        <v>21790532307</v>
      </c>
    </row>
    <row r="4423" spans="3:13" x14ac:dyDescent="0.3">
      <c r="C4423" t="s">
        <v>70</v>
      </c>
      <c r="D4423" t="s">
        <v>62</v>
      </c>
      <c r="E4423" t="s">
        <v>63</v>
      </c>
      <c r="F4423" t="s">
        <v>24</v>
      </c>
      <c r="G4423" s="4">
        <v>6</v>
      </c>
      <c r="I4423" s="4" t="s">
        <v>69</v>
      </c>
      <c r="J4423" s="4" t="s">
        <v>66</v>
      </c>
      <c r="K4423" s="4">
        <v>1</v>
      </c>
      <c r="L4423" s="94">
        <v>-7930</v>
      </c>
      <c r="M4423" s="94">
        <v>0</v>
      </c>
    </row>
    <row r="4424" spans="3:13" x14ac:dyDescent="0.3">
      <c r="C4424" t="s">
        <v>61</v>
      </c>
      <c r="D4424" t="s">
        <v>67</v>
      </c>
      <c r="E4424" t="s">
        <v>68</v>
      </c>
      <c r="F4424" t="s">
        <v>72</v>
      </c>
      <c r="G4424" s="4">
        <v>-4</v>
      </c>
      <c r="H4424" s="4" t="s">
        <v>17</v>
      </c>
      <c r="I4424" s="4" t="s">
        <v>65</v>
      </c>
      <c r="J4424" s="4" t="s">
        <v>73</v>
      </c>
      <c r="K4424" s="4">
        <v>1</v>
      </c>
      <c r="L4424" s="94">
        <v>48</v>
      </c>
      <c r="M4424" s="94">
        <v>0</v>
      </c>
    </row>
    <row r="4425" spans="3:13" x14ac:dyDescent="0.3">
      <c r="C4425" t="s">
        <v>70</v>
      </c>
      <c r="D4425" t="s">
        <v>67</v>
      </c>
      <c r="E4425" t="s">
        <v>68</v>
      </c>
      <c r="F4425" t="s">
        <v>25</v>
      </c>
      <c r="G4425" s="4">
        <v>14</v>
      </c>
      <c r="H4425" s="4" t="s">
        <v>80</v>
      </c>
      <c r="I4425" s="4" t="s">
        <v>69</v>
      </c>
      <c r="J4425" s="4" t="s">
        <v>66</v>
      </c>
      <c r="K4425" s="4">
        <v>0</v>
      </c>
      <c r="L4425" s="94">
        <v>86680</v>
      </c>
      <c r="M4425" s="94">
        <v>1213520</v>
      </c>
    </row>
    <row r="4426" spans="3:13" x14ac:dyDescent="0.3">
      <c r="C4426" t="s">
        <v>61</v>
      </c>
      <c r="D4426" t="s">
        <v>62</v>
      </c>
      <c r="E4426" t="s">
        <v>63</v>
      </c>
      <c r="F4426" t="s">
        <v>24</v>
      </c>
      <c r="G4426" s="4">
        <v>4</v>
      </c>
      <c r="I4426" s="4" t="s">
        <v>69</v>
      </c>
      <c r="J4426" s="4" t="s">
        <v>66</v>
      </c>
      <c r="K4426" s="4">
        <v>1</v>
      </c>
      <c r="L4426" s="94">
        <v>-558</v>
      </c>
      <c r="M4426" s="94">
        <v>0</v>
      </c>
    </row>
    <row r="4427" spans="3:13" x14ac:dyDescent="0.3">
      <c r="C4427" t="s">
        <v>61</v>
      </c>
      <c r="D4427" t="s">
        <v>67</v>
      </c>
      <c r="E4427" t="s">
        <v>68</v>
      </c>
      <c r="F4427" t="s">
        <v>25</v>
      </c>
      <c r="G4427" s="4">
        <v>0</v>
      </c>
      <c r="H4427" s="4" t="s">
        <v>18</v>
      </c>
      <c r="I4427" s="4" t="s">
        <v>69</v>
      </c>
      <c r="J4427" s="4" t="s">
        <v>66</v>
      </c>
      <c r="K4427" s="4">
        <v>1</v>
      </c>
      <c r="L4427" s="94">
        <v>19147</v>
      </c>
      <c r="M4427" s="94">
        <v>0</v>
      </c>
    </row>
    <row r="4428" spans="3:13" x14ac:dyDescent="0.3">
      <c r="C4428" t="s">
        <v>70</v>
      </c>
      <c r="D4428" t="s">
        <v>67</v>
      </c>
      <c r="E4428" t="s">
        <v>68</v>
      </c>
      <c r="F4428" t="s">
        <v>25</v>
      </c>
      <c r="G4428" s="4">
        <v>0</v>
      </c>
      <c r="H4428" s="4" t="s">
        <v>14</v>
      </c>
      <c r="I4428" s="4" t="s">
        <v>69</v>
      </c>
      <c r="J4428" s="4" t="s">
        <v>66</v>
      </c>
      <c r="K4428" s="4">
        <v>0</v>
      </c>
      <c r="L4428" s="94">
        <v>404386</v>
      </c>
      <c r="M4428" s="94">
        <v>0</v>
      </c>
    </row>
    <row r="4429" spans="3:13" x14ac:dyDescent="0.3">
      <c r="C4429" t="s">
        <v>71</v>
      </c>
      <c r="D4429" t="s">
        <v>67</v>
      </c>
      <c r="E4429" t="s">
        <v>63</v>
      </c>
      <c r="F4429" t="s">
        <v>72</v>
      </c>
      <c r="G4429" s="4">
        <v>-4</v>
      </c>
      <c r="H4429" s="4" t="s">
        <v>74</v>
      </c>
      <c r="I4429" s="4" t="s">
        <v>69</v>
      </c>
      <c r="J4429" s="4" t="s">
        <v>66</v>
      </c>
      <c r="K4429" s="4">
        <v>0</v>
      </c>
      <c r="L4429" s="94">
        <v>-32465</v>
      </c>
      <c r="M4429" s="94">
        <v>0</v>
      </c>
    </row>
    <row r="4430" spans="3:13" x14ac:dyDescent="0.3">
      <c r="C4430" t="s">
        <v>61</v>
      </c>
      <c r="D4430" t="s">
        <v>84</v>
      </c>
      <c r="E4430" t="s">
        <v>63</v>
      </c>
      <c r="F4430" t="s">
        <v>25</v>
      </c>
      <c r="G4430" s="4">
        <v>13</v>
      </c>
      <c r="H4430" s="4" t="s">
        <v>81</v>
      </c>
      <c r="I4430" s="4" t="s">
        <v>69</v>
      </c>
      <c r="J4430" s="4" t="s">
        <v>66</v>
      </c>
      <c r="K4430" s="4">
        <v>0</v>
      </c>
      <c r="L4430" s="94">
        <v>-411</v>
      </c>
      <c r="M4430" s="94">
        <v>0</v>
      </c>
    </row>
    <row r="4431" spans="3:13" x14ac:dyDescent="0.3">
      <c r="C4431" t="s">
        <v>61</v>
      </c>
      <c r="D4431" t="s">
        <v>67</v>
      </c>
      <c r="E4431" t="s">
        <v>68</v>
      </c>
      <c r="F4431" t="s">
        <v>72</v>
      </c>
      <c r="G4431" s="4">
        <v>3</v>
      </c>
      <c r="H4431" s="4" t="s">
        <v>83</v>
      </c>
      <c r="I4431" s="4" t="s">
        <v>69</v>
      </c>
      <c r="J4431" s="4" t="s">
        <v>66</v>
      </c>
      <c r="K4431" s="4">
        <v>0</v>
      </c>
      <c r="L4431" s="94">
        <v>576450</v>
      </c>
      <c r="M4431" s="94">
        <v>1729350</v>
      </c>
    </row>
    <row r="4432" spans="3:13" x14ac:dyDescent="0.3">
      <c r="C4432" t="s">
        <v>61</v>
      </c>
      <c r="D4432" t="s">
        <v>67</v>
      </c>
      <c r="E4432" t="s">
        <v>63</v>
      </c>
      <c r="F4432" t="s">
        <v>72</v>
      </c>
      <c r="G4432" s="4">
        <v>2</v>
      </c>
      <c r="H4432" s="4" t="s">
        <v>14</v>
      </c>
      <c r="I4432" s="4" t="s">
        <v>69</v>
      </c>
      <c r="J4432" s="4" t="s">
        <v>73</v>
      </c>
      <c r="K4432" s="4">
        <v>1</v>
      </c>
      <c r="L4432" s="94">
        <v>-12161</v>
      </c>
      <c r="M4432" s="94">
        <v>0</v>
      </c>
    </row>
    <row r="4433" spans="3:13" x14ac:dyDescent="0.3">
      <c r="C4433" t="s">
        <v>61</v>
      </c>
      <c r="D4433" t="s">
        <v>67</v>
      </c>
      <c r="E4433" t="s">
        <v>68</v>
      </c>
      <c r="F4433" t="s">
        <v>72</v>
      </c>
      <c r="G4433" s="4">
        <v>0</v>
      </c>
      <c r="H4433" s="4" t="s">
        <v>80</v>
      </c>
      <c r="I4433" s="4" t="s">
        <v>69</v>
      </c>
      <c r="J4433" s="4" t="s">
        <v>66</v>
      </c>
      <c r="K4433" s="4">
        <v>0</v>
      </c>
      <c r="L4433" s="94">
        <v>5246</v>
      </c>
      <c r="M4433" s="94">
        <v>0</v>
      </c>
    </row>
    <row r="4434" spans="3:13" x14ac:dyDescent="0.3">
      <c r="C4434" t="s">
        <v>61</v>
      </c>
      <c r="D4434" t="s">
        <v>67</v>
      </c>
      <c r="E4434" t="s">
        <v>63</v>
      </c>
      <c r="F4434" t="s">
        <v>25</v>
      </c>
      <c r="G4434" s="4">
        <v>2</v>
      </c>
      <c r="H4434" s="4" t="s">
        <v>18</v>
      </c>
      <c r="I4434" s="4" t="s">
        <v>69</v>
      </c>
      <c r="J4434" s="4" t="s">
        <v>66</v>
      </c>
      <c r="K4434" s="4">
        <v>1</v>
      </c>
      <c r="L4434" s="94">
        <v>-1167</v>
      </c>
      <c r="M4434" s="94">
        <v>0</v>
      </c>
    </row>
    <row r="4435" spans="3:13" x14ac:dyDescent="0.3">
      <c r="C4435" t="s">
        <v>61</v>
      </c>
      <c r="D4435" t="s">
        <v>67</v>
      </c>
      <c r="E4435" t="s">
        <v>68</v>
      </c>
      <c r="F4435" t="s">
        <v>26</v>
      </c>
      <c r="G4435" s="4">
        <v>-1</v>
      </c>
      <c r="H4435" s="4" t="s">
        <v>77</v>
      </c>
      <c r="I4435" s="4" t="s">
        <v>69</v>
      </c>
      <c r="J4435" s="4" t="s">
        <v>66</v>
      </c>
      <c r="K4435" s="4">
        <v>0</v>
      </c>
      <c r="L4435" s="94">
        <v>8304026</v>
      </c>
      <c r="M4435" s="94">
        <v>0</v>
      </c>
    </row>
    <row r="4436" spans="3:13" x14ac:dyDescent="0.3">
      <c r="C4436" t="s">
        <v>70</v>
      </c>
      <c r="D4436" t="s">
        <v>62</v>
      </c>
      <c r="E4436" t="s">
        <v>68</v>
      </c>
      <c r="F4436" t="s">
        <v>25</v>
      </c>
      <c r="G4436" s="4">
        <v>35</v>
      </c>
      <c r="I4436" s="4" t="s">
        <v>69</v>
      </c>
      <c r="J4436" s="4" t="s">
        <v>66</v>
      </c>
      <c r="K4436" s="4">
        <v>0</v>
      </c>
      <c r="L4436" s="94">
        <v>103325</v>
      </c>
      <c r="M4436" s="94">
        <v>3616375</v>
      </c>
    </row>
    <row r="4437" spans="3:13" x14ac:dyDescent="0.3">
      <c r="C4437" t="s">
        <v>70</v>
      </c>
      <c r="D4437" t="s">
        <v>67</v>
      </c>
      <c r="E4437" t="s">
        <v>63</v>
      </c>
      <c r="F4437" t="s">
        <v>25</v>
      </c>
      <c r="G4437" s="4">
        <v>2</v>
      </c>
      <c r="H4437" s="4" t="s">
        <v>17</v>
      </c>
      <c r="I4437" s="4" t="s">
        <v>69</v>
      </c>
      <c r="J4437" s="4" t="s">
        <v>66</v>
      </c>
      <c r="K4437" s="4">
        <v>1</v>
      </c>
      <c r="L4437" s="94">
        <v>-8362</v>
      </c>
      <c r="M4437" s="94">
        <v>0</v>
      </c>
    </row>
    <row r="4438" spans="3:13" x14ac:dyDescent="0.3">
      <c r="C4438" t="s">
        <v>71</v>
      </c>
      <c r="D4438" t="s">
        <v>67</v>
      </c>
      <c r="E4438" t="s">
        <v>63</v>
      </c>
      <c r="F4438" t="s">
        <v>26</v>
      </c>
      <c r="G4438" s="4">
        <v>4</v>
      </c>
      <c r="H4438" s="4" t="s">
        <v>76</v>
      </c>
      <c r="I4438" s="4" t="s">
        <v>69</v>
      </c>
      <c r="J4438" s="4" t="s">
        <v>66</v>
      </c>
      <c r="K4438" s="4">
        <v>0</v>
      </c>
      <c r="L4438" s="94">
        <v>-243137</v>
      </c>
      <c r="M4438" s="94">
        <v>0</v>
      </c>
    </row>
    <row r="4439" spans="3:13" x14ac:dyDescent="0.3">
      <c r="C4439" t="s">
        <v>71</v>
      </c>
      <c r="D4439" t="s">
        <v>67</v>
      </c>
      <c r="E4439" t="s">
        <v>68</v>
      </c>
      <c r="F4439" t="s">
        <v>72</v>
      </c>
      <c r="G4439" s="4">
        <v>0</v>
      </c>
      <c r="H4439" s="4" t="s">
        <v>17</v>
      </c>
      <c r="I4439" s="4" t="s">
        <v>69</v>
      </c>
      <c r="J4439" s="4" t="s">
        <v>66</v>
      </c>
      <c r="K4439" s="4">
        <v>0</v>
      </c>
      <c r="L4439" s="94">
        <v>119595</v>
      </c>
      <c r="M4439" s="94">
        <v>0</v>
      </c>
    </row>
    <row r="4440" spans="3:13" x14ac:dyDescent="0.3">
      <c r="C4440" t="s">
        <v>61</v>
      </c>
      <c r="D4440" t="s">
        <v>67</v>
      </c>
      <c r="E4440" t="s">
        <v>68</v>
      </c>
      <c r="F4440" t="s">
        <v>25</v>
      </c>
      <c r="G4440" s="4">
        <v>1</v>
      </c>
      <c r="H4440" s="4" t="s">
        <v>78</v>
      </c>
      <c r="I4440" s="4" t="s">
        <v>69</v>
      </c>
      <c r="J4440" s="4" t="s">
        <v>66</v>
      </c>
      <c r="K4440" s="4">
        <v>0</v>
      </c>
      <c r="L4440" s="94">
        <v>835839</v>
      </c>
      <c r="M4440" s="94">
        <v>835839</v>
      </c>
    </row>
    <row r="4441" spans="3:13" x14ac:dyDescent="0.3">
      <c r="C4441" t="s">
        <v>70</v>
      </c>
      <c r="D4441" t="s">
        <v>67</v>
      </c>
      <c r="E4441" t="s">
        <v>68</v>
      </c>
      <c r="F4441" t="s">
        <v>25</v>
      </c>
      <c r="G4441" s="4">
        <v>4</v>
      </c>
      <c r="H4441" s="4" t="s">
        <v>64</v>
      </c>
      <c r="I4441" s="4" t="s">
        <v>69</v>
      </c>
      <c r="J4441" s="4" t="s">
        <v>66</v>
      </c>
      <c r="K4441" s="4">
        <v>0</v>
      </c>
      <c r="L4441" s="94">
        <v>41439</v>
      </c>
      <c r="M4441" s="94">
        <v>165756</v>
      </c>
    </row>
    <row r="4442" spans="3:13" x14ac:dyDescent="0.3">
      <c r="C4442" t="s">
        <v>70</v>
      </c>
      <c r="D4442" t="s">
        <v>62</v>
      </c>
      <c r="E4442" t="s">
        <v>63</v>
      </c>
      <c r="F4442" t="s">
        <v>24</v>
      </c>
      <c r="G4442" s="4">
        <v>17</v>
      </c>
      <c r="I4442" s="4" t="s">
        <v>65</v>
      </c>
      <c r="J4442" s="4" t="s">
        <v>66</v>
      </c>
      <c r="K4442" s="4">
        <v>1</v>
      </c>
      <c r="L4442" s="94">
        <v>-5172</v>
      </c>
      <c r="M4442" s="94">
        <v>0</v>
      </c>
    </row>
    <row r="4443" spans="3:13" x14ac:dyDescent="0.3">
      <c r="C4443" t="s">
        <v>61</v>
      </c>
      <c r="D4443" t="s">
        <v>67</v>
      </c>
      <c r="E4443" t="s">
        <v>63</v>
      </c>
      <c r="F4443" t="s">
        <v>25</v>
      </c>
      <c r="G4443" s="4">
        <v>18</v>
      </c>
      <c r="H4443" s="4" t="s">
        <v>82</v>
      </c>
      <c r="I4443" s="4" t="s">
        <v>69</v>
      </c>
      <c r="J4443" s="4" t="s">
        <v>66</v>
      </c>
      <c r="K4443" s="4">
        <v>0</v>
      </c>
      <c r="L4443" s="94">
        <v>-199</v>
      </c>
      <c r="M4443" s="94">
        <v>0</v>
      </c>
    </row>
    <row r="4444" spans="3:13" x14ac:dyDescent="0.3">
      <c r="C4444" t="s">
        <v>70</v>
      </c>
      <c r="D4444" t="s">
        <v>67</v>
      </c>
      <c r="E4444" t="s">
        <v>63</v>
      </c>
      <c r="F4444" t="s">
        <v>25</v>
      </c>
      <c r="G4444" s="4">
        <v>8</v>
      </c>
      <c r="H4444" s="4" t="s">
        <v>74</v>
      </c>
      <c r="I4444" s="4" t="s">
        <v>69</v>
      </c>
      <c r="J4444" s="4" t="s">
        <v>66</v>
      </c>
      <c r="K4444" s="4">
        <v>0</v>
      </c>
      <c r="L4444" s="94">
        <v>-44666</v>
      </c>
      <c r="M4444" s="94">
        <v>0</v>
      </c>
    </row>
    <row r="4445" spans="3:13" x14ac:dyDescent="0.3">
      <c r="C4445" t="s">
        <v>71</v>
      </c>
      <c r="D4445" t="s">
        <v>67</v>
      </c>
      <c r="E4445" t="s">
        <v>63</v>
      </c>
      <c r="F4445" t="s">
        <v>25</v>
      </c>
      <c r="G4445" s="4">
        <v>6</v>
      </c>
      <c r="H4445" s="4" t="s">
        <v>12</v>
      </c>
      <c r="I4445" s="4" t="s">
        <v>69</v>
      </c>
      <c r="J4445" s="4" t="s">
        <v>66</v>
      </c>
      <c r="K4445" s="4">
        <v>0</v>
      </c>
      <c r="L4445" s="94">
        <v>-17102</v>
      </c>
      <c r="M4445" s="94">
        <v>0</v>
      </c>
    </row>
    <row r="4446" spans="3:13" x14ac:dyDescent="0.3">
      <c r="C4446" t="s">
        <v>61</v>
      </c>
      <c r="D4446" t="s">
        <v>67</v>
      </c>
      <c r="E4446" t="s">
        <v>63</v>
      </c>
      <c r="F4446" t="s">
        <v>72</v>
      </c>
      <c r="G4446" s="4">
        <v>-1</v>
      </c>
      <c r="H4446" s="4" t="s">
        <v>18</v>
      </c>
      <c r="I4446" s="4" t="s">
        <v>69</v>
      </c>
      <c r="J4446" s="4" t="s">
        <v>66</v>
      </c>
      <c r="K4446" s="4">
        <v>0</v>
      </c>
      <c r="L4446" s="94">
        <v>-13832</v>
      </c>
      <c r="M4446" s="94">
        <v>0</v>
      </c>
    </row>
    <row r="4447" spans="3:13" x14ac:dyDescent="0.3">
      <c r="C4447" t="s">
        <v>61</v>
      </c>
      <c r="D4447" t="s">
        <v>62</v>
      </c>
      <c r="E4447" t="s">
        <v>63</v>
      </c>
      <c r="F4447" t="s">
        <v>24</v>
      </c>
      <c r="G4447" s="4">
        <v>32</v>
      </c>
      <c r="I4447" s="4" t="s">
        <v>69</v>
      </c>
      <c r="J4447" s="4" t="s">
        <v>66</v>
      </c>
      <c r="K4447" s="4">
        <v>0</v>
      </c>
      <c r="L4447" s="94">
        <v>-367549</v>
      </c>
      <c r="M4447" s="94">
        <v>0</v>
      </c>
    </row>
    <row r="4448" spans="3:13" x14ac:dyDescent="0.3">
      <c r="C4448" t="s">
        <v>70</v>
      </c>
      <c r="D4448" t="s">
        <v>62</v>
      </c>
      <c r="E4448" t="s">
        <v>68</v>
      </c>
      <c r="F4448" t="s">
        <v>24</v>
      </c>
      <c r="G4448" s="4">
        <v>31</v>
      </c>
      <c r="I4448" s="4" t="s">
        <v>65</v>
      </c>
      <c r="J4448" s="4" t="s">
        <v>66</v>
      </c>
      <c r="K4448" s="4">
        <v>1</v>
      </c>
      <c r="L4448" s="94">
        <v>938518</v>
      </c>
      <c r="M4448" s="94">
        <v>29094058</v>
      </c>
    </row>
    <row r="4449" spans="3:13" x14ac:dyDescent="0.3">
      <c r="C4449" t="s">
        <v>71</v>
      </c>
      <c r="D4449" t="s">
        <v>67</v>
      </c>
      <c r="E4449" t="s">
        <v>63</v>
      </c>
      <c r="F4449" t="s">
        <v>72</v>
      </c>
      <c r="G4449" s="4">
        <v>-4</v>
      </c>
      <c r="H4449" s="4" t="s">
        <v>17</v>
      </c>
      <c r="I4449" s="4" t="s">
        <v>65</v>
      </c>
      <c r="J4449" s="4" t="s">
        <v>73</v>
      </c>
      <c r="K4449" s="4">
        <v>1</v>
      </c>
      <c r="L4449" s="94">
        <v>-1960</v>
      </c>
      <c r="M4449" s="94">
        <v>0</v>
      </c>
    </row>
    <row r="4450" spans="3:13" x14ac:dyDescent="0.3">
      <c r="C4450" t="s">
        <v>61</v>
      </c>
      <c r="D4450" t="s">
        <v>67</v>
      </c>
      <c r="E4450" t="s">
        <v>68</v>
      </c>
      <c r="F4450" t="s">
        <v>26</v>
      </c>
      <c r="G4450" s="4">
        <v>3</v>
      </c>
      <c r="H4450" s="4" t="s">
        <v>82</v>
      </c>
      <c r="I4450" s="4" t="s">
        <v>69</v>
      </c>
      <c r="J4450" s="4" t="s">
        <v>66</v>
      </c>
      <c r="K4450" s="4">
        <v>0</v>
      </c>
      <c r="L4450" s="94">
        <v>16310970</v>
      </c>
      <c r="M4450" s="94">
        <v>48932910</v>
      </c>
    </row>
    <row r="4451" spans="3:13" x14ac:dyDescent="0.3">
      <c r="C4451" t="s">
        <v>61</v>
      </c>
      <c r="D4451" t="s">
        <v>62</v>
      </c>
      <c r="E4451" t="s">
        <v>63</v>
      </c>
      <c r="F4451" t="s">
        <v>24</v>
      </c>
      <c r="G4451" s="4">
        <v>20</v>
      </c>
      <c r="I4451" s="4" t="s">
        <v>69</v>
      </c>
      <c r="J4451" s="4" t="s">
        <v>66</v>
      </c>
      <c r="K4451" s="4">
        <v>1</v>
      </c>
      <c r="L4451" s="94">
        <v>-2126</v>
      </c>
      <c r="M4451" s="94">
        <v>0</v>
      </c>
    </row>
    <row r="4452" spans="3:13" x14ac:dyDescent="0.3">
      <c r="C4452" t="s">
        <v>70</v>
      </c>
      <c r="D4452" t="s">
        <v>67</v>
      </c>
      <c r="E4452" t="s">
        <v>63</v>
      </c>
      <c r="F4452" t="s">
        <v>25</v>
      </c>
      <c r="G4452" s="4">
        <v>-4</v>
      </c>
      <c r="H4452" s="4" t="s">
        <v>16</v>
      </c>
      <c r="I4452" s="4" t="s">
        <v>69</v>
      </c>
      <c r="J4452" s="4" t="s">
        <v>66</v>
      </c>
      <c r="K4452" s="4">
        <v>0</v>
      </c>
      <c r="L4452" s="94">
        <v>-9</v>
      </c>
      <c r="M4452" s="94">
        <v>0</v>
      </c>
    </row>
    <row r="4453" spans="3:13" x14ac:dyDescent="0.3">
      <c r="C4453" t="s">
        <v>71</v>
      </c>
      <c r="D4453" t="s">
        <v>62</v>
      </c>
      <c r="E4453" t="s">
        <v>63</v>
      </c>
      <c r="F4453" t="s">
        <v>24</v>
      </c>
      <c r="G4453" s="4">
        <v>6</v>
      </c>
      <c r="I4453" s="4" t="s">
        <v>69</v>
      </c>
      <c r="J4453" s="4" t="s">
        <v>66</v>
      </c>
      <c r="K4453" s="4">
        <v>1</v>
      </c>
      <c r="L4453" s="94">
        <v>-25170</v>
      </c>
      <c r="M4453" s="94">
        <v>0</v>
      </c>
    </row>
    <row r="4454" spans="3:13" x14ac:dyDescent="0.3">
      <c r="C4454" t="s">
        <v>61</v>
      </c>
      <c r="D4454" t="s">
        <v>67</v>
      </c>
      <c r="E4454" t="s">
        <v>68</v>
      </c>
      <c r="F4454" t="s">
        <v>72</v>
      </c>
      <c r="G4454" s="4">
        <v>-1</v>
      </c>
      <c r="H4454" s="4" t="s">
        <v>14</v>
      </c>
      <c r="I4454" s="4" t="s">
        <v>69</v>
      </c>
      <c r="J4454" s="4" t="s">
        <v>73</v>
      </c>
      <c r="K4454" s="4">
        <v>1</v>
      </c>
      <c r="L4454" s="94">
        <v>2803543</v>
      </c>
      <c r="M4454" s="94">
        <v>0</v>
      </c>
    </row>
    <row r="4455" spans="3:13" x14ac:dyDescent="0.3">
      <c r="C4455" t="s">
        <v>70</v>
      </c>
      <c r="D4455" t="s">
        <v>67</v>
      </c>
      <c r="E4455" t="s">
        <v>68</v>
      </c>
      <c r="F4455" t="s">
        <v>25</v>
      </c>
      <c r="G4455" s="4">
        <v>12</v>
      </c>
      <c r="H4455" s="4" t="s">
        <v>74</v>
      </c>
      <c r="I4455" s="4" t="s">
        <v>69</v>
      </c>
      <c r="J4455" s="4" t="s">
        <v>66</v>
      </c>
      <c r="K4455" s="4">
        <v>0</v>
      </c>
      <c r="L4455" s="94">
        <v>8982709</v>
      </c>
      <c r="M4455" s="94">
        <v>107792508</v>
      </c>
    </row>
    <row r="4456" spans="3:13" x14ac:dyDescent="0.3">
      <c r="C4456" t="s">
        <v>61</v>
      </c>
      <c r="D4456" t="s">
        <v>67</v>
      </c>
      <c r="E4456" t="s">
        <v>68</v>
      </c>
      <c r="F4456" t="s">
        <v>72</v>
      </c>
      <c r="G4456" s="4">
        <v>5</v>
      </c>
      <c r="H4456" s="4" t="s">
        <v>76</v>
      </c>
      <c r="I4456" s="4" t="s">
        <v>69</v>
      </c>
      <c r="J4456" s="4" t="s">
        <v>66</v>
      </c>
      <c r="K4456" s="4">
        <v>0</v>
      </c>
      <c r="L4456" s="94">
        <v>758092</v>
      </c>
      <c r="M4456" s="94">
        <v>3790460</v>
      </c>
    </row>
    <row r="4457" spans="3:13" x14ac:dyDescent="0.3">
      <c r="C4457" t="s">
        <v>70</v>
      </c>
      <c r="D4457" t="s">
        <v>67</v>
      </c>
      <c r="E4457" t="s">
        <v>63</v>
      </c>
      <c r="F4457" t="s">
        <v>26</v>
      </c>
      <c r="G4457" s="4">
        <v>3</v>
      </c>
      <c r="H4457" s="4" t="s">
        <v>12</v>
      </c>
      <c r="I4457" s="4" t="s">
        <v>69</v>
      </c>
      <c r="J4457" s="4" t="s">
        <v>66</v>
      </c>
      <c r="K4457" s="4">
        <v>0</v>
      </c>
      <c r="L4457" s="94">
        <v>-115971</v>
      </c>
      <c r="M4457" s="94">
        <v>0</v>
      </c>
    </row>
    <row r="4458" spans="3:13" x14ac:dyDescent="0.3">
      <c r="C4458" t="s">
        <v>71</v>
      </c>
      <c r="D4458" t="s">
        <v>62</v>
      </c>
      <c r="E4458" t="s">
        <v>63</v>
      </c>
      <c r="F4458" t="s">
        <v>24</v>
      </c>
      <c r="G4458" s="4">
        <v>17</v>
      </c>
      <c r="I4458" s="4" t="s">
        <v>65</v>
      </c>
      <c r="J4458" s="4" t="s">
        <v>66</v>
      </c>
      <c r="K4458" s="4">
        <v>1</v>
      </c>
      <c r="L4458" s="94">
        <v>-10168</v>
      </c>
      <c r="M4458" s="94">
        <v>0</v>
      </c>
    </row>
    <row r="4459" spans="3:13" x14ac:dyDescent="0.3">
      <c r="C4459" t="s">
        <v>71</v>
      </c>
      <c r="D4459" t="s">
        <v>67</v>
      </c>
      <c r="E4459" t="s">
        <v>63</v>
      </c>
      <c r="F4459" t="s">
        <v>72</v>
      </c>
      <c r="G4459" s="4">
        <v>0</v>
      </c>
      <c r="H4459" s="4" t="s">
        <v>76</v>
      </c>
      <c r="I4459" s="4" t="s">
        <v>69</v>
      </c>
      <c r="J4459" s="4" t="s">
        <v>66</v>
      </c>
      <c r="K4459" s="4">
        <v>0</v>
      </c>
      <c r="L4459" s="94">
        <v>-139041</v>
      </c>
      <c r="M4459" s="94">
        <v>0</v>
      </c>
    </row>
    <row r="4460" spans="3:13" x14ac:dyDescent="0.3">
      <c r="C4460" t="s">
        <v>61</v>
      </c>
      <c r="D4460" t="s">
        <v>67</v>
      </c>
      <c r="E4460" t="s">
        <v>68</v>
      </c>
      <c r="F4460" t="s">
        <v>25</v>
      </c>
      <c r="G4460" s="4">
        <v>10</v>
      </c>
      <c r="H4460" s="4" t="s">
        <v>77</v>
      </c>
      <c r="I4460" s="4" t="s">
        <v>69</v>
      </c>
      <c r="J4460" s="4" t="s">
        <v>66</v>
      </c>
      <c r="K4460" s="4">
        <v>0</v>
      </c>
      <c r="L4460" s="94">
        <v>733569</v>
      </c>
      <c r="M4460" s="94">
        <v>7335690</v>
      </c>
    </row>
    <row r="4461" spans="3:13" x14ac:dyDescent="0.3">
      <c r="C4461" t="s">
        <v>71</v>
      </c>
      <c r="D4461" t="s">
        <v>67</v>
      </c>
      <c r="E4461" t="s">
        <v>68</v>
      </c>
      <c r="F4461" t="s">
        <v>25</v>
      </c>
      <c r="G4461" s="4">
        <v>1</v>
      </c>
      <c r="H4461" s="4" t="s">
        <v>82</v>
      </c>
      <c r="I4461" s="4" t="s">
        <v>69</v>
      </c>
      <c r="J4461" s="4" t="s">
        <v>66</v>
      </c>
      <c r="K4461" s="4">
        <v>0</v>
      </c>
      <c r="L4461" s="94">
        <v>25255</v>
      </c>
      <c r="M4461" s="94">
        <v>25255</v>
      </c>
    </row>
    <row r="4462" spans="3:13" x14ac:dyDescent="0.3">
      <c r="C4462" t="s">
        <v>61</v>
      </c>
      <c r="D4462" t="s">
        <v>67</v>
      </c>
      <c r="E4462" t="s">
        <v>68</v>
      </c>
      <c r="F4462" t="s">
        <v>25</v>
      </c>
      <c r="G4462" s="4">
        <v>11</v>
      </c>
      <c r="H4462" s="4" t="s">
        <v>14</v>
      </c>
      <c r="I4462" s="4" t="s">
        <v>69</v>
      </c>
      <c r="J4462" s="4" t="s">
        <v>66</v>
      </c>
      <c r="K4462" s="4">
        <v>1</v>
      </c>
      <c r="L4462" s="94">
        <v>4286958</v>
      </c>
      <c r="M4462" s="94">
        <v>47156538</v>
      </c>
    </row>
    <row r="4463" spans="3:13" x14ac:dyDescent="0.3">
      <c r="C4463" t="s">
        <v>70</v>
      </c>
      <c r="D4463" t="s">
        <v>67</v>
      </c>
      <c r="E4463" t="s">
        <v>68</v>
      </c>
      <c r="F4463" t="s">
        <v>25</v>
      </c>
      <c r="G4463" s="4">
        <v>5</v>
      </c>
      <c r="H4463" s="4" t="s">
        <v>78</v>
      </c>
      <c r="I4463" s="4" t="s">
        <v>69</v>
      </c>
      <c r="J4463" s="4" t="s">
        <v>66</v>
      </c>
      <c r="K4463" s="4">
        <v>0</v>
      </c>
      <c r="L4463" s="94">
        <v>283762</v>
      </c>
      <c r="M4463" s="94">
        <v>1418810</v>
      </c>
    </row>
    <row r="4464" spans="3:13" x14ac:dyDescent="0.3">
      <c r="C4464" t="s">
        <v>61</v>
      </c>
      <c r="D4464" t="s">
        <v>67</v>
      </c>
      <c r="E4464" t="s">
        <v>68</v>
      </c>
      <c r="F4464" t="s">
        <v>25</v>
      </c>
      <c r="G4464" s="4">
        <v>10</v>
      </c>
      <c r="H4464" s="4" t="s">
        <v>74</v>
      </c>
      <c r="I4464" s="4" t="s">
        <v>65</v>
      </c>
      <c r="J4464" s="4" t="s">
        <v>66</v>
      </c>
      <c r="K4464" s="4">
        <v>1</v>
      </c>
      <c r="L4464" s="94">
        <v>99981</v>
      </c>
      <c r="M4464" s="94">
        <v>999810</v>
      </c>
    </row>
    <row r="4465" spans="3:13" x14ac:dyDescent="0.3">
      <c r="C4465" t="s">
        <v>71</v>
      </c>
      <c r="D4465" t="s">
        <v>67</v>
      </c>
      <c r="E4465" t="s">
        <v>63</v>
      </c>
      <c r="F4465" t="s">
        <v>26</v>
      </c>
      <c r="G4465" s="4">
        <v>6</v>
      </c>
      <c r="H4465" s="4" t="s">
        <v>17</v>
      </c>
      <c r="I4465" s="4" t="s">
        <v>69</v>
      </c>
      <c r="J4465" s="4" t="s">
        <v>73</v>
      </c>
      <c r="K4465" s="4">
        <v>1</v>
      </c>
      <c r="L4465" s="94">
        <v>-27915</v>
      </c>
      <c r="M4465" s="94">
        <v>0</v>
      </c>
    </row>
    <row r="4466" spans="3:13" x14ac:dyDescent="0.3">
      <c r="C4466" t="s">
        <v>61</v>
      </c>
      <c r="D4466" t="s">
        <v>67</v>
      </c>
      <c r="E4466" t="s">
        <v>63</v>
      </c>
      <c r="F4466" t="s">
        <v>26</v>
      </c>
      <c r="G4466" s="4">
        <v>8</v>
      </c>
      <c r="H4466" s="4" t="s">
        <v>78</v>
      </c>
      <c r="I4466" s="4" t="s">
        <v>69</v>
      </c>
      <c r="J4466" s="4" t="s">
        <v>66</v>
      </c>
      <c r="K4466" s="4">
        <v>0</v>
      </c>
      <c r="L4466" s="94">
        <v>-8795</v>
      </c>
      <c r="M4466" s="94">
        <v>0</v>
      </c>
    </row>
    <row r="4467" spans="3:13" x14ac:dyDescent="0.3">
      <c r="C4467" t="s">
        <v>61</v>
      </c>
      <c r="D4467" t="s">
        <v>62</v>
      </c>
      <c r="E4467" t="s">
        <v>68</v>
      </c>
      <c r="F4467" t="s">
        <v>25</v>
      </c>
      <c r="G4467" s="4">
        <v>15</v>
      </c>
      <c r="I4467" s="4" t="s">
        <v>69</v>
      </c>
      <c r="J4467" s="4" t="s">
        <v>66</v>
      </c>
      <c r="K4467" s="4">
        <v>0</v>
      </c>
      <c r="L4467" s="94">
        <v>1068999</v>
      </c>
      <c r="M4467" s="94">
        <v>16034985</v>
      </c>
    </row>
    <row r="4468" spans="3:13" x14ac:dyDescent="0.3">
      <c r="C4468" t="s">
        <v>70</v>
      </c>
      <c r="D4468" t="s">
        <v>67</v>
      </c>
      <c r="E4468" t="s">
        <v>63</v>
      </c>
      <c r="F4468" t="s">
        <v>72</v>
      </c>
      <c r="G4468" s="4">
        <v>-1</v>
      </c>
      <c r="H4468" s="4" t="s">
        <v>18</v>
      </c>
      <c r="I4468" s="4" t="s">
        <v>69</v>
      </c>
      <c r="J4468" s="4" t="s">
        <v>66</v>
      </c>
      <c r="K4468" s="4">
        <v>0</v>
      </c>
      <c r="L4468" s="94">
        <v>-24023</v>
      </c>
      <c r="M4468" s="94">
        <v>0</v>
      </c>
    </row>
    <row r="4469" spans="3:13" x14ac:dyDescent="0.3">
      <c r="C4469" t="s">
        <v>61</v>
      </c>
      <c r="D4469" t="s">
        <v>67</v>
      </c>
      <c r="E4469" t="s">
        <v>63</v>
      </c>
      <c r="F4469" t="s">
        <v>26</v>
      </c>
      <c r="G4469" s="4">
        <v>7</v>
      </c>
      <c r="H4469" s="4" t="s">
        <v>80</v>
      </c>
      <c r="I4469" s="4" t="s">
        <v>69</v>
      </c>
      <c r="J4469" s="4" t="s">
        <v>66</v>
      </c>
      <c r="K4469" s="4">
        <v>0</v>
      </c>
      <c r="L4469" s="94">
        <v>-517</v>
      </c>
      <c r="M4469" s="94">
        <v>0</v>
      </c>
    </row>
    <row r="4470" spans="3:13" x14ac:dyDescent="0.3">
      <c r="C4470" t="s">
        <v>61</v>
      </c>
      <c r="D4470" t="s">
        <v>67</v>
      </c>
      <c r="E4470" t="s">
        <v>63</v>
      </c>
      <c r="F4470" t="s">
        <v>25</v>
      </c>
      <c r="G4470" s="4">
        <v>-1</v>
      </c>
      <c r="H4470" s="4" t="s">
        <v>18</v>
      </c>
      <c r="I4470" s="4" t="s">
        <v>69</v>
      </c>
      <c r="J4470" s="4" t="s">
        <v>66</v>
      </c>
      <c r="K4470" s="4">
        <v>0</v>
      </c>
      <c r="L4470" s="94">
        <v>-10029</v>
      </c>
      <c r="M4470" s="94">
        <v>0</v>
      </c>
    </row>
    <row r="4471" spans="3:13" x14ac:dyDescent="0.3">
      <c r="C4471" t="s">
        <v>61</v>
      </c>
      <c r="D4471" t="s">
        <v>67</v>
      </c>
      <c r="E4471" t="s">
        <v>68</v>
      </c>
      <c r="F4471" t="s">
        <v>26</v>
      </c>
      <c r="G4471" s="4">
        <v>6</v>
      </c>
      <c r="H4471" s="4" t="s">
        <v>74</v>
      </c>
      <c r="I4471" s="4" t="s">
        <v>69</v>
      </c>
      <c r="J4471" s="4" t="s">
        <v>66</v>
      </c>
      <c r="K4471" s="4">
        <v>0</v>
      </c>
      <c r="L4471" s="94">
        <v>23471596</v>
      </c>
      <c r="M4471" s="94">
        <v>140829576</v>
      </c>
    </row>
    <row r="4472" spans="3:13" x14ac:dyDescent="0.3">
      <c r="C4472" t="s">
        <v>70</v>
      </c>
      <c r="D4472" t="s">
        <v>67</v>
      </c>
      <c r="E4472" t="s">
        <v>68</v>
      </c>
      <c r="F4472" t="s">
        <v>25</v>
      </c>
      <c r="G4472" s="4">
        <v>-4</v>
      </c>
      <c r="H4472" s="4" t="s">
        <v>79</v>
      </c>
      <c r="I4472" s="4" t="s">
        <v>69</v>
      </c>
      <c r="J4472" s="4" t="s">
        <v>66</v>
      </c>
      <c r="K4472" s="4">
        <v>0</v>
      </c>
      <c r="L4472" s="94">
        <v>2</v>
      </c>
      <c r="M4472" s="94">
        <v>0</v>
      </c>
    </row>
    <row r="4473" spans="3:13" x14ac:dyDescent="0.3">
      <c r="C4473" t="s">
        <v>61</v>
      </c>
      <c r="D4473" t="s">
        <v>67</v>
      </c>
      <c r="E4473" t="s">
        <v>68</v>
      </c>
      <c r="F4473" t="s">
        <v>25</v>
      </c>
      <c r="G4473" s="4">
        <v>9</v>
      </c>
      <c r="H4473" s="4" t="s">
        <v>14</v>
      </c>
      <c r="I4473" s="4" t="s">
        <v>69</v>
      </c>
      <c r="J4473" s="4" t="s">
        <v>66</v>
      </c>
      <c r="K4473" s="4">
        <v>1</v>
      </c>
      <c r="L4473" s="94">
        <v>4610092</v>
      </c>
      <c r="M4473" s="94">
        <v>41490828</v>
      </c>
    </row>
    <row r="4474" spans="3:13" x14ac:dyDescent="0.3">
      <c r="C4474" t="s">
        <v>61</v>
      </c>
      <c r="D4474" t="s">
        <v>67</v>
      </c>
      <c r="E4474" t="s">
        <v>68</v>
      </c>
      <c r="F4474" t="s">
        <v>25</v>
      </c>
      <c r="G4474" s="4">
        <v>3</v>
      </c>
      <c r="H4474" s="4" t="s">
        <v>80</v>
      </c>
      <c r="I4474" s="4" t="s">
        <v>69</v>
      </c>
      <c r="J4474" s="4" t="s">
        <v>66</v>
      </c>
      <c r="K4474" s="4">
        <v>0</v>
      </c>
      <c r="L4474" s="94">
        <v>43329</v>
      </c>
      <c r="M4474" s="94">
        <v>129987</v>
      </c>
    </row>
    <row r="4475" spans="3:13" x14ac:dyDescent="0.3">
      <c r="C4475" t="s">
        <v>70</v>
      </c>
      <c r="D4475" t="s">
        <v>67</v>
      </c>
      <c r="E4475" t="s">
        <v>68</v>
      </c>
      <c r="F4475" t="s">
        <v>26</v>
      </c>
      <c r="G4475" s="4">
        <v>1</v>
      </c>
      <c r="H4475" s="4" t="s">
        <v>17</v>
      </c>
      <c r="I4475" s="4" t="s">
        <v>69</v>
      </c>
      <c r="J4475" s="4" t="s">
        <v>66</v>
      </c>
      <c r="K4475" s="4">
        <v>0</v>
      </c>
      <c r="L4475" s="94">
        <v>6320785</v>
      </c>
      <c r="M4475" s="94">
        <v>6320785</v>
      </c>
    </row>
    <row r="4476" spans="3:13" x14ac:dyDescent="0.3">
      <c r="C4476" t="s">
        <v>61</v>
      </c>
      <c r="D4476" t="s">
        <v>67</v>
      </c>
      <c r="E4476" t="s">
        <v>63</v>
      </c>
      <c r="F4476" t="s">
        <v>26</v>
      </c>
      <c r="G4476" s="4">
        <v>2</v>
      </c>
      <c r="H4476" s="4" t="s">
        <v>15</v>
      </c>
      <c r="I4476" s="4" t="s">
        <v>69</v>
      </c>
      <c r="J4476" s="4" t="s">
        <v>66</v>
      </c>
      <c r="K4476" s="4">
        <v>0</v>
      </c>
      <c r="L4476" s="94">
        <v>-3283</v>
      </c>
      <c r="M4476" s="94">
        <v>0</v>
      </c>
    </row>
    <row r="4477" spans="3:13" x14ac:dyDescent="0.3">
      <c r="C4477" t="s">
        <v>70</v>
      </c>
      <c r="D4477" t="s">
        <v>67</v>
      </c>
      <c r="E4477" t="s">
        <v>68</v>
      </c>
      <c r="F4477" t="s">
        <v>72</v>
      </c>
      <c r="G4477" s="4">
        <v>4</v>
      </c>
      <c r="H4477" s="4" t="s">
        <v>76</v>
      </c>
      <c r="I4477" s="4" t="s">
        <v>69</v>
      </c>
      <c r="J4477" s="4" t="s">
        <v>66</v>
      </c>
      <c r="K4477" s="4">
        <v>0</v>
      </c>
      <c r="L4477" s="94">
        <v>1148591</v>
      </c>
      <c r="M4477" s="94">
        <v>4594364</v>
      </c>
    </row>
    <row r="4478" spans="3:13" x14ac:dyDescent="0.3">
      <c r="C4478" t="s">
        <v>70</v>
      </c>
      <c r="D4478" t="s">
        <v>67</v>
      </c>
      <c r="E4478" t="s">
        <v>63</v>
      </c>
      <c r="F4478" t="s">
        <v>72</v>
      </c>
      <c r="G4478" s="4">
        <v>6</v>
      </c>
      <c r="H4478" s="4" t="s">
        <v>14</v>
      </c>
      <c r="I4478" s="4" t="s">
        <v>69</v>
      </c>
      <c r="J4478" s="4" t="s">
        <v>73</v>
      </c>
      <c r="K4478" s="4">
        <v>1</v>
      </c>
      <c r="L4478" s="94">
        <v>-7702</v>
      </c>
      <c r="M4478" s="94">
        <v>0</v>
      </c>
    </row>
    <row r="4479" spans="3:13" x14ac:dyDescent="0.3">
      <c r="C4479" t="s">
        <v>71</v>
      </c>
      <c r="D4479" t="s">
        <v>67</v>
      </c>
      <c r="E4479" t="s">
        <v>63</v>
      </c>
      <c r="F4479" t="s">
        <v>25</v>
      </c>
      <c r="G4479" s="4">
        <v>4</v>
      </c>
      <c r="H4479" s="4" t="s">
        <v>75</v>
      </c>
      <c r="I4479" s="4" t="s">
        <v>69</v>
      </c>
      <c r="J4479" s="4" t="s">
        <v>66</v>
      </c>
      <c r="K4479" s="4">
        <v>0</v>
      </c>
      <c r="L4479" s="94">
        <v>-1745020</v>
      </c>
      <c r="M4479" s="94">
        <v>0</v>
      </c>
    </row>
    <row r="4480" spans="3:13" x14ac:dyDescent="0.3">
      <c r="C4480" t="s">
        <v>61</v>
      </c>
      <c r="D4480" t="s">
        <v>62</v>
      </c>
      <c r="E4480" t="s">
        <v>63</v>
      </c>
      <c r="F4480" t="s">
        <v>24</v>
      </c>
      <c r="G4480" s="4">
        <v>0</v>
      </c>
      <c r="I4480" s="4" t="s">
        <v>69</v>
      </c>
      <c r="J4480" s="4" t="s">
        <v>66</v>
      </c>
      <c r="K4480" s="4">
        <v>1</v>
      </c>
      <c r="L4480" s="94">
        <v>-19</v>
      </c>
      <c r="M4480" s="94">
        <v>0</v>
      </c>
    </row>
    <row r="4481" spans="3:13" x14ac:dyDescent="0.3">
      <c r="C4481" t="s">
        <v>70</v>
      </c>
      <c r="D4481" t="s">
        <v>62</v>
      </c>
      <c r="E4481" t="s">
        <v>68</v>
      </c>
      <c r="F4481" t="s">
        <v>24</v>
      </c>
      <c r="G4481" s="4">
        <v>42</v>
      </c>
      <c r="I4481" s="4" t="s">
        <v>69</v>
      </c>
      <c r="J4481" s="4" t="s">
        <v>66</v>
      </c>
      <c r="K4481" s="4">
        <v>0</v>
      </c>
      <c r="L4481" s="94">
        <v>3294982</v>
      </c>
      <c r="M4481" s="94">
        <v>138389244</v>
      </c>
    </row>
    <row r="4482" spans="3:13" x14ac:dyDescent="0.3">
      <c r="C4482" t="s">
        <v>70</v>
      </c>
      <c r="D4482" t="s">
        <v>67</v>
      </c>
      <c r="E4482" t="s">
        <v>68</v>
      </c>
      <c r="F4482" t="s">
        <v>72</v>
      </c>
      <c r="G4482" s="4">
        <v>-1</v>
      </c>
      <c r="H4482" s="4" t="s">
        <v>77</v>
      </c>
      <c r="I4482" s="4" t="s">
        <v>69</v>
      </c>
      <c r="J4482" s="4" t="s">
        <v>66</v>
      </c>
      <c r="K4482" s="4">
        <v>0</v>
      </c>
      <c r="L4482" s="94">
        <v>130059</v>
      </c>
      <c r="M4482" s="94">
        <v>0</v>
      </c>
    </row>
    <row r="4483" spans="3:13" x14ac:dyDescent="0.3">
      <c r="C4483" t="s">
        <v>71</v>
      </c>
      <c r="D4483" t="s">
        <v>67</v>
      </c>
      <c r="E4483" t="s">
        <v>63</v>
      </c>
      <c r="F4483" t="s">
        <v>72</v>
      </c>
      <c r="G4483" s="4">
        <v>-4</v>
      </c>
      <c r="H4483" s="4" t="s">
        <v>80</v>
      </c>
      <c r="I4483" s="4" t="s">
        <v>69</v>
      </c>
      <c r="J4483" s="4" t="s">
        <v>66</v>
      </c>
      <c r="K4483" s="4">
        <v>0</v>
      </c>
      <c r="L4483" s="94">
        <v>-3403</v>
      </c>
      <c r="M4483" s="94">
        <v>0</v>
      </c>
    </row>
    <row r="4484" spans="3:13" x14ac:dyDescent="0.3">
      <c r="C4484" t="s">
        <v>61</v>
      </c>
      <c r="D4484" t="s">
        <v>67</v>
      </c>
      <c r="E4484" t="s">
        <v>68</v>
      </c>
      <c r="F4484" t="s">
        <v>72</v>
      </c>
      <c r="G4484" s="4">
        <v>3</v>
      </c>
      <c r="H4484" s="4" t="s">
        <v>75</v>
      </c>
      <c r="I4484" s="4" t="s">
        <v>69</v>
      </c>
      <c r="J4484" s="4" t="s">
        <v>66</v>
      </c>
      <c r="K4484" s="4">
        <v>0</v>
      </c>
      <c r="L4484" s="94">
        <v>3354302</v>
      </c>
      <c r="M4484" s="94">
        <v>10062906</v>
      </c>
    </row>
    <row r="4485" spans="3:13" x14ac:dyDescent="0.3">
      <c r="C4485" t="s">
        <v>71</v>
      </c>
      <c r="D4485" t="s">
        <v>62</v>
      </c>
      <c r="E4485" t="s">
        <v>68</v>
      </c>
      <c r="F4485" t="s">
        <v>24</v>
      </c>
      <c r="G4485" s="4">
        <v>4</v>
      </c>
      <c r="I4485" s="4" t="s">
        <v>69</v>
      </c>
      <c r="J4485" s="4" t="s">
        <v>66</v>
      </c>
      <c r="K4485" s="4">
        <v>0</v>
      </c>
      <c r="L4485" s="94">
        <v>1145814</v>
      </c>
      <c r="M4485" s="94">
        <v>4583256</v>
      </c>
    </row>
    <row r="4486" spans="3:13" x14ac:dyDescent="0.3">
      <c r="C4486" t="s">
        <v>61</v>
      </c>
      <c r="D4486" t="s">
        <v>67</v>
      </c>
      <c r="E4486" t="s">
        <v>63</v>
      </c>
      <c r="F4486" t="s">
        <v>26</v>
      </c>
      <c r="G4486" s="4">
        <v>12</v>
      </c>
      <c r="H4486" s="4" t="s">
        <v>12</v>
      </c>
      <c r="I4486" s="4" t="s">
        <v>69</v>
      </c>
      <c r="J4486" s="4" t="s">
        <v>73</v>
      </c>
      <c r="K4486" s="4">
        <v>1</v>
      </c>
      <c r="L4486" s="94">
        <v>-7544</v>
      </c>
      <c r="M4486" s="94">
        <v>0</v>
      </c>
    </row>
    <row r="4487" spans="3:13" x14ac:dyDescent="0.3">
      <c r="C4487" t="s">
        <v>71</v>
      </c>
      <c r="D4487" t="s">
        <v>67</v>
      </c>
      <c r="E4487" t="s">
        <v>68</v>
      </c>
      <c r="F4487" t="s">
        <v>26</v>
      </c>
      <c r="G4487" s="4">
        <v>6</v>
      </c>
      <c r="H4487" s="4" t="s">
        <v>18</v>
      </c>
      <c r="I4487" s="4" t="s">
        <v>69</v>
      </c>
      <c r="J4487" s="4" t="s">
        <v>66</v>
      </c>
      <c r="K4487" s="4">
        <v>0</v>
      </c>
      <c r="L4487" s="94">
        <v>1883424</v>
      </c>
      <c r="M4487" s="94">
        <v>11300544</v>
      </c>
    </row>
    <row r="4488" spans="3:13" x14ac:dyDescent="0.3">
      <c r="C4488" t="s">
        <v>61</v>
      </c>
      <c r="D4488" t="s">
        <v>67</v>
      </c>
      <c r="E4488" t="s">
        <v>68</v>
      </c>
      <c r="F4488" t="s">
        <v>72</v>
      </c>
      <c r="G4488" s="4">
        <v>1</v>
      </c>
      <c r="H4488" s="4" t="s">
        <v>18</v>
      </c>
      <c r="I4488" s="4" t="s">
        <v>69</v>
      </c>
      <c r="J4488" s="4" t="s">
        <v>66</v>
      </c>
      <c r="K4488" s="4">
        <v>0</v>
      </c>
      <c r="L4488" s="94">
        <v>3765229</v>
      </c>
      <c r="M4488" s="94">
        <v>3765229</v>
      </c>
    </row>
    <row r="4489" spans="3:13" x14ac:dyDescent="0.3">
      <c r="C4489" t="s">
        <v>61</v>
      </c>
      <c r="D4489" t="s">
        <v>67</v>
      </c>
      <c r="E4489" t="s">
        <v>68</v>
      </c>
      <c r="F4489" t="s">
        <v>26</v>
      </c>
      <c r="G4489" s="4">
        <v>1</v>
      </c>
      <c r="H4489" s="4" t="s">
        <v>75</v>
      </c>
      <c r="I4489" s="4" t="s">
        <v>65</v>
      </c>
      <c r="J4489" s="4" t="s">
        <v>66</v>
      </c>
      <c r="K4489" s="4">
        <v>1</v>
      </c>
      <c r="L4489" s="94">
        <v>3797</v>
      </c>
      <c r="M4489" s="94">
        <v>3797</v>
      </c>
    </row>
    <row r="4490" spans="3:13" x14ac:dyDescent="0.3">
      <c r="C4490" t="s">
        <v>71</v>
      </c>
      <c r="D4490" t="s">
        <v>67</v>
      </c>
      <c r="E4490" t="s">
        <v>63</v>
      </c>
      <c r="F4490" t="s">
        <v>26</v>
      </c>
      <c r="G4490" s="4">
        <v>12</v>
      </c>
      <c r="H4490" s="4" t="s">
        <v>14</v>
      </c>
      <c r="I4490" s="4" t="s">
        <v>69</v>
      </c>
      <c r="J4490" s="4" t="s">
        <v>73</v>
      </c>
      <c r="K4490" s="4">
        <v>1</v>
      </c>
      <c r="L4490" s="94">
        <v>-685921</v>
      </c>
      <c r="M4490" s="94">
        <v>0</v>
      </c>
    </row>
    <row r="4491" spans="3:13" x14ac:dyDescent="0.3">
      <c r="C4491" t="s">
        <v>70</v>
      </c>
      <c r="D4491" t="s">
        <v>67</v>
      </c>
      <c r="E4491" t="s">
        <v>63</v>
      </c>
      <c r="F4491" t="s">
        <v>26</v>
      </c>
      <c r="G4491" s="4">
        <v>4</v>
      </c>
      <c r="H4491" s="4" t="s">
        <v>12</v>
      </c>
      <c r="I4491" s="4" t="s">
        <v>69</v>
      </c>
      <c r="J4491" s="4" t="s">
        <v>73</v>
      </c>
      <c r="K4491" s="4">
        <v>1</v>
      </c>
      <c r="L4491" s="94">
        <v>-52940</v>
      </c>
      <c r="M4491" s="94">
        <v>0</v>
      </c>
    </row>
    <row r="4492" spans="3:13" x14ac:dyDescent="0.3">
      <c r="C4492" t="s">
        <v>61</v>
      </c>
      <c r="D4492" t="s">
        <v>88</v>
      </c>
      <c r="E4492" t="s">
        <v>63</v>
      </c>
      <c r="F4492" t="s">
        <v>25</v>
      </c>
      <c r="G4492" s="4">
        <v>3</v>
      </c>
      <c r="H4492" s="4" t="s">
        <v>74</v>
      </c>
      <c r="I4492" s="4" t="s">
        <v>69</v>
      </c>
      <c r="J4492" s="4" t="s">
        <v>66</v>
      </c>
      <c r="K4492" s="4">
        <v>0</v>
      </c>
      <c r="L4492" s="94">
        <v>-81</v>
      </c>
      <c r="M4492" s="94">
        <v>0</v>
      </c>
    </row>
    <row r="4493" spans="3:13" x14ac:dyDescent="0.3">
      <c r="C4493" t="s">
        <v>61</v>
      </c>
      <c r="D4493" t="s">
        <v>67</v>
      </c>
      <c r="E4493" t="s">
        <v>63</v>
      </c>
      <c r="F4493" t="s">
        <v>72</v>
      </c>
      <c r="G4493" s="4">
        <v>9</v>
      </c>
      <c r="H4493" s="4" t="s">
        <v>74</v>
      </c>
      <c r="I4493" s="4" t="s">
        <v>69</v>
      </c>
      <c r="J4493" s="4" t="s">
        <v>66</v>
      </c>
      <c r="K4493" s="4">
        <v>0</v>
      </c>
      <c r="L4493" s="94">
        <v>-2</v>
      </c>
      <c r="M4493" s="94">
        <v>0</v>
      </c>
    </row>
    <row r="4494" spans="3:13" x14ac:dyDescent="0.3">
      <c r="C4494" t="s">
        <v>61</v>
      </c>
      <c r="D4494" t="s">
        <v>67</v>
      </c>
      <c r="E4494" t="s">
        <v>68</v>
      </c>
      <c r="F4494" t="s">
        <v>26</v>
      </c>
      <c r="G4494" s="4">
        <v>11</v>
      </c>
      <c r="H4494" s="4" t="s">
        <v>18</v>
      </c>
      <c r="I4494" s="4" t="s">
        <v>69</v>
      </c>
      <c r="J4494" s="4" t="s">
        <v>66</v>
      </c>
      <c r="K4494" s="4">
        <v>0</v>
      </c>
      <c r="L4494" s="94">
        <v>1246410</v>
      </c>
      <c r="M4494" s="94">
        <v>13710510</v>
      </c>
    </row>
    <row r="4495" spans="3:13" x14ac:dyDescent="0.3">
      <c r="C4495" t="s">
        <v>70</v>
      </c>
      <c r="D4495" t="s">
        <v>67</v>
      </c>
      <c r="E4495" t="s">
        <v>63</v>
      </c>
      <c r="F4495" t="s">
        <v>26</v>
      </c>
      <c r="G4495" s="4">
        <v>4</v>
      </c>
      <c r="H4495" s="4" t="s">
        <v>17</v>
      </c>
      <c r="I4495" s="4" t="s">
        <v>65</v>
      </c>
      <c r="J4495" s="4" t="s">
        <v>66</v>
      </c>
      <c r="K4495" s="4">
        <v>1</v>
      </c>
      <c r="L4495" s="94">
        <v>-954</v>
      </c>
      <c r="M4495" s="94">
        <v>0</v>
      </c>
    </row>
    <row r="4496" spans="3:13" x14ac:dyDescent="0.3">
      <c r="C4496" t="s">
        <v>70</v>
      </c>
      <c r="D4496" t="s">
        <v>62</v>
      </c>
      <c r="E4496" t="s">
        <v>68</v>
      </c>
      <c r="F4496" t="s">
        <v>24</v>
      </c>
      <c r="G4496" s="4">
        <v>30</v>
      </c>
      <c r="I4496" s="4" t="s">
        <v>69</v>
      </c>
      <c r="J4496" s="4" t="s">
        <v>66</v>
      </c>
      <c r="K4496" s="4">
        <v>0</v>
      </c>
      <c r="L4496" s="94">
        <v>48266998</v>
      </c>
      <c r="M4496" s="94">
        <v>1448009940</v>
      </c>
    </row>
    <row r="4497" spans="3:13" x14ac:dyDescent="0.3">
      <c r="C4497" t="s">
        <v>70</v>
      </c>
      <c r="D4497" t="s">
        <v>67</v>
      </c>
      <c r="E4497" t="s">
        <v>68</v>
      </c>
      <c r="F4497" t="s">
        <v>25</v>
      </c>
      <c r="G4497" s="4">
        <v>5</v>
      </c>
      <c r="H4497" s="4" t="s">
        <v>64</v>
      </c>
      <c r="I4497" s="4" t="s">
        <v>69</v>
      </c>
      <c r="J4497" s="4" t="s">
        <v>66</v>
      </c>
      <c r="K4497" s="4">
        <v>0</v>
      </c>
      <c r="L4497" s="94">
        <v>392040</v>
      </c>
      <c r="M4497" s="94">
        <v>1960200</v>
      </c>
    </row>
    <row r="4498" spans="3:13" x14ac:dyDescent="0.3">
      <c r="C4498" t="s">
        <v>61</v>
      </c>
      <c r="D4498" t="s">
        <v>67</v>
      </c>
      <c r="E4498" t="s">
        <v>63</v>
      </c>
      <c r="F4498" t="s">
        <v>26</v>
      </c>
      <c r="G4498" s="4">
        <v>3</v>
      </c>
      <c r="H4498" s="4" t="s">
        <v>75</v>
      </c>
      <c r="I4498" s="4" t="s">
        <v>65</v>
      </c>
      <c r="J4498" s="4" t="s">
        <v>66</v>
      </c>
      <c r="K4498" s="4">
        <v>1</v>
      </c>
      <c r="L4498" s="94">
        <v>-1086</v>
      </c>
      <c r="M4498" s="94">
        <v>0</v>
      </c>
    </row>
    <row r="4499" spans="3:13" x14ac:dyDescent="0.3">
      <c r="C4499" t="s">
        <v>71</v>
      </c>
      <c r="D4499" t="s">
        <v>67</v>
      </c>
      <c r="E4499" t="s">
        <v>68</v>
      </c>
      <c r="F4499" t="s">
        <v>26</v>
      </c>
      <c r="G4499" s="4">
        <v>4</v>
      </c>
      <c r="H4499" s="4" t="s">
        <v>17</v>
      </c>
      <c r="I4499" s="4" t="s">
        <v>65</v>
      </c>
      <c r="J4499" s="4" t="s">
        <v>73</v>
      </c>
      <c r="K4499" s="4">
        <v>1</v>
      </c>
      <c r="L4499" s="94">
        <v>47448</v>
      </c>
      <c r="M4499" s="94">
        <v>189792</v>
      </c>
    </row>
    <row r="4500" spans="3:13" x14ac:dyDescent="0.3">
      <c r="C4500" t="s">
        <v>71</v>
      </c>
      <c r="D4500" t="s">
        <v>67</v>
      </c>
      <c r="E4500" t="s">
        <v>63</v>
      </c>
      <c r="F4500" t="s">
        <v>25</v>
      </c>
      <c r="G4500" s="4">
        <v>-1</v>
      </c>
      <c r="H4500" s="4" t="s">
        <v>14</v>
      </c>
      <c r="I4500" s="4" t="s">
        <v>69</v>
      </c>
      <c r="J4500" s="4" t="s">
        <v>66</v>
      </c>
      <c r="K4500" s="4">
        <v>0</v>
      </c>
      <c r="L4500" s="94">
        <v>-1680692</v>
      </c>
      <c r="M4500" s="94">
        <v>0</v>
      </c>
    </row>
    <row r="4501" spans="3:13" x14ac:dyDescent="0.3">
      <c r="C4501" t="s">
        <v>70</v>
      </c>
      <c r="D4501" t="s">
        <v>67</v>
      </c>
      <c r="E4501" t="s">
        <v>63</v>
      </c>
      <c r="F4501" t="s">
        <v>26</v>
      </c>
      <c r="G4501" s="4">
        <v>5</v>
      </c>
      <c r="H4501" s="4" t="s">
        <v>82</v>
      </c>
      <c r="I4501" s="4" t="s">
        <v>69</v>
      </c>
      <c r="J4501" s="4" t="s">
        <v>66</v>
      </c>
      <c r="K4501" s="4">
        <v>0</v>
      </c>
      <c r="L4501" s="94">
        <v>-66107</v>
      </c>
      <c r="M4501" s="94">
        <v>0</v>
      </c>
    </row>
    <row r="4502" spans="3:13" x14ac:dyDescent="0.3">
      <c r="C4502" t="s">
        <v>61</v>
      </c>
      <c r="D4502" t="s">
        <v>67</v>
      </c>
      <c r="E4502" t="s">
        <v>63</v>
      </c>
      <c r="F4502" t="s">
        <v>25</v>
      </c>
      <c r="G4502" s="4">
        <v>4</v>
      </c>
      <c r="H4502" s="4" t="s">
        <v>82</v>
      </c>
      <c r="I4502" s="4" t="s">
        <v>69</v>
      </c>
      <c r="J4502" s="4" t="s">
        <v>66</v>
      </c>
      <c r="K4502" s="4">
        <v>0</v>
      </c>
      <c r="L4502" s="94">
        <v>-12401</v>
      </c>
      <c r="M4502" s="94">
        <v>0</v>
      </c>
    </row>
    <row r="4503" spans="3:13" x14ac:dyDescent="0.3">
      <c r="C4503" t="s">
        <v>61</v>
      </c>
      <c r="D4503" t="s">
        <v>62</v>
      </c>
      <c r="E4503" t="s">
        <v>68</v>
      </c>
      <c r="F4503" t="s">
        <v>24</v>
      </c>
      <c r="G4503" s="4">
        <v>30</v>
      </c>
      <c r="I4503" s="4" t="s">
        <v>65</v>
      </c>
      <c r="J4503" s="4" t="s">
        <v>66</v>
      </c>
      <c r="K4503" s="4">
        <v>1</v>
      </c>
      <c r="L4503" s="94">
        <v>12351822</v>
      </c>
      <c r="M4503" s="94">
        <v>370554660</v>
      </c>
    </row>
    <row r="4504" spans="3:13" x14ac:dyDescent="0.3">
      <c r="C4504" t="s">
        <v>70</v>
      </c>
      <c r="D4504" t="s">
        <v>67</v>
      </c>
      <c r="E4504" t="s">
        <v>63</v>
      </c>
      <c r="F4504" t="s">
        <v>25</v>
      </c>
      <c r="G4504" s="4">
        <v>4</v>
      </c>
      <c r="H4504" s="4" t="s">
        <v>76</v>
      </c>
      <c r="I4504" s="4" t="s">
        <v>69</v>
      </c>
      <c r="J4504" s="4" t="s">
        <v>66</v>
      </c>
      <c r="K4504" s="4">
        <v>0</v>
      </c>
      <c r="L4504" s="94">
        <v>-66724</v>
      </c>
      <c r="M4504" s="94">
        <v>0</v>
      </c>
    </row>
    <row r="4505" spans="3:13" x14ac:dyDescent="0.3">
      <c r="C4505" t="s">
        <v>61</v>
      </c>
      <c r="D4505" t="s">
        <v>67</v>
      </c>
      <c r="E4505" t="s">
        <v>68</v>
      </c>
      <c r="F4505" t="s">
        <v>25</v>
      </c>
      <c r="G4505" s="4">
        <v>6</v>
      </c>
      <c r="H4505" s="4" t="s">
        <v>76</v>
      </c>
      <c r="I4505" s="4" t="s">
        <v>69</v>
      </c>
      <c r="J4505" s="4" t="s">
        <v>66</v>
      </c>
      <c r="K4505" s="4">
        <v>0</v>
      </c>
      <c r="L4505" s="94">
        <v>17520248</v>
      </c>
      <c r="M4505" s="94">
        <v>105121488</v>
      </c>
    </row>
    <row r="4506" spans="3:13" x14ac:dyDescent="0.3">
      <c r="C4506" t="s">
        <v>71</v>
      </c>
      <c r="D4506" t="s">
        <v>62</v>
      </c>
      <c r="E4506" t="s">
        <v>63</v>
      </c>
      <c r="F4506" t="s">
        <v>25</v>
      </c>
      <c r="G4506" s="4">
        <v>2</v>
      </c>
      <c r="I4506" s="4" t="s">
        <v>69</v>
      </c>
      <c r="J4506" s="4" t="s">
        <v>66</v>
      </c>
      <c r="K4506" s="4">
        <v>0</v>
      </c>
      <c r="L4506" s="94">
        <v>-46454</v>
      </c>
      <c r="M4506" s="94">
        <v>0</v>
      </c>
    </row>
    <row r="4507" spans="3:13" x14ac:dyDescent="0.3">
      <c r="C4507" t="s">
        <v>70</v>
      </c>
      <c r="D4507" t="s">
        <v>67</v>
      </c>
      <c r="E4507" t="s">
        <v>68</v>
      </c>
      <c r="F4507" t="s">
        <v>25</v>
      </c>
      <c r="G4507" s="4">
        <v>12</v>
      </c>
      <c r="H4507" s="4" t="s">
        <v>80</v>
      </c>
      <c r="I4507" s="4" t="s">
        <v>69</v>
      </c>
      <c r="J4507" s="4" t="s">
        <v>66</v>
      </c>
      <c r="K4507" s="4">
        <v>0</v>
      </c>
      <c r="L4507" s="94">
        <v>245025</v>
      </c>
      <c r="M4507" s="94">
        <v>2940300</v>
      </c>
    </row>
    <row r="4508" spans="3:13" x14ac:dyDescent="0.3">
      <c r="C4508" t="s">
        <v>61</v>
      </c>
      <c r="D4508" t="s">
        <v>67</v>
      </c>
      <c r="E4508" t="s">
        <v>63</v>
      </c>
      <c r="F4508" t="s">
        <v>72</v>
      </c>
      <c r="G4508" s="4">
        <v>1</v>
      </c>
      <c r="H4508" s="4" t="s">
        <v>79</v>
      </c>
      <c r="I4508" s="4" t="s">
        <v>69</v>
      </c>
      <c r="J4508" s="4" t="s">
        <v>66</v>
      </c>
      <c r="K4508" s="4">
        <v>0</v>
      </c>
      <c r="L4508" s="94">
        <v>-4141</v>
      </c>
      <c r="M4508" s="94">
        <v>0</v>
      </c>
    </row>
    <row r="4509" spans="3:13" x14ac:dyDescent="0.3">
      <c r="C4509" t="s">
        <v>61</v>
      </c>
      <c r="D4509" t="s">
        <v>62</v>
      </c>
      <c r="E4509" t="s">
        <v>63</v>
      </c>
      <c r="F4509" t="s">
        <v>24</v>
      </c>
      <c r="G4509" s="4">
        <v>36</v>
      </c>
      <c r="I4509" s="4" t="s">
        <v>69</v>
      </c>
      <c r="J4509" s="4" t="s">
        <v>66</v>
      </c>
      <c r="K4509" s="4">
        <v>0</v>
      </c>
      <c r="L4509" s="94">
        <v>-566791</v>
      </c>
      <c r="M4509" s="94">
        <v>0</v>
      </c>
    </row>
    <row r="4510" spans="3:13" x14ac:dyDescent="0.3">
      <c r="C4510" t="s">
        <v>61</v>
      </c>
      <c r="D4510" t="s">
        <v>67</v>
      </c>
      <c r="E4510" t="s">
        <v>63</v>
      </c>
      <c r="F4510" t="s">
        <v>72</v>
      </c>
      <c r="G4510" s="4">
        <v>6</v>
      </c>
      <c r="H4510" s="4" t="s">
        <v>14</v>
      </c>
      <c r="I4510" s="4" t="s">
        <v>69</v>
      </c>
      <c r="J4510" s="4" t="s">
        <v>73</v>
      </c>
      <c r="K4510" s="4">
        <v>1</v>
      </c>
      <c r="L4510" s="94">
        <v>-2547</v>
      </c>
      <c r="M4510" s="94">
        <v>0</v>
      </c>
    </row>
    <row r="4511" spans="3:13" x14ac:dyDescent="0.3">
      <c r="C4511" t="s">
        <v>70</v>
      </c>
      <c r="D4511" t="s">
        <v>67</v>
      </c>
      <c r="E4511" t="s">
        <v>68</v>
      </c>
      <c r="F4511" t="s">
        <v>72</v>
      </c>
      <c r="G4511" s="4">
        <v>2</v>
      </c>
      <c r="H4511" s="4" t="s">
        <v>17</v>
      </c>
      <c r="I4511" s="4" t="s">
        <v>65</v>
      </c>
      <c r="J4511" s="4" t="s">
        <v>73</v>
      </c>
      <c r="K4511" s="4">
        <v>1</v>
      </c>
      <c r="L4511" s="94">
        <v>17793</v>
      </c>
      <c r="M4511" s="94">
        <v>35586</v>
      </c>
    </row>
    <row r="4512" spans="3:13" x14ac:dyDescent="0.3">
      <c r="C4512" t="s">
        <v>71</v>
      </c>
      <c r="D4512" t="s">
        <v>67</v>
      </c>
      <c r="E4512" t="s">
        <v>68</v>
      </c>
      <c r="F4512" t="s">
        <v>25</v>
      </c>
      <c r="G4512" s="4">
        <v>-4</v>
      </c>
      <c r="H4512" s="4" t="s">
        <v>76</v>
      </c>
      <c r="I4512" s="4" t="s">
        <v>69</v>
      </c>
      <c r="J4512" s="4" t="s">
        <v>66</v>
      </c>
      <c r="K4512" s="4">
        <v>0</v>
      </c>
      <c r="L4512" s="94">
        <v>170481</v>
      </c>
      <c r="M4512" s="94">
        <v>0</v>
      </c>
    </row>
    <row r="4513" spans="3:13" x14ac:dyDescent="0.3">
      <c r="C4513" t="s">
        <v>61</v>
      </c>
      <c r="D4513" t="s">
        <v>67</v>
      </c>
      <c r="E4513" t="s">
        <v>63</v>
      </c>
      <c r="F4513" t="s">
        <v>25</v>
      </c>
      <c r="G4513" s="4">
        <v>13</v>
      </c>
      <c r="H4513" s="4" t="s">
        <v>14</v>
      </c>
      <c r="I4513" s="4" t="s">
        <v>69</v>
      </c>
      <c r="J4513" s="4" t="s">
        <v>66</v>
      </c>
      <c r="K4513" s="4">
        <v>0</v>
      </c>
      <c r="L4513" s="94">
        <v>-714</v>
      </c>
      <c r="M4513" s="94">
        <v>0</v>
      </c>
    </row>
    <row r="4514" spans="3:13" x14ac:dyDescent="0.3">
      <c r="C4514" t="s">
        <v>70</v>
      </c>
      <c r="D4514" t="s">
        <v>67</v>
      </c>
      <c r="E4514" t="s">
        <v>63</v>
      </c>
      <c r="F4514" t="s">
        <v>72</v>
      </c>
      <c r="G4514" s="4">
        <v>3</v>
      </c>
      <c r="H4514" s="4" t="s">
        <v>74</v>
      </c>
      <c r="I4514" s="4" t="s">
        <v>69</v>
      </c>
      <c r="J4514" s="4" t="s">
        <v>66</v>
      </c>
      <c r="K4514" s="4">
        <v>0</v>
      </c>
      <c r="L4514" s="94">
        <v>-34608</v>
      </c>
      <c r="M4514" s="94">
        <v>0</v>
      </c>
    </row>
    <row r="4515" spans="3:13" x14ac:dyDescent="0.3">
      <c r="C4515" t="s">
        <v>61</v>
      </c>
      <c r="D4515" t="s">
        <v>67</v>
      </c>
      <c r="E4515" t="s">
        <v>68</v>
      </c>
      <c r="F4515" t="s">
        <v>25</v>
      </c>
      <c r="G4515" s="4">
        <v>2</v>
      </c>
      <c r="H4515" s="4" t="s">
        <v>77</v>
      </c>
      <c r="I4515" s="4" t="s">
        <v>69</v>
      </c>
      <c r="J4515" s="4" t="s">
        <v>66</v>
      </c>
      <c r="K4515" s="4">
        <v>0</v>
      </c>
      <c r="L4515" s="94">
        <v>178884</v>
      </c>
      <c r="M4515" s="94">
        <v>357768</v>
      </c>
    </row>
    <row r="4516" spans="3:13" x14ac:dyDescent="0.3">
      <c r="C4516" t="s">
        <v>70</v>
      </c>
      <c r="D4516" t="s">
        <v>67</v>
      </c>
      <c r="E4516" t="s">
        <v>63</v>
      </c>
      <c r="F4516" t="s">
        <v>26</v>
      </c>
      <c r="G4516" s="4">
        <v>1</v>
      </c>
      <c r="H4516" s="4" t="s">
        <v>12</v>
      </c>
      <c r="I4516" s="4" t="s">
        <v>65</v>
      </c>
      <c r="J4516" s="4" t="s">
        <v>73</v>
      </c>
      <c r="K4516" s="4">
        <v>1</v>
      </c>
      <c r="L4516" s="94">
        <v>-1217</v>
      </c>
      <c r="M4516" s="94">
        <v>0</v>
      </c>
    </row>
    <row r="4517" spans="3:13" x14ac:dyDescent="0.3">
      <c r="C4517" t="s">
        <v>71</v>
      </c>
      <c r="D4517" t="s">
        <v>67</v>
      </c>
      <c r="E4517" t="s">
        <v>63</v>
      </c>
      <c r="F4517" t="s">
        <v>26</v>
      </c>
      <c r="G4517" s="4">
        <v>5</v>
      </c>
      <c r="H4517" s="4" t="s">
        <v>82</v>
      </c>
      <c r="I4517" s="4" t="s">
        <v>69</v>
      </c>
      <c r="J4517" s="4" t="s">
        <v>66</v>
      </c>
      <c r="K4517" s="4">
        <v>0</v>
      </c>
      <c r="L4517" s="94">
        <v>-372718</v>
      </c>
      <c r="M4517" s="94">
        <v>0</v>
      </c>
    </row>
    <row r="4518" spans="3:13" x14ac:dyDescent="0.3">
      <c r="C4518" t="s">
        <v>61</v>
      </c>
      <c r="D4518" t="s">
        <v>84</v>
      </c>
      <c r="E4518" t="s">
        <v>68</v>
      </c>
      <c r="F4518" t="s">
        <v>25</v>
      </c>
      <c r="G4518" s="4">
        <v>7</v>
      </c>
      <c r="H4518" s="4" t="s">
        <v>14</v>
      </c>
      <c r="I4518" s="4" t="s">
        <v>69</v>
      </c>
      <c r="J4518" s="4" t="s">
        <v>66</v>
      </c>
      <c r="K4518" s="4">
        <v>0</v>
      </c>
      <c r="L4518" s="94">
        <v>867617</v>
      </c>
      <c r="M4518" s="94">
        <v>6073319</v>
      </c>
    </row>
    <row r="4519" spans="3:13" x14ac:dyDescent="0.3">
      <c r="C4519" t="s">
        <v>61</v>
      </c>
      <c r="D4519" t="s">
        <v>62</v>
      </c>
      <c r="E4519" t="s">
        <v>68</v>
      </c>
      <c r="F4519" t="s">
        <v>25</v>
      </c>
      <c r="G4519" s="4">
        <v>5</v>
      </c>
      <c r="I4519" s="4" t="s">
        <v>69</v>
      </c>
      <c r="J4519" s="4" t="s">
        <v>66</v>
      </c>
      <c r="K4519" s="4">
        <v>0</v>
      </c>
      <c r="L4519" s="94">
        <v>53746089</v>
      </c>
      <c r="M4519" s="94">
        <v>268730445</v>
      </c>
    </row>
    <row r="4520" spans="3:13" x14ac:dyDescent="0.3">
      <c r="C4520" t="s">
        <v>70</v>
      </c>
      <c r="D4520" t="s">
        <v>62</v>
      </c>
      <c r="E4520" t="s">
        <v>68</v>
      </c>
      <c r="F4520" t="s">
        <v>24</v>
      </c>
      <c r="G4520" s="4">
        <v>28</v>
      </c>
      <c r="I4520" s="4" t="s">
        <v>65</v>
      </c>
      <c r="J4520" s="4" t="s">
        <v>66</v>
      </c>
      <c r="K4520" s="4">
        <v>1</v>
      </c>
      <c r="L4520" s="94">
        <v>966394</v>
      </c>
      <c r="M4520" s="94">
        <v>27059032</v>
      </c>
    </row>
    <row r="4521" spans="3:13" x14ac:dyDescent="0.3">
      <c r="C4521" t="s">
        <v>61</v>
      </c>
      <c r="D4521" t="s">
        <v>67</v>
      </c>
      <c r="E4521" t="s">
        <v>63</v>
      </c>
      <c r="F4521" t="s">
        <v>26</v>
      </c>
      <c r="G4521" s="4">
        <v>6</v>
      </c>
      <c r="H4521" s="4" t="s">
        <v>75</v>
      </c>
      <c r="I4521" s="4" t="s">
        <v>69</v>
      </c>
      <c r="J4521" s="4" t="s">
        <v>66</v>
      </c>
      <c r="K4521" s="4">
        <v>0</v>
      </c>
      <c r="L4521" s="94">
        <v>-21413</v>
      </c>
      <c r="M4521" s="94">
        <v>0</v>
      </c>
    </row>
    <row r="4522" spans="3:13" x14ac:dyDescent="0.3">
      <c r="C4522" t="s">
        <v>71</v>
      </c>
      <c r="D4522" t="s">
        <v>62</v>
      </c>
      <c r="E4522" t="s">
        <v>68</v>
      </c>
      <c r="F4522" t="s">
        <v>24</v>
      </c>
      <c r="G4522" s="4">
        <v>23</v>
      </c>
      <c r="I4522" s="4" t="s">
        <v>69</v>
      </c>
      <c r="J4522" s="4" t="s">
        <v>73</v>
      </c>
      <c r="K4522" s="4">
        <v>1</v>
      </c>
      <c r="L4522" s="94">
        <v>6931</v>
      </c>
      <c r="M4522" s="94">
        <v>159413</v>
      </c>
    </row>
    <row r="4523" spans="3:13" x14ac:dyDescent="0.3">
      <c r="C4523" t="s">
        <v>61</v>
      </c>
      <c r="D4523" t="s">
        <v>67</v>
      </c>
      <c r="E4523" t="s">
        <v>68</v>
      </c>
      <c r="F4523" t="s">
        <v>25</v>
      </c>
      <c r="G4523" s="4">
        <v>12</v>
      </c>
      <c r="H4523" s="4" t="s">
        <v>80</v>
      </c>
      <c r="I4523" s="4" t="s">
        <v>69</v>
      </c>
      <c r="J4523" s="4" t="s">
        <v>66</v>
      </c>
      <c r="K4523" s="4">
        <v>0</v>
      </c>
      <c r="L4523" s="94">
        <v>556442</v>
      </c>
      <c r="M4523" s="94">
        <v>6677304</v>
      </c>
    </row>
    <row r="4524" spans="3:13" x14ac:dyDescent="0.3">
      <c r="C4524" t="s">
        <v>70</v>
      </c>
      <c r="D4524" t="s">
        <v>67</v>
      </c>
      <c r="E4524" t="s">
        <v>68</v>
      </c>
      <c r="F4524" t="s">
        <v>26</v>
      </c>
      <c r="G4524" s="4">
        <v>0</v>
      </c>
      <c r="H4524" s="4" t="s">
        <v>15</v>
      </c>
      <c r="I4524" s="4" t="s">
        <v>69</v>
      </c>
      <c r="J4524" s="4" t="s">
        <v>66</v>
      </c>
      <c r="K4524" s="4">
        <v>0</v>
      </c>
      <c r="L4524" s="94">
        <v>78090</v>
      </c>
      <c r="M4524" s="94">
        <v>0</v>
      </c>
    </row>
    <row r="4525" spans="3:13" x14ac:dyDescent="0.3">
      <c r="C4525" t="s">
        <v>71</v>
      </c>
      <c r="D4525" t="s">
        <v>67</v>
      </c>
      <c r="E4525" t="s">
        <v>68</v>
      </c>
      <c r="F4525" t="s">
        <v>72</v>
      </c>
      <c r="G4525" s="4">
        <v>0</v>
      </c>
      <c r="H4525" s="4" t="s">
        <v>18</v>
      </c>
      <c r="I4525" s="4" t="s">
        <v>69</v>
      </c>
      <c r="J4525" s="4" t="s">
        <v>73</v>
      </c>
      <c r="K4525" s="4">
        <v>1</v>
      </c>
      <c r="L4525" s="94">
        <v>18732</v>
      </c>
      <c r="M4525" s="94">
        <v>0</v>
      </c>
    </row>
    <row r="4526" spans="3:13" x14ac:dyDescent="0.3">
      <c r="C4526" t="s">
        <v>70</v>
      </c>
      <c r="D4526" t="s">
        <v>67</v>
      </c>
      <c r="E4526" t="s">
        <v>68</v>
      </c>
      <c r="F4526" t="s">
        <v>72</v>
      </c>
      <c r="G4526" s="4">
        <v>-4</v>
      </c>
      <c r="H4526" s="4" t="s">
        <v>75</v>
      </c>
      <c r="I4526" s="4" t="s">
        <v>69</v>
      </c>
      <c r="J4526" s="4" t="s">
        <v>66</v>
      </c>
      <c r="K4526" s="4">
        <v>0</v>
      </c>
      <c r="L4526" s="94">
        <v>1764</v>
      </c>
      <c r="M4526" s="94">
        <v>0</v>
      </c>
    </row>
    <row r="4527" spans="3:13" x14ac:dyDescent="0.3">
      <c r="C4527" t="s">
        <v>70</v>
      </c>
      <c r="D4527" t="s">
        <v>62</v>
      </c>
      <c r="E4527" t="s">
        <v>68</v>
      </c>
      <c r="F4527" t="s">
        <v>25</v>
      </c>
      <c r="G4527" s="4">
        <v>2</v>
      </c>
      <c r="I4527" s="4" t="s">
        <v>69</v>
      </c>
      <c r="J4527" s="4" t="s">
        <v>66</v>
      </c>
      <c r="K4527" s="4">
        <v>0</v>
      </c>
      <c r="L4527" s="94">
        <v>362491</v>
      </c>
      <c r="M4527" s="94">
        <v>724982</v>
      </c>
    </row>
    <row r="4528" spans="3:13" x14ac:dyDescent="0.3">
      <c r="C4528" t="s">
        <v>71</v>
      </c>
      <c r="D4528" t="s">
        <v>67</v>
      </c>
      <c r="E4528" t="s">
        <v>63</v>
      </c>
      <c r="F4528" t="s">
        <v>26</v>
      </c>
      <c r="G4528" s="4">
        <v>4</v>
      </c>
      <c r="H4528" s="4" t="s">
        <v>12</v>
      </c>
      <c r="I4528" s="4" t="s">
        <v>69</v>
      </c>
      <c r="J4528" s="4" t="s">
        <v>73</v>
      </c>
      <c r="K4528" s="4">
        <v>1</v>
      </c>
      <c r="L4528" s="94">
        <v>-11548</v>
      </c>
      <c r="M4528" s="94">
        <v>0</v>
      </c>
    </row>
    <row r="4529" spans="3:13" x14ac:dyDescent="0.3">
      <c r="C4529" t="s">
        <v>61</v>
      </c>
      <c r="D4529" t="s">
        <v>67</v>
      </c>
      <c r="E4529" t="s">
        <v>68</v>
      </c>
      <c r="F4529" t="s">
        <v>26</v>
      </c>
      <c r="G4529" s="4">
        <v>-1</v>
      </c>
      <c r="H4529" s="4" t="s">
        <v>18</v>
      </c>
      <c r="I4529" s="4" t="s">
        <v>65</v>
      </c>
      <c r="J4529" s="4" t="s">
        <v>66</v>
      </c>
      <c r="K4529" s="4">
        <v>1</v>
      </c>
      <c r="L4529" s="94">
        <v>101118</v>
      </c>
      <c r="M4529" s="94">
        <v>0</v>
      </c>
    </row>
    <row r="4530" spans="3:13" x14ac:dyDescent="0.3">
      <c r="C4530" t="s">
        <v>71</v>
      </c>
      <c r="D4530" t="s">
        <v>67</v>
      </c>
      <c r="E4530" t="s">
        <v>63</v>
      </c>
      <c r="F4530" t="s">
        <v>25</v>
      </c>
      <c r="G4530" s="4">
        <v>8</v>
      </c>
      <c r="H4530" s="4" t="s">
        <v>12</v>
      </c>
      <c r="I4530" s="4" t="s">
        <v>69</v>
      </c>
      <c r="J4530" s="4" t="s">
        <v>66</v>
      </c>
      <c r="K4530" s="4">
        <v>1</v>
      </c>
      <c r="L4530" s="94">
        <v>-96426</v>
      </c>
      <c r="M4530" s="94">
        <v>0</v>
      </c>
    </row>
    <row r="4531" spans="3:13" x14ac:dyDescent="0.3">
      <c r="C4531" t="s">
        <v>61</v>
      </c>
      <c r="D4531" t="s">
        <v>67</v>
      </c>
      <c r="E4531" t="s">
        <v>63</v>
      </c>
      <c r="F4531" t="s">
        <v>26</v>
      </c>
      <c r="G4531" s="4">
        <v>-1</v>
      </c>
      <c r="I4531" s="4" t="s">
        <v>69</v>
      </c>
      <c r="J4531" s="4" t="s">
        <v>66</v>
      </c>
      <c r="K4531" s="4">
        <v>0</v>
      </c>
      <c r="L4531" s="94">
        <v>-1411092</v>
      </c>
      <c r="M4531" s="94">
        <v>0</v>
      </c>
    </row>
    <row r="4532" spans="3:13" x14ac:dyDescent="0.3">
      <c r="C4532" t="s">
        <v>61</v>
      </c>
      <c r="D4532" t="s">
        <v>67</v>
      </c>
      <c r="E4532" t="s">
        <v>68</v>
      </c>
      <c r="F4532" t="s">
        <v>25</v>
      </c>
      <c r="G4532" s="4">
        <v>-4</v>
      </c>
      <c r="H4532" s="4" t="s">
        <v>79</v>
      </c>
      <c r="I4532" s="4" t="s">
        <v>69</v>
      </c>
      <c r="J4532" s="4" t="s">
        <v>66</v>
      </c>
      <c r="K4532" s="4">
        <v>0</v>
      </c>
      <c r="L4532" s="94">
        <v>5713</v>
      </c>
      <c r="M4532" s="94">
        <v>0</v>
      </c>
    </row>
    <row r="4533" spans="3:13" x14ac:dyDescent="0.3">
      <c r="C4533" t="s">
        <v>61</v>
      </c>
      <c r="D4533" t="s">
        <v>67</v>
      </c>
      <c r="E4533" t="s">
        <v>68</v>
      </c>
      <c r="F4533" t="s">
        <v>72</v>
      </c>
      <c r="G4533" s="4">
        <v>4</v>
      </c>
      <c r="H4533" s="4" t="s">
        <v>12</v>
      </c>
      <c r="I4533" s="4" t="s">
        <v>69</v>
      </c>
      <c r="J4533" s="4" t="s">
        <v>66</v>
      </c>
      <c r="K4533" s="4">
        <v>0</v>
      </c>
      <c r="L4533" s="94">
        <v>390527</v>
      </c>
      <c r="M4533" s="94">
        <v>1562108</v>
      </c>
    </row>
    <row r="4534" spans="3:13" x14ac:dyDescent="0.3">
      <c r="C4534" t="s">
        <v>71</v>
      </c>
      <c r="D4534" t="s">
        <v>62</v>
      </c>
      <c r="E4534" t="s">
        <v>63</v>
      </c>
      <c r="F4534" t="s">
        <v>24</v>
      </c>
      <c r="G4534" s="4">
        <v>32</v>
      </c>
      <c r="I4534" s="4" t="s">
        <v>69</v>
      </c>
      <c r="J4534" s="4" t="s">
        <v>66</v>
      </c>
      <c r="K4534" s="4">
        <v>1</v>
      </c>
      <c r="L4534" s="94">
        <v>-32079</v>
      </c>
      <c r="M4534" s="94">
        <v>0</v>
      </c>
    </row>
    <row r="4535" spans="3:13" x14ac:dyDescent="0.3">
      <c r="C4535" t="s">
        <v>70</v>
      </c>
      <c r="D4535" t="s">
        <v>62</v>
      </c>
      <c r="E4535" t="s">
        <v>68</v>
      </c>
      <c r="F4535" t="s">
        <v>25</v>
      </c>
      <c r="G4535" s="4">
        <v>8</v>
      </c>
      <c r="I4535" s="4" t="s">
        <v>69</v>
      </c>
      <c r="J4535" s="4" t="s">
        <v>66</v>
      </c>
      <c r="K4535" s="4">
        <v>0</v>
      </c>
      <c r="L4535" s="94">
        <v>794918</v>
      </c>
      <c r="M4535" s="94">
        <v>6359344</v>
      </c>
    </row>
    <row r="4536" spans="3:13" x14ac:dyDescent="0.3">
      <c r="C4536" t="s">
        <v>70</v>
      </c>
      <c r="D4536" t="s">
        <v>67</v>
      </c>
      <c r="E4536" t="s">
        <v>68</v>
      </c>
      <c r="F4536" t="s">
        <v>26</v>
      </c>
      <c r="G4536" s="4">
        <v>4</v>
      </c>
      <c r="H4536" s="4" t="s">
        <v>13</v>
      </c>
      <c r="I4536" s="4" t="s">
        <v>69</v>
      </c>
      <c r="J4536" s="4" t="s">
        <v>66</v>
      </c>
      <c r="K4536" s="4">
        <v>0</v>
      </c>
      <c r="L4536" s="94">
        <v>389740</v>
      </c>
      <c r="M4536" s="94">
        <v>1558960</v>
      </c>
    </row>
    <row r="4537" spans="3:13" x14ac:dyDescent="0.3">
      <c r="C4537" t="s">
        <v>70</v>
      </c>
      <c r="D4537" t="s">
        <v>67</v>
      </c>
      <c r="E4537" t="s">
        <v>68</v>
      </c>
      <c r="F4537" t="s">
        <v>72</v>
      </c>
      <c r="G4537" s="4">
        <v>0</v>
      </c>
      <c r="H4537" s="4" t="s">
        <v>16</v>
      </c>
      <c r="I4537" s="4" t="s">
        <v>69</v>
      </c>
      <c r="J4537" s="4" t="s">
        <v>66</v>
      </c>
      <c r="K4537" s="4">
        <v>0</v>
      </c>
      <c r="L4537" s="94">
        <v>1578</v>
      </c>
      <c r="M4537" s="94">
        <v>0</v>
      </c>
    </row>
    <row r="4538" spans="3:13" x14ac:dyDescent="0.3">
      <c r="C4538" t="s">
        <v>70</v>
      </c>
      <c r="D4538" t="s">
        <v>62</v>
      </c>
      <c r="E4538" t="s">
        <v>68</v>
      </c>
      <c r="F4538" t="s">
        <v>24</v>
      </c>
      <c r="G4538" s="4">
        <v>3</v>
      </c>
      <c r="I4538" s="4" t="s">
        <v>69</v>
      </c>
      <c r="J4538" s="4" t="s">
        <v>66</v>
      </c>
      <c r="K4538" s="4">
        <v>0</v>
      </c>
      <c r="L4538" s="94">
        <v>4282343</v>
      </c>
      <c r="M4538" s="94">
        <v>12847029</v>
      </c>
    </row>
    <row r="4539" spans="3:13" x14ac:dyDescent="0.3">
      <c r="C4539" t="s">
        <v>61</v>
      </c>
      <c r="D4539" t="s">
        <v>67</v>
      </c>
      <c r="E4539" t="s">
        <v>68</v>
      </c>
      <c r="F4539" t="s">
        <v>25</v>
      </c>
      <c r="G4539" s="4">
        <v>4</v>
      </c>
      <c r="H4539" s="4" t="s">
        <v>78</v>
      </c>
      <c r="I4539" s="4" t="s">
        <v>69</v>
      </c>
      <c r="J4539" s="4" t="s">
        <v>66</v>
      </c>
      <c r="K4539" s="4">
        <v>0</v>
      </c>
      <c r="L4539" s="94">
        <v>171322</v>
      </c>
      <c r="M4539" s="94">
        <v>685288</v>
      </c>
    </row>
    <row r="4540" spans="3:13" x14ac:dyDescent="0.3">
      <c r="C4540" t="s">
        <v>61</v>
      </c>
      <c r="D4540" t="s">
        <v>67</v>
      </c>
      <c r="E4540" t="s">
        <v>63</v>
      </c>
      <c r="F4540" t="s">
        <v>72</v>
      </c>
      <c r="G4540" s="4">
        <v>3</v>
      </c>
      <c r="H4540" s="4" t="s">
        <v>74</v>
      </c>
      <c r="I4540" s="4" t="s">
        <v>69</v>
      </c>
      <c r="J4540" s="4" t="s">
        <v>66</v>
      </c>
      <c r="K4540" s="4">
        <v>0</v>
      </c>
      <c r="L4540" s="94">
        <v>-10024</v>
      </c>
      <c r="M4540" s="94">
        <v>0</v>
      </c>
    </row>
    <row r="4541" spans="3:13" x14ac:dyDescent="0.3">
      <c r="C4541" t="s">
        <v>70</v>
      </c>
      <c r="D4541" t="s">
        <v>67</v>
      </c>
      <c r="E4541" t="s">
        <v>63</v>
      </c>
      <c r="F4541" t="s">
        <v>26</v>
      </c>
      <c r="G4541" s="4">
        <v>8</v>
      </c>
      <c r="H4541" s="4" t="s">
        <v>75</v>
      </c>
      <c r="I4541" s="4" t="s">
        <v>69</v>
      </c>
      <c r="J4541" s="4" t="s">
        <v>66</v>
      </c>
      <c r="K4541" s="4">
        <v>0</v>
      </c>
      <c r="L4541" s="94">
        <v>-2355</v>
      </c>
      <c r="M4541" s="94">
        <v>0</v>
      </c>
    </row>
    <row r="4542" spans="3:13" x14ac:dyDescent="0.3">
      <c r="C4542" t="s">
        <v>71</v>
      </c>
      <c r="D4542" t="s">
        <v>67</v>
      </c>
      <c r="E4542" t="s">
        <v>63</v>
      </c>
      <c r="F4542" t="s">
        <v>26</v>
      </c>
      <c r="G4542" s="4">
        <v>6</v>
      </c>
      <c r="H4542" s="4" t="s">
        <v>64</v>
      </c>
      <c r="I4542" s="4" t="s">
        <v>69</v>
      </c>
      <c r="J4542" s="4" t="s">
        <v>66</v>
      </c>
      <c r="K4542" s="4">
        <v>0</v>
      </c>
      <c r="L4542" s="94">
        <v>-8920</v>
      </c>
      <c r="M4542" s="94">
        <v>0</v>
      </c>
    </row>
    <row r="4543" spans="3:13" x14ac:dyDescent="0.3">
      <c r="C4543" t="s">
        <v>70</v>
      </c>
      <c r="D4543" t="s">
        <v>62</v>
      </c>
      <c r="E4543" t="s">
        <v>63</v>
      </c>
      <c r="F4543" t="s">
        <v>24</v>
      </c>
      <c r="G4543" s="4">
        <v>13</v>
      </c>
      <c r="I4543" s="4" t="s">
        <v>65</v>
      </c>
      <c r="J4543" s="4" t="s">
        <v>66</v>
      </c>
      <c r="K4543" s="4">
        <v>1</v>
      </c>
      <c r="L4543" s="94">
        <v>-8890</v>
      </c>
      <c r="M4543" s="94">
        <v>0</v>
      </c>
    </row>
    <row r="4544" spans="3:13" x14ac:dyDescent="0.3">
      <c r="C4544" t="s">
        <v>61</v>
      </c>
      <c r="D4544" t="s">
        <v>67</v>
      </c>
      <c r="E4544" t="s">
        <v>68</v>
      </c>
      <c r="F4544" t="s">
        <v>26</v>
      </c>
      <c r="G4544" s="4">
        <v>3</v>
      </c>
      <c r="H4544" s="4" t="s">
        <v>16</v>
      </c>
      <c r="I4544" s="4" t="s">
        <v>65</v>
      </c>
      <c r="J4544" s="4" t="s">
        <v>66</v>
      </c>
      <c r="K4544" s="4">
        <v>1</v>
      </c>
      <c r="L4544" s="94">
        <v>32241</v>
      </c>
      <c r="M4544" s="94">
        <v>96723</v>
      </c>
    </row>
    <row r="4545" spans="3:13" x14ac:dyDescent="0.3">
      <c r="C4545" t="s">
        <v>61</v>
      </c>
      <c r="D4545" t="s">
        <v>62</v>
      </c>
      <c r="E4545" t="s">
        <v>63</v>
      </c>
      <c r="F4545" t="s">
        <v>24</v>
      </c>
      <c r="G4545" s="4">
        <v>42</v>
      </c>
      <c r="I4545" s="4" t="s">
        <v>65</v>
      </c>
      <c r="J4545" s="4" t="s">
        <v>66</v>
      </c>
      <c r="K4545" s="4">
        <v>1</v>
      </c>
      <c r="L4545" s="94">
        <v>-225</v>
      </c>
      <c r="M4545" s="94">
        <v>0</v>
      </c>
    </row>
    <row r="4546" spans="3:13" x14ac:dyDescent="0.3">
      <c r="C4546" t="s">
        <v>71</v>
      </c>
      <c r="D4546" t="s">
        <v>67</v>
      </c>
      <c r="E4546" t="s">
        <v>63</v>
      </c>
      <c r="F4546" t="s">
        <v>26</v>
      </c>
      <c r="G4546" s="4">
        <v>-4</v>
      </c>
      <c r="H4546" s="4" t="s">
        <v>75</v>
      </c>
      <c r="I4546" s="4" t="s">
        <v>65</v>
      </c>
      <c r="J4546" s="4" t="s">
        <v>66</v>
      </c>
      <c r="K4546" s="4">
        <v>1</v>
      </c>
      <c r="L4546" s="94">
        <v>-226</v>
      </c>
      <c r="M4546" s="94">
        <v>0</v>
      </c>
    </row>
    <row r="4547" spans="3:13" x14ac:dyDescent="0.3">
      <c r="C4547" t="s">
        <v>70</v>
      </c>
      <c r="D4547" t="s">
        <v>67</v>
      </c>
      <c r="E4547" t="s">
        <v>68</v>
      </c>
      <c r="F4547" t="s">
        <v>26</v>
      </c>
      <c r="G4547" s="4">
        <v>5</v>
      </c>
      <c r="H4547" s="4" t="s">
        <v>12</v>
      </c>
      <c r="I4547" s="4" t="s">
        <v>69</v>
      </c>
      <c r="J4547" s="4" t="s">
        <v>66</v>
      </c>
      <c r="K4547" s="4">
        <v>0</v>
      </c>
      <c r="L4547" s="94">
        <v>168028</v>
      </c>
      <c r="M4547" s="94">
        <v>840140</v>
      </c>
    </row>
    <row r="4548" spans="3:13" x14ac:dyDescent="0.3">
      <c r="C4548" t="s">
        <v>61</v>
      </c>
      <c r="D4548" t="s">
        <v>62</v>
      </c>
      <c r="E4548" t="s">
        <v>63</v>
      </c>
      <c r="F4548" t="s">
        <v>25</v>
      </c>
      <c r="G4548" s="4">
        <v>12</v>
      </c>
      <c r="I4548" s="4" t="s">
        <v>69</v>
      </c>
      <c r="J4548" s="4" t="s">
        <v>66</v>
      </c>
      <c r="K4548" s="4">
        <v>0</v>
      </c>
      <c r="L4548" s="94">
        <v>-11570</v>
      </c>
      <c r="M4548" s="94">
        <v>0</v>
      </c>
    </row>
    <row r="4549" spans="3:13" x14ac:dyDescent="0.3">
      <c r="C4549" t="s">
        <v>61</v>
      </c>
      <c r="D4549" t="s">
        <v>62</v>
      </c>
      <c r="E4549" t="s">
        <v>68</v>
      </c>
      <c r="F4549" t="s">
        <v>24</v>
      </c>
      <c r="G4549" s="4">
        <v>3</v>
      </c>
      <c r="I4549" s="4" t="s">
        <v>65</v>
      </c>
      <c r="J4549" s="4" t="s">
        <v>66</v>
      </c>
      <c r="K4549" s="4">
        <v>1</v>
      </c>
      <c r="L4549" s="94">
        <v>454791</v>
      </c>
      <c r="M4549" s="94">
        <v>1364373</v>
      </c>
    </row>
    <row r="4550" spans="3:13" x14ac:dyDescent="0.3">
      <c r="C4550" t="s">
        <v>70</v>
      </c>
      <c r="D4550" t="s">
        <v>67</v>
      </c>
      <c r="E4550" t="s">
        <v>63</v>
      </c>
      <c r="F4550" t="s">
        <v>25</v>
      </c>
      <c r="G4550" s="4">
        <v>1</v>
      </c>
      <c r="H4550" s="4" t="s">
        <v>14</v>
      </c>
      <c r="I4550" s="4" t="s">
        <v>69</v>
      </c>
      <c r="J4550" s="4" t="s">
        <v>66</v>
      </c>
      <c r="K4550" s="4">
        <v>1</v>
      </c>
      <c r="L4550" s="94">
        <v>-99064</v>
      </c>
      <c r="M4550" s="94">
        <v>0</v>
      </c>
    </row>
    <row r="4551" spans="3:13" x14ac:dyDescent="0.3">
      <c r="C4551" t="s">
        <v>61</v>
      </c>
      <c r="D4551" t="s">
        <v>67</v>
      </c>
      <c r="E4551" t="s">
        <v>63</v>
      </c>
      <c r="F4551" t="s">
        <v>72</v>
      </c>
      <c r="G4551" s="4">
        <v>3</v>
      </c>
      <c r="H4551" s="4" t="s">
        <v>17</v>
      </c>
      <c r="I4551" s="4" t="s">
        <v>65</v>
      </c>
      <c r="J4551" s="4" t="s">
        <v>73</v>
      </c>
      <c r="K4551" s="4">
        <v>1</v>
      </c>
      <c r="L4551" s="94">
        <v>-242</v>
      </c>
      <c r="M4551" s="94">
        <v>0</v>
      </c>
    </row>
    <row r="4552" spans="3:13" x14ac:dyDescent="0.3">
      <c r="C4552" t="s">
        <v>61</v>
      </c>
      <c r="D4552" t="s">
        <v>62</v>
      </c>
      <c r="E4552" t="s">
        <v>63</v>
      </c>
      <c r="F4552" t="s">
        <v>24</v>
      </c>
      <c r="G4552" s="4">
        <v>28</v>
      </c>
      <c r="I4552" s="4" t="s">
        <v>69</v>
      </c>
      <c r="J4552" s="4" t="s">
        <v>66</v>
      </c>
      <c r="K4552" s="4">
        <v>0</v>
      </c>
      <c r="L4552" s="94">
        <v>-369772</v>
      </c>
      <c r="M4552" s="94">
        <v>0</v>
      </c>
    </row>
    <row r="4553" spans="3:13" x14ac:dyDescent="0.3">
      <c r="C4553" t="s">
        <v>70</v>
      </c>
      <c r="D4553" t="s">
        <v>67</v>
      </c>
      <c r="E4553" t="s">
        <v>63</v>
      </c>
      <c r="F4553" t="s">
        <v>25</v>
      </c>
      <c r="G4553" s="4">
        <v>5</v>
      </c>
      <c r="H4553" s="4" t="s">
        <v>18</v>
      </c>
      <c r="I4553" s="4" t="s">
        <v>69</v>
      </c>
      <c r="J4553" s="4" t="s">
        <v>66</v>
      </c>
      <c r="K4553" s="4">
        <v>0</v>
      </c>
      <c r="L4553" s="94">
        <v>-98401</v>
      </c>
      <c r="M4553" s="94">
        <v>0</v>
      </c>
    </row>
    <row r="4554" spans="3:13" x14ac:dyDescent="0.3">
      <c r="C4554" t="s">
        <v>71</v>
      </c>
      <c r="D4554" t="s">
        <v>67</v>
      </c>
      <c r="E4554" t="s">
        <v>63</v>
      </c>
      <c r="F4554" t="s">
        <v>26</v>
      </c>
      <c r="G4554" s="4">
        <v>7</v>
      </c>
      <c r="H4554" s="4" t="s">
        <v>18</v>
      </c>
      <c r="I4554" s="4" t="s">
        <v>69</v>
      </c>
      <c r="J4554" s="4" t="s">
        <v>73</v>
      </c>
      <c r="K4554" s="4">
        <v>1</v>
      </c>
      <c r="L4554" s="94">
        <v>-28540</v>
      </c>
      <c r="M4554" s="94">
        <v>0</v>
      </c>
    </row>
    <row r="4555" spans="3:13" x14ac:dyDescent="0.3">
      <c r="C4555" t="s">
        <v>70</v>
      </c>
      <c r="D4555" t="s">
        <v>62</v>
      </c>
      <c r="E4555" t="s">
        <v>63</v>
      </c>
      <c r="F4555" t="s">
        <v>24</v>
      </c>
      <c r="G4555" s="4">
        <v>20</v>
      </c>
      <c r="I4555" s="4" t="s">
        <v>69</v>
      </c>
      <c r="J4555" s="4" t="s">
        <v>66</v>
      </c>
      <c r="K4555" s="4">
        <v>0</v>
      </c>
      <c r="L4555" s="94">
        <v>-1084267</v>
      </c>
      <c r="M4555" s="94">
        <v>0</v>
      </c>
    </row>
    <row r="4556" spans="3:13" x14ac:dyDescent="0.3">
      <c r="C4556" t="s">
        <v>70</v>
      </c>
      <c r="D4556" t="s">
        <v>67</v>
      </c>
      <c r="E4556" t="s">
        <v>68</v>
      </c>
      <c r="F4556" t="s">
        <v>26</v>
      </c>
      <c r="G4556" s="4">
        <v>-4</v>
      </c>
      <c r="H4556" s="4" t="s">
        <v>14</v>
      </c>
      <c r="I4556" s="4" t="s">
        <v>69</v>
      </c>
      <c r="J4556" s="4" t="s">
        <v>73</v>
      </c>
      <c r="K4556" s="4">
        <v>1</v>
      </c>
      <c r="L4556" s="94">
        <v>12569</v>
      </c>
      <c r="M4556" s="94">
        <v>0</v>
      </c>
    </row>
    <row r="4557" spans="3:13" x14ac:dyDescent="0.3">
      <c r="C4557" t="s">
        <v>70</v>
      </c>
      <c r="D4557" t="s">
        <v>67</v>
      </c>
      <c r="E4557" t="s">
        <v>68</v>
      </c>
      <c r="F4557" t="s">
        <v>72</v>
      </c>
      <c r="G4557" s="4">
        <v>3</v>
      </c>
      <c r="H4557" s="4" t="s">
        <v>17</v>
      </c>
      <c r="I4557" s="4" t="s">
        <v>65</v>
      </c>
      <c r="J4557" s="4" t="s">
        <v>73</v>
      </c>
      <c r="K4557" s="4">
        <v>1</v>
      </c>
      <c r="L4557" s="94">
        <v>41063</v>
      </c>
      <c r="M4557" s="94">
        <v>123189</v>
      </c>
    </row>
    <row r="4558" spans="3:13" x14ac:dyDescent="0.3">
      <c r="C4558" t="s">
        <v>61</v>
      </c>
      <c r="D4558" t="s">
        <v>67</v>
      </c>
      <c r="E4558" t="s">
        <v>63</v>
      </c>
      <c r="F4558" t="s">
        <v>26</v>
      </c>
      <c r="G4558" s="4">
        <v>6</v>
      </c>
      <c r="H4558" s="4" t="s">
        <v>83</v>
      </c>
      <c r="I4558" s="4" t="s">
        <v>69</v>
      </c>
      <c r="J4558" s="4" t="s">
        <v>66</v>
      </c>
      <c r="K4558" s="4">
        <v>0</v>
      </c>
      <c r="L4558" s="94">
        <v>-13665</v>
      </c>
      <c r="M4558" s="94">
        <v>0</v>
      </c>
    </row>
    <row r="4559" spans="3:13" x14ac:dyDescent="0.3">
      <c r="C4559" t="s">
        <v>61</v>
      </c>
      <c r="D4559" t="s">
        <v>67</v>
      </c>
      <c r="E4559" t="s">
        <v>63</v>
      </c>
      <c r="F4559" t="s">
        <v>26</v>
      </c>
      <c r="G4559" s="4">
        <v>5</v>
      </c>
      <c r="H4559" s="4" t="s">
        <v>12</v>
      </c>
      <c r="I4559" s="4" t="s">
        <v>65</v>
      </c>
      <c r="J4559" s="4" t="s">
        <v>73</v>
      </c>
      <c r="K4559" s="4">
        <v>1</v>
      </c>
      <c r="L4559" s="94">
        <v>-2230</v>
      </c>
      <c r="M4559" s="94">
        <v>0</v>
      </c>
    </row>
    <row r="4560" spans="3:13" x14ac:dyDescent="0.3">
      <c r="C4560" t="s">
        <v>70</v>
      </c>
      <c r="D4560" t="s">
        <v>67</v>
      </c>
      <c r="E4560" t="s">
        <v>68</v>
      </c>
      <c r="F4560" t="s">
        <v>72</v>
      </c>
      <c r="G4560" s="4">
        <v>1</v>
      </c>
      <c r="H4560" s="4" t="s">
        <v>79</v>
      </c>
      <c r="I4560" s="4" t="s">
        <v>69</v>
      </c>
      <c r="J4560" s="4" t="s">
        <v>66</v>
      </c>
      <c r="K4560" s="4">
        <v>0</v>
      </c>
      <c r="L4560" s="94">
        <v>324007</v>
      </c>
      <c r="M4560" s="94">
        <v>324007</v>
      </c>
    </row>
    <row r="4561" spans="3:13" x14ac:dyDescent="0.3">
      <c r="C4561" t="s">
        <v>61</v>
      </c>
      <c r="D4561" t="s">
        <v>62</v>
      </c>
      <c r="E4561" t="s">
        <v>68</v>
      </c>
      <c r="F4561" t="s">
        <v>24</v>
      </c>
      <c r="G4561" s="4">
        <v>44</v>
      </c>
      <c r="I4561" s="4" t="s">
        <v>65</v>
      </c>
      <c r="J4561" s="4" t="s">
        <v>66</v>
      </c>
      <c r="K4561" s="4">
        <v>1</v>
      </c>
      <c r="L4561" s="94">
        <v>76742</v>
      </c>
      <c r="M4561" s="94">
        <v>3376648</v>
      </c>
    </row>
    <row r="4562" spans="3:13" x14ac:dyDescent="0.3">
      <c r="C4562" t="s">
        <v>70</v>
      </c>
      <c r="D4562" t="s">
        <v>62</v>
      </c>
      <c r="E4562" t="s">
        <v>63</v>
      </c>
      <c r="F4562" t="s">
        <v>24</v>
      </c>
      <c r="G4562" s="4">
        <v>0</v>
      </c>
      <c r="I4562" s="4" t="s">
        <v>69</v>
      </c>
      <c r="J4562" s="4" t="s">
        <v>66</v>
      </c>
      <c r="K4562" s="4">
        <v>0</v>
      </c>
      <c r="L4562" s="94">
        <v>-2602</v>
      </c>
      <c r="M4562" s="94">
        <v>0</v>
      </c>
    </row>
    <row r="4563" spans="3:13" x14ac:dyDescent="0.3">
      <c r="C4563" t="s">
        <v>70</v>
      </c>
      <c r="D4563" t="s">
        <v>67</v>
      </c>
      <c r="E4563" t="s">
        <v>63</v>
      </c>
      <c r="F4563" t="s">
        <v>72</v>
      </c>
      <c r="G4563" s="4">
        <v>-4</v>
      </c>
      <c r="H4563" s="4" t="s">
        <v>16</v>
      </c>
      <c r="I4563" s="4" t="s">
        <v>69</v>
      </c>
      <c r="J4563" s="4" t="s">
        <v>66</v>
      </c>
      <c r="K4563" s="4">
        <v>0</v>
      </c>
      <c r="L4563" s="94">
        <v>-14</v>
      </c>
      <c r="M4563" s="94">
        <v>0</v>
      </c>
    </row>
    <row r="4564" spans="3:13" x14ac:dyDescent="0.3">
      <c r="C4564" t="s">
        <v>70</v>
      </c>
      <c r="D4564" t="s">
        <v>67</v>
      </c>
      <c r="E4564" t="s">
        <v>63</v>
      </c>
      <c r="F4564" t="s">
        <v>26</v>
      </c>
      <c r="G4564" s="4">
        <v>0</v>
      </c>
      <c r="H4564" s="4" t="s">
        <v>12</v>
      </c>
      <c r="I4564" s="4" t="s">
        <v>69</v>
      </c>
      <c r="J4564" s="4" t="s">
        <v>66</v>
      </c>
      <c r="K4564" s="4">
        <v>0</v>
      </c>
      <c r="L4564" s="94">
        <v>-3087</v>
      </c>
      <c r="M4564" s="94">
        <v>0</v>
      </c>
    </row>
    <row r="4565" spans="3:13" x14ac:dyDescent="0.3">
      <c r="C4565" t="s">
        <v>70</v>
      </c>
      <c r="D4565" t="s">
        <v>67</v>
      </c>
      <c r="E4565" t="s">
        <v>68</v>
      </c>
      <c r="F4565" t="s">
        <v>72</v>
      </c>
      <c r="G4565" s="4">
        <v>-4</v>
      </c>
      <c r="H4565" s="4" t="s">
        <v>83</v>
      </c>
      <c r="I4565" s="4" t="s">
        <v>69</v>
      </c>
      <c r="J4565" s="4" t="s">
        <v>66</v>
      </c>
      <c r="K4565" s="4">
        <v>0</v>
      </c>
      <c r="L4565" s="94">
        <v>241</v>
      </c>
      <c r="M4565" s="94">
        <v>0</v>
      </c>
    </row>
    <row r="4566" spans="3:13" x14ac:dyDescent="0.3">
      <c r="C4566" t="s">
        <v>70</v>
      </c>
      <c r="D4566" t="s">
        <v>67</v>
      </c>
      <c r="E4566" t="s">
        <v>68</v>
      </c>
      <c r="F4566" t="s">
        <v>26</v>
      </c>
      <c r="G4566" s="4">
        <v>2</v>
      </c>
      <c r="H4566" s="4" t="s">
        <v>18</v>
      </c>
      <c r="I4566" s="4" t="s">
        <v>69</v>
      </c>
      <c r="J4566" s="4" t="s">
        <v>66</v>
      </c>
      <c r="K4566" s="4">
        <v>0</v>
      </c>
      <c r="L4566" s="94">
        <v>23944803</v>
      </c>
      <c r="M4566" s="94">
        <v>47889606</v>
      </c>
    </row>
    <row r="4567" spans="3:13" x14ac:dyDescent="0.3">
      <c r="C4567" t="s">
        <v>61</v>
      </c>
      <c r="D4567" t="s">
        <v>67</v>
      </c>
      <c r="E4567" t="s">
        <v>63</v>
      </c>
      <c r="F4567" t="s">
        <v>25</v>
      </c>
      <c r="G4567" s="4">
        <v>13</v>
      </c>
      <c r="H4567" s="4" t="s">
        <v>76</v>
      </c>
      <c r="I4567" s="4" t="s">
        <v>65</v>
      </c>
      <c r="J4567" s="4" t="s">
        <v>66</v>
      </c>
      <c r="K4567" s="4">
        <v>1</v>
      </c>
      <c r="L4567" s="94">
        <v>-1625</v>
      </c>
      <c r="M4567" s="94">
        <v>0</v>
      </c>
    </row>
    <row r="4568" spans="3:13" x14ac:dyDescent="0.3">
      <c r="C4568" t="s">
        <v>71</v>
      </c>
      <c r="D4568" t="s">
        <v>67</v>
      </c>
      <c r="E4568" t="s">
        <v>63</v>
      </c>
      <c r="F4568" t="s">
        <v>26</v>
      </c>
      <c r="G4568" s="4">
        <v>3</v>
      </c>
      <c r="H4568" s="4" t="s">
        <v>12</v>
      </c>
      <c r="I4568" s="4" t="s">
        <v>69</v>
      </c>
      <c r="J4568" s="4" t="s">
        <v>66</v>
      </c>
      <c r="K4568" s="4">
        <v>0</v>
      </c>
      <c r="L4568" s="94">
        <v>-45297</v>
      </c>
      <c r="M4568" s="94">
        <v>0</v>
      </c>
    </row>
    <row r="4569" spans="3:13" x14ac:dyDescent="0.3">
      <c r="C4569" t="s">
        <v>61</v>
      </c>
      <c r="D4569" t="s">
        <v>62</v>
      </c>
      <c r="E4569" t="s">
        <v>68</v>
      </c>
      <c r="F4569" t="s">
        <v>24</v>
      </c>
      <c r="G4569" s="4">
        <v>17</v>
      </c>
      <c r="I4569" s="4" t="s">
        <v>69</v>
      </c>
      <c r="J4569" s="4" t="s">
        <v>66</v>
      </c>
      <c r="K4569" s="4">
        <v>1</v>
      </c>
      <c r="L4569" s="94">
        <v>1141383</v>
      </c>
      <c r="M4569" s="94">
        <v>19403511</v>
      </c>
    </row>
    <row r="4570" spans="3:13" x14ac:dyDescent="0.3">
      <c r="C4570" t="s">
        <v>61</v>
      </c>
      <c r="D4570" t="s">
        <v>67</v>
      </c>
      <c r="E4570" t="s">
        <v>63</v>
      </c>
      <c r="F4570" t="s">
        <v>72</v>
      </c>
      <c r="G4570" s="4">
        <v>4</v>
      </c>
      <c r="H4570" s="4" t="s">
        <v>17</v>
      </c>
      <c r="I4570" s="4" t="s">
        <v>65</v>
      </c>
      <c r="J4570" s="4" t="s">
        <v>73</v>
      </c>
      <c r="K4570" s="4">
        <v>1</v>
      </c>
      <c r="L4570" s="94">
        <v>-1787</v>
      </c>
      <c r="M4570" s="94">
        <v>0</v>
      </c>
    </row>
    <row r="4571" spans="3:13" x14ac:dyDescent="0.3">
      <c r="C4571" t="s">
        <v>61</v>
      </c>
      <c r="D4571" t="s">
        <v>62</v>
      </c>
      <c r="E4571" t="s">
        <v>63</v>
      </c>
      <c r="F4571" t="s">
        <v>24</v>
      </c>
      <c r="G4571" s="4">
        <v>8</v>
      </c>
      <c r="I4571" s="4" t="s">
        <v>65</v>
      </c>
      <c r="J4571" s="4" t="s">
        <v>66</v>
      </c>
      <c r="K4571" s="4">
        <v>1</v>
      </c>
      <c r="L4571" s="94">
        <v>-1044</v>
      </c>
      <c r="M4571" s="94">
        <v>0</v>
      </c>
    </row>
    <row r="4572" spans="3:13" x14ac:dyDescent="0.3">
      <c r="C4572" t="s">
        <v>70</v>
      </c>
      <c r="D4572" t="s">
        <v>67</v>
      </c>
      <c r="E4572" t="s">
        <v>68</v>
      </c>
      <c r="F4572" t="s">
        <v>26</v>
      </c>
      <c r="G4572" s="4">
        <v>3</v>
      </c>
      <c r="H4572" s="4" t="s">
        <v>79</v>
      </c>
      <c r="I4572" s="4" t="s">
        <v>69</v>
      </c>
      <c r="J4572" s="4" t="s">
        <v>66</v>
      </c>
      <c r="K4572" s="4">
        <v>0</v>
      </c>
      <c r="L4572" s="94">
        <v>4396162</v>
      </c>
      <c r="M4572" s="94">
        <v>13188486</v>
      </c>
    </row>
    <row r="4573" spans="3:13" x14ac:dyDescent="0.3">
      <c r="C4573" t="s">
        <v>71</v>
      </c>
      <c r="D4573" t="s">
        <v>67</v>
      </c>
      <c r="E4573" t="s">
        <v>68</v>
      </c>
      <c r="F4573" t="s">
        <v>26</v>
      </c>
      <c r="G4573" s="4">
        <v>-4</v>
      </c>
      <c r="I4573" s="4" t="s">
        <v>69</v>
      </c>
      <c r="J4573" s="4" t="s">
        <v>66</v>
      </c>
      <c r="K4573" s="4">
        <v>0</v>
      </c>
      <c r="L4573" s="94">
        <v>434206</v>
      </c>
      <c r="M4573" s="94">
        <v>0</v>
      </c>
    </row>
    <row r="4574" spans="3:13" x14ac:dyDescent="0.3">
      <c r="C4574" t="s">
        <v>70</v>
      </c>
      <c r="D4574" t="s">
        <v>62</v>
      </c>
      <c r="E4574" t="s">
        <v>63</v>
      </c>
      <c r="F4574" t="s">
        <v>24</v>
      </c>
      <c r="G4574" s="4">
        <v>12</v>
      </c>
      <c r="I4574" s="4" t="s">
        <v>65</v>
      </c>
      <c r="J4574" s="4" t="s">
        <v>66</v>
      </c>
      <c r="K4574" s="4">
        <v>1</v>
      </c>
      <c r="L4574" s="94">
        <v>-2543</v>
      </c>
      <c r="M4574" s="94">
        <v>0</v>
      </c>
    </row>
    <row r="4575" spans="3:13" x14ac:dyDescent="0.3">
      <c r="C4575" t="s">
        <v>70</v>
      </c>
      <c r="D4575" t="s">
        <v>67</v>
      </c>
      <c r="E4575" t="s">
        <v>63</v>
      </c>
      <c r="F4575" t="s">
        <v>26</v>
      </c>
      <c r="G4575" s="4">
        <v>-4</v>
      </c>
      <c r="H4575" s="4" t="s">
        <v>14</v>
      </c>
      <c r="I4575" s="4" t="s">
        <v>69</v>
      </c>
      <c r="J4575" s="4" t="s">
        <v>66</v>
      </c>
      <c r="K4575" s="4">
        <v>0</v>
      </c>
      <c r="L4575" s="94">
        <v>-35872</v>
      </c>
      <c r="M4575" s="94">
        <v>0</v>
      </c>
    </row>
    <row r="4576" spans="3:13" x14ac:dyDescent="0.3">
      <c r="C4576" t="s">
        <v>61</v>
      </c>
      <c r="D4576" t="s">
        <v>67</v>
      </c>
      <c r="E4576" t="s">
        <v>68</v>
      </c>
      <c r="F4576" t="s">
        <v>25</v>
      </c>
      <c r="G4576" s="4">
        <v>5</v>
      </c>
      <c r="H4576" s="4" t="s">
        <v>78</v>
      </c>
      <c r="I4576" s="4" t="s">
        <v>69</v>
      </c>
      <c r="J4576" s="4" t="s">
        <v>66</v>
      </c>
      <c r="K4576" s="4">
        <v>0</v>
      </c>
      <c r="L4576" s="94">
        <v>2918970</v>
      </c>
      <c r="M4576" s="94">
        <v>14594850</v>
      </c>
    </row>
    <row r="4577" spans="3:13" x14ac:dyDescent="0.3">
      <c r="C4577" t="s">
        <v>70</v>
      </c>
      <c r="D4577" t="s">
        <v>67</v>
      </c>
      <c r="E4577" t="s">
        <v>68</v>
      </c>
      <c r="F4577" t="s">
        <v>25</v>
      </c>
      <c r="G4577" s="4">
        <v>10</v>
      </c>
      <c r="H4577" s="4" t="s">
        <v>77</v>
      </c>
      <c r="I4577" s="4" t="s">
        <v>69</v>
      </c>
      <c r="J4577" s="4" t="s">
        <v>66</v>
      </c>
      <c r="K4577" s="4">
        <v>0</v>
      </c>
      <c r="L4577" s="94">
        <v>789111</v>
      </c>
      <c r="M4577" s="94">
        <v>7891110</v>
      </c>
    </row>
    <row r="4578" spans="3:13" x14ac:dyDescent="0.3">
      <c r="C4578" t="s">
        <v>70</v>
      </c>
      <c r="D4578" t="s">
        <v>67</v>
      </c>
      <c r="E4578" t="s">
        <v>68</v>
      </c>
      <c r="F4578" t="s">
        <v>72</v>
      </c>
      <c r="G4578" s="4">
        <v>5</v>
      </c>
      <c r="H4578" s="4" t="s">
        <v>12</v>
      </c>
      <c r="I4578" s="4" t="s">
        <v>69</v>
      </c>
      <c r="J4578" s="4" t="s">
        <v>66</v>
      </c>
      <c r="K4578" s="4">
        <v>0</v>
      </c>
      <c r="L4578" s="94">
        <v>190401</v>
      </c>
      <c r="M4578" s="94">
        <v>952005</v>
      </c>
    </row>
    <row r="4579" spans="3:13" x14ac:dyDescent="0.3">
      <c r="C4579" t="s">
        <v>70</v>
      </c>
      <c r="D4579" t="s">
        <v>67</v>
      </c>
      <c r="E4579" t="s">
        <v>68</v>
      </c>
      <c r="F4579" t="s">
        <v>72</v>
      </c>
      <c r="G4579" s="4">
        <v>-1</v>
      </c>
      <c r="H4579" s="4" t="s">
        <v>75</v>
      </c>
      <c r="I4579" s="4" t="s">
        <v>65</v>
      </c>
      <c r="J4579" s="4" t="s">
        <v>66</v>
      </c>
      <c r="K4579" s="4">
        <v>1</v>
      </c>
      <c r="L4579" s="94">
        <v>300486</v>
      </c>
      <c r="M4579" s="94">
        <v>0</v>
      </c>
    </row>
    <row r="4580" spans="3:13" x14ac:dyDescent="0.3">
      <c r="C4580" t="s">
        <v>71</v>
      </c>
      <c r="D4580" t="s">
        <v>67</v>
      </c>
      <c r="E4580" t="s">
        <v>68</v>
      </c>
      <c r="F4580" t="s">
        <v>26</v>
      </c>
      <c r="G4580" s="4">
        <v>10</v>
      </c>
      <c r="H4580" s="4" t="s">
        <v>14</v>
      </c>
      <c r="I4580" s="4" t="s">
        <v>69</v>
      </c>
      <c r="J4580" s="4" t="s">
        <v>73</v>
      </c>
      <c r="K4580" s="4">
        <v>1</v>
      </c>
      <c r="L4580" s="94">
        <v>2557707</v>
      </c>
      <c r="M4580" s="94">
        <v>25577070</v>
      </c>
    </row>
    <row r="4581" spans="3:13" x14ac:dyDescent="0.3">
      <c r="C4581" t="s">
        <v>61</v>
      </c>
      <c r="D4581" t="s">
        <v>67</v>
      </c>
      <c r="E4581" t="s">
        <v>63</v>
      </c>
      <c r="F4581" t="s">
        <v>72</v>
      </c>
      <c r="G4581" s="4">
        <v>0</v>
      </c>
      <c r="H4581" s="4" t="s">
        <v>12</v>
      </c>
      <c r="I4581" s="4" t="s">
        <v>69</v>
      </c>
      <c r="J4581" s="4" t="s">
        <v>66</v>
      </c>
      <c r="K4581" s="4">
        <v>0</v>
      </c>
      <c r="L4581" s="94">
        <v>-89</v>
      </c>
      <c r="M4581" s="94">
        <v>0</v>
      </c>
    </row>
    <row r="4582" spans="3:13" x14ac:dyDescent="0.3">
      <c r="C4582" t="s">
        <v>70</v>
      </c>
      <c r="D4582" t="s">
        <v>67</v>
      </c>
      <c r="E4582" t="s">
        <v>68</v>
      </c>
      <c r="F4582" t="s">
        <v>25</v>
      </c>
      <c r="G4582" s="4">
        <v>19</v>
      </c>
      <c r="H4582" s="4" t="s">
        <v>76</v>
      </c>
      <c r="I4582" s="4" t="s">
        <v>69</v>
      </c>
      <c r="J4582" s="4" t="s">
        <v>66</v>
      </c>
      <c r="K4582" s="4">
        <v>0</v>
      </c>
      <c r="L4582" s="94">
        <v>280234</v>
      </c>
      <c r="M4582" s="94">
        <v>5324446</v>
      </c>
    </row>
    <row r="4583" spans="3:13" x14ac:dyDescent="0.3">
      <c r="C4583" t="s">
        <v>70</v>
      </c>
      <c r="D4583" t="s">
        <v>67</v>
      </c>
      <c r="E4583" t="s">
        <v>63</v>
      </c>
      <c r="F4583" t="s">
        <v>25</v>
      </c>
      <c r="G4583" s="4">
        <v>10</v>
      </c>
      <c r="H4583" s="4" t="s">
        <v>14</v>
      </c>
      <c r="I4583" s="4" t="s">
        <v>69</v>
      </c>
      <c r="J4583" s="4" t="s">
        <v>66</v>
      </c>
      <c r="K4583" s="4">
        <v>0</v>
      </c>
      <c r="L4583" s="94">
        <v>-6325</v>
      </c>
      <c r="M4583" s="94">
        <v>0</v>
      </c>
    </row>
    <row r="4584" spans="3:13" x14ac:dyDescent="0.3">
      <c r="C4584" t="s">
        <v>61</v>
      </c>
      <c r="D4584" t="s">
        <v>62</v>
      </c>
      <c r="E4584" t="s">
        <v>63</v>
      </c>
      <c r="F4584" t="s">
        <v>24</v>
      </c>
      <c r="G4584" s="4">
        <v>30</v>
      </c>
      <c r="I4584" s="4" t="s">
        <v>69</v>
      </c>
      <c r="J4584" s="4" t="s">
        <v>66</v>
      </c>
      <c r="K4584" s="4">
        <v>0</v>
      </c>
      <c r="L4584" s="94">
        <v>-393989</v>
      </c>
      <c r="M4584" s="94">
        <v>0</v>
      </c>
    </row>
    <row r="4585" spans="3:13" x14ac:dyDescent="0.3">
      <c r="C4585" t="s">
        <v>70</v>
      </c>
      <c r="D4585" t="s">
        <v>62</v>
      </c>
      <c r="E4585" t="s">
        <v>63</v>
      </c>
      <c r="F4585" t="s">
        <v>24</v>
      </c>
      <c r="G4585" s="4">
        <v>36</v>
      </c>
      <c r="I4585" s="4" t="s">
        <v>69</v>
      </c>
      <c r="J4585" s="4" t="s">
        <v>66</v>
      </c>
      <c r="K4585" s="4">
        <v>1</v>
      </c>
      <c r="L4585" s="94">
        <v>-3349</v>
      </c>
      <c r="M4585" s="94">
        <v>0</v>
      </c>
    </row>
    <row r="4586" spans="3:13" x14ac:dyDescent="0.3">
      <c r="C4586" t="s">
        <v>70</v>
      </c>
      <c r="D4586" t="s">
        <v>67</v>
      </c>
      <c r="E4586" t="s">
        <v>68</v>
      </c>
      <c r="F4586" t="s">
        <v>25</v>
      </c>
      <c r="G4586" s="4">
        <v>7</v>
      </c>
      <c r="H4586" s="4" t="s">
        <v>76</v>
      </c>
      <c r="I4586" s="4" t="s">
        <v>69</v>
      </c>
      <c r="J4586" s="4" t="s">
        <v>66</v>
      </c>
      <c r="K4586" s="4">
        <v>0</v>
      </c>
      <c r="L4586" s="94">
        <v>9930061</v>
      </c>
      <c r="M4586" s="94">
        <v>69510427</v>
      </c>
    </row>
    <row r="4587" spans="3:13" x14ac:dyDescent="0.3">
      <c r="C4587" t="s">
        <v>61</v>
      </c>
      <c r="D4587" t="s">
        <v>67</v>
      </c>
      <c r="E4587" t="s">
        <v>63</v>
      </c>
      <c r="F4587" t="s">
        <v>25</v>
      </c>
      <c r="G4587" s="4">
        <v>3</v>
      </c>
      <c r="H4587" s="4" t="s">
        <v>14</v>
      </c>
      <c r="I4587" s="4" t="s">
        <v>69</v>
      </c>
      <c r="J4587" s="4" t="s">
        <v>66</v>
      </c>
      <c r="K4587" s="4">
        <v>0</v>
      </c>
      <c r="L4587" s="94">
        <v>-2670</v>
      </c>
      <c r="M4587" s="94">
        <v>0</v>
      </c>
    </row>
    <row r="4588" spans="3:13" x14ac:dyDescent="0.3">
      <c r="C4588" t="s">
        <v>70</v>
      </c>
      <c r="D4588" t="s">
        <v>67</v>
      </c>
      <c r="E4588" t="s">
        <v>68</v>
      </c>
      <c r="F4588" t="s">
        <v>26</v>
      </c>
      <c r="G4588" s="4">
        <v>8</v>
      </c>
      <c r="H4588" s="4" t="s">
        <v>18</v>
      </c>
      <c r="I4588" s="4" t="s">
        <v>69</v>
      </c>
      <c r="J4588" s="4" t="s">
        <v>66</v>
      </c>
      <c r="K4588" s="4">
        <v>0</v>
      </c>
      <c r="L4588" s="94">
        <v>2487674</v>
      </c>
      <c r="M4588" s="94">
        <v>19901392</v>
      </c>
    </row>
    <row r="4589" spans="3:13" x14ac:dyDescent="0.3">
      <c r="C4589" t="s">
        <v>71</v>
      </c>
      <c r="D4589" t="s">
        <v>67</v>
      </c>
      <c r="E4589" t="s">
        <v>68</v>
      </c>
      <c r="F4589" t="s">
        <v>26</v>
      </c>
      <c r="G4589" s="4">
        <v>1</v>
      </c>
      <c r="H4589" s="4" t="s">
        <v>81</v>
      </c>
      <c r="I4589" s="4" t="s">
        <v>69</v>
      </c>
      <c r="J4589" s="4" t="s">
        <v>66</v>
      </c>
      <c r="K4589" s="4">
        <v>0</v>
      </c>
      <c r="L4589" s="94">
        <v>18304</v>
      </c>
      <c r="M4589" s="94">
        <v>18304</v>
      </c>
    </row>
    <row r="4590" spans="3:13" x14ac:dyDescent="0.3">
      <c r="C4590" t="s">
        <v>61</v>
      </c>
      <c r="D4590" t="s">
        <v>62</v>
      </c>
      <c r="E4590" t="s">
        <v>63</v>
      </c>
      <c r="F4590" t="s">
        <v>25</v>
      </c>
      <c r="G4590" s="4">
        <v>18</v>
      </c>
      <c r="I4590" s="4" t="s">
        <v>69</v>
      </c>
      <c r="J4590" s="4" t="s">
        <v>66</v>
      </c>
      <c r="K4590" s="4">
        <v>0</v>
      </c>
      <c r="L4590" s="94">
        <v>-1526</v>
      </c>
      <c r="M4590" s="94">
        <v>0</v>
      </c>
    </row>
    <row r="4591" spans="3:13" x14ac:dyDescent="0.3">
      <c r="C4591" t="s">
        <v>61</v>
      </c>
      <c r="D4591" t="s">
        <v>67</v>
      </c>
      <c r="E4591" t="s">
        <v>68</v>
      </c>
      <c r="F4591" t="s">
        <v>25</v>
      </c>
      <c r="G4591" s="4">
        <v>0</v>
      </c>
      <c r="H4591" s="4" t="s">
        <v>14</v>
      </c>
      <c r="I4591" s="4" t="s">
        <v>69</v>
      </c>
      <c r="J4591" s="4" t="s">
        <v>73</v>
      </c>
      <c r="K4591" s="4">
        <v>1</v>
      </c>
      <c r="L4591" s="94">
        <v>9715960</v>
      </c>
      <c r="M4591" s="94">
        <v>0</v>
      </c>
    </row>
    <row r="4592" spans="3:13" x14ac:dyDescent="0.3">
      <c r="C4592" t="s">
        <v>70</v>
      </c>
      <c r="D4592" t="s">
        <v>67</v>
      </c>
      <c r="E4592" t="s">
        <v>68</v>
      </c>
      <c r="F4592" t="s">
        <v>72</v>
      </c>
      <c r="G4592" s="4">
        <v>6</v>
      </c>
      <c r="H4592" s="4" t="s">
        <v>76</v>
      </c>
      <c r="I4592" s="4" t="s">
        <v>69</v>
      </c>
      <c r="J4592" s="4" t="s">
        <v>66</v>
      </c>
      <c r="K4592" s="4">
        <v>0</v>
      </c>
      <c r="L4592" s="94">
        <v>103414</v>
      </c>
      <c r="M4592" s="94">
        <v>620484</v>
      </c>
    </row>
    <row r="4593" spans="3:13" x14ac:dyDescent="0.3">
      <c r="C4593" t="s">
        <v>70</v>
      </c>
      <c r="D4593" t="s">
        <v>67</v>
      </c>
      <c r="E4593" t="s">
        <v>68</v>
      </c>
      <c r="F4593" t="s">
        <v>26</v>
      </c>
      <c r="G4593" s="4">
        <v>6</v>
      </c>
      <c r="H4593" s="4" t="s">
        <v>77</v>
      </c>
      <c r="I4593" s="4" t="s">
        <v>69</v>
      </c>
      <c r="J4593" s="4" t="s">
        <v>66</v>
      </c>
      <c r="K4593" s="4">
        <v>0</v>
      </c>
      <c r="L4593" s="94">
        <v>249257</v>
      </c>
      <c r="M4593" s="94">
        <v>1495542</v>
      </c>
    </row>
    <row r="4594" spans="3:13" x14ac:dyDescent="0.3">
      <c r="C4594" t="s">
        <v>71</v>
      </c>
      <c r="D4594" t="s">
        <v>67</v>
      </c>
      <c r="E4594" t="s">
        <v>68</v>
      </c>
      <c r="F4594" t="s">
        <v>26</v>
      </c>
      <c r="G4594" s="4">
        <v>2</v>
      </c>
      <c r="H4594" s="4" t="s">
        <v>18</v>
      </c>
      <c r="I4594" s="4" t="s">
        <v>65</v>
      </c>
      <c r="J4594" s="4" t="s">
        <v>66</v>
      </c>
      <c r="K4594" s="4">
        <v>1</v>
      </c>
      <c r="L4594" s="94">
        <v>1500</v>
      </c>
      <c r="M4594" s="94">
        <v>3000</v>
      </c>
    </row>
    <row r="4595" spans="3:13" x14ac:dyDescent="0.3">
      <c r="C4595" t="s">
        <v>70</v>
      </c>
      <c r="D4595" t="s">
        <v>67</v>
      </c>
      <c r="E4595" t="s">
        <v>68</v>
      </c>
      <c r="F4595" t="s">
        <v>25</v>
      </c>
      <c r="G4595" s="4">
        <v>3</v>
      </c>
      <c r="H4595" s="4" t="s">
        <v>74</v>
      </c>
      <c r="I4595" s="4" t="s">
        <v>69</v>
      </c>
      <c r="J4595" s="4" t="s">
        <v>66</v>
      </c>
      <c r="K4595" s="4">
        <v>0</v>
      </c>
      <c r="L4595" s="94">
        <v>305293</v>
      </c>
      <c r="M4595" s="94">
        <v>915879</v>
      </c>
    </row>
    <row r="4596" spans="3:13" x14ac:dyDescent="0.3">
      <c r="C4596" t="s">
        <v>71</v>
      </c>
      <c r="D4596" t="s">
        <v>67</v>
      </c>
      <c r="E4596" t="s">
        <v>68</v>
      </c>
      <c r="F4596" t="s">
        <v>26</v>
      </c>
      <c r="G4596" s="4">
        <v>-4</v>
      </c>
      <c r="H4596" s="4" t="s">
        <v>15</v>
      </c>
      <c r="I4596" s="4" t="s">
        <v>69</v>
      </c>
      <c r="J4596" s="4" t="s">
        <v>66</v>
      </c>
      <c r="K4596" s="4">
        <v>0</v>
      </c>
      <c r="L4596" s="94">
        <v>52976</v>
      </c>
      <c r="M4596" s="94">
        <v>0</v>
      </c>
    </row>
    <row r="4597" spans="3:13" x14ac:dyDescent="0.3">
      <c r="C4597" t="s">
        <v>61</v>
      </c>
      <c r="D4597" t="s">
        <v>67</v>
      </c>
      <c r="E4597" t="s">
        <v>68</v>
      </c>
      <c r="F4597" t="s">
        <v>25</v>
      </c>
      <c r="G4597" s="4">
        <v>14</v>
      </c>
      <c r="H4597" s="4" t="s">
        <v>80</v>
      </c>
      <c r="I4597" s="4" t="s">
        <v>69</v>
      </c>
      <c r="J4597" s="4" t="s">
        <v>66</v>
      </c>
      <c r="K4597" s="4">
        <v>0</v>
      </c>
      <c r="L4597" s="94">
        <v>264962</v>
      </c>
      <c r="M4597" s="94">
        <v>3709468</v>
      </c>
    </row>
    <row r="4598" spans="3:13" x14ac:dyDescent="0.3">
      <c r="C4598" t="s">
        <v>70</v>
      </c>
      <c r="D4598" t="s">
        <v>67</v>
      </c>
      <c r="E4598" t="s">
        <v>63</v>
      </c>
      <c r="F4598" t="s">
        <v>26</v>
      </c>
      <c r="G4598" s="4">
        <v>4</v>
      </c>
      <c r="H4598" s="4" t="s">
        <v>76</v>
      </c>
      <c r="I4598" s="4" t="s">
        <v>69</v>
      </c>
      <c r="J4598" s="4" t="s">
        <v>66</v>
      </c>
      <c r="K4598" s="4">
        <v>0</v>
      </c>
      <c r="L4598" s="94">
        <v>-193411</v>
      </c>
      <c r="M4598" s="94">
        <v>0</v>
      </c>
    </row>
    <row r="4599" spans="3:13" x14ac:dyDescent="0.3">
      <c r="C4599" t="s">
        <v>70</v>
      </c>
      <c r="D4599" t="s">
        <v>67</v>
      </c>
      <c r="E4599" t="s">
        <v>63</v>
      </c>
      <c r="F4599" t="s">
        <v>25</v>
      </c>
      <c r="G4599" s="4">
        <v>2</v>
      </c>
      <c r="H4599" s="4" t="s">
        <v>79</v>
      </c>
      <c r="I4599" s="4" t="s">
        <v>69</v>
      </c>
      <c r="J4599" s="4" t="s">
        <v>66</v>
      </c>
      <c r="K4599" s="4">
        <v>0</v>
      </c>
      <c r="L4599" s="94">
        <v>-4759</v>
      </c>
      <c r="M4599" s="94">
        <v>0</v>
      </c>
    </row>
    <row r="4600" spans="3:13" x14ac:dyDescent="0.3">
      <c r="C4600" t="s">
        <v>61</v>
      </c>
      <c r="D4600" t="s">
        <v>67</v>
      </c>
      <c r="E4600" t="s">
        <v>68</v>
      </c>
      <c r="F4600" t="s">
        <v>26</v>
      </c>
      <c r="G4600" s="4">
        <v>1</v>
      </c>
      <c r="H4600" s="4" t="s">
        <v>12</v>
      </c>
      <c r="I4600" s="4" t="s">
        <v>69</v>
      </c>
      <c r="J4600" s="4" t="s">
        <v>66</v>
      </c>
      <c r="K4600" s="4">
        <v>0</v>
      </c>
      <c r="L4600" s="94">
        <v>3052326</v>
      </c>
      <c r="M4600" s="94">
        <v>3052326</v>
      </c>
    </row>
    <row r="4601" spans="3:13" x14ac:dyDescent="0.3">
      <c r="C4601" t="s">
        <v>70</v>
      </c>
      <c r="D4601" t="s">
        <v>67</v>
      </c>
      <c r="E4601" t="s">
        <v>63</v>
      </c>
      <c r="F4601" t="s">
        <v>72</v>
      </c>
      <c r="G4601" s="4">
        <v>4</v>
      </c>
      <c r="H4601" s="4" t="s">
        <v>74</v>
      </c>
      <c r="I4601" s="4" t="s">
        <v>69</v>
      </c>
      <c r="J4601" s="4" t="s">
        <v>66</v>
      </c>
      <c r="K4601" s="4">
        <v>0</v>
      </c>
      <c r="L4601" s="94">
        <v>-48383</v>
      </c>
      <c r="M4601" s="94">
        <v>0</v>
      </c>
    </row>
    <row r="4602" spans="3:13" x14ac:dyDescent="0.3">
      <c r="C4602" t="s">
        <v>61</v>
      </c>
      <c r="D4602" t="s">
        <v>67</v>
      </c>
      <c r="E4602" t="s">
        <v>63</v>
      </c>
      <c r="F4602" t="s">
        <v>25</v>
      </c>
      <c r="G4602" s="4">
        <v>5</v>
      </c>
      <c r="H4602" s="4" t="s">
        <v>75</v>
      </c>
      <c r="I4602" s="4" t="s">
        <v>65</v>
      </c>
      <c r="J4602" s="4" t="s">
        <v>66</v>
      </c>
      <c r="K4602" s="4">
        <v>1</v>
      </c>
      <c r="L4602" s="94">
        <v>-868</v>
      </c>
      <c r="M4602" s="94">
        <v>0</v>
      </c>
    </row>
    <row r="4603" spans="3:13" x14ac:dyDescent="0.3">
      <c r="C4603" t="s">
        <v>71</v>
      </c>
      <c r="D4603" t="s">
        <v>62</v>
      </c>
      <c r="E4603" t="s">
        <v>68</v>
      </c>
      <c r="F4603" t="s">
        <v>25</v>
      </c>
      <c r="G4603" s="4">
        <v>29</v>
      </c>
      <c r="I4603" s="4" t="s">
        <v>69</v>
      </c>
      <c r="J4603" s="4" t="s">
        <v>66</v>
      </c>
      <c r="K4603" s="4">
        <v>0</v>
      </c>
      <c r="L4603" s="94">
        <v>86710</v>
      </c>
      <c r="M4603" s="94">
        <v>2514590</v>
      </c>
    </row>
    <row r="4604" spans="3:13" x14ac:dyDescent="0.3">
      <c r="C4604" t="s">
        <v>70</v>
      </c>
      <c r="D4604" t="s">
        <v>67</v>
      </c>
      <c r="E4604" t="s">
        <v>63</v>
      </c>
      <c r="F4604" t="s">
        <v>72</v>
      </c>
      <c r="G4604" s="4">
        <v>1</v>
      </c>
      <c r="H4604" s="4" t="s">
        <v>18</v>
      </c>
      <c r="I4604" s="4" t="s">
        <v>69</v>
      </c>
      <c r="J4604" s="4" t="s">
        <v>73</v>
      </c>
      <c r="K4604" s="4">
        <v>1</v>
      </c>
      <c r="L4604" s="94">
        <v>-2147</v>
      </c>
      <c r="M4604" s="94">
        <v>0</v>
      </c>
    </row>
    <row r="4605" spans="3:13" x14ac:dyDescent="0.3">
      <c r="C4605" t="s">
        <v>71</v>
      </c>
      <c r="D4605" t="s">
        <v>67</v>
      </c>
      <c r="E4605" t="s">
        <v>63</v>
      </c>
      <c r="F4605" t="s">
        <v>25</v>
      </c>
      <c r="G4605" s="4">
        <v>10</v>
      </c>
      <c r="H4605" s="4" t="s">
        <v>17</v>
      </c>
      <c r="I4605" s="4" t="s">
        <v>69</v>
      </c>
      <c r="J4605" s="4" t="s">
        <v>66</v>
      </c>
      <c r="K4605" s="4">
        <v>0</v>
      </c>
      <c r="L4605" s="94">
        <v>-15361</v>
      </c>
      <c r="M4605" s="94">
        <v>0</v>
      </c>
    </row>
    <row r="4606" spans="3:13" x14ac:dyDescent="0.3">
      <c r="C4606" t="s">
        <v>70</v>
      </c>
      <c r="D4606" t="s">
        <v>62</v>
      </c>
      <c r="E4606" t="s">
        <v>63</v>
      </c>
      <c r="F4606" t="s">
        <v>25</v>
      </c>
      <c r="G4606" s="4">
        <v>34</v>
      </c>
      <c r="I4606" s="4" t="s">
        <v>69</v>
      </c>
      <c r="J4606" s="4" t="s">
        <v>66</v>
      </c>
      <c r="K4606" s="4">
        <v>0</v>
      </c>
      <c r="L4606" s="94">
        <v>-7644</v>
      </c>
      <c r="M4606" s="94">
        <v>0</v>
      </c>
    </row>
    <row r="4607" spans="3:13" x14ac:dyDescent="0.3">
      <c r="C4607" t="s">
        <v>71</v>
      </c>
      <c r="D4607" t="s">
        <v>67</v>
      </c>
      <c r="E4607" t="s">
        <v>68</v>
      </c>
      <c r="F4607" t="s">
        <v>25</v>
      </c>
      <c r="G4607" s="4">
        <v>2</v>
      </c>
      <c r="H4607" s="4" t="s">
        <v>75</v>
      </c>
      <c r="I4607" s="4" t="s">
        <v>69</v>
      </c>
      <c r="J4607" s="4" t="s">
        <v>66</v>
      </c>
      <c r="K4607" s="4">
        <v>0</v>
      </c>
      <c r="L4607" s="94">
        <v>3488075</v>
      </c>
      <c r="M4607" s="94">
        <v>6976150</v>
      </c>
    </row>
    <row r="4608" spans="3:13" x14ac:dyDescent="0.3">
      <c r="C4608" t="s">
        <v>61</v>
      </c>
      <c r="D4608" t="s">
        <v>62</v>
      </c>
      <c r="E4608" t="s">
        <v>68</v>
      </c>
      <c r="F4608" t="s">
        <v>24</v>
      </c>
      <c r="G4608" s="4">
        <v>24</v>
      </c>
      <c r="I4608" s="4" t="s">
        <v>65</v>
      </c>
      <c r="J4608" s="4" t="s">
        <v>66</v>
      </c>
      <c r="K4608" s="4">
        <v>1</v>
      </c>
      <c r="L4608" s="94">
        <v>10135379</v>
      </c>
      <c r="M4608" s="94">
        <v>243249096</v>
      </c>
    </row>
    <row r="4609" spans="3:13" x14ac:dyDescent="0.3">
      <c r="C4609" t="s">
        <v>61</v>
      </c>
      <c r="D4609" t="s">
        <v>67</v>
      </c>
      <c r="E4609" t="s">
        <v>63</v>
      </c>
      <c r="F4609" t="s">
        <v>72</v>
      </c>
      <c r="G4609" s="4">
        <v>5</v>
      </c>
      <c r="H4609" s="4" t="s">
        <v>80</v>
      </c>
      <c r="I4609" s="4" t="s">
        <v>69</v>
      </c>
      <c r="J4609" s="4" t="s">
        <v>66</v>
      </c>
      <c r="K4609" s="4">
        <v>0</v>
      </c>
      <c r="L4609" s="94">
        <v>-1744</v>
      </c>
      <c r="M4609" s="94">
        <v>0</v>
      </c>
    </row>
    <row r="4610" spans="3:13" x14ac:dyDescent="0.3">
      <c r="C4610" t="s">
        <v>70</v>
      </c>
      <c r="D4610" t="s">
        <v>67</v>
      </c>
      <c r="E4610" t="s">
        <v>63</v>
      </c>
      <c r="F4610" t="s">
        <v>25</v>
      </c>
      <c r="G4610" s="4">
        <v>10</v>
      </c>
      <c r="H4610" s="4" t="s">
        <v>74</v>
      </c>
      <c r="I4610" s="4" t="s">
        <v>69</v>
      </c>
      <c r="J4610" s="4" t="s">
        <v>66</v>
      </c>
      <c r="K4610" s="4">
        <v>0</v>
      </c>
      <c r="L4610" s="94">
        <v>-7871</v>
      </c>
      <c r="M4610" s="94">
        <v>0</v>
      </c>
    </row>
    <row r="4611" spans="3:13" x14ac:dyDescent="0.3">
      <c r="C4611" t="s">
        <v>70</v>
      </c>
      <c r="D4611" t="s">
        <v>67</v>
      </c>
      <c r="E4611" t="s">
        <v>68</v>
      </c>
      <c r="F4611" t="s">
        <v>72</v>
      </c>
      <c r="G4611" s="4">
        <v>4</v>
      </c>
      <c r="H4611" s="4" t="s">
        <v>17</v>
      </c>
      <c r="I4611" s="4" t="s">
        <v>69</v>
      </c>
      <c r="J4611" s="4" t="s">
        <v>73</v>
      </c>
      <c r="K4611" s="4">
        <v>1</v>
      </c>
      <c r="L4611" s="94">
        <v>94408</v>
      </c>
      <c r="M4611" s="94">
        <v>377632</v>
      </c>
    </row>
    <row r="4612" spans="3:13" x14ac:dyDescent="0.3">
      <c r="C4612" t="s">
        <v>61</v>
      </c>
      <c r="D4612" t="s">
        <v>67</v>
      </c>
      <c r="E4612" t="s">
        <v>63</v>
      </c>
      <c r="F4612" t="s">
        <v>72</v>
      </c>
      <c r="G4612" s="4">
        <v>7</v>
      </c>
      <c r="H4612" s="4" t="s">
        <v>81</v>
      </c>
      <c r="I4612" s="4" t="s">
        <v>69</v>
      </c>
      <c r="J4612" s="4" t="s">
        <v>66</v>
      </c>
      <c r="K4612" s="4">
        <v>0</v>
      </c>
      <c r="L4612" s="94">
        <v>-616</v>
      </c>
      <c r="M4612" s="94">
        <v>0</v>
      </c>
    </row>
    <row r="4613" spans="3:13" x14ac:dyDescent="0.3">
      <c r="C4613" t="s">
        <v>61</v>
      </c>
      <c r="D4613" t="s">
        <v>67</v>
      </c>
      <c r="E4613" t="s">
        <v>63</v>
      </c>
      <c r="F4613" t="s">
        <v>25</v>
      </c>
      <c r="G4613" s="4">
        <v>10</v>
      </c>
      <c r="H4613" s="4" t="s">
        <v>75</v>
      </c>
      <c r="I4613" s="4" t="s">
        <v>69</v>
      </c>
      <c r="J4613" s="4" t="s">
        <v>66</v>
      </c>
      <c r="K4613" s="4">
        <v>0</v>
      </c>
      <c r="L4613" s="94">
        <v>-132322</v>
      </c>
      <c r="M4613" s="94">
        <v>0</v>
      </c>
    </row>
    <row r="4614" spans="3:13" x14ac:dyDescent="0.3">
      <c r="C4614" t="s">
        <v>70</v>
      </c>
      <c r="D4614" t="s">
        <v>67</v>
      </c>
      <c r="E4614" t="s">
        <v>63</v>
      </c>
      <c r="F4614" t="s">
        <v>26</v>
      </c>
      <c r="G4614" s="4">
        <v>7</v>
      </c>
      <c r="H4614" s="4" t="s">
        <v>12</v>
      </c>
      <c r="I4614" s="4" t="s">
        <v>69</v>
      </c>
      <c r="J4614" s="4" t="s">
        <v>66</v>
      </c>
      <c r="K4614" s="4">
        <v>0</v>
      </c>
      <c r="L4614" s="94">
        <v>-17479</v>
      </c>
      <c r="M4614" s="94">
        <v>0</v>
      </c>
    </row>
    <row r="4615" spans="3:13" x14ac:dyDescent="0.3">
      <c r="C4615" t="s">
        <v>71</v>
      </c>
      <c r="D4615" t="s">
        <v>67</v>
      </c>
      <c r="E4615" t="s">
        <v>63</v>
      </c>
      <c r="F4615" t="s">
        <v>26</v>
      </c>
      <c r="G4615" s="4">
        <v>10</v>
      </c>
      <c r="H4615" s="4" t="s">
        <v>14</v>
      </c>
      <c r="I4615" s="4" t="s">
        <v>69</v>
      </c>
      <c r="J4615" s="4" t="s">
        <v>66</v>
      </c>
      <c r="K4615" s="4">
        <v>0</v>
      </c>
      <c r="L4615" s="94">
        <v>-28196</v>
      </c>
      <c r="M4615" s="94">
        <v>0</v>
      </c>
    </row>
    <row r="4616" spans="3:13" x14ac:dyDescent="0.3">
      <c r="C4616" t="s">
        <v>70</v>
      </c>
      <c r="D4616" t="s">
        <v>62</v>
      </c>
      <c r="E4616" t="s">
        <v>68</v>
      </c>
      <c r="F4616" t="s">
        <v>25</v>
      </c>
      <c r="G4616" s="4">
        <v>10</v>
      </c>
      <c r="I4616" s="4" t="s">
        <v>69</v>
      </c>
      <c r="J4616" s="4" t="s">
        <v>66</v>
      </c>
      <c r="K4616" s="4">
        <v>1</v>
      </c>
      <c r="L4616" s="94">
        <v>82278</v>
      </c>
      <c r="M4616" s="94">
        <v>822780</v>
      </c>
    </row>
    <row r="4617" spans="3:13" x14ac:dyDescent="0.3">
      <c r="C4617" t="s">
        <v>61</v>
      </c>
      <c r="D4617" t="s">
        <v>67</v>
      </c>
      <c r="E4617" t="s">
        <v>63</v>
      </c>
      <c r="F4617" t="s">
        <v>25</v>
      </c>
      <c r="G4617" s="4">
        <v>19</v>
      </c>
      <c r="H4617" s="4" t="s">
        <v>76</v>
      </c>
      <c r="I4617" s="4" t="s">
        <v>69</v>
      </c>
      <c r="J4617" s="4" t="s">
        <v>66</v>
      </c>
      <c r="K4617" s="4">
        <v>0</v>
      </c>
      <c r="L4617" s="94">
        <v>-852</v>
      </c>
      <c r="M4617" s="94">
        <v>0</v>
      </c>
    </row>
    <row r="4618" spans="3:13" x14ac:dyDescent="0.3">
      <c r="C4618" t="s">
        <v>61</v>
      </c>
      <c r="D4618" t="s">
        <v>67</v>
      </c>
      <c r="E4618" t="s">
        <v>68</v>
      </c>
      <c r="F4618" t="s">
        <v>25</v>
      </c>
      <c r="G4618" s="4">
        <v>11</v>
      </c>
      <c r="H4618" s="4" t="s">
        <v>64</v>
      </c>
      <c r="I4618" s="4" t="s">
        <v>65</v>
      </c>
      <c r="J4618" s="4" t="s">
        <v>66</v>
      </c>
      <c r="K4618" s="4">
        <v>1</v>
      </c>
      <c r="L4618" s="94">
        <v>98104</v>
      </c>
      <c r="M4618" s="94">
        <v>1079144</v>
      </c>
    </row>
    <row r="4619" spans="3:13" x14ac:dyDescent="0.3">
      <c r="C4619" t="s">
        <v>61</v>
      </c>
      <c r="D4619" t="s">
        <v>62</v>
      </c>
      <c r="E4619" t="s">
        <v>63</v>
      </c>
      <c r="F4619" t="s">
        <v>24</v>
      </c>
      <c r="G4619" s="4">
        <v>33</v>
      </c>
      <c r="I4619" s="4" t="s">
        <v>69</v>
      </c>
      <c r="J4619" s="4" t="s">
        <v>66</v>
      </c>
      <c r="K4619" s="4">
        <v>0</v>
      </c>
      <c r="L4619" s="94">
        <v>-470911</v>
      </c>
      <c r="M4619" s="94">
        <v>0</v>
      </c>
    </row>
    <row r="4620" spans="3:13" x14ac:dyDescent="0.3">
      <c r="C4620" t="s">
        <v>61</v>
      </c>
      <c r="D4620" t="s">
        <v>67</v>
      </c>
      <c r="E4620" t="s">
        <v>68</v>
      </c>
      <c r="F4620" t="s">
        <v>72</v>
      </c>
      <c r="G4620" s="4">
        <v>0</v>
      </c>
      <c r="H4620" s="4" t="s">
        <v>13</v>
      </c>
      <c r="I4620" s="4" t="s">
        <v>69</v>
      </c>
      <c r="J4620" s="4" t="s">
        <v>73</v>
      </c>
      <c r="K4620" s="4">
        <v>1</v>
      </c>
      <c r="L4620" s="94">
        <v>21496</v>
      </c>
      <c r="M4620" s="94">
        <v>0</v>
      </c>
    </row>
    <row r="4621" spans="3:13" x14ac:dyDescent="0.3">
      <c r="C4621" t="s">
        <v>70</v>
      </c>
      <c r="D4621" t="s">
        <v>67</v>
      </c>
      <c r="E4621" t="s">
        <v>63</v>
      </c>
      <c r="F4621" t="s">
        <v>72</v>
      </c>
      <c r="G4621" s="4">
        <v>-4</v>
      </c>
      <c r="H4621" s="4" t="s">
        <v>81</v>
      </c>
      <c r="I4621" s="4" t="s">
        <v>69</v>
      </c>
      <c r="J4621" s="4" t="s">
        <v>66</v>
      </c>
      <c r="K4621" s="4">
        <v>0</v>
      </c>
      <c r="L4621" s="94">
        <v>-2</v>
      </c>
      <c r="M4621" s="94">
        <v>0</v>
      </c>
    </row>
    <row r="4622" spans="3:13" x14ac:dyDescent="0.3">
      <c r="C4622" t="s">
        <v>61</v>
      </c>
      <c r="D4622" t="s">
        <v>67</v>
      </c>
      <c r="E4622" t="s">
        <v>63</v>
      </c>
      <c r="F4622" t="s">
        <v>26</v>
      </c>
      <c r="G4622" s="4">
        <v>2</v>
      </c>
      <c r="H4622" s="4" t="s">
        <v>16</v>
      </c>
      <c r="I4622" s="4" t="s">
        <v>65</v>
      </c>
      <c r="J4622" s="4" t="s">
        <v>66</v>
      </c>
      <c r="K4622" s="4">
        <v>1</v>
      </c>
      <c r="L4622" s="94">
        <v>-1472</v>
      </c>
      <c r="M4622" s="94">
        <v>0</v>
      </c>
    </row>
    <row r="4623" spans="3:13" x14ac:dyDescent="0.3">
      <c r="C4623" t="s">
        <v>61</v>
      </c>
      <c r="D4623" t="s">
        <v>62</v>
      </c>
      <c r="E4623" t="s">
        <v>63</v>
      </c>
      <c r="F4623" t="s">
        <v>25</v>
      </c>
      <c r="G4623" s="4">
        <v>32</v>
      </c>
      <c r="I4623" s="4" t="s">
        <v>69</v>
      </c>
      <c r="J4623" s="4" t="s">
        <v>66</v>
      </c>
      <c r="K4623" s="4">
        <v>0</v>
      </c>
      <c r="L4623" s="94">
        <v>-665</v>
      </c>
      <c r="M4623" s="94">
        <v>0</v>
      </c>
    </row>
    <row r="4624" spans="3:13" x14ac:dyDescent="0.3">
      <c r="C4624" t="s">
        <v>70</v>
      </c>
      <c r="D4624" t="s">
        <v>67</v>
      </c>
      <c r="E4624" t="s">
        <v>68</v>
      </c>
      <c r="F4624" t="s">
        <v>26</v>
      </c>
      <c r="G4624" s="4">
        <v>2</v>
      </c>
      <c r="H4624" s="4" t="s">
        <v>76</v>
      </c>
      <c r="I4624" s="4" t="s">
        <v>69</v>
      </c>
      <c r="J4624" s="4" t="s">
        <v>66</v>
      </c>
      <c r="K4624" s="4">
        <v>0</v>
      </c>
      <c r="L4624" s="94">
        <v>5492563</v>
      </c>
      <c r="M4624" s="94">
        <v>10985126</v>
      </c>
    </row>
    <row r="4625" spans="3:13" x14ac:dyDescent="0.3">
      <c r="C4625" t="s">
        <v>71</v>
      </c>
      <c r="D4625" t="s">
        <v>67</v>
      </c>
      <c r="E4625" t="s">
        <v>63</v>
      </c>
      <c r="F4625" t="s">
        <v>25</v>
      </c>
      <c r="G4625" s="4">
        <v>5</v>
      </c>
      <c r="H4625" s="4" t="s">
        <v>83</v>
      </c>
      <c r="I4625" s="4" t="s">
        <v>69</v>
      </c>
      <c r="J4625" s="4" t="s">
        <v>66</v>
      </c>
      <c r="K4625" s="4">
        <v>0</v>
      </c>
      <c r="L4625" s="94">
        <v>-87985</v>
      </c>
      <c r="M4625" s="94">
        <v>0</v>
      </c>
    </row>
    <row r="4626" spans="3:13" x14ac:dyDescent="0.3">
      <c r="C4626" t="s">
        <v>71</v>
      </c>
      <c r="D4626" t="s">
        <v>62</v>
      </c>
      <c r="E4626" t="s">
        <v>68</v>
      </c>
      <c r="F4626" t="s">
        <v>24</v>
      </c>
      <c r="G4626" s="4">
        <v>9</v>
      </c>
      <c r="I4626" s="4" t="s">
        <v>65</v>
      </c>
      <c r="J4626" s="4" t="s">
        <v>66</v>
      </c>
      <c r="K4626" s="4">
        <v>1</v>
      </c>
      <c r="L4626" s="94">
        <v>20091</v>
      </c>
      <c r="M4626" s="94">
        <v>180819</v>
      </c>
    </row>
    <row r="4627" spans="3:13" x14ac:dyDescent="0.3">
      <c r="C4627" t="s">
        <v>71</v>
      </c>
      <c r="D4627" t="s">
        <v>67</v>
      </c>
      <c r="E4627" t="s">
        <v>63</v>
      </c>
      <c r="F4627" t="s">
        <v>72</v>
      </c>
      <c r="G4627" s="4">
        <v>4</v>
      </c>
      <c r="H4627" s="4" t="s">
        <v>14</v>
      </c>
      <c r="I4627" s="4" t="s">
        <v>69</v>
      </c>
      <c r="J4627" s="4" t="s">
        <v>73</v>
      </c>
      <c r="K4627" s="4">
        <v>1</v>
      </c>
      <c r="L4627" s="94">
        <v>-70283</v>
      </c>
      <c r="M4627" s="94">
        <v>0</v>
      </c>
    </row>
    <row r="4628" spans="3:13" x14ac:dyDescent="0.3">
      <c r="C4628" t="s">
        <v>70</v>
      </c>
      <c r="D4628" t="s">
        <v>62</v>
      </c>
      <c r="E4628" t="s">
        <v>68</v>
      </c>
      <c r="F4628" t="s">
        <v>24</v>
      </c>
      <c r="G4628" s="4">
        <v>24</v>
      </c>
      <c r="I4628" s="4" t="s">
        <v>69</v>
      </c>
      <c r="J4628" s="4" t="s">
        <v>66</v>
      </c>
      <c r="K4628" s="4">
        <v>0</v>
      </c>
      <c r="L4628" s="94">
        <v>48979468</v>
      </c>
      <c r="M4628" s="94">
        <v>1175507232</v>
      </c>
    </row>
    <row r="4629" spans="3:13" x14ac:dyDescent="0.3">
      <c r="C4629" t="s">
        <v>61</v>
      </c>
      <c r="D4629" t="s">
        <v>67</v>
      </c>
      <c r="E4629" t="s">
        <v>68</v>
      </c>
      <c r="F4629" t="s">
        <v>72</v>
      </c>
      <c r="G4629" s="4">
        <v>11</v>
      </c>
      <c r="H4629" s="4" t="s">
        <v>75</v>
      </c>
      <c r="I4629" s="4" t="s">
        <v>69</v>
      </c>
      <c r="J4629" s="4" t="s">
        <v>66</v>
      </c>
      <c r="K4629" s="4">
        <v>0</v>
      </c>
      <c r="L4629" s="94">
        <v>794976</v>
      </c>
      <c r="M4629" s="94">
        <v>8744736</v>
      </c>
    </row>
    <row r="4630" spans="3:13" x14ac:dyDescent="0.3">
      <c r="C4630" t="s">
        <v>71</v>
      </c>
      <c r="D4630" t="s">
        <v>67</v>
      </c>
      <c r="E4630" t="s">
        <v>63</v>
      </c>
      <c r="F4630" t="s">
        <v>25</v>
      </c>
      <c r="G4630" s="4">
        <v>3</v>
      </c>
      <c r="H4630" s="4" t="s">
        <v>76</v>
      </c>
      <c r="I4630" s="4" t="s">
        <v>69</v>
      </c>
      <c r="J4630" s="4" t="s">
        <v>66</v>
      </c>
      <c r="K4630" s="4">
        <v>0</v>
      </c>
      <c r="L4630" s="94">
        <v>-709794</v>
      </c>
      <c r="M4630" s="94">
        <v>0</v>
      </c>
    </row>
    <row r="4631" spans="3:13" x14ac:dyDescent="0.3">
      <c r="C4631" t="s">
        <v>61</v>
      </c>
      <c r="D4631" t="s">
        <v>67</v>
      </c>
      <c r="E4631" t="s">
        <v>68</v>
      </c>
      <c r="F4631" t="s">
        <v>25</v>
      </c>
      <c r="G4631" s="4">
        <v>12</v>
      </c>
      <c r="H4631" s="4" t="s">
        <v>14</v>
      </c>
      <c r="I4631" s="4" t="s">
        <v>69</v>
      </c>
      <c r="J4631" s="4" t="s">
        <v>66</v>
      </c>
      <c r="K4631" s="4">
        <v>0</v>
      </c>
      <c r="L4631" s="94">
        <v>1952308</v>
      </c>
      <c r="M4631" s="94">
        <v>23427696</v>
      </c>
    </row>
    <row r="4632" spans="3:13" x14ac:dyDescent="0.3">
      <c r="C4632" t="s">
        <v>70</v>
      </c>
      <c r="D4632" t="s">
        <v>67</v>
      </c>
      <c r="E4632" t="s">
        <v>68</v>
      </c>
      <c r="F4632" t="s">
        <v>25</v>
      </c>
      <c r="G4632" s="4">
        <v>12</v>
      </c>
      <c r="H4632" s="4" t="s">
        <v>18</v>
      </c>
      <c r="I4632" s="4" t="s">
        <v>69</v>
      </c>
      <c r="J4632" s="4" t="s">
        <v>66</v>
      </c>
      <c r="K4632" s="4">
        <v>1</v>
      </c>
      <c r="L4632" s="94">
        <v>396221</v>
      </c>
      <c r="M4632" s="94">
        <v>4754652</v>
      </c>
    </row>
    <row r="4633" spans="3:13" x14ac:dyDescent="0.3">
      <c r="C4633" t="s">
        <v>70</v>
      </c>
      <c r="D4633" t="s">
        <v>67</v>
      </c>
      <c r="E4633" t="s">
        <v>63</v>
      </c>
      <c r="F4633" t="s">
        <v>25</v>
      </c>
      <c r="G4633" s="4">
        <v>16</v>
      </c>
      <c r="H4633" s="4" t="s">
        <v>16</v>
      </c>
      <c r="I4633" s="4" t="s">
        <v>69</v>
      </c>
      <c r="J4633" s="4" t="s">
        <v>66</v>
      </c>
      <c r="K4633" s="4">
        <v>0</v>
      </c>
      <c r="L4633" s="94">
        <v>-4712</v>
      </c>
      <c r="M4633" s="94">
        <v>0</v>
      </c>
    </row>
    <row r="4634" spans="3:13" x14ac:dyDescent="0.3">
      <c r="C4634" t="s">
        <v>71</v>
      </c>
      <c r="D4634" t="s">
        <v>62</v>
      </c>
      <c r="E4634" t="s">
        <v>68</v>
      </c>
      <c r="F4634" t="s">
        <v>24</v>
      </c>
      <c r="G4634" s="4">
        <v>15</v>
      </c>
      <c r="I4634" s="4" t="s">
        <v>69</v>
      </c>
      <c r="J4634" s="4" t="s">
        <v>66</v>
      </c>
      <c r="K4634" s="4">
        <v>1</v>
      </c>
      <c r="L4634" s="94">
        <v>135357</v>
      </c>
      <c r="M4634" s="94">
        <v>2030355</v>
      </c>
    </row>
    <row r="4635" spans="3:13" x14ac:dyDescent="0.3">
      <c r="C4635" t="s">
        <v>61</v>
      </c>
      <c r="D4635" t="s">
        <v>67</v>
      </c>
      <c r="E4635" t="s">
        <v>63</v>
      </c>
      <c r="F4635" t="s">
        <v>25</v>
      </c>
      <c r="G4635" s="4">
        <v>7</v>
      </c>
      <c r="H4635" s="4" t="s">
        <v>16</v>
      </c>
      <c r="I4635" s="4" t="s">
        <v>69</v>
      </c>
      <c r="J4635" s="4" t="s">
        <v>66</v>
      </c>
      <c r="K4635" s="4">
        <v>0</v>
      </c>
      <c r="L4635" s="94">
        <v>-121</v>
      </c>
      <c r="M4635" s="94">
        <v>0</v>
      </c>
    </row>
    <row r="4636" spans="3:13" x14ac:dyDescent="0.3">
      <c r="C4636" t="s">
        <v>71</v>
      </c>
      <c r="D4636" t="s">
        <v>67</v>
      </c>
      <c r="E4636" t="s">
        <v>68</v>
      </c>
      <c r="F4636" t="s">
        <v>25</v>
      </c>
      <c r="G4636" s="4">
        <v>17</v>
      </c>
      <c r="H4636" s="4" t="s">
        <v>83</v>
      </c>
      <c r="I4636" s="4" t="s">
        <v>69</v>
      </c>
      <c r="J4636" s="4" t="s">
        <v>66</v>
      </c>
      <c r="K4636" s="4">
        <v>0</v>
      </c>
      <c r="L4636" s="94">
        <v>285437</v>
      </c>
      <c r="M4636" s="94">
        <v>4852429</v>
      </c>
    </row>
    <row r="4637" spans="3:13" x14ac:dyDescent="0.3">
      <c r="C4637" t="s">
        <v>70</v>
      </c>
      <c r="D4637" t="s">
        <v>67</v>
      </c>
      <c r="E4637" t="s">
        <v>63</v>
      </c>
      <c r="F4637" t="s">
        <v>25</v>
      </c>
      <c r="G4637" s="4">
        <v>12</v>
      </c>
      <c r="H4637" s="4" t="s">
        <v>18</v>
      </c>
      <c r="I4637" s="4" t="s">
        <v>69</v>
      </c>
      <c r="J4637" s="4" t="s">
        <v>66</v>
      </c>
      <c r="K4637" s="4">
        <v>1</v>
      </c>
      <c r="L4637" s="94">
        <v>-13019</v>
      </c>
      <c r="M4637" s="94">
        <v>0</v>
      </c>
    </row>
    <row r="4638" spans="3:13" x14ac:dyDescent="0.3">
      <c r="C4638" t="s">
        <v>71</v>
      </c>
      <c r="D4638" t="s">
        <v>62</v>
      </c>
      <c r="E4638" t="s">
        <v>68</v>
      </c>
      <c r="F4638" t="s">
        <v>25</v>
      </c>
      <c r="G4638" s="4">
        <v>10</v>
      </c>
      <c r="I4638" s="4" t="s">
        <v>69</v>
      </c>
      <c r="J4638" s="4" t="s">
        <v>66</v>
      </c>
      <c r="K4638" s="4">
        <v>0</v>
      </c>
      <c r="L4638" s="94">
        <v>13042</v>
      </c>
      <c r="M4638" s="94">
        <v>130420</v>
      </c>
    </row>
    <row r="4639" spans="3:13" x14ac:dyDescent="0.3">
      <c r="C4639" t="s">
        <v>70</v>
      </c>
      <c r="D4639" t="s">
        <v>62</v>
      </c>
      <c r="E4639" t="s">
        <v>68</v>
      </c>
      <c r="F4639" t="s">
        <v>24</v>
      </c>
      <c r="G4639" s="4">
        <v>38</v>
      </c>
      <c r="I4639" s="4" t="s">
        <v>69</v>
      </c>
      <c r="J4639" s="4" t="s">
        <v>66</v>
      </c>
      <c r="K4639" s="4">
        <v>0</v>
      </c>
      <c r="L4639" s="94">
        <v>34430088</v>
      </c>
      <c r="M4639" s="94">
        <v>1308343344</v>
      </c>
    </row>
    <row r="4640" spans="3:13" x14ac:dyDescent="0.3">
      <c r="C4640" t="s">
        <v>61</v>
      </c>
      <c r="D4640" t="s">
        <v>67</v>
      </c>
      <c r="E4640" t="s">
        <v>68</v>
      </c>
      <c r="F4640" t="s">
        <v>26</v>
      </c>
      <c r="G4640" s="4">
        <v>2</v>
      </c>
      <c r="H4640" s="4" t="s">
        <v>14</v>
      </c>
      <c r="I4640" s="4" t="s">
        <v>65</v>
      </c>
      <c r="J4640" s="4" t="s">
        <v>66</v>
      </c>
      <c r="K4640" s="4">
        <v>1</v>
      </c>
      <c r="L4640" s="94">
        <v>143107</v>
      </c>
      <c r="M4640" s="94">
        <v>286214</v>
      </c>
    </row>
    <row r="4641" spans="3:13" x14ac:dyDescent="0.3">
      <c r="C4641" t="s">
        <v>70</v>
      </c>
      <c r="D4641" t="s">
        <v>67</v>
      </c>
      <c r="E4641" t="s">
        <v>63</v>
      </c>
      <c r="F4641" t="s">
        <v>26</v>
      </c>
      <c r="G4641" s="4">
        <v>4</v>
      </c>
      <c r="H4641" s="4" t="s">
        <v>18</v>
      </c>
      <c r="I4641" s="4" t="s">
        <v>69</v>
      </c>
      <c r="J4641" s="4" t="s">
        <v>66</v>
      </c>
      <c r="K4641" s="4">
        <v>0</v>
      </c>
      <c r="L4641" s="94">
        <v>-992344</v>
      </c>
      <c r="M4641" s="94">
        <v>0</v>
      </c>
    </row>
    <row r="4642" spans="3:13" x14ac:dyDescent="0.3">
      <c r="C4642" t="s">
        <v>70</v>
      </c>
      <c r="D4642" t="s">
        <v>67</v>
      </c>
      <c r="E4642" t="s">
        <v>63</v>
      </c>
      <c r="F4642" t="s">
        <v>72</v>
      </c>
      <c r="G4642" s="4">
        <v>5</v>
      </c>
      <c r="H4642" s="4" t="s">
        <v>80</v>
      </c>
      <c r="I4642" s="4" t="s">
        <v>69</v>
      </c>
      <c r="J4642" s="4" t="s">
        <v>66</v>
      </c>
      <c r="K4642" s="4">
        <v>0</v>
      </c>
      <c r="L4642" s="94">
        <v>-13544</v>
      </c>
      <c r="M4642" s="94">
        <v>0</v>
      </c>
    </row>
    <row r="4643" spans="3:13" x14ac:dyDescent="0.3">
      <c r="C4643" t="s">
        <v>71</v>
      </c>
      <c r="D4643" t="s">
        <v>67</v>
      </c>
      <c r="E4643" t="s">
        <v>68</v>
      </c>
      <c r="F4643" t="s">
        <v>25</v>
      </c>
      <c r="G4643" s="4">
        <v>5</v>
      </c>
      <c r="H4643" s="4" t="s">
        <v>17</v>
      </c>
      <c r="I4643" s="4" t="s">
        <v>69</v>
      </c>
      <c r="J4643" s="4" t="s">
        <v>66</v>
      </c>
      <c r="K4643" s="4">
        <v>0</v>
      </c>
      <c r="L4643" s="94">
        <v>295476</v>
      </c>
      <c r="M4643" s="94">
        <v>1477380</v>
      </c>
    </row>
    <row r="4644" spans="3:13" x14ac:dyDescent="0.3">
      <c r="C4644" t="s">
        <v>61</v>
      </c>
      <c r="D4644" t="s">
        <v>67</v>
      </c>
      <c r="E4644" t="s">
        <v>63</v>
      </c>
      <c r="F4644" t="s">
        <v>26</v>
      </c>
      <c r="G4644" s="4">
        <v>3</v>
      </c>
      <c r="H4644" s="4" t="s">
        <v>74</v>
      </c>
      <c r="I4644" s="4" t="s">
        <v>69</v>
      </c>
      <c r="J4644" s="4" t="s">
        <v>66</v>
      </c>
      <c r="K4644" s="4">
        <v>0</v>
      </c>
      <c r="L4644" s="94">
        <v>-310179</v>
      </c>
      <c r="M4644" s="94">
        <v>0</v>
      </c>
    </row>
    <row r="4645" spans="3:13" x14ac:dyDescent="0.3">
      <c r="C4645" t="s">
        <v>70</v>
      </c>
      <c r="D4645" t="s">
        <v>67</v>
      </c>
      <c r="E4645" t="s">
        <v>63</v>
      </c>
      <c r="F4645" t="s">
        <v>72</v>
      </c>
      <c r="G4645" s="4">
        <v>4</v>
      </c>
      <c r="H4645" s="4" t="s">
        <v>14</v>
      </c>
      <c r="I4645" s="4" t="s">
        <v>69</v>
      </c>
      <c r="J4645" s="4" t="s">
        <v>66</v>
      </c>
      <c r="K4645" s="4">
        <v>0</v>
      </c>
      <c r="L4645" s="94">
        <v>-71175</v>
      </c>
      <c r="M4645" s="94">
        <v>0</v>
      </c>
    </row>
    <row r="4646" spans="3:13" x14ac:dyDescent="0.3">
      <c r="C4646" t="s">
        <v>61</v>
      </c>
      <c r="D4646" t="s">
        <v>67</v>
      </c>
      <c r="E4646" t="s">
        <v>68</v>
      </c>
      <c r="F4646" t="s">
        <v>26</v>
      </c>
      <c r="G4646" s="4">
        <v>2</v>
      </c>
      <c r="H4646" s="4" t="s">
        <v>15</v>
      </c>
      <c r="I4646" s="4" t="s">
        <v>69</v>
      </c>
      <c r="J4646" s="4" t="s">
        <v>73</v>
      </c>
      <c r="K4646" s="4">
        <v>1</v>
      </c>
      <c r="L4646" s="94">
        <v>1863119</v>
      </c>
      <c r="M4646" s="94">
        <v>3726238</v>
      </c>
    </row>
    <row r="4647" spans="3:13" x14ac:dyDescent="0.3">
      <c r="C4647" t="s">
        <v>70</v>
      </c>
      <c r="D4647" t="s">
        <v>67</v>
      </c>
      <c r="E4647" t="s">
        <v>68</v>
      </c>
      <c r="F4647" t="s">
        <v>26</v>
      </c>
      <c r="G4647" s="4">
        <v>4</v>
      </c>
      <c r="H4647" s="4" t="s">
        <v>83</v>
      </c>
      <c r="I4647" s="4" t="s">
        <v>69</v>
      </c>
      <c r="J4647" s="4" t="s">
        <v>66</v>
      </c>
      <c r="K4647" s="4">
        <v>0</v>
      </c>
      <c r="L4647" s="94">
        <v>840709</v>
      </c>
      <c r="M4647" s="94">
        <v>3362836</v>
      </c>
    </row>
    <row r="4648" spans="3:13" x14ac:dyDescent="0.3">
      <c r="C4648" t="s">
        <v>61</v>
      </c>
      <c r="D4648" t="s">
        <v>67</v>
      </c>
      <c r="E4648" t="s">
        <v>68</v>
      </c>
      <c r="F4648" t="s">
        <v>25</v>
      </c>
      <c r="G4648" s="4">
        <v>0</v>
      </c>
      <c r="H4648" s="4" t="s">
        <v>74</v>
      </c>
      <c r="I4648" s="4" t="s">
        <v>69</v>
      </c>
      <c r="J4648" s="4" t="s">
        <v>66</v>
      </c>
      <c r="K4648" s="4">
        <v>0</v>
      </c>
      <c r="L4648" s="94">
        <v>5170269</v>
      </c>
      <c r="M4648" s="94">
        <v>0</v>
      </c>
    </row>
    <row r="4649" spans="3:13" x14ac:dyDescent="0.3">
      <c r="C4649" t="s">
        <v>61</v>
      </c>
      <c r="D4649" t="s">
        <v>67</v>
      </c>
      <c r="E4649" t="s">
        <v>68</v>
      </c>
      <c r="F4649" t="s">
        <v>25</v>
      </c>
      <c r="G4649" s="4">
        <v>3</v>
      </c>
      <c r="H4649" s="4" t="s">
        <v>18</v>
      </c>
      <c r="I4649" s="4" t="s">
        <v>69</v>
      </c>
      <c r="J4649" s="4" t="s">
        <v>66</v>
      </c>
      <c r="K4649" s="4">
        <v>1</v>
      </c>
      <c r="L4649" s="94">
        <v>445861</v>
      </c>
      <c r="M4649" s="94">
        <v>1337583</v>
      </c>
    </row>
    <row r="4650" spans="3:13" x14ac:dyDescent="0.3">
      <c r="C4650" t="s">
        <v>70</v>
      </c>
      <c r="D4650" t="s">
        <v>67</v>
      </c>
      <c r="E4650" t="s">
        <v>68</v>
      </c>
      <c r="F4650" t="s">
        <v>25</v>
      </c>
      <c r="G4650" s="4">
        <v>3</v>
      </c>
      <c r="H4650" s="4" t="s">
        <v>14</v>
      </c>
      <c r="I4650" s="4" t="s">
        <v>69</v>
      </c>
      <c r="J4650" s="4" t="s">
        <v>66</v>
      </c>
      <c r="K4650" s="4">
        <v>0</v>
      </c>
      <c r="L4650" s="94">
        <v>80121</v>
      </c>
      <c r="M4650" s="94">
        <v>240363</v>
      </c>
    </row>
    <row r="4651" spans="3:13" x14ac:dyDescent="0.3">
      <c r="C4651" t="s">
        <v>61</v>
      </c>
      <c r="D4651" t="s">
        <v>62</v>
      </c>
      <c r="E4651" t="s">
        <v>68</v>
      </c>
      <c r="F4651" t="s">
        <v>24</v>
      </c>
      <c r="G4651" s="4">
        <v>20</v>
      </c>
      <c r="I4651" s="4" t="s">
        <v>69</v>
      </c>
      <c r="J4651" s="4" t="s">
        <v>66</v>
      </c>
      <c r="K4651" s="4">
        <v>1</v>
      </c>
      <c r="L4651" s="94">
        <v>2326466</v>
      </c>
      <c r="M4651" s="94">
        <v>46529320</v>
      </c>
    </row>
    <row r="4652" spans="3:13" x14ac:dyDescent="0.3">
      <c r="C4652" t="s">
        <v>61</v>
      </c>
      <c r="D4652" t="s">
        <v>67</v>
      </c>
      <c r="E4652" t="s">
        <v>63</v>
      </c>
      <c r="F4652" t="s">
        <v>25</v>
      </c>
      <c r="G4652" s="4">
        <v>7</v>
      </c>
      <c r="H4652" s="4" t="s">
        <v>79</v>
      </c>
      <c r="I4652" s="4" t="s">
        <v>65</v>
      </c>
      <c r="J4652" s="4" t="s">
        <v>66</v>
      </c>
      <c r="K4652" s="4">
        <v>1</v>
      </c>
      <c r="L4652" s="94">
        <v>-86</v>
      </c>
      <c r="M4652" s="94">
        <v>0</v>
      </c>
    </row>
    <row r="4653" spans="3:13" x14ac:dyDescent="0.3">
      <c r="C4653" t="s">
        <v>70</v>
      </c>
      <c r="D4653" t="s">
        <v>67</v>
      </c>
      <c r="E4653" t="s">
        <v>68</v>
      </c>
      <c r="F4653" t="s">
        <v>26</v>
      </c>
      <c r="G4653" s="4">
        <v>8</v>
      </c>
      <c r="H4653" s="4" t="s">
        <v>76</v>
      </c>
      <c r="I4653" s="4" t="s">
        <v>69</v>
      </c>
      <c r="J4653" s="4" t="s">
        <v>66</v>
      </c>
      <c r="K4653" s="4">
        <v>0</v>
      </c>
      <c r="L4653" s="94">
        <v>591580</v>
      </c>
      <c r="M4653" s="94">
        <v>4732640</v>
      </c>
    </row>
    <row r="4654" spans="3:13" x14ac:dyDescent="0.3">
      <c r="C4654" t="s">
        <v>70</v>
      </c>
      <c r="D4654" t="s">
        <v>67</v>
      </c>
      <c r="E4654" t="s">
        <v>63</v>
      </c>
      <c r="F4654" t="s">
        <v>25</v>
      </c>
      <c r="G4654" s="4">
        <v>-1</v>
      </c>
      <c r="H4654" s="4" t="s">
        <v>12</v>
      </c>
      <c r="I4654" s="4" t="s">
        <v>69</v>
      </c>
      <c r="J4654" s="4" t="s">
        <v>66</v>
      </c>
      <c r="K4654" s="4">
        <v>1</v>
      </c>
      <c r="L4654" s="94">
        <v>-2967</v>
      </c>
      <c r="M4654" s="94">
        <v>0</v>
      </c>
    </row>
    <row r="4655" spans="3:13" x14ac:dyDescent="0.3">
      <c r="C4655" t="s">
        <v>61</v>
      </c>
      <c r="D4655" t="s">
        <v>67</v>
      </c>
      <c r="E4655" t="s">
        <v>68</v>
      </c>
      <c r="F4655" t="s">
        <v>72</v>
      </c>
      <c r="G4655" s="4">
        <v>2</v>
      </c>
      <c r="H4655" s="4" t="s">
        <v>13</v>
      </c>
      <c r="I4655" s="4" t="s">
        <v>69</v>
      </c>
      <c r="J4655" s="4" t="s">
        <v>66</v>
      </c>
      <c r="K4655" s="4">
        <v>0</v>
      </c>
      <c r="L4655" s="94">
        <v>107737</v>
      </c>
      <c r="M4655" s="94">
        <v>215474</v>
      </c>
    </row>
    <row r="4656" spans="3:13" x14ac:dyDescent="0.3">
      <c r="C4656" t="s">
        <v>70</v>
      </c>
      <c r="D4656" t="s">
        <v>67</v>
      </c>
      <c r="E4656" t="s">
        <v>68</v>
      </c>
      <c r="F4656" t="s">
        <v>26</v>
      </c>
      <c r="G4656" s="4">
        <v>5</v>
      </c>
      <c r="H4656" s="4" t="s">
        <v>79</v>
      </c>
      <c r="I4656" s="4" t="s">
        <v>69</v>
      </c>
      <c r="J4656" s="4" t="s">
        <v>66</v>
      </c>
      <c r="K4656" s="4">
        <v>0</v>
      </c>
      <c r="L4656" s="94">
        <v>592450</v>
      </c>
      <c r="M4656" s="94">
        <v>2962250</v>
      </c>
    </row>
    <row r="4657" spans="3:13" x14ac:dyDescent="0.3">
      <c r="C4657" t="s">
        <v>61</v>
      </c>
      <c r="D4657" t="s">
        <v>62</v>
      </c>
      <c r="E4657" t="s">
        <v>68</v>
      </c>
      <c r="F4657" t="s">
        <v>24</v>
      </c>
      <c r="G4657" s="4">
        <v>38</v>
      </c>
      <c r="I4657" s="4" t="s">
        <v>65</v>
      </c>
      <c r="J4657" s="4" t="s">
        <v>66</v>
      </c>
      <c r="K4657" s="4">
        <v>1</v>
      </c>
      <c r="L4657" s="94">
        <v>9437501</v>
      </c>
      <c r="M4657" s="94">
        <v>358625038</v>
      </c>
    </row>
    <row r="4658" spans="3:13" x14ac:dyDescent="0.3">
      <c r="C4658" t="s">
        <v>71</v>
      </c>
      <c r="D4658" t="s">
        <v>67</v>
      </c>
      <c r="E4658" t="s">
        <v>68</v>
      </c>
      <c r="F4658" t="s">
        <v>26</v>
      </c>
      <c r="G4658" s="4">
        <v>1</v>
      </c>
      <c r="H4658" s="4" t="s">
        <v>16</v>
      </c>
      <c r="I4658" s="4" t="s">
        <v>69</v>
      </c>
      <c r="J4658" s="4" t="s">
        <v>66</v>
      </c>
      <c r="K4658" s="4">
        <v>0</v>
      </c>
      <c r="L4658" s="94">
        <v>4731</v>
      </c>
      <c r="M4658" s="94">
        <v>4731</v>
      </c>
    </row>
    <row r="4659" spans="3:13" x14ac:dyDescent="0.3">
      <c r="C4659" t="s">
        <v>71</v>
      </c>
      <c r="D4659" t="s">
        <v>67</v>
      </c>
      <c r="E4659" t="s">
        <v>68</v>
      </c>
      <c r="F4659" t="s">
        <v>25</v>
      </c>
      <c r="G4659" s="4">
        <v>3</v>
      </c>
      <c r="H4659" s="4" t="s">
        <v>12</v>
      </c>
      <c r="I4659" s="4" t="s">
        <v>69</v>
      </c>
      <c r="J4659" s="4" t="s">
        <v>66</v>
      </c>
      <c r="K4659" s="4">
        <v>1</v>
      </c>
      <c r="L4659" s="94">
        <v>51982</v>
      </c>
      <c r="M4659" s="94">
        <v>155946</v>
      </c>
    </row>
    <row r="4660" spans="3:13" x14ac:dyDescent="0.3">
      <c r="C4660" t="s">
        <v>61</v>
      </c>
      <c r="D4660" t="s">
        <v>67</v>
      </c>
      <c r="E4660" t="s">
        <v>68</v>
      </c>
      <c r="F4660" t="s">
        <v>25</v>
      </c>
      <c r="G4660" s="4">
        <v>6</v>
      </c>
      <c r="H4660" s="4" t="s">
        <v>14</v>
      </c>
      <c r="I4660" s="4" t="s">
        <v>69</v>
      </c>
      <c r="J4660" s="4" t="s">
        <v>66</v>
      </c>
      <c r="K4660" s="4">
        <v>1</v>
      </c>
      <c r="L4660" s="94">
        <v>4683861</v>
      </c>
      <c r="M4660" s="94">
        <v>28103166</v>
      </c>
    </row>
    <row r="4661" spans="3:13" x14ac:dyDescent="0.3">
      <c r="C4661" t="s">
        <v>70</v>
      </c>
      <c r="D4661" t="s">
        <v>67</v>
      </c>
      <c r="E4661" t="s">
        <v>63</v>
      </c>
      <c r="F4661" t="s">
        <v>26</v>
      </c>
      <c r="G4661" s="4">
        <v>0</v>
      </c>
      <c r="H4661" s="4" t="s">
        <v>79</v>
      </c>
      <c r="I4661" s="4" t="s">
        <v>69</v>
      </c>
      <c r="J4661" s="4" t="s">
        <v>66</v>
      </c>
      <c r="K4661" s="4">
        <v>0</v>
      </c>
      <c r="L4661" s="94">
        <v>-22149</v>
      </c>
      <c r="M4661" s="94">
        <v>0</v>
      </c>
    </row>
    <row r="4662" spans="3:13" x14ac:dyDescent="0.3">
      <c r="C4662" t="s">
        <v>61</v>
      </c>
      <c r="D4662" t="s">
        <v>67</v>
      </c>
      <c r="E4662" t="s">
        <v>68</v>
      </c>
      <c r="F4662" t="s">
        <v>26</v>
      </c>
      <c r="G4662" s="4">
        <v>4</v>
      </c>
      <c r="H4662" s="4" t="s">
        <v>12</v>
      </c>
      <c r="I4662" s="4" t="s">
        <v>69</v>
      </c>
      <c r="J4662" s="4" t="s">
        <v>73</v>
      </c>
      <c r="K4662" s="4">
        <v>1</v>
      </c>
      <c r="L4662" s="94">
        <v>11260629</v>
      </c>
      <c r="M4662" s="94">
        <v>45042516</v>
      </c>
    </row>
    <row r="4663" spans="3:13" x14ac:dyDescent="0.3">
      <c r="C4663" t="s">
        <v>70</v>
      </c>
      <c r="D4663" t="s">
        <v>67</v>
      </c>
      <c r="E4663" t="s">
        <v>63</v>
      </c>
      <c r="F4663" t="s">
        <v>26</v>
      </c>
      <c r="G4663" s="4">
        <v>2</v>
      </c>
      <c r="H4663" s="4" t="s">
        <v>82</v>
      </c>
      <c r="I4663" s="4" t="s">
        <v>69</v>
      </c>
      <c r="J4663" s="4" t="s">
        <v>66</v>
      </c>
      <c r="K4663" s="4">
        <v>0</v>
      </c>
      <c r="L4663" s="94">
        <v>-402427</v>
      </c>
      <c r="M4663" s="94">
        <v>0</v>
      </c>
    </row>
    <row r="4664" spans="3:13" x14ac:dyDescent="0.3">
      <c r="C4664" t="s">
        <v>61</v>
      </c>
      <c r="D4664" t="s">
        <v>67</v>
      </c>
      <c r="E4664" t="s">
        <v>68</v>
      </c>
      <c r="F4664" t="s">
        <v>72</v>
      </c>
      <c r="G4664" s="4">
        <v>7</v>
      </c>
      <c r="H4664" s="4" t="s">
        <v>18</v>
      </c>
      <c r="I4664" s="4" t="s">
        <v>69</v>
      </c>
      <c r="J4664" s="4" t="s">
        <v>66</v>
      </c>
      <c r="K4664" s="4">
        <v>0</v>
      </c>
      <c r="L4664" s="94">
        <v>371407</v>
      </c>
      <c r="M4664" s="94">
        <v>2599849</v>
      </c>
    </row>
    <row r="4665" spans="3:13" x14ac:dyDescent="0.3">
      <c r="C4665" t="s">
        <v>71</v>
      </c>
      <c r="D4665" t="s">
        <v>62</v>
      </c>
      <c r="E4665" t="s">
        <v>63</v>
      </c>
      <c r="F4665" t="s">
        <v>24</v>
      </c>
      <c r="G4665" s="4">
        <v>53</v>
      </c>
      <c r="I4665" s="4" t="s">
        <v>69</v>
      </c>
      <c r="J4665" s="4" t="s">
        <v>66</v>
      </c>
      <c r="K4665" s="4">
        <v>0</v>
      </c>
      <c r="L4665" s="94">
        <v>-13877</v>
      </c>
      <c r="M4665" s="94">
        <v>0</v>
      </c>
    </row>
    <row r="4666" spans="3:13" x14ac:dyDescent="0.3">
      <c r="C4666" t="s">
        <v>61</v>
      </c>
      <c r="D4666" t="s">
        <v>67</v>
      </c>
      <c r="E4666" t="s">
        <v>68</v>
      </c>
      <c r="F4666" t="s">
        <v>26</v>
      </c>
      <c r="G4666" s="4">
        <v>4</v>
      </c>
      <c r="H4666" s="4" t="s">
        <v>17</v>
      </c>
      <c r="I4666" s="4" t="s">
        <v>65</v>
      </c>
      <c r="J4666" s="4" t="s">
        <v>66</v>
      </c>
      <c r="K4666" s="4">
        <v>1</v>
      </c>
      <c r="L4666" s="94">
        <v>88508</v>
      </c>
      <c r="M4666" s="94">
        <v>354032</v>
      </c>
    </row>
    <row r="4667" spans="3:13" x14ac:dyDescent="0.3">
      <c r="C4667" t="s">
        <v>70</v>
      </c>
      <c r="D4667" t="s">
        <v>67</v>
      </c>
      <c r="E4667" t="s">
        <v>68</v>
      </c>
      <c r="F4667" t="s">
        <v>72</v>
      </c>
      <c r="G4667" s="4">
        <v>1</v>
      </c>
      <c r="H4667" s="4" t="s">
        <v>12</v>
      </c>
      <c r="I4667" s="4" t="s">
        <v>69</v>
      </c>
      <c r="J4667" s="4" t="s">
        <v>66</v>
      </c>
      <c r="K4667" s="4">
        <v>0</v>
      </c>
      <c r="L4667" s="94">
        <v>140058</v>
      </c>
      <c r="M4667" s="94">
        <v>140058</v>
      </c>
    </row>
    <row r="4668" spans="3:13" x14ac:dyDescent="0.3">
      <c r="C4668" t="s">
        <v>70</v>
      </c>
      <c r="D4668" t="s">
        <v>67</v>
      </c>
      <c r="E4668" t="s">
        <v>68</v>
      </c>
      <c r="F4668" t="s">
        <v>26</v>
      </c>
      <c r="G4668" s="4">
        <v>0</v>
      </c>
      <c r="H4668" s="4" t="s">
        <v>77</v>
      </c>
      <c r="I4668" s="4" t="s">
        <v>69</v>
      </c>
      <c r="J4668" s="4" t="s">
        <v>66</v>
      </c>
      <c r="K4668" s="4">
        <v>0</v>
      </c>
      <c r="L4668" s="94">
        <v>1118678</v>
      </c>
      <c r="M4668" s="94">
        <v>0</v>
      </c>
    </row>
    <row r="4669" spans="3:13" x14ac:dyDescent="0.3">
      <c r="C4669" t="s">
        <v>70</v>
      </c>
      <c r="D4669" t="s">
        <v>67</v>
      </c>
      <c r="E4669" t="s">
        <v>68</v>
      </c>
      <c r="F4669" t="s">
        <v>72</v>
      </c>
      <c r="G4669" s="4">
        <v>5</v>
      </c>
      <c r="H4669" s="4" t="s">
        <v>79</v>
      </c>
      <c r="I4669" s="4" t="s">
        <v>69</v>
      </c>
      <c r="J4669" s="4" t="s">
        <v>66</v>
      </c>
      <c r="K4669" s="4">
        <v>0</v>
      </c>
      <c r="L4669" s="94">
        <v>1107516</v>
      </c>
      <c r="M4669" s="94">
        <v>5537580</v>
      </c>
    </row>
    <row r="4670" spans="3:13" x14ac:dyDescent="0.3">
      <c r="C4670" t="s">
        <v>71</v>
      </c>
      <c r="D4670" t="s">
        <v>67</v>
      </c>
      <c r="E4670" t="s">
        <v>68</v>
      </c>
      <c r="F4670" t="s">
        <v>25</v>
      </c>
      <c r="G4670" s="4">
        <v>4</v>
      </c>
      <c r="H4670" s="4" t="s">
        <v>17</v>
      </c>
      <c r="I4670" s="4" t="s">
        <v>69</v>
      </c>
      <c r="J4670" s="4" t="s">
        <v>66</v>
      </c>
      <c r="K4670" s="4">
        <v>0</v>
      </c>
      <c r="L4670" s="94">
        <v>750434</v>
      </c>
      <c r="M4670" s="94">
        <v>3001736</v>
      </c>
    </row>
    <row r="4671" spans="3:13" x14ac:dyDescent="0.3">
      <c r="C4671" t="s">
        <v>70</v>
      </c>
      <c r="D4671" t="s">
        <v>67</v>
      </c>
      <c r="E4671" t="s">
        <v>68</v>
      </c>
      <c r="F4671" t="s">
        <v>26</v>
      </c>
      <c r="G4671" s="4">
        <v>15</v>
      </c>
      <c r="H4671" s="4" t="s">
        <v>17</v>
      </c>
      <c r="I4671" s="4" t="s">
        <v>69</v>
      </c>
      <c r="J4671" s="4" t="s">
        <v>66</v>
      </c>
      <c r="K4671" s="4">
        <v>0</v>
      </c>
      <c r="L4671" s="94">
        <v>69983</v>
      </c>
      <c r="M4671" s="94">
        <v>1049745</v>
      </c>
    </row>
    <row r="4672" spans="3:13" x14ac:dyDescent="0.3">
      <c r="C4672" t="s">
        <v>61</v>
      </c>
      <c r="D4672" t="s">
        <v>67</v>
      </c>
      <c r="E4672" t="s">
        <v>63</v>
      </c>
      <c r="F4672" t="s">
        <v>72</v>
      </c>
      <c r="G4672" s="4">
        <v>5</v>
      </c>
      <c r="H4672" s="4" t="s">
        <v>74</v>
      </c>
      <c r="I4672" s="4" t="s">
        <v>69</v>
      </c>
      <c r="J4672" s="4" t="s">
        <v>66</v>
      </c>
      <c r="K4672" s="4">
        <v>0</v>
      </c>
      <c r="L4672" s="94">
        <v>-8874</v>
      </c>
      <c r="M4672" s="94">
        <v>0</v>
      </c>
    </row>
    <row r="4673" spans="3:13" x14ac:dyDescent="0.3">
      <c r="C4673" t="s">
        <v>61</v>
      </c>
      <c r="D4673" t="s">
        <v>67</v>
      </c>
      <c r="E4673" t="s">
        <v>63</v>
      </c>
      <c r="F4673" t="s">
        <v>72</v>
      </c>
      <c r="G4673" s="4">
        <v>0</v>
      </c>
      <c r="H4673" s="4" t="s">
        <v>79</v>
      </c>
      <c r="I4673" s="4" t="s">
        <v>69</v>
      </c>
      <c r="J4673" s="4" t="s">
        <v>66</v>
      </c>
      <c r="K4673" s="4">
        <v>0</v>
      </c>
      <c r="L4673" s="94">
        <v>-584</v>
      </c>
      <c r="M4673" s="94">
        <v>0</v>
      </c>
    </row>
    <row r="4674" spans="3:13" x14ac:dyDescent="0.3">
      <c r="C4674" t="s">
        <v>71</v>
      </c>
      <c r="D4674" t="s">
        <v>67</v>
      </c>
      <c r="E4674" t="s">
        <v>68</v>
      </c>
      <c r="F4674" t="s">
        <v>26</v>
      </c>
      <c r="G4674" s="4">
        <v>-1</v>
      </c>
      <c r="H4674" s="4" t="s">
        <v>14</v>
      </c>
      <c r="I4674" s="4" t="s">
        <v>65</v>
      </c>
      <c r="J4674" s="4" t="s">
        <v>66</v>
      </c>
      <c r="K4674" s="4">
        <v>1</v>
      </c>
      <c r="L4674" s="94">
        <v>51463</v>
      </c>
      <c r="M4674" s="94">
        <v>0</v>
      </c>
    </row>
    <row r="4675" spans="3:13" x14ac:dyDescent="0.3">
      <c r="C4675" t="s">
        <v>61</v>
      </c>
      <c r="D4675" t="s">
        <v>62</v>
      </c>
      <c r="E4675" t="s">
        <v>68</v>
      </c>
      <c r="F4675" t="s">
        <v>25</v>
      </c>
      <c r="G4675" s="4">
        <v>36</v>
      </c>
      <c r="I4675" s="4" t="s">
        <v>69</v>
      </c>
      <c r="J4675" s="4" t="s">
        <v>66</v>
      </c>
      <c r="K4675" s="4">
        <v>0</v>
      </c>
      <c r="L4675" s="94">
        <v>131988</v>
      </c>
      <c r="M4675" s="94">
        <v>4751568</v>
      </c>
    </row>
    <row r="4676" spans="3:13" x14ac:dyDescent="0.3">
      <c r="C4676" t="s">
        <v>61</v>
      </c>
      <c r="D4676" t="s">
        <v>67</v>
      </c>
      <c r="E4676" t="s">
        <v>63</v>
      </c>
      <c r="F4676" t="s">
        <v>26</v>
      </c>
      <c r="G4676" s="4">
        <v>-1</v>
      </c>
      <c r="H4676" s="4" t="s">
        <v>15</v>
      </c>
      <c r="I4676" s="4" t="s">
        <v>69</v>
      </c>
      <c r="J4676" s="4" t="s">
        <v>73</v>
      </c>
      <c r="K4676" s="4">
        <v>1</v>
      </c>
      <c r="L4676" s="94">
        <v>-477</v>
      </c>
      <c r="M4676" s="94">
        <v>0</v>
      </c>
    </row>
    <row r="4677" spans="3:13" x14ac:dyDescent="0.3">
      <c r="C4677" t="s">
        <v>71</v>
      </c>
      <c r="D4677" t="s">
        <v>62</v>
      </c>
      <c r="E4677" t="s">
        <v>68</v>
      </c>
      <c r="F4677" t="s">
        <v>24</v>
      </c>
      <c r="G4677" s="4">
        <v>53</v>
      </c>
      <c r="I4677" s="4" t="s">
        <v>69</v>
      </c>
      <c r="J4677" s="4" t="s">
        <v>66</v>
      </c>
      <c r="K4677" s="4">
        <v>0</v>
      </c>
      <c r="L4677" s="94">
        <v>50354</v>
      </c>
      <c r="M4677" s="94">
        <v>2668762</v>
      </c>
    </row>
    <row r="4678" spans="3:13" x14ac:dyDescent="0.3">
      <c r="C4678" t="s">
        <v>70</v>
      </c>
      <c r="D4678" t="s">
        <v>67</v>
      </c>
      <c r="E4678" t="s">
        <v>68</v>
      </c>
      <c r="F4678" t="s">
        <v>26</v>
      </c>
      <c r="G4678" s="4">
        <v>3</v>
      </c>
      <c r="H4678" s="4" t="s">
        <v>12</v>
      </c>
      <c r="I4678" s="4" t="s">
        <v>69</v>
      </c>
      <c r="J4678" s="4" t="s">
        <v>66</v>
      </c>
      <c r="K4678" s="4">
        <v>0</v>
      </c>
      <c r="L4678" s="94">
        <v>2289527</v>
      </c>
      <c r="M4678" s="94">
        <v>6868581</v>
      </c>
    </row>
    <row r="4679" spans="3:13" x14ac:dyDescent="0.3">
      <c r="C4679" t="s">
        <v>71</v>
      </c>
      <c r="D4679" t="s">
        <v>67</v>
      </c>
      <c r="E4679" t="s">
        <v>68</v>
      </c>
      <c r="F4679" t="s">
        <v>26</v>
      </c>
      <c r="G4679" s="4">
        <v>-1</v>
      </c>
      <c r="H4679" s="4" t="s">
        <v>15</v>
      </c>
      <c r="I4679" s="4" t="s">
        <v>69</v>
      </c>
      <c r="J4679" s="4" t="s">
        <v>73</v>
      </c>
      <c r="K4679" s="4">
        <v>1</v>
      </c>
      <c r="L4679" s="94">
        <v>4548</v>
      </c>
      <c r="M4679" s="94">
        <v>0</v>
      </c>
    </row>
    <row r="4680" spans="3:13" x14ac:dyDescent="0.3">
      <c r="C4680" t="s">
        <v>71</v>
      </c>
      <c r="D4680" t="s">
        <v>62</v>
      </c>
      <c r="E4680" t="s">
        <v>68</v>
      </c>
      <c r="F4680" t="s">
        <v>24</v>
      </c>
      <c r="G4680" s="4">
        <v>-4</v>
      </c>
      <c r="I4680" s="4" t="s">
        <v>69</v>
      </c>
      <c r="J4680" s="4" t="s">
        <v>66</v>
      </c>
      <c r="K4680" s="4">
        <v>0</v>
      </c>
      <c r="L4680" s="94">
        <v>968924</v>
      </c>
      <c r="M4680" s="94">
        <v>0</v>
      </c>
    </row>
    <row r="4681" spans="3:13" x14ac:dyDescent="0.3">
      <c r="C4681" t="s">
        <v>61</v>
      </c>
      <c r="D4681" t="s">
        <v>67</v>
      </c>
      <c r="E4681" t="s">
        <v>63</v>
      </c>
      <c r="F4681" t="s">
        <v>26</v>
      </c>
      <c r="G4681" s="4">
        <v>3</v>
      </c>
      <c r="H4681" s="4" t="s">
        <v>17</v>
      </c>
      <c r="I4681" s="4" t="s">
        <v>65</v>
      </c>
      <c r="J4681" s="4" t="s">
        <v>73</v>
      </c>
      <c r="K4681" s="4">
        <v>1</v>
      </c>
      <c r="L4681" s="94">
        <v>-8795</v>
      </c>
      <c r="M4681" s="94">
        <v>0</v>
      </c>
    </row>
    <row r="4682" spans="3:13" x14ac:dyDescent="0.3">
      <c r="C4682" t="s">
        <v>70</v>
      </c>
      <c r="D4682" t="s">
        <v>67</v>
      </c>
      <c r="E4682" t="s">
        <v>63</v>
      </c>
      <c r="F4682" t="s">
        <v>25</v>
      </c>
      <c r="G4682" s="4">
        <v>13</v>
      </c>
      <c r="H4682" s="4" t="s">
        <v>75</v>
      </c>
      <c r="I4682" s="4" t="s">
        <v>69</v>
      </c>
      <c r="J4682" s="4" t="s">
        <v>66</v>
      </c>
      <c r="K4682" s="4">
        <v>0</v>
      </c>
      <c r="L4682" s="94">
        <v>-83359</v>
      </c>
      <c r="M4682" s="94">
        <v>0</v>
      </c>
    </row>
    <row r="4683" spans="3:13" x14ac:dyDescent="0.3">
      <c r="C4683" t="s">
        <v>61</v>
      </c>
      <c r="D4683" t="s">
        <v>67</v>
      </c>
      <c r="E4683" t="s">
        <v>63</v>
      </c>
      <c r="F4683" t="s">
        <v>26</v>
      </c>
      <c r="G4683" s="4">
        <v>-1</v>
      </c>
      <c r="H4683" s="4" t="s">
        <v>14</v>
      </c>
      <c r="I4683" s="4" t="s">
        <v>65</v>
      </c>
      <c r="J4683" s="4" t="s">
        <v>66</v>
      </c>
      <c r="K4683" s="4">
        <v>1</v>
      </c>
      <c r="L4683" s="94">
        <v>-814</v>
      </c>
      <c r="M4683" s="94">
        <v>0</v>
      </c>
    </row>
    <row r="4684" spans="3:13" x14ac:dyDescent="0.3">
      <c r="C4684" t="s">
        <v>71</v>
      </c>
      <c r="D4684" t="s">
        <v>67</v>
      </c>
      <c r="E4684" t="s">
        <v>68</v>
      </c>
      <c r="F4684" t="s">
        <v>25</v>
      </c>
      <c r="G4684" s="4">
        <v>-4</v>
      </c>
      <c r="H4684" s="4" t="s">
        <v>18</v>
      </c>
      <c r="I4684" s="4" t="s">
        <v>69</v>
      </c>
      <c r="J4684" s="4" t="s">
        <v>66</v>
      </c>
      <c r="K4684" s="4">
        <v>0</v>
      </c>
      <c r="L4684" s="94">
        <v>225343</v>
      </c>
      <c r="M4684" s="94">
        <v>0</v>
      </c>
    </row>
    <row r="4685" spans="3:13" x14ac:dyDescent="0.3">
      <c r="C4685" t="s">
        <v>70</v>
      </c>
      <c r="D4685" t="s">
        <v>67</v>
      </c>
      <c r="E4685" t="s">
        <v>63</v>
      </c>
      <c r="F4685" t="s">
        <v>72</v>
      </c>
      <c r="G4685" s="4">
        <v>3</v>
      </c>
      <c r="H4685" s="4" t="s">
        <v>14</v>
      </c>
      <c r="I4685" s="4" t="s">
        <v>69</v>
      </c>
      <c r="J4685" s="4" t="s">
        <v>66</v>
      </c>
      <c r="K4685" s="4">
        <v>0</v>
      </c>
      <c r="L4685" s="94">
        <v>-72166</v>
      </c>
      <c r="M4685" s="94">
        <v>0</v>
      </c>
    </row>
    <row r="4686" spans="3:13" x14ac:dyDescent="0.3">
      <c r="C4686" t="s">
        <v>61</v>
      </c>
      <c r="D4686" t="s">
        <v>67</v>
      </c>
      <c r="E4686" t="s">
        <v>63</v>
      </c>
      <c r="F4686" t="s">
        <v>25</v>
      </c>
      <c r="G4686" s="4">
        <v>5</v>
      </c>
      <c r="H4686" s="4" t="s">
        <v>82</v>
      </c>
      <c r="I4686" s="4" t="s">
        <v>69</v>
      </c>
      <c r="J4686" s="4" t="s">
        <v>66</v>
      </c>
      <c r="K4686" s="4">
        <v>0</v>
      </c>
      <c r="L4686" s="94">
        <v>-4340</v>
      </c>
      <c r="M4686" s="94">
        <v>0</v>
      </c>
    </row>
    <row r="4687" spans="3:13" x14ac:dyDescent="0.3">
      <c r="C4687" t="s">
        <v>70</v>
      </c>
      <c r="D4687" t="s">
        <v>67</v>
      </c>
      <c r="E4687" t="s">
        <v>63</v>
      </c>
      <c r="F4687" t="s">
        <v>25</v>
      </c>
      <c r="G4687" s="4">
        <v>5</v>
      </c>
      <c r="H4687" s="4" t="s">
        <v>76</v>
      </c>
      <c r="I4687" s="4" t="s">
        <v>69</v>
      </c>
      <c r="J4687" s="4" t="s">
        <v>66</v>
      </c>
      <c r="K4687" s="4">
        <v>0</v>
      </c>
      <c r="L4687" s="94">
        <v>-224218</v>
      </c>
      <c r="M4687" s="94">
        <v>0</v>
      </c>
    </row>
    <row r="4688" spans="3:13" x14ac:dyDescent="0.3">
      <c r="C4688" t="s">
        <v>61</v>
      </c>
      <c r="D4688" t="s">
        <v>67</v>
      </c>
      <c r="E4688" t="s">
        <v>68</v>
      </c>
      <c r="F4688" t="s">
        <v>25</v>
      </c>
      <c r="G4688" s="4">
        <v>0</v>
      </c>
      <c r="H4688" s="4" t="s">
        <v>80</v>
      </c>
      <c r="I4688" s="4" t="s">
        <v>69</v>
      </c>
      <c r="J4688" s="4" t="s">
        <v>66</v>
      </c>
      <c r="K4688" s="4">
        <v>0</v>
      </c>
      <c r="L4688" s="94">
        <v>12037</v>
      </c>
      <c r="M4688" s="94">
        <v>0</v>
      </c>
    </row>
    <row r="4689" spans="3:13" x14ac:dyDescent="0.3">
      <c r="C4689" t="s">
        <v>70</v>
      </c>
      <c r="D4689" t="s">
        <v>62</v>
      </c>
      <c r="E4689" t="s">
        <v>68</v>
      </c>
      <c r="F4689" t="s">
        <v>24</v>
      </c>
      <c r="G4689" s="4">
        <v>25</v>
      </c>
      <c r="I4689" s="4" t="s">
        <v>65</v>
      </c>
      <c r="J4689" s="4" t="s">
        <v>66</v>
      </c>
      <c r="K4689" s="4">
        <v>1</v>
      </c>
      <c r="L4689" s="94">
        <v>772033</v>
      </c>
      <c r="M4689" s="94">
        <v>19300825</v>
      </c>
    </row>
    <row r="4690" spans="3:13" x14ac:dyDescent="0.3">
      <c r="C4690" t="s">
        <v>71</v>
      </c>
      <c r="D4690" t="s">
        <v>67</v>
      </c>
      <c r="E4690" t="s">
        <v>63</v>
      </c>
      <c r="F4690" t="s">
        <v>26</v>
      </c>
      <c r="G4690" s="4">
        <v>-1</v>
      </c>
      <c r="H4690" s="4" t="s">
        <v>17</v>
      </c>
      <c r="I4690" s="4" t="s">
        <v>69</v>
      </c>
      <c r="J4690" s="4" t="s">
        <v>73</v>
      </c>
      <c r="K4690" s="4">
        <v>1</v>
      </c>
      <c r="L4690" s="94">
        <v>-224572</v>
      </c>
      <c r="M4690" s="94">
        <v>0</v>
      </c>
    </row>
    <row r="4691" spans="3:13" x14ac:dyDescent="0.3">
      <c r="C4691" t="s">
        <v>61</v>
      </c>
      <c r="D4691" t="s">
        <v>62</v>
      </c>
      <c r="E4691" t="s">
        <v>63</v>
      </c>
      <c r="F4691" t="s">
        <v>24</v>
      </c>
      <c r="G4691" s="4">
        <v>37</v>
      </c>
      <c r="I4691" s="4" t="s">
        <v>69</v>
      </c>
      <c r="J4691" s="4" t="s">
        <v>66</v>
      </c>
      <c r="K4691" s="4">
        <v>0</v>
      </c>
      <c r="L4691" s="94">
        <v>-751029</v>
      </c>
      <c r="M4691" s="94">
        <v>0</v>
      </c>
    </row>
    <row r="4692" spans="3:13" x14ac:dyDescent="0.3">
      <c r="C4692" t="s">
        <v>70</v>
      </c>
      <c r="D4692" t="s">
        <v>67</v>
      </c>
      <c r="E4692" t="s">
        <v>68</v>
      </c>
      <c r="F4692" t="s">
        <v>26</v>
      </c>
      <c r="G4692" s="4">
        <v>5</v>
      </c>
      <c r="H4692" s="4" t="s">
        <v>86</v>
      </c>
      <c r="I4692" s="4" t="s">
        <v>69</v>
      </c>
      <c r="J4692" s="4" t="s">
        <v>66</v>
      </c>
      <c r="K4692" s="4">
        <v>0</v>
      </c>
      <c r="L4692" s="94">
        <v>47878</v>
      </c>
      <c r="M4692" s="94">
        <v>239390</v>
      </c>
    </row>
    <row r="4693" spans="3:13" x14ac:dyDescent="0.3">
      <c r="C4693" t="s">
        <v>61</v>
      </c>
      <c r="D4693" t="s">
        <v>67</v>
      </c>
      <c r="E4693" t="s">
        <v>63</v>
      </c>
      <c r="F4693" t="s">
        <v>25</v>
      </c>
      <c r="G4693" s="4">
        <v>1</v>
      </c>
      <c r="H4693" s="4" t="s">
        <v>75</v>
      </c>
      <c r="I4693" s="4" t="s">
        <v>69</v>
      </c>
      <c r="J4693" s="4" t="s">
        <v>66</v>
      </c>
      <c r="K4693" s="4">
        <v>1</v>
      </c>
      <c r="L4693" s="94">
        <v>-1309</v>
      </c>
      <c r="M4693" s="94">
        <v>0</v>
      </c>
    </row>
    <row r="4694" spans="3:13" x14ac:dyDescent="0.3">
      <c r="C4694" t="s">
        <v>71</v>
      </c>
      <c r="D4694" t="s">
        <v>84</v>
      </c>
      <c r="E4694" t="s">
        <v>68</v>
      </c>
      <c r="F4694" t="s">
        <v>25</v>
      </c>
      <c r="G4694" s="4">
        <v>1</v>
      </c>
      <c r="H4694" s="4" t="s">
        <v>75</v>
      </c>
      <c r="I4694" s="4" t="s">
        <v>69</v>
      </c>
      <c r="J4694" s="4" t="s">
        <v>66</v>
      </c>
      <c r="K4694" s="4">
        <v>0</v>
      </c>
      <c r="L4694" s="94">
        <v>1307632</v>
      </c>
      <c r="M4694" s="94">
        <v>1307632</v>
      </c>
    </row>
    <row r="4695" spans="3:13" x14ac:dyDescent="0.3">
      <c r="C4695" t="s">
        <v>61</v>
      </c>
      <c r="D4695" t="s">
        <v>67</v>
      </c>
      <c r="E4695" t="s">
        <v>68</v>
      </c>
      <c r="G4695" s="4">
        <v>-1</v>
      </c>
      <c r="H4695" s="4" t="s">
        <v>77</v>
      </c>
      <c r="I4695" s="4" t="s">
        <v>69</v>
      </c>
      <c r="J4695" s="4" t="s">
        <v>66</v>
      </c>
      <c r="K4695" s="4">
        <v>0</v>
      </c>
      <c r="L4695" s="94">
        <v>0</v>
      </c>
      <c r="M4695" s="94">
        <v>0</v>
      </c>
    </row>
    <row r="4696" spans="3:13" x14ac:dyDescent="0.3">
      <c r="C4696" t="s">
        <v>71</v>
      </c>
      <c r="D4696" t="s">
        <v>67</v>
      </c>
      <c r="E4696" t="s">
        <v>68</v>
      </c>
      <c r="F4696" t="s">
        <v>26</v>
      </c>
      <c r="G4696" s="4">
        <v>3</v>
      </c>
      <c r="H4696" s="4" t="s">
        <v>17</v>
      </c>
      <c r="I4696" s="4" t="s">
        <v>69</v>
      </c>
      <c r="J4696" s="4" t="s">
        <v>73</v>
      </c>
      <c r="K4696" s="4">
        <v>1</v>
      </c>
      <c r="L4696" s="94">
        <v>689503</v>
      </c>
      <c r="M4696" s="94">
        <v>2068509</v>
      </c>
    </row>
    <row r="4697" spans="3:13" x14ac:dyDescent="0.3">
      <c r="C4697" t="s">
        <v>70</v>
      </c>
      <c r="D4697" t="s">
        <v>67</v>
      </c>
      <c r="E4697" t="s">
        <v>68</v>
      </c>
      <c r="F4697" t="s">
        <v>26</v>
      </c>
      <c r="G4697" s="4">
        <v>-1</v>
      </c>
      <c r="H4697" s="4" t="s">
        <v>14</v>
      </c>
      <c r="I4697" s="4" t="s">
        <v>69</v>
      </c>
      <c r="J4697" s="4" t="s">
        <v>66</v>
      </c>
      <c r="K4697" s="4">
        <v>0</v>
      </c>
      <c r="L4697" s="94">
        <v>22364830</v>
      </c>
      <c r="M4697" s="94">
        <v>0</v>
      </c>
    </row>
    <row r="4698" spans="3:13" x14ac:dyDescent="0.3">
      <c r="C4698" t="s">
        <v>61</v>
      </c>
      <c r="D4698" t="s">
        <v>67</v>
      </c>
      <c r="E4698" t="s">
        <v>63</v>
      </c>
      <c r="F4698" t="s">
        <v>72</v>
      </c>
      <c r="G4698" s="4">
        <v>3</v>
      </c>
      <c r="H4698" s="4" t="s">
        <v>14</v>
      </c>
      <c r="I4698" s="4" t="s">
        <v>69</v>
      </c>
      <c r="J4698" s="4" t="s">
        <v>66</v>
      </c>
      <c r="K4698" s="4">
        <v>0</v>
      </c>
      <c r="L4698" s="94">
        <v>-11605</v>
      </c>
      <c r="M4698" s="94">
        <v>0</v>
      </c>
    </row>
    <row r="4699" spans="3:13" x14ac:dyDescent="0.3">
      <c r="C4699" t="s">
        <v>71</v>
      </c>
      <c r="D4699" t="s">
        <v>67</v>
      </c>
      <c r="E4699" t="s">
        <v>68</v>
      </c>
      <c r="F4699" t="s">
        <v>72</v>
      </c>
      <c r="G4699" s="4">
        <v>2</v>
      </c>
      <c r="H4699" s="4" t="s">
        <v>76</v>
      </c>
      <c r="I4699" s="4" t="s">
        <v>69</v>
      </c>
      <c r="J4699" s="4" t="s">
        <v>66</v>
      </c>
      <c r="K4699" s="4">
        <v>0</v>
      </c>
      <c r="L4699" s="94">
        <v>74055</v>
      </c>
      <c r="M4699" s="94">
        <v>148110</v>
      </c>
    </row>
    <row r="4700" spans="3:13" x14ac:dyDescent="0.3">
      <c r="C4700" t="s">
        <v>70</v>
      </c>
      <c r="D4700" t="s">
        <v>67</v>
      </c>
      <c r="E4700" t="s">
        <v>68</v>
      </c>
      <c r="F4700" t="s">
        <v>72</v>
      </c>
      <c r="G4700" s="4">
        <v>3</v>
      </c>
      <c r="H4700" s="4" t="s">
        <v>77</v>
      </c>
      <c r="I4700" s="4" t="s">
        <v>69</v>
      </c>
      <c r="J4700" s="4" t="s">
        <v>66</v>
      </c>
      <c r="K4700" s="4">
        <v>0</v>
      </c>
      <c r="L4700" s="94">
        <v>213289</v>
      </c>
      <c r="M4700" s="94">
        <v>639867</v>
      </c>
    </row>
    <row r="4701" spans="3:13" x14ac:dyDescent="0.3">
      <c r="C4701" t="s">
        <v>71</v>
      </c>
      <c r="D4701" t="s">
        <v>67</v>
      </c>
      <c r="E4701" t="s">
        <v>63</v>
      </c>
      <c r="F4701" t="s">
        <v>25</v>
      </c>
      <c r="G4701" s="4">
        <v>13</v>
      </c>
      <c r="H4701" s="4" t="s">
        <v>76</v>
      </c>
      <c r="I4701" s="4" t="s">
        <v>69</v>
      </c>
      <c r="J4701" s="4" t="s">
        <v>66</v>
      </c>
      <c r="K4701" s="4">
        <v>0</v>
      </c>
      <c r="L4701" s="94">
        <v>-6631654</v>
      </c>
      <c r="M4701" s="94">
        <v>0</v>
      </c>
    </row>
    <row r="4702" spans="3:13" x14ac:dyDescent="0.3">
      <c r="C4702" t="s">
        <v>70</v>
      </c>
      <c r="D4702" t="s">
        <v>67</v>
      </c>
      <c r="E4702" t="s">
        <v>63</v>
      </c>
      <c r="F4702" t="s">
        <v>25</v>
      </c>
      <c r="G4702" s="4">
        <v>2</v>
      </c>
      <c r="H4702" s="4" t="s">
        <v>12</v>
      </c>
      <c r="I4702" s="4" t="s">
        <v>69</v>
      </c>
      <c r="J4702" s="4" t="s">
        <v>66</v>
      </c>
      <c r="K4702" s="4">
        <v>0</v>
      </c>
      <c r="L4702" s="94">
        <v>-798</v>
      </c>
      <c r="M4702" s="94">
        <v>0</v>
      </c>
    </row>
    <row r="4703" spans="3:13" x14ac:dyDescent="0.3">
      <c r="C4703" t="s">
        <v>61</v>
      </c>
      <c r="D4703" t="s">
        <v>67</v>
      </c>
      <c r="E4703" t="s">
        <v>68</v>
      </c>
      <c r="F4703" t="s">
        <v>26</v>
      </c>
      <c r="G4703" s="4">
        <v>1</v>
      </c>
      <c r="H4703" s="4" t="s">
        <v>79</v>
      </c>
      <c r="I4703" s="4" t="s">
        <v>69</v>
      </c>
      <c r="J4703" s="4" t="s">
        <v>66</v>
      </c>
      <c r="K4703" s="4">
        <v>0</v>
      </c>
      <c r="L4703" s="94">
        <v>13848108</v>
      </c>
      <c r="M4703" s="94">
        <v>13848108</v>
      </c>
    </row>
    <row r="4704" spans="3:13" x14ac:dyDescent="0.3">
      <c r="C4704" t="s">
        <v>71</v>
      </c>
      <c r="D4704" t="s">
        <v>67</v>
      </c>
      <c r="E4704" t="s">
        <v>68</v>
      </c>
      <c r="F4704" t="s">
        <v>72</v>
      </c>
      <c r="G4704" s="4">
        <v>1</v>
      </c>
      <c r="H4704" s="4" t="s">
        <v>14</v>
      </c>
      <c r="I4704" s="4" t="s">
        <v>69</v>
      </c>
      <c r="J4704" s="4" t="s">
        <v>73</v>
      </c>
      <c r="K4704" s="4">
        <v>1</v>
      </c>
      <c r="L4704" s="94">
        <v>255657</v>
      </c>
      <c r="M4704" s="94">
        <v>255657</v>
      </c>
    </row>
    <row r="4705" spans="3:13" x14ac:dyDescent="0.3">
      <c r="C4705" t="s">
        <v>61</v>
      </c>
      <c r="D4705" t="s">
        <v>67</v>
      </c>
      <c r="E4705" t="s">
        <v>63</v>
      </c>
      <c r="F4705" t="s">
        <v>26</v>
      </c>
      <c r="G4705" s="4">
        <v>3</v>
      </c>
      <c r="H4705" s="4" t="s">
        <v>80</v>
      </c>
      <c r="I4705" s="4" t="s">
        <v>69</v>
      </c>
      <c r="J4705" s="4" t="s">
        <v>66</v>
      </c>
      <c r="K4705" s="4">
        <v>0</v>
      </c>
      <c r="L4705" s="94">
        <v>-8255</v>
      </c>
      <c r="M4705" s="94">
        <v>0</v>
      </c>
    </row>
    <row r="4706" spans="3:13" x14ac:dyDescent="0.3">
      <c r="C4706" t="s">
        <v>70</v>
      </c>
      <c r="D4706" t="s">
        <v>67</v>
      </c>
      <c r="E4706" t="s">
        <v>63</v>
      </c>
      <c r="F4706" t="s">
        <v>72</v>
      </c>
      <c r="G4706" s="4">
        <v>0</v>
      </c>
      <c r="H4706" s="4" t="s">
        <v>79</v>
      </c>
      <c r="I4706" s="4" t="s">
        <v>69</v>
      </c>
      <c r="J4706" s="4" t="s">
        <v>66</v>
      </c>
      <c r="K4706" s="4">
        <v>0</v>
      </c>
      <c r="L4706" s="94">
        <v>-1530</v>
      </c>
      <c r="M4706" s="94">
        <v>0</v>
      </c>
    </row>
    <row r="4707" spans="3:13" x14ac:dyDescent="0.3">
      <c r="C4707" t="s">
        <v>71</v>
      </c>
      <c r="D4707" t="s">
        <v>67</v>
      </c>
      <c r="E4707" t="s">
        <v>63</v>
      </c>
      <c r="F4707" t="s">
        <v>26</v>
      </c>
      <c r="G4707" s="4">
        <v>0</v>
      </c>
      <c r="H4707" s="4" t="s">
        <v>18</v>
      </c>
      <c r="I4707" s="4" t="s">
        <v>69</v>
      </c>
      <c r="J4707" s="4" t="s">
        <v>73</v>
      </c>
      <c r="K4707" s="4">
        <v>1</v>
      </c>
      <c r="L4707" s="94">
        <v>-20221</v>
      </c>
      <c r="M4707" s="94">
        <v>0</v>
      </c>
    </row>
    <row r="4708" spans="3:13" x14ac:dyDescent="0.3">
      <c r="C4708" t="s">
        <v>61</v>
      </c>
      <c r="D4708" t="s">
        <v>67</v>
      </c>
      <c r="E4708" t="s">
        <v>63</v>
      </c>
      <c r="F4708" t="s">
        <v>26</v>
      </c>
      <c r="G4708" s="4">
        <v>5</v>
      </c>
      <c r="H4708" s="4" t="s">
        <v>17</v>
      </c>
      <c r="I4708" s="4" t="s">
        <v>69</v>
      </c>
      <c r="J4708" s="4" t="s">
        <v>66</v>
      </c>
      <c r="K4708" s="4">
        <v>0</v>
      </c>
      <c r="L4708" s="94">
        <v>-9607</v>
      </c>
      <c r="M4708" s="94">
        <v>0</v>
      </c>
    </row>
    <row r="4709" spans="3:13" x14ac:dyDescent="0.3">
      <c r="C4709" t="s">
        <v>61</v>
      </c>
      <c r="D4709" t="s">
        <v>62</v>
      </c>
      <c r="E4709" t="s">
        <v>68</v>
      </c>
      <c r="F4709" t="s">
        <v>24</v>
      </c>
      <c r="G4709" s="4">
        <v>23</v>
      </c>
      <c r="I4709" s="4" t="s">
        <v>69</v>
      </c>
      <c r="J4709" s="4" t="s">
        <v>66</v>
      </c>
      <c r="K4709" s="4">
        <v>0</v>
      </c>
      <c r="L4709" s="94">
        <v>616132622</v>
      </c>
      <c r="M4709" s="94">
        <v>14171050306</v>
      </c>
    </row>
    <row r="4710" spans="3:13" x14ac:dyDescent="0.3">
      <c r="C4710" t="s">
        <v>61</v>
      </c>
      <c r="D4710" t="s">
        <v>84</v>
      </c>
      <c r="E4710" t="s">
        <v>68</v>
      </c>
      <c r="F4710" t="s">
        <v>25</v>
      </c>
      <c r="G4710" s="4">
        <v>10</v>
      </c>
      <c r="H4710" s="4" t="s">
        <v>75</v>
      </c>
      <c r="I4710" s="4" t="s">
        <v>69</v>
      </c>
      <c r="J4710" s="4" t="s">
        <v>66</v>
      </c>
      <c r="K4710" s="4">
        <v>0</v>
      </c>
      <c r="L4710" s="94">
        <v>15918106</v>
      </c>
      <c r="M4710" s="94">
        <v>159181060</v>
      </c>
    </row>
    <row r="4711" spans="3:13" x14ac:dyDescent="0.3">
      <c r="C4711" t="s">
        <v>61</v>
      </c>
      <c r="D4711" t="s">
        <v>67</v>
      </c>
      <c r="E4711" t="s">
        <v>63</v>
      </c>
      <c r="F4711" t="s">
        <v>25</v>
      </c>
      <c r="G4711" s="4">
        <v>5</v>
      </c>
      <c r="H4711" s="4" t="s">
        <v>77</v>
      </c>
      <c r="I4711" s="4" t="s">
        <v>69</v>
      </c>
      <c r="J4711" s="4" t="s">
        <v>66</v>
      </c>
      <c r="K4711" s="4">
        <v>0</v>
      </c>
      <c r="L4711" s="94">
        <v>-1141</v>
      </c>
      <c r="M4711" s="94">
        <v>0</v>
      </c>
    </row>
    <row r="4712" spans="3:13" x14ac:dyDescent="0.3">
      <c r="C4712" t="s">
        <v>71</v>
      </c>
      <c r="D4712" t="s">
        <v>67</v>
      </c>
      <c r="E4712" t="s">
        <v>63</v>
      </c>
      <c r="F4712" t="s">
        <v>26</v>
      </c>
      <c r="G4712" s="4">
        <v>3</v>
      </c>
      <c r="H4712" s="4" t="s">
        <v>17</v>
      </c>
      <c r="I4712" s="4" t="s">
        <v>65</v>
      </c>
      <c r="J4712" s="4" t="s">
        <v>73</v>
      </c>
      <c r="K4712" s="4">
        <v>1</v>
      </c>
      <c r="L4712" s="94">
        <v>-224864</v>
      </c>
      <c r="M4712" s="94">
        <v>0</v>
      </c>
    </row>
    <row r="4713" spans="3:13" x14ac:dyDescent="0.3">
      <c r="C4713" t="s">
        <v>71</v>
      </c>
      <c r="D4713" t="s">
        <v>67</v>
      </c>
      <c r="E4713" t="s">
        <v>63</v>
      </c>
      <c r="F4713" t="s">
        <v>26</v>
      </c>
      <c r="G4713" s="4">
        <v>-1</v>
      </c>
      <c r="H4713" s="4" t="s">
        <v>14</v>
      </c>
      <c r="I4713" s="4" t="s">
        <v>65</v>
      </c>
      <c r="J4713" s="4" t="s">
        <v>66</v>
      </c>
      <c r="K4713" s="4">
        <v>1</v>
      </c>
      <c r="L4713" s="94">
        <v>-47460</v>
      </c>
      <c r="M4713" s="94">
        <v>0</v>
      </c>
    </row>
    <row r="4714" spans="3:13" x14ac:dyDescent="0.3">
      <c r="C4714" t="s">
        <v>70</v>
      </c>
      <c r="D4714" t="s">
        <v>67</v>
      </c>
      <c r="E4714" t="s">
        <v>63</v>
      </c>
      <c r="F4714" t="s">
        <v>26</v>
      </c>
      <c r="G4714" s="4">
        <v>0</v>
      </c>
      <c r="H4714" s="4" t="s">
        <v>17</v>
      </c>
      <c r="I4714" s="4" t="s">
        <v>65</v>
      </c>
      <c r="J4714" s="4" t="s">
        <v>73</v>
      </c>
      <c r="K4714" s="4">
        <v>1</v>
      </c>
      <c r="L4714" s="94">
        <v>-504</v>
      </c>
      <c r="M4714" s="94">
        <v>0</v>
      </c>
    </row>
    <row r="4715" spans="3:13" x14ac:dyDescent="0.3">
      <c r="C4715" t="s">
        <v>61</v>
      </c>
      <c r="D4715" t="s">
        <v>67</v>
      </c>
      <c r="E4715" t="s">
        <v>68</v>
      </c>
      <c r="F4715" t="s">
        <v>25</v>
      </c>
      <c r="G4715" s="4">
        <v>9</v>
      </c>
      <c r="H4715" s="4" t="s">
        <v>81</v>
      </c>
      <c r="I4715" s="4" t="s">
        <v>69</v>
      </c>
      <c r="J4715" s="4" t="s">
        <v>66</v>
      </c>
      <c r="K4715" s="4">
        <v>0</v>
      </c>
      <c r="L4715" s="94">
        <v>60024</v>
      </c>
      <c r="M4715" s="94">
        <v>540216</v>
      </c>
    </row>
    <row r="4716" spans="3:13" x14ac:dyDescent="0.3">
      <c r="C4716" t="s">
        <v>70</v>
      </c>
      <c r="D4716" t="s">
        <v>67</v>
      </c>
      <c r="E4716" t="s">
        <v>63</v>
      </c>
      <c r="F4716" t="s">
        <v>72</v>
      </c>
      <c r="G4716" s="4">
        <v>0</v>
      </c>
      <c r="H4716" s="4" t="s">
        <v>80</v>
      </c>
      <c r="I4716" s="4" t="s">
        <v>69</v>
      </c>
      <c r="J4716" s="4" t="s">
        <v>66</v>
      </c>
      <c r="K4716" s="4">
        <v>0</v>
      </c>
      <c r="L4716" s="94">
        <v>-92</v>
      </c>
      <c r="M4716" s="94">
        <v>0</v>
      </c>
    </row>
    <row r="4717" spans="3:13" x14ac:dyDescent="0.3">
      <c r="C4717" t="s">
        <v>61</v>
      </c>
      <c r="D4717" t="s">
        <v>67</v>
      </c>
      <c r="E4717" t="s">
        <v>68</v>
      </c>
      <c r="F4717" t="s">
        <v>72</v>
      </c>
      <c r="G4717" s="4">
        <v>4</v>
      </c>
      <c r="H4717" s="4" t="s">
        <v>74</v>
      </c>
      <c r="I4717" s="4" t="s">
        <v>69</v>
      </c>
      <c r="J4717" s="4" t="s">
        <v>66</v>
      </c>
      <c r="K4717" s="4">
        <v>0</v>
      </c>
      <c r="L4717" s="94">
        <v>8361781</v>
      </c>
      <c r="M4717" s="94">
        <v>33447124</v>
      </c>
    </row>
    <row r="4718" spans="3:13" x14ac:dyDescent="0.3">
      <c r="C4718" t="s">
        <v>71</v>
      </c>
      <c r="D4718" t="s">
        <v>67</v>
      </c>
      <c r="E4718" t="s">
        <v>68</v>
      </c>
      <c r="F4718" t="s">
        <v>72</v>
      </c>
      <c r="G4718" s="4">
        <v>1</v>
      </c>
      <c r="H4718" s="4" t="s">
        <v>12</v>
      </c>
      <c r="I4718" s="4" t="s">
        <v>69</v>
      </c>
      <c r="J4718" s="4" t="s">
        <v>73</v>
      </c>
      <c r="K4718" s="4">
        <v>1</v>
      </c>
      <c r="L4718" s="94">
        <v>31970</v>
      </c>
      <c r="M4718" s="94">
        <v>31970</v>
      </c>
    </row>
    <row r="4719" spans="3:13" x14ac:dyDescent="0.3">
      <c r="C4719" t="s">
        <v>70</v>
      </c>
      <c r="D4719" t="s">
        <v>67</v>
      </c>
      <c r="E4719" t="s">
        <v>68</v>
      </c>
      <c r="F4719" t="s">
        <v>25</v>
      </c>
      <c r="G4719" s="4">
        <v>8</v>
      </c>
      <c r="H4719" s="4" t="s">
        <v>17</v>
      </c>
      <c r="I4719" s="4" t="s">
        <v>69</v>
      </c>
      <c r="J4719" s="4" t="s">
        <v>66</v>
      </c>
      <c r="K4719" s="4">
        <v>0</v>
      </c>
      <c r="L4719" s="94">
        <v>749250</v>
      </c>
      <c r="M4719" s="94">
        <v>5994000</v>
      </c>
    </row>
    <row r="4720" spans="3:13" x14ac:dyDescent="0.3">
      <c r="C4720" t="s">
        <v>70</v>
      </c>
      <c r="D4720" t="s">
        <v>67</v>
      </c>
      <c r="E4720" t="s">
        <v>63</v>
      </c>
      <c r="F4720" t="s">
        <v>25</v>
      </c>
      <c r="G4720" s="4">
        <v>2</v>
      </c>
      <c r="H4720" s="4" t="s">
        <v>14</v>
      </c>
      <c r="I4720" s="4" t="s">
        <v>69</v>
      </c>
      <c r="J4720" s="4" t="s">
        <v>66</v>
      </c>
      <c r="K4720" s="4">
        <v>0</v>
      </c>
      <c r="L4720" s="94">
        <v>-12579</v>
      </c>
      <c r="M4720" s="94">
        <v>0</v>
      </c>
    </row>
    <row r="4721" spans="3:13" x14ac:dyDescent="0.3">
      <c r="C4721" t="s">
        <v>70</v>
      </c>
      <c r="D4721" t="s">
        <v>67</v>
      </c>
      <c r="E4721" t="s">
        <v>63</v>
      </c>
      <c r="F4721" t="s">
        <v>72</v>
      </c>
      <c r="G4721" s="4">
        <v>6</v>
      </c>
      <c r="H4721" s="4" t="s">
        <v>18</v>
      </c>
      <c r="I4721" s="4" t="s">
        <v>69</v>
      </c>
      <c r="J4721" s="4" t="s">
        <v>66</v>
      </c>
      <c r="K4721" s="4">
        <v>0</v>
      </c>
      <c r="L4721" s="94">
        <v>-19738</v>
      </c>
      <c r="M4721" s="94">
        <v>0</v>
      </c>
    </row>
    <row r="4722" spans="3:13" x14ac:dyDescent="0.3">
      <c r="C4722" t="s">
        <v>71</v>
      </c>
      <c r="D4722" t="s">
        <v>67</v>
      </c>
      <c r="E4722" t="s">
        <v>68</v>
      </c>
      <c r="F4722" t="s">
        <v>26</v>
      </c>
      <c r="G4722" s="4">
        <v>3</v>
      </c>
      <c r="H4722" s="4" t="s">
        <v>14</v>
      </c>
      <c r="I4722" s="4" t="s">
        <v>65</v>
      </c>
      <c r="J4722" s="4" t="s">
        <v>66</v>
      </c>
      <c r="K4722" s="4">
        <v>1</v>
      </c>
      <c r="L4722" s="94">
        <v>109355</v>
      </c>
      <c r="M4722" s="94">
        <v>328065</v>
      </c>
    </row>
    <row r="4723" spans="3:13" x14ac:dyDescent="0.3">
      <c r="C4723" t="s">
        <v>61</v>
      </c>
      <c r="D4723" t="s">
        <v>67</v>
      </c>
      <c r="E4723" t="s">
        <v>68</v>
      </c>
      <c r="F4723" t="s">
        <v>72</v>
      </c>
      <c r="G4723" s="4">
        <v>5</v>
      </c>
      <c r="H4723" s="4" t="s">
        <v>15</v>
      </c>
      <c r="I4723" s="4" t="s">
        <v>69</v>
      </c>
      <c r="J4723" s="4" t="s">
        <v>73</v>
      </c>
      <c r="K4723" s="4">
        <v>1</v>
      </c>
      <c r="L4723" s="94">
        <v>102783</v>
      </c>
      <c r="M4723" s="94">
        <v>513915</v>
      </c>
    </row>
    <row r="4724" spans="3:13" x14ac:dyDescent="0.3">
      <c r="C4724" t="s">
        <v>70</v>
      </c>
      <c r="D4724" t="s">
        <v>67</v>
      </c>
      <c r="E4724" t="s">
        <v>68</v>
      </c>
      <c r="F4724" t="s">
        <v>26</v>
      </c>
      <c r="G4724" s="4">
        <v>4</v>
      </c>
      <c r="H4724" s="4" t="s">
        <v>64</v>
      </c>
      <c r="I4724" s="4" t="s">
        <v>69</v>
      </c>
      <c r="J4724" s="4" t="s">
        <v>66</v>
      </c>
      <c r="K4724" s="4">
        <v>0</v>
      </c>
      <c r="L4724" s="94">
        <v>1163171</v>
      </c>
      <c r="M4724" s="94">
        <v>4652684</v>
      </c>
    </row>
    <row r="4725" spans="3:13" x14ac:dyDescent="0.3">
      <c r="C4725" t="s">
        <v>61</v>
      </c>
      <c r="D4725" t="s">
        <v>67</v>
      </c>
      <c r="E4725" t="s">
        <v>68</v>
      </c>
      <c r="F4725" t="s">
        <v>25</v>
      </c>
      <c r="G4725" s="4">
        <v>9</v>
      </c>
      <c r="H4725" s="4" t="s">
        <v>75</v>
      </c>
      <c r="I4725" s="4" t="s">
        <v>65</v>
      </c>
      <c r="J4725" s="4" t="s">
        <v>66</v>
      </c>
      <c r="K4725" s="4">
        <v>1</v>
      </c>
      <c r="L4725" s="94">
        <v>282141</v>
      </c>
      <c r="M4725" s="94">
        <v>2539269</v>
      </c>
    </row>
    <row r="4726" spans="3:13" x14ac:dyDescent="0.3">
      <c r="C4726" t="s">
        <v>61</v>
      </c>
      <c r="D4726" t="s">
        <v>67</v>
      </c>
      <c r="E4726" t="s">
        <v>63</v>
      </c>
      <c r="F4726" t="s">
        <v>72</v>
      </c>
      <c r="G4726" s="4">
        <v>3</v>
      </c>
      <c r="H4726" s="4" t="s">
        <v>12</v>
      </c>
      <c r="I4726" s="4" t="s">
        <v>69</v>
      </c>
      <c r="J4726" s="4" t="s">
        <v>66</v>
      </c>
      <c r="K4726" s="4">
        <v>0</v>
      </c>
      <c r="L4726" s="94">
        <v>-1823</v>
      </c>
      <c r="M4726" s="94">
        <v>0</v>
      </c>
    </row>
    <row r="4727" spans="3:13" x14ac:dyDescent="0.3">
      <c r="C4727" t="s">
        <v>61</v>
      </c>
      <c r="D4727" t="s">
        <v>67</v>
      </c>
      <c r="E4727" t="s">
        <v>68</v>
      </c>
      <c r="F4727" t="s">
        <v>72</v>
      </c>
      <c r="G4727" s="4">
        <v>-1</v>
      </c>
      <c r="H4727" s="4" t="s">
        <v>64</v>
      </c>
      <c r="I4727" s="4" t="s">
        <v>69</v>
      </c>
      <c r="J4727" s="4" t="s">
        <v>66</v>
      </c>
      <c r="K4727" s="4">
        <v>0</v>
      </c>
      <c r="L4727" s="94">
        <v>1601916</v>
      </c>
      <c r="M4727" s="94">
        <v>0</v>
      </c>
    </row>
    <row r="4728" spans="3:13" x14ac:dyDescent="0.3">
      <c r="C4728" t="s">
        <v>70</v>
      </c>
      <c r="D4728" t="s">
        <v>67</v>
      </c>
      <c r="E4728" t="s">
        <v>68</v>
      </c>
      <c r="F4728" t="s">
        <v>72</v>
      </c>
      <c r="G4728" s="4">
        <v>3</v>
      </c>
      <c r="H4728" s="4" t="s">
        <v>82</v>
      </c>
      <c r="I4728" s="4" t="s">
        <v>69</v>
      </c>
      <c r="J4728" s="4" t="s">
        <v>66</v>
      </c>
      <c r="K4728" s="4">
        <v>0</v>
      </c>
      <c r="L4728" s="94">
        <v>3023554</v>
      </c>
      <c r="M4728" s="94">
        <v>9070662</v>
      </c>
    </row>
    <row r="4729" spans="3:13" x14ac:dyDescent="0.3">
      <c r="C4729" t="s">
        <v>61</v>
      </c>
      <c r="D4729" t="s">
        <v>67</v>
      </c>
      <c r="E4729" t="s">
        <v>68</v>
      </c>
      <c r="F4729" t="s">
        <v>25</v>
      </c>
      <c r="G4729" s="4">
        <v>1</v>
      </c>
      <c r="H4729" s="4" t="s">
        <v>17</v>
      </c>
      <c r="I4729" s="4" t="s">
        <v>69</v>
      </c>
      <c r="J4729" s="4" t="s">
        <v>66</v>
      </c>
      <c r="K4729" s="4">
        <v>1</v>
      </c>
      <c r="L4729" s="94">
        <v>55769</v>
      </c>
      <c r="M4729" s="94">
        <v>55769</v>
      </c>
    </row>
    <row r="4730" spans="3:13" x14ac:dyDescent="0.3">
      <c r="C4730" t="s">
        <v>70</v>
      </c>
      <c r="D4730" t="s">
        <v>62</v>
      </c>
      <c r="E4730" t="s">
        <v>68</v>
      </c>
      <c r="F4730" t="s">
        <v>25</v>
      </c>
      <c r="G4730" s="4">
        <v>13</v>
      </c>
      <c r="I4730" s="4" t="s">
        <v>69</v>
      </c>
      <c r="J4730" s="4" t="s">
        <v>66</v>
      </c>
      <c r="K4730" s="4">
        <v>0</v>
      </c>
      <c r="L4730" s="94">
        <v>2103506</v>
      </c>
      <c r="M4730" s="94">
        <v>27345578</v>
      </c>
    </row>
    <row r="4731" spans="3:13" x14ac:dyDescent="0.3">
      <c r="C4731" t="s">
        <v>70</v>
      </c>
      <c r="D4731" t="s">
        <v>67</v>
      </c>
      <c r="E4731" t="s">
        <v>68</v>
      </c>
      <c r="F4731" t="s">
        <v>26</v>
      </c>
      <c r="G4731" s="4">
        <v>0</v>
      </c>
      <c r="H4731" s="4" t="s">
        <v>82</v>
      </c>
      <c r="I4731" s="4" t="s">
        <v>69</v>
      </c>
      <c r="J4731" s="4" t="s">
        <v>66</v>
      </c>
      <c r="K4731" s="4">
        <v>0</v>
      </c>
      <c r="L4731" s="94">
        <v>1805306</v>
      </c>
      <c r="M4731" s="94">
        <v>0</v>
      </c>
    </row>
    <row r="4732" spans="3:13" x14ac:dyDescent="0.3">
      <c r="C4732" t="s">
        <v>70</v>
      </c>
      <c r="D4732" t="s">
        <v>67</v>
      </c>
      <c r="E4732" t="s">
        <v>68</v>
      </c>
      <c r="F4732" t="s">
        <v>72</v>
      </c>
      <c r="G4732" s="4">
        <v>1</v>
      </c>
      <c r="H4732" s="4" t="s">
        <v>14</v>
      </c>
      <c r="I4732" s="4" t="s">
        <v>69</v>
      </c>
      <c r="J4732" s="4" t="s">
        <v>66</v>
      </c>
      <c r="K4732" s="4">
        <v>0</v>
      </c>
      <c r="L4732" s="94">
        <v>626188</v>
      </c>
      <c r="M4732" s="94">
        <v>626188</v>
      </c>
    </row>
    <row r="4733" spans="3:13" x14ac:dyDescent="0.3">
      <c r="C4733" t="s">
        <v>61</v>
      </c>
      <c r="D4733" t="s">
        <v>67</v>
      </c>
      <c r="E4733" t="s">
        <v>63</v>
      </c>
      <c r="F4733" t="s">
        <v>26</v>
      </c>
      <c r="G4733" s="4">
        <v>0</v>
      </c>
      <c r="H4733" s="4" t="s">
        <v>18</v>
      </c>
      <c r="I4733" s="4" t="s">
        <v>69</v>
      </c>
      <c r="J4733" s="4" t="s">
        <v>73</v>
      </c>
      <c r="K4733" s="4">
        <v>1</v>
      </c>
      <c r="L4733" s="94">
        <v>-116390</v>
      </c>
      <c r="M4733" s="94">
        <v>0</v>
      </c>
    </row>
    <row r="4734" spans="3:13" x14ac:dyDescent="0.3">
      <c r="C4734" t="s">
        <v>61</v>
      </c>
      <c r="D4734" t="s">
        <v>67</v>
      </c>
      <c r="E4734" t="s">
        <v>63</v>
      </c>
      <c r="F4734" t="s">
        <v>25</v>
      </c>
      <c r="G4734" s="4">
        <v>0</v>
      </c>
      <c r="H4734" s="4" t="s">
        <v>80</v>
      </c>
      <c r="I4734" s="4" t="s">
        <v>69</v>
      </c>
      <c r="J4734" s="4" t="s">
        <v>66</v>
      </c>
      <c r="K4734" s="4">
        <v>0</v>
      </c>
      <c r="L4734" s="94">
        <v>-59</v>
      </c>
      <c r="M4734" s="94">
        <v>0</v>
      </c>
    </row>
    <row r="4735" spans="3:13" x14ac:dyDescent="0.3">
      <c r="C4735" t="s">
        <v>61</v>
      </c>
      <c r="D4735" t="s">
        <v>67</v>
      </c>
      <c r="E4735" t="s">
        <v>68</v>
      </c>
      <c r="F4735" t="s">
        <v>25</v>
      </c>
      <c r="G4735" s="4">
        <v>6</v>
      </c>
      <c r="H4735" s="4" t="s">
        <v>12</v>
      </c>
      <c r="I4735" s="4" t="s">
        <v>69</v>
      </c>
      <c r="J4735" s="4" t="s">
        <v>66</v>
      </c>
      <c r="K4735" s="4">
        <v>1</v>
      </c>
      <c r="L4735" s="94">
        <v>4225356</v>
      </c>
      <c r="M4735" s="94">
        <v>25352136</v>
      </c>
    </row>
    <row r="4736" spans="3:13" x14ac:dyDescent="0.3">
      <c r="C4736" t="s">
        <v>61</v>
      </c>
      <c r="D4736" t="s">
        <v>67</v>
      </c>
      <c r="E4736" t="s">
        <v>68</v>
      </c>
      <c r="F4736" t="s">
        <v>26</v>
      </c>
      <c r="G4736" s="4">
        <v>4</v>
      </c>
      <c r="H4736" s="4" t="s">
        <v>14</v>
      </c>
      <c r="I4736" s="4" t="s">
        <v>69</v>
      </c>
      <c r="J4736" s="4" t="s">
        <v>73</v>
      </c>
      <c r="K4736" s="4">
        <v>1</v>
      </c>
      <c r="L4736" s="94">
        <v>51638228</v>
      </c>
      <c r="M4736" s="94">
        <v>206552912</v>
      </c>
    </row>
    <row r="4737" spans="3:13" x14ac:dyDescent="0.3">
      <c r="C4737" t="s">
        <v>71</v>
      </c>
      <c r="D4737" t="s">
        <v>67</v>
      </c>
      <c r="E4737" t="s">
        <v>63</v>
      </c>
      <c r="F4737" t="s">
        <v>25</v>
      </c>
      <c r="G4737" s="4">
        <v>5</v>
      </c>
      <c r="H4737" s="4" t="s">
        <v>64</v>
      </c>
      <c r="I4737" s="4" t="s">
        <v>69</v>
      </c>
      <c r="J4737" s="4" t="s">
        <v>66</v>
      </c>
      <c r="K4737" s="4">
        <v>0</v>
      </c>
      <c r="L4737" s="94">
        <v>-208033</v>
      </c>
      <c r="M4737" s="94">
        <v>0</v>
      </c>
    </row>
    <row r="4738" spans="3:13" x14ac:dyDescent="0.3">
      <c r="C4738" t="s">
        <v>71</v>
      </c>
      <c r="D4738" t="s">
        <v>67</v>
      </c>
      <c r="E4738" t="s">
        <v>68</v>
      </c>
      <c r="F4738" t="s">
        <v>25</v>
      </c>
      <c r="G4738" s="4">
        <v>0</v>
      </c>
      <c r="H4738" s="4" t="s">
        <v>76</v>
      </c>
      <c r="I4738" s="4" t="s">
        <v>69</v>
      </c>
      <c r="J4738" s="4" t="s">
        <v>66</v>
      </c>
      <c r="K4738" s="4">
        <v>0</v>
      </c>
      <c r="L4738" s="94">
        <v>11776</v>
      </c>
      <c r="M4738" s="94">
        <v>0</v>
      </c>
    </row>
    <row r="4739" spans="3:13" x14ac:dyDescent="0.3">
      <c r="C4739" t="s">
        <v>61</v>
      </c>
      <c r="D4739" t="s">
        <v>67</v>
      </c>
      <c r="E4739" t="s">
        <v>63</v>
      </c>
      <c r="F4739" t="s">
        <v>25</v>
      </c>
      <c r="G4739" s="4">
        <v>0</v>
      </c>
      <c r="H4739" s="4" t="s">
        <v>18</v>
      </c>
      <c r="I4739" s="4" t="s">
        <v>65</v>
      </c>
      <c r="J4739" s="4" t="s">
        <v>66</v>
      </c>
      <c r="K4739" s="4">
        <v>1</v>
      </c>
      <c r="L4739" s="94">
        <v>-23</v>
      </c>
      <c r="M4739" s="94">
        <v>0</v>
      </c>
    </row>
    <row r="4740" spans="3:13" x14ac:dyDescent="0.3">
      <c r="C4740" t="s">
        <v>70</v>
      </c>
      <c r="D4740" t="s">
        <v>67</v>
      </c>
      <c r="E4740" t="s">
        <v>68</v>
      </c>
      <c r="F4740" t="s">
        <v>26</v>
      </c>
      <c r="G4740" s="4">
        <v>3</v>
      </c>
      <c r="H4740" s="4" t="s">
        <v>14</v>
      </c>
      <c r="I4740" s="4" t="s">
        <v>69</v>
      </c>
      <c r="J4740" s="4" t="s">
        <v>66</v>
      </c>
      <c r="K4740" s="4">
        <v>0</v>
      </c>
      <c r="L4740" s="94">
        <v>17980948</v>
      </c>
      <c r="M4740" s="94">
        <v>53942844</v>
      </c>
    </row>
    <row r="4741" spans="3:13" x14ac:dyDescent="0.3">
      <c r="C4741" t="s">
        <v>71</v>
      </c>
      <c r="D4741" t="s">
        <v>62</v>
      </c>
      <c r="E4741" t="s">
        <v>63</v>
      </c>
      <c r="F4741" t="s">
        <v>24</v>
      </c>
      <c r="G4741" s="4">
        <v>37</v>
      </c>
      <c r="I4741" s="4" t="s">
        <v>69</v>
      </c>
      <c r="J4741" s="4" t="s">
        <v>66</v>
      </c>
      <c r="K4741" s="4">
        <v>0</v>
      </c>
      <c r="L4741" s="94">
        <v>-1945375</v>
      </c>
      <c r="M4741" s="94">
        <v>0</v>
      </c>
    </row>
    <row r="4742" spans="3:13" x14ac:dyDescent="0.3">
      <c r="C4742" t="s">
        <v>70</v>
      </c>
      <c r="D4742" t="s">
        <v>67</v>
      </c>
      <c r="E4742" t="s">
        <v>68</v>
      </c>
      <c r="F4742" t="s">
        <v>25</v>
      </c>
      <c r="G4742" s="4">
        <v>5</v>
      </c>
      <c r="H4742" s="4" t="s">
        <v>17</v>
      </c>
      <c r="I4742" s="4" t="s">
        <v>69</v>
      </c>
      <c r="J4742" s="4" t="s">
        <v>66</v>
      </c>
      <c r="K4742" s="4">
        <v>1</v>
      </c>
      <c r="L4742" s="94">
        <v>142898</v>
      </c>
      <c r="M4742" s="94">
        <v>714490</v>
      </c>
    </row>
    <row r="4743" spans="3:13" x14ac:dyDescent="0.3">
      <c r="C4743" t="s">
        <v>71</v>
      </c>
      <c r="D4743" t="s">
        <v>67</v>
      </c>
      <c r="E4743" t="s">
        <v>63</v>
      </c>
      <c r="F4743" t="s">
        <v>25</v>
      </c>
      <c r="G4743" s="4">
        <v>2</v>
      </c>
      <c r="H4743" s="4" t="s">
        <v>17</v>
      </c>
      <c r="I4743" s="4" t="s">
        <v>69</v>
      </c>
      <c r="J4743" s="4" t="s">
        <v>66</v>
      </c>
      <c r="K4743" s="4">
        <v>0</v>
      </c>
      <c r="L4743" s="94">
        <v>-14149</v>
      </c>
      <c r="M4743" s="94">
        <v>0</v>
      </c>
    </row>
    <row r="4744" spans="3:13" x14ac:dyDescent="0.3">
      <c r="C4744" t="s">
        <v>61</v>
      </c>
      <c r="D4744" t="s">
        <v>67</v>
      </c>
      <c r="E4744" t="s">
        <v>68</v>
      </c>
      <c r="F4744" t="s">
        <v>25</v>
      </c>
      <c r="G4744" s="4">
        <v>2</v>
      </c>
      <c r="H4744" s="4" t="s">
        <v>17</v>
      </c>
      <c r="I4744" s="4" t="s">
        <v>69</v>
      </c>
      <c r="J4744" s="4" t="s">
        <v>66</v>
      </c>
      <c r="K4744" s="4">
        <v>0</v>
      </c>
      <c r="L4744" s="94">
        <v>221370526</v>
      </c>
      <c r="M4744" s="94">
        <v>442741052</v>
      </c>
    </row>
    <row r="4745" spans="3:13" x14ac:dyDescent="0.3">
      <c r="C4745" t="s">
        <v>70</v>
      </c>
      <c r="D4745" t="s">
        <v>67</v>
      </c>
      <c r="E4745" t="s">
        <v>68</v>
      </c>
      <c r="F4745" t="s">
        <v>72</v>
      </c>
      <c r="G4745" s="4">
        <v>5</v>
      </c>
      <c r="H4745" s="4" t="s">
        <v>80</v>
      </c>
      <c r="I4745" s="4" t="s">
        <v>69</v>
      </c>
      <c r="J4745" s="4" t="s">
        <v>66</v>
      </c>
      <c r="K4745" s="4">
        <v>0</v>
      </c>
      <c r="L4745" s="94">
        <v>182780</v>
      </c>
      <c r="M4745" s="94">
        <v>913900</v>
      </c>
    </row>
    <row r="4746" spans="3:13" x14ac:dyDescent="0.3">
      <c r="C4746" t="s">
        <v>61</v>
      </c>
      <c r="D4746" t="s">
        <v>67</v>
      </c>
      <c r="E4746" t="s">
        <v>68</v>
      </c>
      <c r="F4746" t="s">
        <v>26</v>
      </c>
      <c r="G4746" s="4">
        <v>1</v>
      </c>
      <c r="H4746" s="4" t="s">
        <v>15</v>
      </c>
      <c r="I4746" s="4" t="s">
        <v>65</v>
      </c>
      <c r="J4746" s="4" t="s">
        <v>73</v>
      </c>
      <c r="K4746" s="4">
        <v>1</v>
      </c>
      <c r="L4746" s="94">
        <v>80497</v>
      </c>
      <c r="M4746" s="94">
        <v>80497</v>
      </c>
    </row>
    <row r="4747" spans="3:13" x14ac:dyDescent="0.3">
      <c r="C4747" t="s">
        <v>70</v>
      </c>
      <c r="D4747" t="s">
        <v>67</v>
      </c>
      <c r="E4747" t="s">
        <v>63</v>
      </c>
      <c r="F4747" t="s">
        <v>26</v>
      </c>
      <c r="G4747" s="4">
        <v>-1</v>
      </c>
      <c r="H4747" s="4" t="s">
        <v>83</v>
      </c>
      <c r="I4747" s="4" t="s">
        <v>69</v>
      </c>
      <c r="J4747" s="4" t="s">
        <v>66</v>
      </c>
      <c r="K4747" s="4">
        <v>0</v>
      </c>
      <c r="L4747" s="94">
        <v>-153881</v>
      </c>
      <c r="M4747" s="94">
        <v>0</v>
      </c>
    </row>
    <row r="4748" spans="3:13" x14ac:dyDescent="0.3">
      <c r="C4748" t="s">
        <v>61</v>
      </c>
      <c r="D4748" t="s">
        <v>67</v>
      </c>
      <c r="E4748" t="s">
        <v>63</v>
      </c>
      <c r="F4748" t="s">
        <v>25</v>
      </c>
      <c r="G4748" s="4">
        <v>10</v>
      </c>
      <c r="H4748" s="4" t="s">
        <v>78</v>
      </c>
      <c r="I4748" s="4" t="s">
        <v>69</v>
      </c>
      <c r="J4748" s="4" t="s">
        <v>66</v>
      </c>
      <c r="K4748" s="4">
        <v>0</v>
      </c>
      <c r="L4748" s="94">
        <v>-1082</v>
      </c>
      <c r="M4748" s="94">
        <v>0</v>
      </c>
    </row>
    <row r="4749" spans="3:13" x14ac:dyDescent="0.3">
      <c r="C4749" t="s">
        <v>70</v>
      </c>
      <c r="D4749" t="s">
        <v>67</v>
      </c>
      <c r="E4749" t="s">
        <v>63</v>
      </c>
      <c r="F4749" t="s">
        <v>25</v>
      </c>
      <c r="G4749" s="4">
        <v>10</v>
      </c>
      <c r="H4749" s="4" t="s">
        <v>79</v>
      </c>
      <c r="I4749" s="4" t="s">
        <v>69</v>
      </c>
      <c r="J4749" s="4" t="s">
        <v>66</v>
      </c>
      <c r="K4749" s="4">
        <v>0</v>
      </c>
      <c r="L4749" s="94">
        <v>-13088</v>
      </c>
      <c r="M4749" s="94">
        <v>0</v>
      </c>
    </row>
    <row r="4750" spans="3:13" x14ac:dyDescent="0.3">
      <c r="C4750" t="s">
        <v>61</v>
      </c>
      <c r="D4750" t="s">
        <v>67</v>
      </c>
      <c r="E4750" t="s">
        <v>63</v>
      </c>
      <c r="F4750" t="s">
        <v>26</v>
      </c>
      <c r="G4750" s="4">
        <v>3</v>
      </c>
      <c r="H4750" s="4" t="s">
        <v>86</v>
      </c>
      <c r="I4750" s="4" t="s">
        <v>69</v>
      </c>
      <c r="J4750" s="4" t="s">
        <v>66</v>
      </c>
      <c r="K4750" s="4">
        <v>0</v>
      </c>
      <c r="L4750" s="94">
        <v>-721</v>
      </c>
      <c r="M4750" s="94">
        <v>0</v>
      </c>
    </row>
    <row r="4751" spans="3:13" x14ac:dyDescent="0.3">
      <c r="C4751" t="s">
        <v>70</v>
      </c>
      <c r="D4751" t="s">
        <v>67</v>
      </c>
      <c r="E4751" t="s">
        <v>63</v>
      </c>
      <c r="F4751" t="s">
        <v>72</v>
      </c>
      <c r="G4751" s="4">
        <v>5</v>
      </c>
      <c r="H4751" s="4" t="s">
        <v>79</v>
      </c>
      <c r="I4751" s="4" t="s">
        <v>69</v>
      </c>
      <c r="J4751" s="4" t="s">
        <v>66</v>
      </c>
      <c r="K4751" s="4">
        <v>0</v>
      </c>
      <c r="L4751" s="94">
        <v>-63767</v>
      </c>
      <c r="M4751" s="94">
        <v>0</v>
      </c>
    </row>
    <row r="4752" spans="3:13" x14ac:dyDescent="0.3">
      <c r="C4752" t="s">
        <v>70</v>
      </c>
      <c r="D4752" t="s">
        <v>67</v>
      </c>
      <c r="E4752" t="s">
        <v>68</v>
      </c>
      <c r="F4752" t="s">
        <v>25</v>
      </c>
      <c r="G4752" s="4">
        <v>-4</v>
      </c>
      <c r="H4752" s="4" t="s">
        <v>18</v>
      </c>
      <c r="I4752" s="4" t="s">
        <v>69</v>
      </c>
      <c r="J4752" s="4" t="s">
        <v>66</v>
      </c>
      <c r="K4752" s="4">
        <v>1</v>
      </c>
      <c r="L4752" s="94">
        <v>179</v>
      </c>
      <c r="M4752" s="94">
        <v>0</v>
      </c>
    </row>
    <row r="4753" spans="3:13" x14ac:dyDescent="0.3">
      <c r="C4753" t="s">
        <v>61</v>
      </c>
      <c r="D4753" t="s">
        <v>67</v>
      </c>
      <c r="E4753" t="s">
        <v>68</v>
      </c>
      <c r="F4753" t="s">
        <v>26</v>
      </c>
      <c r="G4753" s="4">
        <v>1</v>
      </c>
      <c r="H4753" s="4" t="s">
        <v>74</v>
      </c>
      <c r="I4753" s="4" t="s">
        <v>69</v>
      </c>
      <c r="J4753" s="4" t="s">
        <v>66</v>
      </c>
      <c r="K4753" s="4">
        <v>0</v>
      </c>
      <c r="L4753" s="94">
        <v>25143712</v>
      </c>
      <c r="M4753" s="94">
        <v>25143712</v>
      </c>
    </row>
    <row r="4754" spans="3:13" x14ac:dyDescent="0.3">
      <c r="C4754" t="s">
        <v>70</v>
      </c>
      <c r="D4754" t="s">
        <v>67</v>
      </c>
      <c r="E4754" t="s">
        <v>63</v>
      </c>
      <c r="F4754" t="s">
        <v>26</v>
      </c>
      <c r="G4754" s="4">
        <v>4</v>
      </c>
      <c r="H4754" s="4" t="s">
        <v>16</v>
      </c>
      <c r="I4754" s="4" t="s">
        <v>69</v>
      </c>
      <c r="J4754" s="4" t="s">
        <v>66</v>
      </c>
      <c r="K4754" s="4">
        <v>0</v>
      </c>
      <c r="L4754" s="94">
        <v>-16090</v>
      </c>
      <c r="M4754" s="94">
        <v>0</v>
      </c>
    </row>
    <row r="4755" spans="3:13" x14ac:dyDescent="0.3">
      <c r="C4755" t="s">
        <v>61</v>
      </c>
      <c r="D4755" t="s">
        <v>67</v>
      </c>
      <c r="E4755" t="s">
        <v>68</v>
      </c>
      <c r="F4755" t="s">
        <v>26</v>
      </c>
      <c r="G4755" s="4">
        <v>2</v>
      </c>
      <c r="H4755" s="4" t="s">
        <v>17</v>
      </c>
      <c r="I4755" s="4" t="s">
        <v>69</v>
      </c>
      <c r="J4755" s="4" t="s">
        <v>73</v>
      </c>
      <c r="K4755" s="4">
        <v>1</v>
      </c>
      <c r="L4755" s="94">
        <v>1887517</v>
      </c>
      <c r="M4755" s="94">
        <v>3775034</v>
      </c>
    </row>
    <row r="4756" spans="3:13" x14ac:dyDescent="0.3">
      <c r="C4756" t="s">
        <v>61</v>
      </c>
      <c r="D4756" t="s">
        <v>67</v>
      </c>
      <c r="E4756" t="s">
        <v>63</v>
      </c>
      <c r="F4756" t="s">
        <v>72</v>
      </c>
      <c r="G4756" s="4">
        <v>2</v>
      </c>
      <c r="H4756" s="4" t="s">
        <v>18</v>
      </c>
      <c r="I4756" s="4" t="s">
        <v>69</v>
      </c>
      <c r="J4756" s="4" t="s">
        <v>66</v>
      </c>
      <c r="K4756" s="4">
        <v>0</v>
      </c>
      <c r="L4756" s="94">
        <v>-15471</v>
      </c>
      <c r="M4756" s="94">
        <v>0</v>
      </c>
    </row>
    <row r="4757" spans="3:13" x14ac:dyDescent="0.3">
      <c r="C4757" t="s">
        <v>61</v>
      </c>
      <c r="D4757" t="s">
        <v>67</v>
      </c>
      <c r="E4757" t="s">
        <v>68</v>
      </c>
      <c r="F4757" t="s">
        <v>72</v>
      </c>
      <c r="G4757" s="4">
        <v>-1</v>
      </c>
      <c r="H4757" s="4" t="s">
        <v>78</v>
      </c>
      <c r="I4757" s="4" t="s">
        <v>69</v>
      </c>
      <c r="J4757" s="4" t="s">
        <v>66</v>
      </c>
      <c r="K4757" s="4">
        <v>0</v>
      </c>
      <c r="L4757" s="94">
        <v>151287</v>
      </c>
      <c r="M4757" s="94">
        <v>0</v>
      </c>
    </row>
    <row r="4758" spans="3:13" x14ac:dyDescent="0.3">
      <c r="C4758" t="s">
        <v>71</v>
      </c>
      <c r="D4758" t="s">
        <v>67</v>
      </c>
      <c r="E4758" t="s">
        <v>63</v>
      </c>
      <c r="F4758" t="s">
        <v>72</v>
      </c>
      <c r="G4758" s="4">
        <v>-1</v>
      </c>
      <c r="H4758" s="4" t="s">
        <v>14</v>
      </c>
      <c r="I4758" s="4" t="s">
        <v>69</v>
      </c>
      <c r="J4758" s="4" t="s">
        <v>66</v>
      </c>
      <c r="K4758" s="4">
        <v>0</v>
      </c>
      <c r="L4758" s="94">
        <v>-157</v>
      </c>
      <c r="M4758" s="94">
        <v>0</v>
      </c>
    </row>
    <row r="4759" spans="3:13" x14ac:dyDescent="0.3">
      <c r="C4759" t="s">
        <v>61</v>
      </c>
      <c r="D4759" t="s">
        <v>84</v>
      </c>
      <c r="E4759" t="s">
        <v>63</v>
      </c>
      <c r="F4759" t="s">
        <v>25</v>
      </c>
      <c r="G4759" s="4">
        <v>4</v>
      </c>
      <c r="H4759" s="4" t="s">
        <v>75</v>
      </c>
      <c r="I4759" s="4" t="s">
        <v>69</v>
      </c>
      <c r="J4759" s="4" t="s">
        <v>66</v>
      </c>
      <c r="K4759" s="4">
        <v>0</v>
      </c>
      <c r="L4759" s="94">
        <v>-908</v>
      </c>
      <c r="M4759" s="94">
        <v>0</v>
      </c>
    </row>
    <row r="4760" spans="3:13" x14ac:dyDescent="0.3">
      <c r="C4760" t="s">
        <v>71</v>
      </c>
      <c r="D4760" t="s">
        <v>67</v>
      </c>
      <c r="E4760" t="s">
        <v>68</v>
      </c>
      <c r="F4760" t="s">
        <v>25</v>
      </c>
      <c r="G4760" s="4">
        <v>11</v>
      </c>
      <c r="H4760" s="4" t="s">
        <v>80</v>
      </c>
      <c r="I4760" s="4" t="s">
        <v>69</v>
      </c>
      <c r="J4760" s="4" t="s">
        <v>66</v>
      </c>
      <c r="K4760" s="4">
        <v>0</v>
      </c>
      <c r="L4760" s="94">
        <v>76678</v>
      </c>
      <c r="M4760" s="94">
        <v>843458</v>
      </c>
    </row>
    <row r="4761" spans="3:13" x14ac:dyDescent="0.3">
      <c r="C4761" t="s">
        <v>61</v>
      </c>
      <c r="D4761" t="s">
        <v>67</v>
      </c>
      <c r="E4761" t="s">
        <v>63</v>
      </c>
      <c r="F4761" t="s">
        <v>72</v>
      </c>
      <c r="G4761" s="4">
        <v>-4</v>
      </c>
      <c r="H4761" s="4" t="s">
        <v>76</v>
      </c>
      <c r="I4761" s="4" t="s">
        <v>69</v>
      </c>
      <c r="J4761" s="4" t="s">
        <v>66</v>
      </c>
      <c r="K4761" s="4">
        <v>0</v>
      </c>
      <c r="L4761" s="94">
        <v>-1</v>
      </c>
      <c r="M4761" s="94">
        <v>0</v>
      </c>
    </row>
    <row r="4762" spans="3:13" x14ac:dyDescent="0.3">
      <c r="C4762" t="s">
        <v>61</v>
      </c>
      <c r="D4762" t="s">
        <v>67</v>
      </c>
      <c r="E4762" t="s">
        <v>68</v>
      </c>
      <c r="F4762" t="s">
        <v>25</v>
      </c>
      <c r="G4762" s="4">
        <v>7</v>
      </c>
      <c r="H4762" s="4" t="s">
        <v>12</v>
      </c>
      <c r="I4762" s="4" t="s">
        <v>69</v>
      </c>
      <c r="J4762" s="4" t="s">
        <v>66</v>
      </c>
      <c r="K4762" s="4">
        <v>1</v>
      </c>
      <c r="L4762" s="94">
        <v>3173046</v>
      </c>
      <c r="M4762" s="94">
        <v>22211322</v>
      </c>
    </row>
    <row r="4763" spans="3:13" x14ac:dyDescent="0.3">
      <c r="C4763" t="s">
        <v>71</v>
      </c>
      <c r="D4763" t="s">
        <v>67</v>
      </c>
      <c r="E4763" t="s">
        <v>68</v>
      </c>
      <c r="F4763" t="s">
        <v>26</v>
      </c>
      <c r="G4763" s="4">
        <v>1</v>
      </c>
      <c r="H4763" s="4" t="s">
        <v>18</v>
      </c>
      <c r="I4763" s="4" t="s">
        <v>69</v>
      </c>
      <c r="J4763" s="4" t="s">
        <v>66</v>
      </c>
      <c r="K4763" s="4">
        <v>0</v>
      </c>
      <c r="L4763" s="94">
        <v>3593788</v>
      </c>
      <c r="M4763" s="94">
        <v>3593788</v>
      </c>
    </row>
    <row r="4764" spans="3:13" x14ac:dyDescent="0.3">
      <c r="C4764" t="s">
        <v>70</v>
      </c>
      <c r="D4764" t="s">
        <v>67</v>
      </c>
      <c r="E4764" t="s">
        <v>68</v>
      </c>
      <c r="F4764" t="s">
        <v>26</v>
      </c>
      <c r="G4764" s="4">
        <v>5</v>
      </c>
      <c r="H4764" s="4" t="s">
        <v>80</v>
      </c>
      <c r="I4764" s="4" t="s">
        <v>69</v>
      </c>
      <c r="J4764" s="4" t="s">
        <v>66</v>
      </c>
      <c r="K4764" s="4">
        <v>0</v>
      </c>
      <c r="L4764" s="94">
        <v>274987</v>
      </c>
      <c r="M4764" s="94">
        <v>1374935</v>
      </c>
    </row>
    <row r="4765" spans="3:13" x14ac:dyDescent="0.3">
      <c r="C4765" t="s">
        <v>70</v>
      </c>
      <c r="D4765" t="s">
        <v>67</v>
      </c>
      <c r="E4765" t="s">
        <v>68</v>
      </c>
      <c r="F4765" t="s">
        <v>26</v>
      </c>
      <c r="G4765" s="4">
        <v>6</v>
      </c>
      <c r="H4765" s="4" t="s">
        <v>17</v>
      </c>
      <c r="I4765" s="4" t="s">
        <v>69</v>
      </c>
      <c r="J4765" s="4" t="s">
        <v>66</v>
      </c>
      <c r="K4765" s="4">
        <v>0</v>
      </c>
      <c r="L4765" s="94">
        <v>294080</v>
      </c>
      <c r="M4765" s="94">
        <v>1764480</v>
      </c>
    </row>
    <row r="4766" spans="3:13" x14ac:dyDescent="0.3">
      <c r="C4766" t="s">
        <v>70</v>
      </c>
      <c r="D4766" t="s">
        <v>67</v>
      </c>
      <c r="E4766" t="s">
        <v>68</v>
      </c>
      <c r="F4766" t="s">
        <v>26</v>
      </c>
      <c r="G4766" s="4">
        <v>0</v>
      </c>
      <c r="H4766" s="4" t="s">
        <v>12</v>
      </c>
      <c r="I4766" s="4" t="s">
        <v>65</v>
      </c>
      <c r="J4766" s="4" t="s">
        <v>73</v>
      </c>
      <c r="K4766" s="4">
        <v>1</v>
      </c>
      <c r="L4766" s="94">
        <v>11949</v>
      </c>
      <c r="M4766" s="94">
        <v>0</v>
      </c>
    </row>
    <row r="4767" spans="3:13" x14ac:dyDescent="0.3">
      <c r="C4767" t="s">
        <v>71</v>
      </c>
      <c r="D4767" t="s">
        <v>62</v>
      </c>
      <c r="E4767" t="s">
        <v>68</v>
      </c>
      <c r="F4767" t="s">
        <v>24</v>
      </c>
      <c r="G4767" s="4">
        <v>6</v>
      </c>
      <c r="I4767" s="4" t="s">
        <v>69</v>
      </c>
      <c r="J4767" s="4" t="s">
        <v>66</v>
      </c>
      <c r="K4767" s="4">
        <v>0</v>
      </c>
      <c r="L4767" s="94">
        <v>1899760</v>
      </c>
      <c r="M4767" s="94">
        <v>11398560</v>
      </c>
    </row>
    <row r="4768" spans="3:13" x14ac:dyDescent="0.3">
      <c r="C4768" t="s">
        <v>71</v>
      </c>
      <c r="D4768" t="s">
        <v>67</v>
      </c>
      <c r="E4768" t="s">
        <v>68</v>
      </c>
      <c r="F4768" t="s">
        <v>26</v>
      </c>
      <c r="G4768" s="4">
        <v>-4</v>
      </c>
      <c r="H4768" s="4" t="s">
        <v>82</v>
      </c>
      <c r="I4768" s="4" t="s">
        <v>69</v>
      </c>
      <c r="J4768" s="4" t="s">
        <v>66</v>
      </c>
      <c r="K4768" s="4">
        <v>0</v>
      </c>
      <c r="L4768" s="94">
        <v>1723692</v>
      </c>
      <c r="M4768" s="94">
        <v>0</v>
      </c>
    </row>
    <row r="4769" spans="3:13" x14ac:dyDescent="0.3">
      <c r="C4769" t="s">
        <v>70</v>
      </c>
      <c r="D4769" t="s">
        <v>67</v>
      </c>
      <c r="E4769" t="s">
        <v>68</v>
      </c>
      <c r="F4769" t="s">
        <v>25</v>
      </c>
      <c r="G4769" s="4">
        <v>3</v>
      </c>
      <c r="H4769" s="4" t="s">
        <v>12</v>
      </c>
      <c r="I4769" s="4" t="s">
        <v>69</v>
      </c>
      <c r="J4769" s="4" t="s">
        <v>66</v>
      </c>
      <c r="K4769" s="4">
        <v>0</v>
      </c>
      <c r="L4769" s="94">
        <v>315210</v>
      </c>
      <c r="M4769" s="94">
        <v>945630</v>
      </c>
    </row>
    <row r="4770" spans="3:13" x14ac:dyDescent="0.3">
      <c r="C4770" t="s">
        <v>70</v>
      </c>
      <c r="D4770" t="s">
        <v>67</v>
      </c>
      <c r="E4770" t="s">
        <v>68</v>
      </c>
      <c r="F4770" t="s">
        <v>72</v>
      </c>
      <c r="G4770" s="4">
        <v>4</v>
      </c>
      <c r="H4770" s="4" t="s">
        <v>14</v>
      </c>
      <c r="I4770" s="4" t="s">
        <v>65</v>
      </c>
      <c r="J4770" s="4" t="s">
        <v>66</v>
      </c>
      <c r="K4770" s="4">
        <v>1</v>
      </c>
      <c r="L4770" s="94">
        <v>10015</v>
      </c>
      <c r="M4770" s="94">
        <v>40060</v>
      </c>
    </row>
    <row r="4771" spans="3:13" x14ac:dyDescent="0.3">
      <c r="C4771" t="s">
        <v>71</v>
      </c>
      <c r="D4771" t="s">
        <v>67</v>
      </c>
      <c r="E4771" t="s">
        <v>68</v>
      </c>
      <c r="F4771" t="s">
        <v>25</v>
      </c>
      <c r="G4771" s="4">
        <v>-1</v>
      </c>
      <c r="H4771" s="4" t="s">
        <v>12</v>
      </c>
      <c r="I4771" s="4" t="s">
        <v>69</v>
      </c>
      <c r="J4771" s="4" t="s">
        <v>66</v>
      </c>
      <c r="K4771" s="4">
        <v>1</v>
      </c>
      <c r="L4771" s="94">
        <v>231</v>
      </c>
      <c r="M4771" s="94">
        <v>0</v>
      </c>
    </row>
    <row r="4772" spans="3:13" x14ac:dyDescent="0.3">
      <c r="C4772" t="s">
        <v>61</v>
      </c>
      <c r="D4772" t="s">
        <v>67</v>
      </c>
      <c r="E4772" t="s">
        <v>63</v>
      </c>
      <c r="F4772" t="s">
        <v>72</v>
      </c>
      <c r="G4772" s="4">
        <v>0</v>
      </c>
      <c r="H4772" s="4" t="s">
        <v>74</v>
      </c>
      <c r="I4772" s="4" t="s">
        <v>69</v>
      </c>
      <c r="J4772" s="4" t="s">
        <v>66</v>
      </c>
      <c r="K4772" s="4">
        <v>0</v>
      </c>
      <c r="L4772" s="94">
        <v>-479</v>
      </c>
      <c r="M4772" s="94">
        <v>0</v>
      </c>
    </row>
    <row r="4773" spans="3:13" x14ac:dyDescent="0.3">
      <c r="C4773" t="s">
        <v>61</v>
      </c>
      <c r="D4773" t="s">
        <v>67</v>
      </c>
      <c r="E4773" t="s">
        <v>68</v>
      </c>
      <c r="F4773" t="s">
        <v>72</v>
      </c>
      <c r="G4773" s="4">
        <v>3</v>
      </c>
      <c r="H4773" s="4" t="s">
        <v>17</v>
      </c>
      <c r="I4773" s="4" t="s">
        <v>65</v>
      </c>
      <c r="J4773" s="4" t="s">
        <v>66</v>
      </c>
      <c r="K4773" s="4">
        <v>1</v>
      </c>
      <c r="L4773" s="94">
        <v>32286</v>
      </c>
      <c r="M4773" s="94">
        <v>96858</v>
      </c>
    </row>
    <row r="4774" spans="3:13" x14ac:dyDescent="0.3">
      <c r="C4774" t="s">
        <v>70</v>
      </c>
      <c r="D4774" t="s">
        <v>67</v>
      </c>
      <c r="E4774" t="s">
        <v>68</v>
      </c>
      <c r="F4774" t="s">
        <v>72</v>
      </c>
      <c r="G4774" s="4">
        <v>5</v>
      </c>
      <c r="H4774" s="4" t="s">
        <v>74</v>
      </c>
      <c r="I4774" s="4" t="s">
        <v>69</v>
      </c>
      <c r="J4774" s="4" t="s">
        <v>66</v>
      </c>
      <c r="K4774" s="4">
        <v>0</v>
      </c>
      <c r="L4774" s="94">
        <v>1895141</v>
      </c>
      <c r="M4774" s="94">
        <v>9475705</v>
      </c>
    </row>
    <row r="4775" spans="3:13" x14ac:dyDescent="0.3">
      <c r="C4775" t="s">
        <v>61</v>
      </c>
      <c r="D4775" t="s">
        <v>67</v>
      </c>
      <c r="E4775" t="s">
        <v>63</v>
      </c>
      <c r="F4775" t="s">
        <v>72</v>
      </c>
      <c r="G4775" s="4">
        <v>7</v>
      </c>
      <c r="H4775" s="4" t="s">
        <v>76</v>
      </c>
      <c r="I4775" s="4" t="s">
        <v>69</v>
      </c>
      <c r="J4775" s="4" t="s">
        <v>66</v>
      </c>
      <c r="K4775" s="4">
        <v>0</v>
      </c>
      <c r="L4775" s="94">
        <v>-955</v>
      </c>
      <c r="M4775" s="94">
        <v>0</v>
      </c>
    </row>
    <row r="4776" spans="3:13" x14ac:dyDescent="0.3">
      <c r="C4776" t="s">
        <v>70</v>
      </c>
      <c r="D4776" t="s">
        <v>67</v>
      </c>
      <c r="E4776" t="s">
        <v>63</v>
      </c>
      <c r="F4776" t="s">
        <v>26</v>
      </c>
      <c r="G4776" s="4">
        <v>-1</v>
      </c>
      <c r="H4776" s="4" t="s">
        <v>75</v>
      </c>
      <c r="I4776" s="4" t="s">
        <v>69</v>
      </c>
      <c r="J4776" s="4" t="s">
        <v>66</v>
      </c>
      <c r="K4776" s="4">
        <v>0</v>
      </c>
      <c r="L4776" s="94">
        <v>-457789</v>
      </c>
      <c r="M4776" s="94">
        <v>0</v>
      </c>
    </row>
    <row r="4777" spans="3:13" x14ac:dyDescent="0.3">
      <c r="C4777" t="s">
        <v>70</v>
      </c>
      <c r="D4777" t="s">
        <v>62</v>
      </c>
      <c r="E4777" t="s">
        <v>63</v>
      </c>
      <c r="F4777" t="s">
        <v>24</v>
      </c>
      <c r="G4777" s="4">
        <v>1</v>
      </c>
      <c r="I4777" s="4" t="s">
        <v>69</v>
      </c>
      <c r="J4777" s="4" t="s">
        <v>66</v>
      </c>
      <c r="K4777" s="4">
        <v>0</v>
      </c>
      <c r="L4777" s="94">
        <v>-15591</v>
      </c>
      <c r="M4777" s="94">
        <v>0</v>
      </c>
    </row>
    <row r="4778" spans="3:13" x14ac:dyDescent="0.3">
      <c r="C4778" t="s">
        <v>71</v>
      </c>
      <c r="D4778" t="s">
        <v>67</v>
      </c>
      <c r="E4778" t="s">
        <v>63</v>
      </c>
      <c r="F4778" t="s">
        <v>72</v>
      </c>
      <c r="G4778" s="4">
        <v>4</v>
      </c>
      <c r="H4778" s="4" t="s">
        <v>12</v>
      </c>
      <c r="I4778" s="4" t="s">
        <v>69</v>
      </c>
      <c r="J4778" s="4" t="s">
        <v>73</v>
      </c>
      <c r="K4778" s="4">
        <v>1</v>
      </c>
      <c r="L4778" s="94">
        <v>-68775</v>
      </c>
      <c r="M4778" s="94">
        <v>0</v>
      </c>
    </row>
    <row r="4779" spans="3:13" x14ac:dyDescent="0.3">
      <c r="C4779" t="s">
        <v>71</v>
      </c>
      <c r="D4779" t="s">
        <v>67</v>
      </c>
      <c r="E4779" t="s">
        <v>68</v>
      </c>
      <c r="F4779" t="s">
        <v>26</v>
      </c>
      <c r="G4779" s="4">
        <v>6</v>
      </c>
      <c r="H4779" s="4" t="s">
        <v>12</v>
      </c>
      <c r="I4779" s="4" t="s">
        <v>69</v>
      </c>
      <c r="J4779" s="4" t="s">
        <v>73</v>
      </c>
      <c r="K4779" s="4">
        <v>1</v>
      </c>
      <c r="L4779" s="94">
        <v>15856</v>
      </c>
      <c r="M4779" s="94">
        <v>95136</v>
      </c>
    </row>
    <row r="4780" spans="3:13" x14ac:dyDescent="0.3">
      <c r="C4780" t="s">
        <v>70</v>
      </c>
      <c r="D4780" t="s">
        <v>67</v>
      </c>
      <c r="E4780" t="s">
        <v>68</v>
      </c>
      <c r="F4780" t="s">
        <v>25</v>
      </c>
      <c r="G4780" s="4">
        <v>13</v>
      </c>
      <c r="H4780" s="4" t="s">
        <v>75</v>
      </c>
      <c r="I4780" s="4" t="s">
        <v>69</v>
      </c>
      <c r="J4780" s="4" t="s">
        <v>66</v>
      </c>
      <c r="K4780" s="4">
        <v>0</v>
      </c>
      <c r="L4780" s="94">
        <v>2336949</v>
      </c>
      <c r="M4780" s="94">
        <v>30380337</v>
      </c>
    </row>
    <row r="4781" spans="3:13" x14ac:dyDescent="0.3">
      <c r="C4781" t="s">
        <v>61</v>
      </c>
      <c r="D4781" t="s">
        <v>62</v>
      </c>
      <c r="E4781" t="s">
        <v>68</v>
      </c>
      <c r="F4781" t="s">
        <v>24</v>
      </c>
      <c r="G4781" s="4">
        <v>22</v>
      </c>
      <c r="I4781" s="4" t="s">
        <v>65</v>
      </c>
      <c r="J4781" s="4" t="s">
        <v>66</v>
      </c>
      <c r="K4781" s="4">
        <v>1</v>
      </c>
      <c r="L4781" s="94">
        <v>10827286</v>
      </c>
      <c r="M4781" s="94">
        <v>238200292</v>
      </c>
    </row>
    <row r="4782" spans="3:13" x14ac:dyDescent="0.3">
      <c r="C4782" t="s">
        <v>70</v>
      </c>
      <c r="D4782" t="s">
        <v>62</v>
      </c>
      <c r="E4782" t="s">
        <v>63</v>
      </c>
      <c r="F4782" t="s">
        <v>24</v>
      </c>
      <c r="G4782" s="4">
        <v>33</v>
      </c>
      <c r="I4782" s="4" t="s">
        <v>69</v>
      </c>
      <c r="J4782" s="4" t="s">
        <v>66</v>
      </c>
      <c r="K4782" s="4">
        <v>0</v>
      </c>
      <c r="L4782" s="94">
        <v>-1479240</v>
      </c>
      <c r="M4782" s="94">
        <v>0</v>
      </c>
    </row>
    <row r="4783" spans="3:13" x14ac:dyDescent="0.3">
      <c r="C4783" t="s">
        <v>70</v>
      </c>
      <c r="D4783" t="s">
        <v>67</v>
      </c>
      <c r="E4783" t="s">
        <v>68</v>
      </c>
      <c r="F4783" t="s">
        <v>26</v>
      </c>
      <c r="G4783" s="4">
        <v>-4</v>
      </c>
      <c r="H4783" s="4" t="s">
        <v>82</v>
      </c>
      <c r="I4783" s="4" t="s">
        <v>65</v>
      </c>
      <c r="J4783" s="4" t="s">
        <v>66</v>
      </c>
      <c r="K4783" s="4">
        <v>1</v>
      </c>
      <c r="L4783" s="94">
        <v>15000</v>
      </c>
      <c r="M4783" s="94">
        <v>0</v>
      </c>
    </row>
    <row r="4784" spans="3:13" x14ac:dyDescent="0.3">
      <c r="C4784" t="s">
        <v>61</v>
      </c>
      <c r="D4784" t="s">
        <v>67</v>
      </c>
      <c r="E4784" t="s">
        <v>63</v>
      </c>
      <c r="F4784" t="s">
        <v>25</v>
      </c>
      <c r="G4784" s="4">
        <v>21</v>
      </c>
      <c r="H4784" s="4" t="s">
        <v>18</v>
      </c>
      <c r="I4784" s="4" t="s">
        <v>69</v>
      </c>
      <c r="J4784" s="4" t="s">
        <v>66</v>
      </c>
      <c r="K4784" s="4">
        <v>0</v>
      </c>
      <c r="L4784" s="94">
        <v>-678</v>
      </c>
      <c r="M4784" s="94">
        <v>0</v>
      </c>
    </row>
    <row r="4785" spans="3:13" x14ac:dyDescent="0.3">
      <c r="C4785" t="s">
        <v>70</v>
      </c>
      <c r="D4785" t="s">
        <v>67</v>
      </c>
      <c r="E4785" t="s">
        <v>63</v>
      </c>
      <c r="F4785" t="s">
        <v>72</v>
      </c>
      <c r="G4785" s="4">
        <v>-4</v>
      </c>
      <c r="H4785" s="4" t="s">
        <v>76</v>
      </c>
      <c r="I4785" s="4" t="s">
        <v>69</v>
      </c>
      <c r="J4785" s="4" t="s">
        <v>66</v>
      </c>
      <c r="K4785" s="4">
        <v>0</v>
      </c>
      <c r="L4785" s="94">
        <v>-230</v>
      </c>
      <c r="M4785" s="94">
        <v>0</v>
      </c>
    </row>
    <row r="4786" spans="3:13" x14ac:dyDescent="0.3">
      <c r="C4786" t="s">
        <v>61</v>
      </c>
      <c r="D4786" t="s">
        <v>67</v>
      </c>
      <c r="E4786" t="s">
        <v>63</v>
      </c>
      <c r="F4786" t="s">
        <v>72</v>
      </c>
      <c r="G4786" s="4">
        <v>0</v>
      </c>
      <c r="H4786" s="4" t="s">
        <v>17</v>
      </c>
      <c r="I4786" s="4" t="s">
        <v>65</v>
      </c>
      <c r="J4786" s="4" t="s">
        <v>73</v>
      </c>
      <c r="K4786" s="4">
        <v>1</v>
      </c>
      <c r="L4786" s="94">
        <v>-209</v>
      </c>
      <c r="M4786" s="94">
        <v>0</v>
      </c>
    </row>
    <row r="4787" spans="3:13" x14ac:dyDescent="0.3">
      <c r="C4787" t="s">
        <v>70</v>
      </c>
      <c r="D4787" t="s">
        <v>67</v>
      </c>
      <c r="E4787" t="s">
        <v>68</v>
      </c>
      <c r="F4787" t="s">
        <v>26</v>
      </c>
      <c r="G4787" s="4">
        <v>2</v>
      </c>
      <c r="H4787" s="4" t="s">
        <v>81</v>
      </c>
      <c r="I4787" s="4" t="s">
        <v>69</v>
      </c>
      <c r="J4787" s="4" t="s">
        <v>66</v>
      </c>
      <c r="K4787" s="4">
        <v>0</v>
      </c>
      <c r="L4787" s="94">
        <v>18149</v>
      </c>
      <c r="M4787" s="94">
        <v>36298</v>
      </c>
    </row>
    <row r="4788" spans="3:13" x14ac:dyDescent="0.3">
      <c r="C4788" t="s">
        <v>70</v>
      </c>
      <c r="D4788" t="s">
        <v>67</v>
      </c>
      <c r="E4788" t="s">
        <v>68</v>
      </c>
      <c r="F4788" t="s">
        <v>26</v>
      </c>
      <c r="G4788" s="4">
        <v>6</v>
      </c>
      <c r="H4788" s="4" t="s">
        <v>82</v>
      </c>
      <c r="I4788" s="4" t="s">
        <v>69</v>
      </c>
      <c r="J4788" s="4" t="s">
        <v>66</v>
      </c>
      <c r="K4788" s="4">
        <v>0</v>
      </c>
      <c r="L4788" s="94">
        <v>141757</v>
      </c>
      <c r="M4788" s="94">
        <v>850542</v>
      </c>
    </row>
    <row r="4789" spans="3:13" x14ac:dyDescent="0.3">
      <c r="C4789" t="s">
        <v>61</v>
      </c>
      <c r="D4789" t="s">
        <v>67</v>
      </c>
      <c r="E4789" t="s">
        <v>68</v>
      </c>
      <c r="F4789" t="s">
        <v>72</v>
      </c>
      <c r="G4789" s="4">
        <v>1</v>
      </c>
      <c r="H4789" s="4" t="s">
        <v>15</v>
      </c>
      <c r="I4789" s="4" t="s">
        <v>69</v>
      </c>
      <c r="J4789" s="4" t="s">
        <v>73</v>
      </c>
      <c r="K4789" s="4">
        <v>1</v>
      </c>
      <c r="L4789" s="94">
        <v>222906</v>
      </c>
      <c r="M4789" s="94">
        <v>222906</v>
      </c>
    </row>
    <row r="4790" spans="3:13" x14ac:dyDescent="0.3">
      <c r="C4790" t="s">
        <v>61</v>
      </c>
      <c r="D4790" t="s">
        <v>67</v>
      </c>
      <c r="E4790" t="s">
        <v>68</v>
      </c>
      <c r="F4790" t="s">
        <v>25</v>
      </c>
      <c r="G4790" s="4">
        <v>14</v>
      </c>
      <c r="H4790" s="4" t="s">
        <v>79</v>
      </c>
      <c r="I4790" s="4" t="s">
        <v>69</v>
      </c>
      <c r="J4790" s="4" t="s">
        <v>66</v>
      </c>
      <c r="K4790" s="4">
        <v>0</v>
      </c>
      <c r="L4790" s="94">
        <v>3198879</v>
      </c>
      <c r="M4790" s="94">
        <v>44784306</v>
      </c>
    </row>
    <row r="4791" spans="3:13" x14ac:dyDescent="0.3">
      <c r="C4791" t="s">
        <v>71</v>
      </c>
      <c r="D4791" t="s">
        <v>67</v>
      </c>
      <c r="E4791" t="s">
        <v>63</v>
      </c>
      <c r="F4791" t="s">
        <v>25</v>
      </c>
      <c r="G4791" s="4">
        <v>0</v>
      </c>
      <c r="H4791" s="4" t="s">
        <v>18</v>
      </c>
      <c r="I4791" s="4" t="s">
        <v>69</v>
      </c>
      <c r="J4791" s="4" t="s">
        <v>66</v>
      </c>
      <c r="K4791" s="4">
        <v>0</v>
      </c>
      <c r="L4791" s="94">
        <v>-200640</v>
      </c>
      <c r="M4791" s="94">
        <v>0</v>
      </c>
    </row>
    <row r="4792" spans="3:13" x14ac:dyDescent="0.3">
      <c r="C4792" t="s">
        <v>71</v>
      </c>
      <c r="D4792" t="s">
        <v>62</v>
      </c>
      <c r="E4792" t="s">
        <v>63</v>
      </c>
      <c r="F4792" t="s">
        <v>24</v>
      </c>
      <c r="G4792" s="4">
        <v>30</v>
      </c>
      <c r="I4792" s="4" t="s">
        <v>69</v>
      </c>
      <c r="J4792" s="4" t="s">
        <v>66</v>
      </c>
      <c r="K4792" s="4">
        <v>0</v>
      </c>
      <c r="L4792" s="94">
        <v>-2147854</v>
      </c>
      <c r="M4792" s="94">
        <v>0</v>
      </c>
    </row>
    <row r="4793" spans="3:13" x14ac:dyDescent="0.3">
      <c r="C4793" t="s">
        <v>71</v>
      </c>
      <c r="D4793" t="s">
        <v>67</v>
      </c>
      <c r="E4793" t="s">
        <v>68</v>
      </c>
      <c r="F4793" t="s">
        <v>26</v>
      </c>
      <c r="G4793" s="4">
        <v>-4</v>
      </c>
      <c r="H4793" s="4" t="s">
        <v>17</v>
      </c>
      <c r="I4793" s="4" t="s">
        <v>69</v>
      </c>
      <c r="J4793" s="4" t="s">
        <v>66</v>
      </c>
      <c r="K4793" s="4">
        <v>0</v>
      </c>
      <c r="L4793" s="94">
        <v>7828443</v>
      </c>
      <c r="M4793" s="94">
        <v>0</v>
      </c>
    </row>
    <row r="4794" spans="3:13" x14ac:dyDescent="0.3">
      <c r="C4794" t="s">
        <v>61</v>
      </c>
      <c r="D4794" t="s">
        <v>67</v>
      </c>
      <c r="E4794" t="s">
        <v>63</v>
      </c>
      <c r="F4794" t="s">
        <v>25</v>
      </c>
      <c r="G4794" s="4">
        <v>3</v>
      </c>
      <c r="H4794" s="4" t="s">
        <v>12</v>
      </c>
      <c r="I4794" s="4" t="s">
        <v>69</v>
      </c>
      <c r="J4794" s="4" t="s">
        <v>66</v>
      </c>
      <c r="K4794" s="4">
        <v>0</v>
      </c>
      <c r="L4794" s="94">
        <v>-1142</v>
      </c>
      <c r="M4794" s="94">
        <v>0</v>
      </c>
    </row>
    <row r="4795" spans="3:13" x14ac:dyDescent="0.3">
      <c r="C4795" t="s">
        <v>71</v>
      </c>
      <c r="D4795" t="s">
        <v>67</v>
      </c>
      <c r="E4795" t="s">
        <v>63</v>
      </c>
      <c r="F4795" t="s">
        <v>25</v>
      </c>
      <c r="G4795" s="4">
        <v>9</v>
      </c>
      <c r="H4795" s="4" t="s">
        <v>82</v>
      </c>
      <c r="I4795" s="4" t="s">
        <v>69</v>
      </c>
      <c r="J4795" s="4" t="s">
        <v>66</v>
      </c>
      <c r="K4795" s="4">
        <v>0</v>
      </c>
      <c r="L4795" s="94">
        <v>-150111</v>
      </c>
      <c r="M4795" s="94">
        <v>0</v>
      </c>
    </row>
    <row r="4796" spans="3:13" x14ac:dyDescent="0.3">
      <c r="C4796" t="s">
        <v>71</v>
      </c>
      <c r="D4796" t="s">
        <v>67</v>
      </c>
      <c r="E4796" t="s">
        <v>68</v>
      </c>
      <c r="F4796" t="s">
        <v>26</v>
      </c>
      <c r="G4796" s="4">
        <v>1</v>
      </c>
      <c r="H4796" s="4" t="s">
        <v>76</v>
      </c>
      <c r="I4796" s="4" t="s">
        <v>69</v>
      </c>
      <c r="J4796" s="4" t="s">
        <v>66</v>
      </c>
      <c r="K4796" s="4">
        <v>0</v>
      </c>
      <c r="L4796" s="94">
        <v>954208</v>
      </c>
      <c r="M4796" s="94">
        <v>954208</v>
      </c>
    </row>
    <row r="4797" spans="3:13" x14ac:dyDescent="0.3">
      <c r="C4797" t="s">
        <v>70</v>
      </c>
      <c r="D4797" t="s">
        <v>62</v>
      </c>
      <c r="E4797" t="s">
        <v>68</v>
      </c>
      <c r="F4797" t="s">
        <v>25</v>
      </c>
      <c r="G4797" s="4">
        <v>15</v>
      </c>
      <c r="I4797" s="4" t="s">
        <v>69</v>
      </c>
      <c r="J4797" s="4" t="s">
        <v>66</v>
      </c>
      <c r="K4797" s="4">
        <v>1</v>
      </c>
      <c r="L4797" s="94">
        <v>182826</v>
      </c>
      <c r="M4797" s="94">
        <v>2742390</v>
      </c>
    </row>
    <row r="4798" spans="3:13" x14ac:dyDescent="0.3">
      <c r="C4798" t="s">
        <v>61</v>
      </c>
      <c r="D4798" t="s">
        <v>62</v>
      </c>
      <c r="E4798" t="s">
        <v>68</v>
      </c>
      <c r="F4798" t="s">
        <v>24</v>
      </c>
      <c r="G4798" s="4">
        <v>19</v>
      </c>
      <c r="I4798" s="4" t="s">
        <v>65</v>
      </c>
      <c r="J4798" s="4" t="s">
        <v>66</v>
      </c>
      <c r="K4798" s="4">
        <v>1</v>
      </c>
      <c r="L4798" s="94">
        <v>5309503</v>
      </c>
      <c r="M4798" s="94">
        <v>100880557</v>
      </c>
    </row>
    <row r="4799" spans="3:13" x14ac:dyDescent="0.3">
      <c r="C4799" t="s">
        <v>61</v>
      </c>
      <c r="D4799" t="s">
        <v>67</v>
      </c>
      <c r="E4799" t="s">
        <v>68</v>
      </c>
      <c r="F4799" t="s">
        <v>72</v>
      </c>
      <c r="G4799" s="4">
        <v>2</v>
      </c>
      <c r="H4799" s="4" t="s">
        <v>64</v>
      </c>
      <c r="I4799" s="4" t="s">
        <v>69</v>
      </c>
      <c r="J4799" s="4" t="s">
        <v>66</v>
      </c>
      <c r="K4799" s="4">
        <v>0</v>
      </c>
      <c r="L4799" s="94">
        <v>12030046</v>
      </c>
      <c r="M4799" s="94">
        <v>24060092</v>
      </c>
    </row>
    <row r="4800" spans="3:13" x14ac:dyDescent="0.3">
      <c r="C4800" t="s">
        <v>71</v>
      </c>
      <c r="D4800" t="s">
        <v>67</v>
      </c>
      <c r="E4800" t="s">
        <v>63</v>
      </c>
      <c r="F4800" t="s">
        <v>26</v>
      </c>
      <c r="G4800" s="4">
        <v>5</v>
      </c>
      <c r="H4800" s="4" t="s">
        <v>12</v>
      </c>
      <c r="I4800" s="4" t="s">
        <v>65</v>
      </c>
      <c r="J4800" s="4" t="s">
        <v>73</v>
      </c>
      <c r="K4800" s="4">
        <v>1</v>
      </c>
      <c r="L4800" s="94">
        <v>-14245</v>
      </c>
      <c r="M4800" s="94">
        <v>0</v>
      </c>
    </row>
    <row r="4801" spans="3:13" x14ac:dyDescent="0.3">
      <c r="C4801" t="s">
        <v>71</v>
      </c>
      <c r="D4801" t="s">
        <v>62</v>
      </c>
      <c r="E4801" t="s">
        <v>68</v>
      </c>
      <c r="F4801" t="s">
        <v>25</v>
      </c>
      <c r="G4801" s="4">
        <v>34</v>
      </c>
      <c r="I4801" s="4" t="s">
        <v>69</v>
      </c>
      <c r="J4801" s="4" t="s">
        <v>66</v>
      </c>
      <c r="K4801" s="4">
        <v>0</v>
      </c>
      <c r="L4801" s="94">
        <v>32484</v>
      </c>
      <c r="M4801" s="94">
        <v>1104456</v>
      </c>
    </row>
    <row r="4802" spans="3:13" x14ac:dyDescent="0.3">
      <c r="C4802" t="s">
        <v>70</v>
      </c>
      <c r="D4802" t="s">
        <v>62</v>
      </c>
      <c r="E4802" t="s">
        <v>68</v>
      </c>
      <c r="F4802" t="s">
        <v>24</v>
      </c>
      <c r="G4802" s="4">
        <v>19</v>
      </c>
      <c r="I4802" s="4" t="s">
        <v>69</v>
      </c>
      <c r="J4802" s="4" t="s">
        <v>66</v>
      </c>
      <c r="K4802" s="4">
        <v>0</v>
      </c>
      <c r="L4802" s="94">
        <v>38042709</v>
      </c>
      <c r="M4802" s="94">
        <v>722811471</v>
      </c>
    </row>
    <row r="4803" spans="3:13" x14ac:dyDescent="0.3">
      <c r="C4803" t="s">
        <v>61</v>
      </c>
      <c r="D4803" t="s">
        <v>67</v>
      </c>
      <c r="E4803" t="s">
        <v>63</v>
      </c>
      <c r="F4803" t="s">
        <v>72</v>
      </c>
      <c r="G4803" s="4">
        <v>3</v>
      </c>
      <c r="H4803" s="4" t="s">
        <v>79</v>
      </c>
      <c r="I4803" s="4" t="s">
        <v>69</v>
      </c>
      <c r="J4803" s="4" t="s">
        <v>66</v>
      </c>
      <c r="K4803" s="4">
        <v>0</v>
      </c>
      <c r="L4803" s="94">
        <v>-22279</v>
      </c>
      <c r="M4803" s="94">
        <v>0</v>
      </c>
    </row>
    <row r="4804" spans="3:13" x14ac:dyDescent="0.3">
      <c r="C4804" t="s">
        <v>71</v>
      </c>
      <c r="D4804" t="s">
        <v>67</v>
      </c>
      <c r="E4804" t="s">
        <v>68</v>
      </c>
      <c r="F4804" t="s">
        <v>25</v>
      </c>
      <c r="G4804" s="4">
        <v>2</v>
      </c>
      <c r="H4804" s="4" t="s">
        <v>64</v>
      </c>
      <c r="I4804" s="4" t="s">
        <v>69</v>
      </c>
      <c r="J4804" s="4" t="s">
        <v>66</v>
      </c>
      <c r="K4804" s="4">
        <v>0</v>
      </c>
      <c r="L4804" s="94">
        <v>1440854</v>
      </c>
      <c r="M4804" s="94">
        <v>2881708</v>
      </c>
    </row>
    <row r="4805" spans="3:13" x14ac:dyDescent="0.3">
      <c r="C4805" t="s">
        <v>61</v>
      </c>
      <c r="D4805" t="s">
        <v>67</v>
      </c>
      <c r="E4805" t="s">
        <v>68</v>
      </c>
      <c r="F4805" t="s">
        <v>25</v>
      </c>
      <c r="G4805" s="4">
        <v>4</v>
      </c>
      <c r="H4805" s="4" t="s">
        <v>75</v>
      </c>
      <c r="I4805" s="4" t="s">
        <v>69</v>
      </c>
      <c r="J4805" s="4" t="s">
        <v>66</v>
      </c>
      <c r="K4805" s="4">
        <v>0</v>
      </c>
      <c r="L4805" s="94">
        <v>24984693</v>
      </c>
      <c r="M4805" s="94">
        <v>99938772</v>
      </c>
    </row>
    <row r="4806" spans="3:13" x14ac:dyDescent="0.3">
      <c r="C4806" t="s">
        <v>70</v>
      </c>
      <c r="D4806" t="s">
        <v>67</v>
      </c>
      <c r="E4806" t="s">
        <v>68</v>
      </c>
      <c r="F4806" t="s">
        <v>26</v>
      </c>
      <c r="G4806" s="4">
        <v>-1</v>
      </c>
      <c r="H4806" s="4" t="s">
        <v>79</v>
      </c>
      <c r="I4806" s="4" t="s">
        <v>69</v>
      </c>
      <c r="J4806" s="4" t="s">
        <v>66</v>
      </c>
      <c r="K4806" s="4">
        <v>0</v>
      </c>
      <c r="L4806" s="94">
        <v>4860140</v>
      </c>
      <c r="M4806" s="94">
        <v>0</v>
      </c>
    </row>
    <row r="4807" spans="3:13" x14ac:dyDescent="0.3">
      <c r="C4807" t="s">
        <v>61</v>
      </c>
      <c r="D4807" t="s">
        <v>67</v>
      </c>
      <c r="E4807" t="s">
        <v>63</v>
      </c>
      <c r="F4807" t="s">
        <v>26</v>
      </c>
      <c r="G4807" s="4">
        <v>3</v>
      </c>
      <c r="H4807" s="4" t="s">
        <v>12</v>
      </c>
      <c r="I4807" s="4" t="s">
        <v>69</v>
      </c>
      <c r="J4807" s="4" t="s">
        <v>66</v>
      </c>
      <c r="K4807" s="4">
        <v>0</v>
      </c>
      <c r="L4807" s="94">
        <v>-16176</v>
      </c>
      <c r="M4807" s="94">
        <v>0</v>
      </c>
    </row>
    <row r="4808" spans="3:13" x14ac:dyDescent="0.3">
      <c r="C4808" t="s">
        <v>61</v>
      </c>
      <c r="D4808" t="s">
        <v>67</v>
      </c>
      <c r="E4808" t="s">
        <v>63</v>
      </c>
      <c r="F4808" t="s">
        <v>25</v>
      </c>
      <c r="G4808" s="4">
        <v>2</v>
      </c>
      <c r="H4808" s="4" t="s">
        <v>83</v>
      </c>
      <c r="I4808" s="4" t="s">
        <v>69</v>
      </c>
      <c r="J4808" s="4" t="s">
        <v>66</v>
      </c>
      <c r="K4808" s="4">
        <v>0</v>
      </c>
      <c r="L4808" s="94">
        <v>-342</v>
      </c>
      <c r="M4808" s="94">
        <v>0</v>
      </c>
    </row>
    <row r="4809" spans="3:13" x14ac:dyDescent="0.3">
      <c r="C4809" t="s">
        <v>70</v>
      </c>
      <c r="D4809" t="s">
        <v>67</v>
      </c>
      <c r="E4809" t="s">
        <v>63</v>
      </c>
      <c r="F4809" t="s">
        <v>25</v>
      </c>
      <c r="G4809" s="4">
        <v>2</v>
      </c>
      <c r="H4809" s="4" t="s">
        <v>80</v>
      </c>
      <c r="I4809" s="4" t="s">
        <v>69</v>
      </c>
      <c r="J4809" s="4" t="s">
        <v>66</v>
      </c>
      <c r="K4809" s="4">
        <v>0</v>
      </c>
      <c r="L4809" s="94">
        <v>-22328</v>
      </c>
      <c r="M4809" s="94">
        <v>0</v>
      </c>
    </row>
    <row r="4810" spans="3:13" x14ac:dyDescent="0.3">
      <c r="C4810" t="s">
        <v>61</v>
      </c>
      <c r="D4810" t="s">
        <v>62</v>
      </c>
      <c r="E4810" t="s">
        <v>63</v>
      </c>
      <c r="F4810" t="s">
        <v>24</v>
      </c>
      <c r="G4810" s="4">
        <v>36</v>
      </c>
      <c r="I4810" s="4" t="s">
        <v>69</v>
      </c>
      <c r="J4810" s="4" t="s">
        <v>66</v>
      </c>
      <c r="K4810" s="4">
        <v>1</v>
      </c>
      <c r="L4810" s="94">
        <v>-525</v>
      </c>
      <c r="M4810" s="94">
        <v>0</v>
      </c>
    </row>
    <row r="4811" spans="3:13" x14ac:dyDescent="0.3">
      <c r="C4811" t="s">
        <v>61</v>
      </c>
      <c r="D4811" t="s">
        <v>67</v>
      </c>
      <c r="E4811" t="s">
        <v>68</v>
      </c>
      <c r="F4811" t="s">
        <v>26</v>
      </c>
      <c r="G4811" s="4">
        <v>2</v>
      </c>
      <c r="H4811" s="4" t="s">
        <v>82</v>
      </c>
      <c r="I4811" s="4" t="s">
        <v>69</v>
      </c>
      <c r="J4811" s="4" t="s">
        <v>73</v>
      </c>
      <c r="K4811" s="4">
        <v>1</v>
      </c>
      <c r="L4811" s="94">
        <v>95556</v>
      </c>
      <c r="M4811" s="94">
        <v>191112</v>
      </c>
    </row>
    <row r="4812" spans="3:13" x14ac:dyDescent="0.3">
      <c r="C4812" t="s">
        <v>70</v>
      </c>
      <c r="D4812" t="s">
        <v>67</v>
      </c>
      <c r="E4812" t="s">
        <v>63</v>
      </c>
      <c r="F4812" t="s">
        <v>26</v>
      </c>
      <c r="G4812" s="4">
        <v>0</v>
      </c>
      <c r="H4812" s="4" t="s">
        <v>14</v>
      </c>
      <c r="I4812" s="4" t="s">
        <v>69</v>
      </c>
      <c r="J4812" s="4" t="s">
        <v>66</v>
      </c>
      <c r="K4812" s="4">
        <v>0</v>
      </c>
      <c r="L4812" s="94">
        <v>-492577</v>
      </c>
      <c r="M4812" s="94">
        <v>0</v>
      </c>
    </row>
    <row r="4813" spans="3:13" x14ac:dyDescent="0.3">
      <c r="C4813" t="s">
        <v>70</v>
      </c>
      <c r="D4813" t="s">
        <v>62</v>
      </c>
      <c r="E4813" t="s">
        <v>63</v>
      </c>
      <c r="F4813" t="s">
        <v>24</v>
      </c>
      <c r="G4813" s="4">
        <v>30</v>
      </c>
      <c r="I4813" s="4" t="s">
        <v>69</v>
      </c>
      <c r="J4813" s="4" t="s">
        <v>66</v>
      </c>
      <c r="K4813" s="4">
        <v>0</v>
      </c>
      <c r="L4813" s="94">
        <v>-1380375</v>
      </c>
      <c r="M4813" s="94">
        <v>0</v>
      </c>
    </row>
    <row r="4814" spans="3:13" x14ac:dyDescent="0.3">
      <c r="C4814" t="s">
        <v>70</v>
      </c>
      <c r="D4814" t="s">
        <v>67</v>
      </c>
      <c r="E4814" t="s">
        <v>68</v>
      </c>
      <c r="F4814" t="s">
        <v>26</v>
      </c>
      <c r="G4814" s="4">
        <v>-4</v>
      </c>
      <c r="H4814" s="4" t="s">
        <v>17</v>
      </c>
      <c r="I4814" s="4" t="s">
        <v>65</v>
      </c>
      <c r="J4814" s="4" t="s">
        <v>66</v>
      </c>
      <c r="K4814" s="4">
        <v>1</v>
      </c>
      <c r="L4814" s="94">
        <v>3000</v>
      </c>
      <c r="M4814" s="94">
        <v>0</v>
      </c>
    </row>
    <row r="4815" spans="3:13" x14ac:dyDescent="0.3">
      <c r="C4815" t="s">
        <v>61</v>
      </c>
      <c r="D4815" t="s">
        <v>67</v>
      </c>
      <c r="E4815" t="s">
        <v>68</v>
      </c>
      <c r="F4815" t="s">
        <v>72</v>
      </c>
      <c r="G4815" s="4">
        <v>4</v>
      </c>
      <c r="H4815" s="4" t="s">
        <v>12</v>
      </c>
      <c r="I4815" s="4" t="s">
        <v>65</v>
      </c>
      <c r="J4815" s="4" t="s">
        <v>73</v>
      </c>
      <c r="K4815" s="4">
        <v>1</v>
      </c>
      <c r="L4815" s="94">
        <v>52449</v>
      </c>
      <c r="M4815" s="94">
        <v>209796</v>
      </c>
    </row>
    <row r="4816" spans="3:13" x14ac:dyDescent="0.3">
      <c r="C4816" t="s">
        <v>61</v>
      </c>
      <c r="D4816" t="s">
        <v>62</v>
      </c>
      <c r="E4816" t="s">
        <v>63</v>
      </c>
      <c r="F4816" t="s">
        <v>24</v>
      </c>
      <c r="G4816" s="4">
        <v>22</v>
      </c>
      <c r="I4816" s="4" t="s">
        <v>69</v>
      </c>
      <c r="J4816" s="4" t="s">
        <v>66</v>
      </c>
      <c r="K4816" s="4">
        <v>0</v>
      </c>
      <c r="L4816" s="94">
        <v>-399012</v>
      </c>
      <c r="M4816" s="94">
        <v>0</v>
      </c>
    </row>
    <row r="4817" spans="3:13" x14ac:dyDescent="0.3">
      <c r="C4817" t="s">
        <v>61</v>
      </c>
      <c r="D4817" t="s">
        <v>67</v>
      </c>
      <c r="E4817" t="s">
        <v>63</v>
      </c>
      <c r="F4817" t="s">
        <v>25</v>
      </c>
      <c r="G4817" s="4">
        <v>14</v>
      </c>
      <c r="H4817" s="4" t="s">
        <v>80</v>
      </c>
      <c r="I4817" s="4" t="s">
        <v>69</v>
      </c>
      <c r="J4817" s="4" t="s">
        <v>66</v>
      </c>
      <c r="K4817" s="4">
        <v>0</v>
      </c>
      <c r="L4817" s="94">
        <v>-227</v>
      </c>
      <c r="M4817" s="94">
        <v>0</v>
      </c>
    </row>
    <row r="4818" spans="3:13" x14ac:dyDescent="0.3">
      <c r="C4818" t="s">
        <v>71</v>
      </c>
      <c r="D4818" t="s">
        <v>62</v>
      </c>
      <c r="E4818" t="s">
        <v>68</v>
      </c>
      <c r="F4818" t="s">
        <v>24</v>
      </c>
      <c r="G4818" s="4">
        <v>33</v>
      </c>
      <c r="I4818" s="4" t="s">
        <v>65</v>
      </c>
      <c r="J4818" s="4" t="s">
        <v>66</v>
      </c>
      <c r="K4818" s="4">
        <v>1</v>
      </c>
      <c r="L4818" s="94">
        <v>76591</v>
      </c>
      <c r="M4818" s="94">
        <v>2527503</v>
      </c>
    </row>
    <row r="4819" spans="3:13" x14ac:dyDescent="0.3">
      <c r="C4819" t="s">
        <v>70</v>
      </c>
      <c r="D4819" t="s">
        <v>67</v>
      </c>
      <c r="E4819" t="s">
        <v>68</v>
      </c>
      <c r="F4819" t="s">
        <v>26</v>
      </c>
      <c r="G4819" s="4">
        <v>-4</v>
      </c>
      <c r="H4819" s="4" t="s">
        <v>12</v>
      </c>
      <c r="I4819" s="4" t="s">
        <v>69</v>
      </c>
      <c r="J4819" s="4" t="s">
        <v>73</v>
      </c>
      <c r="K4819" s="4">
        <v>1</v>
      </c>
      <c r="L4819" s="94">
        <v>1784</v>
      </c>
      <c r="M4819" s="94">
        <v>0</v>
      </c>
    </row>
    <row r="4820" spans="3:13" x14ac:dyDescent="0.3">
      <c r="C4820" t="s">
        <v>61</v>
      </c>
      <c r="D4820" t="s">
        <v>84</v>
      </c>
      <c r="E4820" t="s">
        <v>63</v>
      </c>
      <c r="F4820" t="s">
        <v>25</v>
      </c>
      <c r="G4820" s="4">
        <v>-1</v>
      </c>
      <c r="H4820" s="4" t="s">
        <v>74</v>
      </c>
      <c r="I4820" s="4" t="s">
        <v>69</v>
      </c>
      <c r="J4820" s="4" t="s">
        <v>66</v>
      </c>
      <c r="K4820" s="4">
        <v>0</v>
      </c>
      <c r="L4820" s="94">
        <v>-287</v>
      </c>
      <c r="M4820" s="94">
        <v>0</v>
      </c>
    </row>
    <row r="4821" spans="3:13" x14ac:dyDescent="0.3">
      <c r="C4821" t="s">
        <v>70</v>
      </c>
      <c r="D4821" t="s">
        <v>67</v>
      </c>
      <c r="E4821" t="s">
        <v>68</v>
      </c>
      <c r="F4821" t="s">
        <v>72</v>
      </c>
      <c r="G4821" s="4">
        <v>1</v>
      </c>
      <c r="H4821" s="4" t="s">
        <v>80</v>
      </c>
      <c r="I4821" s="4" t="s">
        <v>69</v>
      </c>
      <c r="J4821" s="4" t="s">
        <v>66</v>
      </c>
      <c r="K4821" s="4">
        <v>0</v>
      </c>
      <c r="L4821" s="94">
        <v>20277</v>
      </c>
      <c r="M4821" s="94">
        <v>20277</v>
      </c>
    </row>
    <row r="4822" spans="3:13" x14ac:dyDescent="0.3">
      <c r="C4822" t="s">
        <v>70</v>
      </c>
      <c r="D4822" t="s">
        <v>67</v>
      </c>
      <c r="E4822" t="s">
        <v>63</v>
      </c>
      <c r="F4822" t="s">
        <v>25</v>
      </c>
      <c r="G4822" s="4">
        <v>9</v>
      </c>
      <c r="H4822" s="4" t="s">
        <v>74</v>
      </c>
      <c r="I4822" s="4" t="s">
        <v>69</v>
      </c>
      <c r="J4822" s="4" t="s">
        <v>66</v>
      </c>
      <c r="K4822" s="4">
        <v>0</v>
      </c>
      <c r="L4822" s="94">
        <v>-81142</v>
      </c>
      <c r="M4822" s="94">
        <v>0</v>
      </c>
    </row>
    <row r="4823" spans="3:13" x14ac:dyDescent="0.3">
      <c r="C4823" t="s">
        <v>71</v>
      </c>
      <c r="D4823" t="s">
        <v>67</v>
      </c>
      <c r="E4823" t="s">
        <v>68</v>
      </c>
      <c r="F4823" t="s">
        <v>26</v>
      </c>
      <c r="G4823" s="4">
        <v>10</v>
      </c>
      <c r="H4823" s="4" t="s">
        <v>12</v>
      </c>
      <c r="I4823" s="4" t="s">
        <v>69</v>
      </c>
      <c r="J4823" s="4" t="s">
        <v>73</v>
      </c>
      <c r="K4823" s="4">
        <v>1</v>
      </c>
      <c r="L4823" s="94">
        <v>8934</v>
      </c>
      <c r="M4823" s="94">
        <v>89340</v>
      </c>
    </row>
    <row r="4824" spans="3:13" x14ac:dyDescent="0.3">
      <c r="C4824" t="s">
        <v>70</v>
      </c>
      <c r="D4824" t="s">
        <v>67</v>
      </c>
      <c r="E4824" t="s">
        <v>68</v>
      </c>
      <c r="F4824" t="s">
        <v>25</v>
      </c>
      <c r="G4824" s="4">
        <v>11</v>
      </c>
      <c r="H4824" s="4" t="s">
        <v>12</v>
      </c>
      <c r="I4824" s="4" t="s">
        <v>69</v>
      </c>
      <c r="J4824" s="4" t="s">
        <v>66</v>
      </c>
      <c r="K4824" s="4">
        <v>1</v>
      </c>
      <c r="L4824" s="94">
        <v>486981</v>
      </c>
      <c r="M4824" s="94">
        <v>5356791</v>
      </c>
    </row>
    <row r="4825" spans="3:13" x14ac:dyDescent="0.3">
      <c r="C4825" t="s">
        <v>61</v>
      </c>
      <c r="D4825" t="s">
        <v>84</v>
      </c>
      <c r="E4825" t="s">
        <v>63</v>
      </c>
      <c r="F4825" t="s">
        <v>25</v>
      </c>
      <c r="G4825" s="4">
        <v>12</v>
      </c>
      <c r="H4825" s="4" t="s">
        <v>81</v>
      </c>
      <c r="I4825" s="4" t="s">
        <v>69</v>
      </c>
      <c r="J4825" s="4" t="s">
        <v>66</v>
      </c>
      <c r="K4825" s="4">
        <v>0</v>
      </c>
      <c r="L4825" s="94">
        <v>-151</v>
      </c>
      <c r="M4825" s="94">
        <v>0</v>
      </c>
    </row>
    <row r="4826" spans="3:13" x14ac:dyDescent="0.3">
      <c r="C4826" t="s">
        <v>61</v>
      </c>
      <c r="D4826" t="s">
        <v>62</v>
      </c>
      <c r="E4826" t="s">
        <v>63</v>
      </c>
      <c r="F4826" t="s">
        <v>24</v>
      </c>
      <c r="G4826" s="4">
        <v>0</v>
      </c>
      <c r="I4826" s="4" t="s">
        <v>69</v>
      </c>
      <c r="J4826" s="4" t="s">
        <v>66</v>
      </c>
      <c r="K4826" s="4">
        <v>0</v>
      </c>
      <c r="L4826" s="94">
        <v>-6176</v>
      </c>
      <c r="M4826" s="94">
        <v>0</v>
      </c>
    </row>
    <row r="4827" spans="3:13" x14ac:dyDescent="0.3">
      <c r="C4827" t="s">
        <v>70</v>
      </c>
      <c r="D4827" t="s">
        <v>67</v>
      </c>
      <c r="E4827" t="s">
        <v>63</v>
      </c>
      <c r="F4827" t="s">
        <v>26</v>
      </c>
      <c r="G4827" s="4">
        <v>-1</v>
      </c>
      <c r="H4827" s="4" t="s">
        <v>13</v>
      </c>
      <c r="I4827" s="4" t="s">
        <v>69</v>
      </c>
      <c r="J4827" s="4" t="s">
        <v>66</v>
      </c>
      <c r="K4827" s="4">
        <v>0</v>
      </c>
      <c r="L4827" s="94">
        <v>-8</v>
      </c>
      <c r="M4827" s="94">
        <v>0</v>
      </c>
    </row>
    <row r="4828" spans="3:13" x14ac:dyDescent="0.3">
      <c r="C4828" t="s">
        <v>70</v>
      </c>
      <c r="D4828" t="s">
        <v>67</v>
      </c>
      <c r="E4828" t="s">
        <v>63</v>
      </c>
      <c r="F4828" t="s">
        <v>25</v>
      </c>
      <c r="G4828" s="4">
        <v>10</v>
      </c>
      <c r="H4828" s="4" t="s">
        <v>12</v>
      </c>
      <c r="I4828" s="4" t="s">
        <v>69</v>
      </c>
      <c r="J4828" s="4" t="s">
        <v>66</v>
      </c>
      <c r="K4828" s="4">
        <v>0</v>
      </c>
      <c r="L4828" s="94">
        <v>-2302</v>
      </c>
      <c r="M4828" s="94">
        <v>0</v>
      </c>
    </row>
    <row r="4829" spans="3:13" x14ac:dyDescent="0.3">
      <c r="C4829" t="s">
        <v>70</v>
      </c>
      <c r="D4829" t="s">
        <v>67</v>
      </c>
      <c r="E4829" t="s">
        <v>63</v>
      </c>
      <c r="F4829" t="s">
        <v>72</v>
      </c>
      <c r="G4829" s="4">
        <v>2</v>
      </c>
      <c r="H4829" s="4" t="s">
        <v>76</v>
      </c>
      <c r="I4829" s="4" t="s">
        <v>69</v>
      </c>
      <c r="J4829" s="4" t="s">
        <v>66</v>
      </c>
      <c r="K4829" s="4">
        <v>0</v>
      </c>
      <c r="L4829" s="94">
        <v>-17814</v>
      </c>
      <c r="M4829" s="94">
        <v>0</v>
      </c>
    </row>
    <row r="4830" spans="3:13" x14ac:dyDescent="0.3">
      <c r="C4830" t="s">
        <v>61</v>
      </c>
      <c r="D4830" t="s">
        <v>62</v>
      </c>
      <c r="E4830" t="s">
        <v>68</v>
      </c>
      <c r="F4830" t="s">
        <v>24</v>
      </c>
      <c r="G4830" s="4">
        <v>31</v>
      </c>
      <c r="I4830" s="4" t="s">
        <v>69</v>
      </c>
      <c r="J4830" s="4" t="s">
        <v>66</v>
      </c>
      <c r="K4830" s="4">
        <v>1</v>
      </c>
      <c r="L4830" s="94">
        <v>1499003</v>
      </c>
      <c r="M4830" s="94">
        <v>46469093</v>
      </c>
    </row>
    <row r="4831" spans="3:13" x14ac:dyDescent="0.3">
      <c r="C4831" t="s">
        <v>70</v>
      </c>
      <c r="D4831" t="s">
        <v>67</v>
      </c>
      <c r="E4831" t="s">
        <v>63</v>
      </c>
      <c r="F4831" t="s">
        <v>72</v>
      </c>
      <c r="G4831" s="4">
        <v>3</v>
      </c>
      <c r="H4831" s="4" t="s">
        <v>79</v>
      </c>
      <c r="I4831" s="4" t="s">
        <v>69</v>
      </c>
      <c r="J4831" s="4" t="s">
        <v>66</v>
      </c>
      <c r="K4831" s="4">
        <v>0</v>
      </c>
      <c r="L4831" s="94">
        <v>-53492</v>
      </c>
      <c r="M4831" s="94">
        <v>0</v>
      </c>
    </row>
    <row r="4832" spans="3:13" x14ac:dyDescent="0.3">
      <c r="C4832" t="s">
        <v>61</v>
      </c>
      <c r="D4832" t="s">
        <v>67</v>
      </c>
      <c r="E4832" t="s">
        <v>63</v>
      </c>
      <c r="F4832" t="s">
        <v>26</v>
      </c>
      <c r="G4832" s="4">
        <v>4</v>
      </c>
      <c r="H4832" s="4" t="s">
        <v>17</v>
      </c>
      <c r="I4832" s="4" t="s">
        <v>65</v>
      </c>
      <c r="J4832" s="4" t="s">
        <v>66</v>
      </c>
      <c r="K4832" s="4">
        <v>1</v>
      </c>
      <c r="L4832" s="94">
        <v>-345</v>
      </c>
      <c r="M4832" s="94">
        <v>0</v>
      </c>
    </row>
    <row r="4833" spans="3:13" x14ac:dyDescent="0.3">
      <c r="C4833" t="s">
        <v>61</v>
      </c>
      <c r="D4833" t="s">
        <v>62</v>
      </c>
      <c r="E4833" t="s">
        <v>63</v>
      </c>
      <c r="F4833" t="s">
        <v>24</v>
      </c>
      <c r="G4833" s="4">
        <v>20</v>
      </c>
      <c r="I4833" s="4" t="s">
        <v>69</v>
      </c>
      <c r="J4833" s="4" t="s">
        <v>66</v>
      </c>
      <c r="K4833" s="4">
        <v>0</v>
      </c>
      <c r="L4833" s="94">
        <v>-273801</v>
      </c>
      <c r="M4833" s="94">
        <v>0</v>
      </c>
    </row>
    <row r="4834" spans="3:13" x14ac:dyDescent="0.3">
      <c r="C4834" t="s">
        <v>61</v>
      </c>
      <c r="D4834" t="s">
        <v>62</v>
      </c>
      <c r="E4834" t="s">
        <v>68</v>
      </c>
      <c r="F4834" t="s">
        <v>24</v>
      </c>
      <c r="G4834" s="4">
        <v>50</v>
      </c>
      <c r="I4834" s="4" t="s">
        <v>69</v>
      </c>
      <c r="J4834" s="4" t="s">
        <v>66</v>
      </c>
      <c r="K4834" s="4">
        <v>0</v>
      </c>
      <c r="L4834" s="94">
        <v>254584</v>
      </c>
      <c r="M4834" s="94">
        <v>12729200</v>
      </c>
    </row>
    <row r="4835" spans="3:13" x14ac:dyDescent="0.3">
      <c r="C4835" t="s">
        <v>61</v>
      </c>
      <c r="D4835" t="s">
        <v>67</v>
      </c>
      <c r="E4835" t="s">
        <v>68</v>
      </c>
      <c r="F4835" t="s">
        <v>25</v>
      </c>
      <c r="G4835" s="4">
        <v>4</v>
      </c>
      <c r="H4835" s="4" t="s">
        <v>83</v>
      </c>
      <c r="I4835" s="4" t="s">
        <v>69</v>
      </c>
      <c r="J4835" s="4" t="s">
        <v>66</v>
      </c>
      <c r="K4835" s="4">
        <v>0</v>
      </c>
      <c r="L4835" s="94">
        <v>29744</v>
      </c>
      <c r="M4835" s="94">
        <v>118976</v>
      </c>
    </row>
    <row r="4836" spans="3:13" x14ac:dyDescent="0.3">
      <c r="C4836" t="s">
        <v>70</v>
      </c>
      <c r="D4836" t="s">
        <v>67</v>
      </c>
      <c r="E4836" t="s">
        <v>68</v>
      </c>
      <c r="F4836" t="s">
        <v>72</v>
      </c>
      <c r="G4836" s="4">
        <v>3</v>
      </c>
      <c r="H4836" s="4" t="s">
        <v>17</v>
      </c>
      <c r="I4836" s="4" t="s">
        <v>69</v>
      </c>
      <c r="J4836" s="4" t="s">
        <v>66</v>
      </c>
      <c r="K4836" s="4">
        <v>0</v>
      </c>
      <c r="L4836" s="94">
        <v>1858751</v>
      </c>
      <c r="M4836" s="94">
        <v>5576253</v>
      </c>
    </row>
    <row r="4837" spans="3:13" x14ac:dyDescent="0.3">
      <c r="C4837" t="s">
        <v>71</v>
      </c>
      <c r="D4837" t="s">
        <v>67</v>
      </c>
      <c r="E4837" t="s">
        <v>63</v>
      </c>
      <c r="F4837" t="s">
        <v>26</v>
      </c>
      <c r="G4837" s="4">
        <v>6</v>
      </c>
      <c r="H4837" s="4" t="s">
        <v>75</v>
      </c>
      <c r="I4837" s="4" t="s">
        <v>69</v>
      </c>
      <c r="J4837" s="4" t="s">
        <v>66</v>
      </c>
      <c r="K4837" s="4">
        <v>0</v>
      </c>
      <c r="L4837" s="94">
        <v>-50762</v>
      </c>
      <c r="M4837" s="94">
        <v>0</v>
      </c>
    </row>
    <row r="4838" spans="3:13" x14ac:dyDescent="0.3">
      <c r="C4838" t="s">
        <v>61</v>
      </c>
      <c r="D4838" t="s">
        <v>67</v>
      </c>
      <c r="E4838" t="s">
        <v>63</v>
      </c>
      <c r="F4838" t="s">
        <v>26</v>
      </c>
      <c r="G4838" s="4">
        <v>9</v>
      </c>
      <c r="H4838" s="4" t="s">
        <v>15</v>
      </c>
      <c r="I4838" s="4" t="s">
        <v>69</v>
      </c>
      <c r="J4838" s="4" t="s">
        <v>73</v>
      </c>
      <c r="K4838" s="4">
        <v>1</v>
      </c>
      <c r="L4838" s="94">
        <v>-51351</v>
      </c>
      <c r="M4838" s="94">
        <v>0</v>
      </c>
    </row>
    <row r="4839" spans="3:13" x14ac:dyDescent="0.3">
      <c r="C4839" t="s">
        <v>71</v>
      </c>
      <c r="D4839" t="s">
        <v>67</v>
      </c>
      <c r="E4839" t="s">
        <v>68</v>
      </c>
      <c r="F4839" t="s">
        <v>25</v>
      </c>
      <c r="G4839" s="4">
        <v>2</v>
      </c>
      <c r="H4839" s="4" t="s">
        <v>78</v>
      </c>
      <c r="I4839" s="4" t="s">
        <v>69</v>
      </c>
      <c r="J4839" s="4" t="s">
        <v>66</v>
      </c>
      <c r="K4839" s="4">
        <v>0</v>
      </c>
      <c r="L4839" s="94">
        <v>31466</v>
      </c>
      <c r="M4839" s="94">
        <v>62932</v>
      </c>
    </row>
    <row r="4840" spans="3:13" x14ac:dyDescent="0.3">
      <c r="C4840" t="s">
        <v>70</v>
      </c>
      <c r="D4840" t="s">
        <v>67</v>
      </c>
      <c r="E4840" t="s">
        <v>68</v>
      </c>
      <c r="F4840" t="s">
        <v>25</v>
      </c>
      <c r="G4840" s="4">
        <v>1</v>
      </c>
      <c r="H4840" s="4" t="s">
        <v>75</v>
      </c>
      <c r="I4840" s="4" t="s">
        <v>69</v>
      </c>
      <c r="J4840" s="4" t="s">
        <v>66</v>
      </c>
      <c r="K4840" s="4">
        <v>0</v>
      </c>
      <c r="L4840" s="94">
        <v>486996</v>
      </c>
      <c r="M4840" s="94">
        <v>486996</v>
      </c>
    </row>
    <row r="4841" spans="3:13" x14ac:dyDescent="0.3">
      <c r="C4841" t="s">
        <v>61</v>
      </c>
      <c r="D4841" t="s">
        <v>67</v>
      </c>
      <c r="E4841" t="s">
        <v>68</v>
      </c>
      <c r="F4841" t="s">
        <v>25</v>
      </c>
      <c r="G4841" s="4">
        <v>1</v>
      </c>
      <c r="H4841" s="4" t="s">
        <v>82</v>
      </c>
      <c r="I4841" s="4" t="s">
        <v>69</v>
      </c>
      <c r="J4841" s="4" t="s">
        <v>66</v>
      </c>
      <c r="K4841" s="4">
        <v>1</v>
      </c>
      <c r="L4841" s="94">
        <v>9099</v>
      </c>
      <c r="M4841" s="94">
        <v>9099</v>
      </c>
    </row>
    <row r="4842" spans="3:13" x14ac:dyDescent="0.3">
      <c r="C4842" t="s">
        <v>70</v>
      </c>
      <c r="D4842" t="s">
        <v>67</v>
      </c>
      <c r="E4842" t="s">
        <v>68</v>
      </c>
      <c r="F4842" t="s">
        <v>26</v>
      </c>
      <c r="G4842" s="4">
        <v>-1</v>
      </c>
      <c r="H4842" s="4" t="s">
        <v>86</v>
      </c>
      <c r="I4842" s="4" t="s">
        <v>69</v>
      </c>
      <c r="J4842" s="4" t="s">
        <v>66</v>
      </c>
      <c r="K4842" s="4">
        <v>0</v>
      </c>
      <c r="L4842" s="94">
        <v>2389</v>
      </c>
      <c r="M4842" s="94">
        <v>0</v>
      </c>
    </row>
    <row r="4843" spans="3:13" x14ac:dyDescent="0.3">
      <c r="C4843" t="s">
        <v>61</v>
      </c>
      <c r="D4843" t="s">
        <v>67</v>
      </c>
      <c r="E4843" t="s">
        <v>68</v>
      </c>
      <c r="F4843" t="s">
        <v>72</v>
      </c>
      <c r="G4843" s="4">
        <v>4</v>
      </c>
      <c r="H4843" s="4" t="s">
        <v>14</v>
      </c>
      <c r="I4843" s="4" t="s">
        <v>69</v>
      </c>
      <c r="J4843" s="4" t="s">
        <v>66</v>
      </c>
      <c r="K4843" s="4">
        <v>0</v>
      </c>
      <c r="L4843" s="94">
        <v>5061871</v>
      </c>
      <c r="M4843" s="94">
        <v>20247484</v>
      </c>
    </row>
    <row r="4844" spans="3:13" x14ac:dyDescent="0.3">
      <c r="C4844" t="s">
        <v>70</v>
      </c>
      <c r="D4844" t="s">
        <v>67</v>
      </c>
      <c r="E4844" t="s">
        <v>63</v>
      </c>
      <c r="F4844" t="s">
        <v>72</v>
      </c>
      <c r="G4844" s="4">
        <v>5</v>
      </c>
      <c r="H4844" s="4" t="s">
        <v>12</v>
      </c>
      <c r="I4844" s="4" t="s">
        <v>69</v>
      </c>
      <c r="J4844" s="4" t="s">
        <v>66</v>
      </c>
      <c r="K4844" s="4">
        <v>0</v>
      </c>
      <c r="L4844" s="94">
        <v>-9864</v>
      </c>
      <c r="M4844" s="94">
        <v>0</v>
      </c>
    </row>
    <row r="4845" spans="3:13" x14ac:dyDescent="0.3">
      <c r="C4845" t="s">
        <v>70</v>
      </c>
      <c r="D4845" t="s">
        <v>67</v>
      </c>
      <c r="E4845" t="s">
        <v>68</v>
      </c>
      <c r="F4845" t="s">
        <v>25</v>
      </c>
      <c r="G4845" s="4">
        <v>9</v>
      </c>
      <c r="H4845" s="4" t="s">
        <v>12</v>
      </c>
      <c r="I4845" s="4" t="s">
        <v>69</v>
      </c>
      <c r="J4845" s="4" t="s">
        <v>66</v>
      </c>
      <c r="K4845" s="4">
        <v>1</v>
      </c>
      <c r="L4845" s="94">
        <v>553379</v>
      </c>
      <c r="M4845" s="94">
        <v>4980411</v>
      </c>
    </row>
    <row r="4846" spans="3:13" x14ac:dyDescent="0.3">
      <c r="C4846" t="s">
        <v>61</v>
      </c>
      <c r="D4846" t="s">
        <v>67</v>
      </c>
      <c r="E4846" t="s">
        <v>63</v>
      </c>
      <c r="F4846" t="s">
        <v>25</v>
      </c>
      <c r="G4846" s="4">
        <v>2</v>
      </c>
      <c r="H4846" s="4" t="s">
        <v>75</v>
      </c>
      <c r="I4846" s="4" t="s">
        <v>69</v>
      </c>
      <c r="J4846" s="4" t="s">
        <v>66</v>
      </c>
      <c r="K4846" s="4">
        <v>0</v>
      </c>
      <c r="L4846" s="94">
        <v>-43648</v>
      </c>
      <c r="M4846" s="94">
        <v>0</v>
      </c>
    </row>
    <row r="4847" spans="3:13" x14ac:dyDescent="0.3">
      <c r="C4847" t="s">
        <v>70</v>
      </c>
      <c r="D4847" t="s">
        <v>67</v>
      </c>
      <c r="E4847" t="s">
        <v>63</v>
      </c>
      <c r="F4847" t="s">
        <v>72</v>
      </c>
      <c r="G4847" s="4">
        <v>6</v>
      </c>
      <c r="H4847" s="4" t="s">
        <v>76</v>
      </c>
      <c r="I4847" s="4" t="s">
        <v>69</v>
      </c>
      <c r="J4847" s="4" t="s">
        <v>66</v>
      </c>
      <c r="K4847" s="4">
        <v>0</v>
      </c>
      <c r="L4847" s="94">
        <v>-6225</v>
      </c>
      <c r="M4847" s="94">
        <v>0</v>
      </c>
    </row>
    <row r="4848" spans="3:13" x14ac:dyDescent="0.3">
      <c r="C4848" t="s">
        <v>61</v>
      </c>
      <c r="D4848" t="s">
        <v>62</v>
      </c>
      <c r="E4848" t="s">
        <v>63</v>
      </c>
      <c r="F4848" t="s">
        <v>24</v>
      </c>
      <c r="G4848" s="4">
        <v>13</v>
      </c>
      <c r="I4848" s="4" t="s">
        <v>65</v>
      </c>
      <c r="J4848" s="4" t="s">
        <v>66</v>
      </c>
      <c r="K4848" s="4">
        <v>1</v>
      </c>
      <c r="L4848" s="94">
        <v>-1040</v>
      </c>
      <c r="M4848" s="94">
        <v>0</v>
      </c>
    </row>
    <row r="4849" spans="3:13" x14ac:dyDescent="0.3">
      <c r="C4849" t="s">
        <v>70</v>
      </c>
      <c r="D4849" t="s">
        <v>62</v>
      </c>
      <c r="E4849" t="s">
        <v>68</v>
      </c>
      <c r="F4849" t="s">
        <v>24</v>
      </c>
      <c r="G4849" s="4">
        <v>30</v>
      </c>
      <c r="I4849" s="4" t="s">
        <v>69</v>
      </c>
      <c r="J4849" s="4" t="s">
        <v>66</v>
      </c>
      <c r="K4849" s="4">
        <v>1</v>
      </c>
      <c r="L4849" s="94">
        <v>252425</v>
      </c>
      <c r="M4849" s="94">
        <v>7572750</v>
      </c>
    </row>
    <row r="4850" spans="3:13" x14ac:dyDescent="0.3">
      <c r="C4850" t="s">
        <v>71</v>
      </c>
      <c r="D4850" t="s">
        <v>67</v>
      </c>
      <c r="E4850" t="s">
        <v>68</v>
      </c>
      <c r="F4850" t="s">
        <v>26</v>
      </c>
      <c r="G4850" s="4">
        <v>0</v>
      </c>
      <c r="H4850" s="4" t="s">
        <v>12</v>
      </c>
      <c r="I4850" s="4" t="s">
        <v>69</v>
      </c>
      <c r="J4850" s="4" t="s">
        <v>73</v>
      </c>
      <c r="K4850" s="4">
        <v>1</v>
      </c>
      <c r="L4850" s="94">
        <v>1059096</v>
      </c>
      <c r="M4850" s="94">
        <v>0</v>
      </c>
    </row>
    <row r="4851" spans="3:13" x14ac:dyDescent="0.3">
      <c r="C4851" t="s">
        <v>70</v>
      </c>
      <c r="D4851" t="s">
        <v>67</v>
      </c>
      <c r="E4851" t="s">
        <v>63</v>
      </c>
      <c r="F4851" t="s">
        <v>25</v>
      </c>
      <c r="G4851" s="4">
        <v>8</v>
      </c>
      <c r="H4851" s="4" t="s">
        <v>17</v>
      </c>
      <c r="I4851" s="4" t="s">
        <v>69</v>
      </c>
      <c r="J4851" s="4" t="s">
        <v>66</v>
      </c>
      <c r="K4851" s="4">
        <v>1</v>
      </c>
      <c r="L4851" s="94">
        <v>-740</v>
      </c>
      <c r="M4851" s="94">
        <v>0</v>
      </c>
    </row>
    <row r="4852" spans="3:13" x14ac:dyDescent="0.3">
      <c r="C4852" t="s">
        <v>61</v>
      </c>
      <c r="D4852" t="s">
        <v>67</v>
      </c>
      <c r="E4852" t="s">
        <v>63</v>
      </c>
      <c r="F4852" t="s">
        <v>25</v>
      </c>
      <c r="G4852" s="4">
        <v>8</v>
      </c>
      <c r="H4852" s="4" t="s">
        <v>18</v>
      </c>
      <c r="I4852" s="4" t="s">
        <v>69</v>
      </c>
      <c r="J4852" s="4" t="s">
        <v>66</v>
      </c>
      <c r="K4852" s="4">
        <v>1</v>
      </c>
      <c r="L4852" s="94">
        <v>-589</v>
      </c>
      <c r="M4852" s="94">
        <v>0</v>
      </c>
    </row>
    <row r="4853" spans="3:13" x14ac:dyDescent="0.3">
      <c r="C4853" t="s">
        <v>61</v>
      </c>
      <c r="D4853" t="s">
        <v>62</v>
      </c>
      <c r="E4853" t="s">
        <v>63</v>
      </c>
      <c r="F4853" t="s">
        <v>25</v>
      </c>
      <c r="G4853" s="4">
        <v>17</v>
      </c>
      <c r="I4853" s="4" t="s">
        <v>69</v>
      </c>
      <c r="J4853" s="4" t="s">
        <v>66</v>
      </c>
      <c r="K4853" s="4">
        <v>0</v>
      </c>
      <c r="L4853" s="94">
        <v>-1565</v>
      </c>
      <c r="M4853" s="94">
        <v>0</v>
      </c>
    </row>
    <row r="4854" spans="3:13" x14ac:dyDescent="0.3">
      <c r="C4854" t="s">
        <v>71</v>
      </c>
      <c r="D4854" t="s">
        <v>67</v>
      </c>
      <c r="E4854" t="s">
        <v>68</v>
      </c>
      <c r="F4854" t="s">
        <v>26</v>
      </c>
      <c r="G4854" s="4">
        <v>0</v>
      </c>
      <c r="H4854" s="4" t="s">
        <v>17</v>
      </c>
      <c r="I4854" s="4" t="s">
        <v>65</v>
      </c>
      <c r="J4854" s="4" t="s">
        <v>66</v>
      </c>
      <c r="K4854" s="4">
        <v>1</v>
      </c>
      <c r="L4854" s="94">
        <v>16021</v>
      </c>
      <c r="M4854" s="94">
        <v>0</v>
      </c>
    </row>
    <row r="4855" spans="3:13" x14ac:dyDescent="0.3">
      <c r="C4855" t="s">
        <v>61</v>
      </c>
      <c r="D4855" t="s">
        <v>67</v>
      </c>
      <c r="E4855" t="s">
        <v>68</v>
      </c>
      <c r="F4855" t="s">
        <v>72</v>
      </c>
      <c r="G4855" s="4">
        <v>2</v>
      </c>
      <c r="H4855" s="4" t="s">
        <v>78</v>
      </c>
      <c r="I4855" s="4" t="s">
        <v>69</v>
      </c>
      <c r="J4855" s="4" t="s">
        <v>66</v>
      </c>
      <c r="K4855" s="4">
        <v>0</v>
      </c>
      <c r="L4855" s="94">
        <v>217181</v>
      </c>
      <c r="M4855" s="94">
        <v>434362</v>
      </c>
    </row>
    <row r="4856" spans="3:13" x14ac:dyDescent="0.3">
      <c r="C4856" t="s">
        <v>71</v>
      </c>
      <c r="D4856" t="s">
        <v>62</v>
      </c>
      <c r="E4856" t="s">
        <v>68</v>
      </c>
      <c r="F4856" t="s">
        <v>24</v>
      </c>
      <c r="G4856" s="4">
        <v>4</v>
      </c>
      <c r="I4856" s="4" t="s">
        <v>69</v>
      </c>
      <c r="J4856" s="4" t="s">
        <v>66</v>
      </c>
      <c r="K4856" s="4">
        <v>1</v>
      </c>
      <c r="L4856" s="94">
        <v>25900</v>
      </c>
      <c r="M4856" s="94">
        <v>103600</v>
      </c>
    </row>
    <row r="4857" spans="3:13" x14ac:dyDescent="0.3">
      <c r="C4857" t="s">
        <v>71</v>
      </c>
      <c r="D4857" t="s">
        <v>67</v>
      </c>
      <c r="E4857" t="s">
        <v>68</v>
      </c>
      <c r="F4857" t="s">
        <v>26</v>
      </c>
      <c r="G4857" s="4">
        <v>4</v>
      </c>
      <c r="H4857" s="4" t="s">
        <v>18</v>
      </c>
      <c r="I4857" s="4" t="s">
        <v>69</v>
      </c>
      <c r="J4857" s="4" t="s">
        <v>73</v>
      </c>
      <c r="K4857" s="4">
        <v>1</v>
      </c>
      <c r="L4857" s="94">
        <v>136069</v>
      </c>
      <c r="M4857" s="94">
        <v>544276</v>
      </c>
    </row>
    <row r="4858" spans="3:13" x14ac:dyDescent="0.3">
      <c r="C4858" t="s">
        <v>61</v>
      </c>
      <c r="D4858" t="s">
        <v>67</v>
      </c>
      <c r="E4858" t="s">
        <v>63</v>
      </c>
      <c r="F4858" t="s">
        <v>72</v>
      </c>
      <c r="G4858" s="4">
        <v>5</v>
      </c>
      <c r="H4858" s="4" t="s">
        <v>12</v>
      </c>
      <c r="I4858" s="4" t="s">
        <v>69</v>
      </c>
      <c r="J4858" s="4" t="s">
        <v>66</v>
      </c>
      <c r="K4858" s="4">
        <v>0</v>
      </c>
      <c r="L4858" s="94">
        <v>-2134</v>
      </c>
      <c r="M4858" s="94">
        <v>0</v>
      </c>
    </row>
    <row r="4859" spans="3:13" x14ac:dyDescent="0.3">
      <c r="C4859" t="s">
        <v>61</v>
      </c>
      <c r="D4859" t="s">
        <v>62</v>
      </c>
      <c r="E4859" t="s">
        <v>68</v>
      </c>
      <c r="F4859" t="s">
        <v>25</v>
      </c>
      <c r="G4859" s="4">
        <v>-4</v>
      </c>
      <c r="I4859" s="4" t="s">
        <v>69</v>
      </c>
      <c r="J4859" s="4" t="s">
        <v>66</v>
      </c>
      <c r="K4859" s="4">
        <v>0</v>
      </c>
      <c r="L4859" s="94">
        <v>290338</v>
      </c>
      <c r="M4859" s="94">
        <v>0</v>
      </c>
    </row>
    <row r="4860" spans="3:13" x14ac:dyDescent="0.3">
      <c r="C4860" t="s">
        <v>71</v>
      </c>
      <c r="D4860" t="s">
        <v>62</v>
      </c>
      <c r="E4860" t="s">
        <v>63</v>
      </c>
      <c r="F4860" t="s">
        <v>24</v>
      </c>
      <c r="G4860" s="4">
        <v>28</v>
      </c>
      <c r="I4860" s="4" t="s">
        <v>69</v>
      </c>
      <c r="J4860" s="4" t="s">
        <v>66</v>
      </c>
      <c r="K4860" s="4">
        <v>0</v>
      </c>
      <c r="L4860" s="94">
        <v>-2987373</v>
      </c>
      <c r="M4860" s="94">
        <v>0</v>
      </c>
    </row>
    <row r="4861" spans="3:13" x14ac:dyDescent="0.3">
      <c r="C4861" t="s">
        <v>71</v>
      </c>
      <c r="D4861" t="s">
        <v>67</v>
      </c>
      <c r="E4861" t="s">
        <v>63</v>
      </c>
      <c r="F4861" t="s">
        <v>26</v>
      </c>
      <c r="G4861" s="4">
        <v>5</v>
      </c>
      <c r="H4861" s="4" t="s">
        <v>77</v>
      </c>
      <c r="I4861" s="4" t="s">
        <v>69</v>
      </c>
      <c r="J4861" s="4" t="s">
        <v>66</v>
      </c>
      <c r="K4861" s="4">
        <v>0</v>
      </c>
      <c r="L4861" s="94">
        <v>-44234</v>
      </c>
      <c r="M4861" s="94">
        <v>0</v>
      </c>
    </row>
    <row r="4862" spans="3:13" x14ac:dyDescent="0.3">
      <c r="C4862" t="s">
        <v>71</v>
      </c>
      <c r="D4862" t="s">
        <v>67</v>
      </c>
      <c r="E4862" t="s">
        <v>68</v>
      </c>
      <c r="F4862" t="s">
        <v>25</v>
      </c>
      <c r="G4862" s="4">
        <v>-4</v>
      </c>
      <c r="H4862" s="4" t="s">
        <v>75</v>
      </c>
      <c r="I4862" s="4" t="s">
        <v>65</v>
      </c>
      <c r="J4862" s="4" t="s">
        <v>66</v>
      </c>
      <c r="K4862" s="4">
        <v>1</v>
      </c>
      <c r="L4862" s="94">
        <v>460104</v>
      </c>
      <c r="M4862" s="94">
        <v>0</v>
      </c>
    </row>
    <row r="4863" spans="3:13" x14ac:dyDescent="0.3">
      <c r="C4863" t="s">
        <v>61</v>
      </c>
      <c r="D4863" t="s">
        <v>67</v>
      </c>
      <c r="E4863" t="s">
        <v>63</v>
      </c>
      <c r="F4863" t="s">
        <v>72</v>
      </c>
      <c r="G4863" s="4">
        <v>6</v>
      </c>
      <c r="H4863" s="4" t="s">
        <v>76</v>
      </c>
      <c r="I4863" s="4" t="s">
        <v>69</v>
      </c>
      <c r="J4863" s="4" t="s">
        <v>66</v>
      </c>
      <c r="K4863" s="4">
        <v>0</v>
      </c>
      <c r="L4863" s="94">
        <v>-2131</v>
      </c>
      <c r="M4863" s="94">
        <v>0</v>
      </c>
    </row>
    <row r="4864" spans="3:13" x14ac:dyDescent="0.3">
      <c r="C4864" t="s">
        <v>61</v>
      </c>
      <c r="D4864" t="s">
        <v>62</v>
      </c>
      <c r="E4864" t="s">
        <v>63</v>
      </c>
      <c r="F4864" t="s">
        <v>24</v>
      </c>
      <c r="G4864" s="4">
        <v>4</v>
      </c>
      <c r="I4864" s="4" t="s">
        <v>69</v>
      </c>
      <c r="J4864" s="4" t="s">
        <v>66</v>
      </c>
      <c r="K4864" s="4">
        <v>0</v>
      </c>
      <c r="L4864" s="94">
        <v>-22839</v>
      </c>
      <c r="M4864" s="94">
        <v>0</v>
      </c>
    </row>
    <row r="4865" spans="3:13" x14ac:dyDescent="0.3">
      <c r="C4865" t="s">
        <v>70</v>
      </c>
      <c r="D4865" t="s">
        <v>62</v>
      </c>
      <c r="E4865" t="s">
        <v>68</v>
      </c>
      <c r="F4865" t="s">
        <v>24</v>
      </c>
      <c r="G4865" s="4">
        <v>18</v>
      </c>
      <c r="I4865" s="4" t="s">
        <v>65</v>
      </c>
      <c r="J4865" s="4" t="s">
        <v>66</v>
      </c>
      <c r="K4865" s="4">
        <v>1</v>
      </c>
      <c r="L4865" s="94">
        <v>297196</v>
      </c>
      <c r="M4865" s="94">
        <v>5349528</v>
      </c>
    </row>
    <row r="4866" spans="3:13" x14ac:dyDescent="0.3">
      <c r="C4866" t="s">
        <v>61</v>
      </c>
      <c r="D4866" t="s">
        <v>67</v>
      </c>
      <c r="E4866" t="s">
        <v>63</v>
      </c>
      <c r="F4866" t="s">
        <v>26</v>
      </c>
      <c r="G4866" s="4">
        <v>7</v>
      </c>
      <c r="H4866" s="4" t="s">
        <v>18</v>
      </c>
      <c r="I4866" s="4" t="s">
        <v>69</v>
      </c>
      <c r="J4866" s="4" t="s">
        <v>73</v>
      </c>
      <c r="K4866" s="4">
        <v>1</v>
      </c>
      <c r="L4866" s="94">
        <v>-9265</v>
      </c>
      <c r="M4866" s="94">
        <v>0</v>
      </c>
    </row>
    <row r="4867" spans="3:13" x14ac:dyDescent="0.3">
      <c r="C4867" t="s">
        <v>70</v>
      </c>
      <c r="D4867" t="s">
        <v>67</v>
      </c>
      <c r="E4867" t="s">
        <v>68</v>
      </c>
      <c r="F4867" t="s">
        <v>26</v>
      </c>
      <c r="G4867" s="4">
        <v>3</v>
      </c>
      <c r="H4867" s="4" t="s">
        <v>74</v>
      </c>
      <c r="I4867" s="4" t="s">
        <v>69</v>
      </c>
      <c r="J4867" s="4" t="s">
        <v>66</v>
      </c>
      <c r="K4867" s="4">
        <v>0</v>
      </c>
      <c r="L4867" s="94">
        <v>5939490</v>
      </c>
      <c r="M4867" s="94">
        <v>17818470</v>
      </c>
    </row>
    <row r="4868" spans="3:13" x14ac:dyDescent="0.3">
      <c r="C4868" t="s">
        <v>71</v>
      </c>
      <c r="D4868" t="s">
        <v>62</v>
      </c>
      <c r="E4868" t="s">
        <v>63</v>
      </c>
      <c r="F4868" t="s">
        <v>24</v>
      </c>
      <c r="G4868" s="4">
        <v>9</v>
      </c>
      <c r="I4868" s="4" t="s">
        <v>65</v>
      </c>
      <c r="J4868" s="4" t="s">
        <v>66</v>
      </c>
      <c r="K4868" s="4">
        <v>1</v>
      </c>
      <c r="L4868" s="94">
        <v>-3099</v>
      </c>
      <c r="M4868" s="94">
        <v>0</v>
      </c>
    </row>
    <row r="4869" spans="3:13" x14ac:dyDescent="0.3">
      <c r="C4869" t="s">
        <v>71</v>
      </c>
      <c r="D4869" t="s">
        <v>67</v>
      </c>
      <c r="E4869" t="s">
        <v>68</v>
      </c>
      <c r="F4869" t="s">
        <v>25</v>
      </c>
      <c r="G4869" s="4">
        <v>0</v>
      </c>
      <c r="H4869" s="4" t="s">
        <v>18</v>
      </c>
      <c r="I4869" s="4" t="s">
        <v>69</v>
      </c>
      <c r="J4869" s="4" t="s">
        <v>66</v>
      </c>
      <c r="K4869" s="4">
        <v>0</v>
      </c>
      <c r="L4869" s="94">
        <v>237440</v>
      </c>
      <c r="M4869" s="94">
        <v>0</v>
      </c>
    </row>
    <row r="4870" spans="3:13" x14ac:dyDescent="0.3">
      <c r="C4870" t="s">
        <v>70</v>
      </c>
      <c r="D4870" t="s">
        <v>67</v>
      </c>
      <c r="E4870" t="s">
        <v>63</v>
      </c>
      <c r="F4870" t="s">
        <v>25</v>
      </c>
      <c r="G4870" s="4">
        <v>14</v>
      </c>
      <c r="H4870" s="4" t="s">
        <v>75</v>
      </c>
      <c r="I4870" s="4" t="s">
        <v>69</v>
      </c>
      <c r="J4870" s="4" t="s">
        <v>66</v>
      </c>
      <c r="K4870" s="4">
        <v>0</v>
      </c>
      <c r="L4870" s="94">
        <v>-447372</v>
      </c>
      <c r="M4870" s="94">
        <v>0</v>
      </c>
    </row>
    <row r="4871" spans="3:13" x14ac:dyDescent="0.3">
      <c r="C4871" t="s">
        <v>61</v>
      </c>
      <c r="D4871" t="s">
        <v>67</v>
      </c>
      <c r="E4871" t="s">
        <v>63</v>
      </c>
      <c r="F4871" t="s">
        <v>26</v>
      </c>
      <c r="G4871" s="4">
        <v>6</v>
      </c>
      <c r="H4871" s="4" t="s">
        <v>64</v>
      </c>
      <c r="I4871" s="4" t="s">
        <v>69</v>
      </c>
      <c r="J4871" s="4" t="s">
        <v>66</v>
      </c>
      <c r="K4871" s="4">
        <v>0</v>
      </c>
      <c r="L4871" s="94">
        <v>-11796</v>
      </c>
      <c r="M4871" s="94">
        <v>0</v>
      </c>
    </row>
    <row r="4872" spans="3:13" x14ac:dyDescent="0.3">
      <c r="C4872" t="s">
        <v>71</v>
      </c>
      <c r="D4872" t="s">
        <v>67</v>
      </c>
      <c r="E4872" t="s">
        <v>68</v>
      </c>
      <c r="F4872" t="s">
        <v>26</v>
      </c>
      <c r="G4872" s="4">
        <v>18</v>
      </c>
      <c r="H4872" s="4" t="s">
        <v>14</v>
      </c>
      <c r="I4872" s="4" t="s">
        <v>69</v>
      </c>
      <c r="J4872" s="4" t="s">
        <v>73</v>
      </c>
      <c r="K4872" s="4">
        <v>1</v>
      </c>
      <c r="L4872" s="94">
        <v>25502</v>
      </c>
      <c r="M4872" s="94">
        <v>459036</v>
      </c>
    </row>
    <row r="4873" spans="3:13" x14ac:dyDescent="0.3">
      <c r="C4873" t="s">
        <v>70</v>
      </c>
      <c r="D4873" t="s">
        <v>67</v>
      </c>
      <c r="E4873" t="s">
        <v>68</v>
      </c>
      <c r="F4873" t="s">
        <v>26</v>
      </c>
      <c r="G4873" s="4">
        <v>0</v>
      </c>
      <c r="H4873" s="4" t="s">
        <v>17</v>
      </c>
      <c r="I4873" s="4" t="s">
        <v>69</v>
      </c>
      <c r="J4873" s="4" t="s">
        <v>66</v>
      </c>
      <c r="K4873" s="4">
        <v>0</v>
      </c>
      <c r="L4873" s="94">
        <v>8236384</v>
      </c>
      <c r="M4873" s="94">
        <v>0</v>
      </c>
    </row>
    <row r="4874" spans="3:13" x14ac:dyDescent="0.3">
      <c r="C4874" t="s">
        <v>61</v>
      </c>
      <c r="D4874" t="s">
        <v>67</v>
      </c>
      <c r="E4874" t="s">
        <v>63</v>
      </c>
      <c r="F4874" t="s">
        <v>25</v>
      </c>
      <c r="G4874" s="4">
        <v>9</v>
      </c>
      <c r="H4874" s="4" t="s">
        <v>83</v>
      </c>
      <c r="I4874" s="4" t="s">
        <v>69</v>
      </c>
      <c r="J4874" s="4" t="s">
        <v>66</v>
      </c>
      <c r="K4874" s="4">
        <v>0</v>
      </c>
      <c r="L4874" s="94">
        <v>-1529</v>
      </c>
      <c r="M4874" s="94">
        <v>0</v>
      </c>
    </row>
    <row r="4875" spans="3:13" x14ac:dyDescent="0.3">
      <c r="C4875" t="s">
        <v>61</v>
      </c>
      <c r="D4875" t="s">
        <v>67</v>
      </c>
      <c r="E4875" t="s">
        <v>68</v>
      </c>
      <c r="F4875" t="s">
        <v>26</v>
      </c>
      <c r="G4875" s="4">
        <v>-1</v>
      </c>
      <c r="H4875" s="4" t="s">
        <v>13</v>
      </c>
      <c r="I4875" s="4" t="s">
        <v>69</v>
      </c>
      <c r="J4875" s="4" t="s">
        <v>73</v>
      </c>
      <c r="K4875" s="4">
        <v>1</v>
      </c>
      <c r="L4875" s="94">
        <v>853447</v>
      </c>
      <c r="M4875" s="94">
        <v>0</v>
      </c>
    </row>
    <row r="4876" spans="3:13" x14ac:dyDescent="0.3">
      <c r="C4876" t="s">
        <v>70</v>
      </c>
      <c r="D4876" t="s">
        <v>62</v>
      </c>
      <c r="E4876" t="s">
        <v>63</v>
      </c>
      <c r="F4876" t="s">
        <v>24</v>
      </c>
      <c r="G4876" s="4">
        <v>32</v>
      </c>
      <c r="I4876" s="4" t="s">
        <v>65</v>
      </c>
      <c r="J4876" s="4" t="s">
        <v>66</v>
      </c>
      <c r="K4876" s="4">
        <v>1</v>
      </c>
      <c r="L4876" s="94">
        <v>-23204</v>
      </c>
      <c r="M4876" s="94">
        <v>0</v>
      </c>
    </row>
    <row r="4877" spans="3:13" x14ac:dyDescent="0.3">
      <c r="C4877" t="s">
        <v>61</v>
      </c>
      <c r="D4877" t="s">
        <v>67</v>
      </c>
      <c r="E4877" t="s">
        <v>63</v>
      </c>
      <c r="F4877" t="s">
        <v>26</v>
      </c>
      <c r="G4877" s="4">
        <v>3</v>
      </c>
      <c r="H4877" s="4" t="s">
        <v>82</v>
      </c>
      <c r="I4877" s="4" t="s">
        <v>69</v>
      </c>
      <c r="J4877" s="4" t="s">
        <v>73</v>
      </c>
      <c r="K4877" s="4">
        <v>1</v>
      </c>
      <c r="L4877" s="94">
        <v>-2023</v>
      </c>
      <c r="M4877" s="94">
        <v>0</v>
      </c>
    </row>
    <row r="4878" spans="3:13" x14ac:dyDescent="0.3">
      <c r="C4878" t="s">
        <v>70</v>
      </c>
      <c r="D4878" t="s">
        <v>62</v>
      </c>
      <c r="E4878" t="s">
        <v>63</v>
      </c>
      <c r="F4878" t="s">
        <v>24</v>
      </c>
      <c r="G4878" s="4">
        <v>25</v>
      </c>
      <c r="I4878" s="4" t="s">
        <v>69</v>
      </c>
      <c r="J4878" s="4" t="s">
        <v>66</v>
      </c>
      <c r="K4878" s="4">
        <v>0</v>
      </c>
      <c r="L4878" s="94">
        <v>-1231130</v>
      </c>
      <c r="M4878" s="94">
        <v>0</v>
      </c>
    </row>
    <row r="4879" spans="3:13" x14ac:dyDescent="0.3">
      <c r="D4879" t="s">
        <v>67</v>
      </c>
      <c r="E4879" t="s">
        <v>68</v>
      </c>
      <c r="G4879" s="4">
        <v>-3</v>
      </c>
      <c r="H4879" s="4" t="s">
        <v>81</v>
      </c>
      <c r="I4879" s="4" t="s">
        <v>69</v>
      </c>
      <c r="J4879" s="4" t="s">
        <v>66</v>
      </c>
      <c r="K4879" s="4">
        <v>0</v>
      </c>
      <c r="L4879" s="94">
        <v>0</v>
      </c>
      <c r="M4879" s="94">
        <v>0</v>
      </c>
    </row>
    <row r="4880" spans="3:13" x14ac:dyDescent="0.3">
      <c r="C4880" t="s">
        <v>70</v>
      </c>
      <c r="D4880" t="s">
        <v>67</v>
      </c>
      <c r="E4880" t="s">
        <v>63</v>
      </c>
      <c r="F4880" t="s">
        <v>25</v>
      </c>
      <c r="G4880" s="4">
        <v>16</v>
      </c>
      <c r="H4880" s="4" t="s">
        <v>12</v>
      </c>
      <c r="I4880" s="4" t="s">
        <v>69</v>
      </c>
      <c r="J4880" s="4" t="s">
        <v>66</v>
      </c>
      <c r="K4880" s="4">
        <v>1</v>
      </c>
      <c r="L4880" s="94">
        <v>-35968</v>
      </c>
      <c r="M4880" s="94">
        <v>0</v>
      </c>
    </row>
    <row r="4881" spans="3:13" x14ac:dyDescent="0.3">
      <c r="C4881" t="s">
        <v>70</v>
      </c>
      <c r="D4881" t="s">
        <v>67</v>
      </c>
      <c r="E4881" t="s">
        <v>63</v>
      </c>
      <c r="F4881" t="s">
        <v>26</v>
      </c>
      <c r="G4881" s="4">
        <v>1</v>
      </c>
      <c r="H4881" s="4" t="s">
        <v>12</v>
      </c>
      <c r="I4881" s="4" t="s">
        <v>69</v>
      </c>
      <c r="J4881" s="4" t="s">
        <v>73</v>
      </c>
      <c r="K4881" s="4">
        <v>1</v>
      </c>
      <c r="L4881" s="94">
        <v>-62731</v>
      </c>
      <c r="M4881" s="94">
        <v>0</v>
      </c>
    </row>
    <row r="4882" spans="3:13" x14ac:dyDescent="0.3">
      <c r="C4882" t="s">
        <v>61</v>
      </c>
      <c r="D4882" t="s">
        <v>67</v>
      </c>
      <c r="E4882" t="s">
        <v>63</v>
      </c>
      <c r="F4882" t="s">
        <v>26</v>
      </c>
      <c r="G4882" s="4">
        <v>1</v>
      </c>
      <c r="H4882" s="4" t="s">
        <v>87</v>
      </c>
      <c r="I4882" s="4" t="s">
        <v>69</v>
      </c>
      <c r="J4882" s="4" t="s">
        <v>66</v>
      </c>
      <c r="K4882" s="4">
        <v>0</v>
      </c>
      <c r="L4882" s="94">
        <v>-423430</v>
      </c>
      <c r="M4882" s="94">
        <v>0</v>
      </c>
    </row>
    <row r="4883" spans="3:13" x14ac:dyDescent="0.3">
      <c r="C4883" t="s">
        <v>61</v>
      </c>
      <c r="D4883" t="s">
        <v>62</v>
      </c>
      <c r="E4883" t="s">
        <v>63</v>
      </c>
      <c r="F4883" t="s">
        <v>24</v>
      </c>
      <c r="G4883" s="4">
        <v>17</v>
      </c>
      <c r="I4883" s="4" t="s">
        <v>69</v>
      </c>
      <c r="J4883" s="4" t="s">
        <v>66</v>
      </c>
      <c r="K4883" s="4">
        <v>0</v>
      </c>
      <c r="L4883" s="94">
        <v>-167438</v>
      </c>
      <c r="M4883" s="94">
        <v>0</v>
      </c>
    </row>
    <row r="4884" spans="3:13" x14ac:dyDescent="0.3">
      <c r="C4884" t="s">
        <v>71</v>
      </c>
      <c r="D4884" t="s">
        <v>67</v>
      </c>
      <c r="E4884" t="s">
        <v>63</v>
      </c>
      <c r="F4884" t="s">
        <v>26</v>
      </c>
      <c r="G4884" s="4">
        <v>2</v>
      </c>
      <c r="H4884" s="4" t="s">
        <v>16</v>
      </c>
      <c r="I4884" s="4" t="s">
        <v>69</v>
      </c>
      <c r="J4884" s="4" t="s">
        <v>66</v>
      </c>
      <c r="K4884" s="4">
        <v>0</v>
      </c>
      <c r="L4884" s="94">
        <v>-95350</v>
      </c>
      <c r="M4884" s="94">
        <v>0</v>
      </c>
    </row>
    <row r="4885" spans="3:13" x14ac:dyDescent="0.3">
      <c r="C4885" t="s">
        <v>61</v>
      </c>
      <c r="D4885" t="s">
        <v>67</v>
      </c>
      <c r="E4885" t="s">
        <v>68</v>
      </c>
      <c r="F4885" t="s">
        <v>26</v>
      </c>
      <c r="G4885" s="4">
        <v>2</v>
      </c>
      <c r="H4885" s="4" t="s">
        <v>14</v>
      </c>
      <c r="I4885" s="4" t="s">
        <v>69</v>
      </c>
      <c r="J4885" s="4" t="s">
        <v>66</v>
      </c>
      <c r="K4885" s="4">
        <v>0</v>
      </c>
      <c r="L4885" s="94">
        <v>71896991</v>
      </c>
      <c r="M4885" s="94">
        <v>143793982</v>
      </c>
    </row>
    <row r="4886" spans="3:13" x14ac:dyDescent="0.3">
      <c r="C4886" t="s">
        <v>61</v>
      </c>
      <c r="D4886" t="s">
        <v>67</v>
      </c>
      <c r="E4886" t="s">
        <v>68</v>
      </c>
      <c r="F4886" t="s">
        <v>72</v>
      </c>
      <c r="G4886" s="4">
        <v>-4</v>
      </c>
      <c r="H4886" s="4" t="s">
        <v>18</v>
      </c>
      <c r="I4886" s="4" t="s">
        <v>69</v>
      </c>
      <c r="J4886" s="4" t="s">
        <v>66</v>
      </c>
      <c r="K4886" s="4">
        <v>0</v>
      </c>
      <c r="L4886" s="94">
        <v>654</v>
      </c>
      <c r="M4886" s="94">
        <v>0</v>
      </c>
    </row>
    <row r="4887" spans="3:13" x14ac:dyDescent="0.3">
      <c r="C4887" t="s">
        <v>70</v>
      </c>
      <c r="D4887" t="s">
        <v>67</v>
      </c>
      <c r="E4887" t="s">
        <v>63</v>
      </c>
      <c r="F4887" t="s">
        <v>72</v>
      </c>
      <c r="G4887" s="4">
        <v>3</v>
      </c>
      <c r="H4887" s="4" t="s">
        <v>17</v>
      </c>
      <c r="I4887" s="4" t="s">
        <v>69</v>
      </c>
      <c r="J4887" s="4" t="s">
        <v>73</v>
      </c>
      <c r="K4887" s="4">
        <v>1</v>
      </c>
      <c r="L4887" s="94">
        <v>-4690</v>
      </c>
      <c r="M4887" s="94">
        <v>0</v>
      </c>
    </row>
    <row r="4888" spans="3:13" x14ac:dyDescent="0.3">
      <c r="C4888" t="s">
        <v>61</v>
      </c>
      <c r="D4888" t="s">
        <v>67</v>
      </c>
      <c r="E4888" t="s">
        <v>68</v>
      </c>
      <c r="F4888" t="s">
        <v>25</v>
      </c>
      <c r="G4888" s="4">
        <v>6</v>
      </c>
      <c r="H4888" s="4" t="s">
        <v>77</v>
      </c>
      <c r="I4888" s="4" t="s">
        <v>69</v>
      </c>
      <c r="J4888" s="4" t="s">
        <v>66</v>
      </c>
      <c r="K4888" s="4">
        <v>0</v>
      </c>
      <c r="L4888" s="94">
        <v>139235</v>
      </c>
      <c r="M4888" s="94">
        <v>835410</v>
      </c>
    </row>
    <row r="4889" spans="3:13" x14ac:dyDescent="0.3">
      <c r="C4889" t="s">
        <v>61</v>
      </c>
      <c r="D4889" t="s">
        <v>67</v>
      </c>
      <c r="E4889" t="s">
        <v>63</v>
      </c>
      <c r="F4889" t="s">
        <v>25</v>
      </c>
      <c r="G4889" s="4">
        <v>6</v>
      </c>
      <c r="H4889" s="4" t="s">
        <v>75</v>
      </c>
      <c r="I4889" s="4" t="s">
        <v>65</v>
      </c>
      <c r="J4889" s="4" t="s">
        <v>66</v>
      </c>
      <c r="K4889" s="4">
        <v>1</v>
      </c>
      <c r="L4889" s="94">
        <v>-663</v>
      </c>
      <c r="M4889" s="94">
        <v>0</v>
      </c>
    </row>
    <row r="4890" spans="3:13" x14ac:dyDescent="0.3">
      <c r="C4890" t="s">
        <v>71</v>
      </c>
      <c r="D4890" t="s">
        <v>62</v>
      </c>
      <c r="E4890" t="s">
        <v>68</v>
      </c>
      <c r="F4890" t="s">
        <v>24</v>
      </c>
      <c r="G4890" s="4">
        <v>39</v>
      </c>
      <c r="I4890" s="4" t="s">
        <v>69</v>
      </c>
      <c r="J4890" s="4" t="s">
        <v>66</v>
      </c>
      <c r="K4890" s="4">
        <v>0</v>
      </c>
      <c r="L4890" s="94">
        <v>2651688</v>
      </c>
      <c r="M4890" s="94">
        <v>103415832</v>
      </c>
    </row>
    <row r="4891" spans="3:13" x14ac:dyDescent="0.3">
      <c r="C4891" t="s">
        <v>71</v>
      </c>
      <c r="D4891" t="s">
        <v>67</v>
      </c>
      <c r="E4891" t="s">
        <v>68</v>
      </c>
      <c r="F4891" t="s">
        <v>26</v>
      </c>
      <c r="G4891" s="4">
        <v>4</v>
      </c>
      <c r="H4891" s="4" t="s">
        <v>83</v>
      </c>
      <c r="I4891" s="4" t="s">
        <v>69</v>
      </c>
      <c r="J4891" s="4" t="s">
        <v>66</v>
      </c>
      <c r="K4891" s="4">
        <v>0</v>
      </c>
      <c r="L4891" s="94">
        <v>77129</v>
      </c>
      <c r="M4891" s="94">
        <v>308516</v>
      </c>
    </row>
    <row r="4892" spans="3:13" x14ac:dyDescent="0.3">
      <c r="C4892" t="s">
        <v>61</v>
      </c>
      <c r="D4892" t="s">
        <v>67</v>
      </c>
      <c r="E4892" t="s">
        <v>63</v>
      </c>
      <c r="F4892" t="s">
        <v>26</v>
      </c>
      <c r="G4892" s="4">
        <v>7</v>
      </c>
      <c r="H4892" s="4" t="s">
        <v>78</v>
      </c>
      <c r="I4892" s="4" t="s">
        <v>69</v>
      </c>
      <c r="J4892" s="4" t="s">
        <v>66</v>
      </c>
      <c r="K4892" s="4">
        <v>0</v>
      </c>
      <c r="L4892" s="94">
        <v>-634</v>
      </c>
      <c r="M4892" s="94">
        <v>0</v>
      </c>
    </row>
    <row r="4893" spans="3:13" x14ac:dyDescent="0.3">
      <c r="C4893" t="s">
        <v>70</v>
      </c>
      <c r="D4893" t="s">
        <v>67</v>
      </c>
      <c r="E4893" t="s">
        <v>68</v>
      </c>
      <c r="F4893" t="s">
        <v>25</v>
      </c>
      <c r="G4893" s="4">
        <v>4</v>
      </c>
      <c r="H4893" s="4" t="s">
        <v>80</v>
      </c>
      <c r="I4893" s="4" t="s">
        <v>69</v>
      </c>
      <c r="J4893" s="4" t="s">
        <v>66</v>
      </c>
      <c r="K4893" s="4">
        <v>0</v>
      </c>
      <c r="L4893" s="94">
        <v>43436</v>
      </c>
      <c r="M4893" s="94">
        <v>173744</v>
      </c>
    </row>
    <row r="4894" spans="3:13" x14ac:dyDescent="0.3">
      <c r="C4894" t="s">
        <v>61</v>
      </c>
      <c r="D4894" t="s">
        <v>67</v>
      </c>
      <c r="E4894" t="s">
        <v>68</v>
      </c>
      <c r="F4894" t="s">
        <v>25</v>
      </c>
      <c r="G4894" s="4">
        <v>1</v>
      </c>
      <c r="H4894" s="4" t="s">
        <v>74</v>
      </c>
      <c r="I4894" s="4" t="s">
        <v>69</v>
      </c>
      <c r="J4894" s="4" t="s">
        <v>66</v>
      </c>
      <c r="K4894" s="4">
        <v>0</v>
      </c>
      <c r="L4894" s="94">
        <v>2032062</v>
      </c>
      <c r="M4894" s="94">
        <v>2032062</v>
      </c>
    </row>
    <row r="4895" spans="3:13" x14ac:dyDescent="0.3">
      <c r="C4895" t="s">
        <v>61</v>
      </c>
      <c r="D4895" t="s">
        <v>67</v>
      </c>
      <c r="E4895" t="s">
        <v>63</v>
      </c>
      <c r="F4895" t="s">
        <v>25</v>
      </c>
      <c r="G4895" s="4">
        <v>8</v>
      </c>
      <c r="H4895" s="4" t="s">
        <v>79</v>
      </c>
      <c r="I4895" s="4" t="s">
        <v>69</v>
      </c>
      <c r="J4895" s="4" t="s">
        <v>66</v>
      </c>
      <c r="K4895" s="4">
        <v>0</v>
      </c>
      <c r="L4895" s="94">
        <v>-5675</v>
      </c>
      <c r="M4895" s="94">
        <v>0</v>
      </c>
    </row>
    <row r="4896" spans="3:13" x14ac:dyDescent="0.3">
      <c r="C4896" t="s">
        <v>71</v>
      </c>
      <c r="D4896" t="s">
        <v>67</v>
      </c>
      <c r="E4896" t="s">
        <v>63</v>
      </c>
      <c r="F4896" t="s">
        <v>72</v>
      </c>
      <c r="G4896" s="4">
        <v>3</v>
      </c>
      <c r="H4896" s="4" t="s">
        <v>17</v>
      </c>
      <c r="I4896" s="4" t="s">
        <v>69</v>
      </c>
      <c r="J4896" s="4" t="s">
        <v>66</v>
      </c>
      <c r="K4896" s="4">
        <v>0</v>
      </c>
      <c r="L4896" s="94">
        <v>-157973</v>
      </c>
      <c r="M4896" s="94">
        <v>0</v>
      </c>
    </row>
    <row r="4897" spans="3:13" x14ac:dyDescent="0.3">
      <c r="C4897" t="s">
        <v>61</v>
      </c>
      <c r="D4897" t="s">
        <v>67</v>
      </c>
      <c r="E4897" t="s">
        <v>68</v>
      </c>
      <c r="F4897" t="s">
        <v>26</v>
      </c>
      <c r="G4897" s="4">
        <v>8</v>
      </c>
      <c r="H4897" s="4" t="s">
        <v>14</v>
      </c>
      <c r="I4897" s="4" t="s">
        <v>69</v>
      </c>
      <c r="J4897" s="4" t="s">
        <v>66</v>
      </c>
      <c r="K4897" s="4">
        <v>0</v>
      </c>
      <c r="L4897" s="94">
        <v>9968162</v>
      </c>
      <c r="M4897" s="94">
        <v>79745296</v>
      </c>
    </row>
    <row r="4898" spans="3:13" x14ac:dyDescent="0.3">
      <c r="C4898" t="s">
        <v>61</v>
      </c>
      <c r="D4898" t="s">
        <v>67</v>
      </c>
      <c r="E4898" t="s">
        <v>68</v>
      </c>
      <c r="F4898" t="s">
        <v>26</v>
      </c>
      <c r="G4898" s="4">
        <v>6</v>
      </c>
      <c r="H4898" s="4" t="s">
        <v>64</v>
      </c>
      <c r="I4898" s="4" t="s">
        <v>69</v>
      </c>
      <c r="J4898" s="4" t="s">
        <v>66</v>
      </c>
      <c r="K4898" s="4">
        <v>0</v>
      </c>
      <c r="L4898" s="94">
        <v>4123540</v>
      </c>
      <c r="M4898" s="94">
        <v>24741240</v>
      </c>
    </row>
    <row r="4899" spans="3:13" x14ac:dyDescent="0.3">
      <c r="C4899" t="s">
        <v>71</v>
      </c>
      <c r="D4899" t="s">
        <v>62</v>
      </c>
      <c r="E4899" t="s">
        <v>63</v>
      </c>
      <c r="F4899" t="s">
        <v>24</v>
      </c>
      <c r="G4899" s="4">
        <v>25</v>
      </c>
      <c r="I4899" s="4" t="s">
        <v>69</v>
      </c>
      <c r="J4899" s="4" t="s">
        <v>66</v>
      </c>
      <c r="K4899" s="4">
        <v>0</v>
      </c>
      <c r="L4899" s="94">
        <v>-2867277</v>
      </c>
      <c r="M4899" s="94">
        <v>0</v>
      </c>
    </row>
    <row r="4900" spans="3:13" x14ac:dyDescent="0.3">
      <c r="C4900" t="s">
        <v>70</v>
      </c>
      <c r="D4900" t="s">
        <v>67</v>
      </c>
      <c r="E4900" t="s">
        <v>68</v>
      </c>
      <c r="F4900" t="s">
        <v>25</v>
      </c>
      <c r="G4900" s="4">
        <v>-4</v>
      </c>
      <c r="H4900" s="4" t="s">
        <v>83</v>
      </c>
      <c r="I4900" s="4" t="s">
        <v>69</v>
      </c>
      <c r="J4900" s="4" t="s">
        <v>66</v>
      </c>
      <c r="K4900" s="4">
        <v>0</v>
      </c>
      <c r="L4900" s="94">
        <v>128</v>
      </c>
      <c r="M4900" s="94">
        <v>0</v>
      </c>
    </row>
    <row r="4901" spans="3:13" x14ac:dyDescent="0.3">
      <c r="C4901" t="s">
        <v>61</v>
      </c>
      <c r="D4901" t="s">
        <v>67</v>
      </c>
      <c r="E4901" t="s">
        <v>63</v>
      </c>
      <c r="F4901" t="s">
        <v>25</v>
      </c>
      <c r="G4901" s="4">
        <v>15</v>
      </c>
      <c r="H4901" s="4" t="s">
        <v>64</v>
      </c>
      <c r="I4901" s="4" t="s">
        <v>69</v>
      </c>
      <c r="J4901" s="4" t="s">
        <v>66</v>
      </c>
      <c r="K4901" s="4">
        <v>0</v>
      </c>
      <c r="L4901" s="94">
        <v>-3160</v>
      </c>
      <c r="M4901" s="94">
        <v>0</v>
      </c>
    </row>
    <row r="4902" spans="3:13" x14ac:dyDescent="0.3">
      <c r="C4902" t="s">
        <v>61</v>
      </c>
      <c r="D4902" t="s">
        <v>67</v>
      </c>
      <c r="E4902" t="s">
        <v>68</v>
      </c>
      <c r="F4902" t="s">
        <v>25</v>
      </c>
      <c r="G4902" s="4">
        <v>8</v>
      </c>
      <c r="H4902" s="4" t="s">
        <v>76</v>
      </c>
      <c r="I4902" s="4" t="s">
        <v>69</v>
      </c>
      <c r="J4902" s="4" t="s">
        <v>66</v>
      </c>
      <c r="K4902" s="4">
        <v>0</v>
      </c>
      <c r="L4902" s="94">
        <v>52858183</v>
      </c>
      <c r="M4902" s="94">
        <v>422865464</v>
      </c>
    </row>
    <row r="4903" spans="3:13" x14ac:dyDescent="0.3">
      <c r="C4903" t="s">
        <v>61</v>
      </c>
      <c r="D4903" t="s">
        <v>67</v>
      </c>
      <c r="E4903" t="s">
        <v>68</v>
      </c>
      <c r="F4903" t="s">
        <v>25</v>
      </c>
      <c r="G4903" s="4">
        <v>-1</v>
      </c>
      <c r="H4903" s="4" t="s">
        <v>75</v>
      </c>
      <c r="I4903" s="4" t="s">
        <v>69</v>
      </c>
      <c r="J4903" s="4" t="s">
        <v>66</v>
      </c>
      <c r="K4903" s="4">
        <v>0</v>
      </c>
      <c r="L4903" s="94">
        <v>4217524</v>
      </c>
      <c r="M4903" s="94">
        <v>0</v>
      </c>
    </row>
    <row r="4904" spans="3:13" x14ac:dyDescent="0.3">
      <c r="C4904" t="s">
        <v>70</v>
      </c>
      <c r="D4904" t="s">
        <v>67</v>
      </c>
      <c r="E4904" t="s">
        <v>68</v>
      </c>
      <c r="F4904" t="s">
        <v>26</v>
      </c>
      <c r="G4904" s="4">
        <v>1</v>
      </c>
      <c r="H4904" s="4" t="s">
        <v>16</v>
      </c>
      <c r="I4904" s="4" t="s">
        <v>69</v>
      </c>
      <c r="J4904" s="4" t="s">
        <v>66</v>
      </c>
      <c r="K4904" s="4">
        <v>0</v>
      </c>
      <c r="L4904" s="94">
        <v>33572</v>
      </c>
      <c r="M4904" s="94">
        <v>33572</v>
      </c>
    </row>
    <row r="4905" spans="3:13" x14ac:dyDescent="0.3">
      <c r="C4905" t="s">
        <v>61</v>
      </c>
      <c r="D4905" t="s">
        <v>67</v>
      </c>
      <c r="E4905" t="s">
        <v>63</v>
      </c>
      <c r="F4905" t="s">
        <v>26</v>
      </c>
      <c r="G4905" s="4">
        <v>2</v>
      </c>
      <c r="H4905" s="4" t="s">
        <v>18</v>
      </c>
      <c r="I4905" s="4" t="s">
        <v>69</v>
      </c>
      <c r="J4905" s="4" t="s">
        <v>66</v>
      </c>
      <c r="K4905" s="4">
        <v>0</v>
      </c>
      <c r="L4905" s="94">
        <v>-309817</v>
      </c>
      <c r="M4905" s="94">
        <v>0</v>
      </c>
    </row>
    <row r="4906" spans="3:13" x14ac:dyDescent="0.3">
      <c r="C4906" t="s">
        <v>61</v>
      </c>
      <c r="D4906" t="s">
        <v>62</v>
      </c>
      <c r="E4906" t="s">
        <v>63</v>
      </c>
      <c r="F4906" t="s">
        <v>24</v>
      </c>
      <c r="G4906" s="4">
        <v>9</v>
      </c>
      <c r="I4906" s="4" t="s">
        <v>69</v>
      </c>
      <c r="J4906" s="4" t="s">
        <v>66</v>
      </c>
      <c r="K4906" s="4">
        <v>1</v>
      </c>
      <c r="L4906" s="94">
        <v>-745</v>
      </c>
      <c r="M4906" s="94">
        <v>0</v>
      </c>
    </row>
    <row r="4907" spans="3:13" x14ac:dyDescent="0.3">
      <c r="C4907" t="s">
        <v>70</v>
      </c>
      <c r="D4907" t="s">
        <v>67</v>
      </c>
      <c r="E4907" t="s">
        <v>63</v>
      </c>
      <c r="F4907" t="s">
        <v>25</v>
      </c>
      <c r="G4907" s="4">
        <v>12</v>
      </c>
      <c r="H4907" s="4" t="s">
        <v>14</v>
      </c>
      <c r="I4907" s="4" t="s">
        <v>69</v>
      </c>
      <c r="J4907" s="4" t="s">
        <v>66</v>
      </c>
      <c r="K4907" s="4">
        <v>0</v>
      </c>
      <c r="L4907" s="94">
        <v>-43814</v>
      </c>
      <c r="M4907" s="94">
        <v>0</v>
      </c>
    </row>
    <row r="4908" spans="3:13" x14ac:dyDescent="0.3">
      <c r="C4908" t="s">
        <v>70</v>
      </c>
      <c r="D4908" t="s">
        <v>67</v>
      </c>
      <c r="E4908" t="s">
        <v>68</v>
      </c>
      <c r="F4908" t="s">
        <v>72</v>
      </c>
      <c r="G4908" s="4">
        <v>-1</v>
      </c>
      <c r="H4908" s="4" t="s">
        <v>76</v>
      </c>
      <c r="I4908" s="4" t="s">
        <v>69</v>
      </c>
      <c r="J4908" s="4" t="s">
        <v>66</v>
      </c>
      <c r="K4908" s="4">
        <v>0</v>
      </c>
      <c r="L4908" s="94">
        <v>1114097</v>
      </c>
      <c r="M4908" s="94">
        <v>0</v>
      </c>
    </row>
    <row r="4909" spans="3:13" x14ac:dyDescent="0.3">
      <c r="C4909" t="s">
        <v>61</v>
      </c>
      <c r="D4909" t="s">
        <v>67</v>
      </c>
      <c r="E4909" t="s">
        <v>68</v>
      </c>
      <c r="F4909" t="s">
        <v>26</v>
      </c>
      <c r="G4909" s="4">
        <v>7</v>
      </c>
      <c r="H4909" s="4" t="s">
        <v>74</v>
      </c>
      <c r="I4909" s="4" t="s">
        <v>69</v>
      </c>
      <c r="J4909" s="4" t="s">
        <v>66</v>
      </c>
      <c r="K4909" s="4">
        <v>0</v>
      </c>
      <c r="L4909" s="94">
        <v>17009475</v>
      </c>
      <c r="M4909" s="94">
        <v>119066325</v>
      </c>
    </row>
    <row r="4910" spans="3:13" x14ac:dyDescent="0.3">
      <c r="C4910" t="s">
        <v>61</v>
      </c>
      <c r="D4910" t="s">
        <v>62</v>
      </c>
      <c r="E4910" t="s">
        <v>63</v>
      </c>
      <c r="F4910" t="s">
        <v>25</v>
      </c>
      <c r="G4910" s="4">
        <v>6</v>
      </c>
      <c r="I4910" s="4" t="s">
        <v>69</v>
      </c>
      <c r="J4910" s="4" t="s">
        <v>66</v>
      </c>
      <c r="K4910" s="4">
        <v>1</v>
      </c>
      <c r="L4910" s="94">
        <v>-750</v>
      </c>
      <c r="M4910" s="94">
        <v>0</v>
      </c>
    </row>
    <row r="4911" spans="3:13" x14ac:dyDescent="0.3">
      <c r="C4911" t="s">
        <v>71</v>
      </c>
      <c r="D4911" t="s">
        <v>67</v>
      </c>
      <c r="E4911" t="s">
        <v>68</v>
      </c>
      <c r="F4911" t="s">
        <v>72</v>
      </c>
      <c r="G4911" s="4">
        <v>-4</v>
      </c>
      <c r="H4911" s="4" t="s">
        <v>75</v>
      </c>
      <c r="I4911" s="4" t="s">
        <v>69</v>
      </c>
      <c r="J4911" s="4" t="s">
        <v>66</v>
      </c>
      <c r="K4911" s="4">
        <v>0</v>
      </c>
      <c r="L4911" s="94">
        <v>2154</v>
      </c>
      <c r="M4911" s="94">
        <v>0</v>
      </c>
    </row>
    <row r="4912" spans="3:13" x14ac:dyDescent="0.3">
      <c r="C4912" t="s">
        <v>71</v>
      </c>
      <c r="D4912" t="s">
        <v>67</v>
      </c>
      <c r="E4912" t="s">
        <v>63</v>
      </c>
      <c r="F4912" t="s">
        <v>72</v>
      </c>
      <c r="G4912" s="4">
        <v>0</v>
      </c>
      <c r="H4912" s="4" t="s">
        <v>12</v>
      </c>
      <c r="I4912" s="4" t="s">
        <v>65</v>
      </c>
      <c r="J4912" s="4" t="s">
        <v>73</v>
      </c>
      <c r="K4912" s="4">
        <v>1</v>
      </c>
      <c r="L4912" s="94">
        <v>-4373</v>
      </c>
      <c r="M4912" s="94">
        <v>0</v>
      </c>
    </row>
    <row r="4913" spans="3:13" x14ac:dyDescent="0.3">
      <c r="C4913" t="s">
        <v>70</v>
      </c>
      <c r="D4913" t="s">
        <v>67</v>
      </c>
      <c r="E4913" t="s">
        <v>68</v>
      </c>
      <c r="F4913" t="s">
        <v>72</v>
      </c>
      <c r="G4913" s="4">
        <v>3</v>
      </c>
      <c r="H4913" s="4" t="s">
        <v>17</v>
      </c>
      <c r="I4913" s="4" t="s">
        <v>69</v>
      </c>
      <c r="J4913" s="4" t="s">
        <v>73</v>
      </c>
      <c r="K4913" s="4">
        <v>1</v>
      </c>
      <c r="L4913" s="94">
        <v>93926</v>
      </c>
      <c r="M4913" s="94">
        <v>281778</v>
      </c>
    </row>
    <row r="4914" spans="3:13" x14ac:dyDescent="0.3">
      <c r="C4914" t="s">
        <v>61</v>
      </c>
      <c r="D4914" t="s">
        <v>67</v>
      </c>
      <c r="E4914" t="s">
        <v>68</v>
      </c>
      <c r="F4914" t="s">
        <v>25</v>
      </c>
      <c r="G4914" s="4">
        <v>6</v>
      </c>
      <c r="H4914" s="4" t="s">
        <v>89</v>
      </c>
      <c r="I4914" s="4" t="s">
        <v>69</v>
      </c>
      <c r="J4914" s="4" t="s">
        <v>66</v>
      </c>
      <c r="K4914" s="4">
        <v>0</v>
      </c>
      <c r="L4914" s="94">
        <v>92209</v>
      </c>
      <c r="M4914" s="94">
        <v>553254</v>
      </c>
    </row>
    <row r="4915" spans="3:13" x14ac:dyDescent="0.3">
      <c r="C4915" t="s">
        <v>61</v>
      </c>
      <c r="D4915" t="s">
        <v>67</v>
      </c>
      <c r="E4915" t="s">
        <v>68</v>
      </c>
      <c r="F4915" t="s">
        <v>72</v>
      </c>
      <c r="G4915" s="4">
        <v>4</v>
      </c>
      <c r="H4915" s="4" t="s">
        <v>14</v>
      </c>
      <c r="I4915" s="4" t="s">
        <v>69</v>
      </c>
      <c r="J4915" s="4" t="s">
        <v>73</v>
      </c>
      <c r="K4915" s="4">
        <v>1</v>
      </c>
      <c r="L4915" s="94">
        <v>7429889</v>
      </c>
      <c r="M4915" s="94">
        <v>29719556</v>
      </c>
    </row>
    <row r="4916" spans="3:13" x14ac:dyDescent="0.3">
      <c r="C4916" t="s">
        <v>71</v>
      </c>
      <c r="D4916" t="s">
        <v>62</v>
      </c>
      <c r="E4916" t="s">
        <v>63</v>
      </c>
      <c r="F4916" t="s">
        <v>24</v>
      </c>
      <c r="G4916" s="4">
        <v>27</v>
      </c>
      <c r="I4916" s="4" t="s">
        <v>69</v>
      </c>
      <c r="J4916" s="4" t="s">
        <v>66</v>
      </c>
      <c r="K4916" s="4">
        <v>0</v>
      </c>
      <c r="L4916" s="94">
        <v>-1968806</v>
      </c>
      <c r="M4916" s="94">
        <v>0</v>
      </c>
    </row>
    <row r="4917" spans="3:13" x14ac:dyDescent="0.3">
      <c r="C4917" t="s">
        <v>61</v>
      </c>
      <c r="D4917" t="s">
        <v>67</v>
      </c>
      <c r="E4917" t="s">
        <v>68</v>
      </c>
      <c r="F4917" t="s">
        <v>72</v>
      </c>
      <c r="G4917" s="4">
        <v>5</v>
      </c>
      <c r="H4917" s="4" t="s">
        <v>77</v>
      </c>
      <c r="I4917" s="4" t="s">
        <v>69</v>
      </c>
      <c r="J4917" s="4" t="s">
        <v>66</v>
      </c>
      <c r="K4917" s="4">
        <v>0</v>
      </c>
      <c r="L4917" s="94">
        <v>332674</v>
      </c>
      <c r="M4917" s="94">
        <v>1663370</v>
      </c>
    </row>
    <row r="4918" spans="3:13" x14ac:dyDescent="0.3">
      <c r="C4918" t="s">
        <v>61</v>
      </c>
      <c r="D4918" t="s">
        <v>67</v>
      </c>
      <c r="E4918" t="s">
        <v>63</v>
      </c>
      <c r="F4918" t="s">
        <v>26</v>
      </c>
      <c r="G4918" s="4">
        <v>4</v>
      </c>
      <c r="H4918" s="4" t="s">
        <v>82</v>
      </c>
      <c r="I4918" s="4" t="s">
        <v>69</v>
      </c>
      <c r="J4918" s="4" t="s">
        <v>66</v>
      </c>
      <c r="K4918" s="4">
        <v>0</v>
      </c>
      <c r="L4918" s="94">
        <v>-37596</v>
      </c>
      <c r="M4918" s="94">
        <v>0</v>
      </c>
    </row>
    <row r="4919" spans="3:13" x14ac:dyDescent="0.3">
      <c r="C4919" t="s">
        <v>61</v>
      </c>
      <c r="D4919" t="s">
        <v>67</v>
      </c>
      <c r="E4919" t="s">
        <v>63</v>
      </c>
      <c r="F4919" t="s">
        <v>25</v>
      </c>
      <c r="G4919" s="4">
        <v>6</v>
      </c>
      <c r="H4919" s="4" t="s">
        <v>17</v>
      </c>
      <c r="I4919" s="4" t="s">
        <v>69</v>
      </c>
      <c r="J4919" s="4" t="s">
        <v>66</v>
      </c>
      <c r="K4919" s="4">
        <v>0</v>
      </c>
      <c r="L4919" s="94">
        <v>-4791</v>
      </c>
      <c r="M4919" s="94">
        <v>0</v>
      </c>
    </row>
    <row r="4920" spans="3:13" x14ac:dyDescent="0.3">
      <c r="C4920" t="s">
        <v>71</v>
      </c>
      <c r="D4920" t="s">
        <v>62</v>
      </c>
      <c r="E4920" t="s">
        <v>63</v>
      </c>
      <c r="F4920" t="s">
        <v>25</v>
      </c>
      <c r="G4920" s="4">
        <v>18</v>
      </c>
      <c r="I4920" s="4" t="s">
        <v>69</v>
      </c>
      <c r="J4920" s="4" t="s">
        <v>66</v>
      </c>
      <c r="K4920" s="4">
        <v>0</v>
      </c>
      <c r="L4920" s="94">
        <v>-14377</v>
      </c>
      <c r="M4920" s="94">
        <v>0</v>
      </c>
    </row>
    <row r="4921" spans="3:13" x14ac:dyDescent="0.3">
      <c r="C4921" t="s">
        <v>61</v>
      </c>
      <c r="D4921" t="s">
        <v>67</v>
      </c>
      <c r="E4921" t="s">
        <v>68</v>
      </c>
      <c r="F4921" t="s">
        <v>25</v>
      </c>
      <c r="G4921" s="4">
        <v>10</v>
      </c>
      <c r="H4921" s="4" t="s">
        <v>76</v>
      </c>
      <c r="I4921" s="4" t="s">
        <v>69</v>
      </c>
      <c r="J4921" s="4" t="s">
        <v>66</v>
      </c>
      <c r="K4921" s="4">
        <v>0</v>
      </c>
      <c r="L4921" s="94">
        <v>25910729</v>
      </c>
      <c r="M4921" s="94">
        <v>259107290</v>
      </c>
    </row>
    <row r="4922" spans="3:13" x14ac:dyDescent="0.3">
      <c r="C4922" t="s">
        <v>71</v>
      </c>
      <c r="D4922" t="s">
        <v>67</v>
      </c>
      <c r="E4922" t="s">
        <v>68</v>
      </c>
      <c r="F4922" t="s">
        <v>26</v>
      </c>
      <c r="G4922" s="4">
        <v>3</v>
      </c>
      <c r="H4922" s="4" t="s">
        <v>12</v>
      </c>
      <c r="I4922" s="4" t="s">
        <v>69</v>
      </c>
      <c r="J4922" s="4" t="s">
        <v>66</v>
      </c>
      <c r="K4922" s="4">
        <v>0</v>
      </c>
      <c r="L4922" s="94">
        <v>71720</v>
      </c>
      <c r="M4922" s="94">
        <v>215160</v>
      </c>
    </row>
    <row r="4923" spans="3:13" x14ac:dyDescent="0.3">
      <c r="C4923" t="s">
        <v>71</v>
      </c>
      <c r="D4923" t="s">
        <v>62</v>
      </c>
      <c r="E4923" t="s">
        <v>63</v>
      </c>
      <c r="F4923" t="s">
        <v>24</v>
      </c>
      <c r="G4923" s="4">
        <v>23</v>
      </c>
      <c r="I4923" s="4" t="s">
        <v>69</v>
      </c>
      <c r="J4923" s="4" t="s">
        <v>73</v>
      </c>
      <c r="K4923" s="4">
        <v>1</v>
      </c>
      <c r="L4923" s="94">
        <v>-2570</v>
      </c>
      <c r="M4923" s="94">
        <v>0</v>
      </c>
    </row>
    <row r="4924" spans="3:13" x14ac:dyDescent="0.3">
      <c r="C4924" t="s">
        <v>61</v>
      </c>
      <c r="D4924" t="s">
        <v>67</v>
      </c>
      <c r="E4924" t="s">
        <v>63</v>
      </c>
      <c r="F4924" t="s">
        <v>26</v>
      </c>
      <c r="G4924" s="4">
        <v>9</v>
      </c>
      <c r="H4924" s="4" t="s">
        <v>74</v>
      </c>
      <c r="I4924" s="4" t="s">
        <v>69</v>
      </c>
      <c r="J4924" s="4" t="s">
        <v>66</v>
      </c>
      <c r="K4924" s="4">
        <v>0</v>
      </c>
      <c r="L4924" s="94">
        <v>-1622</v>
      </c>
      <c r="M4924" s="94">
        <v>0</v>
      </c>
    </row>
    <row r="4925" spans="3:13" x14ac:dyDescent="0.3">
      <c r="C4925" t="s">
        <v>61</v>
      </c>
      <c r="D4925" t="s">
        <v>67</v>
      </c>
      <c r="E4925" t="s">
        <v>63</v>
      </c>
      <c r="F4925" t="s">
        <v>26</v>
      </c>
      <c r="G4925" s="4">
        <v>6</v>
      </c>
      <c r="H4925" s="4" t="s">
        <v>18</v>
      </c>
      <c r="I4925" s="4" t="s">
        <v>69</v>
      </c>
      <c r="J4925" s="4" t="s">
        <v>73</v>
      </c>
      <c r="K4925" s="4">
        <v>1</v>
      </c>
      <c r="L4925" s="94">
        <v>-3864</v>
      </c>
      <c r="M4925" s="94">
        <v>0</v>
      </c>
    </row>
    <row r="4926" spans="3:13" x14ac:dyDescent="0.3">
      <c r="C4926" t="s">
        <v>71</v>
      </c>
      <c r="D4926" t="s">
        <v>67</v>
      </c>
      <c r="E4926" t="s">
        <v>68</v>
      </c>
      <c r="F4926" t="s">
        <v>25</v>
      </c>
      <c r="G4926" s="4">
        <v>6</v>
      </c>
      <c r="H4926" s="4" t="s">
        <v>75</v>
      </c>
      <c r="I4926" s="4" t="s">
        <v>69</v>
      </c>
      <c r="J4926" s="4" t="s">
        <v>66</v>
      </c>
      <c r="K4926" s="4">
        <v>0</v>
      </c>
      <c r="L4926" s="94">
        <v>171477</v>
      </c>
      <c r="M4926" s="94">
        <v>1028862</v>
      </c>
    </row>
    <row r="4927" spans="3:13" x14ac:dyDescent="0.3">
      <c r="C4927" t="s">
        <v>61</v>
      </c>
      <c r="D4927" t="s">
        <v>67</v>
      </c>
      <c r="E4927" t="s">
        <v>68</v>
      </c>
      <c r="F4927" t="s">
        <v>25</v>
      </c>
      <c r="G4927" s="4">
        <v>3</v>
      </c>
      <c r="H4927" s="4" t="s">
        <v>64</v>
      </c>
      <c r="I4927" s="4" t="s">
        <v>69</v>
      </c>
      <c r="J4927" s="4" t="s">
        <v>66</v>
      </c>
      <c r="K4927" s="4">
        <v>0</v>
      </c>
      <c r="L4927" s="94">
        <v>141003</v>
      </c>
      <c r="M4927" s="94">
        <v>423009</v>
      </c>
    </row>
    <row r="4928" spans="3:13" x14ac:dyDescent="0.3">
      <c r="C4928" t="s">
        <v>70</v>
      </c>
      <c r="D4928" t="s">
        <v>62</v>
      </c>
      <c r="E4928" t="s">
        <v>63</v>
      </c>
      <c r="F4928" t="s">
        <v>24</v>
      </c>
      <c r="G4928" s="4">
        <v>36</v>
      </c>
      <c r="I4928" s="4" t="s">
        <v>65</v>
      </c>
      <c r="J4928" s="4" t="s">
        <v>66</v>
      </c>
      <c r="K4928" s="4">
        <v>1</v>
      </c>
      <c r="L4928" s="94">
        <v>-77332</v>
      </c>
      <c r="M4928" s="94">
        <v>0</v>
      </c>
    </row>
    <row r="4929" spans="3:13" x14ac:dyDescent="0.3">
      <c r="C4929" t="s">
        <v>61</v>
      </c>
      <c r="D4929" t="s">
        <v>67</v>
      </c>
      <c r="E4929" t="s">
        <v>68</v>
      </c>
      <c r="F4929" t="s">
        <v>26</v>
      </c>
      <c r="G4929" s="4">
        <v>7</v>
      </c>
      <c r="H4929" s="4" t="s">
        <v>80</v>
      </c>
      <c r="I4929" s="4" t="s">
        <v>69</v>
      </c>
      <c r="J4929" s="4" t="s">
        <v>66</v>
      </c>
      <c r="K4929" s="4">
        <v>0</v>
      </c>
      <c r="L4929" s="94">
        <v>600623</v>
      </c>
      <c r="M4929" s="94">
        <v>4204361</v>
      </c>
    </row>
    <row r="4930" spans="3:13" x14ac:dyDescent="0.3">
      <c r="C4930" t="s">
        <v>71</v>
      </c>
      <c r="D4930" t="s">
        <v>67</v>
      </c>
      <c r="E4930" t="s">
        <v>63</v>
      </c>
      <c r="F4930" t="s">
        <v>72</v>
      </c>
      <c r="G4930" s="4">
        <v>-4</v>
      </c>
      <c r="H4930" s="4" t="s">
        <v>64</v>
      </c>
      <c r="I4930" s="4" t="s">
        <v>69</v>
      </c>
      <c r="J4930" s="4" t="s">
        <v>66</v>
      </c>
      <c r="K4930" s="4">
        <v>0</v>
      </c>
      <c r="L4930" s="94">
        <v>-673440</v>
      </c>
      <c r="M4930" s="94">
        <v>0</v>
      </c>
    </row>
    <row r="4931" spans="3:13" x14ac:dyDescent="0.3">
      <c r="C4931" t="s">
        <v>61</v>
      </c>
      <c r="D4931" t="s">
        <v>67</v>
      </c>
      <c r="E4931" t="s">
        <v>68</v>
      </c>
      <c r="F4931" t="s">
        <v>72</v>
      </c>
      <c r="G4931" s="4">
        <v>3</v>
      </c>
      <c r="H4931" s="4" t="s">
        <v>79</v>
      </c>
      <c r="I4931" s="4" t="s">
        <v>69</v>
      </c>
      <c r="J4931" s="4" t="s">
        <v>66</v>
      </c>
      <c r="K4931" s="4">
        <v>0</v>
      </c>
      <c r="L4931" s="94">
        <v>6146118</v>
      </c>
      <c r="M4931" s="94">
        <v>18438354</v>
      </c>
    </row>
    <row r="4932" spans="3:13" x14ac:dyDescent="0.3">
      <c r="C4932" t="s">
        <v>70</v>
      </c>
      <c r="D4932" t="s">
        <v>62</v>
      </c>
      <c r="E4932" t="s">
        <v>63</v>
      </c>
      <c r="F4932" t="s">
        <v>25</v>
      </c>
      <c r="G4932" s="4">
        <v>26</v>
      </c>
      <c r="I4932" s="4" t="s">
        <v>69</v>
      </c>
      <c r="J4932" s="4" t="s">
        <v>66</v>
      </c>
      <c r="K4932" s="4">
        <v>0</v>
      </c>
      <c r="L4932" s="94">
        <v>-12704</v>
      </c>
      <c r="M4932" s="94">
        <v>0</v>
      </c>
    </row>
    <row r="4933" spans="3:13" x14ac:dyDescent="0.3">
      <c r="C4933" t="s">
        <v>61</v>
      </c>
      <c r="D4933" t="s">
        <v>67</v>
      </c>
      <c r="E4933" t="s">
        <v>63</v>
      </c>
      <c r="F4933" t="s">
        <v>25</v>
      </c>
      <c r="G4933" s="4">
        <v>11</v>
      </c>
      <c r="H4933" s="4" t="s">
        <v>14</v>
      </c>
      <c r="I4933" s="4" t="s">
        <v>69</v>
      </c>
      <c r="J4933" s="4" t="s">
        <v>66</v>
      </c>
      <c r="K4933" s="4">
        <v>0</v>
      </c>
      <c r="L4933" s="94">
        <v>-13541</v>
      </c>
      <c r="M4933" s="94">
        <v>0</v>
      </c>
    </row>
    <row r="4934" spans="3:13" x14ac:dyDescent="0.3">
      <c r="C4934" t="s">
        <v>61</v>
      </c>
      <c r="D4934" t="s">
        <v>67</v>
      </c>
      <c r="E4934" t="s">
        <v>63</v>
      </c>
      <c r="F4934" t="s">
        <v>25</v>
      </c>
      <c r="G4934" s="4">
        <v>20</v>
      </c>
      <c r="H4934" s="4" t="s">
        <v>18</v>
      </c>
      <c r="I4934" s="4" t="s">
        <v>69</v>
      </c>
      <c r="J4934" s="4" t="s">
        <v>66</v>
      </c>
      <c r="K4934" s="4">
        <v>0</v>
      </c>
      <c r="L4934" s="94">
        <v>-132</v>
      </c>
      <c r="M4934" s="94">
        <v>0</v>
      </c>
    </row>
    <row r="4935" spans="3:13" x14ac:dyDescent="0.3">
      <c r="C4935" t="s">
        <v>70</v>
      </c>
      <c r="D4935" t="s">
        <v>62</v>
      </c>
      <c r="E4935" t="s">
        <v>63</v>
      </c>
      <c r="F4935" t="s">
        <v>24</v>
      </c>
      <c r="G4935" s="4">
        <v>27</v>
      </c>
      <c r="I4935" s="4" t="s">
        <v>69</v>
      </c>
      <c r="J4935" s="4" t="s">
        <v>66</v>
      </c>
      <c r="K4935" s="4">
        <v>0</v>
      </c>
      <c r="L4935" s="94">
        <v>-1404738</v>
      </c>
      <c r="M4935" s="94">
        <v>0</v>
      </c>
    </row>
    <row r="4936" spans="3:13" x14ac:dyDescent="0.3">
      <c r="C4936" t="s">
        <v>61</v>
      </c>
      <c r="D4936" t="s">
        <v>67</v>
      </c>
      <c r="E4936" t="s">
        <v>63</v>
      </c>
      <c r="F4936" t="s">
        <v>26</v>
      </c>
      <c r="G4936" s="4">
        <v>7</v>
      </c>
      <c r="H4936" s="4" t="s">
        <v>64</v>
      </c>
      <c r="I4936" s="4" t="s">
        <v>69</v>
      </c>
      <c r="J4936" s="4" t="s">
        <v>66</v>
      </c>
      <c r="K4936" s="4">
        <v>0</v>
      </c>
      <c r="L4936" s="94">
        <v>-1341</v>
      </c>
      <c r="M4936" s="94">
        <v>0</v>
      </c>
    </row>
    <row r="4937" spans="3:13" x14ac:dyDescent="0.3">
      <c r="C4937" t="s">
        <v>71</v>
      </c>
      <c r="D4937" t="s">
        <v>67</v>
      </c>
      <c r="E4937" t="s">
        <v>68</v>
      </c>
      <c r="F4937" t="s">
        <v>26</v>
      </c>
      <c r="G4937" s="4">
        <v>4</v>
      </c>
      <c r="H4937" s="4" t="s">
        <v>75</v>
      </c>
      <c r="I4937" s="4" t="s">
        <v>69</v>
      </c>
      <c r="J4937" s="4" t="s">
        <v>66</v>
      </c>
      <c r="K4937" s="4">
        <v>0</v>
      </c>
      <c r="L4937" s="94">
        <v>871580</v>
      </c>
      <c r="M4937" s="94">
        <v>3486320</v>
      </c>
    </row>
    <row r="4938" spans="3:13" x14ac:dyDescent="0.3">
      <c r="C4938" t="s">
        <v>61</v>
      </c>
      <c r="D4938" t="s">
        <v>62</v>
      </c>
      <c r="E4938" t="s">
        <v>68</v>
      </c>
      <c r="F4938" t="s">
        <v>25</v>
      </c>
      <c r="G4938" s="4">
        <v>37</v>
      </c>
      <c r="I4938" s="4" t="s">
        <v>69</v>
      </c>
      <c r="J4938" s="4" t="s">
        <v>66</v>
      </c>
      <c r="K4938" s="4">
        <v>0</v>
      </c>
      <c r="L4938" s="94">
        <v>123184</v>
      </c>
      <c r="M4938" s="94">
        <v>4557808</v>
      </c>
    </row>
    <row r="4939" spans="3:13" x14ac:dyDescent="0.3">
      <c r="C4939" t="s">
        <v>61</v>
      </c>
      <c r="D4939" t="s">
        <v>67</v>
      </c>
      <c r="E4939" t="s">
        <v>63</v>
      </c>
      <c r="F4939" t="s">
        <v>25</v>
      </c>
      <c r="G4939" s="4">
        <v>5</v>
      </c>
      <c r="H4939" s="4" t="s">
        <v>75</v>
      </c>
      <c r="I4939" s="4" t="s">
        <v>69</v>
      </c>
      <c r="J4939" s="4" t="s">
        <v>66</v>
      </c>
      <c r="K4939" s="4">
        <v>1</v>
      </c>
      <c r="L4939" s="94">
        <v>-833</v>
      </c>
      <c r="M4939" s="94">
        <v>0</v>
      </c>
    </row>
    <row r="4940" spans="3:13" x14ac:dyDescent="0.3">
      <c r="C4940" t="s">
        <v>71</v>
      </c>
      <c r="D4940" t="s">
        <v>67</v>
      </c>
      <c r="E4940" t="s">
        <v>68</v>
      </c>
      <c r="F4940" t="s">
        <v>25</v>
      </c>
      <c r="G4940" s="4">
        <v>19</v>
      </c>
      <c r="H4940" s="4" t="s">
        <v>83</v>
      </c>
      <c r="I4940" s="4" t="s">
        <v>69</v>
      </c>
      <c r="J4940" s="4" t="s">
        <v>66</v>
      </c>
      <c r="K4940" s="4">
        <v>0</v>
      </c>
      <c r="L4940" s="94">
        <v>2898824</v>
      </c>
      <c r="M4940" s="94">
        <v>55077656</v>
      </c>
    </row>
    <row r="4941" spans="3:13" x14ac:dyDescent="0.3">
      <c r="C4941" t="s">
        <v>71</v>
      </c>
      <c r="D4941" t="s">
        <v>62</v>
      </c>
      <c r="E4941" t="s">
        <v>63</v>
      </c>
      <c r="F4941" t="s">
        <v>24</v>
      </c>
      <c r="G4941" s="4">
        <v>12</v>
      </c>
      <c r="I4941" s="4" t="s">
        <v>69</v>
      </c>
      <c r="J4941" s="4" t="s">
        <v>66</v>
      </c>
      <c r="K4941" s="4">
        <v>1</v>
      </c>
      <c r="L4941" s="94">
        <v>-10767</v>
      </c>
      <c r="M4941" s="94">
        <v>0</v>
      </c>
    </row>
    <row r="4942" spans="3:13" x14ac:dyDescent="0.3">
      <c r="C4942" t="s">
        <v>70</v>
      </c>
      <c r="D4942" t="s">
        <v>67</v>
      </c>
      <c r="E4942" t="s">
        <v>63</v>
      </c>
      <c r="F4942" t="s">
        <v>25</v>
      </c>
      <c r="G4942" s="4">
        <v>8</v>
      </c>
      <c r="H4942" s="4" t="s">
        <v>64</v>
      </c>
      <c r="I4942" s="4" t="s">
        <v>69</v>
      </c>
      <c r="J4942" s="4" t="s">
        <v>66</v>
      </c>
      <c r="K4942" s="4">
        <v>0</v>
      </c>
      <c r="L4942" s="94">
        <v>-18774</v>
      </c>
      <c r="M4942" s="94">
        <v>0</v>
      </c>
    </row>
    <row r="4943" spans="3:13" x14ac:dyDescent="0.3">
      <c r="C4943" t="s">
        <v>61</v>
      </c>
      <c r="D4943" t="s">
        <v>67</v>
      </c>
      <c r="E4943" t="s">
        <v>68</v>
      </c>
      <c r="F4943" t="s">
        <v>26</v>
      </c>
      <c r="G4943" s="4">
        <v>6</v>
      </c>
      <c r="H4943" s="4" t="s">
        <v>78</v>
      </c>
      <c r="I4943" s="4" t="s">
        <v>69</v>
      </c>
      <c r="J4943" s="4" t="s">
        <v>66</v>
      </c>
      <c r="K4943" s="4">
        <v>0</v>
      </c>
      <c r="L4943" s="94">
        <v>1130029</v>
      </c>
      <c r="M4943" s="94">
        <v>6780174</v>
      </c>
    </row>
    <row r="4944" spans="3:13" x14ac:dyDescent="0.3">
      <c r="C4944" t="s">
        <v>71</v>
      </c>
      <c r="D4944" t="s">
        <v>67</v>
      </c>
      <c r="E4944" t="s">
        <v>68</v>
      </c>
      <c r="F4944" t="s">
        <v>26</v>
      </c>
      <c r="G4944" s="4">
        <v>-1</v>
      </c>
      <c r="H4944" s="4" t="s">
        <v>14</v>
      </c>
      <c r="I4944" s="4" t="s">
        <v>69</v>
      </c>
      <c r="J4944" s="4" t="s">
        <v>66</v>
      </c>
      <c r="K4944" s="4">
        <v>0</v>
      </c>
      <c r="L4944" s="94">
        <v>2183263</v>
      </c>
      <c r="M4944" s="94">
        <v>0</v>
      </c>
    </row>
    <row r="4945" spans="3:13" x14ac:dyDescent="0.3">
      <c r="C4945" t="s">
        <v>70</v>
      </c>
      <c r="D4945" t="s">
        <v>67</v>
      </c>
      <c r="E4945" t="s">
        <v>68</v>
      </c>
      <c r="F4945" t="s">
        <v>26</v>
      </c>
      <c r="G4945" s="4">
        <v>3</v>
      </c>
      <c r="H4945" s="4" t="s">
        <v>17</v>
      </c>
      <c r="I4945" s="4" t="s">
        <v>69</v>
      </c>
      <c r="J4945" s="4" t="s">
        <v>73</v>
      </c>
      <c r="K4945" s="4">
        <v>1</v>
      </c>
      <c r="L4945" s="94">
        <v>1324594</v>
      </c>
      <c r="M4945" s="94">
        <v>3973782</v>
      </c>
    </row>
    <row r="4946" spans="3:13" x14ac:dyDescent="0.3">
      <c r="C4946" t="s">
        <v>61</v>
      </c>
      <c r="D4946" t="s">
        <v>67</v>
      </c>
      <c r="E4946" t="s">
        <v>68</v>
      </c>
      <c r="F4946" t="s">
        <v>25</v>
      </c>
      <c r="G4946" s="4">
        <v>-1</v>
      </c>
      <c r="H4946" s="4" t="s">
        <v>83</v>
      </c>
      <c r="I4946" s="4" t="s">
        <v>69</v>
      </c>
      <c r="J4946" s="4" t="s">
        <v>66</v>
      </c>
      <c r="K4946" s="4">
        <v>0</v>
      </c>
      <c r="L4946" s="94">
        <v>856853</v>
      </c>
      <c r="M4946" s="94">
        <v>0</v>
      </c>
    </row>
    <row r="4947" spans="3:13" x14ac:dyDescent="0.3">
      <c r="C4947" t="s">
        <v>61</v>
      </c>
      <c r="D4947" t="s">
        <v>67</v>
      </c>
      <c r="E4947" t="s">
        <v>63</v>
      </c>
      <c r="F4947" t="s">
        <v>26</v>
      </c>
      <c r="G4947" s="4">
        <v>-1</v>
      </c>
      <c r="H4947" s="4" t="s">
        <v>12</v>
      </c>
      <c r="I4947" s="4" t="s">
        <v>69</v>
      </c>
      <c r="J4947" s="4" t="s">
        <v>66</v>
      </c>
      <c r="K4947" s="4">
        <v>0</v>
      </c>
      <c r="L4947" s="94">
        <v>-70395</v>
      </c>
      <c r="M4947" s="94">
        <v>0</v>
      </c>
    </row>
    <row r="4948" spans="3:13" x14ac:dyDescent="0.3">
      <c r="C4948" t="s">
        <v>61</v>
      </c>
      <c r="D4948" t="s">
        <v>62</v>
      </c>
      <c r="E4948" t="s">
        <v>68</v>
      </c>
      <c r="F4948" t="s">
        <v>25</v>
      </c>
      <c r="G4948" s="4">
        <v>8</v>
      </c>
      <c r="I4948" s="4" t="s">
        <v>69</v>
      </c>
      <c r="J4948" s="4" t="s">
        <v>66</v>
      </c>
      <c r="K4948" s="4">
        <v>0</v>
      </c>
      <c r="L4948" s="94">
        <v>8062837</v>
      </c>
      <c r="M4948" s="94">
        <v>64502696</v>
      </c>
    </row>
    <row r="4949" spans="3:13" x14ac:dyDescent="0.3">
      <c r="C4949" t="s">
        <v>61</v>
      </c>
      <c r="D4949" t="s">
        <v>67</v>
      </c>
      <c r="E4949" t="s">
        <v>63</v>
      </c>
      <c r="F4949" t="s">
        <v>26</v>
      </c>
      <c r="G4949" s="4">
        <v>1</v>
      </c>
      <c r="H4949" s="4" t="s">
        <v>16</v>
      </c>
      <c r="I4949" s="4" t="s">
        <v>69</v>
      </c>
      <c r="J4949" s="4" t="s">
        <v>66</v>
      </c>
      <c r="K4949" s="4">
        <v>0</v>
      </c>
      <c r="L4949" s="94">
        <v>-10448</v>
      </c>
      <c r="M4949" s="94">
        <v>0</v>
      </c>
    </row>
    <row r="4950" spans="3:13" x14ac:dyDescent="0.3">
      <c r="C4950" t="s">
        <v>61</v>
      </c>
      <c r="D4950" t="s">
        <v>67</v>
      </c>
      <c r="E4950" t="s">
        <v>68</v>
      </c>
      <c r="F4950" t="s">
        <v>26</v>
      </c>
      <c r="G4950" s="4">
        <v>2</v>
      </c>
      <c r="H4950" s="4" t="s">
        <v>80</v>
      </c>
      <c r="I4950" s="4" t="s">
        <v>69</v>
      </c>
      <c r="J4950" s="4" t="s">
        <v>66</v>
      </c>
      <c r="K4950" s="4">
        <v>0</v>
      </c>
      <c r="L4950" s="94">
        <v>3637635</v>
      </c>
      <c r="M4950" s="94">
        <v>7275270</v>
      </c>
    </row>
    <row r="4951" spans="3:13" x14ac:dyDescent="0.3">
      <c r="C4951" t="s">
        <v>61</v>
      </c>
      <c r="D4951" t="s">
        <v>62</v>
      </c>
      <c r="E4951" t="s">
        <v>63</v>
      </c>
      <c r="F4951" t="s">
        <v>25</v>
      </c>
      <c r="G4951" s="4">
        <v>27</v>
      </c>
      <c r="I4951" s="4" t="s">
        <v>69</v>
      </c>
      <c r="J4951" s="4" t="s">
        <v>66</v>
      </c>
      <c r="K4951" s="4">
        <v>0</v>
      </c>
      <c r="L4951" s="94">
        <v>-736</v>
      </c>
      <c r="M4951" s="94">
        <v>0</v>
      </c>
    </row>
    <row r="4952" spans="3:13" x14ac:dyDescent="0.3">
      <c r="C4952" t="s">
        <v>70</v>
      </c>
      <c r="D4952" t="s">
        <v>67</v>
      </c>
      <c r="E4952" t="s">
        <v>63</v>
      </c>
      <c r="F4952" t="s">
        <v>26</v>
      </c>
      <c r="G4952" s="4">
        <v>3</v>
      </c>
      <c r="H4952" s="4" t="s">
        <v>75</v>
      </c>
      <c r="I4952" s="4" t="s">
        <v>69</v>
      </c>
      <c r="J4952" s="4" t="s">
        <v>66</v>
      </c>
      <c r="K4952" s="4">
        <v>0</v>
      </c>
      <c r="L4952" s="94">
        <v>-273134</v>
      </c>
      <c r="M4952" s="94">
        <v>0</v>
      </c>
    </row>
    <row r="4953" spans="3:13" x14ac:dyDescent="0.3">
      <c r="C4953" t="s">
        <v>70</v>
      </c>
      <c r="D4953" t="s">
        <v>67</v>
      </c>
      <c r="E4953" t="s">
        <v>68</v>
      </c>
      <c r="F4953" t="s">
        <v>25</v>
      </c>
      <c r="G4953" s="4">
        <v>11</v>
      </c>
      <c r="H4953" s="4" t="s">
        <v>77</v>
      </c>
      <c r="I4953" s="4" t="s">
        <v>69</v>
      </c>
      <c r="J4953" s="4" t="s">
        <v>66</v>
      </c>
      <c r="K4953" s="4">
        <v>0</v>
      </c>
      <c r="L4953" s="94">
        <v>540503</v>
      </c>
      <c r="M4953" s="94">
        <v>5945533</v>
      </c>
    </row>
    <row r="4954" spans="3:13" x14ac:dyDescent="0.3">
      <c r="C4954" t="s">
        <v>61</v>
      </c>
      <c r="D4954" t="s">
        <v>67</v>
      </c>
      <c r="E4954" t="s">
        <v>68</v>
      </c>
      <c r="F4954" t="s">
        <v>26</v>
      </c>
      <c r="G4954" s="4">
        <v>0</v>
      </c>
      <c r="H4954" s="4" t="s">
        <v>64</v>
      </c>
      <c r="I4954" s="4" t="s">
        <v>69</v>
      </c>
      <c r="J4954" s="4" t="s">
        <v>66</v>
      </c>
      <c r="K4954" s="4">
        <v>0</v>
      </c>
      <c r="L4954" s="94">
        <v>37723352</v>
      </c>
      <c r="M4954" s="94">
        <v>0</v>
      </c>
    </row>
    <row r="4955" spans="3:13" x14ac:dyDescent="0.3">
      <c r="C4955" t="s">
        <v>70</v>
      </c>
      <c r="D4955" t="s">
        <v>67</v>
      </c>
      <c r="E4955" t="s">
        <v>68</v>
      </c>
      <c r="F4955" t="s">
        <v>25</v>
      </c>
      <c r="G4955" s="4">
        <v>10</v>
      </c>
      <c r="H4955" s="4" t="s">
        <v>14</v>
      </c>
      <c r="I4955" s="4" t="s">
        <v>69</v>
      </c>
      <c r="J4955" s="4" t="s">
        <v>66</v>
      </c>
      <c r="K4955" s="4">
        <v>1</v>
      </c>
      <c r="L4955" s="94">
        <v>543804</v>
      </c>
      <c r="M4955" s="94">
        <v>5438040</v>
      </c>
    </row>
    <row r="4956" spans="3:13" x14ac:dyDescent="0.3">
      <c r="C4956" t="s">
        <v>61</v>
      </c>
      <c r="D4956" t="s">
        <v>67</v>
      </c>
      <c r="E4956" t="s">
        <v>63</v>
      </c>
      <c r="F4956" t="s">
        <v>26</v>
      </c>
      <c r="G4956" s="4">
        <v>5</v>
      </c>
      <c r="H4956" s="4" t="s">
        <v>82</v>
      </c>
      <c r="I4956" s="4" t="s">
        <v>65</v>
      </c>
      <c r="J4956" s="4" t="s">
        <v>66</v>
      </c>
      <c r="K4956" s="4">
        <v>1</v>
      </c>
      <c r="L4956" s="94">
        <v>-5421</v>
      </c>
      <c r="M4956" s="94">
        <v>0</v>
      </c>
    </row>
    <row r="4957" spans="3:13" x14ac:dyDescent="0.3">
      <c r="C4957" t="s">
        <v>61</v>
      </c>
      <c r="D4957" t="s">
        <v>67</v>
      </c>
      <c r="E4957" t="s">
        <v>63</v>
      </c>
      <c r="F4957" t="s">
        <v>25</v>
      </c>
      <c r="G4957" s="4">
        <v>13</v>
      </c>
      <c r="H4957" s="4" t="s">
        <v>18</v>
      </c>
      <c r="I4957" s="4" t="s">
        <v>69</v>
      </c>
      <c r="J4957" s="4" t="s">
        <v>66</v>
      </c>
      <c r="K4957" s="4">
        <v>1</v>
      </c>
      <c r="L4957" s="94">
        <v>-131</v>
      </c>
      <c r="M4957" s="94">
        <v>0</v>
      </c>
    </row>
    <row r="4958" spans="3:13" x14ac:dyDescent="0.3">
      <c r="C4958" t="s">
        <v>70</v>
      </c>
      <c r="D4958" t="s">
        <v>62</v>
      </c>
      <c r="E4958" t="s">
        <v>68</v>
      </c>
      <c r="F4958" t="s">
        <v>24</v>
      </c>
      <c r="G4958" s="4">
        <v>2</v>
      </c>
      <c r="I4958" s="4" t="s">
        <v>65</v>
      </c>
      <c r="J4958" s="4" t="s">
        <v>66</v>
      </c>
      <c r="K4958" s="4">
        <v>1</v>
      </c>
      <c r="L4958" s="94">
        <v>74113</v>
      </c>
      <c r="M4958" s="94">
        <v>148226</v>
      </c>
    </row>
    <row r="4959" spans="3:13" x14ac:dyDescent="0.3">
      <c r="C4959" t="s">
        <v>70</v>
      </c>
      <c r="D4959" t="s">
        <v>62</v>
      </c>
      <c r="E4959" t="s">
        <v>68</v>
      </c>
      <c r="F4959" t="s">
        <v>25</v>
      </c>
      <c r="G4959" s="4">
        <v>20</v>
      </c>
      <c r="I4959" s="4" t="s">
        <v>69</v>
      </c>
      <c r="J4959" s="4" t="s">
        <v>66</v>
      </c>
      <c r="K4959" s="4">
        <v>0</v>
      </c>
      <c r="L4959" s="94">
        <v>65453</v>
      </c>
      <c r="M4959" s="94">
        <v>1309060</v>
      </c>
    </row>
    <row r="4960" spans="3:13" x14ac:dyDescent="0.3">
      <c r="C4960" t="s">
        <v>70</v>
      </c>
      <c r="D4960" t="s">
        <v>67</v>
      </c>
      <c r="E4960" t="s">
        <v>68</v>
      </c>
      <c r="F4960" t="s">
        <v>26</v>
      </c>
      <c r="G4960" s="4">
        <v>5</v>
      </c>
      <c r="H4960" s="4" t="s">
        <v>17</v>
      </c>
      <c r="I4960" s="4" t="s">
        <v>69</v>
      </c>
      <c r="J4960" s="4" t="s">
        <v>73</v>
      </c>
      <c r="K4960" s="4">
        <v>1</v>
      </c>
      <c r="L4960" s="94">
        <v>7653</v>
      </c>
      <c r="M4960" s="94">
        <v>38265</v>
      </c>
    </row>
    <row r="4961" spans="3:13" x14ac:dyDescent="0.3">
      <c r="C4961" t="s">
        <v>61</v>
      </c>
      <c r="D4961" t="s">
        <v>84</v>
      </c>
      <c r="E4961" t="s">
        <v>63</v>
      </c>
      <c r="F4961" t="s">
        <v>25</v>
      </c>
      <c r="G4961" s="4">
        <v>2</v>
      </c>
      <c r="H4961" s="4" t="s">
        <v>81</v>
      </c>
      <c r="I4961" s="4" t="s">
        <v>69</v>
      </c>
      <c r="J4961" s="4" t="s">
        <v>66</v>
      </c>
      <c r="K4961" s="4">
        <v>0</v>
      </c>
      <c r="L4961" s="94">
        <v>-12782</v>
      </c>
      <c r="M4961" s="94">
        <v>0</v>
      </c>
    </row>
    <row r="4962" spans="3:13" x14ac:dyDescent="0.3">
      <c r="C4962" t="s">
        <v>71</v>
      </c>
      <c r="D4962" t="s">
        <v>67</v>
      </c>
      <c r="E4962" t="s">
        <v>63</v>
      </c>
      <c r="F4962" t="s">
        <v>26</v>
      </c>
      <c r="G4962" s="4">
        <v>-1</v>
      </c>
      <c r="H4962" s="4" t="s">
        <v>74</v>
      </c>
      <c r="I4962" s="4" t="s">
        <v>69</v>
      </c>
      <c r="J4962" s="4" t="s">
        <v>66</v>
      </c>
      <c r="K4962" s="4">
        <v>0</v>
      </c>
      <c r="L4962" s="94">
        <v>-1767559</v>
      </c>
      <c r="M4962" s="94">
        <v>0</v>
      </c>
    </row>
    <row r="4963" spans="3:13" x14ac:dyDescent="0.3">
      <c r="C4963" t="s">
        <v>71</v>
      </c>
      <c r="D4963" t="s">
        <v>62</v>
      </c>
      <c r="E4963" t="s">
        <v>63</v>
      </c>
      <c r="F4963" t="s">
        <v>24</v>
      </c>
      <c r="G4963" s="4">
        <v>43</v>
      </c>
      <c r="I4963" s="4" t="s">
        <v>69</v>
      </c>
      <c r="J4963" s="4" t="s">
        <v>66</v>
      </c>
      <c r="K4963" s="4">
        <v>0</v>
      </c>
      <c r="L4963" s="94">
        <v>-94685</v>
      </c>
      <c r="M4963" s="94">
        <v>0</v>
      </c>
    </row>
    <row r="4964" spans="3:13" x14ac:dyDescent="0.3">
      <c r="C4964" t="s">
        <v>70</v>
      </c>
      <c r="D4964" t="s">
        <v>67</v>
      </c>
      <c r="E4964" t="s">
        <v>63</v>
      </c>
      <c r="F4964" t="s">
        <v>25</v>
      </c>
      <c r="G4964" s="4">
        <v>1</v>
      </c>
      <c r="H4964" s="4" t="s">
        <v>18</v>
      </c>
      <c r="I4964" s="4" t="s">
        <v>69</v>
      </c>
      <c r="J4964" s="4" t="s">
        <v>66</v>
      </c>
      <c r="K4964" s="4">
        <v>0</v>
      </c>
      <c r="L4964" s="94">
        <v>-10921</v>
      </c>
      <c r="M4964" s="94">
        <v>0</v>
      </c>
    </row>
    <row r="4965" spans="3:13" x14ac:dyDescent="0.3">
      <c r="C4965" t="s">
        <v>61</v>
      </c>
      <c r="D4965" t="s">
        <v>62</v>
      </c>
      <c r="E4965" t="s">
        <v>68</v>
      </c>
      <c r="F4965" t="s">
        <v>25</v>
      </c>
      <c r="G4965" s="4">
        <v>4</v>
      </c>
      <c r="I4965" s="4" t="s">
        <v>65</v>
      </c>
      <c r="J4965" s="4" t="s">
        <v>66</v>
      </c>
      <c r="K4965" s="4">
        <v>1</v>
      </c>
      <c r="L4965" s="94">
        <v>16985</v>
      </c>
      <c r="M4965" s="94">
        <v>67940</v>
      </c>
    </row>
    <row r="4966" spans="3:13" x14ac:dyDescent="0.3">
      <c r="C4966" t="s">
        <v>71</v>
      </c>
      <c r="D4966" t="s">
        <v>62</v>
      </c>
      <c r="E4966" t="s">
        <v>68</v>
      </c>
      <c r="F4966" t="s">
        <v>24</v>
      </c>
      <c r="G4966" s="4">
        <v>15</v>
      </c>
      <c r="I4966" s="4" t="s">
        <v>65</v>
      </c>
      <c r="J4966" s="4" t="s">
        <v>66</v>
      </c>
      <c r="K4966" s="4">
        <v>1</v>
      </c>
      <c r="L4966" s="94">
        <v>20724</v>
      </c>
      <c r="M4966" s="94">
        <v>310860</v>
      </c>
    </row>
    <row r="4967" spans="3:13" x14ac:dyDescent="0.3">
      <c r="C4967" t="s">
        <v>61</v>
      </c>
      <c r="D4967" t="s">
        <v>67</v>
      </c>
      <c r="E4967" t="s">
        <v>63</v>
      </c>
      <c r="F4967" t="s">
        <v>26</v>
      </c>
      <c r="G4967" s="4">
        <v>-1</v>
      </c>
      <c r="H4967" s="4" t="s">
        <v>86</v>
      </c>
      <c r="I4967" s="4" t="s">
        <v>69</v>
      </c>
      <c r="J4967" s="4" t="s">
        <v>66</v>
      </c>
      <c r="K4967" s="4">
        <v>0</v>
      </c>
      <c r="L4967" s="94">
        <v>-2</v>
      </c>
      <c r="M4967" s="94">
        <v>0</v>
      </c>
    </row>
    <row r="4968" spans="3:13" x14ac:dyDescent="0.3">
      <c r="C4968" t="s">
        <v>61</v>
      </c>
      <c r="D4968" t="s">
        <v>67</v>
      </c>
      <c r="E4968" t="s">
        <v>68</v>
      </c>
      <c r="F4968" t="s">
        <v>25</v>
      </c>
      <c r="G4968" s="4">
        <v>4</v>
      </c>
      <c r="H4968" s="4" t="s">
        <v>18</v>
      </c>
      <c r="I4968" s="4" t="s">
        <v>69</v>
      </c>
      <c r="J4968" s="4" t="s">
        <v>66</v>
      </c>
      <c r="K4968" s="4">
        <v>1</v>
      </c>
      <c r="L4968" s="94">
        <v>248284</v>
      </c>
      <c r="M4968" s="94">
        <v>993136</v>
      </c>
    </row>
    <row r="4969" spans="3:13" x14ac:dyDescent="0.3">
      <c r="C4969" t="s">
        <v>71</v>
      </c>
      <c r="D4969" t="s">
        <v>67</v>
      </c>
      <c r="E4969" t="s">
        <v>63</v>
      </c>
      <c r="F4969" t="s">
        <v>72</v>
      </c>
      <c r="G4969" s="4">
        <v>2</v>
      </c>
      <c r="H4969" s="4" t="s">
        <v>64</v>
      </c>
      <c r="I4969" s="4" t="s">
        <v>69</v>
      </c>
      <c r="J4969" s="4" t="s">
        <v>66</v>
      </c>
      <c r="K4969" s="4">
        <v>0</v>
      </c>
      <c r="L4969" s="94">
        <v>-52801</v>
      </c>
      <c r="M4969" s="94">
        <v>0</v>
      </c>
    </row>
    <row r="4970" spans="3:13" x14ac:dyDescent="0.3">
      <c r="C4970" t="s">
        <v>70</v>
      </c>
      <c r="D4970" t="s">
        <v>67</v>
      </c>
      <c r="E4970" t="s">
        <v>68</v>
      </c>
      <c r="F4970" t="s">
        <v>25</v>
      </c>
      <c r="G4970" s="4">
        <v>4</v>
      </c>
      <c r="H4970" s="4" t="s">
        <v>14</v>
      </c>
      <c r="I4970" s="4" t="s">
        <v>69</v>
      </c>
      <c r="J4970" s="4" t="s">
        <v>73</v>
      </c>
      <c r="K4970" s="4">
        <v>1</v>
      </c>
      <c r="L4970" s="94">
        <v>54211</v>
      </c>
      <c r="M4970" s="94">
        <v>216844</v>
      </c>
    </row>
    <row r="4971" spans="3:13" x14ac:dyDescent="0.3">
      <c r="C4971" t="s">
        <v>71</v>
      </c>
      <c r="D4971" t="s">
        <v>67</v>
      </c>
      <c r="E4971" t="s">
        <v>63</v>
      </c>
      <c r="F4971" t="s">
        <v>25</v>
      </c>
      <c r="G4971" s="4">
        <v>6</v>
      </c>
      <c r="H4971" s="4" t="s">
        <v>75</v>
      </c>
      <c r="I4971" s="4" t="s">
        <v>69</v>
      </c>
      <c r="J4971" s="4" t="s">
        <v>66</v>
      </c>
      <c r="K4971" s="4">
        <v>0</v>
      </c>
      <c r="L4971" s="94">
        <v>-166872</v>
      </c>
      <c r="M4971" s="94">
        <v>0</v>
      </c>
    </row>
    <row r="4972" spans="3:13" x14ac:dyDescent="0.3">
      <c r="C4972" t="s">
        <v>61</v>
      </c>
      <c r="D4972" t="s">
        <v>67</v>
      </c>
      <c r="E4972" t="s">
        <v>63</v>
      </c>
      <c r="F4972" t="s">
        <v>25</v>
      </c>
      <c r="G4972" s="4">
        <v>8</v>
      </c>
      <c r="H4972" s="4" t="s">
        <v>12</v>
      </c>
      <c r="I4972" s="4" t="s">
        <v>69</v>
      </c>
      <c r="J4972" s="4" t="s">
        <v>66</v>
      </c>
      <c r="K4972" s="4">
        <v>0</v>
      </c>
      <c r="L4972" s="94">
        <v>-1641</v>
      </c>
      <c r="M4972" s="94">
        <v>0</v>
      </c>
    </row>
    <row r="4973" spans="3:13" x14ac:dyDescent="0.3">
      <c r="C4973" t="s">
        <v>61</v>
      </c>
      <c r="D4973" t="s">
        <v>88</v>
      </c>
      <c r="E4973" t="s">
        <v>68</v>
      </c>
      <c r="F4973" t="s">
        <v>24</v>
      </c>
      <c r="G4973" s="4">
        <v>4</v>
      </c>
      <c r="H4973" s="4" t="s">
        <v>86</v>
      </c>
      <c r="I4973" s="4" t="s">
        <v>69</v>
      </c>
      <c r="J4973" s="4" t="s">
        <v>66</v>
      </c>
      <c r="K4973" s="4">
        <v>0</v>
      </c>
      <c r="L4973" s="94">
        <v>50211</v>
      </c>
      <c r="M4973" s="94">
        <v>200844</v>
      </c>
    </row>
    <row r="4974" spans="3:13" x14ac:dyDescent="0.3">
      <c r="C4974" t="s">
        <v>61</v>
      </c>
      <c r="D4974" t="s">
        <v>67</v>
      </c>
      <c r="E4974" t="s">
        <v>63</v>
      </c>
      <c r="F4974" t="s">
        <v>25</v>
      </c>
      <c r="G4974" s="4">
        <v>11</v>
      </c>
      <c r="H4974" s="4" t="s">
        <v>74</v>
      </c>
      <c r="I4974" s="4" t="s">
        <v>69</v>
      </c>
      <c r="J4974" s="4" t="s">
        <v>66</v>
      </c>
      <c r="K4974" s="4">
        <v>0</v>
      </c>
      <c r="L4974" s="94">
        <v>-11175</v>
      </c>
      <c r="M4974" s="94">
        <v>0</v>
      </c>
    </row>
    <row r="4975" spans="3:13" x14ac:dyDescent="0.3">
      <c r="C4975" t="s">
        <v>61</v>
      </c>
      <c r="D4975" t="s">
        <v>67</v>
      </c>
      <c r="E4975" t="s">
        <v>68</v>
      </c>
      <c r="F4975" t="s">
        <v>26</v>
      </c>
      <c r="G4975" s="4">
        <v>-1</v>
      </c>
      <c r="H4975" s="4" t="s">
        <v>18</v>
      </c>
      <c r="I4975" s="4" t="s">
        <v>69</v>
      </c>
      <c r="J4975" s="4" t="s">
        <v>66</v>
      </c>
      <c r="K4975" s="4">
        <v>0</v>
      </c>
      <c r="L4975" s="94">
        <v>166610065</v>
      </c>
      <c r="M4975" s="94">
        <v>0</v>
      </c>
    </row>
    <row r="4976" spans="3:13" x14ac:dyDescent="0.3">
      <c r="C4976" t="s">
        <v>71</v>
      </c>
      <c r="D4976" t="s">
        <v>62</v>
      </c>
      <c r="E4976" t="s">
        <v>63</v>
      </c>
      <c r="F4976" t="s">
        <v>24</v>
      </c>
      <c r="G4976" s="4">
        <v>-1</v>
      </c>
      <c r="I4976" s="4" t="s">
        <v>69</v>
      </c>
      <c r="J4976" s="4" t="s">
        <v>66</v>
      </c>
      <c r="K4976" s="4">
        <v>0</v>
      </c>
      <c r="L4976" s="94">
        <v>-243994</v>
      </c>
      <c r="M4976" s="94">
        <v>0</v>
      </c>
    </row>
    <row r="4977" spans="3:13" x14ac:dyDescent="0.3">
      <c r="C4977" t="s">
        <v>70</v>
      </c>
      <c r="D4977" t="s">
        <v>67</v>
      </c>
      <c r="E4977" t="s">
        <v>68</v>
      </c>
      <c r="F4977" t="s">
        <v>26</v>
      </c>
      <c r="G4977" s="4">
        <v>1</v>
      </c>
      <c r="H4977" s="4" t="s">
        <v>87</v>
      </c>
      <c r="I4977" s="4" t="s">
        <v>69</v>
      </c>
      <c r="J4977" s="4" t="s">
        <v>66</v>
      </c>
      <c r="K4977" s="4">
        <v>0</v>
      </c>
      <c r="L4977" s="94">
        <v>178921</v>
      </c>
      <c r="M4977" s="94">
        <v>178921</v>
      </c>
    </row>
    <row r="4978" spans="3:13" x14ac:dyDescent="0.3">
      <c r="C4978" t="s">
        <v>70</v>
      </c>
      <c r="D4978" t="s">
        <v>67</v>
      </c>
      <c r="E4978" t="s">
        <v>63</v>
      </c>
      <c r="F4978" t="s">
        <v>26</v>
      </c>
      <c r="G4978" s="4">
        <v>2</v>
      </c>
      <c r="H4978" s="4" t="s">
        <v>14</v>
      </c>
      <c r="I4978" s="4" t="s">
        <v>69</v>
      </c>
      <c r="J4978" s="4" t="s">
        <v>73</v>
      </c>
      <c r="K4978" s="4">
        <v>1</v>
      </c>
      <c r="L4978" s="94">
        <v>-856432</v>
      </c>
      <c r="M4978" s="94">
        <v>0</v>
      </c>
    </row>
    <row r="4979" spans="3:13" x14ac:dyDescent="0.3">
      <c r="C4979" t="s">
        <v>61</v>
      </c>
      <c r="D4979" t="s">
        <v>62</v>
      </c>
      <c r="E4979" t="s">
        <v>68</v>
      </c>
      <c r="F4979" t="s">
        <v>24</v>
      </c>
      <c r="G4979" s="4">
        <v>38</v>
      </c>
      <c r="I4979" s="4" t="s">
        <v>69</v>
      </c>
      <c r="J4979" s="4" t="s">
        <v>66</v>
      </c>
      <c r="K4979" s="4">
        <v>1</v>
      </c>
      <c r="L4979" s="94">
        <v>654546</v>
      </c>
      <c r="M4979" s="94">
        <v>24872748</v>
      </c>
    </row>
    <row r="4980" spans="3:13" x14ac:dyDescent="0.3">
      <c r="C4980" t="s">
        <v>70</v>
      </c>
      <c r="D4980" t="s">
        <v>62</v>
      </c>
      <c r="E4980" t="s">
        <v>63</v>
      </c>
      <c r="F4980" t="s">
        <v>24</v>
      </c>
      <c r="G4980" s="4">
        <v>43</v>
      </c>
      <c r="I4980" s="4" t="s">
        <v>69</v>
      </c>
      <c r="J4980" s="4" t="s">
        <v>66</v>
      </c>
      <c r="K4980" s="4">
        <v>0</v>
      </c>
      <c r="L4980" s="94">
        <v>-68287</v>
      </c>
      <c r="M4980" s="94">
        <v>0</v>
      </c>
    </row>
    <row r="4981" spans="3:13" x14ac:dyDescent="0.3">
      <c r="C4981" t="s">
        <v>61</v>
      </c>
      <c r="D4981" t="s">
        <v>62</v>
      </c>
      <c r="E4981" t="s">
        <v>68</v>
      </c>
      <c r="F4981" t="s">
        <v>25</v>
      </c>
      <c r="G4981" s="4">
        <v>2</v>
      </c>
      <c r="I4981" s="4" t="s">
        <v>69</v>
      </c>
      <c r="J4981" s="4" t="s">
        <v>66</v>
      </c>
      <c r="K4981" s="4">
        <v>0</v>
      </c>
      <c r="L4981" s="94">
        <v>1631566</v>
      </c>
      <c r="M4981" s="94">
        <v>3263132</v>
      </c>
    </row>
    <row r="4982" spans="3:13" x14ac:dyDescent="0.3">
      <c r="C4982" t="s">
        <v>61</v>
      </c>
      <c r="D4982" t="s">
        <v>67</v>
      </c>
      <c r="E4982" t="s">
        <v>63</v>
      </c>
      <c r="F4982" t="s">
        <v>25</v>
      </c>
      <c r="G4982" s="4">
        <v>12</v>
      </c>
      <c r="H4982" s="4" t="s">
        <v>83</v>
      </c>
      <c r="I4982" s="4" t="s">
        <v>69</v>
      </c>
      <c r="J4982" s="4" t="s">
        <v>66</v>
      </c>
      <c r="K4982" s="4">
        <v>0</v>
      </c>
      <c r="L4982" s="94">
        <v>-353</v>
      </c>
      <c r="M4982" s="94">
        <v>0</v>
      </c>
    </row>
    <row r="4983" spans="3:13" x14ac:dyDescent="0.3">
      <c r="C4983" t="s">
        <v>71</v>
      </c>
      <c r="D4983" t="s">
        <v>67</v>
      </c>
      <c r="E4983" t="s">
        <v>63</v>
      </c>
      <c r="F4983" t="s">
        <v>26</v>
      </c>
      <c r="G4983" s="4">
        <v>1</v>
      </c>
      <c r="H4983" s="4" t="s">
        <v>18</v>
      </c>
      <c r="I4983" s="4" t="s">
        <v>69</v>
      </c>
      <c r="J4983" s="4" t="s">
        <v>66</v>
      </c>
      <c r="K4983" s="4">
        <v>0</v>
      </c>
      <c r="L4983" s="94">
        <v>-2425249</v>
      </c>
      <c r="M4983" s="94">
        <v>0</v>
      </c>
    </row>
    <row r="4984" spans="3:13" x14ac:dyDescent="0.3">
      <c r="C4984" t="s">
        <v>71</v>
      </c>
      <c r="D4984" t="s">
        <v>67</v>
      </c>
      <c r="E4984" t="s">
        <v>63</v>
      </c>
      <c r="F4984" t="s">
        <v>25</v>
      </c>
      <c r="G4984" s="4">
        <v>-4</v>
      </c>
      <c r="H4984" s="4" t="s">
        <v>74</v>
      </c>
      <c r="I4984" s="4" t="s">
        <v>69</v>
      </c>
      <c r="J4984" s="4" t="s">
        <v>66</v>
      </c>
      <c r="K4984" s="4">
        <v>0</v>
      </c>
      <c r="L4984" s="94">
        <v>-11105</v>
      </c>
      <c r="M4984" s="94">
        <v>0</v>
      </c>
    </row>
    <row r="4985" spans="3:13" x14ac:dyDescent="0.3">
      <c r="C4985" t="s">
        <v>71</v>
      </c>
      <c r="D4985" t="s">
        <v>67</v>
      </c>
      <c r="E4985" t="s">
        <v>63</v>
      </c>
      <c r="F4985" t="s">
        <v>26</v>
      </c>
      <c r="G4985" s="4">
        <v>-4</v>
      </c>
      <c r="H4985" s="4" t="s">
        <v>78</v>
      </c>
      <c r="I4985" s="4" t="s">
        <v>69</v>
      </c>
      <c r="J4985" s="4" t="s">
        <v>66</v>
      </c>
      <c r="K4985" s="4">
        <v>0</v>
      </c>
      <c r="L4985" s="94">
        <v>-45138</v>
      </c>
      <c r="M4985" s="94">
        <v>0</v>
      </c>
    </row>
    <row r="4986" spans="3:13" x14ac:dyDescent="0.3">
      <c r="C4986" t="s">
        <v>61</v>
      </c>
      <c r="D4986" t="s">
        <v>62</v>
      </c>
      <c r="E4986" t="s">
        <v>68</v>
      </c>
      <c r="F4986" t="s">
        <v>24</v>
      </c>
      <c r="G4986" s="4">
        <v>21</v>
      </c>
      <c r="I4986" s="4" t="s">
        <v>69</v>
      </c>
      <c r="J4986" s="4" t="s">
        <v>66</v>
      </c>
      <c r="K4986" s="4">
        <v>0</v>
      </c>
      <c r="L4986" s="94">
        <v>671259254</v>
      </c>
      <c r="M4986" s="94">
        <v>14096444334</v>
      </c>
    </row>
    <row r="4987" spans="3:13" x14ac:dyDescent="0.3">
      <c r="C4987" t="s">
        <v>71</v>
      </c>
      <c r="D4987" t="s">
        <v>67</v>
      </c>
      <c r="E4987" t="s">
        <v>68</v>
      </c>
      <c r="F4987" t="s">
        <v>26</v>
      </c>
      <c r="G4987" s="4">
        <v>2</v>
      </c>
      <c r="H4987" s="4" t="s">
        <v>18</v>
      </c>
      <c r="I4987" s="4" t="s">
        <v>69</v>
      </c>
      <c r="J4987" s="4" t="s">
        <v>66</v>
      </c>
      <c r="K4987" s="4">
        <v>0</v>
      </c>
      <c r="L4987" s="94">
        <v>3530679</v>
      </c>
      <c r="M4987" s="94">
        <v>7061358</v>
      </c>
    </row>
    <row r="4988" spans="3:13" x14ac:dyDescent="0.3">
      <c r="C4988" t="s">
        <v>71</v>
      </c>
      <c r="D4988" t="s">
        <v>67</v>
      </c>
      <c r="E4988" t="s">
        <v>63</v>
      </c>
      <c r="F4988" t="s">
        <v>26</v>
      </c>
      <c r="G4988" s="4">
        <v>-1</v>
      </c>
      <c r="H4988" s="4" t="s">
        <v>80</v>
      </c>
      <c r="I4988" s="4" t="s">
        <v>69</v>
      </c>
      <c r="J4988" s="4" t="s">
        <v>66</v>
      </c>
      <c r="K4988" s="4">
        <v>0</v>
      </c>
      <c r="L4988" s="94">
        <v>-416802</v>
      </c>
      <c r="M4988" s="94">
        <v>0</v>
      </c>
    </row>
    <row r="4989" spans="3:13" x14ac:dyDescent="0.3">
      <c r="C4989" t="s">
        <v>61</v>
      </c>
      <c r="D4989" t="s">
        <v>67</v>
      </c>
      <c r="E4989" t="s">
        <v>63</v>
      </c>
      <c r="F4989" t="s">
        <v>25</v>
      </c>
      <c r="G4989" s="4">
        <v>10</v>
      </c>
      <c r="H4989" s="4" t="s">
        <v>17</v>
      </c>
      <c r="I4989" s="4" t="s">
        <v>69</v>
      </c>
      <c r="J4989" s="4" t="s">
        <v>66</v>
      </c>
      <c r="K4989" s="4">
        <v>1</v>
      </c>
      <c r="L4989" s="94">
        <v>-256</v>
      </c>
      <c r="M4989" s="94">
        <v>0</v>
      </c>
    </row>
    <row r="4990" spans="3:13" x14ac:dyDescent="0.3">
      <c r="C4990" t="s">
        <v>71</v>
      </c>
      <c r="D4990" t="s">
        <v>67</v>
      </c>
      <c r="E4990" t="s">
        <v>63</v>
      </c>
      <c r="F4990" t="s">
        <v>25</v>
      </c>
      <c r="G4990" s="4">
        <v>17</v>
      </c>
      <c r="H4990" s="4" t="s">
        <v>83</v>
      </c>
      <c r="I4990" s="4" t="s">
        <v>69</v>
      </c>
      <c r="J4990" s="4" t="s">
        <v>66</v>
      </c>
      <c r="K4990" s="4">
        <v>0</v>
      </c>
      <c r="L4990" s="94">
        <v>-285437</v>
      </c>
      <c r="M4990" s="94">
        <v>0</v>
      </c>
    </row>
    <row r="4991" spans="3:13" x14ac:dyDescent="0.3">
      <c r="C4991" t="s">
        <v>61</v>
      </c>
      <c r="D4991" t="s">
        <v>67</v>
      </c>
      <c r="E4991" t="s">
        <v>68</v>
      </c>
      <c r="F4991" t="s">
        <v>26</v>
      </c>
      <c r="G4991" s="4">
        <v>9</v>
      </c>
      <c r="H4991" s="4" t="s">
        <v>76</v>
      </c>
      <c r="I4991" s="4" t="s">
        <v>69</v>
      </c>
      <c r="J4991" s="4" t="s">
        <v>66</v>
      </c>
      <c r="K4991" s="4">
        <v>0</v>
      </c>
      <c r="L4991" s="94">
        <v>8340443</v>
      </c>
      <c r="M4991" s="94">
        <v>75063987</v>
      </c>
    </row>
    <row r="4992" spans="3:13" x14ac:dyDescent="0.3">
      <c r="C4992" t="s">
        <v>71</v>
      </c>
      <c r="D4992" t="s">
        <v>67</v>
      </c>
      <c r="E4992" t="s">
        <v>68</v>
      </c>
      <c r="F4992" t="s">
        <v>26</v>
      </c>
      <c r="G4992" s="4">
        <v>-4</v>
      </c>
      <c r="H4992" s="4" t="s">
        <v>14</v>
      </c>
      <c r="I4992" s="4" t="s">
        <v>69</v>
      </c>
      <c r="J4992" s="4" t="s">
        <v>73</v>
      </c>
      <c r="K4992" s="4">
        <v>1</v>
      </c>
      <c r="L4992" s="94">
        <v>6447563</v>
      </c>
      <c r="M4992" s="94">
        <v>0</v>
      </c>
    </row>
    <row r="4993" spans="3:13" x14ac:dyDescent="0.3">
      <c r="C4993" t="s">
        <v>70</v>
      </c>
      <c r="D4993" t="s">
        <v>67</v>
      </c>
      <c r="E4993" t="s">
        <v>68</v>
      </c>
      <c r="F4993" t="s">
        <v>25</v>
      </c>
      <c r="G4993" s="4">
        <v>5</v>
      </c>
      <c r="H4993" s="4" t="s">
        <v>14</v>
      </c>
      <c r="I4993" s="4" t="s">
        <v>69</v>
      </c>
      <c r="J4993" s="4" t="s">
        <v>66</v>
      </c>
      <c r="K4993" s="4">
        <v>0</v>
      </c>
      <c r="L4993" s="94">
        <v>3249405</v>
      </c>
      <c r="M4993" s="94">
        <v>16247025</v>
      </c>
    </row>
    <row r="4994" spans="3:13" x14ac:dyDescent="0.3">
      <c r="C4994" t="s">
        <v>71</v>
      </c>
      <c r="D4994" t="s">
        <v>67</v>
      </c>
      <c r="E4994" t="s">
        <v>63</v>
      </c>
      <c r="F4994" t="s">
        <v>25</v>
      </c>
      <c r="G4994" s="4">
        <v>-1</v>
      </c>
      <c r="H4994" s="4" t="s">
        <v>64</v>
      </c>
      <c r="I4994" s="4" t="s">
        <v>69</v>
      </c>
      <c r="J4994" s="4" t="s">
        <v>66</v>
      </c>
      <c r="K4994" s="4">
        <v>0</v>
      </c>
      <c r="L4994" s="94">
        <v>-15828</v>
      </c>
      <c r="M4994" s="94">
        <v>0</v>
      </c>
    </row>
    <row r="4995" spans="3:13" x14ac:dyDescent="0.3">
      <c r="C4995" t="s">
        <v>61</v>
      </c>
      <c r="D4995" t="s">
        <v>84</v>
      </c>
      <c r="E4995" t="s">
        <v>63</v>
      </c>
      <c r="F4995" t="s">
        <v>25</v>
      </c>
      <c r="G4995" s="4">
        <v>3</v>
      </c>
      <c r="H4995" s="4" t="s">
        <v>17</v>
      </c>
      <c r="I4995" s="4" t="s">
        <v>69</v>
      </c>
      <c r="J4995" s="4" t="s">
        <v>66</v>
      </c>
      <c r="K4995" s="4">
        <v>0</v>
      </c>
      <c r="L4995" s="94">
        <v>-55124</v>
      </c>
      <c r="M4995" s="94">
        <v>0</v>
      </c>
    </row>
    <row r="4996" spans="3:13" x14ac:dyDescent="0.3">
      <c r="C4996" t="s">
        <v>61</v>
      </c>
      <c r="D4996" t="s">
        <v>67</v>
      </c>
      <c r="E4996" t="s">
        <v>63</v>
      </c>
      <c r="F4996" t="s">
        <v>26</v>
      </c>
      <c r="G4996" s="4">
        <v>8</v>
      </c>
      <c r="H4996" s="4" t="s">
        <v>14</v>
      </c>
      <c r="I4996" s="4" t="s">
        <v>69</v>
      </c>
      <c r="J4996" s="4" t="s">
        <v>66</v>
      </c>
      <c r="K4996" s="4">
        <v>0</v>
      </c>
      <c r="L4996" s="94">
        <v>-18057</v>
      </c>
      <c r="M4996" s="94">
        <v>0</v>
      </c>
    </row>
    <row r="4997" spans="3:13" x14ac:dyDescent="0.3">
      <c r="C4997" t="s">
        <v>61</v>
      </c>
      <c r="D4997" t="s">
        <v>67</v>
      </c>
      <c r="E4997" t="s">
        <v>68</v>
      </c>
      <c r="F4997" t="s">
        <v>72</v>
      </c>
      <c r="G4997" s="4">
        <v>-4</v>
      </c>
      <c r="H4997" s="4" t="s">
        <v>76</v>
      </c>
      <c r="I4997" s="4" t="s">
        <v>69</v>
      </c>
      <c r="J4997" s="4" t="s">
        <v>66</v>
      </c>
      <c r="K4997" s="4">
        <v>0</v>
      </c>
      <c r="L4997" s="94">
        <v>31</v>
      </c>
      <c r="M4997" s="94">
        <v>0</v>
      </c>
    </row>
    <row r="4998" spans="3:13" x14ac:dyDescent="0.3">
      <c r="C4998" t="s">
        <v>70</v>
      </c>
      <c r="D4998" t="s">
        <v>67</v>
      </c>
      <c r="E4998" t="s">
        <v>63</v>
      </c>
      <c r="F4998" t="s">
        <v>26</v>
      </c>
      <c r="G4998" s="4">
        <v>1</v>
      </c>
      <c r="H4998" s="4" t="s">
        <v>82</v>
      </c>
      <c r="I4998" s="4" t="s">
        <v>65</v>
      </c>
      <c r="J4998" s="4" t="s">
        <v>66</v>
      </c>
      <c r="K4998" s="4">
        <v>1</v>
      </c>
      <c r="L4998" s="94">
        <v>-3082</v>
      </c>
      <c r="M4998" s="94">
        <v>0</v>
      </c>
    </row>
    <row r="4999" spans="3:13" x14ac:dyDescent="0.3">
      <c r="C4999" t="s">
        <v>70</v>
      </c>
      <c r="D4999" t="s">
        <v>62</v>
      </c>
      <c r="E4999" t="s">
        <v>68</v>
      </c>
      <c r="F4999" t="s">
        <v>24</v>
      </c>
      <c r="G4999" s="4">
        <v>21</v>
      </c>
      <c r="I4999" s="4" t="s">
        <v>65</v>
      </c>
      <c r="J4999" s="4" t="s">
        <v>66</v>
      </c>
      <c r="K4999" s="4">
        <v>1</v>
      </c>
      <c r="L4999" s="94">
        <v>473994</v>
      </c>
      <c r="M4999" s="94">
        <v>9953874</v>
      </c>
    </row>
    <row r="5000" spans="3:13" x14ac:dyDescent="0.3">
      <c r="C5000" t="s">
        <v>71</v>
      </c>
      <c r="D5000" t="s">
        <v>67</v>
      </c>
      <c r="E5000" t="s">
        <v>63</v>
      </c>
      <c r="F5000" t="s">
        <v>72</v>
      </c>
      <c r="G5000" s="4">
        <v>5</v>
      </c>
      <c r="H5000" s="4" t="s">
        <v>17</v>
      </c>
      <c r="I5000" s="4" t="s">
        <v>69</v>
      </c>
      <c r="J5000" s="4" t="s">
        <v>66</v>
      </c>
      <c r="K5000" s="4">
        <v>0</v>
      </c>
      <c r="L5000" s="94">
        <v>-18624</v>
      </c>
      <c r="M5000" s="94">
        <v>0</v>
      </c>
    </row>
    <row r="5001" spans="3:13" x14ac:dyDescent="0.3">
      <c r="C5001" t="s">
        <v>71</v>
      </c>
      <c r="D5001" t="s">
        <v>67</v>
      </c>
      <c r="E5001" t="s">
        <v>68</v>
      </c>
      <c r="F5001" t="s">
        <v>26</v>
      </c>
      <c r="G5001" s="4">
        <v>9</v>
      </c>
      <c r="H5001" s="4" t="s">
        <v>14</v>
      </c>
      <c r="I5001" s="4" t="s">
        <v>69</v>
      </c>
      <c r="J5001" s="4" t="s">
        <v>66</v>
      </c>
      <c r="K5001" s="4">
        <v>0</v>
      </c>
      <c r="L5001" s="94">
        <v>294770</v>
      </c>
      <c r="M5001" s="94">
        <v>2652930</v>
      </c>
    </row>
    <row r="5002" spans="3:13" x14ac:dyDescent="0.3">
      <c r="C5002" t="s">
        <v>61</v>
      </c>
      <c r="D5002" t="s">
        <v>67</v>
      </c>
      <c r="E5002" t="s">
        <v>68</v>
      </c>
      <c r="F5002" t="s">
        <v>72</v>
      </c>
      <c r="G5002" s="4">
        <v>1</v>
      </c>
      <c r="H5002" s="4" t="s">
        <v>77</v>
      </c>
      <c r="I5002" s="4" t="s">
        <v>69</v>
      </c>
      <c r="J5002" s="4" t="s">
        <v>66</v>
      </c>
      <c r="K5002" s="4">
        <v>0</v>
      </c>
      <c r="L5002" s="94">
        <v>678006</v>
      </c>
      <c r="M5002" s="94">
        <v>678006</v>
      </c>
    </row>
    <row r="5003" spans="3:13" x14ac:dyDescent="0.3">
      <c r="C5003" t="s">
        <v>61</v>
      </c>
      <c r="D5003" t="s">
        <v>67</v>
      </c>
      <c r="E5003" t="s">
        <v>68</v>
      </c>
      <c r="F5003" t="s">
        <v>26</v>
      </c>
      <c r="G5003" s="4">
        <v>0</v>
      </c>
      <c r="H5003" s="4" t="s">
        <v>78</v>
      </c>
      <c r="I5003" s="4" t="s">
        <v>69</v>
      </c>
      <c r="J5003" s="4" t="s">
        <v>66</v>
      </c>
      <c r="K5003" s="4">
        <v>0</v>
      </c>
      <c r="L5003" s="94">
        <v>553694</v>
      </c>
      <c r="M5003" s="94">
        <v>0</v>
      </c>
    </row>
    <row r="5004" spans="3:13" x14ac:dyDescent="0.3">
      <c r="C5004" t="s">
        <v>61</v>
      </c>
      <c r="D5004" t="s">
        <v>67</v>
      </c>
      <c r="E5004" t="s">
        <v>68</v>
      </c>
      <c r="F5004" t="s">
        <v>25</v>
      </c>
      <c r="G5004" s="4">
        <v>2</v>
      </c>
      <c r="H5004" s="4" t="s">
        <v>14</v>
      </c>
      <c r="I5004" s="4" t="s">
        <v>69</v>
      </c>
      <c r="J5004" s="4" t="s">
        <v>66</v>
      </c>
      <c r="K5004" s="4">
        <v>1</v>
      </c>
      <c r="L5004" s="94">
        <v>2807854</v>
      </c>
      <c r="M5004" s="94">
        <v>5615708</v>
      </c>
    </row>
    <row r="5005" spans="3:13" x14ac:dyDescent="0.3">
      <c r="C5005" t="s">
        <v>71</v>
      </c>
      <c r="D5005" t="s">
        <v>67</v>
      </c>
      <c r="E5005" t="s">
        <v>63</v>
      </c>
      <c r="F5005" t="s">
        <v>26</v>
      </c>
      <c r="G5005" s="4">
        <v>0</v>
      </c>
      <c r="H5005" s="4" t="s">
        <v>83</v>
      </c>
      <c r="I5005" s="4" t="s">
        <v>69</v>
      </c>
      <c r="J5005" s="4" t="s">
        <v>66</v>
      </c>
      <c r="K5005" s="4">
        <v>0</v>
      </c>
      <c r="L5005" s="94">
        <v>-25462</v>
      </c>
      <c r="M5005" s="94">
        <v>0</v>
      </c>
    </row>
    <row r="5006" spans="3:13" x14ac:dyDescent="0.3">
      <c r="C5006" t="s">
        <v>70</v>
      </c>
      <c r="D5006" t="s">
        <v>67</v>
      </c>
      <c r="E5006" t="s">
        <v>68</v>
      </c>
      <c r="F5006" t="s">
        <v>72</v>
      </c>
      <c r="G5006" s="4">
        <v>7</v>
      </c>
      <c r="H5006" s="4" t="s">
        <v>75</v>
      </c>
      <c r="I5006" s="4" t="s">
        <v>69</v>
      </c>
      <c r="J5006" s="4" t="s">
        <v>66</v>
      </c>
      <c r="K5006" s="4">
        <v>0</v>
      </c>
      <c r="L5006" s="94">
        <v>127287</v>
      </c>
      <c r="M5006" s="94">
        <v>891009</v>
      </c>
    </row>
    <row r="5007" spans="3:13" x14ac:dyDescent="0.3">
      <c r="C5007" t="s">
        <v>70</v>
      </c>
      <c r="D5007" t="s">
        <v>67</v>
      </c>
      <c r="E5007" t="s">
        <v>63</v>
      </c>
      <c r="F5007" t="s">
        <v>26</v>
      </c>
      <c r="G5007" s="4">
        <v>0</v>
      </c>
      <c r="H5007" s="4" t="s">
        <v>15</v>
      </c>
      <c r="I5007" s="4" t="s">
        <v>69</v>
      </c>
      <c r="J5007" s="4" t="s">
        <v>73</v>
      </c>
      <c r="K5007" s="4">
        <v>1</v>
      </c>
      <c r="L5007" s="94">
        <v>-15607</v>
      </c>
      <c r="M5007" s="94">
        <v>0</v>
      </c>
    </row>
    <row r="5008" spans="3:13" x14ac:dyDescent="0.3">
      <c r="C5008" t="s">
        <v>61</v>
      </c>
      <c r="D5008" t="s">
        <v>67</v>
      </c>
      <c r="E5008" t="s">
        <v>68</v>
      </c>
      <c r="F5008" t="s">
        <v>72</v>
      </c>
      <c r="G5008" s="4">
        <v>3</v>
      </c>
      <c r="H5008" s="4" t="s">
        <v>12</v>
      </c>
      <c r="I5008" s="4" t="s">
        <v>69</v>
      </c>
      <c r="J5008" s="4" t="s">
        <v>66</v>
      </c>
      <c r="K5008" s="4">
        <v>0</v>
      </c>
      <c r="L5008" s="94">
        <v>727495</v>
      </c>
      <c r="M5008" s="94">
        <v>2182485</v>
      </c>
    </row>
    <row r="5009" spans="3:13" x14ac:dyDescent="0.3">
      <c r="C5009" t="s">
        <v>61</v>
      </c>
      <c r="D5009" t="s">
        <v>67</v>
      </c>
      <c r="E5009" t="s">
        <v>63</v>
      </c>
      <c r="F5009" t="s">
        <v>26</v>
      </c>
      <c r="G5009" s="4">
        <v>0</v>
      </c>
      <c r="H5009" s="4" t="s">
        <v>78</v>
      </c>
      <c r="I5009" s="4" t="s">
        <v>69</v>
      </c>
      <c r="J5009" s="4" t="s">
        <v>66</v>
      </c>
      <c r="K5009" s="4">
        <v>0</v>
      </c>
      <c r="L5009" s="94">
        <v>-4363</v>
      </c>
      <c r="M5009" s="94">
        <v>0</v>
      </c>
    </row>
    <row r="5010" spans="3:13" x14ac:dyDescent="0.3">
      <c r="C5010" t="s">
        <v>71</v>
      </c>
      <c r="D5010" t="s">
        <v>67</v>
      </c>
      <c r="E5010" t="s">
        <v>68</v>
      </c>
      <c r="F5010" t="s">
        <v>26</v>
      </c>
      <c r="G5010" s="4">
        <v>8</v>
      </c>
      <c r="H5010" s="4" t="s">
        <v>18</v>
      </c>
      <c r="I5010" s="4" t="s">
        <v>69</v>
      </c>
      <c r="J5010" s="4" t="s">
        <v>66</v>
      </c>
      <c r="K5010" s="4">
        <v>0</v>
      </c>
      <c r="L5010" s="94">
        <v>845214</v>
      </c>
      <c r="M5010" s="94">
        <v>6761712</v>
      </c>
    </row>
    <row r="5011" spans="3:13" x14ac:dyDescent="0.3">
      <c r="C5011" t="s">
        <v>71</v>
      </c>
      <c r="D5011" t="s">
        <v>67</v>
      </c>
      <c r="E5011" t="s">
        <v>63</v>
      </c>
      <c r="F5011" t="s">
        <v>26</v>
      </c>
      <c r="G5011" s="4">
        <v>3</v>
      </c>
      <c r="H5011" s="4" t="s">
        <v>14</v>
      </c>
      <c r="I5011" s="4" t="s">
        <v>65</v>
      </c>
      <c r="J5011" s="4" t="s">
        <v>66</v>
      </c>
      <c r="K5011" s="4">
        <v>1</v>
      </c>
      <c r="L5011" s="94">
        <v>-88487</v>
      </c>
      <c r="M5011" s="94">
        <v>0</v>
      </c>
    </row>
    <row r="5012" spans="3:13" x14ac:dyDescent="0.3">
      <c r="C5012" t="s">
        <v>61</v>
      </c>
      <c r="D5012" t="s">
        <v>67</v>
      </c>
      <c r="E5012" t="s">
        <v>63</v>
      </c>
      <c r="F5012" t="s">
        <v>25</v>
      </c>
      <c r="G5012" s="4">
        <v>12</v>
      </c>
      <c r="H5012" s="4" t="s">
        <v>75</v>
      </c>
      <c r="I5012" s="4" t="s">
        <v>69</v>
      </c>
      <c r="J5012" s="4" t="s">
        <v>66</v>
      </c>
      <c r="K5012" s="4">
        <v>0</v>
      </c>
      <c r="L5012" s="94">
        <v>-68057</v>
      </c>
      <c r="M5012" s="94">
        <v>0</v>
      </c>
    </row>
    <row r="5013" spans="3:13" x14ac:dyDescent="0.3">
      <c r="C5013" t="s">
        <v>71</v>
      </c>
      <c r="D5013" t="s">
        <v>67</v>
      </c>
      <c r="E5013" t="s">
        <v>63</v>
      </c>
      <c r="F5013" t="s">
        <v>25</v>
      </c>
      <c r="G5013" s="4">
        <v>-4</v>
      </c>
      <c r="H5013" s="4" t="s">
        <v>80</v>
      </c>
      <c r="I5013" s="4" t="s">
        <v>69</v>
      </c>
      <c r="J5013" s="4" t="s">
        <v>66</v>
      </c>
      <c r="K5013" s="4">
        <v>0</v>
      </c>
      <c r="L5013" s="94">
        <v>-84411</v>
      </c>
      <c r="M5013" s="94">
        <v>0</v>
      </c>
    </row>
    <row r="5014" spans="3:13" x14ac:dyDescent="0.3">
      <c r="C5014" t="s">
        <v>70</v>
      </c>
      <c r="D5014" t="s">
        <v>67</v>
      </c>
      <c r="E5014" t="s">
        <v>68</v>
      </c>
      <c r="F5014" t="s">
        <v>72</v>
      </c>
      <c r="G5014" s="4">
        <v>4</v>
      </c>
      <c r="H5014" s="4" t="s">
        <v>15</v>
      </c>
      <c r="I5014" s="4" t="s">
        <v>69</v>
      </c>
      <c r="J5014" s="4" t="s">
        <v>66</v>
      </c>
      <c r="K5014" s="4">
        <v>0</v>
      </c>
      <c r="L5014" s="94">
        <v>55490</v>
      </c>
      <c r="M5014" s="94">
        <v>221960</v>
      </c>
    </row>
    <row r="5015" spans="3:13" x14ac:dyDescent="0.3">
      <c r="C5015" t="s">
        <v>61</v>
      </c>
      <c r="D5015" t="s">
        <v>67</v>
      </c>
      <c r="E5015" t="s">
        <v>63</v>
      </c>
      <c r="F5015" t="s">
        <v>25</v>
      </c>
      <c r="G5015" s="4">
        <v>-1</v>
      </c>
      <c r="H5015" s="4" t="s">
        <v>77</v>
      </c>
      <c r="I5015" s="4" t="s">
        <v>69</v>
      </c>
      <c r="J5015" s="4" t="s">
        <v>66</v>
      </c>
      <c r="K5015" s="4">
        <v>0</v>
      </c>
      <c r="L5015" s="94">
        <v>-2219</v>
      </c>
      <c r="M5015" s="94">
        <v>0</v>
      </c>
    </row>
    <row r="5016" spans="3:13" x14ac:dyDescent="0.3">
      <c r="C5016" t="s">
        <v>70</v>
      </c>
      <c r="D5016" t="s">
        <v>67</v>
      </c>
      <c r="E5016" t="s">
        <v>68</v>
      </c>
      <c r="F5016" t="s">
        <v>25</v>
      </c>
      <c r="G5016" s="4">
        <v>9</v>
      </c>
      <c r="H5016" s="4" t="s">
        <v>77</v>
      </c>
      <c r="I5016" s="4" t="s">
        <v>69</v>
      </c>
      <c r="J5016" s="4" t="s">
        <v>66</v>
      </c>
      <c r="K5016" s="4">
        <v>0</v>
      </c>
      <c r="L5016" s="94">
        <v>830224</v>
      </c>
      <c r="M5016" s="94">
        <v>7472016</v>
      </c>
    </row>
    <row r="5017" spans="3:13" x14ac:dyDescent="0.3">
      <c r="C5017" t="s">
        <v>61</v>
      </c>
      <c r="D5017" t="s">
        <v>67</v>
      </c>
      <c r="E5017" t="s">
        <v>68</v>
      </c>
      <c r="F5017" t="s">
        <v>72</v>
      </c>
      <c r="G5017" s="4">
        <v>6</v>
      </c>
      <c r="H5017" s="4" t="s">
        <v>83</v>
      </c>
      <c r="I5017" s="4" t="s">
        <v>69</v>
      </c>
      <c r="J5017" s="4" t="s">
        <v>66</v>
      </c>
      <c r="K5017" s="4">
        <v>0</v>
      </c>
      <c r="L5017" s="94">
        <v>733622</v>
      </c>
      <c r="M5017" s="94">
        <v>4401732</v>
      </c>
    </row>
    <row r="5018" spans="3:13" x14ac:dyDescent="0.3">
      <c r="C5018" t="s">
        <v>70</v>
      </c>
      <c r="D5018" t="s">
        <v>67</v>
      </c>
      <c r="E5018" t="s">
        <v>68</v>
      </c>
      <c r="F5018" t="s">
        <v>25</v>
      </c>
      <c r="G5018" s="4">
        <v>8</v>
      </c>
      <c r="H5018" s="4" t="s">
        <v>14</v>
      </c>
      <c r="I5018" s="4" t="s">
        <v>69</v>
      </c>
      <c r="J5018" s="4" t="s">
        <v>66</v>
      </c>
      <c r="K5018" s="4">
        <v>1</v>
      </c>
      <c r="L5018" s="94">
        <v>1529333</v>
      </c>
      <c r="M5018" s="94">
        <v>12234664</v>
      </c>
    </row>
    <row r="5019" spans="3:13" x14ac:dyDescent="0.3">
      <c r="C5019" t="s">
        <v>61</v>
      </c>
      <c r="D5019" t="s">
        <v>67</v>
      </c>
      <c r="E5019" t="s">
        <v>68</v>
      </c>
      <c r="F5019" t="s">
        <v>25</v>
      </c>
      <c r="G5019" s="4">
        <v>8</v>
      </c>
      <c r="H5019" s="4" t="s">
        <v>18</v>
      </c>
      <c r="I5019" s="4" t="s">
        <v>69</v>
      </c>
      <c r="J5019" s="4" t="s">
        <v>66</v>
      </c>
      <c r="K5019" s="4">
        <v>0</v>
      </c>
      <c r="L5019" s="94">
        <v>20619259</v>
      </c>
      <c r="M5019" s="94">
        <v>164954072</v>
      </c>
    </row>
    <row r="5020" spans="3:13" x14ac:dyDescent="0.3">
      <c r="C5020" t="s">
        <v>70</v>
      </c>
      <c r="D5020" t="s">
        <v>67</v>
      </c>
      <c r="E5020" t="s">
        <v>68</v>
      </c>
      <c r="F5020" t="s">
        <v>25</v>
      </c>
      <c r="G5020" s="4">
        <v>-1</v>
      </c>
      <c r="H5020" s="4" t="s">
        <v>17</v>
      </c>
      <c r="I5020" s="4" t="s">
        <v>69</v>
      </c>
      <c r="J5020" s="4" t="s">
        <v>66</v>
      </c>
      <c r="K5020" s="4">
        <v>1</v>
      </c>
      <c r="L5020" s="94">
        <v>0</v>
      </c>
      <c r="M5020" s="94">
        <v>0</v>
      </c>
    </row>
    <row r="5021" spans="3:13" x14ac:dyDescent="0.3">
      <c r="C5021" t="s">
        <v>61</v>
      </c>
      <c r="D5021" t="s">
        <v>67</v>
      </c>
      <c r="E5021" t="s">
        <v>63</v>
      </c>
      <c r="F5021" t="s">
        <v>26</v>
      </c>
      <c r="G5021" s="4">
        <v>-1</v>
      </c>
      <c r="H5021" s="4" t="s">
        <v>79</v>
      </c>
      <c r="I5021" s="4" t="s">
        <v>69</v>
      </c>
      <c r="J5021" s="4" t="s">
        <v>66</v>
      </c>
      <c r="K5021" s="4">
        <v>0</v>
      </c>
      <c r="L5021" s="94">
        <v>-98164</v>
      </c>
      <c r="M5021" s="94">
        <v>0</v>
      </c>
    </row>
    <row r="5022" spans="3:13" x14ac:dyDescent="0.3">
      <c r="C5022" t="s">
        <v>61</v>
      </c>
      <c r="D5022" t="s">
        <v>67</v>
      </c>
      <c r="E5022" t="s">
        <v>68</v>
      </c>
      <c r="F5022" t="s">
        <v>25</v>
      </c>
      <c r="G5022" s="4">
        <v>1</v>
      </c>
      <c r="H5022" s="4" t="s">
        <v>14</v>
      </c>
      <c r="I5022" s="4" t="s">
        <v>69</v>
      </c>
      <c r="J5022" s="4" t="s">
        <v>66</v>
      </c>
      <c r="K5022" s="4">
        <v>0</v>
      </c>
      <c r="L5022" s="94">
        <v>663436</v>
      </c>
      <c r="M5022" s="94">
        <v>663436</v>
      </c>
    </row>
    <row r="5023" spans="3:13" x14ac:dyDescent="0.3">
      <c r="C5023" t="s">
        <v>71</v>
      </c>
      <c r="D5023" t="s">
        <v>67</v>
      </c>
      <c r="E5023" t="s">
        <v>63</v>
      </c>
      <c r="F5023" t="s">
        <v>72</v>
      </c>
      <c r="G5023" s="4">
        <v>3</v>
      </c>
      <c r="H5023" s="4" t="s">
        <v>82</v>
      </c>
      <c r="I5023" s="4" t="s">
        <v>69</v>
      </c>
      <c r="J5023" s="4" t="s">
        <v>66</v>
      </c>
      <c r="K5023" s="4">
        <v>0</v>
      </c>
      <c r="L5023" s="94">
        <v>-105183</v>
      </c>
      <c r="M5023" s="94">
        <v>0</v>
      </c>
    </row>
    <row r="5024" spans="3:13" x14ac:dyDescent="0.3">
      <c r="C5024" t="s">
        <v>61</v>
      </c>
      <c r="D5024" t="s">
        <v>67</v>
      </c>
      <c r="E5024" t="s">
        <v>68</v>
      </c>
      <c r="F5024" t="s">
        <v>26</v>
      </c>
      <c r="G5024" s="4">
        <v>8</v>
      </c>
      <c r="H5024" s="4" t="s">
        <v>74</v>
      </c>
      <c r="I5024" s="4" t="s">
        <v>69</v>
      </c>
      <c r="J5024" s="4" t="s">
        <v>66</v>
      </c>
      <c r="K5024" s="4">
        <v>0</v>
      </c>
      <c r="L5024" s="94">
        <v>2405234</v>
      </c>
      <c r="M5024" s="94">
        <v>19241872</v>
      </c>
    </row>
    <row r="5025" spans="3:13" x14ac:dyDescent="0.3">
      <c r="C5025" t="s">
        <v>61</v>
      </c>
      <c r="D5025" t="s">
        <v>67</v>
      </c>
      <c r="E5025" t="s">
        <v>63</v>
      </c>
      <c r="F5025" t="s">
        <v>25</v>
      </c>
      <c r="G5025" s="4">
        <v>11</v>
      </c>
      <c r="H5025" s="4" t="s">
        <v>18</v>
      </c>
      <c r="I5025" s="4" t="s">
        <v>65</v>
      </c>
      <c r="J5025" s="4" t="s">
        <v>66</v>
      </c>
      <c r="K5025" s="4">
        <v>1</v>
      </c>
      <c r="L5025" s="94">
        <v>-41</v>
      </c>
      <c r="M5025" s="94">
        <v>0</v>
      </c>
    </row>
    <row r="5026" spans="3:13" x14ac:dyDescent="0.3">
      <c r="C5026" t="s">
        <v>71</v>
      </c>
      <c r="D5026" t="s">
        <v>67</v>
      </c>
      <c r="E5026" t="s">
        <v>63</v>
      </c>
      <c r="F5026" t="s">
        <v>26</v>
      </c>
      <c r="G5026" s="4">
        <v>8</v>
      </c>
      <c r="H5026" s="4" t="s">
        <v>14</v>
      </c>
      <c r="I5026" s="4" t="s">
        <v>69</v>
      </c>
      <c r="J5026" s="4" t="s">
        <v>66</v>
      </c>
      <c r="K5026" s="4">
        <v>0</v>
      </c>
      <c r="L5026" s="94">
        <v>-693006</v>
      </c>
      <c r="M5026" s="94">
        <v>0</v>
      </c>
    </row>
    <row r="5027" spans="3:13" x14ac:dyDescent="0.3">
      <c r="C5027" t="s">
        <v>70</v>
      </c>
      <c r="D5027" t="s">
        <v>67</v>
      </c>
      <c r="E5027" t="s">
        <v>63</v>
      </c>
      <c r="F5027" t="s">
        <v>26</v>
      </c>
      <c r="G5027" s="4">
        <v>6</v>
      </c>
      <c r="H5027" s="4" t="s">
        <v>12</v>
      </c>
      <c r="I5027" s="4" t="s">
        <v>69</v>
      </c>
      <c r="J5027" s="4" t="s">
        <v>66</v>
      </c>
      <c r="K5027" s="4">
        <v>0</v>
      </c>
      <c r="L5027" s="94">
        <v>-5154</v>
      </c>
      <c r="M5027" s="94">
        <v>0</v>
      </c>
    </row>
    <row r="5028" spans="3:13" x14ac:dyDescent="0.3">
      <c r="C5028" t="s">
        <v>70</v>
      </c>
      <c r="D5028" t="s">
        <v>67</v>
      </c>
      <c r="E5028" t="s">
        <v>63</v>
      </c>
      <c r="F5028" t="s">
        <v>72</v>
      </c>
      <c r="G5028" s="4">
        <v>5</v>
      </c>
      <c r="H5028" s="4" t="s">
        <v>15</v>
      </c>
      <c r="I5028" s="4" t="s">
        <v>69</v>
      </c>
      <c r="J5028" s="4" t="s">
        <v>73</v>
      </c>
      <c r="K5028" s="4">
        <v>1</v>
      </c>
      <c r="L5028" s="94">
        <v>-6874</v>
      </c>
      <c r="M5028" s="94">
        <v>0</v>
      </c>
    </row>
    <row r="5029" spans="3:13" x14ac:dyDescent="0.3">
      <c r="C5029" t="s">
        <v>61</v>
      </c>
      <c r="D5029" t="s">
        <v>67</v>
      </c>
      <c r="E5029" t="s">
        <v>63</v>
      </c>
      <c r="F5029" t="s">
        <v>26</v>
      </c>
      <c r="G5029" s="4">
        <v>2</v>
      </c>
      <c r="H5029" s="4" t="s">
        <v>81</v>
      </c>
      <c r="I5029" s="4" t="s">
        <v>69</v>
      </c>
      <c r="J5029" s="4" t="s">
        <v>66</v>
      </c>
      <c r="K5029" s="4">
        <v>0</v>
      </c>
      <c r="L5029" s="94">
        <v>-986</v>
      </c>
      <c r="M5029" s="94">
        <v>0</v>
      </c>
    </row>
    <row r="5030" spans="3:13" x14ac:dyDescent="0.3">
      <c r="C5030" t="s">
        <v>70</v>
      </c>
      <c r="D5030" t="s">
        <v>67</v>
      </c>
      <c r="E5030" t="s">
        <v>68</v>
      </c>
      <c r="F5030" t="s">
        <v>72</v>
      </c>
      <c r="G5030" s="4">
        <v>4</v>
      </c>
      <c r="H5030" s="4" t="s">
        <v>17</v>
      </c>
      <c r="I5030" s="4" t="s">
        <v>69</v>
      </c>
      <c r="J5030" s="4" t="s">
        <v>66</v>
      </c>
      <c r="K5030" s="4">
        <v>0</v>
      </c>
      <c r="L5030" s="94">
        <v>1806179</v>
      </c>
      <c r="M5030" s="94">
        <v>7224716</v>
      </c>
    </row>
    <row r="5031" spans="3:13" x14ac:dyDescent="0.3">
      <c r="C5031" t="s">
        <v>61</v>
      </c>
      <c r="D5031" t="s">
        <v>67</v>
      </c>
      <c r="E5031" t="s">
        <v>63</v>
      </c>
      <c r="F5031" t="s">
        <v>25</v>
      </c>
      <c r="G5031" s="4">
        <v>12</v>
      </c>
      <c r="H5031" s="4" t="s">
        <v>64</v>
      </c>
      <c r="I5031" s="4" t="s">
        <v>69</v>
      </c>
      <c r="J5031" s="4" t="s">
        <v>66</v>
      </c>
      <c r="K5031" s="4">
        <v>0</v>
      </c>
      <c r="L5031" s="94">
        <v>-4245</v>
      </c>
      <c r="M5031" s="94">
        <v>0</v>
      </c>
    </row>
    <row r="5032" spans="3:13" x14ac:dyDescent="0.3">
      <c r="C5032" t="s">
        <v>61</v>
      </c>
      <c r="D5032" t="s">
        <v>67</v>
      </c>
      <c r="E5032" t="s">
        <v>68</v>
      </c>
      <c r="F5032" t="s">
        <v>26</v>
      </c>
      <c r="G5032" s="4">
        <v>7</v>
      </c>
      <c r="H5032" s="4" t="s">
        <v>12</v>
      </c>
      <c r="I5032" s="4" t="s">
        <v>69</v>
      </c>
      <c r="J5032" s="4" t="s">
        <v>66</v>
      </c>
      <c r="K5032" s="4">
        <v>0</v>
      </c>
      <c r="L5032" s="94">
        <v>411499</v>
      </c>
      <c r="M5032" s="94">
        <v>2880493</v>
      </c>
    </row>
    <row r="5033" spans="3:13" x14ac:dyDescent="0.3">
      <c r="C5033" t="s">
        <v>61</v>
      </c>
      <c r="D5033" t="s">
        <v>67</v>
      </c>
      <c r="E5033" t="s">
        <v>68</v>
      </c>
      <c r="F5033" t="s">
        <v>72</v>
      </c>
      <c r="G5033" s="4">
        <v>3</v>
      </c>
      <c r="H5033" s="4" t="s">
        <v>14</v>
      </c>
      <c r="I5033" s="4" t="s">
        <v>69</v>
      </c>
      <c r="J5033" s="4" t="s">
        <v>66</v>
      </c>
      <c r="K5033" s="4">
        <v>0</v>
      </c>
      <c r="L5033" s="94">
        <v>5929541</v>
      </c>
      <c r="M5033" s="94">
        <v>17788623</v>
      </c>
    </row>
    <row r="5034" spans="3:13" x14ac:dyDescent="0.3">
      <c r="C5034" t="s">
        <v>70</v>
      </c>
      <c r="D5034" t="s">
        <v>67</v>
      </c>
      <c r="E5034" t="s">
        <v>63</v>
      </c>
      <c r="F5034" t="s">
        <v>26</v>
      </c>
      <c r="G5034" s="4">
        <v>0</v>
      </c>
      <c r="H5034" s="4" t="s">
        <v>17</v>
      </c>
      <c r="I5034" s="4" t="s">
        <v>69</v>
      </c>
      <c r="J5034" s="4" t="s">
        <v>73</v>
      </c>
      <c r="K5034" s="4">
        <v>1</v>
      </c>
      <c r="L5034" s="94">
        <v>-3098</v>
      </c>
      <c r="M5034" s="94">
        <v>0</v>
      </c>
    </row>
    <row r="5035" spans="3:13" x14ac:dyDescent="0.3">
      <c r="C5035" t="s">
        <v>71</v>
      </c>
      <c r="D5035" t="s">
        <v>67</v>
      </c>
      <c r="E5035" t="s">
        <v>63</v>
      </c>
      <c r="F5035" t="s">
        <v>26</v>
      </c>
      <c r="G5035" s="4">
        <v>3</v>
      </c>
      <c r="H5035" s="4" t="s">
        <v>17</v>
      </c>
      <c r="I5035" s="4" t="s">
        <v>69</v>
      </c>
      <c r="J5035" s="4" t="s">
        <v>73</v>
      </c>
      <c r="K5035" s="4">
        <v>1</v>
      </c>
      <c r="L5035" s="94">
        <v>-475577</v>
      </c>
      <c r="M5035" s="94">
        <v>0</v>
      </c>
    </row>
    <row r="5036" spans="3:13" x14ac:dyDescent="0.3">
      <c r="C5036" t="s">
        <v>71</v>
      </c>
      <c r="D5036" t="s">
        <v>67</v>
      </c>
      <c r="E5036" t="s">
        <v>68</v>
      </c>
      <c r="F5036" t="s">
        <v>25</v>
      </c>
      <c r="G5036" s="4">
        <v>13</v>
      </c>
      <c r="H5036" s="4" t="s">
        <v>76</v>
      </c>
      <c r="I5036" s="4" t="s">
        <v>69</v>
      </c>
      <c r="J5036" s="4" t="s">
        <v>66</v>
      </c>
      <c r="K5036" s="4">
        <v>0</v>
      </c>
      <c r="L5036" s="94">
        <v>13386438</v>
      </c>
      <c r="M5036" s="94">
        <v>174023694</v>
      </c>
    </row>
    <row r="5037" spans="3:13" x14ac:dyDescent="0.3">
      <c r="C5037" t="s">
        <v>61</v>
      </c>
      <c r="D5037" t="s">
        <v>67</v>
      </c>
      <c r="E5037" t="s">
        <v>68</v>
      </c>
      <c r="F5037" t="s">
        <v>25</v>
      </c>
      <c r="G5037" s="4">
        <v>1</v>
      </c>
      <c r="H5037" s="4" t="s">
        <v>12</v>
      </c>
      <c r="I5037" s="4" t="s">
        <v>69</v>
      </c>
      <c r="J5037" s="4" t="s">
        <v>66</v>
      </c>
      <c r="K5037" s="4">
        <v>0</v>
      </c>
      <c r="L5037" s="94">
        <v>64380</v>
      </c>
      <c r="M5037" s="94">
        <v>64380</v>
      </c>
    </row>
    <row r="5038" spans="3:13" x14ac:dyDescent="0.3">
      <c r="C5038" t="s">
        <v>71</v>
      </c>
      <c r="D5038" t="s">
        <v>62</v>
      </c>
      <c r="E5038" t="s">
        <v>68</v>
      </c>
      <c r="F5038" t="s">
        <v>25</v>
      </c>
      <c r="G5038" s="4">
        <v>26</v>
      </c>
      <c r="I5038" s="4" t="s">
        <v>69</v>
      </c>
      <c r="J5038" s="4" t="s">
        <v>66</v>
      </c>
      <c r="K5038" s="4">
        <v>0</v>
      </c>
      <c r="L5038" s="94">
        <v>87027</v>
      </c>
      <c r="M5038" s="94">
        <v>2262702</v>
      </c>
    </row>
    <row r="5039" spans="3:13" x14ac:dyDescent="0.3">
      <c r="C5039" t="s">
        <v>71</v>
      </c>
      <c r="D5039" t="s">
        <v>67</v>
      </c>
      <c r="E5039" t="s">
        <v>68</v>
      </c>
      <c r="F5039" t="s">
        <v>72</v>
      </c>
      <c r="G5039" s="4">
        <v>1</v>
      </c>
      <c r="H5039" s="4" t="s">
        <v>12</v>
      </c>
      <c r="I5039" s="4" t="s">
        <v>65</v>
      </c>
      <c r="J5039" s="4" t="s">
        <v>73</v>
      </c>
      <c r="K5039" s="4">
        <v>1</v>
      </c>
      <c r="L5039" s="94">
        <v>15191</v>
      </c>
      <c r="M5039" s="94">
        <v>15191</v>
      </c>
    </row>
    <row r="5040" spans="3:13" x14ac:dyDescent="0.3">
      <c r="C5040" t="s">
        <v>61</v>
      </c>
      <c r="D5040" t="s">
        <v>67</v>
      </c>
      <c r="E5040" t="s">
        <v>68</v>
      </c>
      <c r="F5040" t="s">
        <v>25</v>
      </c>
      <c r="G5040" s="4">
        <v>1</v>
      </c>
      <c r="H5040" s="4" t="s">
        <v>17</v>
      </c>
      <c r="I5040" s="4" t="s">
        <v>65</v>
      </c>
      <c r="J5040" s="4" t="s">
        <v>66</v>
      </c>
      <c r="K5040" s="4">
        <v>1</v>
      </c>
      <c r="L5040" s="94">
        <v>404282</v>
      </c>
      <c r="M5040" s="94">
        <v>404282</v>
      </c>
    </row>
    <row r="5041" spans="3:13" x14ac:dyDescent="0.3">
      <c r="C5041" t="s">
        <v>70</v>
      </c>
      <c r="D5041" t="s">
        <v>67</v>
      </c>
      <c r="E5041" t="s">
        <v>68</v>
      </c>
      <c r="F5041" t="s">
        <v>25</v>
      </c>
      <c r="G5041" s="4">
        <v>8</v>
      </c>
      <c r="H5041" s="4" t="s">
        <v>12</v>
      </c>
      <c r="I5041" s="4" t="s">
        <v>69</v>
      </c>
      <c r="J5041" s="4" t="s">
        <v>66</v>
      </c>
      <c r="K5041" s="4">
        <v>1</v>
      </c>
      <c r="L5041" s="94">
        <v>272023</v>
      </c>
      <c r="M5041" s="94">
        <v>2176184</v>
      </c>
    </row>
    <row r="5042" spans="3:13" x14ac:dyDescent="0.3">
      <c r="C5042" t="s">
        <v>70</v>
      </c>
      <c r="D5042" t="s">
        <v>67</v>
      </c>
      <c r="E5042" t="s">
        <v>63</v>
      </c>
      <c r="F5042" t="s">
        <v>25</v>
      </c>
      <c r="G5042" s="4">
        <v>15</v>
      </c>
      <c r="H5042" s="4" t="s">
        <v>14</v>
      </c>
      <c r="I5042" s="4" t="s">
        <v>69</v>
      </c>
      <c r="J5042" s="4" t="s">
        <v>66</v>
      </c>
      <c r="K5042" s="4">
        <v>0</v>
      </c>
      <c r="L5042" s="94">
        <v>-6278</v>
      </c>
      <c r="M5042" s="94">
        <v>0</v>
      </c>
    </row>
    <row r="5043" spans="3:13" x14ac:dyDescent="0.3">
      <c r="C5043" t="s">
        <v>61</v>
      </c>
      <c r="D5043" t="s">
        <v>67</v>
      </c>
      <c r="E5043" t="s">
        <v>63</v>
      </c>
      <c r="F5043" t="s">
        <v>26</v>
      </c>
      <c r="G5043" s="4">
        <v>-1</v>
      </c>
      <c r="H5043" s="4" t="s">
        <v>80</v>
      </c>
      <c r="I5043" s="4" t="s">
        <v>69</v>
      </c>
      <c r="J5043" s="4" t="s">
        <v>66</v>
      </c>
      <c r="K5043" s="4">
        <v>0</v>
      </c>
      <c r="L5043" s="94">
        <v>-30205</v>
      </c>
      <c r="M5043" s="94">
        <v>0</v>
      </c>
    </row>
    <row r="5044" spans="3:13" x14ac:dyDescent="0.3">
      <c r="C5044" t="s">
        <v>70</v>
      </c>
      <c r="D5044" t="s">
        <v>67</v>
      </c>
      <c r="E5044" t="s">
        <v>63</v>
      </c>
      <c r="F5044" t="s">
        <v>26</v>
      </c>
      <c r="G5044" s="4">
        <v>-1</v>
      </c>
      <c r="H5044" s="4" t="s">
        <v>18</v>
      </c>
      <c r="I5044" s="4" t="s">
        <v>69</v>
      </c>
      <c r="J5044" s="4" t="s">
        <v>73</v>
      </c>
      <c r="K5044" s="4">
        <v>1</v>
      </c>
      <c r="L5044" s="94">
        <v>-341048</v>
      </c>
      <c r="M5044" s="94">
        <v>0</v>
      </c>
    </row>
    <row r="5045" spans="3:13" x14ac:dyDescent="0.3">
      <c r="C5045" t="s">
        <v>61</v>
      </c>
      <c r="D5045" t="s">
        <v>67</v>
      </c>
      <c r="E5045" t="s">
        <v>68</v>
      </c>
      <c r="F5045" t="s">
        <v>25</v>
      </c>
      <c r="G5045" s="4">
        <v>8</v>
      </c>
      <c r="H5045" s="4" t="s">
        <v>16</v>
      </c>
      <c r="I5045" s="4" t="s">
        <v>69</v>
      </c>
      <c r="J5045" s="4" t="s">
        <v>66</v>
      </c>
      <c r="K5045" s="4">
        <v>0</v>
      </c>
      <c r="L5045" s="94">
        <v>715942</v>
      </c>
      <c r="M5045" s="94">
        <v>5727536</v>
      </c>
    </row>
    <row r="5046" spans="3:13" x14ac:dyDescent="0.3">
      <c r="C5046" t="s">
        <v>70</v>
      </c>
      <c r="D5046" t="s">
        <v>67</v>
      </c>
      <c r="E5046" t="s">
        <v>68</v>
      </c>
      <c r="F5046" t="s">
        <v>25</v>
      </c>
      <c r="G5046" s="4">
        <v>9</v>
      </c>
      <c r="H5046" s="4" t="s">
        <v>82</v>
      </c>
      <c r="I5046" s="4" t="s">
        <v>69</v>
      </c>
      <c r="J5046" s="4" t="s">
        <v>66</v>
      </c>
      <c r="K5046" s="4">
        <v>0</v>
      </c>
      <c r="L5046" s="94">
        <v>1591914</v>
      </c>
      <c r="M5046" s="94">
        <v>14327226</v>
      </c>
    </row>
    <row r="5047" spans="3:13" x14ac:dyDescent="0.3">
      <c r="C5047" t="s">
        <v>61</v>
      </c>
      <c r="D5047" t="s">
        <v>67</v>
      </c>
      <c r="E5047" t="s">
        <v>63</v>
      </c>
      <c r="F5047" t="s">
        <v>25</v>
      </c>
      <c r="G5047" s="4">
        <v>4</v>
      </c>
      <c r="H5047" s="4" t="s">
        <v>18</v>
      </c>
      <c r="I5047" s="4" t="s">
        <v>69</v>
      </c>
      <c r="J5047" s="4" t="s">
        <v>66</v>
      </c>
      <c r="K5047" s="4">
        <v>0</v>
      </c>
      <c r="L5047" s="94">
        <v>-10291</v>
      </c>
      <c r="M5047" s="94">
        <v>0</v>
      </c>
    </row>
    <row r="5048" spans="3:13" x14ac:dyDescent="0.3">
      <c r="C5048" t="s">
        <v>71</v>
      </c>
      <c r="D5048" t="s">
        <v>67</v>
      </c>
      <c r="E5048" t="s">
        <v>63</v>
      </c>
      <c r="F5048" t="s">
        <v>26</v>
      </c>
      <c r="G5048" s="4">
        <v>-1</v>
      </c>
      <c r="H5048" s="4" t="s">
        <v>79</v>
      </c>
      <c r="I5048" s="4" t="s">
        <v>69</v>
      </c>
      <c r="J5048" s="4" t="s">
        <v>66</v>
      </c>
      <c r="K5048" s="4">
        <v>0</v>
      </c>
      <c r="L5048" s="94">
        <v>-666363</v>
      </c>
      <c r="M5048" s="94">
        <v>0</v>
      </c>
    </row>
    <row r="5049" spans="3:13" x14ac:dyDescent="0.3">
      <c r="C5049" t="s">
        <v>70</v>
      </c>
      <c r="D5049" t="s">
        <v>67</v>
      </c>
      <c r="E5049" t="s">
        <v>63</v>
      </c>
      <c r="F5049" t="s">
        <v>26</v>
      </c>
      <c r="G5049" s="4">
        <v>5</v>
      </c>
      <c r="H5049" s="4" t="s">
        <v>18</v>
      </c>
      <c r="I5049" s="4" t="s">
        <v>69</v>
      </c>
      <c r="J5049" s="4" t="s">
        <v>66</v>
      </c>
      <c r="K5049" s="4">
        <v>0</v>
      </c>
      <c r="L5049" s="94">
        <v>-291609</v>
      </c>
      <c r="M5049" s="94">
        <v>0</v>
      </c>
    </row>
    <row r="5050" spans="3:13" x14ac:dyDescent="0.3">
      <c r="C5050" t="s">
        <v>71</v>
      </c>
      <c r="D5050" t="s">
        <v>67</v>
      </c>
      <c r="E5050" t="s">
        <v>68</v>
      </c>
      <c r="F5050" t="s">
        <v>26</v>
      </c>
      <c r="G5050" s="4">
        <v>-4</v>
      </c>
      <c r="H5050" s="4" t="s">
        <v>12</v>
      </c>
      <c r="I5050" s="4" t="s">
        <v>69</v>
      </c>
      <c r="J5050" s="4" t="s">
        <v>73</v>
      </c>
      <c r="K5050" s="4">
        <v>1</v>
      </c>
      <c r="L5050" s="94">
        <v>293329</v>
      </c>
      <c r="M5050" s="94">
        <v>0</v>
      </c>
    </row>
    <row r="5051" spans="3:13" x14ac:dyDescent="0.3">
      <c r="C5051" t="s">
        <v>61</v>
      </c>
      <c r="D5051" t="s">
        <v>67</v>
      </c>
      <c r="E5051" t="s">
        <v>68</v>
      </c>
      <c r="F5051" t="s">
        <v>25</v>
      </c>
      <c r="G5051" s="4">
        <v>6</v>
      </c>
      <c r="H5051" s="4" t="s">
        <v>17</v>
      </c>
      <c r="I5051" s="4" t="s">
        <v>69</v>
      </c>
      <c r="J5051" s="4" t="s">
        <v>66</v>
      </c>
      <c r="K5051" s="4">
        <v>0</v>
      </c>
      <c r="L5051" s="94">
        <v>4230771</v>
      </c>
      <c r="M5051" s="94">
        <v>25384626</v>
      </c>
    </row>
    <row r="5052" spans="3:13" x14ac:dyDescent="0.3">
      <c r="C5052" t="s">
        <v>61</v>
      </c>
      <c r="D5052" t="s">
        <v>67</v>
      </c>
      <c r="E5052" t="s">
        <v>63</v>
      </c>
      <c r="F5052" t="s">
        <v>72</v>
      </c>
      <c r="G5052" s="4">
        <v>5</v>
      </c>
      <c r="H5052" s="4" t="s">
        <v>15</v>
      </c>
      <c r="I5052" s="4" t="s">
        <v>69</v>
      </c>
      <c r="J5052" s="4" t="s">
        <v>73</v>
      </c>
      <c r="K5052" s="4">
        <v>1</v>
      </c>
      <c r="L5052" s="94">
        <v>-781</v>
      </c>
      <c r="M5052" s="94">
        <v>0</v>
      </c>
    </row>
    <row r="5053" spans="3:13" x14ac:dyDescent="0.3">
      <c r="C5053" t="s">
        <v>61</v>
      </c>
      <c r="D5053" t="s">
        <v>67</v>
      </c>
      <c r="E5053" t="s">
        <v>68</v>
      </c>
      <c r="F5053" t="s">
        <v>26</v>
      </c>
      <c r="G5053" s="4">
        <v>4</v>
      </c>
      <c r="H5053" s="4" t="s">
        <v>14</v>
      </c>
      <c r="I5053" s="4" t="s">
        <v>65</v>
      </c>
      <c r="J5053" s="4" t="s">
        <v>73</v>
      </c>
      <c r="K5053" s="4">
        <v>1</v>
      </c>
      <c r="L5053" s="94">
        <v>314298</v>
      </c>
      <c r="M5053" s="94">
        <v>1257192</v>
      </c>
    </row>
    <row r="5054" spans="3:13" x14ac:dyDescent="0.3">
      <c r="C5054" t="s">
        <v>70</v>
      </c>
      <c r="D5054" t="s">
        <v>67</v>
      </c>
      <c r="E5054" t="s">
        <v>63</v>
      </c>
      <c r="F5054" t="s">
        <v>72</v>
      </c>
      <c r="G5054" s="4">
        <v>10</v>
      </c>
      <c r="H5054" s="4" t="s">
        <v>74</v>
      </c>
      <c r="I5054" s="4" t="s">
        <v>69</v>
      </c>
      <c r="J5054" s="4" t="s">
        <v>66</v>
      </c>
      <c r="K5054" s="4">
        <v>0</v>
      </c>
      <c r="L5054" s="94">
        <v>-487</v>
      </c>
      <c r="M5054" s="94">
        <v>0</v>
      </c>
    </row>
    <row r="5055" spans="3:13" x14ac:dyDescent="0.3">
      <c r="C5055" t="s">
        <v>61</v>
      </c>
      <c r="D5055" t="s">
        <v>84</v>
      </c>
      <c r="E5055" t="s">
        <v>68</v>
      </c>
      <c r="F5055" t="s">
        <v>25</v>
      </c>
      <c r="G5055" s="4">
        <v>4</v>
      </c>
      <c r="H5055" s="4" t="s">
        <v>81</v>
      </c>
      <c r="I5055" s="4" t="s">
        <v>69</v>
      </c>
      <c r="J5055" s="4" t="s">
        <v>66</v>
      </c>
      <c r="K5055" s="4">
        <v>0</v>
      </c>
      <c r="L5055" s="94">
        <v>36988037</v>
      </c>
      <c r="M5055" s="94">
        <v>147952148</v>
      </c>
    </row>
    <row r="5056" spans="3:13" x14ac:dyDescent="0.3">
      <c r="C5056" t="s">
        <v>71</v>
      </c>
      <c r="D5056" t="s">
        <v>67</v>
      </c>
      <c r="E5056" t="s">
        <v>63</v>
      </c>
      <c r="F5056" t="s">
        <v>72</v>
      </c>
      <c r="G5056" s="4">
        <v>9</v>
      </c>
      <c r="H5056" s="4" t="s">
        <v>13</v>
      </c>
      <c r="I5056" s="4" t="s">
        <v>69</v>
      </c>
      <c r="J5056" s="4" t="s">
        <v>73</v>
      </c>
      <c r="K5056" s="4">
        <v>1</v>
      </c>
      <c r="L5056" s="94">
        <v>-194934</v>
      </c>
      <c r="M5056" s="94">
        <v>0</v>
      </c>
    </row>
    <row r="5057" spans="3:13" x14ac:dyDescent="0.3">
      <c r="C5057" t="s">
        <v>61</v>
      </c>
      <c r="D5057" t="s">
        <v>67</v>
      </c>
      <c r="E5057" t="s">
        <v>63</v>
      </c>
      <c r="F5057" t="s">
        <v>25</v>
      </c>
      <c r="G5057" s="4">
        <v>6</v>
      </c>
      <c r="H5057" s="4" t="s">
        <v>89</v>
      </c>
      <c r="I5057" s="4" t="s">
        <v>69</v>
      </c>
      <c r="J5057" s="4" t="s">
        <v>66</v>
      </c>
      <c r="K5057" s="4">
        <v>0</v>
      </c>
      <c r="L5057" s="94">
        <v>-283</v>
      </c>
      <c r="M5057" s="94">
        <v>0</v>
      </c>
    </row>
    <row r="5058" spans="3:13" x14ac:dyDescent="0.3">
      <c r="C5058" t="s">
        <v>71</v>
      </c>
      <c r="D5058" t="s">
        <v>67</v>
      </c>
      <c r="E5058" t="s">
        <v>68</v>
      </c>
      <c r="F5058" t="s">
        <v>26</v>
      </c>
      <c r="G5058" s="4">
        <v>3</v>
      </c>
      <c r="H5058" s="4" t="s">
        <v>80</v>
      </c>
      <c r="I5058" s="4" t="s">
        <v>69</v>
      </c>
      <c r="J5058" s="4" t="s">
        <v>66</v>
      </c>
      <c r="K5058" s="4">
        <v>0</v>
      </c>
      <c r="L5058" s="94">
        <v>82260</v>
      </c>
      <c r="M5058" s="94">
        <v>246780</v>
      </c>
    </row>
    <row r="5059" spans="3:13" x14ac:dyDescent="0.3">
      <c r="C5059" t="s">
        <v>71</v>
      </c>
      <c r="D5059" t="s">
        <v>67</v>
      </c>
      <c r="E5059" t="s">
        <v>63</v>
      </c>
      <c r="F5059" t="s">
        <v>26</v>
      </c>
      <c r="G5059" s="4">
        <v>0</v>
      </c>
      <c r="H5059" s="4" t="s">
        <v>78</v>
      </c>
      <c r="I5059" s="4" t="s">
        <v>69</v>
      </c>
      <c r="J5059" s="4" t="s">
        <v>66</v>
      </c>
      <c r="K5059" s="4">
        <v>0</v>
      </c>
      <c r="L5059" s="94">
        <v>-3101</v>
      </c>
      <c r="M5059" s="94">
        <v>0</v>
      </c>
    </row>
    <row r="5060" spans="3:13" x14ac:dyDescent="0.3">
      <c r="C5060" t="s">
        <v>70</v>
      </c>
      <c r="D5060" t="s">
        <v>67</v>
      </c>
      <c r="E5060" t="s">
        <v>68</v>
      </c>
      <c r="F5060" t="s">
        <v>72</v>
      </c>
      <c r="G5060" s="4">
        <v>7</v>
      </c>
      <c r="H5060" s="4" t="s">
        <v>64</v>
      </c>
      <c r="I5060" s="4" t="s">
        <v>69</v>
      </c>
      <c r="J5060" s="4" t="s">
        <v>66</v>
      </c>
      <c r="K5060" s="4">
        <v>0</v>
      </c>
      <c r="L5060" s="94">
        <v>168035</v>
      </c>
      <c r="M5060" s="94">
        <v>1176245</v>
      </c>
    </row>
    <row r="5061" spans="3:13" x14ac:dyDescent="0.3">
      <c r="C5061" t="s">
        <v>61</v>
      </c>
      <c r="D5061" t="s">
        <v>62</v>
      </c>
      <c r="E5061" t="s">
        <v>68</v>
      </c>
      <c r="F5061" t="s">
        <v>24</v>
      </c>
      <c r="G5061" s="4">
        <v>27</v>
      </c>
      <c r="I5061" s="4" t="s">
        <v>69</v>
      </c>
      <c r="J5061" s="4" t="s">
        <v>66</v>
      </c>
      <c r="K5061" s="4">
        <v>0</v>
      </c>
      <c r="L5061" s="94">
        <v>769534228</v>
      </c>
      <c r="M5061" s="94">
        <v>20777424156</v>
      </c>
    </row>
    <row r="5062" spans="3:13" x14ac:dyDescent="0.3">
      <c r="C5062" t="s">
        <v>71</v>
      </c>
      <c r="D5062" t="s">
        <v>67</v>
      </c>
      <c r="E5062" t="s">
        <v>68</v>
      </c>
      <c r="F5062" t="s">
        <v>26</v>
      </c>
      <c r="G5062" s="4">
        <v>-1</v>
      </c>
      <c r="H5062" s="4" t="s">
        <v>17</v>
      </c>
      <c r="I5062" s="4" t="s">
        <v>65</v>
      </c>
      <c r="J5062" s="4" t="s">
        <v>73</v>
      </c>
      <c r="K5062" s="4">
        <v>1</v>
      </c>
      <c r="L5062" s="94">
        <v>147733</v>
      </c>
      <c r="M5062" s="94">
        <v>0</v>
      </c>
    </row>
    <row r="5063" spans="3:13" x14ac:dyDescent="0.3">
      <c r="C5063" t="s">
        <v>61</v>
      </c>
      <c r="D5063" t="s">
        <v>62</v>
      </c>
      <c r="E5063" t="s">
        <v>63</v>
      </c>
      <c r="F5063" t="s">
        <v>25</v>
      </c>
      <c r="G5063" s="4">
        <v>24</v>
      </c>
      <c r="I5063" s="4" t="s">
        <v>69</v>
      </c>
      <c r="J5063" s="4" t="s">
        <v>66</v>
      </c>
      <c r="K5063" s="4">
        <v>0</v>
      </c>
      <c r="L5063" s="94">
        <v>-2992</v>
      </c>
      <c r="M5063" s="94">
        <v>0</v>
      </c>
    </row>
    <row r="5064" spans="3:13" x14ac:dyDescent="0.3">
      <c r="C5064" t="s">
        <v>70</v>
      </c>
      <c r="D5064" t="s">
        <v>67</v>
      </c>
      <c r="E5064" t="s">
        <v>68</v>
      </c>
      <c r="F5064" t="s">
        <v>25</v>
      </c>
      <c r="G5064" s="4">
        <v>2</v>
      </c>
      <c r="H5064" s="4" t="s">
        <v>16</v>
      </c>
      <c r="I5064" s="4" t="s">
        <v>69</v>
      </c>
      <c r="J5064" s="4" t="s">
        <v>66</v>
      </c>
      <c r="K5064" s="4">
        <v>0</v>
      </c>
      <c r="L5064" s="94">
        <v>5040</v>
      </c>
      <c r="M5064" s="94">
        <v>10080</v>
      </c>
    </row>
    <row r="5065" spans="3:13" x14ac:dyDescent="0.3">
      <c r="C5065" t="s">
        <v>61</v>
      </c>
      <c r="D5065" t="s">
        <v>67</v>
      </c>
      <c r="E5065" t="s">
        <v>68</v>
      </c>
      <c r="F5065" t="s">
        <v>26</v>
      </c>
      <c r="G5065" s="4">
        <v>11</v>
      </c>
      <c r="H5065" s="4" t="s">
        <v>82</v>
      </c>
      <c r="I5065" s="4" t="s">
        <v>69</v>
      </c>
      <c r="J5065" s="4" t="s">
        <v>66</v>
      </c>
      <c r="K5065" s="4">
        <v>0</v>
      </c>
      <c r="L5065" s="94">
        <v>10506020</v>
      </c>
      <c r="M5065" s="94">
        <v>115566220</v>
      </c>
    </row>
    <row r="5066" spans="3:13" x14ac:dyDescent="0.3">
      <c r="C5066" t="s">
        <v>71</v>
      </c>
      <c r="D5066" t="s">
        <v>67</v>
      </c>
      <c r="E5066" t="s">
        <v>68</v>
      </c>
      <c r="F5066" t="s">
        <v>25</v>
      </c>
      <c r="G5066" s="4">
        <v>-4</v>
      </c>
      <c r="H5066" s="4" t="s">
        <v>13</v>
      </c>
      <c r="I5066" s="4" t="s">
        <v>69</v>
      </c>
      <c r="J5066" s="4" t="s">
        <v>66</v>
      </c>
      <c r="K5066" s="4">
        <v>1</v>
      </c>
      <c r="L5066" s="94">
        <v>30666</v>
      </c>
      <c r="M5066" s="94">
        <v>0</v>
      </c>
    </row>
    <row r="5067" spans="3:13" x14ac:dyDescent="0.3">
      <c r="C5067" t="s">
        <v>61</v>
      </c>
      <c r="D5067" t="s">
        <v>67</v>
      </c>
      <c r="E5067" t="s">
        <v>68</v>
      </c>
      <c r="F5067" t="s">
        <v>26</v>
      </c>
      <c r="G5067" s="4">
        <v>2</v>
      </c>
      <c r="H5067" s="4" t="s">
        <v>86</v>
      </c>
      <c r="I5067" s="4" t="s">
        <v>69</v>
      </c>
      <c r="J5067" s="4" t="s">
        <v>66</v>
      </c>
      <c r="K5067" s="4">
        <v>0</v>
      </c>
      <c r="L5067" s="94">
        <v>13874</v>
      </c>
      <c r="M5067" s="94">
        <v>27748</v>
      </c>
    </row>
    <row r="5068" spans="3:13" x14ac:dyDescent="0.3">
      <c r="C5068" t="s">
        <v>71</v>
      </c>
      <c r="D5068" t="s">
        <v>67</v>
      </c>
      <c r="E5068" t="s">
        <v>63</v>
      </c>
      <c r="F5068" t="s">
        <v>26</v>
      </c>
      <c r="G5068" s="4">
        <v>2</v>
      </c>
      <c r="H5068" s="4" t="s">
        <v>76</v>
      </c>
      <c r="I5068" s="4" t="s">
        <v>69</v>
      </c>
      <c r="J5068" s="4" t="s">
        <v>66</v>
      </c>
      <c r="K5068" s="4">
        <v>0</v>
      </c>
      <c r="L5068" s="94">
        <v>-310906</v>
      </c>
      <c r="M5068" s="94">
        <v>0</v>
      </c>
    </row>
    <row r="5069" spans="3:13" x14ac:dyDescent="0.3">
      <c r="C5069" t="s">
        <v>71</v>
      </c>
      <c r="D5069" t="s">
        <v>67</v>
      </c>
      <c r="E5069" t="s">
        <v>68</v>
      </c>
      <c r="F5069" t="s">
        <v>72</v>
      </c>
      <c r="G5069" s="4">
        <v>0</v>
      </c>
      <c r="H5069" s="4" t="s">
        <v>76</v>
      </c>
      <c r="I5069" s="4" t="s">
        <v>69</v>
      </c>
      <c r="J5069" s="4" t="s">
        <v>66</v>
      </c>
      <c r="K5069" s="4">
        <v>0</v>
      </c>
      <c r="L5069" s="94">
        <v>148281</v>
      </c>
      <c r="M5069" s="94">
        <v>0</v>
      </c>
    </row>
    <row r="5070" spans="3:13" x14ac:dyDescent="0.3">
      <c r="C5070" t="s">
        <v>71</v>
      </c>
      <c r="D5070" t="s">
        <v>67</v>
      </c>
      <c r="E5070" t="s">
        <v>68</v>
      </c>
      <c r="F5070" t="s">
        <v>72</v>
      </c>
      <c r="G5070" s="4">
        <v>3</v>
      </c>
      <c r="H5070" s="4" t="s">
        <v>82</v>
      </c>
      <c r="I5070" s="4" t="s">
        <v>69</v>
      </c>
      <c r="J5070" s="4" t="s">
        <v>66</v>
      </c>
      <c r="K5070" s="4">
        <v>0</v>
      </c>
      <c r="L5070" s="94">
        <v>159205</v>
      </c>
      <c r="M5070" s="94">
        <v>477615</v>
      </c>
    </row>
    <row r="5071" spans="3:13" x14ac:dyDescent="0.3">
      <c r="C5071" t="s">
        <v>70</v>
      </c>
      <c r="D5071" t="s">
        <v>67</v>
      </c>
      <c r="E5071" t="s">
        <v>63</v>
      </c>
      <c r="F5071" t="s">
        <v>25</v>
      </c>
      <c r="G5071" s="4">
        <v>5</v>
      </c>
      <c r="H5071" s="4" t="s">
        <v>12</v>
      </c>
      <c r="I5071" s="4" t="s">
        <v>69</v>
      </c>
      <c r="J5071" s="4" t="s">
        <v>66</v>
      </c>
      <c r="K5071" s="4">
        <v>1</v>
      </c>
      <c r="L5071" s="94">
        <v>-21866</v>
      </c>
      <c r="M5071" s="94">
        <v>0</v>
      </c>
    </row>
    <row r="5072" spans="3:13" x14ac:dyDescent="0.3">
      <c r="C5072" t="s">
        <v>61</v>
      </c>
      <c r="D5072" t="s">
        <v>67</v>
      </c>
      <c r="E5072" t="s">
        <v>68</v>
      </c>
      <c r="F5072" t="s">
        <v>26</v>
      </c>
      <c r="G5072" s="4">
        <v>5</v>
      </c>
      <c r="H5072" s="4" t="s">
        <v>76</v>
      </c>
      <c r="I5072" s="4" t="s">
        <v>69</v>
      </c>
      <c r="J5072" s="4" t="s">
        <v>66</v>
      </c>
      <c r="K5072" s="4">
        <v>0</v>
      </c>
      <c r="L5072" s="94">
        <v>17654384</v>
      </c>
      <c r="M5072" s="94">
        <v>88271920</v>
      </c>
    </row>
    <row r="5073" spans="3:13" x14ac:dyDescent="0.3">
      <c r="C5073" t="s">
        <v>61</v>
      </c>
      <c r="D5073" t="s">
        <v>62</v>
      </c>
      <c r="E5073" t="s">
        <v>63</v>
      </c>
      <c r="F5073" t="s">
        <v>24</v>
      </c>
      <c r="G5073" s="4">
        <v>43</v>
      </c>
      <c r="I5073" s="4" t="s">
        <v>69</v>
      </c>
      <c r="J5073" s="4" t="s">
        <v>66</v>
      </c>
      <c r="K5073" s="4">
        <v>0</v>
      </c>
      <c r="L5073" s="94">
        <v>-11594</v>
      </c>
      <c r="M5073" s="94">
        <v>0</v>
      </c>
    </row>
    <row r="5074" spans="3:13" x14ac:dyDescent="0.3">
      <c r="C5074" t="s">
        <v>70</v>
      </c>
      <c r="D5074" t="s">
        <v>62</v>
      </c>
      <c r="E5074" t="s">
        <v>68</v>
      </c>
      <c r="F5074" t="s">
        <v>25</v>
      </c>
      <c r="G5074" s="4">
        <v>-4</v>
      </c>
      <c r="I5074" s="4" t="s">
        <v>69</v>
      </c>
      <c r="J5074" s="4" t="s">
        <v>66</v>
      </c>
      <c r="K5074" s="4">
        <v>0</v>
      </c>
      <c r="L5074" s="94">
        <v>107551</v>
      </c>
      <c r="M5074" s="94">
        <v>0</v>
      </c>
    </row>
    <row r="5075" spans="3:13" x14ac:dyDescent="0.3">
      <c r="C5075" t="s">
        <v>61</v>
      </c>
      <c r="D5075" t="s">
        <v>67</v>
      </c>
      <c r="E5075" t="s">
        <v>63</v>
      </c>
      <c r="F5075" t="s">
        <v>26</v>
      </c>
      <c r="G5075" s="4">
        <v>-1</v>
      </c>
      <c r="H5075" s="4" t="s">
        <v>74</v>
      </c>
      <c r="I5075" s="4" t="s">
        <v>69</v>
      </c>
      <c r="J5075" s="4" t="s">
        <v>66</v>
      </c>
      <c r="K5075" s="4">
        <v>0</v>
      </c>
      <c r="L5075" s="94">
        <v>-360962</v>
      </c>
      <c r="M5075" s="94">
        <v>0</v>
      </c>
    </row>
    <row r="5076" spans="3:13" x14ac:dyDescent="0.3">
      <c r="C5076" t="s">
        <v>71</v>
      </c>
      <c r="D5076" t="s">
        <v>67</v>
      </c>
      <c r="E5076" t="s">
        <v>63</v>
      </c>
      <c r="F5076" t="s">
        <v>25</v>
      </c>
      <c r="G5076" s="4">
        <v>4</v>
      </c>
      <c r="H5076" s="4" t="s">
        <v>76</v>
      </c>
      <c r="I5076" s="4" t="s">
        <v>65</v>
      </c>
      <c r="J5076" s="4" t="s">
        <v>66</v>
      </c>
      <c r="K5076" s="4">
        <v>1</v>
      </c>
      <c r="L5076" s="94">
        <v>-2840</v>
      </c>
      <c r="M5076" s="94">
        <v>0</v>
      </c>
    </row>
    <row r="5077" spans="3:13" x14ac:dyDescent="0.3">
      <c r="C5077" t="s">
        <v>70</v>
      </c>
      <c r="D5077" t="s">
        <v>67</v>
      </c>
      <c r="E5077" t="s">
        <v>68</v>
      </c>
      <c r="F5077" t="s">
        <v>72</v>
      </c>
      <c r="G5077" s="4">
        <v>1</v>
      </c>
      <c r="H5077" s="4" t="s">
        <v>12</v>
      </c>
      <c r="I5077" s="4" t="s">
        <v>69</v>
      </c>
      <c r="J5077" s="4" t="s">
        <v>73</v>
      </c>
      <c r="K5077" s="4">
        <v>1</v>
      </c>
      <c r="L5077" s="94">
        <v>1112753</v>
      </c>
      <c r="M5077" s="94">
        <v>1112753</v>
      </c>
    </row>
    <row r="5078" spans="3:13" x14ac:dyDescent="0.3">
      <c r="C5078" t="s">
        <v>71</v>
      </c>
      <c r="D5078" t="s">
        <v>67</v>
      </c>
      <c r="E5078" t="s">
        <v>68</v>
      </c>
      <c r="F5078" t="s">
        <v>26</v>
      </c>
      <c r="G5078" s="4">
        <v>5</v>
      </c>
      <c r="H5078" s="4" t="s">
        <v>14</v>
      </c>
      <c r="I5078" s="4" t="s">
        <v>69</v>
      </c>
      <c r="J5078" s="4" t="s">
        <v>66</v>
      </c>
      <c r="K5078" s="4">
        <v>0</v>
      </c>
      <c r="L5078" s="94">
        <v>2235854</v>
      </c>
      <c r="M5078" s="94">
        <v>11179270</v>
      </c>
    </row>
    <row r="5079" spans="3:13" x14ac:dyDescent="0.3">
      <c r="C5079" t="s">
        <v>70</v>
      </c>
      <c r="D5079" t="s">
        <v>67</v>
      </c>
      <c r="E5079" t="s">
        <v>63</v>
      </c>
      <c r="F5079" t="s">
        <v>26</v>
      </c>
      <c r="G5079" s="4">
        <v>2</v>
      </c>
      <c r="H5079" s="4" t="s">
        <v>12</v>
      </c>
      <c r="I5079" s="4" t="s">
        <v>69</v>
      </c>
      <c r="J5079" s="4" t="s">
        <v>73</v>
      </c>
      <c r="K5079" s="4">
        <v>1</v>
      </c>
      <c r="L5079" s="94">
        <v>-63651</v>
      </c>
      <c r="M5079" s="94">
        <v>0</v>
      </c>
    </row>
    <row r="5080" spans="3:13" x14ac:dyDescent="0.3">
      <c r="C5080" t="s">
        <v>70</v>
      </c>
      <c r="D5080" t="s">
        <v>67</v>
      </c>
      <c r="E5080" t="s">
        <v>63</v>
      </c>
      <c r="F5080" t="s">
        <v>72</v>
      </c>
      <c r="G5080" s="4">
        <v>0</v>
      </c>
      <c r="H5080" s="4" t="s">
        <v>17</v>
      </c>
      <c r="I5080" s="4" t="s">
        <v>69</v>
      </c>
      <c r="J5080" s="4" t="s">
        <v>73</v>
      </c>
      <c r="K5080" s="4">
        <v>1</v>
      </c>
      <c r="L5080" s="94">
        <v>-68</v>
      </c>
      <c r="M5080" s="94">
        <v>0</v>
      </c>
    </row>
    <row r="5081" spans="3:13" x14ac:dyDescent="0.3">
      <c r="C5081" t="s">
        <v>70</v>
      </c>
      <c r="D5081" t="s">
        <v>67</v>
      </c>
      <c r="E5081" t="s">
        <v>63</v>
      </c>
      <c r="F5081" t="s">
        <v>25</v>
      </c>
      <c r="G5081" s="4">
        <v>12</v>
      </c>
      <c r="H5081" s="4" t="s">
        <v>79</v>
      </c>
      <c r="I5081" s="4" t="s">
        <v>69</v>
      </c>
      <c r="J5081" s="4" t="s">
        <v>66</v>
      </c>
      <c r="K5081" s="4">
        <v>0</v>
      </c>
      <c r="L5081" s="94">
        <v>-70560</v>
      </c>
      <c r="M5081" s="94">
        <v>0</v>
      </c>
    </row>
    <row r="5082" spans="3:13" x14ac:dyDescent="0.3">
      <c r="C5082" t="s">
        <v>71</v>
      </c>
      <c r="D5082" t="s">
        <v>67</v>
      </c>
      <c r="E5082" t="s">
        <v>63</v>
      </c>
      <c r="F5082" t="s">
        <v>26</v>
      </c>
      <c r="G5082" s="4">
        <v>1</v>
      </c>
      <c r="H5082" s="4" t="s">
        <v>16</v>
      </c>
      <c r="I5082" s="4" t="s">
        <v>69</v>
      </c>
      <c r="J5082" s="4" t="s">
        <v>66</v>
      </c>
      <c r="K5082" s="4">
        <v>0</v>
      </c>
      <c r="L5082" s="94">
        <v>-2817</v>
      </c>
      <c r="M5082" s="94">
        <v>0</v>
      </c>
    </row>
    <row r="5083" spans="3:13" x14ac:dyDescent="0.3">
      <c r="C5083" t="s">
        <v>61</v>
      </c>
      <c r="D5083" t="s">
        <v>67</v>
      </c>
      <c r="E5083" t="s">
        <v>63</v>
      </c>
      <c r="F5083" t="s">
        <v>25</v>
      </c>
      <c r="G5083" s="4">
        <v>12</v>
      </c>
      <c r="H5083" s="4" t="s">
        <v>78</v>
      </c>
      <c r="I5083" s="4" t="s">
        <v>69</v>
      </c>
      <c r="J5083" s="4" t="s">
        <v>66</v>
      </c>
      <c r="K5083" s="4">
        <v>0</v>
      </c>
      <c r="L5083" s="94">
        <v>-5875</v>
      </c>
      <c r="M5083" s="94">
        <v>0</v>
      </c>
    </row>
    <row r="5084" spans="3:13" x14ac:dyDescent="0.3">
      <c r="C5084" t="s">
        <v>61</v>
      </c>
      <c r="D5084" t="s">
        <v>67</v>
      </c>
      <c r="E5084" t="s">
        <v>68</v>
      </c>
      <c r="F5084" t="s">
        <v>26</v>
      </c>
      <c r="G5084" s="4">
        <v>10</v>
      </c>
      <c r="H5084" s="4" t="s">
        <v>83</v>
      </c>
      <c r="I5084" s="4" t="s">
        <v>69</v>
      </c>
      <c r="J5084" s="4" t="s">
        <v>66</v>
      </c>
      <c r="K5084" s="4">
        <v>0</v>
      </c>
      <c r="L5084" s="94">
        <v>7336701</v>
      </c>
      <c r="M5084" s="94">
        <v>73367010</v>
      </c>
    </row>
    <row r="5085" spans="3:13" x14ac:dyDescent="0.3">
      <c r="C5085" t="s">
        <v>70</v>
      </c>
      <c r="D5085" t="s">
        <v>67</v>
      </c>
      <c r="E5085" t="s">
        <v>63</v>
      </c>
      <c r="F5085" t="s">
        <v>26</v>
      </c>
      <c r="G5085" s="4">
        <v>2</v>
      </c>
      <c r="H5085" s="4" t="s">
        <v>17</v>
      </c>
      <c r="I5085" s="4" t="s">
        <v>65</v>
      </c>
      <c r="J5085" s="4" t="s">
        <v>66</v>
      </c>
      <c r="K5085" s="4">
        <v>1</v>
      </c>
      <c r="L5085" s="94">
        <v>-6675</v>
      </c>
      <c r="M5085" s="94">
        <v>0</v>
      </c>
    </row>
    <row r="5086" spans="3:13" x14ac:dyDescent="0.3">
      <c r="C5086" t="s">
        <v>61</v>
      </c>
      <c r="D5086" t="s">
        <v>67</v>
      </c>
      <c r="E5086" t="s">
        <v>63</v>
      </c>
      <c r="F5086" t="s">
        <v>26</v>
      </c>
      <c r="G5086" s="4">
        <v>0</v>
      </c>
      <c r="H5086" s="4" t="s">
        <v>75</v>
      </c>
      <c r="I5086" s="4" t="s">
        <v>69</v>
      </c>
      <c r="J5086" s="4" t="s">
        <v>66</v>
      </c>
      <c r="K5086" s="4">
        <v>0</v>
      </c>
      <c r="L5086" s="94">
        <v>-90422</v>
      </c>
      <c r="M5086" s="94">
        <v>0</v>
      </c>
    </row>
    <row r="5087" spans="3:13" x14ac:dyDescent="0.3">
      <c r="C5087" t="s">
        <v>61</v>
      </c>
      <c r="D5087" t="s">
        <v>67</v>
      </c>
      <c r="E5087" t="s">
        <v>68</v>
      </c>
      <c r="F5087" t="s">
        <v>25</v>
      </c>
      <c r="G5087" s="4">
        <v>7</v>
      </c>
      <c r="H5087" s="4" t="s">
        <v>17</v>
      </c>
      <c r="I5087" s="4" t="s">
        <v>69</v>
      </c>
      <c r="J5087" s="4" t="s">
        <v>66</v>
      </c>
      <c r="K5087" s="4">
        <v>0</v>
      </c>
      <c r="L5087" s="94">
        <v>1359485</v>
      </c>
      <c r="M5087" s="94">
        <v>9516395</v>
      </c>
    </row>
    <row r="5088" spans="3:13" x14ac:dyDescent="0.3">
      <c r="C5088" t="s">
        <v>70</v>
      </c>
      <c r="D5088" t="s">
        <v>67</v>
      </c>
      <c r="E5088" t="s">
        <v>63</v>
      </c>
      <c r="F5088" t="s">
        <v>25</v>
      </c>
      <c r="G5088" s="4">
        <v>11</v>
      </c>
      <c r="H5088" s="4" t="s">
        <v>64</v>
      </c>
      <c r="I5088" s="4" t="s">
        <v>69</v>
      </c>
      <c r="J5088" s="4" t="s">
        <v>66</v>
      </c>
      <c r="K5088" s="4">
        <v>0</v>
      </c>
      <c r="L5088" s="94">
        <v>-7831284</v>
      </c>
      <c r="M5088" s="94">
        <v>0</v>
      </c>
    </row>
    <row r="5089" spans="3:13" x14ac:dyDescent="0.3">
      <c r="C5089" t="s">
        <v>70</v>
      </c>
      <c r="D5089" t="s">
        <v>67</v>
      </c>
      <c r="E5089" t="s">
        <v>68</v>
      </c>
      <c r="F5089" t="s">
        <v>26</v>
      </c>
      <c r="G5089" s="4">
        <v>0</v>
      </c>
      <c r="H5089" s="4" t="s">
        <v>12</v>
      </c>
      <c r="I5089" s="4" t="s">
        <v>69</v>
      </c>
      <c r="J5089" s="4" t="s">
        <v>73</v>
      </c>
      <c r="K5089" s="4">
        <v>1</v>
      </c>
      <c r="L5089" s="94">
        <v>352516</v>
      </c>
      <c r="M5089" s="94">
        <v>0</v>
      </c>
    </row>
    <row r="5090" spans="3:13" x14ac:dyDescent="0.3">
      <c r="C5090" t="s">
        <v>71</v>
      </c>
      <c r="D5090" t="s">
        <v>67</v>
      </c>
      <c r="E5090" t="s">
        <v>63</v>
      </c>
      <c r="F5090" t="s">
        <v>26</v>
      </c>
      <c r="G5090" s="4">
        <v>4</v>
      </c>
      <c r="H5090" s="4" t="s">
        <v>17</v>
      </c>
      <c r="I5090" s="4" t="s">
        <v>69</v>
      </c>
      <c r="J5090" s="4" t="s">
        <v>66</v>
      </c>
      <c r="K5090" s="4">
        <v>0</v>
      </c>
      <c r="L5090" s="94">
        <v>-611049</v>
      </c>
      <c r="M5090" s="94">
        <v>0</v>
      </c>
    </row>
    <row r="5091" spans="3:13" x14ac:dyDescent="0.3">
      <c r="C5091" t="s">
        <v>61</v>
      </c>
      <c r="D5091" t="s">
        <v>67</v>
      </c>
      <c r="E5091" t="s">
        <v>68</v>
      </c>
      <c r="F5091" t="s">
        <v>25</v>
      </c>
      <c r="G5091" s="4">
        <v>19</v>
      </c>
      <c r="H5091" s="4" t="s">
        <v>17</v>
      </c>
      <c r="I5091" s="4" t="s">
        <v>69</v>
      </c>
      <c r="J5091" s="4" t="s">
        <v>66</v>
      </c>
      <c r="K5091" s="4">
        <v>0</v>
      </c>
      <c r="L5091" s="94">
        <v>229308</v>
      </c>
      <c r="M5091" s="94">
        <v>4356852</v>
      </c>
    </row>
    <row r="5092" spans="3:13" x14ac:dyDescent="0.3">
      <c r="C5092" t="s">
        <v>71</v>
      </c>
      <c r="D5092" t="s">
        <v>67</v>
      </c>
      <c r="E5092" t="s">
        <v>63</v>
      </c>
      <c r="F5092" t="s">
        <v>72</v>
      </c>
      <c r="G5092" s="4">
        <v>0</v>
      </c>
      <c r="H5092" s="4" t="s">
        <v>17</v>
      </c>
      <c r="I5092" s="4" t="s">
        <v>69</v>
      </c>
      <c r="J5092" s="4" t="s">
        <v>66</v>
      </c>
      <c r="K5092" s="4">
        <v>0</v>
      </c>
      <c r="L5092" s="94">
        <v>-89991</v>
      </c>
      <c r="M5092" s="94">
        <v>0</v>
      </c>
    </row>
    <row r="5093" spans="3:13" x14ac:dyDescent="0.3">
      <c r="C5093" t="s">
        <v>70</v>
      </c>
      <c r="D5093" t="s">
        <v>62</v>
      </c>
      <c r="E5093" t="s">
        <v>68</v>
      </c>
      <c r="F5093" t="s">
        <v>24</v>
      </c>
      <c r="G5093" s="4">
        <v>34</v>
      </c>
      <c r="I5093" s="4" t="s">
        <v>69</v>
      </c>
      <c r="J5093" s="4" t="s">
        <v>66</v>
      </c>
      <c r="K5093" s="4">
        <v>0</v>
      </c>
      <c r="L5093" s="94">
        <v>64275704</v>
      </c>
      <c r="M5093" s="94">
        <v>2185373936</v>
      </c>
    </row>
    <row r="5094" spans="3:13" x14ac:dyDescent="0.3">
      <c r="C5094" t="s">
        <v>71</v>
      </c>
      <c r="D5094" t="s">
        <v>67</v>
      </c>
      <c r="E5094" t="s">
        <v>68</v>
      </c>
      <c r="F5094" t="s">
        <v>26</v>
      </c>
      <c r="G5094" s="4">
        <v>3</v>
      </c>
      <c r="H5094" s="4" t="s">
        <v>74</v>
      </c>
      <c r="I5094" s="4" t="s">
        <v>69</v>
      </c>
      <c r="J5094" s="4" t="s">
        <v>66</v>
      </c>
      <c r="K5094" s="4">
        <v>0</v>
      </c>
      <c r="L5094" s="94">
        <v>1251464</v>
      </c>
      <c r="M5094" s="94">
        <v>3754392</v>
      </c>
    </row>
    <row r="5095" spans="3:13" x14ac:dyDescent="0.3">
      <c r="C5095" t="s">
        <v>61</v>
      </c>
      <c r="D5095" t="s">
        <v>67</v>
      </c>
      <c r="E5095" t="s">
        <v>68</v>
      </c>
      <c r="F5095" t="s">
        <v>26</v>
      </c>
      <c r="G5095" s="4">
        <v>0</v>
      </c>
      <c r="H5095" s="4" t="s">
        <v>75</v>
      </c>
      <c r="I5095" s="4" t="s">
        <v>69</v>
      </c>
      <c r="J5095" s="4" t="s">
        <v>66</v>
      </c>
      <c r="K5095" s="4">
        <v>0</v>
      </c>
      <c r="L5095" s="94">
        <v>41038025</v>
      </c>
      <c r="M5095" s="94">
        <v>0</v>
      </c>
    </row>
    <row r="5096" spans="3:13" x14ac:dyDescent="0.3">
      <c r="C5096" t="s">
        <v>70</v>
      </c>
      <c r="D5096" t="s">
        <v>67</v>
      </c>
      <c r="E5096" t="s">
        <v>68</v>
      </c>
      <c r="F5096" t="s">
        <v>25</v>
      </c>
      <c r="G5096" s="4">
        <v>11</v>
      </c>
      <c r="H5096" s="4" t="s">
        <v>82</v>
      </c>
      <c r="I5096" s="4" t="s">
        <v>69</v>
      </c>
      <c r="J5096" s="4" t="s">
        <v>66</v>
      </c>
      <c r="K5096" s="4">
        <v>0</v>
      </c>
      <c r="L5096" s="94">
        <v>236854</v>
      </c>
      <c r="M5096" s="94">
        <v>2605394</v>
      </c>
    </row>
    <row r="5097" spans="3:13" x14ac:dyDescent="0.3">
      <c r="C5097" t="s">
        <v>71</v>
      </c>
      <c r="D5097" t="s">
        <v>67</v>
      </c>
      <c r="E5097" t="s">
        <v>68</v>
      </c>
      <c r="F5097" t="s">
        <v>25</v>
      </c>
      <c r="G5097" s="4">
        <v>-1</v>
      </c>
      <c r="H5097" s="4" t="s">
        <v>17</v>
      </c>
      <c r="I5097" s="4" t="s">
        <v>69</v>
      </c>
      <c r="J5097" s="4" t="s">
        <v>66</v>
      </c>
      <c r="K5097" s="4">
        <v>0</v>
      </c>
      <c r="L5097" s="94">
        <v>4507</v>
      </c>
      <c r="M5097" s="94">
        <v>0</v>
      </c>
    </row>
    <row r="5098" spans="3:13" x14ac:dyDescent="0.3">
      <c r="C5098" t="s">
        <v>61</v>
      </c>
      <c r="D5098" t="s">
        <v>62</v>
      </c>
      <c r="E5098" t="s">
        <v>63</v>
      </c>
      <c r="F5098" t="s">
        <v>25</v>
      </c>
      <c r="G5098" s="4">
        <v>9</v>
      </c>
      <c r="I5098" s="4" t="s">
        <v>69</v>
      </c>
      <c r="J5098" s="4" t="s">
        <v>66</v>
      </c>
      <c r="K5098" s="4">
        <v>0</v>
      </c>
      <c r="L5098" s="94">
        <v>-15583</v>
      </c>
      <c r="M5098" s="94">
        <v>0</v>
      </c>
    </row>
    <row r="5099" spans="3:13" x14ac:dyDescent="0.3">
      <c r="C5099" t="s">
        <v>70</v>
      </c>
      <c r="D5099" t="s">
        <v>67</v>
      </c>
      <c r="E5099" t="s">
        <v>63</v>
      </c>
      <c r="F5099" t="s">
        <v>72</v>
      </c>
      <c r="G5099" s="4">
        <v>-4</v>
      </c>
      <c r="H5099" s="4" t="s">
        <v>13</v>
      </c>
      <c r="I5099" s="4" t="s">
        <v>69</v>
      </c>
      <c r="J5099" s="4" t="s">
        <v>73</v>
      </c>
      <c r="K5099" s="4">
        <v>1</v>
      </c>
      <c r="L5099" s="94">
        <v>-167</v>
      </c>
      <c r="M5099" s="94">
        <v>0</v>
      </c>
    </row>
    <row r="5100" spans="3:13" x14ac:dyDescent="0.3">
      <c r="C5100" t="s">
        <v>71</v>
      </c>
      <c r="D5100" t="s">
        <v>67</v>
      </c>
      <c r="E5100" t="s">
        <v>68</v>
      </c>
      <c r="F5100" t="s">
        <v>25</v>
      </c>
      <c r="G5100" s="4">
        <v>8</v>
      </c>
      <c r="H5100" s="4" t="s">
        <v>14</v>
      </c>
      <c r="I5100" s="4" t="s">
        <v>69</v>
      </c>
      <c r="J5100" s="4" t="s">
        <v>66</v>
      </c>
      <c r="K5100" s="4">
        <v>0</v>
      </c>
      <c r="L5100" s="94">
        <v>561933</v>
      </c>
      <c r="M5100" s="94">
        <v>4495464</v>
      </c>
    </row>
    <row r="5101" spans="3:13" x14ac:dyDescent="0.3">
      <c r="C5101" t="s">
        <v>61</v>
      </c>
      <c r="D5101" t="s">
        <v>67</v>
      </c>
      <c r="E5101" t="s">
        <v>63</v>
      </c>
      <c r="F5101" t="s">
        <v>26</v>
      </c>
      <c r="G5101" s="4">
        <v>1</v>
      </c>
      <c r="H5101" s="4" t="s">
        <v>18</v>
      </c>
      <c r="I5101" s="4" t="s">
        <v>69</v>
      </c>
      <c r="J5101" s="4" t="s">
        <v>66</v>
      </c>
      <c r="K5101" s="4">
        <v>0</v>
      </c>
      <c r="L5101" s="94">
        <v>-553266</v>
      </c>
      <c r="M5101" s="94">
        <v>0</v>
      </c>
    </row>
    <row r="5102" spans="3:13" x14ac:dyDescent="0.3">
      <c r="C5102" t="s">
        <v>61</v>
      </c>
      <c r="D5102" t="s">
        <v>67</v>
      </c>
      <c r="E5102" t="s">
        <v>68</v>
      </c>
      <c r="F5102" t="s">
        <v>26</v>
      </c>
      <c r="G5102" s="4">
        <v>2</v>
      </c>
      <c r="H5102" s="4" t="s">
        <v>79</v>
      </c>
      <c r="I5102" s="4" t="s">
        <v>69</v>
      </c>
      <c r="J5102" s="4" t="s">
        <v>66</v>
      </c>
      <c r="K5102" s="4">
        <v>0</v>
      </c>
      <c r="L5102" s="94">
        <v>13100273</v>
      </c>
      <c r="M5102" s="94">
        <v>26200546</v>
      </c>
    </row>
    <row r="5103" spans="3:13" x14ac:dyDescent="0.3">
      <c r="C5103" t="s">
        <v>61</v>
      </c>
      <c r="D5103" t="s">
        <v>62</v>
      </c>
      <c r="E5103" t="s">
        <v>63</v>
      </c>
      <c r="F5103" t="s">
        <v>24</v>
      </c>
      <c r="G5103" s="4">
        <v>-1</v>
      </c>
      <c r="I5103" s="4" t="s">
        <v>69</v>
      </c>
      <c r="J5103" s="4" t="s">
        <v>66</v>
      </c>
      <c r="K5103" s="4">
        <v>0</v>
      </c>
      <c r="L5103" s="94">
        <v>-843</v>
      </c>
      <c r="M5103" s="94">
        <v>0</v>
      </c>
    </row>
    <row r="5104" spans="3:13" x14ac:dyDescent="0.3">
      <c r="C5104" t="s">
        <v>61</v>
      </c>
      <c r="D5104" t="s">
        <v>67</v>
      </c>
      <c r="E5104" t="s">
        <v>68</v>
      </c>
      <c r="F5104" t="s">
        <v>72</v>
      </c>
      <c r="G5104" s="4">
        <v>4</v>
      </c>
      <c r="H5104" s="4" t="s">
        <v>82</v>
      </c>
      <c r="I5104" s="4" t="s">
        <v>65</v>
      </c>
      <c r="J5104" s="4" t="s">
        <v>66</v>
      </c>
      <c r="K5104" s="4">
        <v>1</v>
      </c>
      <c r="L5104" s="94">
        <v>5461726</v>
      </c>
      <c r="M5104" s="94">
        <v>21846904</v>
      </c>
    </row>
    <row r="5105" spans="3:13" x14ac:dyDescent="0.3">
      <c r="C5105" t="s">
        <v>61</v>
      </c>
      <c r="D5105" t="s">
        <v>67</v>
      </c>
      <c r="E5105" t="s">
        <v>68</v>
      </c>
      <c r="F5105" t="s">
        <v>26</v>
      </c>
      <c r="G5105" s="4">
        <v>3</v>
      </c>
      <c r="H5105" s="4" t="s">
        <v>18</v>
      </c>
      <c r="I5105" s="4" t="s">
        <v>69</v>
      </c>
      <c r="J5105" s="4" t="s">
        <v>66</v>
      </c>
      <c r="K5105" s="4">
        <v>0</v>
      </c>
      <c r="L5105" s="94">
        <v>109931988</v>
      </c>
      <c r="M5105" s="94">
        <v>329795964</v>
      </c>
    </row>
    <row r="5106" spans="3:13" x14ac:dyDescent="0.3">
      <c r="C5106" t="s">
        <v>71</v>
      </c>
      <c r="D5106" t="s">
        <v>67</v>
      </c>
      <c r="E5106" t="s">
        <v>68</v>
      </c>
      <c r="F5106" t="s">
        <v>26</v>
      </c>
      <c r="G5106" s="4">
        <v>0</v>
      </c>
      <c r="H5106" s="4" t="s">
        <v>17</v>
      </c>
      <c r="I5106" s="4" t="s">
        <v>69</v>
      </c>
      <c r="J5106" s="4" t="s">
        <v>66</v>
      </c>
      <c r="K5106" s="4">
        <v>0</v>
      </c>
      <c r="L5106" s="94">
        <v>676502</v>
      </c>
      <c r="M5106" s="94">
        <v>0</v>
      </c>
    </row>
    <row r="5107" spans="3:13" x14ac:dyDescent="0.3">
      <c r="C5107" t="s">
        <v>71</v>
      </c>
      <c r="D5107" t="s">
        <v>67</v>
      </c>
      <c r="E5107" t="s">
        <v>68</v>
      </c>
      <c r="F5107" t="s">
        <v>72</v>
      </c>
      <c r="G5107" s="4">
        <v>1</v>
      </c>
      <c r="H5107" s="4" t="s">
        <v>14</v>
      </c>
      <c r="I5107" s="4" t="s">
        <v>69</v>
      </c>
      <c r="J5107" s="4" t="s">
        <v>66</v>
      </c>
      <c r="K5107" s="4">
        <v>0</v>
      </c>
      <c r="L5107" s="94">
        <v>139410</v>
      </c>
      <c r="M5107" s="94">
        <v>139410</v>
      </c>
    </row>
    <row r="5108" spans="3:13" x14ac:dyDescent="0.3">
      <c r="C5108" t="s">
        <v>61</v>
      </c>
      <c r="D5108" t="s">
        <v>84</v>
      </c>
      <c r="E5108" t="s">
        <v>63</v>
      </c>
      <c r="F5108" t="s">
        <v>25</v>
      </c>
      <c r="G5108" s="4">
        <v>2</v>
      </c>
      <c r="H5108" s="4" t="s">
        <v>76</v>
      </c>
      <c r="I5108" s="4" t="s">
        <v>69</v>
      </c>
      <c r="J5108" s="4" t="s">
        <v>66</v>
      </c>
      <c r="K5108" s="4">
        <v>0</v>
      </c>
      <c r="L5108" s="94">
        <v>-8934</v>
      </c>
      <c r="M5108" s="94">
        <v>0</v>
      </c>
    </row>
    <row r="5109" spans="3:13" x14ac:dyDescent="0.3">
      <c r="C5109" t="s">
        <v>70</v>
      </c>
      <c r="D5109" t="s">
        <v>67</v>
      </c>
      <c r="E5109" t="s">
        <v>63</v>
      </c>
      <c r="F5109" t="s">
        <v>72</v>
      </c>
      <c r="G5109" s="4">
        <v>4</v>
      </c>
      <c r="H5109" s="4" t="s">
        <v>14</v>
      </c>
      <c r="I5109" s="4" t="s">
        <v>65</v>
      </c>
      <c r="J5109" s="4" t="s">
        <v>66</v>
      </c>
      <c r="K5109" s="4">
        <v>1</v>
      </c>
      <c r="L5109" s="94">
        <v>-2776</v>
      </c>
      <c r="M5109" s="94">
        <v>0</v>
      </c>
    </row>
    <row r="5110" spans="3:13" x14ac:dyDescent="0.3">
      <c r="C5110" t="s">
        <v>71</v>
      </c>
      <c r="D5110" t="s">
        <v>67</v>
      </c>
      <c r="E5110" t="s">
        <v>63</v>
      </c>
      <c r="F5110" t="s">
        <v>72</v>
      </c>
      <c r="G5110" s="4">
        <v>-4</v>
      </c>
      <c r="H5110" s="4" t="s">
        <v>75</v>
      </c>
      <c r="I5110" s="4" t="s">
        <v>69</v>
      </c>
      <c r="J5110" s="4" t="s">
        <v>66</v>
      </c>
      <c r="K5110" s="4">
        <v>0</v>
      </c>
      <c r="L5110" s="94">
        <v>-1848</v>
      </c>
      <c r="M5110" s="94">
        <v>0</v>
      </c>
    </row>
    <row r="5111" spans="3:13" x14ac:dyDescent="0.3">
      <c r="C5111" t="s">
        <v>70</v>
      </c>
      <c r="D5111" t="s">
        <v>67</v>
      </c>
      <c r="E5111" t="s">
        <v>63</v>
      </c>
      <c r="F5111" t="s">
        <v>26</v>
      </c>
      <c r="G5111" s="4">
        <v>2</v>
      </c>
      <c r="H5111" s="4" t="s">
        <v>82</v>
      </c>
      <c r="I5111" s="4" t="s">
        <v>65</v>
      </c>
      <c r="J5111" s="4" t="s">
        <v>66</v>
      </c>
      <c r="K5111" s="4">
        <v>1</v>
      </c>
      <c r="L5111" s="94">
        <v>-21975</v>
      </c>
      <c r="M5111" s="94">
        <v>0</v>
      </c>
    </row>
    <row r="5112" spans="3:13" x14ac:dyDescent="0.3">
      <c r="C5112" t="s">
        <v>71</v>
      </c>
      <c r="D5112" t="s">
        <v>67</v>
      </c>
      <c r="E5112" t="s">
        <v>63</v>
      </c>
      <c r="F5112" t="s">
        <v>26</v>
      </c>
      <c r="G5112" s="4">
        <v>4</v>
      </c>
      <c r="H5112" s="4" t="s">
        <v>82</v>
      </c>
      <c r="I5112" s="4" t="s">
        <v>69</v>
      </c>
      <c r="J5112" s="4" t="s">
        <v>66</v>
      </c>
      <c r="K5112" s="4">
        <v>0</v>
      </c>
      <c r="L5112" s="94">
        <v>-198251</v>
      </c>
      <c r="M5112" s="94">
        <v>0</v>
      </c>
    </row>
    <row r="5113" spans="3:13" x14ac:dyDescent="0.3">
      <c r="C5113" t="s">
        <v>71</v>
      </c>
      <c r="D5113" t="s">
        <v>67</v>
      </c>
      <c r="E5113" t="s">
        <v>63</v>
      </c>
      <c r="F5113" t="s">
        <v>72</v>
      </c>
      <c r="G5113" s="4">
        <v>-1</v>
      </c>
      <c r="H5113" s="4" t="s">
        <v>17</v>
      </c>
      <c r="I5113" s="4" t="s">
        <v>69</v>
      </c>
      <c r="J5113" s="4" t="s">
        <v>73</v>
      </c>
      <c r="K5113" s="4">
        <v>1</v>
      </c>
      <c r="L5113" s="94">
        <v>-1502</v>
      </c>
      <c r="M5113" s="94">
        <v>0</v>
      </c>
    </row>
    <row r="5114" spans="3:13" x14ac:dyDescent="0.3">
      <c r="C5114" t="s">
        <v>70</v>
      </c>
      <c r="D5114" t="s">
        <v>67</v>
      </c>
      <c r="E5114" t="s">
        <v>63</v>
      </c>
      <c r="F5114" t="s">
        <v>26</v>
      </c>
      <c r="G5114" s="4">
        <v>6</v>
      </c>
      <c r="H5114" s="4" t="s">
        <v>79</v>
      </c>
      <c r="I5114" s="4" t="s">
        <v>69</v>
      </c>
      <c r="J5114" s="4" t="s">
        <v>66</v>
      </c>
      <c r="K5114" s="4">
        <v>0</v>
      </c>
      <c r="L5114" s="94">
        <v>-310690</v>
      </c>
      <c r="M5114" s="94">
        <v>0</v>
      </c>
    </row>
    <row r="5115" spans="3:13" x14ac:dyDescent="0.3">
      <c r="C5115" t="s">
        <v>71</v>
      </c>
      <c r="D5115" t="s">
        <v>67</v>
      </c>
      <c r="E5115" t="s">
        <v>68</v>
      </c>
      <c r="F5115" t="s">
        <v>26</v>
      </c>
      <c r="G5115" s="4">
        <v>5</v>
      </c>
      <c r="H5115" s="4" t="s">
        <v>74</v>
      </c>
      <c r="I5115" s="4" t="s">
        <v>69</v>
      </c>
      <c r="J5115" s="4" t="s">
        <v>66</v>
      </c>
      <c r="K5115" s="4">
        <v>0</v>
      </c>
      <c r="L5115" s="94">
        <v>362370</v>
      </c>
      <c r="M5115" s="94">
        <v>1811850</v>
      </c>
    </row>
    <row r="5116" spans="3:13" x14ac:dyDescent="0.3">
      <c r="C5116" t="s">
        <v>70</v>
      </c>
      <c r="D5116" t="s">
        <v>67</v>
      </c>
      <c r="E5116" t="s">
        <v>63</v>
      </c>
      <c r="F5116" t="s">
        <v>72</v>
      </c>
      <c r="G5116" s="4">
        <v>1</v>
      </c>
      <c r="H5116" s="4" t="s">
        <v>64</v>
      </c>
      <c r="I5116" s="4" t="s">
        <v>69</v>
      </c>
      <c r="J5116" s="4" t="s">
        <v>66</v>
      </c>
      <c r="K5116" s="4">
        <v>0</v>
      </c>
      <c r="L5116" s="94">
        <v>-25557</v>
      </c>
      <c r="M5116" s="94">
        <v>0</v>
      </c>
    </row>
    <row r="5117" spans="3:13" x14ac:dyDescent="0.3">
      <c r="C5117" t="s">
        <v>70</v>
      </c>
      <c r="D5117" t="s">
        <v>67</v>
      </c>
      <c r="E5117" t="s">
        <v>68</v>
      </c>
      <c r="F5117" t="s">
        <v>26</v>
      </c>
      <c r="G5117" s="4">
        <v>0</v>
      </c>
      <c r="H5117" s="4" t="s">
        <v>82</v>
      </c>
      <c r="I5117" s="4" t="s">
        <v>65</v>
      </c>
      <c r="J5117" s="4" t="s">
        <v>66</v>
      </c>
      <c r="K5117" s="4">
        <v>1</v>
      </c>
      <c r="L5117" s="94">
        <v>3413584</v>
      </c>
      <c r="M5117" s="94">
        <v>0</v>
      </c>
    </row>
    <row r="5118" spans="3:13" x14ac:dyDescent="0.3">
      <c r="C5118" t="s">
        <v>71</v>
      </c>
      <c r="D5118" t="s">
        <v>67</v>
      </c>
      <c r="E5118" t="s">
        <v>63</v>
      </c>
      <c r="F5118" t="s">
        <v>26</v>
      </c>
      <c r="G5118" s="4">
        <v>1</v>
      </c>
      <c r="H5118" s="4" t="s">
        <v>81</v>
      </c>
      <c r="I5118" s="4" t="s">
        <v>69</v>
      </c>
      <c r="J5118" s="4" t="s">
        <v>66</v>
      </c>
      <c r="K5118" s="4">
        <v>0</v>
      </c>
      <c r="L5118" s="94">
        <v>-10538</v>
      </c>
      <c r="M5118" s="94">
        <v>0</v>
      </c>
    </row>
    <row r="5119" spans="3:13" x14ac:dyDescent="0.3">
      <c r="C5119" t="s">
        <v>71</v>
      </c>
      <c r="D5119" t="s">
        <v>62</v>
      </c>
      <c r="E5119" t="s">
        <v>63</v>
      </c>
      <c r="F5119" t="s">
        <v>24</v>
      </c>
      <c r="G5119" s="4">
        <v>8</v>
      </c>
      <c r="I5119" s="4" t="s">
        <v>69</v>
      </c>
      <c r="J5119" s="4" t="s">
        <v>66</v>
      </c>
      <c r="K5119" s="4">
        <v>1</v>
      </c>
      <c r="L5119" s="94">
        <v>-12274</v>
      </c>
      <c r="M5119" s="94">
        <v>0</v>
      </c>
    </row>
    <row r="5120" spans="3:13" x14ac:dyDescent="0.3">
      <c r="C5120" t="s">
        <v>61</v>
      </c>
      <c r="D5120" t="s">
        <v>67</v>
      </c>
      <c r="E5120" t="s">
        <v>68</v>
      </c>
      <c r="F5120" t="s">
        <v>72</v>
      </c>
      <c r="G5120" s="4">
        <v>8</v>
      </c>
      <c r="H5120" s="4" t="s">
        <v>82</v>
      </c>
      <c r="I5120" s="4" t="s">
        <v>69</v>
      </c>
      <c r="J5120" s="4" t="s">
        <v>66</v>
      </c>
      <c r="K5120" s="4">
        <v>0</v>
      </c>
      <c r="L5120" s="94">
        <v>9560733</v>
      </c>
      <c r="M5120" s="94">
        <v>76485864</v>
      </c>
    </row>
    <row r="5121" spans="3:13" x14ac:dyDescent="0.3">
      <c r="C5121" t="s">
        <v>70</v>
      </c>
      <c r="D5121" t="s">
        <v>67</v>
      </c>
      <c r="E5121" t="s">
        <v>63</v>
      </c>
      <c r="F5121" t="s">
        <v>25</v>
      </c>
      <c r="G5121" s="4">
        <v>15</v>
      </c>
      <c r="H5121" s="4" t="s">
        <v>80</v>
      </c>
      <c r="I5121" s="4" t="s">
        <v>69</v>
      </c>
      <c r="J5121" s="4" t="s">
        <v>66</v>
      </c>
      <c r="K5121" s="4">
        <v>0</v>
      </c>
      <c r="L5121" s="94">
        <v>-27725</v>
      </c>
      <c r="M5121" s="94">
        <v>0</v>
      </c>
    </row>
    <row r="5122" spans="3:13" x14ac:dyDescent="0.3">
      <c r="C5122" t="s">
        <v>61</v>
      </c>
      <c r="D5122" t="s">
        <v>67</v>
      </c>
      <c r="E5122" t="s">
        <v>63</v>
      </c>
      <c r="F5122" t="s">
        <v>26</v>
      </c>
      <c r="G5122" s="4">
        <v>-1</v>
      </c>
      <c r="H5122" s="4" t="s">
        <v>14</v>
      </c>
      <c r="I5122" s="4" t="s">
        <v>69</v>
      </c>
      <c r="J5122" s="4" t="s">
        <v>66</v>
      </c>
      <c r="K5122" s="4">
        <v>0</v>
      </c>
      <c r="L5122" s="94">
        <v>-328688</v>
      </c>
      <c r="M5122" s="94">
        <v>0</v>
      </c>
    </row>
    <row r="5123" spans="3:13" x14ac:dyDescent="0.3">
      <c r="C5123" t="s">
        <v>70</v>
      </c>
      <c r="D5123" t="s">
        <v>62</v>
      </c>
      <c r="E5123" t="s">
        <v>63</v>
      </c>
      <c r="F5123" t="s">
        <v>24</v>
      </c>
      <c r="G5123" s="4">
        <v>19</v>
      </c>
      <c r="I5123" s="4" t="s">
        <v>69</v>
      </c>
      <c r="J5123" s="4" t="s">
        <v>66</v>
      </c>
      <c r="K5123" s="4">
        <v>0</v>
      </c>
      <c r="L5123" s="94">
        <v>-966723</v>
      </c>
      <c r="M5123" s="94">
        <v>0</v>
      </c>
    </row>
    <row r="5124" spans="3:13" x14ac:dyDescent="0.3">
      <c r="C5124" t="s">
        <v>71</v>
      </c>
      <c r="D5124" t="s">
        <v>62</v>
      </c>
      <c r="E5124" t="s">
        <v>68</v>
      </c>
      <c r="F5124" t="s">
        <v>24</v>
      </c>
      <c r="G5124" s="4">
        <v>2</v>
      </c>
      <c r="I5124" s="4" t="s">
        <v>69</v>
      </c>
      <c r="J5124" s="4" t="s">
        <v>73</v>
      </c>
      <c r="K5124" s="4">
        <v>1</v>
      </c>
      <c r="L5124" s="94">
        <v>5716</v>
      </c>
      <c r="M5124" s="94">
        <v>11432</v>
      </c>
    </row>
    <row r="5125" spans="3:13" x14ac:dyDescent="0.3">
      <c r="C5125" t="s">
        <v>61</v>
      </c>
      <c r="D5125" t="s">
        <v>62</v>
      </c>
      <c r="E5125" t="s">
        <v>63</v>
      </c>
      <c r="F5125" t="s">
        <v>24</v>
      </c>
      <c r="G5125" s="4">
        <v>36</v>
      </c>
      <c r="I5125" s="4" t="s">
        <v>65</v>
      </c>
      <c r="J5125" s="4" t="s">
        <v>66</v>
      </c>
      <c r="K5125" s="4">
        <v>1</v>
      </c>
      <c r="L5125" s="94">
        <v>-8777</v>
      </c>
      <c r="M5125" s="94">
        <v>0</v>
      </c>
    </row>
    <row r="5126" spans="3:13" x14ac:dyDescent="0.3">
      <c r="C5126" t="s">
        <v>70</v>
      </c>
      <c r="D5126" t="s">
        <v>67</v>
      </c>
      <c r="E5126" t="s">
        <v>68</v>
      </c>
      <c r="F5126" t="s">
        <v>72</v>
      </c>
      <c r="G5126" s="4">
        <v>1</v>
      </c>
      <c r="H5126" s="4" t="s">
        <v>82</v>
      </c>
      <c r="I5126" s="4" t="s">
        <v>65</v>
      </c>
      <c r="J5126" s="4" t="s">
        <v>66</v>
      </c>
      <c r="K5126" s="4">
        <v>1</v>
      </c>
      <c r="L5126" s="94">
        <v>483362</v>
      </c>
      <c r="M5126" s="94">
        <v>483362</v>
      </c>
    </row>
    <row r="5127" spans="3:13" x14ac:dyDescent="0.3">
      <c r="C5127" t="s">
        <v>61</v>
      </c>
      <c r="D5127" t="s">
        <v>67</v>
      </c>
      <c r="E5127" t="s">
        <v>63</v>
      </c>
      <c r="F5127" t="s">
        <v>25</v>
      </c>
      <c r="G5127" s="4">
        <v>18</v>
      </c>
      <c r="H5127" s="4" t="s">
        <v>76</v>
      </c>
      <c r="I5127" s="4" t="s">
        <v>69</v>
      </c>
      <c r="J5127" s="4" t="s">
        <v>66</v>
      </c>
      <c r="K5127" s="4">
        <v>0</v>
      </c>
      <c r="L5127" s="94">
        <v>-171</v>
      </c>
      <c r="M5127" s="94">
        <v>0</v>
      </c>
    </row>
    <row r="5128" spans="3:13" x14ac:dyDescent="0.3">
      <c r="C5128" t="s">
        <v>61</v>
      </c>
      <c r="D5128" t="s">
        <v>67</v>
      </c>
      <c r="E5128" t="s">
        <v>63</v>
      </c>
      <c r="F5128" t="s">
        <v>25</v>
      </c>
      <c r="G5128" s="4">
        <v>8</v>
      </c>
      <c r="H5128" s="4" t="s">
        <v>74</v>
      </c>
      <c r="I5128" s="4" t="s">
        <v>69</v>
      </c>
      <c r="J5128" s="4" t="s">
        <v>66</v>
      </c>
      <c r="K5128" s="4">
        <v>0</v>
      </c>
      <c r="L5128" s="94">
        <v>-5888</v>
      </c>
      <c r="M5128" s="94">
        <v>0</v>
      </c>
    </row>
    <row r="5129" spans="3:13" x14ac:dyDescent="0.3">
      <c r="C5129" t="s">
        <v>70</v>
      </c>
      <c r="D5129" t="s">
        <v>67</v>
      </c>
      <c r="E5129" t="s">
        <v>68</v>
      </c>
      <c r="F5129" t="s">
        <v>25</v>
      </c>
      <c r="G5129" s="4">
        <v>12</v>
      </c>
      <c r="H5129" s="4" t="s">
        <v>75</v>
      </c>
      <c r="I5129" s="4" t="s">
        <v>69</v>
      </c>
      <c r="J5129" s="4" t="s">
        <v>66</v>
      </c>
      <c r="K5129" s="4">
        <v>0</v>
      </c>
      <c r="L5129" s="94">
        <v>2370109</v>
      </c>
      <c r="M5129" s="94">
        <v>28441308</v>
      </c>
    </row>
    <row r="5130" spans="3:13" x14ac:dyDescent="0.3">
      <c r="C5130" t="s">
        <v>61</v>
      </c>
      <c r="D5130" t="s">
        <v>67</v>
      </c>
      <c r="E5130" t="s">
        <v>68</v>
      </c>
      <c r="F5130" t="s">
        <v>72</v>
      </c>
      <c r="G5130" s="4">
        <v>4</v>
      </c>
      <c r="H5130" s="4" t="s">
        <v>12</v>
      </c>
      <c r="I5130" s="4" t="s">
        <v>69</v>
      </c>
      <c r="J5130" s="4" t="s">
        <v>73</v>
      </c>
      <c r="K5130" s="4">
        <v>1</v>
      </c>
      <c r="L5130" s="94">
        <v>1629440</v>
      </c>
      <c r="M5130" s="94">
        <v>6517760</v>
      </c>
    </row>
    <row r="5131" spans="3:13" x14ac:dyDescent="0.3">
      <c r="C5131" t="s">
        <v>71</v>
      </c>
      <c r="D5131" t="s">
        <v>67</v>
      </c>
      <c r="E5131" t="s">
        <v>63</v>
      </c>
      <c r="F5131" t="s">
        <v>25</v>
      </c>
      <c r="G5131" s="4">
        <v>2</v>
      </c>
      <c r="H5131" s="4" t="s">
        <v>13</v>
      </c>
      <c r="I5131" s="4" t="s">
        <v>69</v>
      </c>
      <c r="J5131" s="4" t="s">
        <v>66</v>
      </c>
      <c r="K5131" s="4">
        <v>1</v>
      </c>
      <c r="L5131" s="94">
        <v>-167570</v>
      </c>
      <c r="M5131" s="94">
        <v>0</v>
      </c>
    </row>
    <row r="5132" spans="3:13" x14ac:dyDescent="0.3">
      <c r="C5132" t="s">
        <v>71</v>
      </c>
      <c r="D5132" t="s">
        <v>67</v>
      </c>
      <c r="E5132" t="s">
        <v>63</v>
      </c>
      <c r="F5132" t="s">
        <v>26</v>
      </c>
      <c r="G5132" s="4">
        <v>-1</v>
      </c>
      <c r="H5132" s="4" t="s">
        <v>12</v>
      </c>
      <c r="I5132" s="4" t="s">
        <v>69</v>
      </c>
      <c r="J5132" s="4" t="s">
        <v>66</v>
      </c>
      <c r="K5132" s="4">
        <v>0</v>
      </c>
      <c r="L5132" s="94">
        <v>-304678</v>
      </c>
      <c r="M5132" s="94">
        <v>0</v>
      </c>
    </row>
    <row r="5133" spans="3:13" x14ac:dyDescent="0.3">
      <c r="C5133" t="s">
        <v>70</v>
      </c>
      <c r="D5133" t="s">
        <v>62</v>
      </c>
      <c r="E5133" t="s">
        <v>63</v>
      </c>
      <c r="F5133" t="s">
        <v>24</v>
      </c>
      <c r="G5133" s="4">
        <v>8</v>
      </c>
      <c r="I5133" s="4" t="s">
        <v>69</v>
      </c>
      <c r="J5133" s="4" t="s">
        <v>66</v>
      </c>
      <c r="K5133" s="4">
        <v>1</v>
      </c>
      <c r="L5133" s="94">
        <v>-4434</v>
      </c>
      <c r="M5133" s="94">
        <v>0</v>
      </c>
    </row>
    <row r="5134" spans="3:13" x14ac:dyDescent="0.3">
      <c r="C5134" t="s">
        <v>70</v>
      </c>
      <c r="D5134" t="s">
        <v>67</v>
      </c>
      <c r="E5134" t="s">
        <v>63</v>
      </c>
      <c r="F5134" t="s">
        <v>72</v>
      </c>
      <c r="G5134" s="4">
        <v>2</v>
      </c>
      <c r="H5134" s="4" t="s">
        <v>13</v>
      </c>
      <c r="I5134" s="4" t="s">
        <v>69</v>
      </c>
      <c r="J5134" s="4" t="s">
        <v>73</v>
      </c>
      <c r="K5134" s="4">
        <v>1</v>
      </c>
      <c r="L5134" s="94">
        <v>-1782</v>
      </c>
      <c r="M5134" s="94">
        <v>0</v>
      </c>
    </row>
    <row r="5135" spans="3:13" x14ac:dyDescent="0.3">
      <c r="C5135" t="s">
        <v>61</v>
      </c>
      <c r="D5135" t="s">
        <v>62</v>
      </c>
      <c r="E5135" t="s">
        <v>63</v>
      </c>
      <c r="F5135" t="s">
        <v>25</v>
      </c>
      <c r="G5135" s="4">
        <v>5</v>
      </c>
      <c r="I5135" s="4" t="s">
        <v>69</v>
      </c>
      <c r="J5135" s="4" t="s">
        <v>66</v>
      </c>
      <c r="K5135" s="4">
        <v>0</v>
      </c>
      <c r="L5135" s="94">
        <v>-27593</v>
      </c>
      <c r="M5135" s="94">
        <v>0</v>
      </c>
    </row>
    <row r="5136" spans="3:13" x14ac:dyDescent="0.3">
      <c r="C5136" t="s">
        <v>61</v>
      </c>
      <c r="D5136" t="s">
        <v>67</v>
      </c>
      <c r="E5136" t="s">
        <v>68</v>
      </c>
      <c r="F5136" t="s">
        <v>72</v>
      </c>
      <c r="G5136" s="4">
        <v>-1</v>
      </c>
      <c r="H5136" s="4" t="s">
        <v>13</v>
      </c>
      <c r="I5136" s="4" t="s">
        <v>69</v>
      </c>
      <c r="J5136" s="4" t="s">
        <v>73</v>
      </c>
      <c r="K5136" s="4">
        <v>1</v>
      </c>
      <c r="L5136" s="94">
        <v>232206</v>
      </c>
      <c r="M5136" s="94">
        <v>0</v>
      </c>
    </row>
    <row r="5137" spans="3:13" x14ac:dyDescent="0.3">
      <c r="C5137" t="s">
        <v>61</v>
      </c>
      <c r="D5137" t="s">
        <v>67</v>
      </c>
      <c r="E5137" t="s">
        <v>63</v>
      </c>
      <c r="F5137" t="s">
        <v>26</v>
      </c>
      <c r="G5137" s="4">
        <v>1</v>
      </c>
      <c r="H5137" s="4" t="s">
        <v>76</v>
      </c>
      <c r="I5137" s="4" t="s">
        <v>69</v>
      </c>
      <c r="J5137" s="4" t="s">
        <v>66</v>
      </c>
      <c r="K5137" s="4">
        <v>0</v>
      </c>
      <c r="L5137" s="94">
        <v>-89111</v>
      </c>
      <c r="M5137" s="94">
        <v>0</v>
      </c>
    </row>
    <row r="5138" spans="3:13" x14ac:dyDescent="0.3">
      <c r="C5138" t="s">
        <v>71</v>
      </c>
      <c r="D5138" t="s">
        <v>67</v>
      </c>
      <c r="E5138" t="s">
        <v>68</v>
      </c>
      <c r="F5138" t="s">
        <v>25</v>
      </c>
      <c r="G5138" s="4">
        <v>8</v>
      </c>
      <c r="H5138" s="4" t="s">
        <v>74</v>
      </c>
      <c r="I5138" s="4" t="s">
        <v>69</v>
      </c>
      <c r="J5138" s="4" t="s">
        <v>66</v>
      </c>
      <c r="K5138" s="4">
        <v>0</v>
      </c>
      <c r="L5138" s="94">
        <v>97474</v>
      </c>
      <c r="M5138" s="94">
        <v>779792</v>
      </c>
    </row>
    <row r="5139" spans="3:13" x14ac:dyDescent="0.3">
      <c r="C5139" t="s">
        <v>71</v>
      </c>
      <c r="D5139" t="s">
        <v>67</v>
      </c>
      <c r="E5139" t="s">
        <v>68</v>
      </c>
      <c r="F5139" t="s">
        <v>25</v>
      </c>
      <c r="G5139" s="4">
        <v>-1</v>
      </c>
      <c r="H5139" s="4" t="s">
        <v>82</v>
      </c>
      <c r="I5139" s="4" t="s">
        <v>69</v>
      </c>
      <c r="J5139" s="4" t="s">
        <v>66</v>
      </c>
      <c r="K5139" s="4">
        <v>0</v>
      </c>
      <c r="L5139" s="94">
        <v>853</v>
      </c>
      <c r="M5139" s="94">
        <v>0</v>
      </c>
    </row>
    <row r="5140" spans="3:13" x14ac:dyDescent="0.3">
      <c r="C5140" t="s">
        <v>70</v>
      </c>
      <c r="D5140" t="s">
        <v>67</v>
      </c>
      <c r="E5140" t="s">
        <v>68</v>
      </c>
      <c r="F5140" t="s">
        <v>25</v>
      </c>
      <c r="G5140" s="4">
        <v>5</v>
      </c>
      <c r="H5140" s="4" t="s">
        <v>79</v>
      </c>
      <c r="I5140" s="4" t="s">
        <v>69</v>
      </c>
      <c r="J5140" s="4" t="s">
        <v>66</v>
      </c>
      <c r="K5140" s="4">
        <v>0</v>
      </c>
      <c r="L5140" s="94">
        <v>135678</v>
      </c>
      <c r="M5140" s="94">
        <v>678390</v>
      </c>
    </row>
    <row r="5141" spans="3:13" x14ac:dyDescent="0.3">
      <c r="C5141" t="s">
        <v>71</v>
      </c>
      <c r="D5141" t="s">
        <v>67</v>
      </c>
      <c r="E5141" t="s">
        <v>63</v>
      </c>
      <c r="F5141" t="s">
        <v>26</v>
      </c>
      <c r="G5141" s="4">
        <v>6</v>
      </c>
      <c r="H5141" s="4" t="s">
        <v>18</v>
      </c>
      <c r="I5141" s="4" t="s">
        <v>69</v>
      </c>
      <c r="J5141" s="4" t="s">
        <v>73</v>
      </c>
      <c r="K5141" s="4">
        <v>1</v>
      </c>
      <c r="L5141" s="94">
        <v>-55849</v>
      </c>
      <c r="M5141" s="94">
        <v>0</v>
      </c>
    </row>
    <row r="5142" spans="3:13" x14ac:dyDescent="0.3">
      <c r="C5142" t="s">
        <v>61</v>
      </c>
      <c r="D5142" t="s">
        <v>67</v>
      </c>
      <c r="E5142" t="s">
        <v>63</v>
      </c>
      <c r="F5142" t="s">
        <v>25</v>
      </c>
      <c r="G5142" s="4">
        <v>14</v>
      </c>
      <c r="H5142" s="4" t="s">
        <v>18</v>
      </c>
      <c r="I5142" s="4" t="s">
        <v>69</v>
      </c>
      <c r="J5142" s="4" t="s">
        <v>66</v>
      </c>
      <c r="K5142" s="4">
        <v>1</v>
      </c>
      <c r="L5142" s="94">
        <v>-855</v>
      </c>
      <c r="M5142" s="94">
        <v>0</v>
      </c>
    </row>
    <row r="5143" spans="3:13" x14ac:dyDescent="0.3">
      <c r="C5143" t="s">
        <v>70</v>
      </c>
      <c r="D5143" t="s">
        <v>67</v>
      </c>
      <c r="E5143" t="s">
        <v>68</v>
      </c>
      <c r="F5143" t="s">
        <v>26</v>
      </c>
      <c r="G5143" s="4">
        <v>-1</v>
      </c>
      <c r="H5143" s="4" t="s">
        <v>17</v>
      </c>
      <c r="I5143" s="4" t="s">
        <v>69</v>
      </c>
      <c r="J5143" s="4" t="s">
        <v>73</v>
      </c>
      <c r="K5143" s="4">
        <v>1</v>
      </c>
      <c r="L5143" s="94">
        <v>948124</v>
      </c>
      <c r="M5143" s="94">
        <v>0</v>
      </c>
    </row>
    <row r="5144" spans="3:13" x14ac:dyDescent="0.3">
      <c r="C5144" t="s">
        <v>70</v>
      </c>
      <c r="D5144" t="s">
        <v>67</v>
      </c>
      <c r="E5144" t="s">
        <v>68</v>
      </c>
      <c r="F5144" t="s">
        <v>25</v>
      </c>
      <c r="G5144" s="4">
        <v>11</v>
      </c>
      <c r="H5144" s="4" t="s">
        <v>17</v>
      </c>
      <c r="I5144" s="4" t="s">
        <v>69</v>
      </c>
      <c r="J5144" s="4" t="s">
        <v>66</v>
      </c>
      <c r="K5144" s="4">
        <v>0</v>
      </c>
      <c r="L5144" s="94">
        <v>1071175</v>
      </c>
      <c r="M5144" s="94">
        <v>11782925</v>
      </c>
    </row>
    <row r="5145" spans="3:13" x14ac:dyDescent="0.3">
      <c r="C5145" t="s">
        <v>61</v>
      </c>
      <c r="D5145" t="s">
        <v>62</v>
      </c>
      <c r="E5145" t="s">
        <v>68</v>
      </c>
      <c r="F5145" t="s">
        <v>24</v>
      </c>
      <c r="G5145" s="4">
        <v>31</v>
      </c>
      <c r="I5145" s="4" t="s">
        <v>65</v>
      </c>
      <c r="J5145" s="4" t="s">
        <v>66</v>
      </c>
      <c r="K5145" s="4">
        <v>1</v>
      </c>
      <c r="L5145" s="94">
        <v>10111629</v>
      </c>
      <c r="M5145" s="94">
        <v>313460499</v>
      </c>
    </row>
    <row r="5146" spans="3:13" x14ac:dyDescent="0.3">
      <c r="C5146" t="s">
        <v>71</v>
      </c>
      <c r="D5146" t="s">
        <v>62</v>
      </c>
      <c r="E5146" t="s">
        <v>63</v>
      </c>
      <c r="F5146" t="s">
        <v>24</v>
      </c>
      <c r="G5146" s="4">
        <v>-4</v>
      </c>
      <c r="I5146" s="4" t="s">
        <v>69</v>
      </c>
      <c r="J5146" s="4" t="s">
        <v>66</v>
      </c>
      <c r="K5146" s="4">
        <v>0</v>
      </c>
      <c r="L5146" s="94">
        <v>-538309</v>
      </c>
      <c r="M5146" s="94">
        <v>0</v>
      </c>
    </row>
    <row r="5147" spans="3:13" x14ac:dyDescent="0.3">
      <c r="C5147" t="s">
        <v>61</v>
      </c>
      <c r="D5147" t="s">
        <v>67</v>
      </c>
      <c r="E5147" t="s">
        <v>63</v>
      </c>
      <c r="F5147" t="s">
        <v>25</v>
      </c>
      <c r="G5147" s="4">
        <v>-1</v>
      </c>
      <c r="H5147" s="4" t="s">
        <v>17</v>
      </c>
      <c r="I5147" s="4" t="s">
        <v>69</v>
      </c>
      <c r="J5147" s="4" t="s">
        <v>66</v>
      </c>
      <c r="K5147" s="4">
        <v>0</v>
      </c>
      <c r="L5147" s="94">
        <v>-12927</v>
      </c>
      <c r="M5147" s="94">
        <v>0</v>
      </c>
    </row>
    <row r="5148" spans="3:13" x14ac:dyDescent="0.3">
      <c r="C5148" t="s">
        <v>61</v>
      </c>
      <c r="D5148" t="s">
        <v>67</v>
      </c>
      <c r="E5148" t="s">
        <v>68</v>
      </c>
      <c r="F5148" t="s">
        <v>26</v>
      </c>
      <c r="G5148" s="4">
        <v>6</v>
      </c>
      <c r="H5148" s="4" t="s">
        <v>75</v>
      </c>
      <c r="I5148" s="4" t="s">
        <v>69</v>
      </c>
      <c r="J5148" s="4" t="s">
        <v>66</v>
      </c>
      <c r="K5148" s="4">
        <v>0</v>
      </c>
      <c r="L5148" s="94">
        <v>19606944</v>
      </c>
      <c r="M5148" s="94">
        <v>117641664</v>
      </c>
    </row>
    <row r="5149" spans="3:13" x14ac:dyDescent="0.3">
      <c r="C5149" t="s">
        <v>61</v>
      </c>
      <c r="D5149" t="s">
        <v>67</v>
      </c>
      <c r="E5149" t="s">
        <v>68</v>
      </c>
      <c r="F5149" t="s">
        <v>25</v>
      </c>
      <c r="G5149" s="4">
        <v>8</v>
      </c>
      <c r="H5149" s="4" t="s">
        <v>81</v>
      </c>
      <c r="I5149" s="4" t="s">
        <v>69</v>
      </c>
      <c r="J5149" s="4" t="s">
        <v>66</v>
      </c>
      <c r="K5149" s="4">
        <v>0</v>
      </c>
      <c r="L5149" s="94">
        <v>133463</v>
      </c>
      <c r="M5149" s="94">
        <v>1067704</v>
      </c>
    </row>
    <row r="5150" spans="3:13" x14ac:dyDescent="0.3">
      <c r="C5150" t="s">
        <v>61</v>
      </c>
      <c r="D5150" t="s">
        <v>67</v>
      </c>
      <c r="E5150" t="s">
        <v>63</v>
      </c>
      <c r="F5150" t="s">
        <v>26</v>
      </c>
      <c r="G5150" s="4">
        <v>14</v>
      </c>
      <c r="H5150" s="4" t="s">
        <v>76</v>
      </c>
      <c r="I5150" s="4" t="s">
        <v>69</v>
      </c>
      <c r="J5150" s="4" t="s">
        <v>66</v>
      </c>
      <c r="K5150" s="4">
        <v>0</v>
      </c>
      <c r="L5150" s="94">
        <v>-1659</v>
      </c>
      <c r="M5150" s="94">
        <v>0</v>
      </c>
    </row>
    <row r="5151" spans="3:13" x14ac:dyDescent="0.3">
      <c r="C5151" t="s">
        <v>61</v>
      </c>
      <c r="D5151" t="s">
        <v>67</v>
      </c>
      <c r="E5151" t="s">
        <v>68</v>
      </c>
      <c r="F5151" t="s">
        <v>25</v>
      </c>
      <c r="G5151" s="4">
        <v>-1</v>
      </c>
      <c r="H5151" s="4" t="s">
        <v>64</v>
      </c>
      <c r="I5151" s="4" t="s">
        <v>69</v>
      </c>
      <c r="J5151" s="4" t="s">
        <v>66</v>
      </c>
      <c r="K5151" s="4">
        <v>0</v>
      </c>
      <c r="L5151" s="94">
        <v>1</v>
      </c>
      <c r="M5151" s="94">
        <v>0</v>
      </c>
    </row>
    <row r="5152" spans="3:13" x14ac:dyDescent="0.3">
      <c r="C5152" t="s">
        <v>61</v>
      </c>
      <c r="D5152" t="s">
        <v>67</v>
      </c>
      <c r="E5152" t="s">
        <v>63</v>
      </c>
      <c r="F5152" t="s">
        <v>25</v>
      </c>
      <c r="G5152" s="4">
        <v>15</v>
      </c>
      <c r="H5152" s="4" t="s">
        <v>75</v>
      </c>
      <c r="I5152" s="4" t="s">
        <v>69</v>
      </c>
      <c r="J5152" s="4" t="s">
        <v>66</v>
      </c>
      <c r="K5152" s="4">
        <v>0</v>
      </c>
      <c r="L5152" s="94">
        <v>-63041</v>
      </c>
      <c r="M5152" s="94">
        <v>0</v>
      </c>
    </row>
    <row r="5153" spans="3:13" x14ac:dyDescent="0.3">
      <c r="C5153" t="s">
        <v>71</v>
      </c>
      <c r="D5153" t="s">
        <v>67</v>
      </c>
      <c r="E5153" t="s">
        <v>68</v>
      </c>
      <c r="F5153" t="s">
        <v>26</v>
      </c>
      <c r="G5153" s="4">
        <v>4</v>
      </c>
      <c r="H5153" s="4" t="s">
        <v>78</v>
      </c>
      <c r="I5153" s="4" t="s">
        <v>69</v>
      </c>
      <c r="J5153" s="4" t="s">
        <v>66</v>
      </c>
      <c r="K5153" s="4">
        <v>0</v>
      </c>
      <c r="L5153" s="94">
        <v>237001</v>
      </c>
      <c r="M5153" s="94">
        <v>948004</v>
      </c>
    </row>
    <row r="5154" spans="3:13" x14ac:dyDescent="0.3">
      <c r="C5154" t="s">
        <v>61</v>
      </c>
      <c r="D5154" t="s">
        <v>67</v>
      </c>
      <c r="E5154" t="s">
        <v>68</v>
      </c>
      <c r="F5154" t="s">
        <v>25</v>
      </c>
      <c r="G5154" s="4">
        <v>8</v>
      </c>
      <c r="H5154" s="4" t="s">
        <v>75</v>
      </c>
      <c r="I5154" s="4" t="s">
        <v>65</v>
      </c>
      <c r="J5154" s="4" t="s">
        <v>66</v>
      </c>
      <c r="K5154" s="4">
        <v>1</v>
      </c>
      <c r="L5154" s="94">
        <v>720644</v>
      </c>
      <c r="M5154" s="94">
        <v>5765152</v>
      </c>
    </row>
    <row r="5155" spans="3:13" x14ac:dyDescent="0.3">
      <c r="C5155" t="s">
        <v>61</v>
      </c>
      <c r="D5155" t="s">
        <v>67</v>
      </c>
      <c r="E5155" t="s">
        <v>68</v>
      </c>
      <c r="F5155" t="s">
        <v>26</v>
      </c>
      <c r="G5155" s="4">
        <v>8</v>
      </c>
      <c r="H5155" s="4" t="s">
        <v>12</v>
      </c>
      <c r="I5155" s="4" t="s">
        <v>69</v>
      </c>
      <c r="J5155" s="4" t="s">
        <v>66</v>
      </c>
      <c r="K5155" s="4">
        <v>0</v>
      </c>
      <c r="L5155" s="94">
        <v>586385</v>
      </c>
      <c r="M5155" s="94">
        <v>4691080</v>
      </c>
    </row>
    <row r="5156" spans="3:13" x14ac:dyDescent="0.3">
      <c r="C5156" t="s">
        <v>70</v>
      </c>
      <c r="D5156" t="s">
        <v>62</v>
      </c>
      <c r="E5156" t="s">
        <v>63</v>
      </c>
      <c r="F5156" t="s">
        <v>24</v>
      </c>
      <c r="G5156" s="4">
        <v>9</v>
      </c>
      <c r="I5156" s="4" t="s">
        <v>69</v>
      </c>
      <c r="J5156" s="4" t="s">
        <v>66</v>
      </c>
      <c r="K5156" s="4">
        <v>1</v>
      </c>
      <c r="L5156" s="94">
        <v>-1891</v>
      </c>
      <c r="M5156" s="94">
        <v>0</v>
      </c>
    </row>
    <row r="5157" spans="3:13" x14ac:dyDescent="0.3">
      <c r="C5157" t="s">
        <v>61</v>
      </c>
      <c r="D5157" t="s">
        <v>84</v>
      </c>
      <c r="E5157" t="s">
        <v>63</v>
      </c>
      <c r="F5157" t="s">
        <v>25</v>
      </c>
      <c r="G5157" s="4">
        <v>0</v>
      </c>
      <c r="H5157" s="4" t="s">
        <v>82</v>
      </c>
      <c r="I5157" s="4" t="s">
        <v>69</v>
      </c>
      <c r="J5157" s="4" t="s">
        <v>66</v>
      </c>
      <c r="K5157" s="4">
        <v>0</v>
      </c>
      <c r="L5157" s="94">
        <v>-49</v>
      </c>
      <c r="M5157" s="94">
        <v>0</v>
      </c>
    </row>
    <row r="5158" spans="3:13" x14ac:dyDescent="0.3">
      <c r="C5158" t="s">
        <v>61</v>
      </c>
      <c r="D5158" t="s">
        <v>67</v>
      </c>
      <c r="E5158" t="s">
        <v>63</v>
      </c>
      <c r="F5158" t="s">
        <v>25</v>
      </c>
      <c r="G5158" s="4">
        <v>8</v>
      </c>
      <c r="H5158" s="4" t="s">
        <v>80</v>
      </c>
      <c r="I5158" s="4" t="s">
        <v>69</v>
      </c>
      <c r="J5158" s="4" t="s">
        <v>66</v>
      </c>
      <c r="K5158" s="4">
        <v>0</v>
      </c>
      <c r="L5158" s="94">
        <v>-943</v>
      </c>
      <c r="M5158" s="94">
        <v>0</v>
      </c>
    </row>
    <row r="5159" spans="3:13" x14ac:dyDescent="0.3">
      <c r="C5159" t="s">
        <v>61</v>
      </c>
      <c r="D5159" t="s">
        <v>67</v>
      </c>
      <c r="E5159" t="s">
        <v>68</v>
      </c>
      <c r="F5159" t="s">
        <v>72</v>
      </c>
      <c r="G5159" s="4">
        <v>3</v>
      </c>
      <c r="H5159" s="4" t="s">
        <v>74</v>
      </c>
      <c r="I5159" s="4" t="s">
        <v>69</v>
      </c>
      <c r="J5159" s="4" t="s">
        <v>66</v>
      </c>
      <c r="K5159" s="4">
        <v>0</v>
      </c>
      <c r="L5159" s="94">
        <v>4866748</v>
      </c>
      <c r="M5159" s="94">
        <v>14600244</v>
      </c>
    </row>
    <row r="5160" spans="3:13" x14ac:dyDescent="0.3">
      <c r="C5160" t="s">
        <v>71</v>
      </c>
      <c r="D5160" t="s">
        <v>67</v>
      </c>
      <c r="E5160" t="s">
        <v>63</v>
      </c>
      <c r="F5160" t="s">
        <v>72</v>
      </c>
      <c r="G5160" s="4">
        <v>-4</v>
      </c>
      <c r="H5160" s="4" t="s">
        <v>83</v>
      </c>
      <c r="I5160" s="4" t="s">
        <v>69</v>
      </c>
      <c r="J5160" s="4" t="s">
        <v>66</v>
      </c>
      <c r="K5160" s="4">
        <v>0</v>
      </c>
      <c r="L5160" s="94">
        <v>-25449</v>
      </c>
      <c r="M5160" s="94">
        <v>0</v>
      </c>
    </row>
    <row r="5161" spans="3:13" x14ac:dyDescent="0.3">
      <c r="C5161" t="s">
        <v>70</v>
      </c>
      <c r="D5161" t="s">
        <v>67</v>
      </c>
      <c r="E5161" t="s">
        <v>68</v>
      </c>
      <c r="F5161" t="s">
        <v>72</v>
      </c>
      <c r="G5161" s="4">
        <v>5</v>
      </c>
      <c r="H5161" s="4" t="s">
        <v>17</v>
      </c>
      <c r="I5161" s="4" t="s">
        <v>65</v>
      </c>
      <c r="J5161" s="4" t="s">
        <v>66</v>
      </c>
      <c r="K5161" s="4">
        <v>1</v>
      </c>
      <c r="L5161" s="94">
        <v>13369</v>
      </c>
      <c r="M5161" s="94">
        <v>66845</v>
      </c>
    </row>
    <row r="5162" spans="3:13" x14ac:dyDescent="0.3">
      <c r="C5162" t="s">
        <v>71</v>
      </c>
      <c r="D5162" t="s">
        <v>62</v>
      </c>
      <c r="E5162" t="s">
        <v>63</v>
      </c>
      <c r="F5162" t="s">
        <v>24</v>
      </c>
      <c r="G5162" s="4">
        <v>17</v>
      </c>
      <c r="I5162" s="4" t="s">
        <v>69</v>
      </c>
      <c r="J5162" s="4" t="s">
        <v>66</v>
      </c>
      <c r="K5162" s="4">
        <v>0</v>
      </c>
      <c r="L5162" s="94">
        <v>-1787488</v>
      </c>
      <c r="M5162" s="94">
        <v>0</v>
      </c>
    </row>
    <row r="5163" spans="3:13" x14ac:dyDescent="0.3">
      <c r="C5163" t="s">
        <v>70</v>
      </c>
      <c r="D5163" t="s">
        <v>62</v>
      </c>
      <c r="E5163" t="s">
        <v>68</v>
      </c>
      <c r="F5163" t="s">
        <v>24</v>
      </c>
      <c r="G5163" s="4">
        <v>30</v>
      </c>
      <c r="I5163" s="4" t="s">
        <v>65</v>
      </c>
      <c r="J5163" s="4" t="s">
        <v>66</v>
      </c>
      <c r="K5163" s="4">
        <v>1</v>
      </c>
      <c r="L5163" s="94">
        <v>512376</v>
      </c>
      <c r="M5163" s="94">
        <v>15371280</v>
      </c>
    </row>
    <row r="5164" spans="3:13" x14ac:dyDescent="0.3">
      <c r="C5164" t="s">
        <v>61</v>
      </c>
      <c r="D5164" t="s">
        <v>67</v>
      </c>
      <c r="E5164" t="s">
        <v>68</v>
      </c>
      <c r="F5164" t="s">
        <v>25</v>
      </c>
      <c r="G5164" s="4">
        <v>3</v>
      </c>
      <c r="H5164" s="4" t="s">
        <v>83</v>
      </c>
      <c r="I5164" s="4" t="s">
        <v>69</v>
      </c>
      <c r="J5164" s="4" t="s">
        <v>66</v>
      </c>
      <c r="K5164" s="4">
        <v>0</v>
      </c>
      <c r="L5164" s="94">
        <v>256218</v>
      </c>
      <c r="M5164" s="94">
        <v>768654</v>
      </c>
    </row>
    <row r="5165" spans="3:13" x14ac:dyDescent="0.3">
      <c r="C5165" t="s">
        <v>71</v>
      </c>
      <c r="D5165" t="s">
        <v>67</v>
      </c>
      <c r="E5165" t="s">
        <v>63</v>
      </c>
      <c r="F5165" t="s">
        <v>26</v>
      </c>
      <c r="G5165" s="4">
        <v>9</v>
      </c>
      <c r="H5165" s="4" t="s">
        <v>80</v>
      </c>
      <c r="I5165" s="4" t="s">
        <v>69</v>
      </c>
      <c r="J5165" s="4" t="s">
        <v>66</v>
      </c>
      <c r="K5165" s="4">
        <v>0</v>
      </c>
      <c r="L5165" s="94">
        <v>-96342</v>
      </c>
      <c r="M5165" s="94">
        <v>0</v>
      </c>
    </row>
    <row r="5166" spans="3:13" x14ac:dyDescent="0.3">
      <c r="C5166" t="s">
        <v>71</v>
      </c>
      <c r="D5166" t="s">
        <v>67</v>
      </c>
      <c r="E5166" t="s">
        <v>63</v>
      </c>
      <c r="F5166" t="s">
        <v>26</v>
      </c>
      <c r="G5166" s="4">
        <v>17</v>
      </c>
      <c r="H5166" s="4" t="s">
        <v>82</v>
      </c>
      <c r="I5166" s="4" t="s">
        <v>69</v>
      </c>
      <c r="J5166" s="4" t="s">
        <v>66</v>
      </c>
      <c r="K5166" s="4">
        <v>0</v>
      </c>
      <c r="L5166" s="94">
        <v>-52151</v>
      </c>
      <c r="M5166" s="94">
        <v>0</v>
      </c>
    </row>
    <row r="5167" spans="3:13" x14ac:dyDescent="0.3">
      <c r="C5167" t="s">
        <v>70</v>
      </c>
      <c r="D5167" t="s">
        <v>67</v>
      </c>
      <c r="E5167" t="s">
        <v>68</v>
      </c>
      <c r="F5167" t="s">
        <v>72</v>
      </c>
      <c r="G5167" s="4">
        <v>4</v>
      </c>
      <c r="H5167" s="4" t="s">
        <v>82</v>
      </c>
      <c r="I5167" s="4" t="s">
        <v>69</v>
      </c>
      <c r="J5167" s="4" t="s">
        <v>66</v>
      </c>
      <c r="K5167" s="4">
        <v>0</v>
      </c>
      <c r="L5167" s="94">
        <v>3302918</v>
      </c>
      <c r="M5167" s="94">
        <v>13211672</v>
      </c>
    </row>
    <row r="5168" spans="3:13" x14ac:dyDescent="0.3">
      <c r="C5168" t="s">
        <v>61</v>
      </c>
      <c r="D5168" t="s">
        <v>67</v>
      </c>
      <c r="E5168" t="s">
        <v>68</v>
      </c>
      <c r="F5168" t="s">
        <v>25</v>
      </c>
      <c r="G5168" s="4">
        <v>16</v>
      </c>
      <c r="H5168" s="4" t="s">
        <v>79</v>
      </c>
      <c r="I5168" s="4" t="s">
        <v>69</v>
      </c>
      <c r="J5168" s="4" t="s">
        <v>66</v>
      </c>
      <c r="K5168" s="4">
        <v>0</v>
      </c>
      <c r="L5168" s="94">
        <v>7442331</v>
      </c>
      <c r="M5168" s="94">
        <v>119077296</v>
      </c>
    </row>
    <row r="5169" spans="3:13" x14ac:dyDescent="0.3">
      <c r="C5169" t="s">
        <v>70</v>
      </c>
      <c r="D5169" t="s">
        <v>67</v>
      </c>
      <c r="E5169" t="s">
        <v>63</v>
      </c>
      <c r="F5169" t="s">
        <v>25</v>
      </c>
      <c r="G5169" s="4">
        <v>16</v>
      </c>
      <c r="H5169" s="4" t="s">
        <v>14</v>
      </c>
      <c r="I5169" s="4" t="s">
        <v>69</v>
      </c>
      <c r="J5169" s="4" t="s">
        <v>66</v>
      </c>
      <c r="K5169" s="4">
        <v>1</v>
      </c>
      <c r="L5169" s="94">
        <v>-8685</v>
      </c>
      <c r="M5169" s="94">
        <v>0</v>
      </c>
    </row>
    <row r="5170" spans="3:13" x14ac:dyDescent="0.3">
      <c r="C5170" t="s">
        <v>70</v>
      </c>
      <c r="D5170" t="s">
        <v>67</v>
      </c>
      <c r="E5170" t="s">
        <v>63</v>
      </c>
      <c r="F5170" t="s">
        <v>26</v>
      </c>
      <c r="G5170" s="4">
        <v>4</v>
      </c>
      <c r="H5170" s="4" t="s">
        <v>18</v>
      </c>
      <c r="I5170" s="4" t="s">
        <v>65</v>
      </c>
      <c r="J5170" s="4" t="s">
        <v>66</v>
      </c>
      <c r="K5170" s="4">
        <v>1</v>
      </c>
      <c r="L5170" s="94">
        <v>-1976</v>
      </c>
      <c r="M5170" s="94">
        <v>0</v>
      </c>
    </row>
    <row r="5171" spans="3:13" x14ac:dyDescent="0.3">
      <c r="C5171" t="s">
        <v>70</v>
      </c>
      <c r="D5171" t="s">
        <v>67</v>
      </c>
      <c r="E5171" t="s">
        <v>63</v>
      </c>
      <c r="F5171" t="s">
        <v>26</v>
      </c>
      <c r="G5171" s="4">
        <v>1</v>
      </c>
      <c r="H5171" s="4" t="s">
        <v>14</v>
      </c>
      <c r="I5171" s="4" t="s">
        <v>69</v>
      </c>
      <c r="J5171" s="4" t="s">
        <v>73</v>
      </c>
      <c r="K5171" s="4">
        <v>1</v>
      </c>
      <c r="L5171" s="94">
        <v>-627865</v>
      </c>
      <c r="M5171" s="94">
        <v>0</v>
      </c>
    </row>
    <row r="5172" spans="3:13" x14ac:dyDescent="0.3">
      <c r="C5172" t="s">
        <v>70</v>
      </c>
      <c r="D5172" t="s">
        <v>67</v>
      </c>
      <c r="E5172" t="s">
        <v>63</v>
      </c>
      <c r="F5172" t="s">
        <v>25</v>
      </c>
      <c r="G5172" s="4">
        <v>9</v>
      </c>
      <c r="H5172" s="4" t="s">
        <v>18</v>
      </c>
      <c r="I5172" s="4" t="s">
        <v>69</v>
      </c>
      <c r="J5172" s="4" t="s">
        <v>66</v>
      </c>
      <c r="K5172" s="4">
        <v>1</v>
      </c>
      <c r="L5172" s="94">
        <v>-1036</v>
      </c>
      <c r="M5172" s="94">
        <v>0</v>
      </c>
    </row>
    <row r="5173" spans="3:13" x14ac:dyDescent="0.3">
      <c r="C5173" t="s">
        <v>61</v>
      </c>
      <c r="D5173" t="s">
        <v>67</v>
      </c>
      <c r="E5173" t="s">
        <v>63</v>
      </c>
      <c r="F5173" t="s">
        <v>26</v>
      </c>
      <c r="G5173" s="4">
        <v>9</v>
      </c>
      <c r="H5173" s="4" t="s">
        <v>79</v>
      </c>
      <c r="I5173" s="4" t="s">
        <v>69</v>
      </c>
      <c r="J5173" s="4" t="s">
        <v>66</v>
      </c>
      <c r="K5173" s="4">
        <v>0</v>
      </c>
      <c r="L5173" s="94">
        <v>-1147</v>
      </c>
      <c r="M5173" s="94">
        <v>0</v>
      </c>
    </row>
    <row r="5174" spans="3:13" x14ac:dyDescent="0.3">
      <c r="C5174" t="s">
        <v>71</v>
      </c>
      <c r="D5174" t="s">
        <v>62</v>
      </c>
      <c r="E5174" t="s">
        <v>68</v>
      </c>
      <c r="F5174" t="s">
        <v>24</v>
      </c>
      <c r="G5174" s="4">
        <v>4</v>
      </c>
      <c r="I5174" s="4" t="s">
        <v>65</v>
      </c>
      <c r="J5174" s="4" t="s">
        <v>66</v>
      </c>
      <c r="K5174" s="4">
        <v>1</v>
      </c>
      <c r="L5174" s="94">
        <v>33115</v>
      </c>
      <c r="M5174" s="94">
        <v>132460</v>
      </c>
    </row>
    <row r="5175" spans="3:13" x14ac:dyDescent="0.3">
      <c r="C5175" t="s">
        <v>71</v>
      </c>
      <c r="D5175" t="s">
        <v>67</v>
      </c>
      <c r="E5175" t="s">
        <v>63</v>
      </c>
      <c r="F5175" t="s">
        <v>72</v>
      </c>
      <c r="G5175" s="4">
        <v>5</v>
      </c>
      <c r="H5175" s="4" t="s">
        <v>77</v>
      </c>
      <c r="I5175" s="4" t="s">
        <v>69</v>
      </c>
      <c r="J5175" s="4" t="s">
        <v>66</v>
      </c>
      <c r="K5175" s="4">
        <v>0</v>
      </c>
      <c r="L5175" s="94">
        <v>-13661</v>
      </c>
      <c r="M5175" s="94">
        <v>0</v>
      </c>
    </row>
    <row r="5176" spans="3:13" x14ac:dyDescent="0.3">
      <c r="C5176" t="s">
        <v>71</v>
      </c>
      <c r="D5176" t="s">
        <v>67</v>
      </c>
      <c r="E5176" t="s">
        <v>68</v>
      </c>
      <c r="F5176" t="s">
        <v>72</v>
      </c>
      <c r="G5176" s="4">
        <v>5</v>
      </c>
      <c r="H5176" s="4" t="s">
        <v>14</v>
      </c>
      <c r="I5176" s="4" t="s">
        <v>69</v>
      </c>
      <c r="J5176" s="4" t="s">
        <v>66</v>
      </c>
      <c r="K5176" s="4">
        <v>0</v>
      </c>
      <c r="L5176" s="94">
        <v>101288</v>
      </c>
      <c r="M5176" s="94">
        <v>506440</v>
      </c>
    </row>
    <row r="5177" spans="3:13" x14ac:dyDescent="0.3">
      <c r="C5177" t="s">
        <v>70</v>
      </c>
      <c r="D5177" t="s">
        <v>67</v>
      </c>
      <c r="E5177" t="s">
        <v>68</v>
      </c>
      <c r="F5177" t="s">
        <v>26</v>
      </c>
      <c r="G5177" s="4">
        <v>6</v>
      </c>
      <c r="H5177" s="4" t="s">
        <v>17</v>
      </c>
      <c r="I5177" s="4" t="s">
        <v>65</v>
      </c>
      <c r="J5177" s="4" t="s">
        <v>66</v>
      </c>
      <c r="K5177" s="4">
        <v>1</v>
      </c>
      <c r="L5177" s="94">
        <v>108737</v>
      </c>
      <c r="M5177" s="94">
        <v>652422</v>
      </c>
    </row>
    <row r="5178" spans="3:13" x14ac:dyDescent="0.3">
      <c r="C5178" t="s">
        <v>70</v>
      </c>
      <c r="D5178" t="s">
        <v>67</v>
      </c>
      <c r="E5178" t="s">
        <v>68</v>
      </c>
      <c r="F5178" t="s">
        <v>25</v>
      </c>
      <c r="G5178" s="4">
        <v>12</v>
      </c>
      <c r="H5178" s="4" t="s">
        <v>83</v>
      </c>
      <c r="I5178" s="4" t="s">
        <v>69</v>
      </c>
      <c r="J5178" s="4" t="s">
        <v>66</v>
      </c>
      <c r="K5178" s="4">
        <v>0</v>
      </c>
      <c r="L5178" s="94">
        <v>420614</v>
      </c>
      <c r="M5178" s="94">
        <v>5047368</v>
      </c>
    </row>
    <row r="5179" spans="3:13" x14ac:dyDescent="0.3">
      <c r="C5179" t="s">
        <v>71</v>
      </c>
      <c r="D5179" t="s">
        <v>67</v>
      </c>
      <c r="E5179" t="s">
        <v>63</v>
      </c>
      <c r="F5179" t="s">
        <v>25</v>
      </c>
      <c r="G5179" s="4">
        <v>1</v>
      </c>
      <c r="H5179" s="4" t="s">
        <v>14</v>
      </c>
      <c r="I5179" s="4" t="s">
        <v>69</v>
      </c>
      <c r="J5179" s="4" t="s">
        <v>73</v>
      </c>
      <c r="K5179" s="4">
        <v>1</v>
      </c>
      <c r="L5179" s="94">
        <v>-339154</v>
      </c>
      <c r="M5179" s="94">
        <v>0</v>
      </c>
    </row>
    <row r="5180" spans="3:13" x14ac:dyDescent="0.3">
      <c r="C5180" t="s">
        <v>61</v>
      </c>
      <c r="D5180" t="s">
        <v>62</v>
      </c>
      <c r="E5180" t="s">
        <v>63</v>
      </c>
      <c r="F5180" t="s">
        <v>24</v>
      </c>
      <c r="G5180" s="4">
        <v>25</v>
      </c>
      <c r="I5180" s="4" t="s">
        <v>69</v>
      </c>
      <c r="J5180" s="4" t="s">
        <v>66</v>
      </c>
      <c r="K5180" s="4">
        <v>0</v>
      </c>
      <c r="L5180" s="94">
        <v>-331167</v>
      </c>
      <c r="M5180" s="94">
        <v>0</v>
      </c>
    </row>
    <row r="5181" spans="3:13" x14ac:dyDescent="0.3">
      <c r="C5181" t="s">
        <v>61</v>
      </c>
      <c r="D5181" t="s">
        <v>67</v>
      </c>
      <c r="E5181" t="s">
        <v>63</v>
      </c>
      <c r="F5181" t="s">
        <v>72</v>
      </c>
      <c r="G5181" s="4">
        <v>1</v>
      </c>
      <c r="H5181" s="4" t="s">
        <v>78</v>
      </c>
      <c r="I5181" s="4" t="s">
        <v>69</v>
      </c>
      <c r="J5181" s="4" t="s">
        <v>66</v>
      </c>
      <c r="K5181" s="4">
        <v>0</v>
      </c>
      <c r="L5181" s="94">
        <v>-272</v>
      </c>
      <c r="M5181" s="94">
        <v>0</v>
      </c>
    </row>
    <row r="5182" spans="3:13" x14ac:dyDescent="0.3">
      <c r="C5182" t="s">
        <v>71</v>
      </c>
      <c r="D5182" t="s">
        <v>84</v>
      </c>
      <c r="E5182" t="s">
        <v>68</v>
      </c>
      <c r="F5182" t="s">
        <v>25</v>
      </c>
      <c r="G5182" s="4">
        <v>2</v>
      </c>
      <c r="H5182" s="4" t="s">
        <v>18</v>
      </c>
      <c r="I5182" s="4" t="s">
        <v>69</v>
      </c>
      <c r="J5182" s="4" t="s">
        <v>66</v>
      </c>
      <c r="K5182" s="4">
        <v>0</v>
      </c>
      <c r="L5182" s="94">
        <v>552436</v>
      </c>
      <c r="M5182" s="94">
        <v>1104872</v>
      </c>
    </row>
    <row r="5183" spans="3:13" x14ac:dyDescent="0.3">
      <c r="C5183" t="s">
        <v>70</v>
      </c>
      <c r="D5183" t="s">
        <v>67</v>
      </c>
      <c r="E5183" t="s">
        <v>63</v>
      </c>
      <c r="F5183" t="s">
        <v>26</v>
      </c>
      <c r="G5183" s="4">
        <v>10</v>
      </c>
      <c r="H5183" s="4" t="s">
        <v>83</v>
      </c>
      <c r="I5183" s="4" t="s">
        <v>69</v>
      </c>
      <c r="J5183" s="4" t="s">
        <v>66</v>
      </c>
      <c r="K5183" s="4">
        <v>0</v>
      </c>
      <c r="L5183" s="94">
        <v>-236833</v>
      </c>
      <c r="M5183" s="94">
        <v>0</v>
      </c>
    </row>
    <row r="5184" spans="3:13" x14ac:dyDescent="0.3">
      <c r="C5184" t="s">
        <v>61</v>
      </c>
      <c r="D5184" t="s">
        <v>67</v>
      </c>
      <c r="E5184" t="s">
        <v>68</v>
      </c>
      <c r="F5184" t="s">
        <v>25</v>
      </c>
      <c r="G5184" s="4">
        <v>6</v>
      </c>
      <c r="H5184" s="4" t="s">
        <v>82</v>
      </c>
      <c r="I5184" s="4" t="s">
        <v>69</v>
      </c>
      <c r="J5184" s="4" t="s">
        <v>66</v>
      </c>
      <c r="K5184" s="4">
        <v>0</v>
      </c>
      <c r="L5184" s="94">
        <v>349859</v>
      </c>
      <c r="M5184" s="94">
        <v>2099154</v>
      </c>
    </row>
    <row r="5185" spans="3:13" x14ac:dyDescent="0.3">
      <c r="C5185" t="s">
        <v>61</v>
      </c>
      <c r="D5185" t="s">
        <v>62</v>
      </c>
      <c r="E5185" t="s">
        <v>63</v>
      </c>
      <c r="F5185" t="s">
        <v>24</v>
      </c>
      <c r="G5185" s="4">
        <v>32</v>
      </c>
      <c r="I5185" s="4" t="s">
        <v>65</v>
      </c>
      <c r="J5185" s="4" t="s">
        <v>66</v>
      </c>
      <c r="K5185" s="4">
        <v>1</v>
      </c>
      <c r="L5185" s="94">
        <v>-4143</v>
      </c>
      <c r="M5185" s="94">
        <v>0</v>
      </c>
    </row>
    <row r="5186" spans="3:13" x14ac:dyDescent="0.3">
      <c r="C5186" t="s">
        <v>71</v>
      </c>
      <c r="D5186" t="s">
        <v>67</v>
      </c>
      <c r="E5186" t="s">
        <v>68</v>
      </c>
      <c r="F5186" t="s">
        <v>72</v>
      </c>
      <c r="G5186" s="4">
        <v>-4</v>
      </c>
      <c r="H5186" s="4" t="s">
        <v>78</v>
      </c>
      <c r="I5186" s="4" t="s">
        <v>69</v>
      </c>
      <c r="J5186" s="4" t="s">
        <v>66</v>
      </c>
      <c r="K5186" s="4">
        <v>0</v>
      </c>
      <c r="L5186" s="94">
        <v>8073</v>
      </c>
      <c r="M5186" s="94">
        <v>0</v>
      </c>
    </row>
    <row r="5187" spans="3:13" x14ac:dyDescent="0.3">
      <c r="C5187" t="s">
        <v>71</v>
      </c>
      <c r="D5187" t="s">
        <v>67</v>
      </c>
      <c r="E5187" t="s">
        <v>68</v>
      </c>
      <c r="F5187" t="s">
        <v>26</v>
      </c>
      <c r="G5187" s="4">
        <v>-1</v>
      </c>
      <c r="H5187" s="4" t="s">
        <v>75</v>
      </c>
      <c r="I5187" s="4" t="s">
        <v>65</v>
      </c>
      <c r="J5187" s="4" t="s">
        <v>66</v>
      </c>
      <c r="K5187" s="4">
        <v>1</v>
      </c>
      <c r="L5187" s="94">
        <v>30154</v>
      </c>
      <c r="M5187" s="94">
        <v>0</v>
      </c>
    </row>
    <row r="5188" spans="3:13" x14ac:dyDescent="0.3">
      <c r="C5188" t="s">
        <v>61</v>
      </c>
      <c r="D5188" t="s">
        <v>62</v>
      </c>
      <c r="E5188" t="s">
        <v>68</v>
      </c>
      <c r="F5188" t="s">
        <v>24</v>
      </c>
      <c r="G5188" s="4">
        <v>16</v>
      </c>
      <c r="I5188" s="4" t="s">
        <v>69</v>
      </c>
      <c r="J5188" s="4" t="s">
        <v>66</v>
      </c>
      <c r="K5188" s="4">
        <v>1</v>
      </c>
      <c r="L5188" s="94">
        <v>1194785</v>
      </c>
      <c r="M5188" s="94">
        <v>19116560</v>
      </c>
    </row>
    <row r="5189" spans="3:13" x14ac:dyDescent="0.3">
      <c r="C5189" t="s">
        <v>71</v>
      </c>
      <c r="D5189" t="s">
        <v>67</v>
      </c>
      <c r="E5189" t="s">
        <v>68</v>
      </c>
      <c r="F5189" t="s">
        <v>25</v>
      </c>
      <c r="G5189" s="4">
        <v>4</v>
      </c>
      <c r="H5189" s="4" t="s">
        <v>76</v>
      </c>
      <c r="I5189" s="4" t="s">
        <v>69</v>
      </c>
      <c r="J5189" s="4" t="s">
        <v>66</v>
      </c>
      <c r="K5189" s="4">
        <v>0</v>
      </c>
      <c r="L5189" s="94">
        <v>289874</v>
      </c>
      <c r="M5189" s="94">
        <v>1159496</v>
      </c>
    </row>
    <row r="5190" spans="3:13" x14ac:dyDescent="0.3">
      <c r="C5190" t="s">
        <v>61</v>
      </c>
      <c r="D5190" t="s">
        <v>67</v>
      </c>
      <c r="E5190" t="s">
        <v>63</v>
      </c>
      <c r="F5190" t="s">
        <v>72</v>
      </c>
      <c r="G5190" s="4">
        <v>4</v>
      </c>
      <c r="H5190" s="4" t="s">
        <v>83</v>
      </c>
      <c r="I5190" s="4" t="s">
        <v>69</v>
      </c>
      <c r="J5190" s="4" t="s">
        <v>66</v>
      </c>
      <c r="K5190" s="4">
        <v>0</v>
      </c>
      <c r="L5190" s="94">
        <v>-4797</v>
      </c>
      <c r="M5190" s="94">
        <v>0</v>
      </c>
    </row>
    <row r="5191" spans="3:13" x14ac:dyDescent="0.3">
      <c r="C5191" t="s">
        <v>61</v>
      </c>
      <c r="D5191" t="s">
        <v>67</v>
      </c>
      <c r="E5191" t="s">
        <v>63</v>
      </c>
      <c r="F5191" t="s">
        <v>72</v>
      </c>
      <c r="G5191" s="4">
        <v>6</v>
      </c>
      <c r="H5191" s="4" t="s">
        <v>77</v>
      </c>
      <c r="I5191" s="4" t="s">
        <v>69</v>
      </c>
      <c r="J5191" s="4" t="s">
        <v>66</v>
      </c>
      <c r="K5191" s="4">
        <v>0</v>
      </c>
      <c r="L5191" s="94">
        <v>-250</v>
      </c>
      <c r="M5191" s="94">
        <v>0</v>
      </c>
    </row>
    <row r="5192" spans="3:13" x14ac:dyDescent="0.3">
      <c r="C5192" t="s">
        <v>70</v>
      </c>
      <c r="D5192" t="s">
        <v>67</v>
      </c>
      <c r="E5192" t="s">
        <v>63</v>
      </c>
      <c r="F5192" t="s">
        <v>26</v>
      </c>
      <c r="G5192" s="4">
        <v>7</v>
      </c>
      <c r="H5192" s="4" t="s">
        <v>78</v>
      </c>
      <c r="I5192" s="4" t="s">
        <v>69</v>
      </c>
      <c r="J5192" s="4" t="s">
        <v>66</v>
      </c>
      <c r="K5192" s="4">
        <v>0</v>
      </c>
      <c r="L5192" s="94">
        <v>-91198</v>
      </c>
      <c r="M5192" s="94">
        <v>0</v>
      </c>
    </row>
    <row r="5193" spans="3:13" x14ac:dyDescent="0.3">
      <c r="C5193" t="s">
        <v>61</v>
      </c>
      <c r="D5193" t="s">
        <v>62</v>
      </c>
      <c r="E5193" t="s">
        <v>68</v>
      </c>
      <c r="F5193" t="s">
        <v>25</v>
      </c>
      <c r="G5193" s="4">
        <v>16</v>
      </c>
      <c r="I5193" s="4" t="s">
        <v>69</v>
      </c>
      <c r="J5193" s="4" t="s">
        <v>66</v>
      </c>
      <c r="K5193" s="4">
        <v>0</v>
      </c>
      <c r="L5193" s="94">
        <v>636160</v>
      </c>
      <c r="M5193" s="94">
        <v>10178560</v>
      </c>
    </row>
    <row r="5194" spans="3:13" x14ac:dyDescent="0.3">
      <c r="C5194" t="s">
        <v>61</v>
      </c>
      <c r="D5194" t="s">
        <v>84</v>
      </c>
      <c r="E5194" t="s">
        <v>68</v>
      </c>
      <c r="F5194" t="s">
        <v>25</v>
      </c>
      <c r="G5194" s="4">
        <v>3</v>
      </c>
      <c r="H5194" s="4" t="s">
        <v>17</v>
      </c>
      <c r="I5194" s="4" t="s">
        <v>69</v>
      </c>
      <c r="J5194" s="4" t="s">
        <v>66</v>
      </c>
      <c r="K5194" s="4">
        <v>0</v>
      </c>
      <c r="L5194" s="94">
        <v>46973926</v>
      </c>
      <c r="M5194" s="94">
        <v>140921778</v>
      </c>
    </row>
    <row r="5195" spans="3:13" x14ac:dyDescent="0.3">
      <c r="C5195" t="s">
        <v>70</v>
      </c>
      <c r="D5195" t="s">
        <v>62</v>
      </c>
      <c r="E5195" t="s">
        <v>63</v>
      </c>
      <c r="F5195" t="s">
        <v>24</v>
      </c>
      <c r="G5195" s="4">
        <v>27</v>
      </c>
      <c r="I5195" s="4" t="s">
        <v>69</v>
      </c>
      <c r="J5195" s="4" t="s">
        <v>66</v>
      </c>
      <c r="K5195" s="4">
        <v>1</v>
      </c>
      <c r="L5195" s="94">
        <v>-9510</v>
      </c>
      <c r="M5195" s="94">
        <v>0</v>
      </c>
    </row>
    <row r="5196" spans="3:13" x14ac:dyDescent="0.3">
      <c r="C5196" t="s">
        <v>61</v>
      </c>
      <c r="D5196" t="s">
        <v>67</v>
      </c>
      <c r="E5196" t="s">
        <v>63</v>
      </c>
      <c r="F5196" t="s">
        <v>26</v>
      </c>
      <c r="G5196" s="4">
        <v>-1</v>
      </c>
      <c r="H5196" s="4" t="s">
        <v>75</v>
      </c>
      <c r="I5196" s="4" t="s">
        <v>65</v>
      </c>
      <c r="J5196" s="4" t="s">
        <v>66</v>
      </c>
      <c r="K5196" s="4">
        <v>1</v>
      </c>
      <c r="L5196" s="94">
        <v>-944</v>
      </c>
      <c r="M5196" s="94">
        <v>0</v>
      </c>
    </row>
    <row r="5197" spans="3:13" x14ac:dyDescent="0.3">
      <c r="C5197" t="s">
        <v>71</v>
      </c>
      <c r="D5197" t="s">
        <v>67</v>
      </c>
      <c r="E5197" t="s">
        <v>68</v>
      </c>
      <c r="F5197" t="s">
        <v>26</v>
      </c>
      <c r="G5197" s="4">
        <v>5</v>
      </c>
      <c r="H5197" s="4" t="s">
        <v>18</v>
      </c>
      <c r="I5197" s="4" t="s">
        <v>69</v>
      </c>
      <c r="J5197" s="4" t="s">
        <v>73</v>
      </c>
      <c r="K5197" s="4">
        <v>1</v>
      </c>
      <c r="L5197" s="94">
        <v>37930</v>
      </c>
      <c r="M5197" s="94">
        <v>189650</v>
      </c>
    </row>
    <row r="5198" spans="3:13" x14ac:dyDescent="0.3">
      <c r="C5198" t="s">
        <v>70</v>
      </c>
      <c r="D5198" t="s">
        <v>62</v>
      </c>
      <c r="E5198" t="s">
        <v>63</v>
      </c>
      <c r="F5198" t="s">
        <v>25</v>
      </c>
      <c r="G5198" s="4">
        <v>1</v>
      </c>
      <c r="I5198" s="4" t="s">
        <v>69</v>
      </c>
      <c r="J5198" s="4" t="s">
        <v>66</v>
      </c>
      <c r="K5198" s="4">
        <v>1</v>
      </c>
      <c r="L5198" s="94">
        <v>0</v>
      </c>
      <c r="M5198" s="94">
        <v>0</v>
      </c>
    </row>
    <row r="5199" spans="3:13" x14ac:dyDescent="0.3">
      <c r="C5199" t="s">
        <v>70</v>
      </c>
      <c r="D5199" t="s">
        <v>67</v>
      </c>
      <c r="E5199" t="s">
        <v>68</v>
      </c>
      <c r="F5199" t="s">
        <v>72</v>
      </c>
      <c r="G5199" s="4">
        <v>2</v>
      </c>
      <c r="H5199" s="4" t="s">
        <v>15</v>
      </c>
      <c r="I5199" s="4" t="s">
        <v>69</v>
      </c>
      <c r="J5199" s="4" t="s">
        <v>73</v>
      </c>
      <c r="K5199" s="4">
        <v>1</v>
      </c>
      <c r="L5199" s="94">
        <v>61100</v>
      </c>
      <c r="M5199" s="94">
        <v>122200</v>
      </c>
    </row>
    <row r="5200" spans="3:13" x14ac:dyDescent="0.3">
      <c r="C5200" t="s">
        <v>70</v>
      </c>
      <c r="D5200" t="s">
        <v>67</v>
      </c>
      <c r="E5200" t="s">
        <v>63</v>
      </c>
      <c r="F5200" t="s">
        <v>25</v>
      </c>
      <c r="G5200" s="4">
        <v>6</v>
      </c>
      <c r="H5200" s="4" t="s">
        <v>75</v>
      </c>
      <c r="I5200" s="4" t="s">
        <v>69</v>
      </c>
      <c r="J5200" s="4" t="s">
        <v>66</v>
      </c>
      <c r="K5200" s="4">
        <v>1</v>
      </c>
      <c r="L5200" s="94">
        <v>-8592</v>
      </c>
      <c r="M5200" s="94">
        <v>0</v>
      </c>
    </row>
    <row r="5201" spans="3:13" x14ac:dyDescent="0.3">
      <c r="C5201" t="s">
        <v>71</v>
      </c>
      <c r="D5201" t="s">
        <v>62</v>
      </c>
      <c r="E5201" t="s">
        <v>63</v>
      </c>
      <c r="F5201" t="s">
        <v>24</v>
      </c>
      <c r="G5201" s="4">
        <v>12</v>
      </c>
      <c r="I5201" s="4" t="s">
        <v>69</v>
      </c>
      <c r="J5201" s="4" t="s">
        <v>66</v>
      </c>
      <c r="K5201" s="4">
        <v>0</v>
      </c>
      <c r="L5201" s="94">
        <v>-1415751</v>
      </c>
      <c r="M5201" s="94">
        <v>0</v>
      </c>
    </row>
    <row r="5202" spans="3:13" x14ac:dyDescent="0.3">
      <c r="C5202" t="s">
        <v>71</v>
      </c>
      <c r="D5202" t="s">
        <v>62</v>
      </c>
      <c r="E5202" t="s">
        <v>68</v>
      </c>
      <c r="F5202" t="s">
        <v>24</v>
      </c>
      <c r="G5202" s="4">
        <v>13</v>
      </c>
      <c r="I5202" s="4" t="s">
        <v>69</v>
      </c>
      <c r="J5202" s="4" t="s">
        <v>66</v>
      </c>
      <c r="K5202" s="4">
        <v>1</v>
      </c>
      <c r="L5202" s="94">
        <v>12598</v>
      </c>
      <c r="M5202" s="94">
        <v>163774</v>
      </c>
    </row>
    <row r="5203" spans="3:13" x14ac:dyDescent="0.3">
      <c r="C5203" t="s">
        <v>61</v>
      </c>
      <c r="D5203" t="s">
        <v>67</v>
      </c>
      <c r="E5203" t="s">
        <v>63</v>
      </c>
      <c r="F5203" t="s">
        <v>25</v>
      </c>
      <c r="G5203" s="4">
        <v>14</v>
      </c>
      <c r="H5203" s="4" t="s">
        <v>64</v>
      </c>
      <c r="I5203" s="4" t="s">
        <v>69</v>
      </c>
      <c r="J5203" s="4" t="s">
        <v>66</v>
      </c>
      <c r="K5203" s="4">
        <v>0</v>
      </c>
      <c r="L5203" s="94">
        <v>-202</v>
      </c>
      <c r="M5203" s="94">
        <v>0</v>
      </c>
    </row>
    <row r="5204" spans="3:13" x14ac:dyDescent="0.3">
      <c r="C5204" t="s">
        <v>70</v>
      </c>
      <c r="D5204" t="s">
        <v>67</v>
      </c>
      <c r="E5204" t="s">
        <v>63</v>
      </c>
      <c r="F5204" t="s">
        <v>26</v>
      </c>
      <c r="G5204" s="4">
        <v>2</v>
      </c>
      <c r="H5204" s="4" t="s">
        <v>18</v>
      </c>
      <c r="I5204" s="4" t="s">
        <v>69</v>
      </c>
      <c r="J5204" s="4" t="s">
        <v>66</v>
      </c>
      <c r="K5204" s="4">
        <v>0</v>
      </c>
      <c r="L5204" s="94">
        <v>-1193251</v>
      </c>
      <c r="M5204" s="94">
        <v>0</v>
      </c>
    </row>
    <row r="5205" spans="3:13" x14ac:dyDescent="0.3">
      <c r="C5205" t="s">
        <v>61</v>
      </c>
      <c r="D5205" t="s">
        <v>67</v>
      </c>
      <c r="E5205" t="s">
        <v>63</v>
      </c>
      <c r="F5205" t="s">
        <v>26</v>
      </c>
      <c r="G5205" s="4">
        <v>6</v>
      </c>
      <c r="H5205" s="4" t="s">
        <v>74</v>
      </c>
      <c r="I5205" s="4" t="s">
        <v>69</v>
      </c>
      <c r="J5205" s="4" t="s">
        <v>66</v>
      </c>
      <c r="K5205" s="4">
        <v>0</v>
      </c>
      <c r="L5205" s="94">
        <v>-52854</v>
      </c>
      <c r="M5205" s="94">
        <v>0</v>
      </c>
    </row>
    <row r="5206" spans="3:13" x14ac:dyDescent="0.3">
      <c r="C5206" t="s">
        <v>61</v>
      </c>
      <c r="D5206" t="s">
        <v>67</v>
      </c>
      <c r="E5206" t="s">
        <v>68</v>
      </c>
      <c r="F5206" t="s">
        <v>72</v>
      </c>
      <c r="G5206" s="4">
        <v>7</v>
      </c>
      <c r="H5206" s="4" t="s">
        <v>82</v>
      </c>
      <c r="I5206" s="4" t="s">
        <v>69</v>
      </c>
      <c r="J5206" s="4" t="s">
        <v>66</v>
      </c>
      <c r="K5206" s="4">
        <v>0</v>
      </c>
      <c r="L5206" s="94">
        <v>2298173</v>
      </c>
      <c r="M5206" s="94">
        <v>16087211</v>
      </c>
    </row>
    <row r="5207" spans="3:13" x14ac:dyDescent="0.3">
      <c r="C5207" t="s">
        <v>70</v>
      </c>
      <c r="D5207" t="s">
        <v>67</v>
      </c>
      <c r="E5207" t="s">
        <v>68</v>
      </c>
      <c r="F5207" t="s">
        <v>26</v>
      </c>
      <c r="G5207" s="4">
        <v>0</v>
      </c>
      <c r="H5207" s="4" t="s">
        <v>16</v>
      </c>
      <c r="I5207" s="4" t="s">
        <v>69</v>
      </c>
      <c r="J5207" s="4" t="s">
        <v>66</v>
      </c>
      <c r="K5207" s="4">
        <v>0</v>
      </c>
      <c r="L5207" s="94">
        <v>32970</v>
      </c>
      <c r="M5207" s="94">
        <v>0</v>
      </c>
    </row>
    <row r="5208" spans="3:13" x14ac:dyDescent="0.3">
      <c r="C5208" t="s">
        <v>61</v>
      </c>
      <c r="D5208" t="s">
        <v>67</v>
      </c>
      <c r="E5208" t="s">
        <v>68</v>
      </c>
      <c r="F5208" t="s">
        <v>25</v>
      </c>
      <c r="G5208" s="4">
        <v>12</v>
      </c>
      <c r="H5208" s="4" t="s">
        <v>83</v>
      </c>
      <c r="I5208" s="4" t="s">
        <v>69</v>
      </c>
      <c r="J5208" s="4" t="s">
        <v>66</v>
      </c>
      <c r="K5208" s="4">
        <v>0</v>
      </c>
      <c r="L5208" s="94">
        <v>411506</v>
      </c>
      <c r="M5208" s="94">
        <v>4938072</v>
      </c>
    </row>
    <row r="5209" spans="3:13" x14ac:dyDescent="0.3">
      <c r="C5209" t="s">
        <v>70</v>
      </c>
      <c r="D5209" t="s">
        <v>67</v>
      </c>
      <c r="E5209" t="s">
        <v>68</v>
      </c>
      <c r="F5209" t="s">
        <v>72</v>
      </c>
      <c r="G5209" s="4">
        <v>1</v>
      </c>
      <c r="H5209" s="4" t="s">
        <v>64</v>
      </c>
      <c r="I5209" s="4" t="s">
        <v>69</v>
      </c>
      <c r="J5209" s="4" t="s">
        <v>66</v>
      </c>
      <c r="K5209" s="4">
        <v>0</v>
      </c>
      <c r="L5209" s="94">
        <v>422529</v>
      </c>
      <c r="M5209" s="94">
        <v>422529</v>
      </c>
    </row>
    <row r="5210" spans="3:13" x14ac:dyDescent="0.3">
      <c r="C5210" t="s">
        <v>61</v>
      </c>
      <c r="D5210" t="s">
        <v>67</v>
      </c>
      <c r="E5210" t="s">
        <v>63</v>
      </c>
      <c r="F5210" t="s">
        <v>25</v>
      </c>
      <c r="G5210" s="4">
        <v>9</v>
      </c>
      <c r="H5210" s="4" t="s">
        <v>79</v>
      </c>
      <c r="I5210" s="4" t="s">
        <v>69</v>
      </c>
      <c r="J5210" s="4" t="s">
        <v>66</v>
      </c>
      <c r="K5210" s="4">
        <v>0</v>
      </c>
      <c r="L5210" s="94">
        <v>-18408</v>
      </c>
      <c r="M5210" s="94">
        <v>0</v>
      </c>
    </row>
    <row r="5211" spans="3:13" x14ac:dyDescent="0.3">
      <c r="C5211" t="s">
        <v>61</v>
      </c>
      <c r="D5211" t="s">
        <v>67</v>
      </c>
      <c r="E5211" t="s">
        <v>68</v>
      </c>
      <c r="F5211" t="s">
        <v>72</v>
      </c>
      <c r="G5211" s="4">
        <v>6</v>
      </c>
      <c r="H5211" s="4" t="s">
        <v>12</v>
      </c>
      <c r="I5211" s="4" t="s">
        <v>69</v>
      </c>
      <c r="J5211" s="4" t="s">
        <v>73</v>
      </c>
      <c r="K5211" s="4">
        <v>1</v>
      </c>
      <c r="L5211" s="94">
        <v>311211</v>
      </c>
      <c r="M5211" s="94">
        <v>1867266</v>
      </c>
    </row>
    <row r="5212" spans="3:13" x14ac:dyDescent="0.3">
      <c r="C5212" t="s">
        <v>71</v>
      </c>
      <c r="D5212" t="s">
        <v>62</v>
      </c>
      <c r="E5212" t="s">
        <v>63</v>
      </c>
      <c r="F5212" t="s">
        <v>24</v>
      </c>
      <c r="G5212" s="4">
        <v>2</v>
      </c>
      <c r="I5212" s="4" t="s">
        <v>69</v>
      </c>
      <c r="J5212" s="4" t="s">
        <v>73</v>
      </c>
      <c r="K5212" s="4">
        <v>1</v>
      </c>
      <c r="L5212" s="94">
        <v>-1111</v>
      </c>
      <c r="M5212" s="94">
        <v>0</v>
      </c>
    </row>
    <row r="5213" spans="3:13" x14ac:dyDescent="0.3">
      <c r="C5213" t="s">
        <v>71</v>
      </c>
      <c r="D5213" t="s">
        <v>62</v>
      </c>
      <c r="E5213" t="s">
        <v>68</v>
      </c>
      <c r="F5213" t="s">
        <v>24</v>
      </c>
      <c r="G5213" s="4">
        <v>11</v>
      </c>
      <c r="I5213" s="4" t="s">
        <v>65</v>
      </c>
      <c r="J5213" s="4" t="s">
        <v>66</v>
      </c>
      <c r="K5213" s="4">
        <v>1</v>
      </c>
      <c r="L5213" s="94">
        <v>47774</v>
      </c>
      <c r="M5213" s="94">
        <v>525514</v>
      </c>
    </row>
    <row r="5214" spans="3:13" x14ac:dyDescent="0.3">
      <c r="C5214" t="s">
        <v>61</v>
      </c>
      <c r="D5214" t="s">
        <v>67</v>
      </c>
      <c r="E5214" t="s">
        <v>63</v>
      </c>
      <c r="F5214" t="s">
        <v>26</v>
      </c>
      <c r="G5214" s="4">
        <v>1</v>
      </c>
      <c r="H5214" s="4" t="s">
        <v>12</v>
      </c>
      <c r="I5214" s="4" t="s">
        <v>69</v>
      </c>
      <c r="J5214" s="4" t="s">
        <v>73</v>
      </c>
      <c r="K5214" s="4">
        <v>1</v>
      </c>
      <c r="L5214" s="94">
        <v>-18918</v>
      </c>
      <c r="M5214" s="94">
        <v>0</v>
      </c>
    </row>
    <row r="5215" spans="3:13" x14ac:dyDescent="0.3">
      <c r="C5215" t="s">
        <v>70</v>
      </c>
      <c r="D5215" t="s">
        <v>67</v>
      </c>
      <c r="E5215" t="s">
        <v>68</v>
      </c>
      <c r="F5215" t="s">
        <v>26</v>
      </c>
      <c r="G5215" s="4">
        <v>-1</v>
      </c>
      <c r="H5215" s="4" t="s">
        <v>75</v>
      </c>
      <c r="I5215" s="4" t="s">
        <v>69</v>
      </c>
      <c r="J5215" s="4" t="s">
        <v>66</v>
      </c>
      <c r="K5215" s="4">
        <v>0</v>
      </c>
      <c r="L5215" s="94">
        <v>7404891</v>
      </c>
      <c r="M5215" s="94">
        <v>0</v>
      </c>
    </row>
    <row r="5216" spans="3:13" x14ac:dyDescent="0.3">
      <c r="C5216" t="s">
        <v>61</v>
      </c>
      <c r="D5216" t="s">
        <v>67</v>
      </c>
      <c r="E5216" t="s">
        <v>68</v>
      </c>
      <c r="F5216" t="s">
        <v>25</v>
      </c>
      <c r="G5216" s="4">
        <v>4</v>
      </c>
      <c r="H5216" s="4" t="s">
        <v>79</v>
      </c>
      <c r="I5216" s="4" t="s">
        <v>69</v>
      </c>
      <c r="J5216" s="4" t="s">
        <v>66</v>
      </c>
      <c r="K5216" s="4">
        <v>0</v>
      </c>
      <c r="L5216" s="94">
        <v>1402995</v>
      </c>
      <c r="M5216" s="94">
        <v>5611980</v>
      </c>
    </row>
    <row r="5217" spans="3:13" x14ac:dyDescent="0.3">
      <c r="C5217" t="s">
        <v>61</v>
      </c>
      <c r="D5217" t="s">
        <v>67</v>
      </c>
      <c r="E5217" t="s">
        <v>68</v>
      </c>
      <c r="F5217" t="s">
        <v>72</v>
      </c>
      <c r="G5217" s="4">
        <v>-1</v>
      </c>
      <c r="H5217" s="4" t="s">
        <v>14</v>
      </c>
      <c r="I5217" s="4" t="s">
        <v>69</v>
      </c>
      <c r="J5217" s="4" t="s">
        <v>66</v>
      </c>
      <c r="K5217" s="4">
        <v>0</v>
      </c>
      <c r="L5217" s="94">
        <v>5518238</v>
      </c>
      <c r="M5217" s="94">
        <v>0</v>
      </c>
    </row>
    <row r="5218" spans="3:13" x14ac:dyDescent="0.3">
      <c r="C5218" t="s">
        <v>61</v>
      </c>
      <c r="D5218" t="s">
        <v>67</v>
      </c>
      <c r="E5218" t="s">
        <v>63</v>
      </c>
      <c r="F5218" t="s">
        <v>26</v>
      </c>
      <c r="G5218" s="4">
        <v>1</v>
      </c>
      <c r="H5218" s="4" t="s">
        <v>17</v>
      </c>
      <c r="I5218" s="4" t="s">
        <v>65</v>
      </c>
      <c r="J5218" s="4" t="s">
        <v>66</v>
      </c>
      <c r="K5218" s="4">
        <v>1</v>
      </c>
      <c r="L5218" s="94">
        <v>-265</v>
      </c>
      <c r="M5218" s="94">
        <v>0</v>
      </c>
    </row>
    <row r="5219" spans="3:13" x14ac:dyDescent="0.3">
      <c r="C5219" t="s">
        <v>70</v>
      </c>
      <c r="D5219" t="s">
        <v>67</v>
      </c>
      <c r="E5219" t="s">
        <v>63</v>
      </c>
      <c r="F5219" t="s">
        <v>25</v>
      </c>
      <c r="G5219" s="4">
        <v>2</v>
      </c>
      <c r="H5219" s="4" t="s">
        <v>64</v>
      </c>
      <c r="I5219" s="4" t="s">
        <v>69</v>
      </c>
      <c r="J5219" s="4" t="s">
        <v>66</v>
      </c>
      <c r="K5219" s="4">
        <v>0</v>
      </c>
      <c r="L5219" s="94">
        <v>-6227</v>
      </c>
      <c r="M5219" s="94">
        <v>0</v>
      </c>
    </row>
    <row r="5220" spans="3:13" x14ac:dyDescent="0.3">
      <c r="C5220" t="s">
        <v>61</v>
      </c>
      <c r="D5220" t="s">
        <v>67</v>
      </c>
      <c r="E5220" t="s">
        <v>63</v>
      </c>
      <c r="F5220" t="s">
        <v>26</v>
      </c>
      <c r="G5220" s="4">
        <v>4</v>
      </c>
      <c r="H5220" s="4" t="s">
        <v>13</v>
      </c>
      <c r="I5220" s="4" t="s">
        <v>69</v>
      </c>
      <c r="J5220" s="4" t="s">
        <v>73</v>
      </c>
      <c r="K5220" s="4">
        <v>1</v>
      </c>
      <c r="L5220" s="94">
        <v>-2431</v>
      </c>
      <c r="M5220" s="94">
        <v>0</v>
      </c>
    </row>
    <row r="5221" spans="3:13" x14ac:dyDescent="0.3">
      <c r="C5221" t="s">
        <v>70</v>
      </c>
      <c r="D5221" t="s">
        <v>67</v>
      </c>
      <c r="E5221" t="s">
        <v>68</v>
      </c>
      <c r="F5221" t="s">
        <v>25</v>
      </c>
      <c r="G5221" s="4">
        <v>8</v>
      </c>
      <c r="H5221" s="4" t="s">
        <v>81</v>
      </c>
      <c r="I5221" s="4" t="s">
        <v>69</v>
      </c>
      <c r="J5221" s="4" t="s">
        <v>66</v>
      </c>
      <c r="K5221" s="4">
        <v>0</v>
      </c>
      <c r="L5221" s="94">
        <v>80803</v>
      </c>
      <c r="M5221" s="94">
        <v>646424</v>
      </c>
    </row>
    <row r="5222" spans="3:13" x14ac:dyDescent="0.3">
      <c r="C5222" t="s">
        <v>70</v>
      </c>
      <c r="D5222" t="s">
        <v>62</v>
      </c>
      <c r="E5222" t="s">
        <v>63</v>
      </c>
      <c r="F5222" t="s">
        <v>24</v>
      </c>
      <c r="G5222" s="4">
        <v>0</v>
      </c>
      <c r="I5222" s="4" t="s">
        <v>65</v>
      </c>
      <c r="J5222" s="4" t="s">
        <v>66</v>
      </c>
      <c r="K5222" s="4">
        <v>1</v>
      </c>
      <c r="L5222" s="94">
        <v>-106</v>
      </c>
      <c r="M5222" s="94">
        <v>0</v>
      </c>
    </row>
    <row r="5223" spans="3:13" x14ac:dyDescent="0.3">
      <c r="C5223" t="s">
        <v>70</v>
      </c>
      <c r="D5223" t="s">
        <v>67</v>
      </c>
      <c r="E5223" t="s">
        <v>63</v>
      </c>
      <c r="F5223" t="s">
        <v>72</v>
      </c>
      <c r="G5223" s="4">
        <v>6</v>
      </c>
      <c r="H5223" s="4" t="s">
        <v>77</v>
      </c>
      <c r="I5223" s="4" t="s">
        <v>69</v>
      </c>
      <c r="J5223" s="4" t="s">
        <v>66</v>
      </c>
      <c r="K5223" s="4">
        <v>0</v>
      </c>
      <c r="L5223" s="94">
        <v>-814</v>
      </c>
      <c r="M5223" s="94">
        <v>0</v>
      </c>
    </row>
    <row r="5224" spans="3:13" x14ac:dyDescent="0.3">
      <c r="C5224" t="s">
        <v>70</v>
      </c>
      <c r="D5224" t="s">
        <v>62</v>
      </c>
      <c r="E5224" t="s">
        <v>68</v>
      </c>
      <c r="F5224" t="s">
        <v>24</v>
      </c>
      <c r="G5224" s="4">
        <v>28</v>
      </c>
      <c r="I5224" s="4" t="s">
        <v>69</v>
      </c>
      <c r="J5224" s="4" t="s">
        <v>66</v>
      </c>
      <c r="K5224" s="4">
        <v>0</v>
      </c>
      <c r="L5224" s="94">
        <v>49497195</v>
      </c>
      <c r="M5224" s="94">
        <v>1385921460</v>
      </c>
    </row>
    <row r="5225" spans="3:13" x14ac:dyDescent="0.3">
      <c r="C5225" t="s">
        <v>61</v>
      </c>
      <c r="D5225" t="s">
        <v>67</v>
      </c>
      <c r="E5225" t="s">
        <v>63</v>
      </c>
      <c r="F5225" t="s">
        <v>26</v>
      </c>
      <c r="G5225" s="4">
        <v>10</v>
      </c>
      <c r="H5225" s="4" t="s">
        <v>78</v>
      </c>
      <c r="I5225" s="4" t="s">
        <v>69</v>
      </c>
      <c r="J5225" s="4" t="s">
        <v>66</v>
      </c>
      <c r="K5225" s="4">
        <v>0</v>
      </c>
      <c r="L5225" s="94">
        <v>-9278</v>
      </c>
      <c r="M5225" s="94">
        <v>0</v>
      </c>
    </row>
    <row r="5226" spans="3:13" x14ac:dyDescent="0.3">
      <c r="C5226" t="s">
        <v>61</v>
      </c>
      <c r="D5226" t="s">
        <v>67</v>
      </c>
      <c r="E5226" t="s">
        <v>63</v>
      </c>
      <c r="F5226" t="s">
        <v>26</v>
      </c>
      <c r="G5226" s="4">
        <v>11</v>
      </c>
      <c r="H5226" s="4" t="s">
        <v>64</v>
      </c>
      <c r="I5226" s="4" t="s">
        <v>69</v>
      </c>
      <c r="J5226" s="4" t="s">
        <v>66</v>
      </c>
      <c r="K5226" s="4">
        <v>0</v>
      </c>
      <c r="L5226" s="94">
        <v>-773</v>
      </c>
      <c r="M5226" s="94">
        <v>0</v>
      </c>
    </row>
    <row r="5227" spans="3:13" x14ac:dyDescent="0.3">
      <c r="C5227" t="s">
        <v>61</v>
      </c>
      <c r="D5227" t="s">
        <v>84</v>
      </c>
      <c r="E5227" t="s">
        <v>63</v>
      </c>
      <c r="F5227" t="s">
        <v>25</v>
      </c>
      <c r="G5227" s="4">
        <v>6</v>
      </c>
      <c r="H5227" s="4" t="s">
        <v>75</v>
      </c>
      <c r="I5227" s="4" t="s">
        <v>69</v>
      </c>
      <c r="J5227" s="4" t="s">
        <v>66</v>
      </c>
      <c r="K5227" s="4">
        <v>0</v>
      </c>
      <c r="L5227" s="94">
        <v>-1328</v>
      </c>
      <c r="M5227" s="94">
        <v>0</v>
      </c>
    </row>
    <row r="5228" spans="3:13" x14ac:dyDescent="0.3">
      <c r="C5228" t="s">
        <v>61</v>
      </c>
      <c r="D5228" t="s">
        <v>67</v>
      </c>
      <c r="E5228" t="s">
        <v>68</v>
      </c>
      <c r="F5228" t="s">
        <v>25</v>
      </c>
      <c r="G5228" s="4">
        <v>14</v>
      </c>
      <c r="H5228" s="4" t="s">
        <v>75</v>
      </c>
      <c r="I5228" s="4" t="s">
        <v>69</v>
      </c>
      <c r="J5228" s="4" t="s">
        <v>66</v>
      </c>
      <c r="K5228" s="4">
        <v>0</v>
      </c>
      <c r="L5228" s="94">
        <v>40229184</v>
      </c>
      <c r="M5228" s="94">
        <v>563208576</v>
      </c>
    </row>
    <row r="5229" spans="3:13" x14ac:dyDescent="0.3">
      <c r="C5229" t="s">
        <v>61</v>
      </c>
      <c r="D5229" t="s">
        <v>62</v>
      </c>
      <c r="E5229" t="s">
        <v>63</v>
      </c>
      <c r="F5229" t="s">
        <v>24</v>
      </c>
      <c r="G5229" s="4">
        <v>30</v>
      </c>
      <c r="I5229" s="4" t="s">
        <v>65</v>
      </c>
      <c r="J5229" s="4" t="s">
        <v>66</v>
      </c>
      <c r="K5229" s="4">
        <v>1</v>
      </c>
      <c r="L5229" s="94">
        <v>-5321</v>
      </c>
      <c r="M5229" s="94">
        <v>0</v>
      </c>
    </row>
    <row r="5230" spans="3:13" x14ac:dyDescent="0.3">
      <c r="C5230" t="s">
        <v>61</v>
      </c>
      <c r="D5230" t="s">
        <v>67</v>
      </c>
      <c r="E5230" t="s">
        <v>63</v>
      </c>
      <c r="F5230" t="s">
        <v>26</v>
      </c>
      <c r="G5230" s="4">
        <v>5</v>
      </c>
      <c r="H5230" s="4" t="s">
        <v>81</v>
      </c>
      <c r="I5230" s="4" t="s">
        <v>69</v>
      </c>
      <c r="J5230" s="4" t="s">
        <v>66</v>
      </c>
      <c r="K5230" s="4">
        <v>0</v>
      </c>
      <c r="L5230" s="94">
        <v>-2420</v>
      </c>
      <c r="M5230" s="94">
        <v>0</v>
      </c>
    </row>
    <row r="5231" spans="3:13" x14ac:dyDescent="0.3">
      <c r="C5231" t="s">
        <v>61</v>
      </c>
      <c r="D5231" t="s">
        <v>67</v>
      </c>
      <c r="E5231" t="s">
        <v>63</v>
      </c>
      <c r="F5231" t="s">
        <v>25</v>
      </c>
      <c r="G5231" s="4">
        <v>1</v>
      </c>
      <c r="H5231" s="4" t="s">
        <v>14</v>
      </c>
      <c r="I5231" s="4" t="s">
        <v>69</v>
      </c>
      <c r="J5231" s="4" t="s">
        <v>66</v>
      </c>
      <c r="K5231" s="4">
        <v>1</v>
      </c>
      <c r="L5231" s="94">
        <v>-718</v>
      </c>
      <c r="M5231" s="94">
        <v>0</v>
      </c>
    </row>
    <row r="5232" spans="3:13" x14ac:dyDescent="0.3">
      <c r="C5232" t="s">
        <v>70</v>
      </c>
      <c r="D5232" t="s">
        <v>62</v>
      </c>
      <c r="E5232" t="s">
        <v>63</v>
      </c>
      <c r="F5232" t="s">
        <v>24</v>
      </c>
      <c r="G5232" s="4">
        <v>22</v>
      </c>
      <c r="I5232" s="4" t="s">
        <v>65</v>
      </c>
      <c r="J5232" s="4" t="s">
        <v>66</v>
      </c>
      <c r="K5232" s="4">
        <v>1</v>
      </c>
      <c r="L5232" s="94">
        <v>-5132</v>
      </c>
      <c r="M5232" s="94">
        <v>0</v>
      </c>
    </row>
    <row r="5233" spans="3:13" x14ac:dyDescent="0.3">
      <c r="C5233" t="s">
        <v>71</v>
      </c>
      <c r="D5233" t="s">
        <v>67</v>
      </c>
      <c r="E5233" t="s">
        <v>68</v>
      </c>
      <c r="F5233" t="s">
        <v>26</v>
      </c>
      <c r="G5233" s="4">
        <v>8</v>
      </c>
      <c r="H5233" s="4" t="s">
        <v>12</v>
      </c>
      <c r="I5233" s="4" t="s">
        <v>69</v>
      </c>
      <c r="J5233" s="4" t="s">
        <v>73</v>
      </c>
      <c r="K5233" s="4">
        <v>1</v>
      </c>
      <c r="L5233" s="94">
        <v>103289</v>
      </c>
      <c r="M5233" s="94">
        <v>826312</v>
      </c>
    </row>
    <row r="5234" spans="3:13" x14ac:dyDescent="0.3">
      <c r="C5234" t="s">
        <v>61</v>
      </c>
      <c r="D5234" t="s">
        <v>62</v>
      </c>
      <c r="E5234" t="s">
        <v>63</v>
      </c>
      <c r="F5234" t="s">
        <v>24</v>
      </c>
      <c r="G5234" s="4">
        <v>15</v>
      </c>
      <c r="I5234" s="4" t="s">
        <v>69</v>
      </c>
      <c r="J5234" s="4" t="s">
        <v>73</v>
      </c>
      <c r="K5234" s="4">
        <v>1</v>
      </c>
      <c r="L5234" s="94">
        <v>0</v>
      </c>
      <c r="M5234" s="94">
        <v>0</v>
      </c>
    </row>
    <row r="5235" spans="3:13" x14ac:dyDescent="0.3">
      <c r="C5235" t="s">
        <v>70</v>
      </c>
      <c r="D5235" t="s">
        <v>67</v>
      </c>
      <c r="E5235" t="s">
        <v>68</v>
      </c>
      <c r="F5235" t="s">
        <v>26</v>
      </c>
      <c r="G5235" s="4">
        <v>2</v>
      </c>
      <c r="H5235" s="4" t="s">
        <v>17</v>
      </c>
      <c r="I5235" s="4" t="s">
        <v>69</v>
      </c>
      <c r="J5235" s="4" t="s">
        <v>66</v>
      </c>
      <c r="K5235" s="4">
        <v>0</v>
      </c>
      <c r="L5235" s="94">
        <v>7842286</v>
      </c>
      <c r="M5235" s="94">
        <v>15684572</v>
      </c>
    </row>
    <row r="5236" spans="3:13" x14ac:dyDescent="0.3">
      <c r="C5236" t="s">
        <v>70</v>
      </c>
      <c r="D5236" t="s">
        <v>67</v>
      </c>
      <c r="E5236" t="s">
        <v>63</v>
      </c>
      <c r="F5236" t="s">
        <v>25</v>
      </c>
      <c r="G5236" s="4">
        <v>14</v>
      </c>
      <c r="H5236" s="4" t="s">
        <v>79</v>
      </c>
      <c r="I5236" s="4" t="s">
        <v>69</v>
      </c>
      <c r="J5236" s="4" t="s">
        <v>66</v>
      </c>
      <c r="K5236" s="4">
        <v>0</v>
      </c>
      <c r="L5236" s="94">
        <v>-20361</v>
      </c>
      <c r="M5236" s="94">
        <v>0</v>
      </c>
    </row>
    <row r="5237" spans="3:13" x14ac:dyDescent="0.3">
      <c r="C5237" t="s">
        <v>70</v>
      </c>
      <c r="D5237" t="s">
        <v>67</v>
      </c>
      <c r="E5237" t="s">
        <v>63</v>
      </c>
      <c r="F5237" t="s">
        <v>26</v>
      </c>
      <c r="G5237" s="4">
        <v>6</v>
      </c>
      <c r="H5237" s="4" t="s">
        <v>18</v>
      </c>
      <c r="I5237" s="4" t="s">
        <v>69</v>
      </c>
      <c r="J5237" s="4" t="s">
        <v>73</v>
      </c>
      <c r="K5237" s="4">
        <v>1</v>
      </c>
      <c r="L5237" s="94">
        <v>-95587</v>
      </c>
      <c r="M5237" s="94">
        <v>0</v>
      </c>
    </row>
    <row r="5238" spans="3:13" x14ac:dyDescent="0.3">
      <c r="C5238" t="s">
        <v>71</v>
      </c>
      <c r="D5238" t="s">
        <v>67</v>
      </c>
      <c r="E5238" t="s">
        <v>63</v>
      </c>
      <c r="F5238" t="s">
        <v>72</v>
      </c>
      <c r="G5238" s="4">
        <v>1</v>
      </c>
      <c r="H5238" s="4" t="s">
        <v>17</v>
      </c>
      <c r="I5238" s="4" t="s">
        <v>69</v>
      </c>
      <c r="J5238" s="4" t="s">
        <v>66</v>
      </c>
      <c r="K5238" s="4">
        <v>0</v>
      </c>
      <c r="L5238" s="94">
        <v>-116900</v>
      </c>
      <c r="M5238" s="94">
        <v>0</v>
      </c>
    </row>
    <row r="5239" spans="3:13" x14ac:dyDescent="0.3">
      <c r="C5239" t="s">
        <v>61</v>
      </c>
      <c r="D5239" t="s">
        <v>67</v>
      </c>
      <c r="E5239" t="s">
        <v>68</v>
      </c>
      <c r="F5239" t="s">
        <v>25</v>
      </c>
      <c r="G5239" s="4">
        <v>12</v>
      </c>
      <c r="H5239" s="4" t="s">
        <v>75</v>
      </c>
      <c r="I5239" s="4" t="s">
        <v>69</v>
      </c>
      <c r="J5239" s="4" t="s">
        <v>66</v>
      </c>
      <c r="K5239" s="4">
        <v>0</v>
      </c>
      <c r="L5239" s="94">
        <v>38239159</v>
      </c>
      <c r="M5239" s="94">
        <v>458869908</v>
      </c>
    </row>
    <row r="5240" spans="3:13" x14ac:dyDescent="0.3">
      <c r="C5240" t="s">
        <v>70</v>
      </c>
      <c r="D5240" t="s">
        <v>67</v>
      </c>
      <c r="E5240" t="s">
        <v>63</v>
      </c>
      <c r="F5240" t="s">
        <v>72</v>
      </c>
      <c r="G5240" s="4">
        <v>2</v>
      </c>
      <c r="H5240" s="4" t="s">
        <v>12</v>
      </c>
      <c r="I5240" s="4" t="s">
        <v>65</v>
      </c>
      <c r="J5240" s="4" t="s">
        <v>73</v>
      </c>
      <c r="K5240" s="4">
        <v>1</v>
      </c>
      <c r="L5240" s="94">
        <v>-2125</v>
      </c>
      <c r="M5240" s="94">
        <v>0</v>
      </c>
    </row>
    <row r="5241" spans="3:13" x14ac:dyDescent="0.3">
      <c r="C5241" t="s">
        <v>61</v>
      </c>
      <c r="D5241" t="s">
        <v>67</v>
      </c>
      <c r="E5241" t="s">
        <v>63</v>
      </c>
      <c r="F5241" t="s">
        <v>72</v>
      </c>
      <c r="G5241" s="4">
        <v>4</v>
      </c>
      <c r="H5241" s="4" t="s">
        <v>75</v>
      </c>
      <c r="I5241" s="4" t="s">
        <v>69</v>
      </c>
      <c r="J5241" s="4" t="s">
        <v>66</v>
      </c>
      <c r="K5241" s="4">
        <v>0</v>
      </c>
      <c r="L5241" s="94">
        <v>-5288</v>
      </c>
      <c r="M5241" s="94">
        <v>0</v>
      </c>
    </row>
    <row r="5242" spans="3:13" x14ac:dyDescent="0.3">
      <c r="C5242" t="s">
        <v>61</v>
      </c>
      <c r="D5242" t="s">
        <v>67</v>
      </c>
      <c r="E5242" t="s">
        <v>68</v>
      </c>
      <c r="F5242" t="s">
        <v>25</v>
      </c>
      <c r="G5242" s="4">
        <v>11</v>
      </c>
      <c r="H5242" s="4" t="s">
        <v>17</v>
      </c>
      <c r="I5242" s="4" t="s">
        <v>69</v>
      </c>
      <c r="J5242" s="4" t="s">
        <v>66</v>
      </c>
      <c r="K5242" s="4">
        <v>0</v>
      </c>
      <c r="L5242" s="94">
        <v>8308313</v>
      </c>
      <c r="M5242" s="94">
        <v>91391443</v>
      </c>
    </row>
    <row r="5243" spans="3:13" x14ac:dyDescent="0.3">
      <c r="C5243" t="s">
        <v>61</v>
      </c>
      <c r="D5243" t="s">
        <v>62</v>
      </c>
      <c r="E5243" t="s">
        <v>63</v>
      </c>
      <c r="F5243" t="s">
        <v>24</v>
      </c>
      <c r="G5243" s="4">
        <v>9</v>
      </c>
      <c r="I5243" s="4" t="s">
        <v>69</v>
      </c>
      <c r="J5243" s="4" t="s">
        <v>66</v>
      </c>
      <c r="K5243" s="4">
        <v>0</v>
      </c>
      <c r="L5243" s="94">
        <v>-64997</v>
      </c>
      <c r="M5243" s="94">
        <v>0</v>
      </c>
    </row>
    <row r="5244" spans="3:13" x14ac:dyDescent="0.3">
      <c r="C5244" t="s">
        <v>70</v>
      </c>
      <c r="D5244" t="s">
        <v>62</v>
      </c>
      <c r="E5244" t="s">
        <v>63</v>
      </c>
      <c r="F5244" t="s">
        <v>25</v>
      </c>
      <c r="G5244" s="4">
        <v>20</v>
      </c>
      <c r="I5244" s="4" t="s">
        <v>69</v>
      </c>
      <c r="J5244" s="4" t="s">
        <v>66</v>
      </c>
      <c r="K5244" s="4">
        <v>0</v>
      </c>
      <c r="L5244" s="94">
        <v>-1638</v>
      </c>
      <c r="M5244" s="94">
        <v>0</v>
      </c>
    </row>
    <row r="5245" spans="3:13" x14ac:dyDescent="0.3">
      <c r="C5245" t="s">
        <v>61</v>
      </c>
      <c r="D5245" t="s">
        <v>67</v>
      </c>
      <c r="E5245" t="s">
        <v>63</v>
      </c>
      <c r="F5245" t="s">
        <v>72</v>
      </c>
      <c r="G5245" s="4">
        <v>1</v>
      </c>
      <c r="H5245" s="4" t="s">
        <v>17</v>
      </c>
      <c r="I5245" s="4" t="s">
        <v>69</v>
      </c>
      <c r="J5245" s="4" t="s">
        <v>73</v>
      </c>
      <c r="K5245" s="4">
        <v>1</v>
      </c>
      <c r="L5245" s="94">
        <v>-305</v>
      </c>
      <c r="M5245" s="94">
        <v>0</v>
      </c>
    </row>
    <row r="5246" spans="3:13" x14ac:dyDescent="0.3">
      <c r="C5246" t="s">
        <v>70</v>
      </c>
      <c r="D5246" t="s">
        <v>67</v>
      </c>
      <c r="E5246" t="s">
        <v>63</v>
      </c>
      <c r="F5246" t="s">
        <v>26</v>
      </c>
      <c r="G5246" s="4">
        <v>-1</v>
      </c>
      <c r="H5246" s="4" t="s">
        <v>12</v>
      </c>
      <c r="I5246" s="4" t="s">
        <v>69</v>
      </c>
      <c r="J5246" s="4" t="s">
        <v>66</v>
      </c>
      <c r="K5246" s="4">
        <v>0</v>
      </c>
      <c r="L5246" s="94">
        <v>-151007</v>
      </c>
      <c r="M5246" s="94">
        <v>0</v>
      </c>
    </row>
    <row r="5247" spans="3:13" x14ac:dyDescent="0.3">
      <c r="C5247" t="s">
        <v>61</v>
      </c>
      <c r="D5247" t="s">
        <v>62</v>
      </c>
      <c r="E5247" t="s">
        <v>63</v>
      </c>
      <c r="F5247" t="s">
        <v>24</v>
      </c>
      <c r="G5247" s="4">
        <v>42</v>
      </c>
      <c r="I5247" s="4" t="s">
        <v>69</v>
      </c>
      <c r="J5247" s="4" t="s">
        <v>66</v>
      </c>
      <c r="K5247" s="4">
        <v>0</v>
      </c>
      <c r="L5247" s="94">
        <v>-15518</v>
      </c>
      <c r="M5247" s="94">
        <v>0</v>
      </c>
    </row>
    <row r="5248" spans="3:13" x14ac:dyDescent="0.3">
      <c r="C5248" t="s">
        <v>70</v>
      </c>
      <c r="D5248" t="s">
        <v>67</v>
      </c>
      <c r="E5248" t="s">
        <v>63</v>
      </c>
      <c r="F5248" t="s">
        <v>26</v>
      </c>
      <c r="G5248" s="4">
        <v>7</v>
      </c>
      <c r="H5248" s="4" t="s">
        <v>64</v>
      </c>
      <c r="I5248" s="4" t="s">
        <v>69</v>
      </c>
      <c r="J5248" s="4" t="s">
        <v>66</v>
      </c>
      <c r="K5248" s="4">
        <v>0</v>
      </c>
      <c r="L5248" s="94">
        <v>-15666</v>
      </c>
      <c r="M5248" s="94">
        <v>0</v>
      </c>
    </row>
    <row r="5249" spans="3:13" x14ac:dyDescent="0.3">
      <c r="C5249" t="s">
        <v>71</v>
      </c>
      <c r="D5249" t="s">
        <v>62</v>
      </c>
      <c r="E5249" t="s">
        <v>63</v>
      </c>
      <c r="F5249" t="s">
        <v>24</v>
      </c>
      <c r="G5249" s="4">
        <v>4</v>
      </c>
      <c r="I5249" s="4" t="s">
        <v>65</v>
      </c>
      <c r="J5249" s="4" t="s">
        <v>66</v>
      </c>
      <c r="K5249" s="4">
        <v>1</v>
      </c>
      <c r="L5249" s="94">
        <v>-10213</v>
      </c>
      <c r="M5249" s="94">
        <v>0</v>
      </c>
    </row>
    <row r="5250" spans="3:13" x14ac:dyDescent="0.3">
      <c r="C5250" t="s">
        <v>70</v>
      </c>
      <c r="D5250" t="s">
        <v>62</v>
      </c>
      <c r="E5250" t="s">
        <v>68</v>
      </c>
      <c r="F5250" t="s">
        <v>24</v>
      </c>
      <c r="G5250" s="4">
        <v>29</v>
      </c>
      <c r="I5250" s="4" t="s">
        <v>65</v>
      </c>
      <c r="J5250" s="4" t="s">
        <v>66</v>
      </c>
      <c r="K5250" s="4">
        <v>1</v>
      </c>
      <c r="L5250" s="94">
        <v>1604526</v>
      </c>
      <c r="M5250" s="94">
        <v>46531254</v>
      </c>
    </row>
    <row r="5251" spans="3:13" x14ac:dyDescent="0.3">
      <c r="C5251" t="s">
        <v>61</v>
      </c>
      <c r="D5251" t="s">
        <v>67</v>
      </c>
      <c r="E5251" t="s">
        <v>68</v>
      </c>
      <c r="F5251" t="s">
        <v>25</v>
      </c>
      <c r="G5251" s="4">
        <v>5</v>
      </c>
      <c r="H5251" s="4" t="s">
        <v>79</v>
      </c>
      <c r="I5251" s="4" t="s">
        <v>69</v>
      </c>
      <c r="J5251" s="4" t="s">
        <v>66</v>
      </c>
      <c r="K5251" s="4">
        <v>0</v>
      </c>
      <c r="L5251" s="94">
        <v>2076158</v>
      </c>
      <c r="M5251" s="94">
        <v>10380790</v>
      </c>
    </row>
    <row r="5252" spans="3:13" x14ac:dyDescent="0.3">
      <c r="C5252" t="s">
        <v>61</v>
      </c>
      <c r="D5252" t="s">
        <v>67</v>
      </c>
      <c r="E5252" t="s">
        <v>68</v>
      </c>
      <c r="F5252" t="s">
        <v>72</v>
      </c>
      <c r="G5252" s="4">
        <v>1</v>
      </c>
      <c r="H5252" s="4" t="s">
        <v>18</v>
      </c>
      <c r="I5252" s="4" t="s">
        <v>69</v>
      </c>
      <c r="J5252" s="4" t="s">
        <v>73</v>
      </c>
      <c r="K5252" s="4">
        <v>1</v>
      </c>
      <c r="L5252" s="94">
        <v>579109</v>
      </c>
      <c r="M5252" s="94">
        <v>579109</v>
      </c>
    </row>
    <row r="5253" spans="3:13" x14ac:dyDescent="0.3">
      <c r="C5253" t="s">
        <v>70</v>
      </c>
      <c r="D5253" t="s">
        <v>67</v>
      </c>
      <c r="E5253" t="s">
        <v>63</v>
      </c>
      <c r="F5253" t="s">
        <v>26</v>
      </c>
      <c r="G5253" s="4">
        <v>5</v>
      </c>
      <c r="H5253" s="4" t="s">
        <v>17</v>
      </c>
      <c r="I5253" s="4" t="s">
        <v>65</v>
      </c>
      <c r="J5253" s="4" t="s">
        <v>66</v>
      </c>
      <c r="K5253" s="4">
        <v>1</v>
      </c>
      <c r="L5253" s="94">
        <v>-4134</v>
      </c>
      <c r="M5253" s="94">
        <v>0</v>
      </c>
    </row>
    <row r="5254" spans="3:13" x14ac:dyDescent="0.3">
      <c r="C5254" t="s">
        <v>70</v>
      </c>
      <c r="D5254" t="s">
        <v>67</v>
      </c>
      <c r="E5254" t="s">
        <v>68</v>
      </c>
      <c r="F5254" t="s">
        <v>72</v>
      </c>
      <c r="G5254" s="4">
        <v>6</v>
      </c>
      <c r="H5254" s="4" t="s">
        <v>82</v>
      </c>
      <c r="I5254" s="4" t="s">
        <v>69</v>
      </c>
      <c r="J5254" s="4" t="s">
        <v>66</v>
      </c>
      <c r="K5254" s="4">
        <v>0</v>
      </c>
      <c r="L5254" s="94">
        <v>1328534</v>
      </c>
      <c r="M5254" s="94">
        <v>7971204</v>
      </c>
    </row>
    <row r="5255" spans="3:13" x14ac:dyDescent="0.3">
      <c r="C5255" t="s">
        <v>70</v>
      </c>
      <c r="D5255" t="s">
        <v>62</v>
      </c>
      <c r="E5255" t="s">
        <v>68</v>
      </c>
      <c r="F5255" t="s">
        <v>24</v>
      </c>
      <c r="G5255" s="4">
        <v>44</v>
      </c>
      <c r="I5255" s="4" t="s">
        <v>65</v>
      </c>
      <c r="J5255" s="4" t="s">
        <v>66</v>
      </c>
      <c r="K5255" s="4">
        <v>1</v>
      </c>
      <c r="L5255" s="94">
        <v>147933</v>
      </c>
      <c r="M5255" s="94">
        <v>6509052</v>
      </c>
    </row>
    <row r="5256" spans="3:13" x14ac:dyDescent="0.3">
      <c r="C5256" t="s">
        <v>71</v>
      </c>
      <c r="D5256" t="s">
        <v>67</v>
      </c>
      <c r="E5256" t="s">
        <v>68</v>
      </c>
      <c r="F5256" t="s">
        <v>26</v>
      </c>
      <c r="G5256" s="4">
        <v>-4</v>
      </c>
      <c r="H5256" s="4" t="s">
        <v>16</v>
      </c>
      <c r="I5256" s="4" t="s">
        <v>69</v>
      </c>
      <c r="J5256" s="4" t="s">
        <v>66</v>
      </c>
      <c r="K5256" s="4">
        <v>0</v>
      </c>
      <c r="L5256" s="94">
        <v>61340</v>
      </c>
      <c r="M5256" s="94">
        <v>0</v>
      </c>
    </row>
    <row r="5257" spans="3:13" x14ac:dyDescent="0.3">
      <c r="C5257" t="s">
        <v>61</v>
      </c>
      <c r="D5257" t="s">
        <v>67</v>
      </c>
      <c r="E5257" t="s">
        <v>68</v>
      </c>
      <c r="F5257" t="s">
        <v>25</v>
      </c>
      <c r="G5257" s="4">
        <v>3</v>
      </c>
      <c r="H5257" s="4" t="s">
        <v>82</v>
      </c>
      <c r="I5257" s="4" t="s">
        <v>69</v>
      </c>
      <c r="J5257" s="4" t="s">
        <v>66</v>
      </c>
      <c r="K5257" s="4">
        <v>1</v>
      </c>
      <c r="L5257" s="94">
        <v>19414</v>
      </c>
      <c r="M5257" s="94">
        <v>58242</v>
      </c>
    </row>
    <row r="5258" spans="3:13" x14ac:dyDescent="0.3">
      <c r="C5258" t="s">
        <v>61</v>
      </c>
      <c r="D5258" t="s">
        <v>67</v>
      </c>
      <c r="E5258" t="s">
        <v>63</v>
      </c>
      <c r="F5258" t="s">
        <v>72</v>
      </c>
      <c r="G5258" s="4">
        <v>2</v>
      </c>
      <c r="H5258" s="4" t="s">
        <v>12</v>
      </c>
      <c r="I5258" s="4" t="s">
        <v>65</v>
      </c>
      <c r="J5258" s="4" t="s">
        <v>73</v>
      </c>
      <c r="K5258" s="4">
        <v>1</v>
      </c>
      <c r="L5258" s="94">
        <v>-248</v>
      </c>
      <c r="M5258" s="94">
        <v>0</v>
      </c>
    </row>
    <row r="5259" spans="3:13" x14ac:dyDescent="0.3">
      <c r="C5259" t="s">
        <v>70</v>
      </c>
      <c r="D5259" t="s">
        <v>67</v>
      </c>
      <c r="E5259" t="s">
        <v>63</v>
      </c>
      <c r="F5259" t="s">
        <v>25</v>
      </c>
      <c r="G5259" s="4">
        <v>3</v>
      </c>
      <c r="H5259" s="4" t="s">
        <v>14</v>
      </c>
      <c r="I5259" s="4" t="s">
        <v>69</v>
      </c>
      <c r="J5259" s="4" t="s">
        <v>66</v>
      </c>
      <c r="K5259" s="4">
        <v>0</v>
      </c>
      <c r="L5259" s="94">
        <v>-3395</v>
      </c>
      <c r="M5259" s="94">
        <v>0</v>
      </c>
    </row>
    <row r="5260" spans="3:13" x14ac:dyDescent="0.3">
      <c r="C5260" t="s">
        <v>70</v>
      </c>
      <c r="D5260" t="s">
        <v>62</v>
      </c>
      <c r="E5260" t="s">
        <v>68</v>
      </c>
      <c r="F5260" t="s">
        <v>24</v>
      </c>
      <c r="G5260" s="4">
        <v>17</v>
      </c>
      <c r="I5260" s="4" t="s">
        <v>69</v>
      </c>
      <c r="J5260" s="4" t="s">
        <v>66</v>
      </c>
      <c r="K5260" s="4">
        <v>1</v>
      </c>
      <c r="L5260" s="94">
        <v>213877</v>
      </c>
      <c r="M5260" s="94">
        <v>3635909</v>
      </c>
    </row>
    <row r="5261" spans="3:13" x14ac:dyDescent="0.3">
      <c r="C5261" t="s">
        <v>61</v>
      </c>
      <c r="D5261" t="s">
        <v>67</v>
      </c>
      <c r="E5261" t="s">
        <v>68</v>
      </c>
      <c r="F5261" t="s">
        <v>72</v>
      </c>
      <c r="G5261" s="4">
        <v>2</v>
      </c>
      <c r="H5261" s="4" t="s">
        <v>74</v>
      </c>
      <c r="I5261" s="4" t="s">
        <v>69</v>
      </c>
      <c r="J5261" s="4" t="s">
        <v>66</v>
      </c>
      <c r="K5261" s="4">
        <v>0</v>
      </c>
      <c r="L5261" s="94">
        <v>2437828</v>
      </c>
      <c r="M5261" s="94">
        <v>4875656</v>
      </c>
    </row>
    <row r="5262" spans="3:13" x14ac:dyDescent="0.3">
      <c r="C5262" t="s">
        <v>71</v>
      </c>
      <c r="D5262" t="s">
        <v>67</v>
      </c>
      <c r="E5262" t="s">
        <v>68</v>
      </c>
      <c r="F5262" t="s">
        <v>26</v>
      </c>
      <c r="G5262" s="4">
        <v>1</v>
      </c>
      <c r="H5262" s="4" t="s">
        <v>77</v>
      </c>
      <c r="I5262" s="4" t="s">
        <v>69</v>
      </c>
      <c r="J5262" s="4" t="s">
        <v>66</v>
      </c>
      <c r="K5262" s="4">
        <v>0</v>
      </c>
      <c r="L5262" s="94">
        <v>713459</v>
      </c>
      <c r="M5262" s="94">
        <v>713459</v>
      </c>
    </row>
    <row r="5263" spans="3:13" x14ac:dyDescent="0.3">
      <c r="C5263" t="s">
        <v>61</v>
      </c>
      <c r="D5263" t="s">
        <v>62</v>
      </c>
      <c r="E5263" t="s">
        <v>63</v>
      </c>
      <c r="F5263" t="s">
        <v>24</v>
      </c>
      <c r="G5263" s="4">
        <v>17</v>
      </c>
      <c r="I5263" s="4" t="s">
        <v>69</v>
      </c>
      <c r="J5263" s="4" t="s">
        <v>66</v>
      </c>
      <c r="K5263" s="4">
        <v>1</v>
      </c>
      <c r="L5263" s="94">
        <v>-2144</v>
      </c>
      <c r="M5263" s="94">
        <v>0</v>
      </c>
    </row>
    <row r="5264" spans="3:13" x14ac:dyDescent="0.3">
      <c r="C5264" t="s">
        <v>61</v>
      </c>
      <c r="D5264" t="s">
        <v>67</v>
      </c>
      <c r="E5264" t="s">
        <v>63</v>
      </c>
      <c r="F5264" t="s">
        <v>72</v>
      </c>
      <c r="G5264" s="4">
        <v>2</v>
      </c>
      <c r="H5264" s="4" t="s">
        <v>77</v>
      </c>
      <c r="I5264" s="4" t="s">
        <v>69</v>
      </c>
      <c r="J5264" s="4" t="s">
        <v>66</v>
      </c>
      <c r="K5264" s="4">
        <v>0</v>
      </c>
      <c r="L5264" s="94">
        <v>-7676</v>
      </c>
      <c r="M5264" s="94">
        <v>0</v>
      </c>
    </row>
    <row r="5265" spans="3:13" x14ac:dyDescent="0.3">
      <c r="C5265" t="s">
        <v>71</v>
      </c>
      <c r="D5265" t="s">
        <v>62</v>
      </c>
      <c r="E5265" t="s">
        <v>63</v>
      </c>
      <c r="F5265" t="s">
        <v>24</v>
      </c>
      <c r="G5265" s="4">
        <v>13</v>
      </c>
      <c r="I5265" s="4" t="s">
        <v>69</v>
      </c>
      <c r="J5265" s="4" t="s">
        <v>66</v>
      </c>
      <c r="K5265" s="4">
        <v>0</v>
      </c>
      <c r="L5265" s="94">
        <v>-1054711</v>
      </c>
      <c r="M5265" s="94">
        <v>0</v>
      </c>
    </row>
    <row r="5266" spans="3:13" x14ac:dyDescent="0.3">
      <c r="C5266" t="s">
        <v>70</v>
      </c>
      <c r="D5266" t="s">
        <v>67</v>
      </c>
      <c r="E5266" t="s">
        <v>68</v>
      </c>
      <c r="F5266" t="s">
        <v>26</v>
      </c>
      <c r="G5266" s="4">
        <v>-1</v>
      </c>
      <c r="H5266" s="4" t="s">
        <v>83</v>
      </c>
      <c r="I5266" s="4" t="s">
        <v>69</v>
      </c>
      <c r="J5266" s="4" t="s">
        <v>66</v>
      </c>
      <c r="K5266" s="4">
        <v>0</v>
      </c>
      <c r="L5266" s="94">
        <v>5833707</v>
      </c>
      <c r="M5266" s="94">
        <v>0</v>
      </c>
    </row>
    <row r="5267" spans="3:13" x14ac:dyDescent="0.3">
      <c r="C5267" t="s">
        <v>61</v>
      </c>
      <c r="D5267" t="s">
        <v>67</v>
      </c>
      <c r="E5267" t="s">
        <v>63</v>
      </c>
      <c r="F5267" t="s">
        <v>26</v>
      </c>
      <c r="G5267" s="4">
        <v>8</v>
      </c>
      <c r="H5267" s="4" t="s">
        <v>18</v>
      </c>
      <c r="I5267" s="4" t="s">
        <v>69</v>
      </c>
      <c r="J5267" s="4" t="s">
        <v>73</v>
      </c>
      <c r="K5267" s="4">
        <v>1</v>
      </c>
      <c r="L5267" s="94">
        <v>-1197</v>
      </c>
      <c r="M5267" s="94">
        <v>0</v>
      </c>
    </row>
    <row r="5268" spans="3:13" x14ac:dyDescent="0.3">
      <c r="C5268" t="s">
        <v>61</v>
      </c>
      <c r="D5268" t="s">
        <v>67</v>
      </c>
      <c r="E5268" t="s">
        <v>68</v>
      </c>
      <c r="F5268" t="s">
        <v>26</v>
      </c>
      <c r="G5268" s="4">
        <v>2</v>
      </c>
      <c r="H5268" s="4" t="s">
        <v>75</v>
      </c>
      <c r="I5268" s="4" t="s">
        <v>65</v>
      </c>
      <c r="J5268" s="4" t="s">
        <v>66</v>
      </c>
      <c r="K5268" s="4">
        <v>1</v>
      </c>
      <c r="L5268" s="94">
        <v>125241</v>
      </c>
      <c r="M5268" s="94">
        <v>250482</v>
      </c>
    </row>
    <row r="5269" spans="3:13" x14ac:dyDescent="0.3">
      <c r="C5269" t="s">
        <v>70</v>
      </c>
      <c r="D5269" t="s">
        <v>67</v>
      </c>
      <c r="E5269" t="s">
        <v>63</v>
      </c>
      <c r="F5269" t="s">
        <v>26</v>
      </c>
      <c r="G5269" s="4">
        <v>4</v>
      </c>
      <c r="H5269" s="4" t="s">
        <v>82</v>
      </c>
      <c r="I5269" s="4" t="s">
        <v>69</v>
      </c>
      <c r="J5269" s="4" t="s">
        <v>66</v>
      </c>
      <c r="K5269" s="4">
        <v>0</v>
      </c>
      <c r="L5269" s="94">
        <v>-143937</v>
      </c>
      <c r="M5269" s="94">
        <v>0</v>
      </c>
    </row>
    <row r="5270" spans="3:13" x14ac:dyDescent="0.3">
      <c r="C5270" t="s">
        <v>70</v>
      </c>
      <c r="D5270" t="s">
        <v>67</v>
      </c>
      <c r="E5270" t="s">
        <v>63</v>
      </c>
      <c r="F5270" t="s">
        <v>25</v>
      </c>
      <c r="G5270" s="4">
        <v>2</v>
      </c>
      <c r="H5270" s="4" t="s">
        <v>78</v>
      </c>
      <c r="I5270" s="4" t="s">
        <v>69</v>
      </c>
      <c r="J5270" s="4" t="s">
        <v>66</v>
      </c>
      <c r="K5270" s="4">
        <v>0</v>
      </c>
      <c r="L5270" s="94">
        <v>-3313</v>
      </c>
      <c r="M5270" s="94">
        <v>0</v>
      </c>
    </row>
    <row r="5271" spans="3:13" x14ac:dyDescent="0.3">
      <c r="C5271" t="s">
        <v>61</v>
      </c>
      <c r="D5271" t="s">
        <v>62</v>
      </c>
      <c r="E5271" t="s">
        <v>63</v>
      </c>
      <c r="F5271" t="s">
        <v>24</v>
      </c>
      <c r="G5271" s="4">
        <v>6</v>
      </c>
      <c r="I5271" s="4" t="s">
        <v>65</v>
      </c>
      <c r="J5271" s="4" t="s">
        <v>66</v>
      </c>
      <c r="K5271" s="4">
        <v>1</v>
      </c>
      <c r="L5271" s="94">
        <v>-605</v>
      </c>
      <c r="M5271" s="94">
        <v>0</v>
      </c>
    </row>
    <row r="5272" spans="3:13" x14ac:dyDescent="0.3">
      <c r="C5272" t="s">
        <v>71</v>
      </c>
      <c r="D5272" t="s">
        <v>67</v>
      </c>
      <c r="E5272" t="s">
        <v>68</v>
      </c>
      <c r="F5272" t="s">
        <v>25</v>
      </c>
      <c r="G5272" s="4">
        <v>5</v>
      </c>
      <c r="H5272" s="4" t="s">
        <v>76</v>
      </c>
      <c r="I5272" s="4" t="s">
        <v>69</v>
      </c>
      <c r="J5272" s="4" t="s">
        <v>66</v>
      </c>
      <c r="K5272" s="4">
        <v>0</v>
      </c>
      <c r="L5272" s="94">
        <v>2492963</v>
      </c>
      <c r="M5272" s="94">
        <v>12464815</v>
      </c>
    </row>
    <row r="5273" spans="3:13" x14ac:dyDescent="0.3">
      <c r="C5273" t="s">
        <v>70</v>
      </c>
      <c r="D5273" t="s">
        <v>62</v>
      </c>
      <c r="E5273" t="s">
        <v>63</v>
      </c>
      <c r="F5273" t="s">
        <v>24</v>
      </c>
      <c r="G5273" s="4">
        <v>4</v>
      </c>
      <c r="I5273" s="4" t="s">
        <v>65</v>
      </c>
      <c r="J5273" s="4" t="s">
        <v>66</v>
      </c>
      <c r="K5273" s="4">
        <v>1</v>
      </c>
      <c r="L5273" s="94">
        <v>-1283</v>
      </c>
      <c r="M5273" s="94">
        <v>0</v>
      </c>
    </row>
    <row r="5274" spans="3:13" x14ac:dyDescent="0.3">
      <c r="C5274" t="s">
        <v>71</v>
      </c>
      <c r="D5274" t="s">
        <v>62</v>
      </c>
      <c r="E5274" t="s">
        <v>63</v>
      </c>
      <c r="F5274" t="s">
        <v>24</v>
      </c>
      <c r="G5274" s="4">
        <v>20</v>
      </c>
      <c r="I5274" s="4" t="s">
        <v>65</v>
      </c>
      <c r="J5274" s="4" t="s">
        <v>66</v>
      </c>
      <c r="K5274" s="4">
        <v>1</v>
      </c>
      <c r="L5274" s="94">
        <v>-12330</v>
      </c>
      <c r="M5274" s="94">
        <v>0</v>
      </c>
    </row>
    <row r="5275" spans="3:13" x14ac:dyDescent="0.3">
      <c r="C5275" t="s">
        <v>71</v>
      </c>
      <c r="D5275" t="s">
        <v>67</v>
      </c>
      <c r="E5275" t="s">
        <v>63</v>
      </c>
      <c r="F5275" t="s">
        <v>26</v>
      </c>
      <c r="G5275" s="4">
        <v>2</v>
      </c>
      <c r="H5275" s="4" t="s">
        <v>82</v>
      </c>
      <c r="I5275" s="4" t="s">
        <v>65</v>
      </c>
      <c r="J5275" s="4" t="s">
        <v>66</v>
      </c>
      <c r="K5275" s="4">
        <v>1</v>
      </c>
      <c r="L5275" s="94">
        <v>-80748</v>
      </c>
      <c r="M5275" s="94">
        <v>0</v>
      </c>
    </row>
    <row r="5276" spans="3:13" x14ac:dyDescent="0.3">
      <c r="C5276" t="s">
        <v>61</v>
      </c>
      <c r="D5276" t="s">
        <v>67</v>
      </c>
      <c r="E5276" t="s">
        <v>68</v>
      </c>
      <c r="F5276" t="s">
        <v>72</v>
      </c>
      <c r="G5276" s="4">
        <v>0</v>
      </c>
      <c r="H5276" s="4" t="s">
        <v>14</v>
      </c>
      <c r="I5276" s="4" t="s">
        <v>69</v>
      </c>
      <c r="J5276" s="4" t="s">
        <v>73</v>
      </c>
      <c r="K5276" s="4">
        <v>1</v>
      </c>
      <c r="L5276" s="94">
        <v>1078469</v>
      </c>
      <c r="M5276" s="94">
        <v>0</v>
      </c>
    </row>
    <row r="5277" spans="3:13" x14ac:dyDescent="0.3">
      <c r="C5277" t="s">
        <v>70</v>
      </c>
      <c r="D5277" t="s">
        <v>67</v>
      </c>
      <c r="E5277" t="s">
        <v>63</v>
      </c>
      <c r="F5277" t="s">
        <v>25</v>
      </c>
      <c r="G5277" s="4">
        <v>19</v>
      </c>
      <c r="H5277" s="4" t="s">
        <v>76</v>
      </c>
      <c r="I5277" s="4" t="s">
        <v>69</v>
      </c>
      <c r="J5277" s="4" t="s">
        <v>66</v>
      </c>
      <c r="K5277" s="4">
        <v>0</v>
      </c>
      <c r="L5277" s="94">
        <v>-2371</v>
      </c>
      <c r="M5277" s="94">
        <v>0</v>
      </c>
    </row>
    <row r="5278" spans="3:13" x14ac:dyDescent="0.3">
      <c r="C5278" t="s">
        <v>70</v>
      </c>
      <c r="D5278" t="s">
        <v>67</v>
      </c>
      <c r="E5278" t="s">
        <v>68</v>
      </c>
      <c r="F5278" t="s">
        <v>26</v>
      </c>
      <c r="G5278" s="4">
        <v>9</v>
      </c>
      <c r="H5278" s="4" t="s">
        <v>75</v>
      </c>
      <c r="I5278" s="4" t="s">
        <v>69</v>
      </c>
      <c r="J5278" s="4" t="s">
        <v>66</v>
      </c>
      <c r="K5278" s="4">
        <v>0</v>
      </c>
      <c r="L5278" s="94">
        <v>220668</v>
      </c>
      <c r="M5278" s="94">
        <v>1986012</v>
      </c>
    </row>
    <row r="5279" spans="3:13" x14ac:dyDescent="0.3">
      <c r="C5279" t="s">
        <v>70</v>
      </c>
      <c r="D5279" t="s">
        <v>67</v>
      </c>
      <c r="E5279" t="s">
        <v>63</v>
      </c>
      <c r="F5279" t="s">
        <v>26</v>
      </c>
      <c r="G5279" s="4">
        <v>-4</v>
      </c>
      <c r="H5279" s="4" t="s">
        <v>75</v>
      </c>
      <c r="I5279" s="4" t="s">
        <v>69</v>
      </c>
      <c r="J5279" s="4" t="s">
        <v>66</v>
      </c>
      <c r="K5279" s="4">
        <v>0</v>
      </c>
      <c r="L5279" s="94">
        <v>-11610</v>
      </c>
      <c r="M5279" s="94">
        <v>0</v>
      </c>
    </row>
    <row r="5280" spans="3:13" x14ac:dyDescent="0.3">
      <c r="C5280" t="s">
        <v>71</v>
      </c>
      <c r="D5280" t="s">
        <v>67</v>
      </c>
      <c r="E5280" t="s">
        <v>68</v>
      </c>
      <c r="F5280" t="s">
        <v>25</v>
      </c>
      <c r="G5280" s="4">
        <v>8</v>
      </c>
      <c r="H5280" s="4" t="s">
        <v>18</v>
      </c>
      <c r="I5280" s="4" t="s">
        <v>69</v>
      </c>
      <c r="J5280" s="4" t="s">
        <v>66</v>
      </c>
      <c r="K5280" s="4">
        <v>1</v>
      </c>
      <c r="L5280" s="94">
        <v>405480</v>
      </c>
      <c r="M5280" s="94">
        <v>3243840</v>
      </c>
    </row>
    <row r="5281" spans="3:13" x14ac:dyDescent="0.3">
      <c r="C5281" t="s">
        <v>61</v>
      </c>
      <c r="D5281" t="s">
        <v>67</v>
      </c>
      <c r="E5281" t="s">
        <v>68</v>
      </c>
      <c r="F5281" t="s">
        <v>25</v>
      </c>
      <c r="G5281" s="4">
        <v>18</v>
      </c>
      <c r="H5281" s="4" t="s">
        <v>75</v>
      </c>
      <c r="I5281" s="4" t="s">
        <v>69</v>
      </c>
      <c r="J5281" s="4" t="s">
        <v>66</v>
      </c>
      <c r="K5281" s="4">
        <v>0</v>
      </c>
      <c r="L5281" s="94">
        <v>767176</v>
      </c>
      <c r="M5281" s="94">
        <v>13809168</v>
      </c>
    </row>
    <row r="5282" spans="3:13" x14ac:dyDescent="0.3">
      <c r="C5282" t="s">
        <v>61</v>
      </c>
      <c r="D5282" t="s">
        <v>62</v>
      </c>
      <c r="E5282" t="s">
        <v>63</v>
      </c>
      <c r="F5282" t="s">
        <v>24</v>
      </c>
      <c r="G5282" s="4">
        <v>37</v>
      </c>
      <c r="I5282" s="4" t="s">
        <v>65</v>
      </c>
      <c r="J5282" s="4" t="s">
        <v>66</v>
      </c>
      <c r="K5282" s="4">
        <v>1</v>
      </c>
      <c r="L5282" s="94">
        <v>-12767</v>
      </c>
      <c r="M5282" s="94">
        <v>0</v>
      </c>
    </row>
    <row r="5283" spans="3:13" x14ac:dyDescent="0.3">
      <c r="C5283" t="s">
        <v>61</v>
      </c>
      <c r="D5283" t="s">
        <v>67</v>
      </c>
      <c r="E5283" t="s">
        <v>68</v>
      </c>
      <c r="F5283" t="s">
        <v>25</v>
      </c>
      <c r="G5283" s="4">
        <v>11</v>
      </c>
      <c r="H5283" s="4" t="s">
        <v>82</v>
      </c>
      <c r="I5283" s="4" t="s">
        <v>69</v>
      </c>
      <c r="J5283" s="4" t="s">
        <v>66</v>
      </c>
      <c r="K5283" s="4">
        <v>0</v>
      </c>
      <c r="L5283" s="94">
        <v>638854</v>
      </c>
      <c r="M5283" s="94">
        <v>7027394</v>
      </c>
    </row>
    <row r="5284" spans="3:13" x14ac:dyDescent="0.3">
      <c r="C5284" t="s">
        <v>61</v>
      </c>
      <c r="D5284" t="s">
        <v>67</v>
      </c>
      <c r="E5284" t="s">
        <v>63</v>
      </c>
      <c r="F5284" t="s">
        <v>72</v>
      </c>
      <c r="G5284" s="4">
        <v>5</v>
      </c>
      <c r="H5284" s="4" t="s">
        <v>83</v>
      </c>
      <c r="I5284" s="4" t="s">
        <v>69</v>
      </c>
      <c r="J5284" s="4" t="s">
        <v>66</v>
      </c>
      <c r="K5284" s="4">
        <v>0</v>
      </c>
      <c r="L5284" s="94">
        <v>-2100</v>
      </c>
      <c r="M5284" s="94">
        <v>0</v>
      </c>
    </row>
    <row r="5285" spans="3:13" x14ac:dyDescent="0.3">
      <c r="C5285" t="s">
        <v>61</v>
      </c>
      <c r="D5285" t="s">
        <v>67</v>
      </c>
      <c r="E5285" t="s">
        <v>63</v>
      </c>
      <c r="F5285" t="s">
        <v>72</v>
      </c>
      <c r="G5285" s="4">
        <v>4</v>
      </c>
      <c r="H5285" s="4" t="s">
        <v>13</v>
      </c>
      <c r="I5285" s="4" t="s">
        <v>69</v>
      </c>
      <c r="J5285" s="4" t="s">
        <v>66</v>
      </c>
      <c r="K5285" s="4">
        <v>0</v>
      </c>
      <c r="L5285" s="94">
        <v>-778</v>
      </c>
      <c r="M5285" s="94">
        <v>0</v>
      </c>
    </row>
    <row r="5286" spans="3:13" x14ac:dyDescent="0.3">
      <c r="C5286" t="s">
        <v>61</v>
      </c>
      <c r="D5286" t="s">
        <v>67</v>
      </c>
      <c r="E5286" t="s">
        <v>63</v>
      </c>
      <c r="F5286" t="s">
        <v>25</v>
      </c>
      <c r="G5286" s="4">
        <v>10</v>
      </c>
      <c r="H5286" s="4" t="s">
        <v>74</v>
      </c>
      <c r="I5286" s="4" t="s">
        <v>69</v>
      </c>
      <c r="J5286" s="4" t="s">
        <v>66</v>
      </c>
      <c r="K5286" s="4">
        <v>0</v>
      </c>
      <c r="L5286" s="94">
        <v>-7041</v>
      </c>
      <c r="M5286" s="94">
        <v>0</v>
      </c>
    </row>
    <row r="5287" spans="3:13" x14ac:dyDescent="0.3">
      <c r="C5287" t="s">
        <v>70</v>
      </c>
      <c r="D5287" t="s">
        <v>67</v>
      </c>
      <c r="E5287" t="s">
        <v>63</v>
      </c>
      <c r="F5287" t="s">
        <v>26</v>
      </c>
      <c r="G5287" s="4">
        <v>-1</v>
      </c>
      <c r="H5287" s="4" t="s">
        <v>86</v>
      </c>
      <c r="I5287" s="4" t="s">
        <v>69</v>
      </c>
      <c r="J5287" s="4" t="s">
        <v>66</v>
      </c>
      <c r="K5287" s="4">
        <v>0</v>
      </c>
      <c r="L5287" s="94">
        <v>-209</v>
      </c>
      <c r="M5287" s="94">
        <v>0</v>
      </c>
    </row>
    <row r="5288" spans="3:13" x14ac:dyDescent="0.3">
      <c r="C5288" t="s">
        <v>70</v>
      </c>
      <c r="D5288" t="s">
        <v>62</v>
      </c>
      <c r="E5288" t="s">
        <v>68</v>
      </c>
      <c r="F5288" t="s">
        <v>24</v>
      </c>
      <c r="G5288" s="4">
        <v>20</v>
      </c>
      <c r="I5288" s="4" t="s">
        <v>69</v>
      </c>
      <c r="J5288" s="4" t="s">
        <v>66</v>
      </c>
      <c r="K5288" s="4">
        <v>1</v>
      </c>
      <c r="L5288" s="94">
        <v>338586</v>
      </c>
      <c r="M5288" s="94">
        <v>6771720</v>
      </c>
    </row>
    <row r="5289" spans="3:13" x14ac:dyDescent="0.3">
      <c r="C5289" t="s">
        <v>70</v>
      </c>
      <c r="D5289" t="s">
        <v>67</v>
      </c>
      <c r="E5289" t="s">
        <v>68</v>
      </c>
      <c r="F5289" t="s">
        <v>26</v>
      </c>
      <c r="G5289" s="4">
        <v>0</v>
      </c>
      <c r="H5289" s="4" t="s">
        <v>87</v>
      </c>
      <c r="I5289" s="4" t="s">
        <v>69</v>
      </c>
      <c r="J5289" s="4" t="s">
        <v>66</v>
      </c>
      <c r="K5289" s="4">
        <v>0</v>
      </c>
      <c r="L5289" s="94">
        <v>129408</v>
      </c>
      <c r="M5289" s="94">
        <v>0</v>
      </c>
    </row>
    <row r="5290" spans="3:13" x14ac:dyDescent="0.3">
      <c r="C5290" t="s">
        <v>70</v>
      </c>
      <c r="D5290" t="s">
        <v>67</v>
      </c>
      <c r="E5290" t="s">
        <v>68</v>
      </c>
      <c r="F5290" t="s">
        <v>25</v>
      </c>
      <c r="G5290" s="4">
        <v>12</v>
      </c>
      <c r="H5290" s="4" t="s">
        <v>17</v>
      </c>
      <c r="I5290" s="4" t="s">
        <v>69</v>
      </c>
      <c r="J5290" s="4" t="s">
        <v>66</v>
      </c>
      <c r="K5290" s="4">
        <v>1</v>
      </c>
      <c r="L5290" s="94">
        <v>34427</v>
      </c>
      <c r="M5290" s="94">
        <v>413124</v>
      </c>
    </row>
    <row r="5291" spans="3:13" x14ac:dyDescent="0.3">
      <c r="C5291" t="s">
        <v>70</v>
      </c>
      <c r="D5291" t="s">
        <v>67</v>
      </c>
      <c r="E5291" t="s">
        <v>68</v>
      </c>
      <c r="F5291" t="s">
        <v>26</v>
      </c>
      <c r="G5291" s="4">
        <v>1</v>
      </c>
      <c r="H5291" s="4" t="s">
        <v>14</v>
      </c>
      <c r="I5291" s="4" t="s">
        <v>69</v>
      </c>
      <c r="J5291" s="4" t="s">
        <v>73</v>
      </c>
      <c r="K5291" s="4">
        <v>1</v>
      </c>
      <c r="L5291" s="94">
        <v>11624616</v>
      </c>
      <c r="M5291" s="94">
        <v>11624616</v>
      </c>
    </row>
    <row r="5292" spans="3:13" x14ac:dyDescent="0.3">
      <c r="C5292" t="s">
        <v>71</v>
      </c>
      <c r="D5292" t="s">
        <v>62</v>
      </c>
      <c r="E5292" t="s">
        <v>68</v>
      </c>
      <c r="F5292" t="s">
        <v>25</v>
      </c>
      <c r="G5292" s="4">
        <v>8</v>
      </c>
      <c r="I5292" s="4" t="s">
        <v>69</v>
      </c>
      <c r="J5292" s="4" t="s">
        <v>66</v>
      </c>
      <c r="K5292" s="4">
        <v>0</v>
      </c>
      <c r="L5292" s="94">
        <v>126770</v>
      </c>
      <c r="M5292" s="94">
        <v>1014160</v>
      </c>
    </row>
    <row r="5293" spans="3:13" x14ac:dyDescent="0.3">
      <c r="C5293" t="s">
        <v>61</v>
      </c>
      <c r="D5293" t="s">
        <v>62</v>
      </c>
      <c r="E5293" t="s">
        <v>68</v>
      </c>
      <c r="F5293" t="s">
        <v>25</v>
      </c>
      <c r="G5293" s="4">
        <v>5</v>
      </c>
      <c r="I5293" s="4" t="s">
        <v>69</v>
      </c>
      <c r="J5293" s="4" t="s">
        <v>66</v>
      </c>
      <c r="K5293" s="4">
        <v>1</v>
      </c>
      <c r="L5293" s="94">
        <v>1130721</v>
      </c>
      <c r="M5293" s="94">
        <v>5653605</v>
      </c>
    </row>
    <row r="5294" spans="3:13" x14ac:dyDescent="0.3">
      <c r="C5294" t="s">
        <v>70</v>
      </c>
      <c r="D5294" t="s">
        <v>67</v>
      </c>
      <c r="E5294" t="s">
        <v>68</v>
      </c>
      <c r="F5294" t="s">
        <v>26</v>
      </c>
      <c r="G5294" s="4">
        <v>2</v>
      </c>
      <c r="H5294" s="4" t="s">
        <v>82</v>
      </c>
      <c r="I5294" s="4" t="s">
        <v>69</v>
      </c>
      <c r="J5294" s="4" t="s">
        <v>66</v>
      </c>
      <c r="K5294" s="4">
        <v>0</v>
      </c>
      <c r="L5294" s="94">
        <v>7489824</v>
      </c>
      <c r="M5294" s="94">
        <v>14979648</v>
      </c>
    </row>
    <row r="5295" spans="3:13" x14ac:dyDescent="0.3">
      <c r="C5295" t="s">
        <v>70</v>
      </c>
      <c r="D5295" t="s">
        <v>67</v>
      </c>
      <c r="E5295" t="s">
        <v>63</v>
      </c>
      <c r="F5295" t="s">
        <v>72</v>
      </c>
      <c r="G5295" s="4">
        <v>0</v>
      </c>
      <c r="H5295" s="4" t="s">
        <v>64</v>
      </c>
      <c r="I5295" s="4" t="s">
        <v>69</v>
      </c>
      <c r="J5295" s="4" t="s">
        <v>66</v>
      </c>
      <c r="K5295" s="4">
        <v>0</v>
      </c>
      <c r="L5295" s="94">
        <v>-3973</v>
      </c>
      <c r="M5295" s="94">
        <v>0</v>
      </c>
    </row>
    <row r="5296" spans="3:13" x14ac:dyDescent="0.3">
      <c r="C5296" t="s">
        <v>61</v>
      </c>
      <c r="D5296" t="s">
        <v>67</v>
      </c>
      <c r="E5296" t="s">
        <v>68</v>
      </c>
      <c r="F5296" t="s">
        <v>72</v>
      </c>
      <c r="G5296" s="4">
        <v>4</v>
      </c>
      <c r="H5296" s="4" t="s">
        <v>78</v>
      </c>
      <c r="I5296" s="4" t="s">
        <v>69</v>
      </c>
      <c r="J5296" s="4" t="s">
        <v>66</v>
      </c>
      <c r="K5296" s="4">
        <v>0</v>
      </c>
      <c r="L5296" s="94">
        <v>445534</v>
      </c>
      <c r="M5296" s="94">
        <v>1782136</v>
      </c>
    </row>
    <row r="5297" spans="3:13" x14ac:dyDescent="0.3">
      <c r="C5297" t="s">
        <v>71</v>
      </c>
      <c r="D5297" t="s">
        <v>67</v>
      </c>
      <c r="E5297" t="s">
        <v>68</v>
      </c>
      <c r="F5297" t="s">
        <v>25</v>
      </c>
      <c r="G5297" s="4">
        <v>5</v>
      </c>
      <c r="H5297" s="4" t="s">
        <v>18</v>
      </c>
      <c r="I5297" s="4" t="s">
        <v>69</v>
      </c>
      <c r="J5297" s="4" t="s">
        <v>66</v>
      </c>
      <c r="K5297" s="4">
        <v>0</v>
      </c>
      <c r="L5297" s="94">
        <v>405683</v>
      </c>
      <c r="M5297" s="94">
        <v>2028415</v>
      </c>
    </row>
    <row r="5298" spans="3:13" x14ac:dyDescent="0.3">
      <c r="C5298" t="s">
        <v>61</v>
      </c>
      <c r="D5298" t="s">
        <v>67</v>
      </c>
      <c r="E5298" t="s">
        <v>68</v>
      </c>
      <c r="F5298" t="s">
        <v>26</v>
      </c>
      <c r="G5298" s="4">
        <v>1</v>
      </c>
      <c r="H5298" s="4" t="s">
        <v>64</v>
      </c>
      <c r="I5298" s="4" t="s">
        <v>69</v>
      </c>
      <c r="J5298" s="4" t="s">
        <v>66</v>
      </c>
      <c r="K5298" s="4">
        <v>0</v>
      </c>
      <c r="L5298" s="94">
        <v>11043408</v>
      </c>
      <c r="M5298" s="94">
        <v>11043408</v>
      </c>
    </row>
    <row r="5299" spans="3:13" x14ac:dyDescent="0.3">
      <c r="C5299" t="s">
        <v>70</v>
      </c>
      <c r="D5299" t="s">
        <v>62</v>
      </c>
      <c r="E5299" t="s">
        <v>68</v>
      </c>
      <c r="F5299" t="s">
        <v>24</v>
      </c>
      <c r="G5299" s="4">
        <v>24</v>
      </c>
      <c r="I5299" s="4" t="s">
        <v>65</v>
      </c>
      <c r="J5299" s="4" t="s">
        <v>66</v>
      </c>
      <c r="K5299" s="4">
        <v>1</v>
      </c>
      <c r="L5299" s="94">
        <v>454777</v>
      </c>
      <c r="M5299" s="94">
        <v>10914648</v>
      </c>
    </row>
    <row r="5300" spans="3:13" x14ac:dyDescent="0.3">
      <c r="C5300" t="s">
        <v>70</v>
      </c>
      <c r="D5300" t="s">
        <v>67</v>
      </c>
      <c r="E5300" t="s">
        <v>63</v>
      </c>
      <c r="F5300" t="s">
        <v>72</v>
      </c>
      <c r="G5300" s="4">
        <v>7</v>
      </c>
      <c r="H5300" s="4" t="s">
        <v>77</v>
      </c>
      <c r="I5300" s="4" t="s">
        <v>69</v>
      </c>
      <c r="J5300" s="4" t="s">
        <v>66</v>
      </c>
      <c r="K5300" s="4">
        <v>0</v>
      </c>
      <c r="L5300" s="94">
        <v>-6696</v>
      </c>
      <c r="M5300" s="94">
        <v>0</v>
      </c>
    </row>
    <row r="5301" spans="3:13" x14ac:dyDescent="0.3">
      <c r="C5301" t="s">
        <v>71</v>
      </c>
      <c r="D5301" t="s">
        <v>67</v>
      </c>
      <c r="E5301" t="s">
        <v>63</v>
      </c>
      <c r="F5301" t="s">
        <v>26</v>
      </c>
      <c r="G5301" s="4">
        <v>2</v>
      </c>
      <c r="H5301" s="4" t="s">
        <v>17</v>
      </c>
      <c r="I5301" s="4" t="s">
        <v>65</v>
      </c>
      <c r="J5301" s="4" t="s">
        <v>66</v>
      </c>
      <c r="K5301" s="4">
        <v>1</v>
      </c>
      <c r="L5301" s="94">
        <v>-17138</v>
      </c>
      <c r="M5301" s="94">
        <v>0</v>
      </c>
    </row>
    <row r="5302" spans="3:13" x14ac:dyDescent="0.3">
      <c r="C5302" t="s">
        <v>71</v>
      </c>
      <c r="D5302" t="s">
        <v>62</v>
      </c>
      <c r="E5302" t="s">
        <v>68</v>
      </c>
      <c r="F5302" t="s">
        <v>24</v>
      </c>
      <c r="G5302" s="4">
        <v>9</v>
      </c>
      <c r="I5302" s="4" t="s">
        <v>69</v>
      </c>
      <c r="J5302" s="4" t="s">
        <v>66</v>
      </c>
      <c r="K5302" s="4">
        <v>0</v>
      </c>
      <c r="L5302" s="94">
        <v>3465669</v>
      </c>
      <c r="M5302" s="94">
        <v>31191021</v>
      </c>
    </row>
    <row r="5303" spans="3:13" x14ac:dyDescent="0.3">
      <c r="C5303" t="s">
        <v>61</v>
      </c>
      <c r="D5303" t="s">
        <v>67</v>
      </c>
      <c r="E5303" t="s">
        <v>63</v>
      </c>
      <c r="F5303" t="s">
        <v>25</v>
      </c>
      <c r="G5303" s="4">
        <v>7</v>
      </c>
      <c r="H5303" s="4" t="s">
        <v>15</v>
      </c>
      <c r="I5303" s="4" t="s">
        <v>69</v>
      </c>
      <c r="J5303" s="4" t="s">
        <v>66</v>
      </c>
      <c r="K5303" s="4">
        <v>0</v>
      </c>
      <c r="L5303" s="94">
        <v>-2262</v>
      </c>
      <c r="M5303" s="94">
        <v>0</v>
      </c>
    </row>
    <row r="5304" spans="3:13" x14ac:dyDescent="0.3">
      <c r="C5304" t="s">
        <v>70</v>
      </c>
      <c r="D5304" t="s">
        <v>67</v>
      </c>
      <c r="E5304" t="s">
        <v>63</v>
      </c>
      <c r="F5304" t="s">
        <v>25</v>
      </c>
      <c r="G5304" s="4">
        <v>7</v>
      </c>
      <c r="H5304" s="4" t="s">
        <v>16</v>
      </c>
      <c r="I5304" s="4" t="s">
        <v>69</v>
      </c>
      <c r="J5304" s="4" t="s">
        <v>66</v>
      </c>
      <c r="K5304" s="4">
        <v>0</v>
      </c>
      <c r="L5304" s="94">
        <v>-22147</v>
      </c>
      <c r="M5304" s="94">
        <v>0</v>
      </c>
    </row>
    <row r="5305" spans="3:13" x14ac:dyDescent="0.3">
      <c r="C5305" t="s">
        <v>71</v>
      </c>
      <c r="D5305" t="s">
        <v>67</v>
      </c>
      <c r="E5305" t="s">
        <v>68</v>
      </c>
      <c r="F5305" t="s">
        <v>25</v>
      </c>
      <c r="G5305" s="4">
        <v>2</v>
      </c>
      <c r="H5305" s="4" t="s">
        <v>14</v>
      </c>
      <c r="I5305" s="4" t="s">
        <v>69</v>
      </c>
      <c r="J5305" s="4" t="s">
        <v>66</v>
      </c>
      <c r="K5305" s="4">
        <v>0</v>
      </c>
      <c r="L5305" s="94">
        <v>3072340</v>
      </c>
      <c r="M5305" s="94">
        <v>6144680</v>
      </c>
    </row>
    <row r="5306" spans="3:13" x14ac:dyDescent="0.3">
      <c r="C5306" t="s">
        <v>70</v>
      </c>
      <c r="D5306" t="s">
        <v>67</v>
      </c>
      <c r="E5306" t="s">
        <v>68</v>
      </c>
      <c r="F5306" t="s">
        <v>25</v>
      </c>
      <c r="G5306" s="4">
        <v>7</v>
      </c>
      <c r="H5306" s="4" t="s">
        <v>17</v>
      </c>
      <c r="I5306" s="4" t="s">
        <v>69</v>
      </c>
      <c r="J5306" s="4" t="s">
        <v>66</v>
      </c>
      <c r="K5306" s="4">
        <v>0</v>
      </c>
      <c r="L5306" s="94">
        <v>117315</v>
      </c>
      <c r="M5306" s="94">
        <v>821205</v>
      </c>
    </row>
    <row r="5307" spans="3:13" x14ac:dyDescent="0.3">
      <c r="C5307" t="s">
        <v>70</v>
      </c>
      <c r="D5307" t="s">
        <v>67</v>
      </c>
      <c r="E5307" t="s">
        <v>63</v>
      </c>
      <c r="F5307" t="s">
        <v>25</v>
      </c>
      <c r="G5307" s="4">
        <v>3</v>
      </c>
      <c r="H5307" s="4" t="s">
        <v>74</v>
      </c>
      <c r="I5307" s="4" t="s">
        <v>69</v>
      </c>
      <c r="J5307" s="4" t="s">
        <v>66</v>
      </c>
      <c r="K5307" s="4">
        <v>0</v>
      </c>
      <c r="L5307" s="94">
        <v>-5489</v>
      </c>
      <c r="M5307" s="94">
        <v>0</v>
      </c>
    </row>
    <row r="5308" spans="3:13" x14ac:dyDescent="0.3">
      <c r="C5308" t="s">
        <v>61</v>
      </c>
      <c r="D5308" t="s">
        <v>67</v>
      </c>
      <c r="E5308" t="s">
        <v>68</v>
      </c>
      <c r="F5308" t="s">
        <v>72</v>
      </c>
      <c r="G5308" s="4">
        <v>2</v>
      </c>
      <c r="H5308" s="4" t="s">
        <v>14</v>
      </c>
      <c r="I5308" s="4" t="s">
        <v>69</v>
      </c>
      <c r="J5308" s="4" t="s">
        <v>66</v>
      </c>
      <c r="K5308" s="4">
        <v>0</v>
      </c>
      <c r="L5308" s="94">
        <v>3428763</v>
      </c>
      <c r="M5308" s="94">
        <v>6857526</v>
      </c>
    </row>
    <row r="5309" spans="3:13" x14ac:dyDescent="0.3">
      <c r="C5309" t="s">
        <v>61</v>
      </c>
      <c r="D5309" t="s">
        <v>67</v>
      </c>
      <c r="E5309" t="s">
        <v>63</v>
      </c>
      <c r="F5309" t="s">
        <v>25</v>
      </c>
      <c r="G5309" s="4">
        <v>-1</v>
      </c>
      <c r="H5309" s="4" t="s">
        <v>12</v>
      </c>
      <c r="I5309" s="4" t="s">
        <v>69</v>
      </c>
      <c r="J5309" s="4" t="s">
        <v>66</v>
      </c>
      <c r="K5309" s="4">
        <v>1</v>
      </c>
      <c r="L5309" s="94">
        <v>-3436</v>
      </c>
      <c r="M5309" s="94">
        <v>0</v>
      </c>
    </row>
    <row r="5310" spans="3:13" x14ac:dyDescent="0.3">
      <c r="C5310" t="s">
        <v>70</v>
      </c>
      <c r="D5310" t="s">
        <v>67</v>
      </c>
      <c r="E5310" t="s">
        <v>68</v>
      </c>
      <c r="F5310" t="s">
        <v>72</v>
      </c>
      <c r="G5310" s="4">
        <v>7</v>
      </c>
      <c r="H5310" s="4" t="s">
        <v>82</v>
      </c>
      <c r="I5310" s="4" t="s">
        <v>65</v>
      </c>
      <c r="J5310" s="4" t="s">
        <v>66</v>
      </c>
      <c r="K5310" s="4">
        <v>1</v>
      </c>
      <c r="L5310" s="94">
        <v>10499</v>
      </c>
      <c r="M5310" s="94">
        <v>73493</v>
      </c>
    </row>
    <row r="5311" spans="3:13" x14ac:dyDescent="0.3">
      <c r="C5311" t="s">
        <v>70</v>
      </c>
      <c r="D5311" t="s">
        <v>67</v>
      </c>
      <c r="E5311" t="s">
        <v>68</v>
      </c>
      <c r="F5311" t="s">
        <v>72</v>
      </c>
      <c r="G5311" s="4">
        <v>6</v>
      </c>
      <c r="H5311" s="4" t="s">
        <v>17</v>
      </c>
      <c r="I5311" s="4" t="s">
        <v>69</v>
      </c>
      <c r="J5311" s="4" t="s">
        <v>66</v>
      </c>
      <c r="K5311" s="4">
        <v>0</v>
      </c>
      <c r="L5311" s="94">
        <v>449173</v>
      </c>
      <c r="M5311" s="94">
        <v>2695038</v>
      </c>
    </row>
    <row r="5312" spans="3:13" x14ac:dyDescent="0.3">
      <c r="C5312" t="s">
        <v>61</v>
      </c>
      <c r="D5312" t="s">
        <v>67</v>
      </c>
      <c r="E5312" t="s">
        <v>68</v>
      </c>
      <c r="F5312" t="s">
        <v>25</v>
      </c>
      <c r="G5312" s="4">
        <v>3</v>
      </c>
      <c r="H5312" s="4" t="s">
        <v>17</v>
      </c>
      <c r="I5312" s="4" t="s">
        <v>69</v>
      </c>
      <c r="J5312" s="4" t="s">
        <v>66</v>
      </c>
      <c r="K5312" s="4">
        <v>1</v>
      </c>
      <c r="L5312" s="94">
        <v>107914</v>
      </c>
      <c r="M5312" s="94">
        <v>323742</v>
      </c>
    </row>
    <row r="5313" spans="3:13" x14ac:dyDescent="0.3">
      <c r="C5313" t="s">
        <v>61</v>
      </c>
      <c r="D5313" t="s">
        <v>67</v>
      </c>
      <c r="E5313" t="s">
        <v>68</v>
      </c>
      <c r="F5313" t="s">
        <v>26</v>
      </c>
      <c r="G5313" s="4">
        <v>9</v>
      </c>
      <c r="H5313" s="4" t="s">
        <v>12</v>
      </c>
      <c r="I5313" s="4" t="s">
        <v>69</v>
      </c>
      <c r="J5313" s="4" t="s">
        <v>73</v>
      </c>
      <c r="K5313" s="4">
        <v>1</v>
      </c>
      <c r="L5313" s="94">
        <v>344771</v>
      </c>
      <c r="M5313" s="94">
        <v>3102939</v>
      </c>
    </row>
    <row r="5314" spans="3:13" x14ac:dyDescent="0.3">
      <c r="C5314" t="s">
        <v>70</v>
      </c>
      <c r="D5314" t="s">
        <v>62</v>
      </c>
      <c r="E5314" t="s">
        <v>63</v>
      </c>
      <c r="F5314" t="s">
        <v>25</v>
      </c>
      <c r="G5314" s="4">
        <v>12</v>
      </c>
      <c r="I5314" s="4" t="s">
        <v>65</v>
      </c>
      <c r="J5314" s="4" t="s">
        <v>66</v>
      </c>
      <c r="K5314" s="4">
        <v>1</v>
      </c>
      <c r="L5314" s="94">
        <v>-2173</v>
      </c>
      <c r="M5314" s="94">
        <v>0</v>
      </c>
    </row>
    <row r="5315" spans="3:13" x14ac:dyDescent="0.3">
      <c r="C5315" t="s">
        <v>61</v>
      </c>
      <c r="D5315" t="s">
        <v>67</v>
      </c>
      <c r="E5315" t="s">
        <v>63</v>
      </c>
      <c r="F5315" t="s">
        <v>26</v>
      </c>
      <c r="G5315" s="4">
        <v>0</v>
      </c>
      <c r="H5315" s="4" t="s">
        <v>14</v>
      </c>
      <c r="I5315" s="4" t="s">
        <v>65</v>
      </c>
      <c r="J5315" s="4" t="s">
        <v>66</v>
      </c>
      <c r="K5315" s="4">
        <v>1</v>
      </c>
      <c r="L5315" s="94">
        <v>-356</v>
      </c>
      <c r="M5315" s="94">
        <v>0</v>
      </c>
    </row>
    <row r="5316" spans="3:13" x14ac:dyDescent="0.3">
      <c r="C5316" t="s">
        <v>61</v>
      </c>
      <c r="D5316" t="s">
        <v>67</v>
      </c>
      <c r="E5316" t="s">
        <v>68</v>
      </c>
      <c r="F5316" t="s">
        <v>72</v>
      </c>
      <c r="G5316" s="4">
        <v>7</v>
      </c>
      <c r="H5316" s="4" t="s">
        <v>17</v>
      </c>
      <c r="I5316" s="4" t="s">
        <v>69</v>
      </c>
      <c r="J5316" s="4" t="s">
        <v>66</v>
      </c>
      <c r="K5316" s="4">
        <v>0</v>
      </c>
      <c r="L5316" s="94">
        <v>123144</v>
      </c>
      <c r="M5316" s="94">
        <v>862008</v>
      </c>
    </row>
    <row r="5317" spans="3:13" x14ac:dyDescent="0.3">
      <c r="C5317" t="s">
        <v>61</v>
      </c>
      <c r="D5317" t="s">
        <v>67</v>
      </c>
      <c r="E5317" t="s">
        <v>63</v>
      </c>
      <c r="F5317" t="s">
        <v>26</v>
      </c>
      <c r="G5317" s="4">
        <v>6</v>
      </c>
      <c r="H5317" s="4" t="s">
        <v>14</v>
      </c>
      <c r="I5317" s="4" t="s">
        <v>69</v>
      </c>
      <c r="J5317" s="4" t="s">
        <v>66</v>
      </c>
      <c r="K5317" s="4">
        <v>0</v>
      </c>
      <c r="L5317" s="94">
        <v>-28587</v>
      </c>
      <c r="M5317" s="94">
        <v>0</v>
      </c>
    </row>
    <row r="5318" spans="3:13" x14ac:dyDescent="0.3">
      <c r="C5318" t="s">
        <v>61</v>
      </c>
      <c r="D5318" t="s">
        <v>67</v>
      </c>
      <c r="E5318" t="s">
        <v>63</v>
      </c>
      <c r="F5318" t="s">
        <v>25</v>
      </c>
      <c r="G5318" s="4">
        <v>0</v>
      </c>
      <c r="H5318" s="4" t="s">
        <v>78</v>
      </c>
      <c r="I5318" s="4" t="s">
        <v>69</v>
      </c>
      <c r="J5318" s="4" t="s">
        <v>66</v>
      </c>
      <c r="K5318" s="4">
        <v>0</v>
      </c>
      <c r="L5318" s="94">
        <v>-16</v>
      </c>
      <c r="M5318" s="94">
        <v>0</v>
      </c>
    </row>
    <row r="5319" spans="3:13" x14ac:dyDescent="0.3">
      <c r="C5319" t="s">
        <v>70</v>
      </c>
      <c r="D5319" t="s">
        <v>67</v>
      </c>
      <c r="E5319" t="s">
        <v>68</v>
      </c>
      <c r="F5319" t="s">
        <v>25</v>
      </c>
      <c r="G5319" s="4">
        <v>6</v>
      </c>
      <c r="H5319" s="4" t="s">
        <v>17</v>
      </c>
      <c r="I5319" s="4" t="s">
        <v>69</v>
      </c>
      <c r="J5319" s="4" t="s">
        <v>66</v>
      </c>
      <c r="K5319" s="4">
        <v>0</v>
      </c>
      <c r="L5319" s="94">
        <v>1423852</v>
      </c>
      <c r="M5319" s="94">
        <v>8543112</v>
      </c>
    </row>
    <row r="5320" spans="3:13" x14ac:dyDescent="0.3">
      <c r="C5320" t="s">
        <v>61</v>
      </c>
      <c r="D5320" t="s">
        <v>67</v>
      </c>
      <c r="E5320" t="s">
        <v>68</v>
      </c>
      <c r="F5320" t="s">
        <v>25</v>
      </c>
      <c r="G5320" s="4">
        <v>6</v>
      </c>
      <c r="H5320" s="4" t="s">
        <v>13</v>
      </c>
      <c r="I5320" s="4" t="s">
        <v>69</v>
      </c>
      <c r="J5320" s="4" t="s">
        <v>66</v>
      </c>
      <c r="K5320" s="4">
        <v>1</v>
      </c>
      <c r="L5320" s="94">
        <v>41713</v>
      </c>
      <c r="M5320" s="94">
        <v>250278</v>
      </c>
    </row>
    <row r="5321" spans="3:13" x14ac:dyDescent="0.3">
      <c r="C5321" t="s">
        <v>61</v>
      </c>
      <c r="D5321" t="s">
        <v>67</v>
      </c>
      <c r="E5321" t="s">
        <v>63</v>
      </c>
      <c r="F5321" t="s">
        <v>26</v>
      </c>
      <c r="G5321" s="4">
        <v>0</v>
      </c>
      <c r="H5321" s="4" t="s">
        <v>15</v>
      </c>
      <c r="I5321" s="4" t="s">
        <v>69</v>
      </c>
      <c r="J5321" s="4" t="s">
        <v>73</v>
      </c>
      <c r="K5321" s="4">
        <v>1</v>
      </c>
      <c r="L5321" s="94">
        <v>-10093</v>
      </c>
      <c r="M5321" s="94">
        <v>0</v>
      </c>
    </row>
    <row r="5322" spans="3:13" x14ac:dyDescent="0.3">
      <c r="C5322" t="s">
        <v>70</v>
      </c>
      <c r="D5322" t="s">
        <v>67</v>
      </c>
      <c r="E5322" t="s">
        <v>68</v>
      </c>
      <c r="F5322" t="s">
        <v>72</v>
      </c>
      <c r="G5322" s="4">
        <v>-4</v>
      </c>
      <c r="H5322" s="4" t="s">
        <v>14</v>
      </c>
      <c r="I5322" s="4" t="s">
        <v>69</v>
      </c>
      <c r="J5322" s="4" t="s">
        <v>66</v>
      </c>
      <c r="K5322" s="4">
        <v>0</v>
      </c>
      <c r="L5322" s="94">
        <v>3945</v>
      </c>
      <c r="M5322" s="94">
        <v>0</v>
      </c>
    </row>
    <row r="5323" spans="3:13" x14ac:dyDescent="0.3">
      <c r="C5323" t="s">
        <v>61</v>
      </c>
      <c r="D5323" t="s">
        <v>67</v>
      </c>
      <c r="E5323" t="s">
        <v>63</v>
      </c>
      <c r="F5323" t="s">
        <v>26</v>
      </c>
      <c r="G5323" s="4">
        <v>13</v>
      </c>
      <c r="H5323" s="4" t="s">
        <v>17</v>
      </c>
      <c r="I5323" s="4" t="s">
        <v>69</v>
      </c>
      <c r="J5323" s="4" t="s">
        <v>66</v>
      </c>
      <c r="K5323" s="4">
        <v>0</v>
      </c>
      <c r="L5323" s="94">
        <v>-68</v>
      </c>
      <c r="M5323" s="94">
        <v>0</v>
      </c>
    </row>
    <row r="5324" spans="3:13" x14ac:dyDescent="0.3">
      <c r="C5324" t="s">
        <v>71</v>
      </c>
      <c r="D5324" t="s">
        <v>67</v>
      </c>
      <c r="E5324" t="s">
        <v>63</v>
      </c>
      <c r="F5324" t="s">
        <v>26</v>
      </c>
      <c r="G5324" s="4">
        <v>3</v>
      </c>
      <c r="H5324" s="4" t="s">
        <v>78</v>
      </c>
      <c r="I5324" s="4" t="s">
        <v>69</v>
      </c>
      <c r="J5324" s="4" t="s">
        <v>66</v>
      </c>
      <c r="K5324" s="4">
        <v>0</v>
      </c>
      <c r="L5324" s="94">
        <v>-31216</v>
      </c>
      <c r="M5324" s="94">
        <v>0</v>
      </c>
    </row>
    <row r="5325" spans="3:13" x14ac:dyDescent="0.3">
      <c r="C5325" t="s">
        <v>61</v>
      </c>
      <c r="D5325" t="s">
        <v>67</v>
      </c>
      <c r="E5325" t="s">
        <v>63</v>
      </c>
      <c r="F5325" t="s">
        <v>25</v>
      </c>
      <c r="G5325" s="4">
        <v>6</v>
      </c>
      <c r="H5325" s="4" t="s">
        <v>14</v>
      </c>
      <c r="I5325" s="4" t="s">
        <v>69</v>
      </c>
      <c r="J5325" s="4" t="s">
        <v>66</v>
      </c>
      <c r="K5325" s="4">
        <v>1</v>
      </c>
      <c r="L5325" s="94">
        <v>-14381</v>
      </c>
      <c r="M5325" s="94">
        <v>0</v>
      </c>
    </row>
    <row r="5326" spans="3:13" x14ac:dyDescent="0.3">
      <c r="C5326" t="s">
        <v>61</v>
      </c>
      <c r="D5326" t="s">
        <v>67</v>
      </c>
      <c r="E5326" t="s">
        <v>68</v>
      </c>
      <c r="F5326" t="s">
        <v>25</v>
      </c>
      <c r="G5326" s="4">
        <v>11</v>
      </c>
      <c r="H5326" s="4" t="s">
        <v>79</v>
      </c>
      <c r="I5326" s="4" t="s">
        <v>65</v>
      </c>
      <c r="J5326" s="4" t="s">
        <v>66</v>
      </c>
      <c r="K5326" s="4">
        <v>1</v>
      </c>
      <c r="L5326" s="94">
        <v>56139</v>
      </c>
      <c r="M5326" s="94">
        <v>617529</v>
      </c>
    </row>
    <row r="5327" spans="3:13" x14ac:dyDescent="0.3">
      <c r="C5327" t="s">
        <v>70</v>
      </c>
      <c r="D5327" t="s">
        <v>67</v>
      </c>
      <c r="E5327" t="s">
        <v>63</v>
      </c>
      <c r="F5327" t="s">
        <v>25</v>
      </c>
      <c r="G5327" s="4">
        <v>13</v>
      </c>
      <c r="H5327" s="4" t="s">
        <v>74</v>
      </c>
      <c r="I5327" s="4" t="s">
        <v>69</v>
      </c>
      <c r="J5327" s="4" t="s">
        <v>66</v>
      </c>
      <c r="K5327" s="4">
        <v>0</v>
      </c>
      <c r="L5327" s="94">
        <v>-13079</v>
      </c>
      <c r="M5327" s="94">
        <v>0</v>
      </c>
    </row>
    <row r="5328" spans="3:13" x14ac:dyDescent="0.3">
      <c r="C5328" t="s">
        <v>61</v>
      </c>
      <c r="D5328" t="s">
        <v>67</v>
      </c>
      <c r="E5328" t="s">
        <v>63</v>
      </c>
      <c r="F5328" t="s">
        <v>26</v>
      </c>
      <c r="G5328" s="4">
        <v>15</v>
      </c>
      <c r="H5328" s="4" t="s">
        <v>82</v>
      </c>
      <c r="I5328" s="4" t="s">
        <v>65</v>
      </c>
      <c r="J5328" s="4" t="s">
        <v>66</v>
      </c>
      <c r="K5328" s="4">
        <v>1</v>
      </c>
      <c r="L5328" s="94">
        <v>-12959</v>
      </c>
      <c r="M5328" s="94">
        <v>0</v>
      </c>
    </row>
    <row r="5329" spans="3:13" x14ac:dyDescent="0.3">
      <c r="C5329" t="s">
        <v>61</v>
      </c>
      <c r="D5329" t="s">
        <v>67</v>
      </c>
      <c r="E5329" t="s">
        <v>63</v>
      </c>
      <c r="F5329" t="s">
        <v>25</v>
      </c>
      <c r="G5329" s="4">
        <v>13</v>
      </c>
      <c r="H5329" s="4" t="s">
        <v>75</v>
      </c>
      <c r="I5329" s="4" t="s">
        <v>69</v>
      </c>
      <c r="J5329" s="4" t="s">
        <v>66</v>
      </c>
      <c r="K5329" s="4">
        <v>0</v>
      </c>
      <c r="L5329" s="94">
        <v>-26770</v>
      </c>
      <c r="M5329" s="94">
        <v>0</v>
      </c>
    </row>
    <row r="5330" spans="3:13" x14ac:dyDescent="0.3">
      <c r="C5330" t="s">
        <v>61</v>
      </c>
      <c r="D5330" t="s">
        <v>67</v>
      </c>
      <c r="E5330" t="s">
        <v>68</v>
      </c>
      <c r="F5330" t="s">
        <v>72</v>
      </c>
      <c r="G5330" s="4">
        <v>2</v>
      </c>
      <c r="H5330" s="4" t="s">
        <v>12</v>
      </c>
      <c r="I5330" s="4" t="s">
        <v>65</v>
      </c>
      <c r="J5330" s="4" t="s">
        <v>73</v>
      </c>
      <c r="K5330" s="4">
        <v>1</v>
      </c>
      <c r="L5330" s="94">
        <v>10885</v>
      </c>
      <c r="M5330" s="94">
        <v>21770</v>
      </c>
    </row>
    <row r="5331" spans="3:13" x14ac:dyDescent="0.3">
      <c r="C5331" t="s">
        <v>70</v>
      </c>
      <c r="D5331" t="s">
        <v>67</v>
      </c>
      <c r="E5331" t="s">
        <v>68</v>
      </c>
      <c r="F5331" t="s">
        <v>72</v>
      </c>
      <c r="G5331" s="4">
        <v>5</v>
      </c>
      <c r="H5331" s="4" t="s">
        <v>78</v>
      </c>
      <c r="I5331" s="4" t="s">
        <v>69</v>
      </c>
      <c r="J5331" s="4" t="s">
        <v>66</v>
      </c>
      <c r="K5331" s="4">
        <v>0</v>
      </c>
      <c r="L5331" s="94">
        <v>98950</v>
      </c>
      <c r="M5331" s="94">
        <v>494750</v>
      </c>
    </row>
    <row r="5332" spans="3:13" x14ac:dyDescent="0.3">
      <c r="C5332" t="s">
        <v>71</v>
      </c>
      <c r="D5332" t="s">
        <v>67</v>
      </c>
      <c r="E5332" t="s">
        <v>68</v>
      </c>
      <c r="F5332" t="s">
        <v>25</v>
      </c>
      <c r="G5332" s="4">
        <v>4</v>
      </c>
      <c r="H5332" s="4" t="s">
        <v>18</v>
      </c>
      <c r="I5332" s="4" t="s">
        <v>69</v>
      </c>
      <c r="J5332" s="4" t="s">
        <v>66</v>
      </c>
      <c r="K5332" s="4">
        <v>0</v>
      </c>
      <c r="L5332" s="94">
        <v>16660627</v>
      </c>
      <c r="M5332" s="94">
        <v>66642508</v>
      </c>
    </row>
    <row r="5333" spans="3:13" x14ac:dyDescent="0.3">
      <c r="C5333" t="s">
        <v>61</v>
      </c>
      <c r="D5333" t="s">
        <v>67</v>
      </c>
      <c r="E5333" t="s">
        <v>68</v>
      </c>
      <c r="F5333" t="s">
        <v>25</v>
      </c>
      <c r="G5333" s="4">
        <v>2</v>
      </c>
      <c r="H5333" s="4" t="s">
        <v>16</v>
      </c>
      <c r="I5333" s="4" t="s">
        <v>69</v>
      </c>
      <c r="J5333" s="4" t="s">
        <v>66</v>
      </c>
      <c r="K5333" s="4">
        <v>0</v>
      </c>
      <c r="L5333" s="94">
        <v>635165</v>
      </c>
      <c r="M5333" s="94">
        <v>1270330</v>
      </c>
    </row>
    <row r="5334" spans="3:13" x14ac:dyDescent="0.3">
      <c r="C5334" t="s">
        <v>61</v>
      </c>
      <c r="D5334" t="s">
        <v>67</v>
      </c>
      <c r="E5334" t="s">
        <v>68</v>
      </c>
      <c r="F5334" t="s">
        <v>26</v>
      </c>
      <c r="G5334" s="4">
        <v>5</v>
      </c>
      <c r="H5334" s="4" t="s">
        <v>14</v>
      </c>
      <c r="I5334" s="4" t="s">
        <v>69</v>
      </c>
      <c r="J5334" s="4" t="s">
        <v>73</v>
      </c>
      <c r="K5334" s="4">
        <v>1</v>
      </c>
      <c r="L5334" s="94">
        <v>17866875</v>
      </c>
      <c r="M5334" s="94">
        <v>89334375</v>
      </c>
    </row>
    <row r="5335" spans="3:13" x14ac:dyDescent="0.3">
      <c r="C5335" t="s">
        <v>70</v>
      </c>
      <c r="D5335" t="s">
        <v>67</v>
      </c>
      <c r="E5335" t="s">
        <v>63</v>
      </c>
      <c r="F5335" t="s">
        <v>25</v>
      </c>
      <c r="G5335" s="4">
        <v>-4</v>
      </c>
      <c r="H5335" s="4" t="s">
        <v>14</v>
      </c>
      <c r="I5335" s="4" t="s">
        <v>69</v>
      </c>
      <c r="J5335" s="4" t="s">
        <v>66</v>
      </c>
      <c r="K5335" s="4">
        <v>1</v>
      </c>
      <c r="L5335" s="94">
        <v>-25</v>
      </c>
      <c r="M5335" s="94">
        <v>0</v>
      </c>
    </row>
    <row r="5336" spans="3:13" x14ac:dyDescent="0.3">
      <c r="C5336" t="s">
        <v>70</v>
      </c>
      <c r="D5336" t="s">
        <v>67</v>
      </c>
      <c r="E5336" t="s">
        <v>63</v>
      </c>
      <c r="F5336" t="s">
        <v>26</v>
      </c>
      <c r="G5336" s="4">
        <v>-1</v>
      </c>
      <c r="H5336" s="4" t="s">
        <v>79</v>
      </c>
      <c r="I5336" s="4" t="s">
        <v>69</v>
      </c>
      <c r="J5336" s="4" t="s">
        <v>66</v>
      </c>
      <c r="K5336" s="4">
        <v>0</v>
      </c>
      <c r="L5336" s="94">
        <v>-227689</v>
      </c>
      <c r="M5336" s="94">
        <v>0</v>
      </c>
    </row>
    <row r="5337" spans="3:13" x14ac:dyDescent="0.3">
      <c r="C5337" t="s">
        <v>61</v>
      </c>
      <c r="D5337" t="s">
        <v>84</v>
      </c>
      <c r="E5337" t="s">
        <v>68</v>
      </c>
      <c r="F5337" t="s">
        <v>25</v>
      </c>
      <c r="G5337" s="4">
        <v>7</v>
      </c>
      <c r="H5337" s="4" t="s">
        <v>75</v>
      </c>
      <c r="I5337" s="4" t="s">
        <v>69</v>
      </c>
      <c r="J5337" s="4" t="s">
        <v>66</v>
      </c>
      <c r="K5337" s="4">
        <v>0</v>
      </c>
      <c r="L5337" s="94">
        <v>4965594</v>
      </c>
      <c r="M5337" s="94">
        <v>34759158</v>
      </c>
    </row>
    <row r="5338" spans="3:13" x14ac:dyDescent="0.3">
      <c r="C5338" t="s">
        <v>61</v>
      </c>
      <c r="D5338" t="s">
        <v>67</v>
      </c>
      <c r="E5338" t="s">
        <v>68</v>
      </c>
      <c r="F5338" t="s">
        <v>25</v>
      </c>
      <c r="G5338" s="4">
        <v>5</v>
      </c>
      <c r="H5338" s="4" t="s">
        <v>17</v>
      </c>
      <c r="I5338" s="4" t="s">
        <v>65</v>
      </c>
      <c r="J5338" s="4" t="s">
        <v>66</v>
      </c>
      <c r="K5338" s="4">
        <v>1</v>
      </c>
      <c r="L5338" s="94">
        <v>9237</v>
      </c>
      <c r="M5338" s="94">
        <v>46185</v>
      </c>
    </row>
    <row r="5339" spans="3:13" x14ac:dyDescent="0.3">
      <c r="C5339" t="s">
        <v>61</v>
      </c>
      <c r="D5339" t="s">
        <v>67</v>
      </c>
      <c r="E5339" t="s">
        <v>63</v>
      </c>
      <c r="F5339" t="s">
        <v>25</v>
      </c>
      <c r="G5339" s="4">
        <v>10</v>
      </c>
      <c r="H5339" s="4" t="s">
        <v>80</v>
      </c>
      <c r="I5339" s="4" t="s">
        <v>69</v>
      </c>
      <c r="J5339" s="4" t="s">
        <v>66</v>
      </c>
      <c r="K5339" s="4">
        <v>0</v>
      </c>
      <c r="L5339" s="94">
        <v>-4393</v>
      </c>
      <c r="M5339" s="94">
        <v>0</v>
      </c>
    </row>
    <row r="5340" spans="3:13" x14ac:dyDescent="0.3">
      <c r="C5340" t="s">
        <v>71</v>
      </c>
      <c r="D5340" t="s">
        <v>67</v>
      </c>
      <c r="E5340" t="s">
        <v>63</v>
      </c>
      <c r="F5340" t="s">
        <v>26</v>
      </c>
      <c r="G5340" s="4">
        <v>5</v>
      </c>
      <c r="H5340" s="4" t="s">
        <v>18</v>
      </c>
      <c r="I5340" s="4" t="s">
        <v>69</v>
      </c>
      <c r="J5340" s="4" t="s">
        <v>66</v>
      </c>
      <c r="K5340" s="4">
        <v>0</v>
      </c>
      <c r="L5340" s="94">
        <v>-1256568</v>
      </c>
      <c r="M5340" s="94">
        <v>0</v>
      </c>
    </row>
    <row r="5341" spans="3:13" x14ac:dyDescent="0.3">
      <c r="C5341" t="s">
        <v>61</v>
      </c>
      <c r="D5341" t="s">
        <v>67</v>
      </c>
      <c r="E5341" t="s">
        <v>63</v>
      </c>
      <c r="F5341" t="s">
        <v>26</v>
      </c>
      <c r="G5341" s="4">
        <v>5</v>
      </c>
      <c r="H5341" s="4" t="s">
        <v>16</v>
      </c>
      <c r="I5341" s="4" t="s">
        <v>69</v>
      </c>
      <c r="J5341" s="4" t="s">
        <v>66</v>
      </c>
      <c r="K5341" s="4">
        <v>0</v>
      </c>
      <c r="L5341" s="94">
        <v>-1992</v>
      </c>
      <c r="M5341" s="94">
        <v>0</v>
      </c>
    </row>
    <row r="5342" spans="3:13" x14ac:dyDescent="0.3">
      <c r="C5342" t="s">
        <v>70</v>
      </c>
      <c r="D5342" t="s">
        <v>67</v>
      </c>
      <c r="E5342" t="s">
        <v>68</v>
      </c>
      <c r="F5342" t="s">
        <v>26</v>
      </c>
      <c r="G5342" s="4">
        <v>5</v>
      </c>
      <c r="H5342" s="4" t="s">
        <v>64</v>
      </c>
      <c r="I5342" s="4" t="s">
        <v>69</v>
      </c>
      <c r="J5342" s="4" t="s">
        <v>66</v>
      </c>
      <c r="K5342" s="4">
        <v>0</v>
      </c>
      <c r="L5342" s="94">
        <v>690355</v>
      </c>
      <c r="M5342" s="94">
        <v>3451775</v>
      </c>
    </row>
    <row r="5343" spans="3:13" x14ac:dyDescent="0.3">
      <c r="C5343" t="s">
        <v>61</v>
      </c>
      <c r="D5343" t="s">
        <v>67</v>
      </c>
      <c r="E5343" t="s">
        <v>68</v>
      </c>
      <c r="F5343" t="s">
        <v>25</v>
      </c>
      <c r="G5343" s="4">
        <v>0</v>
      </c>
      <c r="H5343" s="4" t="s">
        <v>83</v>
      </c>
      <c r="I5343" s="4" t="s">
        <v>69</v>
      </c>
      <c r="J5343" s="4" t="s">
        <v>66</v>
      </c>
      <c r="K5343" s="4">
        <v>0</v>
      </c>
      <c r="L5343" s="94">
        <v>2499</v>
      </c>
      <c r="M5343" s="94">
        <v>0</v>
      </c>
    </row>
    <row r="5344" spans="3:13" x14ac:dyDescent="0.3">
      <c r="C5344" t="s">
        <v>61</v>
      </c>
      <c r="D5344" t="s">
        <v>84</v>
      </c>
      <c r="E5344" t="s">
        <v>68</v>
      </c>
      <c r="F5344" t="s">
        <v>25</v>
      </c>
      <c r="G5344" s="4">
        <v>16</v>
      </c>
      <c r="H5344" s="4" t="s">
        <v>81</v>
      </c>
      <c r="I5344" s="4" t="s">
        <v>69</v>
      </c>
      <c r="J5344" s="4" t="s">
        <v>66</v>
      </c>
      <c r="K5344" s="4">
        <v>0</v>
      </c>
      <c r="L5344" s="94">
        <v>10846753</v>
      </c>
      <c r="M5344" s="94">
        <v>173548048</v>
      </c>
    </row>
    <row r="5345" spans="3:13" x14ac:dyDescent="0.3">
      <c r="C5345" t="s">
        <v>61</v>
      </c>
      <c r="D5345" t="s">
        <v>62</v>
      </c>
      <c r="E5345" t="s">
        <v>63</v>
      </c>
      <c r="F5345" t="s">
        <v>24</v>
      </c>
      <c r="G5345" s="4">
        <v>33</v>
      </c>
      <c r="I5345" s="4" t="s">
        <v>65</v>
      </c>
      <c r="J5345" s="4" t="s">
        <v>66</v>
      </c>
      <c r="K5345" s="4">
        <v>1</v>
      </c>
      <c r="L5345" s="94">
        <v>-8342</v>
      </c>
      <c r="M5345" s="94">
        <v>0</v>
      </c>
    </row>
    <row r="5346" spans="3:13" x14ac:dyDescent="0.3">
      <c r="C5346" t="s">
        <v>61</v>
      </c>
      <c r="D5346" t="s">
        <v>67</v>
      </c>
      <c r="E5346" t="s">
        <v>68</v>
      </c>
      <c r="F5346" t="s">
        <v>25</v>
      </c>
      <c r="G5346" s="4">
        <v>8</v>
      </c>
      <c r="H5346" s="4" t="s">
        <v>12</v>
      </c>
      <c r="I5346" s="4" t="s">
        <v>69</v>
      </c>
      <c r="J5346" s="4" t="s">
        <v>66</v>
      </c>
      <c r="K5346" s="4">
        <v>1</v>
      </c>
      <c r="L5346" s="94">
        <v>7425716</v>
      </c>
      <c r="M5346" s="94">
        <v>59405728</v>
      </c>
    </row>
    <row r="5347" spans="3:13" x14ac:dyDescent="0.3">
      <c r="C5347" t="s">
        <v>61</v>
      </c>
      <c r="D5347" t="s">
        <v>67</v>
      </c>
      <c r="E5347" t="s">
        <v>68</v>
      </c>
      <c r="F5347" t="s">
        <v>25</v>
      </c>
      <c r="G5347" s="4">
        <v>9</v>
      </c>
      <c r="H5347" s="4" t="s">
        <v>82</v>
      </c>
      <c r="I5347" s="4" t="s">
        <v>69</v>
      </c>
      <c r="J5347" s="4" t="s">
        <v>66</v>
      </c>
      <c r="K5347" s="4">
        <v>0</v>
      </c>
      <c r="L5347" s="94">
        <v>384973</v>
      </c>
      <c r="M5347" s="94">
        <v>3464757</v>
      </c>
    </row>
    <row r="5348" spans="3:13" x14ac:dyDescent="0.3">
      <c r="C5348" t="s">
        <v>70</v>
      </c>
      <c r="D5348" t="s">
        <v>67</v>
      </c>
      <c r="E5348" t="s">
        <v>63</v>
      </c>
      <c r="F5348" t="s">
        <v>72</v>
      </c>
      <c r="G5348" s="4">
        <v>5</v>
      </c>
      <c r="H5348" s="4" t="s">
        <v>75</v>
      </c>
      <c r="I5348" s="4" t="s">
        <v>69</v>
      </c>
      <c r="J5348" s="4" t="s">
        <v>66</v>
      </c>
      <c r="K5348" s="4">
        <v>0</v>
      </c>
      <c r="L5348" s="94">
        <v>-25844</v>
      </c>
      <c r="M5348" s="94">
        <v>0</v>
      </c>
    </row>
    <row r="5349" spans="3:13" x14ac:dyDescent="0.3">
      <c r="C5349" t="s">
        <v>71</v>
      </c>
      <c r="D5349" t="s">
        <v>62</v>
      </c>
      <c r="E5349" t="s">
        <v>63</v>
      </c>
      <c r="F5349" t="s">
        <v>25</v>
      </c>
      <c r="G5349" s="4">
        <v>4</v>
      </c>
      <c r="I5349" s="4" t="s">
        <v>69</v>
      </c>
      <c r="J5349" s="4" t="s">
        <v>66</v>
      </c>
      <c r="K5349" s="4">
        <v>0</v>
      </c>
      <c r="L5349" s="94">
        <v>-5282447</v>
      </c>
      <c r="M5349" s="94">
        <v>0</v>
      </c>
    </row>
    <row r="5350" spans="3:13" x14ac:dyDescent="0.3">
      <c r="C5350" t="s">
        <v>61</v>
      </c>
      <c r="D5350" t="s">
        <v>62</v>
      </c>
      <c r="E5350" t="s">
        <v>63</v>
      </c>
      <c r="F5350" t="s">
        <v>24</v>
      </c>
      <c r="G5350" s="4">
        <v>1</v>
      </c>
      <c r="I5350" s="4" t="s">
        <v>65</v>
      </c>
      <c r="J5350" s="4" t="s">
        <v>66</v>
      </c>
      <c r="K5350" s="4">
        <v>1</v>
      </c>
      <c r="L5350" s="94">
        <v>-42</v>
      </c>
      <c r="M5350" s="94">
        <v>0</v>
      </c>
    </row>
    <row r="5351" spans="3:13" x14ac:dyDescent="0.3">
      <c r="C5351" t="s">
        <v>61</v>
      </c>
      <c r="D5351" t="s">
        <v>67</v>
      </c>
      <c r="E5351" t="s">
        <v>68</v>
      </c>
      <c r="F5351" t="s">
        <v>72</v>
      </c>
      <c r="G5351" s="4">
        <v>5</v>
      </c>
      <c r="H5351" s="4" t="s">
        <v>18</v>
      </c>
      <c r="I5351" s="4" t="s">
        <v>69</v>
      </c>
      <c r="J5351" s="4" t="s">
        <v>73</v>
      </c>
      <c r="K5351" s="4">
        <v>1</v>
      </c>
      <c r="L5351" s="94">
        <v>467310</v>
      </c>
      <c r="M5351" s="94">
        <v>2336550</v>
      </c>
    </row>
    <row r="5352" spans="3:13" x14ac:dyDescent="0.3">
      <c r="C5352" t="s">
        <v>71</v>
      </c>
      <c r="D5352" t="s">
        <v>67</v>
      </c>
      <c r="E5352" t="s">
        <v>63</v>
      </c>
      <c r="F5352" t="s">
        <v>25</v>
      </c>
      <c r="G5352" s="4">
        <v>-4</v>
      </c>
      <c r="H5352" s="4" t="s">
        <v>17</v>
      </c>
      <c r="I5352" s="4" t="s">
        <v>69</v>
      </c>
      <c r="J5352" s="4" t="s">
        <v>66</v>
      </c>
      <c r="K5352" s="4">
        <v>1</v>
      </c>
      <c r="L5352" s="94">
        <v>-2440218</v>
      </c>
      <c r="M5352" s="94">
        <v>0</v>
      </c>
    </row>
    <row r="5353" spans="3:13" x14ac:dyDescent="0.3">
      <c r="C5353" t="s">
        <v>71</v>
      </c>
      <c r="D5353" t="s">
        <v>67</v>
      </c>
      <c r="E5353" t="s">
        <v>68</v>
      </c>
      <c r="F5353" t="s">
        <v>26</v>
      </c>
      <c r="G5353" s="4">
        <v>3</v>
      </c>
      <c r="H5353" s="4" t="s">
        <v>18</v>
      </c>
      <c r="I5353" s="4" t="s">
        <v>69</v>
      </c>
      <c r="J5353" s="4" t="s">
        <v>73</v>
      </c>
      <c r="K5353" s="4">
        <v>1</v>
      </c>
      <c r="L5353" s="94">
        <v>461082</v>
      </c>
      <c r="M5353" s="94">
        <v>1383246</v>
      </c>
    </row>
    <row r="5354" spans="3:13" x14ac:dyDescent="0.3">
      <c r="C5354" t="s">
        <v>70</v>
      </c>
      <c r="D5354" t="s">
        <v>67</v>
      </c>
      <c r="E5354" t="s">
        <v>63</v>
      </c>
      <c r="F5354" t="s">
        <v>26</v>
      </c>
      <c r="G5354" s="4">
        <v>8</v>
      </c>
      <c r="H5354" s="4" t="s">
        <v>14</v>
      </c>
      <c r="I5354" s="4" t="s">
        <v>69</v>
      </c>
      <c r="J5354" s="4" t="s">
        <v>66</v>
      </c>
      <c r="K5354" s="4">
        <v>0</v>
      </c>
      <c r="L5354" s="94">
        <v>-68280</v>
      </c>
      <c r="M5354" s="94">
        <v>0</v>
      </c>
    </row>
    <row r="5355" spans="3:13" x14ac:dyDescent="0.3">
      <c r="C5355" t="s">
        <v>61</v>
      </c>
      <c r="D5355" t="s">
        <v>67</v>
      </c>
      <c r="E5355" t="s">
        <v>68</v>
      </c>
      <c r="F5355" t="s">
        <v>25</v>
      </c>
      <c r="G5355" s="4">
        <v>0</v>
      </c>
      <c r="H5355" s="4" t="s">
        <v>78</v>
      </c>
      <c r="I5355" s="4" t="s">
        <v>69</v>
      </c>
      <c r="J5355" s="4" t="s">
        <v>66</v>
      </c>
      <c r="K5355" s="4">
        <v>0</v>
      </c>
      <c r="L5355" s="94">
        <v>18765</v>
      </c>
      <c r="M5355" s="94">
        <v>0</v>
      </c>
    </row>
    <row r="5356" spans="3:13" x14ac:dyDescent="0.3">
      <c r="C5356" t="s">
        <v>61</v>
      </c>
      <c r="D5356" t="s">
        <v>67</v>
      </c>
      <c r="E5356" t="s">
        <v>63</v>
      </c>
      <c r="F5356" t="s">
        <v>25</v>
      </c>
      <c r="G5356" s="4">
        <v>8</v>
      </c>
      <c r="H5356" s="4" t="s">
        <v>82</v>
      </c>
      <c r="I5356" s="4" t="s">
        <v>69</v>
      </c>
      <c r="J5356" s="4" t="s">
        <v>66</v>
      </c>
      <c r="K5356" s="4">
        <v>1</v>
      </c>
      <c r="L5356" s="94">
        <v>-64</v>
      </c>
      <c r="M5356" s="94">
        <v>0</v>
      </c>
    </row>
    <row r="5357" spans="3:13" x14ac:dyDescent="0.3">
      <c r="C5357" t="s">
        <v>70</v>
      </c>
      <c r="D5357" t="s">
        <v>62</v>
      </c>
      <c r="E5357" t="s">
        <v>63</v>
      </c>
      <c r="F5357" t="s">
        <v>24</v>
      </c>
      <c r="G5357" s="4">
        <v>1</v>
      </c>
      <c r="I5357" s="4" t="s">
        <v>65</v>
      </c>
      <c r="J5357" s="4" t="s">
        <v>66</v>
      </c>
      <c r="K5357" s="4">
        <v>1</v>
      </c>
      <c r="L5357" s="94">
        <v>-152</v>
      </c>
      <c r="M5357" s="94">
        <v>0</v>
      </c>
    </row>
    <row r="5358" spans="3:13" x14ac:dyDescent="0.3">
      <c r="C5358" t="s">
        <v>61</v>
      </c>
      <c r="D5358" t="s">
        <v>62</v>
      </c>
      <c r="E5358" t="s">
        <v>68</v>
      </c>
      <c r="F5358" t="s">
        <v>24</v>
      </c>
      <c r="G5358" s="4">
        <v>27</v>
      </c>
      <c r="I5358" s="4" t="s">
        <v>69</v>
      </c>
      <c r="J5358" s="4" t="s">
        <v>66</v>
      </c>
      <c r="K5358" s="4">
        <v>1</v>
      </c>
      <c r="L5358" s="94">
        <v>1613111</v>
      </c>
      <c r="M5358" s="94">
        <v>43553997</v>
      </c>
    </row>
    <row r="5359" spans="3:13" x14ac:dyDescent="0.3">
      <c r="C5359" t="s">
        <v>70</v>
      </c>
      <c r="D5359" t="s">
        <v>67</v>
      </c>
      <c r="E5359" t="s">
        <v>68</v>
      </c>
      <c r="F5359" t="s">
        <v>26</v>
      </c>
      <c r="G5359" s="4">
        <v>5</v>
      </c>
      <c r="H5359" s="4" t="s">
        <v>75</v>
      </c>
      <c r="I5359" s="4" t="s">
        <v>69</v>
      </c>
      <c r="J5359" s="4" t="s">
        <v>66</v>
      </c>
      <c r="K5359" s="4">
        <v>0</v>
      </c>
      <c r="L5359" s="94">
        <v>269296</v>
      </c>
      <c r="M5359" s="94">
        <v>1346480</v>
      </c>
    </row>
    <row r="5360" spans="3:13" x14ac:dyDescent="0.3">
      <c r="C5360" t="s">
        <v>70</v>
      </c>
      <c r="D5360" t="s">
        <v>67</v>
      </c>
      <c r="E5360" t="s">
        <v>63</v>
      </c>
      <c r="F5360" t="s">
        <v>26</v>
      </c>
      <c r="G5360" s="4">
        <v>-1</v>
      </c>
      <c r="H5360" s="4" t="s">
        <v>17</v>
      </c>
      <c r="I5360" s="4" t="s">
        <v>65</v>
      </c>
      <c r="J5360" s="4" t="s">
        <v>73</v>
      </c>
      <c r="K5360" s="4">
        <v>1</v>
      </c>
      <c r="L5360" s="94">
        <v>-60238</v>
      </c>
      <c r="M5360" s="94">
        <v>0</v>
      </c>
    </row>
    <row r="5361" spans="3:13" x14ac:dyDescent="0.3">
      <c r="C5361" t="s">
        <v>70</v>
      </c>
      <c r="D5361" t="s">
        <v>62</v>
      </c>
      <c r="E5361" t="s">
        <v>63</v>
      </c>
      <c r="F5361" t="s">
        <v>24</v>
      </c>
      <c r="G5361" s="4">
        <v>33</v>
      </c>
      <c r="I5361" s="4" t="s">
        <v>65</v>
      </c>
      <c r="J5361" s="4" t="s">
        <v>66</v>
      </c>
      <c r="K5361" s="4">
        <v>1</v>
      </c>
      <c r="L5361" s="94">
        <v>-67796</v>
      </c>
      <c r="M5361" s="94">
        <v>0</v>
      </c>
    </row>
    <row r="5362" spans="3:13" x14ac:dyDescent="0.3">
      <c r="C5362" t="s">
        <v>71</v>
      </c>
      <c r="D5362" t="s">
        <v>67</v>
      </c>
      <c r="E5362" t="s">
        <v>68</v>
      </c>
      <c r="F5362" t="s">
        <v>25</v>
      </c>
      <c r="G5362" s="4">
        <v>11</v>
      </c>
      <c r="H5362" s="4" t="s">
        <v>75</v>
      </c>
      <c r="I5362" s="4" t="s">
        <v>69</v>
      </c>
      <c r="J5362" s="4" t="s">
        <v>66</v>
      </c>
      <c r="K5362" s="4">
        <v>0</v>
      </c>
      <c r="L5362" s="94">
        <v>1402509</v>
      </c>
      <c r="M5362" s="94">
        <v>15427599</v>
      </c>
    </row>
    <row r="5363" spans="3:13" x14ac:dyDescent="0.3">
      <c r="C5363" t="s">
        <v>70</v>
      </c>
      <c r="D5363" t="s">
        <v>67</v>
      </c>
      <c r="E5363" t="s">
        <v>63</v>
      </c>
      <c r="F5363" t="s">
        <v>26</v>
      </c>
      <c r="G5363" s="4">
        <v>8</v>
      </c>
      <c r="H5363" s="4" t="s">
        <v>12</v>
      </c>
      <c r="I5363" s="4" t="s">
        <v>69</v>
      </c>
      <c r="J5363" s="4" t="s">
        <v>66</v>
      </c>
      <c r="K5363" s="4">
        <v>0</v>
      </c>
      <c r="L5363" s="94">
        <v>-13217</v>
      </c>
      <c r="M5363" s="94">
        <v>0</v>
      </c>
    </row>
    <row r="5364" spans="3:13" x14ac:dyDescent="0.3">
      <c r="C5364" t="s">
        <v>71</v>
      </c>
      <c r="D5364" t="s">
        <v>67</v>
      </c>
      <c r="E5364" t="s">
        <v>63</v>
      </c>
      <c r="F5364" t="s">
        <v>26</v>
      </c>
      <c r="G5364" s="4">
        <v>6</v>
      </c>
      <c r="H5364" s="4" t="s">
        <v>14</v>
      </c>
      <c r="I5364" s="4" t="s">
        <v>69</v>
      </c>
      <c r="J5364" s="4" t="s">
        <v>66</v>
      </c>
      <c r="K5364" s="4">
        <v>0</v>
      </c>
      <c r="L5364" s="94">
        <v>-43295</v>
      </c>
      <c r="M5364" s="94">
        <v>0</v>
      </c>
    </row>
    <row r="5365" spans="3:13" x14ac:dyDescent="0.3">
      <c r="C5365" t="s">
        <v>70</v>
      </c>
      <c r="D5365" t="s">
        <v>67</v>
      </c>
      <c r="E5365" t="s">
        <v>68</v>
      </c>
      <c r="F5365" t="s">
        <v>25</v>
      </c>
      <c r="G5365" s="4">
        <v>1</v>
      </c>
      <c r="H5365" s="4" t="s">
        <v>14</v>
      </c>
      <c r="I5365" s="4" t="s">
        <v>69</v>
      </c>
      <c r="J5365" s="4" t="s">
        <v>66</v>
      </c>
      <c r="K5365" s="4">
        <v>0</v>
      </c>
      <c r="L5365" s="94">
        <v>669887</v>
      </c>
      <c r="M5365" s="94">
        <v>669887</v>
      </c>
    </row>
    <row r="5366" spans="3:13" x14ac:dyDescent="0.3">
      <c r="C5366" t="s">
        <v>70</v>
      </c>
      <c r="D5366" t="s">
        <v>62</v>
      </c>
      <c r="E5366" t="s">
        <v>68</v>
      </c>
      <c r="F5366" t="s">
        <v>25</v>
      </c>
      <c r="G5366" s="4">
        <v>15</v>
      </c>
      <c r="I5366" s="4" t="s">
        <v>69</v>
      </c>
      <c r="J5366" s="4" t="s">
        <v>66</v>
      </c>
      <c r="K5366" s="4">
        <v>0</v>
      </c>
      <c r="L5366" s="94">
        <v>259097</v>
      </c>
      <c r="M5366" s="94">
        <v>3886455</v>
      </c>
    </row>
    <row r="5367" spans="3:13" x14ac:dyDescent="0.3">
      <c r="C5367" t="s">
        <v>61</v>
      </c>
      <c r="D5367" t="s">
        <v>67</v>
      </c>
      <c r="E5367" t="s">
        <v>68</v>
      </c>
      <c r="F5367" t="s">
        <v>26</v>
      </c>
      <c r="G5367" s="4">
        <v>1</v>
      </c>
      <c r="H5367" s="4" t="s">
        <v>83</v>
      </c>
      <c r="I5367" s="4" t="s">
        <v>69</v>
      </c>
      <c r="J5367" s="4" t="s">
        <v>66</v>
      </c>
      <c r="K5367" s="4">
        <v>0</v>
      </c>
      <c r="L5367" s="94">
        <v>2948568</v>
      </c>
      <c r="M5367" s="94">
        <v>2948568</v>
      </c>
    </row>
    <row r="5368" spans="3:13" x14ac:dyDescent="0.3">
      <c r="C5368" t="s">
        <v>61</v>
      </c>
      <c r="D5368" t="s">
        <v>67</v>
      </c>
      <c r="E5368" t="s">
        <v>68</v>
      </c>
      <c r="F5368" t="s">
        <v>72</v>
      </c>
      <c r="G5368" s="4">
        <v>4</v>
      </c>
      <c r="H5368" s="4" t="s">
        <v>75</v>
      </c>
      <c r="I5368" s="4" t="s">
        <v>69</v>
      </c>
      <c r="J5368" s="4" t="s">
        <v>66</v>
      </c>
      <c r="K5368" s="4">
        <v>0</v>
      </c>
      <c r="L5368" s="94">
        <v>8032851</v>
      </c>
      <c r="M5368" s="94">
        <v>32131404</v>
      </c>
    </row>
    <row r="5369" spans="3:13" x14ac:dyDescent="0.3">
      <c r="C5369" t="s">
        <v>70</v>
      </c>
      <c r="D5369" t="s">
        <v>67</v>
      </c>
      <c r="E5369" t="s">
        <v>63</v>
      </c>
      <c r="F5369" t="s">
        <v>72</v>
      </c>
      <c r="G5369" s="4">
        <v>5</v>
      </c>
      <c r="H5369" s="4" t="s">
        <v>64</v>
      </c>
      <c r="I5369" s="4" t="s">
        <v>69</v>
      </c>
      <c r="J5369" s="4" t="s">
        <v>66</v>
      </c>
      <c r="K5369" s="4">
        <v>0</v>
      </c>
      <c r="L5369" s="94">
        <v>-21388</v>
      </c>
      <c r="M5369" s="94">
        <v>0</v>
      </c>
    </row>
    <row r="5370" spans="3:13" x14ac:dyDescent="0.3">
      <c r="C5370" t="s">
        <v>70</v>
      </c>
      <c r="D5370" t="s">
        <v>67</v>
      </c>
      <c r="E5370" t="s">
        <v>68</v>
      </c>
      <c r="F5370" t="s">
        <v>25</v>
      </c>
      <c r="G5370" s="4">
        <v>8</v>
      </c>
      <c r="H5370" s="4" t="s">
        <v>18</v>
      </c>
      <c r="I5370" s="4" t="s">
        <v>69</v>
      </c>
      <c r="J5370" s="4" t="s">
        <v>66</v>
      </c>
      <c r="K5370" s="4">
        <v>0</v>
      </c>
      <c r="L5370" s="94">
        <v>1775629</v>
      </c>
      <c r="M5370" s="94">
        <v>14205032</v>
      </c>
    </row>
    <row r="5371" spans="3:13" x14ac:dyDescent="0.3">
      <c r="C5371" t="s">
        <v>70</v>
      </c>
      <c r="D5371" t="s">
        <v>67</v>
      </c>
      <c r="E5371" t="s">
        <v>63</v>
      </c>
      <c r="F5371" t="s">
        <v>72</v>
      </c>
      <c r="G5371" s="4">
        <v>6</v>
      </c>
      <c r="H5371" s="4" t="s">
        <v>17</v>
      </c>
      <c r="I5371" s="4" t="s">
        <v>69</v>
      </c>
      <c r="J5371" s="4" t="s">
        <v>66</v>
      </c>
      <c r="K5371" s="4">
        <v>0</v>
      </c>
      <c r="L5371" s="94">
        <v>-27102</v>
      </c>
      <c r="M5371" s="94">
        <v>0</v>
      </c>
    </row>
    <row r="5372" spans="3:13" x14ac:dyDescent="0.3">
      <c r="C5372" t="s">
        <v>61</v>
      </c>
      <c r="D5372" t="s">
        <v>67</v>
      </c>
      <c r="E5372" t="s">
        <v>68</v>
      </c>
      <c r="F5372" t="s">
        <v>26</v>
      </c>
      <c r="G5372" s="4">
        <v>0</v>
      </c>
      <c r="H5372" s="4" t="s">
        <v>14</v>
      </c>
      <c r="I5372" s="4" t="s">
        <v>65</v>
      </c>
      <c r="J5372" s="4" t="s">
        <v>66</v>
      </c>
      <c r="K5372" s="4">
        <v>1</v>
      </c>
      <c r="L5372" s="94">
        <v>81209</v>
      </c>
      <c r="M5372" s="94">
        <v>0</v>
      </c>
    </row>
    <row r="5373" spans="3:13" x14ac:dyDescent="0.3">
      <c r="C5373" t="s">
        <v>70</v>
      </c>
      <c r="D5373" t="s">
        <v>62</v>
      </c>
      <c r="E5373" t="s">
        <v>63</v>
      </c>
      <c r="F5373" t="s">
        <v>25</v>
      </c>
      <c r="G5373" s="4">
        <v>5</v>
      </c>
      <c r="I5373" s="4" t="s">
        <v>69</v>
      </c>
      <c r="J5373" s="4" t="s">
        <v>66</v>
      </c>
      <c r="K5373" s="4">
        <v>1</v>
      </c>
      <c r="L5373" s="94">
        <v>-52</v>
      </c>
      <c r="M5373" s="94">
        <v>0</v>
      </c>
    </row>
    <row r="5374" spans="3:13" x14ac:dyDescent="0.3">
      <c r="C5374" t="s">
        <v>61</v>
      </c>
      <c r="D5374" t="s">
        <v>67</v>
      </c>
      <c r="E5374" t="s">
        <v>63</v>
      </c>
      <c r="F5374" t="s">
        <v>26</v>
      </c>
      <c r="G5374" s="4">
        <v>0</v>
      </c>
      <c r="H5374" s="4" t="s">
        <v>17</v>
      </c>
      <c r="I5374" s="4" t="s">
        <v>69</v>
      </c>
      <c r="J5374" s="4" t="s">
        <v>73</v>
      </c>
      <c r="K5374" s="4">
        <v>1</v>
      </c>
      <c r="L5374" s="94">
        <v>-13427</v>
      </c>
      <c r="M5374" s="94">
        <v>0</v>
      </c>
    </row>
    <row r="5375" spans="3:13" x14ac:dyDescent="0.3">
      <c r="C5375" t="s">
        <v>70</v>
      </c>
      <c r="D5375" t="s">
        <v>67</v>
      </c>
      <c r="E5375" t="s">
        <v>68</v>
      </c>
      <c r="F5375" t="s">
        <v>72</v>
      </c>
      <c r="G5375" s="4">
        <v>-4</v>
      </c>
      <c r="H5375" s="4" t="s">
        <v>12</v>
      </c>
      <c r="I5375" s="4" t="s">
        <v>69</v>
      </c>
      <c r="J5375" s="4" t="s">
        <v>66</v>
      </c>
      <c r="K5375" s="4">
        <v>0</v>
      </c>
      <c r="L5375" s="94">
        <v>633</v>
      </c>
      <c r="M5375" s="94">
        <v>0</v>
      </c>
    </row>
    <row r="5376" spans="3:13" x14ac:dyDescent="0.3">
      <c r="C5376" t="s">
        <v>61</v>
      </c>
      <c r="D5376" t="s">
        <v>67</v>
      </c>
      <c r="E5376" t="s">
        <v>63</v>
      </c>
      <c r="F5376" t="s">
        <v>25</v>
      </c>
      <c r="G5376" s="4">
        <v>6</v>
      </c>
      <c r="H5376" s="4" t="s">
        <v>12</v>
      </c>
      <c r="I5376" s="4" t="s">
        <v>69</v>
      </c>
      <c r="J5376" s="4" t="s">
        <v>66</v>
      </c>
      <c r="K5376" s="4">
        <v>1</v>
      </c>
      <c r="L5376" s="94">
        <v>-4732</v>
      </c>
      <c r="M5376" s="94">
        <v>0</v>
      </c>
    </row>
    <row r="5377" spans="3:13" x14ac:dyDescent="0.3">
      <c r="C5377" t="s">
        <v>61</v>
      </c>
      <c r="D5377" t="s">
        <v>67</v>
      </c>
      <c r="E5377" t="s">
        <v>68</v>
      </c>
      <c r="F5377" t="s">
        <v>26</v>
      </c>
      <c r="G5377" s="4">
        <v>4</v>
      </c>
      <c r="H5377" s="4" t="s">
        <v>13</v>
      </c>
      <c r="I5377" s="4" t="s">
        <v>69</v>
      </c>
      <c r="J5377" s="4" t="s">
        <v>73</v>
      </c>
      <c r="K5377" s="4">
        <v>1</v>
      </c>
      <c r="L5377" s="94">
        <v>1085520</v>
      </c>
      <c r="M5377" s="94">
        <v>4342080</v>
      </c>
    </row>
    <row r="5378" spans="3:13" x14ac:dyDescent="0.3">
      <c r="C5378" t="s">
        <v>71</v>
      </c>
      <c r="D5378" t="s">
        <v>67</v>
      </c>
      <c r="E5378" t="s">
        <v>63</v>
      </c>
      <c r="F5378" t="s">
        <v>26</v>
      </c>
      <c r="G5378" s="4">
        <v>1</v>
      </c>
      <c r="H5378" s="4" t="s">
        <v>82</v>
      </c>
      <c r="I5378" s="4" t="s">
        <v>65</v>
      </c>
      <c r="J5378" s="4" t="s">
        <v>66</v>
      </c>
      <c r="K5378" s="4">
        <v>1</v>
      </c>
      <c r="L5378" s="94">
        <v>-10578</v>
      </c>
      <c r="M5378" s="94">
        <v>0</v>
      </c>
    </row>
    <row r="5379" spans="3:13" x14ac:dyDescent="0.3">
      <c r="C5379" t="s">
        <v>61</v>
      </c>
      <c r="D5379" t="s">
        <v>62</v>
      </c>
      <c r="E5379" t="s">
        <v>63</v>
      </c>
      <c r="F5379" t="s">
        <v>24</v>
      </c>
      <c r="G5379" s="4">
        <v>43</v>
      </c>
      <c r="I5379" s="4" t="s">
        <v>69</v>
      </c>
      <c r="J5379" s="4" t="s">
        <v>66</v>
      </c>
      <c r="K5379" s="4">
        <v>1</v>
      </c>
      <c r="L5379" s="94">
        <v>-14</v>
      </c>
      <c r="M5379" s="94">
        <v>0</v>
      </c>
    </row>
    <row r="5380" spans="3:13" x14ac:dyDescent="0.3">
      <c r="C5380" t="s">
        <v>70</v>
      </c>
      <c r="D5380" t="s">
        <v>67</v>
      </c>
      <c r="E5380" t="s">
        <v>63</v>
      </c>
      <c r="F5380" t="s">
        <v>26</v>
      </c>
      <c r="G5380" s="4">
        <v>2</v>
      </c>
      <c r="H5380" s="4" t="s">
        <v>81</v>
      </c>
      <c r="I5380" s="4" t="s">
        <v>69</v>
      </c>
      <c r="J5380" s="4" t="s">
        <v>66</v>
      </c>
      <c r="K5380" s="4">
        <v>0</v>
      </c>
      <c r="L5380" s="94">
        <v>-1382</v>
      </c>
      <c r="M5380" s="94">
        <v>0</v>
      </c>
    </row>
    <row r="5381" spans="3:13" x14ac:dyDescent="0.3">
      <c r="C5381" t="s">
        <v>70</v>
      </c>
      <c r="D5381" t="s">
        <v>62</v>
      </c>
      <c r="E5381" t="s">
        <v>68</v>
      </c>
      <c r="F5381" t="s">
        <v>25</v>
      </c>
      <c r="G5381" s="4">
        <v>34</v>
      </c>
      <c r="I5381" s="4" t="s">
        <v>69</v>
      </c>
      <c r="J5381" s="4" t="s">
        <v>66</v>
      </c>
      <c r="K5381" s="4">
        <v>0</v>
      </c>
      <c r="L5381" s="94">
        <v>77759</v>
      </c>
      <c r="M5381" s="94">
        <v>2643806</v>
      </c>
    </row>
    <row r="5382" spans="3:13" x14ac:dyDescent="0.3">
      <c r="C5382" t="s">
        <v>70</v>
      </c>
      <c r="D5382" t="s">
        <v>67</v>
      </c>
      <c r="E5382" t="s">
        <v>68</v>
      </c>
      <c r="F5382" t="s">
        <v>26</v>
      </c>
      <c r="G5382" s="4">
        <v>0</v>
      </c>
      <c r="H5382" s="4" t="s">
        <v>76</v>
      </c>
      <c r="I5382" s="4" t="s">
        <v>69</v>
      </c>
      <c r="J5382" s="4" t="s">
        <v>66</v>
      </c>
      <c r="K5382" s="4">
        <v>0</v>
      </c>
      <c r="L5382" s="94">
        <v>793813</v>
      </c>
      <c r="M5382" s="94">
        <v>0</v>
      </c>
    </row>
    <row r="5383" spans="3:13" x14ac:dyDescent="0.3">
      <c r="C5383" t="s">
        <v>71</v>
      </c>
      <c r="D5383" t="s">
        <v>62</v>
      </c>
      <c r="E5383" t="s">
        <v>63</v>
      </c>
      <c r="F5383" t="s">
        <v>24</v>
      </c>
      <c r="G5383" s="4">
        <v>1</v>
      </c>
      <c r="I5383" s="4" t="s">
        <v>65</v>
      </c>
      <c r="J5383" s="4" t="s">
        <v>66</v>
      </c>
      <c r="K5383" s="4">
        <v>1</v>
      </c>
      <c r="L5383" s="94">
        <v>-855</v>
      </c>
      <c r="M5383" s="94">
        <v>0</v>
      </c>
    </row>
    <row r="5384" spans="3:13" x14ac:dyDescent="0.3">
      <c r="C5384" t="s">
        <v>70</v>
      </c>
      <c r="D5384" t="s">
        <v>67</v>
      </c>
      <c r="E5384" t="s">
        <v>68</v>
      </c>
      <c r="F5384" t="s">
        <v>25</v>
      </c>
      <c r="G5384" s="4">
        <v>2</v>
      </c>
      <c r="H5384" s="4" t="s">
        <v>14</v>
      </c>
      <c r="I5384" s="4" t="s">
        <v>69</v>
      </c>
      <c r="J5384" s="4" t="s">
        <v>66</v>
      </c>
      <c r="K5384" s="4">
        <v>1</v>
      </c>
      <c r="L5384" s="94">
        <v>134472</v>
      </c>
      <c r="M5384" s="94">
        <v>268944</v>
      </c>
    </row>
    <row r="5385" spans="3:13" x14ac:dyDescent="0.3">
      <c r="C5385" t="s">
        <v>61</v>
      </c>
      <c r="D5385" t="s">
        <v>67</v>
      </c>
      <c r="E5385" t="s">
        <v>63</v>
      </c>
      <c r="F5385" t="s">
        <v>72</v>
      </c>
      <c r="G5385" s="4">
        <v>0</v>
      </c>
      <c r="H5385" s="4" t="s">
        <v>83</v>
      </c>
      <c r="I5385" s="4" t="s">
        <v>69</v>
      </c>
      <c r="J5385" s="4" t="s">
        <v>66</v>
      </c>
      <c r="K5385" s="4">
        <v>0</v>
      </c>
      <c r="L5385" s="94">
        <v>-12</v>
      </c>
      <c r="M5385" s="94">
        <v>0</v>
      </c>
    </row>
    <row r="5386" spans="3:13" x14ac:dyDescent="0.3">
      <c r="C5386" t="s">
        <v>61</v>
      </c>
      <c r="D5386" t="s">
        <v>67</v>
      </c>
      <c r="E5386" t="s">
        <v>63</v>
      </c>
      <c r="F5386" t="s">
        <v>72</v>
      </c>
      <c r="G5386" s="4">
        <v>5</v>
      </c>
      <c r="H5386" s="4" t="s">
        <v>64</v>
      </c>
      <c r="I5386" s="4" t="s">
        <v>69</v>
      </c>
      <c r="J5386" s="4" t="s">
        <v>66</v>
      </c>
      <c r="K5386" s="4">
        <v>0</v>
      </c>
      <c r="L5386" s="94">
        <v>-16238</v>
      </c>
      <c r="M5386" s="94">
        <v>0</v>
      </c>
    </row>
    <row r="5387" spans="3:13" x14ac:dyDescent="0.3">
      <c r="C5387" t="s">
        <v>61</v>
      </c>
      <c r="D5387" t="s">
        <v>67</v>
      </c>
      <c r="E5387" t="s">
        <v>68</v>
      </c>
      <c r="F5387" t="s">
        <v>25</v>
      </c>
      <c r="G5387" s="4">
        <v>2</v>
      </c>
      <c r="H5387" s="4" t="s">
        <v>18</v>
      </c>
      <c r="I5387" s="4" t="s">
        <v>69</v>
      </c>
      <c r="J5387" s="4" t="s">
        <v>66</v>
      </c>
      <c r="K5387" s="4">
        <v>0</v>
      </c>
      <c r="L5387" s="94">
        <v>3707646</v>
      </c>
      <c r="M5387" s="94">
        <v>7415292</v>
      </c>
    </row>
    <row r="5388" spans="3:13" x14ac:dyDescent="0.3">
      <c r="C5388" t="s">
        <v>61</v>
      </c>
      <c r="D5388" t="s">
        <v>62</v>
      </c>
      <c r="E5388" t="s">
        <v>68</v>
      </c>
      <c r="F5388" t="s">
        <v>24</v>
      </c>
      <c r="G5388" s="4">
        <v>32</v>
      </c>
      <c r="I5388" s="4" t="s">
        <v>69</v>
      </c>
      <c r="J5388" s="4" t="s">
        <v>66</v>
      </c>
      <c r="K5388" s="4">
        <v>1</v>
      </c>
      <c r="L5388" s="94">
        <v>1708504</v>
      </c>
      <c r="M5388" s="94">
        <v>54672128</v>
      </c>
    </row>
    <row r="5389" spans="3:13" x14ac:dyDescent="0.3">
      <c r="C5389" t="s">
        <v>61</v>
      </c>
      <c r="D5389" t="s">
        <v>67</v>
      </c>
      <c r="E5389" t="s">
        <v>63</v>
      </c>
      <c r="F5389" t="s">
        <v>72</v>
      </c>
      <c r="G5389" s="4">
        <v>6</v>
      </c>
      <c r="H5389" s="4" t="s">
        <v>17</v>
      </c>
      <c r="I5389" s="4" t="s">
        <v>69</v>
      </c>
      <c r="J5389" s="4" t="s">
        <v>66</v>
      </c>
      <c r="K5389" s="4">
        <v>0</v>
      </c>
      <c r="L5389" s="94">
        <v>-2324</v>
      </c>
      <c r="M5389" s="94">
        <v>0</v>
      </c>
    </row>
    <row r="5390" spans="3:13" x14ac:dyDescent="0.3">
      <c r="C5390" t="s">
        <v>70</v>
      </c>
      <c r="D5390" t="s">
        <v>67</v>
      </c>
      <c r="E5390" t="s">
        <v>63</v>
      </c>
      <c r="F5390" t="s">
        <v>26</v>
      </c>
      <c r="G5390" s="4">
        <v>-1</v>
      </c>
      <c r="H5390" s="4" t="s">
        <v>80</v>
      </c>
      <c r="I5390" s="4" t="s">
        <v>69</v>
      </c>
      <c r="J5390" s="4" t="s">
        <v>66</v>
      </c>
      <c r="K5390" s="4">
        <v>0</v>
      </c>
      <c r="L5390" s="94">
        <v>-100550</v>
      </c>
      <c r="M5390" s="94">
        <v>0</v>
      </c>
    </row>
    <row r="5391" spans="3:13" x14ac:dyDescent="0.3">
      <c r="C5391" t="s">
        <v>61</v>
      </c>
      <c r="D5391" t="s">
        <v>67</v>
      </c>
      <c r="E5391" t="s">
        <v>63</v>
      </c>
      <c r="F5391" t="s">
        <v>25</v>
      </c>
      <c r="G5391" s="4">
        <v>10</v>
      </c>
      <c r="H5391" s="4" t="s">
        <v>79</v>
      </c>
      <c r="I5391" s="4" t="s">
        <v>69</v>
      </c>
      <c r="J5391" s="4" t="s">
        <v>66</v>
      </c>
      <c r="K5391" s="4">
        <v>0</v>
      </c>
      <c r="L5391" s="94">
        <v>-21467</v>
      </c>
      <c r="M5391" s="94">
        <v>0</v>
      </c>
    </row>
    <row r="5392" spans="3:13" x14ac:dyDescent="0.3">
      <c r="C5392" t="s">
        <v>71</v>
      </c>
      <c r="D5392" t="s">
        <v>67</v>
      </c>
      <c r="E5392" t="s">
        <v>63</v>
      </c>
      <c r="F5392" t="s">
        <v>26</v>
      </c>
      <c r="G5392" s="4">
        <v>5</v>
      </c>
      <c r="H5392" s="4" t="s">
        <v>16</v>
      </c>
      <c r="I5392" s="4" t="s">
        <v>69</v>
      </c>
      <c r="J5392" s="4" t="s">
        <v>66</v>
      </c>
      <c r="K5392" s="4">
        <v>0</v>
      </c>
      <c r="L5392" s="94">
        <v>-11390</v>
      </c>
      <c r="M5392" s="94">
        <v>0</v>
      </c>
    </row>
    <row r="5393" spans="3:13" x14ac:dyDescent="0.3">
      <c r="C5393" t="s">
        <v>61</v>
      </c>
      <c r="D5393" t="s">
        <v>67</v>
      </c>
      <c r="E5393" t="s">
        <v>63</v>
      </c>
      <c r="F5393" t="s">
        <v>25</v>
      </c>
      <c r="G5393" s="4">
        <v>9</v>
      </c>
      <c r="H5393" s="4" t="s">
        <v>76</v>
      </c>
      <c r="I5393" s="4" t="s">
        <v>65</v>
      </c>
      <c r="J5393" s="4" t="s">
        <v>66</v>
      </c>
      <c r="K5393" s="4">
        <v>1</v>
      </c>
      <c r="L5393" s="94">
        <v>-483</v>
      </c>
      <c r="M5393" s="94">
        <v>0</v>
      </c>
    </row>
    <row r="5394" spans="3:13" x14ac:dyDescent="0.3">
      <c r="C5394" t="s">
        <v>61</v>
      </c>
      <c r="D5394" t="s">
        <v>67</v>
      </c>
      <c r="E5394" t="s">
        <v>63</v>
      </c>
      <c r="F5394" t="s">
        <v>25</v>
      </c>
      <c r="G5394" s="4">
        <v>0</v>
      </c>
      <c r="H5394" s="4" t="s">
        <v>17</v>
      </c>
      <c r="I5394" s="4" t="s">
        <v>65</v>
      </c>
      <c r="J5394" s="4" t="s">
        <v>66</v>
      </c>
      <c r="K5394" s="4">
        <v>1</v>
      </c>
      <c r="L5394" s="94">
        <v>-52</v>
      </c>
      <c r="M5394" s="94">
        <v>0</v>
      </c>
    </row>
    <row r="5395" spans="3:13" x14ac:dyDescent="0.3">
      <c r="C5395" t="s">
        <v>71</v>
      </c>
      <c r="D5395" t="s">
        <v>67</v>
      </c>
      <c r="E5395" t="s">
        <v>68</v>
      </c>
      <c r="F5395" t="s">
        <v>26</v>
      </c>
      <c r="G5395" s="4">
        <v>-1</v>
      </c>
      <c r="H5395" s="4" t="s">
        <v>18</v>
      </c>
      <c r="I5395" s="4" t="s">
        <v>69</v>
      </c>
      <c r="J5395" s="4" t="s">
        <v>73</v>
      </c>
      <c r="K5395" s="4">
        <v>1</v>
      </c>
      <c r="L5395" s="94">
        <v>788936</v>
      </c>
      <c r="M5395" s="94">
        <v>0</v>
      </c>
    </row>
    <row r="5396" spans="3:13" x14ac:dyDescent="0.3">
      <c r="C5396" t="s">
        <v>61</v>
      </c>
      <c r="D5396" t="s">
        <v>67</v>
      </c>
      <c r="E5396" t="s">
        <v>63</v>
      </c>
      <c r="F5396" t="s">
        <v>25</v>
      </c>
      <c r="G5396" s="4">
        <v>13</v>
      </c>
      <c r="H5396" s="4" t="s">
        <v>64</v>
      </c>
      <c r="I5396" s="4" t="s">
        <v>69</v>
      </c>
      <c r="J5396" s="4" t="s">
        <v>66</v>
      </c>
      <c r="K5396" s="4">
        <v>0</v>
      </c>
      <c r="L5396" s="94">
        <v>-3923</v>
      </c>
      <c r="M5396" s="94">
        <v>0</v>
      </c>
    </row>
    <row r="5397" spans="3:13" x14ac:dyDescent="0.3">
      <c r="C5397" t="s">
        <v>61</v>
      </c>
      <c r="D5397" t="s">
        <v>67</v>
      </c>
      <c r="E5397" t="s">
        <v>68</v>
      </c>
      <c r="F5397" t="s">
        <v>25</v>
      </c>
      <c r="G5397" s="4">
        <v>5</v>
      </c>
      <c r="H5397" s="4" t="s">
        <v>14</v>
      </c>
      <c r="I5397" s="4" t="s">
        <v>69</v>
      </c>
      <c r="J5397" s="4" t="s">
        <v>73</v>
      </c>
      <c r="K5397" s="4">
        <v>1</v>
      </c>
      <c r="L5397" s="94">
        <v>88365</v>
      </c>
      <c r="M5397" s="94">
        <v>441825</v>
      </c>
    </row>
    <row r="5398" spans="3:13" x14ac:dyDescent="0.3">
      <c r="C5398" t="s">
        <v>70</v>
      </c>
      <c r="D5398" t="s">
        <v>67</v>
      </c>
      <c r="E5398" t="s">
        <v>63</v>
      </c>
      <c r="F5398" t="s">
        <v>26</v>
      </c>
      <c r="G5398" s="4">
        <v>1</v>
      </c>
      <c r="H5398" s="4" t="s">
        <v>18</v>
      </c>
      <c r="I5398" s="4" t="s">
        <v>69</v>
      </c>
      <c r="J5398" s="4" t="s">
        <v>66</v>
      </c>
      <c r="K5398" s="4">
        <v>0</v>
      </c>
      <c r="L5398" s="94">
        <v>-638518</v>
      </c>
      <c r="M5398" s="94">
        <v>0</v>
      </c>
    </row>
    <row r="5399" spans="3:13" x14ac:dyDescent="0.3">
      <c r="C5399" t="s">
        <v>70</v>
      </c>
      <c r="D5399" t="s">
        <v>67</v>
      </c>
      <c r="E5399" t="s">
        <v>63</v>
      </c>
      <c r="F5399" t="s">
        <v>25</v>
      </c>
      <c r="G5399" s="4">
        <v>7</v>
      </c>
      <c r="H5399" s="4" t="s">
        <v>18</v>
      </c>
      <c r="I5399" s="4" t="s">
        <v>69</v>
      </c>
      <c r="J5399" s="4" t="s">
        <v>66</v>
      </c>
      <c r="K5399" s="4">
        <v>0</v>
      </c>
      <c r="L5399" s="94">
        <v>-118215</v>
      </c>
      <c r="M5399" s="94">
        <v>0</v>
      </c>
    </row>
    <row r="5400" spans="3:13" x14ac:dyDescent="0.3">
      <c r="C5400" t="s">
        <v>61</v>
      </c>
      <c r="D5400" t="s">
        <v>67</v>
      </c>
      <c r="E5400" t="s">
        <v>68</v>
      </c>
      <c r="F5400" t="s">
        <v>26</v>
      </c>
      <c r="G5400" s="4">
        <v>-4</v>
      </c>
      <c r="H5400" s="4" t="s">
        <v>14</v>
      </c>
      <c r="I5400" s="4" t="s">
        <v>69</v>
      </c>
      <c r="J5400" s="4" t="s">
        <v>66</v>
      </c>
      <c r="K5400" s="4">
        <v>0</v>
      </c>
      <c r="L5400" s="94">
        <v>346829</v>
      </c>
      <c r="M5400" s="94">
        <v>0</v>
      </c>
    </row>
    <row r="5401" spans="3:13" x14ac:dyDescent="0.3">
      <c r="C5401" t="s">
        <v>61</v>
      </c>
      <c r="D5401" t="s">
        <v>67</v>
      </c>
      <c r="E5401" t="s">
        <v>68</v>
      </c>
      <c r="F5401" t="s">
        <v>72</v>
      </c>
      <c r="G5401" s="4">
        <v>-1</v>
      </c>
      <c r="H5401" s="4" t="s">
        <v>79</v>
      </c>
      <c r="I5401" s="4" t="s">
        <v>69</v>
      </c>
      <c r="J5401" s="4" t="s">
        <v>66</v>
      </c>
      <c r="K5401" s="4">
        <v>0</v>
      </c>
      <c r="L5401" s="94">
        <v>446508</v>
      </c>
      <c r="M5401" s="94">
        <v>0</v>
      </c>
    </row>
    <row r="5402" spans="3:13" x14ac:dyDescent="0.3">
      <c r="C5402" t="s">
        <v>61</v>
      </c>
      <c r="D5402" t="s">
        <v>67</v>
      </c>
      <c r="E5402" t="s">
        <v>68</v>
      </c>
      <c r="F5402" t="s">
        <v>25</v>
      </c>
      <c r="G5402" s="4">
        <v>4</v>
      </c>
      <c r="H5402" s="4" t="s">
        <v>14</v>
      </c>
      <c r="I5402" s="4" t="s">
        <v>69</v>
      </c>
      <c r="J5402" s="4" t="s">
        <v>66</v>
      </c>
      <c r="K5402" s="4">
        <v>0</v>
      </c>
      <c r="L5402" s="94">
        <v>2545313</v>
      </c>
      <c r="M5402" s="94">
        <v>10181252</v>
      </c>
    </row>
    <row r="5403" spans="3:13" x14ac:dyDescent="0.3">
      <c r="C5403" t="s">
        <v>61</v>
      </c>
      <c r="D5403" t="s">
        <v>62</v>
      </c>
      <c r="E5403" t="s">
        <v>68</v>
      </c>
      <c r="F5403" t="s">
        <v>24</v>
      </c>
      <c r="G5403" s="4">
        <v>22</v>
      </c>
      <c r="I5403" s="4" t="s">
        <v>69</v>
      </c>
      <c r="J5403" s="4" t="s">
        <v>66</v>
      </c>
      <c r="K5403" s="4">
        <v>0</v>
      </c>
      <c r="L5403" s="94">
        <v>750343761</v>
      </c>
      <c r="M5403" s="94">
        <v>16507562742</v>
      </c>
    </row>
    <row r="5404" spans="3:13" x14ac:dyDescent="0.3">
      <c r="C5404" t="s">
        <v>70</v>
      </c>
      <c r="D5404" t="s">
        <v>67</v>
      </c>
      <c r="E5404" t="s">
        <v>63</v>
      </c>
      <c r="F5404" t="s">
        <v>72</v>
      </c>
      <c r="G5404" s="4">
        <v>5</v>
      </c>
      <c r="H5404" s="4" t="s">
        <v>78</v>
      </c>
      <c r="I5404" s="4" t="s">
        <v>69</v>
      </c>
      <c r="J5404" s="4" t="s">
        <v>66</v>
      </c>
      <c r="K5404" s="4">
        <v>0</v>
      </c>
      <c r="L5404" s="94">
        <v>-4748</v>
      </c>
      <c r="M5404" s="94">
        <v>0</v>
      </c>
    </row>
    <row r="5405" spans="3:13" x14ac:dyDescent="0.3">
      <c r="C5405" t="s">
        <v>61</v>
      </c>
      <c r="D5405" t="s">
        <v>67</v>
      </c>
      <c r="E5405" t="s">
        <v>68</v>
      </c>
      <c r="F5405" t="s">
        <v>26</v>
      </c>
      <c r="G5405" s="4">
        <v>1</v>
      </c>
      <c r="H5405" s="4" t="s">
        <v>75</v>
      </c>
      <c r="I5405" s="4" t="s">
        <v>69</v>
      </c>
      <c r="J5405" s="4" t="s">
        <v>66</v>
      </c>
      <c r="K5405" s="4">
        <v>0</v>
      </c>
      <c r="L5405" s="94">
        <v>10931536</v>
      </c>
      <c r="M5405" s="94">
        <v>10931536</v>
      </c>
    </row>
    <row r="5406" spans="3:13" x14ac:dyDescent="0.3">
      <c r="C5406" t="s">
        <v>70</v>
      </c>
      <c r="D5406" t="s">
        <v>67</v>
      </c>
      <c r="E5406" t="s">
        <v>68</v>
      </c>
      <c r="F5406" t="s">
        <v>25</v>
      </c>
      <c r="G5406" s="4">
        <v>-4</v>
      </c>
      <c r="H5406" s="4" t="s">
        <v>17</v>
      </c>
      <c r="I5406" s="4" t="s">
        <v>69</v>
      </c>
      <c r="J5406" s="4" t="s">
        <v>66</v>
      </c>
      <c r="K5406" s="4">
        <v>1</v>
      </c>
      <c r="L5406" s="94">
        <v>88</v>
      </c>
      <c r="M5406" s="94">
        <v>0</v>
      </c>
    </row>
    <row r="5407" spans="3:13" x14ac:dyDescent="0.3">
      <c r="C5407" t="s">
        <v>70</v>
      </c>
      <c r="D5407" t="s">
        <v>67</v>
      </c>
      <c r="E5407" t="s">
        <v>63</v>
      </c>
      <c r="F5407" t="s">
        <v>72</v>
      </c>
      <c r="G5407" s="4">
        <v>7</v>
      </c>
      <c r="H5407" s="4" t="s">
        <v>82</v>
      </c>
      <c r="I5407" s="4" t="s">
        <v>69</v>
      </c>
      <c r="J5407" s="4" t="s">
        <v>66</v>
      </c>
      <c r="K5407" s="4">
        <v>0</v>
      </c>
      <c r="L5407" s="94">
        <v>-53290</v>
      </c>
      <c r="M5407" s="94">
        <v>0</v>
      </c>
    </row>
    <row r="5408" spans="3:13" x14ac:dyDescent="0.3">
      <c r="C5408" t="s">
        <v>70</v>
      </c>
      <c r="D5408" t="s">
        <v>67</v>
      </c>
      <c r="E5408" t="s">
        <v>68</v>
      </c>
      <c r="F5408" t="s">
        <v>26</v>
      </c>
      <c r="G5408" s="4">
        <v>4</v>
      </c>
      <c r="H5408" s="4" t="s">
        <v>79</v>
      </c>
      <c r="I5408" s="4" t="s">
        <v>69</v>
      </c>
      <c r="J5408" s="4" t="s">
        <v>66</v>
      </c>
      <c r="K5408" s="4">
        <v>0</v>
      </c>
      <c r="L5408" s="94">
        <v>1181353</v>
      </c>
      <c r="M5408" s="94">
        <v>4725412</v>
      </c>
    </row>
    <row r="5409" spans="3:13" x14ac:dyDescent="0.3">
      <c r="C5409" t="s">
        <v>71</v>
      </c>
      <c r="D5409" t="s">
        <v>62</v>
      </c>
      <c r="E5409" t="s">
        <v>68</v>
      </c>
      <c r="F5409" t="s">
        <v>25</v>
      </c>
      <c r="G5409" s="4">
        <v>19</v>
      </c>
      <c r="I5409" s="4" t="s">
        <v>69</v>
      </c>
      <c r="J5409" s="4" t="s">
        <v>66</v>
      </c>
      <c r="K5409" s="4">
        <v>0</v>
      </c>
      <c r="L5409" s="94">
        <v>178976</v>
      </c>
      <c r="M5409" s="94">
        <v>3400544</v>
      </c>
    </row>
    <row r="5410" spans="3:13" x14ac:dyDescent="0.3">
      <c r="C5410" t="s">
        <v>61</v>
      </c>
      <c r="D5410" t="s">
        <v>67</v>
      </c>
      <c r="E5410" t="s">
        <v>68</v>
      </c>
      <c r="F5410" t="s">
        <v>26</v>
      </c>
      <c r="G5410" s="4">
        <v>2</v>
      </c>
      <c r="H5410" s="4" t="s">
        <v>18</v>
      </c>
      <c r="I5410" s="4" t="s">
        <v>69</v>
      </c>
      <c r="J5410" s="4" t="s">
        <v>73</v>
      </c>
      <c r="K5410" s="4">
        <v>1</v>
      </c>
      <c r="L5410" s="94">
        <v>5558200</v>
      </c>
      <c r="M5410" s="94">
        <v>11116400</v>
      </c>
    </row>
    <row r="5411" spans="3:13" x14ac:dyDescent="0.3">
      <c r="C5411" t="s">
        <v>70</v>
      </c>
      <c r="D5411" t="s">
        <v>67</v>
      </c>
      <c r="E5411" t="s">
        <v>68</v>
      </c>
      <c r="F5411" t="s">
        <v>26</v>
      </c>
      <c r="G5411" s="4">
        <v>6</v>
      </c>
      <c r="H5411" s="4" t="s">
        <v>18</v>
      </c>
      <c r="I5411" s="4" t="s">
        <v>69</v>
      </c>
      <c r="J5411" s="4" t="s">
        <v>66</v>
      </c>
      <c r="K5411" s="4">
        <v>0</v>
      </c>
      <c r="L5411" s="94">
        <v>3674592</v>
      </c>
      <c r="M5411" s="94">
        <v>22047552</v>
      </c>
    </row>
    <row r="5412" spans="3:13" x14ac:dyDescent="0.3">
      <c r="C5412" t="s">
        <v>71</v>
      </c>
      <c r="D5412" t="s">
        <v>62</v>
      </c>
      <c r="E5412" t="s">
        <v>63</v>
      </c>
      <c r="F5412" t="s">
        <v>24</v>
      </c>
      <c r="G5412" s="4">
        <v>37</v>
      </c>
      <c r="I5412" s="4" t="s">
        <v>65</v>
      </c>
      <c r="J5412" s="4" t="s">
        <v>66</v>
      </c>
      <c r="K5412" s="4">
        <v>1</v>
      </c>
      <c r="L5412" s="94">
        <v>-108020</v>
      </c>
      <c r="M5412" s="94">
        <v>0</v>
      </c>
    </row>
    <row r="5413" spans="3:13" x14ac:dyDescent="0.3">
      <c r="C5413" t="s">
        <v>61</v>
      </c>
      <c r="D5413" t="s">
        <v>67</v>
      </c>
      <c r="E5413" t="s">
        <v>68</v>
      </c>
      <c r="F5413" t="s">
        <v>25</v>
      </c>
      <c r="G5413" s="4">
        <v>0</v>
      </c>
      <c r="H5413" s="4" t="s">
        <v>64</v>
      </c>
      <c r="I5413" s="4" t="s">
        <v>69</v>
      </c>
      <c r="J5413" s="4" t="s">
        <v>66</v>
      </c>
      <c r="K5413" s="4">
        <v>0</v>
      </c>
      <c r="L5413" s="94">
        <v>89755</v>
      </c>
      <c r="M5413" s="94">
        <v>0</v>
      </c>
    </row>
    <row r="5414" spans="3:13" x14ac:dyDescent="0.3">
      <c r="C5414" t="s">
        <v>70</v>
      </c>
      <c r="D5414" t="s">
        <v>67</v>
      </c>
      <c r="E5414" t="s">
        <v>68</v>
      </c>
      <c r="F5414" t="s">
        <v>25</v>
      </c>
      <c r="G5414" s="4">
        <v>15</v>
      </c>
      <c r="H5414" s="4" t="s">
        <v>80</v>
      </c>
      <c r="I5414" s="4" t="s">
        <v>69</v>
      </c>
      <c r="J5414" s="4" t="s">
        <v>66</v>
      </c>
      <c r="K5414" s="4">
        <v>0</v>
      </c>
      <c r="L5414" s="94">
        <v>836149</v>
      </c>
      <c r="M5414" s="94">
        <v>12542235</v>
      </c>
    </row>
    <row r="5415" spans="3:13" x14ac:dyDescent="0.3">
      <c r="C5415" t="s">
        <v>71</v>
      </c>
      <c r="D5415" t="s">
        <v>67</v>
      </c>
      <c r="E5415" t="s">
        <v>68</v>
      </c>
      <c r="F5415" t="s">
        <v>26</v>
      </c>
      <c r="G5415" s="4">
        <v>-4</v>
      </c>
      <c r="H5415" s="4" t="s">
        <v>76</v>
      </c>
      <c r="I5415" s="4" t="s">
        <v>69</v>
      </c>
      <c r="J5415" s="4" t="s">
        <v>66</v>
      </c>
      <c r="K5415" s="4">
        <v>0</v>
      </c>
      <c r="L5415" s="94">
        <v>492637</v>
      </c>
      <c r="M5415" s="94">
        <v>0</v>
      </c>
    </row>
    <row r="5416" spans="3:13" x14ac:dyDescent="0.3">
      <c r="C5416" t="s">
        <v>61</v>
      </c>
      <c r="D5416" t="s">
        <v>62</v>
      </c>
      <c r="E5416" t="s">
        <v>63</v>
      </c>
      <c r="F5416" t="s">
        <v>25</v>
      </c>
      <c r="G5416" s="4">
        <v>14</v>
      </c>
      <c r="I5416" s="4" t="s">
        <v>69</v>
      </c>
      <c r="J5416" s="4" t="s">
        <v>66</v>
      </c>
      <c r="K5416" s="4">
        <v>0</v>
      </c>
      <c r="L5416" s="94">
        <v>-2512</v>
      </c>
      <c r="M5416" s="94">
        <v>0</v>
      </c>
    </row>
    <row r="5417" spans="3:13" x14ac:dyDescent="0.3">
      <c r="C5417" t="s">
        <v>71</v>
      </c>
      <c r="D5417" t="s">
        <v>67</v>
      </c>
      <c r="E5417" t="s">
        <v>63</v>
      </c>
      <c r="F5417" t="s">
        <v>25</v>
      </c>
      <c r="G5417" s="4">
        <v>9</v>
      </c>
      <c r="H5417" s="4" t="s">
        <v>18</v>
      </c>
      <c r="I5417" s="4" t="s">
        <v>69</v>
      </c>
      <c r="J5417" s="4" t="s">
        <v>66</v>
      </c>
      <c r="K5417" s="4">
        <v>0</v>
      </c>
      <c r="L5417" s="94">
        <v>-696272</v>
      </c>
      <c r="M5417" s="94">
        <v>0</v>
      </c>
    </row>
    <row r="5418" spans="3:13" x14ac:dyDescent="0.3">
      <c r="C5418" t="s">
        <v>70</v>
      </c>
      <c r="D5418" t="s">
        <v>62</v>
      </c>
      <c r="E5418" t="s">
        <v>68</v>
      </c>
      <c r="F5418" t="s">
        <v>24</v>
      </c>
      <c r="G5418" s="4">
        <v>34</v>
      </c>
      <c r="I5418" s="4" t="s">
        <v>69</v>
      </c>
      <c r="J5418" s="4" t="s">
        <v>66</v>
      </c>
      <c r="K5418" s="4">
        <v>1</v>
      </c>
      <c r="L5418" s="94">
        <v>238948</v>
      </c>
      <c r="M5418" s="94">
        <v>8124232</v>
      </c>
    </row>
    <row r="5419" spans="3:13" x14ac:dyDescent="0.3">
      <c r="C5419" t="s">
        <v>61</v>
      </c>
      <c r="D5419" t="s">
        <v>67</v>
      </c>
      <c r="E5419" t="s">
        <v>63</v>
      </c>
      <c r="F5419" t="s">
        <v>25</v>
      </c>
      <c r="G5419" s="4">
        <v>-1</v>
      </c>
      <c r="H5419" s="4" t="s">
        <v>14</v>
      </c>
      <c r="I5419" s="4" t="s">
        <v>69</v>
      </c>
      <c r="J5419" s="4" t="s">
        <v>66</v>
      </c>
      <c r="K5419" s="4">
        <v>1</v>
      </c>
      <c r="L5419" s="94">
        <v>-10376</v>
      </c>
      <c r="M5419" s="94">
        <v>0</v>
      </c>
    </row>
    <row r="5420" spans="3:13" x14ac:dyDescent="0.3">
      <c r="C5420" t="s">
        <v>61</v>
      </c>
      <c r="D5420" t="s">
        <v>67</v>
      </c>
      <c r="E5420" t="s">
        <v>63</v>
      </c>
      <c r="F5420" t="s">
        <v>72</v>
      </c>
      <c r="G5420" s="4">
        <v>-1</v>
      </c>
      <c r="H5420" s="4" t="s">
        <v>13</v>
      </c>
      <c r="I5420" s="4" t="s">
        <v>69</v>
      </c>
      <c r="J5420" s="4" t="s">
        <v>73</v>
      </c>
      <c r="K5420" s="4">
        <v>1</v>
      </c>
      <c r="L5420" s="94">
        <v>-1</v>
      </c>
      <c r="M5420" s="94">
        <v>0</v>
      </c>
    </row>
    <row r="5421" spans="3:13" x14ac:dyDescent="0.3">
      <c r="C5421" t="s">
        <v>70</v>
      </c>
      <c r="D5421" t="s">
        <v>67</v>
      </c>
      <c r="E5421" t="s">
        <v>68</v>
      </c>
      <c r="F5421" t="s">
        <v>26</v>
      </c>
      <c r="G5421" s="4">
        <v>8</v>
      </c>
      <c r="H5421" s="4" t="s">
        <v>77</v>
      </c>
      <c r="I5421" s="4" t="s">
        <v>69</v>
      </c>
      <c r="J5421" s="4" t="s">
        <v>66</v>
      </c>
      <c r="K5421" s="4">
        <v>0</v>
      </c>
      <c r="L5421" s="94">
        <v>32865</v>
      </c>
      <c r="M5421" s="94">
        <v>262920</v>
      </c>
    </row>
    <row r="5422" spans="3:13" x14ac:dyDescent="0.3">
      <c r="C5422" t="s">
        <v>70</v>
      </c>
      <c r="D5422" t="s">
        <v>67</v>
      </c>
      <c r="E5422" t="s">
        <v>68</v>
      </c>
      <c r="F5422" t="s">
        <v>26</v>
      </c>
      <c r="G5422" s="4">
        <v>5</v>
      </c>
      <c r="H5422" s="4" t="s">
        <v>83</v>
      </c>
      <c r="I5422" s="4" t="s">
        <v>69</v>
      </c>
      <c r="J5422" s="4" t="s">
        <v>66</v>
      </c>
      <c r="K5422" s="4">
        <v>0</v>
      </c>
      <c r="L5422" s="94">
        <v>112431</v>
      </c>
      <c r="M5422" s="94">
        <v>562155</v>
      </c>
    </row>
    <row r="5423" spans="3:13" x14ac:dyDescent="0.3">
      <c r="C5423" t="s">
        <v>61</v>
      </c>
      <c r="D5423" t="s">
        <v>67</v>
      </c>
      <c r="E5423" t="s">
        <v>68</v>
      </c>
      <c r="F5423" t="s">
        <v>25</v>
      </c>
      <c r="G5423" s="4">
        <v>11</v>
      </c>
      <c r="H5423" s="4" t="s">
        <v>77</v>
      </c>
      <c r="I5423" s="4" t="s">
        <v>69</v>
      </c>
      <c r="J5423" s="4" t="s">
        <v>66</v>
      </c>
      <c r="K5423" s="4">
        <v>0</v>
      </c>
      <c r="L5423" s="94">
        <v>581053</v>
      </c>
      <c r="M5423" s="94">
        <v>6391583</v>
      </c>
    </row>
    <row r="5424" spans="3:13" x14ac:dyDescent="0.3">
      <c r="C5424" t="s">
        <v>61</v>
      </c>
      <c r="D5424" t="s">
        <v>67</v>
      </c>
      <c r="E5424" t="s">
        <v>68</v>
      </c>
      <c r="F5424" t="s">
        <v>72</v>
      </c>
      <c r="G5424" s="4">
        <v>3</v>
      </c>
      <c r="H5424" s="4" t="s">
        <v>18</v>
      </c>
      <c r="I5424" s="4" t="s">
        <v>65</v>
      </c>
      <c r="J5424" s="4" t="s">
        <v>66</v>
      </c>
      <c r="K5424" s="4">
        <v>1</v>
      </c>
      <c r="L5424" s="94">
        <v>48072</v>
      </c>
      <c r="M5424" s="94">
        <v>144216</v>
      </c>
    </row>
    <row r="5425" spans="3:13" x14ac:dyDescent="0.3">
      <c r="C5425" t="s">
        <v>71</v>
      </c>
      <c r="D5425" t="s">
        <v>62</v>
      </c>
      <c r="E5425" t="s">
        <v>68</v>
      </c>
      <c r="F5425" t="s">
        <v>24</v>
      </c>
      <c r="G5425" s="4">
        <v>6</v>
      </c>
      <c r="I5425" s="4" t="s">
        <v>65</v>
      </c>
      <c r="J5425" s="4" t="s">
        <v>66</v>
      </c>
      <c r="K5425" s="4">
        <v>1</v>
      </c>
      <c r="L5425" s="94">
        <v>68312</v>
      </c>
      <c r="M5425" s="94">
        <v>409872</v>
      </c>
    </row>
    <row r="5426" spans="3:13" x14ac:dyDescent="0.3">
      <c r="C5426" t="s">
        <v>70</v>
      </c>
      <c r="D5426" t="s">
        <v>67</v>
      </c>
      <c r="E5426" t="s">
        <v>68</v>
      </c>
      <c r="F5426" t="s">
        <v>72</v>
      </c>
      <c r="G5426" s="4">
        <v>5</v>
      </c>
      <c r="H5426" s="4" t="s">
        <v>75</v>
      </c>
      <c r="I5426" s="4" t="s">
        <v>69</v>
      </c>
      <c r="J5426" s="4" t="s">
        <v>66</v>
      </c>
      <c r="K5426" s="4">
        <v>0</v>
      </c>
      <c r="L5426" s="94">
        <v>428472</v>
      </c>
      <c r="M5426" s="94">
        <v>2142360</v>
      </c>
    </row>
    <row r="5427" spans="3:13" x14ac:dyDescent="0.3">
      <c r="C5427" t="s">
        <v>70</v>
      </c>
      <c r="D5427" t="s">
        <v>67</v>
      </c>
      <c r="E5427" t="s">
        <v>68</v>
      </c>
      <c r="F5427" t="s">
        <v>25</v>
      </c>
      <c r="G5427" s="4">
        <v>10</v>
      </c>
      <c r="H5427" s="4" t="s">
        <v>18</v>
      </c>
      <c r="I5427" s="4" t="s">
        <v>69</v>
      </c>
      <c r="J5427" s="4" t="s">
        <v>66</v>
      </c>
      <c r="K5427" s="4">
        <v>0</v>
      </c>
      <c r="L5427" s="94">
        <v>1262531</v>
      </c>
      <c r="M5427" s="94">
        <v>12625310</v>
      </c>
    </row>
    <row r="5428" spans="3:13" x14ac:dyDescent="0.3">
      <c r="C5428" t="s">
        <v>61</v>
      </c>
      <c r="D5428" t="s">
        <v>67</v>
      </c>
      <c r="E5428" t="s">
        <v>68</v>
      </c>
      <c r="F5428" t="s">
        <v>25</v>
      </c>
      <c r="G5428" s="4">
        <v>10</v>
      </c>
      <c r="H5428" s="4" t="s">
        <v>14</v>
      </c>
      <c r="I5428" s="4" t="s">
        <v>69</v>
      </c>
      <c r="J5428" s="4" t="s">
        <v>66</v>
      </c>
      <c r="K5428" s="4">
        <v>1</v>
      </c>
      <c r="L5428" s="94">
        <v>5035839</v>
      </c>
      <c r="M5428" s="94">
        <v>50358390</v>
      </c>
    </row>
    <row r="5429" spans="3:13" x14ac:dyDescent="0.3">
      <c r="C5429" t="s">
        <v>61</v>
      </c>
      <c r="D5429" t="s">
        <v>67</v>
      </c>
      <c r="E5429" t="s">
        <v>68</v>
      </c>
      <c r="F5429" t="s">
        <v>25</v>
      </c>
      <c r="G5429" s="4">
        <v>17</v>
      </c>
      <c r="H5429" s="4" t="s">
        <v>76</v>
      </c>
      <c r="I5429" s="4" t="s">
        <v>69</v>
      </c>
      <c r="J5429" s="4" t="s">
        <v>66</v>
      </c>
      <c r="K5429" s="4">
        <v>0</v>
      </c>
      <c r="L5429" s="94">
        <v>8381732</v>
      </c>
      <c r="M5429" s="94">
        <v>142489444</v>
      </c>
    </row>
    <row r="5430" spans="3:13" x14ac:dyDescent="0.3">
      <c r="C5430" t="s">
        <v>61</v>
      </c>
      <c r="D5430" t="s">
        <v>67</v>
      </c>
      <c r="E5430" t="s">
        <v>68</v>
      </c>
      <c r="F5430" t="s">
        <v>72</v>
      </c>
      <c r="G5430" s="4">
        <v>0</v>
      </c>
      <c r="H5430" s="4" t="s">
        <v>12</v>
      </c>
      <c r="I5430" s="4" t="s">
        <v>69</v>
      </c>
      <c r="J5430" s="4" t="s">
        <v>73</v>
      </c>
      <c r="K5430" s="4">
        <v>1</v>
      </c>
      <c r="L5430" s="94">
        <v>58093</v>
      </c>
      <c r="M5430" s="94">
        <v>0</v>
      </c>
    </row>
    <row r="5431" spans="3:13" x14ac:dyDescent="0.3">
      <c r="C5431" t="s">
        <v>71</v>
      </c>
      <c r="D5431" t="s">
        <v>67</v>
      </c>
      <c r="E5431" t="s">
        <v>63</v>
      </c>
      <c r="F5431" t="s">
        <v>72</v>
      </c>
      <c r="G5431" s="4">
        <v>1</v>
      </c>
      <c r="H5431" s="4" t="s">
        <v>12</v>
      </c>
      <c r="I5431" s="4" t="s">
        <v>65</v>
      </c>
      <c r="J5431" s="4" t="s">
        <v>73</v>
      </c>
      <c r="K5431" s="4">
        <v>1</v>
      </c>
      <c r="L5431" s="94">
        <v>-11428</v>
      </c>
      <c r="M5431" s="94">
        <v>0</v>
      </c>
    </row>
    <row r="5432" spans="3:13" x14ac:dyDescent="0.3">
      <c r="C5432" t="s">
        <v>61</v>
      </c>
      <c r="D5432" t="s">
        <v>67</v>
      </c>
      <c r="E5432" t="s">
        <v>68</v>
      </c>
      <c r="F5432" t="s">
        <v>25</v>
      </c>
      <c r="G5432" s="4">
        <v>18</v>
      </c>
      <c r="H5432" s="4" t="s">
        <v>64</v>
      </c>
      <c r="I5432" s="4" t="s">
        <v>69</v>
      </c>
      <c r="J5432" s="4" t="s">
        <v>66</v>
      </c>
      <c r="K5432" s="4">
        <v>0</v>
      </c>
      <c r="L5432" s="94">
        <v>311485</v>
      </c>
      <c r="M5432" s="94">
        <v>5606730</v>
      </c>
    </row>
    <row r="5433" spans="3:13" x14ac:dyDescent="0.3">
      <c r="C5433" t="s">
        <v>71</v>
      </c>
      <c r="D5433" t="s">
        <v>62</v>
      </c>
      <c r="E5433" t="s">
        <v>68</v>
      </c>
      <c r="F5433" t="s">
        <v>24</v>
      </c>
      <c r="G5433" s="4">
        <v>43</v>
      </c>
      <c r="I5433" s="4" t="s">
        <v>69</v>
      </c>
      <c r="J5433" s="4" t="s">
        <v>66</v>
      </c>
      <c r="K5433" s="4">
        <v>0</v>
      </c>
      <c r="L5433" s="94">
        <v>389575</v>
      </c>
      <c r="M5433" s="94">
        <v>16751725</v>
      </c>
    </row>
    <row r="5434" spans="3:13" x14ac:dyDescent="0.3">
      <c r="C5434" t="s">
        <v>70</v>
      </c>
      <c r="D5434" t="s">
        <v>67</v>
      </c>
      <c r="E5434" t="s">
        <v>63</v>
      </c>
      <c r="F5434" t="s">
        <v>26</v>
      </c>
      <c r="G5434" s="4">
        <v>-4</v>
      </c>
      <c r="H5434" s="4" t="s">
        <v>64</v>
      </c>
      <c r="I5434" s="4" t="s">
        <v>69</v>
      </c>
      <c r="J5434" s="4" t="s">
        <v>66</v>
      </c>
      <c r="K5434" s="4">
        <v>0</v>
      </c>
      <c r="L5434" s="94">
        <v>-1030</v>
      </c>
      <c r="M5434" s="94">
        <v>0</v>
      </c>
    </row>
    <row r="5435" spans="3:13" x14ac:dyDescent="0.3">
      <c r="C5435" t="s">
        <v>70</v>
      </c>
      <c r="D5435" t="s">
        <v>67</v>
      </c>
      <c r="E5435" t="s">
        <v>63</v>
      </c>
      <c r="F5435" t="s">
        <v>25</v>
      </c>
      <c r="G5435" s="4">
        <v>13</v>
      </c>
      <c r="H5435" s="4" t="s">
        <v>79</v>
      </c>
      <c r="I5435" s="4" t="s">
        <v>69</v>
      </c>
      <c r="J5435" s="4" t="s">
        <v>66</v>
      </c>
      <c r="K5435" s="4">
        <v>0</v>
      </c>
      <c r="L5435" s="94">
        <v>-9985</v>
      </c>
      <c r="M5435" s="94">
        <v>0</v>
      </c>
    </row>
    <row r="5436" spans="3:13" x14ac:dyDescent="0.3">
      <c r="C5436" t="s">
        <v>61</v>
      </c>
      <c r="D5436" t="s">
        <v>67</v>
      </c>
      <c r="E5436" t="s">
        <v>63</v>
      </c>
      <c r="F5436" t="s">
        <v>26</v>
      </c>
      <c r="G5436" s="4">
        <v>2</v>
      </c>
      <c r="H5436" s="4" t="s">
        <v>17</v>
      </c>
      <c r="I5436" s="4" t="s">
        <v>65</v>
      </c>
      <c r="J5436" s="4" t="s">
        <v>66</v>
      </c>
      <c r="K5436" s="4">
        <v>1</v>
      </c>
      <c r="L5436" s="94">
        <v>-336</v>
      </c>
      <c r="M5436" s="94">
        <v>0</v>
      </c>
    </row>
    <row r="5437" spans="3:13" x14ac:dyDescent="0.3">
      <c r="C5437" t="s">
        <v>70</v>
      </c>
      <c r="D5437" t="s">
        <v>67</v>
      </c>
      <c r="E5437" t="s">
        <v>63</v>
      </c>
      <c r="F5437" t="s">
        <v>72</v>
      </c>
      <c r="G5437" s="4">
        <v>-4</v>
      </c>
      <c r="H5437" s="4" t="s">
        <v>82</v>
      </c>
      <c r="I5437" s="4" t="s">
        <v>69</v>
      </c>
      <c r="J5437" s="4" t="s">
        <v>66</v>
      </c>
      <c r="K5437" s="4">
        <v>0</v>
      </c>
      <c r="L5437" s="94">
        <v>-2258</v>
      </c>
      <c r="M5437" s="94">
        <v>0</v>
      </c>
    </row>
    <row r="5438" spans="3:13" x14ac:dyDescent="0.3">
      <c r="C5438" t="s">
        <v>61</v>
      </c>
      <c r="D5438" t="s">
        <v>67</v>
      </c>
      <c r="E5438" t="s">
        <v>63</v>
      </c>
      <c r="F5438" t="s">
        <v>25</v>
      </c>
      <c r="G5438" s="4">
        <v>0</v>
      </c>
      <c r="H5438" s="4" t="s">
        <v>75</v>
      </c>
      <c r="I5438" s="4" t="s">
        <v>69</v>
      </c>
      <c r="J5438" s="4" t="s">
        <v>66</v>
      </c>
      <c r="K5438" s="4">
        <v>0</v>
      </c>
      <c r="L5438" s="94">
        <v>-13080</v>
      </c>
      <c r="M5438" s="94">
        <v>0</v>
      </c>
    </row>
    <row r="5439" spans="3:13" x14ac:dyDescent="0.3">
      <c r="C5439" t="s">
        <v>71</v>
      </c>
      <c r="D5439" t="s">
        <v>67</v>
      </c>
      <c r="E5439" t="s">
        <v>63</v>
      </c>
      <c r="F5439" t="s">
        <v>25</v>
      </c>
      <c r="G5439" s="4">
        <v>5</v>
      </c>
      <c r="H5439" s="4" t="s">
        <v>79</v>
      </c>
      <c r="I5439" s="4" t="s">
        <v>69</v>
      </c>
      <c r="J5439" s="4" t="s">
        <v>66</v>
      </c>
      <c r="K5439" s="4">
        <v>0</v>
      </c>
      <c r="L5439" s="94">
        <v>-87209</v>
      </c>
      <c r="M5439" s="94">
        <v>0</v>
      </c>
    </row>
    <row r="5440" spans="3:13" x14ac:dyDescent="0.3">
      <c r="C5440" t="s">
        <v>70</v>
      </c>
      <c r="D5440" t="s">
        <v>62</v>
      </c>
      <c r="E5440" t="s">
        <v>63</v>
      </c>
      <c r="F5440" t="s">
        <v>24</v>
      </c>
      <c r="G5440" s="4">
        <v>37</v>
      </c>
      <c r="I5440" s="4" t="s">
        <v>65</v>
      </c>
      <c r="J5440" s="4" t="s">
        <v>66</v>
      </c>
      <c r="K5440" s="4">
        <v>1</v>
      </c>
      <c r="L5440" s="94">
        <v>-44486</v>
      </c>
      <c r="M5440" s="94">
        <v>0</v>
      </c>
    </row>
    <row r="5441" spans="3:13" x14ac:dyDescent="0.3">
      <c r="C5441" t="s">
        <v>71</v>
      </c>
      <c r="D5441" t="s">
        <v>67</v>
      </c>
      <c r="E5441" t="s">
        <v>63</v>
      </c>
      <c r="F5441" t="s">
        <v>26</v>
      </c>
      <c r="G5441" s="4">
        <v>3</v>
      </c>
      <c r="H5441" s="4" t="s">
        <v>75</v>
      </c>
      <c r="I5441" s="4" t="s">
        <v>69</v>
      </c>
      <c r="J5441" s="4" t="s">
        <v>66</v>
      </c>
      <c r="K5441" s="4">
        <v>0</v>
      </c>
      <c r="L5441" s="94">
        <v>-220701</v>
      </c>
      <c r="M5441" s="94">
        <v>0</v>
      </c>
    </row>
    <row r="5442" spans="3:13" x14ac:dyDescent="0.3">
      <c r="C5442" t="s">
        <v>61</v>
      </c>
      <c r="D5442" t="s">
        <v>67</v>
      </c>
      <c r="E5442" t="s">
        <v>63</v>
      </c>
      <c r="F5442" t="s">
        <v>26</v>
      </c>
      <c r="G5442" s="4">
        <v>12</v>
      </c>
      <c r="H5442" s="4" t="s">
        <v>15</v>
      </c>
      <c r="I5442" s="4" t="s">
        <v>69</v>
      </c>
      <c r="J5442" s="4" t="s">
        <v>66</v>
      </c>
      <c r="K5442" s="4">
        <v>0</v>
      </c>
      <c r="L5442" s="94">
        <v>-139706</v>
      </c>
      <c r="M5442" s="94">
        <v>0</v>
      </c>
    </row>
    <row r="5443" spans="3:13" x14ac:dyDescent="0.3">
      <c r="C5443" t="s">
        <v>70</v>
      </c>
      <c r="D5443" t="s">
        <v>67</v>
      </c>
      <c r="E5443" t="s">
        <v>63</v>
      </c>
      <c r="F5443" t="s">
        <v>25</v>
      </c>
      <c r="G5443" s="4">
        <v>16</v>
      </c>
      <c r="H5443" s="4" t="s">
        <v>17</v>
      </c>
      <c r="I5443" s="4" t="s">
        <v>69</v>
      </c>
      <c r="J5443" s="4" t="s">
        <v>66</v>
      </c>
      <c r="K5443" s="4">
        <v>0</v>
      </c>
      <c r="L5443" s="94">
        <v>-13443</v>
      </c>
      <c r="M5443" s="94">
        <v>0</v>
      </c>
    </row>
    <row r="5444" spans="3:13" x14ac:dyDescent="0.3">
      <c r="C5444" t="s">
        <v>61</v>
      </c>
      <c r="D5444" t="s">
        <v>67</v>
      </c>
      <c r="E5444" t="s">
        <v>63</v>
      </c>
      <c r="F5444" t="s">
        <v>25</v>
      </c>
      <c r="G5444" s="4">
        <v>9</v>
      </c>
      <c r="H5444" s="4" t="s">
        <v>14</v>
      </c>
      <c r="I5444" s="4" t="s">
        <v>69</v>
      </c>
      <c r="J5444" s="4" t="s">
        <v>66</v>
      </c>
      <c r="K5444" s="4">
        <v>0</v>
      </c>
      <c r="L5444" s="94">
        <v>-7940</v>
      </c>
      <c r="M5444" s="94">
        <v>0</v>
      </c>
    </row>
    <row r="5445" spans="3:13" x14ac:dyDescent="0.3">
      <c r="C5445" t="s">
        <v>70</v>
      </c>
      <c r="D5445" t="s">
        <v>67</v>
      </c>
      <c r="E5445" t="s">
        <v>68</v>
      </c>
      <c r="F5445" t="s">
        <v>25</v>
      </c>
      <c r="G5445" s="4">
        <v>13</v>
      </c>
      <c r="H5445" s="4" t="s">
        <v>74</v>
      </c>
      <c r="I5445" s="4" t="s">
        <v>69</v>
      </c>
      <c r="J5445" s="4" t="s">
        <v>66</v>
      </c>
      <c r="K5445" s="4">
        <v>0</v>
      </c>
      <c r="L5445" s="94">
        <v>212165</v>
      </c>
      <c r="M5445" s="94">
        <v>2758145</v>
      </c>
    </row>
    <row r="5446" spans="3:13" x14ac:dyDescent="0.3">
      <c r="C5446" t="s">
        <v>61</v>
      </c>
      <c r="D5446" t="s">
        <v>67</v>
      </c>
      <c r="E5446" t="s">
        <v>63</v>
      </c>
      <c r="F5446" t="s">
        <v>25</v>
      </c>
      <c r="G5446" s="4">
        <v>16</v>
      </c>
      <c r="H5446" s="4" t="s">
        <v>18</v>
      </c>
      <c r="I5446" s="4" t="s">
        <v>69</v>
      </c>
      <c r="J5446" s="4" t="s">
        <v>66</v>
      </c>
      <c r="K5446" s="4">
        <v>0</v>
      </c>
      <c r="L5446" s="94">
        <v>-2369</v>
      </c>
      <c r="M5446" s="94">
        <v>0</v>
      </c>
    </row>
    <row r="5447" spans="3:13" x14ac:dyDescent="0.3">
      <c r="C5447" t="s">
        <v>61</v>
      </c>
      <c r="D5447" t="s">
        <v>67</v>
      </c>
      <c r="E5447" t="s">
        <v>68</v>
      </c>
      <c r="F5447" t="s">
        <v>25</v>
      </c>
      <c r="G5447" s="4">
        <v>0</v>
      </c>
      <c r="H5447" s="4" t="s">
        <v>18</v>
      </c>
      <c r="I5447" s="4" t="s">
        <v>65</v>
      </c>
      <c r="J5447" s="4" t="s">
        <v>66</v>
      </c>
      <c r="K5447" s="4">
        <v>1</v>
      </c>
      <c r="L5447" s="94">
        <v>7485</v>
      </c>
      <c r="M5447" s="94">
        <v>0</v>
      </c>
    </row>
    <row r="5448" spans="3:13" x14ac:dyDescent="0.3">
      <c r="C5448" t="s">
        <v>61</v>
      </c>
      <c r="D5448" t="s">
        <v>67</v>
      </c>
      <c r="E5448" t="s">
        <v>63</v>
      </c>
      <c r="F5448" t="s">
        <v>25</v>
      </c>
      <c r="G5448" s="4">
        <v>15</v>
      </c>
      <c r="H5448" s="4" t="s">
        <v>18</v>
      </c>
      <c r="I5448" s="4" t="s">
        <v>69</v>
      </c>
      <c r="J5448" s="4" t="s">
        <v>66</v>
      </c>
      <c r="K5448" s="4">
        <v>1</v>
      </c>
      <c r="L5448" s="94">
        <v>-1419</v>
      </c>
      <c r="M5448" s="94">
        <v>0</v>
      </c>
    </row>
    <row r="5449" spans="3:13" x14ac:dyDescent="0.3">
      <c r="C5449" t="s">
        <v>71</v>
      </c>
      <c r="D5449" t="s">
        <v>67</v>
      </c>
      <c r="E5449" t="s">
        <v>68</v>
      </c>
      <c r="F5449" t="s">
        <v>26</v>
      </c>
      <c r="G5449" s="4">
        <v>2</v>
      </c>
      <c r="H5449" s="4" t="s">
        <v>14</v>
      </c>
      <c r="I5449" s="4" t="s">
        <v>69</v>
      </c>
      <c r="J5449" s="4" t="s">
        <v>73</v>
      </c>
      <c r="K5449" s="4">
        <v>1</v>
      </c>
      <c r="L5449" s="94">
        <v>2871059</v>
      </c>
      <c r="M5449" s="94">
        <v>5742118</v>
      </c>
    </row>
    <row r="5450" spans="3:13" x14ac:dyDescent="0.3">
      <c r="C5450" t="s">
        <v>71</v>
      </c>
      <c r="D5450" t="s">
        <v>67</v>
      </c>
      <c r="E5450" t="s">
        <v>63</v>
      </c>
      <c r="F5450" t="s">
        <v>25</v>
      </c>
      <c r="G5450" s="4">
        <v>9</v>
      </c>
      <c r="H5450" s="4" t="s">
        <v>76</v>
      </c>
      <c r="I5450" s="4" t="s">
        <v>69</v>
      </c>
      <c r="J5450" s="4" t="s">
        <v>66</v>
      </c>
      <c r="K5450" s="4">
        <v>0</v>
      </c>
      <c r="L5450" s="94">
        <v>-599063</v>
      </c>
      <c r="M5450" s="94">
        <v>0</v>
      </c>
    </row>
    <row r="5451" spans="3:13" x14ac:dyDescent="0.3">
      <c r="C5451" t="s">
        <v>70</v>
      </c>
      <c r="D5451" t="s">
        <v>67</v>
      </c>
      <c r="E5451" t="s">
        <v>63</v>
      </c>
      <c r="F5451" t="s">
        <v>25</v>
      </c>
      <c r="G5451" s="4">
        <v>3</v>
      </c>
      <c r="H5451" s="4" t="s">
        <v>12</v>
      </c>
      <c r="I5451" s="4" t="s">
        <v>69</v>
      </c>
      <c r="J5451" s="4" t="s">
        <v>66</v>
      </c>
      <c r="K5451" s="4">
        <v>0</v>
      </c>
      <c r="L5451" s="94">
        <v>-2969</v>
      </c>
      <c r="M5451" s="94">
        <v>0</v>
      </c>
    </row>
    <row r="5452" spans="3:13" x14ac:dyDescent="0.3">
      <c r="C5452" t="s">
        <v>70</v>
      </c>
      <c r="D5452" t="s">
        <v>62</v>
      </c>
      <c r="E5452" t="s">
        <v>63</v>
      </c>
      <c r="F5452" t="s">
        <v>25</v>
      </c>
      <c r="G5452" s="4">
        <v>33</v>
      </c>
      <c r="I5452" s="4" t="s">
        <v>69</v>
      </c>
      <c r="J5452" s="4" t="s">
        <v>66</v>
      </c>
      <c r="K5452" s="4">
        <v>0</v>
      </c>
      <c r="L5452" s="94">
        <v>-8370</v>
      </c>
      <c r="M5452" s="94">
        <v>0</v>
      </c>
    </row>
    <row r="5453" spans="3:13" x14ac:dyDescent="0.3">
      <c r="C5453" t="s">
        <v>70</v>
      </c>
      <c r="D5453" t="s">
        <v>62</v>
      </c>
      <c r="E5453" t="s">
        <v>63</v>
      </c>
      <c r="F5453" t="s">
        <v>24</v>
      </c>
      <c r="G5453" s="4">
        <v>6</v>
      </c>
      <c r="I5453" s="4" t="s">
        <v>65</v>
      </c>
      <c r="J5453" s="4" t="s">
        <v>66</v>
      </c>
      <c r="K5453" s="4">
        <v>1</v>
      </c>
      <c r="L5453" s="94">
        <v>-1948</v>
      </c>
      <c r="M5453" s="94">
        <v>0</v>
      </c>
    </row>
    <row r="5454" spans="3:13" x14ac:dyDescent="0.3">
      <c r="C5454" t="s">
        <v>61</v>
      </c>
      <c r="D5454" t="s">
        <v>67</v>
      </c>
      <c r="E5454" t="s">
        <v>68</v>
      </c>
      <c r="F5454" t="s">
        <v>72</v>
      </c>
      <c r="G5454" s="4">
        <v>2</v>
      </c>
      <c r="H5454" s="4" t="s">
        <v>86</v>
      </c>
      <c r="I5454" s="4" t="s">
        <v>69</v>
      </c>
      <c r="J5454" s="4" t="s">
        <v>66</v>
      </c>
      <c r="K5454" s="4">
        <v>0</v>
      </c>
      <c r="L5454" s="94">
        <v>13185</v>
      </c>
      <c r="M5454" s="94">
        <v>26370</v>
      </c>
    </row>
    <row r="5455" spans="3:13" x14ac:dyDescent="0.3">
      <c r="C5455" t="s">
        <v>70</v>
      </c>
      <c r="D5455" t="s">
        <v>67</v>
      </c>
      <c r="E5455" t="s">
        <v>68</v>
      </c>
      <c r="F5455" t="s">
        <v>26</v>
      </c>
      <c r="G5455" s="4">
        <v>6</v>
      </c>
      <c r="H5455" s="4" t="s">
        <v>76</v>
      </c>
      <c r="I5455" s="4" t="s">
        <v>69</v>
      </c>
      <c r="J5455" s="4" t="s">
        <v>66</v>
      </c>
      <c r="K5455" s="4">
        <v>0</v>
      </c>
      <c r="L5455" s="94">
        <v>783108</v>
      </c>
      <c r="M5455" s="94">
        <v>4698648</v>
      </c>
    </row>
    <row r="5456" spans="3:13" x14ac:dyDescent="0.3">
      <c r="C5456" t="s">
        <v>71</v>
      </c>
      <c r="D5456" t="s">
        <v>67</v>
      </c>
      <c r="E5456" t="s">
        <v>68</v>
      </c>
      <c r="F5456" t="s">
        <v>72</v>
      </c>
      <c r="G5456" s="4">
        <v>4</v>
      </c>
      <c r="H5456" s="4" t="s">
        <v>76</v>
      </c>
      <c r="I5456" s="4" t="s">
        <v>69</v>
      </c>
      <c r="J5456" s="4" t="s">
        <v>66</v>
      </c>
      <c r="K5456" s="4">
        <v>0</v>
      </c>
      <c r="L5456" s="94">
        <v>104935</v>
      </c>
      <c r="M5456" s="94">
        <v>419740</v>
      </c>
    </row>
    <row r="5457" spans="3:13" x14ac:dyDescent="0.3">
      <c r="C5457" t="s">
        <v>71</v>
      </c>
      <c r="D5457" t="s">
        <v>62</v>
      </c>
      <c r="E5457" t="s">
        <v>63</v>
      </c>
      <c r="F5457" t="s">
        <v>24</v>
      </c>
      <c r="G5457" s="4">
        <v>9</v>
      </c>
      <c r="I5457" s="4" t="s">
        <v>69</v>
      </c>
      <c r="J5457" s="4" t="s">
        <v>66</v>
      </c>
      <c r="K5457" s="4">
        <v>0</v>
      </c>
      <c r="L5457" s="94">
        <v>-909061</v>
      </c>
      <c r="M5457" s="94">
        <v>0</v>
      </c>
    </row>
    <row r="5458" spans="3:13" x14ac:dyDescent="0.3">
      <c r="C5458" t="s">
        <v>61</v>
      </c>
      <c r="D5458" t="s">
        <v>67</v>
      </c>
      <c r="E5458" t="s">
        <v>63</v>
      </c>
      <c r="F5458" t="s">
        <v>72</v>
      </c>
      <c r="G5458" s="4">
        <v>2</v>
      </c>
      <c r="H5458" s="4" t="s">
        <v>14</v>
      </c>
      <c r="I5458" s="4" t="s">
        <v>65</v>
      </c>
      <c r="J5458" s="4" t="s">
        <v>73</v>
      </c>
      <c r="K5458" s="4">
        <v>1</v>
      </c>
      <c r="L5458" s="94">
        <v>-38</v>
      </c>
      <c r="M5458" s="94">
        <v>0</v>
      </c>
    </row>
    <row r="5459" spans="3:13" x14ac:dyDescent="0.3">
      <c r="C5459" t="s">
        <v>61</v>
      </c>
      <c r="D5459" t="s">
        <v>67</v>
      </c>
      <c r="E5459" t="s">
        <v>63</v>
      </c>
      <c r="F5459" t="s">
        <v>26</v>
      </c>
      <c r="G5459" s="4">
        <v>10</v>
      </c>
      <c r="H5459" s="4" t="s">
        <v>75</v>
      </c>
      <c r="I5459" s="4" t="s">
        <v>69</v>
      </c>
      <c r="J5459" s="4" t="s">
        <v>66</v>
      </c>
      <c r="K5459" s="4">
        <v>0</v>
      </c>
      <c r="L5459" s="94">
        <v>-4384</v>
      </c>
      <c r="M5459" s="94">
        <v>0</v>
      </c>
    </row>
    <row r="5460" spans="3:13" x14ac:dyDescent="0.3">
      <c r="C5460" t="s">
        <v>70</v>
      </c>
      <c r="D5460" t="s">
        <v>67</v>
      </c>
      <c r="E5460" t="s">
        <v>63</v>
      </c>
      <c r="F5460" t="s">
        <v>72</v>
      </c>
      <c r="G5460" s="4">
        <v>4</v>
      </c>
      <c r="H5460" s="4" t="s">
        <v>64</v>
      </c>
      <c r="I5460" s="4" t="s">
        <v>69</v>
      </c>
      <c r="J5460" s="4" t="s">
        <v>66</v>
      </c>
      <c r="K5460" s="4">
        <v>0</v>
      </c>
      <c r="L5460" s="94">
        <v>-35258</v>
      </c>
      <c r="M5460" s="94">
        <v>0</v>
      </c>
    </row>
    <row r="5461" spans="3:13" x14ac:dyDescent="0.3">
      <c r="C5461" t="s">
        <v>61</v>
      </c>
      <c r="D5461" t="s">
        <v>67</v>
      </c>
      <c r="E5461" t="s">
        <v>63</v>
      </c>
      <c r="F5461" t="s">
        <v>25</v>
      </c>
      <c r="G5461" s="4">
        <v>2</v>
      </c>
      <c r="H5461" s="4" t="s">
        <v>80</v>
      </c>
      <c r="I5461" s="4" t="s">
        <v>69</v>
      </c>
      <c r="J5461" s="4" t="s">
        <v>66</v>
      </c>
      <c r="K5461" s="4">
        <v>0</v>
      </c>
      <c r="L5461" s="94">
        <v>-28</v>
      </c>
      <c r="M5461" s="94">
        <v>0</v>
      </c>
    </row>
    <row r="5462" spans="3:13" x14ac:dyDescent="0.3">
      <c r="C5462" t="s">
        <v>70</v>
      </c>
      <c r="D5462" t="s">
        <v>67</v>
      </c>
      <c r="E5462" t="s">
        <v>63</v>
      </c>
      <c r="F5462" t="s">
        <v>72</v>
      </c>
      <c r="G5462" s="4">
        <v>0</v>
      </c>
      <c r="H5462" s="4" t="s">
        <v>13</v>
      </c>
      <c r="I5462" s="4" t="s">
        <v>69</v>
      </c>
      <c r="J5462" s="4" t="s">
        <v>66</v>
      </c>
      <c r="K5462" s="4">
        <v>0</v>
      </c>
      <c r="L5462" s="94">
        <v>-41</v>
      </c>
      <c r="M5462" s="94">
        <v>0</v>
      </c>
    </row>
    <row r="5463" spans="3:13" x14ac:dyDescent="0.3">
      <c r="C5463" t="s">
        <v>70</v>
      </c>
      <c r="D5463" t="s">
        <v>67</v>
      </c>
      <c r="E5463" t="s">
        <v>63</v>
      </c>
      <c r="F5463" t="s">
        <v>26</v>
      </c>
      <c r="G5463" s="4">
        <v>4</v>
      </c>
      <c r="H5463" s="4" t="s">
        <v>77</v>
      </c>
      <c r="I5463" s="4" t="s">
        <v>69</v>
      </c>
      <c r="J5463" s="4" t="s">
        <v>66</v>
      </c>
      <c r="K5463" s="4">
        <v>0</v>
      </c>
      <c r="L5463" s="94">
        <v>-49391</v>
      </c>
      <c r="M5463" s="94">
        <v>0</v>
      </c>
    </row>
    <row r="5464" spans="3:13" x14ac:dyDescent="0.3">
      <c r="C5464" t="s">
        <v>71</v>
      </c>
      <c r="D5464" t="s">
        <v>62</v>
      </c>
      <c r="E5464" t="s">
        <v>68</v>
      </c>
      <c r="F5464" t="s">
        <v>24</v>
      </c>
      <c r="G5464" s="4">
        <v>33</v>
      </c>
      <c r="I5464" s="4" t="s">
        <v>69</v>
      </c>
      <c r="J5464" s="4" t="s">
        <v>66</v>
      </c>
      <c r="K5464" s="4">
        <v>0</v>
      </c>
      <c r="L5464" s="94">
        <v>7070727</v>
      </c>
      <c r="M5464" s="94">
        <v>233333991</v>
      </c>
    </row>
    <row r="5465" spans="3:13" x14ac:dyDescent="0.3">
      <c r="C5465" t="s">
        <v>70</v>
      </c>
      <c r="D5465" t="s">
        <v>67</v>
      </c>
      <c r="E5465" t="s">
        <v>63</v>
      </c>
      <c r="F5465" t="s">
        <v>72</v>
      </c>
      <c r="G5465" s="4">
        <v>7</v>
      </c>
      <c r="H5465" s="4" t="s">
        <v>17</v>
      </c>
      <c r="I5465" s="4" t="s">
        <v>69</v>
      </c>
      <c r="J5465" s="4" t="s">
        <v>66</v>
      </c>
      <c r="K5465" s="4">
        <v>0</v>
      </c>
      <c r="L5465" s="94">
        <v>-12756</v>
      </c>
      <c r="M5465" s="94">
        <v>0</v>
      </c>
    </row>
    <row r="5466" spans="3:13" x14ac:dyDescent="0.3">
      <c r="C5466" t="s">
        <v>70</v>
      </c>
      <c r="D5466" t="s">
        <v>67</v>
      </c>
      <c r="E5466" t="s">
        <v>63</v>
      </c>
      <c r="F5466" t="s">
        <v>72</v>
      </c>
      <c r="G5466" s="4">
        <v>1</v>
      </c>
      <c r="H5466" s="4" t="s">
        <v>15</v>
      </c>
      <c r="I5466" s="4" t="s">
        <v>69</v>
      </c>
      <c r="J5466" s="4" t="s">
        <v>73</v>
      </c>
      <c r="K5466" s="4">
        <v>1</v>
      </c>
      <c r="L5466" s="94">
        <v>-1274</v>
      </c>
      <c r="M5466" s="94">
        <v>0</v>
      </c>
    </row>
    <row r="5467" spans="3:13" x14ac:dyDescent="0.3">
      <c r="C5467" t="s">
        <v>61</v>
      </c>
      <c r="D5467" t="s">
        <v>67</v>
      </c>
      <c r="E5467" t="s">
        <v>63</v>
      </c>
      <c r="F5467" t="s">
        <v>72</v>
      </c>
      <c r="G5467" s="4">
        <v>2</v>
      </c>
      <c r="H5467" s="4" t="s">
        <v>82</v>
      </c>
      <c r="I5467" s="4" t="s">
        <v>69</v>
      </c>
      <c r="J5467" s="4" t="s">
        <v>66</v>
      </c>
      <c r="K5467" s="4">
        <v>0</v>
      </c>
      <c r="L5467" s="94">
        <v>-25053</v>
      </c>
      <c r="M5467" s="94">
        <v>0</v>
      </c>
    </row>
    <row r="5468" spans="3:13" x14ac:dyDescent="0.3">
      <c r="C5468" t="s">
        <v>70</v>
      </c>
      <c r="D5468" t="s">
        <v>67</v>
      </c>
      <c r="E5468" t="s">
        <v>63</v>
      </c>
      <c r="F5468" t="s">
        <v>26</v>
      </c>
      <c r="G5468" s="4">
        <v>1</v>
      </c>
      <c r="H5468" s="4" t="s">
        <v>76</v>
      </c>
      <c r="I5468" s="4" t="s">
        <v>69</v>
      </c>
      <c r="J5468" s="4" t="s">
        <v>66</v>
      </c>
      <c r="K5468" s="4">
        <v>0</v>
      </c>
      <c r="L5468" s="94">
        <v>-236147</v>
      </c>
      <c r="M5468" s="94">
        <v>0</v>
      </c>
    </row>
    <row r="5469" spans="3:13" x14ac:dyDescent="0.3">
      <c r="C5469" t="s">
        <v>71</v>
      </c>
      <c r="D5469" t="s">
        <v>67</v>
      </c>
      <c r="E5469" t="s">
        <v>63</v>
      </c>
      <c r="F5469" t="s">
        <v>72</v>
      </c>
      <c r="G5469" s="4">
        <v>-4</v>
      </c>
      <c r="H5469" s="4" t="s">
        <v>17</v>
      </c>
      <c r="I5469" s="4" t="s">
        <v>69</v>
      </c>
      <c r="J5469" s="4" t="s">
        <v>73</v>
      </c>
      <c r="K5469" s="4">
        <v>1</v>
      </c>
      <c r="L5469" s="94">
        <v>-1139</v>
      </c>
      <c r="M5469" s="94">
        <v>0</v>
      </c>
    </row>
    <row r="5470" spans="3:13" x14ac:dyDescent="0.3">
      <c r="C5470" t="s">
        <v>70</v>
      </c>
      <c r="D5470" t="s">
        <v>67</v>
      </c>
      <c r="E5470" t="s">
        <v>68</v>
      </c>
      <c r="F5470" t="s">
        <v>26</v>
      </c>
      <c r="G5470" s="4">
        <v>7</v>
      </c>
      <c r="H5470" s="4" t="s">
        <v>77</v>
      </c>
      <c r="I5470" s="4" t="s">
        <v>69</v>
      </c>
      <c r="J5470" s="4" t="s">
        <v>66</v>
      </c>
      <c r="K5470" s="4">
        <v>0</v>
      </c>
      <c r="L5470" s="94">
        <v>158714</v>
      </c>
      <c r="M5470" s="94">
        <v>1110998</v>
      </c>
    </row>
    <row r="5471" spans="3:13" x14ac:dyDescent="0.3">
      <c r="C5471" t="s">
        <v>70</v>
      </c>
      <c r="D5471" t="s">
        <v>67</v>
      </c>
      <c r="E5471" t="s">
        <v>63</v>
      </c>
      <c r="F5471" t="s">
        <v>26</v>
      </c>
      <c r="G5471" s="4">
        <v>8</v>
      </c>
      <c r="H5471" s="4" t="s">
        <v>79</v>
      </c>
      <c r="I5471" s="4" t="s">
        <v>69</v>
      </c>
      <c r="J5471" s="4" t="s">
        <v>66</v>
      </c>
      <c r="K5471" s="4">
        <v>0</v>
      </c>
      <c r="L5471" s="94">
        <v>-143400</v>
      </c>
      <c r="M5471" s="94">
        <v>0</v>
      </c>
    </row>
    <row r="5472" spans="3:13" x14ac:dyDescent="0.3">
      <c r="C5472" t="s">
        <v>71</v>
      </c>
      <c r="D5472" t="s">
        <v>67</v>
      </c>
      <c r="E5472" t="s">
        <v>63</v>
      </c>
      <c r="F5472" t="s">
        <v>26</v>
      </c>
      <c r="G5472" s="4">
        <v>6</v>
      </c>
      <c r="H5472" s="4" t="s">
        <v>80</v>
      </c>
      <c r="I5472" s="4" t="s">
        <v>69</v>
      </c>
      <c r="J5472" s="4" t="s">
        <v>66</v>
      </c>
      <c r="K5472" s="4">
        <v>0</v>
      </c>
      <c r="L5472" s="94">
        <v>-23594</v>
      </c>
      <c r="M5472" s="94">
        <v>0</v>
      </c>
    </row>
    <row r="5473" spans="3:13" x14ac:dyDescent="0.3">
      <c r="C5473" t="s">
        <v>61</v>
      </c>
      <c r="D5473" t="s">
        <v>67</v>
      </c>
      <c r="E5473" t="s">
        <v>68</v>
      </c>
      <c r="F5473" t="s">
        <v>25</v>
      </c>
      <c r="G5473" s="4">
        <v>4</v>
      </c>
      <c r="H5473" s="4" t="s">
        <v>74</v>
      </c>
      <c r="I5473" s="4" t="s">
        <v>69</v>
      </c>
      <c r="J5473" s="4" t="s">
        <v>66</v>
      </c>
      <c r="K5473" s="4">
        <v>0</v>
      </c>
      <c r="L5473" s="94">
        <v>6237640</v>
      </c>
      <c r="M5473" s="94">
        <v>24950560</v>
      </c>
    </row>
    <row r="5474" spans="3:13" x14ac:dyDescent="0.3">
      <c r="C5474" t="s">
        <v>71</v>
      </c>
      <c r="D5474" t="s">
        <v>67</v>
      </c>
      <c r="E5474" t="s">
        <v>68</v>
      </c>
      <c r="F5474" t="s">
        <v>72</v>
      </c>
      <c r="G5474" s="4">
        <v>2</v>
      </c>
      <c r="H5474" s="4" t="s">
        <v>17</v>
      </c>
      <c r="I5474" s="4" t="s">
        <v>65</v>
      </c>
      <c r="J5474" s="4" t="s">
        <v>73</v>
      </c>
      <c r="K5474" s="4">
        <v>1</v>
      </c>
      <c r="L5474" s="94">
        <v>58703</v>
      </c>
      <c r="M5474" s="94">
        <v>117406</v>
      </c>
    </row>
    <row r="5475" spans="3:13" x14ac:dyDescent="0.3">
      <c r="C5475" t="s">
        <v>71</v>
      </c>
      <c r="D5475" t="s">
        <v>62</v>
      </c>
      <c r="E5475" t="s">
        <v>63</v>
      </c>
      <c r="F5475" t="s">
        <v>24</v>
      </c>
      <c r="G5475" s="4">
        <v>-4</v>
      </c>
      <c r="I5475" s="4" t="s">
        <v>69</v>
      </c>
      <c r="J5475" s="4" t="s">
        <v>66</v>
      </c>
      <c r="K5475" s="4">
        <v>1</v>
      </c>
      <c r="L5475" s="94">
        <v>-472</v>
      </c>
      <c r="M5475" s="94">
        <v>0</v>
      </c>
    </row>
    <row r="5476" spans="3:13" x14ac:dyDescent="0.3">
      <c r="C5476" t="s">
        <v>61</v>
      </c>
      <c r="D5476" t="s">
        <v>67</v>
      </c>
      <c r="E5476" t="s">
        <v>68</v>
      </c>
      <c r="F5476" t="s">
        <v>25</v>
      </c>
      <c r="G5476" s="4">
        <v>12</v>
      </c>
      <c r="H5476" s="4" t="s">
        <v>64</v>
      </c>
      <c r="I5476" s="4" t="s">
        <v>69</v>
      </c>
      <c r="J5476" s="4" t="s">
        <v>66</v>
      </c>
      <c r="K5476" s="4">
        <v>0</v>
      </c>
      <c r="L5476" s="94">
        <v>2359718</v>
      </c>
      <c r="M5476" s="94">
        <v>28316616</v>
      </c>
    </row>
    <row r="5477" spans="3:13" x14ac:dyDescent="0.3">
      <c r="C5477" t="s">
        <v>61</v>
      </c>
      <c r="D5477" t="s">
        <v>67</v>
      </c>
      <c r="E5477" t="s">
        <v>63</v>
      </c>
      <c r="F5477" t="s">
        <v>25</v>
      </c>
      <c r="G5477" s="4">
        <v>16</v>
      </c>
      <c r="H5477" s="4" t="s">
        <v>76</v>
      </c>
      <c r="I5477" s="4" t="s">
        <v>69</v>
      </c>
      <c r="J5477" s="4" t="s">
        <v>66</v>
      </c>
      <c r="K5477" s="4">
        <v>0</v>
      </c>
      <c r="L5477" s="94">
        <v>-14815</v>
      </c>
      <c r="M5477" s="94">
        <v>0</v>
      </c>
    </row>
    <row r="5478" spans="3:13" x14ac:dyDescent="0.3">
      <c r="C5478" t="s">
        <v>70</v>
      </c>
      <c r="D5478" t="s">
        <v>67</v>
      </c>
      <c r="E5478" t="s">
        <v>63</v>
      </c>
      <c r="F5478" t="s">
        <v>25</v>
      </c>
      <c r="G5478" s="4">
        <v>9</v>
      </c>
      <c r="H5478" s="4" t="s">
        <v>75</v>
      </c>
      <c r="I5478" s="4" t="s">
        <v>69</v>
      </c>
      <c r="J5478" s="4" t="s">
        <v>66</v>
      </c>
      <c r="K5478" s="4">
        <v>0</v>
      </c>
      <c r="L5478" s="94">
        <v>-288226</v>
      </c>
      <c r="M5478" s="94">
        <v>0</v>
      </c>
    </row>
    <row r="5479" spans="3:13" x14ac:dyDescent="0.3">
      <c r="C5479" t="s">
        <v>61</v>
      </c>
      <c r="D5479" t="s">
        <v>62</v>
      </c>
      <c r="E5479" t="s">
        <v>63</v>
      </c>
      <c r="F5479" t="s">
        <v>24</v>
      </c>
      <c r="G5479" s="4">
        <v>20</v>
      </c>
      <c r="I5479" s="4" t="s">
        <v>65</v>
      </c>
      <c r="J5479" s="4" t="s">
        <v>66</v>
      </c>
      <c r="K5479" s="4">
        <v>1</v>
      </c>
      <c r="L5479" s="94">
        <v>-3607</v>
      </c>
      <c r="M5479" s="94">
        <v>0</v>
      </c>
    </row>
    <row r="5480" spans="3:13" x14ac:dyDescent="0.3">
      <c r="C5480" t="s">
        <v>70</v>
      </c>
      <c r="D5480" t="s">
        <v>67</v>
      </c>
      <c r="E5480" t="s">
        <v>63</v>
      </c>
      <c r="F5480" t="s">
        <v>25</v>
      </c>
      <c r="G5480" s="4">
        <v>0</v>
      </c>
      <c r="H5480" s="4" t="s">
        <v>14</v>
      </c>
      <c r="I5480" s="4" t="s">
        <v>69</v>
      </c>
      <c r="J5480" s="4" t="s">
        <v>66</v>
      </c>
      <c r="K5480" s="4">
        <v>0</v>
      </c>
      <c r="L5480" s="94">
        <v>-24114</v>
      </c>
      <c r="M5480" s="94">
        <v>0</v>
      </c>
    </row>
    <row r="5481" spans="3:13" x14ac:dyDescent="0.3">
      <c r="C5481" t="s">
        <v>61</v>
      </c>
      <c r="D5481" t="s">
        <v>67</v>
      </c>
      <c r="E5481" t="s">
        <v>63</v>
      </c>
      <c r="F5481" t="s">
        <v>26</v>
      </c>
      <c r="G5481" s="4">
        <v>2</v>
      </c>
      <c r="H5481" s="4" t="s">
        <v>82</v>
      </c>
      <c r="I5481" s="4" t="s">
        <v>65</v>
      </c>
      <c r="J5481" s="4" t="s">
        <v>66</v>
      </c>
      <c r="K5481" s="4">
        <v>1</v>
      </c>
      <c r="L5481" s="94">
        <v>-2459</v>
      </c>
      <c r="M5481" s="94">
        <v>0</v>
      </c>
    </row>
    <row r="5482" spans="3:13" x14ac:dyDescent="0.3">
      <c r="C5482" t="s">
        <v>70</v>
      </c>
      <c r="D5482" t="s">
        <v>62</v>
      </c>
      <c r="E5482" t="s">
        <v>68</v>
      </c>
      <c r="F5482" t="s">
        <v>24</v>
      </c>
      <c r="G5482" s="4">
        <v>19</v>
      </c>
      <c r="I5482" s="4" t="s">
        <v>65</v>
      </c>
      <c r="J5482" s="4" t="s">
        <v>66</v>
      </c>
      <c r="K5482" s="4">
        <v>1</v>
      </c>
      <c r="L5482" s="94">
        <v>469812</v>
      </c>
      <c r="M5482" s="94">
        <v>8926428</v>
      </c>
    </row>
    <row r="5483" spans="3:13" x14ac:dyDescent="0.3">
      <c r="C5483" t="s">
        <v>61</v>
      </c>
      <c r="D5483" t="s">
        <v>62</v>
      </c>
      <c r="E5483" t="s">
        <v>63</v>
      </c>
      <c r="F5483" t="s">
        <v>24</v>
      </c>
      <c r="G5483" s="4">
        <v>13</v>
      </c>
      <c r="I5483" s="4" t="s">
        <v>69</v>
      </c>
      <c r="J5483" s="4" t="s">
        <v>66</v>
      </c>
      <c r="K5483" s="4">
        <v>0</v>
      </c>
      <c r="L5483" s="94">
        <v>-77223</v>
      </c>
      <c r="M5483" s="94">
        <v>0</v>
      </c>
    </row>
    <row r="5484" spans="3:13" x14ac:dyDescent="0.3">
      <c r="C5484" t="s">
        <v>61</v>
      </c>
      <c r="D5484" t="s">
        <v>67</v>
      </c>
      <c r="E5484" t="s">
        <v>63</v>
      </c>
      <c r="F5484" t="s">
        <v>25</v>
      </c>
      <c r="G5484" s="4">
        <v>14</v>
      </c>
      <c r="H5484" s="4" t="s">
        <v>83</v>
      </c>
      <c r="I5484" s="4" t="s">
        <v>69</v>
      </c>
      <c r="J5484" s="4" t="s">
        <v>66</v>
      </c>
      <c r="K5484" s="4">
        <v>0</v>
      </c>
      <c r="L5484" s="94">
        <v>-497</v>
      </c>
      <c r="M5484" s="94">
        <v>0</v>
      </c>
    </row>
    <row r="5485" spans="3:13" x14ac:dyDescent="0.3">
      <c r="C5485" t="s">
        <v>70</v>
      </c>
      <c r="D5485" t="s">
        <v>67</v>
      </c>
      <c r="E5485" t="s">
        <v>63</v>
      </c>
      <c r="F5485" t="s">
        <v>72</v>
      </c>
      <c r="G5485" s="4">
        <v>2</v>
      </c>
      <c r="H5485" s="4" t="s">
        <v>82</v>
      </c>
      <c r="I5485" s="4" t="s">
        <v>69</v>
      </c>
      <c r="J5485" s="4" t="s">
        <v>66</v>
      </c>
      <c r="K5485" s="4">
        <v>0</v>
      </c>
      <c r="L5485" s="94">
        <v>-94514</v>
      </c>
      <c r="M5485" s="94">
        <v>0</v>
      </c>
    </row>
    <row r="5486" spans="3:13" x14ac:dyDescent="0.3">
      <c r="C5486" t="s">
        <v>61</v>
      </c>
      <c r="D5486" t="s">
        <v>67</v>
      </c>
      <c r="E5486" t="s">
        <v>68</v>
      </c>
      <c r="F5486" t="s">
        <v>25</v>
      </c>
      <c r="G5486" s="4">
        <v>11</v>
      </c>
      <c r="H5486" s="4" t="s">
        <v>14</v>
      </c>
      <c r="I5486" s="4" t="s">
        <v>65</v>
      </c>
      <c r="J5486" s="4" t="s">
        <v>66</v>
      </c>
      <c r="K5486" s="4">
        <v>1</v>
      </c>
      <c r="L5486" s="94">
        <v>1558350</v>
      </c>
      <c r="M5486" s="94">
        <v>17141850</v>
      </c>
    </row>
    <row r="5487" spans="3:13" x14ac:dyDescent="0.3">
      <c r="C5487" t="s">
        <v>61</v>
      </c>
      <c r="D5487" t="s">
        <v>62</v>
      </c>
      <c r="E5487" t="s">
        <v>68</v>
      </c>
      <c r="F5487" t="s">
        <v>24</v>
      </c>
      <c r="G5487" s="4">
        <v>19</v>
      </c>
      <c r="I5487" s="4" t="s">
        <v>69</v>
      </c>
      <c r="J5487" s="4" t="s">
        <v>66</v>
      </c>
      <c r="K5487" s="4">
        <v>0</v>
      </c>
      <c r="L5487" s="94">
        <v>448628048</v>
      </c>
      <c r="M5487" s="94">
        <v>8523932912</v>
      </c>
    </row>
    <row r="5488" spans="3:13" x14ac:dyDescent="0.3">
      <c r="C5488" t="s">
        <v>70</v>
      </c>
      <c r="D5488" t="s">
        <v>67</v>
      </c>
      <c r="E5488" t="s">
        <v>63</v>
      </c>
      <c r="F5488" t="s">
        <v>26</v>
      </c>
      <c r="G5488" s="4">
        <v>7</v>
      </c>
      <c r="H5488" s="4" t="s">
        <v>75</v>
      </c>
      <c r="I5488" s="4" t="s">
        <v>69</v>
      </c>
      <c r="J5488" s="4" t="s">
        <v>66</v>
      </c>
      <c r="K5488" s="4">
        <v>0</v>
      </c>
      <c r="L5488" s="94">
        <v>-101466</v>
      </c>
      <c r="M5488" s="94">
        <v>0</v>
      </c>
    </row>
    <row r="5489" spans="3:13" x14ac:dyDescent="0.3">
      <c r="C5489" t="s">
        <v>70</v>
      </c>
      <c r="D5489" t="s">
        <v>67</v>
      </c>
      <c r="E5489" t="s">
        <v>63</v>
      </c>
      <c r="F5489" t="s">
        <v>72</v>
      </c>
      <c r="G5489" s="4">
        <v>3</v>
      </c>
      <c r="H5489" s="4" t="s">
        <v>78</v>
      </c>
      <c r="I5489" s="4" t="s">
        <v>69</v>
      </c>
      <c r="J5489" s="4" t="s">
        <v>66</v>
      </c>
      <c r="K5489" s="4">
        <v>0</v>
      </c>
      <c r="L5489" s="94">
        <v>-4495</v>
      </c>
      <c r="M5489" s="94">
        <v>0</v>
      </c>
    </row>
    <row r="5490" spans="3:13" x14ac:dyDescent="0.3">
      <c r="C5490" t="s">
        <v>61</v>
      </c>
      <c r="D5490" t="s">
        <v>67</v>
      </c>
      <c r="E5490" t="s">
        <v>63</v>
      </c>
      <c r="F5490" t="s">
        <v>72</v>
      </c>
      <c r="G5490" s="4">
        <v>1</v>
      </c>
      <c r="H5490" s="4" t="s">
        <v>14</v>
      </c>
      <c r="I5490" s="4" t="s">
        <v>65</v>
      </c>
      <c r="J5490" s="4" t="s">
        <v>66</v>
      </c>
      <c r="K5490" s="4">
        <v>1</v>
      </c>
      <c r="L5490" s="94">
        <v>-15</v>
      </c>
      <c r="M5490" s="94">
        <v>0</v>
      </c>
    </row>
    <row r="5491" spans="3:13" x14ac:dyDescent="0.3">
      <c r="C5491" t="s">
        <v>61</v>
      </c>
      <c r="D5491" t="s">
        <v>67</v>
      </c>
      <c r="E5491" t="s">
        <v>63</v>
      </c>
      <c r="F5491" t="s">
        <v>72</v>
      </c>
      <c r="G5491" s="4">
        <v>4</v>
      </c>
      <c r="H5491" s="4" t="s">
        <v>64</v>
      </c>
      <c r="I5491" s="4" t="s">
        <v>69</v>
      </c>
      <c r="J5491" s="4" t="s">
        <v>66</v>
      </c>
      <c r="K5491" s="4">
        <v>0</v>
      </c>
      <c r="L5491" s="94">
        <v>-22096</v>
      </c>
      <c r="M5491" s="94">
        <v>0</v>
      </c>
    </row>
    <row r="5492" spans="3:13" x14ac:dyDescent="0.3">
      <c r="C5492" t="s">
        <v>70</v>
      </c>
      <c r="D5492" t="s">
        <v>67</v>
      </c>
      <c r="E5492" t="s">
        <v>63</v>
      </c>
      <c r="F5492" t="s">
        <v>26</v>
      </c>
      <c r="G5492" s="4">
        <v>-1</v>
      </c>
      <c r="H5492" s="4" t="s">
        <v>14</v>
      </c>
      <c r="I5492" s="4" t="s">
        <v>69</v>
      </c>
      <c r="J5492" s="4" t="s">
        <v>66</v>
      </c>
      <c r="K5492" s="4">
        <v>0</v>
      </c>
      <c r="L5492" s="94">
        <v>-890239</v>
      </c>
      <c r="M5492" s="94">
        <v>0</v>
      </c>
    </row>
    <row r="5493" spans="3:13" x14ac:dyDescent="0.3">
      <c r="C5493" t="s">
        <v>61</v>
      </c>
      <c r="D5493" t="s">
        <v>67</v>
      </c>
      <c r="E5493" t="s">
        <v>63</v>
      </c>
      <c r="F5493" t="s">
        <v>72</v>
      </c>
      <c r="G5493" s="4">
        <v>7</v>
      </c>
      <c r="H5493" s="4" t="s">
        <v>17</v>
      </c>
      <c r="I5493" s="4" t="s">
        <v>69</v>
      </c>
      <c r="J5493" s="4" t="s">
        <v>66</v>
      </c>
      <c r="K5493" s="4">
        <v>0</v>
      </c>
      <c r="L5493" s="94">
        <v>-1210</v>
      </c>
      <c r="M5493" s="94">
        <v>0</v>
      </c>
    </row>
    <row r="5494" spans="3:13" x14ac:dyDescent="0.3">
      <c r="C5494" t="s">
        <v>61</v>
      </c>
      <c r="D5494" t="s">
        <v>67</v>
      </c>
      <c r="E5494" t="s">
        <v>63</v>
      </c>
      <c r="F5494" t="s">
        <v>72</v>
      </c>
      <c r="G5494" s="4">
        <v>1</v>
      </c>
      <c r="H5494" s="4" t="s">
        <v>15</v>
      </c>
      <c r="I5494" s="4" t="s">
        <v>69</v>
      </c>
      <c r="J5494" s="4" t="s">
        <v>73</v>
      </c>
      <c r="K5494" s="4">
        <v>1</v>
      </c>
      <c r="L5494" s="94">
        <v>-469</v>
      </c>
      <c r="M5494" s="94">
        <v>0</v>
      </c>
    </row>
    <row r="5495" spans="3:13" x14ac:dyDescent="0.3">
      <c r="C5495" t="s">
        <v>70</v>
      </c>
      <c r="D5495" t="s">
        <v>67</v>
      </c>
      <c r="E5495" t="s">
        <v>63</v>
      </c>
      <c r="F5495" t="s">
        <v>25</v>
      </c>
      <c r="G5495" s="4">
        <v>4</v>
      </c>
      <c r="H5495" s="4" t="s">
        <v>14</v>
      </c>
      <c r="I5495" s="4" t="s">
        <v>69</v>
      </c>
      <c r="J5495" s="4" t="s">
        <v>66</v>
      </c>
      <c r="K5495" s="4">
        <v>1</v>
      </c>
      <c r="L5495" s="94">
        <v>-25988</v>
      </c>
      <c r="M5495" s="94">
        <v>0</v>
      </c>
    </row>
    <row r="5496" spans="3:13" x14ac:dyDescent="0.3">
      <c r="C5496" t="s">
        <v>61</v>
      </c>
      <c r="D5496" t="s">
        <v>67</v>
      </c>
      <c r="E5496" t="s">
        <v>63</v>
      </c>
      <c r="F5496" t="s">
        <v>25</v>
      </c>
      <c r="G5496" s="4">
        <v>5</v>
      </c>
      <c r="H5496" s="4" t="s">
        <v>79</v>
      </c>
      <c r="I5496" s="4" t="s">
        <v>65</v>
      </c>
      <c r="J5496" s="4" t="s">
        <v>66</v>
      </c>
      <c r="K5496" s="4">
        <v>1</v>
      </c>
      <c r="L5496" s="94">
        <v>-36</v>
      </c>
      <c r="M5496" s="94">
        <v>0</v>
      </c>
    </row>
    <row r="5497" spans="3:13" x14ac:dyDescent="0.3">
      <c r="C5497" t="s">
        <v>61</v>
      </c>
      <c r="D5497" t="s">
        <v>67</v>
      </c>
      <c r="E5497" t="s">
        <v>68</v>
      </c>
      <c r="F5497" t="s">
        <v>72</v>
      </c>
      <c r="G5497" s="4">
        <v>4</v>
      </c>
      <c r="H5497" s="4" t="s">
        <v>13</v>
      </c>
      <c r="I5497" s="4" t="s">
        <v>69</v>
      </c>
      <c r="J5497" s="4" t="s">
        <v>66</v>
      </c>
      <c r="K5497" s="4">
        <v>0</v>
      </c>
      <c r="L5497" s="94">
        <v>814067</v>
      </c>
      <c r="M5497" s="94">
        <v>3256268</v>
      </c>
    </row>
    <row r="5498" spans="3:13" x14ac:dyDescent="0.3">
      <c r="C5498" t="s">
        <v>70</v>
      </c>
      <c r="D5498" t="s">
        <v>67</v>
      </c>
      <c r="E5498" t="s">
        <v>68</v>
      </c>
      <c r="F5498" t="s">
        <v>25</v>
      </c>
      <c r="G5498" s="4">
        <v>8</v>
      </c>
      <c r="H5498" s="4" t="s">
        <v>76</v>
      </c>
      <c r="I5498" s="4" t="s">
        <v>69</v>
      </c>
      <c r="J5498" s="4" t="s">
        <v>66</v>
      </c>
      <c r="K5498" s="4">
        <v>0</v>
      </c>
      <c r="L5498" s="94">
        <v>921107</v>
      </c>
      <c r="M5498" s="94">
        <v>7368856</v>
      </c>
    </row>
    <row r="5499" spans="3:13" x14ac:dyDescent="0.3">
      <c r="C5499" t="s">
        <v>70</v>
      </c>
      <c r="D5499" t="s">
        <v>62</v>
      </c>
      <c r="E5499" t="s">
        <v>63</v>
      </c>
      <c r="F5499" t="s">
        <v>24</v>
      </c>
      <c r="G5499" s="4">
        <v>30</v>
      </c>
      <c r="I5499" s="4" t="s">
        <v>65</v>
      </c>
      <c r="J5499" s="4" t="s">
        <v>66</v>
      </c>
      <c r="K5499" s="4">
        <v>1</v>
      </c>
      <c r="L5499" s="94">
        <v>-33576</v>
      </c>
      <c r="M5499" s="94">
        <v>0</v>
      </c>
    </row>
    <row r="5500" spans="3:13" x14ac:dyDescent="0.3">
      <c r="C5500" t="s">
        <v>70</v>
      </c>
      <c r="D5500" t="s">
        <v>67</v>
      </c>
      <c r="E5500" t="s">
        <v>63</v>
      </c>
      <c r="F5500" t="s">
        <v>72</v>
      </c>
      <c r="G5500" s="4">
        <v>6</v>
      </c>
      <c r="H5500" s="4" t="s">
        <v>82</v>
      </c>
      <c r="I5500" s="4" t="s">
        <v>69</v>
      </c>
      <c r="J5500" s="4" t="s">
        <v>66</v>
      </c>
      <c r="K5500" s="4">
        <v>0</v>
      </c>
      <c r="L5500" s="94">
        <v>-84139</v>
      </c>
      <c r="M5500" s="94">
        <v>0</v>
      </c>
    </row>
    <row r="5501" spans="3:13" x14ac:dyDescent="0.3">
      <c r="C5501" t="s">
        <v>70</v>
      </c>
      <c r="D5501" t="s">
        <v>62</v>
      </c>
      <c r="E5501" t="s">
        <v>63</v>
      </c>
      <c r="F5501" t="s">
        <v>24</v>
      </c>
      <c r="G5501" s="4">
        <v>8</v>
      </c>
      <c r="I5501" s="4" t="s">
        <v>69</v>
      </c>
      <c r="J5501" s="4" t="s">
        <v>66</v>
      </c>
      <c r="K5501" s="4">
        <v>0</v>
      </c>
      <c r="L5501" s="94">
        <v>-380932</v>
      </c>
      <c r="M5501" s="94">
        <v>0</v>
      </c>
    </row>
    <row r="5502" spans="3:13" x14ac:dyDescent="0.3">
      <c r="C5502" t="s">
        <v>70</v>
      </c>
      <c r="D5502" t="s">
        <v>62</v>
      </c>
      <c r="E5502" t="s">
        <v>68</v>
      </c>
      <c r="F5502" t="s">
        <v>25</v>
      </c>
      <c r="G5502" s="4">
        <v>23</v>
      </c>
      <c r="I5502" s="4" t="s">
        <v>69</v>
      </c>
      <c r="J5502" s="4" t="s">
        <v>66</v>
      </c>
      <c r="K5502" s="4">
        <v>0</v>
      </c>
      <c r="L5502" s="94">
        <v>129328</v>
      </c>
      <c r="M5502" s="94">
        <v>2974544</v>
      </c>
    </row>
    <row r="5503" spans="3:13" x14ac:dyDescent="0.3">
      <c r="C5503" t="s">
        <v>61</v>
      </c>
      <c r="D5503" t="s">
        <v>67</v>
      </c>
      <c r="E5503" t="s">
        <v>63</v>
      </c>
      <c r="F5503" t="s">
        <v>26</v>
      </c>
      <c r="G5503" s="4">
        <v>1</v>
      </c>
      <c r="H5503" s="4" t="s">
        <v>14</v>
      </c>
      <c r="I5503" s="4" t="s">
        <v>69</v>
      </c>
      <c r="J5503" s="4" t="s">
        <v>73</v>
      </c>
      <c r="K5503" s="4">
        <v>1</v>
      </c>
      <c r="L5503" s="94">
        <v>-184428</v>
      </c>
      <c r="M5503" s="94">
        <v>0</v>
      </c>
    </row>
    <row r="5504" spans="3:13" x14ac:dyDescent="0.3">
      <c r="C5504" t="s">
        <v>70</v>
      </c>
      <c r="D5504" t="s">
        <v>67</v>
      </c>
      <c r="E5504" t="s">
        <v>68</v>
      </c>
      <c r="F5504" t="s">
        <v>72</v>
      </c>
      <c r="G5504" s="4">
        <v>0</v>
      </c>
      <c r="H5504" s="4" t="s">
        <v>17</v>
      </c>
      <c r="I5504" s="4" t="s">
        <v>69</v>
      </c>
      <c r="J5504" s="4" t="s">
        <v>66</v>
      </c>
      <c r="K5504" s="4">
        <v>0</v>
      </c>
      <c r="L5504" s="94">
        <v>1154777</v>
      </c>
      <c r="M5504" s="94">
        <v>0</v>
      </c>
    </row>
    <row r="5505" spans="3:13" x14ac:dyDescent="0.3">
      <c r="C5505" t="s">
        <v>70</v>
      </c>
      <c r="D5505" t="s">
        <v>67</v>
      </c>
      <c r="E5505" t="s">
        <v>68</v>
      </c>
      <c r="F5505" t="s">
        <v>25</v>
      </c>
      <c r="G5505" s="4">
        <v>1</v>
      </c>
      <c r="H5505" s="4" t="s">
        <v>74</v>
      </c>
      <c r="I5505" s="4" t="s">
        <v>69</v>
      </c>
      <c r="J5505" s="4" t="s">
        <v>66</v>
      </c>
      <c r="K5505" s="4">
        <v>0</v>
      </c>
      <c r="L5505" s="94">
        <v>577253</v>
      </c>
      <c r="M5505" s="94">
        <v>577253</v>
      </c>
    </row>
    <row r="5506" spans="3:13" x14ac:dyDescent="0.3">
      <c r="C5506" t="s">
        <v>70</v>
      </c>
      <c r="D5506" t="s">
        <v>67</v>
      </c>
      <c r="E5506" t="s">
        <v>68</v>
      </c>
      <c r="F5506" t="s">
        <v>26</v>
      </c>
      <c r="G5506" s="4">
        <v>-1</v>
      </c>
      <c r="H5506" s="4" t="s">
        <v>64</v>
      </c>
      <c r="I5506" s="4" t="s">
        <v>69</v>
      </c>
      <c r="J5506" s="4" t="s">
        <v>66</v>
      </c>
      <c r="K5506" s="4">
        <v>0</v>
      </c>
      <c r="L5506" s="94">
        <v>7210881</v>
      </c>
      <c r="M5506" s="94">
        <v>0</v>
      </c>
    </row>
    <row r="5507" spans="3:13" x14ac:dyDescent="0.3">
      <c r="C5507" t="s">
        <v>61</v>
      </c>
      <c r="D5507" t="s">
        <v>67</v>
      </c>
      <c r="E5507" t="s">
        <v>68</v>
      </c>
      <c r="F5507" t="s">
        <v>26</v>
      </c>
      <c r="G5507" s="4">
        <v>3</v>
      </c>
      <c r="H5507" s="4" t="s">
        <v>17</v>
      </c>
      <c r="I5507" s="4" t="s">
        <v>65</v>
      </c>
      <c r="J5507" s="4" t="s">
        <v>66</v>
      </c>
      <c r="K5507" s="4">
        <v>1</v>
      </c>
      <c r="L5507" s="94">
        <v>212038</v>
      </c>
      <c r="M5507" s="94">
        <v>636114</v>
      </c>
    </row>
    <row r="5508" spans="3:13" x14ac:dyDescent="0.3">
      <c r="C5508" t="s">
        <v>61</v>
      </c>
      <c r="D5508" t="s">
        <v>67</v>
      </c>
      <c r="E5508" t="s">
        <v>63</v>
      </c>
      <c r="F5508" t="s">
        <v>26</v>
      </c>
      <c r="G5508" s="4">
        <v>5</v>
      </c>
      <c r="H5508" s="4" t="s">
        <v>76</v>
      </c>
      <c r="I5508" s="4" t="s">
        <v>69</v>
      </c>
      <c r="J5508" s="4" t="s">
        <v>66</v>
      </c>
      <c r="K5508" s="4">
        <v>0</v>
      </c>
      <c r="L5508" s="94">
        <v>-39276</v>
      </c>
      <c r="M5508" s="94">
        <v>0</v>
      </c>
    </row>
    <row r="5509" spans="3:13" x14ac:dyDescent="0.3">
      <c r="C5509" t="s">
        <v>71</v>
      </c>
      <c r="D5509" t="s">
        <v>67</v>
      </c>
      <c r="E5509" t="s">
        <v>63</v>
      </c>
      <c r="F5509" t="s">
        <v>26</v>
      </c>
      <c r="G5509" s="4">
        <v>-1</v>
      </c>
      <c r="H5509" s="4" t="s">
        <v>75</v>
      </c>
      <c r="I5509" s="4" t="s">
        <v>65</v>
      </c>
      <c r="J5509" s="4" t="s">
        <v>66</v>
      </c>
      <c r="K5509" s="4">
        <v>1</v>
      </c>
      <c r="L5509" s="94">
        <v>-22226</v>
      </c>
      <c r="M5509" s="94">
        <v>0</v>
      </c>
    </row>
    <row r="5510" spans="3:13" x14ac:dyDescent="0.3">
      <c r="C5510" t="s">
        <v>61</v>
      </c>
      <c r="D5510" t="s">
        <v>67</v>
      </c>
      <c r="E5510" t="s">
        <v>68</v>
      </c>
      <c r="F5510" t="s">
        <v>26</v>
      </c>
      <c r="G5510" s="4">
        <v>3</v>
      </c>
      <c r="H5510" s="4" t="s">
        <v>12</v>
      </c>
      <c r="I5510" s="4" t="s">
        <v>69</v>
      </c>
      <c r="J5510" s="4" t="s">
        <v>73</v>
      </c>
      <c r="K5510" s="4">
        <v>1</v>
      </c>
      <c r="L5510" s="94">
        <v>7952479</v>
      </c>
      <c r="M5510" s="94">
        <v>23857437</v>
      </c>
    </row>
    <row r="5511" spans="3:13" x14ac:dyDescent="0.3">
      <c r="C5511" t="s">
        <v>61</v>
      </c>
      <c r="D5511" t="s">
        <v>67</v>
      </c>
      <c r="E5511" t="s">
        <v>63</v>
      </c>
      <c r="F5511" t="s">
        <v>25</v>
      </c>
      <c r="G5511" s="4">
        <v>5</v>
      </c>
      <c r="H5511" s="4" t="s">
        <v>16</v>
      </c>
      <c r="I5511" s="4" t="s">
        <v>69</v>
      </c>
      <c r="J5511" s="4" t="s">
        <v>66</v>
      </c>
      <c r="K5511" s="4">
        <v>0</v>
      </c>
      <c r="L5511" s="94">
        <v>-729</v>
      </c>
      <c r="M5511" s="94">
        <v>0</v>
      </c>
    </row>
    <row r="5512" spans="3:13" x14ac:dyDescent="0.3">
      <c r="C5512" t="s">
        <v>61</v>
      </c>
      <c r="D5512" t="s">
        <v>67</v>
      </c>
      <c r="E5512" t="s">
        <v>68</v>
      </c>
      <c r="F5512" t="s">
        <v>25</v>
      </c>
      <c r="G5512" s="4">
        <v>14</v>
      </c>
      <c r="H5512" s="4" t="s">
        <v>64</v>
      </c>
      <c r="I5512" s="4" t="s">
        <v>69</v>
      </c>
      <c r="J5512" s="4" t="s">
        <v>66</v>
      </c>
      <c r="K5512" s="4">
        <v>0</v>
      </c>
      <c r="L5512" s="94">
        <v>295739</v>
      </c>
      <c r="M5512" s="94">
        <v>4140346</v>
      </c>
    </row>
    <row r="5513" spans="3:13" x14ac:dyDescent="0.3">
      <c r="C5513" t="s">
        <v>70</v>
      </c>
      <c r="D5513" t="s">
        <v>67</v>
      </c>
      <c r="E5513" t="s">
        <v>68</v>
      </c>
      <c r="F5513" t="s">
        <v>25</v>
      </c>
      <c r="G5513" s="4">
        <v>15</v>
      </c>
      <c r="H5513" s="4" t="s">
        <v>14</v>
      </c>
      <c r="I5513" s="4" t="s">
        <v>69</v>
      </c>
      <c r="J5513" s="4" t="s">
        <v>66</v>
      </c>
      <c r="K5513" s="4">
        <v>0</v>
      </c>
      <c r="L5513" s="94">
        <v>178307</v>
      </c>
      <c r="M5513" s="94">
        <v>2674605</v>
      </c>
    </row>
    <row r="5514" spans="3:13" x14ac:dyDescent="0.3">
      <c r="C5514" t="s">
        <v>71</v>
      </c>
      <c r="D5514" t="s">
        <v>62</v>
      </c>
      <c r="E5514" t="s">
        <v>63</v>
      </c>
      <c r="F5514" t="s">
        <v>24</v>
      </c>
      <c r="G5514" s="4">
        <v>30</v>
      </c>
      <c r="I5514" s="4" t="s">
        <v>65</v>
      </c>
      <c r="J5514" s="4" t="s">
        <v>66</v>
      </c>
      <c r="K5514" s="4">
        <v>1</v>
      </c>
      <c r="L5514" s="94">
        <v>-92921</v>
      </c>
      <c r="M5514" s="94">
        <v>0</v>
      </c>
    </row>
    <row r="5515" spans="3:13" x14ac:dyDescent="0.3">
      <c r="C5515" t="s">
        <v>61</v>
      </c>
      <c r="D5515" t="s">
        <v>62</v>
      </c>
      <c r="E5515" t="s">
        <v>63</v>
      </c>
      <c r="F5515" t="s">
        <v>25</v>
      </c>
      <c r="G5515" s="4">
        <v>13</v>
      </c>
      <c r="I5515" s="4" t="s">
        <v>65</v>
      </c>
      <c r="J5515" s="4" t="s">
        <v>66</v>
      </c>
      <c r="K5515" s="4">
        <v>1</v>
      </c>
      <c r="L5515" s="94">
        <v>-169</v>
      </c>
      <c r="M5515" s="94">
        <v>0</v>
      </c>
    </row>
    <row r="5516" spans="3:13" x14ac:dyDescent="0.3">
      <c r="C5516" t="s">
        <v>61</v>
      </c>
      <c r="D5516" t="s">
        <v>84</v>
      </c>
      <c r="E5516" t="s">
        <v>63</v>
      </c>
      <c r="F5516" t="s">
        <v>25</v>
      </c>
      <c r="G5516" s="4">
        <v>11</v>
      </c>
      <c r="H5516" s="4" t="s">
        <v>81</v>
      </c>
      <c r="I5516" s="4" t="s">
        <v>69</v>
      </c>
      <c r="J5516" s="4" t="s">
        <v>66</v>
      </c>
      <c r="K5516" s="4">
        <v>0</v>
      </c>
      <c r="L5516" s="94">
        <v>-125</v>
      </c>
      <c r="M5516" s="94">
        <v>0</v>
      </c>
    </row>
    <row r="5517" spans="3:13" x14ac:dyDescent="0.3">
      <c r="C5517" t="s">
        <v>71</v>
      </c>
      <c r="D5517" t="s">
        <v>67</v>
      </c>
      <c r="E5517" t="s">
        <v>63</v>
      </c>
      <c r="F5517" t="s">
        <v>26</v>
      </c>
      <c r="G5517" s="4">
        <v>11</v>
      </c>
      <c r="H5517" s="4" t="s">
        <v>64</v>
      </c>
      <c r="I5517" s="4" t="s">
        <v>69</v>
      </c>
      <c r="J5517" s="4" t="s">
        <v>66</v>
      </c>
      <c r="K5517" s="4">
        <v>0</v>
      </c>
      <c r="L5517" s="94">
        <v>-4361741</v>
      </c>
      <c r="M5517" s="94">
        <v>0</v>
      </c>
    </row>
    <row r="5518" spans="3:13" x14ac:dyDescent="0.3">
      <c r="C5518" t="s">
        <v>71</v>
      </c>
      <c r="D5518" t="s">
        <v>62</v>
      </c>
      <c r="E5518" t="s">
        <v>68</v>
      </c>
      <c r="F5518" t="s">
        <v>24</v>
      </c>
      <c r="G5518" s="4">
        <v>10</v>
      </c>
      <c r="I5518" s="4" t="s">
        <v>69</v>
      </c>
      <c r="J5518" s="4" t="s">
        <v>66</v>
      </c>
      <c r="K5518" s="4">
        <v>1</v>
      </c>
      <c r="L5518" s="94">
        <v>92351</v>
      </c>
      <c r="M5518" s="94">
        <v>923510</v>
      </c>
    </row>
    <row r="5519" spans="3:13" x14ac:dyDescent="0.3">
      <c r="C5519" t="s">
        <v>70</v>
      </c>
      <c r="D5519" t="s">
        <v>67</v>
      </c>
      <c r="E5519" t="s">
        <v>63</v>
      </c>
      <c r="F5519" t="s">
        <v>26</v>
      </c>
      <c r="G5519" s="4">
        <v>7</v>
      </c>
      <c r="H5519" s="4" t="s">
        <v>83</v>
      </c>
      <c r="I5519" s="4" t="s">
        <v>69</v>
      </c>
      <c r="J5519" s="4" t="s">
        <v>66</v>
      </c>
      <c r="K5519" s="4">
        <v>0</v>
      </c>
      <c r="L5519" s="94">
        <v>-756</v>
      </c>
      <c r="M5519" s="94">
        <v>0</v>
      </c>
    </row>
    <row r="5520" spans="3:13" x14ac:dyDescent="0.3">
      <c r="C5520" t="s">
        <v>61</v>
      </c>
      <c r="D5520" t="s">
        <v>67</v>
      </c>
      <c r="E5520" t="s">
        <v>68</v>
      </c>
      <c r="F5520" t="s">
        <v>26</v>
      </c>
      <c r="G5520" s="4">
        <v>5</v>
      </c>
      <c r="H5520" s="4" t="s">
        <v>82</v>
      </c>
      <c r="I5520" s="4" t="s">
        <v>65</v>
      </c>
      <c r="J5520" s="4" t="s">
        <v>66</v>
      </c>
      <c r="K5520" s="4">
        <v>1</v>
      </c>
      <c r="L5520" s="94">
        <v>1910976</v>
      </c>
      <c r="M5520" s="94">
        <v>9554880</v>
      </c>
    </row>
    <row r="5521" spans="3:13" x14ac:dyDescent="0.3">
      <c r="C5521" t="s">
        <v>61</v>
      </c>
      <c r="D5521" t="s">
        <v>67</v>
      </c>
      <c r="E5521" t="s">
        <v>68</v>
      </c>
      <c r="F5521" t="s">
        <v>25</v>
      </c>
      <c r="G5521" s="4">
        <v>5</v>
      </c>
      <c r="H5521" s="4" t="s">
        <v>74</v>
      </c>
      <c r="I5521" s="4" t="s">
        <v>69</v>
      </c>
      <c r="J5521" s="4" t="s">
        <v>66</v>
      </c>
      <c r="K5521" s="4">
        <v>0</v>
      </c>
      <c r="L5521" s="94">
        <v>10008720</v>
      </c>
      <c r="M5521" s="94">
        <v>50043600</v>
      </c>
    </row>
    <row r="5522" spans="3:13" x14ac:dyDescent="0.3">
      <c r="C5522" t="s">
        <v>71</v>
      </c>
      <c r="D5522" t="s">
        <v>67</v>
      </c>
      <c r="E5522" t="s">
        <v>63</v>
      </c>
      <c r="F5522" t="s">
        <v>25</v>
      </c>
      <c r="G5522" s="4">
        <v>2</v>
      </c>
      <c r="H5522" s="4" t="s">
        <v>76</v>
      </c>
      <c r="I5522" s="4" t="s">
        <v>69</v>
      </c>
      <c r="J5522" s="4" t="s">
        <v>66</v>
      </c>
      <c r="K5522" s="4">
        <v>0</v>
      </c>
      <c r="L5522" s="94">
        <v>-186081</v>
      </c>
      <c r="M5522" s="94">
        <v>0</v>
      </c>
    </row>
    <row r="5523" spans="3:13" x14ac:dyDescent="0.3">
      <c r="C5523" t="s">
        <v>71</v>
      </c>
      <c r="D5523" t="s">
        <v>62</v>
      </c>
      <c r="E5523" t="s">
        <v>68</v>
      </c>
      <c r="F5523" t="s">
        <v>24</v>
      </c>
      <c r="G5523" s="4">
        <v>7</v>
      </c>
      <c r="I5523" s="4" t="s">
        <v>69</v>
      </c>
      <c r="J5523" s="4" t="s">
        <v>66</v>
      </c>
      <c r="K5523" s="4">
        <v>0</v>
      </c>
      <c r="L5523" s="94">
        <v>2394159</v>
      </c>
      <c r="M5523" s="94">
        <v>16759113</v>
      </c>
    </row>
    <row r="5524" spans="3:13" x14ac:dyDescent="0.3">
      <c r="C5524" t="s">
        <v>71</v>
      </c>
      <c r="D5524" t="s">
        <v>62</v>
      </c>
      <c r="E5524" t="s">
        <v>63</v>
      </c>
      <c r="F5524" t="s">
        <v>24</v>
      </c>
      <c r="G5524" s="4">
        <v>8</v>
      </c>
      <c r="I5524" s="4" t="s">
        <v>69</v>
      </c>
      <c r="J5524" s="4" t="s">
        <v>66</v>
      </c>
      <c r="K5524" s="4">
        <v>0</v>
      </c>
      <c r="L5524" s="94">
        <v>-719456</v>
      </c>
      <c r="M5524" s="94">
        <v>0</v>
      </c>
    </row>
    <row r="5525" spans="3:13" x14ac:dyDescent="0.3">
      <c r="C5525" t="s">
        <v>61</v>
      </c>
      <c r="D5525" t="s">
        <v>67</v>
      </c>
      <c r="E5525" t="s">
        <v>63</v>
      </c>
      <c r="F5525" t="s">
        <v>72</v>
      </c>
      <c r="G5525" s="4">
        <v>6</v>
      </c>
      <c r="H5525" s="4" t="s">
        <v>82</v>
      </c>
      <c r="I5525" s="4" t="s">
        <v>69</v>
      </c>
      <c r="J5525" s="4" t="s">
        <v>66</v>
      </c>
      <c r="K5525" s="4">
        <v>0</v>
      </c>
      <c r="L5525" s="94">
        <v>-5831</v>
      </c>
      <c r="M5525" s="94">
        <v>0</v>
      </c>
    </row>
    <row r="5526" spans="3:13" x14ac:dyDescent="0.3">
      <c r="C5526" t="s">
        <v>61</v>
      </c>
      <c r="D5526" t="s">
        <v>67</v>
      </c>
      <c r="E5526" t="s">
        <v>63</v>
      </c>
      <c r="F5526" t="s">
        <v>25</v>
      </c>
      <c r="G5526" s="4">
        <v>9</v>
      </c>
      <c r="H5526" s="4" t="s">
        <v>18</v>
      </c>
      <c r="I5526" s="4" t="s">
        <v>65</v>
      </c>
      <c r="J5526" s="4" t="s">
        <v>66</v>
      </c>
      <c r="K5526" s="4">
        <v>1</v>
      </c>
      <c r="L5526" s="94">
        <v>-392</v>
      </c>
      <c r="M5526" s="94">
        <v>0</v>
      </c>
    </row>
    <row r="5527" spans="3:13" x14ac:dyDescent="0.3">
      <c r="C5527" t="s">
        <v>61</v>
      </c>
      <c r="D5527" t="s">
        <v>67</v>
      </c>
      <c r="E5527" t="s">
        <v>68</v>
      </c>
      <c r="F5527" t="s">
        <v>72</v>
      </c>
      <c r="G5527" s="4">
        <v>7</v>
      </c>
      <c r="H5527" s="4" t="s">
        <v>77</v>
      </c>
      <c r="I5527" s="4" t="s">
        <v>69</v>
      </c>
      <c r="J5527" s="4" t="s">
        <v>66</v>
      </c>
      <c r="K5527" s="4">
        <v>0</v>
      </c>
      <c r="L5527" s="94">
        <v>73537</v>
      </c>
      <c r="M5527" s="94">
        <v>514759</v>
      </c>
    </row>
    <row r="5528" spans="3:13" x14ac:dyDescent="0.3">
      <c r="C5528" t="s">
        <v>61</v>
      </c>
      <c r="D5528" t="s">
        <v>67</v>
      </c>
      <c r="E5528" t="s">
        <v>68</v>
      </c>
      <c r="F5528" t="s">
        <v>26</v>
      </c>
      <c r="G5528" s="4">
        <v>12</v>
      </c>
      <c r="H5528" s="4" t="s">
        <v>12</v>
      </c>
      <c r="I5528" s="4" t="s">
        <v>69</v>
      </c>
      <c r="J5528" s="4" t="s">
        <v>73</v>
      </c>
      <c r="K5528" s="4">
        <v>1</v>
      </c>
      <c r="L5528" s="94">
        <v>2752582</v>
      </c>
      <c r="M5528" s="94">
        <v>33030984</v>
      </c>
    </row>
    <row r="5529" spans="3:13" x14ac:dyDescent="0.3">
      <c r="C5529" t="s">
        <v>70</v>
      </c>
      <c r="D5529" t="s">
        <v>67</v>
      </c>
      <c r="E5529" t="s">
        <v>68</v>
      </c>
      <c r="F5529" t="s">
        <v>26</v>
      </c>
      <c r="G5529" s="4">
        <v>0</v>
      </c>
      <c r="H5529" s="4" t="s">
        <v>18</v>
      </c>
      <c r="I5529" s="4" t="s">
        <v>69</v>
      </c>
      <c r="J5529" s="4" t="s">
        <v>66</v>
      </c>
      <c r="K5529" s="4">
        <v>0</v>
      </c>
      <c r="L5529" s="94">
        <v>15849013</v>
      </c>
      <c r="M5529" s="94">
        <v>0</v>
      </c>
    </row>
    <row r="5530" spans="3:13" x14ac:dyDescent="0.3">
      <c r="C5530" t="s">
        <v>61</v>
      </c>
      <c r="D5530" t="s">
        <v>67</v>
      </c>
      <c r="E5530" t="s">
        <v>68</v>
      </c>
      <c r="F5530" t="s">
        <v>25</v>
      </c>
      <c r="G5530" s="4">
        <v>12</v>
      </c>
      <c r="H5530" s="4" t="s">
        <v>78</v>
      </c>
      <c r="I5530" s="4" t="s">
        <v>69</v>
      </c>
      <c r="J5530" s="4" t="s">
        <v>66</v>
      </c>
      <c r="K5530" s="4">
        <v>0</v>
      </c>
      <c r="L5530" s="94">
        <v>2426403</v>
      </c>
      <c r="M5530" s="94">
        <v>29116836</v>
      </c>
    </row>
    <row r="5531" spans="3:13" x14ac:dyDescent="0.3">
      <c r="C5531" t="s">
        <v>70</v>
      </c>
      <c r="D5531" t="s">
        <v>62</v>
      </c>
      <c r="E5531" t="s">
        <v>63</v>
      </c>
      <c r="F5531" t="s">
        <v>24</v>
      </c>
      <c r="G5531" s="4">
        <v>19</v>
      </c>
      <c r="I5531" s="4" t="s">
        <v>69</v>
      </c>
      <c r="J5531" s="4" t="s">
        <v>66</v>
      </c>
      <c r="K5531" s="4">
        <v>1</v>
      </c>
      <c r="L5531" s="94">
        <v>-4206</v>
      </c>
      <c r="M5531" s="94">
        <v>0</v>
      </c>
    </row>
    <row r="5532" spans="3:13" x14ac:dyDescent="0.3">
      <c r="C5532" t="s">
        <v>61</v>
      </c>
      <c r="D5532" t="s">
        <v>67</v>
      </c>
      <c r="E5532" t="s">
        <v>68</v>
      </c>
      <c r="F5532" t="s">
        <v>26</v>
      </c>
      <c r="G5532" s="4">
        <v>-1</v>
      </c>
      <c r="H5532" s="4" t="s">
        <v>14</v>
      </c>
      <c r="I5532" s="4" t="s">
        <v>69</v>
      </c>
      <c r="J5532" s="4" t="s">
        <v>73</v>
      </c>
      <c r="K5532" s="4">
        <v>1</v>
      </c>
      <c r="L5532" s="94">
        <v>87929546</v>
      </c>
      <c r="M5532" s="94">
        <v>0</v>
      </c>
    </row>
    <row r="5533" spans="3:13" x14ac:dyDescent="0.3">
      <c r="C5533" t="s">
        <v>61</v>
      </c>
      <c r="D5533" t="s">
        <v>67</v>
      </c>
      <c r="E5533" t="s">
        <v>68</v>
      </c>
      <c r="F5533" t="s">
        <v>26</v>
      </c>
      <c r="G5533" s="4">
        <v>-1</v>
      </c>
      <c r="H5533" s="4" t="s">
        <v>15</v>
      </c>
      <c r="I5533" s="4" t="s">
        <v>65</v>
      </c>
      <c r="J5533" s="4" t="s">
        <v>66</v>
      </c>
      <c r="K5533" s="4">
        <v>1</v>
      </c>
      <c r="L5533" s="94">
        <v>552</v>
      </c>
      <c r="M5533" s="94">
        <v>0</v>
      </c>
    </row>
    <row r="5534" spans="3:13" x14ac:dyDescent="0.3">
      <c r="C5534" t="s">
        <v>61</v>
      </c>
      <c r="D5534" t="s">
        <v>67</v>
      </c>
      <c r="E5534" t="s">
        <v>63</v>
      </c>
      <c r="F5534" t="s">
        <v>25</v>
      </c>
      <c r="G5534" s="4">
        <v>14</v>
      </c>
      <c r="H5534" s="4" t="s">
        <v>75</v>
      </c>
      <c r="I5534" s="4" t="s">
        <v>69</v>
      </c>
      <c r="J5534" s="4" t="s">
        <v>66</v>
      </c>
      <c r="K5534" s="4">
        <v>0</v>
      </c>
      <c r="L5534" s="94">
        <v>-32055</v>
      </c>
      <c r="M5534" s="94">
        <v>0</v>
      </c>
    </row>
    <row r="5535" spans="3:13" x14ac:dyDescent="0.3">
      <c r="C5535" t="s">
        <v>71</v>
      </c>
      <c r="D5535" t="s">
        <v>67</v>
      </c>
      <c r="E5535" t="s">
        <v>63</v>
      </c>
      <c r="F5535" t="s">
        <v>26</v>
      </c>
      <c r="G5535" s="4">
        <v>4</v>
      </c>
      <c r="H5535" s="4" t="s">
        <v>13</v>
      </c>
      <c r="I5535" s="4" t="s">
        <v>69</v>
      </c>
      <c r="J5535" s="4" t="s">
        <v>73</v>
      </c>
      <c r="K5535" s="4">
        <v>1</v>
      </c>
      <c r="L5535" s="94">
        <v>-128901</v>
      </c>
      <c r="M5535" s="94">
        <v>0</v>
      </c>
    </row>
    <row r="5536" spans="3:13" x14ac:dyDescent="0.3"/>
    <row r="5537" hidden="1" x14ac:dyDescent="0.3"/>
    <row r="5538" hidden="1" x14ac:dyDescent="0.3"/>
    <row r="5539" hidden="1" x14ac:dyDescent="0.3"/>
    <row r="5540" hidden="1" x14ac:dyDescent="0.3"/>
    <row r="5541" hidden="1" x14ac:dyDescent="0.3"/>
    <row r="5542" hidden="1" x14ac:dyDescent="0.3"/>
    <row r="5543" hidden="1" x14ac:dyDescent="0.3"/>
    <row r="5544" hidden="1" x14ac:dyDescent="0.3"/>
    <row r="5545" hidden="1" x14ac:dyDescent="0.3"/>
    <row r="5546" hidden="1" x14ac:dyDescent="0.3"/>
    <row r="5547" hidden="1" x14ac:dyDescent="0.3"/>
    <row r="5548" hidden="1" x14ac:dyDescent="0.3"/>
    <row r="5549" hidden="1" x14ac:dyDescent="0.3"/>
    <row r="5550" hidden="1" x14ac:dyDescent="0.3"/>
    <row r="5551" hidden="1" x14ac:dyDescent="0.3"/>
    <row r="5552" hidden="1" x14ac:dyDescent="0.3"/>
    <row r="5553" hidden="1" x14ac:dyDescent="0.3"/>
    <row r="5554" hidden="1" x14ac:dyDescent="0.3"/>
    <row r="5555" hidden="1" x14ac:dyDescent="0.3"/>
    <row r="5556" hidden="1" x14ac:dyDescent="0.3"/>
    <row r="5557" hidden="1" x14ac:dyDescent="0.3"/>
    <row r="5558" hidden="1" x14ac:dyDescent="0.3"/>
    <row r="5559" hidden="1" x14ac:dyDescent="0.3"/>
    <row r="5560" hidden="1" x14ac:dyDescent="0.3"/>
    <row r="5561" hidden="1" x14ac:dyDescent="0.3"/>
    <row r="5562" hidden="1" x14ac:dyDescent="0.3"/>
    <row r="5563" hidden="1" x14ac:dyDescent="0.3"/>
    <row r="5564" hidden="1" x14ac:dyDescent="0.3"/>
    <row r="5565" hidden="1" x14ac:dyDescent="0.3"/>
    <row r="5566" hidden="1" x14ac:dyDescent="0.3"/>
    <row r="5567" hidden="1" x14ac:dyDescent="0.3"/>
    <row r="5568" hidden="1" x14ac:dyDescent="0.3"/>
    <row r="5569" hidden="1" x14ac:dyDescent="0.3"/>
    <row r="5570" hidden="1" x14ac:dyDescent="0.3"/>
    <row r="5571" hidden="1" x14ac:dyDescent="0.3"/>
    <row r="5572" hidden="1" x14ac:dyDescent="0.3"/>
    <row r="5573" hidden="1" x14ac:dyDescent="0.3"/>
    <row r="5574" hidden="1" x14ac:dyDescent="0.3"/>
    <row r="5575" hidden="1" x14ac:dyDescent="0.3"/>
    <row r="5576" hidden="1" x14ac:dyDescent="0.3"/>
    <row r="5577" hidden="1" x14ac:dyDescent="0.3"/>
    <row r="5578" hidden="1" x14ac:dyDescent="0.3"/>
    <row r="5579" hidden="1" x14ac:dyDescent="0.3"/>
    <row r="5580" hidden="1" x14ac:dyDescent="0.3"/>
    <row r="5581" hidden="1" x14ac:dyDescent="0.3"/>
    <row r="5582" hidden="1" x14ac:dyDescent="0.3"/>
    <row r="5583" hidden="1" x14ac:dyDescent="0.3"/>
    <row r="5584" hidden="1" x14ac:dyDescent="0.3"/>
    <row r="5585" hidden="1" x14ac:dyDescent="0.3"/>
    <row r="5586" hidden="1" x14ac:dyDescent="0.3"/>
    <row r="5587" hidden="1" x14ac:dyDescent="0.3"/>
    <row r="5588" hidden="1" x14ac:dyDescent="0.3"/>
    <row r="5589" hidden="1" x14ac:dyDescent="0.3"/>
    <row r="5590" hidden="1" x14ac:dyDescent="0.3"/>
    <row r="5591" hidden="1" x14ac:dyDescent="0.3"/>
    <row r="5592" hidden="1" x14ac:dyDescent="0.3"/>
    <row r="5593" hidden="1" x14ac:dyDescent="0.3"/>
    <row r="5594" hidden="1" x14ac:dyDescent="0.3"/>
    <row r="5595" hidden="1" x14ac:dyDescent="0.3"/>
    <row r="5596" hidden="1" x14ac:dyDescent="0.3"/>
    <row r="5597" hidden="1" x14ac:dyDescent="0.3"/>
    <row r="5598" hidden="1" x14ac:dyDescent="0.3"/>
    <row r="5599" hidden="1" x14ac:dyDescent="0.3"/>
    <row r="5600" hidden="1" x14ac:dyDescent="0.3"/>
    <row r="5601" hidden="1" x14ac:dyDescent="0.3"/>
    <row r="5602" hidden="1" x14ac:dyDescent="0.3"/>
    <row r="5603" hidden="1" x14ac:dyDescent="0.3"/>
    <row r="5604" hidden="1" x14ac:dyDescent="0.3"/>
    <row r="5605" hidden="1" x14ac:dyDescent="0.3"/>
    <row r="5606" hidden="1" x14ac:dyDescent="0.3"/>
    <row r="5607" hidden="1" x14ac:dyDescent="0.3"/>
    <row r="5608" hidden="1" x14ac:dyDescent="0.3"/>
    <row r="5609" hidden="1" x14ac:dyDescent="0.3"/>
    <row r="5610" hidden="1" x14ac:dyDescent="0.3"/>
    <row r="5611" hidden="1" x14ac:dyDescent="0.3"/>
    <row r="5612" hidden="1" x14ac:dyDescent="0.3"/>
    <row r="5613" hidden="1" x14ac:dyDescent="0.3"/>
    <row r="5614" hidden="1" x14ac:dyDescent="0.3"/>
    <row r="5615" hidden="1" x14ac:dyDescent="0.3"/>
    <row r="5616" hidden="1" x14ac:dyDescent="0.3"/>
    <row r="5617" hidden="1" x14ac:dyDescent="0.3"/>
    <row r="5618" hidden="1" x14ac:dyDescent="0.3"/>
    <row r="5619" hidden="1" x14ac:dyDescent="0.3"/>
    <row r="5620" hidden="1" x14ac:dyDescent="0.3"/>
    <row r="5621" hidden="1" x14ac:dyDescent="0.3"/>
    <row r="5622" hidden="1" x14ac:dyDescent="0.3"/>
    <row r="5623" hidden="1" x14ac:dyDescent="0.3"/>
    <row r="5624" hidden="1" x14ac:dyDescent="0.3"/>
    <row r="5625" hidden="1" x14ac:dyDescent="0.3"/>
    <row r="5626" hidden="1" x14ac:dyDescent="0.3"/>
    <row r="5627" hidden="1" x14ac:dyDescent="0.3"/>
    <row r="5628" hidden="1" x14ac:dyDescent="0.3"/>
    <row r="5629" hidden="1" x14ac:dyDescent="0.3"/>
    <row r="5630" hidden="1" x14ac:dyDescent="0.3"/>
    <row r="5631" hidden="1" x14ac:dyDescent="0.3"/>
    <row r="5632" hidden="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S54"/>
  <sheetViews>
    <sheetView showGridLines="0" zoomScale="90" zoomScaleNormal="90" workbookViewId="0"/>
  </sheetViews>
  <sheetFormatPr defaultColWidth="8.88671875" defaultRowHeight="13.8" x14ac:dyDescent="0.3"/>
  <cols>
    <col min="1" max="1" width="3.88671875" style="60" customWidth="1"/>
    <col min="2" max="2" width="3.44140625" style="60" customWidth="1"/>
    <col min="3" max="3" width="75.5546875" style="60" customWidth="1"/>
    <col min="4" max="4" width="17" style="60" customWidth="1"/>
    <col min="5" max="5" width="16.44140625" style="60" bestFit="1" customWidth="1"/>
    <col min="6" max="11" width="16" style="60" customWidth="1"/>
    <col min="12" max="12" width="17.5546875" style="60" customWidth="1"/>
    <col min="13" max="13" width="14.109375" style="60" bestFit="1" customWidth="1"/>
    <col min="14" max="14" width="14.88671875" style="60" customWidth="1"/>
    <col min="15" max="17" width="13.5546875" style="60" bestFit="1" customWidth="1"/>
    <col min="18" max="16384" width="8.88671875" style="60"/>
  </cols>
  <sheetData>
    <row r="1" spans="1:19" ht="14.4" x14ac:dyDescent="0.3">
      <c r="C1" s="2" t="s">
        <v>90</v>
      </c>
    </row>
    <row r="4" spans="1:19" x14ac:dyDescent="0.3">
      <c r="C4" s="61" t="s">
        <v>0</v>
      </c>
      <c r="D4" s="62" t="s">
        <v>1</v>
      </c>
      <c r="E4" s="62" t="s">
        <v>2</v>
      </c>
      <c r="F4" s="62" t="s">
        <v>3</v>
      </c>
      <c r="G4" s="62" t="s">
        <v>4</v>
      </c>
      <c r="H4" s="62" t="s">
        <v>5</v>
      </c>
      <c r="I4" s="62" t="s">
        <v>6</v>
      </c>
      <c r="J4" s="62" t="s">
        <v>7</v>
      </c>
      <c r="K4" s="62" t="s">
        <v>8</v>
      </c>
      <c r="L4" s="62" t="s">
        <v>9</v>
      </c>
      <c r="M4" s="62" t="s">
        <v>10</v>
      </c>
      <c r="N4" s="63" t="s">
        <v>11</v>
      </c>
      <c r="O4" s="63" t="s">
        <v>19</v>
      </c>
      <c r="P4" s="63" t="s">
        <v>20</v>
      </c>
      <c r="Q4" s="63" t="s">
        <v>91</v>
      </c>
    </row>
    <row r="5" spans="1:19" x14ac:dyDescent="0.3">
      <c r="C5" s="105" t="s">
        <v>92</v>
      </c>
      <c r="D5" s="108" t="s">
        <v>93</v>
      </c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10"/>
    </row>
    <row r="6" spans="1:19" ht="32.25" customHeight="1" x14ac:dyDescent="0.3">
      <c r="C6" s="106"/>
      <c r="D6" s="64"/>
      <c r="E6" s="111" t="s">
        <v>94</v>
      </c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3"/>
    </row>
    <row r="7" spans="1:19" ht="52.5" customHeight="1" x14ac:dyDescent="0.3">
      <c r="C7" s="106"/>
      <c r="D7" s="64"/>
      <c r="E7" s="111" t="s">
        <v>95</v>
      </c>
      <c r="F7" s="112"/>
      <c r="G7" s="112"/>
      <c r="H7" s="112"/>
      <c r="I7" s="113"/>
      <c r="J7" s="114" t="s">
        <v>96</v>
      </c>
      <c r="K7" s="114" t="s">
        <v>97</v>
      </c>
      <c r="L7" s="116" t="s">
        <v>98</v>
      </c>
      <c r="M7" s="105" t="s">
        <v>99</v>
      </c>
      <c r="N7" s="105" t="s">
        <v>100</v>
      </c>
      <c r="O7" s="118" t="s">
        <v>101</v>
      </c>
      <c r="P7" s="119"/>
      <c r="Q7" s="120"/>
    </row>
    <row r="8" spans="1:19" ht="41.4" x14ac:dyDescent="0.3">
      <c r="A8" s="65"/>
      <c r="C8" s="107"/>
      <c r="D8" s="64"/>
      <c r="E8" s="66" t="s">
        <v>102</v>
      </c>
      <c r="F8" s="66" t="s">
        <v>103</v>
      </c>
      <c r="G8" s="66" t="s">
        <v>104</v>
      </c>
      <c r="H8" s="66" t="s">
        <v>105</v>
      </c>
      <c r="I8" s="3" t="s">
        <v>106</v>
      </c>
      <c r="J8" s="115"/>
      <c r="K8" s="115"/>
      <c r="L8" s="117"/>
      <c r="M8" s="107"/>
      <c r="N8" s="107"/>
      <c r="O8" s="67"/>
      <c r="P8" s="68" t="s">
        <v>107</v>
      </c>
      <c r="Q8" s="68" t="s">
        <v>100</v>
      </c>
      <c r="S8" s="69"/>
    </row>
    <row r="9" spans="1:19" x14ac:dyDescent="0.3">
      <c r="A9" s="70" t="s">
        <v>12</v>
      </c>
      <c r="B9" s="71">
        <v>1</v>
      </c>
      <c r="C9" s="72" t="s">
        <v>108</v>
      </c>
      <c r="D9" s="93">
        <f>(SUMIFS(Input!$L:$L,Input!$E:$E,'5.CC Physical risk'!$D$24,Input!$H:$H,'5.CC Physical risk'!$A9&amp;"*",Input!$D:$D,"outras empresas nao financeiras"))/1000000</f>
        <v>331.599605</v>
      </c>
      <c r="E9" s="99">
        <f>(SUMIFS(Input!$L:$L,Input!$K:$K,"1",Input!$E:$E,'5.CC Physical risk'!$D$24,Input!$H:$H,'5.CC Physical risk'!$A9&amp;"*",Input!$D:$D,"outras empresas nao financeiras",Input!$G:$G,"&gt;=0",Input!$G:$G,"&lt;=5")
+ SUMIFS(Input!$L:$L,Input!$K:$K,"1",Input!$E:$E,'5.CC Physical risk'!$D$24,Input!$H:$H,'5.CC Physical risk'!$A9&amp;"*",Input!$D:$D,"outras empresas nao financeiras",Input!$G:$G,"-4")
+ SUMIFS(Input!$L:$L,Input!$K:$K,"1",Input!$E:$E,'5.CC Physical risk'!$D$24,Input!$H:$H,'5.CC Physical risk'!$A9&amp;"*",Input!$D:$D,"outras empresas nao financeiras",Input!$G:$G,"-1"))/1000000</f>
        <v>170.16738000000001</v>
      </c>
      <c r="F9" s="99">
        <f>(SUMIFS(Input!$L:$L,Input!$K:$K,"1",Input!$E:$E,'5.CC Physical risk'!$D$24,Input!$H:$H,'5.CC Physical risk'!$A9&amp;"*",Input!$D:$D,"outras empresas nao financeiras",Input!$G:$G,"&gt;5",Input!$G:$G,"&lt;=10"))/1000000</f>
        <v>54.185248999999999</v>
      </c>
      <c r="G9" s="99">
        <f>(SUMIFS(Input!$L:$L,Input!$K:$K,"1",Input!$E:$E,'5.CC Physical risk'!$D$24,Input!$H:$H,'5.CC Physical risk'!$A9&amp;"*",Input!$D:$D,"outras empresas nao financeiras",Input!$G:$G,"&gt;10",Input!$G:$G,"&lt;=20"))/1000000</f>
        <v>56.237119999999997</v>
      </c>
      <c r="H9" s="99">
        <f>(SUMIFS(Input!$L:$L,Input!$K:$K,"1",Input!$E:$E,'5.CC Physical risk'!$D$24,Input!$H:$H,'5.CC Physical risk'!$A9&amp;"*",Input!$D:$D,"outras empresas nao financeiras",Input!$G:$G,"&gt;20")
+ SUMIFS(Input!$L:$L,Input!$K:$K,"1",Input!$E:$E,'5.CC Physical risk'!$D$24,Input!$H:$H,'5.CC Physical risk'!$A9&amp;"*",Input!$D:$D,"outras empresas nao financeiras",Input!$G:$G,"-2")
+ SUMIFS(Input!$L:$L,Input!$K:$K,"1",Input!$E:$E,'5.CC Physical risk'!$D$24,Input!$H:$H,'5.CC Physical risk'!$A9&amp;"*",Input!$D:$D,"outras empresas nao financeiras",Input!$G:$G,"-3")
+ SUMIFS(Input!$L:$L,Input!$K:$K,"1",Input!$E:$E,'5.CC Physical risk'!$D$24,Input!$H:$H,'5.CC Physical risk'!$A9&amp;"*",Input!$D:$D,"outras empresas nao financeiras",Input!$G:$G,"-5"))/1000000</f>
        <v>0</v>
      </c>
      <c r="I9" s="93">
        <f>IFERROR(ROUND(SUMIFS(Input!$M:$M,Input!$K:$K,"1",Input!$E:$E,'5.CC Physical risk'!$D$24,Input!$H:$H,'5.CC Physical risk'!$A9&amp;"*",Input!$D:$D,"outras empresas nao financeiras",Input!$G:$G,"&gt;0")
/
SUMIFS(Input!$L:$L,Input!$K:$K,"1",Input!$E:$E,'5.CC Physical risk'!$D$24,Input!$H:$H,'5.CC Physical risk'!$A9&amp;"*",Input!$D:$D,"outras empresas nao financeiras",Input!$G:$G,"&gt;0"),0),0)</f>
        <v>7</v>
      </c>
      <c r="J9" s="93">
        <f>(SUMIFS(Input!$L:$L,Input!$K:$K,"1",Input!$E:$E,'5.CC Physical risk'!$D$24,Input!$H:$H,'5.CC Physical risk'!$A9&amp;"*",Input!$D:$D,"outras empresas nao financeiras",Input!$I:$I,"&lt;&gt;"&amp;$K$24,Input!$J:$J,'5.CC Physical risk'!$J$24))/1000000</f>
        <v>173.753849</v>
      </c>
      <c r="K9" s="93">
        <f>(SUMIFS(Input!$L:$L,Input!$K:$K,"1",Input!$E:$E,'5.CC Physical risk'!$D$24,Input!$H:$H,'5.CC Physical risk'!$A9&amp;"*",Input!$D:$D,"outras empresas nao financeiras",Input!$J:$J,"&lt;&gt;"&amp;$J$24,Input!$I:$I,'5.CC Physical risk'!$K$24))/1000000</f>
        <v>0.102603</v>
      </c>
      <c r="L9" s="93">
        <f>(SUMIFS(Input!$L:$L,
Input!$K:$K,"1",
Input!$E:$E,'5.CC Physical risk'!$D$24,
Input!$H:$H,'5.CC Physical risk'!$A9&amp;"*",
Input!$D:$D,"outras empresas nao financeiras",
Input!$J:$J,'5.CC Physical risk'!$J$24,
Input!$I:$I,'5.CC Physical risk'!$K$24))/1000000</f>
        <v>6.4175449999999996</v>
      </c>
      <c r="M9" s="93">
        <f>(SUMIFS(Input!$L:$L,
Input!$K:$K,"1",
Input!$E:$E,'5.CC Physical risk'!$D$24,
Input!$D:$D,"outras empresas nao financeiras",
Input!$H:$H,'5.CC Physical risk'!$A9&amp;"*",
Input!$C:$C,'5.CC Physical risk'!$M$24))/1000000</f>
        <v>29.344605000000001</v>
      </c>
      <c r="N9" s="93">
        <f>(SUMIFS(Input!$L:$L,
Input!$K:$K,"1",
Input!$E:$E,'5.CC Physical risk'!$D$24,
Input!$D:$D,"outras empresas nao financeiras",
Input!$H:$H,'5.CC Physical risk'!$A9&amp;"*",
Input!$C:$C,'5.CC Physical risk'!$N$24))/1000000</f>
        <v>23.653092000000001</v>
      </c>
      <c r="O9" s="93">
        <f>(SUMIFS(Input!$L:$L,
Input!$K:$K,"1",
Input!$E:$E,'5.CC Physical risk'!$O$24,
Input!$D:$D,"outras empresas nao financeiras",
Input!$H:$H,'5.CC Physical risk'!$A9&amp;"*"))/1000000</f>
        <v>-5.4615520000000002</v>
      </c>
      <c r="P9" s="93">
        <f>(SUMIFS(Input!$L:$L,
Input!$K:$K,"1",
Input!$E:$E,'5.CC Physical risk'!$O$24,
Input!$D:$D,"outras empresas nao financeiras",
Input!$H:$H,'5.CC Physical risk'!$A9&amp;"*",
Input!$C:$C,'5.CC Physical risk'!$M$24))/1000000</f>
        <v>-1.4739930000000001</v>
      </c>
      <c r="Q9" s="93">
        <f>(SUMIFS(Input!$L:$L,
Input!$K:$K,"1",
Input!$E:$E,'5.CC Physical risk'!$O$24,
Input!$D:$D,"outras empresas nao financeiras",
Input!$H:$H,'5.CC Physical risk'!$A9&amp;"*",
Input!$C:$C,'5.CC Physical risk'!$N$24))/1000000</f>
        <v>-3.3363100000000001</v>
      </c>
      <c r="S9" s="73"/>
    </row>
    <row r="10" spans="1:19" x14ac:dyDescent="0.3">
      <c r="A10" s="70" t="s">
        <v>13</v>
      </c>
      <c r="B10" s="71">
        <v>2</v>
      </c>
      <c r="C10" s="72" t="s">
        <v>109</v>
      </c>
      <c r="D10" s="93">
        <f>(SUMIFS(Input!$L:$L,Input!$E:$E,'5.CC Physical risk'!$D$24,Input!$H:$H,'5.CC Physical risk'!$A10&amp;"*",Input!$D:$D,"outras empresas nao financeiras"))/1000000</f>
        <v>14.172374</v>
      </c>
      <c r="E10" s="93">
        <f>(SUMIFS(Input!$L:$L,Input!$K:$K,"1",Input!$E:$E,'5.CC Physical risk'!$D$24,Input!$H:$H,'5.CC Physical risk'!$A10&amp;"*",Input!$D:$D,"outras empresas nao financeiras",Input!$G:$G,"&gt;=0",Input!$G:$G,"&lt;=5")
+ SUMIFS(Input!$L:$L,Input!$K:$K,"1",Input!$E:$E,'5.CC Physical risk'!$D$24,Input!$H:$H,'5.CC Physical risk'!$A10&amp;"*",Input!$D:$D,"outras empresas nao financeiras",Input!$G:$G,"-4")
+ SUMIFS(Input!$L:$L,Input!$K:$K,"1",Input!$E:$E,'5.CC Physical risk'!$D$24,Input!$H:$H,'5.CC Physical risk'!$A10&amp;"*",Input!$D:$D,"outras empresas nao financeiras",Input!$G:$G,"-1"))/1000000</f>
        <v>11.024570000000001</v>
      </c>
      <c r="F10" s="93">
        <f>(SUMIFS(Input!$L:$L,Input!$K:$K,"1",Input!$E:$E,'5.CC Physical risk'!$D$24,Input!$H:$H,'5.CC Physical risk'!$A10&amp;"*",Input!$D:$D,"outras empresas nao financeiras",Input!$G:$G,"&gt;5",Input!$G:$G,"&lt;=10"))/1000000</f>
        <v>1.099701</v>
      </c>
      <c r="G10" s="93">
        <f>(SUMIFS(Input!$L:$L,Input!$K:$K,"1",Input!$E:$E,'5.CC Physical risk'!$D$24,Input!$H:$H,'5.CC Physical risk'!$A10&amp;"*",Input!$D:$D,"outras empresas nao financeiras",Input!$G:$G,"&gt;10",Input!$G:$G,"&lt;=20"))/1000000</f>
        <v>0</v>
      </c>
      <c r="H10" s="93">
        <f>(SUMIFS(Input!$L:$L,Input!$K:$K,"1",Input!$E:$E,'5.CC Physical risk'!$D$24,Input!$H:$H,'5.CC Physical risk'!$A10&amp;"*",Input!$D:$D,"outras empresas nao financeiras",Input!$G:$G,"&gt;20")
+ SUMIFS(Input!$L:$L,Input!$K:$K,"1",Input!$E:$E,'5.CC Physical risk'!$D$24,Input!$H:$H,'5.CC Physical risk'!$A10&amp;"*",Input!$D:$D,"outras empresas nao financeiras",Input!$G:$G,"-2")
+ SUMIFS(Input!$L:$L,Input!$K:$K,"1",Input!$E:$E,'5.CC Physical risk'!$D$24,Input!$H:$H,'5.CC Physical risk'!$A10&amp;"*",Input!$D:$D,"outras empresas nao financeiras",Input!$G:$G,"-3")
+ SUMIFS(Input!$L:$L,Input!$K:$K,"1",Input!$E:$E,'5.CC Physical risk'!$D$24,Input!$H:$H,'5.CC Physical risk'!$A10&amp;"*",Input!$D:$D,"outras empresas nao financeiras",Input!$G:$G,"-5"))/1000000</f>
        <v>0</v>
      </c>
      <c r="I10" s="93">
        <f>IFERROR(ROUND(SUMIFS(Input!$M:$M,Input!$K:$K,"1",Input!$E:$E,'5.CC Physical risk'!$D$24,Input!$H:$H,'5.CC Physical risk'!$A10&amp;"*",Input!$D:$D,"outras empresas nao financeiras",Input!$G:$G,"&gt;0")
/
SUMIFS(Input!$L:$L,Input!$K:$K,"1",Input!$E:$E,'5.CC Physical risk'!$D$24,Input!$H:$H,'5.CC Physical risk'!$A10&amp;"*",Input!$D:$D,"outras empresas nao financeiras",Input!$G:$G,"&gt;0"),0),0)</f>
        <v>3</v>
      </c>
      <c r="J10" s="93">
        <f>(SUMIFS(Input!$L:$L,Input!$K:$K,"1",Input!$E:$E,'5.CC Physical risk'!$D$24,Input!$H:$H,'5.CC Physical risk'!$A10&amp;"*",Input!$D:$D,"outras empresas nao financeiras",Input!$I:$I,"&lt;&gt;"&amp;$K$24,Input!$J:$J,'5.CC Physical risk'!$J$24))/1000000</f>
        <v>10.768507</v>
      </c>
      <c r="K10" s="93">
        <f>(SUMIFS(Input!$L:$L,Input!$K:$K,"1",Input!$E:$E,'5.CC Physical risk'!$D$24,Input!$H:$H,'5.CC Physical risk'!$A10&amp;"*",Input!$D:$D,"outras empresas nao financeiras",Input!$J:$J,"&lt;&gt;"&amp;$J$24,Input!$I:$I,'5.CC Physical risk'!$K$24))/1000000</f>
        <v>0</v>
      </c>
      <c r="L10" s="93">
        <f>(SUMIFS(Input!$L:$L,
Input!$K:$K,"1",
Input!$E:$E,'5.CC Physical risk'!$D$24,
Input!$H:$H,'5.CC Physical risk'!$A10&amp;"*",
Input!$D:$D,"outras empresas nao financeiras",
Input!$J:$J,'5.CC Physical risk'!$J$24,
Input!$I:$I,'5.CC Physical risk'!$K$24))/1000000</f>
        <v>0</v>
      </c>
      <c r="M10" s="93">
        <f>(SUMIFS(Input!$L:$L,
Input!$K:$K,"1",
Input!$E:$E,'5.CC Physical risk'!$D$24,
Input!$D:$D,"outras empresas nao financeiras",
Input!$H:$H,'5.CC Physical risk'!$A10&amp;"*",
Input!$C:$C,'5.CC Physical risk'!$M$24))/1000000</f>
        <v>1.5316939999999999</v>
      </c>
      <c r="N10" s="93">
        <f>(SUMIFS(Input!$L:$L,
Input!$K:$K,"1",
Input!$E:$E,'5.CC Physical risk'!$D$24,
Input!$D:$D,"outras empresas nao financeiras",
Input!$H:$H,'5.CC Physical risk'!$A10&amp;"*",
Input!$C:$C,'5.CC Physical risk'!$N$24))/1000000</f>
        <v>2.3624239999999999</v>
      </c>
      <c r="O10" s="93">
        <f>(SUMIFS(Input!$L:$L,
Input!$K:$K,"1",
Input!$E:$E,'5.CC Physical risk'!$O$24,
Input!$D:$D,"outras empresas nao financeiras",
Input!$H:$H,'5.CC Physical risk'!$A10&amp;"*"))/1000000</f>
        <v>-1.3866970000000001</v>
      </c>
      <c r="P10" s="93">
        <f>(SUMIFS(Input!$L:$L,
Input!$K:$K,"1",
Input!$E:$E,'5.CC Physical risk'!$O$24,
Input!$D:$D,"outras empresas nao financeiras",
Input!$H:$H,'5.CC Physical risk'!$A10&amp;"*",
Input!$C:$C,'5.CC Physical risk'!$M$24))/1000000</f>
        <v>-8.9892E-2</v>
      </c>
      <c r="Q10" s="93">
        <f>(SUMIFS(Input!$L:$L,
Input!$K:$K,"1",
Input!$E:$E,'5.CC Physical risk'!$O$24,
Input!$D:$D,"outras empresas nao financeiras",
Input!$H:$H,'5.CC Physical risk'!$A10&amp;"*",
Input!$C:$C,'5.CC Physical risk'!$N$24))/1000000</f>
        <v>-1.2662180000000001</v>
      </c>
      <c r="S10" s="73"/>
    </row>
    <row r="11" spans="1:19" x14ac:dyDescent="0.3">
      <c r="A11" s="70" t="s">
        <v>14</v>
      </c>
      <c r="B11" s="71">
        <v>3</v>
      </c>
      <c r="C11" s="72" t="s">
        <v>110</v>
      </c>
      <c r="D11" s="93">
        <f>(SUMIFS(Input!$L:$L,Input!$E:$E,'5.CC Physical risk'!$D$24,Input!$H:$H,'5.CC Physical risk'!$A11&amp;"*",Input!$D:$D,"outras empresas nao financeiras"))/1000000</f>
        <v>2168.5503920000001</v>
      </c>
      <c r="E11" s="93">
        <f>(SUMIFS(Input!$L:$L,Input!$K:$K,"1",Input!$E:$E,'5.CC Physical risk'!$D$24,Input!$H:$H,'5.CC Physical risk'!$A11&amp;"*",Input!$D:$D,"outras empresas nao financeiras",Input!$G:$G,"&gt;=0",Input!$G:$G,"&lt;=5")
+ SUMIFS(Input!$L:$L,Input!$K:$K,"1",Input!$E:$E,'5.CC Physical risk'!$D$24,Input!$H:$H,'5.CC Physical risk'!$A11&amp;"*",Input!$D:$D,"outras empresas nao financeiras",Input!$G:$G,"-4")
+ SUMIFS(Input!$L:$L,Input!$K:$K,"1",Input!$E:$E,'5.CC Physical risk'!$D$24,Input!$H:$H,'5.CC Physical risk'!$A11&amp;"*",Input!$D:$D,"outras empresas nao financeiras",Input!$G:$G,"-1"))/1000000</f>
        <v>910.48430299999995</v>
      </c>
      <c r="F11" s="93">
        <f>(SUMIFS(Input!$L:$L,Input!$K:$K,"1",Input!$E:$E,'5.CC Physical risk'!$D$24,Input!$H:$H,'5.CC Physical risk'!$A11&amp;"*",Input!$D:$D,"outras empresas nao financeiras",Input!$G:$G,"&gt;5",Input!$G:$G,"&lt;=10"))/1000000</f>
        <v>80.043717999999998</v>
      </c>
      <c r="G11" s="93">
        <f>(SUMIFS(Input!$L:$L,Input!$K:$K,"1",Input!$E:$E,'5.CC Physical risk'!$D$24,Input!$H:$H,'5.CC Physical risk'!$A11&amp;"*",Input!$D:$D,"outras empresas nao financeiras",Input!$G:$G,"&gt;10",Input!$G:$G,"&lt;=20"))/1000000</f>
        <v>20.001139999999999</v>
      </c>
      <c r="H11" s="93">
        <f>(SUMIFS(Input!$L:$L,Input!$K:$K,"1",Input!$E:$E,'5.CC Physical risk'!$D$24,Input!$H:$H,'5.CC Physical risk'!$A11&amp;"*",Input!$D:$D,"outras empresas nao financeiras",Input!$G:$G,"&gt;20")
+ SUMIFS(Input!$L:$L,Input!$K:$K,"1",Input!$E:$E,'5.CC Physical risk'!$D$24,Input!$H:$H,'5.CC Physical risk'!$A11&amp;"*",Input!$D:$D,"outras empresas nao financeiras",Input!$G:$G,"-2")
+ SUMIFS(Input!$L:$L,Input!$K:$K,"1",Input!$E:$E,'5.CC Physical risk'!$D$24,Input!$H:$H,'5.CC Physical risk'!$A11&amp;"*",Input!$D:$D,"outras empresas nao financeiras",Input!$G:$G,"-3")
+ SUMIFS(Input!$L:$L,Input!$K:$K,"1",Input!$E:$E,'5.CC Physical risk'!$D$24,Input!$H:$H,'5.CC Physical risk'!$A11&amp;"*",Input!$D:$D,"outras empresas nao financeiras",Input!$G:$G,"-5"))/1000000</f>
        <v>0</v>
      </c>
      <c r="I11" s="93">
        <f>IFERROR(ROUND(SUMIFS(Input!$M:$M,Input!$K:$K,"1",Input!$E:$E,'5.CC Physical risk'!$D$24,Input!$H:$H,'5.CC Physical risk'!$A11&amp;"*",Input!$D:$D,"outras empresas nao financeiras",Input!$G:$G,"&gt;0")
/
SUMIFS(Input!$L:$L,Input!$K:$K,"1",Input!$E:$E,'5.CC Physical risk'!$D$24,Input!$H:$H,'5.CC Physical risk'!$A11&amp;"*",Input!$D:$D,"outras empresas nao financeiras",Input!$G:$G,"&gt;0"),0),0)</f>
        <v>4</v>
      </c>
      <c r="J11" s="93">
        <f>(SUMIFS(Input!$L:$L,Input!$K:$K,"1",Input!$E:$E,'5.CC Physical risk'!$D$24,Input!$H:$H,'5.CC Physical risk'!$A11&amp;"*",Input!$D:$D,"outras empresas nao financeiras",Input!$I:$I,"&lt;&gt;"&amp;$K$24,Input!$J:$J,'5.CC Physical risk'!$J$24))/1000000</f>
        <v>914.28030200000001</v>
      </c>
      <c r="K11" s="93">
        <f>(SUMIFS(Input!$L:$L,Input!$K:$K,"1",Input!$E:$E,'5.CC Physical risk'!$D$24,Input!$H:$H,'5.CC Physical risk'!$A11&amp;"*",Input!$D:$D,"outras empresas nao financeiras",Input!$J:$J,"&lt;&gt;"&amp;$J$24,Input!$I:$I,'5.CC Physical risk'!$K$24))/1000000</f>
        <v>5.7688670000000002</v>
      </c>
      <c r="L11" s="93">
        <f>(SUMIFS(Input!$L:$L,
Input!$K:$K,"1",
Input!$E:$E,'5.CC Physical risk'!$D$24,
Input!$H:$H,'5.CC Physical risk'!$A11&amp;"*",
Input!$D:$D,"outras empresas nao financeiras",
Input!$J:$J,'5.CC Physical risk'!$J$24,
Input!$I:$I,'5.CC Physical risk'!$K$24))/1000000</f>
        <v>15.78035</v>
      </c>
      <c r="M11" s="93">
        <f>(SUMIFS(Input!$L:$L,
Input!$K:$K,"1",
Input!$E:$E,'5.CC Physical risk'!$D$24,
Input!$D:$D,"outras empresas nao financeiras",
Input!$H:$H,'5.CC Physical risk'!$A11&amp;"*",
Input!$C:$C,'5.CC Physical risk'!$M$24))/1000000</f>
        <v>123.32843800000001</v>
      </c>
      <c r="N11" s="93">
        <f>(SUMIFS(Input!$L:$L,
Input!$K:$K,"1",
Input!$E:$E,'5.CC Physical risk'!$D$24,
Input!$D:$D,"outras empresas nao financeiras",
Input!$H:$H,'5.CC Physical risk'!$A11&amp;"*",
Input!$C:$C,'5.CC Physical risk'!$N$24))/1000000</f>
        <v>37.396585000000002</v>
      </c>
      <c r="O11" s="93">
        <f>(SUMIFS(Input!$L:$L,
Input!$K:$K,"1",
Input!$E:$E,'5.CC Physical risk'!$O$24,
Input!$D:$D,"outras empresas nao financeiras",
Input!$H:$H,'5.CC Physical risk'!$A11&amp;"*"))/1000000</f>
        <v>-34.055529</v>
      </c>
      <c r="P11" s="93">
        <f>(SUMIFS(Input!$L:$L,
Input!$K:$K,"1",
Input!$E:$E,'5.CC Physical risk'!$O$24,
Input!$D:$D,"outras empresas nao financeiras",
Input!$H:$H,'5.CC Physical risk'!$A11&amp;"*",
Input!$C:$C,'5.CC Physical risk'!$M$24))/1000000</f>
        <v>-6.6068949999999997</v>
      </c>
      <c r="Q11" s="93">
        <f>(SUMIFS(Input!$L:$L,
Input!$K:$K,"1",
Input!$E:$E,'5.CC Physical risk'!$O$24,
Input!$D:$D,"outras empresas nao financeiras",
Input!$H:$H,'5.CC Physical risk'!$A11&amp;"*",
Input!$C:$C,'5.CC Physical risk'!$N$24))/1000000</f>
        <v>-24.7121</v>
      </c>
      <c r="S11" s="73"/>
    </row>
    <row r="12" spans="1:19" x14ac:dyDescent="0.3">
      <c r="A12" s="70" t="s">
        <v>15</v>
      </c>
      <c r="B12" s="71">
        <v>4</v>
      </c>
      <c r="C12" s="72" t="s">
        <v>111</v>
      </c>
      <c r="D12" s="93">
        <f>(SUMIFS(Input!$L:$L,Input!$E:$E,'5.CC Physical risk'!$D$24,Input!$H:$H,'5.CC Physical risk'!$A12&amp;"*",Input!$D:$D,"outras empresas nao financeiras"))/1000000</f>
        <v>671.415616</v>
      </c>
      <c r="E12" s="93">
        <f>(SUMIFS(Input!$L:$L,Input!$K:$K,"1",Input!$E:$E,'5.CC Physical risk'!$D$24,Input!$H:$H,'5.CC Physical risk'!$A12&amp;"*",Input!$D:$D,"outras empresas nao financeiras",Input!$G:$G,"&gt;=0",Input!$G:$G,"&lt;=5")
+ SUMIFS(Input!$L:$L,Input!$K:$K,"1",Input!$E:$E,'5.CC Physical risk'!$D$24,Input!$H:$H,'5.CC Physical risk'!$A12&amp;"*",Input!$D:$D,"outras empresas nao financeiras",Input!$G:$G,"-4")
+ SUMIFS(Input!$L:$L,Input!$K:$K,"1",Input!$E:$E,'5.CC Physical risk'!$D$24,Input!$H:$H,'5.CC Physical risk'!$A12&amp;"*",Input!$D:$D,"outras empresas nao financeiras",Input!$G:$G,"-1"))/1000000</f>
        <v>276.74951399999998</v>
      </c>
      <c r="F12" s="93">
        <f>(SUMIFS(Input!$L:$L,Input!$K:$K,"1",Input!$E:$E,'5.CC Physical risk'!$D$24,Input!$H:$H,'5.CC Physical risk'!$A12&amp;"*",Input!$D:$D,"outras empresas nao financeiras",Input!$G:$G,"&gt;5",Input!$G:$G,"&lt;=10"))/1000000</f>
        <v>139.37534400000001</v>
      </c>
      <c r="G12" s="93">
        <f>(SUMIFS(Input!$L:$L,Input!$K:$K,"1",Input!$E:$E,'5.CC Physical risk'!$D$24,Input!$H:$H,'5.CC Physical risk'!$A12&amp;"*",Input!$D:$D,"outras empresas nao financeiras",Input!$G:$G,"&gt;10",Input!$G:$G,"&lt;=20"))/1000000</f>
        <v>34.989387000000001</v>
      </c>
      <c r="H12" s="93">
        <f>(SUMIFS(Input!$L:$L,Input!$K:$K,"1",Input!$E:$E,'5.CC Physical risk'!$D$24,Input!$H:$H,'5.CC Physical risk'!$A12&amp;"*",Input!$D:$D,"outras empresas nao financeiras",Input!$G:$G,"&gt;20")
+ SUMIFS(Input!$L:$L,Input!$K:$K,"1",Input!$E:$E,'5.CC Physical risk'!$D$24,Input!$H:$H,'5.CC Physical risk'!$A12&amp;"*",Input!$D:$D,"outras empresas nao financeiras",Input!$G:$G,"-2")
+ SUMIFS(Input!$L:$L,Input!$K:$K,"1",Input!$E:$E,'5.CC Physical risk'!$D$24,Input!$H:$H,'5.CC Physical risk'!$A12&amp;"*",Input!$D:$D,"outras empresas nao financeiras",Input!$G:$G,"-3")
+ SUMIFS(Input!$L:$L,Input!$K:$K,"1",Input!$E:$E,'5.CC Physical risk'!$D$24,Input!$H:$H,'5.CC Physical risk'!$A12&amp;"*",Input!$D:$D,"outras empresas nao financeiras",Input!$G:$G,"-5"))/1000000</f>
        <v>0</v>
      </c>
      <c r="I12" s="93">
        <f>IFERROR(ROUND(SUMIFS(Input!$M:$M,Input!$K:$K,"1",Input!$E:$E,'5.CC Physical risk'!$D$24,Input!$H:$H,'5.CC Physical risk'!$A12&amp;"*",Input!$D:$D,"outras empresas nao financeiras",Input!$G:$G,"&gt;0")
/
SUMIFS(Input!$L:$L,Input!$K:$K,"1",Input!$E:$E,'5.CC Physical risk'!$D$24,Input!$H:$H,'5.CC Physical risk'!$A12&amp;"*",Input!$D:$D,"outras empresas nao financeiras",Input!$G:$G,"&gt;0"),0),0)</f>
        <v>4</v>
      </c>
      <c r="J12" s="93">
        <f>(SUMIFS(Input!$L:$L,Input!$K:$K,"1",Input!$E:$E,'5.CC Physical risk'!$D$24,Input!$H:$H,'5.CC Physical risk'!$A12&amp;"*",Input!$D:$D,"outras empresas nao financeiras",Input!$I:$I,"&lt;&gt;"&amp;$K$24,Input!$J:$J,'5.CC Physical risk'!$J$24))/1000000</f>
        <v>405.18078200000002</v>
      </c>
      <c r="K12" s="93">
        <f>(SUMIFS(Input!$L:$L,Input!$K:$K,"1",Input!$E:$E,'5.CC Physical risk'!$D$24,Input!$H:$H,'5.CC Physical risk'!$A12&amp;"*",Input!$D:$D,"outras empresas nao financeiras",Input!$J:$J,"&lt;&gt;"&amp;$J$24,Input!$I:$I,'5.CC Physical risk'!$K$24))/1000000</f>
        <v>45.010469000000001</v>
      </c>
      <c r="L12" s="93">
        <f>(SUMIFS(Input!$L:$L,
Input!$K:$K,"1",
Input!$E:$E,'5.CC Physical risk'!$D$24,
Input!$H:$H,'5.CC Physical risk'!$A12&amp;"*",
Input!$D:$D,"outras empresas nao financeiras",
Input!$J:$J,'5.CC Physical risk'!$J$24,
Input!$I:$I,'5.CC Physical risk'!$K$24))/1000000</f>
        <v>8.0496999999999999E-2</v>
      </c>
      <c r="M12" s="93">
        <f>(SUMIFS(Input!$L:$L,
Input!$K:$K,"1",
Input!$E:$E,'5.CC Physical risk'!$D$24,
Input!$D:$D,"outras empresas nao financeiras",
Input!$H:$H,'5.CC Physical risk'!$A12&amp;"*",
Input!$C:$C,'5.CC Physical risk'!$M$24))/1000000</f>
        <v>0.52984200000000004</v>
      </c>
      <c r="N12" s="93">
        <f>(SUMIFS(Input!$L:$L,
Input!$K:$K,"1",
Input!$E:$E,'5.CC Physical risk'!$D$24,
Input!$D:$D,"outras empresas nao financeiras",
Input!$H:$H,'5.CC Physical risk'!$A12&amp;"*",
Input!$C:$C,'5.CC Physical risk'!$N$24))/1000000</f>
        <v>4.548E-3</v>
      </c>
      <c r="O12" s="93">
        <f>(SUMIFS(Input!$L:$L,
Input!$K:$K,"1",
Input!$E:$E,'5.CC Physical risk'!$O$24,
Input!$D:$D,"outras empresas nao financeiras",
Input!$H:$H,'5.CC Physical risk'!$A12&amp;"*"))/1000000</f>
        <v>-0.34236100000000003</v>
      </c>
      <c r="P12" s="93">
        <f>(SUMIFS(Input!$L:$L,
Input!$K:$K,"1",
Input!$E:$E,'5.CC Physical risk'!$O$24,
Input!$D:$D,"outras empresas nao financeiras",
Input!$H:$H,'5.CC Physical risk'!$A12&amp;"*",
Input!$C:$C,'5.CC Physical risk'!$M$24))/1000000</f>
        <v>-4.2562000000000003E-2</v>
      </c>
      <c r="Q12" s="93">
        <f>(SUMIFS(Input!$L:$L,
Input!$K:$K,"1",
Input!$E:$E,'5.CC Physical risk'!$O$24,
Input!$D:$D,"outras empresas nao financeiras",
Input!$H:$H,'5.CC Physical risk'!$A12&amp;"*",
Input!$C:$C,'5.CC Physical risk'!$N$24))/1000000</f>
        <v>-3.565E-3</v>
      </c>
      <c r="S12" s="73"/>
    </row>
    <row r="13" spans="1:19" x14ac:dyDescent="0.3">
      <c r="A13" s="70" t="s">
        <v>16</v>
      </c>
      <c r="B13" s="71">
        <v>5</v>
      </c>
      <c r="C13" s="72" t="s">
        <v>112</v>
      </c>
      <c r="D13" s="93">
        <f>(SUMIFS(Input!$L:$L,Input!$E:$E,'5.CC Physical risk'!$D$24,Input!$H:$H,'5.CC Physical risk'!$A13&amp;"*",Input!$D:$D,"outras empresas nao financeiras"))/1000000</f>
        <v>33.931316000000002</v>
      </c>
      <c r="E13" s="93">
        <f>(SUMIFS(Input!$L:$L,Input!$K:$K,"1",Input!$E:$E,'5.CC Physical risk'!$D$24,Input!$H:$H,'5.CC Physical risk'!$A13&amp;"*",Input!$D:$D,"outras empresas nao financeiras",Input!$G:$G,"&gt;=0",Input!$G:$G,"&lt;=5")
+ SUMIFS(Input!$L:$L,Input!$K:$K,"1",Input!$E:$E,'5.CC Physical risk'!$D$24,Input!$H:$H,'5.CC Physical risk'!$A13&amp;"*",Input!$D:$D,"outras empresas nao financeiras",Input!$G:$G,"-4")
+ SUMIFS(Input!$L:$L,Input!$K:$K,"1",Input!$E:$E,'5.CC Physical risk'!$D$24,Input!$H:$H,'5.CC Physical risk'!$A13&amp;"*",Input!$D:$D,"outras empresas nao financeiras",Input!$G:$G,"-1"))/1000000</f>
        <v>0.50970000000000004</v>
      </c>
      <c r="F13" s="93">
        <f>(SUMIFS(Input!$L:$L,Input!$K:$K,"1",Input!$E:$E,'5.CC Physical risk'!$D$24,Input!$H:$H,'5.CC Physical risk'!$A13&amp;"*",Input!$D:$D,"outras empresas nao financeiras",Input!$G:$G,"&gt;5",Input!$G:$G,"&lt;=10"))/1000000</f>
        <v>0</v>
      </c>
      <c r="G13" s="93">
        <f>(SUMIFS(Input!$L:$L,Input!$K:$K,"1",Input!$E:$E,'5.CC Physical risk'!$D$24,Input!$H:$H,'5.CC Physical risk'!$A13&amp;"*",Input!$D:$D,"outras empresas nao financeiras",Input!$G:$G,"&gt;10",Input!$G:$G,"&lt;=20"))/1000000</f>
        <v>0</v>
      </c>
      <c r="H13" s="93">
        <f>(SUMIFS(Input!$L:$L,Input!$K:$K,"1",Input!$E:$E,'5.CC Physical risk'!$D$24,Input!$H:$H,'5.CC Physical risk'!$A13&amp;"*",Input!$D:$D,"outras empresas nao financeiras",Input!$G:$G,"&gt;20")
+ SUMIFS(Input!$L:$L,Input!$K:$K,"1",Input!$E:$E,'5.CC Physical risk'!$D$24,Input!$H:$H,'5.CC Physical risk'!$A13&amp;"*",Input!$D:$D,"outras empresas nao financeiras",Input!$G:$G,"-2")
+ SUMIFS(Input!$L:$L,Input!$K:$K,"1",Input!$E:$E,'5.CC Physical risk'!$D$24,Input!$H:$H,'5.CC Physical risk'!$A13&amp;"*",Input!$D:$D,"outras empresas nao financeiras",Input!$G:$G,"-3")
+ SUMIFS(Input!$L:$L,Input!$K:$K,"1",Input!$E:$E,'5.CC Physical risk'!$D$24,Input!$H:$H,'5.CC Physical risk'!$A13&amp;"*",Input!$D:$D,"outras empresas nao financeiras",Input!$G:$G,"-5"))/1000000</f>
        <v>0</v>
      </c>
      <c r="I13" s="93">
        <f>IFERROR(ROUND(SUMIFS(Input!$M:$M,Input!$K:$K,"1",Input!$E:$E,'5.CC Physical risk'!$D$24,Input!$H:$H,'5.CC Physical risk'!$A13&amp;"*",Input!$D:$D,"outras empresas nao financeiras",Input!$G:$G,"&gt;0")
/
SUMIFS(Input!$L:$L,Input!$K:$K,"1",Input!$E:$E,'5.CC Physical risk'!$D$24,Input!$H:$H,'5.CC Physical risk'!$A13&amp;"*",Input!$D:$D,"outras empresas nao financeiras",Input!$G:$G,"&gt;0"),0),0)</f>
        <v>4</v>
      </c>
      <c r="J13" s="93">
        <f>(SUMIFS(Input!$L:$L,Input!$K:$K,"1",Input!$E:$E,'5.CC Physical risk'!$D$24,Input!$H:$H,'5.CC Physical risk'!$A13&amp;"*",Input!$D:$D,"outras empresas nao financeiras",Input!$I:$I,"&lt;&gt;"&amp;$K$24,Input!$J:$J,'5.CC Physical risk'!$J$24))/1000000</f>
        <v>0</v>
      </c>
      <c r="K13" s="93">
        <f>(SUMIFS(Input!$L:$L,Input!$K:$K,"1",Input!$E:$E,'5.CC Physical risk'!$D$24,Input!$H:$H,'5.CC Physical risk'!$A13&amp;"*",Input!$D:$D,"outras empresas nao financeiras",Input!$J:$J,"&lt;&gt;"&amp;$J$24,Input!$I:$I,'5.CC Physical risk'!$K$24))/1000000</f>
        <v>0.50970000000000004</v>
      </c>
      <c r="L13" s="93">
        <f>(SUMIFS(Input!$L:$L,
Input!$K:$K,"1",
Input!$E:$E,'5.CC Physical risk'!$D$24,
Input!$H:$H,'5.CC Physical risk'!$A13&amp;"*",
Input!$D:$D,"outras empresas nao financeiras",
Input!$J:$J,'5.CC Physical risk'!$J$24,
Input!$I:$I,'5.CC Physical risk'!$K$24))/1000000</f>
        <v>0</v>
      </c>
      <c r="M13" s="93">
        <f>(SUMIFS(Input!$L:$L,
Input!$K:$K,"1",
Input!$E:$E,'5.CC Physical risk'!$D$24,
Input!$D:$D,"outras empresas nao financeiras",
Input!$H:$H,'5.CC Physical risk'!$A13&amp;"*",
Input!$C:$C,'5.CC Physical risk'!$M$24))/1000000</f>
        <v>0.25844499999999998</v>
      </c>
      <c r="N13" s="93">
        <f>(SUMIFS(Input!$L:$L,
Input!$K:$K,"1",
Input!$E:$E,'5.CC Physical risk'!$D$24,
Input!$D:$D,"outras empresas nao financeiras",
Input!$H:$H,'5.CC Physical risk'!$A13&amp;"*",
Input!$C:$C,'5.CC Physical risk'!$N$24))/1000000</f>
        <v>0</v>
      </c>
      <c r="O13" s="93">
        <f>(SUMIFS(Input!$L:$L,
Input!$K:$K,"1",
Input!$E:$E,'5.CC Physical risk'!$O$24,
Input!$D:$D,"outras empresas nao financeiras",
Input!$H:$H,'5.CC Physical risk'!$A13&amp;"*"))/1000000</f>
        <v>-1.2884E-2</v>
      </c>
      <c r="P13" s="93">
        <f>(SUMIFS(Input!$L:$L,
Input!$K:$K,"1",
Input!$E:$E,'5.CC Physical risk'!$O$24,
Input!$D:$D,"outras empresas nao financeiras",
Input!$H:$H,'5.CC Physical risk'!$A13&amp;"*",
Input!$C:$C,'5.CC Physical risk'!$M$24))/1000000</f>
        <v>-1.1192000000000001E-2</v>
      </c>
      <c r="Q13" s="93">
        <f>(SUMIFS(Input!$L:$L,
Input!$K:$K,"1",
Input!$E:$E,'5.CC Physical risk'!$O$24,
Input!$D:$D,"outras empresas nao financeiras",
Input!$H:$H,'5.CC Physical risk'!$A13&amp;"*",
Input!$C:$C,'5.CC Physical risk'!$N$24))/1000000</f>
        <v>0</v>
      </c>
      <c r="S13" s="73"/>
    </row>
    <row r="14" spans="1:19" x14ac:dyDescent="0.3">
      <c r="A14" s="70" t="s">
        <v>17</v>
      </c>
      <c r="B14" s="71">
        <v>6</v>
      </c>
      <c r="C14" s="72" t="s">
        <v>113</v>
      </c>
      <c r="D14" s="93">
        <f>(SUMIFS(Input!$L:$L,Input!$E:$E,'5.CC Physical risk'!$D$24,Input!$H:$H,'5.CC Physical risk'!$A14&amp;"*",Input!$D:$D,"outras empresas nao financeiras"))/1000000</f>
        <v>1068.5213960000001</v>
      </c>
      <c r="E14" s="93">
        <f>(SUMIFS(Input!$L:$L,Input!$K:$K,"1",Input!$E:$E,'5.CC Physical risk'!$D$24,Input!$H:$H,'5.CC Physical risk'!$A14&amp;"*",Input!$D:$D,"outras empresas nao financeiras",Input!$G:$G,"&gt;=0",Input!$G:$G,"&lt;=5")
+ SUMIFS(Input!$L:$L,Input!$K:$K,"1",Input!$E:$E,'5.CC Physical risk'!$D$24,Input!$H:$H,'5.CC Physical risk'!$A14&amp;"*",Input!$D:$D,"outras empresas nao financeiras",Input!$G:$G,"-4")
+ SUMIFS(Input!$L:$L,Input!$K:$K,"1",Input!$E:$E,'5.CC Physical risk'!$D$24,Input!$H:$H,'5.CC Physical risk'!$A14&amp;"*",Input!$D:$D,"outras empresas nao financeiras",Input!$G:$G,"-1"))/1000000</f>
        <v>42.649811999999997</v>
      </c>
      <c r="F14" s="93">
        <f>(SUMIFS(Input!$L:$L,Input!$K:$K,"1",Input!$E:$E,'5.CC Physical risk'!$D$24,Input!$H:$H,'5.CC Physical risk'!$A14&amp;"*",Input!$D:$D,"outras empresas nao financeiras",Input!$G:$G,"&gt;5",Input!$G:$G,"&lt;=10"))/1000000</f>
        <v>2.18499</v>
      </c>
      <c r="G14" s="93">
        <f>(SUMIFS(Input!$L:$L,Input!$K:$K,"1",Input!$E:$E,'5.CC Physical risk'!$D$24,Input!$H:$H,'5.CC Physical risk'!$A14&amp;"*",Input!$D:$D,"outras empresas nao financeiras",Input!$G:$G,"&gt;10",Input!$G:$G,"&lt;=20"))/1000000</f>
        <v>0.64816499999999999</v>
      </c>
      <c r="H14" s="93">
        <f>(SUMIFS(Input!$L:$L,Input!$K:$K,"1",Input!$E:$E,'5.CC Physical risk'!$D$24,Input!$H:$H,'5.CC Physical risk'!$A14&amp;"*",Input!$D:$D,"outras empresas nao financeiras",Input!$G:$G,"&gt;20")
+ SUMIFS(Input!$L:$L,Input!$K:$K,"1",Input!$E:$E,'5.CC Physical risk'!$D$24,Input!$H:$H,'5.CC Physical risk'!$A14&amp;"*",Input!$D:$D,"outras empresas nao financeiras",Input!$G:$G,"-2")
+ SUMIFS(Input!$L:$L,Input!$K:$K,"1",Input!$E:$E,'5.CC Physical risk'!$D$24,Input!$H:$H,'5.CC Physical risk'!$A14&amp;"*",Input!$D:$D,"outras empresas nao financeiras",Input!$G:$G,"-3")
+ SUMIFS(Input!$L:$L,Input!$K:$K,"1",Input!$E:$E,'5.CC Physical risk'!$D$24,Input!$H:$H,'5.CC Physical risk'!$A14&amp;"*",Input!$D:$D,"outras empresas nao financeiras",Input!$G:$G,"-5"))/1000000</f>
        <v>0</v>
      </c>
      <c r="I14" s="93">
        <f>IFERROR(ROUND(SUMIFS(Input!$M:$M,Input!$K:$K,"1",Input!$E:$E,'5.CC Physical risk'!$D$24,Input!$H:$H,'5.CC Physical risk'!$A14&amp;"*",Input!$D:$D,"outras empresas nao financeiras",Input!$G:$G,"&gt;0")
/
SUMIFS(Input!$L:$L,Input!$K:$K,"1",Input!$E:$E,'5.CC Physical risk'!$D$24,Input!$H:$H,'5.CC Physical risk'!$A14&amp;"*",Input!$D:$D,"outras empresas nao financeiras",Input!$G:$G,"&gt;0"),0),0)</f>
        <v>4</v>
      </c>
      <c r="J14" s="93">
        <f>(SUMIFS(Input!$L:$L,Input!$K:$K,"1",Input!$E:$E,'5.CC Physical risk'!$D$24,Input!$H:$H,'5.CC Physical risk'!$A14&amp;"*",Input!$D:$D,"outras empresas nao financeiras",Input!$I:$I,"&lt;&gt;"&amp;$K$24,Input!$J:$J,'5.CC Physical risk'!$J$24))/1000000</f>
        <v>14.805013000000001</v>
      </c>
      <c r="K14" s="93">
        <f>(SUMIFS(Input!$L:$L,Input!$K:$K,"1",Input!$E:$E,'5.CC Physical risk'!$D$24,Input!$H:$H,'5.CC Physical risk'!$A14&amp;"*",Input!$D:$D,"outras empresas nao financeiras",Input!$J:$J,"&lt;&gt;"&amp;$J$24,Input!$I:$I,'5.CC Physical risk'!$K$24))/1000000</f>
        <v>6.6006020000000003</v>
      </c>
      <c r="L14" s="93">
        <f>(SUMIFS(Input!$L:$L,
Input!$K:$K,"1",
Input!$E:$E,'5.CC Physical risk'!$D$24,
Input!$H:$H,'5.CC Physical risk'!$A14&amp;"*",
Input!$D:$D,"outras empresas nao financeiras",
Input!$J:$J,'5.CC Physical risk'!$J$24,
Input!$I:$I,'5.CC Physical risk'!$K$24))/1000000</f>
        <v>18.546925999999999</v>
      </c>
      <c r="M14" s="93">
        <f>(SUMIFS(Input!$L:$L,
Input!$K:$K,"1",
Input!$E:$E,'5.CC Physical risk'!$D$24,
Input!$D:$D,"outras empresas nao financeiras",
Input!$H:$H,'5.CC Physical risk'!$A14&amp;"*",
Input!$C:$C,'5.CC Physical risk'!$M$24))/1000000</f>
        <v>8.0378209999999992</v>
      </c>
      <c r="N14" s="93">
        <f>(SUMIFS(Input!$L:$L,
Input!$K:$K,"1",
Input!$E:$E,'5.CC Physical risk'!$D$24,
Input!$D:$D,"outras empresas nao financeiras",
Input!$H:$H,'5.CC Physical risk'!$A14&amp;"*",
Input!$C:$C,'5.CC Physical risk'!$N$24))/1000000</f>
        <v>8.9174059999999997</v>
      </c>
      <c r="O14" s="93">
        <f>(SUMIFS(Input!$L:$L,
Input!$K:$K,"1",
Input!$E:$E,'5.CC Physical risk'!$O$24,
Input!$D:$D,"outras empresas nao financeiras",
Input!$H:$H,'5.CC Physical risk'!$A14&amp;"*"))/1000000</f>
        <v>-5.4539200000000001</v>
      </c>
      <c r="P14" s="93">
        <f>(SUMIFS(Input!$L:$L,
Input!$K:$K,"1",
Input!$E:$E,'5.CC Physical risk'!$O$24,
Input!$D:$D,"outras empresas nao financeiras",
Input!$H:$H,'5.CC Physical risk'!$A14&amp;"*",
Input!$C:$C,'5.CC Physical risk'!$M$24))/1000000</f>
        <v>-0.56874800000000003</v>
      </c>
      <c r="Q14" s="93">
        <f>(SUMIFS(Input!$L:$L,
Input!$K:$K,"1",
Input!$E:$E,'5.CC Physical risk'!$O$24,
Input!$D:$D,"outras empresas nao financeiras",
Input!$H:$H,'5.CC Physical risk'!$A14&amp;"*",
Input!$C:$C,'5.CC Physical risk'!$N$24))/1000000</f>
        <v>-4.7665319999999998</v>
      </c>
      <c r="S14" s="73"/>
    </row>
    <row r="15" spans="1:19" x14ac:dyDescent="0.3">
      <c r="A15" s="70" t="s">
        <v>18</v>
      </c>
      <c r="B15" s="71">
        <v>7</v>
      </c>
      <c r="C15" s="72" t="s">
        <v>114</v>
      </c>
      <c r="D15" s="93">
        <f>(SUMIFS(Input!$L:$L,Input!$E:$E,'5.CC Physical risk'!$D$24,Input!$H:$H,'5.CC Physical risk'!$A15&amp;"*",Input!$D:$D,"outras empresas nao financeiras"))/1000000</f>
        <v>2070.1134310000002</v>
      </c>
      <c r="E15" s="93">
        <f>(SUMIFS(Input!$L:$L,Input!$K:$K,"1",Input!$E:$E,'5.CC Physical risk'!$D$24,Input!$H:$H,'5.CC Physical risk'!$A15&amp;"*",Input!$D:$D,"outras empresas nao financeiras",Input!$G:$G,"&gt;=0",Input!$G:$G,"&lt;=5")
+ SUMIFS(Input!$L:$L,Input!$K:$K,"1",Input!$E:$E,'5.CC Physical risk'!$D$24,Input!$H:$H,'5.CC Physical risk'!$A15&amp;"*",Input!$D:$D,"outras empresas nao financeiras",Input!$G:$G,"-4")
+ SUMIFS(Input!$L:$L,Input!$K:$K,"1",Input!$E:$E,'5.CC Physical risk'!$D$24,Input!$H:$H,'5.CC Physical risk'!$A15&amp;"*",Input!$D:$D,"outras empresas nao financeiras",Input!$G:$G,"-1"))/1000000</f>
        <v>223.269488</v>
      </c>
      <c r="F15" s="93">
        <f>(SUMIFS(Input!$L:$L,Input!$K:$K,"1",Input!$E:$E,'5.CC Physical risk'!$D$24,Input!$H:$H,'5.CC Physical risk'!$A15&amp;"*",Input!$D:$D,"outras empresas nao financeiras",Input!$G:$G,"&gt;5",Input!$G:$G,"&lt;=10"))/1000000</f>
        <v>13.657583000000001</v>
      </c>
      <c r="G15" s="93">
        <f>(SUMIFS(Input!$L:$L,Input!$K:$K,"1",Input!$E:$E,'5.CC Physical risk'!$D$24,Input!$H:$H,'5.CC Physical risk'!$A15&amp;"*",Input!$D:$D,"outras empresas nao financeiras",Input!$G:$G,"&gt;10",Input!$G:$G,"&lt;=20"))/1000000</f>
        <v>3.4101780000000002</v>
      </c>
      <c r="H15" s="93">
        <f>(SUMIFS(Input!$L:$L,Input!$K:$K,"1",Input!$E:$E,'5.CC Physical risk'!$D$24,Input!$H:$H,'5.CC Physical risk'!$A15&amp;"*",Input!$D:$D,"outras empresas nao financeiras",Input!$G:$G,"&gt;20")
+ SUMIFS(Input!$L:$L,Input!$K:$K,"1",Input!$E:$E,'5.CC Physical risk'!$D$24,Input!$H:$H,'5.CC Physical risk'!$A15&amp;"*",Input!$D:$D,"outras empresas nao financeiras",Input!$G:$G,"-2")
+ SUMIFS(Input!$L:$L,Input!$K:$K,"1",Input!$E:$E,'5.CC Physical risk'!$D$24,Input!$H:$H,'5.CC Physical risk'!$A15&amp;"*",Input!$D:$D,"outras empresas nao financeiras",Input!$G:$G,"-3")
+ SUMIFS(Input!$L:$L,Input!$K:$K,"1",Input!$E:$E,'5.CC Physical risk'!$D$24,Input!$H:$H,'5.CC Physical risk'!$A15&amp;"*",Input!$D:$D,"outras empresas nao financeiras",Input!$G:$G,"-5"))/1000000</f>
        <v>0</v>
      </c>
      <c r="I15" s="93">
        <f>IFERROR(ROUND(SUMIFS(Input!$M:$M,Input!$K:$K,"1",Input!$E:$E,'5.CC Physical risk'!$D$24,Input!$H:$H,'5.CC Physical risk'!$A15&amp;"*",Input!$D:$D,"outras empresas nao financeiras",Input!$G:$G,"&gt;0")
/
SUMIFS(Input!$L:$L,Input!$K:$K,"1",Input!$E:$E,'5.CC Physical risk'!$D$24,Input!$H:$H,'5.CC Physical risk'!$A15&amp;"*",Input!$D:$D,"outras empresas nao financeiras",Input!$G:$G,"&gt;0"),0),0)</f>
        <v>4</v>
      </c>
      <c r="J15" s="93">
        <f>(SUMIFS(Input!$L:$L,Input!$K:$K,"1",Input!$E:$E,'5.CC Physical risk'!$D$24,Input!$H:$H,'5.CC Physical risk'!$A15&amp;"*",Input!$D:$D,"outras empresas nao financeiras",Input!$I:$I,"&lt;&gt;"&amp;$K$24,Input!$J:$J,'5.CC Physical risk'!$J$24))/1000000</f>
        <v>223.86176399999999</v>
      </c>
      <c r="K15" s="93">
        <f>(SUMIFS(Input!$L:$L,Input!$K:$K,"1",Input!$E:$E,'5.CC Physical risk'!$D$24,Input!$H:$H,'5.CC Physical risk'!$A15&amp;"*",Input!$D:$D,"outras empresas nao financeiras",Input!$J:$J,"&lt;&gt;"&amp;$J$24,Input!$I:$I,'5.CC Physical risk'!$K$24))/1000000</f>
        <v>3.6897350000000002</v>
      </c>
      <c r="L15" s="93">
        <f>(SUMIFS(Input!$L:$L,
Input!$K:$K,"1",
Input!$E:$E,'5.CC Physical risk'!$D$24,
Input!$H:$H,'5.CC Physical risk'!$A15&amp;"*",
Input!$D:$D,"outras empresas nao financeiras",
Input!$J:$J,'5.CC Physical risk'!$J$24,
Input!$I:$I,'5.CC Physical risk'!$K$24))/1000000</f>
        <v>0</v>
      </c>
      <c r="M15" s="93">
        <f>(SUMIFS(Input!$L:$L,
Input!$K:$K,"1",
Input!$E:$E,'5.CC Physical risk'!$D$24,
Input!$D:$D,"outras empresas nao financeiras",
Input!$H:$H,'5.CC Physical risk'!$A15&amp;"*",
Input!$C:$C,'5.CC Physical risk'!$M$24))/1000000</f>
        <v>20.756485000000001</v>
      </c>
      <c r="N15" s="93">
        <f>(SUMIFS(Input!$L:$L,
Input!$K:$K,"1",
Input!$E:$E,'5.CC Physical risk'!$D$24,
Input!$D:$D,"outras empresas nao financeiras",
Input!$H:$H,'5.CC Physical risk'!$A15&amp;"*",
Input!$C:$C,'5.CC Physical risk'!$N$24))/1000000</f>
        <v>2.6153219999999999</v>
      </c>
      <c r="O15" s="93">
        <f>(SUMIFS(Input!$L:$L,
Input!$K:$K,"1",
Input!$E:$E,'5.CC Physical risk'!$O$24,
Input!$D:$D,"outras empresas nao financeiras",
Input!$H:$H,'5.CC Physical risk'!$A15&amp;"*"))/1000000</f>
        <v>-3.4143439999999998</v>
      </c>
      <c r="P15" s="93">
        <f>(SUMIFS(Input!$L:$L,
Input!$K:$K,"1",
Input!$E:$E,'5.CC Physical risk'!$O$24,
Input!$D:$D,"outras empresas nao financeiras",
Input!$H:$H,'5.CC Physical risk'!$A15&amp;"*",
Input!$C:$C,'5.CC Physical risk'!$M$24))/1000000</f>
        <v>-1.1264160000000001</v>
      </c>
      <c r="Q15" s="93">
        <f>(SUMIFS(Input!$L:$L,
Input!$K:$K,"1",
Input!$E:$E,'5.CC Physical risk'!$O$24,
Input!$D:$D,"outras empresas nao financeiras",
Input!$H:$H,'5.CC Physical risk'!$A15&amp;"*",
Input!$C:$C,'5.CC Physical risk'!$N$24))/1000000</f>
        <v>-1.921017</v>
      </c>
      <c r="S15" s="73"/>
    </row>
    <row r="16" spans="1:19" x14ac:dyDescent="0.3">
      <c r="A16" s="70" t="s">
        <v>82</v>
      </c>
      <c r="B16" s="71">
        <v>8</v>
      </c>
      <c r="C16" s="72" t="s">
        <v>115</v>
      </c>
      <c r="D16" s="93">
        <f>(SUMIFS(Input!$L:$L,Input!$E:$E,'5.CC Physical risk'!$D$24,Input!$H:$H,'5.CC Physical risk'!$A16&amp;"*",Input!$D:$D,"outras empresas nao financeiras"))/1000000</f>
        <v>786.91127600000004</v>
      </c>
      <c r="E16" s="93">
        <f>(SUMIFS(Input!$L:$L,Input!$K:$K,"1",Input!$E:$E,'5.CC Physical risk'!$D$24,Input!$H:$H,'5.CC Physical risk'!$A16&amp;"*",Input!$D:$D,"outras empresas nao financeiras",Input!$G:$G,"&gt;=0",Input!$G:$G,"&lt;=5")
+ SUMIFS(Input!$L:$L,Input!$K:$K,"1",Input!$E:$E,'5.CC Physical risk'!$D$24,Input!$H:$H,'5.CC Physical risk'!$A16&amp;"*",Input!$D:$D,"outras empresas nao financeiras",Input!$G:$G,"-4")
+ SUMIFS(Input!$L:$L,Input!$K:$K,"1",Input!$E:$E,'5.CC Physical risk'!$D$24,Input!$H:$H,'5.CC Physical risk'!$A16&amp;"*",Input!$D:$D,"outras empresas nao financeiras",Input!$G:$G,"-1"))/1000000</f>
        <v>44.210984000000003</v>
      </c>
      <c r="F16" s="93">
        <f>(SUMIFS(Input!$L:$L,Input!$K:$K,"1",Input!$E:$E,'5.CC Physical risk'!$D$24,Input!$H:$H,'5.CC Physical risk'!$A16&amp;"*",Input!$D:$D,"outras empresas nao financeiras",Input!$G:$G,"&gt;5",Input!$G:$G,"&lt;=10"))/1000000</f>
        <v>44.886743000000003</v>
      </c>
      <c r="G16" s="93">
        <f>(SUMIFS(Input!$L:$L,Input!$K:$K,"1",Input!$E:$E,'5.CC Physical risk'!$D$24,Input!$H:$H,'5.CC Physical risk'!$A16&amp;"*",Input!$D:$D,"outras empresas nao financeiras",Input!$G:$G,"&gt;10",Input!$G:$G,"&lt;=20"))/1000000</f>
        <v>4.5513079999999997</v>
      </c>
      <c r="H16" s="93">
        <f>(SUMIFS(Input!$L:$L,Input!$K:$K,"1",Input!$E:$E,'5.CC Physical risk'!$D$24,Input!$H:$H,'5.CC Physical risk'!$A16&amp;"*",Input!$D:$D,"outras empresas nao financeiras",Input!$G:$G,"&gt;20")
+ SUMIFS(Input!$L:$L,Input!$K:$K,"1",Input!$E:$E,'5.CC Physical risk'!$D$24,Input!$H:$H,'5.CC Physical risk'!$A16&amp;"*",Input!$D:$D,"outras empresas nao financeiras",Input!$G:$G,"-2")
+ SUMIFS(Input!$L:$L,Input!$K:$K,"1",Input!$E:$E,'5.CC Physical risk'!$D$24,Input!$H:$H,'5.CC Physical risk'!$A16&amp;"*",Input!$D:$D,"outras empresas nao financeiras",Input!$G:$G,"-3")
+ SUMIFS(Input!$L:$L,Input!$K:$K,"1",Input!$E:$E,'5.CC Physical risk'!$D$24,Input!$H:$H,'5.CC Physical risk'!$A16&amp;"*",Input!$D:$D,"outras empresas nao financeiras",Input!$G:$G,"-5"))/1000000</f>
        <v>0</v>
      </c>
      <c r="I16" s="93">
        <f>IFERROR(ROUND(SUMIFS(Input!$M:$M,Input!$K:$K,"1",Input!$E:$E,'5.CC Physical risk'!$D$24,Input!$H:$H,'5.CC Physical risk'!$A16&amp;"*",Input!$D:$D,"outras empresas nao financeiras",Input!$G:$G,"&gt;0")
/
SUMIFS(Input!$L:$L,Input!$K:$K,"1",Input!$E:$E,'5.CC Physical risk'!$D$24,Input!$H:$H,'5.CC Physical risk'!$A16&amp;"*",Input!$D:$D,"outras empresas nao financeiras",Input!$G:$G,"&gt;0"),0),0)</f>
        <v>6</v>
      </c>
      <c r="J16" s="93">
        <f>(SUMIFS(Input!$L:$L,Input!$K:$K,"1",Input!$E:$E,'5.CC Physical risk'!$D$24,Input!$H:$H,'5.CC Physical risk'!$A16&amp;"*",Input!$D:$D,"outras empresas nao financeiras",Input!$I:$I,"&lt;&gt;"&amp;$K$24,Input!$J:$J,'5.CC Physical risk'!$J$24))/1000000</f>
        <v>2.6096020000000002</v>
      </c>
      <c r="K16" s="93">
        <f>(SUMIFS(Input!$L:$L,Input!$K:$K,"1",Input!$E:$E,'5.CC Physical risk'!$D$24,Input!$H:$H,'5.CC Physical risk'!$A16&amp;"*",Input!$D:$D,"outras empresas nao financeiras",Input!$J:$J,"&lt;&gt;"&amp;$J$24,Input!$I:$I,'5.CC Physical risk'!$K$24))/1000000</f>
        <v>90.936010999999993</v>
      </c>
      <c r="L16" s="93">
        <f>(SUMIFS(Input!$L:$L,
Input!$K:$K,"1",
Input!$E:$E,'5.CC Physical risk'!$D$24,
Input!$H:$H,'5.CC Physical risk'!$A16&amp;"*",
Input!$D:$D,"outras empresas nao financeiras",
Input!$J:$J,'5.CC Physical risk'!$J$24,
Input!$I:$I,'5.CC Physical risk'!$K$24))/1000000</f>
        <v>0</v>
      </c>
      <c r="M16" s="93">
        <f>(SUMIFS(Input!$L:$L,
Input!$K:$K,"1",
Input!$E:$E,'5.CC Physical risk'!$D$24,
Input!$D:$D,"outras empresas nao financeiras",
Input!$H:$H,'5.CC Physical risk'!$A16&amp;"*",
Input!$C:$C,'5.CC Physical risk'!$M$24))/1000000</f>
        <v>4.8612789999999997</v>
      </c>
      <c r="N16" s="93">
        <f>(SUMIFS(Input!$L:$L,
Input!$K:$K,"1",
Input!$E:$E,'5.CC Physical risk'!$D$24,
Input!$D:$D,"outras empresas nao financeiras",
Input!$H:$H,'5.CC Physical risk'!$A16&amp;"*",
Input!$C:$C,'5.CC Physical risk'!$N$24))/1000000</f>
        <v>0.44950299999999999</v>
      </c>
      <c r="O16" s="93">
        <f>(SUMIFS(Input!$L:$L,
Input!$K:$K,"1",
Input!$E:$E,'5.CC Physical risk'!$O$24,
Input!$D:$D,"outras empresas nao financeiras",
Input!$H:$H,'5.CC Physical risk'!$A16&amp;"*"))/1000000</f>
        <v>-1.358762</v>
      </c>
      <c r="P16" s="93">
        <f>(SUMIFS(Input!$L:$L,
Input!$K:$K,"1",
Input!$E:$E,'5.CC Physical risk'!$O$24,
Input!$D:$D,"outras empresas nao financeiras",
Input!$H:$H,'5.CC Physical risk'!$A16&amp;"*",
Input!$C:$C,'5.CC Physical risk'!$M$24))/1000000</f>
        <v>-0.68985700000000005</v>
      </c>
      <c r="Q16" s="93">
        <f>(SUMIFS(Input!$L:$L,
Input!$K:$K,"1",
Input!$E:$E,'5.CC Physical risk'!$O$24,
Input!$D:$D,"outras empresas nao financeiras",
Input!$H:$H,'5.CC Physical risk'!$A16&amp;"*",
Input!$C:$C,'5.CC Physical risk'!$N$24))/1000000</f>
        <v>-0.26210600000000001</v>
      </c>
      <c r="S16" s="73"/>
    </row>
    <row r="17" spans="1:19" x14ac:dyDescent="0.3">
      <c r="A17" s="70" t="s">
        <v>75</v>
      </c>
      <c r="B17" s="71">
        <v>9</v>
      </c>
      <c r="C17" s="72" t="s">
        <v>116</v>
      </c>
      <c r="D17" s="93">
        <f>(SUMIFS(Input!$L:$L,Input!$E:$E,'5.CC Physical risk'!$D$24,Input!$H:$H,'5.CC Physical risk'!$A17&amp;"*",Input!$D:$D,"outras empresas nao financeiras"))/1000000</f>
        <v>1166.2965469999999</v>
      </c>
      <c r="E17" s="93">
        <f>(SUMIFS(Input!$L:$L,Input!$K:$K,"1",Input!$E:$E,'5.CC Physical risk'!$D$24,Input!$H:$H,'5.CC Physical risk'!$A17&amp;"*",Input!$D:$D,"outras empresas nao financeiras",Input!$G:$G,"&gt;=0",Input!$G:$G,"&lt;=5")
+ SUMIFS(Input!$L:$L,Input!$K:$K,"1",Input!$E:$E,'5.CC Physical risk'!$D$24,Input!$H:$H,'5.CC Physical risk'!$A17&amp;"*",Input!$D:$D,"outras empresas nao financeiras",Input!$G:$G,"-4")
+ SUMIFS(Input!$L:$L,Input!$K:$K,"1",Input!$E:$E,'5.CC Physical risk'!$D$24,Input!$H:$H,'5.CC Physical risk'!$A17&amp;"*",Input!$D:$D,"outras empresas nao financeiras",Input!$G:$G,"-1"))/1000000</f>
        <v>16.357664</v>
      </c>
      <c r="F17" s="93">
        <f>(SUMIFS(Input!$L:$L,Input!$K:$K,"1",Input!$E:$E,'5.CC Physical risk'!$D$24,Input!$H:$H,'5.CC Physical risk'!$A17&amp;"*",Input!$D:$D,"outras empresas nao financeiras",Input!$G:$G,"&gt;5",Input!$G:$G,"&lt;=10"))/1000000</f>
        <v>2.1466280000000002</v>
      </c>
      <c r="G17" s="93">
        <f>(SUMIFS(Input!$L:$L,Input!$K:$K,"1",Input!$E:$E,'5.CC Physical risk'!$D$24,Input!$H:$H,'5.CC Physical risk'!$A17&amp;"*",Input!$D:$D,"outras empresas nao financeiras",Input!$G:$G,"&gt;10",Input!$G:$G,"&lt;=20"))/1000000</f>
        <v>0.14338400000000001</v>
      </c>
      <c r="H17" s="93">
        <f>(SUMIFS(Input!$L:$L,Input!$K:$K,"1",Input!$E:$E,'5.CC Physical risk'!$D$24,Input!$H:$H,'5.CC Physical risk'!$A17&amp;"*",Input!$D:$D,"outras empresas nao financeiras",Input!$G:$G,"&gt;20")
+ SUMIFS(Input!$L:$L,Input!$K:$K,"1",Input!$E:$E,'5.CC Physical risk'!$D$24,Input!$H:$H,'5.CC Physical risk'!$A17&amp;"*",Input!$D:$D,"outras empresas nao financeiras",Input!$G:$G,"-2")
+ SUMIFS(Input!$L:$L,Input!$K:$K,"1",Input!$E:$E,'5.CC Physical risk'!$D$24,Input!$H:$H,'5.CC Physical risk'!$A17&amp;"*",Input!$D:$D,"outras empresas nao financeiras",Input!$G:$G,"-3")
+ SUMIFS(Input!$L:$L,Input!$K:$K,"1",Input!$E:$E,'5.CC Physical risk'!$D$24,Input!$H:$H,'5.CC Physical risk'!$A17&amp;"*",Input!$D:$D,"outras empresas nao financeiras",Input!$G:$G,"-5"))/1000000</f>
        <v>0</v>
      </c>
      <c r="I17" s="93">
        <f>IFERROR(ROUND(SUMIFS(Input!$M:$M,Input!$K:$K,"1",Input!$E:$E,'5.CC Physical risk'!$D$24,Input!$H:$H,'5.CC Physical risk'!$A17&amp;"*",Input!$D:$D,"outras empresas nao financeiras",Input!$G:$G,"&gt;0")
/
SUMIFS(Input!$L:$L,Input!$K:$K,"1",Input!$E:$E,'5.CC Physical risk'!$D$24,Input!$H:$H,'5.CC Physical risk'!$A17&amp;"*",Input!$D:$D,"outras empresas nao financeiras",Input!$G:$G,"&gt;0"),0),0)</f>
        <v>5</v>
      </c>
      <c r="J17" s="93">
        <f>(SUMIFS(Input!$L:$L,Input!$K:$K,"1",Input!$E:$E,'5.CC Physical risk'!$D$24,Input!$H:$H,'5.CC Physical risk'!$A17&amp;"*",Input!$D:$D,"outras empresas nao financeiras",Input!$I:$I,"&lt;&gt;"&amp;$K$24,Input!$J:$J,'5.CC Physical risk'!$J$24))/1000000</f>
        <v>0</v>
      </c>
      <c r="K17" s="93">
        <f>(SUMIFS(Input!$L:$L,Input!$K:$K,"1",Input!$E:$E,'5.CC Physical risk'!$D$24,Input!$H:$H,'5.CC Physical risk'!$A17&amp;"*",Input!$D:$D,"outras empresas nao financeiras",Input!$J:$J,"&lt;&gt;"&amp;$J$24,Input!$I:$I,'5.CC Physical risk'!$K$24))/1000000</f>
        <v>4.2248270000000003</v>
      </c>
      <c r="L17" s="93">
        <f>(SUMIFS(Input!$L:$L,
Input!$K:$K,"1",
Input!$E:$E,'5.CC Physical risk'!$D$24,
Input!$H:$H,'5.CC Physical risk'!$A17&amp;"*",
Input!$D:$D,"outras empresas nao financeiras",
Input!$J:$J,'5.CC Physical risk'!$J$24,
Input!$I:$I,'5.CC Physical risk'!$K$24))/1000000</f>
        <v>0</v>
      </c>
      <c r="M17" s="93">
        <f>(SUMIFS(Input!$L:$L,
Input!$K:$K,"1",
Input!$E:$E,'5.CC Physical risk'!$D$24,
Input!$D:$D,"outras empresas nao financeiras",
Input!$H:$H,'5.CC Physical risk'!$A17&amp;"*",
Input!$C:$C,'5.CC Physical risk'!$M$24))/1000000</f>
        <v>0.47022399999999998</v>
      </c>
      <c r="N17" s="93">
        <f>(SUMIFS(Input!$L:$L,
Input!$K:$K,"1",
Input!$E:$E,'5.CC Physical risk'!$D$24,
Input!$D:$D,"outras empresas nao financeiras",
Input!$H:$H,'5.CC Physical risk'!$A17&amp;"*",
Input!$C:$C,'5.CC Physical risk'!$N$24))/1000000</f>
        <v>12.487506</v>
      </c>
      <c r="O17" s="93">
        <f>(SUMIFS(Input!$L:$L,
Input!$K:$K,"1",
Input!$E:$E,'5.CC Physical risk'!$O$24,
Input!$D:$D,"outras empresas nao financeiras",
Input!$H:$H,'5.CC Physical risk'!$A17&amp;"*"))/1000000</f>
        <v>-12.450239</v>
      </c>
      <c r="P17" s="93">
        <f>(SUMIFS(Input!$L:$L,
Input!$K:$K,"1",
Input!$E:$E,'5.CC Physical risk'!$O$24,
Input!$D:$D,"outras empresas nao financeiras",
Input!$H:$H,'5.CC Physical risk'!$A17&amp;"*",
Input!$C:$C,'5.CC Physical risk'!$M$24))/1000000</f>
        <v>-1.2669E-2</v>
      </c>
      <c r="Q17" s="93">
        <f>(SUMIFS(Input!$L:$L,
Input!$K:$K,"1",
Input!$E:$E,'5.CC Physical risk'!$O$24,
Input!$D:$D,"outras empresas nao financeiras",
Input!$H:$H,'5.CC Physical risk'!$A17&amp;"*",
Input!$C:$C,'5.CC Physical risk'!$N$24))/1000000</f>
        <v>-12.426698</v>
      </c>
      <c r="S17" s="73"/>
    </row>
    <row r="18" spans="1:19" x14ac:dyDescent="0.3">
      <c r="A18" s="70" t="s">
        <v>24</v>
      </c>
      <c r="B18" s="71">
        <v>10</v>
      </c>
      <c r="C18" s="72" t="s">
        <v>117</v>
      </c>
      <c r="D18" s="97">
        <f>(SUMIFS(Input!$L:$L,
Input!$E:$E,'5.CC Physical risk'!$D$24,
Input!$F:$F,'5.CC Physical risk'!$A18&amp;"*"))/1000000</f>
        <v>23291.746937</v>
      </c>
      <c r="E18" s="99">
        <f>(SUMIFS(Input!$L:$L,Input!$K:$K,"1",Input!$E:$E,'5.CC Physical risk'!$D$24,Input!$F:$F,'5.CC Physical risk'!$A18,Input!$G:$G,"&gt;=0",Input!$G:$G,"&lt;=5")
+ SUMIFS(Input!$L:$L,Input!$K:$K,"1",Input!$E:$E,'5.CC Physical risk'!$D$24,Input!$F:$F,'5.CC Physical risk'!$A18,Input!$G:$G,"-4")
+ SUMIFS(Input!$L:$L,Input!$K:$K,"1",Input!$E:$E,'5.CC Physical risk'!$D$24,Input!$F:$F,'5.CC Physical risk'!$A18,Input!$G:$G,"-1"))/1000000</f>
        <v>6.052975</v>
      </c>
      <c r="F18" s="99">
        <f>(SUMIFS(Input!$L:$L,Input!$K:$K,"1",Input!$E:$E,'5.CC Physical risk'!$D$24,Input!$F:$F,'5.CC Physical risk'!$A18,Input!$G:$G,"&gt;5",Input!$G:$G,"&lt;=10"))/1000000</f>
        <v>18.331364000000001</v>
      </c>
      <c r="G18" s="99">
        <f>(SUMIFS(Input!$L:$L,Input!$K:$K,"1",Input!$E:$E,'5.CC Physical risk'!$D$24,Input!$F:$F,'5.CC Physical risk'!$A18,Input!$G:$G,"&gt;10",Input!$G:$G,"&lt;=20"))/1000000</f>
        <v>61.481515999999999</v>
      </c>
      <c r="H18" s="99">
        <f>(SUMIFS(Input!$L:$L,Input!$K:$K,"1",Input!$E:$E,'5.CC Physical risk'!$D$24,Input!$F:$F,'5.CC Physical risk'!$A18,Input!$G:$G,"&gt;20")
+ SUMIFS(Input!$L:$L,Input!$K:$K,"1",Input!$E:$E,'5.CC Physical risk'!$D$24,Input!$F:$F,'5.CC Physical risk'!$A18,Input!$G:$G,"-2")
+ SUMIFS(Input!$L:$L,Input!$K:$K,"1",Input!$E:$E,'5.CC Physical risk'!$D$24,Input!$F:$F,'5.CC Physical risk'!$A18,Input!$G:$G,"-3")
+ SUMIFS(Input!$L:$L,Input!$K:$K,"1",Input!$E:$E,'5.CC Physical risk'!$D$24,Input!$F:$F,'5.CC Physical risk'!$A18,Input!$G:$G,"-5"))/1000000</f>
        <v>323.90603800000002</v>
      </c>
      <c r="I18" s="93">
        <f>IFERROR(ROUND(SUMIFS(Input!$M:$M,Input!$K:$K,"1",Input!$E:$E,'5.CC Physical risk'!$D$24,Input!$F:$F,'5.CC Physical risk'!$A18,Input!$G:$G,"&gt;0")
/
SUMIFS(Input!$L:$L,Input!$K:$K,"1",Input!$E:$E,'5.CC Physical risk'!$D$24,Input!$F:$F,'5.CC Physical risk'!$A18,Input!$G:$G,"&gt;0"),0),0)</f>
        <v>27</v>
      </c>
      <c r="J18" s="93">
        <f>(SUMIFS(Input!$L:$L,Input!$K:$K,"1",Input!$E:$E,'5.CC Physical risk'!$D$24,Input!$F:$F,'5.CC Physical risk'!$A18&amp;"*",Input!$J:$J,"CHRO1",Input!$I:$I,"ACUT2"))/1000000</f>
        <v>6.1156000000000002E-2</v>
      </c>
      <c r="K18" s="93">
        <f>(SUMIFS(Input!$L:$L,Input!$K:$K,"1",Input!$E:$E,'5.CC Physical risk'!$D$24,Input!$F:$F,'5.CC Physical risk'!$A18&amp;"*",Input!$J:$J,"CHRO2",Input!$I:$I,"ACUT1"))/1000000</f>
        <v>336.34974899999997</v>
      </c>
      <c r="L18" s="93">
        <f>(SUMIFS(Input!$L:$L,Input!$K:$K,"1",Input!$E:$E,'5.CC Physical risk'!$D$24,Input!$F:$F,'5.CC Physical risk'!$A18&amp;"*",Input!$J:$J,"CHRO1",Input!$I:$I,"ACUT1"))/1000000</f>
        <v>1.2799E-2</v>
      </c>
      <c r="M18" s="93">
        <f>SUM(SUMIFS(Input!$L:$L,
Input!$K:$K,"1",
Input!$E:$E,'5.CC Physical risk'!$D$24,
Input!$F:$F,'5.CC Physical risk'!$A18&amp;"*",
Input!$C:$C,'5.CC Physical risk'!$M$24))/1000000</f>
        <v>35.968049000000001</v>
      </c>
      <c r="N18" s="93">
        <f>SUM(SUMIFS(Input!$L:$L,
Input!$K:$K,"1",
Input!$E:$E,'5.CC Physical risk'!$D$24,
Input!$F:$F,'5.CC Physical risk'!$A18&amp;"*",
Input!$C:$C,'5.CC Physical risk'!$N$24))/1000000</f>
        <v>6.3520250000000003</v>
      </c>
      <c r="O18" s="93">
        <f>SUM(SUMIFS(Input!$L:$L,
Input!$K:$K,"1",
Input!$E:$E,'5.CC Physical risk'!$O$24,
Input!$F:$F,'5.CC Physical risk'!$A18))/1000000</f>
        <v>-3.295766</v>
      </c>
      <c r="P18" s="93">
        <f>SUM(SUMIFS(Input!$L:$L,
Input!$K:$K,"1",
Input!$E:$E,'5.CC Physical risk'!$O$24,
Input!$F:$F,'5.CC Physical risk'!$A18&amp;"*",
Input!$C:$C,'5.CC Physical risk'!$M$24))/1000000</f>
        <v>-1.073332</v>
      </c>
      <c r="Q18" s="93">
        <f>SUM(SUMIFS(Input!$L:$L,
Input!$K:$K,"1",
Input!$E:$E,'5.CC Physical risk'!$O$24,
Input!$F:$F,'5.CC Physical risk'!$A18&amp;"*",
Input!$C:$C,'5.CC Physical risk'!$N$24))/1000000</f>
        <v>-2.015361</v>
      </c>
      <c r="S18" s="73"/>
    </row>
    <row r="19" spans="1:19" x14ac:dyDescent="0.3">
      <c r="A19" s="70" t="s">
        <v>25</v>
      </c>
      <c r="B19" s="71">
        <v>11</v>
      </c>
      <c r="C19" s="72" t="s">
        <v>118</v>
      </c>
      <c r="D19" s="93">
        <f>(SUMIFS(Input!$L:$L,Input!$E:$E,'5.CC Physical risk'!$D$24,Input!$F:$F,'5.CC Physical risk'!$A19&amp;"*"))/1000000</f>
        <v>3579.2865459999998</v>
      </c>
      <c r="E19" s="93">
        <f>(SUMIFS(Input!$L:$L,Input!$K:$K,"1",Input!$E:$E,'5.CC Physical risk'!$D$24,Input!$F:$F,'5.CC Physical risk'!$A19,Input!$G:$G,"&gt;=0",Input!$G:$G,"&lt;=5")
+ SUMIFS(Input!$L:$L,Input!$K:$K,"1",Input!$E:$E,'5.CC Physical risk'!$D$24,Input!$F:$F,'5.CC Physical risk'!$A19,Input!$G:$G,"-4")
+ SUMIFS(Input!$L:$L,Input!$K:$K,"1",Input!$E:$E,'5.CC Physical risk'!$D$24,Input!$F:$F,'5.CC Physical risk'!$A19,Input!$G:$G,"-1"))/1000000</f>
        <v>77.027153999999996</v>
      </c>
      <c r="F19" s="93">
        <f>(SUMIFS(Input!$L:$L,Input!$K:$K,"1",Input!$E:$E,'5.CC Physical risk'!$D$24,Input!$F:$F,'5.CC Physical risk'!$A19,Input!$G:$G,"&gt;5",Input!$G:$G,"&lt;=10"))/1000000</f>
        <v>89.380049</v>
      </c>
      <c r="G19" s="93">
        <f>(SUMIFS(Input!$L:$L,Input!$K:$K,"1",Input!$E:$E,'5.CC Physical risk'!$D$24,Input!$F:$F,'5.CC Physical risk'!$A19,Input!$G:$G,"&gt;10",Input!$G:$G,"&lt;=20"))/1000000</f>
        <v>77.848314999999999</v>
      </c>
      <c r="H19" s="93">
        <f>(SUMIFS(Input!$L:$L,Input!$K:$K,"1",Input!$E:$E,'5.CC Physical risk'!$D$24,Input!$F:$F,'5.CC Physical risk'!$A19,Input!$G:$G,"&gt;20")
+SUMIFS(Input!$L:$L,Input!$K:$K,"1",Input!$E:$E,'5.CC Physical risk'!$D$24,Input!$F:$F,'5.CC Physical risk'!$A19,Input!$G:$G,"-2")
+SUMIFS(Input!$L:$L,Input!$K:$K,"1",Input!$E:$E,'5.CC Physical risk'!$D$24,Input!$F:$F,'5.CC Physical risk'!$A19,Input!$G:$G,"-3")
+SUMIFS(Input!$L:$L,Input!$K:$K,"1",Input!$E:$E,'5.CC Physical risk'!$D$24,Input!$F:$F,'5.CC Physical risk'!$A19,Input!$G:$G,"-5"))/1000000</f>
        <v>8.2302E-2</v>
      </c>
      <c r="I19" s="93">
        <f>IFERROR(ROUND(SUMIFS(Input!$M:$M,Input!$K:$K,"1",Input!$E:$E,'5.CC Physical risk'!$D$24,Input!$F:$F,'5.CC Physical risk'!$A19,Input!$G:$G,"&gt;0")
/
SUMIFS(Input!$L:$L,Input!$K:$K,"1",Input!$E:$E,'5.CC Physical risk'!$D$24,Input!$F:$F,'5.CC Physical risk'!$A19,Input!$G:$G,"&gt;0"),0),0)</f>
        <v>9</v>
      </c>
      <c r="J19" s="93">
        <f>(SUMIFS(Input!$L:$L,Input!$K:$K,"1",Input!$E:$E,'5.CC Physical risk'!$D$24,Input!$F:$F,'5.CC Physical risk'!$A19&amp;"*",Input!$J:$J,"CHRO1",Input!$I:$I,"ACUT2"))/1000000</f>
        <v>10.635138</v>
      </c>
      <c r="K19" s="93">
        <f>(SUMIFS(Input!$L:$L,Input!$K:$K,"1",Input!$E:$E,'5.CC Physical risk'!$D$24,Input!$F:$F,'5.CC Physical risk'!$A19&amp;"*",Input!$J:$J,"CHRO2",Input!$I:$I,"ACUT1"))/1000000</f>
        <v>18.668171999999998</v>
      </c>
      <c r="L19" s="93">
        <f>(SUMIFS(Input!$L:$L,Input!$K:$K,"1",Input!$E:$E,'5.CC Physical risk'!$D$24,Input!$F:$F,'5.CC Physical risk'!$A19&amp;"*",Input!$J:$J,"CHRO1",Input!$I:$I,"ACUT1"))/1000000</f>
        <v>0</v>
      </c>
      <c r="M19" s="93">
        <f>(SUMIFS(Input!$L:$L,Input!$K:$K,"1",Input!$E:$E,'5.CC Physical risk'!$D$24,Input!$F:$F,'5.CC Physical risk'!$A19&amp;"*",Input!$C:$C,'5.CC Physical risk'!$M$24))/1000000</f>
        <v>22.779485999999999</v>
      </c>
      <c r="N19" s="93">
        <f>(SUMIFS(Input!$L:$L,Input!$K:$K,"1",Input!$E:$E,'5.CC Physical risk'!$D$24,Input!$F:$F,'5.CC Physical risk'!$A19&amp;"*",Input!$C:$C,'5.CC Physical risk'!$N$24))/1000000</f>
        <v>22.656621000000001</v>
      </c>
      <c r="O19" s="93">
        <f>(SUMIFS(Input!$L:$L,Input!$K:$K,"1",Input!$E:$E,'5.CC Physical risk'!$O$24,Input!$F:$F,'5.CC Physical risk'!$A19))/1000000</f>
        <v>-20.166706000000001</v>
      </c>
      <c r="P19" s="93">
        <f>(SUMIFS(Input!$L:$L,Input!$K:$K,"1",Input!$E:$E,'5.CC Physical risk'!$O$24,Input!$F:$F,'5.CC Physical risk'!$A19&amp;"*",Input!$C:$C,'5.CC Physical risk'!$M$24))/1000000</f>
        <v>-1.1230249999999999</v>
      </c>
      <c r="Q19" s="93">
        <f>(SUMIFS(Input!$L:$L,Input!$K:$K,"1",Input!$E:$E,'5.CC Physical risk'!$O$24,Input!$F:$F,'5.CC Physical risk'!$A19&amp;"*",Input!$C:$C,'5.CC Physical risk'!$N$24))/1000000</f>
        <v>-18.671807000000001</v>
      </c>
      <c r="S19" s="73"/>
    </row>
    <row r="20" spans="1:19" x14ac:dyDescent="0.3">
      <c r="A20" s="70" t="s">
        <v>23</v>
      </c>
      <c r="B20" s="71">
        <v>12</v>
      </c>
      <c r="C20" s="72" t="s">
        <v>119</v>
      </c>
      <c r="D20" s="93">
        <f>(SUMIFS(Input!$L:$L,Input!$E:$E,'5.CC Physical risk'!$D$24,Input!$F:$F,'5.CC Physical risk'!$A20&amp;"*"))/1000000</f>
        <v>0</v>
      </c>
      <c r="E20" s="93">
        <f>(SUMIFS(Input!$L:$L,Input!$K:$K,"1",Input!$E:$E,'5.CC Physical risk'!$D$24,Input!$F:$F,'5.CC Physical risk'!$A20&amp;"*",Input!$G:$G,"&gt;=0",Input!$G:$G,"&lt;=5"))/1000000</f>
        <v>0</v>
      </c>
      <c r="F20" s="93">
        <f>(SUMIFS(Input!$L:$L,Input!$K:$K,"1",Input!$E:$E,'5.CC Physical risk'!$D$24,Input!$F:$F,'5.CC Physical risk'!$A20&amp;"*",Input!$G:$G,"&gt;5",Input!$G:$G,"&lt;=10"))/1000000</f>
        <v>0</v>
      </c>
      <c r="G20" s="93">
        <f>(SUMIFS(Input!$L:$L,Input!$K:$K,"1",Input!$E:$E,'5.CC Physical risk'!$D$24,Input!$F:$F,'5.CC Physical risk'!$A20&amp;"*",Input!$G:$G,"&gt;10",Input!$G:$G,"&lt;=20"))/1000000</f>
        <v>0</v>
      </c>
      <c r="H20" s="93">
        <f>(SUMIFS(Input!$L:$L,Input!$K:$K,"1",Input!$E:$E,'5.CC Physical risk'!$D$24,Input!$F:$F,'5.CC Physical risk'!$A20,Input!$G:$G,"&gt;20")
+SUMIFS(Input!$L:$L,Input!$K:$K,"1",Input!$E:$E,'5.CC Physical risk'!$D$24,Input!$F:$F,'5.CC Physical risk'!$A20,Input!$G:$G,"-2")
+SUMIFS(Input!$L:$L,Input!$K:$K,"1",Input!$E:$E,'5.CC Physical risk'!$D$24,Input!$F:$F,'5.CC Physical risk'!$A20,Input!$G:$G,"-3")
+SUMIFS(Input!$L:$L,Input!$K:$K,"1",Input!$E:$E,'5.CC Physical risk'!$D$24,Input!$F:$F,'5.CC Physical risk'!$A20,Input!$G:$G,"-5"))/1000000</f>
        <v>0</v>
      </c>
      <c r="I20" s="93">
        <f>IFERROR(ROUND(SUMIFS(Input!$M:$M,Input!$K:$K,"1",Input!$E:$E,'5.CC Physical risk'!$D$24,Input!$F:$F,'5.CC Physical risk'!$A20,Input!$G:$G,"&gt;0")
/
SUMIFS(Input!$L:$L,Input!$K:$K,"1",Input!$E:$E,'5.CC Physical risk'!$D$24,Input!$F:$F,'5.CC Physical risk'!$A20,Input!$G:$G,"&gt;0"),0),0)</f>
        <v>0</v>
      </c>
      <c r="J20" s="93">
        <f>(SUMIFS(Input!$L:$L,Input!$K:$K,"1",Input!$E:$E,'5.CC Physical risk'!$D$24,Input!$F:$F,'5.CC Physical risk'!$A20&amp;"*",Input!$J:$J,"CHRO1",Input!$I:$I,"ACUT2"))/1000000</f>
        <v>0</v>
      </c>
      <c r="K20" s="93">
        <f>(SUMIFS(Input!$L:$L,Input!$K:$K,"1",Input!$E:$E,'5.CC Physical risk'!$D$24,Input!$F:$F,'5.CC Physical risk'!$A20&amp;"*",Input!$J:$J,"CHRO2",Input!$I:$I,"ACUT1"))/1000000</f>
        <v>0</v>
      </c>
      <c r="L20" s="93">
        <f>(SUMIFS(Input!$L:$L,Input!$K:$K,"1",Input!$E:$E,'5.CC Physical risk'!$D$24,Input!$F:$F,'5.CC Physical risk'!$A20&amp;"*",Input!$J:$J,"CHRO1",Input!$I:$I,"ACUT1"))/1000000</f>
        <v>0</v>
      </c>
      <c r="M20" s="93">
        <f>(SUMIFS(Input!$L:$L,Input!$E:$E,'5.CC Physical risk'!$D$24,Input!$K:$K,"1",Input!$F:$F,'5.CC Physical risk'!$A20,Input!$C:$C,'5.CC Physical risk'!$M$24))/1000000</f>
        <v>0</v>
      </c>
      <c r="N20" s="93">
        <f>(SUMIFS(Input!$L:$L,Input!$E:$E,'5.CC Physical risk'!$D$24,Input!$K:$K,"1",Input!$K:$K,'5.CC Physical risk'!$A20,Input!$C:$C,'5.CC Physical risk'!$N$24))/1000000</f>
        <v>0</v>
      </c>
      <c r="O20" s="93">
        <f>(SUMIFS(Input!$L:$L,Input!$K:$K,"1",Input!$E:$E,'5.CC Physical risk'!$O$24,Input!$F:$F,'5.CC Physical risk'!$A20))/1000000</f>
        <v>0</v>
      </c>
      <c r="P20" s="93">
        <f>(SUMIFS(Input!$L:$L,Input!$E:$E,'5.CC Physical risk'!$O$24,Input!$K:$K,"1",Input!$F:$F,'5.CC Physical risk'!$A20,Input!$C:$C,'5.CC Physical risk'!$M$24))/1000000</f>
        <v>0</v>
      </c>
      <c r="Q20" s="93">
        <f>(SUMIFS(Input!$L:$L,Input!$E:$E,'5.CC Physical risk'!$O$24,Input!$K:$K,"1",Input!$F:$F,'5.CC Physical risk'!$A20,Input!$C:$C,'5.CC Physical risk'!$N$24))/1000000</f>
        <v>0</v>
      </c>
      <c r="S20" s="73"/>
    </row>
    <row r="21" spans="1:19" x14ac:dyDescent="0.3">
      <c r="A21" s="70" t="s">
        <v>76</v>
      </c>
      <c r="B21" s="71">
        <v>13</v>
      </c>
      <c r="C21" s="74" t="s">
        <v>120</v>
      </c>
      <c r="D21" s="93">
        <f>(SUMIFS(Input!$L:$L,Input!$E:$E,'5.CC Physical risk'!$D$24,Input!$H:$H,'5.CC Physical risk'!$A21&amp;"*",Input!$D:$D,"outras empresas nao financeiras"))/1000000</f>
        <v>1110.460141</v>
      </c>
      <c r="E21" s="93">
        <f>(SUMIFS(Input!$L:$L,Input!$K:$K,"1",Input!$E:$E,'5.CC Physical risk'!$D$24,Input!$H:$H,'5.CC Physical risk'!$A21&amp;"*",Input!$D:$D,"outras empresas nao financeiras",Input!$G:$G,"&gt;=0",Input!$G:$G,"&lt;=5")
+ SUMIFS(Input!$L:$L,Input!$K:$K,"1",Input!$E:$E,'5.CC Physical risk'!$D$24,Input!$H:$H,'5.CC Physical risk'!$A21&amp;"*",Input!$D:$D,"outras empresas nao financeiras",Input!$G:$G,"-4")
+ SUMIFS(Input!$L:$L,Input!$K:$K,"1",Input!$E:$E,'5.CC Physical risk'!$D$24,Input!$H:$H,'5.CC Physical risk'!$A21&amp;"*",Input!$D:$D,"outras empresas nao financeiras",Input!$G:$G,"-1"))/1000000</f>
        <v>0.22211700000000001</v>
      </c>
      <c r="F21" s="93">
        <f>(SUMIFS(Input!$L:$L,Input!$K:$K,"1",Input!$E:$E,'5.CC Physical risk'!$D$24,Input!$H:$H,'5.CC Physical risk'!$A21&amp;"*",Input!$D:$D,"outras empresas nao financeiras",Input!$G:$G,"&gt;5",Input!$G:$G,"&lt;=10"))/1000000</f>
        <v>6.5126179999999998</v>
      </c>
      <c r="G21" s="93">
        <f>(SUMIFS(Input!$L:$L,Input!$K:$K,"1",Input!$E:$E,'5.CC Physical risk'!$D$24,Input!$H:$H,'5.CC Physical risk'!$A21&amp;"*",Input!$D:$D,"outras empresas nao financeiras",Input!$G:$G,"&gt;10",Input!$G:$G,"&lt;=20"))/1000000</f>
        <v>0.70479800000000004</v>
      </c>
      <c r="H21" s="93">
        <f>(SUMIFS(Input!$L:$L,Input!$K:$K,"1",Input!$E:$E,'5.CC Physical risk'!$D$24,Input!$H:$H,'5.CC Physical risk'!$A21&amp;"*",Input!$D:$D,"outras empresas nao financeiras",Input!$G:$G,"&gt;20")
+ SUMIFS(Input!$L:$L,Input!$K:$K,"1",Input!$E:$E,'5.CC Physical risk'!$D$24,Input!$H:$H,'5.CC Physical risk'!$A21&amp;"*",Input!$D:$D,"outras empresas nao financeiras",Input!$G:$G,"-2")
+ SUMIFS(Input!$L:$L,Input!$K:$K,"1",Input!$E:$E,'5.CC Physical risk'!$D$24,Input!$H:$H,'5.CC Physical risk'!$A21&amp;"*",Input!$D:$D,"outras empresas nao financeiras",Input!$G:$G,"-3")
+ SUMIFS(Input!$L:$L,Input!$K:$K,"1",Input!$E:$E,'5.CC Physical risk'!$D$24,Input!$H:$H,'5.CC Physical risk'!$A21&amp;"*",Input!$D:$D,"outras empresas nao financeiras",Input!$G:$G,"-5"))/1000000</f>
        <v>0</v>
      </c>
      <c r="I21" s="93">
        <f>IFERROR(ROUND(SUMIFS(Input!$M:$M,Input!$K:$K,"1",Input!$E:$E,'5.CC Physical risk'!$D$24,Input!$H:$H,'5.CC Physical risk'!$A21&amp;"*",Input!$D:$D,"outras empresas nao financeiras",Input!$G:$G,"&gt;0")
/
SUMIFS(Input!$L:$L,Input!$K:$K,"1",Input!$E:$E,'5.CC Physical risk'!$D$24,Input!$H:$H,'5.CC Physical risk'!$A21&amp;"*",Input!$D:$D,"outras empresas nao financeiras",Input!$G:$G,"&gt;0"),0),0)</f>
        <v>10</v>
      </c>
      <c r="J21" s="93">
        <f>(SUMIFS(Input!$L:$L,Input!$K:$K,"1",Input!$E:$E,'5.CC Physical risk'!$D$24,Input!$H:$H,'5.CC Physical risk'!$A21&amp;"*",Input!$D:$D,"outras empresas nao financeiras",Input!$I:$I,"&lt;&gt;"&amp;$K$24,Input!$J:$J,'5.CC Physical risk'!$J$24))/1000000</f>
        <v>0</v>
      </c>
      <c r="K21" s="93">
        <f>(SUMIFS(Input!$L:$L,Input!$K:$K,"1",Input!$E:$E,'5.CC Physical risk'!$D$24,Input!$H:$H,'5.CC Physical risk'!$A21&amp;"*",Input!$D:$D,"outras empresas nao financeiras",Input!$J:$J,"&lt;&gt;"&amp;$J$24,Input!$I:$I,'5.CC Physical risk'!$K$24))/1000000</f>
        <v>7.439533</v>
      </c>
      <c r="L21" s="93">
        <f>(SUMIFS(Input!$L:$L,Input!$K:$K,"1",Input!$E:$E,'5.CC Physical risk'!$D$24,Input!$H:$H,'5.CC Physical risk'!$A21&amp;"*",Input!$D:$D,"outras empresas nao financeiras",Input!$J:$J,'5.CC Physical risk'!$J$24,Input!$I:$I,'5.CC Physical risk'!$K$24))/1000000</f>
        <v>0</v>
      </c>
      <c r="M21" s="93">
        <f>(SUMIFS(Input!$L:$L,
Input!$K:$K,"1",
Input!$E:$E,'5.CC Physical risk'!$D$24,
Input!$D:$D,"outras empresas nao financeiras",
Input!$H:$H,'5.CC Physical risk'!$A21&amp;"*",
Input!$C:$C,'5.CC Physical risk'!$M$24))/1000000</f>
        <v>0</v>
      </c>
      <c r="N21" s="93">
        <f>(SUMIFS(Input!$L:$L,
Input!$K:$K,"1",
Input!$E:$E,'5.CC Physical risk'!$D$24,
Input!$D:$D,"outras empresas nao financeiras",
Input!$H:$H,'5.CC Physical risk'!$A21&amp;"*",
Input!$C:$C,'5.CC Physical risk'!$N$24))/1000000</f>
        <v>3.0584E-2</v>
      </c>
      <c r="O21" s="93">
        <f>(SUMIFS(Input!$L:$L,
Input!$K:$K,"1",
Input!$E:$E,'5.CC Physical risk'!$O$24,
Input!$D:$D,"outras empresas nao financeiras",
Input!$H:$H,'5.CC Physical risk'!$A21&amp;"*"))/1000000</f>
        <v>-2.7449000000000001E-2</v>
      </c>
      <c r="P21" s="93">
        <f>(SUMIFS(Input!$L:$L,
Input!$K:$K,"1",
Input!$E:$E,'5.CC Physical risk'!$O$24,
Input!$D:$D,"outras empresas nao financeiras",
Input!$H:$H,'5.CC Physical risk'!$A21&amp;"*",
Input!$C:$C,'5.CC Physical risk'!$M$24))/1000000</f>
        <v>0</v>
      </c>
      <c r="Q21" s="93">
        <f>(SUMIFS(Input!$L:$L,
Input!$K:$K,"1",
Input!$E:$E,'5.CC Physical risk'!$O$24,
Input!$D:$D,"outras empresas nao financeiras",
Input!$H:$H,'5.CC Physical risk'!$A21&amp;"*",
Input!$C:$C,'5.CC Physical risk'!$N$24))/1000000</f>
        <v>-1.3414000000000001E-2</v>
      </c>
      <c r="S21" s="73"/>
    </row>
    <row r="22" spans="1:19" x14ac:dyDescent="0.3">
      <c r="A22" s="70" t="s">
        <v>81</v>
      </c>
      <c r="B22" s="71">
        <v>13</v>
      </c>
      <c r="C22" s="72" t="s">
        <v>121</v>
      </c>
      <c r="D22" s="93">
        <f>(SUMIFS(Input!$L:$L,Input!$E:$E,'5.CC Physical risk'!$D$24,Input!$H:$H,'5.CC Physical risk'!$A22&amp;"*",Input!$D:$D,"outras empresas nao financeiras"))/1000000</f>
        <v>8.7186570000000003</v>
      </c>
      <c r="E22" s="93">
        <f>(SUMIFS(Input!$L:$L,Input!$K:$K,"1",Input!$E:$E,'5.CC Physical risk'!$D$24,Input!$H:$H,'5.CC Physical risk'!$A22&amp;"*",Input!$D:$D,"outras empresas nao financeiras",Input!$G:$G,"&gt;=0",Input!$G:$G,"&lt;=5")
+ SUMIFS(Input!$L:$L,Input!$K:$K,"1",Input!$E:$E,'5.CC Physical risk'!$D$24,Input!$H:$H,'5.CC Physical risk'!$A22&amp;"*",Input!$D:$D,"outras empresas nao financeiras",Input!$G:$G,"-4")
+ SUMIFS(Input!$L:$L,Input!$K:$K,"1",Input!$E:$E,'5.CC Physical risk'!$D$24,Input!$H:$H,'5.CC Physical risk'!$A22&amp;"*",Input!$D:$D,"outras empresas nao financeiras",Input!$G:$G,"-1"))/1000000</f>
        <v>0</v>
      </c>
      <c r="F22" s="93">
        <f>(SUMIFS(Input!$L:$L,Input!$K:$K,"1",Input!$E:$E,'5.CC Physical risk'!$D$24,Input!$H:$H,'5.CC Physical risk'!$A22&amp;"*",Input!$D:$D,"outras empresas nao financeiras",Input!$G:$G,"&gt;5",Input!$G:$G,"&lt;=10"))/1000000</f>
        <v>0</v>
      </c>
      <c r="G22" s="93">
        <f>(SUMIFS(Input!$L:$L,Input!$K:$K,"1",Input!$E:$E,'5.CC Physical risk'!$D$24,Input!$H:$H,'5.CC Physical risk'!$A22&amp;"*",Input!$D:$D,"outras empresas nao financeiras",Input!$G:$G,"&gt;10",Input!$G:$G,"&lt;=20"))/1000000</f>
        <v>0</v>
      </c>
      <c r="H22" s="93">
        <f>(SUMIFS(Input!$L:$L,Input!$K:$K,"1",Input!$E:$E,'5.CC Physical risk'!$D$24,Input!$H:$H,'5.CC Physical risk'!$A22&amp;"*",Input!$D:$D,"outras empresas nao financeiras",Input!$G:$G,"&gt;20")
+ SUMIFS(Input!$L:$L,Input!$K:$K,"1",Input!$E:$E,'5.CC Physical risk'!$D$24,Input!$H:$H,'5.CC Physical risk'!$A22&amp;"*",Input!$D:$D,"outras empresas nao financeiras",Input!$G:$G,"-2")
+ SUMIFS(Input!$L:$L,Input!$K:$K,"1",Input!$E:$E,'5.CC Physical risk'!$D$24,Input!$H:$H,'5.CC Physical risk'!$A22&amp;"*",Input!$D:$D,"outras empresas nao financeiras",Input!$G:$G,"-3")
+ SUMIFS(Input!$L:$L,Input!$K:$K,"1",Input!$E:$E,'5.CC Physical risk'!$D$24,Input!$H:$H,'5.CC Physical risk'!$A22&amp;"*",Input!$D:$D,"outras empresas nao financeiras",Input!$G:$G,"-5"))/1000000</f>
        <v>0</v>
      </c>
      <c r="I22" s="93">
        <f>IFERROR(ROUND(SUMIFS(Input!$M:$M,Input!$K:$K,"1",Input!$E:$E,'5.CC Physical risk'!$D$24,Input!$H:$H,'5.CC Physical risk'!$A22&amp;"*",Input!$D:$D,"outras empresas nao financeiras",Input!$G:$G,"&gt;0")
/
SUMIFS(Input!$L:$L,Input!$K:$K,"1",Input!$E:$E,'5.CC Physical risk'!$D$24,Input!$H:$H,'5.CC Physical risk'!$A22&amp;"*",Input!$D:$D,"outras empresas nao financeiras",Input!$G:$G,"&gt;0"),0),0)</f>
        <v>0</v>
      </c>
      <c r="J22" s="93">
        <f>(SUMIFS(Input!$L:$L,Input!$K:$K,"1",Input!$E:$E,'5.CC Physical risk'!$D$24,Input!$H:$H,'5.CC Physical risk'!$A22&amp;"*",Input!$D:$D,"outras empresas nao financeiras",Input!$I:$I,"&lt;&gt;"&amp;$K$24,Input!$J:$J,'5.CC Physical risk'!$J$24))/1000000</f>
        <v>0</v>
      </c>
      <c r="K22" s="93">
        <f>(SUMIFS(Input!$L:$L,Input!$K:$K,"1",Input!$E:$E,'5.CC Physical risk'!$D$24,Input!$H:$H,'5.CC Physical risk'!$A22&amp;"*",Input!$D:$D,"outras empresas nao financeiras",Input!$J:$J,"&lt;&gt;"&amp;$J$24,Input!$I:$I,'5.CC Physical risk'!$K$24))/1000000</f>
        <v>0</v>
      </c>
      <c r="L22" s="93">
        <f>(SUMIFS(Input!$L:$L,Input!$K:$K,"1",Input!$E:$E,'5.CC Physical risk'!$D$24,Input!$H:$H,'5.CC Physical risk'!$A22&amp;"*",Input!$D:$D,"outras empresas nao financeiras",Input!$J:$J,'5.CC Physical risk'!$J$24,Input!$I:$I,'5.CC Physical risk'!$K$24))/1000000</f>
        <v>0</v>
      </c>
      <c r="M22" s="93">
        <f>(SUMIFS(Input!$L:$L,
Input!$K:$K,"1",
Input!$E:$E,'5.CC Physical risk'!$D$24,
Input!$D:$D,"outras empresas nao financeiras",
Input!$H:$H,'5.CC Physical risk'!$A22&amp;"*",
Input!$C:$C,'5.CC Physical risk'!$M$24))/1000000</f>
        <v>0</v>
      </c>
      <c r="N22" s="93">
        <f>(SUMIFS(Input!$L:$L,
Input!$K:$K,"1",
Input!$E:$E,'5.CC Physical risk'!$D$24,
Input!$D:$D,"outras empresas nao financeiras",
Input!$H:$H,'5.CC Physical risk'!$A22&amp;"*",
Input!$C:$C,'5.CC Physical risk'!$N$24))/1000000</f>
        <v>0</v>
      </c>
      <c r="O22" s="93">
        <f>(SUMIFS(Input!$L:$L,
Input!$K:$K,"1",
Input!$E:$E,'5.CC Physical risk'!$O$24,
Input!$D:$D,"outras empresas nao financeiras",
Input!$H:$H,'5.CC Physical risk'!$A22&amp;"*"))/1000000</f>
        <v>0</v>
      </c>
      <c r="P22" s="93">
        <f>(SUMIFS(Input!$L:$L,
Input!$K:$K,"1",
Input!$E:$E,'5.CC Physical risk'!$O$24,
Input!$D:$D,"outras empresas nao financeiras",
Input!$H:$H,'5.CC Physical risk'!$A22&amp;"*",
Input!$C:$C,'5.CC Physical risk'!$M$24))/1000000</f>
        <v>0</v>
      </c>
      <c r="Q22" s="93">
        <f>(SUMIFS(Input!$L:$L,
Input!$K:$K,"1",
Input!$E:$E,'5.CC Physical risk'!$O$24,
Input!$D:$D,"outras empresas nao financeiras",
Input!$H:$H,'5.CC Physical risk'!$A22&amp;"*",
Input!$C:$C,'5.CC Physical risk'!$N$24))/1000000</f>
        <v>0</v>
      </c>
      <c r="S22" s="73"/>
    </row>
    <row r="23" spans="1:19" x14ac:dyDescent="0.3">
      <c r="A23" s="70" t="s">
        <v>122</v>
      </c>
      <c r="B23" s="71">
        <v>13</v>
      </c>
      <c r="C23" s="72" t="s">
        <v>123</v>
      </c>
      <c r="D23" s="93">
        <f>(SUMIFS(Input!$L:$L,Input!$E:$E,'5.CC Physical risk'!$D$24,Input!$H:$H,"J*",Input!$D:$D,"outras empresas nao financeiras")
+SUMIFS(Input!$L:$L,Input!$E:$E,'5.CC Physical risk'!$D$24,Input!$H:$H,"M*",Input!$D:$D,"outras empresas nao financeiras")+
SUMIFS(Input!$L:$L,Input!$E:$E,'5.CC Physical risk'!$D$24,Input!$H:$H,"N*",Input!$D:$D,"outras empresas nao financeiras")+
SUMIFS(Input!$L:$L,Input!$E:$E,'5.CC Physical risk'!$D$24,Input!$H:$H,"O*",Input!$D:$D,"outras empresas nao financeiras")+
SUMIFS(Input!$L:$L,Input!$E:$E,'5.CC Physical risk'!$D$24,Input!$H:$H,"P*",Input!$D:$D,"outras empresas nao financeiras")+
SUMIFS(Input!$L:$L,Input!$E:$E,'5.CC Physical risk'!$D$24,Input!$H:$H,"Q*",Input!$D:$D,"outras empresas nao financeiras")+
SUMIFS(Input!$L:$L,Input!$E:$E,'5.CC Physical risk'!$D$24,Input!$H:$H,"R*",Input!$D:$D,"outras empresas nao financeiras")+
SUMIFS(Input!$L:$L,Input!$E:$E,'5.CC Physical risk'!$D$24,Input!$H:$H,"S*",Input!$D:$D,"outras empresas nao financeiras")+
SUMIFS(Input!$L:$L,Input!$E:$E,'5.CC Physical risk'!$D$24,Input!$H:$H,"T*",Input!$D:$D,"outras empresas nao financeiras")+
SUMIFS(Input!$L:$L,Input!$E:$E,'5.CC Physical risk'!$D$24,Input!$H:$H,"U*",Input!$D:$D,"outras empresas nao financeiras"))/1000000</f>
        <v>2889.0177330000001</v>
      </c>
      <c r="E23" s="93">
        <f>(SUMIFS(Input!$L:$L,Input!$D:$D,"outras empresas nao financeiras",Input!$K:$K,"1",Input!$E:$E,'5.CC Physical risk'!$D$24,Input!$H:$H,"J*",Input!$G:$G,"&gt;=0",Input!$G:$G,"&lt;=5")
+ SUMIFS(Input!$L:$L,Input!$D:$D,"outras empresas nao financeiras",Input!$K:$K,"1",Input!$E:$E,'5.CC Physical risk'!$D$24,Input!$H:$H,"J*",Input!$G:$G,"-4")
+ SUMIFS(Input!$L:$L,Input!$D:$D,"outras empresas nao financeiras",Input!$K:$K,"1",Input!$E:$E,'5.CC Physical risk'!$D$24,Input!$H:$H,"J*",Input!$G:$G,"-1")
+SUMIFS(Input!$L:$L,Input!$D:$D,"outras empresas nao financeiras",Input!$K:$K,"1",Input!$E:$E,'5.CC Physical risk'!$D$24,Input!$H:$H,"M*",Input!$G:$G,"&gt;=0",Input!$G:$G,"&lt;=5")
+ SUMIFS(Input!$L:$L,Input!$D:$D,"outras empresas nao financeiras",Input!$K:$K,"1",Input!$E:$E,'5.CC Physical risk'!$D$24,Input!$H:$H,"M*",Input!$G:$G,"-4")
+ SUMIFS(Input!$L:$L,Input!$D:$D,"outras empresas nao financeiras",Input!$K:$K,"1",Input!$E:$E,'5.CC Physical risk'!$D$24,Input!$H:$H,"M*",Input!$G:$G,"-1")
+SUMIFS(Input!$L:$L,Input!$D:$D,"outras empresas nao financeiras",Input!$K:$K,"1",Input!$E:$E,'5.CC Physical risk'!$D$24,Input!$H:$H,"N*",Input!$G:$G,"&gt;=0",Input!$G:$G,"&lt;=5")
+ SUMIFS(Input!$L:$L,Input!$D:$D,"outras empresas nao financeiras",Input!$K:$K,"1",Input!$E:$E,'5.CC Physical risk'!$D$24,Input!$H:$H,"N*",Input!$G:$G,"-4")
+ SUMIFS(Input!$L:$L,Input!$D:$D,"outras empresas nao financeiras",Input!$K:$K,"1",Input!$E:$E,'5.CC Physical risk'!$D$24,Input!$H:$H,"N*",Input!$G:$G,"-1")
+SUMIFS(Input!$L:$L,Input!$D:$D,"outras empresas nao financeiras",Input!$K:$K,"1",Input!$E:$E,'5.CC Physical risk'!$D$24,Input!$H:$H,"O*",Input!$G:$G,"&gt;=0",Input!$G:$G,"&lt;=5")
+ SUMIFS(Input!$L:$L,Input!$D:$D,"outras empresas nao financeiras",Input!$K:$K,"1",Input!$E:$E,'5.CC Physical risk'!$D$24,Input!$H:$H,"O*",Input!$G:$G,"-4")
+ SUMIFS(Input!$L:$L,Input!$D:$D,"outras empresas nao financeiras",Input!$K:$K,"1",Input!$E:$E,'5.CC Physical risk'!$D$24,Input!$H:$H,"O*",Input!$G:$G,"-1")
+SUMIFS(Input!$L:$L,Input!$D:$D,"outras empresas nao financeiras",Input!$K:$K,"1",Input!$E:$E,'5.CC Physical risk'!$D$24,Input!$H:$H,"P*",Input!$G:$G,"&gt;=0",Input!$G:$G,"&lt;=5")
+ SUMIFS(Input!$L:$L,Input!$D:$D,"outras empresas nao financeiras",Input!$K:$K,"1",Input!$E:$E,'5.CC Physical risk'!$D$24,Input!$H:$H,"P*",Input!$G:$G,"-4")
+ SUMIFS(Input!$L:$L,Input!$D:$D,"outras empresas nao financeiras",Input!$K:$K,"1",Input!$E:$E,'5.CC Physical risk'!$D$24,Input!$H:$H,"P*",Input!$G:$G,"-1")
+SUMIFS(Input!$L:$L,Input!$D:$D,"outras empresas nao financeiras",Input!$K:$K,"1",Input!$E:$E,'5.CC Physical risk'!$D$24,Input!$H:$H,"Q*",Input!$G:$G,"&gt;=0",Input!$G:$G,"&lt;=5")
+ SUMIFS(Input!$L:$L,Input!$D:$D,"outras empresas nao financeiras",Input!$K:$K,"1",Input!$E:$E,'5.CC Physical risk'!$D$24,Input!$H:$H,"Q*",Input!$G:$G,"-4")
+ SUMIFS(Input!$L:$L,Input!$D:$D,"outras empresas nao financeiras",Input!$K:$K,"1",Input!$E:$E,'5.CC Physical risk'!$D$24,Input!$H:$H,"Q*",Input!$G:$G,"-1")
+SUMIFS(Input!$L:$L,Input!$D:$D,"outras empresas nao financeiras",Input!$K:$K,"1",Input!$E:$E,'5.CC Physical risk'!$D$24,Input!$H:$H,"R*",Input!$G:$G,"&gt;=0",Input!$G:$G,"&lt;=5")
+ SUMIFS(Input!$L:$L,Input!$D:$D,"outras empresas nao financeiras",Input!$K:$K,"1",Input!$E:$E,'5.CC Physical risk'!$D$24,Input!$H:$H,"R*",Input!$G:$G,"-4")
+ SUMIFS(Input!$L:$L,Input!$D:$D,"outras empresas nao financeiras",Input!$K:$K,"1",Input!$E:$E,'5.CC Physical risk'!$D$24,Input!$H:$H,"R*",Input!$G:$G,"-1")
+SUMIFS(Input!$L:$L,Input!$D:$D,"outras empresas nao financeiras",Input!$K:$K,"1",Input!$E:$E,'5.CC Physical risk'!$D$24,Input!$H:$H,"S*",Input!$G:$G,"&gt;=0",Input!$G:$G,"&lt;=5")
+ SUMIFS(Input!$L:$L,Input!$D:$D,"outras empresas nao financeiras",Input!$K:$K,"1",Input!$E:$E,'5.CC Physical risk'!$D$24,Input!$H:$H,"S*",Input!$G:$G,"-4")
+ SUMIFS(Input!$L:$L,Input!$D:$D,"outras empresas nao financeiras",Input!$K:$K,"1",Input!$E:$E,'5.CC Physical risk'!$D$24,Input!$H:$H,"S*",Input!$G:$G,"-1")
+SUMIFS(Input!$L:$L,Input!$D:$D,"outras empresas nao financeiras",Input!$K:$K,"1",Input!$E:$E,'5.CC Physical risk'!$D$24,Input!$H:$H,"T*",Input!$G:$G,"&gt;=0",Input!$G:$G,"&lt;=5")
+ SUMIFS(Input!$L:$L,Input!$D:$D,"outras empresas nao financeiras",Input!$K:$K,"1",Input!$E:$E,'5.CC Physical risk'!$D$24,Input!$H:$H,"T*",Input!$G:$G,"-4")
+ SUMIFS(Input!$L:$L,Input!$D:$D,"outras empresas nao financeiras",Input!$K:$K,"1",Input!$E:$E,'5.CC Physical risk'!$D$24,Input!$H:$H,"T*",Input!$G:$G,"-1")
+SUMIFS(Input!$L:$L,Input!$D:$D,"outras empresas nao financeiras",Input!$K:$K,"1",Input!$E:$E,'5.CC Physical risk'!$D$24,Input!$H:$H,"U*",Input!$G:$G,"&gt;=0",Input!$G:$G,"&lt;=5")
+ SUMIFS(Input!$L:$L,Input!$D:$D,"outras empresas nao financeiras",Input!$K:$K,"1",Input!$E:$E,'5.CC Physical risk'!$D$24,Input!$H:$H,"U*",Input!$G:$G,"-4")
+ SUMIFS(Input!$L:$L,Input!$D:$D,"outras empresas nao financeiras",Input!$K:$K,"1",Input!$E:$E,'5.CC Physical risk'!$D$24,Input!$H:$H,"U*",Input!$G:$G,"-1"))/1000000</f>
        <v>8.1796999999999995E-2</v>
      </c>
      <c r="F23" s="93">
        <f>(SUMIFS(Input!$L:$L,Input!$K:$K,"1",Input!$E:$E,'5.CC Physical risk'!$D$24,Input!$H:$H,"J*",Input!$D:$D,"outras empresas nao financeiras",Input!$G:$G,"&gt;5",Input!$G:$G,"&lt;=10")
+SUMIFS(Input!$L:$L,Input!$K:$K,"1",Input!$E:$E,'5.CC Physical risk'!$D$24,Input!$H:$H,"M*",Input!$D:$D,"outras empresas nao financeiras",Input!$G:$G,"&gt;5",Input!$G:$G,"&lt;=10")
+SUMIFS(Input!$L:$L,Input!$K:$K,"1",Input!$E:$E,'5.CC Physical risk'!$D$24,Input!$H:$H,"N*",Input!$D:$D,"outras empresas nao financeiras",Input!$G:$G,"&gt;5",Input!$G:$G,"&lt;=10")
+SUMIFS(Input!$L:$L,Input!$K:$K,"1",Input!$E:$E,'5.CC Physical risk'!$D$24,Input!$H:$H,"O*",Input!$D:$D,"outras empresas nao financeiras",Input!$G:$G,"&gt;5",Input!$G:$G,"&lt;=10")
+SUMIFS(Input!$L:$L,Input!$K:$K,"1",Input!$E:$E,'5.CC Physical risk'!$D$24,Input!$H:$H,"P*",Input!$D:$D,"outras empresas nao financeiras",Input!$G:$G,"&gt;5",Input!$G:$G,"&lt;=10")
+SUMIFS(Input!$L:$L,Input!$K:$K,"1",Input!$E:$E,'5.CC Physical risk'!$D$24,Input!$H:$H,"Q*",Input!$D:$D,"outras empresas nao financeiras",Input!$G:$G,"&gt;5",Input!$G:$G,"&lt;=10")
+SUMIFS(Input!$L:$L,Input!$K:$K,"1",Input!$E:$E,'5.CC Physical risk'!$D$24,Input!$H:$H,"R*",Input!$D:$D,"outras empresas nao financeiras",Input!$G:$G,"&gt;5",Input!$G:$G,"&lt;=10")
+SUMIFS(Input!$L:$L,Input!$K:$K,"1",Input!$E:$E,'5.CC Physical risk'!$D$24,Input!$H:$H,"S*",Input!$D:$D,"outras empresas nao financeiras",Input!$G:$G,"&gt;5",Input!$G:$G,"&lt;=10")
+SUMIFS(Input!$L:$L,Input!$K:$K,"1",Input!$E:$E,'5.CC Physical risk'!$D$24,Input!$H:$H,"T*",Input!$D:$D,"outras empresas nao financeiras",Input!$G:$G,"&gt;5",Input!$G:$G,"&lt;=10")
+SUMIFS(Input!$L:$L,Input!$K:$K,"1",Input!$E:$E,'5.CC Physical risk'!$D$24,Input!$H:$H,"U*",Input!$D:$D,"outras empresas nao financeiras",Input!$G:$G,"&gt;5",Input!$G:$G,"&lt;=10"))/1000000</f>
        <v>0.26802100000000001</v>
      </c>
      <c r="G23" s="93">
        <f>(SUMIFS(Input!$L:$L,Input!$K:$K,"1",Input!$E:$E,'5.CC Physical risk'!$D$24,Input!$H:$H,"J*",Input!$D:$D,"outras empresas nao financeiras",Input!$G:$G,"&gt;10",Input!$G:$G,"&lt;=20")
+SUMIFS(Input!$L:$L,Input!$K:$K,"1",Input!$E:$E,'5.CC Physical risk'!$D$24,Input!$H:$H,"M*",Input!$D:$D,"outras empresas nao financeiras",Input!$G:$G,"&gt;10",Input!$G:$G,"&lt;=20")
+SUMIFS(Input!$L:$L,Input!$K:$K,"1",Input!$E:$E,'5.CC Physical risk'!$D$24,Input!$H:$H,"N*",Input!$D:$D,"outras empresas nao financeiras",Input!$G:$G,"&gt;10",Input!$G:$G,"&lt;=20")
+SUMIFS(Input!$L:$L,Input!$K:$K,"1",Input!$E:$E,'5.CC Physical risk'!$D$24,Input!$H:$H,"O*",Input!$D:$D,"outras empresas nao financeiras",Input!$G:$G,"&gt;10",Input!$G:$G,"&lt;=20")
+SUMIFS(Input!$L:$L,Input!$K:$K,"1",Input!$E:$E,'5.CC Physical risk'!$D$24,Input!$H:$H,"P*",Input!$D:$D,"outras empresas nao financeiras",Input!$G:$G,"&gt;10",Input!$G:$G,"&lt;=20")
+SUMIFS(Input!$L:$L,Input!$K:$K,"1",Input!$E:$E,'5.CC Physical risk'!$D$24,Input!$H:$H,"Q*",Input!$D:$D,"outras empresas nao financeiras",Input!$G:$G,"&gt;10",Input!$G:$G,"&lt;=20")
+SUMIFS(Input!$L:$L,Input!$K:$K,"1",Input!$E:$E,'5.CC Physical risk'!$D$24,Input!$H:$H,"R*",Input!$D:$D,"outras empresas nao financeiras",Input!$G:$G,"&gt;10",Input!$G:$G,"&lt;=20")
+SUMIFS(Input!$L:$L,Input!$K:$K,"1",Input!$E:$E,'5.CC Physical risk'!$D$24,Input!$H:$H,"S*",Input!$D:$D,"outras empresas nao financeiras",Input!$G:$G,"&gt;10",Input!$G:$G,"&lt;=20")
+SUMIFS(Input!$L:$L,Input!$K:$K,"1",Input!$E:$E,'5.CC Physical risk'!$D$24,Input!$H:$H,"T*",Input!$D:$D,"outras empresas nao financeiras",Input!$G:$G,"&gt;10",Input!$G:$G,"&lt;=20")
+SUMIFS(Input!$L:$L,Input!$K:$K,"1",Input!$E:$E,'5.CC Physical risk'!$D$24,Input!$H:$H,"U*",Input!$D:$D,"outras empresas nao financeiras",Input!$G:$G,"&gt;10",Input!$G:$G,"&lt;=20"))/1000000</f>
        <v>0.26789800000000003</v>
      </c>
      <c r="H23" s="93">
        <f>SUM(B26:B35)</f>
        <v>0</v>
      </c>
      <c r="I23" s="93">
        <f>IFERROR((SUMIFS(Input!$M:$M,Input!$K:$K,"1",Input!$E:$E,'5.CC Physical risk'!$D$24,Input!$D:$D,"outras empresas nao financeiras",Input!$H:$H,"J*",Input!$G:$G,"&gt;0")
+SUMIFS(Input!$M:$M,Input!$K:$K,"1",Input!$E:$E,'5.CC Physical risk'!$D$24,Input!$D:$D,"outras empresas nao financeiras",Input!$H:$H,"M*",Input!$G:$G,"&gt;0")
+SUMIFS(Input!$M:$M,Input!$K:$K,"1",Input!$E:$E,'5.CC Physical risk'!$D$24,Input!$D:$D,"outras empresas nao financeiras",Input!$H:$H,"N*",Input!$G:$G,"&gt;0")
+SUMIFS(Input!$M:$M,Input!$K:$K,"1",Input!$E:$E,'5.CC Physical risk'!$D$24,Input!$D:$D,"outras empresas nao financeiras",Input!$H:$H,"O*",Input!$G:$G,"&gt;0")
+SUMIFS(Input!$M:$M,Input!$K:$K,"1",Input!$E:$E,'5.CC Physical risk'!$D$24,Input!$D:$D,"outras empresas nao financeiras",Input!$H:$H,"P*",Input!$G:$G,"&gt;0")
+SUMIFS(Input!$M:$M,Input!$K:$K,"1",Input!$E:$E,'5.CC Physical risk'!$D$24,Input!$D:$D,"outras empresas nao financeiras",Input!$H:$H,"Q*",Input!$G:$G,"&gt;0")
+SUMIFS(Input!$M:$M,Input!$K:$K,"1",Input!$E:$E,'5.CC Physical risk'!$D$24,Input!$D:$D,"outras empresas nao financeiras",Input!$H:$H,"R*",Input!$G:$G,"&gt;0")
+SUMIFS(Input!$M:$M,Input!$K:$K,"1",Input!$E:$E,'5.CC Physical risk'!$D$24,Input!$D:$D,"outras empresas nao financeiras",Input!$H:$H,"S*",Input!$G:$G,"&gt;0")
+SUMIFS(Input!$M:$M,Input!$K:$K,"1",Input!$E:$E,'5.CC Physical risk'!$D$24,Input!$D:$D,"outras empresas nao financeiras",Input!$H:$H,"T*",Input!$G:$G,"&gt;0")
+SUMIFS(Input!$M:$M,Input!$K:$K,"1",Input!$E:$E,'5.CC Physical risk'!$D$24,Input!$D:$D,"outras empresas nao financeiras",Input!$H:$H,"U*",Input!$G:$G,"&gt;0"))
/
(SUMIFS(Input!$L:$L,Input!$K:$K,"1",Input!$E:$E,'5.CC Physical risk'!$D$24,Input!$D:$D,"outras empresas nao financeiras",Input!$H:$H,"J*",Input!$G:$G,"&gt;0")
+SUMIFS(Input!$L:$L,Input!$K:$K,"1",Input!$E:$E,'5.CC Physical risk'!$D$24,Input!$D:$D,"outras empresas nao financeiras",Input!$H:$H,"M*",Input!$G:$G,"&gt;0")
+SUMIFS(Input!$L:$L,Input!$K:$K,"1",Input!$E:$E,'5.CC Physical risk'!$D$24,Input!$D:$D,"outras empresas nao financeiras",Input!$H:$H,"N*",Input!$G:$G,"&gt;0")
+SUMIFS(Input!$L:$L,Input!$K:$K,"1",Input!$E:$E,'5.CC Physical risk'!$D$24,Input!$D:$D,"outras empresas nao financeiras",Input!$H:$H,"O*",Input!$G:$G,"&gt;0")
+SUMIFS(Input!$L:$L,Input!$K:$K,"1",Input!$E:$E,'5.CC Physical risk'!$D$24,Input!$D:$D,"outras empresas nao financeiras",Input!$H:$H,"P*",Input!$G:$G,"&gt;0")
+SUMIFS(Input!$L:$L,Input!$K:$K,"1",Input!$E:$E,'5.CC Physical risk'!$D$24,Input!$D:$D,"outras empresas nao financeiras",Input!$H:$H,"Q*",Input!$G:$G,"&gt;0")
+SUMIFS(Input!$L:$L,Input!$K:$K,"1",Input!$E:$E,'5.CC Physical risk'!$D$24,Input!$D:$D,"outras empresas nao financeiras",Input!$H:$H,"R*",Input!$G:$G,"&gt;0")
+SUMIFS(Input!$L:$L,Input!$K:$K,"1",Input!$E:$E,'5.CC Physical risk'!$D$24,Input!$D:$D,"outras empresas nao financeiras",Input!$H:$H,"S*",Input!$G:$G,"&gt;0")
+SUMIFS(Input!$L:$L,Input!$K:$K,"1",Input!$E:$E,'5.CC Physical risk'!$D$24,Input!$D:$D,"outras empresas nao financeiras",Input!$H:$H,"T*",Input!$G:$G,"&gt;0")
+SUMIFS(Input!$L:$L,Input!$K:$K,"1",Input!$E:$E,'5.CC Physical risk'!$D$24,Input!$D:$D,"outras empresas nao financeiras",Input!$H:$H,"U*",Input!$G:$G,"&gt;0")),0)</f>
        <v>9.2468708440581278</v>
      </c>
      <c r="J23" s="93">
        <f>(SUMIFS(Input!$L:$L,Input!$K:$K,"1",Input!$E:$E,'5.CC Physical risk'!$D$24,Input!$H:$H,"J*",Input!$D:$D,"outras empresas nao financeiras",Input!$I:$I,"&lt;&gt;"&amp;$K$24,Input!$J:$J,'5.CC Physical risk'!$J$24)+
SUMIFS(Input!$L:$L,Input!$K:$K,"1",Input!$E:$E,'5.CC Physical risk'!$D$24,Input!$H:$H,"M*",Input!$D:$D,"outras empresas nao financeiras",Input!$I:$I,"&lt;&gt;"&amp;$K$24,Input!$J:$J,'5.CC Physical risk'!$J$24)+
SUMIFS(Input!$L:$L,Input!$K:$K,"1",Input!$E:$E,'5.CC Physical risk'!$D$24,Input!$H:$H,"N*",Input!$D:$D,"outras empresas nao financeiras",Input!$I:$I,"&lt;&gt;"&amp;$K$24,Input!$J:$J,'5.CC Physical risk'!$J$24)+
SUMIFS(Input!$L:$L,Input!$K:$K,"1",Input!$E:$E,'5.CC Physical risk'!$D$24,Input!$H:$H,"O*",Input!$D:$D,"outras empresas nao financeiras",Input!$I:$I,"&lt;&gt;"&amp;$K$24,Input!$J:$J,'5.CC Physical risk'!$J$24)+
SUMIFS(Input!$L:$L,Input!$K:$K,"1",Input!$E:$E,'5.CC Physical risk'!$D$24,Input!$H:$H,"P*",Input!$D:$D,"outras empresas nao financeiras",Input!$I:$I,"&lt;&gt;"&amp;$K$24,Input!$J:$J,'5.CC Physical risk'!$J$24)+
SUMIFS(Input!$L:$L,Input!$K:$K,"1",Input!$E:$E,'5.CC Physical risk'!$D$24,Input!$H:$H,"Q*",Input!$D:$D,"outras empresas nao financeiras",Input!$I:$I,"&lt;&gt;"&amp;$K$24,Input!$J:$J,'5.CC Physical risk'!$J$24)+
SUMIFS(Input!$L:$L,Input!$K:$K,"1",Input!$E:$E,'5.CC Physical risk'!$D$24,Input!$H:$H,"R*",Input!$D:$D,"outras empresas nao financeiras",Input!$I:$I,"&lt;&gt;"&amp;$K$24,Input!$J:$J,'5.CC Physical risk'!$J$24)+
SUMIFS(Input!$L:$L,Input!$K:$K,"1",Input!$E:$E,'5.CC Physical risk'!$D$24,Input!$H:$H,"S*",Input!$D:$D,"outras empresas nao financeiras",Input!$I:$I,"&lt;&gt;"&amp;$K$24,Input!$J:$J,'5.CC Physical risk'!$J$24)+
SUMIFS(Input!$L:$L,Input!$K:$K,"1",Input!$E:$E,'5.CC Physical risk'!$D$24,Input!$H:$H,"T*",Input!$D:$D,"outras empresas nao financeiras",Input!$I:$I,"&lt;&gt;"&amp;$K$24,Input!$J:$J,'5.CC Physical risk'!$J$24)+
SUMIFS(Input!$L:$L,Input!$K:$K,"1",Input!$E:$E,'5.CC Physical risk'!$D$24,Input!$H:$H,"U*",Input!$D:$D,"outras empresas nao financeiras",Input!$I:$I,"&lt;&gt;"&amp;$K$24,Input!$J:$J,'5.CC Physical risk'!$J$24))/1000000</f>
        <v>0</v>
      </c>
      <c r="K23" s="93">
        <f>(SUMIFS(Input!$L:$L,Input!$K:$K,"1",Input!$E:$E,'5.CC Physical risk'!$D$24,Input!$H:$H,"J*",Input!$D:$D,"outras empresas nao financeiras",Input!$J:$J,"&lt;&gt;"&amp;$J$24,Input!$I:$I,'5.CC Physical risk'!$K$24)+
SUMIFS(Input!$L:$L,Input!$K:$K,"1",Input!$E:$E,'5.CC Physical risk'!$D$24,Input!$H:$H,"M*",Input!$D:$D,"outras empresas nao financeiras",Input!$J:$J,"&lt;&gt;"&amp;$J$24,Input!$I:$I,'5.CC Physical risk'!$K$24)+
SUMIFS(Input!$L:$L,Input!$K:$K,"1",Input!$E:$E,'5.CC Physical risk'!$D$24,Input!$H:$H,"N*",Input!$D:$D,"outras empresas nao financeiras",Input!$J:$J,"&lt;&gt;"&amp;$J$24,Input!$I:$I,'5.CC Physical risk'!$K$24)+
SUMIFS(Input!$L:$L,Input!$K:$K,"1",Input!$E:$E,'5.CC Physical risk'!$D$24,Input!$H:$H,"O*",Input!$D:$D,"outras empresas nao financeiras",Input!$J:$J,"&lt;&gt;"&amp;$J$24,Input!$I:$I,'5.CC Physical risk'!$K$24)+
SUMIFS(Input!$L:$L,Input!$K:$K,"1",Input!$E:$E,'5.CC Physical risk'!$D$24,Input!$H:$H,"P*",Input!$D:$D,"outras empresas nao financeiras",Input!$J:$J,"&lt;&gt;"&amp;$J$24,Input!$I:$I,'5.CC Physical risk'!$K$24)+
SUMIFS(Input!$L:$L,Input!$K:$K,"1",Input!$E:$E,'5.CC Physical risk'!$D$24,Input!$H:$H,"Q*",Input!$D:$D,"outras empresas nao financeiras",Input!$J:$J,"&lt;&gt;"&amp;$J$24,Input!$I:$I,'5.CC Physical risk'!$K$24)+
SUMIFS(Input!$L:$L,Input!$K:$K,"1",Input!$E:$E,'5.CC Physical risk'!$D$24,Input!$H:$H,"R*",Input!$D:$D,"outras empresas nao financeiras",Input!$J:$J,"&lt;&gt;"&amp;$J$24,Input!$I:$I,'5.CC Physical risk'!$K$24)+
SUMIFS(Input!$L:$L,Input!$K:$K,"1",Input!$E:$E,'5.CC Physical risk'!$D$24,Input!$H:$H,"S*",Input!$D:$D,"outras empresas nao financeiras",Input!$J:$J,"&lt;&gt;"&amp;$J$24,Input!$I:$I,'5.CC Physical risk'!$K$24)+
SUMIFS(Input!$L:$L,Input!$K:$K,"1",Input!$E:$E,'5.CC Physical risk'!$D$24,Input!$H:$H,"T*",Input!$D:$D,"outras empresas nao financeiras",Input!$J:$J,"&lt;&gt;"&amp;$J$24,Input!$I:$I,'5.CC Physical risk'!$K$24)+
SUMIFS(Input!$L:$L,Input!$K:$K,"1",Input!$E:$E,'5.CC Physical risk'!$D$24,Input!$H:$H,"U*",Input!$D:$D,"outras empresas nao financeiras",Input!$J:$J,"&lt;&gt;"&amp;$J$24,Input!$I:$I,'5.CC Physical risk'!$K$24))/1000000</f>
        <v>0.61771600000000004</v>
      </c>
      <c r="L23" s="93">
        <f>(SUMIFS(Input!$L:$L,Input!$K:$K,"1",Input!$E:$E,'5.CC Physical risk'!$D$24,Input!$H:$H,"J*",Input!$J:$J,'5.CC Physical risk'!$J$24,Input!$D:$D,"outras empresas nao financeiras",Input!$I:$I,'5.CC Physical risk'!$K$24)
+SUMIFS(Input!$L:$L,Input!$K:$K,"1",Input!$E:$E,'5.CC Physical risk'!$D$24,Input!$H:$H,"M*",Input!$J:$J,'5.CC Physical risk'!$J$24,Input!$D:$D,"outras empresas nao financeiras",Input!$I:$I,'5.CC Physical risk'!$K$24)
+SUMIFS(Input!$L:$L,Input!$K:$K,"1",Input!$E:$E,'5.CC Physical risk'!$D$24,Input!$H:$H,"N*",Input!$J:$J,'5.CC Physical risk'!$J$24,Input!$D:$D,"outras empresas nao financeiras",Input!$I:$I,'5.CC Physical risk'!$K$24)
+SUMIFS(Input!$L:$L,Input!$K:$K,"1",Input!$E:$E,'5.CC Physical risk'!$D$24,Input!$H:$H,"O*",Input!$J:$J,'5.CC Physical risk'!$J$24,Input!$D:$D,"outras empresas nao financeiras",Input!$I:$I,'5.CC Physical risk'!$K$24)
+SUMIFS(Input!$L:$L,Input!$K:$K,"1",Input!$E:$E,'5.CC Physical risk'!$D$24,Input!$H:$H,"P*",Input!$J:$J,'5.CC Physical risk'!$J$24,Input!$D:$D,"outras empresas nao financeiras",Input!$I:$I,'5.CC Physical risk'!$K$24)
+SUMIFS(Input!$L:$L,Input!$K:$K,"1",Input!$E:$E,'5.CC Physical risk'!$D$24,Input!$H:$H,"Q*",Input!$J:$J,'5.CC Physical risk'!$J$24,Input!$D:$D,"outras empresas nao financeiras",Input!$I:$I,'5.CC Physical risk'!$K$24)
+SUMIFS(Input!$L:$L,Input!$K:$K,"1",Input!$E:$E,'5.CC Physical risk'!$D$24,Input!$H:$H,"R*",Input!$J:$J,'5.CC Physical risk'!$J$24,Input!$D:$D,"outras empresas nao financeiras",Input!$I:$I,'5.CC Physical risk'!$K$24)
+SUMIFS(Input!$L:$L,Input!$K:$K,"1",Input!$E:$E,'5.CC Physical risk'!$D$24,Input!$H:$H,"S*",Input!$J:$J,'5.CC Physical risk'!$J$24,Input!$D:$D,"outras empresas nao financeiras",Input!$I:$I,'5.CC Physical risk'!$K$24)
+SUMIFS(Input!$L:$L,Input!$K:$K,"1",Input!$E:$E,'5.CC Physical risk'!$D$24,Input!$H:$H,"T*",Input!$J:$J,'5.CC Physical risk'!$J$24,Input!$D:$D,"outras empresas nao financeiras",Input!$I:$I,'5.CC Physical risk'!$K$24)
+SUMIFS(Input!$L:$L,Input!$K:$K,"1",Input!$E:$E,'5.CC Physical risk'!$D$24,Input!$H:$H,"U*",Input!$J:$J,'5.CC Physical risk'!$J$24,Input!$D:$D,"outras empresas nao financeiras",Input!$I:$I,'5.CC Physical risk'!$K$24))/1000000</f>
        <v>0</v>
      </c>
      <c r="M23" s="93">
        <f>(SUMIFS(Input!$L:$L,Input!$K:$K,"1",Input!$E:$E,'5.CC Physical risk'!$D$24,Input!$H:$H,"J*",Input!$D:$D,"outras empresas nao financeiras",Input!$C:$C,'5.CC Physical risk'!$M$24)
+SUMIFS(Input!$L:$L,Input!$K:$K,"1",Input!$E:$E,'5.CC Physical risk'!$D$24,Input!$H:$H,"M*",Input!$D:$D,"outras empresas nao financeiras",Input!$C:$C,'5.CC Physical risk'!$M$24)
+SUMIFS(Input!$L:$L,Input!$K:$K,"1",Input!$E:$E,'5.CC Physical risk'!$D$24,Input!$H:$H,"N*",Input!$D:$D,"outras empresas nao financeiras",Input!$C:$C,'5.CC Physical risk'!$M$24)
+SUMIFS(Input!$L:$L,Input!$K:$K,"1",Input!$E:$E,'5.CC Physical risk'!$D$24,Input!$H:$H,"O*",Input!$D:$D,"outras empresas nao financeiras",Input!$C:$C,'5.CC Physical risk'!$M$24)
+SUMIFS(Input!$L:$L,Input!$K:$K,"1",Input!$E:$E,'5.CC Physical risk'!$D$24,Input!$H:$H,"P*",Input!$D:$D,"outras empresas nao financeiras",Input!$C:$C,'5.CC Physical risk'!$M$24)
+SUMIFS(Input!$L:$L,Input!$K:$K,"1",Input!$E:$E,'5.CC Physical risk'!$D$24,Input!$H:$H,"Q*",Input!$D:$D,"outras empresas nao financeiras",Input!$C:$C,'5.CC Physical risk'!$M$24)
+SUMIFS(Input!$L:$L,Input!$K:$K,"1",Input!$E:$E,'5.CC Physical risk'!$D$24,Input!$H:$H,"R*",Input!$D:$D,"outras empresas nao financeiras",Input!$C:$C,'5.CC Physical risk'!$M$24)
+SUMIFS(Input!$L:$L,Input!$K:$K,"1",Input!$E:$E,'5.CC Physical risk'!$D$24,Input!$H:$H,"S*",Input!$D:$D,"outras empresas nao financeiras",Input!$C:$C,'5.CC Physical risk'!$M$24)
+SUMIFS(Input!$L:$L,Input!$K:$K,"1",Input!$E:$E,'5.CC Physical risk'!$D$24,Input!$H:$H,"T*",Input!$D:$D,"outras empresas nao financeiras",Input!$C:$C,'5.CC Physical risk'!$M$24)
+SUMIFS(Input!$L:$L,Input!$K:$K,"1",Input!$E:$E,'5.CC Physical risk'!$D$24,Input!$H:$H,"U*",Input!$D:$D,"outras empresas nao financeiras",Input!$C:$C,'5.CC Physical risk'!$M$24))/1000000</f>
        <v>6.8651000000000004E-2</v>
      </c>
      <c r="N23" s="93">
        <f>(SUMIFS(Input!$L:$L,Input!$K:$K,"1",Input!$E:$E,'5.CC Physical risk'!$D$24,Input!$D:$D,"outras empresas nao financeiras",Input!$H:$H,"J*",Input!$C:$C,'5.CC Physical risk'!$N$24)
+SUMIFS(Input!$L:$L,Input!$K:$K,"1",Input!$E:$E,'5.CC Physical risk'!$D$24,Input!$D:$D,"outras empresas nao financeiras",Input!$H:$H,"M*",Input!$C:$C,'5.CC Physical risk'!$N$24)
+SUMIFS(Input!$L:$L,Input!$K:$K,"1",Input!$E:$E,'5.CC Physical risk'!$D$24,Input!$D:$D,"outras empresas nao financeiras",Input!$H:$H,"N*",Input!$C:$C,'5.CC Physical risk'!$N$24)
+SUMIFS(Input!$L:$L,Input!$K:$K,"1",Input!$E:$E,'5.CC Physical risk'!$D$24,Input!$D:$D,"outras empresas nao financeiras",Input!$H:$H,"O*",Input!$C:$C,'5.CC Physical risk'!$N$24)
+SUMIFS(Input!$L:$L,Input!$K:$K,"1",Input!$E:$E,'5.CC Physical risk'!$D$24,Input!$D:$D,"outras empresas nao financeiras",Input!$H:$H,"P*",Input!$C:$C,'5.CC Physical risk'!$N$24)
+SUMIFS(Input!$L:$L,Input!$K:$K,"1",Input!$E:$E,'5.CC Physical risk'!$D$24,Input!$D:$D,"outras empresas nao financeiras",Input!$H:$H,"Q*",Input!$C:$C,'5.CC Physical risk'!$N$24)
+SUMIFS(Input!$L:$L,Input!$K:$K,"1",Input!$E:$E,'5.CC Physical risk'!$D$24,Input!$D:$D,"outras empresas nao financeiras",Input!$H:$H,"R*",Input!$C:$C,'5.CC Physical risk'!$N$24)
+SUMIFS(Input!$L:$L,Input!$K:$K,"1",Input!$E:$E,'5.CC Physical risk'!$D$24,Input!$D:$D,"outras empresas nao financeiras",Input!$H:$H,"S*",Input!$C:$C,'5.CC Physical risk'!$N$24)
+SUMIFS(Input!$L:$L,Input!$K:$K,"1",Input!$E:$E,'5.CC Physical risk'!$D$24,Input!$D:$D,"outras empresas nao financeiras",Input!$H:$H,"T*",Input!$C:$C,'5.CC Physical risk'!$N$24)
+SUMIFS(Input!$L:$L,Input!$K:$K,"1",Input!$E:$E,'5.CC Physical risk'!$D$24,Input!$D:$D,"outras empresas nao financeiras",Input!$H:$H,"U*",Input!$C:$C,'5.CC Physical risk'!$N$24))/1000000</f>
        <v>0</v>
      </c>
      <c r="O23" s="93">
        <f>(SUMIFS(Input!$L:$L,Input!$K:$K,"1",Input!$E:$E,'5.CC Physical risk'!$O$24,Input!$D:$D,"outras empresas nao financeiras",Input!$H:$H,"J*")
+SUMIFS(Input!$L:$L,Input!$K:$K,"1",Input!$E:$E,'5.CC Physical risk'!$O$24,Input!$D:$D,"outras empresas nao financeiras",Input!$H:$H,"M*")
+SUMIFS(Input!$L:$L,Input!$K:$K,"1",Input!$E:$E,'5.CC Physical risk'!$O$24,Input!$D:$D,"outras empresas nao financeiras",Input!$H:$H,"N*")
+SUMIFS(Input!$L:$L,Input!$K:$K,"1",Input!$E:$E,'5.CC Physical risk'!$O$24,Input!$D:$D,"outras empresas nao financeiras",Input!$H:$H,"O*")
+SUMIFS(Input!$L:$L,Input!$K:$K,"1",Input!$E:$E,'5.CC Physical risk'!$O$24,Input!$D:$D,"outras empresas nao financeiras",Input!$H:$H,"P*")
+SUMIFS(Input!$L:$L,Input!$K:$K,"1",Input!$E:$E,'5.CC Physical risk'!$O$24,Input!$D:$D,"outras empresas nao financeiras",Input!$H:$H,"Q*")
+SUMIFS(Input!$L:$L,Input!$K:$K,"1",Input!$E:$E,'5.CC Physical risk'!$O$24,Input!$D:$D,"outras empresas nao financeiras",Input!$H:$H,"R*")
+SUMIFS(Input!$L:$L,Input!$K:$K,"1",Input!$E:$E,'5.CC Physical risk'!$O$24,Input!$D:$D,"outras empresas nao financeiras",Input!$H:$H,"S*")
+SUMIFS(Input!$L:$L,Input!$K:$K,"1",Input!$E:$E,'5.CC Physical risk'!$O$24,Input!$D:$D,"outras empresas nao financeiras",Input!$H:$H,"T*")
+SUMIFS(Input!$L:$L,Input!$K:$K,"1",Input!$E:$E,'5.CC Physical risk'!$O$24,Input!$D:$D,"outras empresas nao financeiras",Input!$H:$H,"U*"))/1000000</f>
        <v>-2.8839999999999998E-3</v>
      </c>
      <c r="P23" s="93">
        <f>(SUMIFS(Input!$L:$L,Input!$K:$K,"1",Input!$E:$E,'5.CC Physical risk'!$O$24,Input!$D:$D,"outras empresas nao financeiras",Input!$H:$H,"J*",Input!$C:$C,'5.CC Physical risk'!$M$24)
+SUMIFS(Input!$L:$L,Input!$K:$K,"1",Input!$E:$E,'5.CC Physical risk'!$O$24,Input!$D:$D,"outras empresas nao financeiras",Input!$H:$H,"M*",Input!$C:$C,'5.CC Physical risk'!$M$24)
+SUMIFS(Input!$L:$L,Input!$K:$K,"1",Input!$E:$E,'5.CC Physical risk'!$O$24,Input!$D:$D,"outras empresas nao financeiras",Input!$H:$H,"N*",Input!$C:$C,'5.CC Physical risk'!$M$24)
+SUMIFS(Input!$L:$L,Input!$K:$K,"1",Input!$E:$E,'5.CC Physical risk'!$O$24,Input!$D:$D,"outras empresas nao financeiras",Input!$H:$H,"O*",Input!$C:$C,'5.CC Physical risk'!$M$24)
+SUMIFS(Input!$L:$L,Input!$K:$K,"1",Input!$E:$E,'5.CC Physical risk'!$O$24,Input!$D:$D,"outras empresas nao financeiras",Input!$H:$H,"P*",Input!$C:$C,'5.CC Physical risk'!$M$24)
+SUMIFS(Input!$L:$L,Input!$K:$K,"1",Input!$E:$E,'5.CC Physical risk'!$O$24,Input!$D:$D,"outras empresas nao financeiras",Input!$H:$H,"Q*",Input!$C:$C,'5.CC Physical risk'!$M$24)
+SUMIFS(Input!$L:$L,Input!$K:$K,"1",Input!$E:$E,'5.CC Physical risk'!$O$24,Input!$D:$D,"outras empresas nao financeiras",Input!$H:$H,"R*",Input!$C:$C,'5.CC Physical risk'!$M$24)
+SUMIFS(Input!$L:$L,Input!$K:$K,"1",Input!$E:$E,'5.CC Physical risk'!$O$24,Input!$D:$D,"outras empresas nao financeiras",Input!$H:$H,"S*",Input!$C:$C,'5.CC Physical risk'!$M$24)
+SUMIFS(Input!$L:$L,Input!$K:$K,"1",Input!$E:$E,'5.CC Physical risk'!$O$24,Input!$D:$D,"outras empresas nao financeiras",Input!$H:$H,"T*",Input!$C:$C,'5.CC Physical risk'!$M$24)
+SUMIFS(Input!$L:$L,Input!$K:$K,"1",Input!$E:$E,'5.CC Physical risk'!$O$24,Input!$D:$D,"outras empresas nao financeiras",Input!$H:$H,"U*",Input!$C:$C,'5.CC Physical risk'!$M$24))/1000000</f>
        <v>-2.2910000000000001E-3</v>
      </c>
      <c r="Q23" s="93">
        <f>(SUMIFS(Input!$L:$L,Input!$K:$K,"1",Input!$E:$E,'5.CC Physical risk'!$O$24,Input!$D:$D,"outras empresas nao financeiras",Input!$H:$H,"J*",Input!$C:$C,'5.CC Physical risk'!$N$24)
+SUMIFS(Input!$L:$L,Input!$K:$K,"1",Input!$E:$E,'5.CC Physical risk'!$O$24,Input!$D:$D,"outras empresas nao financeiras",Input!$H:$H,"M*",Input!$C:$C,'5.CC Physical risk'!$N$24)
+SUMIFS(Input!$L:$L,Input!$K:$K,"1",Input!$E:$E,'5.CC Physical risk'!$O$24,Input!$D:$D,"outras empresas nao financeiras",Input!$H:$H,"N*",Input!$C:$C,'5.CC Physical risk'!$N$24)
+SUMIFS(Input!$L:$L,Input!$K:$K,"1",Input!$E:$E,'5.CC Physical risk'!$O$24,Input!$D:$D,"outras empresas nao financeiras",Input!$H:$H,"O*",Input!$C:$C,'5.CC Physical risk'!$N$24)
+SUMIFS(Input!$L:$L,Input!$K:$K,"1",Input!$E:$E,'5.CC Physical risk'!$O$24,Input!$D:$D,"outras empresas nao financeiras",Input!$H:$H,"P*",Input!$C:$C,'5.CC Physical risk'!$N$24)
+SUMIFS(Input!$L:$L,Input!$K:$K,"1",Input!$E:$E,'5.CC Physical risk'!$O$24,Input!$D:$D,"outras empresas nao financeiras",Input!$H:$H,"Q*",Input!$C:$C,'5.CC Physical risk'!$N$24)
+SUMIFS(Input!$L:$L,Input!$K:$K,"1",Input!$E:$E,'5.CC Physical risk'!$O$24,Input!$D:$D,"outras empresas nao financeiras",Input!$H:$H,"R*",Input!$C:$C,'5.CC Physical risk'!$N$24)
+SUMIFS(Input!$L:$L,Input!$K:$K,"1",Input!$E:$E,'5.CC Physical risk'!$O$24,Input!$D:$D,"outras empresas nao financeiras",Input!$H:$H,"S*",Input!$C:$C,'5.CC Physical risk'!$N$24)
+SUMIFS(Input!$L:$L,Input!$K:$K,"1",Input!$E:$E,'5.CC Physical risk'!$O$24,Input!$D:$D,"outras empresas nao financeiras",Input!$H:$H,"T*",Input!$C:$C,'5.CC Physical risk'!$N$24)
+SUMIFS(Input!$L:$L,Input!$K:$K,"1",Input!$E:$E,'5.CC Physical risk'!$O$24,Input!$D:$D,"outras empresas nao financeiras",Input!$H:$H,"U*",Input!$C:$C,'5.CC Physical risk'!$N$24))/1000000</f>
        <v>0</v>
      </c>
      <c r="S23" s="73"/>
    </row>
    <row r="24" spans="1:19" s="77" customFormat="1" x14ac:dyDescent="0.3">
      <c r="A24" s="1"/>
      <c r="B24" s="60"/>
      <c r="C24" s="1"/>
      <c r="D24" s="70" t="s">
        <v>68</v>
      </c>
      <c r="E24" s="70">
        <v>1</v>
      </c>
      <c r="F24" s="70"/>
      <c r="G24" s="70"/>
      <c r="H24" s="75"/>
      <c r="I24" s="70"/>
      <c r="J24" s="70" t="s">
        <v>73</v>
      </c>
      <c r="K24" s="70" t="s">
        <v>65</v>
      </c>
      <c r="L24" s="70"/>
      <c r="M24" s="70" t="s">
        <v>70</v>
      </c>
      <c r="N24" s="70" t="s">
        <v>71</v>
      </c>
      <c r="O24" s="70" t="s">
        <v>63</v>
      </c>
      <c r="P24" s="76"/>
      <c r="Q24" s="76"/>
      <c r="S24" s="78"/>
    </row>
    <row r="25" spans="1:19" x14ac:dyDescent="0.3">
      <c r="C25" s="1"/>
      <c r="D25" s="96"/>
      <c r="E25" s="98"/>
      <c r="F25" s="79"/>
      <c r="G25" s="79"/>
      <c r="H25" s="79"/>
      <c r="I25" s="79"/>
      <c r="J25" s="95"/>
      <c r="K25" s="95"/>
      <c r="L25" s="95"/>
      <c r="M25" s="95"/>
      <c r="N25" s="95"/>
      <c r="O25" s="95"/>
      <c r="P25" s="100"/>
      <c r="Q25" s="95"/>
    </row>
    <row r="26" spans="1:19" x14ac:dyDescent="0.3">
      <c r="A26" s="81" t="s">
        <v>77</v>
      </c>
      <c r="B26" s="81">
        <f>SUMIFS(Input!$L:$L,Input!$K:$K,"1",Input!$E:$E,'5.CC Physical risk'!$D$24,Input!$H:$H,"J*",Input!$D:$D,"outras empresas nao financeiras",Input!$G:$G,"&gt;20")
+SUMIFS(Input!$L:$L,Input!$K:$K,"1",Input!$E:$E,'5.CC Physical risk'!$D$24,Input!$H:$H,"J*",Input!$D:$D,"outras empresas nao financeiras",Input!$G:$G,"-2")
+SUMIFS(Input!$L:$L,Input!$K:$K,"1",Input!$E:$E,'5.CC Physical risk'!$D$24,Input!$H:$H,"J*",Input!$D:$D,"outras empresas nao financeiras",Input!$G:$G,"-3")
+SUMIFS(Input!$L:$L,Input!$K:$K,"1",Input!$E:$E,'5.CC Physical risk'!$D$24,Input!$H:$H,"J*",Input!$D:$D,"outras empresas nao financeiras",Input!$G:$G,"-5")</f>
        <v>0</v>
      </c>
      <c r="C26" s="1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</row>
    <row r="27" spans="1:19" x14ac:dyDescent="0.3">
      <c r="A27" s="81" t="s">
        <v>64</v>
      </c>
      <c r="B27" s="81">
        <f>SUMIFS(Input!$L:$L,Input!$K:$K,"1",Input!$E:$E,'5.CC Physical risk'!$D$24,Input!$H:$H,"N*",Input!$D:$D,"outras empresas nao financeiras",Input!$G:$G,"&gt;20")
+SUMIFS(Input!$L:$L,Input!$K:$K,"1",Input!$E:$E,'5.CC Physical risk'!$D$24,Input!$H:$H,"N*",Input!$D:$D,"outras empresas nao financeiras",Input!$G:$G,"-2")
+SUMIFS(Input!$L:$L,Input!$K:$K,"1",Input!$E:$E,'5.CC Physical risk'!$D$24,Input!$H:$H,"N*",Input!$D:$D,"outras empresas nao financeiras",Input!$G:$G,"-3")
+SUMIFS(Input!$L:$L,Input!$K:$K,"1",Input!$E:$E,'5.CC Physical risk'!$D$24,Input!$H:$H,"N*",Input!$D:$D,"outras empresas nao financeiras",Input!$G:$G,"-5")</f>
        <v>0</v>
      </c>
      <c r="C27" s="82"/>
      <c r="D27" s="83"/>
      <c r="E27" s="84"/>
      <c r="F27" s="84"/>
      <c r="G27" s="84"/>
      <c r="H27" s="83"/>
      <c r="I27" s="83"/>
      <c r="J27" s="84"/>
      <c r="K27" s="84"/>
      <c r="L27" s="84"/>
      <c r="M27" s="83"/>
      <c r="N27" s="84"/>
      <c r="O27" s="83"/>
      <c r="P27" s="85"/>
      <c r="Q27" s="85"/>
    </row>
    <row r="28" spans="1:19" x14ac:dyDescent="0.3">
      <c r="A28" s="81" t="s">
        <v>86</v>
      </c>
      <c r="B28" s="81">
        <f>SUMIFS(Input!$L:$L,Input!$K:$K,"1",Input!$E:$E,'5.CC Physical risk'!$D$24,Input!$H:$H,"O*",Input!$D:$D,"outras empresas nao financeiras",Input!$G:$G,"&gt;20")
+SUMIFS(Input!$L:$L,Input!$K:$K,"1",Input!$E:$E,'5.CC Physical risk'!$D$24,Input!$H:$H,"O*",Input!$D:$D,"outras empresas nao financeiras",Input!$G:$G,"-2")
+SUMIFS(Input!$L:$L,Input!$K:$K,"1",Input!$E:$E,'5.CC Physical risk'!$D$24,Input!$H:$H,"O*",Input!$D:$D,"outras empresas nao financeiras",Input!$G:$G,"-3")
+SUMIFS(Input!$L:$L,Input!$K:$K,"1",Input!$E:$E,'5.CC Physical risk'!$D$24,Input!$H:$H,"O*",Input!$D:$D,"outras empresas nao financeiras",Input!$G:$G,"-5")</f>
        <v>0</v>
      </c>
      <c r="C28" s="82"/>
      <c r="D28" s="1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</row>
    <row r="29" spans="1:19" x14ac:dyDescent="0.3">
      <c r="A29" s="81" t="s">
        <v>78</v>
      </c>
      <c r="B29" s="81">
        <f>SUMIFS(Input!$L:$L,Input!$K:$K,"1",Input!$E:$E,'5.CC Physical risk'!$D$24,Input!$H:$H,"P*",Input!$D:$D,"outras empresas nao financeiras",Input!$G:$G,"&gt;20")
+SUMIFS(Input!$L:$L,Input!$K:$K,"1",Input!$E:$E,'5.CC Physical risk'!$D$24,Input!$H:$H,"P*",Input!$D:$D,"outras empresas nao financeiras",Input!$G:$G,"-2")
+SUMIFS(Input!$L:$L,Input!$K:$K,"1",Input!$E:$E,'5.CC Physical risk'!$D$24,Input!$H:$H,"P*",Input!$D:$D,"outras empresas nao financeiras",Input!$G:$G,"-3")
+SUMIFS(Input!$L:$L,Input!$K:$K,"1",Input!$E:$E,'5.CC Physical risk'!$D$24,Input!$H:$H,"P*",Input!$D:$D,"outras empresas nao financeiras",Input!$G:$G,"-5")</f>
        <v>0</v>
      </c>
      <c r="C29" s="82"/>
      <c r="D29" s="85"/>
      <c r="E29" s="85"/>
      <c r="F29" s="85"/>
      <c r="G29" s="85"/>
      <c r="H29" s="85"/>
      <c r="I29" s="85"/>
      <c r="J29" s="86"/>
      <c r="K29" s="85"/>
      <c r="L29" s="85"/>
      <c r="M29" s="85"/>
      <c r="N29" s="85"/>
      <c r="O29" s="85"/>
      <c r="P29" s="85"/>
      <c r="Q29" s="85"/>
    </row>
    <row r="30" spans="1:19" x14ac:dyDescent="0.3">
      <c r="A30" s="81" t="s">
        <v>79</v>
      </c>
      <c r="B30" s="81">
        <f>SUMIFS(Input!$L:$L,Input!$K:$K,"1",Input!$E:$E,'5.CC Physical risk'!$D$24,Input!$H:$H,"Q*",Input!$D:$D,"outras empresas nao financeiras",Input!$G:$G,"&gt;20")
+SUMIFS(Input!$L:$L,Input!$K:$K,"1",Input!$E:$E,'5.CC Physical risk'!$D$24,Input!$H:$H,"Q*",Input!$D:$D,"outras empresas nao financeiras",Input!$G:$G,"-2")
+SUMIFS(Input!$L:$L,Input!$K:$K,"1",Input!$E:$E,'5.CC Physical risk'!$D$24,Input!$H:$H,"Q*",Input!$D:$D,"outras empresas nao financeiras",Input!$G:$G,"-3")
+SUMIFS(Input!$L:$L,Input!$K:$K,"1",Input!$E:$E,'5.CC Physical risk'!$D$24,Input!$H:$H,"Q*",Input!$D:$D,"outras empresas nao financeiras",Input!$G:$G,"-5")</f>
        <v>0</v>
      </c>
      <c r="C30" s="82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</row>
    <row r="31" spans="1:19" x14ac:dyDescent="0.3">
      <c r="A31" s="81" t="s">
        <v>83</v>
      </c>
      <c r="B31" s="81">
        <f>SUMIFS(Input!$L:$L,Input!$K:$K,"1",Input!$E:$E,'5.CC Physical risk'!$D$24,Input!$H:$H,"R*",Input!$D:$D,"outras empresas nao financeiras",Input!$G:$G,"&gt;20")
+SUMIFS(Input!$L:$L,Input!$K:$K,"1",Input!$E:$E,'5.CC Physical risk'!$D$24,Input!$H:$H,"R*",Input!$D:$D,"outras empresas nao financeiras",Input!$G:$G,"-2")
+SUMIFS(Input!$L:$L,Input!$K:$K,"1",Input!$E:$E,'5.CC Physical risk'!$D$24,Input!$H:$H,"R*",Input!$D:$D,"outras empresas nao financeiras",Input!$G:$G,"-3")
+SUMIFS(Input!$L:$L,Input!$K:$K,"1",Input!$E:$E,'5.CC Physical risk'!$D$24,Input!$H:$H,"R*",Input!$D:$D,"outras empresas nao financeiras",Input!$G:$G,"-5")</f>
        <v>0</v>
      </c>
      <c r="C31" s="87"/>
      <c r="D31" s="88"/>
      <c r="E31" s="88"/>
      <c r="F31" s="88"/>
      <c r="G31" s="88"/>
      <c r="H31" s="89"/>
      <c r="I31" s="88"/>
      <c r="J31" s="88"/>
      <c r="K31" s="88"/>
      <c r="L31" s="88"/>
      <c r="M31" s="88"/>
      <c r="N31" s="88"/>
      <c r="O31" s="88"/>
      <c r="P31" s="88"/>
      <c r="Q31" s="88"/>
    </row>
    <row r="32" spans="1:19" x14ac:dyDescent="0.3">
      <c r="A32" s="81" t="s">
        <v>80</v>
      </c>
      <c r="B32" s="81">
        <f>SUMIFS(Input!$L:$L,Input!$K:$K,"1",Input!$E:$E,'5.CC Physical risk'!$D$24,Input!$H:$H,"S*",Input!$D:$D,"outras empresas nao financeiras",Input!$G:$G,"&gt;20")
+SUMIFS(Input!$L:$L,Input!$K:$K,"1",Input!$E:$E,'5.CC Physical risk'!$D$24,Input!$H:$H,"S*",Input!$D:$D,"outras empresas nao financeiras",Input!$G:$G,"-2")
+SUMIFS(Input!$L:$L,Input!$K:$K,"1",Input!$E:$E,'5.CC Physical risk'!$D$24,Input!$H:$H,"S*",Input!$D:$D,"outras empresas nao financeiras",Input!$G:$G,"-3")
+SUMIFS(Input!$L:$L,Input!$K:$K,"1",Input!$E:$E,'5.CC Physical risk'!$D$24,Input!$H:$H,"S*",Input!$D:$D,"outras empresas nao financeiras",Input!$G:$G,"-5")</f>
        <v>0</v>
      </c>
      <c r="D32" s="90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</row>
    <row r="33" spans="1:17" x14ac:dyDescent="0.3">
      <c r="A33" s="81" t="s">
        <v>89</v>
      </c>
      <c r="B33" s="81">
        <f>SUMIFS(Input!$L:$L,Input!$K:$K,"1",Input!$E:$E,'5.CC Physical risk'!$D$24,Input!$H:$H,"T*",Input!$D:$D,"outras empresas nao financeiras",Input!$G:$G,"&gt;20")
+SUMIFS(Input!$L:$L,Input!$K:$K,"1",Input!$E:$E,'5.CC Physical risk'!$D$24,Input!$H:$H,"T*",Input!$D:$D,"outras empresas nao financeiras",Input!$G:$G,"-2")
+SUMIFS(Input!$L:$L,Input!$K:$K,"1",Input!$E:$E,'5.CC Physical risk'!$D$24,Input!$H:$H,"T*",Input!$D:$D,"outras empresas nao financeiras",Input!$G:$G,"-3")
+SUMIFS(Input!$L:$L,Input!$K:$K,"1",Input!$E:$E,'5.CC Physical risk'!$D$24,Input!$H:$H,"T*",Input!$D:$D,"outras empresas nao financeiras",Input!$G:$G,"-5")</f>
        <v>0</v>
      </c>
      <c r="D33" s="88"/>
      <c r="E33" s="88"/>
      <c r="F33" s="88"/>
      <c r="G33" s="88"/>
      <c r="H33" s="91"/>
      <c r="I33" s="88"/>
      <c r="J33" s="88"/>
      <c r="K33" s="88"/>
      <c r="L33" s="88"/>
      <c r="M33" s="88"/>
      <c r="N33" s="88"/>
      <c r="O33" s="88"/>
      <c r="P33" s="88"/>
      <c r="Q33" s="88"/>
    </row>
    <row r="34" spans="1:17" x14ac:dyDescent="0.3">
      <c r="A34" s="81" t="s">
        <v>87</v>
      </c>
      <c r="B34" s="81">
        <f>SUMIFS(Input!$L:$L,Input!$K:$K,"1",Input!$E:$E,'5.CC Physical risk'!$D$24,Input!$H:$H,"U*",Input!$D:$D,"outras empresas nao financeiras",Input!$G:$G,"&gt;20")
+SUMIFS(Input!$L:$L,Input!$K:$K,"1",Input!$E:$E,'5.CC Physical risk'!$D$24,Input!$H:$H,"U*",Input!$D:$D,"outras empresas nao financeiras",Input!$G:$G,"-2")
+SUMIFS(Input!$L:$L,Input!$K:$K,"1",Input!$E:$E,'5.CC Physical risk'!$D$24,Input!$H:$H,"U*",Input!$D:$D,"outras empresas nao financeiras",Input!$G:$G,"-3")
+SUMIFS(Input!$L:$L,Input!$K:$K,"1",Input!$E:$E,'5.CC Physical risk'!$D$24,Input!$H:$H,"U*",Input!$D:$D,"outras empresas nao financeiras",Input!$G:$G,"-5")</f>
        <v>0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</row>
    <row r="35" spans="1:17" x14ac:dyDescent="0.3">
      <c r="A35" s="81" t="s">
        <v>74</v>
      </c>
      <c r="B35" s="81">
        <f>SUMIFS(Input!$L:$L,Input!$K:$K,"1",Input!$E:$E,'5.CC Physical risk'!$D$24,Input!$H:$H,"M*",Input!$D:$D,"outras empresas nao financeiras",Input!$G:$G,"&gt;20")
+SUMIFS(Input!$L:$L,Input!$K:$K,"1",Input!$E:$E,'5.CC Physical risk'!$D$24,Input!$H:$H,"M*",Input!$D:$D,"outras empresas nao financeiras",Input!$G:$G,"-2")
+SUMIFS(Input!$L:$L,Input!$K:$K,"1",Input!$E:$E,'5.CC Physical risk'!$D$24,Input!$H:$H,"M*",Input!$D:$D,"outras empresas nao financeiras",Input!$G:$G,"-3")
+SUMIFS(Input!$L:$L,Input!$K:$K,"1",Input!$E:$E,'5.CC Physical risk'!$D$24,Input!$H:$H,"M*",Input!$D:$D,"outras empresas nao financeiras",Input!$G:$G,"-5")</f>
        <v>0</v>
      </c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</row>
    <row r="36" spans="1:17" x14ac:dyDescent="0.3">
      <c r="A36" s="70"/>
      <c r="B36" s="70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</row>
    <row r="37" spans="1:17" x14ac:dyDescent="0.3"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1:17" x14ac:dyDescent="0.3"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  <row r="39" spans="1:17" x14ac:dyDescent="0.3"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</row>
    <row r="40" spans="1:17" x14ac:dyDescent="0.3">
      <c r="D40" s="88"/>
      <c r="E40" s="88"/>
      <c r="F40" s="88"/>
      <c r="G40" s="92"/>
      <c r="H40" s="92"/>
      <c r="I40" s="92"/>
      <c r="J40" s="92"/>
      <c r="K40" s="92"/>
      <c r="M40" s="92"/>
      <c r="N40" s="92"/>
    </row>
    <row r="41" spans="1:17" x14ac:dyDescent="0.3">
      <c r="D41" s="88"/>
      <c r="E41" s="88"/>
      <c r="F41" s="88"/>
      <c r="G41" s="92"/>
      <c r="K41" s="92"/>
      <c r="M41" s="92"/>
      <c r="N41" s="92"/>
    </row>
    <row r="42" spans="1:17" x14ac:dyDescent="0.3">
      <c r="D42" s="88"/>
      <c r="E42" s="88"/>
      <c r="F42" s="88"/>
      <c r="G42" s="92"/>
      <c r="K42" s="92"/>
      <c r="M42" s="92"/>
      <c r="N42" s="92"/>
    </row>
    <row r="43" spans="1:17" x14ac:dyDescent="0.3">
      <c r="D43" s="88"/>
      <c r="E43" s="88"/>
      <c r="F43" s="88"/>
      <c r="G43" s="92"/>
      <c r="K43" s="92"/>
      <c r="M43" s="92"/>
      <c r="N43" s="92"/>
    </row>
    <row r="44" spans="1:17" x14ac:dyDescent="0.3">
      <c r="D44" s="88"/>
      <c r="E44" s="88"/>
      <c r="F44" s="88"/>
      <c r="G44" s="92"/>
      <c r="K44" s="92"/>
      <c r="M44" s="92"/>
      <c r="N44" s="92"/>
    </row>
    <row r="45" spans="1:17" x14ac:dyDescent="0.3">
      <c r="D45" s="88"/>
      <c r="E45" s="88"/>
      <c r="F45" s="88"/>
      <c r="G45" s="92"/>
      <c r="K45" s="92"/>
      <c r="M45" s="92"/>
      <c r="N45" s="92"/>
    </row>
    <row r="46" spans="1:17" x14ac:dyDescent="0.3">
      <c r="D46" s="88"/>
      <c r="E46" s="88"/>
      <c r="F46" s="88"/>
      <c r="G46" s="92"/>
      <c r="K46" s="92"/>
      <c r="M46" s="92"/>
      <c r="N46" s="92"/>
    </row>
    <row r="47" spans="1:17" x14ac:dyDescent="0.3">
      <c r="D47" s="88"/>
      <c r="E47" s="88"/>
      <c r="F47" s="88"/>
      <c r="G47" s="92"/>
      <c r="K47" s="92"/>
      <c r="M47" s="92"/>
      <c r="N47" s="92"/>
    </row>
    <row r="48" spans="1:17" x14ac:dyDescent="0.3">
      <c r="D48" s="88"/>
      <c r="E48" s="88"/>
      <c r="F48" s="88"/>
      <c r="G48" s="92"/>
      <c r="K48" s="92"/>
      <c r="M48" s="92"/>
      <c r="N48" s="92"/>
    </row>
    <row r="49" spans="4:14" x14ac:dyDescent="0.3">
      <c r="D49" s="88"/>
      <c r="E49" s="88"/>
      <c r="F49" s="88"/>
      <c r="G49" s="92"/>
      <c r="K49" s="92"/>
      <c r="M49" s="92"/>
      <c r="N49" s="92"/>
    </row>
    <row r="50" spans="4:14" x14ac:dyDescent="0.3">
      <c r="D50" s="88"/>
      <c r="E50" s="92"/>
      <c r="F50" s="92"/>
      <c r="G50" s="92"/>
      <c r="K50" s="92"/>
      <c r="M50" s="92"/>
      <c r="N50" s="92"/>
    </row>
    <row r="51" spans="4:14" x14ac:dyDescent="0.3">
      <c r="D51" s="92"/>
      <c r="E51" s="92"/>
      <c r="F51" s="92"/>
      <c r="G51" s="92"/>
      <c r="K51" s="92"/>
      <c r="M51" s="92"/>
      <c r="N51" s="92"/>
    </row>
    <row r="52" spans="4:14" x14ac:dyDescent="0.3">
      <c r="D52" s="92"/>
      <c r="E52" s="92"/>
      <c r="F52" s="92"/>
      <c r="G52" s="92"/>
      <c r="K52" s="92"/>
      <c r="M52" s="92"/>
      <c r="N52" s="92"/>
    </row>
    <row r="53" spans="4:14" x14ac:dyDescent="0.3">
      <c r="D53" s="92"/>
      <c r="E53" s="92"/>
      <c r="F53" s="92"/>
      <c r="G53" s="92"/>
      <c r="K53" s="92"/>
    </row>
    <row r="54" spans="4:14" x14ac:dyDescent="0.3">
      <c r="D54" s="92"/>
      <c r="E54" s="92"/>
      <c r="F54" s="92"/>
      <c r="G54" s="92"/>
      <c r="K54" s="92"/>
    </row>
  </sheetData>
  <mergeCells count="10">
    <mergeCell ref="C5:C8"/>
    <mergeCell ref="D5:Q5"/>
    <mergeCell ref="E6:Q6"/>
    <mergeCell ref="E7:I7"/>
    <mergeCell ref="J7:J8"/>
    <mergeCell ref="K7:K8"/>
    <mergeCell ref="L7:L8"/>
    <mergeCell ref="M7:M8"/>
    <mergeCell ref="N7:N8"/>
    <mergeCell ref="O7:Q7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32087EF-9841-43A0-BBC8-E00F6B80D588}"/>
</file>

<file path=customXml/itemProps2.xml><?xml version="1.0" encoding="utf-8"?>
<ds:datastoreItem xmlns:ds="http://schemas.openxmlformats.org/officeDocument/2006/customXml" ds:itemID="{CFAA08FF-BA12-4D0A-8953-9C151DD9864F}">
  <ds:schemaRefs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5.CC Physical risk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2025-06-30T18:12:03Z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