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4781\Downloads\"/>
    </mc:Choice>
  </mc:AlternateContent>
  <bookViews>
    <workbookView xWindow="0" yWindow="0" windowWidth="19200" windowHeight="5450" activeTab="3"/>
  </bookViews>
  <sheets>
    <sheet name="jun25" sheetId="1" r:id="rId1"/>
    <sheet name="Concilicao - temp1" sheetId="3" r:id="rId2"/>
    <sheet name="Concilicao - temp2" sheetId="8" r:id="rId3"/>
    <sheet name="Conciliacao_temp10" sheetId="6" r:id="rId4"/>
  </sheets>
  <definedNames>
    <definedName name="_xlnm._FilterDatabase" localSheetId="3" hidden="1">Conciliacao_temp10!$A$86:$C$96</definedName>
    <definedName name="_xlnm._FilterDatabase" localSheetId="2" hidden="1">'Concilicao - temp2'!$A$20:$C$27</definedName>
  </definedNames>
  <calcPr calcId="162913"/>
</workbook>
</file>

<file path=xl/calcChain.xml><?xml version="1.0" encoding="utf-8"?>
<calcChain xmlns="http://schemas.openxmlformats.org/spreadsheetml/2006/main">
  <c r="D22" i="8" l="1"/>
  <c r="C9" i="8"/>
  <c r="C8" i="8"/>
  <c r="D21" i="8"/>
  <c r="D14" i="8" l="1"/>
  <c r="D15" i="8"/>
  <c r="D24" i="6" l="1"/>
  <c r="C12" i="6"/>
  <c r="D11" i="6"/>
  <c r="D10" i="6"/>
  <c r="D9" i="6"/>
  <c r="D4" i="6"/>
  <c r="D3" i="6"/>
  <c r="H83" i="6"/>
  <c r="H77" i="6"/>
  <c r="F31" i="6" l="1"/>
  <c r="F29" i="6"/>
  <c r="F32" i="6" l="1"/>
  <c r="C24" i="6"/>
  <c r="D8" i="3" l="1"/>
  <c r="D18" i="3"/>
  <c r="E17" i="3"/>
  <c r="E16" i="3"/>
  <c r="E12" i="3"/>
  <c r="E15" i="3"/>
  <c r="E13" i="3"/>
  <c r="D19" i="3" l="1"/>
</calcChain>
</file>

<file path=xl/sharedStrings.xml><?xml version="1.0" encoding="utf-8"?>
<sst xmlns="http://schemas.openxmlformats.org/spreadsheetml/2006/main" count="359" uniqueCount="99">
  <si>
    <t>template1</t>
  </si>
  <si>
    <t>template2</t>
  </si>
  <si>
    <t>template10</t>
  </si>
  <si>
    <t>saldo</t>
  </si>
  <si>
    <t>bruto_imparidade</t>
  </si>
  <si>
    <t>imparidade</t>
  </si>
  <si>
    <t>valor bruto</t>
  </si>
  <si>
    <t>vb_vs_imp</t>
  </si>
  <si>
    <t>categoria_carteira_cont_descricao</t>
  </si>
  <si>
    <t>classe_inst_fin_descricao</t>
  </si>
  <si>
    <t>sum(saldo)</t>
  </si>
  <si>
    <t>VB</t>
  </si>
  <si>
    <t>ativos financeiros ao custo amortizado</t>
  </si>
  <si>
    <t>instrumentos de divida</t>
  </si>
  <si>
    <t>IMP</t>
  </si>
  <si>
    <t>credito concedido e outros ativos financeiros</t>
  </si>
  <si>
    <t>carteira_contabilistica</t>
  </si>
  <si>
    <t>instrumento_financeiro</t>
  </si>
  <si>
    <t>ativos financeiros ao justo valor atraves de outro rendimento integral</t>
  </si>
  <si>
    <t>instrumentos de capital</t>
  </si>
  <si>
    <t>ct623</t>
  </si>
  <si>
    <t>template 1</t>
  </si>
  <si>
    <t>Total</t>
  </si>
  <si>
    <t>capital/ nocional/ custo de aquisicao</t>
  </si>
  <si>
    <t>valias e correcoes de valor por operacoes microcobertura</t>
  </si>
  <si>
    <t>composicao_valor</t>
  </si>
  <si>
    <t>juros/rendimentos a receber</t>
  </si>
  <si>
    <t>valias e correcoes de valor - outras</t>
  </si>
  <si>
    <t>NULL</t>
  </si>
  <si>
    <t>despesas/comissoes com rendimento diferido associadas ao custo amortizado</t>
  </si>
  <si>
    <t>Montante na ct623 está marcado como "" e no DL está como "valor bruto"</t>
  </si>
  <si>
    <t>produto</t>
  </si>
  <si>
    <t>outros emprestimos a prazo</t>
  </si>
  <si>
    <t>cartoes de credito</t>
  </si>
  <si>
    <t>carteira comercial - factoring</t>
  </si>
  <si>
    <t>leasing imobiliario</t>
  </si>
  <si>
    <t>leasing mobiliario</t>
  </si>
  <si>
    <t>outros devedores e ativos financeiros que nao sao emprestimos</t>
  </si>
  <si>
    <t>a vista, descobertos e contas correntes</t>
  </si>
  <si>
    <t>carteira comercial - outros</t>
  </si>
  <si>
    <t>ccontab_final_ifrs</t>
  </si>
  <si>
    <t>sum(msaldo_final)</t>
  </si>
  <si>
    <t>disponibilidades em bancos centrais</t>
  </si>
  <si>
    <t>disponibilidades em outras instituicoes de credito</t>
  </si>
  <si>
    <t>ativos financeiros mandatoriamente ao justo valor atraves de resultados</t>
  </si>
  <si>
    <t>ativos financeiros detidos para negociacao</t>
  </si>
  <si>
    <t>ativos nao correntes detidos para venda</t>
  </si>
  <si>
    <t>contraparte</t>
  </si>
  <si>
    <t>outras empresas nao financeiras</t>
  </si>
  <si>
    <t>saldo ct623</t>
  </si>
  <si>
    <t>montate alocado entre capital  e juros</t>
  </si>
  <si>
    <t>outras instituicoes financeiras</t>
  </si>
  <si>
    <t>instituicoes de credito</t>
  </si>
  <si>
    <t>setor publico</t>
  </si>
  <si>
    <t>particulares</t>
  </si>
  <si>
    <t>bancos centrais</t>
  </si>
  <si>
    <t>saldo temp10</t>
  </si>
  <si>
    <t>ct001 - filtrada pelas carcateristicas da ultima linha</t>
  </si>
  <si>
    <t>ccontab_final_st_sgps</t>
  </si>
  <si>
    <t>colateral</t>
  </si>
  <si>
    <t>sum(valor_bruto_on)</t>
  </si>
  <si>
    <t>GAR HIP COMERCIAL</t>
  </si>
  <si>
    <t>GAR HIP RESIDENCIAL</t>
  </si>
  <si>
    <t>template5</t>
  </si>
  <si>
    <t>FR011</t>
  </si>
  <si>
    <t>Garantia Comercial</t>
  </si>
  <si>
    <t>Garantia Residencial</t>
  </si>
  <si>
    <t>cempresa</t>
  </si>
  <si>
    <t>153104090</t>
  </si>
  <si>
    <t>1531080</t>
  </si>
  <si>
    <t>153204090</t>
  </si>
  <si>
    <t>1532080</t>
  </si>
  <si>
    <t>153304090</t>
  </si>
  <si>
    <t>1533080</t>
  </si>
  <si>
    <t>153104092</t>
  </si>
  <si>
    <t>153204092</t>
  </si>
  <si>
    <t>153304092</t>
  </si>
  <si>
    <t>153204050</t>
  </si>
  <si>
    <t>153304050</t>
  </si>
  <si>
    <t>153104097</t>
  </si>
  <si>
    <t>153204052</t>
  </si>
  <si>
    <t>153304052</t>
  </si>
  <si>
    <t>15321405</t>
  </si>
  <si>
    <t>1532180</t>
  </si>
  <si>
    <t>153310405</t>
  </si>
  <si>
    <t>1533180</t>
  </si>
  <si>
    <t>153311405</t>
  </si>
  <si>
    <t>153310409</t>
  </si>
  <si>
    <t>15311409</t>
  </si>
  <si>
    <t>1531180</t>
  </si>
  <si>
    <t>15321409</t>
  </si>
  <si>
    <t>153311409</t>
  </si>
  <si>
    <t>00100</t>
  </si>
  <si>
    <t>31</t>
  </si>
  <si>
    <t>89</t>
  </si>
  <si>
    <t>80</t>
  </si>
  <si>
    <t>COMERCIAL</t>
  </si>
  <si>
    <t>RESIDENCIAL</t>
  </si>
  <si>
    <t>tipo_colateral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</si>
</sst>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" fontId="0" fillId="0" borderId="0" xfId="0" applyNumberFormat="1"/>
    <xf numFmtId="0" fontId="2" fillId="0" borderId="0" xfId="0" applyFont="1"/>
    <xf numFmtId="43" fontId="0" fillId="0" borderId="0" xfId="1" applyFont="1"/>
    <xf numFmtId="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0" fontId="3" fillId="0" borderId="0" xfId="0" applyFont="1"/>
    <xf numFmtId="0" fontId="0" fillId="2" borderId="0" xfId="0" applyFill="1"/>
    <xf numFmtId="4" fontId="0" fillId="2" borderId="0" xfId="1" applyNumberFormat="1" applyFont="1" applyFill="1"/>
    <xf numFmtId="164" fontId="0" fillId="2" borderId="0" xfId="0" applyNumberFormat="1" applyFill="1"/>
    <xf numFmtId="0" fontId="0" fillId="3" borderId="0" xfId="0" applyFill="1"/>
    <xf numFmtId="4" fontId="0" fillId="2" borderId="0" xfId="0" applyNumberFormat="1" applyFill="1"/>
    <xf numFmtId="49" fontId="0" fillId="0" borderId="0" xfId="0" applyNumberFormat="1"/>
    <xf numFmtId="4" fontId="0" fillId="4" borderId="0" xfId="0" applyNumberFormat="1" applyFill="1"/>
    <xf numFmtId="0" fontId="0" fillId="0" borderId="0" xfId="0" applyFill="1"/>
    <xf numFmtId="0" fontId="0" fillId="0" borderId="0" xfId="0" applyFont="1"/>
    <xf numFmtId="4" fontId="0" fillId="0" borderId="0" xfId="0" applyNumberFormat="1" applyFont="1"/>
    <xf numFmtId="4" fontId="0" fillId="0" borderId="0" xfId="0" applyNumberFormat="1" applyFill="1"/>
    <xf numFmtId="0" fontId="2" fillId="0" borderId="0" xfId="0" applyFont="1" applyFill="1"/>
    <xf numFmtId="4" fontId="2" fillId="0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ColWidth="10.90625" defaultRowHeight="14.5" x14ac:dyDescent="0.35"/>
  <cols>
    <col min="3" max="8" width="16.36328125" bestFit="1" customWidth="1"/>
  </cols>
  <sheetData>
    <row r="1" spans="1:8" x14ac:dyDescent="0.35">
      <c r="A1" t="s">
        <v>0</v>
      </c>
      <c r="B1" t="s">
        <v>1</v>
      </c>
      <c r="C1" t="s">
        <v>63</v>
      </c>
      <c r="D1" t="s">
        <v>2</v>
      </c>
      <c r="E1" t="s">
        <v>41</v>
      </c>
    </row>
    <row r="2" spans="1:8" x14ac:dyDescent="0.35">
      <c r="A2">
        <v>1</v>
      </c>
      <c r="B2">
        <v>0</v>
      </c>
      <c r="C2">
        <v>1</v>
      </c>
      <c r="D2">
        <v>0</v>
      </c>
      <c r="E2" s="1">
        <v>385603853.74740601</v>
      </c>
      <c r="F2" s="1"/>
      <c r="G2" s="1"/>
      <c r="H2" s="1"/>
    </row>
    <row r="3" spans="1:8" x14ac:dyDescent="0.35">
      <c r="A3">
        <v>0</v>
      </c>
      <c r="B3">
        <v>1</v>
      </c>
      <c r="C3">
        <v>1</v>
      </c>
      <c r="D3">
        <v>1</v>
      </c>
      <c r="E3" s="1">
        <v>-24733511302.283501</v>
      </c>
    </row>
    <row r="4" spans="1:8" x14ac:dyDescent="0.35">
      <c r="A4">
        <v>0</v>
      </c>
      <c r="B4">
        <v>0</v>
      </c>
      <c r="C4">
        <v>0</v>
      </c>
      <c r="D4">
        <v>1</v>
      </c>
      <c r="E4" s="1">
        <v>-18331137700.832401</v>
      </c>
    </row>
    <row r="5" spans="1:8" x14ac:dyDescent="0.35">
      <c r="A5">
        <v>0</v>
      </c>
      <c r="B5">
        <v>0</v>
      </c>
      <c r="C5">
        <v>0</v>
      </c>
      <c r="D5">
        <v>0</v>
      </c>
      <c r="E5" s="1">
        <v>-2370774985.0180602</v>
      </c>
      <c r="G5" s="1"/>
    </row>
    <row r="6" spans="1:8" x14ac:dyDescent="0.35">
      <c r="A6">
        <v>1</v>
      </c>
      <c r="B6">
        <v>0</v>
      </c>
      <c r="C6">
        <v>1</v>
      </c>
      <c r="D6">
        <v>1</v>
      </c>
      <c r="E6" s="1">
        <v>-9594075601.8519306</v>
      </c>
      <c r="G6" s="1"/>
    </row>
    <row r="7" spans="1:8" x14ac:dyDescent="0.35">
      <c r="A7">
        <v>1</v>
      </c>
      <c r="B7">
        <v>1</v>
      </c>
      <c r="C7">
        <v>1</v>
      </c>
      <c r="D7">
        <v>1</v>
      </c>
      <c r="E7" s="1">
        <v>-2945026511.2897701</v>
      </c>
    </row>
    <row r="8" spans="1:8" x14ac:dyDescent="0.35">
      <c r="A8">
        <v>0</v>
      </c>
      <c r="B8">
        <v>0</v>
      </c>
      <c r="C8">
        <v>1</v>
      </c>
      <c r="D8">
        <v>0</v>
      </c>
      <c r="E8" s="1">
        <v>124059644.72</v>
      </c>
    </row>
    <row r="11" spans="1:8" x14ac:dyDescent="0.35">
      <c r="D11" s="1"/>
    </row>
    <row r="12" spans="1:8" x14ac:dyDescent="0.35">
      <c r="D1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26" zoomScale="79" workbookViewId="0">
      <selection activeCell="E12" sqref="E12:E17"/>
    </sheetView>
  </sheetViews>
  <sheetFormatPr defaultRowHeight="14.5" x14ac:dyDescent="0.35"/>
  <cols>
    <col min="1" max="1" width="38.6328125" bestFit="1" customWidth="1"/>
    <col min="2" max="2" width="49.26953125" customWidth="1"/>
    <col min="3" max="3" width="38.6328125" bestFit="1" customWidth="1"/>
    <col min="4" max="4" width="17.36328125" bestFit="1" customWidth="1"/>
    <col min="5" max="5" width="16.453125" bestFit="1" customWidth="1"/>
    <col min="6" max="6" width="14.26953125" bestFit="1" customWidth="1"/>
  </cols>
  <sheetData>
    <row r="1" spans="1:6" x14ac:dyDescent="0.35">
      <c r="A1" s="7" t="s">
        <v>20</v>
      </c>
    </row>
    <row r="2" spans="1:6" x14ac:dyDescent="0.35">
      <c r="A2" s="2" t="s">
        <v>7</v>
      </c>
      <c r="B2" s="2" t="s">
        <v>8</v>
      </c>
      <c r="C2" s="2" t="s">
        <v>9</v>
      </c>
      <c r="D2" s="2" t="s">
        <v>10</v>
      </c>
    </row>
    <row r="3" spans="1:6" x14ac:dyDescent="0.35">
      <c r="A3" t="s">
        <v>11</v>
      </c>
      <c r="B3" t="s">
        <v>12</v>
      </c>
      <c r="C3" t="s">
        <v>13</v>
      </c>
      <c r="D3" s="3">
        <v>3023941558</v>
      </c>
    </row>
    <row r="4" spans="1:6" x14ac:dyDescent="0.35">
      <c r="A4" t="s">
        <v>14</v>
      </c>
      <c r="B4" t="s">
        <v>12</v>
      </c>
      <c r="C4" t="s">
        <v>15</v>
      </c>
      <c r="D4" s="3">
        <v>-381996082</v>
      </c>
    </row>
    <row r="5" spans="1:6" x14ac:dyDescent="0.35">
      <c r="A5" t="s">
        <v>14</v>
      </c>
      <c r="B5" t="s">
        <v>12</v>
      </c>
      <c r="C5" t="s">
        <v>13</v>
      </c>
      <c r="D5" s="4">
        <v>-3930278</v>
      </c>
    </row>
    <row r="6" spans="1:6" x14ac:dyDescent="0.35">
      <c r="A6" t="s">
        <v>11</v>
      </c>
      <c r="B6" t="s">
        <v>12</v>
      </c>
      <c r="C6" t="s">
        <v>15</v>
      </c>
      <c r="D6" s="3">
        <v>9515160559</v>
      </c>
    </row>
    <row r="7" spans="1:6" x14ac:dyDescent="0.35">
      <c r="A7" s="8"/>
      <c r="B7" s="8" t="s">
        <v>18</v>
      </c>
      <c r="C7" s="8" t="s">
        <v>19</v>
      </c>
      <c r="D7" s="9">
        <v>322517</v>
      </c>
      <c r="E7" s="8"/>
    </row>
    <row r="8" spans="1:6" x14ac:dyDescent="0.35">
      <c r="A8" s="2" t="s">
        <v>22</v>
      </c>
      <c r="D8" s="6">
        <f>SUM(D3:D7)</f>
        <v>12153498274</v>
      </c>
    </row>
    <row r="9" spans="1:6" x14ac:dyDescent="0.35">
      <c r="A9" s="2"/>
      <c r="D9" s="6"/>
    </row>
    <row r="10" spans="1:6" x14ac:dyDescent="0.35">
      <c r="A10" s="7" t="s">
        <v>21</v>
      </c>
      <c r="D10" s="6"/>
    </row>
    <row r="11" spans="1:6" x14ac:dyDescent="0.35">
      <c r="A11" s="2" t="s">
        <v>4</v>
      </c>
      <c r="B11" s="2" t="s">
        <v>16</v>
      </c>
      <c r="C11" s="2" t="s">
        <v>17</v>
      </c>
      <c r="D11" s="2" t="s">
        <v>3</v>
      </c>
    </row>
    <row r="12" spans="1:6" x14ac:dyDescent="0.35">
      <c r="A12" t="s">
        <v>5</v>
      </c>
      <c r="B12" t="s">
        <v>12</v>
      </c>
      <c r="C12" t="s">
        <v>13</v>
      </c>
      <c r="D12" s="4">
        <v>3930283.63</v>
      </c>
      <c r="E12" s="5">
        <f>+D12+D5</f>
        <v>5.6299999998882413</v>
      </c>
    </row>
    <row r="13" spans="1:6" x14ac:dyDescent="0.35">
      <c r="A13" t="s">
        <v>6</v>
      </c>
      <c r="B13" t="s">
        <v>12</v>
      </c>
      <c r="C13" t="s">
        <v>15</v>
      </c>
      <c r="D13" s="4">
        <v>-9515160555.4995193</v>
      </c>
      <c r="E13" s="5">
        <f>D13+D6</f>
        <v>3.5004806518554688</v>
      </c>
    </row>
    <row r="14" spans="1:6" x14ac:dyDescent="0.35">
      <c r="A14" t="s">
        <v>6</v>
      </c>
      <c r="B14" t="s">
        <v>18</v>
      </c>
      <c r="C14" t="s">
        <v>13</v>
      </c>
      <c r="D14" s="4">
        <v>0.57999999999999996</v>
      </c>
    </row>
    <row r="15" spans="1:6" x14ac:dyDescent="0.35">
      <c r="A15" s="8" t="s">
        <v>6</v>
      </c>
      <c r="B15" s="8" t="s">
        <v>18</v>
      </c>
      <c r="C15" s="8" t="s">
        <v>19</v>
      </c>
      <c r="D15" s="9">
        <v>-322516.46000000002</v>
      </c>
      <c r="E15" s="10">
        <f>D7+D15</f>
        <v>0.53999999997904524</v>
      </c>
      <c r="F15" s="8" t="s">
        <v>30</v>
      </c>
    </row>
    <row r="16" spans="1:6" x14ac:dyDescent="0.35">
      <c r="A16" t="s">
        <v>5</v>
      </c>
      <c r="B16" t="s">
        <v>12</v>
      </c>
      <c r="C16" t="s">
        <v>15</v>
      </c>
      <c r="D16" s="1">
        <v>381996086.57740599</v>
      </c>
      <c r="E16" s="5">
        <f>D16+D4</f>
        <v>4.5774059891700745</v>
      </c>
    </row>
    <row r="17" spans="1:5" x14ac:dyDescent="0.35">
      <c r="A17" t="s">
        <v>6</v>
      </c>
      <c r="B17" t="s">
        <v>12</v>
      </c>
      <c r="C17" t="s">
        <v>13</v>
      </c>
      <c r="D17" s="1">
        <v>-3023941558.2221799</v>
      </c>
      <c r="E17" s="5">
        <f>D17+D3</f>
        <v>-0.22217988967895508</v>
      </c>
    </row>
    <row r="18" spans="1:5" x14ac:dyDescent="0.35">
      <c r="A18" s="2" t="s">
        <v>22</v>
      </c>
      <c r="D18" s="1">
        <f>SUM(D12:D17)</f>
        <v>-12153498259.394293</v>
      </c>
    </row>
    <row r="19" spans="1:5" x14ac:dyDescent="0.35">
      <c r="D19" s="5">
        <f>D18+D8</f>
        <v>14.605707168579102</v>
      </c>
      <c r="E19" s="5"/>
    </row>
    <row r="21" spans="1:5" x14ac:dyDescent="0.35">
      <c r="A21" t="s">
        <v>40</v>
      </c>
      <c r="B21" t="s">
        <v>58</v>
      </c>
      <c r="C21" t="s">
        <v>41</v>
      </c>
    </row>
    <row r="22" spans="1:5" x14ac:dyDescent="0.35">
      <c r="A22" s="11" t="s">
        <v>68</v>
      </c>
      <c r="B22" t="s">
        <v>69</v>
      </c>
      <c r="C22" s="1">
        <v>-779265589.98758602</v>
      </c>
    </row>
    <row r="23" spans="1:5" x14ac:dyDescent="0.35">
      <c r="A23" s="11" t="s">
        <v>70</v>
      </c>
      <c r="B23" t="s">
        <v>71</v>
      </c>
      <c r="C23" s="1">
        <v>-220697384.564845</v>
      </c>
    </row>
    <row r="24" spans="1:5" x14ac:dyDescent="0.35">
      <c r="A24" s="11" t="s">
        <v>72</v>
      </c>
      <c r="B24" t="s">
        <v>73</v>
      </c>
      <c r="C24" s="1">
        <v>-46663099.142852999</v>
      </c>
    </row>
    <row r="25" spans="1:5" x14ac:dyDescent="0.35">
      <c r="A25" t="s">
        <v>74</v>
      </c>
      <c r="B25" t="s">
        <v>69</v>
      </c>
      <c r="C25" s="1">
        <v>-2421901.2998270001</v>
      </c>
    </row>
    <row r="26" spans="1:5" x14ac:dyDescent="0.35">
      <c r="A26" t="s">
        <v>75</v>
      </c>
      <c r="B26" t="s">
        <v>71</v>
      </c>
      <c r="C26" s="1">
        <v>-600014.33016300004</v>
      </c>
    </row>
    <row r="27" spans="1:5" x14ac:dyDescent="0.35">
      <c r="A27" t="s">
        <v>76</v>
      </c>
      <c r="B27" t="s">
        <v>73</v>
      </c>
      <c r="C27" s="1">
        <v>-263517.23424700001</v>
      </c>
    </row>
    <row r="28" spans="1:5" x14ac:dyDescent="0.35">
      <c r="A28" s="11" t="s">
        <v>77</v>
      </c>
      <c r="B28" t="s">
        <v>71</v>
      </c>
      <c r="C28" s="1">
        <v>-252279.47</v>
      </c>
    </row>
    <row r="29" spans="1:5" x14ac:dyDescent="0.35">
      <c r="A29" s="11" t="s">
        <v>78</v>
      </c>
      <c r="B29" t="s">
        <v>73</v>
      </c>
      <c r="C29" s="1">
        <v>-93201.78</v>
      </c>
    </row>
    <row r="30" spans="1:5" x14ac:dyDescent="0.35">
      <c r="A30" t="s">
        <v>79</v>
      </c>
      <c r="B30" t="s">
        <v>69</v>
      </c>
      <c r="C30" s="1">
        <v>-1477.19</v>
      </c>
    </row>
    <row r="31" spans="1:5" x14ac:dyDescent="0.35">
      <c r="A31" t="s">
        <v>80</v>
      </c>
      <c r="B31" t="s">
        <v>71</v>
      </c>
      <c r="C31" s="12">
        <v>-733.35</v>
      </c>
    </row>
    <row r="32" spans="1:5" x14ac:dyDescent="0.35">
      <c r="A32" t="s">
        <v>81</v>
      </c>
      <c r="B32" t="s">
        <v>73</v>
      </c>
      <c r="C32" s="12">
        <v>-483.63</v>
      </c>
    </row>
    <row r="33" spans="1:3" x14ac:dyDescent="0.35">
      <c r="A33" t="s">
        <v>82</v>
      </c>
      <c r="B33" t="s">
        <v>83</v>
      </c>
      <c r="C33" s="1">
        <v>518.11</v>
      </c>
    </row>
    <row r="34" spans="1:3" x14ac:dyDescent="0.35">
      <c r="A34" t="s">
        <v>84</v>
      </c>
      <c r="B34" t="s">
        <v>85</v>
      </c>
      <c r="C34" s="1">
        <v>1071.8016419999999</v>
      </c>
    </row>
    <row r="35" spans="1:3" x14ac:dyDescent="0.35">
      <c r="A35" t="s">
        <v>86</v>
      </c>
      <c r="B35" t="s">
        <v>85</v>
      </c>
      <c r="C35" s="1">
        <v>76076.693492999999</v>
      </c>
    </row>
    <row r="36" spans="1:3" x14ac:dyDescent="0.35">
      <c r="A36" t="s">
        <v>87</v>
      </c>
      <c r="B36" t="s">
        <v>85</v>
      </c>
      <c r="C36" s="1">
        <v>3495685.69</v>
      </c>
    </row>
    <row r="37" spans="1:3" x14ac:dyDescent="0.35">
      <c r="A37" t="s">
        <v>88</v>
      </c>
      <c r="B37" t="s">
        <v>89</v>
      </c>
      <c r="C37" s="1">
        <v>3674384.48</v>
      </c>
    </row>
    <row r="38" spans="1:3" x14ac:dyDescent="0.35">
      <c r="A38" t="s">
        <v>90</v>
      </c>
      <c r="B38" t="s">
        <v>83</v>
      </c>
      <c r="C38" s="1">
        <v>9088993.9600000009</v>
      </c>
    </row>
    <row r="39" spans="1:3" x14ac:dyDescent="0.35">
      <c r="A39" t="s">
        <v>91</v>
      </c>
      <c r="B39" t="s">
        <v>85</v>
      </c>
      <c r="C39" s="1">
        <v>33346027.978565998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zoomScale="114" workbookViewId="0">
      <selection activeCell="B8" sqref="B8:B9"/>
    </sheetView>
  </sheetViews>
  <sheetFormatPr defaultRowHeight="14.5" x14ac:dyDescent="0.35"/>
  <cols>
    <col min="1" max="1" width="19" customWidth="1"/>
    <col min="2" max="2" width="18.90625" bestFit="1" customWidth="1"/>
    <col min="3" max="4" width="16.81640625" bestFit="1" customWidth="1"/>
    <col min="5" max="5" width="13.7265625" bestFit="1" customWidth="1"/>
    <col min="6" max="6" width="17.54296875" bestFit="1" customWidth="1"/>
    <col min="7" max="7" width="13.7265625" bestFit="1" customWidth="1"/>
    <col min="9" max="9" width="8.81640625" bestFit="1" customWidth="1"/>
    <col min="11" max="11" width="11.54296875" bestFit="1" customWidth="1"/>
    <col min="14" max="14" width="11.54296875" bestFit="1" customWidth="1"/>
    <col min="15" max="15" width="10.7265625" bestFit="1" customWidth="1"/>
    <col min="16" max="16" width="8.81640625" bestFit="1" customWidth="1"/>
    <col min="22" max="22" width="10.08984375" bestFit="1" customWidth="1"/>
    <col min="23" max="23" width="12.1796875" bestFit="1" customWidth="1"/>
  </cols>
  <sheetData>
    <row r="1" spans="1:7" x14ac:dyDescent="0.35">
      <c r="A1" s="2" t="s">
        <v>64</v>
      </c>
      <c r="E1" s="2"/>
    </row>
    <row r="2" spans="1:7" x14ac:dyDescent="0.35">
      <c r="A2" s="2" t="s">
        <v>59</v>
      </c>
      <c r="B2" s="2" t="s">
        <v>60</v>
      </c>
      <c r="E2" s="2"/>
      <c r="F2" s="2"/>
    </row>
    <row r="3" spans="1:7" x14ac:dyDescent="0.35">
      <c r="A3" t="s">
        <v>61</v>
      </c>
      <c r="B3" s="1">
        <v>2590560816.6097698</v>
      </c>
      <c r="F3" s="1"/>
      <c r="G3" s="1"/>
    </row>
    <row r="4" spans="1:7" x14ac:dyDescent="0.35">
      <c r="A4" t="s">
        <v>62</v>
      </c>
      <c r="B4" s="1">
        <v>25122572404.283501</v>
      </c>
      <c r="F4" s="1"/>
      <c r="G4" s="1"/>
    </row>
    <row r="7" spans="1:7" x14ac:dyDescent="0.35">
      <c r="A7" s="15" t="s">
        <v>98</v>
      </c>
      <c r="B7" s="15" t="s">
        <v>41</v>
      </c>
      <c r="C7" s="15"/>
      <c r="D7" s="15"/>
    </row>
    <row r="8" spans="1:7" x14ac:dyDescent="0.35">
      <c r="A8" s="15" t="s">
        <v>65</v>
      </c>
      <c r="B8" s="18">
        <v>-2563606349.6497698</v>
      </c>
      <c r="C8" s="18">
        <f>B8-D22</f>
        <v>0</v>
      </c>
      <c r="D8" s="18"/>
      <c r="E8" s="1"/>
    </row>
    <row r="9" spans="1:7" x14ac:dyDescent="0.35">
      <c r="A9" t="s">
        <v>66</v>
      </c>
      <c r="B9" s="1">
        <v>-25114931463.9235</v>
      </c>
      <c r="C9" s="1">
        <f>B9-D21</f>
        <v>0</v>
      </c>
    </row>
    <row r="11" spans="1:7" x14ac:dyDescent="0.35">
      <c r="A11" s="13" t="s">
        <v>67</v>
      </c>
      <c r="B11" s="13" t="s">
        <v>59</v>
      </c>
      <c r="C11" s="13" t="s">
        <v>60</v>
      </c>
    </row>
    <row r="12" spans="1:7" x14ac:dyDescent="0.35">
      <c r="A12" s="13" t="s">
        <v>92</v>
      </c>
      <c r="B12" s="13" t="s">
        <v>61</v>
      </c>
      <c r="C12" s="1">
        <v>0</v>
      </c>
    </row>
    <row r="13" spans="1:7" x14ac:dyDescent="0.35">
      <c r="A13" s="13" t="s">
        <v>92</v>
      </c>
      <c r="B13" s="13" t="s">
        <v>62</v>
      </c>
      <c r="C13" s="1">
        <v>0</v>
      </c>
    </row>
    <row r="14" spans="1:7" x14ac:dyDescent="0.35">
      <c r="A14" s="13" t="s">
        <v>93</v>
      </c>
      <c r="B14" s="13" t="s">
        <v>62</v>
      </c>
      <c r="C14" s="1">
        <v>25020944264.6035</v>
      </c>
      <c r="D14" s="1">
        <f>C14+C17</f>
        <v>25122572404.283501</v>
      </c>
    </row>
    <row r="15" spans="1:7" x14ac:dyDescent="0.35">
      <c r="A15" s="13" t="s">
        <v>93</v>
      </c>
      <c r="B15" s="13" t="s">
        <v>61</v>
      </c>
      <c r="C15" s="1">
        <v>2078149498.39977</v>
      </c>
      <c r="D15" s="1">
        <f>C15+C18</f>
        <v>2468966872.5697699</v>
      </c>
    </row>
    <row r="16" spans="1:7" x14ac:dyDescent="0.35">
      <c r="A16" s="13" t="s">
        <v>95</v>
      </c>
      <c r="B16" s="13" t="s">
        <v>61</v>
      </c>
      <c r="C16" s="1">
        <v>121593944.04000001</v>
      </c>
    </row>
    <row r="17" spans="1:5" x14ac:dyDescent="0.35">
      <c r="A17" s="13" t="s">
        <v>94</v>
      </c>
      <c r="B17" s="13" t="s">
        <v>62</v>
      </c>
      <c r="C17" s="1">
        <v>101628139.68000001</v>
      </c>
    </row>
    <row r="18" spans="1:5" x14ac:dyDescent="0.35">
      <c r="A18" s="13" t="s">
        <v>94</v>
      </c>
      <c r="B18" s="13" t="s">
        <v>61</v>
      </c>
      <c r="C18" s="1">
        <v>390817374.17000002</v>
      </c>
    </row>
    <row r="20" spans="1:5" x14ac:dyDescent="0.35">
      <c r="A20" t="s">
        <v>67</v>
      </c>
      <c r="B20" t="s">
        <v>59</v>
      </c>
      <c r="C20" t="s">
        <v>41</v>
      </c>
    </row>
    <row r="21" spans="1:5" x14ac:dyDescent="0.35">
      <c r="A21">
        <v>31</v>
      </c>
      <c r="B21" t="s">
        <v>97</v>
      </c>
      <c r="C21" s="1">
        <v>-25013303324.2435</v>
      </c>
      <c r="D21" s="1">
        <f>C21+C24</f>
        <v>-25114931463.9235</v>
      </c>
      <c r="E21" s="1"/>
    </row>
    <row r="22" spans="1:5" x14ac:dyDescent="0.35">
      <c r="A22">
        <v>31</v>
      </c>
      <c r="B22" t="s">
        <v>96</v>
      </c>
      <c r="C22" s="1">
        <v>-2051195031.43977</v>
      </c>
      <c r="D22" s="1">
        <f>C22+C25+C23</f>
        <v>-2563606349.6497698</v>
      </c>
      <c r="E22" s="1"/>
    </row>
    <row r="23" spans="1:5" x14ac:dyDescent="0.35">
      <c r="A23" s="8">
        <v>80</v>
      </c>
      <c r="B23" s="8" t="s">
        <v>96</v>
      </c>
      <c r="C23" s="12">
        <v>-121593944.04000001</v>
      </c>
      <c r="E23" s="1"/>
    </row>
    <row r="24" spans="1:5" x14ac:dyDescent="0.35">
      <c r="A24">
        <v>89</v>
      </c>
      <c r="B24" t="s">
        <v>97</v>
      </c>
      <c r="C24" s="1">
        <v>-101628139.68000001</v>
      </c>
    </row>
    <row r="25" spans="1:5" x14ac:dyDescent="0.35">
      <c r="A25">
        <v>89</v>
      </c>
      <c r="B25" t="s">
        <v>96</v>
      </c>
      <c r="C25" s="1">
        <v>-390817374.17000002</v>
      </c>
    </row>
    <row r="26" spans="1:5" x14ac:dyDescent="0.35">
      <c r="A26">
        <v>100</v>
      </c>
      <c r="B26" t="s">
        <v>97</v>
      </c>
      <c r="C26" s="1">
        <v>0.45</v>
      </c>
    </row>
    <row r="27" spans="1:5" x14ac:dyDescent="0.35">
      <c r="A27">
        <v>100</v>
      </c>
      <c r="B27" t="s">
        <v>96</v>
      </c>
      <c r="C27" s="1">
        <v>2.99</v>
      </c>
    </row>
  </sheetData>
  <autoFilter ref="A20:C27">
    <sortState ref="A24:C30">
      <sortCondition ref="A23:A30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tabSelected="1" topLeftCell="A67" workbookViewId="0">
      <selection activeCell="G83" sqref="G83"/>
    </sheetView>
  </sheetViews>
  <sheetFormatPr defaultRowHeight="14.5" x14ac:dyDescent="0.35"/>
  <cols>
    <col min="1" max="1" width="38.6328125" customWidth="1"/>
    <col min="2" max="2" width="62.08984375" customWidth="1"/>
    <col min="3" max="3" width="16.36328125" customWidth="1"/>
    <col min="4" max="4" width="16.36328125" bestFit="1" customWidth="1"/>
    <col min="5" max="5" width="54.90625" bestFit="1" customWidth="1"/>
    <col min="6" max="6" width="15.36328125" bestFit="1" customWidth="1"/>
    <col min="7" max="7" width="14.7265625" bestFit="1" customWidth="1"/>
    <col min="8" max="8" width="10.36328125" bestFit="1" customWidth="1"/>
  </cols>
  <sheetData>
    <row r="1" spans="1:4" x14ac:dyDescent="0.35">
      <c r="A1" s="7" t="s">
        <v>20</v>
      </c>
    </row>
    <row r="2" spans="1:4" x14ac:dyDescent="0.35">
      <c r="A2" s="19" t="s">
        <v>9</v>
      </c>
      <c r="B2" s="19" t="s">
        <v>8</v>
      </c>
      <c r="C2" s="20" t="s">
        <v>3</v>
      </c>
    </row>
    <row r="3" spans="1:4" x14ac:dyDescent="0.35">
      <c r="A3" s="16" t="s">
        <v>15</v>
      </c>
      <c r="B3" s="16" t="s">
        <v>12</v>
      </c>
      <c r="C3" s="17">
        <v>38156278421</v>
      </c>
      <c r="D3" s="1">
        <f>C3+C19</f>
        <v>-2.99835205078125E-3</v>
      </c>
    </row>
    <row r="4" spans="1:4" x14ac:dyDescent="0.35">
      <c r="A4" s="16" t="s">
        <v>15</v>
      </c>
      <c r="B4" t="s">
        <v>18</v>
      </c>
      <c r="C4" s="1">
        <v>2443482439</v>
      </c>
      <c r="D4" s="3">
        <f>C4+C16</f>
        <v>0</v>
      </c>
    </row>
    <row r="5" spans="1:4" x14ac:dyDescent="0.35">
      <c r="A5" s="16" t="s">
        <v>15</v>
      </c>
      <c r="B5" t="s">
        <v>45</v>
      </c>
      <c r="C5" s="1"/>
      <c r="D5" s="3"/>
    </row>
    <row r="6" spans="1:4" x14ac:dyDescent="0.35">
      <c r="A6" s="16" t="s">
        <v>15</v>
      </c>
      <c r="B6" t="s">
        <v>46</v>
      </c>
      <c r="C6" s="1">
        <v>2910886</v>
      </c>
      <c r="D6" s="4"/>
    </row>
    <row r="7" spans="1:4" x14ac:dyDescent="0.35">
      <c r="A7" s="16" t="s">
        <v>15</v>
      </c>
      <c r="B7" t="s">
        <v>42</v>
      </c>
      <c r="C7" s="1">
        <v>1837834733</v>
      </c>
      <c r="D7" s="3"/>
    </row>
    <row r="8" spans="1:4" x14ac:dyDescent="0.35">
      <c r="A8" s="16" t="s">
        <v>15</v>
      </c>
      <c r="B8" t="s">
        <v>43</v>
      </c>
      <c r="C8" s="1">
        <v>275539528</v>
      </c>
      <c r="D8" s="1"/>
    </row>
    <row r="9" spans="1:4" x14ac:dyDescent="0.35">
      <c r="A9" t="s">
        <v>13</v>
      </c>
      <c r="B9" t="s">
        <v>12</v>
      </c>
      <c r="C9" s="1">
        <v>11657916068</v>
      </c>
      <c r="D9" s="1">
        <f>C9+C21</f>
        <v>-3.4008026123046875E-3</v>
      </c>
    </row>
    <row r="10" spans="1:4" x14ac:dyDescent="0.35">
      <c r="A10" t="s">
        <v>13</v>
      </c>
      <c r="B10" t="s">
        <v>18</v>
      </c>
      <c r="C10" s="1">
        <v>1219111024</v>
      </c>
      <c r="D10" s="1">
        <f>C10+C23</f>
        <v>0</v>
      </c>
    </row>
    <row r="11" spans="1:4" x14ac:dyDescent="0.35">
      <c r="A11" t="s">
        <v>13</v>
      </c>
      <c r="B11" t="s">
        <v>45</v>
      </c>
      <c r="C11" s="1">
        <v>9957200</v>
      </c>
      <c r="D11" s="1">
        <f>C11+C22</f>
        <v>0</v>
      </c>
    </row>
    <row r="12" spans="1:4" x14ac:dyDescent="0.35">
      <c r="C12" s="1">
        <f>SUM(C3:C11)</f>
        <v>55603030299</v>
      </c>
    </row>
    <row r="13" spans="1:4" x14ac:dyDescent="0.35">
      <c r="A13" s="7" t="s">
        <v>21</v>
      </c>
    </row>
    <row r="14" spans="1:4" x14ac:dyDescent="0.35">
      <c r="A14" s="2" t="s">
        <v>16</v>
      </c>
      <c r="B14" s="2" t="s">
        <v>17</v>
      </c>
      <c r="C14" s="2" t="s">
        <v>3</v>
      </c>
    </row>
    <row r="15" spans="1:4" x14ac:dyDescent="0.35">
      <c r="A15" t="s">
        <v>15</v>
      </c>
      <c r="B15" t="s">
        <v>43</v>
      </c>
      <c r="C15" s="1">
        <v>-275539527.99112898</v>
      </c>
      <c r="D15" s="1"/>
    </row>
    <row r="16" spans="1:4" x14ac:dyDescent="0.35">
      <c r="A16" t="s">
        <v>15</v>
      </c>
      <c r="B16" t="s">
        <v>18</v>
      </c>
      <c r="C16" s="1">
        <v>-2443482439</v>
      </c>
      <c r="D16" s="1"/>
    </row>
    <row r="17" spans="1:7" x14ac:dyDescent="0.35">
      <c r="A17" t="s">
        <v>15</v>
      </c>
      <c r="B17" t="s">
        <v>42</v>
      </c>
      <c r="C17" s="1">
        <v>-1837834733</v>
      </c>
      <c r="D17" s="1"/>
    </row>
    <row r="18" spans="1:7" x14ac:dyDescent="0.35">
      <c r="A18" t="s">
        <v>15</v>
      </c>
      <c r="B18" t="s">
        <v>46</v>
      </c>
      <c r="C18" s="1">
        <v>-3631705.19</v>
      </c>
      <c r="D18" s="1"/>
    </row>
    <row r="19" spans="1:7" x14ac:dyDescent="0.35">
      <c r="A19" t="s">
        <v>15</v>
      </c>
      <c r="B19" t="s">
        <v>12</v>
      </c>
      <c r="C19" s="1">
        <v>-38156278421.002998</v>
      </c>
      <c r="D19" s="1"/>
    </row>
    <row r="20" spans="1:7" x14ac:dyDescent="0.35">
      <c r="A20" t="s">
        <v>13</v>
      </c>
      <c r="B20" t="s">
        <v>44</v>
      </c>
      <c r="C20" s="1">
        <v>1.93</v>
      </c>
      <c r="D20" s="1"/>
    </row>
    <row r="21" spans="1:7" x14ac:dyDescent="0.35">
      <c r="A21" t="s">
        <v>13</v>
      </c>
      <c r="B21" t="s">
        <v>12</v>
      </c>
      <c r="C21" s="1">
        <v>-11657916068.003401</v>
      </c>
      <c r="D21" s="1"/>
    </row>
    <row r="22" spans="1:7" x14ac:dyDescent="0.35">
      <c r="A22" t="s">
        <v>13</v>
      </c>
      <c r="B22" t="s">
        <v>45</v>
      </c>
      <c r="C22" s="1">
        <v>-9957200</v>
      </c>
    </row>
    <row r="23" spans="1:7" x14ac:dyDescent="0.35">
      <c r="A23" t="s">
        <v>13</v>
      </c>
      <c r="B23" t="s">
        <v>18</v>
      </c>
      <c r="C23" s="1">
        <v>-1219111024</v>
      </c>
      <c r="D23" s="1"/>
    </row>
    <row r="24" spans="1:7" x14ac:dyDescent="0.35">
      <c r="C24" s="1">
        <f>SUM(C15:C23)</f>
        <v>-55603751116.25753</v>
      </c>
      <c r="D24" s="12">
        <f>C24+C12</f>
        <v>-720817.2575302124</v>
      </c>
    </row>
    <row r="26" spans="1:7" x14ac:dyDescent="0.35">
      <c r="A26" t="s">
        <v>47</v>
      </c>
      <c r="B26" t="s">
        <v>17</v>
      </c>
      <c r="C26" t="s">
        <v>25</v>
      </c>
      <c r="D26" t="s">
        <v>56</v>
      </c>
      <c r="E26" t="s">
        <v>49</v>
      </c>
    </row>
    <row r="27" spans="1:7" x14ac:dyDescent="0.35">
      <c r="A27" t="s">
        <v>48</v>
      </c>
      <c r="B27" t="s">
        <v>15</v>
      </c>
      <c r="C27" t="s">
        <v>28</v>
      </c>
      <c r="D27" s="14">
        <v>5.75</v>
      </c>
    </row>
    <row r="28" spans="1:7" x14ac:dyDescent="0.35">
      <c r="A28" t="s">
        <v>48</v>
      </c>
      <c r="B28" t="s">
        <v>15</v>
      </c>
      <c r="C28" t="s">
        <v>29</v>
      </c>
      <c r="D28" s="14">
        <v>4793814.1471650004</v>
      </c>
    </row>
    <row r="29" spans="1:7" x14ac:dyDescent="0.35">
      <c r="A29" t="s">
        <v>48</v>
      </c>
      <c r="B29" t="s">
        <v>15</v>
      </c>
      <c r="C29" t="s">
        <v>26</v>
      </c>
      <c r="D29" s="12">
        <v>-29241096.537064001</v>
      </c>
      <c r="E29" s="1">
        <v>29281466</v>
      </c>
      <c r="F29" s="1">
        <f>D29+E29</f>
        <v>40369.462935999036</v>
      </c>
      <c r="G29" t="s">
        <v>50</v>
      </c>
    </row>
    <row r="30" spans="1:7" x14ac:dyDescent="0.35">
      <c r="A30" t="s">
        <v>48</v>
      </c>
      <c r="B30" t="s">
        <v>15</v>
      </c>
      <c r="C30" t="s">
        <v>24</v>
      </c>
      <c r="D30" s="14">
        <v>17358801.73</v>
      </c>
    </row>
    <row r="31" spans="1:7" x14ac:dyDescent="0.35">
      <c r="A31" t="s">
        <v>48</v>
      </c>
      <c r="B31" t="s">
        <v>15</v>
      </c>
      <c r="C31" t="s">
        <v>23</v>
      </c>
      <c r="D31" s="12">
        <v>-9511703785.2496204</v>
      </c>
      <c r="E31" s="1">
        <v>9510942595</v>
      </c>
      <c r="F31" s="1">
        <f>D31+E31</f>
        <v>-761190.24962043762</v>
      </c>
    </row>
    <row r="32" spans="1:7" x14ac:dyDescent="0.35">
      <c r="F32" s="1">
        <f>F31-F29</f>
        <v>-801559.71255643666</v>
      </c>
    </row>
    <row r="35" spans="1:4" x14ac:dyDescent="0.35">
      <c r="A35" t="s">
        <v>47</v>
      </c>
      <c r="B35" t="s">
        <v>17</v>
      </c>
      <c r="C35" t="s">
        <v>25</v>
      </c>
      <c r="D35" t="s">
        <v>3</v>
      </c>
    </row>
    <row r="36" spans="1:4" x14ac:dyDescent="0.35">
      <c r="A36" t="s">
        <v>51</v>
      </c>
      <c r="B36" t="s">
        <v>15</v>
      </c>
      <c r="C36" t="s">
        <v>24</v>
      </c>
      <c r="D36" s="14">
        <v>758469.01</v>
      </c>
    </row>
    <row r="37" spans="1:4" x14ac:dyDescent="0.35">
      <c r="A37" t="s">
        <v>52</v>
      </c>
      <c r="B37" t="s">
        <v>15</v>
      </c>
      <c r="C37" t="s">
        <v>28</v>
      </c>
      <c r="D37" s="14">
        <v>-0.31</v>
      </c>
    </row>
    <row r="38" spans="1:4" x14ac:dyDescent="0.35">
      <c r="A38" s="15" t="s">
        <v>52</v>
      </c>
      <c r="B38" s="15" t="s">
        <v>15</v>
      </c>
      <c r="C38" s="15" t="s">
        <v>29</v>
      </c>
      <c r="D38" s="14">
        <v>1412155.29</v>
      </c>
    </row>
    <row r="39" spans="1:4" x14ac:dyDescent="0.35">
      <c r="A39" t="s">
        <v>53</v>
      </c>
      <c r="B39" t="s">
        <v>13</v>
      </c>
      <c r="C39" t="s">
        <v>23</v>
      </c>
      <c r="D39" s="14">
        <v>-9036140282</v>
      </c>
    </row>
    <row r="40" spans="1:4" x14ac:dyDescent="0.35">
      <c r="A40" t="s">
        <v>48</v>
      </c>
      <c r="B40" t="s">
        <v>15</v>
      </c>
      <c r="C40" t="s">
        <v>28</v>
      </c>
      <c r="D40" s="14">
        <v>5.75</v>
      </c>
    </row>
    <row r="41" spans="1:4" x14ac:dyDescent="0.35">
      <c r="A41" t="s">
        <v>48</v>
      </c>
      <c r="B41" t="s">
        <v>15</v>
      </c>
      <c r="C41" t="s">
        <v>29</v>
      </c>
      <c r="D41" s="14">
        <v>4793814.1471650004</v>
      </c>
    </row>
    <row r="42" spans="1:4" x14ac:dyDescent="0.35">
      <c r="A42" t="s">
        <v>53</v>
      </c>
      <c r="B42" t="s">
        <v>13</v>
      </c>
      <c r="C42" t="s">
        <v>24</v>
      </c>
      <c r="D42" s="14">
        <v>11906723.68</v>
      </c>
    </row>
    <row r="43" spans="1:4" x14ac:dyDescent="0.35">
      <c r="A43" s="15" t="s">
        <v>51</v>
      </c>
      <c r="B43" s="15" t="s">
        <v>15</v>
      </c>
      <c r="C43" s="15" t="s">
        <v>29</v>
      </c>
      <c r="D43" s="14">
        <v>858.56</v>
      </c>
    </row>
    <row r="44" spans="1:4" x14ac:dyDescent="0.35">
      <c r="A44" t="s">
        <v>51</v>
      </c>
      <c r="B44" t="s">
        <v>15</v>
      </c>
      <c r="C44" t="s">
        <v>23</v>
      </c>
      <c r="D44" s="14">
        <v>-706432966.60581696</v>
      </c>
    </row>
    <row r="45" spans="1:4" x14ac:dyDescent="0.35">
      <c r="A45" t="s">
        <v>51</v>
      </c>
      <c r="B45" t="s">
        <v>15</v>
      </c>
      <c r="C45" t="s">
        <v>28</v>
      </c>
      <c r="D45" s="14">
        <v>-0.7</v>
      </c>
    </row>
    <row r="46" spans="1:4" x14ac:dyDescent="0.35">
      <c r="A46" t="s">
        <v>53</v>
      </c>
      <c r="B46" t="s">
        <v>13</v>
      </c>
      <c r="C46" t="s">
        <v>27</v>
      </c>
      <c r="D46" s="14">
        <v>-18152977.079999998</v>
      </c>
    </row>
    <row r="47" spans="1:4" x14ac:dyDescent="0.35">
      <c r="A47" t="s">
        <v>54</v>
      </c>
      <c r="B47" t="s">
        <v>15</v>
      </c>
      <c r="C47" t="s">
        <v>24</v>
      </c>
      <c r="D47" s="14">
        <v>-660203.37</v>
      </c>
    </row>
    <row r="48" spans="1:4" x14ac:dyDescent="0.35">
      <c r="A48" t="s">
        <v>54</v>
      </c>
      <c r="B48" t="s">
        <v>15</v>
      </c>
      <c r="C48" t="s">
        <v>26</v>
      </c>
      <c r="D48" s="14">
        <v>-72539213.004288003</v>
      </c>
    </row>
    <row r="49" spans="1:4" x14ac:dyDescent="0.35">
      <c r="A49" t="s">
        <v>53</v>
      </c>
      <c r="B49" t="s">
        <v>15</v>
      </c>
      <c r="C49" t="s">
        <v>23</v>
      </c>
      <c r="D49" s="14">
        <v>-3335531548.0900002</v>
      </c>
    </row>
    <row r="50" spans="1:4" x14ac:dyDescent="0.35">
      <c r="A50" t="s">
        <v>55</v>
      </c>
      <c r="B50" t="s">
        <v>15</v>
      </c>
      <c r="C50" t="s">
        <v>26</v>
      </c>
      <c r="D50" s="14">
        <v>-54333.34</v>
      </c>
    </row>
    <row r="51" spans="1:4" x14ac:dyDescent="0.35">
      <c r="A51" t="s">
        <v>51</v>
      </c>
      <c r="B51" t="s">
        <v>15</v>
      </c>
      <c r="C51" t="s">
        <v>26</v>
      </c>
      <c r="D51" s="14">
        <v>-2830762.89</v>
      </c>
    </row>
    <row r="52" spans="1:4" x14ac:dyDescent="0.35">
      <c r="A52" t="s">
        <v>53</v>
      </c>
      <c r="B52" t="s">
        <v>13</v>
      </c>
      <c r="C52" t="s">
        <v>26</v>
      </c>
      <c r="D52" s="14">
        <v>-133872381.68000001</v>
      </c>
    </row>
    <row r="53" spans="1:4" x14ac:dyDescent="0.35">
      <c r="A53" t="s">
        <v>48</v>
      </c>
      <c r="B53" t="s">
        <v>15</v>
      </c>
      <c r="C53" t="s">
        <v>26</v>
      </c>
      <c r="D53" s="1">
        <v>-29241096.537064001</v>
      </c>
    </row>
    <row r="54" spans="1:4" x14ac:dyDescent="0.35">
      <c r="A54" t="s">
        <v>48</v>
      </c>
      <c r="B54" t="s">
        <v>13</v>
      </c>
      <c r="C54" t="s">
        <v>28</v>
      </c>
      <c r="D54" s="14">
        <v>1.39</v>
      </c>
    </row>
    <row r="55" spans="1:4" x14ac:dyDescent="0.35">
      <c r="A55" t="s">
        <v>48</v>
      </c>
      <c r="B55" t="s">
        <v>13</v>
      </c>
      <c r="C55" t="s">
        <v>24</v>
      </c>
      <c r="D55" s="14">
        <v>3706970.65</v>
      </c>
    </row>
    <row r="56" spans="1:4" x14ac:dyDescent="0.35">
      <c r="A56" t="s">
        <v>52</v>
      </c>
      <c r="B56" t="s">
        <v>15</v>
      </c>
      <c r="C56" t="s">
        <v>26</v>
      </c>
      <c r="D56" s="14">
        <v>-125345.55</v>
      </c>
    </row>
    <row r="57" spans="1:4" x14ac:dyDescent="0.35">
      <c r="A57" t="s">
        <v>52</v>
      </c>
      <c r="B57" t="s">
        <v>15</v>
      </c>
      <c r="C57" t="s">
        <v>23</v>
      </c>
      <c r="D57" s="14">
        <v>-496624925.06693399</v>
      </c>
    </row>
    <row r="58" spans="1:4" x14ac:dyDescent="0.35">
      <c r="A58" t="s">
        <v>53</v>
      </c>
      <c r="B58" t="s">
        <v>15</v>
      </c>
      <c r="C58" t="s">
        <v>27</v>
      </c>
      <c r="D58" s="14">
        <v>-51847150.780000001</v>
      </c>
    </row>
    <row r="59" spans="1:4" x14ac:dyDescent="0.35">
      <c r="A59" t="s">
        <v>54</v>
      </c>
      <c r="B59" t="s">
        <v>15</v>
      </c>
      <c r="C59" t="s">
        <v>29</v>
      </c>
      <c r="D59" s="14">
        <v>125172.04</v>
      </c>
    </row>
    <row r="60" spans="1:4" x14ac:dyDescent="0.35">
      <c r="A60" t="s">
        <v>54</v>
      </c>
      <c r="B60" t="s">
        <v>15</v>
      </c>
      <c r="C60" t="s">
        <v>23</v>
      </c>
      <c r="D60" s="14">
        <v>-26602417077.757599</v>
      </c>
    </row>
    <row r="61" spans="1:4" x14ac:dyDescent="0.35">
      <c r="A61" t="s">
        <v>53</v>
      </c>
      <c r="B61" t="s">
        <v>15</v>
      </c>
      <c r="C61" t="s">
        <v>24</v>
      </c>
      <c r="D61" s="14">
        <v>-23543036.84</v>
      </c>
    </row>
    <row r="62" spans="1:4" x14ac:dyDescent="0.35">
      <c r="A62" t="s">
        <v>48</v>
      </c>
      <c r="B62" t="s">
        <v>15</v>
      </c>
      <c r="C62" t="s">
        <v>24</v>
      </c>
      <c r="D62" s="14">
        <v>17358801.73</v>
      </c>
    </row>
    <row r="63" spans="1:4" x14ac:dyDescent="0.35">
      <c r="A63" t="s">
        <v>53</v>
      </c>
      <c r="B63" t="s">
        <v>15</v>
      </c>
      <c r="C63" t="s">
        <v>26</v>
      </c>
      <c r="D63" s="14">
        <v>-69901187.730000004</v>
      </c>
    </row>
    <row r="64" spans="1:4" x14ac:dyDescent="0.35">
      <c r="A64" t="s">
        <v>51</v>
      </c>
      <c r="B64" t="s">
        <v>13</v>
      </c>
      <c r="C64" t="s">
        <v>23</v>
      </c>
      <c r="D64" s="14">
        <v>-679374555.81133997</v>
      </c>
    </row>
    <row r="65" spans="1:8" x14ac:dyDescent="0.35">
      <c r="A65" t="s">
        <v>48</v>
      </c>
      <c r="B65" t="s">
        <v>13</v>
      </c>
      <c r="C65" t="s">
        <v>29</v>
      </c>
      <c r="D65" s="14">
        <v>1585508.71</v>
      </c>
    </row>
    <row r="66" spans="1:8" x14ac:dyDescent="0.35">
      <c r="A66" t="s">
        <v>48</v>
      </c>
      <c r="B66" t="s">
        <v>15</v>
      </c>
      <c r="C66" t="s">
        <v>23</v>
      </c>
      <c r="D66" s="1">
        <v>-9511703785.2496204</v>
      </c>
    </row>
    <row r="67" spans="1:8" x14ac:dyDescent="0.35">
      <c r="A67" t="s">
        <v>48</v>
      </c>
      <c r="B67" t="s">
        <v>13</v>
      </c>
      <c r="C67" t="s">
        <v>26</v>
      </c>
      <c r="D67" s="14">
        <v>-13819520.931679999</v>
      </c>
    </row>
    <row r="68" spans="1:8" x14ac:dyDescent="0.35">
      <c r="A68" s="15" t="s">
        <v>53</v>
      </c>
      <c r="B68" s="15" t="s">
        <v>15</v>
      </c>
      <c r="C68" s="15" t="s">
        <v>29</v>
      </c>
      <c r="D68" s="14">
        <v>16930.84</v>
      </c>
    </row>
    <row r="69" spans="1:8" x14ac:dyDescent="0.35">
      <c r="A69" t="s">
        <v>51</v>
      </c>
      <c r="B69" t="s">
        <v>13</v>
      </c>
      <c r="C69" t="s">
        <v>27</v>
      </c>
      <c r="D69" s="14">
        <v>1.94</v>
      </c>
    </row>
    <row r="70" spans="1:8" x14ac:dyDescent="0.35">
      <c r="A70" t="s">
        <v>51</v>
      </c>
      <c r="B70" t="s">
        <v>13</v>
      </c>
      <c r="C70" t="s">
        <v>24</v>
      </c>
      <c r="D70" s="14">
        <v>-1514274.37</v>
      </c>
    </row>
    <row r="71" spans="1:8" x14ac:dyDescent="0.35">
      <c r="A71" t="s">
        <v>55</v>
      </c>
      <c r="B71" t="s">
        <v>15</v>
      </c>
      <c r="C71" t="s">
        <v>23</v>
      </c>
      <c r="D71" s="14">
        <v>-1837780399.73</v>
      </c>
    </row>
    <row r="72" spans="1:8" x14ac:dyDescent="0.35">
      <c r="A72" t="s">
        <v>48</v>
      </c>
      <c r="B72" t="s">
        <v>13</v>
      </c>
      <c r="C72" t="s">
        <v>23</v>
      </c>
      <c r="D72" s="14">
        <v>-3015414517.4604998</v>
      </c>
    </row>
    <row r="73" spans="1:8" x14ac:dyDescent="0.35">
      <c r="A73" t="s">
        <v>51</v>
      </c>
      <c r="B73" t="s">
        <v>13</v>
      </c>
      <c r="C73" t="s">
        <v>26</v>
      </c>
      <c r="D73" s="14">
        <v>-5894987.1099720001</v>
      </c>
    </row>
    <row r="75" spans="1:8" x14ac:dyDescent="0.35">
      <c r="A75" t="s">
        <v>4</v>
      </c>
      <c r="B75" t="s">
        <v>47</v>
      </c>
      <c r="C75" t="s">
        <v>17</v>
      </c>
      <c r="D75" t="s">
        <v>25</v>
      </c>
      <c r="E75" t="s">
        <v>31</v>
      </c>
      <c r="F75" t="s">
        <v>56</v>
      </c>
      <c r="G75" t="s">
        <v>49</v>
      </c>
    </row>
    <row r="76" spans="1:8" x14ac:dyDescent="0.35">
      <c r="A76" t="s">
        <v>6</v>
      </c>
      <c r="B76" t="s">
        <v>48</v>
      </c>
      <c r="C76" t="s">
        <v>15</v>
      </c>
      <c r="D76" t="s">
        <v>23</v>
      </c>
      <c r="E76" t="s">
        <v>35</v>
      </c>
      <c r="F76" s="14">
        <v>-430199806.69999999</v>
      </c>
    </row>
    <row r="77" spans="1:8" x14ac:dyDescent="0.35">
      <c r="A77" t="s">
        <v>6</v>
      </c>
      <c r="B77" t="s">
        <v>48</v>
      </c>
      <c r="C77" t="s">
        <v>15</v>
      </c>
      <c r="D77" t="s">
        <v>23</v>
      </c>
      <c r="E77" t="s">
        <v>32</v>
      </c>
      <c r="F77" s="1">
        <v>-5602050981.6099997</v>
      </c>
      <c r="G77" s="1">
        <v>5602010613</v>
      </c>
      <c r="H77" s="1">
        <f>F77+G77</f>
        <v>-40368.609999656677</v>
      </c>
    </row>
    <row r="78" spans="1:8" x14ac:dyDescent="0.35">
      <c r="A78" t="s">
        <v>6</v>
      </c>
      <c r="B78" t="s">
        <v>48</v>
      </c>
      <c r="C78" t="s">
        <v>15</v>
      </c>
      <c r="D78" t="s">
        <v>23</v>
      </c>
      <c r="E78" t="s">
        <v>39</v>
      </c>
      <c r="F78" s="14">
        <v>-166457356.61608499</v>
      </c>
    </row>
    <row r="79" spans="1:8" x14ac:dyDescent="0.35">
      <c r="A79" t="s">
        <v>6</v>
      </c>
      <c r="B79" t="s">
        <v>48</v>
      </c>
      <c r="C79" t="s">
        <v>15</v>
      </c>
      <c r="D79" t="s">
        <v>23</v>
      </c>
      <c r="E79" t="s">
        <v>34</v>
      </c>
      <c r="F79" s="14">
        <v>-1731256697.99825</v>
      </c>
    </row>
    <row r="80" spans="1:8" x14ac:dyDescent="0.35">
      <c r="A80" t="s">
        <v>6</v>
      </c>
      <c r="B80" t="s">
        <v>48</v>
      </c>
      <c r="C80" t="s">
        <v>15</v>
      </c>
      <c r="D80" t="s">
        <v>23</v>
      </c>
      <c r="E80" t="s">
        <v>33</v>
      </c>
      <c r="F80" s="14">
        <v>-39402637.530000001</v>
      </c>
    </row>
    <row r="81" spans="1:8" x14ac:dyDescent="0.35">
      <c r="A81" t="s">
        <v>6</v>
      </c>
      <c r="B81" t="s">
        <v>48</v>
      </c>
      <c r="C81" t="s">
        <v>15</v>
      </c>
      <c r="D81" t="s">
        <v>23</v>
      </c>
      <c r="E81" t="s">
        <v>38</v>
      </c>
      <c r="F81" s="14">
        <v>-1046971554.94528</v>
      </c>
    </row>
    <row r="82" spans="1:8" x14ac:dyDescent="0.35">
      <c r="A82" t="s">
        <v>6</v>
      </c>
      <c r="B82" t="s">
        <v>48</v>
      </c>
      <c r="C82" t="s">
        <v>15</v>
      </c>
      <c r="D82" t="s">
        <v>23</v>
      </c>
      <c r="E82" t="s">
        <v>36</v>
      </c>
      <c r="F82" s="14">
        <v>-488522980.72000003</v>
      </c>
    </row>
    <row r="83" spans="1:8" x14ac:dyDescent="0.35">
      <c r="A83" s="8" t="s">
        <v>6</v>
      </c>
      <c r="B83" s="8" t="s">
        <v>48</v>
      </c>
      <c r="C83" s="8" t="s">
        <v>15</v>
      </c>
      <c r="D83" s="8" t="s">
        <v>23</v>
      </c>
      <c r="E83" s="8" t="s">
        <v>37</v>
      </c>
      <c r="F83" s="12">
        <v>-6841769.1299999999</v>
      </c>
      <c r="G83" s="12">
        <v>6120948</v>
      </c>
      <c r="H83" s="12">
        <f>F83+G83</f>
        <v>-720821.12999999989</v>
      </c>
    </row>
    <row r="85" spans="1:8" x14ac:dyDescent="0.35">
      <c r="A85" t="s">
        <v>57</v>
      </c>
    </row>
    <row r="86" spans="1:8" x14ac:dyDescent="0.35">
      <c r="A86" t="s">
        <v>40</v>
      </c>
      <c r="B86" t="s">
        <v>58</v>
      </c>
      <c r="C86" t="s">
        <v>41</v>
      </c>
    </row>
    <row r="87" spans="1:8" x14ac:dyDescent="0.35">
      <c r="A87" s="13">
        <v>1919131480</v>
      </c>
      <c r="B87" s="13">
        <v>191913188</v>
      </c>
      <c r="C87" s="1">
        <v>-3631705.19</v>
      </c>
      <c r="D87" s="1"/>
    </row>
    <row r="88" spans="1:8" x14ac:dyDescent="0.35">
      <c r="A88" s="13">
        <v>153104890</v>
      </c>
      <c r="B88" s="13">
        <v>15310880</v>
      </c>
      <c r="C88" s="1">
        <v>-2650302.29</v>
      </c>
      <c r="D88" s="1"/>
    </row>
    <row r="89" spans="1:8" x14ac:dyDescent="0.35">
      <c r="A89" s="13">
        <v>153304890</v>
      </c>
      <c r="B89" s="13">
        <v>15330880</v>
      </c>
      <c r="C89" s="1">
        <v>-441006.43</v>
      </c>
      <c r="D89" s="1"/>
    </row>
    <row r="90" spans="1:8" x14ac:dyDescent="0.35">
      <c r="A90" s="13">
        <v>92014109</v>
      </c>
      <c r="B90" s="13">
        <v>9201810</v>
      </c>
      <c r="C90" s="1">
        <v>-217805.46</v>
      </c>
      <c r="D90" s="1"/>
    </row>
    <row r="91" spans="1:8" x14ac:dyDescent="0.35">
      <c r="A91" s="13">
        <v>1531048396</v>
      </c>
      <c r="B91" s="13">
        <v>1531088969</v>
      </c>
      <c r="C91" s="1">
        <v>-92550</v>
      </c>
      <c r="D91" s="1"/>
    </row>
    <row r="92" spans="1:8" x14ac:dyDescent="0.35">
      <c r="A92" s="13">
        <v>1531048993</v>
      </c>
      <c r="B92" s="13">
        <v>1531088969</v>
      </c>
      <c r="C92" s="1">
        <v>-19514</v>
      </c>
      <c r="D92" s="1"/>
    </row>
    <row r="93" spans="1:8" x14ac:dyDescent="0.35">
      <c r="A93" s="13">
        <v>1531048993</v>
      </c>
      <c r="B93" s="13">
        <v>1531088939</v>
      </c>
      <c r="C93" s="1">
        <v>-6691.22</v>
      </c>
      <c r="D93" s="1"/>
    </row>
    <row r="94" spans="1:8" x14ac:dyDescent="0.35">
      <c r="A94" s="13">
        <v>2892014109</v>
      </c>
      <c r="B94" s="13">
        <v>289201810</v>
      </c>
      <c r="C94" s="1">
        <v>965.37</v>
      </c>
      <c r="D94" s="1"/>
    </row>
    <row r="95" spans="1:8" x14ac:dyDescent="0.35">
      <c r="A95" s="13">
        <v>153114899</v>
      </c>
      <c r="B95" s="13">
        <v>15311880</v>
      </c>
      <c r="C95" s="1">
        <v>12597</v>
      </c>
      <c r="D95" s="1"/>
    </row>
    <row r="96" spans="1:8" x14ac:dyDescent="0.35">
      <c r="A96" s="13">
        <v>153311489</v>
      </c>
      <c r="B96" s="13">
        <v>15331880</v>
      </c>
      <c r="C96" s="1">
        <v>212111.04</v>
      </c>
      <c r="D96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52B7A5-E8E5-47F9-B2AC-D77764EB3F5C}"/>
</file>

<file path=customXml/itemProps2.xml><?xml version="1.0" encoding="utf-8"?>
<ds:datastoreItem xmlns:ds="http://schemas.openxmlformats.org/officeDocument/2006/customXml" ds:itemID="{823051B0-12E8-47AD-B2F2-5F9594309D62}"/>
</file>

<file path=customXml/itemProps3.xml><?xml version="1.0" encoding="utf-8"?>
<ds:datastoreItem xmlns:ds="http://schemas.openxmlformats.org/officeDocument/2006/customXml" ds:itemID="{14AEA740-5097-45C2-8F44-35099192E4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jun25</vt:lpstr>
      <vt:lpstr>Concilicao - temp1</vt:lpstr>
      <vt:lpstr>Concilicao - temp2</vt:lpstr>
      <vt:lpstr>Conciliacao_temp10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dcterms:created xsi:type="dcterms:W3CDTF">2025-06-22T03:15:38Z</dcterms:created>
  <dcterms:modified xsi:type="dcterms:W3CDTF">2025-07-28T23:43:30Z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2025-07-25T00:25:30Z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2b0d68e5-00ab-4d56-bb6f-edf1f458014b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