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9200" windowHeight="6180"/>
  </bookViews>
  <sheets>
    <sheet name="Comparativos granulares" sheetId="14" r:id="rId1"/>
    <sheet name="Variação Absoluta" sheetId="1" r:id="rId2"/>
    <sheet name="Variação Percentual (pp)" sheetId="12" r:id="rId3"/>
    <sheet name="Input &gt;&gt;" sheetId="13" r:id="rId4"/>
    <sheet name="Paralelo" sheetId="5" r:id="rId5"/>
    <sheet name="Dez24" sheetId="6" r:id="rId6"/>
  </sheets>
  <definedNames>
    <definedName name="_xlnm._FilterDatabase" localSheetId="0" hidden="1">'Comparativos granulares'!$B$8:$E$9</definedName>
    <definedName name="_xlnm._FilterDatabase" localSheetId="2" hidden="1">'Variação Percentual (pp)'!$AR$9:$CB$9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2" l="1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10" i="12"/>
  <c r="P60" i="12" l="1"/>
  <c r="P58" i="12"/>
  <c r="P62" i="12"/>
  <c r="N61" i="12"/>
  <c r="N63" i="12"/>
  <c r="N62" i="12"/>
  <c r="N58" i="12"/>
  <c r="R10" i="12"/>
  <c r="T10" i="12"/>
  <c r="W10" i="12"/>
  <c r="Y10" i="12"/>
  <c r="AB10" i="12"/>
  <c r="AD10" i="12"/>
  <c r="AG10" i="12"/>
  <c r="AI10" i="12"/>
  <c r="AL10" i="12"/>
  <c r="AN10" i="12"/>
  <c r="R11" i="12"/>
  <c r="T11" i="12"/>
  <c r="W11" i="12"/>
  <c r="Y11" i="12"/>
  <c r="AB11" i="12"/>
  <c r="AD11" i="12"/>
  <c r="AG11" i="12"/>
  <c r="AI11" i="12"/>
  <c r="AL11" i="12"/>
  <c r="AN11" i="12"/>
  <c r="R12" i="12"/>
  <c r="T12" i="12"/>
  <c r="W12" i="12"/>
  <c r="Y12" i="12"/>
  <c r="AB12" i="12"/>
  <c r="AD12" i="12"/>
  <c r="AG12" i="12"/>
  <c r="AI12" i="12"/>
  <c r="AL12" i="12"/>
  <c r="AN12" i="12"/>
  <c r="R13" i="12"/>
  <c r="T13" i="12"/>
  <c r="W13" i="12"/>
  <c r="Y13" i="12"/>
  <c r="AB13" i="12"/>
  <c r="AD13" i="12"/>
  <c r="AG13" i="12"/>
  <c r="AI13" i="12"/>
  <c r="AL13" i="12"/>
  <c r="AN13" i="12"/>
  <c r="R14" i="12"/>
  <c r="T14" i="12"/>
  <c r="W14" i="12"/>
  <c r="Y14" i="12"/>
  <c r="AB14" i="12"/>
  <c r="AD14" i="12"/>
  <c r="AG14" i="12"/>
  <c r="AI14" i="12"/>
  <c r="AL14" i="12"/>
  <c r="AN14" i="12"/>
  <c r="R15" i="12"/>
  <c r="T15" i="12"/>
  <c r="W15" i="12"/>
  <c r="Y15" i="12"/>
  <c r="AB15" i="12"/>
  <c r="AD15" i="12"/>
  <c r="AG15" i="12"/>
  <c r="AI15" i="12"/>
  <c r="AL15" i="12"/>
  <c r="AN15" i="12"/>
  <c r="R16" i="12"/>
  <c r="T16" i="12"/>
  <c r="W16" i="12"/>
  <c r="Y16" i="12"/>
  <c r="AB16" i="12"/>
  <c r="AD16" i="12"/>
  <c r="AG16" i="12"/>
  <c r="AI16" i="12"/>
  <c r="AL16" i="12"/>
  <c r="AN16" i="12"/>
  <c r="R17" i="12"/>
  <c r="T17" i="12"/>
  <c r="W17" i="12"/>
  <c r="Y17" i="12"/>
  <c r="AB17" i="12"/>
  <c r="AD17" i="12"/>
  <c r="AG17" i="12"/>
  <c r="AI17" i="12"/>
  <c r="AL17" i="12"/>
  <c r="AN17" i="12"/>
  <c r="R18" i="12"/>
  <c r="T18" i="12"/>
  <c r="W18" i="12"/>
  <c r="Y18" i="12"/>
  <c r="AB18" i="12"/>
  <c r="AD18" i="12"/>
  <c r="AG18" i="12"/>
  <c r="AI18" i="12"/>
  <c r="AL18" i="12"/>
  <c r="AN18" i="12"/>
  <c r="R19" i="12"/>
  <c r="T19" i="12"/>
  <c r="W19" i="12"/>
  <c r="Y19" i="12"/>
  <c r="AB19" i="12"/>
  <c r="AD19" i="12"/>
  <c r="AG19" i="12"/>
  <c r="AI19" i="12"/>
  <c r="AL19" i="12"/>
  <c r="AN19" i="12"/>
  <c r="R20" i="12"/>
  <c r="T20" i="12"/>
  <c r="W20" i="12"/>
  <c r="Y20" i="12"/>
  <c r="AB20" i="12"/>
  <c r="AD20" i="12"/>
  <c r="AG20" i="12"/>
  <c r="AI20" i="12"/>
  <c r="AL20" i="12"/>
  <c r="AN20" i="12"/>
  <c r="R21" i="12"/>
  <c r="T21" i="12"/>
  <c r="W21" i="12"/>
  <c r="Y21" i="12"/>
  <c r="AB21" i="12"/>
  <c r="AD21" i="12"/>
  <c r="AG21" i="12"/>
  <c r="AI21" i="12"/>
  <c r="AL21" i="12"/>
  <c r="AN21" i="12"/>
  <c r="R22" i="12"/>
  <c r="T22" i="12"/>
  <c r="W22" i="12"/>
  <c r="Y22" i="12"/>
  <c r="AB22" i="12"/>
  <c r="AD22" i="12"/>
  <c r="AG22" i="12"/>
  <c r="AI22" i="12"/>
  <c r="AL22" i="12"/>
  <c r="AN22" i="12"/>
  <c r="R23" i="12"/>
  <c r="T23" i="12"/>
  <c r="W23" i="12"/>
  <c r="Y23" i="12"/>
  <c r="AB23" i="12"/>
  <c r="AD23" i="12"/>
  <c r="AG23" i="12"/>
  <c r="AI23" i="12"/>
  <c r="AL23" i="12"/>
  <c r="AN23" i="12"/>
  <c r="R24" i="12"/>
  <c r="T24" i="12"/>
  <c r="W24" i="12"/>
  <c r="Y24" i="12"/>
  <c r="AB24" i="12"/>
  <c r="AD24" i="12"/>
  <c r="AG24" i="12"/>
  <c r="AI24" i="12"/>
  <c r="AL24" i="12"/>
  <c r="AN24" i="12"/>
  <c r="R25" i="12"/>
  <c r="T25" i="12"/>
  <c r="W25" i="12"/>
  <c r="Y25" i="12"/>
  <c r="AB25" i="12"/>
  <c r="AD25" i="12"/>
  <c r="AG25" i="12"/>
  <c r="AI25" i="12"/>
  <c r="AL25" i="12"/>
  <c r="AN25" i="12"/>
  <c r="R26" i="12"/>
  <c r="T26" i="12"/>
  <c r="W26" i="12"/>
  <c r="Y26" i="12"/>
  <c r="AB26" i="12"/>
  <c r="AD26" i="12"/>
  <c r="AG26" i="12"/>
  <c r="AI26" i="12"/>
  <c r="AL26" i="12"/>
  <c r="AN26" i="12"/>
  <c r="R27" i="12"/>
  <c r="T27" i="12"/>
  <c r="W27" i="12"/>
  <c r="Y27" i="12"/>
  <c r="AB27" i="12"/>
  <c r="AD27" i="12"/>
  <c r="AG27" i="12"/>
  <c r="AI27" i="12"/>
  <c r="AL27" i="12"/>
  <c r="AN27" i="12"/>
  <c r="R28" i="12"/>
  <c r="T28" i="12"/>
  <c r="W28" i="12"/>
  <c r="Y28" i="12"/>
  <c r="AB28" i="12"/>
  <c r="AD28" i="12"/>
  <c r="AG28" i="12"/>
  <c r="AI28" i="12"/>
  <c r="AL28" i="12"/>
  <c r="AN28" i="12"/>
  <c r="R29" i="12"/>
  <c r="T29" i="12"/>
  <c r="W29" i="12"/>
  <c r="Y29" i="12"/>
  <c r="AB29" i="12"/>
  <c r="AD29" i="12"/>
  <c r="AG29" i="12"/>
  <c r="AI29" i="12"/>
  <c r="AL29" i="12"/>
  <c r="AN29" i="12"/>
  <c r="R30" i="12"/>
  <c r="T30" i="12"/>
  <c r="W30" i="12"/>
  <c r="Y30" i="12"/>
  <c r="AB30" i="12"/>
  <c r="AD30" i="12"/>
  <c r="AG30" i="12"/>
  <c r="AI30" i="12"/>
  <c r="AL30" i="12"/>
  <c r="AN30" i="12"/>
  <c r="R31" i="12"/>
  <c r="T31" i="12"/>
  <c r="W31" i="12"/>
  <c r="Y31" i="12"/>
  <c r="AB31" i="12"/>
  <c r="AD31" i="12"/>
  <c r="AG31" i="12"/>
  <c r="AI31" i="12"/>
  <c r="AL31" i="12"/>
  <c r="AN31" i="12"/>
  <c r="R32" i="12"/>
  <c r="T32" i="12"/>
  <c r="W32" i="12"/>
  <c r="Y32" i="12"/>
  <c r="AB32" i="12"/>
  <c r="AD32" i="12"/>
  <c r="AG32" i="12"/>
  <c r="AI32" i="12"/>
  <c r="AL32" i="12"/>
  <c r="AN32" i="12"/>
  <c r="R33" i="12"/>
  <c r="T33" i="12"/>
  <c r="W33" i="12"/>
  <c r="Y33" i="12"/>
  <c r="AB33" i="12"/>
  <c r="AD33" i="12"/>
  <c r="AG33" i="12"/>
  <c r="AI33" i="12"/>
  <c r="AL33" i="12"/>
  <c r="AN33" i="12"/>
  <c r="R34" i="12"/>
  <c r="T34" i="12"/>
  <c r="W34" i="12"/>
  <c r="Y34" i="12"/>
  <c r="AB34" i="12"/>
  <c r="AD34" i="12"/>
  <c r="AG34" i="12"/>
  <c r="AI34" i="12"/>
  <c r="AL34" i="12"/>
  <c r="AN34" i="12"/>
  <c r="R35" i="12"/>
  <c r="T35" i="12"/>
  <c r="W35" i="12"/>
  <c r="Y35" i="12"/>
  <c r="AB35" i="12"/>
  <c r="AD35" i="12"/>
  <c r="AG35" i="12"/>
  <c r="AI35" i="12"/>
  <c r="AL35" i="12"/>
  <c r="AN35" i="12"/>
  <c r="R36" i="12"/>
  <c r="T36" i="12"/>
  <c r="W36" i="12"/>
  <c r="Y36" i="12"/>
  <c r="AB36" i="12"/>
  <c r="AD36" i="12"/>
  <c r="AG36" i="12"/>
  <c r="AI36" i="12"/>
  <c r="AL36" i="12"/>
  <c r="AN36" i="12"/>
  <c r="R37" i="12"/>
  <c r="T37" i="12"/>
  <c r="W37" i="12"/>
  <c r="Y37" i="12"/>
  <c r="AB37" i="12"/>
  <c r="AD37" i="12"/>
  <c r="AG37" i="12"/>
  <c r="AI37" i="12"/>
  <c r="AL37" i="12"/>
  <c r="AN37" i="12"/>
  <c r="R38" i="12"/>
  <c r="T38" i="12"/>
  <c r="W38" i="12"/>
  <c r="Y38" i="12"/>
  <c r="AB38" i="12"/>
  <c r="AD38" i="12"/>
  <c r="AG38" i="12"/>
  <c r="AI38" i="12"/>
  <c r="AL38" i="12"/>
  <c r="AN38" i="12"/>
  <c r="R39" i="12"/>
  <c r="T39" i="12"/>
  <c r="W39" i="12"/>
  <c r="Y39" i="12"/>
  <c r="AB39" i="12"/>
  <c r="AD39" i="12"/>
  <c r="AG39" i="12"/>
  <c r="AI39" i="12"/>
  <c r="AL39" i="12"/>
  <c r="AN39" i="12"/>
  <c r="R40" i="12"/>
  <c r="T40" i="12"/>
  <c r="W40" i="12"/>
  <c r="Y40" i="12"/>
  <c r="AB40" i="12"/>
  <c r="AD40" i="12"/>
  <c r="AG40" i="12"/>
  <c r="AI40" i="12"/>
  <c r="AL40" i="12"/>
  <c r="AN40" i="12"/>
  <c r="R41" i="12"/>
  <c r="T41" i="12"/>
  <c r="W41" i="12"/>
  <c r="Y41" i="12"/>
  <c r="AB41" i="12"/>
  <c r="AD41" i="12"/>
  <c r="AG41" i="12"/>
  <c r="AI41" i="12"/>
  <c r="AL41" i="12"/>
  <c r="AN41" i="12"/>
  <c r="R42" i="12"/>
  <c r="T42" i="12"/>
  <c r="W42" i="12"/>
  <c r="Y42" i="12"/>
  <c r="AB42" i="12"/>
  <c r="AD42" i="12"/>
  <c r="AG42" i="12"/>
  <c r="AI42" i="12"/>
  <c r="AL42" i="12"/>
  <c r="AN42" i="12"/>
  <c r="R43" i="12"/>
  <c r="T43" i="12"/>
  <c r="W43" i="12"/>
  <c r="Y43" i="12"/>
  <c r="AB43" i="12"/>
  <c r="AD43" i="12"/>
  <c r="AG43" i="12"/>
  <c r="AI43" i="12"/>
  <c r="AL43" i="12"/>
  <c r="AN43" i="12"/>
  <c r="R44" i="12"/>
  <c r="T44" i="12"/>
  <c r="W44" i="12"/>
  <c r="Y44" i="12"/>
  <c r="AB44" i="12"/>
  <c r="AD44" i="12"/>
  <c r="AG44" i="12"/>
  <c r="AI44" i="12"/>
  <c r="AL44" i="12"/>
  <c r="AN44" i="12"/>
  <c r="R45" i="12"/>
  <c r="T45" i="12"/>
  <c r="W45" i="12"/>
  <c r="Y45" i="12"/>
  <c r="AB45" i="12"/>
  <c r="AD45" i="12"/>
  <c r="AG45" i="12"/>
  <c r="AI45" i="12"/>
  <c r="AL45" i="12"/>
  <c r="AN45" i="12"/>
  <c r="R46" i="12"/>
  <c r="T46" i="12"/>
  <c r="W46" i="12"/>
  <c r="Y46" i="12"/>
  <c r="AB46" i="12"/>
  <c r="AD46" i="12"/>
  <c r="AG46" i="12"/>
  <c r="AI46" i="12"/>
  <c r="AL46" i="12"/>
  <c r="AN46" i="12"/>
  <c r="R47" i="12"/>
  <c r="T47" i="12"/>
  <c r="W47" i="12"/>
  <c r="Y47" i="12"/>
  <c r="AB47" i="12"/>
  <c r="AD47" i="12"/>
  <c r="AG47" i="12"/>
  <c r="AI47" i="12"/>
  <c r="AL47" i="12"/>
  <c r="AN47" i="12"/>
  <c r="R48" i="12"/>
  <c r="T48" i="12"/>
  <c r="W48" i="12"/>
  <c r="Y48" i="12"/>
  <c r="AB48" i="12"/>
  <c r="AD48" i="12"/>
  <c r="AG48" i="12"/>
  <c r="AI48" i="12"/>
  <c r="AL48" i="12"/>
  <c r="AN48" i="12"/>
  <c r="R49" i="12"/>
  <c r="T49" i="12"/>
  <c r="W49" i="12"/>
  <c r="Y49" i="12"/>
  <c r="AB49" i="12"/>
  <c r="AD49" i="12"/>
  <c r="AG49" i="12"/>
  <c r="AI49" i="12"/>
  <c r="AL49" i="12"/>
  <c r="AN49" i="12"/>
  <c r="R50" i="12"/>
  <c r="T50" i="12"/>
  <c r="W50" i="12"/>
  <c r="Y50" i="12"/>
  <c r="AB50" i="12"/>
  <c r="AD50" i="12"/>
  <c r="AG50" i="12"/>
  <c r="AI50" i="12"/>
  <c r="AL50" i="12"/>
  <c r="AN50" i="12"/>
  <c r="R51" i="12"/>
  <c r="T51" i="12"/>
  <c r="W51" i="12"/>
  <c r="Y51" i="12"/>
  <c r="AB51" i="12"/>
  <c r="AD51" i="12"/>
  <c r="AG51" i="12"/>
  <c r="AI51" i="12"/>
  <c r="AL51" i="12"/>
  <c r="AN51" i="12"/>
  <c r="R52" i="12"/>
  <c r="T52" i="12"/>
  <c r="W52" i="12"/>
  <c r="Y52" i="12"/>
  <c r="AB52" i="12"/>
  <c r="AD52" i="12"/>
  <c r="AG52" i="12"/>
  <c r="AI52" i="12"/>
  <c r="AL52" i="12"/>
  <c r="AN52" i="12"/>
  <c r="R53" i="12"/>
  <c r="T53" i="12"/>
  <c r="W53" i="12"/>
  <c r="Y53" i="12"/>
  <c r="AB53" i="12"/>
  <c r="AD53" i="12"/>
  <c r="AG53" i="12"/>
  <c r="AI53" i="12"/>
  <c r="AL53" i="12"/>
  <c r="AN53" i="12"/>
  <c r="R54" i="12"/>
  <c r="T54" i="12"/>
  <c r="W54" i="12"/>
  <c r="Y54" i="12"/>
  <c r="AB54" i="12"/>
  <c r="AD54" i="12"/>
  <c r="AG54" i="12"/>
  <c r="AI54" i="12"/>
  <c r="AL54" i="12"/>
  <c r="AN54" i="12"/>
  <c r="R55" i="12"/>
  <c r="T55" i="12"/>
  <c r="W55" i="12"/>
  <c r="Y55" i="12"/>
  <c r="AB55" i="12"/>
  <c r="AD55" i="12"/>
  <c r="AG55" i="12"/>
  <c r="AI55" i="12"/>
  <c r="AL55" i="12"/>
  <c r="AN55" i="12"/>
  <c r="R56" i="12"/>
  <c r="T56" i="12"/>
  <c r="W56" i="12"/>
  <c r="Y56" i="12"/>
  <c r="AB56" i="12"/>
  <c r="AC56" i="12" s="1"/>
  <c r="AD56" i="12"/>
  <c r="AG56" i="12"/>
  <c r="AI56" i="12"/>
  <c r="AL56" i="12"/>
  <c r="AN56" i="12"/>
  <c r="R57" i="12"/>
  <c r="T57" i="12"/>
  <c r="W57" i="12"/>
  <c r="Y57" i="12"/>
  <c r="AB57" i="12"/>
  <c r="AD57" i="12"/>
  <c r="AG57" i="12"/>
  <c r="AI57" i="12"/>
  <c r="AL57" i="12"/>
  <c r="AN57" i="12"/>
  <c r="R58" i="12"/>
  <c r="T58" i="12"/>
  <c r="W58" i="12"/>
  <c r="Y58" i="12"/>
  <c r="AB58" i="12"/>
  <c r="AD58" i="12"/>
  <c r="AG58" i="12"/>
  <c r="AI58" i="12"/>
  <c r="AL58" i="12"/>
  <c r="AN58" i="12"/>
  <c r="N59" i="12"/>
  <c r="R59" i="12"/>
  <c r="T59" i="12"/>
  <c r="W59" i="12"/>
  <c r="Y59" i="12"/>
  <c r="AB59" i="12"/>
  <c r="AD59" i="12"/>
  <c r="AG59" i="12"/>
  <c r="AI59" i="12"/>
  <c r="AL59" i="12"/>
  <c r="AN59" i="12"/>
  <c r="R60" i="12"/>
  <c r="T60" i="12"/>
  <c r="W60" i="12"/>
  <c r="Y60" i="12"/>
  <c r="AB60" i="12"/>
  <c r="AD60" i="12"/>
  <c r="AG60" i="12"/>
  <c r="AI60" i="12"/>
  <c r="AL60" i="12"/>
  <c r="AN60" i="12"/>
  <c r="R61" i="12"/>
  <c r="S61" i="12" s="1"/>
  <c r="T61" i="12"/>
  <c r="W61" i="12"/>
  <c r="Y61" i="12"/>
  <c r="AB61" i="12"/>
  <c r="AD61" i="12"/>
  <c r="AG61" i="12"/>
  <c r="AI61" i="12"/>
  <c r="AL61" i="12"/>
  <c r="AN61" i="12"/>
  <c r="R62" i="12"/>
  <c r="T62" i="12"/>
  <c r="W62" i="12"/>
  <c r="Y62" i="12"/>
  <c r="AB62" i="12"/>
  <c r="AD62" i="12"/>
  <c r="AG62" i="12"/>
  <c r="AI62" i="12"/>
  <c r="AL62" i="12"/>
  <c r="AN62" i="12"/>
  <c r="P63" i="12"/>
  <c r="R63" i="12"/>
  <c r="S63" i="12" s="1"/>
  <c r="T63" i="12"/>
  <c r="U63" i="12" s="1"/>
  <c r="W63" i="12"/>
  <c r="X63" i="12"/>
  <c r="Y63" i="12"/>
  <c r="Z63" i="12" s="1"/>
  <c r="AB63" i="12"/>
  <c r="AC63" i="12" s="1"/>
  <c r="AD63" i="12"/>
  <c r="AG63" i="12"/>
  <c r="AH57" i="12" s="1"/>
  <c r="AI63" i="12"/>
  <c r="AJ63" i="12" s="1"/>
  <c r="AL63" i="12"/>
  <c r="AN63" i="12"/>
  <c r="J63" i="1"/>
  <c r="J62" i="1"/>
  <c r="J61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X62" i="12" l="1"/>
  <c r="AM57" i="12"/>
  <c r="X60" i="12"/>
  <c r="U60" i="12"/>
  <c r="AJ60" i="12"/>
  <c r="AJ58" i="12"/>
  <c r="AJ62" i="12"/>
  <c r="U62" i="12"/>
  <c r="V62" i="12" s="1"/>
  <c r="AH61" i="12"/>
  <c r="S60" i="12"/>
  <c r="V60" i="12" s="1"/>
  <c r="AC57" i="12"/>
  <c r="S62" i="12"/>
  <c r="AM63" i="12"/>
  <c r="AM62" i="12"/>
  <c r="AH60" i="12"/>
  <c r="AK60" i="12" s="1"/>
  <c r="S57" i="12"/>
  <c r="X61" i="12"/>
  <c r="AC60" i="12"/>
  <c r="AC58" i="12"/>
  <c r="AH63" i="12"/>
  <c r="AH62" i="12"/>
  <c r="AK62" i="12" s="1"/>
  <c r="AM59" i="12"/>
  <c r="S59" i="12"/>
  <c r="AM61" i="12"/>
  <c r="X58" i="12"/>
  <c r="S58" i="12"/>
  <c r="AC62" i="12"/>
  <c r="AH59" i="12"/>
  <c r="AE61" i="12"/>
  <c r="U58" i="12"/>
  <c r="AO57" i="12"/>
  <c r="AE59" i="12"/>
  <c r="AO61" i="12"/>
  <c r="Z61" i="12"/>
  <c r="AO56" i="12"/>
  <c r="AE62" i="12"/>
  <c r="AE60" i="12"/>
  <c r="AE57" i="12"/>
  <c r="AF57" i="12" s="1"/>
  <c r="Z62" i="12"/>
  <c r="AA62" i="12" s="1"/>
  <c r="AO62" i="12"/>
  <c r="AO60" i="12"/>
  <c r="Z57" i="12"/>
  <c r="N57" i="12"/>
  <c r="AO63" i="12"/>
  <c r="AE63" i="12"/>
  <c r="AC61" i="12"/>
  <c r="P61" i="12"/>
  <c r="X59" i="12"/>
  <c r="AM58" i="12"/>
  <c r="Z58" i="12"/>
  <c r="AH56" i="12"/>
  <c r="U56" i="12"/>
  <c r="AE55" i="12"/>
  <c r="AO54" i="12"/>
  <c r="U54" i="12"/>
  <c r="AE53" i="12"/>
  <c r="AO52" i="12"/>
  <c r="U52" i="12"/>
  <c r="AE51" i="12"/>
  <c r="AO50" i="12"/>
  <c r="U50" i="12"/>
  <c r="AE49" i="12"/>
  <c r="AO48" i="12"/>
  <c r="U48" i="12"/>
  <c r="AO45" i="12"/>
  <c r="AO11" i="12"/>
  <c r="AO13" i="12"/>
  <c r="AO15" i="12"/>
  <c r="AO17" i="12"/>
  <c r="AO21" i="12"/>
  <c r="AO24" i="12"/>
  <c r="AO27" i="12"/>
  <c r="AO29" i="12"/>
  <c r="AO31" i="12"/>
  <c r="AO19" i="12"/>
  <c r="AO25" i="12"/>
  <c r="AO32" i="12"/>
  <c r="AO34" i="12"/>
  <c r="AO36" i="12"/>
  <c r="AO38" i="12"/>
  <c r="AO40" i="12"/>
  <c r="AO42" i="12"/>
  <c r="AO23" i="12"/>
  <c r="AO28" i="12"/>
  <c r="AO30" i="12"/>
  <c r="AO43" i="12"/>
  <c r="AO46" i="12"/>
  <c r="AO47" i="12"/>
  <c r="AO49" i="12"/>
  <c r="AO51" i="12"/>
  <c r="AO53" i="12"/>
  <c r="AO55" i="12"/>
  <c r="AO44" i="12"/>
  <c r="AJ16" i="12"/>
  <c r="AJ10" i="12"/>
  <c r="AJ18" i="12"/>
  <c r="AJ12" i="12"/>
  <c r="AJ22" i="12"/>
  <c r="AJ28" i="12"/>
  <c r="AJ14" i="12"/>
  <c r="AJ26" i="12"/>
  <c r="AJ33" i="12"/>
  <c r="AJ43" i="12"/>
  <c r="AJ48" i="12"/>
  <c r="AJ45" i="12"/>
  <c r="AE10" i="12"/>
  <c r="AE12" i="12"/>
  <c r="AE14" i="12"/>
  <c r="AE16" i="12"/>
  <c r="AE18" i="12"/>
  <c r="AE20" i="12"/>
  <c r="AE24" i="12"/>
  <c r="AE27" i="12"/>
  <c r="AE30" i="12"/>
  <c r="AE32" i="12"/>
  <c r="AE22" i="12"/>
  <c r="AE25" i="12"/>
  <c r="AE28" i="12"/>
  <c r="AE29" i="12"/>
  <c r="AE33" i="12"/>
  <c r="AE35" i="12"/>
  <c r="AE37" i="12"/>
  <c r="AE39" i="12"/>
  <c r="AE41" i="12"/>
  <c r="AE31" i="12"/>
  <c r="AE26" i="12"/>
  <c r="AE46" i="12"/>
  <c r="AE48" i="12"/>
  <c r="AE50" i="12"/>
  <c r="AE52" i="12"/>
  <c r="AE54" i="12"/>
  <c r="AE43" i="12"/>
  <c r="AE44" i="12"/>
  <c r="AE45" i="12"/>
  <c r="AE47" i="12"/>
  <c r="Z11" i="12"/>
  <c r="Z13" i="12"/>
  <c r="Z25" i="12"/>
  <c r="Z15" i="12"/>
  <c r="Z21" i="12"/>
  <c r="Z29" i="12"/>
  <c r="Z17" i="12"/>
  <c r="Z34" i="12"/>
  <c r="Z44" i="12"/>
  <c r="Z47" i="12"/>
  <c r="Z49" i="12"/>
  <c r="Z55" i="12"/>
  <c r="U11" i="12"/>
  <c r="U13" i="12"/>
  <c r="U15" i="12"/>
  <c r="U17" i="12"/>
  <c r="U19" i="12"/>
  <c r="U23" i="12"/>
  <c r="U27" i="12"/>
  <c r="U25" i="12"/>
  <c r="U29" i="12"/>
  <c r="U31" i="12"/>
  <c r="U21" i="12"/>
  <c r="U28" i="12"/>
  <c r="U26" i="12"/>
  <c r="U32" i="12"/>
  <c r="U34" i="12"/>
  <c r="U36" i="12"/>
  <c r="U38" i="12"/>
  <c r="U40" i="12"/>
  <c r="U42" i="12"/>
  <c r="U30" i="12"/>
  <c r="U44" i="12"/>
  <c r="U49" i="12"/>
  <c r="U51" i="12"/>
  <c r="U53" i="12"/>
  <c r="U55" i="12"/>
  <c r="U47" i="12"/>
  <c r="U45" i="12"/>
  <c r="U46" i="12"/>
  <c r="P14" i="12"/>
  <c r="P16" i="12"/>
  <c r="P28" i="12"/>
  <c r="P10" i="12"/>
  <c r="P18" i="12"/>
  <c r="P20" i="12"/>
  <c r="P26" i="12"/>
  <c r="P12" i="12"/>
  <c r="P24" i="12"/>
  <c r="P33" i="12"/>
  <c r="P35" i="12"/>
  <c r="P47" i="12"/>
  <c r="P45" i="12"/>
  <c r="P48" i="12"/>
  <c r="P56" i="12"/>
  <c r="AM60" i="12"/>
  <c r="Z60" i="12"/>
  <c r="AO59" i="12"/>
  <c r="AH58" i="12"/>
  <c r="AK58" i="12" s="1"/>
  <c r="AJ57" i="12"/>
  <c r="AK57" i="12" s="1"/>
  <c r="U57" i="12"/>
  <c r="AM55" i="12"/>
  <c r="S55" i="12"/>
  <c r="AC54" i="12"/>
  <c r="AM53" i="12"/>
  <c r="S53" i="12"/>
  <c r="AC52" i="12"/>
  <c r="AM51" i="12"/>
  <c r="S51" i="12"/>
  <c r="AC50" i="12"/>
  <c r="AM49" i="12"/>
  <c r="S49" i="12"/>
  <c r="AC48" i="12"/>
  <c r="AM44" i="12"/>
  <c r="S44" i="12"/>
  <c r="AJ59" i="12"/>
  <c r="Z59" i="12"/>
  <c r="U59" i="12"/>
  <c r="AO58" i="12"/>
  <c r="AP58" i="12" s="1"/>
  <c r="P57" i="12"/>
  <c r="AJ56" i="12"/>
  <c r="AE56" i="12"/>
  <c r="AF56" i="12" s="1"/>
  <c r="Z56" i="12"/>
  <c r="AJ55" i="12"/>
  <c r="P55" i="12"/>
  <c r="AJ54" i="12"/>
  <c r="Z54" i="12"/>
  <c r="P54" i="12"/>
  <c r="AJ53" i="12"/>
  <c r="Z53" i="12"/>
  <c r="P53" i="12"/>
  <c r="AJ52" i="12"/>
  <c r="Z52" i="12"/>
  <c r="P52" i="12"/>
  <c r="AJ51" i="12"/>
  <c r="Z51" i="12"/>
  <c r="P51" i="12"/>
  <c r="AJ50" i="12"/>
  <c r="Z50" i="12"/>
  <c r="P50" i="12"/>
  <c r="AJ49" i="12"/>
  <c r="P49" i="12"/>
  <c r="Z48" i="12"/>
  <c r="AJ47" i="12"/>
  <c r="Z46" i="12"/>
  <c r="AM10" i="12"/>
  <c r="AM12" i="12"/>
  <c r="AM14" i="12"/>
  <c r="AM16" i="12"/>
  <c r="AM18" i="12"/>
  <c r="AM22" i="12"/>
  <c r="AM23" i="12"/>
  <c r="AM28" i="12"/>
  <c r="AM30" i="12"/>
  <c r="AM20" i="12"/>
  <c r="AM26" i="12"/>
  <c r="AM29" i="12"/>
  <c r="AM33" i="12"/>
  <c r="AM35" i="12"/>
  <c r="AM37" i="12"/>
  <c r="AM39" i="12"/>
  <c r="AM41" i="12"/>
  <c r="AM27" i="12"/>
  <c r="AM31" i="12"/>
  <c r="AM24" i="12"/>
  <c r="AM32" i="12"/>
  <c r="AM48" i="12"/>
  <c r="AM50" i="12"/>
  <c r="AM52" i="12"/>
  <c r="AM54" i="12"/>
  <c r="AM45" i="12"/>
  <c r="AM43" i="12"/>
  <c r="AM46" i="12"/>
  <c r="AM47" i="12"/>
  <c r="AH11" i="12"/>
  <c r="AH13" i="12"/>
  <c r="AH19" i="12"/>
  <c r="AH23" i="12"/>
  <c r="AH15" i="12"/>
  <c r="AH29" i="12"/>
  <c r="AH17" i="12"/>
  <c r="AH21" i="12"/>
  <c r="AH34" i="12"/>
  <c r="AH27" i="12"/>
  <c r="AH47" i="12"/>
  <c r="AH55" i="12"/>
  <c r="AH46" i="12"/>
  <c r="AC11" i="12"/>
  <c r="AC13" i="12"/>
  <c r="AC15" i="12"/>
  <c r="AC17" i="12"/>
  <c r="AC21" i="12"/>
  <c r="AC25" i="12"/>
  <c r="AC26" i="12"/>
  <c r="AC29" i="12"/>
  <c r="AC31" i="12"/>
  <c r="AC19" i="12"/>
  <c r="AC23" i="12"/>
  <c r="AC24" i="12"/>
  <c r="AC32" i="12"/>
  <c r="AC34" i="12"/>
  <c r="AC36" i="12"/>
  <c r="AC38" i="12"/>
  <c r="AC40" i="12"/>
  <c r="AC42" i="12"/>
  <c r="AC27" i="12"/>
  <c r="AC30" i="12"/>
  <c r="AC45" i="12"/>
  <c r="AC47" i="12"/>
  <c r="AC49" i="12"/>
  <c r="AC51" i="12"/>
  <c r="AC53" i="12"/>
  <c r="AC55" i="12"/>
  <c r="AC46" i="12"/>
  <c r="AC44" i="12"/>
  <c r="X14" i="12"/>
  <c r="X16" i="12"/>
  <c r="X22" i="12"/>
  <c r="X10" i="12"/>
  <c r="X18" i="12"/>
  <c r="X24" i="12"/>
  <c r="X12" i="12"/>
  <c r="X33" i="12"/>
  <c r="X35" i="12"/>
  <c r="X20" i="12"/>
  <c r="X45" i="12"/>
  <c r="X48" i="12"/>
  <c r="X56" i="12"/>
  <c r="S10" i="12"/>
  <c r="S12" i="12"/>
  <c r="S14" i="12"/>
  <c r="S16" i="12"/>
  <c r="S18" i="12"/>
  <c r="S20" i="12"/>
  <c r="S28" i="12"/>
  <c r="S26" i="12"/>
  <c r="S30" i="12"/>
  <c r="S32" i="12"/>
  <c r="S22" i="12"/>
  <c r="S24" i="12"/>
  <c r="S27" i="12"/>
  <c r="S25" i="12"/>
  <c r="S33" i="12"/>
  <c r="S35" i="12"/>
  <c r="S37" i="12"/>
  <c r="S39" i="12"/>
  <c r="S41" i="12"/>
  <c r="S43" i="12"/>
  <c r="S29" i="12"/>
  <c r="S31" i="12"/>
  <c r="S45" i="12"/>
  <c r="S48" i="12"/>
  <c r="S50" i="12"/>
  <c r="S52" i="12"/>
  <c r="S54" i="12"/>
  <c r="S56" i="12"/>
  <c r="S46" i="12"/>
  <c r="S47" i="12"/>
  <c r="N17" i="12"/>
  <c r="N11" i="12"/>
  <c r="N19" i="12"/>
  <c r="N21" i="12"/>
  <c r="N13" i="12"/>
  <c r="N29" i="12"/>
  <c r="N15" i="12"/>
  <c r="N23" i="12"/>
  <c r="N25" i="12"/>
  <c r="N34" i="12"/>
  <c r="N46" i="12"/>
  <c r="N49" i="12"/>
  <c r="N55" i="12"/>
  <c r="AJ61" i="12"/>
  <c r="AK61" i="12" s="1"/>
  <c r="U61" i="12"/>
  <c r="V61" i="12" s="1"/>
  <c r="N60" i="12"/>
  <c r="AC59" i="12"/>
  <c r="P59" i="12"/>
  <c r="AE58" i="12"/>
  <c r="AF58" i="12" s="1"/>
  <c r="X57" i="12"/>
  <c r="AM56" i="12"/>
  <c r="N56" i="12"/>
  <c r="X55" i="12"/>
  <c r="AH54" i="12"/>
  <c r="X54" i="12"/>
  <c r="N54" i="12"/>
  <c r="AH53" i="12"/>
  <c r="X53" i="12"/>
  <c r="N53" i="12"/>
  <c r="AH52" i="12"/>
  <c r="X52" i="12"/>
  <c r="N52" i="12"/>
  <c r="AH51" i="12"/>
  <c r="X51" i="12"/>
  <c r="N51" i="12"/>
  <c r="AH50" i="12"/>
  <c r="X50" i="12"/>
  <c r="N50" i="12"/>
  <c r="AH49" i="12"/>
  <c r="X49" i="12"/>
  <c r="AH48" i="12"/>
  <c r="N48" i="12"/>
  <c r="X47" i="12"/>
  <c r="AH44" i="12"/>
  <c r="N44" i="12"/>
  <c r="AJ46" i="12"/>
  <c r="N45" i="12"/>
  <c r="P44" i="12"/>
  <c r="AC43" i="12"/>
  <c r="U43" i="12"/>
  <c r="AE42" i="12"/>
  <c r="AF42" i="12" s="1"/>
  <c r="AO41" i="12"/>
  <c r="AP41" i="12" s="1"/>
  <c r="U41" i="12"/>
  <c r="V41" i="12" s="1"/>
  <c r="AE40" i="12"/>
  <c r="AO39" i="12"/>
  <c r="AP39" i="12" s="1"/>
  <c r="U39" i="12"/>
  <c r="AE38" i="12"/>
  <c r="AF38" i="12" s="1"/>
  <c r="AO37" i="12"/>
  <c r="U37" i="12"/>
  <c r="V37" i="12" s="1"/>
  <c r="AE36" i="12"/>
  <c r="AF36" i="12" s="1"/>
  <c r="AO35" i="12"/>
  <c r="AP35" i="12" s="1"/>
  <c r="U35" i="12"/>
  <c r="AE34" i="12"/>
  <c r="AF34" i="12" s="1"/>
  <c r="AO33" i="12"/>
  <c r="U33" i="12"/>
  <c r="V33" i="12" s="1"/>
  <c r="N47" i="12"/>
  <c r="P46" i="12"/>
  <c r="X44" i="12"/>
  <c r="AH43" i="12"/>
  <c r="AM42" i="12"/>
  <c r="S42" i="12"/>
  <c r="AC41" i="12"/>
  <c r="AM40" i="12"/>
  <c r="S40" i="12"/>
  <c r="AC39" i="12"/>
  <c r="AM38" i="12"/>
  <c r="S38" i="12"/>
  <c r="AC37" i="12"/>
  <c r="AM36" i="12"/>
  <c r="S36" i="12"/>
  <c r="AC35" i="12"/>
  <c r="AM34" i="12"/>
  <c r="S34" i="12"/>
  <c r="AC33" i="12"/>
  <c r="X46" i="12"/>
  <c r="Z45" i="12"/>
  <c r="Z43" i="12"/>
  <c r="P43" i="12"/>
  <c r="AJ42" i="12"/>
  <c r="Z42" i="12"/>
  <c r="P42" i="12"/>
  <c r="AJ41" i="12"/>
  <c r="Z41" i="12"/>
  <c r="AA41" i="12" s="1"/>
  <c r="P41" i="12"/>
  <c r="AJ40" i="12"/>
  <c r="Z40" i="12"/>
  <c r="P40" i="12"/>
  <c r="AJ39" i="12"/>
  <c r="Z39" i="12"/>
  <c r="P39" i="12"/>
  <c r="AJ38" i="12"/>
  <c r="AK38" i="12" s="1"/>
  <c r="Z38" i="12"/>
  <c r="P38" i="12"/>
  <c r="AJ37" i="12"/>
  <c r="Z37" i="12"/>
  <c r="P37" i="12"/>
  <c r="AJ36" i="12"/>
  <c r="Z36" i="12"/>
  <c r="P36" i="12"/>
  <c r="AJ35" i="12"/>
  <c r="Z35" i="12"/>
  <c r="AJ34" i="12"/>
  <c r="P34" i="12"/>
  <c r="Z33" i="12"/>
  <c r="AH45" i="12"/>
  <c r="AJ44" i="12"/>
  <c r="AK44" i="12" s="1"/>
  <c r="X43" i="12"/>
  <c r="N43" i="12"/>
  <c r="AH42" i="12"/>
  <c r="X42" i="12"/>
  <c r="N42" i="12"/>
  <c r="AH41" i="12"/>
  <c r="X41" i="12"/>
  <c r="N41" i="12"/>
  <c r="AH40" i="12"/>
  <c r="X40" i="12"/>
  <c r="N40" i="12"/>
  <c r="AH39" i="12"/>
  <c r="X39" i="12"/>
  <c r="N39" i="12"/>
  <c r="AH38" i="12"/>
  <c r="X38" i="12"/>
  <c r="N38" i="12"/>
  <c r="AH37" i="12"/>
  <c r="X37" i="12"/>
  <c r="N37" i="12"/>
  <c r="AH36" i="12"/>
  <c r="X36" i="12"/>
  <c r="N36" i="12"/>
  <c r="AH35" i="12"/>
  <c r="N35" i="12"/>
  <c r="X34" i="12"/>
  <c r="AH33" i="12"/>
  <c r="N33" i="12"/>
  <c r="AJ32" i="12"/>
  <c r="N32" i="12"/>
  <c r="AJ31" i="12"/>
  <c r="N31" i="12"/>
  <c r="P30" i="12"/>
  <c r="X29" i="12"/>
  <c r="P29" i="12"/>
  <c r="X28" i="12"/>
  <c r="N28" i="12"/>
  <c r="AO26" i="12"/>
  <c r="AP26" i="12" s="1"/>
  <c r="AE23" i="12"/>
  <c r="AJ20" i="12"/>
  <c r="AH32" i="12"/>
  <c r="Z32" i="12"/>
  <c r="AH31" i="12"/>
  <c r="AJ30" i="12"/>
  <c r="N30" i="12"/>
  <c r="AJ29" i="12"/>
  <c r="AK29" i="12" s="1"/>
  <c r="AH25" i="12"/>
  <c r="X25" i="12"/>
  <c r="U24" i="12"/>
  <c r="P22" i="12"/>
  <c r="X32" i="12"/>
  <c r="Z31" i="12"/>
  <c r="AH30" i="12"/>
  <c r="Z30" i="12"/>
  <c r="AC28" i="12"/>
  <c r="Z27" i="12"/>
  <c r="P27" i="12"/>
  <c r="X26" i="12"/>
  <c r="Z23" i="12"/>
  <c r="AO20" i="12"/>
  <c r="Z19" i="12"/>
  <c r="P32" i="12"/>
  <c r="X31" i="12"/>
  <c r="P31" i="12"/>
  <c r="X30" i="12"/>
  <c r="N27" i="12"/>
  <c r="AM25" i="12"/>
  <c r="AJ24" i="12"/>
  <c r="Z24" i="12"/>
  <c r="U22" i="12"/>
  <c r="AE19" i="12"/>
  <c r="AF19" i="12" s="1"/>
  <c r="S19" i="12"/>
  <c r="AO18" i="12"/>
  <c r="AP18" i="12" s="1"/>
  <c r="AH18" i="12"/>
  <c r="Z18" i="12"/>
  <c r="AC16" i="12"/>
  <c r="U16" i="12"/>
  <c r="N16" i="12"/>
  <c r="AJ15" i="12"/>
  <c r="AM13" i="12"/>
  <c r="AE13" i="12"/>
  <c r="AF13" i="12" s="1"/>
  <c r="X13" i="12"/>
  <c r="P13" i="12"/>
  <c r="S11" i="12"/>
  <c r="AO10" i="12"/>
  <c r="AH10" i="12"/>
  <c r="Z10" i="12"/>
  <c r="X27" i="12"/>
  <c r="Z26" i="12"/>
  <c r="AH24" i="12"/>
  <c r="AJ23" i="12"/>
  <c r="X23" i="12"/>
  <c r="S23" i="12"/>
  <c r="Z22" i="12"/>
  <c r="AA22" i="12" s="1"/>
  <c r="N22" i="12"/>
  <c r="AM21" i="12"/>
  <c r="P21" i="12"/>
  <c r="AH20" i="12"/>
  <c r="AC20" i="12"/>
  <c r="AJ19" i="12"/>
  <c r="X19" i="12"/>
  <c r="P19" i="12"/>
  <c r="S17" i="12"/>
  <c r="AO16" i="12"/>
  <c r="AP16" i="12" s="1"/>
  <c r="AH16" i="12"/>
  <c r="Z16" i="12"/>
  <c r="AC14" i="12"/>
  <c r="U14" i="12"/>
  <c r="N14" i="12"/>
  <c r="AJ13" i="12"/>
  <c r="AM11" i="12"/>
  <c r="AE11" i="12"/>
  <c r="X11" i="12"/>
  <c r="P11" i="12"/>
  <c r="Z28" i="12"/>
  <c r="AH26" i="12"/>
  <c r="AJ25" i="12"/>
  <c r="N24" i="12"/>
  <c r="AO22" i="12"/>
  <c r="AE21" i="12"/>
  <c r="U20" i="12"/>
  <c r="V20" i="12" s="1"/>
  <c r="AM17" i="12"/>
  <c r="AE17" i="12"/>
  <c r="X17" i="12"/>
  <c r="P17" i="12"/>
  <c r="S15" i="12"/>
  <c r="AO14" i="12"/>
  <c r="AH14" i="12"/>
  <c r="Z14" i="12"/>
  <c r="AC12" i="12"/>
  <c r="U12" i="12"/>
  <c r="N12" i="12"/>
  <c r="AJ11" i="12"/>
  <c r="AH28" i="12"/>
  <c r="AJ27" i="12"/>
  <c r="N26" i="12"/>
  <c r="P25" i="12"/>
  <c r="P23" i="12"/>
  <c r="AH22" i="12"/>
  <c r="AC22" i="12"/>
  <c r="AJ21" i="12"/>
  <c r="X21" i="12"/>
  <c r="S21" i="12"/>
  <c r="Z20" i="12"/>
  <c r="N20" i="12"/>
  <c r="AM19" i="12"/>
  <c r="AC18" i="12"/>
  <c r="U18" i="12"/>
  <c r="N18" i="12"/>
  <c r="AJ17" i="12"/>
  <c r="AM15" i="12"/>
  <c r="AE15" i="12"/>
  <c r="AF15" i="12" s="1"/>
  <c r="X15" i="12"/>
  <c r="P15" i="12"/>
  <c r="S13" i="12"/>
  <c r="AO12" i="12"/>
  <c r="AH12" i="12"/>
  <c r="Z12" i="12"/>
  <c r="AC10" i="12"/>
  <c r="U10" i="12"/>
  <c r="V10" i="12" s="1"/>
  <c r="N10" i="12"/>
  <c r="J10" i="1"/>
  <c r="I63" i="1"/>
  <c r="K63" i="1" s="1"/>
  <c r="I62" i="1"/>
  <c r="K62" i="1" s="1"/>
  <c r="I61" i="1"/>
  <c r="K61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10" i="1"/>
  <c r="L10" i="1"/>
  <c r="M10" i="1"/>
  <c r="O10" i="1"/>
  <c r="P10" i="1"/>
  <c r="R10" i="1"/>
  <c r="S10" i="1"/>
  <c r="U10" i="1"/>
  <c r="V10" i="1"/>
  <c r="X10" i="1"/>
  <c r="Y10" i="1"/>
  <c r="AA10" i="1"/>
  <c r="AB10" i="1"/>
  <c r="AD10" i="1"/>
  <c r="AE10" i="1"/>
  <c r="AG10" i="1"/>
  <c r="AH10" i="1"/>
  <c r="AJ10" i="1"/>
  <c r="AK10" i="1"/>
  <c r="AM10" i="1"/>
  <c r="AN10" i="1"/>
  <c r="AF23" i="12" l="1"/>
  <c r="AK17" i="12"/>
  <c r="AK21" i="12"/>
  <c r="AK25" i="12"/>
  <c r="AP10" i="12"/>
  <c r="AA24" i="12"/>
  <c r="AA37" i="12"/>
  <c r="AK42" i="12"/>
  <c r="AA58" i="12"/>
  <c r="AA61" i="12"/>
  <c r="AP33" i="12"/>
  <c r="V12" i="12"/>
  <c r="AA28" i="12"/>
  <c r="AK23" i="12"/>
  <c r="AA23" i="12"/>
  <c r="AA60" i="12"/>
  <c r="AP57" i="12"/>
  <c r="AI10" i="1"/>
  <c r="W10" i="1"/>
  <c r="AF21" i="12"/>
  <c r="AK27" i="12"/>
  <c r="AK13" i="12"/>
  <c r="AP37" i="12"/>
  <c r="V43" i="12"/>
  <c r="AF54" i="12"/>
  <c r="AP23" i="12"/>
  <c r="AK11" i="12"/>
  <c r="V16" i="12"/>
  <c r="AK32" i="12"/>
  <c r="AA50" i="12"/>
  <c r="V51" i="12"/>
  <c r="V34" i="12"/>
  <c r="AA49" i="12"/>
  <c r="AA25" i="12"/>
  <c r="AF37" i="12"/>
  <c r="AF30" i="12"/>
  <c r="AF10" i="12"/>
  <c r="AP42" i="12"/>
  <c r="AP11" i="12"/>
  <c r="V52" i="12"/>
  <c r="AA57" i="12"/>
  <c r="AP59" i="12"/>
  <c r="AA14" i="12"/>
  <c r="AF17" i="12"/>
  <c r="AA35" i="12"/>
  <c r="AK40" i="12"/>
  <c r="AA43" i="12"/>
  <c r="AK53" i="12"/>
  <c r="V19" i="12"/>
  <c r="AA44" i="12"/>
  <c r="AF33" i="12"/>
  <c r="AK18" i="12"/>
  <c r="AP47" i="12"/>
  <c r="AP38" i="12"/>
  <c r="AP62" i="12"/>
  <c r="V59" i="12"/>
  <c r="AP22" i="12"/>
  <c r="V57" i="12"/>
  <c r="AF10" i="1"/>
  <c r="T10" i="1"/>
  <c r="AA12" i="12"/>
  <c r="V22" i="12"/>
  <c r="AA30" i="12"/>
  <c r="AA33" i="12"/>
  <c r="AK39" i="12"/>
  <c r="AA42" i="12"/>
  <c r="AK52" i="12"/>
  <c r="AK55" i="12"/>
  <c r="AK59" i="12"/>
  <c r="V53" i="12"/>
  <c r="V36" i="12"/>
  <c r="V25" i="12"/>
  <c r="AA55" i="12"/>
  <c r="AA15" i="12"/>
  <c r="AF39" i="12"/>
  <c r="AF32" i="12"/>
  <c r="AF12" i="12"/>
  <c r="AP53" i="12"/>
  <c r="AP19" i="12"/>
  <c r="AP13" i="12"/>
  <c r="AF51" i="12"/>
  <c r="AP56" i="12"/>
  <c r="V14" i="12"/>
  <c r="AA31" i="12"/>
  <c r="AK34" i="12"/>
  <c r="V39" i="12"/>
  <c r="AF50" i="12"/>
  <c r="AP61" i="12"/>
  <c r="AA46" i="12"/>
  <c r="AA11" i="12"/>
  <c r="AF24" i="12"/>
  <c r="AL10" i="1"/>
  <c r="Z10" i="1"/>
  <c r="N10" i="1"/>
  <c r="K10" i="1"/>
  <c r="AK35" i="12"/>
  <c r="AA38" i="12"/>
  <c r="AA45" i="12"/>
  <c r="V30" i="12"/>
  <c r="AF46" i="12"/>
  <c r="AP46" i="12"/>
  <c r="AA19" i="12"/>
  <c r="AA56" i="12"/>
  <c r="V27" i="12"/>
  <c r="AF52" i="12"/>
  <c r="AK22" i="12"/>
  <c r="AP51" i="12"/>
  <c r="AP31" i="12"/>
  <c r="AO10" i="1"/>
  <c r="AC10" i="1"/>
  <c r="Q10" i="1"/>
  <c r="AP12" i="12"/>
  <c r="V18" i="12"/>
  <c r="AK19" i="12"/>
  <c r="AK24" i="12"/>
  <c r="AP20" i="12"/>
  <c r="AK30" i="12"/>
  <c r="AK37" i="12"/>
  <c r="AA40" i="12"/>
  <c r="AK50" i="12"/>
  <c r="AA53" i="12"/>
  <c r="V49" i="12"/>
  <c r="V32" i="12"/>
  <c r="V23" i="12"/>
  <c r="AA47" i="12"/>
  <c r="AA13" i="12"/>
  <c r="AF35" i="12"/>
  <c r="AF27" i="12"/>
  <c r="AK45" i="12"/>
  <c r="AK12" i="12"/>
  <c r="AP49" i="12"/>
  <c r="AP40" i="12"/>
  <c r="AP29" i="12"/>
  <c r="AP45" i="12"/>
  <c r="AP52" i="12"/>
  <c r="AP60" i="12"/>
  <c r="AA16" i="12"/>
  <c r="AA32" i="12"/>
  <c r="V35" i="12"/>
  <c r="AF40" i="12"/>
  <c r="AK46" i="12"/>
  <c r="AK47" i="12"/>
  <c r="AA51" i="12"/>
  <c r="V46" i="12"/>
  <c r="V28" i="12"/>
  <c r="V17" i="12"/>
  <c r="AA34" i="12"/>
  <c r="AF47" i="12"/>
  <c r="AF29" i="12"/>
  <c r="AF20" i="12"/>
  <c r="AK43" i="12"/>
  <c r="AK10" i="12"/>
  <c r="AP36" i="12"/>
  <c r="AP24" i="12"/>
  <c r="AP48" i="12"/>
  <c r="V54" i="12"/>
  <c r="AK56" i="12"/>
  <c r="V26" i="12"/>
  <c r="AF48" i="12"/>
  <c r="AK48" i="12"/>
  <c r="AP27" i="12"/>
  <c r="AF53" i="12"/>
  <c r="AF59" i="12"/>
  <c r="AA26" i="12"/>
  <c r="V24" i="12"/>
  <c r="AA48" i="12"/>
  <c r="AK51" i="12"/>
  <c r="AA54" i="12"/>
  <c r="V45" i="12"/>
  <c r="V42" i="12"/>
  <c r="V21" i="12"/>
  <c r="V15" i="12"/>
  <c r="AA17" i="12"/>
  <c r="AF45" i="12"/>
  <c r="AF26" i="12"/>
  <c r="AF28" i="12"/>
  <c r="AF18" i="12"/>
  <c r="AK33" i="12"/>
  <c r="AK16" i="12"/>
  <c r="AP43" i="12"/>
  <c r="AP34" i="12"/>
  <c r="AP21" i="12"/>
  <c r="AF49" i="12"/>
  <c r="AP54" i="12"/>
  <c r="V58" i="12"/>
  <c r="AK28" i="12"/>
  <c r="AA18" i="12"/>
  <c r="V48" i="12"/>
  <c r="AA20" i="12"/>
  <c r="AF11" i="12"/>
  <c r="AA27" i="12"/>
  <c r="AK20" i="12"/>
  <c r="AA36" i="12"/>
  <c r="AK41" i="12"/>
  <c r="AK54" i="12"/>
  <c r="V47" i="12"/>
  <c r="V40" i="12"/>
  <c r="V31" i="12"/>
  <c r="V13" i="12"/>
  <c r="AA29" i="12"/>
  <c r="AF44" i="12"/>
  <c r="AF31" i="12"/>
  <c r="AF25" i="12"/>
  <c r="AF16" i="12"/>
  <c r="AK26" i="12"/>
  <c r="AP44" i="12"/>
  <c r="AP30" i="12"/>
  <c r="AP32" i="12"/>
  <c r="AP17" i="12"/>
  <c r="V50" i="12"/>
  <c r="AF55" i="12"/>
  <c r="AF60" i="12"/>
  <c r="AF61" i="12"/>
  <c r="V44" i="12"/>
  <c r="AP14" i="12"/>
  <c r="AA10" i="12"/>
  <c r="AK15" i="12"/>
  <c r="AK31" i="12"/>
  <c r="AK36" i="12"/>
  <c r="AA39" i="12"/>
  <c r="AK49" i="12"/>
  <c r="AA52" i="12"/>
  <c r="AA59" i="12"/>
  <c r="V55" i="12"/>
  <c r="V38" i="12"/>
  <c r="V29" i="12"/>
  <c r="V11" i="12"/>
  <c r="AA21" i="12"/>
  <c r="AF43" i="12"/>
  <c r="AF41" i="12"/>
  <c r="AF22" i="12"/>
  <c r="AF14" i="12"/>
  <c r="AK14" i="12"/>
  <c r="AP55" i="12"/>
  <c r="AP28" i="12"/>
  <c r="AP25" i="12"/>
  <c r="AP15" i="12"/>
  <c r="AP50" i="12"/>
  <c r="V56" i="12"/>
  <c r="AF62" i="12"/>
  <c r="J63" i="12" l="1"/>
  <c r="K63" i="12" s="1"/>
  <c r="H63" i="12"/>
  <c r="E63" i="12"/>
  <c r="F63" i="12" s="1"/>
  <c r="C63" i="12"/>
  <c r="J62" i="12"/>
  <c r="H62" i="12"/>
  <c r="E62" i="12"/>
  <c r="F62" i="12" s="1"/>
  <c r="C62" i="12"/>
  <c r="J61" i="12"/>
  <c r="K61" i="12" s="1"/>
  <c r="H61" i="12"/>
  <c r="E61" i="12"/>
  <c r="F61" i="12" s="1"/>
  <c r="C61" i="12"/>
  <c r="J60" i="12"/>
  <c r="H60" i="12"/>
  <c r="E60" i="12"/>
  <c r="F60" i="12" s="1"/>
  <c r="C60" i="12"/>
  <c r="D60" i="12" s="1"/>
  <c r="J59" i="12"/>
  <c r="K59" i="12" s="1"/>
  <c r="H59" i="12"/>
  <c r="E59" i="12"/>
  <c r="F59" i="12" s="1"/>
  <c r="C59" i="12"/>
  <c r="J58" i="12"/>
  <c r="H58" i="12"/>
  <c r="E58" i="12"/>
  <c r="F58" i="12" s="1"/>
  <c r="C58" i="12"/>
  <c r="J57" i="12"/>
  <c r="K57" i="12" s="1"/>
  <c r="H57" i="12"/>
  <c r="E57" i="12"/>
  <c r="F57" i="12" s="1"/>
  <c r="C57" i="12"/>
  <c r="J56" i="12"/>
  <c r="H56" i="12"/>
  <c r="E56" i="12"/>
  <c r="F56" i="12" s="1"/>
  <c r="C56" i="12"/>
  <c r="D56" i="12" s="1"/>
  <c r="J55" i="12"/>
  <c r="K55" i="12" s="1"/>
  <c r="H55" i="12"/>
  <c r="E55" i="12"/>
  <c r="F55" i="12" s="1"/>
  <c r="C55" i="12"/>
  <c r="J54" i="12"/>
  <c r="H54" i="12"/>
  <c r="E54" i="12"/>
  <c r="F54" i="12" s="1"/>
  <c r="C54" i="12"/>
  <c r="D54" i="12" s="1"/>
  <c r="J53" i="12"/>
  <c r="K53" i="12" s="1"/>
  <c r="H53" i="12"/>
  <c r="E53" i="12"/>
  <c r="F53" i="12" s="1"/>
  <c r="C53" i="12"/>
  <c r="J52" i="12"/>
  <c r="H52" i="12"/>
  <c r="E52" i="12"/>
  <c r="F52" i="12" s="1"/>
  <c r="C52" i="12"/>
  <c r="D52" i="12" s="1"/>
  <c r="J51" i="12"/>
  <c r="K51" i="12" s="1"/>
  <c r="H51" i="12"/>
  <c r="E51" i="12"/>
  <c r="F51" i="12" s="1"/>
  <c r="C51" i="12"/>
  <c r="J50" i="12"/>
  <c r="H50" i="12"/>
  <c r="E50" i="12"/>
  <c r="F50" i="12" s="1"/>
  <c r="C50" i="12"/>
  <c r="D50" i="12" s="1"/>
  <c r="J49" i="12"/>
  <c r="K49" i="12" s="1"/>
  <c r="H49" i="12"/>
  <c r="E49" i="12"/>
  <c r="F49" i="12" s="1"/>
  <c r="C49" i="12"/>
  <c r="J48" i="12"/>
  <c r="H48" i="12"/>
  <c r="E48" i="12"/>
  <c r="F48" i="12" s="1"/>
  <c r="C48" i="12"/>
  <c r="D48" i="12" s="1"/>
  <c r="J47" i="12"/>
  <c r="K47" i="12" s="1"/>
  <c r="H47" i="12"/>
  <c r="E47" i="12"/>
  <c r="F47" i="12" s="1"/>
  <c r="C47" i="12"/>
  <c r="J46" i="12"/>
  <c r="H46" i="12"/>
  <c r="E46" i="12"/>
  <c r="F46" i="12" s="1"/>
  <c r="C46" i="12"/>
  <c r="J45" i="12"/>
  <c r="K45" i="12" s="1"/>
  <c r="H45" i="12"/>
  <c r="E45" i="12"/>
  <c r="F45" i="12" s="1"/>
  <c r="C45" i="12"/>
  <c r="D45" i="12" s="1"/>
  <c r="J44" i="12"/>
  <c r="H44" i="12"/>
  <c r="E44" i="12"/>
  <c r="F44" i="12" s="1"/>
  <c r="C44" i="12"/>
  <c r="J43" i="12"/>
  <c r="K43" i="12" s="1"/>
  <c r="H43" i="12"/>
  <c r="E43" i="12"/>
  <c r="F43" i="12" s="1"/>
  <c r="C43" i="12"/>
  <c r="D43" i="12" s="1"/>
  <c r="J42" i="12"/>
  <c r="H42" i="12"/>
  <c r="E42" i="12"/>
  <c r="F42" i="12" s="1"/>
  <c r="C42" i="12"/>
  <c r="J41" i="12"/>
  <c r="K41" i="12" s="1"/>
  <c r="H41" i="12"/>
  <c r="E41" i="12"/>
  <c r="F41" i="12" s="1"/>
  <c r="C41" i="12"/>
  <c r="D41" i="12" s="1"/>
  <c r="J40" i="12"/>
  <c r="H40" i="12"/>
  <c r="E40" i="12"/>
  <c r="F40" i="12" s="1"/>
  <c r="C40" i="12"/>
  <c r="D40" i="12" s="1"/>
  <c r="J39" i="12"/>
  <c r="K39" i="12" s="1"/>
  <c r="H39" i="12"/>
  <c r="E39" i="12"/>
  <c r="F39" i="12" s="1"/>
  <c r="C39" i="12"/>
  <c r="D39" i="12" s="1"/>
  <c r="J38" i="12"/>
  <c r="H38" i="12"/>
  <c r="E38" i="12"/>
  <c r="F38" i="12" s="1"/>
  <c r="C38" i="12"/>
  <c r="D38" i="12" s="1"/>
  <c r="J37" i="12"/>
  <c r="K37" i="12" s="1"/>
  <c r="H37" i="12"/>
  <c r="E37" i="12"/>
  <c r="F37" i="12" s="1"/>
  <c r="C37" i="12"/>
  <c r="J36" i="12"/>
  <c r="H36" i="12"/>
  <c r="E36" i="12"/>
  <c r="F36" i="12" s="1"/>
  <c r="C36" i="12"/>
  <c r="D36" i="12" s="1"/>
  <c r="J35" i="12"/>
  <c r="K35" i="12" s="1"/>
  <c r="H35" i="12"/>
  <c r="E35" i="12"/>
  <c r="F35" i="12" s="1"/>
  <c r="C35" i="12"/>
  <c r="J34" i="12"/>
  <c r="H34" i="12"/>
  <c r="E34" i="12"/>
  <c r="F34" i="12" s="1"/>
  <c r="C34" i="12"/>
  <c r="J33" i="12"/>
  <c r="K33" i="12" s="1"/>
  <c r="H33" i="12"/>
  <c r="E33" i="12"/>
  <c r="F33" i="12" s="1"/>
  <c r="C33" i="12"/>
  <c r="D33" i="12" s="1"/>
  <c r="J32" i="12"/>
  <c r="H32" i="12"/>
  <c r="E32" i="12"/>
  <c r="F32" i="12" s="1"/>
  <c r="C32" i="12"/>
  <c r="D32" i="12" s="1"/>
  <c r="J31" i="12"/>
  <c r="K31" i="12" s="1"/>
  <c r="H31" i="12"/>
  <c r="E31" i="12"/>
  <c r="F31" i="12" s="1"/>
  <c r="C31" i="12"/>
  <c r="D31" i="12" s="1"/>
  <c r="J30" i="12"/>
  <c r="H30" i="12"/>
  <c r="E30" i="12"/>
  <c r="F30" i="12" s="1"/>
  <c r="C30" i="12"/>
  <c r="D30" i="12" s="1"/>
  <c r="J29" i="12"/>
  <c r="K29" i="12" s="1"/>
  <c r="H29" i="12"/>
  <c r="E29" i="12"/>
  <c r="F29" i="12" s="1"/>
  <c r="C29" i="12"/>
  <c r="J28" i="12"/>
  <c r="H28" i="12"/>
  <c r="E28" i="12"/>
  <c r="F28" i="12" s="1"/>
  <c r="C28" i="12"/>
  <c r="J27" i="12"/>
  <c r="K27" i="12" s="1"/>
  <c r="H27" i="12"/>
  <c r="E27" i="12"/>
  <c r="F27" i="12" s="1"/>
  <c r="C27" i="12"/>
  <c r="D27" i="12" s="1"/>
  <c r="J26" i="12"/>
  <c r="H26" i="12"/>
  <c r="E26" i="12"/>
  <c r="F26" i="12" s="1"/>
  <c r="C26" i="12"/>
  <c r="D26" i="12" s="1"/>
  <c r="J25" i="12"/>
  <c r="K25" i="12" s="1"/>
  <c r="H25" i="12"/>
  <c r="E25" i="12"/>
  <c r="F25" i="12" s="1"/>
  <c r="C25" i="12"/>
  <c r="J24" i="12"/>
  <c r="H24" i="12"/>
  <c r="E24" i="12"/>
  <c r="F24" i="12" s="1"/>
  <c r="C24" i="12"/>
  <c r="J23" i="12"/>
  <c r="K23" i="12" s="1"/>
  <c r="H23" i="12"/>
  <c r="E23" i="12"/>
  <c r="F23" i="12" s="1"/>
  <c r="C23" i="12"/>
  <c r="D23" i="12" s="1"/>
  <c r="J22" i="12"/>
  <c r="H22" i="12"/>
  <c r="E22" i="12"/>
  <c r="F22" i="12" s="1"/>
  <c r="C22" i="12"/>
  <c r="J21" i="12"/>
  <c r="K21" i="12" s="1"/>
  <c r="H21" i="12"/>
  <c r="E21" i="12"/>
  <c r="F21" i="12" s="1"/>
  <c r="C21" i="12"/>
  <c r="D21" i="12" s="1"/>
  <c r="J20" i="12"/>
  <c r="H20" i="12"/>
  <c r="E20" i="12"/>
  <c r="F20" i="12" s="1"/>
  <c r="C20" i="12"/>
  <c r="D20" i="12" s="1"/>
  <c r="J19" i="12"/>
  <c r="K19" i="12" s="1"/>
  <c r="H19" i="12"/>
  <c r="E19" i="12"/>
  <c r="F19" i="12" s="1"/>
  <c r="C19" i="12"/>
  <c r="J18" i="12"/>
  <c r="H18" i="12"/>
  <c r="E18" i="12"/>
  <c r="F18" i="12" s="1"/>
  <c r="C18" i="12"/>
  <c r="J17" i="12"/>
  <c r="K17" i="12" s="1"/>
  <c r="H17" i="12"/>
  <c r="E17" i="12"/>
  <c r="F17" i="12" s="1"/>
  <c r="C17" i="12"/>
  <c r="J16" i="12"/>
  <c r="H16" i="12"/>
  <c r="E16" i="12"/>
  <c r="F16" i="12" s="1"/>
  <c r="C16" i="12"/>
  <c r="D16" i="12" s="1"/>
  <c r="J15" i="12"/>
  <c r="K15" i="12" s="1"/>
  <c r="H15" i="12"/>
  <c r="E15" i="12"/>
  <c r="F15" i="12" s="1"/>
  <c r="C15" i="12"/>
  <c r="D15" i="12" s="1"/>
  <c r="J14" i="12"/>
  <c r="H14" i="12"/>
  <c r="E14" i="12"/>
  <c r="F14" i="12" s="1"/>
  <c r="C14" i="12"/>
  <c r="J13" i="12"/>
  <c r="K13" i="12" s="1"/>
  <c r="H13" i="12"/>
  <c r="E13" i="12"/>
  <c r="F13" i="12" s="1"/>
  <c r="C13" i="12"/>
  <c r="J12" i="12"/>
  <c r="H12" i="12"/>
  <c r="E12" i="12"/>
  <c r="F12" i="12" s="1"/>
  <c r="C12" i="12"/>
  <c r="D12" i="12" s="1"/>
  <c r="J11" i="12"/>
  <c r="K11" i="12" s="1"/>
  <c r="H11" i="12"/>
  <c r="E11" i="12"/>
  <c r="F11" i="12" s="1"/>
  <c r="C11" i="12"/>
  <c r="D11" i="12" s="1"/>
  <c r="J10" i="12"/>
  <c r="H10" i="12"/>
  <c r="E10" i="12"/>
  <c r="F10" i="12" s="1"/>
  <c r="C10" i="12"/>
  <c r="D10" i="12" s="1"/>
  <c r="G16" i="12" l="1"/>
  <c r="G54" i="12"/>
  <c r="G56" i="12"/>
  <c r="G60" i="12"/>
  <c r="G10" i="12"/>
  <c r="G26" i="12"/>
  <c r="G32" i="12"/>
  <c r="G40" i="12"/>
  <c r="G50" i="12"/>
  <c r="G11" i="12"/>
  <c r="G15" i="12"/>
  <c r="G21" i="12"/>
  <c r="G23" i="12"/>
  <c r="G27" i="12"/>
  <c r="G31" i="12"/>
  <c r="G33" i="12"/>
  <c r="G39" i="12"/>
  <c r="G41" i="12"/>
  <c r="G43" i="12"/>
  <c r="G45" i="12"/>
  <c r="G30" i="12"/>
  <c r="G38" i="12"/>
  <c r="G52" i="12"/>
  <c r="G12" i="12"/>
  <c r="G20" i="12"/>
  <c r="G36" i="12"/>
  <c r="G48" i="12"/>
  <c r="K14" i="12"/>
  <c r="L14" i="12" s="1"/>
  <c r="K20" i="12"/>
  <c r="K24" i="12"/>
  <c r="K26" i="12"/>
  <c r="K30" i="12"/>
  <c r="K32" i="12"/>
  <c r="K34" i="12"/>
  <c r="K36" i="12"/>
  <c r="K38" i="12"/>
  <c r="K40" i="12"/>
  <c r="K42" i="12"/>
  <c r="K44" i="12"/>
  <c r="K46" i="12"/>
  <c r="K10" i="12"/>
  <c r="K12" i="12"/>
  <c r="K16" i="12"/>
  <c r="K18" i="12"/>
  <c r="K22" i="12"/>
  <c r="K28" i="12"/>
  <c r="K48" i="12"/>
  <c r="K50" i="12"/>
  <c r="K52" i="12"/>
  <c r="K54" i="12"/>
  <c r="K56" i="12"/>
  <c r="K58" i="12"/>
  <c r="K60" i="12"/>
  <c r="K62" i="12"/>
  <c r="D14" i="12"/>
  <c r="G14" i="12" s="1"/>
  <c r="D59" i="12"/>
  <c r="G59" i="12" s="1"/>
  <c r="D18" i="12"/>
  <c r="G18" i="12" s="1"/>
  <c r="D19" i="12"/>
  <c r="G19" i="12" s="1"/>
  <c r="D25" i="12"/>
  <c r="G25" i="12" s="1"/>
  <c r="D29" i="12"/>
  <c r="G29" i="12" s="1"/>
  <c r="D35" i="12"/>
  <c r="G35" i="12" s="1"/>
  <c r="D37" i="12"/>
  <c r="G37" i="12" s="1"/>
  <c r="D44" i="12"/>
  <c r="G44" i="12" s="1"/>
  <c r="D46" i="12"/>
  <c r="G46" i="12" s="1"/>
  <c r="D51" i="12"/>
  <c r="G51" i="12" s="1"/>
  <c r="D55" i="12"/>
  <c r="G55" i="12" s="1"/>
  <c r="D13" i="12"/>
  <c r="G13" i="12" s="1"/>
  <c r="D17" i="12"/>
  <c r="G17" i="12" s="1"/>
  <c r="D22" i="12"/>
  <c r="G22" i="12" s="1"/>
  <c r="D24" i="12"/>
  <c r="G24" i="12" s="1"/>
  <c r="D28" i="12"/>
  <c r="G28" i="12" s="1"/>
  <c r="D34" i="12"/>
  <c r="G34" i="12" s="1"/>
  <c r="D42" i="12"/>
  <c r="G42" i="12" s="1"/>
  <c r="D47" i="12"/>
  <c r="G47" i="12" s="1"/>
  <c r="D49" i="12"/>
  <c r="G49" i="12" s="1"/>
  <c r="I19" i="12"/>
  <c r="L19" i="12" s="1"/>
  <c r="I11" i="12"/>
  <c r="L11" i="12" s="1"/>
  <c r="I15" i="12"/>
  <c r="L15" i="12" s="1"/>
  <c r="I28" i="12"/>
  <c r="I36" i="12"/>
  <c r="I18" i="12"/>
  <c r="I35" i="12"/>
  <c r="L35" i="12" s="1"/>
  <c r="I14" i="12"/>
  <c r="I43" i="12"/>
  <c r="L43" i="12" s="1"/>
  <c r="I10" i="12"/>
  <c r="I47" i="12"/>
  <c r="L47" i="12" s="1"/>
  <c r="I62" i="12"/>
  <c r="I58" i="12"/>
  <c r="I54" i="12"/>
  <c r="I50" i="12"/>
  <c r="I59" i="12"/>
  <c r="L59" i="12" s="1"/>
  <c r="I63" i="12"/>
  <c r="I44" i="12"/>
  <c r="I57" i="12"/>
  <c r="L57" i="12" s="1"/>
  <c r="I53" i="12"/>
  <c r="L53" i="12" s="1"/>
  <c r="I40" i="12"/>
  <c r="I33" i="12"/>
  <c r="L33" i="12" s="1"/>
  <c r="I29" i="12"/>
  <c r="L29" i="12" s="1"/>
  <c r="I46" i="12"/>
  <c r="I42" i="12"/>
  <c r="I38" i="12"/>
  <c r="I34" i="12"/>
  <c r="I30" i="12"/>
  <c r="I26" i="12"/>
  <c r="I22" i="12"/>
  <c r="I31" i="12"/>
  <c r="L31" i="12" s="1"/>
  <c r="I61" i="12"/>
  <c r="L61" i="12" s="1"/>
  <c r="I13" i="12"/>
  <c r="L13" i="12" s="1"/>
  <c r="I17" i="12"/>
  <c r="L17" i="12" s="1"/>
  <c r="I21" i="12"/>
  <c r="L21" i="12" s="1"/>
  <c r="I23" i="12"/>
  <c r="L23" i="12" s="1"/>
  <c r="I24" i="12"/>
  <c r="I25" i="12"/>
  <c r="L25" i="12" s="1"/>
  <c r="I37" i="12"/>
  <c r="L37" i="12" s="1"/>
  <c r="I12" i="12"/>
  <c r="I16" i="12"/>
  <c r="I20" i="12"/>
  <c r="I27" i="12"/>
  <c r="L27" i="12" s="1"/>
  <c r="I32" i="12"/>
  <c r="I48" i="12"/>
  <c r="I49" i="12"/>
  <c r="L49" i="12" s="1"/>
  <c r="I39" i="12"/>
  <c r="L39" i="12" s="1"/>
  <c r="I41" i="12"/>
  <c r="L41" i="12" s="1"/>
  <c r="I45" i="12"/>
  <c r="L45" i="12" s="1"/>
  <c r="I55" i="12"/>
  <c r="L55" i="12" s="1"/>
  <c r="I60" i="12"/>
  <c r="I51" i="12"/>
  <c r="L51" i="12" s="1"/>
  <c r="I52" i="12"/>
  <c r="I56" i="12"/>
  <c r="D61" i="12"/>
  <c r="G61" i="12" s="1"/>
  <c r="D57" i="12"/>
  <c r="G57" i="12" s="1"/>
  <c r="D53" i="12"/>
  <c r="G53" i="12" s="1"/>
  <c r="D62" i="12"/>
  <c r="G62" i="12" s="1"/>
  <c r="D58" i="12"/>
  <c r="G58" i="12" s="1"/>
  <c r="D63" i="12"/>
  <c r="L38" i="12" l="1"/>
  <c r="L44" i="12"/>
  <c r="L52" i="12"/>
  <c r="L10" i="12"/>
  <c r="L32" i="12"/>
  <c r="L50" i="12"/>
  <c r="L46" i="12"/>
  <c r="L30" i="12"/>
  <c r="L58" i="12"/>
  <c r="L18" i="12"/>
  <c r="L56" i="12"/>
  <c r="L16" i="12"/>
  <c r="L36" i="12"/>
  <c r="L54" i="12"/>
  <c r="L12" i="12"/>
  <c r="L34" i="12"/>
  <c r="L48" i="12"/>
  <c r="L26" i="12"/>
  <c r="L62" i="12"/>
  <c r="L42" i="12"/>
  <c r="L28" i="12"/>
  <c r="L24" i="12"/>
  <c r="L60" i="12"/>
  <c r="L22" i="12"/>
  <c r="L40" i="12"/>
  <c r="L20" i="12"/>
  <c r="AN63" i="1"/>
  <c r="AM63" i="1"/>
  <c r="AN62" i="1"/>
  <c r="AM62" i="1"/>
  <c r="AN61" i="1"/>
  <c r="AM61" i="1"/>
  <c r="AN60" i="1"/>
  <c r="AM60" i="1"/>
  <c r="AN59" i="1"/>
  <c r="AM59" i="1"/>
  <c r="AN58" i="1"/>
  <c r="AM58" i="1"/>
  <c r="AN57" i="1"/>
  <c r="AM57" i="1"/>
  <c r="AN56" i="1"/>
  <c r="AM56" i="1"/>
  <c r="AN55" i="1"/>
  <c r="AM55" i="1"/>
  <c r="AN54" i="1"/>
  <c r="AM54" i="1"/>
  <c r="AN53" i="1"/>
  <c r="AM53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3" i="1"/>
  <c r="AM43" i="1"/>
  <c r="AN42" i="1"/>
  <c r="AM42" i="1"/>
  <c r="AN41" i="1"/>
  <c r="AM41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N30" i="1"/>
  <c r="AM30" i="1"/>
  <c r="AN29" i="1"/>
  <c r="AM29" i="1"/>
  <c r="AN28" i="1"/>
  <c r="AM28" i="1"/>
  <c r="AN27" i="1"/>
  <c r="AM27" i="1"/>
  <c r="AN26" i="1"/>
  <c r="AM26" i="1"/>
  <c r="AN25" i="1"/>
  <c r="AM25" i="1"/>
  <c r="AN24" i="1"/>
  <c r="AM24" i="1"/>
  <c r="AN23" i="1"/>
  <c r="AM23" i="1"/>
  <c r="AN22" i="1"/>
  <c r="AM22" i="1"/>
  <c r="AN21" i="1"/>
  <c r="AM21" i="1"/>
  <c r="AN20" i="1"/>
  <c r="AM20" i="1"/>
  <c r="AN19" i="1"/>
  <c r="AM19" i="1"/>
  <c r="AN18" i="1"/>
  <c r="AM18" i="1"/>
  <c r="AN17" i="1"/>
  <c r="AM17" i="1"/>
  <c r="AN16" i="1"/>
  <c r="AM16" i="1"/>
  <c r="AN15" i="1"/>
  <c r="AM15" i="1"/>
  <c r="AN14" i="1"/>
  <c r="AM14" i="1"/>
  <c r="AN13" i="1"/>
  <c r="AM13" i="1"/>
  <c r="AN12" i="1"/>
  <c r="AM12" i="1"/>
  <c r="AN11" i="1"/>
  <c r="AM11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H63" i="1"/>
  <c r="AG63" i="1"/>
  <c r="AH62" i="1"/>
  <c r="AG62" i="1"/>
  <c r="AH61" i="1"/>
  <c r="AG61" i="1"/>
  <c r="AH60" i="1"/>
  <c r="AG60" i="1"/>
  <c r="AH59" i="1"/>
  <c r="AG59" i="1"/>
  <c r="AH58" i="1"/>
  <c r="AG58" i="1"/>
  <c r="AH57" i="1"/>
  <c r="AG57" i="1"/>
  <c r="AH56" i="1"/>
  <c r="AG56" i="1"/>
  <c r="AH55" i="1"/>
  <c r="AG55" i="1"/>
  <c r="AH54" i="1"/>
  <c r="AG54" i="1"/>
  <c r="AH53" i="1"/>
  <c r="AG53" i="1"/>
  <c r="AH52" i="1"/>
  <c r="AG52" i="1"/>
  <c r="AH51" i="1"/>
  <c r="AG51" i="1"/>
  <c r="AH50" i="1"/>
  <c r="AG50" i="1"/>
  <c r="AH49" i="1"/>
  <c r="AG49" i="1"/>
  <c r="AH48" i="1"/>
  <c r="AG48" i="1"/>
  <c r="AH47" i="1"/>
  <c r="AG47" i="1"/>
  <c r="AH46" i="1"/>
  <c r="AG46" i="1"/>
  <c r="AH45" i="1"/>
  <c r="AG45" i="1"/>
  <c r="AH44" i="1"/>
  <c r="AG44" i="1"/>
  <c r="AH43" i="1"/>
  <c r="AG43" i="1"/>
  <c r="AH42" i="1"/>
  <c r="AG42" i="1"/>
  <c r="AH41" i="1"/>
  <c r="AG41" i="1"/>
  <c r="AH40" i="1"/>
  <c r="AG40" i="1"/>
  <c r="AH39" i="1"/>
  <c r="AG39" i="1"/>
  <c r="AH38" i="1"/>
  <c r="AG38" i="1"/>
  <c r="AH37" i="1"/>
  <c r="AG37" i="1"/>
  <c r="AH36" i="1"/>
  <c r="AG36" i="1"/>
  <c r="AH35" i="1"/>
  <c r="AG35" i="1"/>
  <c r="AH34" i="1"/>
  <c r="AG34" i="1"/>
  <c r="AH33" i="1"/>
  <c r="AG33" i="1"/>
  <c r="AH32" i="1"/>
  <c r="AG32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E63" i="1"/>
  <c r="AD63" i="1"/>
  <c r="AE62" i="1"/>
  <c r="AD62" i="1"/>
  <c r="AE61" i="1"/>
  <c r="AD61" i="1"/>
  <c r="AE60" i="1"/>
  <c r="AD60" i="1"/>
  <c r="AE59" i="1"/>
  <c r="AD59" i="1"/>
  <c r="AE58" i="1"/>
  <c r="AD58" i="1"/>
  <c r="AE57" i="1"/>
  <c r="AD57" i="1"/>
  <c r="AE56" i="1"/>
  <c r="AD56" i="1"/>
  <c r="AE55" i="1"/>
  <c r="AD55" i="1"/>
  <c r="AE54" i="1"/>
  <c r="AD54" i="1"/>
  <c r="AE53" i="1"/>
  <c r="AD53" i="1"/>
  <c r="AE52" i="1"/>
  <c r="AD52" i="1"/>
  <c r="AE51" i="1"/>
  <c r="AD51" i="1"/>
  <c r="AE50" i="1"/>
  <c r="AD50" i="1"/>
  <c r="AE49" i="1"/>
  <c r="AD49" i="1"/>
  <c r="AE48" i="1"/>
  <c r="AD48" i="1"/>
  <c r="AE47" i="1"/>
  <c r="AD47" i="1"/>
  <c r="AE46" i="1"/>
  <c r="AD46" i="1"/>
  <c r="AE45" i="1"/>
  <c r="AD45" i="1"/>
  <c r="AE44" i="1"/>
  <c r="AD44" i="1"/>
  <c r="AE43" i="1"/>
  <c r="AD43" i="1"/>
  <c r="AE42" i="1"/>
  <c r="AD42" i="1"/>
  <c r="AE41" i="1"/>
  <c r="AD41" i="1"/>
  <c r="AE40" i="1"/>
  <c r="AD40" i="1"/>
  <c r="AE39" i="1"/>
  <c r="AD39" i="1"/>
  <c r="AE38" i="1"/>
  <c r="AD38" i="1"/>
  <c r="AE37" i="1"/>
  <c r="AD37" i="1"/>
  <c r="AE36" i="1"/>
  <c r="AD36" i="1"/>
  <c r="AE35" i="1"/>
  <c r="AD35" i="1"/>
  <c r="AE34" i="1"/>
  <c r="AD34" i="1"/>
  <c r="AE33" i="1"/>
  <c r="AD33" i="1"/>
  <c r="AE32" i="1"/>
  <c r="AD32" i="1"/>
  <c r="AE31" i="1"/>
  <c r="AD31" i="1"/>
  <c r="AE30" i="1"/>
  <c r="AD30" i="1"/>
  <c r="AE29" i="1"/>
  <c r="AD29" i="1"/>
  <c r="AE28" i="1"/>
  <c r="AD28" i="1"/>
  <c r="AE27" i="1"/>
  <c r="AD27" i="1"/>
  <c r="AE26" i="1"/>
  <c r="AD26" i="1"/>
  <c r="AE25" i="1"/>
  <c r="AD25" i="1"/>
  <c r="AE24" i="1"/>
  <c r="AD24" i="1"/>
  <c r="AE23" i="1"/>
  <c r="AD23" i="1"/>
  <c r="AE22" i="1"/>
  <c r="AD22" i="1"/>
  <c r="AE21" i="1"/>
  <c r="AD21" i="1"/>
  <c r="AE20" i="1"/>
  <c r="AD20" i="1"/>
  <c r="AE19" i="1"/>
  <c r="AD19" i="1"/>
  <c r="AE18" i="1"/>
  <c r="AD18" i="1"/>
  <c r="AE17" i="1"/>
  <c r="AD17" i="1"/>
  <c r="AE16" i="1"/>
  <c r="AD16" i="1"/>
  <c r="AE15" i="1"/>
  <c r="AD15" i="1"/>
  <c r="AE14" i="1"/>
  <c r="AD14" i="1"/>
  <c r="AE13" i="1"/>
  <c r="AD13" i="1"/>
  <c r="AE12" i="1"/>
  <c r="AD12" i="1"/>
  <c r="AE11" i="1"/>
  <c r="AD11" i="1"/>
  <c r="AA63" i="1"/>
  <c r="AA62" i="1"/>
  <c r="AA61" i="1"/>
  <c r="AB63" i="1"/>
  <c r="AB62" i="1"/>
  <c r="AB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40" i="1"/>
  <c r="X40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M63" i="1"/>
  <c r="M62" i="1"/>
  <c r="M61" i="1"/>
  <c r="L63" i="1"/>
  <c r="L62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63" i="1"/>
  <c r="G62" i="1"/>
  <c r="G61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T13" i="1" l="1"/>
  <c r="T33" i="1"/>
  <c r="T49" i="1"/>
  <c r="T57" i="1"/>
  <c r="T61" i="1"/>
  <c r="W12" i="1"/>
  <c r="W60" i="1"/>
  <c r="Z55" i="1"/>
  <c r="Z59" i="1"/>
  <c r="Z63" i="1"/>
  <c r="AF21" i="1"/>
  <c r="AF25" i="1"/>
  <c r="AF29" i="1"/>
  <c r="AF33" i="1"/>
  <c r="AF41" i="1"/>
  <c r="AF45" i="1"/>
  <c r="AF49" i="1"/>
  <c r="AF53" i="1"/>
  <c r="AF57" i="1"/>
  <c r="AC62" i="1"/>
  <c r="H14" i="1"/>
  <c r="H22" i="1"/>
  <c r="H30" i="1"/>
  <c r="H38" i="1"/>
  <c r="H46" i="1"/>
  <c r="H54" i="1"/>
  <c r="N11" i="1"/>
  <c r="N15" i="1"/>
  <c r="N19" i="1"/>
  <c r="N23" i="1"/>
  <c r="N27" i="1"/>
  <c r="N31" i="1"/>
  <c r="N35" i="1"/>
  <c r="N39" i="1"/>
  <c r="N43" i="1"/>
  <c r="N47" i="1"/>
  <c r="N51" i="1"/>
  <c r="N55" i="1"/>
  <c r="N59" i="1"/>
  <c r="T17" i="1"/>
  <c r="T21" i="1"/>
  <c r="T25" i="1"/>
  <c r="T29" i="1"/>
  <c r="T37" i="1"/>
  <c r="T41" i="1"/>
  <c r="T45" i="1"/>
  <c r="T53" i="1"/>
  <c r="W16" i="1"/>
  <c r="W20" i="1"/>
  <c r="W24" i="1"/>
  <c r="W28" i="1"/>
  <c r="W32" i="1"/>
  <c r="W36" i="1"/>
  <c r="W40" i="1"/>
  <c r="W44" i="1"/>
  <c r="W48" i="1"/>
  <c r="W52" i="1"/>
  <c r="W56" i="1"/>
  <c r="Z11" i="1"/>
  <c r="Z15" i="1"/>
  <c r="Z19" i="1"/>
  <c r="Z23" i="1"/>
  <c r="Z27" i="1"/>
  <c r="Z31" i="1"/>
  <c r="Z35" i="1"/>
  <c r="Z39" i="1"/>
  <c r="Z43" i="1"/>
  <c r="Z47" i="1"/>
  <c r="Z51" i="1"/>
  <c r="AC14" i="1"/>
  <c r="AC18" i="1"/>
  <c r="AC22" i="1"/>
  <c r="AC26" i="1"/>
  <c r="AC30" i="1"/>
  <c r="AC34" i="1"/>
  <c r="AC38" i="1"/>
  <c r="AC42" i="1"/>
  <c r="AC46" i="1"/>
  <c r="AC50" i="1"/>
  <c r="AC54" i="1"/>
  <c r="AC58" i="1"/>
  <c r="AF13" i="1"/>
  <c r="AF17" i="1"/>
  <c r="AF37" i="1"/>
  <c r="N33" i="1"/>
  <c r="AC60" i="1"/>
  <c r="E10" i="1"/>
  <c r="E18" i="1"/>
  <c r="E26" i="1"/>
  <c r="E34" i="1"/>
  <c r="E42" i="1"/>
  <c r="E50" i="1"/>
  <c r="E58" i="1"/>
  <c r="N41" i="1"/>
  <c r="N61" i="1"/>
  <c r="N29" i="1"/>
  <c r="AC56" i="1"/>
  <c r="AC63" i="1"/>
  <c r="N37" i="1"/>
  <c r="Z61" i="1"/>
  <c r="E13" i="1"/>
  <c r="E29" i="1"/>
  <c r="E37" i="1"/>
  <c r="E53" i="1"/>
  <c r="Q13" i="1"/>
  <c r="Q21" i="1"/>
  <c r="Q37" i="1"/>
  <c r="Q45" i="1"/>
  <c r="Q53" i="1"/>
  <c r="Q61" i="1"/>
  <c r="N45" i="1"/>
  <c r="E21" i="1"/>
  <c r="E45" i="1"/>
  <c r="E61" i="1"/>
  <c r="Q29" i="1"/>
  <c r="H11" i="1"/>
  <c r="H19" i="1"/>
  <c r="H27" i="1"/>
  <c r="H35" i="1"/>
  <c r="H43" i="1"/>
  <c r="H51" i="1"/>
  <c r="H59" i="1"/>
  <c r="Q18" i="1"/>
  <c r="Q26" i="1"/>
  <c r="Q34" i="1"/>
  <c r="Q42" i="1"/>
  <c r="Q50" i="1"/>
  <c r="Q58" i="1"/>
  <c r="AC61" i="1"/>
  <c r="E11" i="1"/>
  <c r="E27" i="1"/>
  <c r="E35" i="1"/>
  <c r="E43" i="1"/>
  <c r="E51" i="1"/>
  <c r="E59" i="1"/>
  <c r="Q11" i="1"/>
  <c r="Q19" i="1"/>
  <c r="Q27" i="1"/>
  <c r="Q35" i="1"/>
  <c r="Q43" i="1"/>
  <c r="Q51" i="1"/>
  <c r="Q59" i="1"/>
  <c r="E19" i="1"/>
  <c r="E12" i="1"/>
  <c r="E20" i="1"/>
  <c r="E28" i="1"/>
  <c r="E36" i="1"/>
  <c r="E44" i="1"/>
  <c r="E52" i="1"/>
  <c r="E60" i="1"/>
  <c r="N62" i="1"/>
  <c r="Q12" i="1"/>
  <c r="Q20" i="1"/>
  <c r="Q28" i="1"/>
  <c r="Q36" i="1"/>
  <c r="Q44" i="1"/>
  <c r="Q52" i="1"/>
  <c r="Q60" i="1"/>
  <c r="AF61" i="1"/>
  <c r="AI12" i="1"/>
  <c r="AI16" i="1"/>
  <c r="AI20" i="1"/>
  <c r="AI24" i="1"/>
  <c r="AI28" i="1"/>
  <c r="AI32" i="1"/>
  <c r="AI36" i="1"/>
  <c r="AI40" i="1"/>
  <c r="AI44" i="1"/>
  <c r="AI48" i="1"/>
  <c r="AI52" i="1"/>
  <c r="AI56" i="1"/>
  <c r="AI60" i="1"/>
  <c r="AL11" i="1"/>
  <c r="AL15" i="1"/>
  <c r="AL19" i="1"/>
  <c r="AL23" i="1"/>
  <c r="AL27" i="1"/>
  <c r="AL31" i="1"/>
  <c r="AL35" i="1"/>
  <c r="AL39" i="1"/>
  <c r="AL43" i="1"/>
  <c r="E14" i="1"/>
  <c r="E22" i="1"/>
  <c r="E30" i="1"/>
  <c r="E38" i="1"/>
  <c r="E46" i="1"/>
  <c r="E54" i="1"/>
  <c r="E62" i="1"/>
  <c r="Q14" i="1"/>
  <c r="Q22" i="1"/>
  <c r="Q30" i="1"/>
  <c r="Q38" i="1"/>
  <c r="Q46" i="1"/>
  <c r="Q54" i="1"/>
  <c r="Q62" i="1"/>
  <c r="H20" i="1"/>
  <c r="H36" i="1"/>
  <c r="H60" i="1"/>
  <c r="N18" i="1"/>
  <c r="N34" i="1"/>
  <c r="N46" i="1"/>
  <c r="N58" i="1"/>
  <c r="T16" i="1"/>
  <c r="T28" i="1"/>
  <c r="T36" i="1"/>
  <c r="T52" i="1"/>
  <c r="T60" i="1"/>
  <c r="W15" i="1"/>
  <c r="W27" i="1"/>
  <c r="W39" i="1"/>
  <c r="W47" i="1"/>
  <c r="W59" i="1"/>
  <c r="Z18" i="1"/>
  <c r="Z26" i="1"/>
  <c r="Z34" i="1"/>
  <c r="Z46" i="1"/>
  <c r="Z58" i="1"/>
  <c r="AC13" i="1"/>
  <c r="AC21" i="1"/>
  <c r="AC29" i="1"/>
  <c r="AC37" i="1"/>
  <c r="AC45" i="1"/>
  <c r="AC57" i="1"/>
  <c r="AF16" i="1"/>
  <c r="AF28" i="1"/>
  <c r="AF36" i="1"/>
  <c r="AF44" i="1"/>
  <c r="AF52" i="1"/>
  <c r="AF60" i="1"/>
  <c r="AI15" i="1"/>
  <c r="AI19" i="1"/>
  <c r="AI27" i="1"/>
  <c r="AI31" i="1"/>
  <c r="AI35" i="1"/>
  <c r="AI39" i="1"/>
  <c r="AI43" i="1"/>
  <c r="AI51" i="1"/>
  <c r="AI55" i="1"/>
  <c r="AI59" i="1"/>
  <c r="AI63" i="1"/>
  <c r="AL14" i="1"/>
  <c r="AL18" i="1"/>
  <c r="AL22" i="1"/>
  <c r="AL26" i="1"/>
  <c r="AL30" i="1"/>
  <c r="AL34" i="1"/>
  <c r="AL38" i="1"/>
  <c r="AL42" i="1"/>
  <c r="AL46" i="1"/>
  <c r="AL50" i="1"/>
  <c r="AL54" i="1"/>
  <c r="AL58" i="1"/>
  <c r="AL62" i="1"/>
  <c r="AO13" i="1"/>
  <c r="AO17" i="1"/>
  <c r="AO21" i="1"/>
  <c r="AO25" i="1"/>
  <c r="AO29" i="1"/>
  <c r="AO33" i="1"/>
  <c r="AO37" i="1"/>
  <c r="AO41" i="1"/>
  <c r="AO45" i="1"/>
  <c r="H13" i="1"/>
  <c r="H21" i="1"/>
  <c r="H29" i="1"/>
  <c r="H37" i="1"/>
  <c r="H45" i="1"/>
  <c r="H53" i="1"/>
  <c r="H12" i="1"/>
  <c r="N38" i="1"/>
  <c r="W23" i="1"/>
  <c r="W55" i="1"/>
  <c r="Z50" i="1"/>
  <c r="AF20" i="1"/>
  <c r="AO53" i="1"/>
  <c r="N63" i="1"/>
  <c r="H61" i="1"/>
  <c r="H23" i="1"/>
  <c r="H31" i="1"/>
  <c r="H39" i="1"/>
  <c r="H47" i="1"/>
  <c r="H55" i="1"/>
  <c r="H28" i="1"/>
  <c r="H44" i="1"/>
  <c r="N14" i="1"/>
  <c r="N22" i="1"/>
  <c r="N42" i="1"/>
  <c r="N54" i="1"/>
  <c r="T12" i="1"/>
  <c r="T20" i="1"/>
  <c r="T24" i="1"/>
  <c r="T32" i="1"/>
  <c r="T40" i="1"/>
  <c r="T56" i="1"/>
  <c r="W11" i="1"/>
  <c r="W19" i="1"/>
  <c r="W31" i="1"/>
  <c r="W43" i="1"/>
  <c r="W51" i="1"/>
  <c r="Z14" i="1"/>
  <c r="Z22" i="1"/>
  <c r="Z30" i="1"/>
  <c r="Z42" i="1"/>
  <c r="Z54" i="1"/>
  <c r="Z62" i="1"/>
  <c r="AC17" i="1"/>
  <c r="AC25" i="1"/>
  <c r="AC33" i="1"/>
  <c r="AC41" i="1"/>
  <c r="AC53" i="1"/>
  <c r="AF12" i="1"/>
  <c r="AF24" i="1"/>
  <c r="AF32" i="1"/>
  <c r="AF40" i="1"/>
  <c r="AF48" i="1"/>
  <c r="AF56" i="1"/>
  <c r="AI11" i="1"/>
  <c r="AI23" i="1"/>
  <c r="AI47" i="1"/>
  <c r="AO61" i="1"/>
  <c r="H15" i="1"/>
  <c r="E15" i="1"/>
  <c r="E23" i="1"/>
  <c r="E31" i="1"/>
  <c r="E39" i="1"/>
  <c r="E47" i="1"/>
  <c r="E55" i="1"/>
  <c r="E63" i="1"/>
  <c r="H62" i="1"/>
  <c r="H16" i="1"/>
  <c r="H24" i="1"/>
  <c r="H32" i="1"/>
  <c r="H40" i="1"/>
  <c r="H48" i="1"/>
  <c r="H56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Q15" i="1"/>
  <c r="Q23" i="1"/>
  <c r="Q31" i="1"/>
  <c r="Q39" i="1"/>
  <c r="Q47" i="1"/>
  <c r="Q55" i="1"/>
  <c r="Q63" i="1"/>
  <c r="T14" i="1"/>
  <c r="T18" i="1"/>
  <c r="T22" i="1"/>
  <c r="T26" i="1"/>
  <c r="T30" i="1"/>
  <c r="T34" i="1"/>
  <c r="T38" i="1"/>
  <c r="T42" i="1"/>
  <c r="T46" i="1"/>
  <c r="T50" i="1"/>
  <c r="T54" i="1"/>
  <c r="T58" i="1"/>
  <c r="T62" i="1"/>
  <c r="W13" i="1"/>
  <c r="W17" i="1"/>
  <c r="W21" i="1"/>
  <c r="W25" i="1"/>
  <c r="W29" i="1"/>
  <c r="W33" i="1"/>
  <c r="W37" i="1"/>
  <c r="N26" i="1"/>
  <c r="T48" i="1"/>
  <c r="W63" i="1"/>
  <c r="AC49" i="1"/>
  <c r="AO49" i="1"/>
  <c r="E16" i="1"/>
  <c r="E24" i="1"/>
  <c r="E32" i="1"/>
  <c r="E40" i="1"/>
  <c r="E48" i="1"/>
  <c r="E56" i="1"/>
  <c r="H63" i="1"/>
  <c r="H17" i="1"/>
  <c r="H25" i="1"/>
  <c r="H33" i="1"/>
  <c r="H41" i="1"/>
  <c r="H49" i="1"/>
  <c r="H57" i="1"/>
  <c r="Q16" i="1"/>
  <c r="Q24" i="1"/>
  <c r="Q32" i="1"/>
  <c r="Q40" i="1"/>
  <c r="Q48" i="1"/>
  <c r="Q56" i="1"/>
  <c r="H52" i="1"/>
  <c r="N30" i="1"/>
  <c r="N50" i="1"/>
  <c r="T44" i="1"/>
  <c r="W35" i="1"/>
  <c r="Z38" i="1"/>
  <c r="AO57" i="1"/>
  <c r="E17" i="1"/>
  <c r="E25" i="1"/>
  <c r="E33" i="1"/>
  <c r="E41" i="1"/>
  <c r="E49" i="1"/>
  <c r="E57" i="1"/>
  <c r="H10" i="1"/>
  <c r="H18" i="1"/>
  <c r="H26" i="1"/>
  <c r="H34" i="1"/>
  <c r="H42" i="1"/>
  <c r="H50" i="1"/>
  <c r="H58" i="1"/>
  <c r="N13" i="1"/>
  <c r="N17" i="1"/>
  <c r="N21" i="1"/>
  <c r="N25" i="1"/>
  <c r="N49" i="1"/>
  <c r="N53" i="1"/>
  <c r="N57" i="1"/>
  <c r="Q17" i="1"/>
  <c r="Q25" i="1"/>
  <c r="Q33" i="1"/>
  <c r="Q41" i="1"/>
  <c r="Q49" i="1"/>
  <c r="Q57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W14" i="1"/>
  <c r="W18" i="1"/>
  <c r="W22" i="1"/>
  <c r="W26" i="1"/>
  <c r="W30" i="1"/>
  <c r="W34" i="1"/>
  <c r="AL47" i="1"/>
  <c r="AL51" i="1"/>
  <c r="AL55" i="1"/>
  <c r="AL59" i="1"/>
  <c r="AL63" i="1"/>
  <c r="AO14" i="1"/>
  <c r="AO18" i="1"/>
  <c r="AO22" i="1"/>
  <c r="AO26" i="1"/>
  <c r="AO30" i="1"/>
  <c r="AO34" i="1"/>
  <c r="AO38" i="1"/>
  <c r="AO42" i="1"/>
  <c r="AO46" i="1"/>
  <c r="AO50" i="1"/>
  <c r="AO54" i="1"/>
  <c r="AO58" i="1"/>
  <c r="AO62" i="1"/>
  <c r="W41" i="1"/>
  <c r="W45" i="1"/>
  <c r="W49" i="1"/>
  <c r="W53" i="1"/>
  <c r="W57" i="1"/>
  <c r="W61" i="1"/>
  <c r="Z12" i="1"/>
  <c r="Z16" i="1"/>
  <c r="Z20" i="1"/>
  <c r="Z24" i="1"/>
  <c r="Z28" i="1"/>
  <c r="Z32" i="1"/>
  <c r="Z36" i="1"/>
  <c r="Z40" i="1"/>
  <c r="Z44" i="1"/>
  <c r="Z48" i="1"/>
  <c r="Z52" i="1"/>
  <c r="Z56" i="1"/>
  <c r="Z60" i="1"/>
  <c r="AC11" i="1"/>
  <c r="AC15" i="1"/>
  <c r="AC19" i="1"/>
  <c r="AC23" i="1"/>
  <c r="AC27" i="1"/>
  <c r="AC31" i="1"/>
  <c r="AC35" i="1"/>
  <c r="AC39" i="1"/>
  <c r="AC43" i="1"/>
  <c r="AC47" i="1"/>
  <c r="AC51" i="1"/>
  <c r="AC55" i="1"/>
  <c r="AC59" i="1"/>
  <c r="AF14" i="1"/>
  <c r="AF18" i="1"/>
  <c r="AF22" i="1"/>
  <c r="AF26" i="1"/>
  <c r="AF30" i="1"/>
  <c r="AF34" i="1"/>
  <c r="AF38" i="1"/>
  <c r="AF42" i="1"/>
  <c r="AF46" i="1"/>
  <c r="AF50" i="1"/>
  <c r="AF54" i="1"/>
  <c r="AF58" i="1"/>
  <c r="AF62" i="1"/>
  <c r="AI13" i="1"/>
  <c r="AI17" i="1"/>
  <c r="AI21" i="1"/>
  <c r="AI25" i="1"/>
  <c r="AI29" i="1"/>
  <c r="AI33" i="1"/>
  <c r="AI37" i="1"/>
  <c r="AI41" i="1"/>
  <c r="AI45" i="1"/>
  <c r="AI49" i="1"/>
  <c r="AI53" i="1"/>
  <c r="AI57" i="1"/>
  <c r="AI61" i="1"/>
  <c r="AL12" i="1"/>
  <c r="AL16" i="1"/>
  <c r="AL20" i="1"/>
  <c r="AL24" i="1"/>
  <c r="AL28" i="1"/>
  <c r="AL32" i="1"/>
  <c r="AL36" i="1"/>
  <c r="AL40" i="1"/>
  <c r="AL44" i="1"/>
  <c r="AL48" i="1"/>
  <c r="AL52" i="1"/>
  <c r="AL56" i="1"/>
  <c r="AL60" i="1"/>
  <c r="AO11" i="1"/>
  <c r="AO15" i="1"/>
  <c r="AO19" i="1"/>
  <c r="AO23" i="1"/>
  <c r="AO27" i="1"/>
  <c r="AO31" i="1"/>
  <c r="AO35" i="1"/>
  <c r="AO39" i="1"/>
  <c r="AO43" i="1"/>
  <c r="AO47" i="1"/>
  <c r="AO51" i="1"/>
  <c r="AO55" i="1"/>
  <c r="AO59" i="1"/>
  <c r="AO63" i="1"/>
  <c r="W38" i="1"/>
  <c r="W42" i="1"/>
  <c r="W46" i="1"/>
  <c r="W50" i="1"/>
  <c r="W54" i="1"/>
  <c r="W58" i="1"/>
  <c r="W62" i="1"/>
  <c r="Z13" i="1"/>
  <c r="Z17" i="1"/>
  <c r="Z21" i="1"/>
  <c r="Z25" i="1"/>
  <c r="Z29" i="1"/>
  <c r="Z33" i="1"/>
  <c r="Z37" i="1"/>
  <c r="Z41" i="1"/>
  <c r="Z45" i="1"/>
  <c r="Z49" i="1"/>
  <c r="Z53" i="1"/>
  <c r="Z57" i="1"/>
  <c r="AC12" i="1"/>
  <c r="AC16" i="1"/>
  <c r="AC20" i="1"/>
  <c r="AC24" i="1"/>
  <c r="AC28" i="1"/>
  <c r="AC32" i="1"/>
  <c r="AC36" i="1"/>
  <c r="AC40" i="1"/>
  <c r="AC44" i="1"/>
  <c r="AC48" i="1"/>
  <c r="AC52" i="1"/>
  <c r="AF11" i="1"/>
  <c r="AF15" i="1"/>
  <c r="AF19" i="1"/>
  <c r="AF23" i="1"/>
  <c r="AF27" i="1"/>
  <c r="AF31" i="1"/>
  <c r="AF35" i="1"/>
  <c r="AF39" i="1"/>
  <c r="AF43" i="1"/>
  <c r="AF47" i="1"/>
  <c r="AF51" i="1"/>
  <c r="AF55" i="1"/>
  <c r="AF59" i="1"/>
  <c r="AF63" i="1"/>
  <c r="AI14" i="1"/>
  <c r="AI18" i="1"/>
  <c r="AI22" i="1"/>
  <c r="AI26" i="1"/>
  <c r="AI30" i="1"/>
  <c r="AI34" i="1"/>
  <c r="AI38" i="1"/>
  <c r="AI42" i="1"/>
  <c r="AI46" i="1"/>
  <c r="AI50" i="1"/>
  <c r="AI54" i="1"/>
  <c r="AI58" i="1"/>
  <c r="AI62" i="1"/>
  <c r="AL13" i="1"/>
  <c r="AL17" i="1"/>
  <c r="AL21" i="1"/>
  <c r="AL25" i="1"/>
  <c r="AL29" i="1"/>
  <c r="AL33" i="1"/>
  <c r="AL37" i="1"/>
  <c r="AL41" i="1"/>
  <c r="AL45" i="1"/>
  <c r="AL49" i="1"/>
  <c r="AL53" i="1"/>
  <c r="AL57" i="1"/>
  <c r="AL61" i="1"/>
  <c r="AO12" i="1"/>
  <c r="AO16" i="1"/>
  <c r="AO20" i="1"/>
  <c r="AO24" i="1"/>
  <c r="AO28" i="1"/>
  <c r="AO32" i="1"/>
  <c r="AO36" i="1"/>
  <c r="AO40" i="1"/>
  <c r="AO44" i="1"/>
  <c r="AO48" i="1"/>
  <c r="AO52" i="1"/>
  <c r="AO56" i="1"/>
  <c r="AO60" i="1"/>
</calcChain>
</file>

<file path=xl/comments1.xml><?xml version="1.0" encoding="utf-8"?>
<comments xmlns="http://schemas.openxmlformats.org/spreadsheetml/2006/main">
  <authors>
    <author>Author</author>
  </authors>
  <commentList>
    <comment ref="E9" authorId="0" shapeId="0">
      <text>
        <r>
          <rPr>
            <sz val="9"/>
            <color indexed="81"/>
            <rFont val="Tahoma"/>
            <charset val="1"/>
          </rPr>
          <t xml:space="preserve">Diferenças devem-se à reclassificação do código Nace.
</t>
        </r>
      </text>
    </comment>
    <comment ref="T9" authorId="0" shapeId="0">
      <text>
        <r>
          <rPr>
            <sz val="9"/>
            <color indexed="81"/>
            <rFont val="Tahoma"/>
            <family val="2"/>
          </rPr>
          <t xml:space="preserve">Diferenças devem-se à reclassificação do código Nace.
</t>
        </r>
      </text>
    </comment>
    <comment ref="Z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</t>
        </r>
      </text>
    </comment>
    <comment ref="AC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 e alteração para exlcuir garantias residencias com data de vencimento in ('','0001-01-01','9999-12-31',NULL)</t>
        </r>
      </text>
    </comment>
    <comment ref="AF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</t>
        </r>
      </text>
    </comment>
    <comment ref="AI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Nace.</t>
        </r>
      </text>
    </comment>
    <comment ref="AL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 e alteração para incluir garantias residenciais com data de vencimento in ( '','0001-01-01','9999-12-31',NULL)</t>
        </r>
      </text>
    </comment>
    <comment ref="AO61" authorId="0" shapeId="0">
      <text>
        <r>
          <rPr>
            <sz val="9"/>
            <color indexed="81"/>
            <rFont val="Tahoma"/>
            <family val="2"/>
          </rPr>
          <t xml:space="preserve">Variação proveniente da diminuição da exposição </t>
        </r>
      </text>
    </comment>
  </commentList>
</comments>
</file>

<file path=xl/sharedStrings.xml><?xml version="1.0" encoding="utf-8"?>
<sst xmlns="http://schemas.openxmlformats.org/spreadsheetml/2006/main" count="430" uniqueCount="144">
  <si>
    <t>Métrica</t>
  </si>
  <si>
    <t>Casuística</t>
  </si>
  <si>
    <t>Δ Montante vs Tático Dez24</t>
  </si>
  <si>
    <t>Cod_nace_esg</t>
  </si>
  <si>
    <t>Alteração da reclassificação do código NACE</t>
  </si>
  <si>
    <t>D</t>
  </si>
  <si>
    <t>Antes era M agora é D</t>
  </si>
  <si>
    <t>Antes era vazio agora é D</t>
  </si>
  <si>
    <t>Antes era F agora é D</t>
  </si>
  <si>
    <t>F</t>
  </si>
  <si>
    <t>Antes era I agora é F</t>
  </si>
  <si>
    <t>H</t>
  </si>
  <si>
    <t>Antes era M agora é H</t>
  </si>
  <si>
    <t>Antes era C agora é H</t>
  </si>
  <si>
    <t>K</t>
  </si>
  <si>
    <t>Antes era F agora é K</t>
  </si>
  <si>
    <t>L</t>
  </si>
  <si>
    <t>Antes era I agora é L</t>
  </si>
  <si>
    <t>M</t>
  </si>
  <si>
    <t>Antes era vazio agora é M</t>
  </si>
  <si>
    <t>S</t>
  </si>
  <si>
    <t>Antes era vazio agora é S</t>
  </si>
  <si>
    <t>NULL</t>
  </si>
  <si>
    <t>Antes era G agora é NULL</t>
  </si>
  <si>
    <t>Antes era S agora é NULL</t>
  </si>
  <si>
    <t>Antes era H agora é NULL</t>
  </si>
  <si>
    <t>Antes era C agora é NULL</t>
  </si>
  <si>
    <t>Antes era L agora é NULL</t>
  </si>
  <si>
    <t>Antes era # agora é NULL</t>
  </si>
  <si>
    <t>Antes era N agora é NULL</t>
  </si>
  <si>
    <t>Antes era F agora é NULL</t>
  </si>
  <si>
    <t>Antes era I agora é NULL</t>
  </si>
  <si>
    <t>Antes era O agora é NULL</t>
  </si>
  <si>
    <t>Antes era M agora é NULL</t>
  </si>
  <si>
    <t>Antes era J agora é NULL</t>
  </si>
  <si>
    <t xml:space="preserve"> </t>
  </si>
  <si>
    <t xml:space="preserve">Exposição </t>
  </si>
  <si>
    <t>Excluídas Acordo Paris</t>
  </si>
  <si>
    <t>CCM</t>
  </si>
  <si>
    <t>Stage 2</t>
  </si>
  <si>
    <t>Non-Performing</t>
  </si>
  <si>
    <t>Accumulated impairment</t>
  </si>
  <si>
    <t>&lt;= 5 anos</t>
  </si>
  <si>
    <t>&gt; 5 anos &amp; &lt;= 10 anos</t>
  </si>
  <si>
    <t>&gt; 10 anos &amp; &lt;= 20 anos</t>
  </si>
  <si>
    <t>&gt; 20 anos</t>
  </si>
  <si>
    <t>Average weighted maturity</t>
  </si>
  <si>
    <t>NACEs</t>
  </si>
  <si>
    <t>Dez24 Estrutural</t>
  </si>
  <si>
    <t>Dez24 Tático</t>
  </si>
  <si>
    <t>∆</t>
  </si>
  <si>
    <t>A - Agriculture, forestry and fishing</t>
  </si>
  <si>
    <t>B - Mining and quarrying</t>
  </si>
  <si>
    <t xml:space="preserve">B.05 - Mining of coal and lignite </t>
  </si>
  <si>
    <t xml:space="preserve">B.06 - Extraction of crude petroleum and natural gas  </t>
  </si>
  <si>
    <t xml:space="preserve">B.07 - Mining of metal ores  </t>
  </si>
  <si>
    <t xml:space="preserve">B.08 - Other mining and quarrying </t>
  </si>
  <si>
    <t xml:space="preserve">B.09 - Mining support service activities </t>
  </si>
  <si>
    <t>C - Manufacturing</t>
  </si>
  <si>
    <t>C.10 - Manufacture of food products</t>
  </si>
  <si>
    <t>C.11 - Manufacture of beverages</t>
  </si>
  <si>
    <t>C.12 - Manufacture of tobacco products</t>
  </si>
  <si>
    <t>C.13 - Manufacture of textiles</t>
  </si>
  <si>
    <t>C.14 - Manufacture of wearing apparel</t>
  </si>
  <si>
    <t>C.15 - Manufacture of leather and related products</t>
  </si>
  <si>
    <t>C.16 - Manufacture of wood and of products of wood and cork, except furniture; manufacture of articles of straw and plaiting materials</t>
  </si>
  <si>
    <t xml:space="preserve">C.17 - Manufacture of pulp, paper and paperboard </t>
  </si>
  <si>
    <t>C.18 -  Printing and service activities related to printing</t>
  </si>
  <si>
    <t>C.19 -  Manufacture of coke oven products</t>
  </si>
  <si>
    <t xml:space="preserve">C.20 - Production of chemicals </t>
  </si>
  <si>
    <t>C.21 - Manufacture of pharmaceutical preparations</t>
  </si>
  <si>
    <t>C.22 - Manufacture of rubber products</t>
  </si>
  <si>
    <t>C.23 - Manufacture of other non-metallic mineral products</t>
  </si>
  <si>
    <t>C.24 - Manufacture of basic metals</t>
  </si>
  <si>
    <t>C.25 - Manufacture of fabricated metal products, except machinery and equipment</t>
  </si>
  <si>
    <t>C.26 - Manufacture of computer, electronic and optical products</t>
  </si>
  <si>
    <t>C.27 - Manufacture of electrical equipment</t>
  </si>
  <si>
    <t>C.28 - Manufacture of machinery and equipment n.e.c.</t>
  </si>
  <si>
    <t>C.29 - Manufacture of motor vehicles, trailers and semi-trailers</t>
  </si>
  <si>
    <t>C.30 - Manufacture of other transport equipment</t>
  </si>
  <si>
    <t>C.31 - Manufacture of furniture</t>
  </si>
  <si>
    <t>C.32 - Other manufacturing</t>
  </si>
  <si>
    <t>C.33 - Repair and installation of machinery and equipment</t>
  </si>
  <si>
    <t>D - Electricity, gas, steam and air conditioning supply</t>
  </si>
  <si>
    <t>D35.1 - Electric power generation, transmission and distribution</t>
  </si>
  <si>
    <t>D35.11 - Production of electricity</t>
  </si>
  <si>
    <t>D35.2 - Manufacture of gas; distribution of gaseous fuels through mains</t>
  </si>
  <si>
    <t>D35.3 - Steam and air conditioning supply</t>
  </si>
  <si>
    <t>E - Water supply; sewerage, waste management and remediation activities</t>
  </si>
  <si>
    <t>F - Construction</t>
  </si>
  <si>
    <t>F.41 - Construction of buildings</t>
  </si>
  <si>
    <t>F.42 - Civil engineering</t>
  </si>
  <si>
    <t>F.43 - Specialised construction activities</t>
  </si>
  <si>
    <t>G - Wholesale and retail trade; repair of motor vehicles and motorcycles</t>
  </si>
  <si>
    <t>H - Transportation and storage</t>
  </si>
  <si>
    <t>H.49 - Land transport and transport via pipelines</t>
  </si>
  <si>
    <t>H.50 - Water transport</t>
  </si>
  <si>
    <t>H.51 - Air transport</t>
  </si>
  <si>
    <t>H.52 - Warehousing and support activities for transportation</t>
  </si>
  <si>
    <t>H.53 - Postal and courier activities</t>
  </si>
  <si>
    <t>I - Accommodation and food service activities</t>
  </si>
  <si>
    <t>L - Real estate activities</t>
  </si>
  <si>
    <t>K - Financial and insurance activities</t>
  </si>
  <si>
    <t>Exposures to other sectors (NACE codes J, M - U)</t>
  </si>
  <si>
    <t>TOTAL</t>
  </si>
  <si>
    <r>
      <t>Stage</t>
    </r>
    <r>
      <rPr>
        <b/>
        <sz val="11"/>
        <color theme="0"/>
        <rFont val="Calibri"/>
        <family val="2"/>
        <scheme val="minor"/>
      </rPr>
      <t xml:space="preserve"> 2</t>
    </r>
  </si>
  <si>
    <t>peso dez/24 estrutural</t>
  </si>
  <si>
    <t>peso dez/24 tático</t>
  </si>
  <si>
    <t>∆ (pp)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</si>
  <si>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</si>
  <si>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</si>
  <si>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</si>
  <si>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</si>
  <si>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</si>
  <si>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</si>
  <si>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</si>
  <si>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</si>
  <si>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</si>
  <si>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</si>
  <si>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</si>
  <si>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</si>
  <si>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</si>
  <si>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</si>
  <si>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</si>
  <si>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</si>
  <si>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</si>
  <si>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</si>
  <si>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</si>
  <si>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</si>
  <si>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</si>
  <si>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</si>
  <si>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</si>
  <si>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</si>
  <si>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</si>
  <si>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</si>
  <si>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</si>
  <si>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</si>
  <si>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</si>
  <si>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</si>
  <si>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</si>
  <si>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</si>
  <si>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</si>
  <si>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Exposures towards sectors other than those that highly contribute to climate change*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</si>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</sst>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82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10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3" xfId="0" applyFont="1" applyFill="1" applyBorder="1"/>
    <xf numFmtId="0" fontId="10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indent="1"/>
    </xf>
    <xf numFmtId="0" fontId="12" fillId="6" borderId="3" xfId="0" applyFont="1" applyFill="1" applyBorder="1" applyAlignment="1">
      <alignment horizontal="left" vertical="center" indent="3"/>
    </xf>
    <xf numFmtId="0" fontId="12" fillId="6" borderId="3" xfId="0" applyFont="1" applyFill="1" applyBorder="1" applyAlignment="1">
      <alignment horizontal="left" vertical="center" wrapText="1" indent="3"/>
    </xf>
    <xf numFmtId="0" fontId="13" fillId="6" borderId="3" xfId="0" applyFont="1" applyFill="1" applyBorder="1" applyAlignment="1">
      <alignment horizontal="left" vertical="center" indent="1"/>
    </xf>
    <xf numFmtId="0" fontId="14" fillId="6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15" fillId="6" borderId="0" xfId="0" applyFont="1" applyFill="1"/>
    <xf numFmtId="0" fontId="13" fillId="6" borderId="0" xfId="0" applyFont="1" applyFill="1"/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6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0" fontId="17" fillId="3" borderId="1" xfId="0" applyFont="1" applyFill="1" applyBorder="1" applyAlignment="1">
      <alignment horizontal="centerContinuous"/>
    </xf>
    <xf numFmtId="10" fontId="3" fillId="4" borderId="1" xfId="1" applyNumberFormat="1" applyFont="1" applyFill="1" applyBorder="1" applyAlignment="1">
      <alignment horizontal="center" vertical="center"/>
    </xf>
    <xf numFmtId="10" fontId="1" fillId="4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/>
    <xf numFmtId="164" fontId="0" fillId="0" borderId="1" xfId="0" applyNumberFormat="1" applyBorder="1"/>
    <xf numFmtId="4" fontId="8" fillId="6" borderId="3" xfId="0" applyNumberFormat="1" applyFont="1" applyFill="1" applyBorder="1" applyAlignment="1">
      <alignment horizontal="right" vertical="center" wrapText="1"/>
    </xf>
    <xf numFmtId="4" fontId="8" fillId="7" borderId="3" xfId="0" applyNumberFormat="1" applyFont="1" applyFill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9" fontId="8" fillId="0" borderId="3" xfId="1" applyFont="1" applyFill="1" applyBorder="1" applyAlignment="1">
      <alignment horizontal="right" vertical="center" wrapText="1"/>
    </xf>
    <xf numFmtId="0" fontId="17" fillId="3" borderId="10" xfId="0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4" fontId="12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/>
    </xf>
    <xf numFmtId="4" fontId="8" fillId="6" borderId="3" xfId="0" applyNumberFormat="1" applyFont="1" applyFill="1" applyBorder="1" applyAlignment="1">
      <alignment horizontal="right" vertical="center"/>
    </xf>
    <xf numFmtId="4" fontId="8" fillId="0" borderId="3" xfId="0" applyNumberFormat="1" applyFont="1" applyBorder="1" applyAlignment="1">
      <alignment horizontal="right"/>
    </xf>
    <xf numFmtId="4" fontId="12" fillId="0" borderId="3" xfId="0" quotePrefix="1" applyNumberFormat="1" applyFont="1" applyBorder="1" applyAlignment="1">
      <alignment horizontal="right" vertical="center" wrapText="1"/>
    </xf>
    <xf numFmtId="4" fontId="8" fillId="6" borderId="3" xfId="0" applyNumberFormat="1" applyFont="1" applyFill="1" applyBorder="1" applyAlignment="1">
      <alignment horizontal="right"/>
    </xf>
    <xf numFmtId="4" fontId="8" fillId="0" borderId="3" xfId="0" quotePrefix="1" applyNumberFormat="1" applyFont="1" applyBorder="1" applyAlignment="1">
      <alignment horizontal="right" wrapText="1"/>
    </xf>
    <xf numFmtId="17" fontId="3" fillId="5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19" fillId="4" borderId="11" xfId="0" applyFont="1" applyFill="1" applyBorder="1" applyAlignment="1">
      <alignment horizontal="center"/>
    </xf>
    <xf numFmtId="0" fontId="19" fillId="4" borderId="12" xfId="0" applyFont="1" applyFill="1" applyBorder="1" applyAlignment="1">
      <alignment horizontal="center"/>
    </xf>
    <xf numFmtId="0" fontId="19" fillId="4" borderId="13" xfId="0" applyFont="1" applyFill="1" applyBorder="1" applyAlignment="1">
      <alignment horizontal="center"/>
    </xf>
    <xf numFmtId="0" fontId="21" fillId="0" borderId="14" xfId="0" applyFont="1" applyBorder="1"/>
    <xf numFmtId="4" fontId="21" fillId="0" borderId="15" xfId="0" applyNumberFormat="1" applyFont="1" applyBorder="1"/>
    <xf numFmtId="4" fontId="21" fillId="0" borderId="17" xfId="0" applyNumberFormat="1" applyFont="1" applyBorder="1"/>
    <xf numFmtId="0" fontId="20" fillId="0" borderId="0" xfId="0" applyFont="1" applyAlignment="1">
      <alignment horizontal="left" vertical="center"/>
    </xf>
    <xf numFmtId="0" fontId="21" fillId="0" borderId="0" xfId="0" applyFont="1"/>
    <xf numFmtId="4" fontId="21" fillId="0" borderId="0" xfId="0" applyNumberFormat="1" applyFont="1"/>
    <xf numFmtId="0" fontId="20" fillId="0" borderId="18" xfId="0" applyFont="1" applyBorder="1" applyAlignment="1">
      <alignment vertical="center"/>
    </xf>
    <xf numFmtId="0" fontId="21" fillId="0" borderId="16" xfId="0" applyFont="1" applyBorder="1" applyAlignment="1">
      <alignment horizontal="left" indent="1"/>
    </xf>
    <xf numFmtId="4" fontId="21" fillId="0" borderId="20" xfId="0" applyNumberFormat="1" applyFont="1" applyBorder="1"/>
    <xf numFmtId="0" fontId="21" fillId="0" borderId="19" xfId="0" applyFont="1" applyBorder="1" applyAlignment="1">
      <alignment horizontal="left" indent="1"/>
    </xf>
    <xf numFmtId="0" fontId="20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254000" y="93133"/>
          <a:ext cx="2023067" cy="34430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49382" y="96982"/>
          <a:ext cx="2026778" cy="35218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49382" y="96982"/>
          <a:ext cx="2026778" cy="352180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4"/>
  <sheetViews>
    <sheetView showGridLines="0" tabSelected="1" workbookViewId="0">
      <pane ySplit="6" topLeftCell="A7" activePane="bottomLeft" state="frozen"/>
      <selection pane="bottomLeft" activeCell="A7" sqref="A7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58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x14ac:dyDescent="0.3"/>
    <row r="8" spans="1:5" x14ac:dyDescent="0.3">
      <c r="B8" s="59" t="s">
        <v>0</v>
      </c>
      <c r="C8" s="60" t="s">
        <v>1</v>
      </c>
      <c r="D8" s="61" t="s">
        <v>2</v>
      </c>
    </row>
    <row r="9" spans="1:5" x14ac:dyDescent="0.3">
      <c r="B9" s="68" t="s">
        <v>3</v>
      </c>
      <c r="C9" s="62" t="s">
        <v>4</v>
      </c>
      <c r="D9" s="63">
        <v>229434642.12999988</v>
      </c>
    </row>
    <row r="10" spans="1:5" x14ac:dyDescent="0.3">
      <c r="B10" s="73" t="s">
        <v>5</v>
      </c>
      <c r="C10" s="71" t="s">
        <v>6</v>
      </c>
      <c r="D10" s="70">
        <v>134920540.16</v>
      </c>
    </row>
    <row r="11" spans="1:5" x14ac:dyDescent="0.3">
      <c r="B11" s="75"/>
      <c r="C11" s="71" t="s">
        <v>6</v>
      </c>
      <c r="D11" s="70">
        <v>6085178.1100000003</v>
      </c>
    </row>
    <row r="12" spans="1:5" x14ac:dyDescent="0.3">
      <c r="B12" s="75"/>
      <c r="C12" s="71" t="s">
        <v>7</v>
      </c>
      <c r="D12" s="70">
        <v>326826.84999999998</v>
      </c>
    </row>
    <row r="13" spans="1:5" x14ac:dyDescent="0.3">
      <c r="B13" s="74"/>
      <c r="C13" s="71" t="s">
        <v>8</v>
      </c>
      <c r="D13" s="70">
        <v>3108294.73</v>
      </c>
    </row>
    <row r="14" spans="1:5" x14ac:dyDescent="0.3">
      <c r="B14" s="72" t="s">
        <v>9</v>
      </c>
      <c r="C14" s="71" t="s">
        <v>10</v>
      </c>
      <c r="D14" s="70">
        <v>31925301.859999999</v>
      </c>
    </row>
    <row r="15" spans="1:5" x14ac:dyDescent="0.3">
      <c r="B15" s="73" t="s">
        <v>11</v>
      </c>
      <c r="C15" s="71" t="s">
        <v>12</v>
      </c>
      <c r="D15" s="70">
        <v>7497741.7400000002</v>
      </c>
    </row>
    <row r="16" spans="1:5" x14ac:dyDescent="0.3">
      <c r="B16" s="74"/>
      <c r="C16" s="71" t="s">
        <v>13</v>
      </c>
      <c r="D16" s="70">
        <v>57375157.509999998</v>
      </c>
    </row>
    <row r="17" spans="2:4" x14ac:dyDescent="0.3">
      <c r="B17" s="72" t="s">
        <v>14</v>
      </c>
      <c r="C17" s="71" t="s">
        <v>15</v>
      </c>
      <c r="D17" s="70">
        <v>4589654.6900000004</v>
      </c>
    </row>
    <row r="18" spans="2:4" x14ac:dyDescent="0.3">
      <c r="B18" s="72" t="s">
        <v>16</v>
      </c>
      <c r="C18" s="71" t="s">
        <v>17</v>
      </c>
      <c r="D18" s="70">
        <v>50091162.200000003</v>
      </c>
    </row>
    <row r="19" spans="2:4" x14ac:dyDescent="0.3">
      <c r="B19" s="72" t="s">
        <v>18</v>
      </c>
      <c r="C19" s="71" t="s">
        <v>19</v>
      </c>
      <c r="D19" s="70">
        <v>609.57000000000005</v>
      </c>
    </row>
    <row r="20" spans="2:4" x14ac:dyDescent="0.3">
      <c r="B20" s="72" t="s">
        <v>20</v>
      </c>
      <c r="C20" s="71" t="s">
        <v>21</v>
      </c>
      <c r="D20" s="70">
        <v>87303.24</v>
      </c>
    </row>
    <row r="21" spans="2:4" x14ac:dyDescent="0.3">
      <c r="B21" s="73" t="s">
        <v>22</v>
      </c>
      <c r="C21" s="71" t="s">
        <v>23</v>
      </c>
      <c r="D21" s="70">
        <v>11792.57</v>
      </c>
    </row>
    <row r="22" spans="2:4" x14ac:dyDescent="0.3">
      <c r="B22" s="75"/>
      <c r="C22" s="71" t="s">
        <v>24</v>
      </c>
      <c r="D22" s="70">
        <v>10446.209999999999</v>
      </c>
    </row>
    <row r="23" spans="2:4" x14ac:dyDescent="0.3">
      <c r="B23" s="75"/>
      <c r="C23" s="71" t="s">
        <v>25</v>
      </c>
      <c r="D23" s="70">
        <v>8087.27</v>
      </c>
    </row>
    <row r="24" spans="2:4" x14ac:dyDescent="0.3">
      <c r="B24" s="75"/>
      <c r="C24" s="71" t="s">
        <v>26</v>
      </c>
      <c r="D24" s="70">
        <v>700</v>
      </c>
    </row>
    <row r="25" spans="2:4" x14ac:dyDescent="0.3">
      <c r="B25" s="75"/>
      <c r="C25" s="71" t="s">
        <v>27</v>
      </c>
      <c r="D25" s="70">
        <v>165709.51999999999</v>
      </c>
    </row>
    <row r="26" spans="2:4" x14ac:dyDescent="0.3">
      <c r="B26" s="75"/>
      <c r="C26" s="71" t="s">
        <v>28</v>
      </c>
      <c r="D26" s="70">
        <v>3565.4</v>
      </c>
    </row>
    <row r="27" spans="2:4" x14ac:dyDescent="0.3">
      <c r="B27" s="75"/>
      <c r="C27" s="71" t="s">
        <v>29</v>
      </c>
      <c r="D27" s="70">
        <v>0</v>
      </c>
    </row>
    <row r="28" spans="2:4" x14ac:dyDescent="0.3">
      <c r="B28" s="75"/>
      <c r="C28" s="71" t="s">
        <v>24</v>
      </c>
      <c r="D28" s="70">
        <v>-31800733.379999999</v>
      </c>
    </row>
    <row r="29" spans="2:4" x14ac:dyDescent="0.3">
      <c r="B29" s="75"/>
      <c r="C29" s="71" t="s">
        <v>30</v>
      </c>
      <c r="D29" s="70">
        <v>0</v>
      </c>
    </row>
    <row r="30" spans="2:4" x14ac:dyDescent="0.3">
      <c r="B30" s="75"/>
      <c r="C30" s="71" t="s">
        <v>31</v>
      </c>
      <c r="D30" s="70">
        <v>-34996419.850000001</v>
      </c>
    </row>
    <row r="31" spans="2:4" x14ac:dyDescent="0.3">
      <c r="B31" s="75"/>
      <c r="C31" s="71" t="s">
        <v>32</v>
      </c>
      <c r="D31" s="70">
        <v>-1889.06</v>
      </c>
    </row>
    <row r="32" spans="2:4" x14ac:dyDescent="0.3">
      <c r="B32" s="75"/>
      <c r="C32" s="71" t="s">
        <v>33</v>
      </c>
      <c r="D32" s="70">
        <v>2983.63</v>
      </c>
    </row>
    <row r="33" spans="1:4" x14ac:dyDescent="0.3">
      <c r="B33" s="76"/>
      <c r="C33" s="69" t="s">
        <v>34</v>
      </c>
      <c r="D33" s="64">
        <v>22629.16</v>
      </c>
    </row>
    <row r="34" spans="1:4" x14ac:dyDescent="0.3">
      <c r="B34" s="65"/>
      <c r="C34" s="66"/>
      <c r="D34" s="67"/>
    </row>
    <row r="35" spans="1:4" hidden="1" x14ac:dyDescent="0.3">
      <c r="B35" s="65"/>
      <c r="C35" s="66"/>
      <c r="D35" s="67"/>
    </row>
    <row r="36" spans="1:4" hidden="1" x14ac:dyDescent="0.3">
      <c r="B36" s="65"/>
      <c r="C36" s="66"/>
      <c r="D36" s="67"/>
    </row>
    <row r="37" spans="1:4" hidden="1" x14ac:dyDescent="0.3">
      <c r="B37" s="65"/>
      <c r="C37" s="66"/>
      <c r="D37" s="67"/>
    </row>
    <row r="38" spans="1:4" hidden="1" x14ac:dyDescent="0.3">
      <c r="B38" s="65"/>
      <c r="C38" s="66"/>
      <c r="D38" s="67"/>
    </row>
    <row r="39" spans="1:4" hidden="1" x14ac:dyDescent="0.3">
      <c r="B39" s="65"/>
      <c r="C39" s="66"/>
      <c r="D39" s="67"/>
    </row>
    <row r="40" spans="1:4" hidden="1" x14ac:dyDescent="0.3">
      <c r="B40" s="65"/>
      <c r="C40" s="66"/>
      <c r="D40" s="67"/>
    </row>
    <row r="41" spans="1:4" hidden="1" x14ac:dyDescent="0.3">
      <c r="B41" s="65"/>
      <c r="C41" s="66"/>
      <c r="D41" s="67"/>
    </row>
    <row r="42" spans="1:4" hidden="1" x14ac:dyDescent="0.3">
      <c r="B42" s="65"/>
      <c r="C42" s="66"/>
      <c r="D42" s="67"/>
    </row>
    <row r="43" spans="1:4" hidden="1" x14ac:dyDescent="0.3">
      <c r="B43" s="65"/>
      <c r="C43" s="66"/>
      <c r="D43" s="67"/>
    </row>
    <row r="44" spans="1:4" hidden="1" x14ac:dyDescent="0.3">
      <c r="A44" t="s">
        <v>35</v>
      </c>
      <c r="D44" s="33"/>
    </row>
  </sheetData>
  <mergeCells count="3">
    <mergeCell ref="B15:B16"/>
    <mergeCell ref="B10:B13"/>
    <mergeCell ref="B21:B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P64"/>
  <sheetViews>
    <sheetView showGridLines="0" zoomScale="90" zoomScaleNormal="90" workbookViewId="0">
      <pane xSplit="2" ySplit="9" topLeftCell="AB10" activePane="bottomRight" state="frozen"/>
      <selection pane="topRight" activeCell="C1" sqref="C1"/>
      <selection pane="bottomLeft" activeCell="A10" sqref="A10"/>
      <selection pane="bottomRight" activeCell="AN59" sqref="AN59"/>
    </sheetView>
  </sheetViews>
  <sheetFormatPr defaultColWidth="0" defaultRowHeight="14.4" zeroHeight="1" outlineLevelRow="1" x14ac:dyDescent="0.3"/>
  <cols>
    <col min="1" max="1" width="3.6640625" customWidth="1"/>
    <col min="2" max="2" width="83.33203125" customWidth="1"/>
    <col min="3" max="17" width="10.6640625" customWidth="1"/>
    <col min="18" max="19" width="9.109375" customWidth="1"/>
    <col min="20" max="20" width="11.109375" customWidth="1"/>
    <col min="21" max="41" width="9.109375" customWidth="1"/>
    <col min="42" max="42" width="3.6640625" customWidth="1"/>
    <col min="43" max="16384" width="9.109375" hidden="1"/>
  </cols>
  <sheetData>
    <row r="1" spans="1:42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x14ac:dyDescent="0.3"/>
    <row r="8" spans="1:42" x14ac:dyDescent="0.3">
      <c r="C8" s="49" t="s">
        <v>36</v>
      </c>
      <c r="D8" s="7"/>
      <c r="E8" s="7"/>
      <c r="F8" s="49" t="s">
        <v>37</v>
      </c>
      <c r="G8" s="7"/>
      <c r="H8" s="7"/>
      <c r="I8" s="48" t="s">
        <v>38</v>
      </c>
      <c r="J8" s="7"/>
      <c r="K8" s="7"/>
      <c r="L8" s="48" t="s">
        <v>39</v>
      </c>
      <c r="M8" s="7"/>
      <c r="N8" s="7"/>
      <c r="O8" s="39" t="s">
        <v>40</v>
      </c>
      <c r="P8" s="7"/>
      <c r="Q8" s="7"/>
      <c r="R8" s="39" t="s">
        <v>41</v>
      </c>
      <c r="S8" s="7"/>
      <c r="T8" s="7"/>
      <c r="U8" s="39" t="s">
        <v>39</v>
      </c>
      <c r="V8" s="7"/>
      <c r="W8" s="7"/>
      <c r="X8" s="39" t="s">
        <v>40</v>
      </c>
      <c r="Y8" s="7"/>
      <c r="Z8" s="7"/>
      <c r="AA8" s="6" t="s">
        <v>42</v>
      </c>
      <c r="AB8" s="7"/>
      <c r="AC8" s="7"/>
      <c r="AD8" s="6" t="s">
        <v>43</v>
      </c>
      <c r="AE8" s="7"/>
      <c r="AF8" s="7"/>
      <c r="AG8" s="6" t="s">
        <v>44</v>
      </c>
      <c r="AH8" s="7"/>
      <c r="AI8" s="7"/>
      <c r="AJ8" s="6" t="s">
        <v>45</v>
      </c>
      <c r="AK8" s="7"/>
      <c r="AL8" s="7"/>
      <c r="AM8" s="39" t="s">
        <v>46</v>
      </c>
      <c r="AN8" s="7"/>
      <c r="AO8" s="7"/>
    </row>
    <row r="9" spans="1:42" x14ac:dyDescent="0.3">
      <c r="B9" s="5" t="s">
        <v>47</v>
      </c>
      <c r="C9" s="57" t="s">
        <v>48</v>
      </c>
      <c r="D9" s="57" t="s">
        <v>49</v>
      </c>
      <c r="E9" s="34" t="s">
        <v>50</v>
      </c>
      <c r="F9" s="57" t="s">
        <v>48</v>
      </c>
      <c r="G9" s="57" t="s">
        <v>49</v>
      </c>
      <c r="H9" s="34" t="s">
        <v>50</v>
      </c>
      <c r="I9" s="57" t="s">
        <v>48</v>
      </c>
      <c r="J9" s="57" t="s">
        <v>49</v>
      </c>
      <c r="K9" s="34" t="s">
        <v>50</v>
      </c>
      <c r="L9" s="57" t="s">
        <v>48</v>
      </c>
      <c r="M9" s="57" t="s">
        <v>49</v>
      </c>
      <c r="N9" s="34" t="s">
        <v>50</v>
      </c>
      <c r="O9" s="57" t="s">
        <v>48</v>
      </c>
      <c r="P9" s="57" t="s">
        <v>49</v>
      </c>
      <c r="Q9" s="34" t="s">
        <v>50</v>
      </c>
      <c r="R9" s="57" t="s">
        <v>48</v>
      </c>
      <c r="S9" s="57" t="s">
        <v>49</v>
      </c>
      <c r="T9" s="34" t="s">
        <v>50</v>
      </c>
      <c r="U9" s="57" t="s">
        <v>48</v>
      </c>
      <c r="V9" s="57" t="s">
        <v>49</v>
      </c>
      <c r="W9" s="34" t="s">
        <v>50</v>
      </c>
      <c r="X9" s="57" t="s">
        <v>48</v>
      </c>
      <c r="Y9" s="57" t="s">
        <v>49</v>
      </c>
      <c r="Z9" s="34" t="s">
        <v>50</v>
      </c>
      <c r="AA9" s="57" t="s">
        <v>48</v>
      </c>
      <c r="AB9" s="57" t="s">
        <v>49</v>
      </c>
      <c r="AC9" s="34" t="s">
        <v>50</v>
      </c>
      <c r="AD9" s="57" t="s">
        <v>48</v>
      </c>
      <c r="AE9" s="57" t="s">
        <v>49</v>
      </c>
      <c r="AF9" s="34" t="s">
        <v>50</v>
      </c>
      <c r="AG9" s="57" t="s">
        <v>48</v>
      </c>
      <c r="AH9" s="57" t="s">
        <v>49</v>
      </c>
      <c r="AI9" s="34" t="s">
        <v>50</v>
      </c>
      <c r="AJ9" s="57" t="s">
        <v>48</v>
      </c>
      <c r="AK9" s="57" t="s">
        <v>49</v>
      </c>
      <c r="AL9" s="34" t="s">
        <v>50</v>
      </c>
      <c r="AM9" s="57" t="s">
        <v>48</v>
      </c>
      <c r="AN9" s="57" t="s">
        <v>49</v>
      </c>
      <c r="AO9" s="34" t="s">
        <v>50</v>
      </c>
    </row>
    <row r="10" spans="1:42" x14ac:dyDescent="0.3">
      <c r="B10" s="35" t="s">
        <v>51</v>
      </c>
      <c r="C10" s="36">
        <f>Paralelo!D13</f>
        <v>331.59962200000001</v>
      </c>
      <c r="D10" s="36">
        <f>'Dez24'!D13</f>
        <v>331.599603</v>
      </c>
      <c r="E10" s="36">
        <f>C10-D10</f>
        <v>1.900000000887303E-5</v>
      </c>
      <c r="F10" s="36">
        <f>Paralelo!E13</f>
        <v>0</v>
      </c>
      <c r="G10" s="36">
        <f>'Dez24'!E13</f>
        <v>0</v>
      </c>
      <c r="H10" s="36">
        <f>F10-G10</f>
        <v>0</v>
      </c>
      <c r="I10" s="36">
        <f>Paralelo!F13</f>
        <v>4.2486000000000003E-2</v>
      </c>
      <c r="J10" s="36">
        <f>'Dez24'!F13</f>
        <v>4.2486000000000003E-2</v>
      </c>
      <c r="K10" s="36">
        <f>I10-J10</f>
        <v>0</v>
      </c>
      <c r="L10" s="36">
        <f>Paralelo!G13</f>
        <v>40.456465999999999</v>
      </c>
      <c r="M10" s="36">
        <f>'Dez24'!G13</f>
        <v>40.456467000000004</v>
      </c>
      <c r="N10" s="36">
        <f>L10-M10</f>
        <v>-1.0000000045806701E-6</v>
      </c>
      <c r="O10" s="36">
        <f>Paralelo!H13</f>
        <v>24.969028000000002</v>
      </c>
      <c r="P10" s="36">
        <f>'Dez24'!H13</f>
        <v>24.969025999999999</v>
      </c>
      <c r="Q10" s="36">
        <f>O10-P10</f>
        <v>2.0000000020559128E-6</v>
      </c>
      <c r="R10" s="36">
        <f>Paralelo!I13</f>
        <v>-7.224882</v>
      </c>
      <c r="S10" s="36">
        <f>'Dez24'!I13</f>
        <v>-7.2248869999999998</v>
      </c>
      <c r="T10" s="36">
        <f>R10-S10</f>
        <v>4.9999999998107114E-6</v>
      </c>
      <c r="U10" s="36">
        <f>Paralelo!J13</f>
        <v>-2.078722</v>
      </c>
      <c r="V10" s="36">
        <f>'Dez24'!J13</f>
        <v>-2.0787239999999998</v>
      </c>
      <c r="W10" s="36">
        <f>U10-V10</f>
        <v>1.9999999998354667E-6</v>
      </c>
      <c r="X10" s="36">
        <f>Paralelo!K13</f>
        <v>-4.2610710000000003</v>
      </c>
      <c r="Y10" s="36">
        <f>'Dez24'!K13</f>
        <v>-4.2610729999999997</v>
      </c>
      <c r="Z10" s="36">
        <f>X10-Y10</f>
        <v>1.9999999993913775E-6</v>
      </c>
      <c r="AA10" s="36">
        <f>Paralelo!O13</f>
        <v>216.42934199999999</v>
      </c>
      <c r="AB10" s="36">
        <f>'Dez24'!O13</f>
        <v>216.42934199999999</v>
      </c>
      <c r="AC10" s="36">
        <f>AA10-AB10</f>
        <v>0</v>
      </c>
      <c r="AD10" s="36">
        <f>Paralelo!P13</f>
        <v>58.723522000000003</v>
      </c>
      <c r="AE10" s="36">
        <f>'Dez24'!P13</f>
        <v>58.723517999999999</v>
      </c>
      <c r="AF10" s="36">
        <f>AD10-AE10</f>
        <v>4.0000000041118255E-6</v>
      </c>
      <c r="AG10" s="36">
        <f>Paralelo!Q13</f>
        <v>56.446759</v>
      </c>
      <c r="AH10" s="36">
        <f>'Dez24'!Q13</f>
        <v>56.446742999999998</v>
      </c>
      <c r="AI10" s="36">
        <f>AG10-AH10</f>
        <v>1.6000000002236447E-5</v>
      </c>
      <c r="AJ10" s="36">
        <f>Paralelo!R13</f>
        <v>0</v>
      </c>
      <c r="AK10" s="36">
        <f>'Dez24'!R13</f>
        <v>0</v>
      </c>
      <c r="AL10" s="36">
        <f>AJ10-AK10</f>
        <v>0</v>
      </c>
      <c r="AM10" s="42">
        <f>Paralelo!S13</f>
        <v>5</v>
      </c>
      <c r="AN10" s="42">
        <f>'Dez24'!S13</f>
        <v>5</v>
      </c>
      <c r="AO10" s="42">
        <f>AM10-AN10</f>
        <v>0</v>
      </c>
    </row>
    <row r="11" spans="1:42" x14ac:dyDescent="0.3">
      <c r="B11" s="35" t="s">
        <v>52</v>
      </c>
      <c r="C11" s="36">
        <f>Paralelo!D14</f>
        <v>14.172404</v>
      </c>
      <c r="D11" s="36">
        <f>'Dez24'!D14</f>
        <v>14.172371999999999</v>
      </c>
      <c r="E11" s="36">
        <f t="shared" ref="E11:E63" si="0">C11-D11</f>
        <v>3.2000000000920181E-5</v>
      </c>
      <c r="F11" s="36">
        <f>Paralelo!E14</f>
        <v>0</v>
      </c>
      <c r="G11" s="36">
        <f>'Dez24'!E14</f>
        <v>0</v>
      </c>
      <c r="H11" s="36">
        <f t="shared" ref="H11:H63" si="1">F11-G11</f>
        <v>0</v>
      </c>
      <c r="I11" s="36">
        <f>Paralelo!F14</f>
        <v>0</v>
      </c>
      <c r="J11" s="36">
        <f>'Dez24'!F14</f>
        <v>0</v>
      </c>
      <c r="K11" s="36">
        <f t="shared" ref="K11:K63" si="2">I11-J11</f>
        <v>0</v>
      </c>
      <c r="L11" s="36">
        <f>Paralelo!G14</f>
        <v>1.9365669999999999</v>
      </c>
      <c r="M11" s="36">
        <f>'Dez24'!G14</f>
        <v>1.936569</v>
      </c>
      <c r="N11" s="36">
        <f t="shared" ref="N11:N63" si="3">L11-M11</f>
        <v>-2.0000000000575113E-6</v>
      </c>
      <c r="O11" s="36">
        <f>Paralelo!H14</f>
        <v>2.36266</v>
      </c>
      <c r="P11" s="36">
        <f>'Dez24'!H14</f>
        <v>2.362628</v>
      </c>
      <c r="Q11" s="36">
        <f t="shared" ref="Q11:Q63" si="4">O11-P11</f>
        <v>3.2000000000032003E-5</v>
      </c>
      <c r="R11" s="36">
        <f>Paralelo!I14</f>
        <v>-1.4009210000000001</v>
      </c>
      <c r="S11" s="36">
        <f>'Dez24'!I14</f>
        <v>-1.4009130000000001</v>
      </c>
      <c r="T11" s="36">
        <f t="shared" ref="T11:T63" si="5">R11-S11</f>
        <v>-8.0000000000080007E-6</v>
      </c>
      <c r="U11" s="36">
        <f>Paralelo!J14</f>
        <v>-0.10181</v>
      </c>
      <c r="V11" s="36">
        <f>'Dez24'!J14</f>
        <v>-0.101809</v>
      </c>
      <c r="W11" s="36">
        <f t="shared" ref="W11:W63" si="6">U11-V11</f>
        <v>-1.0000000000010001E-6</v>
      </c>
      <c r="X11" s="36">
        <f>Paralelo!K14</f>
        <v>-1.266405</v>
      </c>
      <c r="Y11" s="36">
        <f>'Dez24'!K14</f>
        <v>-1.2663979999999999</v>
      </c>
      <c r="Z11" s="36">
        <f t="shared" ref="Z11:Z63" si="7">X11-Y11</f>
        <v>-7.0000000000902673E-6</v>
      </c>
      <c r="AA11" s="36">
        <f>Paralelo!O14</f>
        <v>13.072704</v>
      </c>
      <c r="AB11" s="36">
        <f>'Dez24'!O14</f>
        <v>13.072672000000001</v>
      </c>
      <c r="AC11" s="36">
        <f t="shared" ref="AC11:AC63" si="8">AA11-AB11</f>
        <v>3.1999999999143824E-5</v>
      </c>
      <c r="AD11" s="36">
        <f>Paralelo!P14</f>
        <v>1.0996999999999999</v>
      </c>
      <c r="AE11" s="36">
        <f>'Dez24'!P14</f>
        <v>1.0996999999999999</v>
      </c>
      <c r="AF11" s="36">
        <f t="shared" ref="AF11:AF63" si="9">AD11-AE11</f>
        <v>0</v>
      </c>
      <c r="AG11" s="36">
        <f>Paralelo!Q14</f>
        <v>0</v>
      </c>
      <c r="AH11" s="36">
        <f>'Dez24'!Q14</f>
        <v>0</v>
      </c>
      <c r="AI11" s="36">
        <f t="shared" ref="AI11:AI63" si="10">AG11-AH11</f>
        <v>0</v>
      </c>
      <c r="AJ11" s="36">
        <f>Paralelo!R14</f>
        <v>0</v>
      </c>
      <c r="AK11" s="36">
        <f>'Dez24'!R14</f>
        <v>0</v>
      </c>
      <c r="AL11" s="36">
        <f t="shared" ref="AL11:AL63" si="11">AJ11-AK11</f>
        <v>0</v>
      </c>
      <c r="AM11" s="42">
        <f>Paralelo!S14</f>
        <v>2</v>
      </c>
      <c r="AN11" s="42">
        <f>'Dez24'!S14</f>
        <v>2</v>
      </c>
      <c r="AO11" s="42">
        <f t="shared" ref="AO11:AO63" si="12">AM11-AN11</f>
        <v>0</v>
      </c>
    </row>
    <row r="12" spans="1:42" hidden="1" outlineLevel="1" x14ac:dyDescent="0.3">
      <c r="B12" s="37" t="s">
        <v>53</v>
      </c>
      <c r="C12" s="38">
        <f>Paralelo!D15</f>
        <v>0</v>
      </c>
      <c r="D12" s="38">
        <f>'Dez24'!D15</f>
        <v>0</v>
      </c>
      <c r="E12" s="38">
        <f t="shared" si="0"/>
        <v>0</v>
      </c>
      <c r="F12" s="38">
        <f>Paralelo!E15</f>
        <v>0</v>
      </c>
      <c r="G12" s="38">
        <f>'Dez24'!E15</f>
        <v>0</v>
      </c>
      <c r="H12" s="38">
        <f t="shared" si="1"/>
        <v>0</v>
      </c>
      <c r="I12" s="38">
        <f>Paralelo!F15</f>
        <v>0</v>
      </c>
      <c r="J12" s="38">
        <f>'Dez24'!F15</f>
        <v>0</v>
      </c>
      <c r="K12" s="38">
        <f t="shared" si="2"/>
        <v>0</v>
      </c>
      <c r="L12" s="38">
        <f>Paralelo!G15</f>
        <v>0</v>
      </c>
      <c r="M12" s="38">
        <f>'Dez24'!G15</f>
        <v>0</v>
      </c>
      <c r="N12" s="38">
        <f t="shared" si="3"/>
        <v>0</v>
      </c>
      <c r="O12" s="38">
        <f>Paralelo!H15</f>
        <v>0</v>
      </c>
      <c r="P12" s="38">
        <f>'Dez24'!H15</f>
        <v>0</v>
      </c>
      <c r="Q12" s="38">
        <f t="shared" si="4"/>
        <v>0</v>
      </c>
      <c r="R12" s="38">
        <f>Paralelo!I15</f>
        <v>0</v>
      </c>
      <c r="S12" s="38">
        <f>'Dez24'!I15</f>
        <v>0</v>
      </c>
      <c r="T12" s="38">
        <f t="shared" si="5"/>
        <v>0</v>
      </c>
      <c r="U12" s="38">
        <f>Paralelo!J15</f>
        <v>0</v>
      </c>
      <c r="V12" s="38">
        <f>'Dez24'!J15</f>
        <v>0</v>
      </c>
      <c r="W12" s="38">
        <f t="shared" si="6"/>
        <v>0</v>
      </c>
      <c r="X12" s="38">
        <f>Paralelo!K15</f>
        <v>0</v>
      </c>
      <c r="Y12" s="38">
        <f>'Dez24'!K15</f>
        <v>0</v>
      </c>
      <c r="Z12" s="38">
        <f t="shared" si="7"/>
        <v>0</v>
      </c>
      <c r="AA12" s="38">
        <f>Paralelo!O15</f>
        <v>0</v>
      </c>
      <c r="AB12" s="38">
        <f>'Dez24'!O15</f>
        <v>0</v>
      </c>
      <c r="AC12" s="38">
        <f t="shared" si="8"/>
        <v>0</v>
      </c>
      <c r="AD12" s="38">
        <f>Paralelo!P15</f>
        <v>0</v>
      </c>
      <c r="AE12" s="38">
        <f>'Dez24'!P15</f>
        <v>0</v>
      </c>
      <c r="AF12" s="38">
        <f t="shared" si="9"/>
        <v>0</v>
      </c>
      <c r="AG12" s="38">
        <f>Paralelo!Q15</f>
        <v>0</v>
      </c>
      <c r="AH12" s="38">
        <f>'Dez24'!Q15</f>
        <v>0</v>
      </c>
      <c r="AI12" s="38">
        <f t="shared" si="10"/>
        <v>0</v>
      </c>
      <c r="AJ12" s="38">
        <f>Paralelo!R15</f>
        <v>0</v>
      </c>
      <c r="AK12" s="38">
        <f>'Dez24'!R15</f>
        <v>0</v>
      </c>
      <c r="AL12" s="38">
        <f t="shared" si="11"/>
        <v>0</v>
      </c>
      <c r="AM12" s="43">
        <f>Paralelo!S15</f>
        <v>0</v>
      </c>
      <c r="AN12" s="43">
        <f>'Dez24'!S15</f>
        <v>0</v>
      </c>
      <c r="AO12" s="43">
        <f t="shared" si="12"/>
        <v>0</v>
      </c>
    </row>
    <row r="13" spans="1:42" hidden="1" outlineLevel="1" x14ac:dyDescent="0.3">
      <c r="B13" s="37" t="s">
        <v>54</v>
      </c>
      <c r="C13" s="38">
        <f>Paralelo!D16</f>
        <v>0</v>
      </c>
      <c r="D13" s="38">
        <f>'Dez24'!D16</f>
        <v>0</v>
      </c>
      <c r="E13" s="38">
        <f t="shared" si="0"/>
        <v>0</v>
      </c>
      <c r="F13" s="38">
        <f>Paralelo!E16</f>
        <v>0</v>
      </c>
      <c r="G13" s="38">
        <f>'Dez24'!E16</f>
        <v>0</v>
      </c>
      <c r="H13" s="38">
        <f t="shared" si="1"/>
        <v>0</v>
      </c>
      <c r="I13" s="38">
        <f>Paralelo!F16</f>
        <v>0</v>
      </c>
      <c r="J13" s="38">
        <f>'Dez24'!F16</f>
        <v>0</v>
      </c>
      <c r="K13" s="38">
        <f t="shared" si="2"/>
        <v>0</v>
      </c>
      <c r="L13" s="38">
        <f>Paralelo!G16</f>
        <v>0</v>
      </c>
      <c r="M13" s="38">
        <f>'Dez24'!G16</f>
        <v>0</v>
      </c>
      <c r="N13" s="38">
        <f t="shared" si="3"/>
        <v>0</v>
      </c>
      <c r="O13" s="38">
        <f>Paralelo!H16</f>
        <v>0</v>
      </c>
      <c r="P13" s="38">
        <f>'Dez24'!H16</f>
        <v>0</v>
      </c>
      <c r="Q13" s="38">
        <f t="shared" si="4"/>
        <v>0</v>
      </c>
      <c r="R13" s="38">
        <f>Paralelo!I16</f>
        <v>0</v>
      </c>
      <c r="S13" s="38">
        <f>'Dez24'!I16</f>
        <v>0</v>
      </c>
      <c r="T13" s="38">
        <f t="shared" si="5"/>
        <v>0</v>
      </c>
      <c r="U13" s="38">
        <f>Paralelo!J16</f>
        <v>0</v>
      </c>
      <c r="V13" s="38">
        <f>'Dez24'!J16</f>
        <v>0</v>
      </c>
      <c r="W13" s="38">
        <f t="shared" si="6"/>
        <v>0</v>
      </c>
      <c r="X13" s="38">
        <f>Paralelo!K16</f>
        <v>0</v>
      </c>
      <c r="Y13" s="38">
        <f>'Dez24'!K16</f>
        <v>0</v>
      </c>
      <c r="Z13" s="38">
        <f t="shared" si="7"/>
        <v>0</v>
      </c>
      <c r="AA13" s="38">
        <f>Paralelo!O16</f>
        <v>0</v>
      </c>
      <c r="AB13" s="38">
        <f>'Dez24'!O16</f>
        <v>0</v>
      </c>
      <c r="AC13" s="38">
        <f t="shared" si="8"/>
        <v>0</v>
      </c>
      <c r="AD13" s="38">
        <f>Paralelo!P16</f>
        <v>0</v>
      </c>
      <c r="AE13" s="38">
        <f>'Dez24'!P16</f>
        <v>0</v>
      </c>
      <c r="AF13" s="38">
        <f t="shared" si="9"/>
        <v>0</v>
      </c>
      <c r="AG13" s="38">
        <f>Paralelo!Q16</f>
        <v>0</v>
      </c>
      <c r="AH13" s="38">
        <f>'Dez24'!Q16</f>
        <v>0</v>
      </c>
      <c r="AI13" s="38">
        <f t="shared" si="10"/>
        <v>0</v>
      </c>
      <c r="AJ13" s="38">
        <f>Paralelo!R16</f>
        <v>0</v>
      </c>
      <c r="AK13" s="38">
        <f>'Dez24'!R16</f>
        <v>0</v>
      </c>
      <c r="AL13" s="38">
        <f t="shared" si="11"/>
        <v>0</v>
      </c>
      <c r="AM13" s="43">
        <f>Paralelo!S16</f>
        <v>0</v>
      </c>
      <c r="AN13" s="43">
        <f>'Dez24'!S16</f>
        <v>0</v>
      </c>
      <c r="AO13" s="43">
        <f t="shared" si="12"/>
        <v>0</v>
      </c>
    </row>
    <row r="14" spans="1:42" hidden="1" outlineLevel="1" x14ac:dyDescent="0.3">
      <c r="B14" s="37" t="s">
        <v>55</v>
      </c>
      <c r="C14" s="38">
        <f>Paralelo!D17</f>
        <v>0.14147199999999999</v>
      </c>
      <c r="D14" s="38">
        <f>'Dez24'!D17</f>
        <v>0.14147100000000001</v>
      </c>
      <c r="E14" s="38">
        <f t="shared" si="0"/>
        <v>9.9999999997324451E-7</v>
      </c>
      <c r="F14" s="38">
        <f>Paralelo!E17</f>
        <v>0</v>
      </c>
      <c r="G14" s="38">
        <f>'Dez24'!E17</f>
        <v>0</v>
      </c>
      <c r="H14" s="38">
        <f t="shared" si="1"/>
        <v>0</v>
      </c>
      <c r="I14" s="38">
        <f>Paralelo!F17</f>
        <v>0</v>
      </c>
      <c r="J14" s="38">
        <f>'Dez24'!F17</f>
        <v>0</v>
      </c>
      <c r="K14" s="38">
        <f t="shared" si="2"/>
        <v>0</v>
      </c>
      <c r="L14" s="38">
        <f>Paralelo!G17</f>
        <v>0</v>
      </c>
      <c r="M14" s="38">
        <f>'Dez24'!G17</f>
        <v>0</v>
      </c>
      <c r="N14" s="38">
        <f t="shared" si="3"/>
        <v>0</v>
      </c>
      <c r="O14" s="38">
        <f>Paralelo!H17</f>
        <v>0</v>
      </c>
      <c r="P14" s="38">
        <f>'Dez24'!H17</f>
        <v>0</v>
      </c>
      <c r="Q14" s="38">
        <f t="shared" si="4"/>
        <v>0</v>
      </c>
      <c r="R14" s="38">
        <f>Paralelo!I17</f>
        <v>-1.35E-4</v>
      </c>
      <c r="S14" s="38">
        <f>'Dez24'!I17</f>
        <v>-1.35E-4</v>
      </c>
      <c r="T14" s="38">
        <f t="shared" si="5"/>
        <v>0</v>
      </c>
      <c r="U14" s="38">
        <f>Paralelo!J17</f>
        <v>0</v>
      </c>
      <c r="V14" s="38">
        <f>'Dez24'!J17</f>
        <v>0</v>
      </c>
      <c r="W14" s="38">
        <f t="shared" si="6"/>
        <v>0</v>
      </c>
      <c r="X14" s="38">
        <f>Paralelo!K17</f>
        <v>0</v>
      </c>
      <c r="Y14" s="38">
        <f>'Dez24'!K17</f>
        <v>0</v>
      </c>
      <c r="Z14" s="38">
        <f t="shared" si="7"/>
        <v>0</v>
      </c>
      <c r="AA14" s="38">
        <f>Paralelo!O17</f>
        <v>0.14147199999999999</v>
      </c>
      <c r="AB14" s="38">
        <f>'Dez24'!O17</f>
        <v>0.14147100000000001</v>
      </c>
      <c r="AC14" s="38">
        <f t="shared" si="8"/>
        <v>9.9999999997324451E-7</v>
      </c>
      <c r="AD14" s="38">
        <f>Paralelo!P17</f>
        <v>0</v>
      </c>
      <c r="AE14" s="38">
        <f>'Dez24'!P17</f>
        <v>0</v>
      </c>
      <c r="AF14" s="38">
        <f t="shared" si="9"/>
        <v>0</v>
      </c>
      <c r="AG14" s="38">
        <f>Paralelo!Q17</f>
        <v>0</v>
      </c>
      <c r="AH14" s="38">
        <f>'Dez24'!Q17</f>
        <v>0</v>
      </c>
      <c r="AI14" s="38">
        <f t="shared" si="10"/>
        <v>0</v>
      </c>
      <c r="AJ14" s="38">
        <f>Paralelo!R17</f>
        <v>0</v>
      </c>
      <c r="AK14" s="38">
        <f>'Dez24'!R17</f>
        <v>0</v>
      </c>
      <c r="AL14" s="38">
        <f t="shared" si="11"/>
        <v>0</v>
      </c>
      <c r="AM14" s="43">
        <f>Paralelo!S17</f>
        <v>0</v>
      </c>
      <c r="AN14" s="43">
        <f>'Dez24'!S17</f>
        <v>0</v>
      </c>
      <c r="AO14" s="43">
        <f t="shared" si="12"/>
        <v>0</v>
      </c>
    </row>
    <row r="15" spans="1:42" hidden="1" outlineLevel="1" x14ac:dyDescent="0.3">
      <c r="B15" s="37" t="s">
        <v>56</v>
      </c>
      <c r="C15" s="38">
        <f>Paralelo!D18</f>
        <v>13.954368000000001</v>
      </c>
      <c r="D15" s="38">
        <f>'Dez24'!D18</f>
        <v>13.954338</v>
      </c>
      <c r="E15" s="38">
        <f t="shared" si="0"/>
        <v>3.0000000000640625E-5</v>
      </c>
      <c r="F15" s="38">
        <f>Paralelo!E18</f>
        <v>0</v>
      </c>
      <c r="G15" s="38">
        <f>'Dez24'!E18</f>
        <v>0</v>
      </c>
      <c r="H15" s="38">
        <f t="shared" si="1"/>
        <v>0</v>
      </c>
      <c r="I15" s="38">
        <f>Paralelo!F18</f>
        <v>0</v>
      </c>
      <c r="J15" s="38">
        <f>'Dez24'!F18</f>
        <v>0</v>
      </c>
      <c r="K15" s="38">
        <f t="shared" si="2"/>
        <v>0</v>
      </c>
      <c r="L15" s="38">
        <f>Paralelo!G18</f>
        <v>1.8604909999999999</v>
      </c>
      <c r="M15" s="38">
        <f>'Dez24'!G18</f>
        <v>1.8604940000000001</v>
      </c>
      <c r="N15" s="38">
        <f t="shared" si="3"/>
        <v>-3.0000000001972893E-6</v>
      </c>
      <c r="O15" s="38">
        <f>Paralelo!H18</f>
        <v>2.3621799999999999</v>
      </c>
      <c r="P15" s="38">
        <f>'Dez24'!H18</f>
        <v>2.3621479999999999</v>
      </c>
      <c r="Q15" s="38">
        <f t="shared" si="4"/>
        <v>3.2000000000032003E-5</v>
      </c>
      <c r="R15" s="38">
        <f>Paralelo!I18</f>
        <v>-1.3993640000000001</v>
      </c>
      <c r="S15" s="38">
        <f>'Dez24'!I18</f>
        <v>-1.399356</v>
      </c>
      <c r="T15" s="38">
        <f t="shared" si="5"/>
        <v>-8.0000000000080007E-6</v>
      </c>
      <c r="U15" s="38">
        <f>Paralelo!J18</f>
        <v>-0.100796</v>
      </c>
      <c r="V15" s="38">
        <f>'Dez24'!J18</f>
        <v>-0.100795</v>
      </c>
      <c r="W15" s="38">
        <f t="shared" si="6"/>
        <v>-1.0000000000010001E-6</v>
      </c>
      <c r="X15" s="38">
        <f>Paralelo!K18</f>
        <v>-1.265998</v>
      </c>
      <c r="Y15" s="38">
        <f>'Dez24'!K18</f>
        <v>-1.2659899999999999</v>
      </c>
      <c r="Z15" s="38">
        <f t="shared" si="7"/>
        <v>-8.0000000000080007E-6</v>
      </c>
      <c r="AA15" s="38">
        <f>Paralelo!O18</f>
        <v>12.854668</v>
      </c>
      <c r="AB15" s="38">
        <f>'Dez24'!O18</f>
        <v>12.854638</v>
      </c>
      <c r="AC15" s="38">
        <f t="shared" si="8"/>
        <v>3.0000000000640625E-5</v>
      </c>
      <c r="AD15" s="38">
        <f>Paralelo!P18</f>
        <v>1.0996999999999999</v>
      </c>
      <c r="AE15" s="38">
        <f>'Dez24'!P18</f>
        <v>1.0996999999999999</v>
      </c>
      <c r="AF15" s="38">
        <f t="shared" si="9"/>
        <v>0</v>
      </c>
      <c r="AG15" s="38">
        <f>Paralelo!Q18</f>
        <v>0</v>
      </c>
      <c r="AH15" s="38">
        <f>'Dez24'!Q18</f>
        <v>0</v>
      </c>
      <c r="AI15" s="38">
        <f t="shared" si="10"/>
        <v>0</v>
      </c>
      <c r="AJ15" s="38">
        <f>Paralelo!R18</f>
        <v>0</v>
      </c>
      <c r="AK15" s="38">
        <f>'Dez24'!R18</f>
        <v>0</v>
      </c>
      <c r="AL15" s="38">
        <f t="shared" si="11"/>
        <v>0</v>
      </c>
      <c r="AM15" s="43">
        <f>Paralelo!S18</f>
        <v>2</v>
      </c>
      <c r="AN15" s="43">
        <f>'Dez24'!S18</f>
        <v>2</v>
      </c>
      <c r="AO15" s="43">
        <f t="shared" si="12"/>
        <v>0</v>
      </c>
    </row>
    <row r="16" spans="1:42" hidden="1" outlineLevel="1" x14ac:dyDescent="0.3">
      <c r="B16" s="37" t="s">
        <v>57</v>
      </c>
      <c r="C16" s="38">
        <f>Paralelo!D19</f>
        <v>7.6563999999999993E-2</v>
      </c>
      <c r="D16" s="38">
        <f>'Dez24'!D19</f>
        <v>7.6563000000000006E-2</v>
      </c>
      <c r="E16" s="38">
        <f t="shared" si="0"/>
        <v>9.999999999871223E-7</v>
      </c>
      <c r="F16" s="38">
        <f>Paralelo!E19</f>
        <v>0</v>
      </c>
      <c r="G16" s="38">
        <f>'Dez24'!E19</f>
        <v>0</v>
      </c>
      <c r="H16" s="38">
        <f t="shared" si="1"/>
        <v>0</v>
      </c>
      <c r="I16" s="38">
        <f>Paralelo!F19</f>
        <v>0</v>
      </c>
      <c r="J16" s="38">
        <f>'Dez24'!F19</f>
        <v>0</v>
      </c>
      <c r="K16" s="38">
        <f t="shared" si="2"/>
        <v>0</v>
      </c>
      <c r="L16" s="38">
        <f>Paralelo!G19</f>
        <v>7.6076000000000005E-2</v>
      </c>
      <c r="M16" s="38">
        <f>'Dez24'!G19</f>
        <v>7.6075000000000004E-2</v>
      </c>
      <c r="N16" s="38">
        <f t="shared" si="3"/>
        <v>1.0000000000010001E-6</v>
      </c>
      <c r="O16" s="38">
        <f>Paralelo!H19</f>
        <v>4.8000000000000001E-4</v>
      </c>
      <c r="P16" s="38">
        <f>'Dez24'!H19</f>
        <v>4.8000000000000001E-4</v>
      </c>
      <c r="Q16" s="38">
        <f t="shared" si="4"/>
        <v>0</v>
      </c>
      <c r="R16" s="38">
        <f>Paralelo!I19</f>
        <v>-1.4220000000000001E-3</v>
      </c>
      <c r="S16" s="38">
        <f>'Dez24'!I19</f>
        <v>-1.4220000000000001E-3</v>
      </c>
      <c r="T16" s="38">
        <f t="shared" si="5"/>
        <v>0</v>
      </c>
      <c r="U16" s="38">
        <f>Paralelo!J19</f>
        <v>-1.0139999999999999E-3</v>
      </c>
      <c r="V16" s="38">
        <f>'Dez24'!J19</f>
        <v>-1.0139999999999999E-3</v>
      </c>
      <c r="W16" s="38">
        <f t="shared" si="6"/>
        <v>0</v>
      </c>
      <c r="X16" s="38">
        <f>Paralelo!K19</f>
        <v>-4.08E-4</v>
      </c>
      <c r="Y16" s="38">
        <f>'Dez24'!K19</f>
        <v>-4.08E-4</v>
      </c>
      <c r="Z16" s="38">
        <f t="shared" si="7"/>
        <v>0</v>
      </c>
      <c r="AA16" s="38">
        <f>Paralelo!O19</f>
        <v>7.6563999999999993E-2</v>
      </c>
      <c r="AB16" s="38">
        <f>'Dez24'!O19</f>
        <v>7.6563000000000006E-2</v>
      </c>
      <c r="AC16" s="38">
        <f t="shared" si="8"/>
        <v>9.999999999871223E-7</v>
      </c>
      <c r="AD16" s="38">
        <f>Paralelo!P19</f>
        <v>0</v>
      </c>
      <c r="AE16" s="38">
        <f>'Dez24'!P19</f>
        <v>0</v>
      </c>
      <c r="AF16" s="38">
        <f t="shared" si="9"/>
        <v>0</v>
      </c>
      <c r="AG16" s="38">
        <f>Paralelo!Q19</f>
        <v>0</v>
      </c>
      <c r="AH16" s="38">
        <f>'Dez24'!Q19</f>
        <v>0</v>
      </c>
      <c r="AI16" s="38">
        <f t="shared" si="10"/>
        <v>0</v>
      </c>
      <c r="AJ16" s="38">
        <f>Paralelo!R19</f>
        <v>0</v>
      </c>
      <c r="AK16" s="38">
        <f>'Dez24'!R19</f>
        <v>0</v>
      </c>
      <c r="AL16" s="38">
        <f t="shared" si="11"/>
        <v>0</v>
      </c>
      <c r="AM16" s="43">
        <f>Paralelo!S19</f>
        <v>2</v>
      </c>
      <c r="AN16" s="43">
        <f>'Dez24'!S19</f>
        <v>2</v>
      </c>
      <c r="AO16" s="43">
        <f t="shared" si="12"/>
        <v>0</v>
      </c>
    </row>
    <row r="17" spans="2:41" collapsed="1" x14ac:dyDescent="0.3">
      <c r="B17" s="35" t="s">
        <v>58</v>
      </c>
      <c r="C17" s="36">
        <f>Paralelo!D20</f>
        <v>2168.5504340000002</v>
      </c>
      <c r="D17" s="36">
        <f>'Dez24'!D20</f>
        <v>2226.1042630000002</v>
      </c>
      <c r="E17" s="36">
        <f t="shared" si="0"/>
        <v>-57.553828999999951</v>
      </c>
      <c r="F17" s="36">
        <f>Paralelo!E20</f>
        <v>6.8394999999999997E-2</v>
      </c>
      <c r="G17" s="36">
        <f>'Dez24'!E20</f>
        <v>6.8394999999999997E-2</v>
      </c>
      <c r="H17" s="36">
        <f t="shared" si="1"/>
        <v>0</v>
      </c>
      <c r="I17" s="36">
        <f>Paralelo!F20</f>
        <v>9.0338049999999992</v>
      </c>
      <c r="J17" s="36">
        <f>'Dez24'!F20</f>
        <v>9.0369229999999998</v>
      </c>
      <c r="K17" s="36">
        <f t="shared" si="2"/>
        <v>-3.1180000000006203E-3</v>
      </c>
      <c r="L17" s="36">
        <f>Paralelo!G20</f>
        <v>234.77593200000001</v>
      </c>
      <c r="M17" s="36">
        <f>'Dez24'!G20</f>
        <v>234.77592799999999</v>
      </c>
      <c r="N17" s="36">
        <f t="shared" si="3"/>
        <v>4.0000000183226803E-6</v>
      </c>
      <c r="O17" s="36">
        <f>Paralelo!H20</f>
        <v>77.604364000000004</v>
      </c>
      <c r="P17" s="36">
        <f>'Dez24'!H20</f>
        <v>77.605407</v>
      </c>
      <c r="Q17" s="36">
        <f t="shared" si="4"/>
        <v>-1.0429999999956863E-3</v>
      </c>
      <c r="R17" s="36">
        <f>Paralelo!I20</f>
        <v>-72.098161000000005</v>
      </c>
      <c r="S17" s="36">
        <f>'Dez24'!I20</f>
        <v>-72.276143000000005</v>
      </c>
      <c r="T17" s="36">
        <f t="shared" si="5"/>
        <v>0.17798200000000008</v>
      </c>
      <c r="U17" s="36">
        <f>Paralelo!J20</f>
        <v>-12.014859</v>
      </c>
      <c r="V17" s="36">
        <f>'Dez24'!J20</f>
        <v>-12.014849</v>
      </c>
      <c r="W17" s="36">
        <f t="shared" si="6"/>
        <v>-9.9999999996214228E-6</v>
      </c>
      <c r="X17" s="36">
        <f>Paralelo!K20</f>
        <v>-54.583787000000001</v>
      </c>
      <c r="Y17" s="36">
        <f>'Dez24'!K20</f>
        <v>-54.584122000000001</v>
      </c>
      <c r="Z17" s="36">
        <f t="shared" si="7"/>
        <v>3.3499999999975216E-4</v>
      </c>
      <c r="AA17" s="36">
        <f>Paralelo!O20</f>
        <v>1927.3023089999999</v>
      </c>
      <c r="AB17" s="36">
        <f>'Dez24'!O20</f>
        <v>1927.303347</v>
      </c>
      <c r="AC17" s="36">
        <f t="shared" si="8"/>
        <v>-1.038000000107786E-3</v>
      </c>
      <c r="AD17" s="36">
        <f>Paralelo!P20</f>
        <v>194.179643</v>
      </c>
      <c r="AE17" s="36">
        <f>'Dez24'!P20</f>
        <v>238.98095699999999</v>
      </c>
      <c r="AF17" s="36">
        <f t="shared" si="9"/>
        <v>-44.801313999999991</v>
      </c>
      <c r="AG17" s="36">
        <f>Paralelo!Q20</f>
        <v>47.032904000000002</v>
      </c>
      <c r="AH17" s="36">
        <f>'Dez24'!Q20</f>
        <v>59.784381000000003</v>
      </c>
      <c r="AI17" s="36">
        <f t="shared" si="10"/>
        <v>-12.751477000000001</v>
      </c>
      <c r="AJ17" s="36">
        <f>Paralelo!R20</f>
        <v>3.5577999999999999E-2</v>
      </c>
      <c r="AK17" s="36">
        <f>'Dez24'!R20</f>
        <v>3.5577999999999999E-2</v>
      </c>
      <c r="AL17" s="36">
        <f t="shared" si="11"/>
        <v>0</v>
      </c>
      <c r="AM17" s="42">
        <f>Paralelo!S20</f>
        <v>2</v>
      </c>
      <c r="AN17" s="42">
        <f>'Dez24'!S20</f>
        <v>2</v>
      </c>
      <c r="AO17" s="42">
        <f t="shared" si="12"/>
        <v>0</v>
      </c>
    </row>
    <row r="18" spans="2:41" hidden="1" outlineLevel="1" x14ac:dyDescent="0.3">
      <c r="B18" s="37" t="s">
        <v>59</v>
      </c>
      <c r="C18" s="38">
        <f>Paralelo!D21</f>
        <v>338.99325299999998</v>
      </c>
      <c r="D18" s="38">
        <f>'Dez24'!D21</f>
        <v>338.99324999999999</v>
      </c>
      <c r="E18" s="38">
        <f t="shared" si="0"/>
        <v>2.9999999924257281E-6</v>
      </c>
      <c r="F18" s="38">
        <f>Paralelo!E21</f>
        <v>0</v>
      </c>
      <c r="G18" s="38">
        <f>'Dez24'!E21</f>
        <v>0</v>
      </c>
      <c r="H18" s="38">
        <f t="shared" si="1"/>
        <v>0</v>
      </c>
      <c r="I18" s="38">
        <f>Paralelo!F21</f>
        <v>0</v>
      </c>
      <c r="J18" s="38">
        <f>'Dez24'!F21</f>
        <v>0</v>
      </c>
      <c r="K18" s="38">
        <f t="shared" si="2"/>
        <v>0</v>
      </c>
      <c r="L18" s="38">
        <f>Paralelo!G21</f>
        <v>36.946739000000001</v>
      </c>
      <c r="M18" s="38">
        <f>'Dez24'!G21</f>
        <v>36.946734999999997</v>
      </c>
      <c r="N18" s="38">
        <f t="shared" si="3"/>
        <v>4.0000000041118255E-6</v>
      </c>
      <c r="O18" s="38">
        <f>Paralelo!H21</f>
        <v>9.6289960000000008</v>
      </c>
      <c r="P18" s="38">
        <f>'Dez24'!H21</f>
        <v>9.6289979999999993</v>
      </c>
      <c r="Q18" s="38">
        <f t="shared" si="4"/>
        <v>-1.9999999985031991E-6</v>
      </c>
      <c r="R18" s="38">
        <f>Paralelo!I21</f>
        <v>-8.3400090000000002</v>
      </c>
      <c r="S18" s="38">
        <f>'Dez24'!I21</f>
        <v>-8.3400110000000005</v>
      </c>
      <c r="T18" s="38">
        <f t="shared" si="5"/>
        <v>2.0000000002795559E-6</v>
      </c>
      <c r="U18" s="38">
        <f>Paralelo!J21</f>
        <v>-2.077334</v>
      </c>
      <c r="V18" s="38">
        <f>'Dez24'!J21</f>
        <v>-2.0773350000000002</v>
      </c>
      <c r="W18" s="38">
        <f t="shared" si="6"/>
        <v>1.000000000139778E-6</v>
      </c>
      <c r="X18" s="38">
        <f>Paralelo!K21</f>
        <v>-5.2775660000000002</v>
      </c>
      <c r="Y18" s="38">
        <f>'Dez24'!K21</f>
        <v>-5.2775699999999999</v>
      </c>
      <c r="Z18" s="38">
        <f t="shared" si="7"/>
        <v>3.9999999996709334E-6</v>
      </c>
      <c r="AA18" s="38">
        <f>Paralelo!O21</f>
        <v>301.20061800000002</v>
      </c>
      <c r="AB18" s="38">
        <f>'Dez24'!O21</f>
        <v>301.20061700000002</v>
      </c>
      <c r="AC18" s="38">
        <f t="shared" si="8"/>
        <v>9.9999999747524271E-7</v>
      </c>
      <c r="AD18" s="38">
        <f>Paralelo!P21</f>
        <v>18.618869</v>
      </c>
      <c r="AE18" s="38">
        <f>'Dez24'!P21</f>
        <v>18.618867999999999</v>
      </c>
      <c r="AF18" s="38">
        <f t="shared" si="9"/>
        <v>1.0000000010279564E-6</v>
      </c>
      <c r="AG18" s="38">
        <f>Paralelo!Q21</f>
        <v>19.173766000000001</v>
      </c>
      <c r="AH18" s="38">
        <f>'Dez24'!Q21</f>
        <v>19.173765</v>
      </c>
      <c r="AI18" s="38">
        <f t="shared" si="10"/>
        <v>1.0000000010279564E-6</v>
      </c>
      <c r="AJ18" s="38">
        <f>Paralelo!R21</f>
        <v>0</v>
      </c>
      <c r="AK18" s="38">
        <f>'Dez24'!R21</f>
        <v>0</v>
      </c>
      <c r="AL18" s="38">
        <f t="shared" si="11"/>
        <v>0</v>
      </c>
      <c r="AM18" s="43">
        <f>Paralelo!S21</f>
        <v>2</v>
      </c>
      <c r="AN18" s="43">
        <f>'Dez24'!S21</f>
        <v>2</v>
      </c>
      <c r="AO18" s="43">
        <f t="shared" si="12"/>
        <v>0</v>
      </c>
    </row>
    <row r="19" spans="2:41" hidden="1" outlineLevel="1" x14ac:dyDescent="0.3">
      <c r="B19" s="37" t="s">
        <v>60</v>
      </c>
      <c r="C19" s="38">
        <f>Paralelo!D22</f>
        <v>217.52209300000001</v>
      </c>
      <c r="D19" s="38">
        <f>'Dez24'!D22</f>
        <v>217.522088</v>
      </c>
      <c r="E19" s="38">
        <f t="shared" si="0"/>
        <v>5.000000015797923E-6</v>
      </c>
      <c r="F19" s="38">
        <f>Paralelo!E22</f>
        <v>0</v>
      </c>
      <c r="G19" s="38">
        <f>'Dez24'!E22</f>
        <v>0</v>
      </c>
      <c r="H19" s="38">
        <f t="shared" si="1"/>
        <v>0</v>
      </c>
      <c r="I19" s="38">
        <f>Paralelo!F22</f>
        <v>0</v>
      </c>
      <c r="J19" s="38">
        <f>'Dez24'!F22</f>
        <v>0</v>
      </c>
      <c r="K19" s="38">
        <f t="shared" si="2"/>
        <v>0</v>
      </c>
      <c r="L19" s="38">
        <f>Paralelo!G22</f>
        <v>7.5690939999999998</v>
      </c>
      <c r="M19" s="38">
        <f>'Dez24'!G22</f>
        <v>7.5690939999999998</v>
      </c>
      <c r="N19" s="38">
        <f t="shared" si="3"/>
        <v>0</v>
      </c>
      <c r="O19" s="38">
        <f>Paralelo!H22</f>
        <v>0.39642100000000002</v>
      </c>
      <c r="P19" s="38">
        <f>'Dez24'!H22</f>
        <v>0.39642100000000002</v>
      </c>
      <c r="Q19" s="38">
        <f t="shared" si="4"/>
        <v>0</v>
      </c>
      <c r="R19" s="38">
        <f>Paralelo!I22</f>
        <v>-1.1073630000000001</v>
      </c>
      <c r="S19" s="38">
        <f>'Dez24'!I22</f>
        <v>-1.1073660000000001</v>
      </c>
      <c r="T19" s="38">
        <f t="shared" si="5"/>
        <v>2.9999999999752447E-6</v>
      </c>
      <c r="U19" s="38">
        <f>Paralelo!J22</f>
        <v>-0.45090599999999997</v>
      </c>
      <c r="V19" s="38">
        <f>'Dez24'!J22</f>
        <v>-0.45090799999999998</v>
      </c>
      <c r="W19" s="38">
        <f t="shared" si="6"/>
        <v>2.0000000000020002E-6</v>
      </c>
      <c r="X19" s="38">
        <f>Paralelo!K22</f>
        <v>-0.302535</v>
      </c>
      <c r="Y19" s="38">
        <f>'Dez24'!K22</f>
        <v>-0.30253600000000003</v>
      </c>
      <c r="Z19" s="38">
        <f t="shared" si="7"/>
        <v>1.0000000000287557E-6</v>
      </c>
      <c r="AA19" s="38">
        <f>Paralelo!O22</f>
        <v>148.09782000000001</v>
      </c>
      <c r="AB19" s="38">
        <f>'Dez24'!O22</f>
        <v>148.09781899999999</v>
      </c>
      <c r="AC19" s="38">
        <f t="shared" si="8"/>
        <v>1.0000000258969521E-6</v>
      </c>
      <c r="AD19" s="38">
        <f>Paralelo!P22</f>
        <v>68.582633000000001</v>
      </c>
      <c r="AE19" s="38">
        <f>'Dez24'!P22</f>
        <v>68.582628</v>
      </c>
      <c r="AF19" s="38">
        <f t="shared" si="9"/>
        <v>5.0000000015870683E-6</v>
      </c>
      <c r="AG19" s="38">
        <f>Paralelo!Q22</f>
        <v>0.84164099999999997</v>
      </c>
      <c r="AH19" s="38">
        <f>'Dez24'!Q22</f>
        <v>0.84164099999999997</v>
      </c>
      <c r="AI19" s="38">
        <f t="shared" si="10"/>
        <v>0</v>
      </c>
      <c r="AJ19" s="38">
        <f>Paralelo!R22</f>
        <v>0</v>
      </c>
      <c r="AK19" s="38">
        <f>'Dez24'!R22</f>
        <v>0</v>
      </c>
      <c r="AL19" s="38">
        <f t="shared" si="11"/>
        <v>0</v>
      </c>
      <c r="AM19" s="43">
        <f>Paralelo!S22</f>
        <v>3</v>
      </c>
      <c r="AN19" s="43">
        <f>'Dez24'!S22</f>
        <v>3</v>
      </c>
      <c r="AO19" s="43">
        <f t="shared" si="12"/>
        <v>0</v>
      </c>
    </row>
    <row r="20" spans="2:41" hidden="1" outlineLevel="1" x14ac:dyDescent="0.3">
      <c r="B20" s="37" t="s">
        <v>61</v>
      </c>
      <c r="C20" s="38">
        <f>Paralelo!D23</f>
        <v>2.9247709999999998</v>
      </c>
      <c r="D20" s="38">
        <f>'Dez24'!D23</f>
        <v>2.9247709999999998</v>
      </c>
      <c r="E20" s="38">
        <f t="shared" si="0"/>
        <v>0</v>
      </c>
      <c r="F20" s="38">
        <f>Paralelo!E23</f>
        <v>0</v>
      </c>
      <c r="G20" s="38">
        <f>'Dez24'!E23</f>
        <v>0</v>
      </c>
      <c r="H20" s="38">
        <f t="shared" si="1"/>
        <v>0</v>
      </c>
      <c r="I20" s="38">
        <f>Paralelo!F23</f>
        <v>0</v>
      </c>
      <c r="J20" s="38">
        <f>'Dez24'!F23</f>
        <v>0</v>
      </c>
      <c r="K20" s="38">
        <f t="shared" si="2"/>
        <v>0</v>
      </c>
      <c r="L20" s="38">
        <f>Paralelo!G23</f>
        <v>0</v>
      </c>
      <c r="M20" s="38">
        <f>'Dez24'!G23</f>
        <v>0</v>
      </c>
      <c r="N20" s="38">
        <f t="shared" si="3"/>
        <v>0</v>
      </c>
      <c r="O20" s="38">
        <f>Paralelo!H23</f>
        <v>0</v>
      </c>
      <c r="P20" s="38">
        <f>'Dez24'!H23</f>
        <v>0</v>
      </c>
      <c r="Q20" s="38">
        <f t="shared" si="4"/>
        <v>0</v>
      </c>
      <c r="R20" s="38">
        <f>Paralelo!I23</f>
        <v>-1.0149E-2</v>
      </c>
      <c r="S20" s="38">
        <f>'Dez24'!I23</f>
        <v>-1.0149E-2</v>
      </c>
      <c r="T20" s="38">
        <f t="shared" si="5"/>
        <v>0</v>
      </c>
      <c r="U20" s="38">
        <f>Paralelo!J23</f>
        <v>0</v>
      </c>
      <c r="V20" s="38">
        <f>'Dez24'!J23</f>
        <v>0</v>
      </c>
      <c r="W20" s="38">
        <f t="shared" si="6"/>
        <v>0</v>
      </c>
      <c r="X20" s="38">
        <f>Paralelo!K23</f>
        <v>0</v>
      </c>
      <c r="Y20" s="38">
        <f>'Dez24'!K23</f>
        <v>0</v>
      </c>
      <c r="Z20" s="38">
        <f t="shared" si="7"/>
        <v>0</v>
      </c>
      <c r="AA20" s="38">
        <f>Paralelo!O23</f>
        <v>2.9247709999999998</v>
      </c>
      <c r="AB20" s="38">
        <f>'Dez24'!O23</f>
        <v>2.9247709999999998</v>
      </c>
      <c r="AC20" s="38">
        <f t="shared" si="8"/>
        <v>0</v>
      </c>
      <c r="AD20" s="38">
        <f>Paralelo!P23</f>
        <v>0</v>
      </c>
      <c r="AE20" s="38">
        <f>'Dez24'!P23</f>
        <v>0</v>
      </c>
      <c r="AF20" s="38">
        <f t="shared" si="9"/>
        <v>0</v>
      </c>
      <c r="AG20" s="38">
        <f>Paralelo!Q23</f>
        <v>0</v>
      </c>
      <c r="AH20" s="38">
        <f>'Dez24'!Q23</f>
        <v>0</v>
      </c>
      <c r="AI20" s="38">
        <f t="shared" si="10"/>
        <v>0</v>
      </c>
      <c r="AJ20" s="38">
        <f>Paralelo!R23</f>
        <v>0</v>
      </c>
      <c r="AK20" s="38">
        <f>'Dez24'!R23</f>
        <v>0</v>
      </c>
      <c r="AL20" s="38">
        <f t="shared" si="11"/>
        <v>0</v>
      </c>
      <c r="AM20" s="43">
        <f>Paralelo!S23</f>
        <v>0</v>
      </c>
      <c r="AN20" s="43">
        <f>'Dez24'!S23</f>
        <v>0</v>
      </c>
      <c r="AO20" s="43">
        <f t="shared" si="12"/>
        <v>0</v>
      </c>
    </row>
    <row r="21" spans="2:41" hidden="1" outlineLevel="1" x14ac:dyDescent="0.3">
      <c r="B21" s="37" t="s">
        <v>62</v>
      </c>
      <c r="C21" s="38">
        <f>Paralelo!D24</f>
        <v>112.288974</v>
      </c>
      <c r="D21" s="38">
        <f>'Dez24'!D24</f>
        <v>112.288971</v>
      </c>
      <c r="E21" s="38">
        <f t="shared" si="0"/>
        <v>2.9999999924257281E-6</v>
      </c>
      <c r="F21" s="38">
        <f>Paralelo!E24</f>
        <v>0</v>
      </c>
      <c r="G21" s="38">
        <f>'Dez24'!E24</f>
        <v>0</v>
      </c>
      <c r="H21" s="38">
        <f t="shared" si="1"/>
        <v>0</v>
      </c>
      <c r="I21" s="38">
        <f>Paralelo!F24</f>
        <v>0</v>
      </c>
      <c r="J21" s="38">
        <f>'Dez24'!F24</f>
        <v>0</v>
      </c>
      <c r="K21" s="38">
        <f t="shared" si="2"/>
        <v>0</v>
      </c>
      <c r="L21" s="38">
        <f>Paralelo!G24</f>
        <v>17.483433999999999</v>
      </c>
      <c r="M21" s="38">
        <f>'Dez24'!G24</f>
        <v>17.483433000000002</v>
      </c>
      <c r="N21" s="38">
        <f t="shared" si="3"/>
        <v>9.9999999747524271E-7</v>
      </c>
      <c r="O21" s="38">
        <f>Paralelo!H24</f>
        <v>3.057178</v>
      </c>
      <c r="P21" s="38">
        <f>'Dez24'!H24</f>
        <v>3.0571790000000001</v>
      </c>
      <c r="Q21" s="38">
        <f t="shared" si="4"/>
        <v>-1.000000000139778E-6</v>
      </c>
      <c r="R21" s="38">
        <f>Paralelo!I24</f>
        <v>-4.058046</v>
      </c>
      <c r="S21" s="38">
        <f>'Dez24'!I24</f>
        <v>-4.0580449999999999</v>
      </c>
      <c r="T21" s="38">
        <f t="shared" si="5"/>
        <v>-1.000000000139778E-6</v>
      </c>
      <c r="U21" s="38">
        <f>Paralelo!J24</f>
        <v>-1.1716390000000001</v>
      </c>
      <c r="V21" s="38">
        <f>'Dez24'!J24</f>
        <v>-1.1716359999999999</v>
      </c>
      <c r="W21" s="38">
        <f t="shared" si="6"/>
        <v>-3.0000000001972893E-6</v>
      </c>
      <c r="X21" s="38">
        <f>Paralelo!K24</f>
        <v>-2.4024169999999998</v>
      </c>
      <c r="Y21" s="38">
        <f>'Dez24'!K24</f>
        <v>-2.4024160000000001</v>
      </c>
      <c r="Z21" s="38">
        <f t="shared" si="7"/>
        <v>-9.9999999969568876E-7</v>
      </c>
      <c r="AA21" s="38">
        <f>Paralelo!O24</f>
        <v>105.94177500000001</v>
      </c>
      <c r="AB21" s="38">
        <f>'Dez24'!O24</f>
        <v>105.941774</v>
      </c>
      <c r="AC21" s="38">
        <f t="shared" si="8"/>
        <v>1.0000000116860974E-6</v>
      </c>
      <c r="AD21" s="38">
        <f>Paralelo!P24</f>
        <v>4.2102779999999997</v>
      </c>
      <c r="AE21" s="38">
        <f>'Dez24'!P24</f>
        <v>4.2102779999999997</v>
      </c>
      <c r="AF21" s="38">
        <f t="shared" si="9"/>
        <v>0</v>
      </c>
      <c r="AG21" s="38">
        <f>Paralelo!Q24</f>
        <v>2.1369210000000001</v>
      </c>
      <c r="AH21" s="38">
        <f>'Dez24'!Q24</f>
        <v>2.1369189999999998</v>
      </c>
      <c r="AI21" s="38">
        <f t="shared" si="10"/>
        <v>2.0000000002795559E-6</v>
      </c>
      <c r="AJ21" s="38">
        <f>Paralelo!R24</f>
        <v>0</v>
      </c>
      <c r="AK21" s="38">
        <f>'Dez24'!R24</f>
        <v>0</v>
      </c>
      <c r="AL21" s="38">
        <f t="shared" si="11"/>
        <v>0</v>
      </c>
      <c r="AM21" s="43">
        <f>Paralelo!S24</f>
        <v>2</v>
      </c>
      <c r="AN21" s="43">
        <f>'Dez24'!S24</f>
        <v>2</v>
      </c>
      <c r="AO21" s="43">
        <f t="shared" si="12"/>
        <v>0</v>
      </c>
    </row>
    <row r="22" spans="2:41" hidden="1" outlineLevel="1" x14ac:dyDescent="0.3">
      <c r="B22" s="37" t="s">
        <v>63</v>
      </c>
      <c r="C22" s="38">
        <f>Paralelo!D25</f>
        <v>94.341449999999995</v>
      </c>
      <c r="D22" s="38">
        <f>'Dez24'!D25</f>
        <v>94.342483000000001</v>
      </c>
      <c r="E22" s="38">
        <f t="shared" si="0"/>
        <v>-1.033000000006723E-3</v>
      </c>
      <c r="F22" s="38">
        <f>Paralelo!E25</f>
        <v>0</v>
      </c>
      <c r="G22" s="38">
        <f>'Dez24'!E25</f>
        <v>0</v>
      </c>
      <c r="H22" s="38">
        <f t="shared" si="1"/>
        <v>0</v>
      </c>
      <c r="I22" s="38">
        <f>Paralelo!F25</f>
        <v>4.8430000000000001E-3</v>
      </c>
      <c r="J22" s="38">
        <f>'Dez24'!F25</f>
        <v>7.9620000000000003E-3</v>
      </c>
      <c r="K22" s="38">
        <f t="shared" si="2"/>
        <v>-3.1190000000000002E-3</v>
      </c>
      <c r="L22" s="38">
        <f>Paralelo!G25</f>
        <v>15.615</v>
      </c>
      <c r="M22" s="38">
        <f>'Dez24'!G25</f>
        <v>15.614997000000001</v>
      </c>
      <c r="N22" s="38">
        <f t="shared" si="3"/>
        <v>2.9999999995311555E-6</v>
      </c>
      <c r="O22" s="38">
        <f>Paralelo!H25</f>
        <v>8.1171849999999992</v>
      </c>
      <c r="P22" s="38">
        <f>'Dez24'!H25</f>
        <v>8.1182250000000007</v>
      </c>
      <c r="Q22" s="38">
        <f t="shared" si="4"/>
        <v>-1.0400000000014842E-3</v>
      </c>
      <c r="R22" s="38">
        <f>Paralelo!I25</f>
        <v>-7.0678289999999997</v>
      </c>
      <c r="S22" s="38">
        <f>'Dez24'!I25</f>
        <v>-7.0681669999999999</v>
      </c>
      <c r="T22" s="38">
        <f t="shared" si="5"/>
        <v>3.380000000001715E-4</v>
      </c>
      <c r="U22" s="38">
        <f>Paralelo!J25</f>
        <v>-0.98600699999999997</v>
      </c>
      <c r="V22" s="38">
        <f>'Dez24'!J25</f>
        <v>-0.98600900000000002</v>
      </c>
      <c r="W22" s="38">
        <f t="shared" si="6"/>
        <v>2.0000000000575113E-6</v>
      </c>
      <c r="X22" s="38">
        <f>Paralelo!K25</f>
        <v>-5.7751080000000004</v>
      </c>
      <c r="Y22" s="38">
        <f>'Dez24'!K25</f>
        <v>-5.7754440000000002</v>
      </c>
      <c r="Z22" s="38">
        <f t="shared" si="7"/>
        <v>3.3599999999989194E-4</v>
      </c>
      <c r="AA22" s="38">
        <f>Paralelo!O25</f>
        <v>83.762240000000006</v>
      </c>
      <c r="AB22" s="38">
        <f>'Dez24'!O25</f>
        <v>83.763276000000005</v>
      </c>
      <c r="AC22" s="38">
        <f t="shared" si="8"/>
        <v>-1.0359999999991487E-3</v>
      </c>
      <c r="AD22" s="38">
        <f>Paralelo!P25</f>
        <v>7.3780229999999998</v>
      </c>
      <c r="AE22" s="38">
        <f>'Dez24'!P25</f>
        <v>7.3780219999999996</v>
      </c>
      <c r="AF22" s="38">
        <f t="shared" si="9"/>
        <v>1.000000000139778E-6</v>
      </c>
      <c r="AG22" s="38">
        <f>Paralelo!Q25</f>
        <v>3.2011859999999999</v>
      </c>
      <c r="AH22" s="38">
        <f>'Dez24'!Q25</f>
        <v>3.2011850000000002</v>
      </c>
      <c r="AI22" s="38">
        <f t="shared" si="10"/>
        <v>9.9999999969568876E-7</v>
      </c>
      <c r="AJ22" s="38">
        <f>Paralelo!R25</f>
        <v>0</v>
      </c>
      <c r="AK22" s="38">
        <f>'Dez24'!R25</f>
        <v>0</v>
      </c>
      <c r="AL22" s="38">
        <f t="shared" si="11"/>
        <v>0</v>
      </c>
      <c r="AM22" s="43">
        <f>Paralelo!S25</f>
        <v>2</v>
      </c>
      <c r="AN22" s="43">
        <f>'Dez24'!S25</f>
        <v>2</v>
      </c>
      <c r="AO22" s="43">
        <f t="shared" si="12"/>
        <v>0</v>
      </c>
    </row>
    <row r="23" spans="2:41" hidden="1" outlineLevel="1" x14ac:dyDescent="0.3">
      <c r="B23" s="37" t="s">
        <v>64</v>
      </c>
      <c r="C23" s="38">
        <f>Paralelo!D26</f>
        <v>50.416474999999998</v>
      </c>
      <c r="D23" s="38">
        <f>'Dez24'!D26</f>
        <v>50.416471000000001</v>
      </c>
      <c r="E23" s="38">
        <f t="shared" si="0"/>
        <v>3.9999999970063982E-6</v>
      </c>
      <c r="F23" s="38">
        <f>Paralelo!E26</f>
        <v>0</v>
      </c>
      <c r="G23" s="38">
        <f>'Dez24'!E26</f>
        <v>0</v>
      </c>
      <c r="H23" s="38">
        <f t="shared" si="1"/>
        <v>0</v>
      </c>
      <c r="I23" s="38">
        <f>Paralelo!F26</f>
        <v>0</v>
      </c>
      <c r="J23" s="38">
        <f>'Dez24'!F26</f>
        <v>0</v>
      </c>
      <c r="K23" s="38">
        <f t="shared" si="2"/>
        <v>0</v>
      </c>
      <c r="L23" s="38">
        <f>Paralelo!G26</f>
        <v>12.097785999999999</v>
      </c>
      <c r="M23" s="38">
        <f>'Dez24'!G26</f>
        <v>12.097787</v>
      </c>
      <c r="N23" s="38">
        <f t="shared" si="3"/>
        <v>-1.0000000010279564E-6</v>
      </c>
      <c r="O23" s="38">
        <f>Paralelo!H26</f>
        <v>6.7355270000000003</v>
      </c>
      <c r="P23" s="38">
        <f>'Dez24'!H26</f>
        <v>6.7355280000000004</v>
      </c>
      <c r="Q23" s="38">
        <f t="shared" si="4"/>
        <v>-1.000000000139778E-6</v>
      </c>
      <c r="R23" s="38">
        <f>Paralelo!I26</f>
        <v>-5.5203720000000001</v>
      </c>
      <c r="S23" s="38">
        <f>'Dez24'!I26</f>
        <v>-5.5203709999999999</v>
      </c>
      <c r="T23" s="38">
        <f t="shared" si="5"/>
        <v>-1.000000000139778E-6</v>
      </c>
      <c r="U23" s="38">
        <f>Paralelo!J26</f>
        <v>-0.68337999999999999</v>
      </c>
      <c r="V23" s="38">
        <f>'Dez24'!J26</f>
        <v>-0.68338100000000002</v>
      </c>
      <c r="W23" s="38">
        <f t="shared" si="6"/>
        <v>1.0000000000287557E-6</v>
      </c>
      <c r="X23" s="38">
        <f>Paralelo!K26</f>
        <v>-4.653708</v>
      </c>
      <c r="Y23" s="38">
        <f>'Dez24'!K26</f>
        <v>-4.6537059999999997</v>
      </c>
      <c r="Z23" s="38">
        <f t="shared" si="7"/>
        <v>-2.0000000002795559E-6</v>
      </c>
      <c r="AA23" s="38">
        <f>Paralelo!O26</f>
        <v>47.567579000000002</v>
      </c>
      <c r="AB23" s="38">
        <f>'Dez24'!O26</f>
        <v>47.567580999999997</v>
      </c>
      <c r="AC23" s="38">
        <f t="shared" si="8"/>
        <v>-1.9999999949504854E-6</v>
      </c>
      <c r="AD23" s="38">
        <f>Paralelo!P26</f>
        <v>2.3946749999999999</v>
      </c>
      <c r="AE23" s="38">
        <f>'Dez24'!P26</f>
        <v>2.3946689999999999</v>
      </c>
      <c r="AF23" s="38">
        <f t="shared" si="9"/>
        <v>5.9999999999504894E-6</v>
      </c>
      <c r="AG23" s="38">
        <f>Paralelo!Q26</f>
        <v>0.45422099999999999</v>
      </c>
      <c r="AH23" s="38">
        <f>'Dez24'!Q26</f>
        <v>0.45422099999999999</v>
      </c>
      <c r="AI23" s="38">
        <f t="shared" si="10"/>
        <v>0</v>
      </c>
      <c r="AJ23" s="38">
        <f>Paralelo!R26</f>
        <v>0</v>
      </c>
      <c r="AK23" s="38">
        <f>'Dez24'!R26</f>
        <v>0</v>
      </c>
      <c r="AL23" s="38">
        <f t="shared" si="11"/>
        <v>0</v>
      </c>
      <c r="AM23" s="43">
        <f>Paralelo!S26</f>
        <v>2</v>
      </c>
      <c r="AN23" s="43">
        <f>'Dez24'!S26</f>
        <v>2</v>
      </c>
      <c r="AO23" s="43">
        <f t="shared" si="12"/>
        <v>0</v>
      </c>
    </row>
    <row r="24" spans="2:41" ht="28.8" hidden="1" outlineLevel="1" x14ac:dyDescent="0.3">
      <c r="B24" s="37" t="s">
        <v>65</v>
      </c>
      <c r="C24" s="38">
        <f>Paralelo!D27</f>
        <v>113.903358</v>
      </c>
      <c r="D24" s="38">
        <f>'Dez24'!D27</f>
        <v>113.903358</v>
      </c>
      <c r="E24" s="38">
        <f t="shared" si="0"/>
        <v>0</v>
      </c>
      <c r="F24" s="38">
        <f>Paralelo!E27</f>
        <v>0</v>
      </c>
      <c r="G24" s="38">
        <f>'Dez24'!E27</f>
        <v>0</v>
      </c>
      <c r="H24" s="38">
        <f t="shared" si="1"/>
        <v>0</v>
      </c>
      <c r="I24" s="38">
        <f>Paralelo!F27</f>
        <v>0.67807799999999996</v>
      </c>
      <c r="J24" s="38">
        <f>'Dez24'!F27</f>
        <v>0.67807799999999996</v>
      </c>
      <c r="K24" s="38">
        <f t="shared" si="2"/>
        <v>0</v>
      </c>
      <c r="L24" s="38">
        <f>Paralelo!G27</f>
        <v>11.594229</v>
      </c>
      <c r="M24" s="38">
        <f>'Dez24'!G27</f>
        <v>11.594229</v>
      </c>
      <c r="N24" s="38">
        <f t="shared" si="3"/>
        <v>0</v>
      </c>
      <c r="O24" s="38">
        <f>Paralelo!H27</f>
        <v>5.0176090000000002</v>
      </c>
      <c r="P24" s="38">
        <f>'Dez24'!H27</f>
        <v>5.0176080000000001</v>
      </c>
      <c r="Q24" s="38">
        <f t="shared" si="4"/>
        <v>1.000000000139778E-6</v>
      </c>
      <c r="R24" s="38">
        <f>Paralelo!I27</f>
        <v>-4.4068990000000001</v>
      </c>
      <c r="S24" s="38">
        <f>'Dez24'!I27</f>
        <v>-4.4068940000000003</v>
      </c>
      <c r="T24" s="38">
        <f t="shared" si="5"/>
        <v>-4.9999999998107114E-6</v>
      </c>
      <c r="U24" s="38">
        <f>Paralelo!J27</f>
        <v>-0.62377499999999997</v>
      </c>
      <c r="V24" s="38">
        <f>'Dez24'!J27</f>
        <v>-0.62377000000000005</v>
      </c>
      <c r="W24" s="38">
        <f t="shared" si="6"/>
        <v>-4.9999999999217337E-6</v>
      </c>
      <c r="X24" s="38">
        <f>Paralelo!K27</f>
        <v>-3.4569329999999998</v>
      </c>
      <c r="Y24" s="38">
        <f>'Dez24'!K27</f>
        <v>-3.456934</v>
      </c>
      <c r="Z24" s="38">
        <f t="shared" si="7"/>
        <v>1.000000000139778E-6</v>
      </c>
      <c r="AA24" s="38">
        <f>Paralelo!O27</f>
        <v>110.56855400000001</v>
      </c>
      <c r="AB24" s="38">
        <f>'Dez24'!O27</f>
        <v>110.56855400000001</v>
      </c>
      <c r="AC24" s="38">
        <f t="shared" si="8"/>
        <v>0</v>
      </c>
      <c r="AD24" s="38">
        <f>Paralelo!P27</f>
        <v>2.739179</v>
      </c>
      <c r="AE24" s="38">
        <f>'Dez24'!P27</f>
        <v>2.7391800000000002</v>
      </c>
      <c r="AF24" s="38">
        <f t="shared" si="9"/>
        <v>-1.000000000139778E-6</v>
      </c>
      <c r="AG24" s="38">
        <f>Paralelo!Q27</f>
        <v>0.59562499999999996</v>
      </c>
      <c r="AH24" s="38">
        <f>'Dez24'!Q27</f>
        <v>0.59562400000000004</v>
      </c>
      <c r="AI24" s="38">
        <f t="shared" si="10"/>
        <v>9.9999999991773336E-7</v>
      </c>
      <c r="AJ24" s="38">
        <f>Paralelo!R27</f>
        <v>0</v>
      </c>
      <c r="AK24" s="38">
        <f>'Dez24'!R27</f>
        <v>0</v>
      </c>
      <c r="AL24" s="38">
        <f t="shared" si="11"/>
        <v>0</v>
      </c>
      <c r="AM24" s="43">
        <f>Paralelo!S27</f>
        <v>1</v>
      </c>
      <c r="AN24" s="43">
        <f>'Dez24'!S27</f>
        <v>1</v>
      </c>
      <c r="AO24" s="43">
        <f t="shared" si="12"/>
        <v>0</v>
      </c>
    </row>
    <row r="25" spans="2:41" hidden="1" outlineLevel="1" x14ac:dyDescent="0.3">
      <c r="B25" s="37" t="s">
        <v>66</v>
      </c>
      <c r="C25" s="38">
        <f>Paralelo!D28</f>
        <v>145.662162</v>
      </c>
      <c r="D25" s="38">
        <f>'Dez24'!D28</f>
        <v>145.66216299999999</v>
      </c>
      <c r="E25" s="38">
        <f t="shared" si="0"/>
        <v>-9.9999999747524271E-7</v>
      </c>
      <c r="F25" s="38">
        <f>Paralelo!E28</f>
        <v>0</v>
      </c>
      <c r="G25" s="38">
        <f>'Dez24'!E28</f>
        <v>0</v>
      </c>
      <c r="H25" s="38">
        <f t="shared" si="1"/>
        <v>0</v>
      </c>
      <c r="I25" s="38">
        <f>Paralelo!F28</f>
        <v>2.2264240000000002</v>
      </c>
      <c r="J25" s="38">
        <f>'Dez24'!F28</f>
        <v>2.2264240000000002</v>
      </c>
      <c r="K25" s="38">
        <f t="shared" si="2"/>
        <v>0</v>
      </c>
      <c r="L25" s="38">
        <f>Paralelo!G28</f>
        <v>2.0891700000000002</v>
      </c>
      <c r="M25" s="38">
        <f>'Dez24'!G28</f>
        <v>2.0891709999999999</v>
      </c>
      <c r="N25" s="38">
        <f t="shared" si="3"/>
        <v>-9.9999999969568876E-7</v>
      </c>
      <c r="O25" s="38">
        <f>Paralelo!H28</f>
        <v>0.13273499999999999</v>
      </c>
      <c r="P25" s="38">
        <f>'Dez24'!H28</f>
        <v>0.13273499999999999</v>
      </c>
      <c r="Q25" s="38">
        <f t="shared" si="4"/>
        <v>0</v>
      </c>
      <c r="R25" s="38">
        <f>Paralelo!I28</f>
        <v>-0.332783</v>
      </c>
      <c r="S25" s="38">
        <f>'Dez24'!I28</f>
        <v>-0.33278200000000002</v>
      </c>
      <c r="T25" s="38">
        <f t="shared" si="5"/>
        <v>-9.9999999997324451E-7</v>
      </c>
      <c r="U25" s="38">
        <f>Paralelo!J28</f>
        <v>-0.10208399999999999</v>
      </c>
      <c r="V25" s="38">
        <f>'Dez24'!J28</f>
        <v>-0.102085</v>
      </c>
      <c r="W25" s="38">
        <f t="shared" si="6"/>
        <v>1.0000000000010001E-6</v>
      </c>
      <c r="X25" s="38">
        <f>Paralelo!K28</f>
        <v>-7.3282E-2</v>
      </c>
      <c r="Y25" s="38">
        <f>'Dez24'!K28</f>
        <v>-7.3279999999999998E-2</v>
      </c>
      <c r="Z25" s="38">
        <f t="shared" si="7"/>
        <v>-2.0000000000020002E-6</v>
      </c>
      <c r="AA25" s="38">
        <f>Paralelo!O28</f>
        <v>143.75183699999999</v>
      </c>
      <c r="AB25" s="38">
        <f>'Dez24'!O28</f>
        <v>143.75183799999999</v>
      </c>
      <c r="AC25" s="38">
        <f t="shared" si="8"/>
        <v>-9.9999999747524271E-7</v>
      </c>
      <c r="AD25" s="38">
        <f>Paralelo!P28</f>
        <v>1.184124</v>
      </c>
      <c r="AE25" s="38">
        <f>'Dez24'!P28</f>
        <v>1.184124</v>
      </c>
      <c r="AF25" s="38">
        <f t="shared" si="9"/>
        <v>0</v>
      </c>
      <c r="AG25" s="38">
        <f>Paralelo!Q28</f>
        <v>0.72620099999999999</v>
      </c>
      <c r="AH25" s="38">
        <f>'Dez24'!Q28</f>
        <v>0.72620099999999999</v>
      </c>
      <c r="AI25" s="38">
        <f t="shared" si="10"/>
        <v>0</v>
      </c>
      <c r="AJ25" s="38">
        <f>Paralelo!R28</f>
        <v>0</v>
      </c>
      <c r="AK25" s="38">
        <f>'Dez24'!R28</f>
        <v>0</v>
      </c>
      <c r="AL25" s="38">
        <f t="shared" si="11"/>
        <v>0</v>
      </c>
      <c r="AM25" s="43">
        <f>Paralelo!S28</f>
        <v>1</v>
      </c>
      <c r="AN25" s="43">
        <f>'Dez24'!S28</f>
        <v>1</v>
      </c>
      <c r="AO25" s="43">
        <f t="shared" si="12"/>
        <v>0</v>
      </c>
    </row>
    <row r="26" spans="2:41" hidden="1" outlineLevel="1" x14ac:dyDescent="0.3">
      <c r="B26" s="37" t="s">
        <v>67</v>
      </c>
      <c r="C26" s="38">
        <f>Paralelo!D29</f>
        <v>29.940097000000002</v>
      </c>
      <c r="D26" s="38">
        <f>'Dez24'!D29</f>
        <v>29.940097000000002</v>
      </c>
      <c r="E26" s="38">
        <f t="shared" si="0"/>
        <v>0</v>
      </c>
      <c r="F26" s="38">
        <f>Paralelo!E29</f>
        <v>0</v>
      </c>
      <c r="G26" s="38">
        <f>'Dez24'!E29</f>
        <v>0</v>
      </c>
      <c r="H26" s="38">
        <f t="shared" si="1"/>
        <v>0</v>
      </c>
      <c r="I26" s="38">
        <f>Paralelo!F29</f>
        <v>0</v>
      </c>
      <c r="J26" s="38">
        <f>'Dez24'!F29</f>
        <v>0</v>
      </c>
      <c r="K26" s="38">
        <f t="shared" si="2"/>
        <v>0</v>
      </c>
      <c r="L26" s="38">
        <f>Paralelo!G29</f>
        <v>8.1984209999999997</v>
      </c>
      <c r="M26" s="38">
        <f>'Dez24'!G29</f>
        <v>8.1984209999999997</v>
      </c>
      <c r="N26" s="38">
        <f t="shared" si="3"/>
        <v>0</v>
      </c>
      <c r="O26" s="38">
        <f>Paralelo!H29</f>
        <v>2.33595</v>
      </c>
      <c r="P26" s="38">
        <f>'Dez24'!H29</f>
        <v>2.3359489999999998</v>
      </c>
      <c r="Q26" s="38">
        <f t="shared" si="4"/>
        <v>1.000000000139778E-6</v>
      </c>
      <c r="R26" s="38">
        <f>Paralelo!I29</f>
        <v>-2.468645</v>
      </c>
      <c r="S26" s="38">
        <f>'Dez24'!I29</f>
        <v>-2.4686490000000001</v>
      </c>
      <c r="T26" s="38">
        <f t="shared" si="5"/>
        <v>4.0000000001150227E-6</v>
      </c>
      <c r="U26" s="38">
        <f>Paralelo!J29</f>
        <v>-0.39780399999999999</v>
      </c>
      <c r="V26" s="38">
        <f>'Dez24'!J29</f>
        <v>-0.39780500000000002</v>
      </c>
      <c r="W26" s="38">
        <f t="shared" si="6"/>
        <v>1.0000000000287557E-6</v>
      </c>
      <c r="X26" s="38">
        <f>Paralelo!K29</f>
        <v>-1.9973449999999999</v>
      </c>
      <c r="Y26" s="38">
        <f>'Dez24'!K29</f>
        <v>-1.9973449999999999</v>
      </c>
      <c r="Z26" s="38">
        <f t="shared" si="7"/>
        <v>0</v>
      </c>
      <c r="AA26" s="38">
        <f>Paralelo!O29</f>
        <v>26.138881000000001</v>
      </c>
      <c r="AB26" s="38">
        <f>'Dez24'!O29</f>
        <v>26.13888</v>
      </c>
      <c r="AC26" s="38">
        <f t="shared" si="8"/>
        <v>1.0000000010279564E-6</v>
      </c>
      <c r="AD26" s="38">
        <f>Paralelo!P29</f>
        <v>2.3008479999999998</v>
      </c>
      <c r="AE26" s="38">
        <f>'Dez24'!P29</f>
        <v>2.3008500000000001</v>
      </c>
      <c r="AF26" s="38">
        <f t="shared" si="9"/>
        <v>-2.0000000002795559E-6</v>
      </c>
      <c r="AG26" s="38">
        <f>Paralelo!Q29</f>
        <v>1.5003679999999999</v>
      </c>
      <c r="AH26" s="38">
        <f>'Dez24'!Q29</f>
        <v>1.500367</v>
      </c>
      <c r="AI26" s="38">
        <f t="shared" si="10"/>
        <v>9.9999999991773336E-7</v>
      </c>
      <c r="AJ26" s="38">
        <f>Paralelo!R29</f>
        <v>0</v>
      </c>
      <c r="AK26" s="38">
        <f>'Dez24'!R29</f>
        <v>0</v>
      </c>
      <c r="AL26" s="38">
        <f t="shared" si="11"/>
        <v>0</v>
      </c>
      <c r="AM26" s="43">
        <f>Paralelo!S29</f>
        <v>3</v>
      </c>
      <c r="AN26" s="43">
        <f>'Dez24'!S29</f>
        <v>3</v>
      </c>
      <c r="AO26" s="43">
        <f t="shared" si="12"/>
        <v>0</v>
      </c>
    </row>
    <row r="27" spans="2:41" hidden="1" outlineLevel="1" x14ac:dyDescent="0.3">
      <c r="B27" s="37" t="s">
        <v>68</v>
      </c>
      <c r="C27" s="38">
        <f>Paralelo!D30</f>
        <v>0.46905000000000002</v>
      </c>
      <c r="D27" s="38">
        <f>'Dez24'!D30</f>
        <v>0.46904899999999999</v>
      </c>
      <c r="E27" s="38">
        <f t="shared" si="0"/>
        <v>1.0000000000287557E-6</v>
      </c>
      <c r="F27" s="38">
        <f>Paralelo!E30</f>
        <v>6.0889999999999998E-3</v>
      </c>
      <c r="G27" s="38">
        <f>'Dez24'!E30</f>
        <v>6.0889999999999998E-3</v>
      </c>
      <c r="H27" s="38">
        <f t="shared" si="1"/>
        <v>0</v>
      </c>
      <c r="I27" s="38">
        <f>Paralelo!F30</f>
        <v>6.4999999999999994E-5</v>
      </c>
      <c r="J27" s="38">
        <f>'Dez24'!F30</f>
        <v>6.4999999999999994E-5</v>
      </c>
      <c r="K27" s="38">
        <f t="shared" si="2"/>
        <v>0</v>
      </c>
      <c r="L27" s="38">
        <f>Paralelo!G30</f>
        <v>0.190606</v>
      </c>
      <c r="M27" s="38">
        <f>'Dez24'!G30</f>
        <v>0.190606</v>
      </c>
      <c r="N27" s="38">
        <f t="shared" si="3"/>
        <v>0</v>
      </c>
      <c r="O27" s="38">
        <f>Paralelo!H30</f>
        <v>9.2800000000000001E-4</v>
      </c>
      <c r="P27" s="38">
        <f>'Dez24'!H30</f>
        <v>9.2800000000000001E-4</v>
      </c>
      <c r="Q27" s="38">
        <f t="shared" si="4"/>
        <v>0</v>
      </c>
      <c r="R27" s="38">
        <f>Paralelo!I30</f>
        <v>-1.7937000000000002E-2</v>
      </c>
      <c r="S27" s="38">
        <f>'Dez24'!I30</f>
        <v>-1.7937000000000002E-2</v>
      </c>
      <c r="T27" s="38">
        <f t="shared" si="5"/>
        <v>0</v>
      </c>
      <c r="U27" s="38">
        <f>Paralelo!J30</f>
        <v>-1.5744000000000001E-2</v>
      </c>
      <c r="V27" s="38">
        <f>'Dez24'!J30</f>
        <v>-1.5743E-2</v>
      </c>
      <c r="W27" s="38">
        <f t="shared" si="6"/>
        <v>-1.0000000000010001E-6</v>
      </c>
      <c r="X27" s="38">
        <f>Paralelo!K30</f>
        <v>-9.01E-4</v>
      </c>
      <c r="Y27" s="38">
        <f>'Dez24'!K30</f>
        <v>-9.01E-4</v>
      </c>
      <c r="Z27" s="38">
        <f t="shared" si="7"/>
        <v>0</v>
      </c>
      <c r="AA27" s="38">
        <f>Paralelo!O30</f>
        <v>0.46905000000000002</v>
      </c>
      <c r="AB27" s="38">
        <f>'Dez24'!O30</f>
        <v>0.46904899999999999</v>
      </c>
      <c r="AC27" s="38">
        <f t="shared" si="8"/>
        <v>1.0000000000287557E-6</v>
      </c>
      <c r="AD27" s="38">
        <f>Paralelo!P30</f>
        <v>0</v>
      </c>
      <c r="AE27" s="38">
        <f>'Dez24'!P30</f>
        <v>0</v>
      </c>
      <c r="AF27" s="38">
        <f t="shared" si="9"/>
        <v>0</v>
      </c>
      <c r="AG27" s="38">
        <f>Paralelo!Q30</f>
        <v>0</v>
      </c>
      <c r="AH27" s="38">
        <f>'Dez24'!Q30</f>
        <v>0</v>
      </c>
      <c r="AI27" s="38">
        <f t="shared" si="10"/>
        <v>0</v>
      </c>
      <c r="AJ27" s="38">
        <f>Paralelo!R30</f>
        <v>0</v>
      </c>
      <c r="AK27" s="38">
        <f>'Dez24'!R30</f>
        <v>0</v>
      </c>
      <c r="AL27" s="38">
        <f t="shared" si="11"/>
        <v>0</v>
      </c>
      <c r="AM27" s="43">
        <f>Paralelo!S30</f>
        <v>2</v>
      </c>
      <c r="AN27" s="43">
        <f>'Dez24'!S30</f>
        <v>2</v>
      </c>
      <c r="AO27" s="43">
        <f t="shared" si="12"/>
        <v>0</v>
      </c>
    </row>
    <row r="28" spans="2:41" hidden="1" outlineLevel="1" x14ac:dyDescent="0.3">
      <c r="B28" s="37" t="s">
        <v>69</v>
      </c>
      <c r="C28" s="38">
        <f>Paralelo!D31</f>
        <v>103.985032</v>
      </c>
      <c r="D28" s="38">
        <f>'Dez24'!D31</f>
        <v>103.98503599999999</v>
      </c>
      <c r="E28" s="38">
        <f t="shared" si="0"/>
        <v>-3.9999999899009708E-6</v>
      </c>
      <c r="F28" s="38">
        <f>Paralelo!E31</f>
        <v>6.2306E-2</v>
      </c>
      <c r="G28" s="38">
        <f>'Dez24'!E31</f>
        <v>6.2306E-2</v>
      </c>
      <c r="H28" s="38">
        <f t="shared" si="1"/>
        <v>0</v>
      </c>
      <c r="I28" s="38">
        <f>Paralelo!F31</f>
        <v>0.219527</v>
      </c>
      <c r="J28" s="38">
        <f>'Dez24'!F31</f>
        <v>0.219526</v>
      </c>
      <c r="K28" s="38">
        <f t="shared" si="2"/>
        <v>1.0000000000010001E-6</v>
      </c>
      <c r="L28" s="38">
        <f>Paralelo!G31</f>
        <v>7.8018390000000002</v>
      </c>
      <c r="M28" s="38">
        <f>'Dez24'!G31</f>
        <v>7.8018400000000003</v>
      </c>
      <c r="N28" s="38">
        <f t="shared" si="3"/>
        <v>-1.000000000139778E-6</v>
      </c>
      <c r="O28" s="38">
        <f>Paralelo!H31</f>
        <v>1.586409</v>
      </c>
      <c r="P28" s="38">
        <f>'Dez24'!H31</f>
        <v>1.586409</v>
      </c>
      <c r="Q28" s="38">
        <f t="shared" si="4"/>
        <v>0</v>
      </c>
      <c r="R28" s="38">
        <f>Paralelo!I31</f>
        <v>-1.292144</v>
      </c>
      <c r="S28" s="38">
        <f>'Dez24'!I31</f>
        <v>-1.292143</v>
      </c>
      <c r="T28" s="38">
        <f t="shared" si="5"/>
        <v>-9.9999999991773336E-7</v>
      </c>
      <c r="U28" s="38">
        <f>Paralelo!J31</f>
        <v>-0.36968000000000001</v>
      </c>
      <c r="V28" s="38">
        <f>'Dez24'!J31</f>
        <v>-0.36967899999999998</v>
      </c>
      <c r="W28" s="38">
        <f t="shared" si="6"/>
        <v>-1.0000000000287557E-6</v>
      </c>
      <c r="X28" s="38">
        <f>Paralelo!K31</f>
        <v>-0.62299099999999996</v>
      </c>
      <c r="Y28" s="38">
        <f>'Dez24'!K31</f>
        <v>-0.62299199999999999</v>
      </c>
      <c r="Z28" s="38">
        <f t="shared" si="7"/>
        <v>1.0000000000287557E-6</v>
      </c>
      <c r="AA28" s="38">
        <f>Paralelo!O31</f>
        <v>97.568631999999994</v>
      </c>
      <c r="AB28" s="38">
        <f>'Dez24'!O31</f>
        <v>97.568635</v>
      </c>
      <c r="AC28" s="38">
        <f t="shared" si="8"/>
        <v>-3.0000000066365828E-6</v>
      </c>
      <c r="AD28" s="38">
        <f>Paralelo!P31</f>
        <v>4.9116080000000002</v>
      </c>
      <c r="AE28" s="38">
        <f>'Dez24'!P31</f>
        <v>4.9116070000000001</v>
      </c>
      <c r="AF28" s="38">
        <f t="shared" si="9"/>
        <v>1.000000000139778E-6</v>
      </c>
      <c r="AG28" s="38">
        <f>Paralelo!Q31</f>
        <v>1.504793</v>
      </c>
      <c r="AH28" s="38">
        <f>'Dez24'!Q31</f>
        <v>1.504794</v>
      </c>
      <c r="AI28" s="38">
        <f t="shared" si="10"/>
        <v>-9.9999999991773336E-7</v>
      </c>
      <c r="AJ28" s="38">
        <f>Paralelo!R31</f>
        <v>0</v>
      </c>
      <c r="AK28" s="38">
        <f>'Dez24'!R31</f>
        <v>0</v>
      </c>
      <c r="AL28" s="38">
        <f t="shared" si="11"/>
        <v>0</v>
      </c>
      <c r="AM28" s="43">
        <f>Paralelo!S31</f>
        <v>1</v>
      </c>
      <c r="AN28" s="43">
        <f>'Dez24'!S31</f>
        <v>1</v>
      </c>
      <c r="AO28" s="43">
        <f t="shared" si="12"/>
        <v>0</v>
      </c>
    </row>
    <row r="29" spans="2:41" hidden="1" outlineLevel="1" x14ac:dyDescent="0.3">
      <c r="B29" s="37" t="s">
        <v>70</v>
      </c>
      <c r="C29" s="38">
        <f>Paralelo!D32</f>
        <v>61.623359999999998</v>
      </c>
      <c r="D29" s="38">
        <f>'Dez24'!D32</f>
        <v>61.623358000000003</v>
      </c>
      <c r="E29" s="38">
        <f t="shared" si="0"/>
        <v>1.9999999949504854E-6</v>
      </c>
      <c r="F29" s="38">
        <f>Paralelo!E32</f>
        <v>0</v>
      </c>
      <c r="G29" s="38">
        <f>'Dez24'!E32</f>
        <v>0</v>
      </c>
      <c r="H29" s="38">
        <f t="shared" si="1"/>
        <v>0</v>
      </c>
      <c r="I29" s="38">
        <f>Paralelo!F32</f>
        <v>0</v>
      </c>
      <c r="J29" s="38">
        <f>'Dez24'!F32</f>
        <v>0</v>
      </c>
      <c r="K29" s="38">
        <f t="shared" si="2"/>
        <v>0</v>
      </c>
      <c r="L29" s="38">
        <f>Paralelo!G32</f>
        <v>1.9614739999999999</v>
      </c>
      <c r="M29" s="38">
        <f>'Dez24'!G32</f>
        <v>1.9614739999999999</v>
      </c>
      <c r="N29" s="38">
        <f t="shared" si="3"/>
        <v>0</v>
      </c>
      <c r="O29" s="38">
        <f>Paralelo!H32</f>
        <v>0</v>
      </c>
      <c r="P29" s="38">
        <f>'Dez24'!H32</f>
        <v>0</v>
      </c>
      <c r="Q29" s="38">
        <f t="shared" si="4"/>
        <v>0</v>
      </c>
      <c r="R29" s="38">
        <f>Paralelo!I32</f>
        <v>-0.23284099999999999</v>
      </c>
      <c r="S29" s="38">
        <f>'Dez24'!I32</f>
        <v>-0.23284299999999999</v>
      </c>
      <c r="T29" s="38">
        <f t="shared" si="5"/>
        <v>2.0000000000020002E-6</v>
      </c>
      <c r="U29" s="38">
        <f>Paralelo!J32</f>
        <v>-0.15795000000000001</v>
      </c>
      <c r="V29" s="38">
        <f>'Dez24'!J32</f>
        <v>-0.15794900000000001</v>
      </c>
      <c r="W29" s="38">
        <f t="shared" si="6"/>
        <v>-1.0000000000010001E-6</v>
      </c>
      <c r="X29" s="38">
        <f>Paralelo!K32</f>
        <v>0</v>
      </c>
      <c r="Y29" s="38">
        <f>'Dez24'!K32</f>
        <v>0</v>
      </c>
      <c r="Z29" s="38">
        <f t="shared" si="7"/>
        <v>0</v>
      </c>
      <c r="AA29" s="38">
        <f>Paralelo!O32</f>
        <v>58.798540000000003</v>
      </c>
      <c r="AB29" s="38">
        <f>'Dez24'!O32</f>
        <v>58.798541</v>
      </c>
      <c r="AC29" s="38">
        <f t="shared" si="8"/>
        <v>-9.9999999747524271E-7</v>
      </c>
      <c r="AD29" s="38">
        <f>Paralelo!P32</f>
        <v>2.8248199999999999</v>
      </c>
      <c r="AE29" s="38">
        <f>'Dez24'!P32</f>
        <v>2.8248169999999999</v>
      </c>
      <c r="AF29" s="38">
        <f t="shared" si="9"/>
        <v>2.9999999999752447E-6</v>
      </c>
      <c r="AG29" s="38">
        <f>Paralelo!Q32</f>
        <v>0</v>
      </c>
      <c r="AH29" s="38">
        <f>'Dez24'!Q32</f>
        <v>0</v>
      </c>
      <c r="AI29" s="38">
        <f t="shared" si="10"/>
        <v>0</v>
      </c>
      <c r="AJ29" s="38">
        <f>Paralelo!R32</f>
        <v>0</v>
      </c>
      <c r="AK29" s="38">
        <f>'Dez24'!R32</f>
        <v>0</v>
      </c>
      <c r="AL29" s="38">
        <f t="shared" si="11"/>
        <v>0</v>
      </c>
      <c r="AM29" s="43">
        <f>Paralelo!S32</f>
        <v>1</v>
      </c>
      <c r="AN29" s="43">
        <f>'Dez24'!S32</f>
        <v>1</v>
      </c>
      <c r="AO29" s="43">
        <f t="shared" si="12"/>
        <v>0</v>
      </c>
    </row>
    <row r="30" spans="2:41" hidden="1" outlineLevel="1" x14ac:dyDescent="0.3">
      <c r="B30" s="37" t="s">
        <v>71</v>
      </c>
      <c r="C30" s="38">
        <f>Paralelo!D33</f>
        <v>93.631495000000001</v>
      </c>
      <c r="D30" s="38">
        <f>'Dez24'!D33</f>
        <v>93.631493000000006</v>
      </c>
      <c r="E30" s="38">
        <f t="shared" si="0"/>
        <v>1.9999999949504854E-6</v>
      </c>
      <c r="F30" s="38">
        <f>Paralelo!E33</f>
        <v>0</v>
      </c>
      <c r="G30" s="38">
        <f>'Dez24'!E33</f>
        <v>0</v>
      </c>
      <c r="H30" s="38">
        <f t="shared" si="1"/>
        <v>0</v>
      </c>
      <c r="I30" s="38">
        <f>Paralelo!F33</f>
        <v>0</v>
      </c>
      <c r="J30" s="38">
        <f>'Dez24'!F33</f>
        <v>0</v>
      </c>
      <c r="K30" s="38">
        <f t="shared" si="2"/>
        <v>0</v>
      </c>
      <c r="L30" s="38">
        <f>Paralelo!G33</f>
        <v>7.2807930000000001</v>
      </c>
      <c r="M30" s="38">
        <f>'Dez24'!G33</f>
        <v>7.2807930000000001</v>
      </c>
      <c r="N30" s="38">
        <f t="shared" si="3"/>
        <v>0</v>
      </c>
      <c r="O30" s="38">
        <f>Paralelo!H33</f>
        <v>2.5458530000000001</v>
      </c>
      <c r="P30" s="38">
        <f>'Dez24'!H33</f>
        <v>2.5458560000000001</v>
      </c>
      <c r="Q30" s="38">
        <f t="shared" si="4"/>
        <v>-2.9999999999752447E-6</v>
      </c>
      <c r="R30" s="38">
        <f>Paralelo!I33</f>
        <v>-2.3462550000000002</v>
      </c>
      <c r="S30" s="38">
        <f>'Dez24'!I33</f>
        <v>-2.3462510000000001</v>
      </c>
      <c r="T30" s="38">
        <f t="shared" si="5"/>
        <v>-4.0000000001150227E-6</v>
      </c>
      <c r="U30" s="38">
        <f>Paralelo!J33</f>
        <v>-0.37250100000000003</v>
      </c>
      <c r="V30" s="38">
        <f>'Dez24'!J33</f>
        <v>-0.37250100000000003</v>
      </c>
      <c r="W30" s="38">
        <f t="shared" si="6"/>
        <v>0</v>
      </c>
      <c r="X30" s="38">
        <f>Paralelo!K33</f>
        <v>-1.6856120000000001</v>
      </c>
      <c r="Y30" s="38">
        <f>'Dez24'!K33</f>
        <v>-1.6856100000000001</v>
      </c>
      <c r="Z30" s="38">
        <f t="shared" si="7"/>
        <v>-2.0000000000575113E-6</v>
      </c>
      <c r="AA30" s="38">
        <f>Paralelo!O33</f>
        <v>89.069557000000003</v>
      </c>
      <c r="AB30" s="38">
        <f>'Dez24'!O33</f>
        <v>89.069557000000003</v>
      </c>
      <c r="AC30" s="38">
        <f t="shared" si="8"/>
        <v>0</v>
      </c>
      <c r="AD30" s="38">
        <f>Paralelo!P33</f>
        <v>4.1935710000000004</v>
      </c>
      <c r="AE30" s="38">
        <f>'Dez24'!P33</f>
        <v>4.193568</v>
      </c>
      <c r="AF30" s="38">
        <f t="shared" si="9"/>
        <v>3.0000000004193339E-6</v>
      </c>
      <c r="AG30" s="38">
        <f>Paralelo!Q33</f>
        <v>0.368367</v>
      </c>
      <c r="AH30" s="38">
        <f>'Dez24'!Q33</f>
        <v>0.36836799999999997</v>
      </c>
      <c r="AI30" s="38">
        <f t="shared" si="10"/>
        <v>-9.9999999997324451E-7</v>
      </c>
      <c r="AJ30" s="38">
        <f>Paralelo!R33</f>
        <v>0</v>
      </c>
      <c r="AK30" s="38">
        <f>'Dez24'!R33</f>
        <v>0</v>
      </c>
      <c r="AL30" s="38">
        <f t="shared" si="11"/>
        <v>0</v>
      </c>
      <c r="AM30" s="43">
        <f>Paralelo!S33</f>
        <v>2</v>
      </c>
      <c r="AN30" s="43">
        <f>'Dez24'!S33</f>
        <v>2</v>
      </c>
      <c r="AO30" s="43">
        <f t="shared" si="12"/>
        <v>0</v>
      </c>
    </row>
    <row r="31" spans="2:41" hidden="1" outlineLevel="1" x14ac:dyDescent="0.3">
      <c r="B31" s="37" t="s">
        <v>72</v>
      </c>
      <c r="C31" s="38">
        <f>Paralelo!D34</f>
        <v>187.95646199999999</v>
      </c>
      <c r="D31" s="38">
        <f>'Dez24'!D34</f>
        <v>187.956467</v>
      </c>
      <c r="E31" s="38">
        <f t="shared" si="0"/>
        <v>-5.000000015797923E-6</v>
      </c>
      <c r="F31" s="38">
        <f>Paralelo!E34</f>
        <v>0</v>
      </c>
      <c r="G31" s="38">
        <f>'Dez24'!E34</f>
        <v>0</v>
      </c>
      <c r="H31" s="38">
        <f t="shared" si="1"/>
        <v>0</v>
      </c>
      <c r="I31" s="38">
        <f>Paralelo!F34</f>
        <v>0.44046099999999999</v>
      </c>
      <c r="J31" s="38">
        <f>'Dez24'!F34</f>
        <v>0.44046099999999999</v>
      </c>
      <c r="K31" s="38">
        <f t="shared" si="2"/>
        <v>0</v>
      </c>
      <c r="L31" s="38">
        <f>Paralelo!G34</f>
        <v>12.327617999999999</v>
      </c>
      <c r="M31" s="38">
        <f>'Dez24'!G34</f>
        <v>12.32762</v>
      </c>
      <c r="N31" s="38">
        <f t="shared" si="3"/>
        <v>-2.0000000002795559E-6</v>
      </c>
      <c r="O31" s="38">
        <f>Paralelo!H34</f>
        <v>9.4330499999999997</v>
      </c>
      <c r="P31" s="38">
        <f>'Dez24'!H34</f>
        <v>9.4330490000000005</v>
      </c>
      <c r="Q31" s="38">
        <f t="shared" si="4"/>
        <v>9.9999999925159955E-7</v>
      </c>
      <c r="R31" s="38">
        <f>Paralelo!I34</f>
        <v>-9.3132990000000007</v>
      </c>
      <c r="S31" s="38">
        <f>'Dez24'!I34</f>
        <v>-9.3132979999999996</v>
      </c>
      <c r="T31" s="38">
        <f t="shared" si="5"/>
        <v>-1.0000000010279564E-6</v>
      </c>
      <c r="U31" s="38">
        <f>Paralelo!J34</f>
        <v>-0.65494699999999995</v>
      </c>
      <c r="V31" s="38">
        <f>'Dez24'!J34</f>
        <v>-0.65494799999999997</v>
      </c>
      <c r="W31" s="38">
        <f t="shared" si="6"/>
        <v>1.0000000000287557E-6</v>
      </c>
      <c r="X31" s="38">
        <f>Paralelo!K34</f>
        <v>-8.3726929999999999</v>
      </c>
      <c r="Y31" s="38">
        <f>'Dez24'!K34</f>
        <v>-8.3726920000000007</v>
      </c>
      <c r="Z31" s="38">
        <f t="shared" si="7"/>
        <v>-9.9999999925159955E-7</v>
      </c>
      <c r="AA31" s="38">
        <f>Paralelo!O34</f>
        <v>168.43196900000001</v>
      </c>
      <c r="AB31" s="38">
        <f>'Dez24'!O34</f>
        <v>168.431973</v>
      </c>
      <c r="AC31" s="38">
        <f t="shared" si="8"/>
        <v>-3.9999999899009708E-6</v>
      </c>
      <c r="AD31" s="38">
        <f>Paralelo!P34</f>
        <v>17.376842</v>
      </c>
      <c r="AE31" s="38">
        <f>'Dez24'!P34</f>
        <v>17.376842</v>
      </c>
      <c r="AF31" s="38">
        <f t="shared" si="9"/>
        <v>0</v>
      </c>
      <c r="AG31" s="38">
        <f>Paralelo!Q34</f>
        <v>2.1476519999999999</v>
      </c>
      <c r="AH31" s="38">
        <f>'Dez24'!Q34</f>
        <v>2.1476519999999999</v>
      </c>
      <c r="AI31" s="38">
        <f t="shared" si="10"/>
        <v>0</v>
      </c>
      <c r="AJ31" s="38">
        <f>Paralelo!R34</f>
        <v>0</v>
      </c>
      <c r="AK31" s="38">
        <f>'Dez24'!R34</f>
        <v>0</v>
      </c>
      <c r="AL31" s="38">
        <f t="shared" si="11"/>
        <v>0</v>
      </c>
      <c r="AM31" s="43">
        <f>Paralelo!S34</f>
        <v>2</v>
      </c>
      <c r="AN31" s="43">
        <f>'Dez24'!S34</f>
        <v>2</v>
      </c>
      <c r="AO31" s="43">
        <f t="shared" si="12"/>
        <v>0</v>
      </c>
    </row>
    <row r="32" spans="2:41" hidden="1" outlineLevel="1" x14ac:dyDescent="0.3">
      <c r="B32" s="37" t="s">
        <v>73</v>
      </c>
      <c r="C32" s="38">
        <f>Paralelo!D35</f>
        <v>20.014637</v>
      </c>
      <c r="D32" s="38">
        <f>'Dez24'!D35</f>
        <v>20.014634999999998</v>
      </c>
      <c r="E32" s="38">
        <f t="shared" si="0"/>
        <v>2.0000000020559128E-6</v>
      </c>
      <c r="F32" s="38">
        <f>Paralelo!E35</f>
        <v>0</v>
      </c>
      <c r="G32" s="38">
        <f>'Dez24'!E35</f>
        <v>0</v>
      </c>
      <c r="H32" s="38">
        <f t="shared" si="1"/>
        <v>0</v>
      </c>
      <c r="I32" s="38">
        <f>Paralelo!F35</f>
        <v>0</v>
      </c>
      <c r="J32" s="38">
        <f>'Dez24'!F35</f>
        <v>0</v>
      </c>
      <c r="K32" s="38">
        <f t="shared" si="2"/>
        <v>0</v>
      </c>
      <c r="L32" s="38">
        <f>Paralelo!G35</f>
        <v>0.73263999999999996</v>
      </c>
      <c r="M32" s="38">
        <f>'Dez24'!G35</f>
        <v>0.73264200000000002</v>
      </c>
      <c r="N32" s="38">
        <f t="shared" si="3"/>
        <v>-2.0000000000575113E-6</v>
      </c>
      <c r="O32" s="38">
        <f>Paralelo!H35</f>
        <v>3.6878570000000002</v>
      </c>
      <c r="P32" s="38">
        <f>'Dez24'!H35</f>
        <v>3.6878549999999999</v>
      </c>
      <c r="Q32" s="38">
        <f t="shared" si="4"/>
        <v>2.0000000002795559E-6</v>
      </c>
      <c r="R32" s="38">
        <f>Paralelo!I35</f>
        <v>-3.6370130000000001</v>
      </c>
      <c r="S32" s="38">
        <f>'Dez24'!I35</f>
        <v>-3.6370070000000001</v>
      </c>
      <c r="T32" s="38">
        <f t="shared" si="5"/>
        <v>-5.9999999999504894E-6</v>
      </c>
      <c r="U32" s="38">
        <f>Paralelo!J35</f>
        <v>-1.3427E-2</v>
      </c>
      <c r="V32" s="38">
        <f>'Dez24'!J35</f>
        <v>-1.3424999999999999E-2</v>
      </c>
      <c r="W32" s="38">
        <f t="shared" si="6"/>
        <v>-2.0000000000002655E-6</v>
      </c>
      <c r="X32" s="38">
        <f>Paralelo!K35</f>
        <v>-3.5804119999999999</v>
      </c>
      <c r="Y32" s="38">
        <f>'Dez24'!K35</f>
        <v>-3.5804100000000001</v>
      </c>
      <c r="Z32" s="38">
        <f t="shared" si="7"/>
        <v>-1.9999999998354667E-6</v>
      </c>
      <c r="AA32" s="38">
        <f>Paralelo!O35</f>
        <v>18.657858000000001</v>
      </c>
      <c r="AB32" s="38">
        <f>'Dez24'!O35</f>
        <v>18.657855999999999</v>
      </c>
      <c r="AC32" s="38">
        <f t="shared" si="8"/>
        <v>2.0000000020559128E-6</v>
      </c>
      <c r="AD32" s="38">
        <f>Paralelo!P35</f>
        <v>1.356779</v>
      </c>
      <c r="AE32" s="38">
        <f>'Dez24'!P35</f>
        <v>1.356779</v>
      </c>
      <c r="AF32" s="38">
        <f t="shared" si="9"/>
        <v>0</v>
      </c>
      <c r="AG32" s="38">
        <f>Paralelo!Q35</f>
        <v>0</v>
      </c>
      <c r="AH32" s="38">
        <f>'Dez24'!Q35</f>
        <v>0</v>
      </c>
      <c r="AI32" s="38">
        <f t="shared" si="10"/>
        <v>0</v>
      </c>
      <c r="AJ32" s="38">
        <f>Paralelo!R35</f>
        <v>0</v>
      </c>
      <c r="AK32" s="38">
        <f>'Dez24'!R35</f>
        <v>0</v>
      </c>
      <c r="AL32" s="38">
        <f t="shared" si="11"/>
        <v>0</v>
      </c>
      <c r="AM32" s="43">
        <f>Paralelo!S35</f>
        <v>2</v>
      </c>
      <c r="AN32" s="43">
        <f>'Dez24'!S35</f>
        <v>2</v>
      </c>
      <c r="AO32" s="43">
        <f t="shared" si="12"/>
        <v>0</v>
      </c>
    </row>
    <row r="33" spans="2:41" hidden="1" outlineLevel="1" x14ac:dyDescent="0.3">
      <c r="B33" s="37" t="s">
        <v>74</v>
      </c>
      <c r="C33" s="38">
        <f>Paralelo!D36</f>
        <v>263.86383599999999</v>
      </c>
      <c r="D33" s="38">
        <f>'Dez24'!D36</f>
        <v>321.416653</v>
      </c>
      <c r="E33" s="38">
        <f t="shared" si="0"/>
        <v>-57.552817000000005</v>
      </c>
      <c r="F33" s="38">
        <f>Paralelo!E36</f>
        <v>0</v>
      </c>
      <c r="G33" s="38">
        <f>'Dez24'!E36</f>
        <v>0</v>
      </c>
      <c r="H33" s="38">
        <f t="shared" si="1"/>
        <v>0</v>
      </c>
      <c r="I33" s="38">
        <f>Paralelo!F36</f>
        <v>1.519E-2</v>
      </c>
      <c r="J33" s="38">
        <f>'Dez24'!F36</f>
        <v>1.519E-2</v>
      </c>
      <c r="K33" s="38">
        <f t="shared" si="2"/>
        <v>0</v>
      </c>
      <c r="L33" s="38">
        <f>Paralelo!G36</f>
        <v>46.049190000000003</v>
      </c>
      <c r="M33" s="38">
        <f>'Dez24'!G36</f>
        <v>46.049191</v>
      </c>
      <c r="N33" s="38">
        <f t="shared" si="3"/>
        <v>-9.9999999747524271E-7</v>
      </c>
      <c r="O33" s="38">
        <f>Paralelo!H36</f>
        <v>9.4631290000000003</v>
      </c>
      <c r="P33" s="38">
        <f>'Dez24'!H36</f>
        <v>9.4631319999999999</v>
      </c>
      <c r="Q33" s="38">
        <f t="shared" si="4"/>
        <v>-2.9999999995311555E-6</v>
      </c>
      <c r="R33" s="38">
        <f>Paralelo!I36</f>
        <v>-8.2847620000000006</v>
      </c>
      <c r="S33" s="38">
        <f>'Dez24'!I36</f>
        <v>-8.4624210000000009</v>
      </c>
      <c r="T33" s="38">
        <f t="shared" si="5"/>
        <v>0.17765900000000023</v>
      </c>
      <c r="U33" s="38">
        <f>Paralelo!J36</f>
        <v>-1.829671</v>
      </c>
      <c r="V33" s="38">
        <f>'Dez24'!J36</f>
        <v>-1.829672</v>
      </c>
      <c r="W33" s="38">
        <f t="shared" si="6"/>
        <v>9.9999999991773336E-7</v>
      </c>
      <c r="X33" s="38">
        <f>Paralelo!K36</f>
        <v>-5.779655</v>
      </c>
      <c r="Y33" s="38">
        <f>'Dez24'!K36</f>
        <v>-5.7796529999999997</v>
      </c>
      <c r="Z33" s="38">
        <f t="shared" si="7"/>
        <v>-2.0000000002795559E-6</v>
      </c>
      <c r="AA33" s="38">
        <f>Paralelo!O36</f>
        <v>221.87701100000001</v>
      </c>
      <c r="AB33" s="38">
        <f>'Dez24'!O36</f>
        <v>221.877015</v>
      </c>
      <c r="AC33" s="38">
        <f t="shared" si="8"/>
        <v>-3.9999999899009708E-6</v>
      </c>
      <c r="AD33" s="38">
        <f>Paralelo!P36</f>
        <v>34.706736999999997</v>
      </c>
      <c r="AE33" s="38">
        <f>'Dez24'!P36</f>
        <v>79.508067999999994</v>
      </c>
      <c r="AF33" s="38">
        <f t="shared" si="9"/>
        <v>-44.801330999999998</v>
      </c>
      <c r="AG33" s="38">
        <f>Paralelo!Q36</f>
        <v>7.2800880000000001</v>
      </c>
      <c r="AH33" s="38">
        <f>'Dez24'!Q36</f>
        <v>20.031569999999999</v>
      </c>
      <c r="AI33" s="38">
        <f t="shared" si="10"/>
        <v>-12.751481999999999</v>
      </c>
      <c r="AJ33" s="38">
        <f>Paralelo!R36</f>
        <v>0</v>
      </c>
      <c r="AK33" s="38">
        <f>'Dez24'!R36</f>
        <v>0</v>
      </c>
      <c r="AL33" s="38">
        <f t="shared" si="11"/>
        <v>0</v>
      </c>
      <c r="AM33" s="43">
        <f>Paralelo!S36</f>
        <v>2</v>
      </c>
      <c r="AN33" s="43">
        <f>'Dez24'!S36</f>
        <v>3</v>
      </c>
      <c r="AO33" s="43">
        <f t="shared" si="12"/>
        <v>-1</v>
      </c>
    </row>
    <row r="34" spans="2:41" hidden="1" outlineLevel="1" x14ac:dyDescent="0.3">
      <c r="B34" s="37" t="s">
        <v>75</v>
      </c>
      <c r="C34" s="38">
        <f>Paralelo!D37</f>
        <v>5.0556939999999999</v>
      </c>
      <c r="D34" s="38">
        <f>'Dez24'!D37</f>
        <v>5.0556950000000001</v>
      </c>
      <c r="E34" s="38">
        <f t="shared" si="0"/>
        <v>-1.000000000139778E-6</v>
      </c>
      <c r="F34" s="38">
        <f>Paralelo!E37</f>
        <v>0</v>
      </c>
      <c r="G34" s="38">
        <f>'Dez24'!E37</f>
        <v>0</v>
      </c>
      <c r="H34" s="38">
        <f t="shared" si="1"/>
        <v>0</v>
      </c>
      <c r="I34" s="38">
        <f>Paralelo!F37</f>
        <v>0</v>
      </c>
      <c r="J34" s="38">
        <f>'Dez24'!F37</f>
        <v>0</v>
      </c>
      <c r="K34" s="38">
        <f t="shared" si="2"/>
        <v>0</v>
      </c>
      <c r="L34" s="38">
        <f>Paralelo!G37</f>
        <v>1.600592</v>
      </c>
      <c r="M34" s="38">
        <f>'Dez24'!G37</f>
        <v>1.6005929999999999</v>
      </c>
      <c r="N34" s="38">
        <f t="shared" si="3"/>
        <v>-9.9999999991773336E-7</v>
      </c>
      <c r="O34" s="38">
        <f>Paralelo!H37</f>
        <v>0.58731900000000004</v>
      </c>
      <c r="P34" s="38">
        <f>'Dez24'!H37</f>
        <v>0.58731800000000001</v>
      </c>
      <c r="Q34" s="38">
        <f t="shared" si="4"/>
        <v>1.0000000000287557E-6</v>
      </c>
      <c r="R34" s="38">
        <f>Paralelo!I37</f>
        <v>-0.52808900000000003</v>
      </c>
      <c r="S34" s="38">
        <f>'Dez24'!I37</f>
        <v>-0.528088</v>
      </c>
      <c r="T34" s="38">
        <f t="shared" si="5"/>
        <v>-1.0000000000287557E-6</v>
      </c>
      <c r="U34" s="38">
        <f>Paralelo!J37</f>
        <v>-0.119509</v>
      </c>
      <c r="V34" s="38">
        <f>'Dez24'!J37</f>
        <v>-0.119507</v>
      </c>
      <c r="W34" s="38">
        <f t="shared" si="6"/>
        <v>-2.0000000000020002E-6</v>
      </c>
      <c r="X34" s="38">
        <f>Paralelo!K37</f>
        <v>-0.388183</v>
      </c>
      <c r="Y34" s="38">
        <f>'Dez24'!K37</f>
        <v>-0.38818399999999997</v>
      </c>
      <c r="Z34" s="38">
        <f t="shared" si="7"/>
        <v>9.9999999997324451E-7</v>
      </c>
      <c r="AA34" s="38">
        <f>Paralelo!O37</f>
        <v>4.3632350000000004</v>
      </c>
      <c r="AB34" s="38">
        <f>'Dez24'!O37</f>
        <v>4.3632359999999997</v>
      </c>
      <c r="AC34" s="38">
        <f t="shared" si="8"/>
        <v>-9.9999999925159955E-7</v>
      </c>
      <c r="AD34" s="38">
        <f>Paralelo!P37</f>
        <v>0.69245900000000005</v>
      </c>
      <c r="AE34" s="38">
        <f>'Dez24'!P37</f>
        <v>0.69245900000000005</v>
      </c>
      <c r="AF34" s="38">
        <f t="shared" si="9"/>
        <v>0</v>
      </c>
      <c r="AG34" s="38">
        <f>Paralelo!Q37</f>
        <v>0</v>
      </c>
      <c r="AH34" s="38">
        <f>'Dez24'!Q37</f>
        <v>0</v>
      </c>
      <c r="AI34" s="38">
        <f t="shared" si="10"/>
        <v>0</v>
      </c>
      <c r="AJ34" s="38">
        <f>Paralelo!R37</f>
        <v>0</v>
      </c>
      <c r="AK34" s="38">
        <f>'Dez24'!R37</f>
        <v>0</v>
      </c>
      <c r="AL34" s="38">
        <f t="shared" si="11"/>
        <v>0</v>
      </c>
      <c r="AM34" s="43">
        <f>Paralelo!S37</f>
        <v>3</v>
      </c>
      <c r="AN34" s="43">
        <f>'Dez24'!S37</f>
        <v>3</v>
      </c>
      <c r="AO34" s="43">
        <f t="shared" si="12"/>
        <v>0</v>
      </c>
    </row>
    <row r="35" spans="2:41" hidden="1" outlineLevel="1" x14ac:dyDescent="0.3">
      <c r="B35" s="37" t="s">
        <v>76</v>
      </c>
      <c r="C35" s="38">
        <f>Paralelo!D38</f>
        <v>21.132876</v>
      </c>
      <c r="D35" s="38">
        <f>'Dez24'!D38</f>
        <v>21.132876</v>
      </c>
      <c r="E35" s="38">
        <f t="shared" si="0"/>
        <v>0</v>
      </c>
      <c r="F35" s="38">
        <f>Paralelo!E38</f>
        <v>0</v>
      </c>
      <c r="G35" s="38">
        <f>'Dez24'!E38</f>
        <v>0</v>
      </c>
      <c r="H35" s="38">
        <f t="shared" si="1"/>
        <v>0</v>
      </c>
      <c r="I35" s="38">
        <f>Paralelo!F38</f>
        <v>0</v>
      </c>
      <c r="J35" s="38">
        <f>'Dez24'!F38</f>
        <v>0</v>
      </c>
      <c r="K35" s="38">
        <f t="shared" si="2"/>
        <v>0</v>
      </c>
      <c r="L35" s="38">
        <f>Paralelo!G38</f>
        <v>4.3766920000000002</v>
      </c>
      <c r="M35" s="38">
        <f>'Dez24'!G38</f>
        <v>4.3766920000000002</v>
      </c>
      <c r="N35" s="38">
        <f t="shared" si="3"/>
        <v>0</v>
      </c>
      <c r="O35" s="38">
        <f>Paralelo!H38</f>
        <v>2.007727</v>
      </c>
      <c r="P35" s="38">
        <f>'Dez24'!H38</f>
        <v>2.007727</v>
      </c>
      <c r="Q35" s="38">
        <f t="shared" si="4"/>
        <v>0</v>
      </c>
      <c r="R35" s="38">
        <f>Paralelo!I38</f>
        <v>-1.5468310000000001</v>
      </c>
      <c r="S35" s="38">
        <f>'Dez24'!I38</f>
        <v>-1.5468299999999999</v>
      </c>
      <c r="T35" s="38">
        <f t="shared" si="5"/>
        <v>-1.000000000139778E-6</v>
      </c>
      <c r="U35" s="38">
        <f>Paralelo!J38</f>
        <v>-0.165377</v>
      </c>
      <c r="V35" s="38">
        <f>'Dez24'!J38</f>
        <v>-0.16537499999999999</v>
      </c>
      <c r="W35" s="38">
        <f t="shared" si="6"/>
        <v>-2.0000000000020002E-6</v>
      </c>
      <c r="X35" s="38">
        <f>Paralelo!K38</f>
        <v>-1.3144389999999999</v>
      </c>
      <c r="Y35" s="38">
        <f>'Dez24'!K38</f>
        <v>-1.314441</v>
      </c>
      <c r="Z35" s="38">
        <f t="shared" si="7"/>
        <v>2.0000000000575113E-6</v>
      </c>
      <c r="AA35" s="38">
        <f>Paralelo!O38</f>
        <v>17.854808999999999</v>
      </c>
      <c r="AB35" s="38">
        <f>'Dez24'!O38</f>
        <v>17.854810000000001</v>
      </c>
      <c r="AC35" s="38">
        <f t="shared" si="8"/>
        <v>-1.0000000010279564E-6</v>
      </c>
      <c r="AD35" s="38">
        <f>Paralelo!P38</f>
        <v>2.286451</v>
      </c>
      <c r="AE35" s="38">
        <f>'Dez24'!P38</f>
        <v>2.286451</v>
      </c>
      <c r="AF35" s="38">
        <f t="shared" si="9"/>
        <v>0</v>
      </c>
      <c r="AG35" s="38">
        <f>Paralelo!Q38</f>
        <v>0.99161500000000002</v>
      </c>
      <c r="AH35" s="38">
        <f>'Dez24'!Q38</f>
        <v>0.99161500000000002</v>
      </c>
      <c r="AI35" s="38">
        <f t="shared" si="10"/>
        <v>0</v>
      </c>
      <c r="AJ35" s="38">
        <f>Paralelo!R38</f>
        <v>0</v>
      </c>
      <c r="AK35" s="38">
        <f>'Dez24'!R38</f>
        <v>0</v>
      </c>
      <c r="AL35" s="38">
        <f t="shared" si="11"/>
        <v>0</v>
      </c>
      <c r="AM35" s="43">
        <f>Paralelo!S38</f>
        <v>3</v>
      </c>
      <c r="AN35" s="43">
        <f>'Dez24'!S38</f>
        <v>3</v>
      </c>
      <c r="AO35" s="43">
        <f t="shared" si="12"/>
        <v>0</v>
      </c>
    </row>
    <row r="36" spans="2:41" hidden="1" outlineLevel="1" x14ac:dyDescent="0.3">
      <c r="B36" s="37" t="s">
        <v>77</v>
      </c>
      <c r="C36" s="38">
        <f>Paralelo!D39</f>
        <v>43.651387</v>
      </c>
      <c r="D36" s="38">
        <f>'Dez24'!D39</f>
        <v>43.651383000000003</v>
      </c>
      <c r="E36" s="38">
        <f t="shared" si="0"/>
        <v>3.9999999970063982E-6</v>
      </c>
      <c r="F36" s="38">
        <f>Paralelo!E39</f>
        <v>0</v>
      </c>
      <c r="G36" s="38">
        <f>'Dez24'!E39</f>
        <v>0</v>
      </c>
      <c r="H36" s="38">
        <f t="shared" si="1"/>
        <v>0</v>
      </c>
      <c r="I36" s="38">
        <f>Paralelo!F39</f>
        <v>1.6699999999999999E-4</v>
      </c>
      <c r="J36" s="38">
        <f>'Dez24'!F39</f>
        <v>1.6699999999999999E-4</v>
      </c>
      <c r="K36" s="38">
        <f t="shared" si="2"/>
        <v>0</v>
      </c>
      <c r="L36" s="38">
        <f>Paralelo!G39</f>
        <v>8.1417739999999998</v>
      </c>
      <c r="M36" s="38">
        <f>'Dez24'!G39</f>
        <v>8.1417730000000006</v>
      </c>
      <c r="N36" s="38">
        <f t="shared" si="3"/>
        <v>9.9999999925159955E-7</v>
      </c>
      <c r="O36" s="38">
        <f>Paralelo!H39</f>
        <v>1.702291</v>
      </c>
      <c r="P36" s="38">
        <f>'Dez24'!H39</f>
        <v>1.702288</v>
      </c>
      <c r="Q36" s="38">
        <f t="shared" si="4"/>
        <v>2.9999999999752447E-6</v>
      </c>
      <c r="R36" s="38">
        <f>Paralelo!I39</f>
        <v>-1.6807380000000001</v>
      </c>
      <c r="S36" s="38">
        <f>'Dez24'!I39</f>
        <v>-1.680739</v>
      </c>
      <c r="T36" s="38">
        <f t="shared" si="5"/>
        <v>9.9999999991773336E-7</v>
      </c>
      <c r="U36" s="38">
        <f>Paralelo!J39</f>
        <v>-0.44473299999999999</v>
      </c>
      <c r="V36" s="38">
        <f>'Dez24'!J39</f>
        <v>-0.44473200000000002</v>
      </c>
      <c r="W36" s="38">
        <f t="shared" si="6"/>
        <v>-9.9999999997324451E-7</v>
      </c>
      <c r="X36" s="38">
        <f>Paralelo!K39</f>
        <v>-1.0953189999999999</v>
      </c>
      <c r="Y36" s="38">
        <f>'Dez24'!K39</f>
        <v>-1.095321</v>
      </c>
      <c r="Z36" s="38">
        <f t="shared" si="7"/>
        <v>2.0000000000575113E-6</v>
      </c>
      <c r="AA36" s="38">
        <f>Paralelo!O39</f>
        <v>40.748111000000002</v>
      </c>
      <c r="AB36" s="38">
        <f>'Dez24'!O39</f>
        <v>40.748106</v>
      </c>
      <c r="AC36" s="38">
        <f t="shared" si="8"/>
        <v>5.0000000015870683E-6</v>
      </c>
      <c r="AD36" s="38">
        <f>Paralelo!P39</f>
        <v>2.0749089999999999</v>
      </c>
      <c r="AE36" s="38">
        <f>'Dez24'!P39</f>
        <v>2.0749089999999999</v>
      </c>
      <c r="AF36" s="38">
        <f t="shared" si="9"/>
        <v>0</v>
      </c>
      <c r="AG36" s="38">
        <f>Paralelo!Q39</f>
        <v>0.82836699999999996</v>
      </c>
      <c r="AH36" s="38">
        <f>'Dez24'!Q39</f>
        <v>0.82836799999999999</v>
      </c>
      <c r="AI36" s="38">
        <f t="shared" si="10"/>
        <v>-1.0000000000287557E-6</v>
      </c>
      <c r="AJ36" s="38">
        <f>Paralelo!R39</f>
        <v>0</v>
      </c>
      <c r="AK36" s="38">
        <f>'Dez24'!R39</f>
        <v>0</v>
      </c>
      <c r="AL36" s="38">
        <f t="shared" si="11"/>
        <v>0</v>
      </c>
      <c r="AM36" s="43">
        <f>Paralelo!S39</f>
        <v>2</v>
      </c>
      <c r="AN36" s="43">
        <f>'Dez24'!S39</f>
        <v>2</v>
      </c>
      <c r="AO36" s="43">
        <f t="shared" si="12"/>
        <v>0</v>
      </c>
    </row>
    <row r="37" spans="2:41" hidden="1" outlineLevel="1" x14ac:dyDescent="0.3">
      <c r="B37" s="37" t="s">
        <v>78</v>
      </c>
      <c r="C37" s="38">
        <f>Paralelo!D40</f>
        <v>116.50789899999999</v>
      </c>
      <c r="D37" s="38">
        <f>'Dez24'!D40</f>
        <v>116.50789899999999</v>
      </c>
      <c r="E37" s="38">
        <f t="shared" si="0"/>
        <v>0</v>
      </c>
      <c r="F37" s="38">
        <f>Paralelo!E40</f>
        <v>0</v>
      </c>
      <c r="G37" s="38">
        <f>'Dez24'!E40</f>
        <v>0</v>
      </c>
      <c r="H37" s="38">
        <f t="shared" si="1"/>
        <v>0</v>
      </c>
      <c r="I37" s="38">
        <f>Paralelo!F40</f>
        <v>5.439235</v>
      </c>
      <c r="J37" s="38">
        <f>'Dez24'!F40</f>
        <v>5.4392339999999999</v>
      </c>
      <c r="K37" s="38">
        <f t="shared" si="2"/>
        <v>1.000000000139778E-6</v>
      </c>
      <c r="L37" s="38">
        <f>Paralelo!G40</f>
        <v>7.2530619999999999</v>
      </c>
      <c r="M37" s="38">
        <f>'Dez24'!G40</f>
        <v>7.2530609999999998</v>
      </c>
      <c r="N37" s="38">
        <f t="shared" si="3"/>
        <v>1.000000000139778E-6</v>
      </c>
      <c r="O37" s="38">
        <f>Paralelo!H40</f>
        <v>2.274975</v>
      </c>
      <c r="P37" s="38">
        <f>'Dez24'!H40</f>
        <v>2.2749760000000001</v>
      </c>
      <c r="Q37" s="38">
        <f t="shared" si="4"/>
        <v>-1.000000000139778E-6</v>
      </c>
      <c r="R37" s="38">
        <f>Paralelo!I40</f>
        <v>-2.467336</v>
      </c>
      <c r="S37" s="38">
        <f>'Dez24'!I40</f>
        <v>-2.467336</v>
      </c>
      <c r="T37" s="38">
        <f t="shared" si="5"/>
        <v>0</v>
      </c>
      <c r="U37" s="38">
        <f>Paralelo!J40</f>
        <v>-0.11713899999999999</v>
      </c>
      <c r="V37" s="38">
        <f>'Dez24'!J40</f>
        <v>-0.11713899999999999</v>
      </c>
      <c r="W37" s="38">
        <f t="shared" si="6"/>
        <v>0</v>
      </c>
      <c r="X37" s="38">
        <f>Paralelo!K40</f>
        <v>-2.0162810000000002</v>
      </c>
      <c r="Y37" s="38">
        <f>'Dez24'!K40</f>
        <v>-2.0162800000000001</v>
      </c>
      <c r="Z37" s="38">
        <f t="shared" si="7"/>
        <v>-1.000000000139778E-6</v>
      </c>
      <c r="AA37" s="38">
        <f>Paralelo!O40</f>
        <v>114.040412</v>
      </c>
      <c r="AB37" s="38">
        <f>'Dez24'!O40</f>
        <v>114.040413</v>
      </c>
      <c r="AC37" s="38">
        <f t="shared" si="8"/>
        <v>-9.9999999747524271E-7</v>
      </c>
      <c r="AD37" s="38">
        <f>Paralelo!P40</f>
        <v>1.6426769999999999</v>
      </c>
      <c r="AE37" s="38">
        <f>'Dez24'!P40</f>
        <v>1.642676</v>
      </c>
      <c r="AF37" s="38">
        <f t="shared" si="9"/>
        <v>9.9999999991773336E-7</v>
      </c>
      <c r="AG37" s="38">
        <f>Paralelo!Q40</f>
        <v>0.78923200000000004</v>
      </c>
      <c r="AH37" s="38">
        <f>'Dez24'!Q40</f>
        <v>0.78923200000000004</v>
      </c>
      <c r="AI37" s="38">
        <f t="shared" si="10"/>
        <v>0</v>
      </c>
      <c r="AJ37" s="38">
        <f>Paralelo!R40</f>
        <v>3.5577999999999999E-2</v>
      </c>
      <c r="AK37" s="38">
        <f>'Dez24'!R40</f>
        <v>3.5577999999999999E-2</v>
      </c>
      <c r="AL37" s="38">
        <f t="shared" si="11"/>
        <v>0</v>
      </c>
      <c r="AM37" s="43">
        <f>Paralelo!S40</f>
        <v>1</v>
      </c>
      <c r="AN37" s="43">
        <f>'Dez24'!S40</f>
        <v>1</v>
      </c>
      <c r="AO37" s="43">
        <f t="shared" si="12"/>
        <v>0</v>
      </c>
    </row>
    <row r="38" spans="2:41" hidden="1" outlineLevel="1" x14ac:dyDescent="0.3">
      <c r="B38" s="37" t="s">
        <v>79</v>
      </c>
      <c r="C38" s="38">
        <f>Paralelo!D41</f>
        <v>6.7766380000000002</v>
      </c>
      <c r="D38" s="38">
        <f>'Dez24'!D41</f>
        <v>6.7766359999999999</v>
      </c>
      <c r="E38" s="38">
        <f t="shared" si="0"/>
        <v>2.0000000002795559E-6</v>
      </c>
      <c r="F38" s="38">
        <f>Paralelo!E41</f>
        <v>0</v>
      </c>
      <c r="G38" s="38">
        <f>'Dez24'!E41</f>
        <v>0</v>
      </c>
      <c r="H38" s="38">
        <f t="shared" si="1"/>
        <v>0</v>
      </c>
      <c r="I38" s="38">
        <f>Paralelo!F41</f>
        <v>0</v>
      </c>
      <c r="J38" s="38">
        <f>'Dez24'!F41</f>
        <v>0</v>
      </c>
      <c r="K38" s="38">
        <f t="shared" si="2"/>
        <v>0</v>
      </c>
      <c r="L38" s="38">
        <f>Paralelo!G41</f>
        <v>1.0409660000000001</v>
      </c>
      <c r="M38" s="38">
        <f>'Dez24'!G41</f>
        <v>1.0409660000000001</v>
      </c>
      <c r="N38" s="38">
        <f t="shared" si="3"/>
        <v>0</v>
      </c>
      <c r="O38" s="38">
        <f>Paralelo!H41</f>
        <v>2.6493039999999999</v>
      </c>
      <c r="P38" s="38">
        <f>'Dez24'!H41</f>
        <v>2.6493030000000002</v>
      </c>
      <c r="Q38" s="38">
        <f t="shared" si="4"/>
        <v>9.9999999969568876E-7</v>
      </c>
      <c r="R38" s="38">
        <f>Paralelo!I41</f>
        <v>-2.3246389999999999</v>
      </c>
      <c r="S38" s="38">
        <f>'Dez24'!I41</f>
        <v>-2.3246410000000002</v>
      </c>
      <c r="T38" s="38">
        <f t="shared" si="5"/>
        <v>2.0000000002795559E-6</v>
      </c>
      <c r="U38" s="38">
        <f>Paralelo!J41</f>
        <v>-2.4240000000000001E-2</v>
      </c>
      <c r="V38" s="38">
        <f>'Dez24'!J41</f>
        <v>-2.4240999999999999E-2</v>
      </c>
      <c r="W38" s="38">
        <f t="shared" si="6"/>
        <v>9.9999999999753064E-7</v>
      </c>
      <c r="X38" s="38">
        <f>Paralelo!K41</f>
        <v>-2.2835320000000001</v>
      </c>
      <c r="Y38" s="38">
        <f>'Dez24'!K41</f>
        <v>-2.2835329999999998</v>
      </c>
      <c r="Z38" s="38">
        <f t="shared" si="7"/>
        <v>9.9999999969568876E-7</v>
      </c>
      <c r="AA38" s="38">
        <f>Paralelo!O41</f>
        <v>6.2942270000000002</v>
      </c>
      <c r="AB38" s="38">
        <f>'Dez24'!O41</f>
        <v>6.294225</v>
      </c>
      <c r="AC38" s="38">
        <f t="shared" si="8"/>
        <v>2.0000000002795559E-6</v>
      </c>
      <c r="AD38" s="38">
        <f>Paralelo!P41</f>
        <v>0.48241099999999998</v>
      </c>
      <c r="AE38" s="38">
        <f>'Dez24'!P41</f>
        <v>0.48241099999999998</v>
      </c>
      <c r="AF38" s="38">
        <f t="shared" si="9"/>
        <v>0</v>
      </c>
      <c r="AG38" s="38">
        <f>Paralelo!Q41</f>
        <v>0</v>
      </c>
      <c r="AH38" s="38">
        <f>'Dez24'!Q41</f>
        <v>0</v>
      </c>
      <c r="AI38" s="38">
        <f t="shared" si="10"/>
        <v>0</v>
      </c>
      <c r="AJ38" s="38">
        <f>Paralelo!R41</f>
        <v>0</v>
      </c>
      <c r="AK38" s="38">
        <f>'Dez24'!R41</f>
        <v>0</v>
      </c>
      <c r="AL38" s="38">
        <f t="shared" si="11"/>
        <v>0</v>
      </c>
      <c r="AM38" s="43">
        <f>Paralelo!S41</f>
        <v>2</v>
      </c>
      <c r="AN38" s="43">
        <f>'Dez24'!S41</f>
        <v>2</v>
      </c>
      <c r="AO38" s="43">
        <f t="shared" si="12"/>
        <v>0</v>
      </c>
    </row>
    <row r="39" spans="2:41" hidden="1" outlineLevel="1" x14ac:dyDescent="0.3">
      <c r="B39" s="37" t="s">
        <v>80</v>
      </c>
      <c r="C39" s="38">
        <f>Paralelo!D42</f>
        <v>70.662107000000006</v>
      </c>
      <c r="D39" s="38">
        <f>'Dez24'!D42</f>
        <v>70.662107000000006</v>
      </c>
      <c r="E39" s="38">
        <f t="shared" si="0"/>
        <v>0</v>
      </c>
      <c r="F39" s="38">
        <f>Paralelo!E42</f>
        <v>0</v>
      </c>
      <c r="G39" s="38">
        <f>'Dez24'!E42</f>
        <v>0</v>
      </c>
      <c r="H39" s="38">
        <f t="shared" si="1"/>
        <v>0</v>
      </c>
      <c r="I39" s="38">
        <f>Paralelo!F42</f>
        <v>0</v>
      </c>
      <c r="J39" s="38">
        <f>'Dez24'!F42</f>
        <v>0</v>
      </c>
      <c r="K39" s="38">
        <f t="shared" si="2"/>
        <v>0</v>
      </c>
      <c r="L39" s="38">
        <f>Paralelo!G42</f>
        <v>15.191041999999999</v>
      </c>
      <c r="M39" s="38">
        <f>'Dez24'!G42</f>
        <v>15.191039999999999</v>
      </c>
      <c r="N39" s="38">
        <f t="shared" si="3"/>
        <v>2.0000000002795559E-6</v>
      </c>
      <c r="O39" s="38">
        <f>Paralelo!H42</f>
        <v>4.3038400000000001</v>
      </c>
      <c r="P39" s="38">
        <f>'Dez24'!H42</f>
        <v>4.3038429999999996</v>
      </c>
      <c r="Q39" s="38">
        <f t="shared" si="4"/>
        <v>-2.9999999995311555E-6</v>
      </c>
      <c r="R39" s="38">
        <f>Paralelo!I42</f>
        <v>-3.7764509999999998</v>
      </c>
      <c r="S39" s="38">
        <f>'Dez24'!I42</f>
        <v>-3.7764489999999999</v>
      </c>
      <c r="T39" s="38">
        <f t="shared" si="5"/>
        <v>-1.9999999998354667E-6</v>
      </c>
      <c r="U39" s="38">
        <f>Paralelo!J42</f>
        <v>-0.80986499999999995</v>
      </c>
      <c r="V39" s="38">
        <f>'Dez24'!J42</f>
        <v>-0.80986499999999995</v>
      </c>
      <c r="W39" s="38">
        <f t="shared" si="6"/>
        <v>0</v>
      </c>
      <c r="X39" s="38">
        <f>Paralelo!K42</f>
        <v>-2.7933089999999998</v>
      </c>
      <c r="Y39" s="38">
        <f>'Dez24'!K42</f>
        <v>-2.793307</v>
      </c>
      <c r="Z39" s="38">
        <f t="shared" si="7"/>
        <v>-1.9999999998354667E-6</v>
      </c>
      <c r="AA39" s="38">
        <f>Paralelo!O42</f>
        <v>58.159143</v>
      </c>
      <c r="AB39" s="38">
        <f>'Dez24'!O42</f>
        <v>58.159143999999998</v>
      </c>
      <c r="AC39" s="38">
        <f t="shared" si="8"/>
        <v>-9.9999999747524271E-7</v>
      </c>
      <c r="AD39" s="38">
        <f>Paralelo!P42</f>
        <v>9.6651240000000005</v>
      </c>
      <c r="AE39" s="38">
        <f>'Dez24'!P42</f>
        <v>9.6651229999999995</v>
      </c>
      <c r="AF39" s="38">
        <f t="shared" si="9"/>
        <v>1.0000000010279564E-6</v>
      </c>
      <c r="AG39" s="38">
        <f>Paralelo!Q42</f>
        <v>2.8378399999999999</v>
      </c>
      <c r="AH39" s="38">
        <f>'Dez24'!Q42</f>
        <v>2.8378399999999999</v>
      </c>
      <c r="AI39" s="38">
        <f t="shared" si="10"/>
        <v>0</v>
      </c>
      <c r="AJ39" s="38">
        <f>Paralelo!R42</f>
        <v>0</v>
      </c>
      <c r="AK39" s="38">
        <f>'Dez24'!R42</f>
        <v>0</v>
      </c>
      <c r="AL39" s="38">
        <f t="shared" si="11"/>
        <v>0</v>
      </c>
      <c r="AM39" s="43">
        <f>Paralelo!S42</f>
        <v>3</v>
      </c>
      <c r="AN39" s="43">
        <f>'Dez24'!S42</f>
        <v>3</v>
      </c>
      <c r="AO39" s="43">
        <f t="shared" si="12"/>
        <v>0</v>
      </c>
    </row>
    <row r="40" spans="2:41" hidden="1" outlineLevel="1" x14ac:dyDescent="0.3">
      <c r="B40" s="37" t="s">
        <v>81</v>
      </c>
      <c r="C40" s="38">
        <f>Paralelo!D43</f>
        <v>26.211628000000001</v>
      </c>
      <c r="D40" s="38">
        <f>'Dez24'!D43</f>
        <v>26.211627</v>
      </c>
      <c r="E40" s="38">
        <f t="shared" si="0"/>
        <v>1.0000000010279564E-6</v>
      </c>
      <c r="F40" s="38">
        <f>Paralelo!E43</f>
        <v>0</v>
      </c>
      <c r="G40" s="38">
        <f>'Dez24'!E43</f>
        <v>0</v>
      </c>
      <c r="H40" s="38">
        <f t="shared" si="1"/>
        <v>0</v>
      </c>
      <c r="I40" s="38">
        <f>Paralelo!F43</f>
        <v>0</v>
      </c>
      <c r="J40" s="38">
        <f>'Dez24'!F43</f>
        <v>0</v>
      </c>
      <c r="K40" s="38">
        <f t="shared" si="2"/>
        <v>0</v>
      </c>
      <c r="L40" s="38">
        <f>Paralelo!G43</f>
        <v>5.0559960000000004</v>
      </c>
      <c r="M40" s="38">
        <f>'Dez24'!G43</f>
        <v>5.0559940000000001</v>
      </c>
      <c r="N40" s="38">
        <f t="shared" si="3"/>
        <v>2.0000000002795559E-6</v>
      </c>
      <c r="O40" s="38">
        <f>Paralelo!H43</f>
        <v>1.2362629999999999</v>
      </c>
      <c r="P40" s="38">
        <f>'Dez24'!H43</f>
        <v>1.2362629999999999</v>
      </c>
      <c r="Q40" s="38">
        <f t="shared" si="4"/>
        <v>0</v>
      </c>
      <c r="R40" s="38">
        <f>Paralelo!I43</f>
        <v>-0.54107499999999997</v>
      </c>
      <c r="S40" s="38">
        <f>'Dez24'!I43</f>
        <v>-0.54107099999999997</v>
      </c>
      <c r="T40" s="38">
        <f t="shared" si="5"/>
        <v>-4.0000000000040004E-6</v>
      </c>
      <c r="U40" s="38">
        <f>Paralelo!J43</f>
        <v>-0.24243500000000001</v>
      </c>
      <c r="V40" s="38">
        <f>'Dez24'!J43</f>
        <v>-0.24243400000000001</v>
      </c>
      <c r="W40" s="38">
        <f t="shared" si="6"/>
        <v>-1.0000000000010001E-6</v>
      </c>
      <c r="X40" s="38">
        <f>Paralelo!K43</f>
        <v>-0.22908200000000001</v>
      </c>
      <c r="Y40" s="38">
        <f>'Dez24'!K43</f>
        <v>-0.22908100000000001</v>
      </c>
      <c r="Z40" s="38">
        <f t="shared" si="7"/>
        <v>-1.0000000000010001E-6</v>
      </c>
      <c r="AA40" s="38">
        <f>Paralelo!O43</f>
        <v>22.780483</v>
      </c>
      <c r="AB40" s="38">
        <f>'Dez24'!O43</f>
        <v>22.780481999999999</v>
      </c>
      <c r="AC40" s="38">
        <f t="shared" si="8"/>
        <v>1.0000000010279564E-6</v>
      </c>
      <c r="AD40" s="38">
        <f>Paralelo!P43</f>
        <v>2.6439689999999998</v>
      </c>
      <c r="AE40" s="38">
        <f>'Dez24'!P43</f>
        <v>2.6439680000000001</v>
      </c>
      <c r="AF40" s="38">
        <f t="shared" si="9"/>
        <v>9.9999999969568876E-7</v>
      </c>
      <c r="AG40" s="38">
        <f>Paralelo!Q43</f>
        <v>0.78717700000000002</v>
      </c>
      <c r="AH40" s="38">
        <f>'Dez24'!Q43</f>
        <v>0.78717700000000002</v>
      </c>
      <c r="AI40" s="38">
        <f t="shared" si="10"/>
        <v>0</v>
      </c>
      <c r="AJ40" s="38">
        <f>Paralelo!R43</f>
        <v>0</v>
      </c>
      <c r="AK40" s="38">
        <f>'Dez24'!R43</f>
        <v>0</v>
      </c>
      <c r="AL40" s="38">
        <f t="shared" si="11"/>
        <v>0</v>
      </c>
      <c r="AM40" s="43">
        <f>Paralelo!S43</f>
        <v>3</v>
      </c>
      <c r="AN40" s="43">
        <f>'Dez24'!S43</f>
        <v>3</v>
      </c>
      <c r="AO40" s="43">
        <f t="shared" si="12"/>
        <v>0</v>
      </c>
    </row>
    <row r="41" spans="2:41" hidden="1" outlineLevel="1" x14ac:dyDescent="0.3">
      <c r="B41" s="37" t="s">
        <v>82</v>
      </c>
      <c r="C41" s="38">
        <f>Paralelo!D44</f>
        <v>41.015698999999998</v>
      </c>
      <c r="D41" s="38">
        <f>'Dez24'!D44</f>
        <v>41.015697000000003</v>
      </c>
      <c r="E41" s="38">
        <f t="shared" si="0"/>
        <v>1.9999999949504854E-6</v>
      </c>
      <c r="F41" s="38">
        <f>Paralelo!E44</f>
        <v>0</v>
      </c>
      <c r="G41" s="38">
        <f>'Dez24'!E44</f>
        <v>0</v>
      </c>
      <c r="H41" s="38">
        <f t="shared" si="1"/>
        <v>0</v>
      </c>
      <c r="I41" s="38">
        <f>Paralelo!F44</f>
        <v>9.8150000000000008E-3</v>
      </c>
      <c r="J41" s="38">
        <f>'Dez24'!F44</f>
        <v>9.8160000000000001E-3</v>
      </c>
      <c r="K41" s="38">
        <f t="shared" si="2"/>
        <v>-9.9999999999926537E-7</v>
      </c>
      <c r="L41" s="38">
        <f>Paralelo!G44</f>
        <v>4.1777759999999997</v>
      </c>
      <c r="M41" s="38">
        <f>'Dez24'!G44</f>
        <v>4.1777759999999997</v>
      </c>
      <c r="N41" s="38">
        <f t="shared" si="3"/>
        <v>0</v>
      </c>
      <c r="O41" s="38">
        <f>Paralelo!H44</f>
        <v>0.70381700000000003</v>
      </c>
      <c r="P41" s="38">
        <f>'Dez24'!H44</f>
        <v>0.70381700000000003</v>
      </c>
      <c r="Q41" s="38">
        <f t="shared" si="4"/>
        <v>0</v>
      </c>
      <c r="R41" s="38">
        <f>Paralelo!I44</f>
        <v>-0.796655</v>
      </c>
      <c r="S41" s="38">
        <f>'Dez24'!I44</f>
        <v>-0.796655</v>
      </c>
      <c r="T41" s="38">
        <f t="shared" si="5"/>
        <v>0</v>
      </c>
      <c r="U41" s="38">
        <f>Paralelo!J44</f>
        <v>-0.18471299999999999</v>
      </c>
      <c r="V41" s="38">
        <f>'Dez24'!J44</f>
        <v>-0.18471000000000001</v>
      </c>
      <c r="W41" s="38">
        <f t="shared" si="6"/>
        <v>-2.9999999999752447E-6</v>
      </c>
      <c r="X41" s="38">
        <f>Paralelo!K44</f>
        <v>-0.482483</v>
      </c>
      <c r="Y41" s="38">
        <f>'Dez24'!K44</f>
        <v>-0.48248600000000003</v>
      </c>
      <c r="Z41" s="38">
        <f t="shared" si="7"/>
        <v>3.0000000000307558E-6</v>
      </c>
      <c r="AA41" s="38">
        <f>Paralelo!O44</f>
        <v>38.235194999999997</v>
      </c>
      <c r="AB41" s="38">
        <f>'Dez24'!O44</f>
        <v>38.235194999999997</v>
      </c>
      <c r="AC41" s="38">
        <f t="shared" si="8"/>
        <v>0</v>
      </c>
      <c r="AD41" s="38">
        <f>Paralelo!P44</f>
        <v>1.9126609999999999</v>
      </c>
      <c r="AE41" s="38">
        <f>'Dez24'!P44</f>
        <v>1.91266</v>
      </c>
      <c r="AF41" s="38">
        <f t="shared" si="9"/>
        <v>9.9999999991773336E-7</v>
      </c>
      <c r="AG41" s="38">
        <f>Paralelo!Q44</f>
        <v>0.86784300000000003</v>
      </c>
      <c r="AH41" s="38">
        <f>'Dez24'!Q44</f>
        <v>0.867842</v>
      </c>
      <c r="AI41" s="38">
        <f t="shared" si="10"/>
        <v>1.0000000000287557E-6</v>
      </c>
      <c r="AJ41" s="38">
        <f>Paralelo!R44</f>
        <v>0</v>
      </c>
      <c r="AK41" s="38">
        <f>'Dez24'!R44</f>
        <v>0</v>
      </c>
      <c r="AL41" s="38">
        <f t="shared" si="11"/>
        <v>0</v>
      </c>
      <c r="AM41" s="43">
        <f>Paralelo!S44</f>
        <v>2</v>
      </c>
      <c r="AN41" s="43">
        <f>'Dez24'!S44</f>
        <v>2</v>
      </c>
      <c r="AO41" s="43">
        <f t="shared" si="12"/>
        <v>0</v>
      </c>
    </row>
    <row r="42" spans="2:41" collapsed="1" x14ac:dyDescent="0.3">
      <c r="B42" s="35" t="s">
        <v>83</v>
      </c>
      <c r="C42" s="36">
        <f>Paralelo!D45</f>
        <v>671.41561300000001</v>
      </c>
      <c r="D42" s="36">
        <f>'Dez24'!D45</f>
        <v>526.82284600000003</v>
      </c>
      <c r="E42" s="36">
        <f t="shared" si="0"/>
        <v>144.59276699999998</v>
      </c>
      <c r="F42" s="36">
        <f>Paralelo!E45</f>
        <v>75.349136999999999</v>
      </c>
      <c r="G42" s="36">
        <f>'Dez24'!E45</f>
        <v>69.254803999999993</v>
      </c>
      <c r="H42" s="36">
        <f t="shared" si="1"/>
        <v>6.094333000000006</v>
      </c>
      <c r="I42" s="36">
        <f>Paralelo!F45</f>
        <v>53.576743999999998</v>
      </c>
      <c r="J42" s="36">
        <f>'Dez24'!F45</f>
        <v>7.0674190000000001</v>
      </c>
      <c r="K42" s="36">
        <f t="shared" si="2"/>
        <v>46.509324999999997</v>
      </c>
      <c r="L42" s="36">
        <f>Paralelo!G45</f>
        <v>0.78312899999999996</v>
      </c>
      <c r="M42" s="36">
        <f>'Dez24'!G45</f>
        <v>0.78312899999999996</v>
      </c>
      <c r="N42" s="36">
        <f t="shared" si="3"/>
        <v>0</v>
      </c>
      <c r="O42" s="36">
        <f>Paralelo!H45</f>
        <v>6.4569000000000001E-2</v>
      </c>
      <c r="P42" s="36">
        <f>'Dez24'!H45</f>
        <v>6.4569000000000001E-2</v>
      </c>
      <c r="Q42" s="36">
        <f t="shared" si="4"/>
        <v>0</v>
      </c>
      <c r="R42" s="36">
        <f>Paralelo!I45</f>
        <v>-0.63046599999999997</v>
      </c>
      <c r="S42" s="36">
        <f>'Dez24'!I45</f>
        <v>-0.47853499999999999</v>
      </c>
      <c r="T42" s="36">
        <f t="shared" si="5"/>
        <v>-0.15193099999999998</v>
      </c>
      <c r="U42" s="36">
        <f>Paralelo!J45</f>
        <v>-4.9621999999999999E-2</v>
      </c>
      <c r="V42" s="36">
        <f>'Dez24'!J45</f>
        <v>-4.9619999999999997E-2</v>
      </c>
      <c r="W42" s="36">
        <f t="shared" si="6"/>
        <v>-2.0000000000020002E-6</v>
      </c>
      <c r="X42" s="36">
        <f>Paralelo!K45</f>
        <v>-5.2624999999999998E-2</v>
      </c>
      <c r="Y42" s="36">
        <f>'Dez24'!K45</f>
        <v>-5.2623999999999997E-2</v>
      </c>
      <c r="Z42" s="36">
        <f t="shared" si="7"/>
        <v>-1.0000000000010001E-6</v>
      </c>
      <c r="AA42" s="36">
        <f>Paralelo!O45</f>
        <v>347.42516000000001</v>
      </c>
      <c r="AB42" s="36">
        <f>'Dez24'!O45</f>
        <v>337.89263999999997</v>
      </c>
      <c r="AC42" s="36">
        <f t="shared" si="8"/>
        <v>9.5325200000000336</v>
      </c>
      <c r="AD42" s="36">
        <f>Paralelo!P45</f>
        <v>153.94082</v>
      </c>
      <c r="AE42" s="36">
        <f>'Dez24'!P45</f>
        <v>153.940819</v>
      </c>
      <c r="AF42" s="36">
        <f t="shared" si="9"/>
        <v>9.9999999747524271E-7</v>
      </c>
      <c r="AG42" s="36">
        <f>Paralelo!Q45</f>
        <v>170.049633</v>
      </c>
      <c r="AH42" s="36">
        <f>'Dez24'!Q45</f>
        <v>34.989387000000001</v>
      </c>
      <c r="AI42" s="36">
        <f t="shared" si="10"/>
        <v>135.06024600000001</v>
      </c>
      <c r="AJ42" s="36">
        <f>Paralelo!R45</f>
        <v>0</v>
      </c>
      <c r="AK42" s="36">
        <f>'Dez24'!R45</f>
        <v>0</v>
      </c>
      <c r="AL42" s="36">
        <f t="shared" si="11"/>
        <v>0</v>
      </c>
      <c r="AM42" s="42">
        <f>Paralelo!S45</f>
        <v>5</v>
      </c>
      <c r="AN42" s="42">
        <f>'Dez24'!S45</f>
        <v>4</v>
      </c>
      <c r="AO42" s="42">
        <f t="shared" si="12"/>
        <v>1</v>
      </c>
    </row>
    <row r="43" spans="2:41" hidden="1" outlineLevel="1" x14ac:dyDescent="0.3">
      <c r="B43" s="37" t="s">
        <v>84</v>
      </c>
      <c r="C43" s="38">
        <f>Paralelo!D46</f>
        <v>670.81948599999998</v>
      </c>
      <c r="D43" s="38">
        <f>'Dez24'!D46</f>
        <v>526.22672</v>
      </c>
      <c r="E43" s="38">
        <f t="shared" si="0"/>
        <v>144.59276599999998</v>
      </c>
      <c r="F43" s="38">
        <f>Paralelo!E46</f>
        <v>75.349136999999999</v>
      </c>
      <c r="G43" s="38">
        <f>'Dez24'!E46</f>
        <v>69.254803999999993</v>
      </c>
      <c r="H43" s="38">
        <f t="shared" si="1"/>
        <v>6.094333000000006</v>
      </c>
      <c r="I43" s="38">
        <f>Paralelo!F46</f>
        <v>53.570148000000003</v>
      </c>
      <c r="J43" s="38">
        <f>'Dez24'!F46</f>
        <v>7.0608230000000001</v>
      </c>
      <c r="K43" s="38">
        <f t="shared" si="2"/>
        <v>46.509325000000004</v>
      </c>
      <c r="L43" s="38">
        <f>Paralelo!G46</f>
        <v>0.56329099999999999</v>
      </c>
      <c r="M43" s="38">
        <f>'Dez24'!G46</f>
        <v>0.56329200000000001</v>
      </c>
      <c r="N43" s="38">
        <f t="shared" si="3"/>
        <v>-1.0000000000287557E-6</v>
      </c>
      <c r="O43" s="38">
        <f>Paralelo!H46</f>
        <v>6.3658000000000006E-2</v>
      </c>
      <c r="P43" s="38">
        <f>'Dez24'!H46</f>
        <v>6.3658000000000006E-2</v>
      </c>
      <c r="Q43" s="38">
        <f t="shared" si="4"/>
        <v>0</v>
      </c>
      <c r="R43" s="38">
        <f>Paralelo!I46</f>
        <v>-0.612317</v>
      </c>
      <c r="S43" s="38">
        <f>'Dez24'!I46</f>
        <v>-0.46038600000000002</v>
      </c>
      <c r="T43" s="38">
        <f t="shared" si="5"/>
        <v>-0.15193099999999998</v>
      </c>
      <c r="U43" s="38">
        <f>Paralelo!J46</f>
        <v>-3.6137000000000002E-2</v>
      </c>
      <c r="V43" s="38">
        <f>'Dez24'!J46</f>
        <v>-3.6135E-2</v>
      </c>
      <c r="W43" s="38">
        <f t="shared" si="6"/>
        <v>-2.0000000000020002E-6</v>
      </c>
      <c r="X43" s="38">
        <f>Paralelo!K46</f>
        <v>-5.1769999999999997E-2</v>
      </c>
      <c r="Y43" s="38">
        <f>'Dez24'!K46</f>
        <v>-5.1769999999999997E-2</v>
      </c>
      <c r="Z43" s="38">
        <f t="shared" si="7"/>
        <v>0</v>
      </c>
      <c r="AA43" s="38">
        <f>Paralelo!O46</f>
        <v>346.89081700000003</v>
      </c>
      <c r="AB43" s="38">
        <f>'Dez24'!O46</f>
        <v>337.35829699999999</v>
      </c>
      <c r="AC43" s="38">
        <f t="shared" si="8"/>
        <v>9.5325200000000336</v>
      </c>
      <c r="AD43" s="38">
        <f>Paralelo!P46</f>
        <v>153.87903700000001</v>
      </c>
      <c r="AE43" s="38">
        <f>'Dez24'!P46</f>
        <v>153.87903600000001</v>
      </c>
      <c r="AF43" s="38">
        <f t="shared" si="9"/>
        <v>9.9999999747524271E-7</v>
      </c>
      <c r="AG43" s="38">
        <f>Paralelo!Q46</f>
        <v>170.049633</v>
      </c>
      <c r="AH43" s="38">
        <f>'Dez24'!Q46</f>
        <v>34.989387000000001</v>
      </c>
      <c r="AI43" s="38">
        <f t="shared" si="10"/>
        <v>135.06024600000001</v>
      </c>
      <c r="AJ43" s="38">
        <f>Paralelo!R46</f>
        <v>0</v>
      </c>
      <c r="AK43" s="38">
        <f>'Dez24'!R46</f>
        <v>0</v>
      </c>
      <c r="AL43" s="38">
        <f t="shared" si="11"/>
        <v>0</v>
      </c>
      <c r="AM43" s="43">
        <f>Paralelo!S46</f>
        <v>5</v>
      </c>
      <c r="AN43" s="43">
        <f>'Dez24'!S46</f>
        <v>4</v>
      </c>
      <c r="AO43" s="43">
        <f t="shared" si="12"/>
        <v>1</v>
      </c>
    </row>
    <row r="44" spans="2:41" hidden="1" outlineLevel="1" x14ac:dyDescent="0.3">
      <c r="B44" s="37" t="s">
        <v>85</v>
      </c>
      <c r="C44" s="38">
        <f>Paralelo!D47</f>
        <v>428.35755599999999</v>
      </c>
      <c r="D44" s="38">
        <f>'Dez24'!D47</f>
        <v>249.275679</v>
      </c>
      <c r="E44" s="38">
        <f t="shared" si="0"/>
        <v>179.08187699999999</v>
      </c>
      <c r="F44" s="38">
        <f>Paralelo!E47</f>
        <v>67.590619000000004</v>
      </c>
      <c r="G44" s="38">
        <f>'Dez24'!E47</f>
        <v>27.007176999999999</v>
      </c>
      <c r="H44" s="38">
        <f t="shared" si="1"/>
        <v>40.583442000000005</v>
      </c>
      <c r="I44" s="38">
        <f>Paralelo!F47</f>
        <v>46.523868</v>
      </c>
      <c r="J44" s="38">
        <f>'Dez24'!F47</f>
        <v>1.4541999999999999E-2</v>
      </c>
      <c r="K44" s="38">
        <f t="shared" si="2"/>
        <v>46.509326000000001</v>
      </c>
      <c r="L44" s="38">
        <f>Paralelo!G47</f>
        <v>0.40745399999999998</v>
      </c>
      <c r="M44" s="38">
        <f>'Dez24'!G47</f>
        <v>0.40745399999999998</v>
      </c>
      <c r="N44" s="38">
        <f t="shared" si="3"/>
        <v>0</v>
      </c>
      <c r="O44" s="38">
        <f>Paralelo!H47</f>
        <v>5.0759999999999998E-3</v>
      </c>
      <c r="P44" s="38">
        <f>'Dez24'!H47</f>
        <v>5.0759999999999998E-3</v>
      </c>
      <c r="Q44" s="38">
        <f t="shared" si="4"/>
        <v>0</v>
      </c>
      <c r="R44" s="38">
        <f>Paralelo!I47</f>
        <v>-0.51633700000000005</v>
      </c>
      <c r="S44" s="38">
        <f>'Dez24'!I47</f>
        <v>-0.35252099999999997</v>
      </c>
      <c r="T44" s="38">
        <f t="shared" si="5"/>
        <v>-0.16381600000000007</v>
      </c>
      <c r="U44" s="38">
        <f>Paralelo!J47</f>
        <v>-3.3856999999999998E-2</v>
      </c>
      <c r="V44" s="38">
        <f>'Dez24'!J47</f>
        <v>-3.3855999999999997E-2</v>
      </c>
      <c r="W44" s="38">
        <f t="shared" si="6"/>
        <v>-1.0000000000010001E-6</v>
      </c>
      <c r="X44" s="38">
        <f>Paralelo!K47</f>
        <v>-3.7929999999999999E-3</v>
      </c>
      <c r="Y44" s="38">
        <f>'Dez24'!K47</f>
        <v>-3.7929999999999999E-3</v>
      </c>
      <c r="Z44" s="38">
        <f t="shared" si="7"/>
        <v>0</v>
      </c>
      <c r="AA44" s="38">
        <f>Paralelo!O47</f>
        <v>104.428887</v>
      </c>
      <c r="AB44" s="38">
        <f>'Dez24'!O47</f>
        <v>94.896365000000003</v>
      </c>
      <c r="AC44" s="38">
        <f t="shared" si="8"/>
        <v>9.5325220000000002</v>
      </c>
      <c r="AD44" s="38">
        <f>Paralelo!P47</f>
        <v>153.87903700000001</v>
      </c>
      <c r="AE44" s="38">
        <f>'Dez24'!P47</f>
        <v>153.87903600000001</v>
      </c>
      <c r="AF44" s="38">
        <f t="shared" si="9"/>
        <v>9.9999999747524271E-7</v>
      </c>
      <c r="AG44" s="38">
        <f>Paralelo!Q47</f>
        <v>170.049633</v>
      </c>
      <c r="AH44" s="38">
        <f>'Dez24'!Q47</f>
        <v>0.500278</v>
      </c>
      <c r="AI44" s="38">
        <f t="shared" si="10"/>
        <v>169.54935499999999</v>
      </c>
      <c r="AJ44" s="38">
        <f>Paralelo!R47</f>
        <v>0</v>
      </c>
      <c r="AK44" s="38">
        <f>'Dez24'!R47</f>
        <v>0</v>
      </c>
      <c r="AL44" s="38">
        <f t="shared" si="11"/>
        <v>0</v>
      </c>
      <c r="AM44" s="43">
        <f>Paralelo!S47</f>
        <v>8</v>
      </c>
      <c r="AN44" s="43">
        <f>'Dez24'!S47</f>
        <v>5</v>
      </c>
      <c r="AO44" s="43">
        <f t="shared" si="12"/>
        <v>3</v>
      </c>
    </row>
    <row r="45" spans="2:41" ht="15" hidden="1" customHeight="1" outlineLevel="1" x14ac:dyDescent="0.3">
      <c r="B45" s="37" t="s">
        <v>86</v>
      </c>
      <c r="C45" s="38">
        <f>Paralelo!D48</f>
        <v>0.28814800000000002</v>
      </c>
      <c r="D45" s="38">
        <f>'Dez24'!D48</f>
        <v>0.28814699999999999</v>
      </c>
      <c r="E45" s="38">
        <f t="shared" si="0"/>
        <v>1.0000000000287557E-6</v>
      </c>
      <c r="F45" s="38">
        <f>Paralelo!E48</f>
        <v>0</v>
      </c>
      <c r="G45" s="38">
        <f>'Dez24'!E48</f>
        <v>0</v>
      </c>
      <c r="H45" s="38">
        <f t="shared" si="1"/>
        <v>0</v>
      </c>
      <c r="I45" s="38">
        <f>Paralelo!F48</f>
        <v>6.5960000000000003E-3</v>
      </c>
      <c r="J45" s="38">
        <f>'Dez24'!F48</f>
        <v>6.5960000000000003E-3</v>
      </c>
      <c r="K45" s="38">
        <f t="shared" si="2"/>
        <v>0</v>
      </c>
      <c r="L45" s="38">
        <f>Paralelo!G48</f>
        <v>0.15859999999999999</v>
      </c>
      <c r="M45" s="38">
        <f>'Dez24'!G48</f>
        <v>0.15859999999999999</v>
      </c>
      <c r="N45" s="38">
        <f t="shared" si="3"/>
        <v>0</v>
      </c>
      <c r="O45" s="38">
        <f>Paralelo!H48</f>
        <v>0</v>
      </c>
      <c r="P45" s="38">
        <f>'Dez24'!H48</f>
        <v>0</v>
      </c>
      <c r="Q45" s="38">
        <f t="shared" si="4"/>
        <v>0</v>
      </c>
      <c r="R45" s="38">
        <f>Paralelo!I48</f>
        <v>-9.9620000000000004E-3</v>
      </c>
      <c r="S45" s="38">
        <f>'Dez24'!I48</f>
        <v>-9.9620000000000004E-3</v>
      </c>
      <c r="T45" s="38">
        <f t="shared" si="5"/>
        <v>0</v>
      </c>
      <c r="U45" s="38">
        <f>Paralelo!J48</f>
        <v>-9.5409999999999991E-3</v>
      </c>
      <c r="V45" s="38">
        <f>'Dez24'!J48</f>
        <v>-9.5409999999999991E-3</v>
      </c>
      <c r="W45" s="38">
        <f t="shared" si="6"/>
        <v>0</v>
      </c>
      <c r="X45" s="38">
        <f>Paralelo!K48</f>
        <v>0</v>
      </c>
      <c r="Y45" s="38">
        <f>'Dez24'!K48</f>
        <v>0</v>
      </c>
      <c r="Z45" s="38">
        <f t="shared" si="7"/>
        <v>0</v>
      </c>
      <c r="AA45" s="38">
        <f>Paralelo!O48</f>
        <v>0.28814800000000002</v>
      </c>
      <c r="AB45" s="38">
        <f>'Dez24'!O48</f>
        <v>0.28814699999999999</v>
      </c>
      <c r="AC45" s="38">
        <f t="shared" si="8"/>
        <v>1.0000000000287557E-6</v>
      </c>
      <c r="AD45" s="38">
        <f>Paralelo!P48</f>
        <v>0</v>
      </c>
      <c r="AE45" s="38">
        <f>'Dez24'!P48</f>
        <v>0</v>
      </c>
      <c r="AF45" s="38">
        <f t="shared" si="9"/>
        <v>0</v>
      </c>
      <c r="AG45" s="38">
        <f>Paralelo!Q48</f>
        <v>0</v>
      </c>
      <c r="AH45" s="38">
        <f>'Dez24'!Q48</f>
        <v>0</v>
      </c>
      <c r="AI45" s="38">
        <f t="shared" si="10"/>
        <v>0</v>
      </c>
      <c r="AJ45" s="38">
        <f>Paralelo!R48</f>
        <v>0</v>
      </c>
      <c r="AK45" s="38">
        <f>'Dez24'!R48</f>
        <v>0</v>
      </c>
      <c r="AL45" s="38">
        <f t="shared" si="11"/>
        <v>0</v>
      </c>
      <c r="AM45" s="43">
        <f>Paralelo!S48</f>
        <v>0</v>
      </c>
      <c r="AN45" s="43">
        <f>'Dez24'!S48</f>
        <v>0</v>
      </c>
      <c r="AO45" s="43">
        <f t="shared" si="12"/>
        <v>0</v>
      </c>
    </row>
    <row r="46" spans="2:41" hidden="1" outlineLevel="1" x14ac:dyDescent="0.3">
      <c r="B46" s="37" t="s">
        <v>87</v>
      </c>
      <c r="C46" s="38">
        <f>Paralelo!D49</f>
        <v>0.307979</v>
      </c>
      <c r="D46" s="38">
        <f>'Dez24'!D49</f>
        <v>0.307979</v>
      </c>
      <c r="E46" s="38">
        <f t="shared" si="0"/>
        <v>0</v>
      </c>
      <c r="F46" s="38">
        <f>Paralelo!E49</f>
        <v>0</v>
      </c>
      <c r="G46" s="38">
        <f>'Dez24'!E49</f>
        <v>0</v>
      </c>
      <c r="H46" s="38">
        <f t="shared" si="1"/>
        <v>0</v>
      </c>
      <c r="I46" s="38">
        <f>Paralelo!F49</f>
        <v>0</v>
      </c>
      <c r="J46" s="38">
        <f>'Dez24'!F49</f>
        <v>0</v>
      </c>
      <c r="K46" s="38">
        <f t="shared" si="2"/>
        <v>0</v>
      </c>
      <c r="L46" s="38">
        <f>Paralelo!G49</f>
        <v>6.1237E-2</v>
      </c>
      <c r="M46" s="38">
        <f>'Dez24'!G49</f>
        <v>6.1237E-2</v>
      </c>
      <c r="N46" s="38">
        <f t="shared" si="3"/>
        <v>0</v>
      </c>
      <c r="O46" s="38">
        <f>Paralelo!H49</f>
        <v>9.1100000000000003E-4</v>
      </c>
      <c r="P46" s="38">
        <f>'Dez24'!H49</f>
        <v>9.1100000000000003E-4</v>
      </c>
      <c r="Q46" s="38">
        <f t="shared" si="4"/>
        <v>0</v>
      </c>
      <c r="R46" s="38">
        <f>Paralelo!I49</f>
        <v>-8.1869999999999998E-3</v>
      </c>
      <c r="S46" s="38">
        <f>'Dez24'!I49</f>
        <v>-8.1869999999999998E-3</v>
      </c>
      <c r="T46" s="38">
        <f t="shared" si="5"/>
        <v>0</v>
      </c>
      <c r="U46" s="38">
        <f>Paralelo!J49</f>
        <v>-3.9439999999999996E-3</v>
      </c>
      <c r="V46" s="38">
        <f>'Dez24'!J49</f>
        <v>-3.9439999999999996E-3</v>
      </c>
      <c r="W46" s="38">
        <f t="shared" si="6"/>
        <v>0</v>
      </c>
      <c r="X46" s="38">
        <f>Paralelo!K49</f>
        <v>-8.5400000000000005E-4</v>
      </c>
      <c r="Y46" s="38">
        <f>'Dez24'!K49</f>
        <v>-8.5400000000000005E-4</v>
      </c>
      <c r="Z46" s="38">
        <f t="shared" si="7"/>
        <v>0</v>
      </c>
      <c r="AA46" s="38">
        <f>Paralelo!O49</f>
        <v>0.246195</v>
      </c>
      <c r="AB46" s="38">
        <f>'Dez24'!O49</f>
        <v>0.246196</v>
      </c>
      <c r="AC46" s="38">
        <f t="shared" si="8"/>
        <v>-1.0000000000010001E-6</v>
      </c>
      <c r="AD46" s="38">
        <f>Paralelo!P49</f>
        <v>6.1782999999999998E-2</v>
      </c>
      <c r="AE46" s="38">
        <f>'Dez24'!P49</f>
        <v>6.1782999999999998E-2</v>
      </c>
      <c r="AF46" s="38">
        <f t="shared" si="9"/>
        <v>0</v>
      </c>
      <c r="AG46" s="38">
        <f>Paralelo!Q49</f>
        <v>0</v>
      </c>
      <c r="AH46" s="38">
        <f>'Dez24'!Q49</f>
        <v>0</v>
      </c>
      <c r="AI46" s="38">
        <f t="shared" si="10"/>
        <v>0</v>
      </c>
      <c r="AJ46" s="38">
        <f>Paralelo!R49</f>
        <v>0</v>
      </c>
      <c r="AK46" s="38">
        <f>'Dez24'!R49</f>
        <v>0</v>
      </c>
      <c r="AL46" s="38">
        <f t="shared" si="11"/>
        <v>0</v>
      </c>
      <c r="AM46" s="43">
        <f>Paralelo!S49</f>
        <v>3</v>
      </c>
      <c r="AN46" s="43">
        <f>'Dez24'!S49</f>
        <v>3</v>
      </c>
      <c r="AO46" s="43">
        <f t="shared" si="12"/>
        <v>0</v>
      </c>
    </row>
    <row r="47" spans="2:41" ht="15" customHeight="1" collapsed="1" x14ac:dyDescent="0.3">
      <c r="B47" s="35" t="s">
        <v>88</v>
      </c>
      <c r="C47" s="36">
        <f>Paralelo!D50</f>
        <v>33.931316000000002</v>
      </c>
      <c r="D47" s="36">
        <f>'Dez24'!D50</f>
        <v>33.931305999999999</v>
      </c>
      <c r="E47" s="36">
        <f t="shared" si="0"/>
        <v>1.0000000003174137E-5</v>
      </c>
      <c r="F47" s="36">
        <f>Paralelo!E50</f>
        <v>0</v>
      </c>
      <c r="G47" s="36">
        <f>'Dez24'!E50</f>
        <v>0</v>
      </c>
      <c r="H47" s="36">
        <f t="shared" si="1"/>
        <v>0</v>
      </c>
      <c r="I47" s="36">
        <f>Paralelo!F50</f>
        <v>6.1227999999999998E-2</v>
      </c>
      <c r="J47" s="36">
        <f>'Dez24'!F50</f>
        <v>6.1227999999999998E-2</v>
      </c>
      <c r="K47" s="36">
        <f t="shared" si="2"/>
        <v>0</v>
      </c>
      <c r="L47" s="36">
        <f>Paralelo!G50</f>
        <v>3.7084820000000001</v>
      </c>
      <c r="M47" s="36">
        <f>'Dez24'!G50</f>
        <v>3.7084820000000001</v>
      </c>
      <c r="N47" s="36">
        <f t="shared" si="3"/>
        <v>0</v>
      </c>
      <c r="O47" s="36">
        <f>Paralelo!H50</f>
        <v>1.7047190000000001</v>
      </c>
      <c r="P47" s="36">
        <f>'Dez24'!H50</f>
        <v>1.704715</v>
      </c>
      <c r="Q47" s="36">
        <f t="shared" si="4"/>
        <v>4.0000000001150227E-6</v>
      </c>
      <c r="R47" s="36">
        <f>Paralelo!I50</f>
        <v>-1.4345730000000001</v>
      </c>
      <c r="S47" s="36">
        <f>'Dez24'!I50</f>
        <v>-1.434572</v>
      </c>
      <c r="T47" s="36">
        <f t="shared" si="5"/>
        <v>-1.000000000139778E-6</v>
      </c>
      <c r="U47" s="36">
        <f>Paralelo!J50</f>
        <v>-0.170379</v>
      </c>
      <c r="V47" s="36">
        <f>'Dez24'!J50</f>
        <v>-0.170381</v>
      </c>
      <c r="W47" s="36">
        <f t="shared" si="6"/>
        <v>2.0000000000020002E-6</v>
      </c>
      <c r="X47" s="36">
        <f>Paralelo!K50</f>
        <v>-1.1535880000000001</v>
      </c>
      <c r="Y47" s="36">
        <f>'Dez24'!K50</f>
        <v>-1.153586</v>
      </c>
      <c r="Z47" s="36">
        <f t="shared" si="7"/>
        <v>-2.0000000000575113E-6</v>
      </c>
      <c r="AA47" s="36">
        <f>Paralelo!O50</f>
        <v>28.640253999999999</v>
      </c>
      <c r="AB47" s="36">
        <f>'Dez24'!O50</f>
        <v>28.640246999999999</v>
      </c>
      <c r="AC47" s="36">
        <f t="shared" si="8"/>
        <v>7.0000000000902673E-6</v>
      </c>
      <c r="AD47" s="36">
        <f>Paralelo!P50</f>
        <v>4.1862149999999998</v>
      </c>
      <c r="AE47" s="36">
        <f>'Dez24'!P50</f>
        <v>4.1862139999999997</v>
      </c>
      <c r="AF47" s="36">
        <f t="shared" si="9"/>
        <v>1.000000000139778E-6</v>
      </c>
      <c r="AG47" s="36">
        <f>Paralelo!Q50</f>
        <v>1.1048469999999999</v>
      </c>
      <c r="AH47" s="36">
        <f>'Dez24'!Q50</f>
        <v>1.1048450000000001</v>
      </c>
      <c r="AI47" s="36">
        <f t="shared" si="10"/>
        <v>1.9999999998354667E-6</v>
      </c>
      <c r="AJ47" s="36">
        <f>Paralelo!R50</f>
        <v>0</v>
      </c>
      <c r="AK47" s="36">
        <f>'Dez24'!R50</f>
        <v>0</v>
      </c>
      <c r="AL47" s="36">
        <f t="shared" si="11"/>
        <v>0</v>
      </c>
      <c r="AM47" s="42">
        <f>Paralelo!S50</f>
        <v>3</v>
      </c>
      <c r="AN47" s="42">
        <f>'Dez24'!S50</f>
        <v>3</v>
      </c>
      <c r="AO47" s="42">
        <f t="shared" si="12"/>
        <v>0</v>
      </c>
    </row>
    <row r="48" spans="2:41" x14ac:dyDescent="0.3">
      <c r="B48" s="35" t="s">
        <v>89</v>
      </c>
      <c r="C48" s="36">
        <f>Paralelo!D51</f>
        <v>1068.5215720000001</v>
      </c>
      <c r="D48" s="36">
        <f>'Dez24'!D51</f>
        <v>1044.2532699999999</v>
      </c>
      <c r="E48" s="36">
        <f t="shared" si="0"/>
        <v>24.268302000000176</v>
      </c>
      <c r="F48" s="36">
        <f>Paralelo!E51</f>
        <v>0</v>
      </c>
      <c r="G48" s="36">
        <f>'Dez24'!E51</f>
        <v>0</v>
      </c>
      <c r="H48" s="36">
        <f t="shared" si="1"/>
        <v>0</v>
      </c>
      <c r="I48" s="36">
        <f>Paralelo!F51</f>
        <v>4.2726649999999999</v>
      </c>
      <c r="J48" s="36">
        <f>'Dez24'!F51</f>
        <v>4.2638740000000004</v>
      </c>
      <c r="K48" s="36">
        <f t="shared" si="2"/>
        <v>8.7909999999995492E-3</v>
      </c>
      <c r="L48" s="36">
        <f>Paralelo!G51</f>
        <v>101.32226300000001</v>
      </c>
      <c r="M48" s="36">
        <f>'Dez24'!G51</f>
        <v>101.322256</v>
      </c>
      <c r="N48" s="36">
        <f t="shared" si="3"/>
        <v>7.0000000107484084E-6</v>
      </c>
      <c r="O48" s="36">
        <f>Paralelo!H51</f>
        <v>49.413227999999997</v>
      </c>
      <c r="P48" s="36">
        <f>'Dez24'!H51</f>
        <v>49.413445000000003</v>
      </c>
      <c r="Q48" s="36">
        <f t="shared" si="4"/>
        <v>-2.17000000006351E-4</v>
      </c>
      <c r="R48" s="36">
        <f>Paralelo!I51</f>
        <v>-44.087082000000002</v>
      </c>
      <c r="S48" s="36">
        <f>'Dez24'!I51</f>
        <v>-44.046266000000003</v>
      </c>
      <c r="T48" s="36">
        <f t="shared" si="5"/>
        <v>-4.0815999999999519E-2</v>
      </c>
      <c r="U48" s="36">
        <f>Paralelo!J51</f>
        <v>-5.3415150000000002</v>
      </c>
      <c r="V48" s="36">
        <f>'Dez24'!J51</f>
        <v>-5.3415150000000002</v>
      </c>
      <c r="W48" s="36">
        <f t="shared" si="6"/>
        <v>0</v>
      </c>
      <c r="X48" s="36">
        <f>Paralelo!K51</f>
        <v>-36.332174999999999</v>
      </c>
      <c r="Y48" s="36">
        <f>'Dez24'!K51</f>
        <v>-36.332388999999999</v>
      </c>
      <c r="Z48" s="36">
        <f t="shared" si="7"/>
        <v>2.1399999999971442E-4</v>
      </c>
      <c r="AA48" s="36">
        <f>Paralelo!O51</f>
        <v>902.84657500000003</v>
      </c>
      <c r="AB48" s="36">
        <f>'Dez24'!O51</f>
        <v>892.62267599999996</v>
      </c>
      <c r="AC48" s="36">
        <f t="shared" si="8"/>
        <v>10.223899000000074</v>
      </c>
      <c r="AD48" s="36">
        <f>Paralelo!P51</f>
        <v>70.041543000000004</v>
      </c>
      <c r="AE48" s="36">
        <f>'Dez24'!P51</f>
        <v>70.041520000000006</v>
      </c>
      <c r="AF48" s="36">
        <f t="shared" si="9"/>
        <v>2.2999999998774001E-5</v>
      </c>
      <c r="AG48" s="36">
        <f>Paralelo!Q51</f>
        <v>95.633454</v>
      </c>
      <c r="AH48" s="36">
        <f>'Dez24'!Q51</f>
        <v>81.589073999999997</v>
      </c>
      <c r="AI48" s="36">
        <f t="shared" si="10"/>
        <v>14.044380000000004</v>
      </c>
      <c r="AJ48" s="36">
        <f>Paralelo!R51</f>
        <v>0</v>
      </c>
      <c r="AK48" s="36">
        <f>'Dez24'!R51</f>
        <v>0</v>
      </c>
      <c r="AL48" s="36">
        <f t="shared" si="11"/>
        <v>0</v>
      </c>
      <c r="AM48" s="42">
        <f>Paralelo!S51</f>
        <v>3</v>
      </c>
      <c r="AN48" s="42">
        <f>'Dez24'!S51</f>
        <v>3</v>
      </c>
      <c r="AO48" s="42">
        <f t="shared" si="12"/>
        <v>0</v>
      </c>
    </row>
    <row r="49" spans="2:41" hidden="1" outlineLevel="1" x14ac:dyDescent="0.3">
      <c r="B49" s="37" t="s">
        <v>90</v>
      </c>
      <c r="C49" s="38">
        <f>Paralelo!D52</f>
        <v>747.59956099999999</v>
      </c>
      <c r="D49" s="38">
        <f>'Dez24'!D52</f>
        <v>723.33126000000004</v>
      </c>
      <c r="E49" s="36">
        <f t="shared" si="0"/>
        <v>24.268300999999951</v>
      </c>
      <c r="F49" s="38">
        <f>Paralelo!E52</f>
        <v>0</v>
      </c>
      <c r="G49" s="38">
        <f>'Dez24'!E52</f>
        <v>0</v>
      </c>
      <c r="H49" s="36">
        <f t="shared" si="1"/>
        <v>0</v>
      </c>
      <c r="I49" s="36">
        <f>Paralelo!F52</f>
        <v>3.0841029999999998</v>
      </c>
      <c r="J49" s="36">
        <f>'Dez24'!F52</f>
        <v>3.0841029999999998</v>
      </c>
      <c r="K49" s="36">
        <f t="shared" si="2"/>
        <v>0</v>
      </c>
      <c r="L49" s="38">
        <f>Paralelo!G52</f>
        <v>57.181147000000003</v>
      </c>
      <c r="M49" s="38">
        <f>'Dez24'!G52</f>
        <v>57.181136000000002</v>
      </c>
      <c r="N49" s="36">
        <f t="shared" si="3"/>
        <v>1.1000000000649379E-5</v>
      </c>
      <c r="O49" s="38">
        <f>Paralelo!H52</f>
        <v>41.335394999999998</v>
      </c>
      <c r="P49" s="38">
        <f>'Dez24'!H52</f>
        <v>41.335608999999998</v>
      </c>
      <c r="Q49" s="36">
        <f t="shared" si="4"/>
        <v>-2.1399999999971442E-4</v>
      </c>
      <c r="R49" s="38">
        <f>Paralelo!I52</f>
        <v>-35.522866999999998</v>
      </c>
      <c r="S49" s="38">
        <f>'Dez24'!I52</f>
        <v>-35.482049000000004</v>
      </c>
      <c r="T49" s="36">
        <f t="shared" si="5"/>
        <v>-4.081799999999447E-2</v>
      </c>
      <c r="U49" s="38">
        <f>Paralelo!J52</f>
        <v>-3.3240590000000001</v>
      </c>
      <c r="V49" s="38">
        <f>'Dez24'!J52</f>
        <v>-3.3240560000000001</v>
      </c>
      <c r="W49" s="36">
        <f t="shared" si="6"/>
        <v>-2.9999999999752447E-6</v>
      </c>
      <c r="X49" s="38">
        <f>Paralelo!K52</f>
        <v>-30.729479000000001</v>
      </c>
      <c r="Y49" s="38">
        <f>'Dez24'!K52</f>
        <v>-30.729696000000001</v>
      </c>
      <c r="Z49" s="36">
        <f t="shared" si="7"/>
        <v>2.1699999999924557E-4</v>
      </c>
      <c r="AA49" s="38">
        <f>Paralelo!O52</f>
        <v>630.26563599999997</v>
      </c>
      <c r="AB49" s="38">
        <f>'Dez24'!O52</f>
        <v>620.04173400000002</v>
      </c>
      <c r="AC49" s="36">
        <f t="shared" si="8"/>
        <v>10.223901999999953</v>
      </c>
      <c r="AD49" s="38">
        <f>Paralelo!P52</f>
        <v>58.878318999999998</v>
      </c>
      <c r="AE49" s="38">
        <f>'Dez24'!P52</f>
        <v>58.878301999999998</v>
      </c>
      <c r="AF49" s="36">
        <f t="shared" si="9"/>
        <v>1.699999999971169E-5</v>
      </c>
      <c r="AG49" s="38">
        <f>Paralelo!Q52</f>
        <v>58.455604999999998</v>
      </c>
      <c r="AH49" s="38">
        <f>'Dez24'!Q52</f>
        <v>44.411223999999997</v>
      </c>
      <c r="AI49" s="36">
        <f t="shared" si="10"/>
        <v>14.044381000000001</v>
      </c>
      <c r="AJ49" s="38">
        <f>Paralelo!R52</f>
        <v>0</v>
      </c>
      <c r="AK49" s="38">
        <f>'Dez24'!R52</f>
        <v>0</v>
      </c>
      <c r="AL49" s="36">
        <f t="shared" si="11"/>
        <v>0</v>
      </c>
      <c r="AM49" s="43">
        <f>Paralelo!S52</f>
        <v>3</v>
      </c>
      <c r="AN49" s="43">
        <f>'Dez24'!S52</f>
        <v>3</v>
      </c>
      <c r="AO49" s="42">
        <f t="shared" si="12"/>
        <v>0</v>
      </c>
    </row>
    <row r="50" spans="2:41" hidden="1" outlineLevel="1" x14ac:dyDescent="0.3">
      <c r="B50" s="37" t="s">
        <v>91</v>
      </c>
      <c r="C50" s="38">
        <f>Paralelo!D53</f>
        <v>165.331917</v>
      </c>
      <c r="D50" s="38">
        <f>'Dez24'!D53</f>
        <v>165.331918</v>
      </c>
      <c r="E50" s="36">
        <f t="shared" si="0"/>
        <v>-9.9999999747524271E-7</v>
      </c>
      <c r="F50" s="38">
        <f>Paralelo!E53</f>
        <v>0</v>
      </c>
      <c r="G50" s="38">
        <f>'Dez24'!E53</f>
        <v>0</v>
      </c>
      <c r="H50" s="36">
        <f t="shared" si="1"/>
        <v>0</v>
      </c>
      <c r="I50" s="36">
        <f>Paralelo!F53</f>
        <v>0.65822000000000003</v>
      </c>
      <c r="J50" s="36">
        <f>'Dez24'!F53</f>
        <v>0.64942900000000003</v>
      </c>
      <c r="K50" s="36">
        <f t="shared" si="2"/>
        <v>8.7909999999999933E-3</v>
      </c>
      <c r="L50" s="38">
        <f>Paralelo!G53</f>
        <v>15.194556</v>
      </c>
      <c r="M50" s="38">
        <f>'Dez24'!G53</f>
        <v>15.194557</v>
      </c>
      <c r="N50" s="36">
        <f t="shared" si="3"/>
        <v>-9.9999999925159955E-7</v>
      </c>
      <c r="O50" s="38">
        <f>Paralelo!H53</f>
        <v>1.298467</v>
      </c>
      <c r="P50" s="38">
        <f>'Dez24'!H53</f>
        <v>1.298468</v>
      </c>
      <c r="Q50" s="36">
        <f t="shared" si="4"/>
        <v>-9.9999999991773336E-7</v>
      </c>
      <c r="R50" s="38">
        <f>Paralelo!I53</f>
        <v>-1.740944</v>
      </c>
      <c r="S50" s="38">
        <f>'Dez24'!I53</f>
        <v>-1.7409479999999999</v>
      </c>
      <c r="T50" s="36">
        <f t="shared" si="5"/>
        <v>3.9999999998929781E-6</v>
      </c>
      <c r="U50" s="38">
        <f>Paralelo!J53</f>
        <v>-0.41082299999999999</v>
      </c>
      <c r="V50" s="38">
        <f>'Dez24'!J53</f>
        <v>-0.410827</v>
      </c>
      <c r="W50" s="36">
        <f t="shared" si="6"/>
        <v>4.0000000000040004E-6</v>
      </c>
      <c r="X50" s="38">
        <f>Paralelo!K53</f>
        <v>-0.98984000000000005</v>
      </c>
      <c r="Y50" s="38">
        <f>'Dez24'!K53</f>
        <v>-0.989838</v>
      </c>
      <c r="Z50" s="36">
        <f t="shared" si="7"/>
        <v>-2.0000000000575113E-6</v>
      </c>
      <c r="AA50" s="38">
        <f>Paralelo!O53</f>
        <v>129.467727</v>
      </c>
      <c r="AB50" s="38">
        <f>'Dez24'!O53</f>
        <v>129.46772799999999</v>
      </c>
      <c r="AC50" s="36">
        <f t="shared" si="8"/>
        <v>-9.9999999747524271E-7</v>
      </c>
      <c r="AD50" s="38">
        <f>Paralelo!P53</f>
        <v>2.381815</v>
      </c>
      <c r="AE50" s="38">
        <f>'Dez24'!P53</f>
        <v>2.381815</v>
      </c>
      <c r="AF50" s="36">
        <f t="shared" si="9"/>
        <v>0</v>
      </c>
      <c r="AG50" s="38">
        <f>Paralelo!Q53</f>
        <v>33.482374</v>
      </c>
      <c r="AH50" s="38">
        <f>'Dez24'!Q53</f>
        <v>33.482374999999998</v>
      </c>
      <c r="AI50" s="36">
        <f t="shared" si="10"/>
        <v>-9.9999999747524271E-7</v>
      </c>
      <c r="AJ50" s="38">
        <f>Paralelo!R53</f>
        <v>0</v>
      </c>
      <c r="AK50" s="38">
        <f>'Dez24'!R53</f>
        <v>0</v>
      </c>
      <c r="AL50" s="36">
        <f t="shared" si="11"/>
        <v>0</v>
      </c>
      <c r="AM50" s="43">
        <f>Paralelo!S53</f>
        <v>3</v>
      </c>
      <c r="AN50" s="43">
        <f>'Dez24'!S53</f>
        <v>3</v>
      </c>
      <c r="AO50" s="42">
        <f t="shared" si="12"/>
        <v>0</v>
      </c>
    </row>
    <row r="51" spans="2:41" hidden="1" outlineLevel="1" x14ac:dyDescent="0.3">
      <c r="B51" s="37" t="s">
        <v>92</v>
      </c>
      <c r="C51" s="38">
        <f>Paralelo!D54</f>
        <v>155.59009399999999</v>
      </c>
      <c r="D51" s="38">
        <f>'Dez24'!D54</f>
        <v>155.590092</v>
      </c>
      <c r="E51" s="36">
        <f t="shared" si="0"/>
        <v>1.9999999949504854E-6</v>
      </c>
      <c r="F51" s="38">
        <f>Paralelo!E54</f>
        <v>0</v>
      </c>
      <c r="G51" s="38">
        <f>'Dez24'!E54</f>
        <v>0</v>
      </c>
      <c r="H51" s="36">
        <f t="shared" si="1"/>
        <v>0</v>
      </c>
      <c r="I51" s="36">
        <f>Paralelo!F54</f>
        <v>0.53034199999999998</v>
      </c>
      <c r="J51" s="36">
        <f>'Dez24'!F54</f>
        <v>0.53034199999999998</v>
      </c>
      <c r="K51" s="36">
        <f t="shared" si="2"/>
        <v>0</v>
      </c>
      <c r="L51" s="38">
        <f>Paralelo!G54</f>
        <v>28.946560999999999</v>
      </c>
      <c r="M51" s="38">
        <f>'Dez24'!G54</f>
        <v>28.946563000000001</v>
      </c>
      <c r="N51" s="36">
        <f t="shared" si="3"/>
        <v>-2.0000000020559128E-6</v>
      </c>
      <c r="O51" s="38">
        <f>Paralelo!H54</f>
        <v>6.7793659999999996</v>
      </c>
      <c r="P51" s="38">
        <f>'Dez24'!H54</f>
        <v>6.7793679999999998</v>
      </c>
      <c r="Q51" s="36">
        <f t="shared" si="4"/>
        <v>-2.0000000002795559E-6</v>
      </c>
      <c r="R51" s="38">
        <f>Paralelo!I54</f>
        <v>-6.8232720000000002</v>
      </c>
      <c r="S51" s="38">
        <f>'Dez24'!I54</f>
        <v>-6.8232689999999998</v>
      </c>
      <c r="T51" s="36">
        <f t="shared" si="5"/>
        <v>-3.0000000004193339E-6</v>
      </c>
      <c r="U51" s="38">
        <f>Paralelo!J54</f>
        <v>-1.606633</v>
      </c>
      <c r="V51" s="38">
        <f>'Dez24'!J54</f>
        <v>-1.6066320000000001</v>
      </c>
      <c r="W51" s="36">
        <f t="shared" si="6"/>
        <v>-9.9999999991773336E-7</v>
      </c>
      <c r="X51" s="38">
        <f>Paralelo!K54</f>
        <v>-4.612857</v>
      </c>
      <c r="Y51" s="38">
        <f>'Dez24'!K54</f>
        <v>-4.6128549999999997</v>
      </c>
      <c r="Z51" s="36">
        <f t="shared" si="7"/>
        <v>-2.0000000002795559E-6</v>
      </c>
      <c r="AA51" s="38">
        <f>Paralelo!O54</f>
        <v>143.11321100000001</v>
      </c>
      <c r="AB51" s="38">
        <f>'Dez24'!O54</f>
        <v>143.113214</v>
      </c>
      <c r="AC51" s="36">
        <f t="shared" si="8"/>
        <v>-2.9999999924257281E-6</v>
      </c>
      <c r="AD51" s="38">
        <f>Paralelo!P54</f>
        <v>8.781409</v>
      </c>
      <c r="AE51" s="38">
        <f>'Dez24'!P54</f>
        <v>8.7814029999999992</v>
      </c>
      <c r="AF51" s="36">
        <f t="shared" si="9"/>
        <v>6.0000000008386678E-6</v>
      </c>
      <c r="AG51" s="38">
        <f>Paralelo!Q54</f>
        <v>3.6954750000000001</v>
      </c>
      <c r="AH51" s="38">
        <f>'Dez24'!Q54</f>
        <v>3.6954750000000001</v>
      </c>
      <c r="AI51" s="36">
        <f t="shared" si="10"/>
        <v>0</v>
      </c>
      <c r="AJ51" s="38">
        <f>Paralelo!R54</f>
        <v>0</v>
      </c>
      <c r="AK51" s="38">
        <f>'Dez24'!R54</f>
        <v>0</v>
      </c>
      <c r="AL51" s="36">
        <f t="shared" si="11"/>
        <v>0</v>
      </c>
      <c r="AM51" s="43">
        <f>Paralelo!S54</f>
        <v>2</v>
      </c>
      <c r="AN51" s="43">
        <f>'Dez24'!S54</f>
        <v>2</v>
      </c>
      <c r="AO51" s="42">
        <f t="shared" si="12"/>
        <v>0</v>
      </c>
    </row>
    <row r="52" spans="2:41" ht="15" customHeight="1" collapsed="1" x14ac:dyDescent="0.3">
      <c r="B52" s="35" t="s">
        <v>93</v>
      </c>
      <c r="C52" s="36">
        <f>Paralelo!D55</f>
        <v>2070.1135020000002</v>
      </c>
      <c r="D52" s="36">
        <f>'Dez24'!D55</f>
        <v>2070.2229309999998</v>
      </c>
      <c r="E52" s="36">
        <f t="shared" si="0"/>
        <v>-0.10942899999963629</v>
      </c>
      <c r="F52" s="36">
        <f>Paralelo!E55</f>
        <v>7.2740000000000001E-3</v>
      </c>
      <c r="G52" s="36">
        <f>'Dez24'!E55</f>
        <v>7.2740000000000001E-3</v>
      </c>
      <c r="H52" s="36">
        <f t="shared" si="1"/>
        <v>0</v>
      </c>
      <c r="I52" s="36">
        <f>Paralelo!F55</f>
        <v>13.805042</v>
      </c>
      <c r="J52" s="36">
        <f>'Dez24'!F55</f>
        <v>13.805040999999999</v>
      </c>
      <c r="K52" s="36">
        <f t="shared" si="2"/>
        <v>1.0000000010279564E-6</v>
      </c>
      <c r="L52" s="36">
        <f>Paralelo!G55</f>
        <v>248.74796699999999</v>
      </c>
      <c r="M52" s="36">
        <f>'Dez24'!G55</f>
        <v>248.74798699999999</v>
      </c>
      <c r="N52" s="36">
        <f t="shared" si="3"/>
        <v>-2.0000000006348273E-5</v>
      </c>
      <c r="O52" s="36">
        <f>Paralelo!H55</f>
        <v>74.069631999999999</v>
      </c>
      <c r="P52" s="36">
        <f>'Dez24'!H55</f>
        <v>74.179074</v>
      </c>
      <c r="Q52" s="36">
        <f t="shared" si="4"/>
        <v>-0.10944200000000137</v>
      </c>
      <c r="R52" s="36">
        <f>Paralelo!I55</f>
        <v>-66.424700000000001</v>
      </c>
      <c r="S52" s="36">
        <f>'Dez24'!I55</f>
        <v>-66.522363999999996</v>
      </c>
      <c r="T52" s="36">
        <f t="shared" si="5"/>
        <v>9.7663999999994644E-2</v>
      </c>
      <c r="U52" s="36">
        <f>Paralelo!J55</f>
        <v>-13.90044</v>
      </c>
      <c r="V52" s="36">
        <f>'Dez24'!J55</f>
        <v>-13.900444999999999</v>
      </c>
      <c r="W52" s="36">
        <f t="shared" si="6"/>
        <v>4.9999999998107114E-6</v>
      </c>
      <c r="X52" s="36">
        <f>Paralelo!K55</f>
        <v>-47.135610999999997</v>
      </c>
      <c r="Y52" s="36">
        <f>'Dez24'!K55</f>
        <v>-47.233279000000003</v>
      </c>
      <c r="Z52" s="36">
        <f t="shared" si="7"/>
        <v>9.7668000000005861E-2</v>
      </c>
      <c r="AA52" s="36">
        <f>Paralelo!O55</f>
        <v>1897.879191</v>
      </c>
      <c r="AB52" s="36">
        <f>'Dez24'!O55</f>
        <v>1897.988713</v>
      </c>
      <c r="AC52" s="36">
        <f t="shared" si="8"/>
        <v>-0.10952199999996992</v>
      </c>
      <c r="AD52" s="36">
        <f>Paralelo!P55</f>
        <v>133.21463600000001</v>
      </c>
      <c r="AE52" s="36">
        <f>'Dez24'!P55</f>
        <v>133.21461600000001</v>
      </c>
      <c r="AF52" s="36">
        <f t="shared" si="9"/>
        <v>2.0000000006348273E-5</v>
      </c>
      <c r="AG52" s="36">
        <f>Paralelo!Q55</f>
        <v>38.591335999999998</v>
      </c>
      <c r="AH52" s="36">
        <f>'Dez24'!Q55</f>
        <v>38.591329999999999</v>
      </c>
      <c r="AI52" s="36">
        <f t="shared" si="10"/>
        <v>5.999999999062311E-6</v>
      </c>
      <c r="AJ52" s="36">
        <f>Paralelo!R55</f>
        <v>0.42834</v>
      </c>
      <c r="AK52" s="36">
        <f>'Dez24'!R55</f>
        <v>0.42827199999999999</v>
      </c>
      <c r="AL52" s="36">
        <f t="shared" si="11"/>
        <v>6.8000000000012495E-5</v>
      </c>
      <c r="AM52" s="42">
        <f>Paralelo!S55</f>
        <v>2</v>
      </c>
      <c r="AN52" s="42">
        <f>'Dez24'!S55</f>
        <v>2</v>
      </c>
      <c r="AO52" s="42">
        <f t="shared" si="12"/>
        <v>0</v>
      </c>
    </row>
    <row r="53" spans="2:41" x14ac:dyDescent="0.3">
      <c r="B53" s="35" t="s">
        <v>94</v>
      </c>
      <c r="C53" s="36">
        <f>Paralelo!D56</f>
        <v>786.91128500000002</v>
      </c>
      <c r="D53" s="36">
        <f>'Dez24'!D56</f>
        <v>721.84642099999996</v>
      </c>
      <c r="E53" s="36">
        <f t="shared" si="0"/>
        <v>65.064864000000057</v>
      </c>
      <c r="F53" s="36">
        <f>Paralelo!E56</f>
        <v>8.1853999999999996E-2</v>
      </c>
      <c r="G53" s="36">
        <f>'Dez24'!E56</f>
        <v>8.1853999999999996E-2</v>
      </c>
      <c r="H53" s="36">
        <f t="shared" si="1"/>
        <v>0</v>
      </c>
      <c r="I53" s="36">
        <f>Paralelo!F56</f>
        <v>0.35062199999999999</v>
      </c>
      <c r="J53" s="36">
        <f>'Dez24'!F56</f>
        <v>0.35062100000000002</v>
      </c>
      <c r="K53" s="36">
        <f t="shared" si="2"/>
        <v>9.9999999997324451E-7</v>
      </c>
      <c r="L53" s="36">
        <f>Paralelo!G56</f>
        <v>55.729740999999997</v>
      </c>
      <c r="M53" s="36">
        <f>'Dez24'!G56</f>
        <v>55.729740999999997</v>
      </c>
      <c r="N53" s="36">
        <f t="shared" si="3"/>
        <v>0</v>
      </c>
      <c r="O53" s="36">
        <f>Paralelo!H56</f>
        <v>49.654983000000001</v>
      </c>
      <c r="P53" s="36">
        <f>'Dez24'!H56</f>
        <v>49.663077000000001</v>
      </c>
      <c r="Q53" s="36">
        <f t="shared" si="4"/>
        <v>-8.0939999999998236E-3</v>
      </c>
      <c r="R53" s="36">
        <f>Paralelo!I56</f>
        <v>-35.567301</v>
      </c>
      <c r="S53" s="36">
        <f>'Dez24'!I56</f>
        <v>-35.367254000000003</v>
      </c>
      <c r="T53" s="36">
        <f t="shared" si="5"/>
        <v>-0.20004699999999787</v>
      </c>
      <c r="U53" s="36">
        <f>Paralelo!J56</f>
        <v>-3.7920240000000001</v>
      </c>
      <c r="V53" s="36">
        <f>'Dez24'!J56</f>
        <v>-3.7920219999999998</v>
      </c>
      <c r="W53" s="36">
        <f t="shared" si="6"/>
        <v>-2.0000000002795559E-6</v>
      </c>
      <c r="X53" s="36">
        <f>Paralelo!K56</f>
        <v>-30.015746</v>
      </c>
      <c r="Y53" s="36">
        <f>'Dez24'!K56</f>
        <v>-30.015747999999999</v>
      </c>
      <c r="Z53" s="36">
        <f t="shared" si="7"/>
        <v>1.9999999985031991E-6</v>
      </c>
      <c r="AA53" s="36">
        <f>Paralelo!O56</f>
        <v>584.21061899999995</v>
      </c>
      <c r="AB53" s="36">
        <f>'Dez24'!O56</f>
        <v>576.69857400000001</v>
      </c>
      <c r="AC53" s="36">
        <f t="shared" si="8"/>
        <v>7.5120449999999437</v>
      </c>
      <c r="AD53" s="36">
        <f>Paralelo!P56</f>
        <v>147.031768</v>
      </c>
      <c r="AE53" s="36">
        <f>'Dez24'!P56</f>
        <v>102.230434</v>
      </c>
      <c r="AF53" s="36">
        <f t="shared" si="9"/>
        <v>44.801333999999997</v>
      </c>
      <c r="AG53" s="36">
        <f>Paralelo!Q56</f>
        <v>55.668897999999999</v>
      </c>
      <c r="AH53" s="36">
        <f>'Dez24'!Q56</f>
        <v>42.917413000000003</v>
      </c>
      <c r="AI53" s="36">
        <f t="shared" si="10"/>
        <v>12.751484999999995</v>
      </c>
      <c r="AJ53" s="36">
        <f>Paralelo!R56</f>
        <v>0</v>
      </c>
      <c r="AK53" s="36">
        <f>'Dez24'!R56</f>
        <v>0</v>
      </c>
      <c r="AL53" s="36">
        <f t="shared" si="11"/>
        <v>0</v>
      </c>
      <c r="AM53" s="42">
        <f>Paralelo!S56</f>
        <v>3</v>
      </c>
      <c r="AN53" s="42">
        <f>'Dez24'!S56</f>
        <v>3</v>
      </c>
      <c r="AO53" s="42">
        <f t="shared" si="12"/>
        <v>0</v>
      </c>
    </row>
    <row r="54" spans="2:41" hidden="1" outlineLevel="1" x14ac:dyDescent="0.3">
      <c r="B54" s="37" t="s">
        <v>95</v>
      </c>
      <c r="C54" s="38">
        <f>Paralelo!D57</f>
        <v>313.720887</v>
      </c>
      <c r="D54" s="38">
        <f>'Dez24'!D57</f>
        <v>313.720887</v>
      </c>
      <c r="E54" s="36">
        <f t="shared" si="0"/>
        <v>0</v>
      </c>
      <c r="F54" s="38">
        <f>Paralelo!E57</f>
        <v>0</v>
      </c>
      <c r="G54" s="38">
        <f>'Dez24'!E57</f>
        <v>0</v>
      </c>
      <c r="H54" s="36">
        <f t="shared" si="1"/>
        <v>0</v>
      </c>
      <c r="I54" s="36">
        <f>Paralelo!F57</f>
        <v>6.0714999999999998E-2</v>
      </c>
      <c r="J54" s="36">
        <f>'Dez24'!F57</f>
        <v>6.0714999999999998E-2</v>
      </c>
      <c r="K54" s="36">
        <f t="shared" si="2"/>
        <v>0</v>
      </c>
      <c r="L54" s="38">
        <f>Paralelo!G57</f>
        <v>45.530617999999997</v>
      </c>
      <c r="M54" s="38">
        <f>'Dez24'!G57</f>
        <v>45.530616999999999</v>
      </c>
      <c r="N54" s="36">
        <f t="shared" si="3"/>
        <v>9.9999999747524271E-7</v>
      </c>
      <c r="O54" s="38">
        <f>Paralelo!H57</f>
        <v>11.365893</v>
      </c>
      <c r="P54" s="38">
        <f>'Dez24'!H57</f>
        <v>11.365897</v>
      </c>
      <c r="Q54" s="36">
        <f t="shared" si="4"/>
        <v>-4.0000000005591119E-6</v>
      </c>
      <c r="R54" s="38">
        <f>Paralelo!I57</f>
        <v>-11.133061</v>
      </c>
      <c r="S54" s="38">
        <f>'Dez24'!I57</f>
        <v>-11.133062000000001</v>
      </c>
      <c r="T54" s="36">
        <f t="shared" si="5"/>
        <v>1.0000000010279564E-6</v>
      </c>
      <c r="U54" s="38">
        <f>Paralelo!J57</f>
        <v>-2.5553889999999999</v>
      </c>
      <c r="V54" s="38">
        <f>'Dez24'!J57</f>
        <v>-2.5553889999999999</v>
      </c>
      <c r="W54" s="36">
        <f t="shared" si="6"/>
        <v>0</v>
      </c>
      <c r="X54" s="38">
        <f>Paralelo!K57</f>
        <v>-7.5581940000000003</v>
      </c>
      <c r="Y54" s="38">
        <f>'Dez24'!K57</f>
        <v>-7.5581940000000003</v>
      </c>
      <c r="Z54" s="36">
        <f t="shared" si="7"/>
        <v>0</v>
      </c>
      <c r="AA54" s="38">
        <f>Paralelo!O57</f>
        <v>291.37410299999999</v>
      </c>
      <c r="AB54" s="38">
        <f>'Dez24'!O57</f>
        <v>291.37410499999999</v>
      </c>
      <c r="AC54" s="36">
        <f t="shared" si="8"/>
        <v>-1.9999999949504854E-6</v>
      </c>
      <c r="AD54" s="38">
        <f>Paralelo!P57</f>
        <v>20.289912000000001</v>
      </c>
      <c r="AE54" s="38">
        <f>'Dez24'!P57</f>
        <v>20.289912999999999</v>
      </c>
      <c r="AF54" s="36">
        <f t="shared" si="9"/>
        <v>-9.9999999747524271E-7</v>
      </c>
      <c r="AG54" s="38">
        <f>Paralelo!Q57</f>
        <v>2.0568710000000001</v>
      </c>
      <c r="AH54" s="38">
        <f>'Dez24'!Q57</f>
        <v>2.0568689999999998</v>
      </c>
      <c r="AI54" s="36">
        <f t="shared" si="10"/>
        <v>2.0000000002795559E-6</v>
      </c>
      <c r="AJ54" s="38">
        <f>Paralelo!R57</f>
        <v>0</v>
      </c>
      <c r="AK54" s="38">
        <f>'Dez24'!R57</f>
        <v>0</v>
      </c>
      <c r="AL54" s="36">
        <f t="shared" si="11"/>
        <v>0</v>
      </c>
      <c r="AM54" s="43">
        <f>Paralelo!S57</f>
        <v>2</v>
      </c>
      <c r="AN54" s="43">
        <f>'Dez24'!S57</f>
        <v>2</v>
      </c>
      <c r="AO54" s="42">
        <f t="shared" si="12"/>
        <v>0</v>
      </c>
    </row>
    <row r="55" spans="2:41" hidden="1" outlineLevel="1" x14ac:dyDescent="0.3">
      <c r="B55" s="37" t="s">
        <v>96</v>
      </c>
      <c r="C55" s="38">
        <f>Paralelo!D58</f>
        <v>3.3902410000000001</v>
      </c>
      <c r="D55" s="38">
        <f>'Dez24'!D58</f>
        <v>3.3902410000000001</v>
      </c>
      <c r="E55" s="36">
        <f t="shared" si="0"/>
        <v>0</v>
      </c>
      <c r="F55" s="38">
        <f>Paralelo!E58</f>
        <v>0</v>
      </c>
      <c r="G55" s="38">
        <f>'Dez24'!E58</f>
        <v>0</v>
      </c>
      <c r="H55" s="36">
        <f t="shared" si="1"/>
        <v>0</v>
      </c>
      <c r="I55" s="36">
        <f>Paralelo!F58</f>
        <v>0</v>
      </c>
      <c r="J55" s="36">
        <f>'Dez24'!F58</f>
        <v>0</v>
      </c>
      <c r="K55" s="36">
        <f t="shared" si="2"/>
        <v>0</v>
      </c>
      <c r="L55" s="38">
        <f>Paralelo!G58</f>
        <v>0.176204</v>
      </c>
      <c r="M55" s="38">
        <f>'Dez24'!G58</f>
        <v>0.176204</v>
      </c>
      <c r="N55" s="36">
        <f t="shared" si="3"/>
        <v>0</v>
      </c>
      <c r="O55" s="38">
        <f>Paralelo!H58</f>
        <v>2.1101000000000002E-2</v>
      </c>
      <c r="P55" s="38">
        <f>'Dez24'!H58</f>
        <v>2.1101000000000002E-2</v>
      </c>
      <c r="Q55" s="36">
        <f t="shared" si="4"/>
        <v>0</v>
      </c>
      <c r="R55" s="38">
        <f>Paralelo!I58</f>
        <v>-2.9877999999999998E-2</v>
      </c>
      <c r="S55" s="38">
        <f>'Dez24'!I58</f>
        <v>-2.9877999999999998E-2</v>
      </c>
      <c r="T55" s="36">
        <f t="shared" si="5"/>
        <v>0</v>
      </c>
      <c r="U55" s="38">
        <f>Paralelo!J58</f>
        <v>-8.6770000000000007E-3</v>
      </c>
      <c r="V55" s="38">
        <f>'Dez24'!J58</f>
        <v>-8.6759999999999997E-3</v>
      </c>
      <c r="W55" s="36">
        <f t="shared" si="6"/>
        <v>-1.0000000000010001E-6</v>
      </c>
      <c r="X55" s="38">
        <f>Paralelo!K58</f>
        <v>-1.6098999999999999E-2</v>
      </c>
      <c r="Y55" s="38">
        <f>'Dez24'!K58</f>
        <v>-1.6098999999999999E-2</v>
      </c>
      <c r="Z55" s="36">
        <f t="shared" si="7"/>
        <v>0</v>
      </c>
      <c r="AA55" s="38">
        <f>Paralelo!O58</f>
        <v>3.2399900000000001</v>
      </c>
      <c r="AB55" s="38">
        <f>'Dez24'!O58</f>
        <v>3.239989</v>
      </c>
      <c r="AC55" s="36">
        <f t="shared" si="8"/>
        <v>1.000000000139778E-6</v>
      </c>
      <c r="AD55" s="38">
        <f>Paralelo!P58</f>
        <v>0</v>
      </c>
      <c r="AE55" s="38">
        <f>'Dez24'!P58</f>
        <v>0</v>
      </c>
      <c r="AF55" s="36">
        <f t="shared" si="9"/>
        <v>0</v>
      </c>
      <c r="AG55" s="38">
        <f>Paralelo!Q58</f>
        <v>0.150252</v>
      </c>
      <c r="AH55" s="38">
        <f>'Dez24'!Q58</f>
        <v>0.150252</v>
      </c>
      <c r="AI55" s="36">
        <f t="shared" si="10"/>
        <v>0</v>
      </c>
      <c r="AJ55" s="38">
        <f>Paralelo!R58</f>
        <v>0</v>
      </c>
      <c r="AK55" s="38">
        <f>'Dez24'!R58</f>
        <v>0</v>
      </c>
      <c r="AL55" s="36">
        <f t="shared" si="11"/>
        <v>0</v>
      </c>
      <c r="AM55" s="43">
        <f>Paralelo!S58</f>
        <v>3</v>
      </c>
      <c r="AN55" s="43">
        <f>'Dez24'!S58</f>
        <v>3</v>
      </c>
      <c r="AO55" s="42">
        <f t="shared" si="12"/>
        <v>0</v>
      </c>
    </row>
    <row r="56" spans="2:41" hidden="1" outlineLevel="1" x14ac:dyDescent="0.3">
      <c r="B56" s="37" t="s">
        <v>97</v>
      </c>
      <c r="C56" s="38">
        <f>Paralelo!D59</f>
        <v>21.513591000000002</v>
      </c>
      <c r="D56" s="38">
        <f>'Dez24'!D59</f>
        <v>13.993456999999999</v>
      </c>
      <c r="E56" s="36">
        <f t="shared" si="0"/>
        <v>7.5201340000000023</v>
      </c>
      <c r="F56" s="38">
        <f>Paralelo!E59</f>
        <v>0</v>
      </c>
      <c r="G56" s="38">
        <f>'Dez24'!E59</f>
        <v>0</v>
      </c>
      <c r="H56" s="36">
        <f t="shared" si="1"/>
        <v>0</v>
      </c>
      <c r="I56" s="36">
        <f>Paralelo!F59</f>
        <v>0</v>
      </c>
      <c r="J56" s="36">
        <f>'Dez24'!F59</f>
        <v>0</v>
      </c>
      <c r="K56" s="36">
        <f t="shared" si="2"/>
        <v>0</v>
      </c>
      <c r="L56" s="38">
        <f>Paralelo!G59</f>
        <v>9.8700000000000003E-4</v>
      </c>
      <c r="M56" s="38">
        <f>'Dez24'!G59</f>
        <v>9.8700000000000003E-4</v>
      </c>
      <c r="N56" s="36">
        <f t="shared" si="3"/>
        <v>0</v>
      </c>
      <c r="O56" s="38">
        <f>Paralelo!H59</f>
        <v>13.975781</v>
      </c>
      <c r="P56" s="38">
        <f>'Dez24'!H59</f>
        <v>13.975781</v>
      </c>
      <c r="Q56" s="36">
        <f t="shared" si="4"/>
        <v>0</v>
      </c>
      <c r="R56" s="38">
        <f>Paralelo!I59</f>
        <v>-9.101934</v>
      </c>
      <c r="S56" s="38">
        <f>'Dez24'!I59</f>
        <v>-9.0795410000000007</v>
      </c>
      <c r="T56" s="36">
        <f t="shared" si="5"/>
        <v>-2.2392999999999219E-2</v>
      </c>
      <c r="U56" s="38">
        <f>Paralelo!J59</f>
        <v>-3.9399999999999998E-4</v>
      </c>
      <c r="V56" s="38">
        <f>'Dez24'!J59</f>
        <v>-3.9399999999999998E-4</v>
      </c>
      <c r="W56" s="36">
        <f t="shared" si="6"/>
        <v>0</v>
      </c>
      <c r="X56" s="38">
        <f>Paralelo!K59</f>
        <v>-9.0791409999999999</v>
      </c>
      <c r="Y56" s="38">
        <f>'Dez24'!K59</f>
        <v>-9.0791409999999999</v>
      </c>
      <c r="Z56" s="36">
        <f t="shared" si="7"/>
        <v>0</v>
      </c>
      <c r="AA56" s="38">
        <f>Paralelo!O59</f>
        <v>10.308232</v>
      </c>
      <c r="AB56" s="38">
        <f>'Dez24'!O59</f>
        <v>2.7880980000000002</v>
      </c>
      <c r="AC56" s="36">
        <f t="shared" si="8"/>
        <v>7.5201340000000005</v>
      </c>
      <c r="AD56" s="38">
        <f>Paralelo!P59</f>
        <v>11.205359</v>
      </c>
      <c r="AE56" s="38">
        <f>'Dez24'!P59</f>
        <v>11.205359</v>
      </c>
      <c r="AF56" s="36">
        <f t="shared" si="9"/>
        <v>0</v>
      </c>
      <c r="AG56" s="38">
        <f>Paralelo!Q59</f>
        <v>0</v>
      </c>
      <c r="AH56" s="38">
        <f>'Dez24'!Q59</f>
        <v>0</v>
      </c>
      <c r="AI56" s="36">
        <f t="shared" si="10"/>
        <v>0</v>
      </c>
      <c r="AJ56" s="38">
        <f>Paralelo!R59</f>
        <v>0</v>
      </c>
      <c r="AK56" s="38">
        <f>'Dez24'!R59</f>
        <v>0</v>
      </c>
      <c r="AL56" s="36">
        <f t="shared" si="11"/>
        <v>0</v>
      </c>
      <c r="AM56" s="43">
        <f>Paralelo!S59</f>
        <v>4</v>
      </c>
      <c r="AN56" s="43">
        <f>'Dez24'!S59</f>
        <v>5</v>
      </c>
      <c r="AO56" s="42">
        <f t="shared" si="12"/>
        <v>-1</v>
      </c>
    </row>
    <row r="57" spans="2:41" hidden="1" outlineLevel="1" x14ac:dyDescent="0.3">
      <c r="B57" s="37" t="s">
        <v>98</v>
      </c>
      <c r="C57" s="38">
        <f>Paralelo!D60</f>
        <v>445.86044199999998</v>
      </c>
      <c r="D57" s="38">
        <f>'Dez24'!D60</f>
        <v>388.31571000000002</v>
      </c>
      <c r="E57" s="36">
        <f t="shared" si="0"/>
        <v>57.544731999999954</v>
      </c>
      <c r="F57" s="38">
        <f>Paralelo!E60</f>
        <v>8.1853999999999996E-2</v>
      </c>
      <c r="G57" s="38">
        <f>'Dez24'!E60</f>
        <v>8.1853999999999996E-2</v>
      </c>
      <c r="H57" s="36">
        <f t="shared" si="1"/>
        <v>0</v>
      </c>
      <c r="I57" s="36">
        <f>Paralelo!F60</f>
        <v>0.28990700000000003</v>
      </c>
      <c r="J57" s="36">
        <f>'Dez24'!F60</f>
        <v>0.289906</v>
      </c>
      <c r="K57" s="36">
        <f t="shared" si="2"/>
        <v>1.0000000000287557E-6</v>
      </c>
      <c r="L57" s="38">
        <f>Paralelo!G60</f>
        <v>9.366142</v>
      </c>
      <c r="M57" s="38">
        <f>'Dez24'!G60</f>
        <v>9.366142</v>
      </c>
      <c r="N57" s="36">
        <f t="shared" si="3"/>
        <v>0</v>
      </c>
      <c r="O57" s="38">
        <f>Paralelo!H60</f>
        <v>23.629048000000001</v>
      </c>
      <c r="P57" s="38">
        <f>'Dez24'!H60</f>
        <v>23.637136999999999</v>
      </c>
      <c r="Q57" s="36">
        <f t="shared" si="4"/>
        <v>-8.0889999999982365E-3</v>
      </c>
      <c r="R57" s="38">
        <f>Paralelo!I60</f>
        <v>-14.851226</v>
      </c>
      <c r="S57" s="38">
        <f>'Dez24'!I60</f>
        <v>-14.67357</v>
      </c>
      <c r="T57" s="36">
        <f t="shared" si="5"/>
        <v>-0.1776560000000007</v>
      </c>
      <c r="U57" s="38">
        <f>Paralelo!J60</f>
        <v>-1.1836739999999999</v>
      </c>
      <c r="V57" s="38">
        <f>'Dez24'!J60</f>
        <v>-1.183673</v>
      </c>
      <c r="W57" s="36">
        <f t="shared" si="6"/>
        <v>-9.9999999991773336E-7</v>
      </c>
      <c r="X57" s="38">
        <f>Paralelo!K60</f>
        <v>-12.960716</v>
      </c>
      <c r="Y57" s="38">
        <f>'Dez24'!K60</f>
        <v>-12.960718</v>
      </c>
      <c r="Z57" s="36">
        <f t="shared" si="7"/>
        <v>2.0000000002795559E-6</v>
      </c>
      <c r="AA57" s="38">
        <f>Paralelo!O60</f>
        <v>276.86216899999999</v>
      </c>
      <c r="AB57" s="38">
        <f>'Dez24'!O60</f>
        <v>276.87025599999998</v>
      </c>
      <c r="AC57" s="36">
        <f t="shared" si="8"/>
        <v>-8.0869999999890751E-3</v>
      </c>
      <c r="AD57" s="38">
        <f>Paralelo!P60</f>
        <v>115.536497</v>
      </c>
      <c r="AE57" s="38">
        <f>'Dez24'!P60</f>
        <v>70.735162000000003</v>
      </c>
      <c r="AF57" s="36">
        <f t="shared" si="9"/>
        <v>44.801334999999995</v>
      </c>
      <c r="AG57" s="38">
        <f>Paralelo!Q60</f>
        <v>53.461775000000003</v>
      </c>
      <c r="AH57" s="38">
        <f>'Dez24'!Q60</f>
        <v>40.710292000000003</v>
      </c>
      <c r="AI57" s="36">
        <f t="shared" si="10"/>
        <v>12.751483</v>
      </c>
      <c r="AJ57" s="38">
        <f>Paralelo!R60</f>
        <v>0</v>
      </c>
      <c r="AK57" s="38">
        <f>'Dez24'!R60</f>
        <v>0</v>
      </c>
      <c r="AL57" s="36">
        <f t="shared" si="11"/>
        <v>0</v>
      </c>
      <c r="AM57" s="43">
        <f>Paralelo!S60</f>
        <v>3</v>
      </c>
      <c r="AN57" s="43">
        <f>'Dez24'!S60</f>
        <v>3</v>
      </c>
      <c r="AO57" s="42">
        <f t="shared" si="12"/>
        <v>0</v>
      </c>
    </row>
    <row r="58" spans="2:41" hidden="1" outlineLevel="1" x14ac:dyDescent="0.3">
      <c r="B58" s="37" t="s">
        <v>99</v>
      </c>
      <c r="C58" s="38">
        <f>Paralelo!D61</f>
        <v>2.4261249999999999</v>
      </c>
      <c r="D58" s="38">
        <f>'Dez24'!D61</f>
        <v>2.426126</v>
      </c>
      <c r="E58" s="36">
        <f t="shared" si="0"/>
        <v>-1.000000000139778E-6</v>
      </c>
      <c r="F58" s="38">
        <f>Paralelo!E61</f>
        <v>0</v>
      </c>
      <c r="G58" s="38">
        <f>'Dez24'!E61</f>
        <v>0</v>
      </c>
      <c r="H58" s="36">
        <f t="shared" si="1"/>
        <v>0</v>
      </c>
      <c r="I58" s="36">
        <f>Paralelo!F61</f>
        <v>0</v>
      </c>
      <c r="J58" s="36">
        <f>'Dez24'!F61</f>
        <v>0</v>
      </c>
      <c r="K58" s="36">
        <f t="shared" si="2"/>
        <v>0</v>
      </c>
      <c r="L58" s="38">
        <f>Paralelo!G61</f>
        <v>0.65578999999999998</v>
      </c>
      <c r="M58" s="38">
        <f>'Dez24'!G61</f>
        <v>0.65579100000000001</v>
      </c>
      <c r="N58" s="36">
        <f t="shared" si="3"/>
        <v>-1.0000000000287557E-6</v>
      </c>
      <c r="O58" s="38">
        <f>Paralelo!H61</f>
        <v>0.663161</v>
      </c>
      <c r="P58" s="38">
        <f>'Dez24'!H61</f>
        <v>0.663161</v>
      </c>
      <c r="Q58" s="36">
        <f t="shared" si="4"/>
        <v>0</v>
      </c>
      <c r="R58" s="38">
        <f>Paralelo!I61</f>
        <v>-0.45120300000000002</v>
      </c>
      <c r="S58" s="38">
        <f>'Dez24'!I61</f>
        <v>-0.45120300000000002</v>
      </c>
      <c r="T58" s="36">
        <f t="shared" si="5"/>
        <v>0</v>
      </c>
      <c r="U58" s="38">
        <f>Paralelo!J61</f>
        <v>-4.3889999999999998E-2</v>
      </c>
      <c r="V58" s="38">
        <f>'Dez24'!J61</f>
        <v>-4.3889999999999998E-2</v>
      </c>
      <c r="W58" s="36">
        <f t="shared" si="6"/>
        <v>0</v>
      </c>
      <c r="X58" s="38">
        <f>Paralelo!K61</f>
        <v>-0.40159600000000001</v>
      </c>
      <c r="Y58" s="38">
        <f>'Dez24'!K61</f>
        <v>-0.40159600000000001</v>
      </c>
      <c r="Z58" s="36">
        <f t="shared" si="7"/>
        <v>0</v>
      </c>
      <c r="AA58" s="38">
        <f>Paralelo!O61</f>
        <v>2.4261249999999999</v>
      </c>
      <c r="AB58" s="38">
        <f>'Dez24'!O61</f>
        <v>2.426126</v>
      </c>
      <c r="AC58" s="36">
        <f t="shared" si="8"/>
        <v>-1.000000000139778E-6</v>
      </c>
      <c r="AD58" s="38">
        <f>Paralelo!P61</f>
        <v>0</v>
      </c>
      <c r="AE58" s="38">
        <f>'Dez24'!P61</f>
        <v>0</v>
      </c>
      <c r="AF58" s="36">
        <f t="shared" si="9"/>
        <v>0</v>
      </c>
      <c r="AG58" s="38">
        <f>Paralelo!Q61</f>
        <v>0</v>
      </c>
      <c r="AH58" s="38">
        <f>'Dez24'!Q61</f>
        <v>0</v>
      </c>
      <c r="AI58" s="36">
        <f t="shared" si="10"/>
        <v>0</v>
      </c>
      <c r="AJ58" s="38">
        <f>Paralelo!R61</f>
        <v>0</v>
      </c>
      <c r="AK58" s="38">
        <f>'Dez24'!R61</f>
        <v>0</v>
      </c>
      <c r="AL58" s="36">
        <f t="shared" si="11"/>
        <v>0</v>
      </c>
      <c r="AM58" s="43">
        <f>Paralelo!S61</f>
        <v>2</v>
      </c>
      <c r="AN58" s="43">
        <f>'Dez24'!S61</f>
        <v>2</v>
      </c>
      <c r="AO58" s="42">
        <f t="shared" si="12"/>
        <v>0</v>
      </c>
    </row>
    <row r="59" spans="2:41" collapsed="1" x14ac:dyDescent="0.3">
      <c r="B59" s="35" t="s">
        <v>100</v>
      </c>
      <c r="C59" s="36">
        <f>Paralelo!D62</f>
        <v>1110.4605039999999</v>
      </c>
      <c r="D59" s="36">
        <f>'Dez24'!D62</f>
        <v>1192.716831</v>
      </c>
      <c r="E59" s="36">
        <f t="shared" si="0"/>
        <v>-82.256327000000056</v>
      </c>
      <c r="F59" s="36">
        <f>Paralelo!E62</f>
        <v>0</v>
      </c>
      <c r="G59" s="36">
        <f>'Dez24'!E62</f>
        <v>0</v>
      </c>
      <c r="H59" s="36">
        <f t="shared" si="1"/>
        <v>0</v>
      </c>
      <c r="I59" s="36">
        <f>Paralelo!F62</f>
        <v>2.0368000000000001E-2</v>
      </c>
      <c r="J59" s="36">
        <f>'Dez24'!F62</f>
        <v>2.0368000000000001E-2</v>
      </c>
      <c r="K59" s="36">
        <f t="shared" si="2"/>
        <v>0</v>
      </c>
      <c r="L59" s="36">
        <f>Paralelo!G62</f>
        <v>96.265905000000004</v>
      </c>
      <c r="M59" s="36">
        <f>'Dez24'!G62</f>
        <v>96.265878999999998</v>
      </c>
      <c r="N59" s="36">
        <f t="shared" si="3"/>
        <v>2.6000000005410584E-5</v>
      </c>
      <c r="O59" s="36">
        <f>Paralelo!H62</f>
        <v>98.079538999999997</v>
      </c>
      <c r="P59" s="36">
        <f>'Dez24'!H62</f>
        <v>98.141729999999995</v>
      </c>
      <c r="Q59" s="36">
        <f t="shared" si="4"/>
        <v>-6.2190999999998553E-2</v>
      </c>
      <c r="R59" s="36">
        <f>Paralelo!I62</f>
        <v>-38.691217999999999</v>
      </c>
      <c r="S59" s="36">
        <f>'Dez24'!I62</f>
        <v>-73.927830999999998</v>
      </c>
      <c r="T59" s="36">
        <f t="shared" si="5"/>
        <v>35.236612999999998</v>
      </c>
      <c r="U59" s="36">
        <f>Paralelo!J62</f>
        <v>-5.5501120000000004</v>
      </c>
      <c r="V59" s="36">
        <f>'Dez24'!J62</f>
        <v>-5.5501139999999998</v>
      </c>
      <c r="W59" s="36">
        <f t="shared" si="6"/>
        <v>1.9999999993913775E-6</v>
      </c>
      <c r="X59" s="36">
        <f>Paralelo!K62</f>
        <v>-30.812778999999999</v>
      </c>
      <c r="Y59" s="36">
        <f>'Dez24'!K62</f>
        <v>-65.871491000000006</v>
      </c>
      <c r="Z59" s="36">
        <f t="shared" si="7"/>
        <v>35.058712000000007</v>
      </c>
      <c r="AA59" s="36">
        <f>Paralelo!O62</f>
        <v>463.91691600000001</v>
      </c>
      <c r="AB59" s="36">
        <f>'Dez24'!O62</f>
        <v>532.12911199999996</v>
      </c>
      <c r="AC59" s="36">
        <f t="shared" si="8"/>
        <v>-68.212195999999949</v>
      </c>
      <c r="AD59" s="36">
        <f>Paralelo!P62</f>
        <v>241.85521399999999</v>
      </c>
      <c r="AE59" s="36">
        <f>'Dez24'!P62</f>
        <v>241.855166</v>
      </c>
      <c r="AF59" s="36">
        <f t="shared" si="9"/>
        <v>4.7999999992498488E-5</v>
      </c>
      <c r="AG59" s="36">
        <f>Paralelo!Q62</f>
        <v>340.897516</v>
      </c>
      <c r="AH59" s="36">
        <f>'Dez24'!Q62</f>
        <v>354.941823</v>
      </c>
      <c r="AI59" s="36">
        <f t="shared" si="10"/>
        <v>-14.044307000000003</v>
      </c>
      <c r="AJ59" s="36">
        <f>Paralelo!R62</f>
        <v>63.790857000000003</v>
      </c>
      <c r="AK59" s="36">
        <f>'Dez24'!R62</f>
        <v>63.790730000000003</v>
      </c>
      <c r="AL59" s="36">
        <f t="shared" si="11"/>
        <v>1.2699999999910005E-4</v>
      </c>
      <c r="AM59" s="42">
        <f>Paralelo!S62</f>
        <v>8</v>
      </c>
      <c r="AN59" s="42">
        <f>'Dez24'!S62</f>
        <v>8</v>
      </c>
      <c r="AO59" s="42">
        <f t="shared" si="12"/>
        <v>0</v>
      </c>
    </row>
    <row r="60" spans="2:41" x14ac:dyDescent="0.3">
      <c r="B60" s="35" t="s">
        <v>101</v>
      </c>
      <c r="C60" s="36">
        <f>Paralelo!D63</f>
        <v>1166.2973770000001</v>
      </c>
      <c r="D60" s="36">
        <f>'Dez24'!D63</f>
        <v>1116.2909</v>
      </c>
      <c r="E60" s="36">
        <f t="shared" si="0"/>
        <v>50.006477000000132</v>
      </c>
      <c r="F60" s="36">
        <f>Paralelo!E63</f>
        <v>0</v>
      </c>
      <c r="G60" s="36">
        <f>'Dez24'!E63</f>
        <v>0</v>
      </c>
      <c r="H60" s="36">
        <f t="shared" si="1"/>
        <v>0</v>
      </c>
      <c r="I60" s="36">
        <f>Paralelo!F63</f>
        <v>0</v>
      </c>
      <c r="J60" s="36">
        <f>'Dez24'!F63</f>
        <v>0</v>
      </c>
      <c r="K60" s="36">
        <f t="shared" si="2"/>
        <v>0</v>
      </c>
      <c r="L60" s="36">
        <f>Paralelo!G63</f>
        <v>124.14765199999999</v>
      </c>
      <c r="M60" s="36">
        <f>'Dez24'!G63</f>
        <v>124.147603</v>
      </c>
      <c r="N60" s="36">
        <f t="shared" si="3"/>
        <v>4.899999998997373E-5</v>
      </c>
      <c r="O60" s="36">
        <f>Paralelo!H63</f>
        <v>47.288507000000003</v>
      </c>
      <c r="P60" s="36">
        <f>'Dez24'!H63</f>
        <v>47.495787</v>
      </c>
      <c r="Q60" s="36">
        <f t="shared" si="4"/>
        <v>-0.20727999999999724</v>
      </c>
      <c r="R60" s="36">
        <f>Paralelo!I63</f>
        <v>-40.452142000000002</v>
      </c>
      <c r="S60" s="36">
        <f>'Dez24'!I63</f>
        <v>-40.371695000000003</v>
      </c>
      <c r="T60" s="36">
        <f t="shared" si="5"/>
        <v>-8.0446999999999491E-2</v>
      </c>
      <c r="U60" s="36">
        <f>Paralelo!J63</f>
        <v>-5.0594809999999999</v>
      </c>
      <c r="V60" s="36">
        <f>'Dez24'!J63</f>
        <v>-5.0594760000000001</v>
      </c>
      <c r="W60" s="36">
        <f t="shared" si="6"/>
        <v>-4.9999999998107114E-6</v>
      </c>
      <c r="X60" s="36">
        <f>Paralelo!K63</f>
        <v>-33.569153999999997</v>
      </c>
      <c r="Y60" s="36">
        <f>'Dez24'!K63</f>
        <v>-33.610795000000003</v>
      </c>
      <c r="Z60" s="36">
        <f t="shared" si="7"/>
        <v>4.164100000000559E-2</v>
      </c>
      <c r="AA60" s="36">
        <f>Paralelo!O63</f>
        <v>632.81924000000004</v>
      </c>
      <c r="AB60" s="36">
        <f>'Dez24'!O63</f>
        <v>582.81310099999996</v>
      </c>
      <c r="AC60" s="36">
        <f t="shared" si="8"/>
        <v>50.006139000000076</v>
      </c>
      <c r="AD60" s="36">
        <f>Paralelo!P63</f>
        <v>326.17756300000002</v>
      </c>
      <c r="AE60" s="36">
        <f>'Dez24'!P63</f>
        <v>326.17733700000002</v>
      </c>
      <c r="AF60" s="36">
        <f t="shared" si="9"/>
        <v>2.2599999999783904E-4</v>
      </c>
      <c r="AG60" s="36">
        <f>Paralelo!Q63</f>
        <v>207.169398</v>
      </c>
      <c r="AH60" s="36">
        <f>'Dez24'!Q63</f>
        <v>207.169286</v>
      </c>
      <c r="AI60" s="36">
        <f t="shared" si="10"/>
        <v>1.1200000000144428E-4</v>
      </c>
      <c r="AJ60" s="36">
        <f>Paralelo!R63</f>
        <v>0.13117599999999999</v>
      </c>
      <c r="AK60" s="36">
        <f>'Dez24'!R63</f>
        <v>0.13117599999999999</v>
      </c>
      <c r="AL60" s="36">
        <f t="shared" si="11"/>
        <v>0</v>
      </c>
      <c r="AM60" s="42">
        <f>Paralelo!S63</f>
        <v>6</v>
      </c>
      <c r="AN60" s="42">
        <f>'Dez24'!S63</f>
        <v>6</v>
      </c>
      <c r="AO60" s="42">
        <f t="shared" si="12"/>
        <v>0</v>
      </c>
    </row>
    <row r="61" spans="2:41" x14ac:dyDescent="0.3">
      <c r="B61" s="35" t="s">
        <v>102</v>
      </c>
      <c r="C61" s="36">
        <f>Paralelo!D65</f>
        <v>8.7186590000000006</v>
      </c>
      <c r="D61" s="36">
        <f>'Dez24'!D65</f>
        <v>4.1165900000000004</v>
      </c>
      <c r="E61" s="36">
        <f t="shared" si="0"/>
        <v>4.6020690000000002</v>
      </c>
      <c r="F61" s="36">
        <f>Paralelo!E65</f>
        <v>0</v>
      </c>
      <c r="G61" s="36">
        <f>'Dez24'!E65</f>
        <v>0</v>
      </c>
      <c r="H61" s="36">
        <f t="shared" si="1"/>
        <v>0</v>
      </c>
      <c r="I61" s="36">
        <f>Paralelo!F65</f>
        <v>9.7E-5</v>
      </c>
      <c r="J61" s="36">
        <f>'Dez24'!F65</f>
        <v>3.2170999999999998E-2</v>
      </c>
      <c r="K61" s="36">
        <f t="shared" si="2"/>
        <v>-3.2073999999999998E-2</v>
      </c>
      <c r="L61" s="36">
        <f>Paralelo!G65</f>
        <v>0.74523200000000001</v>
      </c>
      <c r="M61" s="36">
        <f>'Dez24'!G65</f>
        <v>0.74523399999999995</v>
      </c>
      <c r="N61" s="36">
        <f t="shared" si="3"/>
        <v>-1.999999999946489E-6</v>
      </c>
      <c r="O61" s="36">
        <f>Paralelo!H65</f>
        <v>4.9536999999999998E-2</v>
      </c>
      <c r="P61" s="36">
        <f>'Dez24'!H65</f>
        <v>4.9535999999999997E-2</v>
      </c>
      <c r="Q61" s="36">
        <f t="shared" si="4"/>
        <v>1.0000000000010001E-6</v>
      </c>
      <c r="R61" s="36">
        <f>Paralelo!I65</f>
        <v>-0.44827800000000001</v>
      </c>
      <c r="S61" s="36">
        <f>'Dez24'!I65</f>
        <v>-0.43586399999999997</v>
      </c>
      <c r="T61" s="36">
        <f t="shared" si="5"/>
        <v>-1.2414000000000036E-2</v>
      </c>
      <c r="U61" s="36">
        <f>Paralelo!J65</f>
        <v>-5.9659999999999998E-2</v>
      </c>
      <c r="V61" s="36">
        <f>'Dez24'!J65</f>
        <v>-5.9659999999999998E-2</v>
      </c>
      <c r="W61" s="36">
        <f t="shared" si="6"/>
        <v>0</v>
      </c>
      <c r="X61" s="36">
        <f>Paralelo!K65</f>
        <v>-3.295E-2</v>
      </c>
      <c r="Y61" s="36">
        <f>'Dez24'!K65</f>
        <v>-3.295E-2</v>
      </c>
      <c r="Z61" s="36">
        <f t="shared" si="7"/>
        <v>0</v>
      </c>
      <c r="AA61" s="36">
        <f>Paralelo!O65</f>
        <v>8.0634689999999996</v>
      </c>
      <c r="AB61" s="36">
        <f>'Dez24'!O65</f>
        <v>1.789283</v>
      </c>
      <c r="AC61" s="36">
        <f t="shared" si="8"/>
        <v>6.2741859999999994</v>
      </c>
      <c r="AD61" s="36">
        <f>Paralelo!P65</f>
        <v>0.336785</v>
      </c>
      <c r="AE61" s="36">
        <f>'Dez24'!P65</f>
        <v>0.336785</v>
      </c>
      <c r="AF61" s="36">
        <f t="shared" si="9"/>
        <v>0</v>
      </c>
      <c r="AG61" s="36">
        <f>Paralelo!Q65</f>
        <v>0.31840499999999999</v>
      </c>
      <c r="AH61" s="36">
        <f>'Dez24'!Q65</f>
        <v>0.31840499999999999</v>
      </c>
      <c r="AI61" s="36">
        <f t="shared" si="10"/>
        <v>0</v>
      </c>
      <c r="AJ61" s="36">
        <f>Paralelo!R65</f>
        <v>0</v>
      </c>
      <c r="AK61" s="36">
        <f>'Dez24'!R65</f>
        <v>1.6721170000000001</v>
      </c>
      <c r="AL61" s="36">
        <f t="shared" si="11"/>
        <v>-1.6721170000000001</v>
      </c>
      <c r="AM61" s="42">
        <f>Paralelo!S65</f>
        <v>4</v>
      </c>
      <c r="AN61" s="42">
        <f>'Dez24'!S65</f>
        <v>3</v>
      </c>
      <c r="AO61" s="42">
        <f t="shared" si="12"/>
        <v>1</v>
      </c>
    </row>
    <row r="62" spans="2:41" x14ac:dyDescent="0.3">
      <c r="B62" s="35" t="s">
        <v>103</v>
      </c>
      <c r="C62" s="36">
        <f>Paralelo!D66</f>
        <v>2859.0787399999999</v>
      </c>
      <c r="D62" s="36">
        <f>'Dez24'!D66</f>
        <v>3007.3322939999998</v>
      </c>
      <c r="E62" s="36">
        <f t="shared" si="0"/>
        <v>-148.25355399999989</v>
      </c>
      <c r="F62" s="36">
        <f>Paralelo!E66</f>
        <v>348.99050799999998</v>
      </c>
      <c r="G62" s="36">
        <f>'Dez24'!E66</f>
        <v>355.08484199999998</v>
      </c>
      <c r="H62" s="36">
        <f t="shared" si="1"/>
        <v>-6.0943340000000035</v>
      </c>
      <c r="I62" s="36">
        <f>Paralelo!F66</f>
        <v>167.365219</v>
      </c>
      <c r="J62" s="36">
        <f>'Dez24'!F66</f>
        <v>167.368762</v>
      </c>
      <c r="K62" s="36">
        <f t="shared" si="2"/>
        <v>-3.5430000000076234E-3</v>
      </c>
      <c r="L62" s="36">
        <f>Paralelo!G66</f>
        <v>192.06056799999999</v>
      </c>
      <c r="M62" s="36">
        <f>'Dez24'!G66</f>
        <v>192.060575</v>
      </c>
      <c r="N62" s="36">
        <f t="shared" si="3"/>
        <v>-7.0000000107484084E-6</v>
      </c>
      <c r="O62" s="36">
        <f>Paralelo!H66</f>
        <v>51.627654999999997</v>
      </c>
      <c r="P62" s="36">
        <f>'Dez24'!H66</f>
        <v>51.235286000000002</v>
      </c>
      <c r="Q62" s="36">
        <f t="shared" si="4"/>
        <v>0.39236899999999508</v>
      </c>
      <c r="R62" s="36">
        <f>Paralelo!I66</f>
        <v>-96.122107999999997</v>
      </c>
      <c r="S62" s="36">
        <f>'Dez24'!I66</f>
        <v>-61.093088999999999</v>
      </c>
      <c r="T62" s="36">
        <f t="shared" si="5"/>
        <v>-35.029018999999998</v>
      </c>
      <c r="U62" s="36">
        <f>Paralelo!J66</f>
        <v>-20.352345</v>
      </c>
      <c r="V62" s="36">
        <f>'Dez24'!J66</f>
        <v>-20.352352</v>
      </c>
      <c r="W62" s="36">
        <f t="shared" si="6"/>
        <v>7.0000000000902673E-6</v>
      </c>
      <c r="X62" s="36">
        <f>Paralelo!K66</f>
        <v>-68.567654000000005</v>
      </c>
      <c r="Y62" s="36">
        <f>'Dez24'!K66</f>
        <v>-33.368729000000002</v>
      </c>
      <c r="Z62" s="36">
        <f t="shared" si="7"/>
        <v>-35.198925000000003</v>
      </c>
      <c r="AA62" s="36">
        <f>Paralelo!O66</f>
        <v>2277.2265670000002</v>
      </c>
      <c r="AB62" s="36">
        <f>'Dez24'!O66</f>
        <v>2320.7191590000002</v>
      </c>
      <c r="AC62" s="36">
        <f t="shared" si="8"/>
        <v>-43.492592000000059</v>
      </c>
      <c r="AD62" s="36">
        <f>Paralelo!P66</f>
        <v>370.31950499999999</v>
      </c>
      <c r="AE62" s="36">
        <f>'Dez24'!P66</f>
        <v>370.31939799999998</v>
      </c>
      <c r="AF62" s="36">
        <f t="shared" si="9"/>
        <v>1.0700000001406806E-4</v>
      </c>
      <c r="AG62" s="36">
        <f>Paralelo!Q66</f>
        <v>206.38399999999999</v>
      </c>
      <c r="AH62" s="36">
        <f>'Dez24'!Q66</f>
        <v>341.44420600000001</v>
      </c>
      <c r="AI62" s="36">
        <f t="shared" si="10"/>
        <v>-135.06020600000002</v>
      </c>
      <c r="AJ62" s="36">
        <f>Paralelo!R66</f>
        <v>5.1486679999999998</v>
      </c>
      <c r="AK62" s="36">
        <f>'Dez24'!R66</f>
        <v>-25.150469000000001</v>
      </c>
      <c r="AL62" s="36">
        <f t="shared" si="11"/>
        <v>30.299137000000002</v>
      </c>
      <c r="AM62" s="42">
        <f>Paralelo!S66</f>
        <v>3</v>
      </c>
      <c r="AN62" s="42">
        <f>'Dez24'!S66</f>
        <v>3</v>
      </c>
      <c r="AO62" s="42">
        <f t="shared" si="12"/>
        <v>0</v>
      </c>
    </row>
    <row r="63" spans="2:41" x14ac:dyDescent="0.3">
      <c r="B63" s="35" t="s">
        <v>104</v>
      </c>
      <c r="C63" s="36">
        <f>Paralelo!D67</f>
        <v>12289.771028000003</v>
      </c>
      <c r="D63" s="36">
        <f>'Dez24'!D67</f>
        <v>12289.409627000001</v>
      </c>
      <c r="E63" s="36">
        <f t="shared" si="0"/>
        <v>0.36140100000193343</v>
      </c>
      <c r="F63" s="36">
        <f>Paralelo!E67</f>
        <v>424.49716799999999</v>
      </c>
      <c r="G63" s="36">
        <f>'Dez24'!E67</f>
        <v>424.49716899999999</v>
      </c>
      <c r="H63" s="36">
        <f t="shared" si="1"/>
        <v>-9.9999999747524271E-7</v>
      </c>
      <c r="I63" s="36">
        <f>Paralelo!F67</f>
        <v>248.52827600000001</v>
      </c>
      <c r="J63" s="36">
        <f>'Dez24'!F67</f>
        <v>202.04889299999999</v>
      </c>
      <c r="K63" s="36">
        <f t="shared" si="2"/>
        <v>46.479383000000013</v>
      </c>
      <c r="L63" s="36">
        <f>Paralelo!G67</f>
        <v>1100.6799040000001</v>
      </c>
      <c r="M63" s="36">
        <f>'Dez24'!G67</f>
        <v>1100.67985</v>
      </c>
      <c r="N63" s="36">
        <f t="shared" si="3"/>
        <v>5.4000000091036782E-5</v>
      </c>
      <c r="O63" s="36">
        <f>Paralelo!H67</f>
        <v>476.88842099999999</v>
      </c>
      <c r="P63" s="36">
        <f>'Dez24'!H67</f>
        <v>476.88427999999999</v>
      </c>
      <c r="Q63" s="36">
        <f t="shared" si="4"/>
        <v>4.1410000000041691E-3</v>
      </c>
      <c r="R63" s="36">
        <f>Paralelo!I67</f>
        <v>-404.58183199999996</v>
      </c>
      <c r="S63" s="36">
        <f>'Dez24'!I67</f>
        <v>-404.57941299999999</v>
      </c>
      <c r="T63" s="36">
        <f t="shared" si="5"/>
        <v>-2.4189999999748579E-3</v>
      </c>
      <c r="U63" s="36">
        <f>Paralelo!J67</f>
        <v>-68.470968999999997</v>
      </c>
      <c r="V63" s="36">
        <f>'Dez24'!J67</f>
        <v>-68.470967000000002</v>
      </c>
      <c r="W63" s="36">
        <f t="shared" si="6"/>
        <v>-1.9999999949504854E-6</v>
      </c>
      <c r="X63" s="36">
        <f>Paralelo!K67</f>
        <v>-307.783545</v>
      </c>
      <c r="Y63" s="36">
        <f>'Dez24'!K67</f>
        <v>-307.78318400000001</v>
      </c>
      <c r="Z63" s="36">
        <f t="shared" si="7"/>
        <v>-3.6099999999805732E-4</v>
      </c>
      <c r="AA63" s="36">
        <f>Paralelo!O67</f>
        <v>9299.8323459999992</v>
      </c>
      <c r="AB63" s="36">
        <f>'Dez24'!O67</f>
        <v>9328.0988660000003</v>
      </c>
      <c r="AC63" s="36">
        <f t="shared" si="8"/>
        <v>-28.266520000001037</v>
      </c>
      <c r="AD63" s="36">
        <f>Paralelo!P67</f>
        <v>1701.106914</v>
      </c>
      <c r="AE63" s="36">
        <f>'Dez24'!P67</f>
        <v>1701.106464</v>
      </c>
      <c r="AF63" s="36">
        <f t="shared" si="9"/>
        <v>4.500000000007276E-4</v>
      </c>
      <c r="AG63" s="36">
        <f>Paralelo!Q67</f>
        <v>1219.2971500000001</v>
      </c>
      <c r="AH63" s="36">
        <f>'Dez24'!Q67</f>
        <v>1219.296893</v>
      </c>
      <c r="AI63" s="36">
        <f t="shared" si="10"/>
        <v>2.5700000014694524E-4</v>
      </c>
      <c r="AJ63" s="36">
        <f>Paralelo!R67</f>
        <v>69.534619000000006</v>
      </c>
      <c r="AK63" s="36">
        <f>'Dez24'!R67</f>
        <v>40.907404</v>
      </c>
      <c r="AL63" s="36">
        <f t="shared" si="11"/>
        <v>28.627215000000007</v>
      </c>
      <c r="AM63" s="42">
        <f>Paralelo!S67</f>
        <v>4</v>
      </c>
      <c r="AN63" s="42">
        <f>'Dez24'!S67</f>
        <v>4</v>
      </c>
      <c r="AO63" s="42">
        <f t="shared" si="12"/>
        <v>0</v>
      </c>
    </row>
    <row r="64" spans="2:41" x14ac:dyDescent="0.3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64"/>
  <sheetViews>
    <sheetView showGridLines="0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ColWidth="0" defaultRowHeight="15" customHeight="1" zeroHeight="1" outlineLevelRow="1" x14ac:dyDescent="0.3"/>
  <cols>
    <col min="1" max="1" width="3.6640625" customWidth="1"/>
    <col min="2" max="2" width="83.33203125" customWidth="1"/>
    <col min="3" max="3" width="9.88671875" bestFit="1" customWidth="1"/>
    <col min="4" max="4" width="11.6640625" bestFit="1" customWidth="1"/>
    <col min="5" max="5" width="9.88671875" bestFit="1" customWidth="1"/>
    <col min="6" max="6" width="11.44140625" bestFit="1" customWidth="1"/>
    <col min="7" max="7" width="6.44140625" customWidth="1"/>
    <col min="8" max="8" width="7" customWidth="1"/>
    <col min="9" max="9" width="12" bestFit="1" customWidth="1"/>
    <col min="10" max="10" width="7.109375" bestFit="1" customWidth="1"/>
    <col min="11" max="11" width="11.44140625" bestFit="1" customWidth="1"/>
    <col min="12" max="12" width="6.44140625" customWidth="1"/>
    <col min="13" max="13" width="7.109375" customWidth="1"/>
    <col min="14" max="14" width="11.5546875" bestFit="1" customWidth="1"/>
    <col min="15" max="15" width="7.6640625" bestFit="1" customWidth="1"/>
    <col min="16" max="16" width="12" bestFit="1" customWidth="1"/>
    <col min="17" max="17" width="6.44140625" customWidth="1"/>
    <col min="18" max="18" width="8" customWidth="1"/>
    <col min="19" max="19" width="11.6640625" bestFit="1" customWidth="1"/>
    <col min="20" max="20" width="8" customWidth="1"/>
    <col min="21" max="21" width="11.44140625" bestFit="1" customWidth="1"/>
    <col min="22" max="22" width="6.44140625" customWidth="1"/>
    <col min="23" max="23" width="7" customWidth="1"/>
    <col min="24" max="24" width="11.6640625" bestFit="1" customWidth="1"/>
    <col min="25" max="25" width="7.109375" bestFit="1" customWidth="1"/>
    <col min="26" max="26" width="11.44140625" bestFit="1" customWidth="1"/>
    <col min="27" max="27" width="6.44140625" customWidth="1"/>
    <col min="28" max="28" width="7.6640625" bestFit="1" customWidth="1"/>
    <col min="29" max="29" width="11.6640625" bestFit="1" customWidth="1"/>
    <col min="30" max="30" width="7.6640625" bestFit="1" customWidth="1"/>
    <col min="31" max="31" width="11.44140625" bestFit="1" customWidth="1"/>
    <col min="32" max="32" width="6.44140625" customWidth="1"/>
    <col min="33" max="33" width="7.33203125" customWidth="1"/>
    <col min="34" max="34" width="11.6640625" bestFit="1" customWidth="1"/>
    <col min="35" max="35" width="7.33203125" customWidth="1"/>
    <col min="36" max="36" width="11.44140625" bestFit="1" customWidth="1"/>
    <col min="37" max="37" width="6.44140625" customWidth="1"/>
    <col min="38" max="38" width="7.6640625" bestFit="1" customWidth="1"/>
    <col min="39" max="39" width="11.6640625" bestFit="1" customWidth="1"/>
    <col min="40" max="40" width="7.6640625" bestFit="1" customWidth="1"/>
    <col min="41" max="41" width="11.5546875" bestFit="1" customWidth="1"/>
    <col min="42" max="42" width="6.33203125" bestFit="1" customWidth="1"/>
    <col min="43" max="43" width="3.6640625" customWidth="1"/>
    <col min="44" max="16384" width="9.109375" hidden="1"/>
  </cols>
  <sheetData>
    <row r="1" spans="1:43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 x14ac:dyDescent="0.3"/>
    <row r="8" spans="1:43" ht="14.4" x14ac:dyDescent="0.3">
      <c r="C8" s="6" t="s">
        <v>36</v>
      </c>
      <c r="D8" s="6"/>
      <c r="E8" s="7"/>
      <c r="F8" s="7"/>
      <c r="G8" s="7"/>
      <c r="H8" s="6" t="s">
        <v>37</v>
      </c>
      <c r="I8" s="6"/>
      <c r="J8" s="7"/>
      <c r="K8" s="7"/>
      <c r="L8" s="7"/>
      <c r="M8" s="39" t="s">
        <v>38</v>
      </c>
      <c r="N8" s="39"/>
      <c r="O8" s="7"/>
      <c r="P8" s="7"/>
      <c r="Q8" s="7"/>
      <c r="R8" s="39" t="s">
        <v>105</v>
      </c>
      <c r="S8" s="39"/>
      <c r="T8" s="7"/>
      <c r="U8" s="7"/>
      <c r="V8" s="7"/>
      <c r="W8" s="39" t="s">
        <v>40</v>
      </c>
      <c r="X8" s="39"/>
      <c r="Y8" s="7"/>
      <c r="Z8" s="7"/>
      <c r="AA8" s="7"/>
      <c r="AB8" s="39" t="s">
        <v>41</v>
      </c>
      <c r="AC8" s="39"/>
      <c r="AD8" s="7"/>
      <c r="AE8" s="7"/>
      <c r="AF8" s="7"/>
      <c r="AG8" s="39" t="s">
        <v>39</v>
      </c>
      <c r="AH8" s="39"/>
      <c r="AI8" s="7"/>
      <c r="AJ8" s="7"/>
      <c r="AK8" s="7"/>
      <c r="AL8" s="39" t="s">
        <v>40</v>
      </c>
      <c r="AM8" s="39"/>
      <c r="AN8" s="7"/>
      <c r="AO8" s="7"/>
      <c r="AP8" s="7"/>
    </row>
    <row r="9" spans="1:43" ht="14.4" x14ac:dyDescent="0.3">
      <c r="B9" s="5" t="s">
        <v>47</v>
      </c>
      <c r="C9" s="57" t="s">
        <v>48</v>
      </c>
      <c r="D9" s="57" t="s">
        <v>106</v>
      </c>
      <c r="E9" s="57" t="s">
        <v>49</v>
      </c>
      <c r="F9" s="57" t="s">
        <v>107</v>
      </c>
      <c r="G9" s="34" t="s">
        <v>108</v>
      </c>
      <c r="H9" s="57" t="s">
        <v>48</v>
      </c>
      <c r="I9" s="57" t="s">
        <v>106</v>
      </c>
      <c r="J9" s="57" t="s">
        <v>49</v>
      </c>
      <c r="K9" s="57" t="s">
        <v>107</v>
      </c>
      <c r="L9" s="34" t="s">
        <v>108</v>
      </c>
      <c r="M9" s="57" t="s">
        <v>48</v>
      </c>
      <c r="N9" s="57" t="s">
        <v>106</v>
      </c>
      <c r="O9" s="57" t="s">
        <v>49</v>
      </c>
      <c r="P9" s="57" t="s">
        <v>107</v>
      </c>
      <c r="Q9" s="34" t="s">
        <v>108</v>
      </c>
      <c r="R9" s="57" t="s">
        <v>48</v>
      </c>
      <c r="S9" s="57" t="s">
        <v>106</v>
      </c>
      <c r="T9" s="57" t="s">
        <v>49</v>
      </c>
      <c r="U9" s="57" t="s">
        <v>107</v>
      </c>
      <c r="V9" s="34" t="s">
        <v>108</v>
      </c>
      <c r="W9" s="57" t="s">
        <v>48</v>
      </c>
      <c r="X9" s="57" t="s">
        <v>106</v>
      </c>
      <c r="Y9" s="57" t="s">
        <v>49</v>
      </c>
      <c r="Z9" s="57" t="s">
        <v>107</v>
      </c>
      <c r="AA9" s="34" t="s">
        <v>108</v>
      </c>
      <c r="AB9" s="57" t="s">
        <v>48</v>
      </c>
      <c r="AC9" s="57" t="s">
        <v>106</v>
      </c>
      <c r="AD9" s="57" t="s">
        <v>49</v>
      </c>
      <c r="AE9" s="57" t="s">
        <v>107</v>
      </c>
      <c r="AF9" s="34" t="s">
        <v>108</v>
      </c>
      <c r="AG9" s="57" t="s">
        <v>48</v>
      </c>
      <c r="AH9" s="57" t="s">
        <v>106</v>
      </c>
      <c r="AI9" s="57" t="s">
        <v>49</v>
      </c>
      <c r="AJ9" s="57" t="s">
        <v>107</v>
      </c>
      <c r="AK9" s="34" t="s">
        <v>108</v>
      </c>
      <c r="AL9" s="57" t="s">
        <v>48</v>
      </c>
      <c r="AM9" s="57" t="s">
        <v>106</v>
      </c>
      <c r="AN9" s="57" t="s">
        <v>49</v>
      </c>
      <c r="AO9" s="57" t="s">
        <v>107</v>
      </c>
      <c r="AP9" s="34" t="s">
        <v>108</v>
      </c>
    </row>
    <row r="10" spans="1:43" ht="15" customHeight="1" x14ac:dyDescent="0.3">
      <c r="B10" s="35" t="s">
        <v>51</v>
      </c>
      <c r="C10" s="36">
        <f>Paralelo!D13</f>
        <v>331.59962200000001</v>
      </c>
      <c r="D10" s="40">
        <f>C10/$C$63</f>
        <v>2.6981757531894673E-2</v>
      </c>
      <c r="E10" s="36">
        <f>'Dez24'!D13</f>
        <v>331.599603</v>
      </c>
      <c r="F10" s="40">
        <f>E10/$E$63</f>
        <v>2.6982549452291928E-2</v>
      </c>
      <c r="G10" s="36">
        <f>D10-F10</f>
        <v>-7.9192039725492491E-7</v>
      </c>
      <c r="H10" s="36">
        <f>Paralelo!E13</f>
        <v>0</v>
      </c>
      <c r="I10" s="40">
        <f>H10/$H$63</f>
        <v>0</v>
      </c>
      <c r="J10" s="36">
        <f>'Dez24'!E13</f>
        <v>0</v>
      </c>
      <c r="K10" s="40">
        <f>J10/$J$63</f>
        <v>0</v>
      </c>
      <c r="L10" s="36">
        <f>I10-K10</f>
        <v>0</v>
      </c>
      <c r="M10" s="36">
        <v>5.9355999999999999E-2</v>
      </c>
      <c r="N10" s="40">
        <f>M10/$M$63</f>
        <v>3.1133791494591836E-4</v>
      </c>
      <c r="O10" s="36">
        <v>0</v>
      </c>
      <c r="P10" s="40">
        <f>O10/$O$63</f>
        <v>0</v>
      </c>
      <c r="Q10" s="36">
        <f>N10-P10</f>
        <v>3.1133791494591836E-4</v>
      </c>
      <c r="R10" s="36">
        <f>Paralelo!G13</f>
        <v>40.456465999999999</v>
      </c>
      <c r="S10" s="40">
        <f>R10/$R$63</f>
        <v>3.675588684137545E-2</v>
      </c>
      <c r="T10" s="36">
        <f>'Dez24'!G13</f>
        <v>40.456467000000004</v>
      </c>
      <c r="U10" s="40">
        <f>T10/$T$63</f>
        <v>3.6755889553170253E-2</v>
      </c>
      <c r="V10" s="36">
        <f>S10-U10</f>
        <v>-2.7117948026011973E-9</v>
      </c>
      <c r="W10" s="36">
        <f>Paralelo!H13</f>
        <v>24.969028000000002</v>
      </c>
      <c r="X10" s="40">
        <f>W10/$W$63</f>
        <v>5.2358218192091521E-2</v>
      </c>
      <c r="Y10" s="36">
        <f>'Dez24'!H13</f>
        <v>24.969025999999999</v>
      </c>
      <c r="Z10" s="40">
        <f>Y10/$Y$63</f>
        <v>5.2358668648083764E-2</v>
      </c>
      <c r="AA10" s="36">
        <f>X10-Z10</f>
        <v>-4.5045599224302624E-7</v>
      </c>
      <c r="AB10" s="36">
        <f>Paralelo!I13</f>
        <v>-7.224882</v>
      </c>
      <c r="AC10" s="40">
        <f>AB10/$AB$63</f>
        <v>1.7857653084135526E-2</v>
      </c>
      <c r="AD10" s="36">
        <f>'Dez24'!I13</f>
        <v>-7.2248869999999998</v>
      </c>
      <c r="AE10" s="40">
        <f>AD10/$AD$63</f>
        <v>1.7857772214425551E-2</v>
      </c>
      <c r="AF10" s="36">
        <f>AC10-AE10</f>
        <v>-1.1913029002511011E-7</v>
      </c>
      <c r="AG10" s="36">
        <f>Paralelo!J13</f>
        <v>-2.078722</v>
      </c>
      <c r="AH10" s="40">
        <f>AG10/$AG$63</f>
        <v>3.0359173097141361E-2</v>
      </c>
      <c r="AI10" s="36">
        <f>'Dez24'!J13</f>
        <v>-2.0787239999999998</v>
      </c>
      <c r="AJ10" s="40">
        <f>AI10/$AI$63</f>
        <v>3.0359203193376833E-2</v>
      </c>
      <c r="AK10" s="36">
        <f>AH10-AJ10</f>
        <v>-3.0096235472537591E-8</v>
      </c>
      <c r="AL10" s="36">
        <f>Paralelo!K13</f>
        <v>-4.2610710000000003</v>
      </c>
      <c r="AM10" s="40">
        <f>AL10/$AL$63</f>
        <v>1.3844375598442081E-2</v>
      </c>
      <c r="AN10" s="36">
        <f>'Dez24'!K13</f>
        <v>-4.2610729999999997</v>
      </c>
      <c r="AO10" s="40">
        <f>AN10/$AN$63</f>
        <v>1.384439833464066E-2</v>
      </c>
      <c r="AP10" s="36">
        <f>AM10-AO10</f>
        <v>-2.2736198578357514E-8</v>
      </c>
    </row>
    <row r="11" spans="1:43" ht="15" customHeight="1" x14ac:dyDescent="0.3">
      <c r="B11" s="35" t="s">
        <v>52</v>
      </c>
      <c r="C11" s="36">
        <f>Paralelo!D14</f>
        <v>14.172404</v>
      </c>
      <c r="D11" s="40">
        <f t="shared" ref="D11:D63" si="0">C11/$C$63</f>
        <v>1.1531869851529994E-3</v>
      </c>
      <c r="E11" s="36">
        <f>'Dez24'!D14</f>
        <v>14.172371999999999</v>
      </c>
      <c r="F11" s="40">
        <f t="shared" ref="F11:F63" si="1">E11/$E$63</f>
        <v>1.1532182936487938E-3</v>
      </c>
      <c r="G11" s="36">
        <f t="shared" ref="G11:G62" si="2">D11-F11</f>
        <v>-3.1308495794394112E-8</v>
      </c>
      <c r="H11" s="36">
        <f>Paralelo!E14</f>
        <v>0</v>
      </c>
      <c r="I11" s="40">
        <f t="shared" ref="I11:I63" si="3">H11/$H$63</f>
        <v>0</v>
      </c>
      <c r="J11" s="36">
        <f>'Dez24'!E14</f>
        <v>0</v>
      </c>
      <c r="K11" s="40">
        <f t="shared" ref="K11:K63" si="4">J11/$J$63</f>
        <v>0</v>
      </c>
      <c r="L11" s="36">
        <f t="shared" ref="L11:L62" si="5">I11-K11</f>
        <v>0</v>
      </c>
      <c r="M11" s="36">
        <v>0</v>
      </c>
      <c r="N11" s="40">
        <f t="shared" ref="N11:N63" si="6">M11/$M$63</f>
        <v>0</v>
      </c>
      <c r="O11" s="36">
        <v>0</v>
      </c>
      <c r="P11" s="40">
        <f t="shared" ref="P11:P63" si="7">O11/$O$63</f>
        <v>0</v>
      </c>
      <c r="Q11" s="36">
        <f t="shared" ref="Q11:Q62" si="8">N11-P11</f>
        <v>0</v>
      </c>
      <c r="R11" s="36">
        <f>Paralelo!G14</f>
        <v>1.9365669999999999</v>
      </c>
      <c r="S11" s="40">
        <f t="shared" ref="S11:S63" si="9">R11/$R$63</f>
        <v>1.7594279617191954E-3</v>
      </c>
      <c r="T11" s="36">
        <f>'Dez24'!G14</f>
        <v>1.936569</v>
      </c>
      <c r="U11" s="40">
        <f t="shared" ref="U11:U63" si="10">T11/$T$63</f>
        <v>1.7594298650965583E-3</v>
      </c>
      <c r="V11" s="36">
        <f t="shared" ref="V11:V62" si="11">S11-U11</f>
        <v>-1.9033773628399087E-9</v>
      </c>
      <c r="W11" s="36">
        <f>Paralelo!H14</f>
        <v>2.36266</v>
      </c>
      <c r="X11" s="40">
        <f t="shared" ref="X11:X63" si="12">W11/$W$63</f>
        <v>4.954324525317003E-3</v>
      </c>
      <c r="Y11" s="36">
        <f>'Dez24'!H14</f>
        <v>2.362628</v>
      </c>
      <c r="Z11" s="40">
        <f t="shared" ref="Z11:Z63" si="13">Y11/$Y$63</f>
        <v>4.9543004437051274E-3</v>
      </c>
      <c r="AA11" s="36">
        <f t="shared" ref="AA11:AA62" si="14">X11-Z11</f>
        <v>2.40816118756218E-8</v>
      </c>
      <c r="AB11" s="36">
        <f>Paralelo!I14</f>
        <v>-1.4009210000000001</v>
      </c>
      <c r="AC11" s="40">
        <f t="shared" ref="AC11:AC63" si="15">AB11/$AB$63</f>
        <v>3.4626394197552605E-3</v>
      </c>
      <c r="AD11" s="36">
        <f>'Dez24'!I14</f>
        <v>-1.4009130000000001</v>
      </c>
      <c r="AE11" s="40">
        <f t="shared" ref="AE11:AE63" si="16">AD11/$AD$63</f>
        <v>3.4626403494238105E-3</v>
      </c>
      <c r="AF11" s="36">
        <f t="shared" ref="AF11:AF62" si="17">AC11-AE11</f>
        <v>-9.2966855004192328E-10</v>
      </c>
      <c r="AG11" s="36">
        <f>Paralelo!J14</f>
        <v>-0.10181</v>
      </c>
      <c r="AH11" s="40">
        <f t="shared" ref="AH11:AH63" si="18">AG11/$AG$63</f>
        <v>1.4869075388724234E-3</v>
      </c>
      <c r="AI11" s="36">
        <f>'Dez24'!J14</f>
        <v>-0.101809</v>
      </c>
      <c r="AJ11" s="40">
        <f t="shared" ref="AJ11:AJ63" si="19">AI11/$AI$63</f>
        <v>1.4868929775739839E-3</v>
      </c>
      <c r="AK11" s="36">
        <f t="shared" ref="AK11:AK62" si="20">AH11-AJ11</f>
        <v>1.4561298439588755E-8</v>
      </c>
      <c r="AL11" s="36">
        <f>Paralelo!K14</f>
        <v>-1.266405</v>
      </c>
      <c r="AM11" s="40">
        <f t="shared" ref="AM11:AM63" si="21">AL11/$AL$63</f>
        <v>4.1145961847960386E-3</v>
      </c>
      <c r="AN11" s="36">
        <f>'Dez24'!K14</f>
        <v>-1.2663979999999999</v>
      </c>
      <c r="AO11" s="40">
        <f t="shared" ref="AO11:AO63" si="22">AN11/$AN$63</f>
        <v>4.1145782675378389E-3</v>
      </c>
      <c r="AP11" s="36">
        <f t="shared" ref="AP11:AP62" si="23">AM11-AO11</f>
        <v>1.7917258199676156E-8</v>
      </c>
    </row>
    <row r="12" spans="1:43" ht="15" hidden="1" customHeight="1" outlineLevel="1" x14ac:dyDescent="0.3">
      <c r="B12" s="37" t="s">
        <v>53</v>
      </c>
      <c r="C12" s="38">
        <f>Paralelo!D15</f>
        <v>0</v>
      </c>
      <c r="D12" s="41">
        <f t="shared" si="0"/>
        <v>0</v>
      </c>
      <c r="E12" s="38">
        <f>'Dez24'!D15</f>
        <v>0</v>
      </c>
      <c r="F12" s="41">
        <f t="shared" si="1"/>
        <v>0</v>
      </c>
      <c r="G12" s="36">
        <f t="shared" si="2"/>
        <v>0</v>
      </c>
      <c r="H12" s="38">
        <f>Paralelo!E15</f>
        <v>0</v>
      </c>
      <c r="I12" s="41">
        <f t="shared" si="3"/>
        <v>0</v>
      </c>
      <c r="J12" s="38">
        <f>'Dez24'!E15</f>
        <v>0</v>
      </c>
      <c r="K12" s="41">
        <f t="shared" si="4"/>
        <v>0</v>
      </c>
      <c r="L12" s="36">
        <f t="shared" si="5"/>
        <v>0</v>
      </c>
      <c r="M12" s="36">
        <v>0</v>
      </c>
      <c r="N12" s="40">
        <f t="shared" si="6"/>
        <v>0</v>
      </c>
      <c r="O12" s="36">
        <v>0</v>
      </c>
      <c r="P12" s="40">
        <f t="shared" si="7"/>
        <v>0</v>
      </c>
      <c r="Q12" s="36">
        <f t="shared" si="8"/>
        <v>0</v>
      </c>
      <c r="R12" s="38">
        <f>Paralelo!G15</f>
        <v>0</v>
      </c>
      <c r="S12" s="40">
        <f t="shared" si="9"/>
        <v>0</v>
      </c>
      <c r="T12" s="38">
        <f>'Dez24'!G15</f>
        <v>0</v>
      </c>
      <c r="U12" s="40">
        <f t="shared" si="10"/>
        <v>0</v>
      </c>
      <c r="V12" s="36">
        <f t="shared" si="11"/>
        <v>0</v>
      </c>
      <c r="W12" s="38">
        <f>Paralelo!H15</f>
        <v>0</v>
      </c>
      <c r="X12" s="40">
        <f t="shared" si="12"/>
        <v>0</v>
      </c>
      <c r="Y12" s="38">
        <f>'Dez24'!H15</f>
        <v>0</v>
      </c>
      <c r="Z12" s="40">
        <f t="shared" si="13"/>
        <v>0</v>
      </c>
      <c r="AA12" s="36">
        <f t="shared" si="14"/>
        <v>0</v>
      </c>
      <c r="AB12" s="38">
        <f>Paralelo!I15</f>
        <v>0</v>
      </c>
      <c r="AC12" s="40">
        <f t="shared" si="15"/>
        <v>0</v>
      </c>
      <c r="AD12" s="38">
        <f>'Dez24'!I15</f>
        <v>0</v>
      </c>
      <c r="AE12" s="40">
        <f t="shared" si="16"/>
        <v>0</v>
      </c>
      <c r="AF12" s="36">
        <f t="shared" si="17"/>
        <v>0</v>
      </c>
      <c r="AG12" s="38">
        <f>Paralelo!J15</f>
        <v>0</v>
      </c>
      <c r="AH12" s="40">
        <f t="shared" si="18"/>
        <v>0</v>
      </c>
      <c r="AI12" s="38">
        <f>'Dez24'!J15</f>
        <v>0</v>
      </c>
      <c r="AJ12" s="40">
        <f t="shared" si="19"/>
        <v>0</v>
      </c>
      <c r="AK12" s="36">
        <f t="shared" si="20"/>
        <v>0</v>
      </c>
      <c r="AL12" s="38">
        <f>Paralelo!K15</f>
        <v>0</v>
      </c>
      <c r="AM12" s="40">
        <f t="shared" si="21"/>
        <v>0</v>
      </c>
      <c r="AN12" s="38">
        <f>'Dez24'!K15</f>
        <v>0</v>
      </c>
      <c r="AO12" s="40">
        <f t="shared" si="22"/>
        <v>0</v>
      </c>
      <c r="AP12" s="36">
        <f t="shared" si="23"/>
        <v>0</v>
      </c>
    </row>
    <row r="13" spans="1:43" ht="15" hidden="1" customHeight="1" outlineLevel="1" x14ac:dyDescent="0.3">
      <c r="B13" s="37" t="s">
        <v>54</v>
      </c>
      <c r="C13" s="38">
        <f>Paralelo!D16</f>
        <v>0</v>
      </c>
      <c r="D13" s="41">
        <f t="shared" si="0"/>
        <v>0</v>
      </c>
      <c r="E13" s="38">
        <f>'Dez24'!D16</f>
        <v>0</v>
      </c>
      <c r="F13" s="41">
        <f t="shared" si="1"/>
        <v>0</v>
      </c>
      <c r="G13" s="36">
        <f t="shared" si="2"/>
        <v>0</v>
      </c>
      <c r="H13" s="38">
        <f>Paralelo!E16</f>
        <v>0</v>
      </c>
      <c r="I13" s="41">
        <f t="shared" si="3"/>
        <v>0</v>
      </c>
      <c r="J13" s="38">
        <f>'Dez24'!E16</f>
        <v>0</v>
      </c>
      <c r="K13" s="41">
        <f t="shared" si="4"/>
        <v>0</v>
      </c>
      <c r="L13" s="36">
        <f t="shared" si="5"/>
        <v>0</v>
      </c>
      <c r="M13" s="36">
        <v>0</v>
      </c>
      <c r="N13" s="40">
        <f t="shared" si="6"/>
        <v>0</v>
      </c>
      <c r="O13" s="36">
        <v>0</v>
      </c>
      <c r="P13" s="40">
        <f t="shared" si="7"/>
        <v>0</v>
      </c>
      <c r="Q13" s="36">
        <f t="shared" si="8"/>
        <v>0</v>
      </c>
      <c r="R13" s="38">
        <f>Paralelo!G16</f>
        <v>0</v>
      </c>
      <c r="S13" s="40">
        <f t="shared" si="9"/>
        <v>0</v>
      </c>
      <c r="T13" s="38">
        <f>'Dez24'!G16</f>
        <v>0</v>
      </c>
      <c r="U13" s="40">
        <f t="shared" si="10"/>
        <v>0</v>
      </c>
      <c r="V13" s="36">
        <f t="shared" si="11"/>
        <v>0</v>
      </c>
      <c r="W13" s="38">
        <f>Paralelo!H16</f>
        <v>0</v>
      </c>
      <c r="X13" s="40">
        <f t="shared" si="12"/>
        <v>0</v>
      </c>
      <c r="Y13" s="38">
        <f>'Dez24'!H16</f>
        <v>0</v>
      </c>
      <c r="Z13" s="40">
        <f t="shared" si="13"/>
        <v>0</v>
      </c>
      <c r="AA13" s="36">
        <f t="shared" si="14"/>
        <v>0</v>
      </c>
      <c r="AB13" s="38">
        <f>Paralelo!I16</f>
        <v>0</v>
      </c>
      <c r="AC13" s="40">
        <f t="shared" si="15"/>
        <v>0</v>
      </c>
      <c r="AD13" s="38">
        <f>'Dez24'!I16</f>
        <v>0</v>
      </c>
      <c r="AE13" s="40">
        <f t="shared" si="16"/>
        <v>0</v>
      </c>
      <c r="AF13" s="36">
        <f t="shared" si="17"/>
        <v>0</v>
      </c>
      <c r="AG13" s="38">
        <f>Paralelo!J16</f>
        <v>0</v>
      </c>
      <c r="AH13" s="40">
        <f t="shared" si="18"/>
        <v>0</v>
      </c>
      <c r="AI13" s="38">
        <f>'Dez24'!J16</f>
        <v>0</v>
      </c>
      <c r="AJ13" s="40">
        <f t="shared" si="19"/>
        <v>0</v>
      </c>
      <c r="AK13" s="36">
        <f t="shared" si="20"/>
        <v>0</v>
      </c>
      <c r="AL13" s="38">
        <f>Paralelo!K16</f>
        <v>0</v>
      </c>
      <c r="AM13" s="40">
        <f t="shared" si="21"/>
        <v>0</v>
      </c>
      <c r="AN13" s="38">
        <f>'Dez24'!K16</f>
        <v>0</v>
      </c>
      <c r="AO13" s="40">
        <f t="shared" si="22"/>
        <v>0</v>
      </c>
      <c r="AP13" s="36">
        <f t="shared" si="23"/>
        <v>0</v>
      </c>
    </row>
    <row r="14" spans="1:43" ht="15" hidden="1" customHeight="1" outlineLevel="1" x14ac:dyDescent="0.3">
      <c r="B14" s="37" t="s">
        <v>55</v>
      </c>
      <c r="C14" s="38">
        <f>Paralelo!D17</f>
        <v>0.14147199999999999</v>
      </c>
      <c r="D14" s="41">
        <f t="shared" si="0"/>
        <v>1.1511361739586672E-5</v>
      </c>
      <c r="E14" s="38">
        <f>'Dez24'!D17</f>
        <v>0.14147100000000001</v>
      </c>
      <c r="F14" s="41">
        <f t="shared" si="1"/>
        <v>1.1511618889257812E-5</v>
      </c>
      <c r="G14" s="36">
        <f t="shared" si="2"/>
        <v>-2.5714967113989672E-10</v>
      </c>
      <c r="H14" s="38">
        <f>Paralelo!E17</f>
        <v>0</v>
      </c>
      <c r="I14" s="41">
        <f t="shared" si="3"/>
        <v>0</v>
      </c>
      <c r="J14" s="38">
        <f>'Dez24'!E17</f>
        <v>0</v>
      </c>
      <c r="K14" s="41">
        <f t="shared" si="4"/>
        <v>0</v>
      </c>
      <c r="L14" s="36">
        <f t="shared" si="5"/>
        <v>0</v>
      </c>
      <c r="M14" s="36">
        <v>0</v>
      </c>
      <c r="N14" s="40">
        <f t="shared" si="6"/>
        <v>0</v>
      </c>
      <c r="O14" s="36">
        <v>0</v>
      </c>
      <c r="P14" s="40">
        <f t="shared" si="7"/>
        <v>0</v>
      </c>
      <c r="Q14" s="36">
        <f t="shared" si="8"/>
        <v>0</v>
      </c>
      <c r="R14" s="38">
        <f>Paralelo!G17</f>
        <v>0</v>
      </c>
      <c r="S14" s="40">
        <f t="shared" si="9"/>
        <v>0</v>
      </c>
      <c r="T14" s="38">
        <f>'Dez24'!G17</f>
        <v>0</v>
      </c>
      <c r="U14" s="40">
        <f t="shared" si="10"/>
        <v>0</v>
      </c>
      <c r="V14" s="36">
        <f t="shared" si="11"/>
        <v>0</v>
      </c>
      <c r="W14" s="38">
        <f>Paralelo!H17</f>
        <v>0</v>
      </c>
      <c r="X14" s="40">
        <f t="shared" si="12"/>
        <v>0</v>
      </c>
      <c r="Y14" s="38">
        <f>'Dez24'!H17</f>
        <v>0</v>
      </c>
      <c r="Z14" s="40">
        <f t="shared" si="13"/>
        <v>0</v>
      </c>
      <c r="AA14" s="36">
        <f t="shared" si="14"/>
        <v>0</v>
      </c>
      <c r="AB14" s="38">
        <f>Paralelo!I17</f>
        <v>-1.35E-4</v>
      </c>
      <c r="AC14" s="40">
        <f t="shared" si="15"/>
        <v>3.3367786025547485E-7</v>
      </c>
      <c r="AD14" s="38">
        <f>'Dez24'!I17</f>
        <v>-1.35E-4</v>
      </c>
      <c r="AE14" s="40">
        <f t="shared" si="16"/>
        <v>3.3367985533164041E-7</v>
      </c>
      <c r="AF14" s="36">
        <f t="shared" si="17"/>
        <v>-1.9950761655573244E-12</v>
      </c>
      <c r="AG14" s="38">
        <f>Paralelo!J17</f>
        <v>0</v>
      </c>
      <c r="AH14" s="40">
        <f t="shared" si="18"/>
        <v>0</v>
      </c>
      <c r="AI14" s="38">
        <f>'Dez24'!J17</f>
        <v>0</v>
      </c>
      <c r="AJ14" s="40">
        <f t="shared" si="19"/>
        <v>0</v>
      </c>
      <c r="AK14" s="36">
        <f t="shared" si="20"/>
        <v>0</v>
      </c>
      <c r="AL14" s="38">
        <f>Paralelo!K17</f>
        <v>0</v>
      </c>
      <c r="AM14" s="40">
        <f t="shared" si="21"/>
        <v>0</v>
      </c>
      <c r="AN14" s="38">
        <f>'Dez24'!K17</f>
        <v>0</v>
      </c>
      <c r="AO14" s="40">
        <f t="shared" si="22"/>
        <v>0</v>
      </c>
      <c r="AP14" s="36">
        <f t="shared" si="23"/>
        <v>0</v>
      </c>
    </row>
    <row r="15" spans="1:43" ht="15" hidden="1" customHeight="1" outlineLevel="1" x14ac:dyDescent="0.3">
      <c r="B15" s="37" t="s">
        <v>56</v>
      </c>
      <c r="C15" s="38">
        <f>Paralelo!D18</f>
        <v>13.954368000000001</v>
      </c>
      <c r="D15" s="41">
        <f t="shared" si="0"/>
        <v>1.1354457270365344E-3</v>
      </c>
      <c r="E15" s="38">
        <f>'Dez24'!D18</f>
        <v>13.954338</v>
      </c>
      <c r="F15" s="41">
        <f t="shared" si="1"/>
        <v>1.1354766765477593E-3</v>
      </c>
      <c r="G15" s="36">
        <f t="shared" si="2"/>
        <v>-3.0949511224892881E-8</v>
      </c>
      <c r="H15" s="38">
        <f>Paralelo!E18</f>
        <v>0</v>
      </c>
      <c r="I15" s="41">
        <f t="shared" si="3"/>
        <v>0</v>
      </c>
      <c r="J15" s="38">
        <f>'Dez24'!E18</f>
        <v>0</v>
      </c>
      <c r="K15" s="41">
        <f t="shared" si="4"/>
        <v>0</v>
      </c>
      <c r="L15" s="36">
        <f t="shared" si="5"/>
        <v>0</v>
      </c>
      <c r="M15" s="36">
        <v>0</v>
      </c>
      <c r="N15" s="40">
        <f t="shared" si="6"/>
        <v>0</v>
      </c>
      <c r="O15" s="36">
        <v>0</v>
      </c>
      <c r="P15" s="40">
        <f t="shared" si="7"/>
        <v>0</v>
      </c>
      <c r="Q15" s="36">
        <f t="shared" si="8"/>
        <v>0</v>
      </c>
      <c r="R15" s="38">
        <f>Paralelo!G18</f>
        <v>1.8604909999999999</v>
      </c>
      <c r="S15" s="40">
        <f t="shared" si="9"/>
        <v>1.690310682732334E-3</v>
      </c>
      <c r="T15" s="38">
        <f>'Dez24'!G18</f>
        <v>1.8604940000000001</v>
      </c>
      <c r="U15" s="40">
        <f t="shared" si="10"/>
        <v>1.6903134912481591E-3</v>
      </c>
      <c r="V15" s="36">
        <f t="shared" si="11"/>
        <v>-2.8085158250684E-9</v>
      </c>
      <c r="W15" s="38">
        <f>Paralelo!H18</f>
        <v>2.3621799999999999</v>
      </c>
      <c r="X15" s="40">
        <f t="shared" si="12"/>
        <v>4.9533180005643289E-3</v>
      </c>
      <c r="Y15" s="38">
        <f>'Dez24'!H18</f>
        <v>2.3621479999999999</v>
      </c>
      <c r="Z15" s="40">
        <f t="shared" si="13"/>
        <v>4.9532939102123474E-3</v>
      </c>
      <c r="AA15" s="36">
        <f t="shared" si="14"/>
        <v>2.4090351981483071E-8</v>
      </c>
      <c r="AB15" s="38">
        <f>Paralelo!I18</f>
        <v>-1.3993640000000001</v>
      </c>
      <c r="AC15" s="40">
        <f t="shared" si="15"/>
        <v>3.4587910017669803E-3</v>
      </c>
      <c r="AD15" s="38">
        <f>'Dez24'!I18</f>
        <v>-1.399356</v>
      </c>
      <c r="AE15" s="40">
        <f t="shared" si="16"/>
        <v>3.4587919084256521E-3</v>
      </c>
      <c r="AF15" s="36">
        <f t="shared" si="17"/>
        <v>-9.066586717509928E-10</v>
      </c>
      <c r="AG15" s="38">
        <f>Paralelo!J18</f>
        <v>-0.100796</v>
      </c>
      <c r="AH15" s="40">
        <f t="shared" si="18"/>
        <v>1.4720983428757961E-3</v>
      </c>
      <c r="AI15" s="38">
        <f>'Dez24'!J18</f>
        <v>-0.100795</v>
      </c>
      <c r="AJ15" s="40">
        <f t="shared" si="19"/>
        <v>1.4720837811447879E-3</v>
      </c>
      <c r="AK15" s="36">
        <f t="shared" si="20"/>
        <v>1.456173100828316E-8</v>
      </c>
      <c r="AL15" s="38">
        <f>Paralelo!K18</f>
        <v>-1.265998</v>
      </c>
      <c r="AM15" s="40">
        <f t="shared" si="21"/>
        <v>4.113273826903254E-3</v>
      </c>
      <c r="AN15" s="38">
        <f>'Dez24'!K18</f>
        <v>-1.2659899999999999</v>
      </c>
      <c r="AO15" s="40">
        <f t="shared" si="22"/>
        <v>4.1132526590536532E-3</v>
      </c>
      <c r="AP15" s="36">
        <f t="shared" si="23"/>
        <v>2.1167849600760291E-8</v>
      </c>
    </row>
    <row r="16" spans="1:43" ht="15" hidden="1" customHeight="1" outlineLevel="1" x14ac:dyDescent="0.3">
      <c r="B16" s="37" t="s">
        <v>57</v>
      </c>
      <c r="C16" s="38">
        <f>Paralelo!D19</f>
        <v>7.6563999999999993E-2</v>
      </c>
      <c r="D16" s="41">
        <f t="shared" si="0"/>
        <v>6.2298963768782087E-6</v>
      </c>
      <c r="E16" s="38">
        <f>'Dez24'!D19</f>
        <v>7.6563000000000006E-2</v>
      </c>
      <c r="F16" s="41">
        <f t="shared" si="1"/>
        <v>6.2299982117765895E-6</v>
      </c>
      <c r="G16" s="36">
        <f t="shared" si="2"/>
        <v>-1.0183489838081562E-10</v>
      </c>
      <c r="H16" s="38">
        <f>Paralelo!E19</f>
        <v>0</v>
      </c>
      <c r="I16" s="41">
        <f t="shared" si="3"/>
        <v>0</v>
      </c>
      <c r="J16" s="38">
        <f>'Dez24'!E19</f>
        <v>0</v>
      </c>
      <c r="K16" s="41">
        <f t="shared" si="4"/>
        <v>0</v>
      </c>
      <c r="L16" s="36">
        <f t="shared" si="5"/>
        <v>0</v>
      </c>
      <c r="M16" s="36">
        <v>0</v>
      </c>
      <c r="N16" s="40">
        <f t="shared" si="6"/>
        <v>0</v>
      </c>
      <c r="O16" s="36">
        <v>0</v>
      </c>
      <c r="P16" s="40">
        <f t="shared" si="7"/>
        <v>0</v>
      </c>
      <c r="Q16" s="36">
        <f t="shared" si="8"/>
        <v>0</v>
      </c>
      <c r="R16" s="38">
        <f>Paralelo!G19</f>
        <v>7.6076000000000005E-2</v>
      </c>
      <c r="S16" s="40">
        <f t="shared" si="9"/>
        <v>6.9117278986861563E-5</v>
      </c>
      <c r="T16" s="38">
        <f>'Dez24'!G19</f>
        <v>7.6075000000000004E-2</v>
      </c>
      <c r="U16" s="40">
        <f t="shared" si="10"/>
        <v>6.9116373848399239E-5</v>
      </c>
      <c r="V16" s="36">
        <f t="shared" si="11"/>
        <v>9.0513846232335906E-10</v>
      </c>
      <c r="W16" s="38">
        <f>Paralelo!H19</f>
        <v>4.8000000000000001E-4</v>
      </c>
      <c r="X16" s="40">
        <f t="shared" si="12"/>
        <v>1.0065247526737497E-6</v>
      </c>
      <c r="Y16" s="38">
        <f>'Dez24'!H19</f>
        <v>4.8000000000000001E-4</v>
      </c>
      <c r="Z16" s="40">
        <f t="shared" si="13"/>
        <v>1.0065334927794223E-6</v>
      </c>
      <c r="AA16" s="36">
        <f t="shared" si="14"/>
        <v>-8.7401056725946855E-12</v>
      </c>
      <c r="AB16" s="38">
        <f>Paralelo!I19</f>
        <v>-1.4220000000000001E-3</v>
      </c>
      <c r="AC16" s="40">
        <f t="shared" si="15"/>
        <v>3.5147401280243355E-6</v>
      </c>
      <c r="AD16" s="38">
        <f>'Dez24'!I19</f>
        <v>-1.4220000000000001E-3</v>
      </c>
      <c r="AE16" s="40">
        <f t="shared" si="16"/>
        <v>3.5147611428266128E-6</v>
      </c>
      <c r="AF16" s="36">
        <f t="shared" si="17"/>
        <v>-2.1014802277203817E-11</v>
      </c>
      <c r="AG16" s="38">
        <f>Paralelo!J19</f>
        <v>-1.0139999999999999E-3</v>
      </c>
      <c r="AH16" s="40">
        <f t="shared" si="18"/>
        <v>1.4809195996627418E-5</v>
      </c>
      <c r="AI16" s="38">
        <f>'Dez24'!J19</f>
        <v>-1.0139999999999999E-3</v>
      </c>
      <c r="AJ16" s="40">
        <f t="shared" si="19"/>
        <v>1.4809196429196041E-5</v>
      </c>
      <c r="AK16" s="36">
        <f t="shared" si="20"/>
        <v>-4.3256862325489857E-13</v>
      </c>
      <c r="AL16" s="38">
        <f>Paralelo!K19</f>
        <v>-4.08E-4</v>
      </c>
      <c r="AM16" s="40">
        <f t="shared" si="21"/>
        <v>1.3256069293762926E-6</v>
      </c>
      <c r="AN16" s="38">
        <f>'Dez24'!K19</f>
        <v>-4.08E-4</v>
      </c>
      <c r="AO16" s="40">
        <f t="shared" si="22"/>
        <v>1.3256084841854127E-6</v>
      </c>
      <c r="AP16" s="36">
        <f t="shared" si="23"/>
        <v>-1.5548091200957045E-12</v>
      </c>
    </row>
    <row r="17" spans="2:42" ht="15" customHeight="1" collapsed="1" x14ac:dyDescent="0.3">
      <c r="B17" s="35" t="s">
        <v>58</v>
      </c>
      <c r="C17" s="36">
        <f>Paralelo!D20</f>
        <v>2168.5504340000002</v>
      </c>
      <c r="D17" s="40">
        <f t="shared" si="0"/>
        <v>0.17645165471833066</v>
      </c>
      <c r="E17" s="36">
        <f>'Dez24'!D20</f>
        <v>2226.1042630000002</v>
      </c>
      <c r="F17" s="40">
        <f t="shared" si="1"/>
        <v>0.18114004908008099</v>
      </c>
      <c r="G17" s="36">
        <f t="shared" si="2"/>
        <v>-4.6883943617503365E-3</v>
      </c>
      <c r="H17" s="36">
        <f>Paralelo!E20</f>
        <v>6.8394999999999997E-2</v>
      </c>
      <c r="I17" s="40">
        <f t="shared" si="3"/>
        <v>1.6112003837914885E-4</v>
      </c>
      <c r="J17" s="36">
        <f>'Dez24'!E20</f>
        <v>6.8394999999999997E-2</v>
      </c>
      <c r="K17" s="40">
        <f t="shared" si="4"/>
        <v>1.6112003799959382E-4</v>
      </c>
      <c r="L17" s="36">
        <f t="shared" si="5"/>
        <v>3.7955502998378299E-13</v>
      </c>
      <c r="M17" s="36">
        <v>19.393818</v>
      </c>
      <c r="N17" s="40">
        <f t="shared" si="6"/>
        <v>0.10172570353394131</v>
      </c>
      <c r="O17" s="36">
        <v>5.3017050000000001</v>
      </c>
      <c r="P17" s="40">
        <f t="shared" si="7"/>
        <v>2.8975255427372237E-2</v>
      </c>
      <c r="Q17" s="36">
        <f t="shared" si="8"/>
        <v>7.2750448106569068E-2</v>
      </c>
      <c r="R17" s="36">
        <f>Paralelo!G20</f>
        <v>234.77593200000001</v>
      </c>
      <c r="S17" s="40">
        <f t="shared" si="9"/>
        <v>0.21330082537783845</v>
      </c>
      <c r="T17" s="36">
        <f>'Dez24'!G20</f>
        <v>234.77592799999999</v>
      </c>
      <c r="U17" s="40">
        <f t="shared" si="10"/>
        <v>0.21330083220838467</v>
      </c>
      <c r="V17" s="36">
        <f t="shared" si="11"/>
        <v>-6.8305462119777616E-9</v>
      </c>
      <c r="W17" s="36">
        <f>Paralelo!H20</f>
        <v>77.604364000000004</v>
      </c>
      <c r="X17" s="40">
        <f t="shared" si="12"/>
        <v>0.16273065266979928</v>
      </c>
      <c r="Y17" s="36">
        <f>'Dez24'!H20</f>
        <v>77.605407</v>
      </c>
      <c r="Z17" s="40">
        <f t="shared" si="13"/>
        <v>0.16273425284641382</v>
      </c>
      <c r="AA17" s="36">
        <f t="shared" si="14"/>
        <v>-3.6001766145488112E-6</v>
      </c>
      <c r="AB17" s="36">
        <f>Paralelo!I20</f>
        <v>-72.098161000000005</v>
      </c>
      <c r="AC17" s="40">
        <f t="shared" si="15"/>
        <v>0.178204148820998</v>
      </c>
      <c r="AD17" s="36">
        <f>'Dez24'!I20</f>
        <v>-72.276143000000005</v>
      </c>
      <c r="AE17" s="40">
        <f t="shared" si="16"/>
        <v>0.17864513289014042</v>
      </c>
      <c r="AF17" s="36">
        <f t="shared" si="17"/>
        <v>-4.4098406914241939E-4</v>
      </c>
      <c r="AG17" s="36">
        <f>Paralelo!J20</f>
        <v>-12.014859</v>
      </c>
      <c r="AH17" s="40">
        <f t="shared" si="18"/>
        <v>0.17547376903633422</v>
      </c>
      <c r="AI17" s="36">
        <f>'Dez24'!J20</f>
        <v>-12.014849</v>
      </c>
      <c r="AJ17" s="40">
        <f t="shared" si="19"/>
        <v>0.17547362811452627</v>
      </c>
      <c r="AK17" s="36">
        <f t="shared" si="20"/>
        <v>1.4092180794511577E-7</v>
      </c>
      <c r="AL17" s="36">
        <f>Paralelo!K20</f>
        <v>-54.583787000000001</v>
      </c>
      <c r="AM17" s="40">
        <f t="shared" si="21"/>
        <v>0.17734472127156767</v>
      </c>
      <c r="AN17" s="36">
        <f>'Dez24'!K20</f>
        <v>-54.584122000000001</v>
      </c>
      <c r="AO17" s="40">
        <f t="shared" si="22"/>
        <v>0.17734601770836186</v>
      </c>
      <c r="AP17" s="36">
        <f t="shared" si="23"/>
        <v>-1.2964367941958876E-6</v>
      </c>
    </row>
    <row r="18" spans="2:42" ht="15" hidden="1" customHeight="1" outlineLevel="1" x14ac:dyDescent="0.3">
      <c r="B18" s="37" t="s">
        <v>59</v>
      </c>
      <c r="C18" s="38">
        <f>Paralelo!D21</f>
        <v>338.99325299999998</v>
      </c>
      <c r="D18" s="41">
        <f t="shared" si="0"/>
        <v>2.7583366055206858E-2</v>
      </c>
      <c r="E18" s="38">
        <f>'Dez24'!D21</f>
        <v>338.99324999999999</v>
      </c>
      <c r="F18" s="41">
        <f t="shared" si="1"/>
        <v>2.758417696934987E-2</v>
      </c>
      <c r="G18" s="36">
        <f t="shared" si="2"/>
        <v>-8.1091414301168174E-7</v>
      </c>
      <c r="H18" s="38">
        <f>Paralelo!E21</f>
        <v>0</v>
      </c>
      <c r="I18" s="41">
        <f t="shared" si="3"/>
        <v>0</v>
      </c>
      <c r="J18" s="38">
        <f>'Dez24'!E21</f>
        <v>0</v>
      </c>
      <c r="K18" s="41">
        <f t="shared" si="4"/>
        <v>0</v>
      </c>
      <c r="L18" s="36">
        <f t="shared" si="5"/>
        <v>0</v>
      </c>
      <c r="M18" s="36">
        <v>0</v>
      </c>
      <c r="N18" s="40">
        <f t="shared" si="6"/>
        <v>0</v>
      </c>
      <c r="O18" s="36">
        <v>0</v>
      </c>
      <c r="P18" s="40">
        <f t="shared" si="7"/>
        <v>0</v>
      </c>
      <c r="Q18" s="36">
        <f t="shared" si="8"/>
        <v>0</v>
      </c>
      <c r="R18" s="38">
        <f>Paralelo!G21</f>
        <v>36.946739000000001</v>
      </c>
      <c r="S18" s="40">
        <f t="shared" si="9"/>
        <v>3.3567196844178956E-2</v>
      </c>
      <c r="T18" s="38">
        <f>'Dez24'!G21</f>
        <v>36.946734999999997</v>
      </c>
      <c r="U18" s="40">
        <f t="shared" si="10"/>
        <v>3.3567194856887764E-2</v>
      </c>
      <c r="V18" s="36">
        <f t="shared" si="11"/>
        <v>1.9872911927176773E-9</v>
      </c>
      <c r="W18" s="38">
        <f>Paralelo!H21</f>
        <v>9.6289960000000008</v>
      </c>
      <c r="X18" s="40">
        <f t="shared" si="12"/>
        <v>2.0191297536242762E-2</v>
      </c>
      <c r="Y18" s="38">
        <f>'Dez24'!H21</f>
        <v>9.6289979999999993</v>
      </c>
      <c r="Z18" s="40">
        <f t="shared" si="13"/>
        <v>2.019147706022098E-2</v>
      </c>
      <c r="AA18" s="36">
        <f t="shared" si="14"/>
        <v>-1.7952397821791033E-7</v>
      </c>
      <c r="AB18" s="38">
        <f>Paralelo!I21</f>
        <v>-8.3400090000000002</v>
      </c>
      <c r="AC18" s="40">
        <f t="shared" si="15"/>
        <v>2.0613898945417798E-2</v>
      </c>
      <c r="AD18" s="38">
        <f>'Dez24'!I21</f>
        <v>-8.3400110000000005</v>
      </c>
      <c r="AE18" s="40">
        <f t="shared" si="16"/>
        <v>2.0614027140328076E-2</v>
      </c>
      <c r="AF18" s="36">
        <f t="shared" si="17"/>
        <v>-1.281949102774349E-7</v>
      </c>
      <c r="AG18" s="38">
        <f>Paralelo!J21</f>
        <v>-2.077334</v>
      </c>
      <c r="AH18" s="40">
        <f t="shared" si="18"/>
        <v>3.0338901732207123E-2</v>
      </c>
      <c r="AI18" s="38">
        <f>'Dez24'!J21</f>
        <v>-2.0773350000000002</v>
      </c>
      <c r="AJ18" s="40">
        <f t="shared" si="19"/>
        <v>3.0338917223120276E-2</v>
      </c>
      <c r="AK18" s="36">
        <f t="shared" si="20"/>
        <v>-1.5490913152921282E-8</v>
      </c>
      <c r="AL18" s="38">
        <f>Paralelo!K21</f>
        <v>-5.2775660000000002</v>
      </c>
      <c r="AM18" s="40">
        <f t="shared" si="21"/>
        <v>1.7147005048629226E-2</v>
      </c>
      <c r="AN18" s="38">
        <f>'Dez24'!K21</f>
        <v>-5.2775699999999999</v>
      </c>
      <c r="AO18" s="40">
        <f t="shared" si="22"/>
        <v>1.7147038156574531E-2</v>
      </c>
      <c r="AP18" s="36">
        <f t="shared" si="23"/>
        <v>-3.3107945305449471E-8</v>
      </c>
    </row>
    <row r="19" spans="2:42" ht="15" hidden="1" customHeight="1" outlineLevel="1" x14ac:dyDescent="0.3">
      <c r="B19" s="37" t="s">
        <v>60</v>
      </c>
      <c r="C19" s="38">
        <f>Paralelo!D22</f>
        <v>217.52209300000001</v>
      </c>
      <c r="D19" s="41">
        <f t="shared" si="0"/>
        <v>1.7699442284515764E-2</v>
      </c>
      <c r="E19" s="38">
        <f>'Dez24'!D22</f>
        <v>217.522088</v>
      </c>
      <c r="F19" s="41">
        <f t="shared" si="1"/>
        <v>1.7699962374278826E-2</v>
      </c>
      <c r="G19" s="36">
        <f t="shared" si="2"/>
        <v>-5.2008976306194832E-7</v>
      </c>
      <c r="H19" s="38">
        <f>Paralelo!E22</f>
        <v>0</v>
      </c>
      <c r="I19" s="41">
        <f t="shared" si="3"/>
        <v>0</v>
      </c>
      <c r="J19" s="38">
        <f>'Dez24'!E22</f>
        <v>0</v>
      </c>
      <c r="K19" s="41">
        <f t="shared" si="4"/>
        <v>0</v>
      </c>
      <c r="L19" s="36">
        <f t="shared" si="5"/>
        <v>0</v>
      </c>
      <c r="M19" s="36">
        <v>0</v>
      </c>
      <c r="N19" s="40">
        <f t="shared" si="6"/>
        <v>0</v>
      </c>
      <c r="O19" s="36">
        <v>0</v>
      </c>
      <c r="P19" s="40">
        <f t="shared" si="7"/>
        <v>0</v>
      </c>
      <c r="Q19" s="36">
        <f t="shared" si="8"/>
        <v>0</v>
      </c>
      <c r="R19" s="38">
        <f>Paralelo!G22</f>
        <v>7.5690939999999998</v>
      </c>
      <c r="S19" s="40">
        <f t="shared" si="9"/>
        <v>6.8767440674559633E-3</v>
      </c>
      <c r="T19" s="38">
        <f>'Dez24'!G22</f>
        <v>7.5690939999999998</v>
      </c>
      <c r="U19" s="40">
        <f t="shared" si="10"/>
        <v>6.876744404833067E-3</v>
      </c>
      <c r="V19" s="36">
        <f t="shared" si="11"/>
        <v>-3.3737710368464402E-10</v>
      </c>
      <c r="W19" s="38">
        <f>Paralelo!H22</f>
        <v>0.39642100000000002</v>
      </c>
      <c r="X19" s="40">
        <f t="shared" si="12"/>
        <v>8.3126572704100116E-4</v>
      </c>
      <c r="Y19" s="38">
        <f>'Dez24'!H22</f>
        <v>0.39642100000000002</v>
      </c>
      <c r="Z19" s="40">
        <f t="shared" si="13"/>
        <v>8.3127294529398207E-4</v>
      </c>
      <c r="AA19" s="36">
        <f t="shared" si="14"/>
        <v>-7.2182529809025273E-9</v>
      </c>
      <c r="AB19" s="38">
        <f>Paralelo!I22</f>
        <v>-1.1073630000000001</v>
      </c>
      <c r="AC19" s="40">
        <f t="shared" si="15"/>
        <v>2.7370556767858036E-3</v>
      </c>
      <c r="AD19" s="38">
        <f>'Dez24'!I22</f>
        <v>-1.1073660000000001</v>
      </c>
      <c r="AE19" s="40">
        <f t="shared" si="16"/>
        <v>2.7370794568827954E-3</v>
      </c>
      <c r="AF19" s="36">
        <f t="shared" si="17"/>
        <v>-2.3780096991814909E-8</v>
      </c>
      <c r="AG19" s="38">
        <f>Paralelo!J22</f>
        <v>-0.45090599999999997</v>
      </c>
      <c r="AH19" s="40">
        <f t="shared" si="18"/>
        <v>6.585360286050574E-3</v>
      </c>
      <c r="AI19" s="38">
        <f>'Dez24'!J22</f>
        <v>-0.45090799999999998</v>
      </c>
      <c r="AJ19" s="40">
        <f t="shared" si="19"/>
        <v>6.5853896878658065E-3</v>
      </c>
      <c r="AK19" s="36">
        <f t="shared" si="20"/>
        <v>-2.9401815232477091E-8</v>
      </c>
      <c r="AL19" s="38">
        <f>Paralelo!K22</f>
        <v>-0.302535</v>
      </c>
      <c r="AM19" s="40">
        <f t="shared" si="21"/>
        <v>9.8294728524229579E-4</v>
      </c>
      <c r="AN19" s="38">
        <f>'Dez24'!K22</f>
        <v>-0.30253600000000003</v>
      </c>
      <c r="AO19" s="40">
        <f t="shared" si="22"/>
        <v>9.8295168718509325E-4</v>
      </c>
      <c r="AP19" s="36">
        <f t="shared" si="23"/>
        <v>-4.4019427974679309E-9</v>
      </c>
    </row>
    <row r="20" spans="2:42" ht="15" hidden="1" customHeight="1" outlineLevel="1" x14ac:dyDescent="0.3">
      <c r="B20" s="37" t="s">
        <v>61</v>
      </c>
      <c r="C20" s="38">
        <f>Paralelo!D23</f>
        <v>2.9247709999999998</v>
      </c>
      <c r="D20" s="41">
        <f t="shared" si="0"/>
        <v>2.3798417345094895E-4</v>
      </c>
      <c r="E20" s="38">
        <f>'Dez24'!D23</f>
        <v>2.9247709999999998</v>
      </c>
      <c r="F20" s="41">
        <f t="shared" si="1"/>
        <v>2.3799117197413925E-4</v>
      </c>
      <c r="G20" s="36">
        <f t="shared" si="2"/>
        <v>-6.998523190306213E-9</v>
      </c>
      <c r="H20" s="38">
        <f>Paralelo!E23</f>
        <v>0</v>
      </c>
      <c r="I20" s="41">
        <f t="shared" si="3"/>
        <v>0</v>
      </c>
      <c r="J20" s="38">
        <f>'Dez24'!E23</f>
        <v>0</v>
      </c>
      <c r="K20" s="41">
        <f t="shared" si="4"/>
        <v>0</v>
      </c>
      <c r="L20" s="36">
        <f t="shared" si="5"/>
        <v>0</v>
      </c>
      <c r="M20" s="36">
        <v>0</v>
      </c>
      <c r="N20" s="40">
        <f t="shared" si="6"/>
        <v>0</v>
      </c>
      <c r="O20" s="36">
        <v>0</v>
      </c>
      <c r="P20" s="40">
        <f t="shared" si="7"/>
        <v>0</v>
      </c>
      <c r="Q20" s="36">
        <f t="shared" si="8"/>
        <v>0</v>
      </c>
      <c r="R20" s="38">
        <f>Paralelo!G23</f>
        <v>0</v>
      </c>
      <c r="S20" s="40">
        <f t="shared" si="9"/>
        <v>0</v>
      </c>
      <c r="T20" s="38">
        <f>'Dez24'!G23</f>
        <v>0</v>
      </c>
      <c r="U20" s="40">
        <f t="shared" si="10"/>
        <v>0</v>
      </c>
      <c r="V20" s="36">
        <f t="shared" si="11"/>
        <v>0</v>
      </c>
      <c r="W20" s="38">
        <f>Paralelo!H23</f>
        <v>0</v>
      </c>
      <c r="X20" s="40">
        <f t="shared" si="12"/>
        <v>0</v>
      </c>
      <c r="Y20" s="38">
        <f>'Dez24'!H23</f>
        <v>0</v>
      </c>
      <c r="Z20" s="40">
        <f t="shared" si="13"/>
        <v>0</v>
      </c>
      <c r="AA20" s="36">
        <f t="shared" si="14"/>
        <v>0</v>
      </c>
      <c r="AB20" s="38">
        <f>Paralelo!I23</f>
        <v>-1.0149E-2</v>
      </c>
      <c r="AC20" s="40">
        <f t="shared" si="15"/>
        <v>2.5085160027650478E-5</v>
      </c>
      <c r="AD20" s="38">
        <f>'Dez24'!I23</f>
        <v>-1.0149E-2</v>
      </c>
      <c r="AE20" s="40">
        <f t="shared" si="16"/>
        <v>2.50853100130431E-5</v>
      </c>
      <c r="AF20" s="36">
        <f t="shared" si="17"/>
        <v>-1.4998539262238604E-10</v>
      </c>
      <c r="AG20" s="38">
        <f>Paralelo!J23</f>
        <v>0</v>
      </c>
      <c r="AH20" s="40">
        <f t="shared" si="18"/>
        <v>0</v>
      </c>
      <c r="AI20" s="38">
        <f>'Dez24'!J23</f>
        <v>0</v>
      </c>
      <c r="AJ20" s="40">
        <f t="shared" si="19"/>
        <v>0</v>
      </c>
      <c r="AK20" s="36">
        <f t="shared" si="20"/>
        <v>0</v>
      </c>
      <c r="AL20" s="38">
        <f>Paralelo!K23</f>
        <v>0</v>
      </c>
      <c r="AM20" s="40">
        <f t="shared" si="21"/>
        <v>0</v>
      </c>
      <c r="AN20" s="38">
        <f>'Dez24'!K23</f>
        <v>0</v>
      </c>
      <c r="AO20" s="40">
        <f t="shared" si="22"/>
        <v>0</v>
      </c>
      <c r="AP20" s="36">
        <f t="shared" si="23"/>
        <v>0</v>
      </c>
    </row>
    <row r="21" spans="2:42" ht="15" hidden="1" customHeight="1" outlineLevel="1" x14ac:dyDescent="0.3">
      <c r="B21" s="37" t="s">
        <v>62</v>
      </c>
      <c r="C21" s="38">
        <f>Paralelo!D24</f>
        <v>112.288974</v>
      </c>
      <c r="D21" s="41">
        <f t="shared" si="0"/>
        <v>9.1367832439001543E-3</v>
      </c>
      <c r="E21" s="38">
        <f>'Dez24'!D24</f>
        <v>112.288971</v>
      </c>
      <c r="F21" s="41">
        <f t="shared" si="1"/>
        <v>9.137051689879357E-3</v>
      </c>
      <c r="G21" s="36">
        <f t="shared" si="2"/>
        <v>-2.6844597920266944E-7</v>
      </c>
      <c r="H21" s="38">
        <f>Paralelo!E24</f>
        <v>0</v>
      </c>
      <c r="I21" s="41">
        <f t="shared" si="3"/>
        <v>0</v>
      </c>
      <c r="J21" s="38">
        <f>'Dez24'!E24</f>
        <v>0</v>
      </c>
      <c r="K21" s="41">
        <f t="shared" si="4"/>
        <v>0</v>
      </c>
      <c r="L21" s="36">
        <f t="shared" si="5"/>
        <v>0</v>
      </c>
      <c r="M21" s="36">
        <v>0</v>
      </c>
      <c r="N21" s="40">
        <f t="shared" si="6"/>
        <v>0</v>
      </c>
      <c r="O21" s="36">
        <v>0</v>
      </c>
      <c r="P21" s="40">
        <f t="shared" si="7"/>
        <v>0</v>
      </c>
      <c r="Q21" s="36">
        <f t="shared" si="8"/>
        <v>0</v>
      </c>
      <c r="R21" s="38">
        <f>Paralelo!G24</f>
        <v>17.483433999999999</v>
      </c>
      <c r="S21" s="40">
        <f t="shared" si="9"/>
        <v>1.5884212963699205E-2</v>
      </c>
      <c r="T21" s="38">
        <f>'Dez24'!G24</f>
        <v>17.483433000000002</v>
      </c>
      <c r="U21" s="40">
        <f t="shared" si="10"/>
        <v>1.5884212834458632E-2</v>
      </c>
      <c r="V21" s="36">
        <f t="shared" si="11"/>
        <v>1.2924057310459425E-10</v>
      </c>
      <c r="W21" s="38">
        <f>Paralelo!H24</f>
        <v>3.057178</v>
      </c>
      <c r="X21" s="40">
        <f t="shared" si="12"/>
        <v>6.4106777715200597E-3</v>
      </c>
      <c r="Y21" s="38">
        <f>'Dez24'!H24</f>
        <v>3.0571790000000001</v>
      </c>
      <c r="Z21" s="40">
        <f t="shared" si="13"/>
        <v>6.4107355352539617E-3</v>
      </c>
      <c r="AA21" s="36">
        <f t="shared" si="14"/>
        <v>-5.7763733901997072E-8</v>
      </c>
      <c r="AB21" s="38">
        <f>Paralelo!I24</f>
        <v>-4.058046</v>
      </c>
      <c r="AC21" s="40">
        <f t="shared" si="15"/>
        <v>1.0030223008135473E-2</v>
      </c>
      <c r="AD21" s="38">
        <f>'Dez24'!I24</f>
        <v>-4.0580449999999999</v>
      </c>
      <c r="AE21" s="40">
        <f t="shared" si="16"/>
        <v>1.0030280507624346E-2</v>
      </c>
      <c r="AF21" s="36">
        <f t="shared" si="17"/>
        <v>-5.7499488873360982E-8</v>
      </c>
      <c r="AG21" s="38">
        <f>Paralelo!J24</f>
        <v>-1.1716390000000001</v>
      </c>
      <c r="AH21" s="40">
        <f t="shared" si="18"/>
        <v>1.7111470994371353E-2</v>
      </c>
      <c r="AI21" s="38">
        <f>'Dez24'!J24</f>
        <v>-1.1716359999999999</v>
      </c>
      <c r="AJ21" s="40">
        <f t="shared" si="19"/>
        <v>1.7111427679997567E-2</v>
      </c>
      <c r="AK21" s="36">
        <f t="shared" si="20"/>
        <v>4.3314373785602323E-8</v>
      </c>
      <c r="AL21" s="38">
        <f>Paralelo!K24</f>
        <v>-2.4024169999999998</v>
      </c>
      <c r="AM21" s="40">
        <f t="shared" si="21"/>
        <v>7.8055407413024627E-3</v>
      </c>
      <c r="AN21" s="38">
        <f>'Dez24'!K24</f>
        <v>-2.4024160000000001</v>
      </c>
      <c r="AO21" s="40">
        <f t="shared" si="22"/>
        <v>7.8055466474087811E-3</v>
      </c>
      <c r="AP21" s="36">
        <f t="shared" si="23"/>
        <v>-5.906106318419313E-9</v>
      </c>
    </row>
    <row r="22" spans="2:42" ht="15" hidden="1" customHeight="1" outlineLevel="1" x14ac:dyDescent="0.3">
      <c r="B22" s="37" t="s">
        <v>63</v>
      </c>
      <c r="C22" s="38">
        <f>Paralelo!D25</f>
        <v>94.341449999999995</v>
      </c>
      <c r="D22" s="41">
        <f t="shared" si="0"/>
        <v>7.6764204788730564E-3</v>
      </c>
      <c r="E22" s="38">
        <f>'Dez24'!D25</f>
        <v>94.342483000000001</v>
      </c>
      <c r="F22" s="41">
        <f t="shared" si="1"/>
        <v>7.6767302794373687E-3</v>
      </c>
      <c r="G22" s="36">
        <f t="shared" si="2"/>
        <v>-3.0980056431231112E-7</v>
      </c>
      <c r="H22" s="38">
        <f>Paralelo!E25</f>
        <v>0</v>
      </c>
      <c r="I22" s="41">
        <f t="shared" si="3"/>
        <v>0</v>
      </c>
      <c r="J22" s="38">
        <f>'Dez24'!E25</f>
        <v>0</v>
      </c>
      <c r="K22" s="41">
        <f t="shared" si="4"/>
        <v>0</v>
      </c>
      <c r="L22" s="36">
        <f t="shared" si="5"/>
        <v>0</v>
      </c>
      <c r="M22" s="36">
        <v>1.867E-3</v>
      </c>
      <c r="N22" s="40">
        <f t="shared" si="6"/>
        <v>9.7929086731590663E-6</v>
      </c>
      <c r="O22" s="36">
        <v>9.5399999999999999E-4</v>
      </c>
      <c r="P22" s="40">
        <f t="shared" si="7"/>
        <v>5.213868685208459E-6</v>
      </c>
      <c r="Q22" s="36">
        <f t="shared" si="8"/>
        <v>4.5790399879506073E-6</v>
      </c>
      <c r="R22" s="38">
        <f>Paralelo!G25</f>
        <v>15.615</v>
      </c>
      <c r="S22" s="40">
        <f t="shared" si="9"/>
        <v>1.4186685832323508E-2</v>
      </c>
      <c r="T22" s="38">
        <f>'Dez24'!G25</f>
        <v>15.614997000000001</v>
      </c>
      <c r="U22" s="40">
        <f t="shared" si="10"/>
        <v>1.418668380274246E-2</v>
      </c>
      <c r="V22" s="36">
        <f t="shared" si="11"/>
        <v>2.0295810483628163E-9</v>
      </c>
      <c r="W22" s="38">
        <f>Paralelo!H25</f>
        <v>8.1171849999999992</v>
      </c>
      <c r="X22" s="40">
        <f t="shared" si="12"/>
        <v>1.7021140884441812E-2</v>
      </c>
      <c r="Y22" s="38">
        <f>'Dez24'!H25</f>
        <v>8.1182250000000007</v>
      </c>
      <c r="Z22" s="40">
        <f t="shared" si="13"/>
        <v>1.7023469509206721E-2</v>
      </c>
      <c r="AA22" s="36">
        <f t="shared" si="14"/>
        <v>-2.3286247649093039E-6</v>
      </c>
      <c r="AB22" s="38">
        <f>Paralelo!I25</f>
        <v>-7.0678289999999997</v>
      </c>
      <c r="AC22" s="40">
        <f t="shared" si="15"/>
        <v>1.7469467091641426E-2</v>
      </c>
      <c r="AD22" s="38">
        <f>'Dez24'!I25</f>
        <v>-7.0681669999999999</v>
      </c>
      <c r="AE22" s="40">
        <f t="shared" si="16"/>
        <v>1.7470406977924999E-2</v>
      </c>
      <c r="AF22" s="36">
        <f t="shared" si="17"/>
        <v>-9.3988628357272175E-7</v>
      </c>
      <c r="AG22" s="38">
        <f>Paralelo!J25</f>
        <v>-0.98600699999999997</v>
      </c>
      <c r="AH22" s="40">
        <f t="shared" si="18"/>
        <v>1.4400365795903956E-2</v>
      </c>
      <c r="AI22" s="38">
        <f>'Dez24'!J25</f>
        <v>-0.98600900000000002</v>
      </c>
      <c r="AJ22" s="40">
        <f t="shared" si="19"/>
        <v>1.4400395425991282E-2</v>
      </c>
      <c r="AK22" s="36">
        <f t="shared" si="20"/>
        <v>-2.9630087326412702E-8</v>
      </c>
      <c r="AL22" s="38">
        <f>Paralelo!K25</f>
        <v>-5.7751080000000004</v>
      </c>
      <c r="AM22" s="40">
        <f t="shared" si="21"/>
        <v>1.876353721249133E-2</v>
      </c>
      <c r="AN22" s="38">
        <f>'Dez24'!K25</f>
        <v>-5.7754440000000002</v>
      </c>
      <c r="AO22" s="40">
        <f t="shared" si="22"/>
        <v>1.8764650897886613E-2</v>
      </c>
      <c r="AP22" s="36">
        <f t="shared" si="23"/>
        <v>-1.1136853952826986E-6</v>
      </c>
    </row>
    <row r="23" spans="2:42" ht="15" hidden="1" customHeight="1" outlineLevel="1" x14ac:dyDescent="0.3">
      <c r="B23" s="37" t="s">
        <v>64</v>
      </c>
      <c r="C23" s="38">
        <f>Paralelo!D26</f>
        <v>50.416474999999998</v>
      </c>
      <c r="D23" s="41">
        <f t="shared" si="0"/>
        <v>4.1023119865402904E-3</v>
      </c>
      <c r="E23" s="38">
        <f>'Dez24'!D26</f>
        <v>50.416471000000001</v>
      </c>
      <c r="F23" s="41">
        <f t="shared" si="1"/>
        <v>4.1024322998587598E-3</v>
      </c>
      <c r="G23" s="36">
        <f t="shared" si="2"/>
        <v>-1.203133184694144E-7</v>
      </c>
      <c r="H23" s="38">
        <f>Paralelo!E26</f>
        <v>0</v>
      </c>
      <c r="I23" s="41">
        <f t="shared" si="3"/>
        <v>0</v>
      </c>
      <c r="J23" s="38">
        <f>'Dez24'!E26</f>
        <v>0</v>
      </c>
      <c r="K23" s="41">
        <f t="shared" si="4"/>
        <v>0</v>
      </c>
      <c r="L23" s="36">
        <f t="shared" si="5"/>
        <v>0</v>
      </c>
      <c r="M23" s="36">
        <v>0</v>
      </c>
      <c r="N23" s="40">
        <f t="shared" si="6"/>
        <v>0</v>
      </c>
      <c r="O23" s="36">
        <v>0</v>
      </c>
      <c r="P23" s="40">
        <f t="shared" si="7"/>
        <v>0</v>
      </c>
      <c r="Q23" s="36">
        <f t="shared" si="8"/>
        <v>0</v>
      </c>
      <c r="R23" s="38">
        <f>Paralelo!G26</f>
        <v>12.097785999999999</v>
      </c>
      <c r="S23" s="40">
        <f t="shared" si="9"/>
        <v>1.0991193675868182E-2</v>
      </c>
      <c r="T23" s="38">
        <f>'Dez24'!G26</f>
        <v>12.097787</v>
      </c>
      <c r="U23" s="40">
        <f t="shared" si="10"/>
        <v>1.0991195123631999E-2</v>
      </c>
      <c r="V23" s="36">
        <f t="shared" si="11"/>
        <v>-1.4477638168169937E-9</v>
      </c>
      <c r="W23" s="38">
        <f>Paralelo!H26</f>
        <v>6.7355270000000003</v>
      </c>
      <c r="X23" s="40">
        <f t="shared" si="12"/>
        <v>1.4123905516254923E-2</v>
      </c>
      <c r="Y23" s="38">
        <f>'Dez24'!H26</f>
        <v>6.7355280000000004</v>
      </c>
      <c r="Z23" s="40">
        <f t="shared" si="13"/>
        <v>1.4124030257403327E-2</v>
      </c>
      <c r="AA23" s="36">
        <f t="shared" si="14"/>
        <v>-1.2474114840371753E-7</v>
      </c>
      <c r="AB23" s="38">
        <f>Paralelo!I26</f>
        <v>-5.5203720000000001</v>
      </c>
      <c r="AC23" s="40">
        <f t="shared" si="15"/>
        <v>1.3644636420549899E-2</v>
      </c>
      <c r="AD23" s="38">
        <f>'Dez24'!I26</f>
        <v>-5.5203709999999999</v>
      </c>
      <c r="AE23" s="40">
        <f t="shared" si="16"/>
        <v>1.3644715530792467E-2</v>
      </c>
      <c r="AF23" s="36">
        <f t="shared" si="17"/>
        <v>-7.9110242568597444E-8</v>
      </c>
      <c r="AG23" s="38">
        <f>Paralelo!J26</f>
        <v>-0.68337999999999999</v>
      </c>
      <c r="AH23" s="40">
        <f t="shared" si="18"/>
        <v>9.9805802368592156E-3</v>
      </c>
      <c r="AI23" s="38">
        <f>'Dez24'!J26</f>
        <v>-0.68338100000000002</v>
      </c>
      <c r="AJ23" s="40">
        <f t="shared" si="19"/>
        <v>9.980595133116785E-3</v>
      </c>
      <c r="AK23" s="36">
        <f t="shared" si="20"/>
        <v>-1.4896257569466109E-8</v>
      </c>
      <c r="AL23" s="38">
        <f>Paralelo!K26</f>
        <v>-4.653708</v>
      </c>
      <c r="AM23" s="40">
        <f t="shared" si="21"/>
        <v>1.5120067578661491E-2</v>
      </c>
      <c r="AN23" s="38">
        <f>'Dez24'!K26</f>
        <v>-4.6537059999999997</v>
      </c>
      <c r="AO23" s="40">
        <f t="shared" si="22"/>
        <v>1.5120078814962157E-2</v>
      </c>
      <c r="AP23" s="36">
        <f t="shared" si="23"/>
        <v>-1.1236300665948273E-8</v>
      </c>
    </row>
    <row r="24" spans="2:42" ht="15" hidden="1" customHeight="1" outlineLevel="1" x14ac:dyDescent="0.3">
      <c r="B24" s="37" t="s">
        <v>65</v>
      </c>
      <c r="C24" s="38">
        <f>Paralelo!D27</f>
        <v>113.903358</v>
      </c>
      <c r="D24" s="41">
        <f t="shared" si="0"/>
        <v>9.2681432176801304E-3</v>
      </c>
      <c r="E24" s="38">
        <f>'Dez24'!D27</f>
        <v>113.903358</v>
      </c>
      <c r="F24" s="41">
        <f t="shared" si="1"/>
        <v>9.2684157707423765E-3</v>
      </c>
      <c r="G24" s="36">
        <f t="shared" si="2"/>
        <v>-2.7255306224611975E-7</v>
      </c>
      <c r="H24" s="38">
        <f>Paralelo!E27</f>
        <v>0</v>
      </c>
      <c r="I24" s="41">
        <f t="shared" si="3"/>
        <v>0</v>
      </c>
      <c r="J24" s="38">
        <f>'Dez24'!E27</f>
        <v>0</v>
      </c>
      <c r="K24" s="41">
        <f t="shared" si="4"/>
        <v>0</v>
      </c>
      <c r="L24" s="36">
        <f t="shared" si="5"/>
        <v>0</v>
      </c>
      <c r="M24" s="36">
        <v>0.85303600000000002</v>
      </c>
      <c r="N24" s="40">
        <f t="shared" si="6"/>
        <v>4.4743993802447337E-3</v>
      </c>
      <c r="O24" s="36">
        <v>2.7330000000000002E-3</v>
      </c>
      <c r="P24" s="40">
        <f t="shared" si="7"/>
        <v>1.4936586076178952E-5</v>
      </c>
      <c r="Q24" s="36">
        <f t="shared" si="8"/>
        <v>4.4594627941685547E-3</v>
      </c>
      <c r="R24" s="38">
        <f>Paralelo!G27</f>
        <v>11.594229</v>
      </c>
      <c r="S24" s="40">
        <f t="shared" si="9"/>
        <v>1.0533697360935918E-2</v>
      </c>
      <c r="T24" s="38">
        <f>'Dez24'!G27</f>
        <v>11.594229</v>
      </c>
      <c r="U24" s="40">
        <f t="shared" si="10"/>
        <v>1.0533697877725299E-2</v>
      </c>
      <c r="V24" s="36">
        <f t="shared" si="11"/>
        <v>-5.1678938038646205E-10</v>
      </c>
      <c r="W24" s="38">
        <f>Paralelo!H27</f>
        <v>5.0176090000000002</v>
      </c>
      <c r="X24" s="40">
        <f t="shared" si="12"/>
        <v>1.052155762028871E-2</v>
      </c>
      <c r="Y24" s="38">
        <f>'Dez24'!H27</f>
        <v>5.0176080000000001</v>
      </c>
      <c r="Z24" s="40">
        <f t="shared" si="13"/>
        <v>1.0521646886745775E-2</v>
      </c>
      <c r="AA24" s="36">
        <f t="shared" si="14"/>
        <v>-8.9266457064737792E-8</v>
      </c>
      <c r="AB24" s="38">
        <f>Paralelo!I27</f>
        <v>-4.4068990000000001</v>
      </c>
      <c r="AC24" s="40">
        <f t="shared" si="15"/>
        <v>1.0892478730977718E-2</v>
      </c>
      <c r="AD24" s="38">
        <f>'Dez24'!I27</f>
        <v>-4.4068940000000003</v>
      </c>
      <c r="AE24" s="40">
        <f t="shared" si="16"/>
        <v>1.0892531499124995E-2</v>
      </c>
      <c r="AF24" s="36">
        <f t="shared" si="17"/>
        <v>-5.2768147277074129E-8</v>
      </c>
      <c r="AG24" s="38">
        <f>Paralelo!J27</f>
        <v>-0.62377499999999997</v>
      </c>
      <c r="AH24" s="40">
        <f t="shared" si="18"/>
        <v>9.1100653183395133E-3</v>
      </c>
      <c r="AI24" s="38">
        <f>'Dez24'!J27</f>
        <v>-0.62377000000000005</v>
      </c>
      <c r="AJ24" s="40">
        <f t="shared" si="19"/>
        <v>9.1099925607885761E-3</v>
      </c>
      <c r="AK24" s="36">
        <f t="shared" si="20"/>
        <v>7.2757550937177506E-8</v>
      </c>
      <c r="AL24" s="38">
        <f>Paralelo!K27</f>
        <v>-3.4569329999999998</v>
      </c>
      <c r="AM24" s="40">
        <f t="shared" si="21"/>
        <v>1.1231701811739155E-2</v>
      </c>
      <c r="AN24" s="38">
        <f>'Dez24'!K27</f>
        <v>-3.456934</v>
      </c>
      <c r="AO24" s="40">
        <f t="shared" si="22"/>
        <v>1.1231718234482881E-2</v>
      </c>
      <c r="AP24" s="36">
        <f t="shared" si="23"/>
        <v>-1.6422743725694189E-8</v>
      </c>
    </row>
    <row r="25" spans="2:42" ht="15" hidden="1" customHeight="1" outlineLevel="1" x14ac:dyDescent="0.3">
      <c r="B25" s="37" t="s">
        <v>66</v>
      </c>
      <c r="C25" s="38">
        <f>Paralelo!D28</f>
        <v>145.662162</v>
      </c>
      <c r="D25" s="41">
        <f t="shared" si="0"/>
        <v>1.1852308856538931E-2</v>
      </c>
      <c r="E25" s="38">
        <f>'Dez24'!D28</f>
        <v>145.66216299999999</v>
      </c>
      <c r="F25" s="41">
        <f t="shared" si="1"/>
        <v>1.1852657484862269E-2</v>
      </c>
      <c r="G25" s="36">
        <f t="shared" si="2"/>
        <v>-3.4862832333851235E-7</v>
      </c>
      <c r="H25" s="38">
        <f>Paralelo!E28</f>
        <v>0</v>
      </c>
      <c r="I25" s="41">
        <f t="shared" si="3"/>
        <v>0</v>
      </c>
      <c r="J25" s="38">
        <f>'Dez24'!E28</f>
        <v>0</v>
      </c>
      <c r="K25" s="41">
        <f t="shared" si="4"/>
        <v>0</v>
      </c>
      <c r="L25" s="36">
        <f t="shared" si="5"/>
        <v>0</v>
      </c>
      <c r="M25" s="36">
        <v>4.7347780000000004</v>
      </c>
      <c r="N25" s="40">
        <f t="shared" si="6"/>
        <v>2.4835162582583149E-2</v>
      </c>
      <c r="O25" s="36">
        <v>4.050675</v>
      </c>
      <c r="P25" s="40">
        <f t="shared" si="7"/>
        <v>2.2138037249954692E-2</v>
      </c>
      <c r="Q25" s="36">
        <f t="shared" si="8"/>
        <v>2.6971253326284576E-3</v>
      </c>
      <c r="R25" s="38">
        <f>Paralelo!G28</f>
        <v>2.0891700000000002</v>
      </c>
      <c r="S25" s="40">
        <f t="shared" si="9"/>
        <v>1.8980722664306952E-3</v>
      </c>
      <c r="T25" s="38">
        <f>'Dez24'!G28</f>
        <v>2.0891709999999999</v>
      </c>
      <c r="U25" s="40">
        <f t="shared" si="10"/>
        <v>1.898073268080632E-3</v>
      </c>
      <c r="V25" s="36">
        <f t="shared" si="11"/>
        <v>-1.0016499368218496E-9</v>
      </c>
      <c r="W25" s="38">
        <f>Paralelo!H28</f>
        <v>0.13273499999999999</v>
      </c>
      <c r="X25" s="40">
        <f t="shared" si="12"/>
        <v>2.7833554801281281E-4</v>
      </c>
      <c r="Y25" s="38">
        <f>'Dez24'!H28</f>
        <v>0.13273499999999999</v>
      </c>
      <c r="Z25" s="40">
        <f t="shared" si="13"/>
        <v>2.7833796492515961E-4</v>
      </c>
      <c r="AA25" s="36">
        <f t="shared" si="14"/>
        <v>-2.4169123467995476E-9</v>
      </c>
      <c r="AB25" s="38">
        <f>Paralelo!I28</f>
        <v>-0.332783</v>
      </c>
      <c r="AC25" s="40">
        <f t="shared" si="15"/>
        <v>8.2253569903257553E-4</v>
      </c>
      <c r="AD25" s="38">
        <f>'Dez24'!I28</f>
        <v>-0.33278200000000002</v>
      </c>
      <c r="AE25" s="40">
        <f t="shared" si="16"/>
        <v>8.2253814531091829E-4</v>
      </c>
      <c r="AF25" s="36">
        <f t="shared" si="17"/>
        <v>-2.4462783427625992E-9</v>
      </c>
      <c r="AG25" s="38">
        <f>Paralelo!J28</f>
        <v>-0.10208399999999999</v>
      </c>
      <c r="AH25" s="40">
        <f t="shared" si="18"/>
        <v>1.4909092348320643E-3</v>
      </c>
      <c r="AI25" s="38">
        <f>'Dez24'!J28</f>
        <v>-0.102085</v>
      </c>
      <c r="AJ25" s="40">
        <f t="shared" si="19"/>
        <v>1.4909238831109248E-3</v>
      </c>
      <c r="AK25" s="36">
        <f t="shared" si="20"/>
        <v>-1.4648278860501449E-8</v>
      </c>
      <c r="AL25" s="38">
        <f>Paralelo!K28</f>
        <v>-7.3282E-2</v>
      </c>
      <c r="AM25" s="40">
        <f t="shared" si="21"/>
        <v>2.3809589950625853E-4</v>
      </c>
      <c r="AN25" s="38">
        <f>'Dez24'!K28</f>
        <v>-7.3279999999999998E-2</v>
      </c>
      <c r="AO25" s="40">
        <f t="shared" si="22"/>
        <v>2.3808968068898784E-4</v>
      </c>
      <c r="AP25" s="36">
        <f t="shared" si="23"/>
        <v>6.2188172706854807E-9</v>
      </c>
    </row>
    <row r="26" spans="2:42" ht="15" hidden="1" customHeight="1" outlineLevel="1" x14ac:dyDescent="0.3">
      <c r="B26" s="37" t="s">
        <v>67</v>
      </c>
      <c r="C26" s="38">
        <f>Paralelo!D29</f>
        <v>29.940097000000002</v>
      </c>
      <c r="D26" s="41">
        <f t="shared" si="0"/>
        <v>2.4361802129418807E-3</v>
      </c>
      <c r="E26" s="38">
        <f>'Dez24'!D29</f>
        <v>29.940097000000002</v>
      </c>
      <c r="F26" s="41">
        <f t="shared" si="1"/>
        <v>2.4362518549484427E-3</v>
      </c>
      <c r="G26" s="36">
        <f t="shared" si="2"/>
        <v>-7.1642006561987298E-8</v>
      </c>
      <c r="H26" s="38">
        <f>Paralelo!E29</f>
        <v>0</v>
      </c>
      <c r="I26" s="41">
        <f t="shared" si="3"/>
        <v>0</v>
      </c>
      <c r="J26" s="38">
        <f>'Dez24'!E29</f>
        <v>0</v>
      </c>
      <c r="K26" s="41">
        <f t="shared" si="4"/>
        <v>0</v>
      </c>
      <c r="L26" s="36">
        <f t="shared" si="5"/>
        <v>0</v>
      </c>
      <c r="M26" s="36">
        <v>0</v>
      </c>
      <c r="N26" s="40">
        <f t="shared" si="6"/>
        <v>0</v>
      </c>
      <c r="O26" s="36">
        <v>0</v>
      </c>
      <c r="P26" s="40">
        <f t="shared" si="7"/>
        <v>0</v>
      </c>
      <c r="Q26" s="36">
        <f t="shared" si="8"/>
        <v>0</v>
      </c>
      <c r="R26" s="38">
        <f>Paralelo!G29</f>
        <v>8.1984209999999997</v>
      </c>
      <c r="S26" s="40">
        <f t="shared" si="9"/>
        <v>7.4485061189960627E-3</v>
      </c>
      <c r="T26" s="38">
        <f>'Dez24'!G29</f>
        <v>8.1984209999999997</v>
      </c>
      <c r="U26" s="40">
        <f t="shared" si="10"/>
        <v>7.4485064844241489E-3</v>
      </c>
      <c r="V26" s="36">
        <f t="shared" si="11"/>
        <v>-3.6542808622835876E-10</v>
      </c>
      <c r="W26" s="38">
        <f>Paralelo!H29</f>
        <v>2.33595</v>
      </c>
      <c r="X26" s="40">
        <f t="shared" si="12"/>
        <v>4.8983156166838449E-3</v>
      </c>
      <c r="Y26" s="38">
        <f>'Dez24'!H29</f>
        <v>2.3359489999999998</v>
      </c>
      <c r="Z26" s="40">
        <f t="shared" si="13"/>
        <v>4.8983560540095802E-3</v>
      </c>
      <c r="AA26" s="36">
        <f t="shared" si="14"/>
        <v>-4.0437325735283303E-8</v>
      </c>
      <c r="AB26" s="38">
        <f>Paralelo!I29</f>
        <v>-2.468645</v>
      </c>
      <c r="AC26" s="40">
        <f t="shared" si="15"/>
        <v>6.1017198617064946E-3</v>
      </c>
      <c r="AD26" s="38">
        <f>'Dez24'!I29</f>
        <v>-2.4686490000000001</v>
      </c>
      <c r="AE26" s="40">
        <f t="shared" si="16"/>
        <v>6.1017662309970286E-3</v>
      </c>
      <c r="AF26" s="36">
        <f t="shared" si="17"/>
        <v>-4.6369290533990193E-8</v>
      </c>
      <c r="AG26" s="38">
        <f>Paralelo!J29</f>
        <v>-0.39780399999999999</v>
      </c>
      <c r="AH26" s="40">
        <f t="shared" si="18"/>
        <v>5.8098199252883363E-3</v>
      </c>
      <c r="AI26" s="38">
        <f>'Dez24'!J29</f>
        <v>-0.39780500000000002</v>
      </c>
      <c r="AJ26" s="40">
        <f t="shared" si="19"/>
        <v>5.8098346997202477E-3</v>
      </c>
      <c r="AK26" s="36">
        <f t="shared" si="20"/>
        <v>-1.4774431911397656E-8</v>
      </c>
      <c r="AL26" s="38">
        <f>Paralelo!K29</f>
        <v>-1.9973449999999999</v>
      </c>
      <c r="AM26" s="40">
        <f t="shared" si="21"/>
        <v>6.4894469910664002E-3</v>
      </c>
      <c r="AN26" s="38">
        <f>'Dez24'!K29</f>
        <v>-1.9973449999999999</v>
      </c>
      <c r="AO26" s="40">
        <f t="shared" si="22"/>
        <v>6.4894546025620423E-3</v>
      </c>
      <c r="AP26" s="36">
        <f t="shared" si="23"/>
        <v>-7.6114956421013957E-9</v>
      </c>
    </row>
    <row r="27" spans="2:42" ht="15" hidden="1" customHeight="1" outlineLevel="1" x14ac:dyDescent="0.3">
      <c r="B27" s="37" t="s">
        <v>68</v>
      </c>
      <c r="C27" s="38">
        <f>Paralelo!D30</f>
        <v>0.46905000000000002</v>
      </c>
      <c r="D27" s="41">
        <f t="shared" si="0"/>
        <v>3.8165885998311533E-5</v>
      </c>
      <c r="E27" s="38">
        <f>'Dez24'!D30</f>
        <v>0.46904899999999999</v>
      </c>
      <c r="F27" s="41">
        <f t="shared" si="1"/>
        <v>3.8166926991309079E-5</v>
      </c>
      <c r="G27" s="36">
        <f t="shared" si="2"/>
        <v>-1.0409929975457389E-9</v>
      </c>
      <c r="H27" s="38">
        <f>Paralelo!E30</f>
        <v>6.0889999999999998E-3</v>
      </c>
      <c r="I27" s="41">
        <f t="shared" si="3"/>
        <v>1.4344029734492834E-5</v>
      </c>
      <c r="J27" s="38">
        <f>'Dez24'!E30</f>
        <v>6.0889999999999998E-3</v>
      </c>
      <c r="K27" s="41">
        <f t="shared" si="4"/>
        <v>1.4344029700702198E-5</v>
      </c>
      <c r="L27" s="36">
        <f t="shared" si="5"/>
        <v>3.3790636236904863E-14</v>
      </c>
      <c r="M27" s="36">
        <v>5.1274730000000002</v>
      </c>
      <c r="N27" s="40">
        <f t="shared" si="6"/>
        <v>2.6894951694209395E-2</v>
      </c>
      <c r="O27" s="36">
        <v>0.80230900000000005</v>
      </c>
      <c r="P27" s="40">
        <f t="shared" si="7"/>
        <v>4.3848362379045221E-3</v>
      </c>
      <c r="Q27" s="36">
        <f t="shared" si="8"/>
        <v>2.2510115456304873E-2</v>
      </c>
      <c r="R27" s="38">
        <f>Paralelo!G30</f>
        <v>0.190606</v>
      </c>
      <c r="S27" s="40">
        <f t="shared" si="9"/>
        <v>1.7317114567760836E-4</v>
      </c>
      <c r="T27" s="38">
        <f>'Dez24'!G30</f>
        <v>0.190606</v>
      </c>
      <c r="U27" s="40">
        <f t="shared" si="10"/>
        <v>1.7317115417348652E-4</v>
      </c>
      <c r="V27" s="36">
        <f t="shared" si="11"/>
        <v>-8.4958781546365381E-12</v>
      </c>
      <c r="W27" s="38">
        <f>Paralelo!H30</f>
        <v>9.2800000000000001E-4</v>
      </c>
      <c r="X27" s="40">
        <f t="shared" si="12"/>
        <v>1.9459478551692494E-6</v>
      </c>
      <c r="Y27" s="38">
        <f>'Dez24'!H30</f>
        <v>9.2800000000000001E-4</v>
      </c>
      <c r="Z27" s="40">
        <f t="shared" si="13"/>
        <v>1.945964752706883E-6</v>
      </c>
      <c r="AA27" s="36">
        <f t="shared" si="14"/>
        <v>-1.6897537633612473E-11</v>
      </c>
      <c r="AB27" s="38">
        <f>Paralelo!I30</f>
        <v>-1.7937000000000002E-2</v>
      </c>
      <c r="AC27" s="40">
        <f t="shared" si="15"/>
        <v>4.4334665032610767E-5</v>
      </c>
      <c r="AD27" s="38">
        <f>'Dez24'!I30</f>
        <v>-1.7937000000000002E-2</v>
      </c>
      <c r="AE27" s="40">
        <f t="shared" si="16"/>
        <v>4.4334930111730629E-5</v>
      </c>
      <c r="AF27" s="36">
        <f t="shared" si="17"/>
        <v>-2.6507911986181068E-10</v>
      </c>
      <c r="AG27" s="38">
        <f>Paralelo!J30</f>
        <v>-1.5744000000000001E-2</v>
      </c>
      <c r="AH27" s="40">
        <f t="shared" si="18"/>
        <v>2.299368656517772E-4</v>
      </c>
      <c r="AI27" s="38">
        <f>'Dez24'!J30</f>
        <v>-1.5743E-2</v>
      </c>
      <c r="AJ27" s="40">
        <f t="shared" si="19"/>
        <v>2.2992226763790264E-4</v>
      </c>
      <c r="AK27" s="36">
        <f t="shared" si="20"/>
        <v>1.4598013874561654E-8</v>
      </c>
      <c r="AL27" s="38">
        <f>Paralelo!K30</f>
        <v>-9.01E-4</v>
      </c>
      <c r="AM27" s="40">
        <f t="shared" si="21"/>
        <v>2.9273819690393132E-6</v>
      </c>
      <c r="AN27" s="38">
        <f>'Dez24'!K30</f>
        <v>-9.01E-4</v>
      </c>
      <c r="AO27" s="40">
        <f t="shared" si="22"/>
        <v>2.9273854025761199E-6</v>
      </c>
      <c r="AP27" s="36">
        <f t="shared" si="23"/>
        <v>-3.433536806772135E-12</v>
      </c>
    </row>
    <row r="28" spans="2:42" ht="15" hidden="1" customHeight="1" outlineLevel="1" x14ac:dyDescent="0.3">
      <c r="B28" s="37" t="s">
        <v>69</v>
      </c>
      <c r="C28" s="38">
        <f>Paralelo!D31</f>
        <v>103.985032</v>
      </c>
      <c r="D28" s="41">
        <f t="shared" si="0"/>
        <v>8.4611040973089791E-3</v>
      </c>
      <c r="E28" s="38">
        <f>'Dez24'!D31</f>
        <v>103.98503599999999</v>
      </c>
      <c r="F28" s="41">
        <f t="shared" si="1"/>
        <v>8.4613532428395467E-3</v>
      </c>
      <c r="G28" s="36">
        <f t="shared" si="2"/>
        <v>-2.4914553056754052E-7</v>
      </c>
      <c r="H28" s="38">
        <f>Paralelo!E31</f>
        <v>6.2306E-2</v>
      </c>
      <c r="I28" s="41">
        <f t="shared" si="3"/>
        <v>1.4677600864465603E-4</v>
      </c>
      <c r="J28" s="38">
        <f>'Dez24'!E31</f>
        <v>6.2306E-2</v>
      </c>
      <c r="K28" s="41">
        <f t="shared" si="4"/>
        <v>1.4677600829889162E-4</v>
      </c>
      <c r="L28" s="36">
        <f t="shared" si="5"/>
        <v>3.4576440560533939E-13</v>
      </c>
      <c r="M28" s="36">
        <v>8.8667999999999997E-2</v>
      </c>
      <c r="N28" s="40">
        <f t="shared" si="6"/>
        <v>4.6508710564095772E-4</v>
      </c>
      <c r="O28" s="36">
        <v>4.75E-4</v>
      </c>
      <c r="P28" s="40">
        <f t="shared" si="7"/>
        <v>2.5960038002872306E-6</v>
      </c>
      <c r="Q28" s="36">
        <f t="shared" si="8"/>
        <v>4.6249110184067049E-4</v>
      </c>
      <c r="R28" s="38">
        <f>Paralelo!G31</f>
        <v>7.8018390000000002</v>
      </c>
      <c r="S28" s="40">
        <f t="shared" si="9"/>
        <v>7.0881997314997764E-3</v>
      </c>
      <c r="T28" s="38">
        <f>'Dez24'!G31</f>
        <v>7.8018400000000003</v>
      </c>
      <c r="U28" s="40">
        <f t="shared" si="10"/>
        <v>7.0882009877804159E-3</v>
      </c>
      <c r="V28" s="36">
        <f t="shared" si="11"/>
        <v>-1.2562806394125769E-9</v>
      </c>
      <c r="W28" s="38">
        <f>Paralelo!H31</f>
        <v>1.586409</v>
      </c>
      <c r="X28" s="40">
        <f t="shared" si="12"/>
        <v>3.3265831799258552E-3</v>
      </c>
      <c r="Y28" s="38">
        <f>'Dez24'!H31</f>
        <v>1.586409</v>
      </c>
      <c r="Z28" s="40">
        <f t="shared" si="13"/>
        <v>3.3266120661389802E-3</v>
      </c>
      <c r="AA28" s="36">
        <f t="shared" si="14"/>
        <v>-2.8886213125026844E-8</v>
      </c>
      <c r="AB28" s="38">
        <f>Paralelo!I31</f>
        <v>-1.292144</v>
      </c>
      <c r="AC28" s="40">
        <f t="shared" si="15"/>
        <v>3.193776630088521E-3</v>
      </c>
      <c r="AD28" s="38">
        <f>'Dez24'!I31</f>
        <v>-1.292143</v>
      </c>
      <c r="AE28" s="40">
        <f t="shared" si="16"/>
        <v>3.1937932541317915E-3</v>
      </c>
      <c r="AF28" s="36">
        <f t="shared" si="17"/>
        <v>-1.6624043270435651E-8</v>
      </c>
      <c r="AG28" s="38">
        <f>Paralelo!J31</f>
        <v>-0.36968000000000001</v>
      </c>
      <c r="AH28" s="40">
        <f t="shared" si="18"/>
        <v>5.3990765049637315E-3</v>
      </c>
      <c r="AI28" s="38">
        <f>'Dez24'!J31</f>
        <v>-0.36967899999999998</v>
      </c>
      <c r="AJ28" s="40">
        <f t="shared" si="19"/>
        <v>5.3990620579376361E-3</v>
      </c>
      <c r="AK28" s="36">
        <f t="shared" si="20"/>
        <v>1.4447026095397442E-8</v>
      </c>
      <c r="AL28" s="38">
        <f>Paralelo!K31</f>
        <v>-0.62299099999999996</v>
      </c>
      <c r="AM28" s="40">
        <f t="shared" si="21"/>
        <v>2.0241205552428087E-3</v>
      </c>
      <c r="AN28" s="38">
        <f>'Dez24'!K31</f>
        <v>-0.62299199999999999</v>
      </c>
      <c r="AO28" s="40">
        <f t="shared" si="22"/>
        <v>2.0241261783814674E-3</v>
      </c>
      <c r="AP28" s="36">
        <f t="shared" si="23"/>
        <v>-5.6231386586988452E-9</v>
      </c>
    </row>
    <row r="29" spans="2:42" ht="15" hidden="1" customHeight="1" outlineLevel="1" x14ac:dyDescent="0.3">
      <c r="B29" s="37" t="s">
        <v>70</v>
      </c>
      <c r="C29" s="38">
        <f>Paralelo!D32</f>
        <v>61.623359999999998</v>
      </c>
      <c r="D29" s="41">
        <f t="shared" si="0"/>
        <v>5.0141991953798334E-3</v>
      </c>
      <c r="E29" s="38">
        <f>'Dez24'!D32</f>
        <v>61.623358000000003</v>
      </c>
      <c r="F29" s="41">
        <f t="shared" si="1"/>
        <v>5.0143464877769753E-3</v>
      </c>
      <c r="G29" s="36">
        <f t="shared" si="2"/>
        <v>-1.4729239714190989E-7</v>
      </c>
      <c r="H29" s="38">
        <f>Paralelo!E32</f>
        <v>0</v>
      </c>
      <c r="I29" s="41">
        <f t="shared" si="3"/>
        <v>0</v>
      </c>
      <c r="J29" s="38">
        <f>'Dez24'!E32</f>
        <v>0</v>
      </c>
      <c r="K29" s="41">
        <f t="shared" si="4"/>
        <v>0</v>
      </c>
      <c r="L29" s="36">
        <f t="shared" si="5"/>
        <v>0</v>
      </c>
      <c r="M29" s="36">
        <v>0</v>
      </c>
      <c r="N29" s="40">
        <f t="shared" si="6"/>
        <v>0</v>
      </c>
      <c r="O29" s="36">
        <v>0</v>
      </c>
      <c r="P29" s="40">
        <f t="shared" si="7"/>
        <v>0</v>
      </c>
      <c r="Q29" s="36">
        <f t="shared" si="8"/>
        <v>0</v>
      </c>
      <c r="R29" s="38">
        <f>Paralelo!G32</f>
        <v>1.9614739999999999</v>
      </c>
      <c r="S29" s="40">
        <f t="shared" si="9"/>
        <v>1.7820567022908049E-3</v>
      </c>
      <c r="T29" s="38">
        <f>'Dez24'!G32</f>
        <v>1.9614739999999999</v>
      </c>
      <c r="U29" s="40">
        <f t="shared" si="10"/>
        <v>1.7820567897195538E-3</v>
      </c>
      <c r="V29" s="36">
        <f t="shared" si="11"/>
        <v>-8.7428748919357591E-11</v>
      </c>
      <c r="W29" s="38">
        <f>Paralelo!H32</f>
        <v>0</v>
      </c>
      <c r="X29" s="40">
        <f t="shared" si="12"/>
        <v>0</v>
      </c>
      <c r="Y29" s="38">
        <f>'Dez24'!H32</f>
        <v>0</v>
      </c>
      <c r="Z29" s="40">
        <f t="shared" si="13"/>
        <v>0</v>
      </c>
      <c r="AA29" s="36">
        <f t="shared" si="14"/>
        <v>0</v>
      </c>
      <c r="AB29" s="38">
        <f>Paralelo!I32</f>
        <v>-0.23284099999999999</v>
      </c>
      <c r="AC29" s="40">
        <f t="shared" si="15"/>
        <v>5.7551027155366681E-4</v>
      </c>
      <c r="AD29" s="38">
        <f>'Dez24'!I32</f>
        <v>-0.23284299999999999</v>
      </c>
      <c r="AE29" s="40">
        <f t="shared" si="16"/>
        <v>5.7551865596285295E-4</v>
      </c>
      <c r="AF29" s="36">
        <f t="shared" si="17"/>
        <v>-8.384409186140869E-9</v>
      </c>
      <c r="AG29" s="38">
        <f>Paralelo!J32</f>
        <v>-0.15795000000000001</v>
      </c>
      <c r="AH29" s="40">
        <f t="shared" si="18"/>
        <v>2.3068170687054247E-3</v>
      </c>
      <c r="AI29" s="38">
        <f>'Dez24'!J32</f>
        <v>-0.15794900000000001</v>
      </c>
      <c r="AJ29" s="40">
        <f t="shared" si="19"/>
        <v>2.3068025313561003E-3</v>
      </c>
      <c r="AK29" s="36">
        <f t="shared" si="20"/>
        <v>1.4537349324328375E-8</v>
      </c>
      <c r="AL29" s="38">
        <f>Paralelo!K32</f>
        <v>0</v>
      </c>
      <c r="AM29" s="40">
        <f t="shared" si="21"/>
        <v>0</v>
      </c>
      <c r="AN29" s="38">
        <f>'Dez24'!K32</f>
        <v>0</v>
      </c>
      <c r="AO29" s="40">
        <f t="shared" si="22"/>
        <v>0</v>
      </c>
      <c r="AP29" s="36">
        <f t="shared" si="23"/>
        <v>0</v>
      </c>
    </row>
    <row r="30" spans="2:42" ht="15" hidden="1" customHeight="1" outlineLevel="1" x14ac:dyDescent="0.3">
      <c r="B30" s="37" t="s">
        <v>71</v>
      </c>
      <c r="C30" s="38">
        <f>Paralelo!D33</f>
        <v>93.631495000000001</v>
      </c>
      <c r="D30" s="41">
        <f t="shared" si="0"/>
        <v>7.6186525189670101E-3</v>
      </c>
      <c r="E30" s="38">
        <f>'Dez24'!D33</f>
        <v>93.631493000000006</v>
      </c>
      <c r="F30" s="41">
        <f t="shared" si="1"/>
        <v>7.6188764018647681E-3</v>
      </c>
      <c r="G30" s="36">
        <f t="shared" si="2"/>
        <v>-2.2388289775809173E-7</v>
      </c>
      <c r="H30" s="38">
        <f>Paralelo!E33</f>
        <v>0</v>
      </c>
      <c r="I30" s="41">
        <f t="shared" si="3"/>
        <v>0</v>
      </c>
      <c r="J30" s="38">
        <f>'Dez24'!E33</f>
        <v>0</v>
      </c>
      <c r="K30" s="41">
        <f t="shared" si="4"/>
        <v>0</v>
      </c>
      <c r="L30" s="36">
        <f t="shared" si="5"/>
        <v>0</v>
      </c>
      <c r="M30" s="36">
        <v>0</v>
      </c>
      <c r="N30" s="40">
        <f t="shared" si="6"/>
        <v>0</v>
      </c>
      <c r="O30" s="36">
        <v>0</v>
      </c>
      <c r="P30" s="40">
        <f t="shared" si="7"/>
        <v>0</v>
      </c>
      <c r="Q30" s="36">
        <f t="shared" si="8"/>
        <v>0</v>
      </c>
      <c r="R30" s="38">
        <f>Paralelo!G33</f>
        <v>7.2807930000000001</v>
      </c>
      <c r="S30" s="40">
        <f t="shared" si="9"/>
        <v>6.6148141467294377E-3</v>
      </c>
      <c r="T30" s="38">
        <f>'Dez24'!G33</f>
        <v>7.2807930000000001</v>
      </c>
      <c r="U30" s="40">
        <f t="shared" si="10"/>
        <v>6.6148144712561063E-3</v>
      </c>
      <c r="V30" s="36">
        <f t="shared" si="11"/>
        <v>-3.2452666855892209E-10</v>
      </c>
      <c r="W30" s="38">
        <f>Paralelo!H33</f>
        <v>2.5458530000000001</v>
      </c>
      <c r="X30" s="40">
        <f t="shared" si="12"/>
        <v>5.3384667941015077E-3</v>
      </c>
      <c r="Y30" s="38">
        <f>'Dez24'!H33</f>
        <v>2.5458560000000001</v>
      </c>
      <c r="Z30" s="40">
        <f t="shared" si="13"/>
        <v>5.338519441236352E-3</v>
      </c>
      <c r="AA30" s="36">
        <f t="shared" si="14"/>
        <v>-5.2647134844360788E-8</v>
      </c>
      <c r="AB30" s="38">
        <f>Paralelo!I33</f>
        <v>-2.3462550000000002</v>
      </c>
      <c r="AC30" s="40">
        <f t="shared" si="15"/>
        <v>5.7992099852867355E-3</v>
      </c>
      <c r="AD30" s="38">
        <f>'Dez24'!I33</f>
        <v>-2.3462510000000001</v>
      </c>
      <c r="AE30" s="40">
        <f t="shared" si="16"/>
        <v>5.7992347722349387E-3</v>
      </c>
      <c r="AF30" s="36">
        <f t="shared" si="17"/>
        <v>-2.4786948203160686E-8</v>
      </c>
      <c r="AG30" s="38">
        <f>Paralelo!J33</f>
        <v>-0.37250100000000003</v>
      </c>
      <c r="AH30" s="40">
        <f t="shared" si="18"/>
        <v>5.4402764476722985E-3</v>
      </c>
      <c r="AI30" s="38">
        <f>'Dez24'!J33</f>
        <v>-0.37250100000000003</v>
      </c>
      <c r="AJ30" s="40">
        <f t="shared" si="19"/>
        <v>5.4402766065798375E-3</v>
      </c>
      <c r="AK30" s="36">
        <f t="shared" si="20"/>
        <v>-1.5890753903707866E-10</v>
      </c>
      <c r="AL30" s="38">
        <f>Paralelo!K33</f>
        <v>-1.6856120000000001</v>
      </c>
      <c r="AM30" s="40">
        <f t="shared" si="21"/>
        <v>5.4766150672544891E-3</v>
      </c>
      <c r="AN30" s="38">
        <f>'Dez24'!K33</f>
        <v>-1.6856100000000001</v>
      </c>
      <c r="AO30" s="40">
        <f t="shared" si="22"/>
        <v>5.4766149927151318E-3</v>
      </c>
      <c r="AP30" s="36">
        <f t="shared" si="23"/>
        <v>7.4539357325376088E-11</v>
      </c>
    </row>
    <row r="31" spans="2:42" ht="15" hidden="1" customHeight="1" outlineLevel="1" x14ac:dyDescent="0.3">
      <c r="B31" s="37" t="s">
        <v>72</v>
      </c>
      <c r="C31" s="38">
        <f>Paralelo!D34</f>
        <v>187.95646199999999</v>
      </c>
      <c r="D31" s="41">
        <f t="shared" si="0"/>
        <v>1.529373180116826E-2</v>
      </c>
      <c r="E31" s="38">
        <f>'Dez24'!D34</f>
        <v>187.956467</v>
      </c>
      <c r="F31" s="41">
        <f t="shared" si="1"/>
        <v>1.5294181958672538E-2</v>
      </c>
      <c r="G31" s="36">
        <f t="shared" si="2"/>
        <v>-4.501575042777789E-7</v>
      </c>
      <c r="H31" s="38">
        <f>Paralelo!E34</f>
        <v>0</v>
      </c>
      <c r="I31" s="41">
        <f t="shared" si="3"/>
        <v>0</v>
      </c>
      <c r="J31" s="38">
        <f>'Dez24'!E34</f>
        <v>0</v>
      </c>
      <c r="K31" s="41">
        <f t="shared" si="4"/>
        <v>0</v>
      </c>
      <c r="L31" s="36">
        <f t="shared" si="5"/>
        <v>0</v>
      </c>
      <c r="M31" s="36">
        <v>0.34408699999999998</v>
      </c>
      <c r="N31" s="40">
        <f t="shared" si="6"/>
        <v>1.8048272986723533E-3</v>
      </c>
      <c r="O31" s="36">
        <v>0.43427199999999999</v>
      </c>
      <c r="P31" s="40">
        <f t="shared" si="7"/>
        <v>2.3734142365438656E-3</v>
      </c>
      <c r="Q31" s="36">
        <f t="shared" si="8"/>
        <v>-5.6858693787151227E-4</v>
      </c>
      <c r="R31" s="38">
        <f>Paralelo!G34</f>
        <v>12.327617999999999</v>
      </c>
      <c r="S31" s="40">
        <f t="shared" si="9"/>
        <v>1.1200002793909461E-2</v>
      </c>
      <c r="T31" s="38">
        <f>'Dez24'!G34</f>
        <v>12.32762</v>
      </c>
      <c r="U31" s="40">
        <f t="shared" si="10"/>
        <v>1.1200005160446972E-2</v>
      </c>
      <c r="V31" s="36">
        <f t="shared" si="11"/>
        <v>-2.366537511094835E-9</v>
      </c>
      <c r="W31" s="38">
        <f>Paralelo!H34</f>
        <v>9.4330499999999997</v>
      </c>
      <c r="X31" s="40">
        <f t="shared" si="12"/>
        <v>1.9780413162935655E-2</v>
      </c>
      <c r="Y31" s="38">
        <f>'Dez24'!H34</f>
        <v>9.4330490000000005</v>
      </c>
      <c r="Z31" s="40">
        <f t="shared" si="13"/>
        <v>1.9780582828186326E-2</v>
      </c>
      <c r="AA31" s="36">
        <f t="shared" si="14"/>
        <v>-1.696652506717744E-7</v>
      </c>
      <c r="AB31" s="38">
        <f>Paralelo!I34</f>
        <v>-9.3132990000000007</v>
      </c>
      <c r="AC31" s="40">
        <f t="shared" si="15"/>
        <v>2.3019568016588551E-2</v>
      </c>
      <c r="AD31" s="38">
        <f>'Dez24'!I34</f>
        <v>-9.3132979999999996</v>
      </c>
      <c r="AE31" s="40">
        <f t="shared" si="16"/>
        <v>2.3019703180003379E-2</v>
      </c>
      <c r="AF31" s="36">
        <f t="shared" si="17"/>
        <v>-1.3516341482860961E-7</v>
      </c>
      <c r="AG31" s="38">
        <f>Paralelo!J34</f>
        <v>-0.65494699999999995</v>
      </c>
      <c r="AH31" s="40">
        <f t="shared" si="18"/>
        <v>9.5653239550326785E-3</v>
      </c>
      <c r="AI31" s="38">
        <f>'Dez24'!J34</f>
        <v>-0.65494799999999997</v>
      </c>
      <c r="AJ31" s="40">
        <f t="shared" si="19"/>
        <v>9.5653388391608359E-3</v>
      </c>
      <c r="AK31" s="36">
        <f t="shared" si="20"/>
        <v>-1.4884128157408028E-8</v>
      </c>
      <c r="AL31" s="38">
        <f>Paralelo!K34</f>
        <v>-8.3726929999999999</v>
      </c>
      <c r="AM31" s="40">
        <f t="shared" si="21"/>
        <v>2.7203185927304852E-2</v>
      </c>
      <c r="AN31" s="38">
        <f>'Dez24'!K34</f>
        <v>-8.3726920000000007</v>
      </c>
      <c r="AO31" s="40">
        <f t="shared" si="22"/>
        <v>2.7203214584978756E-2</v>
      </c>
      <c r="AP31" s="36">
        <f t="shared" si="23"/>
        <v>-2.8657673904058933E-8</v>
      </c>
    </row>
    <row r="32" spans="2:42" ht="15" hidden="1" customHeight="1" outlineLevel="1" x14ac:dyDescent="0.3">
      <c r="B32" s="37" t="s">
        <v>73</v>
      </c>
      <c r="C32" s="38">
        <f>Paralelo!D35</f>
        <v>20.014637</v>
      </c>
      <c r="D32" s="41">
        <f t="shared" si="0"/>
        <v>1.628560609827498E-3</v>
      </c>
      <c r="E32" s="38">
        <f>'Dez24'!D35</f>
        <v>20.014634999999998</v>
      </c>
      <c r="F32" s="41">
        <f t="shared" si="1"/>
        <v>1.6286083390065842E-3</v>
      </c>
      <c r="G32" s="36">
        <f t="shared" si="2"/>
        <v>-4.7729179086233517E-8</v>
      </c>
      <c r="H32" s="38">
        <f>Paralelo!E35</f>
        <v>0</v>
      </c>
      <c r="I32" s="41">
        <f t="shared" si="3"/>
        <v>0</v>
      </c>
      <c r="J32" s="38">
        <f>'Dez24'!E35</f>
        <v>0</v>
      </c>
      <c r="K32" s="41">
        <f t="shared" si="4"/>
        <v>0</v>
      </c>
      <c r="L32" s="36">
        <f t="shared" si="5"/>
        <v>0</v>
      </c>
      <c r="M32" s="36">
        <v>0</v>
      </c>
      <c r="N32" s="40">
        <f t="shared" si="6"/>
        <v>0</v>
      </c>
      <c r="O32" s="36">
        <v>0</v>
      </c>
      <c r="P32" s="40">
        <f t="shared" si="7"/>
        <v>0</v>
      </c>
      <c r="Q32" s="36">
        <f t="shared" si="8"/>
        <v>0</v>
      </c>
      <c r="R32" s="38">
        <f>Paralelo!G35</f>
        <v>0.73263999999999996</v>
      </c>
      <c r="S32" s="40">
        <f t="shared" si="9"/>
        <v>6.6562494448885645E-4</v>
      </c>
      <c r="T32" s="38">
        <f>'Dez24'!G35</f>
        <v>0.73264200000000002</v>
      </c>
      <c r="U32" s="40">
        <f t="shared" si="10"/>
        <v>6.6562679420360067E-4</v>
      </c>
      <c r="V32" s="36">
        <f t="shared" si="11"/>
        <v>-1.8497147442203543E-9</v>
      </c>
      <c r="W32" s="38">
        <f>Paralelo!H35</f>
        <v>3.6878570000000002</v>
      </c>
      <c r="X32" s="40">
        <f t="shared" si="12"/>
        <v>7.7331653225440758E-3</v>
      </c>
      <c r="Y32" s="38">
        <f>'Dez24'!H35</f>
        <v>3.6878549999999999</v>
      </c>
      <c r="Z32" s="40">
        <f t="shared" si="13"/>
        <v>7.7332282791959511E-3</v>
      </c>
      <c r="AA32" s="36">
        <f t="shared" si="14"/>
        <v>-6.2956651875230307E-8</v>
      </c>
      <c r="AB32" s="38">
        <f>Paralelo!I35</f>
        <v>-3.6370130000000001</v>
      </c>
      <c r="AC32" s="40">
        <f t="shared" si="15"/>
        <v>8.9895608560099666E-3</v>
      </c>
      <c r="AD32" s="38">
        <f>'Dez24'!I35</f>
        <v>-3.6370070000000001</v>
      </c>
      <c r="AE32" s="40">
        <f t="shared" si="16"/>
        <v>8.9895997748160265E-3</v>
      </c>
      <c r="AF32" s="36">
        <f t="shared" si="17"/>
        <v>-3.8918806059828892E-8</v>
      </c>
      <c r="AG32" s="38">
        <f>Paralelo!J35</f>
        <v>-1.3427E-2</v>
      </c>
      <c r="AH32" s="40">
        <f t="shared" si="18"/>
        <v>1.9609770675218575E-4</v>
      </c>
      <c r="AI32" s="38">
        <f>'Dez24'!J35</f>
        <v>-1.3424999999999999E-2</v>
      </c>
      <c r="AJ32" s="40">
        <f t="shared" si="19"/>
        <v>1.9606850301968131E-4</v>
      </c>
      <c r="AK32" s="36">
        <f t="shared" si="20"/>
        <v>2.9203732504441216E-8</v>
      </c>
      <c r="AL32" s="38">
        <f>Paralelo!K35</f>
        <v>-3.5804119999999999</v>
      </c>
      <c r="AM32" s="40">
        <f t="shared" si="21"/>
        <v>1.1632889601034389E-2</v>
      </c>
      <c r="AN32" s="38">
        <f>'Dez24'!K35</f>
        <v>-3.5804100000000001</v>
      </c>
      <c r="AO32" s="40">
        <f t="shared" si="22"/>
        <v>1.1632896747211505E-2</v>
      </c>
      <c r="AP32" s="36">
        <f t="shared" si="23"/>
        <v>-7.1461771153358278E-9</v>
      </c>
    </row>
    <row r="33" spans="2:42" ht="15" hidden="1" customHeight="1" outlineLevel="1" x14ac:dyDescent="0.3">
      <c r="B33" s="37" t="s">
        <v>74</v>
      </c>
      <c r="C33" s="38">
        <f>Paralelo!D36</f>
        <v>263.86383599999999</v>
      </c>
      <c r="D33" s="41">
        <f t="shared" si="0"/>
        <v>2.1470199517861995E-2</v>
      </c>
      <c r="E33" s="38">
        <f>'Dez24'!D36</f>
        <v>321.416653</v>
      </c>
      <c r="F33" s="41">
        <f t="shared" si="1"/>
        <v>2.6153953912793598E-2</v>
      </c>
      <c r="G33" s="36">
        <f t="shared" si="2"/>
        <v>-4.6837543949316031E-3</v>
      </c>
      <c r="H33" s="38">
        <f>Paralelo!E36</f>
        <v>0</v>
      </c>
      <c r="I33" s="41">
        <f t="shared" si="3"/>
        <v>0</v>
      </c>
      <c r="J33" s="38">
        <f>'Dez24'!E36</f>
        <v>0</v>
      </c>
      <c r="K33" s="41">
        <f t="shared" si="4"/>
        <v>0</v>
      </c>
      <c r="L33" s="36">
        <f t="shared" si="5"/>
        <v>0</v>
      </c>
      <c r="M33" s="36">
        <v>0</v>
      </c>
      <c r="N33" s="40">
        <f t="shared" si="6"/>
        <v>0</v>
      </c>
      <c r="O33" s="36">
        <v>0</v>
      </c>
      <c r="P33" s="40">
        <f t="shared" si="7"/>
        <v>0</v>
      </c>
      <c r="Q33" s="36">
        <f t="shared" si="8"/>
        <v>0</v>
      </c>
      <c r="R33" s="38">
        <f>Paralelo!G36</f>
        <v>46.049190000000003</v>
      </c>
      <c r="S33" s="40">
        <f t="shared" si="9"/>
        <v>4.1837040753312418E-2</v>
      </c>
      <c r="T33" s="38">
        <f>'Dez24'!G36</f>
        <v>46.049191</v>
      </c>
      <c r="U33" s="40">
        <f t="shared" si="10"/>
        <v>4.1837043714391613E-2</v>
      </c>
      <c r="V33" s="36">
        <f t="shared" si="11"/>
        <v>-2.9610791943412984E-9</v>
      </c>
      <c r="W33" s="38">
        <f>Paralelo!H36</f>
        <v>9.4631290000000003</v>
      </c>
      <c r="X33" s="40">
        <f t="shared" si="12"/>
        <v>1.9843486617176644E-2</v>
      </c>
      <c r="Y33" s="38">
        <f>'Dez24'!H36</f>
        <v>9.4631319999999999</v>
      </c>
      <c r="Z33" s="40">
        <f t="shared" si="13"/>
        <v>1.9843665217901499E-2</v>
      </c>
      <c r="AA33" s="36">
        <f t="shared" si="14"/>
        <v>-1.7860072485526013E-7</v>
      </c>
      <c r="AB33" s="38">
        <f>Paralelo!I36</f>
        <v>-8.2847620000000006</v>
      </c>
      <c r="AC33" s="40">
        <f t="shared" si="15"/>
        <v>2.0477345606561989E-2</v>
      </c>
      <c r="AD33" s="38">
        <f>'Dez24'!I36</f>
        <v>-8.4624210000000009</v>
      </c>
      <c r="AE33" s="40">
        <f t="shared" si="16"/>
        <v>2.0916588259521751E-2</v>
      </c>
      <c r="AF33" s="36">
        <f t="shared" si="17"/>
        <v>-4.3924265295976206E-4</v>
      </c>
      <c r="AG33" s="38">
        <f>Paralelo!J36</f>
        <v>-1.829671</v>
      </c>
      <c r="AH33" s="40">
        <f t="shared" si="18"/>
        <v>2.6721850540774444E-2</v>
      </c>
      <c r="AI33" s="38">
        <f>'Dez24'!J36</f>
        <v>-1.829672</v>
      </c>
      <c r="AJ33" s="40">
        <f t="shared" si="19"/>
        <v>2.6721865926035482E-2</v>
      </c>
      <c r="AK33" s="36">
        <f t="shared" si="20"/>
        <v>-1.5385261037392794E-8</v>
      </c>
      <c r="AL33" s="38">
        <f>Paralelo!K36</f>
        <v>-5.779655</v>
      </c>
      <c r="AM33" s="40">
        <f t="shared" si="21"/>
        <v>1.8778310581873375E-2</v>
      </c>
      <c r="AN33" s="38">
        <f>'Dez24'!K36</f>
        <v>-5.7796529999999997</v>
      </c>
      <c r="AO33" s="40">
        <f t="shared" si="22"/>
        <v>1.8778326108940376E-2</v>
      </c>
      <c r="AP33" s="36">
        <f t="shared" si="23"/>
        <v>-1.5527067000198347E-8</v>
      </c>
    </row>
    <row r="34" spans="2:42" ht="15" hidden="1" customHeight="1" outlineLevel="1" x14ac:dyDescent="0.3">
      <c r="B34" s="37" t="s">
        <v>75</v>
      </c>
      <c r="C34" s="38">
        <f>Paralelo!D37</f>
        <v>5.0556939999999999</v>
      </c>
      <c r="D34" s="41">
        <f t="shared" si="0"/>
        <v>4.113741410219542E-4</v>
      </c>
      <c r="E34" s="38">
        <f>'Dez24'!D37</f>
        <v>5.0556950000000001</v>
      </c>
      <c r="F34" s="41">
        <f t="shared" si="1"/>
        <v>4.1138631988411949E-4</v>
      </c>
      <c r="G34" s="36">
        <f t="shared" si="2"/>
        <v>-1.2178862165285187E-8</v>
      </c>
      <c r="H34" s="38">
        <f>Paralelo!E37</f>
        <v>0</v>
      </c>
      <c r="I34" s="41">
        <f t="shared" si="3"/>
        <v>0</v>
      </c>
      <c r="J34" s="38">
        <f>'Dez24'!E37</f>
        <v>0</v>
      </c>
      <c r="K34" s="41">
        <f t="shared" si="4"/>
        <v>0</v>
      </c>
      <c r="L34" s="36">
        <f t="shared" si="5"/>
        <v>0</v>
      </c>
      <c r="M34" s="36">
        <v>0</v>
      </c>
      <c r="N34" s="40">
        <f t="shared" si="6"/>
        <v>0</v>
      </c>
      <c r="O34" s="36">
        <v>0</v>
      </c>
      <c r="P34" s="40">
        <f t="shared" si="7"/>
        <v>0</v>
      </c>
      <c r="Q34" s="36">
        <f t="shared" si="8"/>
        <v>0</v>
      </c>
      <c r="R34" s="38">
        <f>Paralelo!G37</f>
        <v>1.600592</v>
      </c>
      <c r="S34" s="40">
        <f t="shared" si="9"/>
        <v>1.4541848126628466E-3</v>
      </c>
      <c r="T34" s="38">
        <f>'Dez24'!G37</f>
        <v>1.6005929999999999</v>
      </c>
      <c r="U34" s="40">
        <f t="shared" si="10"/>
        <v>1.4541857925354043E-3</v>
      </c>
      <c r="V34" s="36">
        <f t="shared" si="11"/>
        <v>-9.798725576597167E-10</v>
      </c>
      <c r="W34" s="38">
        <f>Paralelo!H37</f>
        <v>0.58731900000000004</v>
      </c>
      <c r="X34" s="40">
        <f t="shared" si="12"/>
        <v>1.2315648150324876E-3</v>
      </c>
      <c r="Y34" s="38">
        <f>'Dez24'!H37</f>
        <v>0.58731800000000001</v>
      </c>
      <c r="Z34" s="40">
        <f t="shared" si="13"/>
        <v>1.231573412317135E-3</v>
      </c>
      <c r="AA34" s="36">
        <f t="shared" si="14"/>
        <v>-8.5972846474314385E-9</v>
      </c>
      <c r="AB34" s="38">
        <f>Paralelo!I37</f>
        <v>-0.52808900000000003</v>
      </c>
      <c r="AC34" s="40">
        <f t="shared" si="15"/>
        <v>1.3052711669959518E-3</v>
      </c>
      <c r="AD34" s="38">
        <f>'Dez24'!I37</f>
        <v>-0.528088</v>
      </c>
      <c r="AE34" s="40">
        <f t="shared" si="16"/>
        <v>1.3052764995731506E-3</v>
      </c>
      <c r="AF34" s="36">
        <f t="shared" si="17"/>
        <v>-5.3325771988237125E-9</v>
      </c>
      <c r="AG34" s="38">
        <f>Paralelo!J37</f>
        <v>-0.119509</v>
      </c>
      <c r="AH34" s="40">
        <f t="shared" si="18"/>
        <v>1.7453966512435367E-3</v>
      </c>
      <c r="AI34" s="38">
        <f>'Dez24'!J37</f>
        <v>-0.119507</v>
      </c>
      <c r="AJ34" s="40">
        <f t="shared" si="19"/>
        <v>1.7453674927652182E-3</v>
      </c>
      <c r="AK34" s="36">
        <f t="shared" si="20"/>
        <v>2.9158478318490333E-8</v>
      </c>
      <c r="AL34" s="38">
        <f>Paralelo!K37</f>
        <v>-0.388183</v>
      </c>
      <c r="AM34" s="40">
        <f t="shared" si="21"/>
        <v>1.2612207712403858E-3</v>
      </c>
      <c r="AN34" s="38">
        <f>'Dez24'!K37</f>
        <v>-0.38818399999999997</v>
      </c>
      <c r="AO34" s="40">
        <f t="shared" si="22"/>
        <v>1.2612254995711526E-3</v>
      </c>
      <c r="AP34" s="36">
        <f t="shared" si="23"/>
        <v>-4.728330766853861E-9</v>
      </c>
    </row>
    <row r="35" spans="2:42" ht="15" hidden="1" customHeight="1" outlineLevel="1" x14ac:dyDescent="0.3">
      <c r="B35" s="37" t="s">
        <v>76</v>
      </c>
      <c r="C35" s="38">
        <f>Paralelo!D38</f>
        <v>21.132876</v>
      </c>
      <c r="D35" s="41">
        <f t="shared" si="0"/>
        <v>1.7195500186173195E-3</v>
      </c>
      <c r="E35" s="38">
        <f>'Dez24'!D38</f>
        <v>21.132876</v>
      </c>
      <c r="F35" s="41">
        <f t="shared" si="1"/>
        <v>1.7196005863105727E-3</v>
      </c>
      <c r="G35" s="36">
        <f t="shared" si="2"/>
        <v>-5.0567693253220081E-8</v>
      </c>
      <c r="H35" s="38">
        <f>Paralelo!E38</f>
        <v>0</v>
      </c>
      <c r="I35" s="41">
        <f t="shared" si="3"/>
        <v>0</v>
      </c>
      <c r="J35" s="38">
        <f>'Dez24'!E38</f>
        <v>0</v>
      </c>
      <c r="K35" s="41">
        <f t="shared" si="4"/>
        <v>0</v>
      </c>
      <c r="L35" s="36">
        <f t="shared" si="5"/>
        <v>0</v>
      </c>
      <c r="M35" s="36">
        <v>0</v>
      </c>
      <c r="N35" s="40">
        <f t="shared" si="6"/>
        <v>0</v>
      </c>
      <c r="O35" s="36">
        <v>0</v>
      </c>
      <c r="P35" s="40">
        <f t="shared" si="7"/>
        <v>0</v>
      </c>
      <c r="Q35" s="36">
        <f t="shared" si="8"/>
        <v>0</v>
      </c>
      <c r="R35" s="38">
        <f>Paralelo!G38</f>
        <v>4.3766920000000002</v>
      </c>
      <c r="S35" s="40">
        <f t="shared" si="9"/>
        <v>3.9763531469000088E-3</v>
      </c>
      <c r="T35" s="38">
        <f>'Dez24'!G38</f>
        <v>4.3766920000000002</v>
      </c>
      <c r="U35" s="40">
        <f t="shared" si="10"/>
        <v>3.9763533419822309E-3</v>
      </c>
      <c r="V35" s="36">
        <f t="shared" si="11"/>
        <v>-1.9508222207781367E-10</v>
      </c>
      <c r="W35" s="38">
        <f>Paralelo!H38</f>
        <v>2.007727</v>
      </c>
      <c r="X35" s="40">
        <f t="shared" si="12"/>
        <v>4.210056087732103E-3</v>
      </c>
      <c r="Y35" s="38">
        <f>'Dez24'!H38</f>
        <v>2.007727</v>
      </c>
      <c r="Z35" s="40">
        <f t="shared" si="13"/>
        <v>4.2100926455365655E-3</v>
      </c>
      <c r="AA35" s="36">
        <f t="shared" si="14"/>
        <v>-3.6557804462475363E-8</v>
      </c>
      <c r="AB35" s="38">
        <f>Paralelo!I38</f>
        <v>-1.5468310000000001</v>
      </c>
      <c r="AC35" s="40">
        <f t="shared" si="15"/>
        <v>3.8232833944950848E-3</v>
      </c>
      <c r="AD35" s="38">
        <f>'Dez24'!I38</f>
        <v>-1.5468299999999999</v>
      </c>
      <c r="AE35" s="40">
        <f t="shared" si="16"/>
        <v>3.8233037823899359E-3</v>
      </c>
      <c r="AF35" s="36">
        <f t="shared" si="17"/>
        <v>-2.0387894851103122E-8</v>
      </c>
      <c r="AG35" s="38">
        <f>Paralelo!J38</f>
        <v>-0.165377</v>
      </c>
      <c r="AH35" s="40">
        <f t="shared" si="18"/>
        <v>2.4152863967793416E-3</v>
      </c>
      <c r="AI35" s="38">
        <f>'Dez24'!J38</f>
        <v>-0.16537499999999999</v>
      </c>
      <c r="AJ35" s="40">
        <f t="shared" si="19"/>
        <v>2.4152572578681414E-3</v>
      </c>
      <c r="AK35" s="36">
        <f t="shared" si="20"/>
        <v>2.9138911200165402E-8</v>
      </c>
      <c r="AL35" s="38">
        <f>Paralelo!K38</f>
        <v>-1.3144389999999999</v>
      </c>
      <c r="AM35" s="40">
        <f t="shared" si="21"/>
        <v>4.2706604084373646E-3</v>
      </c>
      <c r="AN35" s="38">
        <f>'Dez24'!K38</f>
        <v>-1.314441</v>
      </c>
      <c r="AO35" s="40">
        <f t="shared" si="22"/>
        <v>4.2706719155910736E-3</v>
      </c>
      <c r="AP35" s="36">
        <f t="shared" si="23"/>
        <v>-1.1507153709067186E-8</v>
      </c>
    </row>
    <row r="36" spans="2:42" ht="15" hidden="1" customHeight="1" outlineLevel="1" x14ac:dyDescent="0.3">
      <c r="B36" s="37" t="s">
        <v>77</v>
      </c>
      <c r="C36" s="38">
        <f>Paralelo!D39</f>
        <v>43.651387</v>
      </c>
      <c r="D36" s="41">
        <f t="shared" si="0"/>
        <v>3.5518470523615347E-3</v>
      </c>
      <c r="E36" s="38">
        <f>'Dez24'!D39</f>
        <v>43.651383000000003</v>
      </c>
      <c r="F36" s="41">
        <f t="shared" si="1"/>
        <v>3.5519511778741037E-3</v>
      </c>
      <c r="G36" s="36">
        <f t="shared" si="2"/>
        <v>-1.0412551256899077E-7</v>
      </c>
      <c r="H36" s="38">
        <f>Paralelo!E39</f>
        <v>0</v>
      </c>
      <c r="I36" s="41">
        <f t="shared" si="3"/>
        <v>0</v>
      </c>
      <c r="J36" s="38">
        <f>'Dez24'!E39</f>
        <v>0</v>
      </c>
      <c r="K36" s="41">
        <f t="shared" si="4"/>
        <v>0</v>
      </c>
      <c r="L36" s="36">
        <f t="shared" si="5"/>
        <v>0</v>
      </c>
      <c r="M36" s="36">
        <v>5.4699999999999996E-4</v>
      </c>
      <c r="N36" s="40">
        <f t="shared" si="6"/>
        <v>2.8691596380385691E-6</v>
      </c>
      <c r="O36" s="36">
        <v>0</v>
      </c>
      <c r="P36" s="40">
        <f t="shared" si="7"/>
        <v>0</v>
      </c>
      <c r="Q36" s="36">
        <f t="shared" si="8"/>
        <v>2.8691596380385691E-6</v>
      </c>
      <c r="R36" s="38">
        <f>Paralelo!G39</f>
        <v>8.1417739999999998</v>
      </c>
      <c r="S36" s="40">
        <f t="shared" si="9"/>
        <v>7.397040656790259E-3</v>
      </c>
      <c r="T36" s="38">
        <f>'Dez24'!G39</f>
        <v>8.1417730000000006</v>
      </c>
      <c r="U36" s="40">
        <f t="shared" si="10"/>
        <v>7.3970401111640239E-3</v>
      </c>
      <c r="V36" s="36">
        <f t="shared" si="11"/>
        <v>5.4562623516551945E-10</v>
      </c>
      <c r="W36" s="38">
        <f>Paralelo!H39</f>
        <v>1.702291</v>
      </c>
      <c r="X36" s="40">
        <f t="shared" si="12"/>
        <v>3.5695792244869792E-3</v>
      </c>
      <c r="Y36" s="38">
        <f>'Dez24'!H39</f>
        <v>1.702288</v>
      </c>
      <c r="Z36" s="40">
        <f t="shared" si="13"/>
        <v>3.5696039299093693E-3</v>
      </c>
      <c r="AA36" s="36">
        <f t="shared" si="14"/>
        <v>-2.47054223901505E-8</v>
      </c>
      <c r="AB36" s="38">
        <f>Paralelo!I39</f>
        <v>-1.6807380000000001</v>
      </c>
      <c r="AC36" s="40">
        <f t="shared" si="15"/>
        <v>4.1542596999264176E-3</v>
      </c>
      <c r="AD36" s="38">
        <f>'Dez24'!I39</f>
        <v>-1.680739</v>
      </c>
      <c r="AE36" s="40">
        <f t="shared" si="16"/>
        <v>4.1542870101499707E-3</v>
      </c>
      <c r="AF36" s="36">
        <f t="shared" si="17"/>
        <v>-2.7310223553109192E-8</v>
      </c>
      <c r="AG36" s="38">
        <f>Paralelo!J39</f>
        <v>-0.44473299999999999</v>
      </c>
      <c r="AH36" s="40">
        <f t="shared" si="18"/>
        <v>6.4952052891204155E-3</v>
      </c>
      <c r="AI36" s="38">
        <f>'Dez24'!J39</f>
        <v>-0.44473200000000002</v>
      </c>
      <c r="AJ36" s="40">
        <f t="shared" si="19"/>
        <v>6.4951908741116508E-3</v>
      </c>
      <c r="AK36" s="36">
        <f t="shared" si="20"/>
        <v>1.4415008764770421E-8</v>
      </c>
      <c r="AL36" s="38">
        <f>Paralelo!K39</f>
        <v>-1.0953189999999999</v>
      </c>
      <c r="AM36" s="40">
        <f t="shared" si="21"/>
        <v>3.5587315104840967E-3</v>
      </c>
      <c r="AN36" s="38">
        <f>'Dez24'!K39</f>
        <v>-1.095321</v>
      </c>
      <c r="AO36" s="40">
        <f t="shared" si="22"/>
        <v>3.5587421826138491E-3</v>
      </c>
      <c r="AP36" s="36">
        <f t="shared" si="23"/>
        <v>-1.0672129752403031E-8</v>
      </c>
    </row>
    <row r="37" spans="2:42" ht="15" hidden="1" customHeight="1" outlineLevel="1" x14ac:dyDescent="0.3">
      <c r="B37" s="37" t="s">
        <v>78</v>
      </c>
      <c r="C37" s="38">
        <f>Paralelo!D40</f>
        <v>116.50789899999999</v>
      </c>
      <c r="D37" s="41">
        <f t="shared" si="0"/>
        <v>9.4800707624705122E-3</v>
      </c>
      <c r="E37" s="38">
        <f>'Dez24'!D40</f>
        <v>116.50789899999999</v>
      </c>
      <c r="F37" s="41">
        <f t="shared" si="1"/>
        <v>9.4803495477952457E-3</v>
      </c>
      <c r="G37" s="36">
        <f t="shared" si="2"/>
        <v>-2.7878532473345208E-7</v>
      </c>
      <c r="H37" s="38">
        <f>Paralelo!E40</f>
        <v>0</v>
      </c>
      <c r="I37" s="41">
        <f t="shared" si="3"/>
        <v>0</v>
      </c>
      <c r="J37" s="38">
        <f>'Dez24'!E40</f>
        <v>0</v>
      </c>
      <c r="K37" s="41">
        <f t="shared" si="4"/>
        <v>0</v>
      </c>
      <c r="L37" s="36">
        <f t="shared" si="5"/>
        <v>0</v>
      </c>
      <c r="M37" s="36">
        <v>8.2287160000000004</v>
      </c>
      <c r="N37" s="40">
        <f t="shared" si="6"/>
        <v>4.316179126157621E-2</v>
      </c>
      <c r="O37" s="36">
        <v>0</v>
      </c>
      <c r="P37" s="40">
        <f t="shared" si="7"/>
        <v>0</v>
      </c>
      <c r="Q37" s="36">
        <f t="shared" si="8"/>
        <v>4.316179126157621E-2</v>
      </c>
      <c r="R37" s="38">
        <f>Paralelo!G40</f>
        <v>7.2530619999999999</v>
      </c>
      <c r="S37" s="40">
        <f t="shared" si="9"/>
        <v>6.5896197192676278E-3</v>
      </c>
      <c r="T37" s="38">
        <f>'Dez24'!G40</f>
        <v>7.2530609999999998</v>
      </c>
      <c r="U37" s="40">
        <f t="shared" si="10"/>
        <v>6.5896191340288459E-3</v>
      </c>
      <c r="V37" s="36">
        <f t="shared" si="11"/>
        <v>5.852387819152427E-10</v>
      </c>
      <c r="W37" s="38">
        <f>Paralelo!H40</f>
        <v>2.274975</v>
      </c>
      <c r="X37" s="40">
        <f t="shared" si="12"/>
        <v>4.7704555191957574E-3</v>
      </c>
      <c r="Y37" s="38">
        <f>'Dez24'!H40</f>
        <v>2.2749760000000001</v>
      </c>
      <c r="Z37" s="40">
        <f t="shared" si="13"/>
        <v>4.7704990401444981E-3</v>
      </c>
      <c r="AA37" s="36">
        <f t="shared" si="14"/>
        <v>-4.3520948740660703E-8</v>
      </c>
      <c r="AB37" s="38">
        <f>Paralelo!I40</f>
        <v>-2.467336</v>
      </c>
      <c r="AC37" s="40">
        <f t="shared" si="15"/>
        <v>6.0984844223059432E-3</v>
      </c>
      <c r="AD37" s="38">
        <f>'Dez24'!I40</f>
        <v>-2.467336</v>
      </c>
      <c r="AE37" s="40">
        <f t="shared" si="16"/>
        <v>6.0985208854410985E-3</v>
      </c>
      <c r="AF37" s="36">
        <f t="shared" si="17"/>
        <v>-3.6463135155359594E-8</v>
      </c>
      <c r="AG37" s="38">
        <f>Paralelo!J40</f>
        <v>-0.11713899999999999</v>
      </c>
      <c r="AH37" s="40">
        <f t="shared" si="18"/>
        <v>1.7107834416656203E-3</v>
      </c>
      <c r="AI37" s="38">
        <f>'Dez24'!J40</f>
        <v>-0.11713899999999999</v>
      </c>
      <c r="AJ37" s="40">
        <f t="shared" si="19"/>
        <v>1.7107834916366815E-3</v>
      </c>
      <c r="AK37" s="36">
        <f t="shared" si="20"/>
        <v>-4.9971061143183615E-11</v>
      </c>
      <c r="AL37" s="38">
        <f>Paralelo!K40</f>
        <v>-2.0162810000000002</v>
      </c>
      <c r="AM37" s="40">
        <f t="shared" si="21"/>
        <v>6.5509707479651002E-3</v>
      </c>
      <c r="AN37" s="38">
        <f>'Dez24'!K40</f>
        <v>-2.0162800000000001</v>
      </c>
      <c r="AO37" s="40">
        <f t="shared" si="22"/>
        <v>6.5509751825817749E-3</v>
      </c>
      <c r="AP37" s="36">
        <f t="shared" si="23"/>
        <v>-4.4346166747435967E-9</v>
      </c>
    </row>
    <row r="38" spans="2:42" ht="15" hidden="1" customHeight="1" outlineLevel="1" x14ac:dyDescent="0.3">
      <c r="B38" s="37" t="s">
        <v>79</v>
      </c>
      <c r="C38" s="38">
        <f>Paralelo!D41</f>
        <v>6.7766380000000002</v>
      </c>
      <c r="D38" s="41">
        <f t="shared" si="0"/>
        <v>5.5140474013394276E-4</v>
      </c>
      <c r="E38" s="38">
        <f>'Dez24'!D41</f>
        <v>6.7766359999999999</v>
      </c>
      <c r="F38" s="41">
        <f t="shared" si="1"/>
        <v>5.5142079283545392E-4</v>
      </c>
      <c r="G38" s="36">
        <f t="shared" si="2"/>
        <v>-1.6052701511158965E-8</v>
      </c>
      <c r="H38" s="38">
        <f>Paralelo!E41</f>
        <v>0</v>
      </c>
      <c r="I38" s="41">
        <f t="shared" si="3"/>
        <v>0</v>
      </c>
      <c r="J38" s="38">
        <f>'Dez24'!E41</f>
        <v>0</v>
      </c>
      <c r="K38" s="41">
        <f t="shared" si="4"/>
        <v>0</v>
      </c>
      <c r="L38" s="36">
        <f t="shared" si="5"/>
        <v>0</v>
      </c>
      <c r="M38" s="36">
        <v>0</v>
      </c>
      <c r="N38" s="40">
        <f t="shared" si="6"/>
        <v>0</v>
      </c>
      <c r="O38" s="36">
        <v>0</v>
      </c>
      <c r="P38" s="40">
        <f t="shared" si="7"/>
        <v>0</v>
      </c>
      <c r="Q38" s="36">
        <f t="shared" si="8"/>
        <v>0</v>
      </c>
      <c r="R38" s="38">
        <f>Paralelo!G41</f>
        <v>1.0409660000000001</v>
      </c>
      <c r="S38" s="40">
        <f t="shared" si="9"/>
        <v>9.4574816549026412E-4</v>
      </c>
      <c r="T38" s="38">
        <f>'Dez24'!G41</f>
        <v>1.0409660000000001</v>
      </c>
      <c r="U38" s="40">
        <f t="shared" si="10"/>
        <v>9.4574821188922475E-4</v>
      </c>
      <c r="V38" s="36">
        <f t="shared" si="11"/>
        <v>-4.6398960628496466E-11</v>
      </c>
      <c r="W38" s="38">
        <f>Paralelo!H41</f>
        <v>2.6493039999999999</v>
      </c>
      <c r="X38" s="40">
        <f t="shared" si="12"/>
        <v>5.5553959444949487E-3</v>
      </c>
      <c r="Y38" s="38">
        <f>'Dez24'!H41</f>
        <v>2.6493030000000002</v>
      </c>
      <c r="Z38" s="40">
        <f t="shared" si="13"/>
        <v>5.5554420875437542E-3</v>
      </c>
      <c r="AA38" s="36">
        <f t="shared" si="14"/>
        <v>-4.6143048805513676E-8</v>
      </c>
      <c r="AB38" s="38">
        <f>Paralelo!I41</f>
        <v>-2.3246389999999999</v>
      </c>
      <c r="AC38" s="40">
        <f t="shared" si="15"/>
        <v>5.7457819806401985E-3</v>
      </c>
      <c r="AD38" s="38">
        <f>'Dez24'!I41</f>
        <v>-2.3246410000000002</v>
      </c>
      <c r="AE38" s="40">
        <f t="shared" si="16"/>
        <v>5.7458212783555555E-3</v>
      </c>
      <c r="AF38" s="36">
        <f t="shared" si="17"/>
        <v>-3.9297715356996499E-8</v>
      </c>
      <c r="AG38" s="38">
        <f>Paralelo!J41</f>
        <v>-2.4240000000000001E-2</v>
      </c>
      <c r="AH38" s="40">
        <f t="shared" si="18"/>
        <v>3.5401864986020574E-4</v>
      </c>
      <c r="AI38" s="38">
        <f>'Dez24'!J41</f>
        <v>-2.4240999999999999E-2</v>
      </c>
      <c r="AJ38" s="40">
        <f t="shared" si="19"/>
        <v>3.5403326493110572E-4</v>
      </c>
      <c r="AK38" s="36">
        <f t="shared" si="20"/>
        <v>-1.4615070899977236E-8</v>
      </c>
      <c r="AL38" s="38">
        <f>Paralelo!K41</f>
        <v>-2.2835320000000001</v>
      </c>
      <c r="AM38" s="40">
        <f t="shared" si="21"/>
        <v>7.4192790261090793E-3</v>
      </c>
      <c r="AN38" s="38">
        <f>'Dez24'!K41</f>
        <v>-2.2835329999999998</v>
      </c>
      <c r="AO38" s="40">
        <f t="shared" si="22"/>
        <v>7.4192909772484508E-3</v>
      </c>
      <c r="AP38" s="36">
        <f t="shared" si="23"/>
        <v>-1.1951139371538244E-8</v>
      </c>
    </row>
    <row r="39" spans="2:42" ht="15" hidden="1" customHeight="1" outlineLevel="1" x14ac:dyDescent="0.3">
      <c r="B39" s="37" t="s">
        <v>80</v>
      </c>
      <c r="C39" s="38">
        <f>Paralelo!D42</f>
        <v>70.662107000000006</v>
      </c>
      <c r="D39" s="41">
        <f t="shared" si="0"/>
        <v>5.7496683086291252E-3</v>
      </c>
      <c r="E39" s="38">
        <f>'Dez24'!D42</f>
        <v>70.662107000000006</v>
      </c>
      <c r="F39" s="41">
        <f t="shared" si="1"/>
        <v>5.7498373920871178E-3</v>
      </c>
      <c r="G39" s="36">
        <f t="shared" si="2"/>
        <v>-1.690834579926373E-7</v>
      </c>
      <c r="H39" s="38">
        <f>Paralelo!E42</f>
        <v>0</v>
      </c>
      <c r="I39" s="41">
        <f t="shared" si="3"/>
        <v>0</v>
      </c>
      <c r="J39" s="38">
        <f>'Dez24'!E42</f>
        <v>0</v>
      </c>
      <c r="K39" s="41">
        <f t="shared" si="4"/>
        <v>0</v>
      </c>
      <c r="L39" s="36">
        <f t="shared" si="5"/>
        <v>0</v>
      </c>
      <c r="M39" s="36">
        <v>0</v>
      </c>
      <c r="N39" s="40">
        <f t="shared" si="6"/>
        <v>0</v>
      </c>
      <c r="O39" s="36">
        <v>0</v>
      </c>
      <c r="P39" s="40">
        <f t="shared" si="7"/>
        <v>0</v>
      </c>
      <c r="Q39" s="36">
        <f t="shared" si="8"/>
        <v>0</v>
      </c>
      <c r="R39" s="38">
        <f>Paralelo!G42</f>
        <v>15.191041999999999</v>
      </c>
      <c r="S39" s="40">
        <f t="shared" si="9"/>
        <v>1.3801507545285389E-2</v>
      </c>
      <c r="T39" s="38">
        <f>'Dez24'!G42</f>
        <v>15.191039999999999</v>
      </c>
      <c r="U39" s="40">
        <f t="shared" si="10"/>
        <v>1.3801506405336665E-2</v>
      </c>
      <c r="V39" s="36">
        <f t="shared" si="11"/>
        <v>1.1399487239577288E-9</v>
      </c>
      <c r="W39" s="38">
        <f>Paralelo!H42</f>
        <v>4.3038400000000001</v>
      </c>
      <c r="X39" s="40">
        <f t="shared" si="12"/>
        <v>9.0248364407237314E-3</v>
      </c>
      <c r="Y39" s="38">
        <f>'Dez24'!H42</f>
        <v>4.3038429999999996</v>
      </c>
      <c r="Z39" s="40">
        <f t="shared" si="13"/>
        <v>9.0249210982588889E-3</v>
      </c>
      <c r="AA39" s="36">
        <f t="shared" si="14"/>
        <v>-8.4657535157420249E-8</v>
      </c>
      <c r="AB39" s="38">
        <f>Paralelo!I42</f>
        <v>-3.7764509999999998</v>
      </c>
      <c r="AC39" s="40">
        <f t="shared" si="15"/>
        <v>9.3342080669603575E-3</v>
      </c>
      <c r="AD39" s="38">
        <f>'Dez24'!I42</f>
        <v>-3.7764489999999999</v>
      </c>
      <c r="AE39" s="40">
        <f t="shared" si="16"/>
        <v>9.3342589332393935E-3</v>
      </c>
      <c r="AF39" s="36">
        <f t="shared" si="17"/>
        <v>-5.0866279036054785E-8</v>
      </c>
      <c r="AG39" s="38">
        <f>Paralelo!J42</f>
        <v>-0.80986499999999995</v>
      </c>
      <c r="AH39" s="40">
        <f t="shared" si="18"/>
        <v>1.1827859483046019E-2</v>
      </c>
      <c r="AI39" s="38">
        <f>'Dez24'!J42</f>
        <v>-0.80986499999999995</v>
      </c>
      <c r="AJ39" s="40">
        <f t="shared" si="19"/>
        <v>1.1827859828531411E-2</v>
      </c>
      <c r="AK39" s="36">
        <f t="shared" si="20"/>
        <v>-3.4548539203094197E-10</v>
      </c>
      <c r="AL39" s="38">
        <f>Paralelo!K42</f>
        <v>-2.7933089999999998</v>
      </c>
      <c r="AM39" s="40">
        <f t="shared" si="21"/>
        <v>9.075563152669516E-3</v>
      </c>
      <c r="AN39" s="38">
        <f>'Dez24'!K42</f>
        <v>-2.793307</v>
      </c>
      <c r="AO39" s="40">
        <f t="shared" si="22"/>
        <v>9.0755672993492707E-3</v>
      </c>
      <c r="AP39" s="36">
        <f t="shared" si="23"/>
        <v>-4.1466797547767831E-9</v>
      </c>
    </row>
    <row r="40" spans="2:42" ht="15" hidden="1" customHeight="1" outlineLevel="1" x14ac:dyDescent="0.3">
      <c r="B40" s="37" t="s">
        <v>81</v>
      </c>
      <c r="C40" s="38">
        <f>Paralelo!D43</f>
        <v>26.211628000000001</v>
      </c>
      <c r="D40" s="41">
        <f t="shared" si="0"/>
        <v>2.1328003540734474E-3</v>
      </c>
      <c r="E40" s="38">
        <f>'Dez24'!D43</f>
        <v>26.211627</v>
      </c>
      <c r="F40" s="41">
        <f t="shared" si="1"/>
        <v>2.1328629930613347E-3</v>
      </c>
      <c r="G40" s="36">
        <f t="shared" si="2"/>
        <v>-6.2638987887234099E-8</v>
      </c>
      <c r="H40" s="38">
        <f>Paralelo!E43</f>
        <v>0</v>
      </c>
      <c r="I40" s="41">
        <f t="shared" si="3"/>
        <v>0</v>
      </c>
      <c r="J40" s="38">
        <f>'Dez24'!E43</f>
        <v>0</v>
      </c>
      <c r="K40" s="41">
        <f t="shared" si="4"/>
        <v>0</v>
      </c>
      <c r="L40" s="36">
        <f t="shared" si="5"/>
        <v>0</v>
      </c>
      <c r="M40" s="36">
        <v>6.77E-3</v>
      </c>
      <c r="N40" s="40">
        <f t="shared" si="6"/>
        <v>3.5510440127095275E-5</v>
      </c>
      <c r="O40" s="36">
        <v>1.0066E-2</v>
      </c>
      <c r="P40" s="40">
        <f t="shared" si="7"/>
        <v>5.5013419481455299E-5</v>
      </c>
      <c r="Q40" s="36">
        <f t="shared" si="8"/>
        <v>-1.9502979354360023E-5</v>
      </c>
      <c r="R40" s="38">
        <f>Paralelo!G43</f>
        <v>5.0559960000000004</v>
      </c>
      <c r="S40" s="40">
        <f t="shared" si="9"/>
        <v>4.5935207698677124E-3</v>
      </c>
      <c r="T40" s="38">
        <f>'Dez24'!G43</f>
        <v>5.0559940000000001</v>
      </c>
      <c r="U40" s="40">
        <f t="shared" si="10"/>
        <v>4.5935191781697471E-3</v>
      </c>
      <c r="V40" s="36">
        <f t="shared" si="11"/>
        <v>1.5916979652710883E-9</v>
      </c>
      <c r="W40" s="38">
        <f>Paralelo!H43</f>
        <v>1.2362629999999999</v>
      </c>
      <c r="X40" s="40">
        <f t="shared" si="12"/>
        <v>2.5923527298223076E-3</v>
      </c>
      <c r="Y40" s="38">
        <f>'Dez24'!H43</f>
        <v>1.2362629999999999</v>
      </c>
      <c r="Z40" s="40">
        <f t="shared" si="13"/>
        <v>2.5923752403832641E-3</v>
      </c>
      <c r="AA40" s="36">
        <f t="shared" si="14"/>
        <v>-2.2510560956489484E-8</v>
      </c>
      <c r="AB40" s="38">
        <f>Paralelo!I43</f>
        <v>-0.54107499999999997</v>
      </c>
      <c r="AC40" s="40">
        <f t="shared" si="15"/>
        <v>1.3373685054646745E-3</v>
      </c>
      <c r="AD40" s="38">
        <f>'Dez24'!I43</f>
        <v>-0.54107099999999997</v>
      </c>
      <c r="AE40" s="40">
        <f t="shared" si="16"/>
        <v>1.337366614845526E-3</v>
      </c>
      <c r="AF40" s="36">
        <f t="shared" si="17"/>
        <v>1.8906191484330953E-9</v>
      </c>
      <c r="AG40" s="38">
        <f>Paralelo!J43</f>
        <v>-0.24243500000000001</v>
      </c>
      <c r="AH40" s="40">
        <f t="shared" si="18"/>
        <v>3.5406976641443474E-3</v>
      </c>
      <c r="AI40" s="38">
        <f>'Dez24'!J43</f>
        <v>-0.24243400000000001</v>
      </c>
      <c r="AJ40" s="40">
        <f t="shared" si="19"/>
        <v>3.5406831628360092E-3</v>
      </c>
      <c r="AK40" s="36">
        <f t="shared" si="20"/>
        <v>1.4501308338160657E-8</v>
      </c>
      <c r="AL40" s="38">
        <f>Paralelo!K43</f>
        <v>-0.22908200000000001</v>
      </c>
      <c r="AM40" s="40">
        <f t="shared" si="21"/>
        <v>7.4429580047887228E-4</v>
      </c>
      <c r="AN40" s="38">
        <f>'Dez24'!K43</f>
        <v>-0.22908100000000001</v>
      </c>
      <c r="AO40" s="40">
        <f t="shared" si="22"/>
        <v>7.4429342442568268E-4</v>
      </c>
      <c r="AP40" s="36">
        <f t="shared" si="23"/>
        <v>2.376053189596071E-9</v>
      </c>
    </row>
    <row r="41" spans="2:42" ht="15" hidden="1" customHeight="1" outlineLevel="1" x14ac:dyDescent="0.3">
      <c r="B41" s="37" t="s">
        <v>82</v>
      </c>
      <c r="C41" s="38">
        <f>Paralelo!D44</f>
        <v>41.015698999999998</v>
      </c>
      <c r="D41" s="41">
        <f t="shared" si="0"/>
        <v>3.3373851234944252E-3</v>
      </c>
      <c r="E41" s="38">
        <f>'Dez24'!D44</f>
        <v>41.015697000000003</v>
      </c>
      <c r="F41" s="41">
        <f t="shared" si="1"/>
        <v>3.3374831049563158E-3</v>
      </c>
      <c r="G41" s="36">
        <f t="shared" si="2"/>
        <v>-9.798146189060955E-8</v>
      </c>
      <c r="H41" s="38">
        <f>Paralelo!E44</f>
        <v>0</v>
      </c>
      <c r="I41" s="41">
        <f t="shared" si="3"/>
        <v>0</v>
      </c>
      <c r="J41" s="38">
        <f>'Dez24'!E44</f>
        <v>0</v>
      </c>
      <c r="K41" s="41">
        <f t="shared" si="4"/>
        <v>0</v>
      </c>
      <c r="L41" s="36">
        <f t="shared" si="5"/>
        <v>0</v>
      </c>
      <c r="M41" s="36">
        <v>7.8759999999999993E-3</v>
      </c>
      <c r="N41" s="40">
        <f t="shared" si="6"/>
        <v>4.1311702576218962E-5</v>
      </c>
      <c r="O41" s="36">
        <v>2.2100000000000001E-4</v>
      </c>
      <c r="P41" s="40">
        <f t="shared" si="7"/>
        <v>1.2078249260283747E-6</v>
      </c>
      <c r="Q41" s="36">
        <f t="shared" si="8"/>
        <v>4.0103877650190586E-5</v>
      </c>
      <c r="R41" s="38">
        <f>Paralelo!G44</f>
        <v>4.1777759999999997</v>
      </c>
      <c r="S41" s="40">
        <f t="shared" si="9"/>
        <v>3.7956321223068315E-3</v>
      </c>
      <c r="T41" s="38">
        <f>'Dez24'!G44</f>
        <v>4.1777759999999997</v>
      </c>
      <c r="U41" s="40">
        <f t="shared" si="10"/>
        <v>3.795632308522773E-3</v>
      </c>
      <c r="V41" s="36">
        <f t="shared" si="11"/>
        <v>-1.8621594153819809E-10</v>
      </c>
      <c r="W41" s="38">
        <f>Paralelo!H44</f>
        <v>0.70381700000000003</v>
      </c>
      <c r="X41" s="40">
        <f t="shared" si="12"/>
        <v>1.4758525663595428E-3</v>
      </c>
      <c r="Y41" s="38">
        <f>'Dez24'!H44</f>
        <v>0.70381700000000003</v>
      </c>
      <c r="Z41" s="40">
        <f t="shared" si="13"/>
        <v>1.4758653818490307E-3</v>
      </c>
      <c r="AA41" s="36">
        <f t="shared" si="14"/>
        <v>-1.2815489487975548E-8</v>
      </c>
      <c r="AB41" s="38">
        <f>Paralelo!I44</f>
        <v>-0.796655</v>
      </c>
      <c r="AC41" s="40">
        <f t="shared" si="15"/>
        <v>1.9690824871246323E-3</v>
      </c>
      <c r="AD41" s="38">
        <f>'Dez24'!I44</f>
        <v>-0.796655</v>
      </c>
      <c r="AE41" s="40">
        <f t="shared" si="16"/>
        <v>1.9690942603646519E-3</v>
      </c>
      <c r="AF41" s="36">
        <f t="shared" si="17"/>
        <v>-1.1773240019604531E-8</v>
      </c>
      <c r="AG41" s="38">
        <f>Paralelo!J44</f>
        <v>-0.18471299999999999</v>
      </c>
      <c r="AH41" s="40">
        <f t="shared" si="18"/>
        <v>2.6976834517998425E-3</v>
      </c>
      <c r="AI41" s="38">
        <f>'Dez24'!J44</f>
        <v>-0.18471000000000001</v>
      </c>
      <c r="AJ41" s="40">
        <f t="shared" si="19"/>
        <v>2.6976397164071016E-3</v>
      </c>
      <c r="AK41" s="36">
        <f t="shared" si="20"/>
        <v>4.3735392740978235E-8</v>
      </c>
      <c r="AL41" s="38">
        <f>Paralelo!K44</f>
        <v>-0.482483</v>
      </c>
      <c r="AM41" s="40">
        <f t="shared" si="21"/>
        <v>1.5676049218290731E-3</v>
      </c>
      <c r="AN41" s="38">
        <f>'Dez24'!K44</f>
        <v>-0.48248600000000003</v>
      </c>
      <c r="AO41" s="40">
        <f t="shared" si="22"/>
        <v>1.5676165075997135E-3</v>
      </c>
      <c r="AP41" s="36">
        <f t="shared" si="23"/>
        <v>-1.1585770640391499E-8</v>
      </c>
    </row>
    <row r="42" spans="2:42" ht="15" customHeight="1" collapsed="1" x14ac:dyDescent="0.3">
      <c r="B42" s="35" t="s">
        <v>83</v>
      </c>
      <c r="C42" s="36">
        <f>Paralelo!D45</f>
        <v>671.41561300000001</v>
      </c>
      <c r="D42" s="40">
        <f t="shared" si="0"/>
        <v>5.4632068528396659E-2</v>
      </c>
      <c r="E42" s="36">
        <f>'Dez24'!D45</f>
        <v>526.82284600000003</v>
      </c>
      <c r="F42" s="40">
        <f t="shared" si="1"/>
        <v>4.286803532389083E-2</v>
      </c>
      <c r="G42" s="36">
        <f t="shared" si="2"/>
        <v>1.1764033204505829E-2</v>
      </c>
      <c r="H42" s="36">
        <f>Paralelo!E45</f>
        <v>75.349136999999999</v>
      </c>
      <c r="I42" s="40">
        <f t="shared" si="3"/>
        <v>0.17750209584437088</v>
      </c>
      <c r="J42" s="36">
        <f>'Dez24'!E45</f>
        <v>69.254803999999993</v>
      </c>
      <c r="K42" s="40">
        <f t="shared" si="4"/>
        <v>0.16314550262642621</v>
      </c>
      <c r="L42" s="36">
        <f t="shared" si="5"/>
        <v>1.4356593217944663E-2</v>
      </c>
      <c r="M42" s="36">
        <v>3.0589</v>
      </c>
      <c r="N42" s="40">
        <f t="shared" si="6"/>
        <v>1.6044739336007641E-2</v>
      </c>
      <c r="O42" s="36">
        <v>1.04671</v>
      </c>
      <c r="P42" s="40">
        <f t="shared" si="7"/>
        <v>5.7205539743129417E-3</v>
      </c>
      <c r="Q42" s="36">
        <f t="shared" si="8"/>
        <v>1.0324185361694698E-2</v>
      </c>
      <c r="R42" s="36">
        <f>Paralelo!G45</f>
        <v>0.78312899999999996</v>
      </c>
      <c r="S42" s="40">
        <f t="shared" si="9"/>
        <v>7.1149568294471188E-4</v>
      </c>
      <c r="T42" s="36">
        <f>'Dez24'!G45</f>
        <v>0.78312899999999996</v>
      </c>
      <c r="U42" s="40">
        <f t="shared" si="10"/>
        <v>7.1149571785110812E-4</v>
      </c>
      <c r="V42" s="36">
        <f t="shared" si="11"/>
        <v>-3.4906396241367321E-11</v>
      </c>
      <c r="W42" s="36">
        <f>Paralelo!H45</f>
        <v>6.4569000000000001E-2</v>
      </c>
      <c r="X42" s="40">
        <f t="shared" si="12"/>
        <v>1.3539645157373197E-4</v>
      </c>
      <c r="Y42" s="36">
        <f>'Dez24'!H45</f>
        <v>6.4569000000000001E-2</v>
      </c>
      <c r="Z42" s="40">
        <f t="shared" si="13"/>
        <v>1.3539762728182191E-4</v>
      </c>
      <c r="AA42" s="36">
        <f t="shared" si="14"/>
        <v>-1.1757080899392914E-9</v>
      </c>
      <c r="AB42" s="36">
        <f>Paralelo!I45</f>
        <v>-0.63046599999999997</v>
      </c>
      <c r="AC42" s="40">
        <f t="shared" si="15"/>
        <v>1.5583151543987275E-3</v>
      </c>
      <c r="AD42" s="36">
        <f>'Dez24'!I45</f>
        <v>-0.47853499999999999</v>
      </c>
      <c r="AE42" s="40">
        <f t="shared" si="16"/>
        <v>1.1827962190453819E-3</v>
      </c>
      <c r="AF42" s="36">
        <f t="shared" si="17"/>
        <v>3.7551893535334559E-4</v>
      </c>
      <c r="AG42" s="36">
        <f>Paralelo!J45</f>
        <v>-4.9621999999999999E-2</v>
      </c>
      <c r="AH42" s="40">
        <f t="shared" si="18"/>
        <v>7.2471590112884192E-4</v>
      </c>
      <c r="AI42" s="36">
        <f>'Dez24'!J45</f>
        <v>-4.9619999999999997E-2</v>
      </c>
      <c r="AJ42" s="40">
        <f t="shared" si="19"/>
        <v>7.2468671283698962E-4</v>
      </c>
      <c r="AK42" s="36">
        <f t="shared" si="20"/>
        <v>2.9188291852293505E-8</v>
      </c>
      <c r="AL42" s="36">
        <f>Paralelo!K45</f>
        <v>-5.2624999999999998E-2</v>
      </c>
      <c r="AM42" s="40">
        <f t="shared" si="21"/>
        <v>1.7098055063340049E-4</v>
      </c>
      <c r="AN42" s="36">
        <f>'Dez24'!K45</f>
        <v>-5.2623999999999997E-2</v>
      </c>
      <c r="AO42" s="40">
        <f t="shared" si="22"/>
        <v>1.7097750213669892E-4</v>
      </c>
      <c r="AP42" s="36">
        <f t="shared" si="23"/>
        <v>3.0484967015749053E-9</v>
      </c>
    </row>
    <row r="43" spans="2:42" ht="15" hidden="1" customHeight="1" outlineLevel="1" x14ac:dyDescent="0.3">
      <c r="B43" s="37" t="s">
        <v>84</v>
      </c>
      <c r="C43" s="38">
        <f>Paralelo!D46</f>
        <v>670.81948599999998</v>
      </c>
      <c r="D43" s="41">
        <f t="shared" si="0"/>
        <v>5.4583562579942305E-2</v>
      </c>
      <c r="E43" s="38">
        <f>'Dez24'!D46</f>
        <v>526.22672</v>
      </c>
      <c r="F43" s="41">
        <f t="shared" si="1"/>
        <v>4.2819528030367926E-2</v>
      </c>
      <c r="G43" s="36">
        <f t="shared" si="2"/>
        <v>1.1764034549574379E-2</v>
      </c>
      <c r="H43" s="38">
        <f>Paralelo!E46</f>
        <v>75.349136999999999</v>
      </c>
      <c r="I43" s="41">
        <f t="shared" si="3"/>
        <v>0.17750209584437088</v>
      </c>
      <c r="J43" s="38">
        <f>'Dez24'!E46</f>
        <v>69.254803999999993</v>
      </c>
      <c r="K43" s="41">
        <f t="shared" si="4"/>
        <v>0.16314550262642621</v>
      </c>
      <c r="L43" s="36">
        <f t="shared" si="5"/>
        <v>1.4356593217944663E-2</v>
      </c>
      <c r="M43" s="36">
        <v>3.0426820000000001</v>
      </c>
      <c r="N43" s="40">
        <f t="shared" si="6"/>
        <v>1.5959671637635231E-2</v>
      </c>
      <c r="O43" s="36">
        <v>1.040748</v>
      </c>
      <c r="P43" s="40">
        <f t="shared" si="7"/>
        <v>5.6879700276659681E-3</v>
      </c>
      <c r="Q43" s="36">
        <f t="shared" si="8"/>
        <v>1.0271701609969264E-2</v>
      </c>
      <c r="R43" s="38">
        <f>Paralelo!G46</f>
        <v>0.56329099999999999</v>
      </c>
      <c r="S43" s="40">
        <f t="shared" si="9"/>
        <v>5.1176640724786041E-4</v>
      </c>
      <c r="T43" s="38">
        <f>'Dez24'!G46</f>
        <v>0.56329200000000001</v>
      </c>
      <c r="U43" s="40">
        <f t="shared" si="10"/>
        <v>5.1176734088481766E-4</v>
      </c>
      <c r="V43" s="36">
        <f t="shared" si="11"/>
        <v>-9.3363695724199558E-10</v>
      </c>
      <c r="W43" s="38">
        <f>Paralelo!H46</f>
        <v>6.3658000000000006E-2</v>
      </c>
      <c r="X43" s="40">
        <f t="shared" si="12"/>
        <v>1.3348615147021993E-4</v>
      </c>
      <c r="Y43" s="38">
        <f>'Dez24'!H46</f>
        <v>6.3658000000000006E-2</v>
      </c>
      <c r="Z43" s="40">
        <f t="shared" si="13"/>
        <v>1.3348731059031766E-4</v>
      </c>
      <c r="AA43" s="36">
        <f t="shared" si="14"/>
        <v>-1.1591200977289964E-9</v>
      </c>
      <c r="AB43" s="38">
        <f>Paralelo!I46</f>
        <v>-0.612317</v>
      </c>
      <c r="AC43" s="40">
        <f t="shared" si="15"/>
        <v>1.513456491541123E-3</v>
      </c>
      <c r="AD43" s="38">
        <f>'Dez24'!I46</f>
        <v>-0.46038600000000002</v>
      </c>
      <c r="AE43" s="40">
        <f t="shared" si="16"/>
        <v>1.1379372879756491E-3</v>
      </c>
      <c r="AF43" s="36">
        <f t="shared" si="17"/>
        <v>3.7551920356547388E-4</v>
      </c>
      <c r="AG43" s="38">
        <f>Paralelo!J46</f>
        <v>-3.6137000000000002E-2</v>
      </c>
      <c r="AH43" s="40">
        <f t="shared" si="18"/>
        <v>5.2777112004943297E-4</v>
      </c>
      <c r="AI43" s="38">
        <f>'Dez24'!J46</f>
        <v>-3.6135E-2</v>
      </c>
      <c r="AJ43" s="40">
        <f t="shared" si="19"/>
        <v>5.2774192600492994E-4</v>
      </c>
      <c r="AK43" s="36">
        <f t="shared" si="20"/>
        <v>2.919404450303642E-8</v>
      </c>
      <c r="AL43" s="38">
        <f>Paralelo!K46</f>
        <v>-5.1769999999999997E-2</v>
      </c>
      <c r="AM43" s="40">
        <f t="shared" si="21"/>
        <v>1.6820262434757516E-4</v>
      </c>
      <c r="AN43" s="38">
        <f>'Dez24'!K46</f>
        <v>-5.1769999999999997E-2</v>
      </c>
      <c r="AO43" s="40">
        <f t="shared" si="22"/>
        <v>1.6820282163303632E-4</v>
      </c>
      <c r="AP43" s="36">
        <f t="shared" si="23"/>
        <v>-1.9728546116096028E-10</v>
      </c>
    </row>
    <row r="44" spans="2:42" ht="15" hidden="1" customHeight="1" outlineLevel="1" x14ac:dyDescent="0.3">
      <c r="B44" s="37" t="s">
        <v>85</v>
      </c>
      <c r="C44" s="38">
        <f>Paralelo!D47</f>
        <v>428.35755599999999</v>
      </c>
      <c r="D44" s="41">
        <f t="shared" si="0"/>
        <v>3.4854803643132599E-2</v>
      </c>
      <c r="E44" s="38">
        <f>'Dez24'!D47</f>
        <v>249.275679</v>
      </c>
      <c r="F44" s="41">
        <f t="shared" si="1"/>
        <v>2.0283779820662658E-2</v>
      </c>
      <c r="G44" s="36">
        <f t="shared" si="2"/>
        <v>1.4571023822469942E-2</v>
      </c>
      <c r="H44" s="38">
        <f>Paralelo!E47</f>
        <v>67.590619000000004</v>
      </c>
      <c r="I44" s="41">
        <f t="shared" si="3"/>
        <v>0.15922513527816987</v>
      </c>
      <c r="J44" s="38">
        <f>'Dez24'!E47</f>
        <v>27.007176999999999</v>
      </c>
      <c r="K44" s="41">
        <f t="shared" si="4"/>
        <v>6.3621571525721995E-2</v>
      </c>
      <c r="L44" s="36">
        <f t="shared" si="5"/>
        <v>9.560356375244787E-2</v>
      </c>
      <c r="M44" s="36">
        <v>1.0956E-2</v>
      </c>
      <c r="N44" s="40">
        <f t="shared" si="6"/>
        <v>5.7467116991500123E-5</v>
      </c>
      <c r="O44" s="36">
        <v>5.4990000000000004E-3</v>
      </c>
      <c r="P44" s="40">
        <f t="shared" si="7"/>
        <v>3.0053526100588385E-5</v>
      </c>
      <c r="Q44" s="36">
        <f t="shared" si="8"/>
        <v>2.7413590890911738E-5</v>
      </c>
      <c r="R44" s="38">
        <f>Paralelo!G47</f>
        <v>0.40745399999999998</v>
      </c>
      <c r="S44" s="40">
        <f t="shared" si="9"/>
        <v>3.7018391861181829E-4</v>
      </c>
      <c r="T44" s="38">
        <f>'Dez24'!G47</f>
        <v>0.40745399999999998</v>
      </c>
      <c r="U44" s="40">
        <f t="shared" si="10"/>
        <v>3.7018393677325879E-4</v>
      </c>
      <c r="V44" s="36">
        <f t="shared" si="11"/>
        <v>-1.8161440504694398E-11</v>
      </c>
      <c r="W44" s="38">
        <f>Paralelo!H47</f>
        <v>5.0759999999999998E-3</v>
      </c>
      <c r="X44" s="40">
        <f t="shared" si="12"/>
        <v>1.0643999259524902E-5</v>
      </c>
      <c r="Y44" s="38">
        <f>'Dez24'!H47</f>
        <v>5.0759999999999998E-3</v>
      </c>
      <c r="Z44" s="40">
        <f t="shared" si="13"/>
        <v>1.064409168614239E-5</v>
      </c>
      <c r="AA44" s="36">
        <f t="shared" si="14"/>
        <v>-9.2426617488350544E-11</v>
      </c>
      <c r="AB44" s="38">
        <f>Paralelo!I47</f>
        <v>-0.51633700000000005</v>
      </c>
      <c r="AC44" s="40">
        <f t="shared" si="15"/>
        <v>1.2762238913387493E-3</v>
      </c>
      <c r="AD44" s="38">
        <f>'Dez24'!I47</f>
        <v>-0.35252099999999997</v>
      </c>
      <c r="AE44" s="40">
        <f t="shared" si="16"/>
        <v>8.7132708356566814E-4</v>
      </c>
      <c r="AF44" s="36">
        <f t="shared" si="17"/>
        <v>4.0489680777308114E-4</v>
      </c>
      <c r="AG44" s="38">
        <f>Paralelo!J47</f>
        <v>-3.3856999999999998E-2</v>
      </c>
      <c r="AH44" s="40">
        <f t="shared" si="18"/>
        <v>4.9447233615169082E-4</v>
      </c>
      <c r="AI44" s="38">
        <f>'Dez24'!J47</f>
        <v>-3.3855999999999997E-2</v>
      </c>
      <c r="AJ44" s="40">
        <f t="shared" si="19"/>
        <v>4.9445774586475452E-4</v>
      </c>
      <c r="AK44" s="36">
        <f t="shared" si="20"/>
        <v>1.4590286936304667E-8</v>
      </c>
      <c r="AL44" s="38">
        <f>Paralelo!K47</f>
        <v>-3.7929999999999999E-3</v>
      </c>
      <c r="AM44" s="40">
        <f t="shared" si="21"/>
        <v>1.232359579197127E-5</v>
      </c>
      <c r="AN44" s="38">
        <f>'Dez24'!K47</f>
        <v>-3.7929999999999999E-3</v>
      </c>
      <c r="AO44" s="40">
        <f t="shared" si="22"/>
        <v>1.2323610246360958E-5</v>
      </c>
      <c r="AP44" s="36">
        <f t="shared" si="23"/>
        <v>-1.445438968779929E-11</v>
      </c>
    </row>
    <row r="45" spans="2:42" ht="15" hidden="1" customHeight="1" outlineLevel="1" x14ac:dyDescent="0.3">
      <c r="B45" s="37" t="s">
        <v>86</v>
      </c>
      <c r="C45" s="38">
        <f>Paralelo!D48</f>
        <v>0.28814800000000002</v>
      </c>
      <c r="D45" s="41">
        <f t="shared" si="0"/>
        <v>2.3446165054133825E-5</v>
      </c>
      <c r="E45" s="38">
        <f>'Dez24'!D48</f>
        <v>0.28814699999999999</v>
      </c>
      <c r="F45" s="41">
        <f t="shared" si="1"/>
        <v>2.3446773176714451E-5</v>
      </c>
      <c r="G45" s="36">
        <f t="shared" si="2"/>
        <v>-6.0812258062591194E-10</v>
      </c>
      <c r="H45" s="38">
        <f>Paralelo!E48</f>
        <v>0</v>
      </c>
      <c r="I45" s="41">
        <f t="shared" si="3"/>
        <v>0</v>
      </c>
      <c r="J45" s="38">
        <f>'Dez24'!E48</f>
        <v>0</v>
      </c>
      <c r="K45" s="41">
        <f t="shared" si="4"/>
        <v>0</v>
      </c>
      <c r="L45" s="36">
        <f t="shared" si="5"/>
        <v>0</v>
      </c>
      <c r="M45" s="36">
        <v>1.6218E-2</v>
      </c>
      <c r="N45" s="40">
        <f t="shared" si="6"/>
        <v>8.5067698372412286E-5</v>
      </c>
      <c r="O45" s="36">
        <v>5.9620000000000003E-3</v>
      </c>
      <c r="P45" s="40">
        <f t="shared" si="7"/>
        <v>3.2583946646973622E-5</v>
      </c>
      <c r="Q45" s="36">
        <f t="shared" si="8"/>
        <v>5.2483751725438664E-5</v>
      </c>
      <c r="R45" s="38">
        <f>Paralelo!G48</f>
        <v>0.15859999999999999</v>
      </c>
      <c r="S45" s="40">
        <f t="shared" si="9"/>
        <v>1.4409275523576741E-4</v>
      </c>
      <c r="T45" s="38">
        <f>'Dez24'!G48</f>
        <v>0.15859999999999999</v>
      </c>
      <c r="U45" s="40">
        <f t="shared" si="10"/>
        <v>1.4409276230504265E-4</v>
      </c>
      <c r="V45" s="36">
        <f t="shared" si="11"/>
        <v>-7.0692752324706676E-12</v>
      </c>
      <c r="W45" s="38">
        <f>Paralelo!H48</f>
        <v>0</v>
      </c>
      <c r="X45" s="40">
        <f t="shared" si="12"/>
        <v>0</v>
      </c>
      <c r="Y45" s="38">
        <f>'Dez24'!H48</f>
        <v>0</v>
      </c>
      <c r="Z45" s="40">
        <f t="shared" si="13"/>
        <v>0</v>
      </c>
      <c r="AA45" s="36">
        <f t="shared" si="14"/>
        <v>0</v>
      </c>
      <c r="AB45" s="38">
        <f>Paralelo!I48</f>
        <v>-9.9620000000000004E-3</v>
      </c>
      <c r="AC45" s="40">
        <f t="shared" si="15"/>
        <v>2.4622954399000303E-5</v>
      </c>
      <c r="AD45" s="38">
        <f>'Dez24'!I48</f>
        <v>-9.9620000000000004E-3</v>
      </c>
      <c r="AE45" s="40">
        <f t="shared" si="16"/>
        <v>2.4623101620842977E-5</v>
      </c>
      <c r="AF45" s="36">
        <f t="shared" si="17"/>
        <v>-1.4722184267442233E-10</v>
      </c>
      <c r="AG45" s="38">
        <f>Paralelo!J48</f>
        <v>-9.5409999999999991E-3</v>
      </c>
      <c r="AH45" s="40">
        <f t="shared" si="18"/>
        <v>1.39343726828227E-4</v>
      </c>
      <c r="AI45" s="38">
        <f>'Dez24'!J48</f>
        <v>-9.5409999999999991E-3</v>
      </c>
      <c r="AJ45" s="40">
        <f t="shared" si="19"/>
        <v>1.3934373089838207E-4</v>
      </c>
      <c r="AK45" s="36">
        <f t="shared" si="20"/>
        <v>-4.070155074521048E-12</v>
      </c>
      <c r="AL45" s="38">
        <f>Paralelo!K48</f>
        <v>0</v>
      </c>
      <c r="AM45" s="40">
        <f t="shared" si="21"/>
        <v>0</v>
      </c>
      <c r="AN45" s="38">
        <f>'Dez24'!K48</f>
        <v>0</v>
      </c>
      <c r="AO45" s="40">
        <f t="shared" si="22"/>
        <v>0</v>
      </c>
      <c r="AP45" s="36">
        <f t="shared" si="23"/>
        <v>0</v>
      </c>
    </row>
    <row r="46" spans="2:42" ht="15" hidden="1" customHeight="1" outlineLevel="1" x14ac:dyDescent="0.3">
      <c r="B46" s="37" t="s">
        <v>87</v>
      </c>
      <c r="C46" s="38">
        <f>Paralelo!D49</f>
        <v>0.307979</v>
      </c>
      <c r="D46" s="41">
        <f t="shared" si="0"/>
        <v>2.5059783400221696E-5</v>
      </c>
      <c r="E46" s="38">
        <f>'Dez24'!D49</f>
        <v>0.307979</v>
      </c>
      <c r="F46" s="41">
        <f t="shared" si="1"/>
        <v>2.5060520346182125E-5</v>
      </c>
      <c r="G46" s="36">
        <f t="shared" si="2"/>
        <v>-7.3694596042898105E-10</v>
      </c>
      <c r="H46" s="38">
        <f>Paralelo!E49</f>
        <v>0</v>
      </c>
      <c r="I46" s="41">
        <f t="shared" si="3"/>
        <v>0</v>
      </c>
      <c r="J46" s="38">
        <f>'Dez24'!E49</f>
        <v>0</v>
      </c>
      <c r="K46" s="41">
        <f t="shared" si="4"/>
        <v>0</v>
      </c>
      <c r="L46" s="36">
        <f t="shared" si="5"/>
        <v>0</v>
      </c>
      <c r="M46" s="36">
        <v>0</v>
      </c>
      <c r="N46" s="40">
        <f t="shared" si="6"/>
        <v>0</v>
      </c>
      <c r="O46" s="36">
        <v>0</v>
      </c>
      <c r="P46" s="40">
        <f t="shared" si="7"/>
        <v>0</v>
      </c>
      <c r="Q46" s="36">
        <f t="shared" si="8"/>
        <v>0</v>
      </c>
      <c r="R46" s="38">
        <f>Paralelo!G49</f>
        <v>6.1237E-2</v>
      </c>
      <c r="S46" s="40">
        <f t="shared" si="9"/>
        <v>5.5635611931731969E-5</v>
      </c>
      <c r="T46" s="38">
        <f>'Dez24'!G49</f>
        <v>6.1237E-2</v>
      </c>
      <c r="U46" s="40">
        <f t="shared" si="10"/>
        <v>5.5635614661247774E-5</v>
      </c>
      <c r="V46" s="36">
        <f t="shared" si="11"/>
        <v>-2.7295158050010676E-12</v>
      </c>
      <c r="W46" s="38">
        <f>Paralelo!H49</f>
        <v>9.1100000000000003E-4</v>
      </c>
      <c r="X46" s="40">
        <f t="shared" si="12"/>
        <v>1.9103001035120541E-6</v>
      </c>
      <c r="Y46" s="38">
        <f>'Dez24'!H49</f>
        <v>9.1100000000000003E-4</v>
      </c>
      <c r="Z46" s="40">
        <f t="shared" si="13"/>
        <v>1.9103166915042788E-6</v>
      </c>
      <c r="AA46" s="36">
        <f t="shared" si="14"/>
        <v>-1.6587992224694587E-11</v>
      </c>
      <c r="AB46" s="38">
        <f>Paralelo!I49</f>
        <v>-8.1869999999999998E-3</v>
      </c>
      <c r="AC46" s="40">
        <f t="shared" si="15"/>
        <v>2.0235708458604243E-5</v>
      </c>
      <c r="AD46" s="38">
        <f>'Dez24'!I49</f>
        <v>-8.1869999999999998E-3</v>
      </c>
      <c r="AE46" s="40">
        <f t="shared" si="16"/>
        <v>2.0235829448889928E-5</v>
      </c>
      <c r="AF46" s="36">
        <f t="shared" si="17"/>
        <v>-1.2099028568507051E-10</v>
      </c>
      <c r="AG46" s="38">
        <f>Paralelo!J49</f>
        <v>-3.9439999999999996E-3</v>
      </c>
      <c r="AH46" s="40">
        <f t="shared" si="18"/>
        <v>5.7601054251181983E-5</v>
      </c>
      <c r="AI46" s="38">
        <f>'Dez24'!J49</f>
        <v>-3.9439999999999996E-3</v>
      </c>
      <c r="AJ46" s="40">
        <f t="shared" si="19"/>
        <v>5.7601055933677692E-5</v>
      </c>
      <c r="AK46" s="36">
        <f t="shared" si="20"/>
        <v>-1.6824957090521772E-12</v>
      </c>
      <c r="AL46" s="38">
        <f>Paralelo!K49</f>
        <v>-8.5400000000000005E-4</v>
      </c>
      <c r="AM46" s="40">
        <f t="shared" si="21"/>
        <v>2.7746772492337106E-6</v>
      </c>
      <c r="AN46" s="38">
        <f>'Dez24'!K49</f>
        <v>-8.5400000000000005E-4</v>
      </c>
      <c r="AO46" s="40">
        <f t="shared" si="22"/>
        <v>2.7746805036626042E-6</v>
      </c>
      <c r="AP46" s="36">
        <f t="shared" si="23"/>
        <v>-3.2544288935959379E-12</v>
      </c>
    </row>
    <row r="47" spans="2:42" ht="15" customHeight="1" collapsed="1" x14ac:dyDescent="0.3">
      <c r="B47" s="35" t="s">
        <v>88</v>
      </c>
      <c r="C47" s="36">
        <f>Paralelo!D50</f>
        <v>33.931316000000002</v>
      </c>
      <c r="D47" s="40">
        <f t="shared" si="0"/>
        <v>2.7609396401848075E-3</v>
      </c>
      <c r="E47" s="36">
        <f>'Dez24'!D50</f>
        <v>33.931305999999999</v>
      </c>
      <c r="F47" s="40">
        <f t="shared" si="1"/>
        <v>2.7610200188504137E-3</v>
      </c>
      <c r="G47" s="36">
        <f t="shared" si="2"/>
        <v>-8.0378665606208044E-8</v>
      </c>
      <c r="H47" s="36">
        <f>Paralelo!E50</f>
        <v>0</v>
      </c>
      <c r="I47" s="40">
        <f t="shared" si="3"/>
        <v>0</v>
      </c>
      <c r="J47" s="36">
        <f>'Dez24'!E50</f>
        <v>0</v>
      </c>
      <c r="K47" s="40">
        <f t="shared" si="4"/>
        <v>0</v>
      </c>
      <c r="L47" s="36">
        <f t="shared" si="5"/>
        <v>0</v>
      </c>
      <c r="M47" s="36">
        <v>3.6956999999999997E-2</v>
      </c>
      <c r="N47" s="40">
        <f t="shared" si="6"/>
        <v>1.9384923719011226E-4</v>
      </c>
      <c r="O47" s="36">
        <v>7.4175000000000005E-2</v>
      </c>
      <c r="P47" s="40">
        <f t="shared" si="7"/>
        <v>4.0538648818169546E-4</v>
      </c>
      <c r="Q47" s="36">
        <f t="shared" si="8"/>
        <v>-2.1153725099158321E-4</v>
      </c>
      <c r="R47" s="36">
        <f>Paralelo!G50</f>
        <v>3.7084820000000001</v>
      </c>
      <c r="S47" s="40">
        <f t="shared" si="9"/>
        <v>3.3692647485639928E-3</v>
      </c>
      <c r="T47" s="36">
        <f>'Dez24'!G50</f>
        <v>3.7084820000000001</v>
      </c>
      <c r="U47" s="40">
        <f t="shared" si="10"/>
        <v>3.3692649138621009E-3</v>
      </c>
      <c r="V47" s="36">
        <f t="shared" si="11"/>
        <v>-1.652981081005922E-10</v>
      </c>
      <c r="W47" s="36">
        <f>Paralelo!H50</f>
        <v>1.7047190000000001</v>
      </c>
      <c r="X47" s="40">
        <f t="shared" si="12"/>
        <v>3.5746705621942541E-3</v>
      </c>
      <c r="Y47" s="36">
        <f>'Dez24'!H50</f>
        <v>1.704715</v>
      </c>
      <c r="Z47" s="40">
        <f t="shared" si="13"/>
        <v>3.5746932148822352E-3</v>
      </c>
      <c r="AA47" s="36">
        <f t="shared" si="14"/>
        <v>-2.2652687981048608E-8</v>
      </c>
      <c r="AB47" s="36">
        <f>Paralelo!I50</f>
        <v>-1.4345730000000001</v>
      </c>
      <c r="AC47" s="40">
        <f t="shared" si="15"/>
        <v>3.5458166594094622E-3</v>
      </c>
      <c r="AD47" s="36">
        <f>'Dez24'!I50</f>
        <v>-1.434572</v>
      </c>
      <c r="AE47" s="40">
        <f t="shared" si="16"/>
        <v>3.5458353883172002E-3</v>
      </c>
      <c r="AF47" s="36">
        <f t="shared" si="17"/>
        <v>-1.8728907738053968E-8</v>
      </c>
      <c r="AG47" s="36">
        <f>Paralelo!J50</f>
        <v>-0.170379</v>
      </c>
      <c r="AH47" s="40">
        <f t="shared" si="18"/>
        <v>2.4883392551374585E-3</v>
      </c>
      <c r="AI47" s="36">
        <f>'Dez24'!J50</f>
        <v>-0.170381</v>
      </c>
      <c r="AJ47" s="40">
        <f t="shared" si="19"/>
        <v>2.488368537280918E-3</v>
      </c>
      <c r="AK47" s="36">
        <f t="shared" si="20"/>
        <v>-2.9282143459551796E-8</v>
      </c>
      <c r="AL47" s="36">
        <f>Paralelo!K50</f>
        <v>-1.1535880000000001</v>
      </c>
      <c r="AM47" s="40">
        <f t="shared" si="21"/>
        <v>3.7480496236405362E-3</v>
      </c>
      <c r="AN47" s="36">
        <f>'Dez24'!K50</f>
        <v>-1.153586</v>
      </c>
      <c r="AO47" s="40">
        <f t="shared" si="22"/>
        <v>3.7480475216605724E-3</v>
      </c>
      <c r="AP47" s="36">
        <f t="shared" si="23"/>
        <v>2.1019799637846115E-9</v>
      </c>
    </row>
    <row r="48" spans="2:42" ht="15" customHeight="1" x14ac:dyDescent="0.3">
      <c r="B48" s="35" t="s">
        <v>89</v>
      </c>
      <c r="C48" s="36">
        <f>Paralelo!D51</f>
        <v>1068.5215720000001</v>
      </c>
      <c r="D48" s="40">
        <f t="shared" si="0"/>
        <v>8.6943977195797092E-2</v>
      </c>
      <c r="E48" s="36">
        <f>'Dez24'!D51</f>
        <v>1044.2532699999999</v>
      </c>
      <c r="F48" s="40">
        <f t="shared" si="1"/>
        <v>8.4971801062417293E-2</v>
      </c>
      <c r="G48" s="36">
        <f t="shared" si="2"/>
        <v>1.9721761333797994E-3</v>
      </c>
      <c r="H48" s="36">
        <f>Paralelo!E51</f>
        <v>0</v>
      </c>
      <c r="I48" s="40">
        <f t="shared" si="3"/>
        <v>0</v>
      </c>
      <c r="J48" s="36">
        <f>'Dez24'!E51</f>
        <v>0</v>
      </c>
      <c r="K48" s="40">
        <f t="shared" si="4"/>
        <v>0</v>
      </c>
      <c r="L48" s="36">
        <f t="shared" si="5"/>
        <v>0</v>
      </c>
      <c r="M48" s="36">
        <v>3.705638</v>
      </c>
      <c r="N48" s="40">
        <f t="shared" si="6"/>
        <v>1.9437051156822611E-2</v>
      </c>
      <c r="O48" s="36">
        <v>9.0576039999999995</v>
      </c>
      <c r="P48" s="40">
        <f t="shared" si="7"/>
        <v>4.9502261906309096E-2</v>
      </c>
      <c r="Q48" s="36">
        <f t="shared" si="8"/>
        <v>-3.0065210749486485E-2</v>
      </c>
      <c r="R48" s="36">
        <f>Paralelo!G51</f>
        <v>101.32226300000001</v>
      </c>
      <c r="S48" s="40">
        <f t="shared" si="9"/>
        <v>9.2054249952036912E-2</v>
      </c>
      <c r="T48" s="36">
        <f>'Dez24'!G51</f>
        <v>101.322256</v>
      </c>
      <c r="U48" s="40">
        <f t="shared" si="10"/>
        <v>9.2054248108566716E-2</v>
      </c>
      <c r="V48" s="36">
        <f t="shared" si="11"/>
        <v>1.843470195939112E-9</v>
      </c>
      <c r="W48" s="36">
        <f>Paralelo!H51</f>
        <v>49.413227999999997</v>
      </c>
      <c r="X48" s="40">
        <f t="shared" si="12"/>
        <v>0.10361591060731583</v>
      </c>
      <c r="Y48" s="36">
        <f>'Dez24'!H51</f>
        <v>49.413445000000003</v>
      </c>
      <c r="Z48" s="40">
        <f t="shared" si="13"/>
        <v>0.10361726538773726</v>
      </c>
      <c r="AA48" s="36">
        <f t="shared" si="14"/>
        <v>-1.3547804214308901E-6</v>
      </c>
      <c r="AB48" s="36">
        <f>Paralelo!I51</f>
        <v>-44.087082000000002</v>
      </c>
      <c r="AC48" s="40">
        <f t="shared" si="15"/>
        <v>0.10896950508642712</v>
      </c>
      <c r="AD48" s="36">
        <f>'Dez24'!I51</f>
        <v>-44.046266000000003</v>
      </c>
      <c r="AE48" s="40">
        <f t="shared" si="16"/>
        <v>0.10886927160577002</v>
      </c>
      <c r="AF48" s="36">
        <f t="shared" si="17"/>
        <v>1.0023348065710258E-4</v>
      </c>
      <c r="AG48" s="36">
        <f>Paralelo!J51</f>
        <v>-5.3415150000000002</v>
      </c>
      <c r="AH48" s="40">
        <f t="shared" si="18"/>
        <v>7.8011383189275446E-2</v>
      </c>
      <c r="AI48" s="36">
        <f>'Dez24'!J51</f>
        <v>-5.3415150000000002</v>
      </c>
      <c r="AJ48" s="40">
        <f t="shared" si="19"/>
        <v>7.8011385467945851E-2</v>
      </c>
      <c r="AK48" s="36">
        <f t="shared" si="20"/>
        <v>-2.2786704051425133E-9</v>
      </c>
      <c r="AL48" s="36">
        <f>Paralelo!K51</f>
        <v>-36.332174999999999</v>
      </c>
      <c r="AM48" s="40">
        <f t="shared" si="21"/>
        <v>0.11804456602772574</v>
      </c>
      <c r="AN48" s="36">
        <f>'Dez24'!K51</f>
        <v>-36.332388999999999</v>
      </c>
      <c r="AO48" s="40">
        <f t="shared" si="22"/>
        <v>0.11804539977726658</v>
      </c>
      <c r="AP48" s="36">
        <f t="shared" si="23"/>
        <v>-8.3374954083781372E-7</v>
      </c>
    </row>
    <row r="49" spans="2:42" ht="15" hidden="1" customHeight="1" outlineLevel="1" x14ac:dyDescent="0.3">
      <c r="B49" s="37" t="s">
        <v>90</v>
      </c>
      <c r="C49" s="38">
        <f>Paralelo!D52</f>
        <v>747.59956099999999</v>
      </c>
      <c r="D49" s="41">
        <f t="shared" si="0"/>
        <v>6.08310406513458E-2</v>
      </c>
      <c r="E49" s="38">
        <f>'Dez24'!D52</f>
        <v>723.33126000000004</v>
      </c>
      <c r="F49" s="41">
        <f t="shared" si="1"/>
        <v>5.8858096682759389E-2</v>
      </c>
      <c r="G49" s="36">
        <f t="shared" si="2"/>
        <v>1.9729439685864103E-3</v>
      </c>
      <c r="H49" s="38">
        <f>Paralelo!E52</f>
        <v>0</v>
      </c>
      <c r="I49" s="41">
        <f t="shared" si="3"/>
        <v>0</v>
      </c>
      <c r="J49" s="38">
        <f>'Dez24'!E52</f>
        <v>0</v>
      </c>
      <c r="K49" s="41">
        <f t="shared" si="4"/>
        <v>0</v>
      </c>
      <c r="L49" s="36">
        <f t="shared" si="5"/>
        <v>0</v>
      </c>
      <c r="M49" s="36">
        <v>2.3344109999999998</v>
      </c>
      <c r="N49" s="40">
        <f t="shared" si="6"/>
        <v>1.2244602961230812E-2</v>
      </c>
      <c r="O49" s="36">
        <v>4.070106</v>
      </c>
      <c r="P49" s="40">
        <f t="shared" si="7"/>
        <v>2.2244232933835494E-2</v>
      </c>
      <c r="Q49" s="36">
        <f t="shared" si="8"/>
        <v>-9.999629972604682E-3</v>
      </c>
      <c r="R49" s="38">
        <f>Paralelo!G52</f>
        <v>57.181147000000003</v>
      </c>
      <c r="S49" s="40">
        <f t="shared" si="9"/>
        <v>5.195075043361562E-2</v>
      </c>
      <c r="T49" s="38">
        <f>'Dez24'!G52</f>
        <v>57.181136000000002</v>
      </c>
      <c r="U49" s="40">
        <f t="shared" si="10"/>
        <v>5.1950742988526595E-2</v>
      </c>
      <c r="V49" s="36">
        <f t="shared" si="11"/>
        <v>7.4450890244492918E-9</v>
      </c>
      <c r="W49" s="38">
        <f>Paralelo!H52</f>
        <v>41.335394999999998</v>
      </c>
      <c r="X49" s="40">
        <f t="shared" si="12"/>
        <v>8.6677287977180717E-2</v>
      </c>
      <c r="Y49" s="38">
        <f>'Dez24'!H52</f>
        <v>41.335608999999998</v>
      </c>
      <c r="Z49" s="40">
        <f t="shared" si="13"/>
        <v>8.6678489381113583E-2</v>
      </c>
      <c r="AA49" s="36">
        <f t="shared" si="14"/>
        <v>-1.2014039328656079E-6</v>
      </c>
      <c r="AB49" s="38">
        <f>Paralelo!I52</f>
        <v>-35.522866999999998</v>
      </c>
      <c r="AC49" s="40">
        <f t="shared" si="15"/>
        <v>8.7801438894072742E-2</v>
      </c>
      <c r="AD49" s="38">
        <f>'Dez24'!I52</f>
        <v>-35.482049000000004</v>
      </c>
      <c r="AE49" s="40">
        <f t="shared" si="16"/>
        <v>8.7701073905112434E-2</v>
      </c>
      <c r="AF49" s="36">
        <f t="shared" si="17"/>
        <v>1.003649889603081E-4</v>
      </c>
      <c r="AG49" s="38">
        <f>Paralelo!J52</f>
        <v>-3.3240590000000001</v>
      </c>
      <c r="AH49" s="40">
        <f t="shared" si="18"/>
        <v>4.8546983466817892E-2</v>
      </c>
      <c r="AI49" s="38">
        <f>'Dez24'!J52</f>
        <v>-3.3240560000000001</v>
      </c>
      <c r="AJ49" s="40">
        <f t="shared" si="19"/>
        <v>4.8546941070658461E-2</v>
      </c>
      <c r="AK49" s="36">
        <f t="shared" si="20"/>
        <v>4.2396159430357905E-8</v>
      </c>
      <c r="AL49" s="38">
        <f>Paralelo!K52</f>
        <v>-30.729479000000001</v>
      </c>
      <c r="AM49" s="40">
        <f t="shared" si="21"/>
        <v>9.984120171206684E-2</v>
      </c>
      <c r="AN49" s="38">
        <f>'Dez24'!K52</f>
        <v>-30.729696000000001</v>
      </c>
      <c r="AO49" s="40">
        <f t="shared" si="22"/>
        <v>9.9842023857937612E-2</v>
      </c>
      <c r="AP49" s="36">
        <f t="shared" si="23"/>
        <v>-8.2214587077134027E-7</v>
      </c>
    </row>
    <row r="50" spans="2:42" ht="15" hidden="1" customHeight="1" outlineLevel="1" x14ac:dyDescent="0.3">
      <c r="B50" s="37" t="s">
        <v>91</v>
      </c>
      <c r="C50" s="38">
        <f>Paralelo!D53</f>
        <v>165.331917</v>
      </c>
      <c r="D50" s="41">
        <f t="shared" si="0"/>
        <v>1.3452806941913024E-2</v>
      </c>
      <c r="E50" s="38">
        <f>'Dez24'!D53</f>
        <v>165.331918</v>
      </c>
      <c r="F50" s="41">
        <f t="shared" si="1"/>
        <v>1.3453202636908084E-2</v>
      </c>
      <c r="G50" s="36">
        <f t="shared" si="2"/>
        <v>-3.9569499506002248E-7</v>
      </c>
      <c r="H50" s="38">
        <f>Paralelo!E53</f>
        <v>0</v>
      </c>
      <c r="I50" s="41">
        <f t="shared" si="3"/>
        <v>0</v>
      </c>
      <c r="J50" s="38">
        <f>'Dez24'!E53</f>
        <v>0</v>
      </c>
      <c r="K50" s="41">
        <f t="shared" si="4"/>
        <v>0</v>
      </c>
      <c r="L50" s="36">
        <f t="shared" si="5"/>
        <v>0</v>
      </c>
      <c r="M50" s="36">
        <v>0.614398</v>
      </c>
      <c r="N50" s="40">
        <f t="shared" si="6"/>
        <v>3.2226799694545175E-3</v>
      </c>
      <c r="O50" s="36">
        <v>3.270769</v>
      </c>
      <c r="P50" s="40">
        <f t="shared" si="7"/>
        <v>1.7875639481814032E-2</v>
      </c>
      <c r="Q50" s="36">
        <f t="shared" si="8"/>
        <v>-1.4652959512359514E-2</v>
      </c>
      <c r="R50" s="38">
        <f>Paralelo!G53</f>
        <v>15.194556</v>
      </c>
      <c r="S50" s="40">
        <f t="shared" si="9"/>
        <v>1.3804700117428507E-2</v>
      </c>
      <c r="T50" s="38">
        <f>'Dez24'!G53</f>
        <v>15.194557</v>
      </c>
      <c r="U50" s="40">
        <f t="shared" si="10"/>
        <v>1.3804701703224603E-2</v>
      </c>
      <c r="V50" s="36">
        <f t="shared" si="11"/>
        <v>-1.5857960951326522E-9</v>
      </c>
      <c r="W50" s="38">
        <f>Paralelo!H53</f>
        <v>1.298467</v>
      </c>
      <c r="X50" s="40">
        <f t="shared" si="12"/>
        <v>2.7227899500625536E-3</v>
      </c>
      <c r="Y50" s="38">
        <f>'Dez24'!H53</f>
        <v>1.298468</v>
      </c>
      <c r="Z50" s="40">
        <f t="shared" si="13"/>
        <v>2.7228156902131479E-3</v>
      </c>
      <c r="AA50" s="36">
        <f t="shared" si="14"/>
        <v>-2.5740150594311118E-8</v>
      </c>
      <c r="AB50" s="38">
        <f>Paralelo!I53</f>
        <v>-1.740944</v>
      </c>
      <c r="AC50" s="40">
        <f t="shared" si="15"/>
        <v>4.3030701388489445E-3</v>
      </c>
      <c r="AD50" s="38">
        <f>'Dez24'!I53</f>
        <v>-1.7409479999999999</v>
      </c>
      <c r="AE50" s="40">
        <f t="shared" si="16"/>
        <v>4.3031057539252501E-3</v>
      </c>
      <c r="AF50" s="36">
        <f t="shared" si="17"/>
        <v>-3.5615076305652027E-8</v>
      </c>
      <c r="AG50" s="38">
        <f>Paralelo!J53</f>
        <v>-0.41082299999999999</v>
      </c>
      <c r="AH50" s="40">
        <f t="shared" si="18"/>
        <v>5.9999589022904001E-3</v>
      </c>
      <c r="AI50" s="38">
        <f>'Dez24'!J53</f>
        <v>-0.410827</v>
      </c>
      <c r="AJ50" s="40">
        <f t="shared" si="19"/>
        <v>6.0000174964667868E-3</v>
      </c>
      <c r="AK50" s="36">
        <f t="shared" si="20"/>
        <v>-5.8594176386740637E-8</v>
      </c>
      <c r="AL50" s="38">
        <f>Paralelo!K53</f>
        <v>-0.98984000000000005</v>
      </c>
      <c r="AM50" s="40">
        <f t="shared" si="21"/>
        <v>3.2160263798378178E-3</v>
      </c>
      <c r="AN50" s="38">
        <f>'Dez24'!K53</f>
        <v>-0.989838</v>
      </c>
      <c r="AO50" s="40">
        <f t="shared" si="22"/>
        <v>3.2160236538458838E-3</v>
      </c>
      <c r="AP50" s="36">
        <f t="shared" si="23"/>
        <v>2.7259919339189809E-9</v>
      </c>
    </row>
    <row r="51" spans="2:42" ht="15" hidden="1" customHeight="1" outlineLevel="1" x14ac:dyDescent="0.3">
      <c r="B51" s="37" t="s">
        <v>92</v>
      </c>
      <c r="C51" s="38">
        <f>Paralelo!D54</f>
        <v>155.59009399999999</v>
      </c>
      <c r="D51" s="41">
        <f t="shared" si="0"/>
        <v>1.2660129602538268E-2</v>
      </c>
      <c r="E51" s="38">
        <f>'Dez24'!D54</f>
        <v>155.590092</v>
      </c>
      <c r="F51" s="41">
        <f t="shared" si="1"/>
        <v>1.2660501742749826E-2</v>
      </c>
      <c r="G51" s="36">
        <f t="shared" si="2"/>
        <v>-3.7214021155786148E-7</v>
      </c>
      <c r="H51" s="38">
        <f>Paralelo!E54</f>
        <v>0</v>
      </c>
      <c r="I51" s="41">
        <f t="shared" si="3"/>
        <v>0</v>
      </c>
      <c r="J51" s="38">
        <f>'Dez24'!E54</f>
        <v>0</v>
      </c>
      <c r="K51" s="41">
        <f t="shared" si="4"/>
        <v>0</v>
      </c>
      <c r="L51" s="36">
        <f t="shared" si="5"/>
        <v>0</v>
      </c>
      <c r="M51" s="36">
        <v>0.75682899999999997</v>
      </c>
      <c r="N51" s="40">
        <f t="shared" si="6"/>
        <v>3.9697682261372802E-3</v>
      </c>
      <c r="O51" s="36">
        <v>1.7167289999999999</v>
      </c>
      <c r="P51" s="40">
        <f t="shared" si="7"/>
        <v>9.3823894906595734E-3</v>
      </c>
      <c r="Q51" s="36">
        <f t="shared" si="8"/>
        <v>-5.4126212645222932E-3</v>
      </c>
      <c r="R51" s="38">
        <f>Paralelo!G54</f>
        <v>28.946560999999999</v>
      </c>
      <c r="S51" s="40">
        <f t="shared" si="9"/>
        <v>2.6298800309522138E-2</v>
      </c>
      <c r="T51" s="38">
        <f>'Dez24'!G54</f>
        <v>28.946563000000001</v>
      </c>
      <c r="U51" s="40">
        <f t="shared" si="10"/>
        <v>2.6298803416815526E-2</v>
      </c>
      <c r="V51" s="36">
        <f t="shared" si="11"/>
        <v>-3.1072933878717457E-9</v>
      </c>
      <c r="W51" s="38">
        <f>Paralelo!H54</f>
        <v>6.7793659999999996</v>
      </c>
      <c r="X51" s="40">
        <f t="shared" si="12"/>
        <v>1.4215832680072557E-2</v>
      </c>
      <c r="Y51" s="38">
        <f>'Dez24'!H54</f>
        <v>6.7793679999999998</v>
      </c>
      <c r="Z51" s="40">
        <f t="shared" si="13"/>
        <v>1.4215960316410514E-2</v>
      </c>
      <c r="AA51" s="36">
        <f t="shared" si="14"/>
        <v>-1.2763633795709328E-7</v>
      </c>
      <c r="AB51" s="38">
        <f>Paralelo!I54</f>
        <v>-6.8232720000000002</v>
      </c>
      <c r="AC51" s="40">
        <f t="shared" si="15"/>
        <v>1.6864998525193294E-2</v>
      </c>
      <c r="AD51" s="38">
        <f>'Dez24'!I54</f>
        <v>-6.8232689999999998</v>
      </c>
      <c r="AE51" s="40">
        <f t="shared" si="16"/>
        <v>1.6865091946732347E-2</v>
      </c>
      <c r="AF51" s="36">
        <f t="shared" si="17"/>
        <v>-9.342153905328443E-8</v>
      </c>
      <c r="AG51" s="38">
        <f>Paralelo!J54</f>
        <v>-1.606633</v>
      </c>
      <c r="AH51" s="40">
        <f t="shared" si="18"/>
        <v>2.3464440820167159E-2</v>
      </c>
      <c r="AI51" s="38">
        <f>'Dez24'!J54</f>
        <v>-1.6066320000000001</v>
      </c>
      <c r="AJ51" s="40">
        <f t="shared" si="19"/>
        <v>2.3464426900820606E-2</v>
      </c>
      <c r="AK51" s="36">
        <f t="shared" si="20"/>
        <v>1.3919346553842304E-8</v>
      </c>
      <c r="AL51" s="38">
        <f>Paralelo!K54</f>
        <v>-4.612857</v>
      </c>
      <c r="AM51" s="40">
        <f t="shared" si="21"/>
        <v>1.4987341184857689E-2</v>
      </c>
      <c r="AN51" s="38">
        <f>'Dez24'!K54</f>
        <v>-4.6128549999999997</v>
      </c>
      <c r="AO51" s="40">
        <f t="shared" si="22"/>
        <v>1.4987352265483093E-2</v>
      </c>
      <c r="AP51" s="36">
        <f t="shared" si="23"/>
        <v>-1.1080625403336875E-8</v>
      </c>
    </row>
    <row r="52" spans="2:42" ht="15" customHeight="1" collapsed="1" x14ac:dyDescent="0.3">
      <c r="B52" s="35" t="s">
        <v>93</v>
      </c>
      <c r="C52" s="36">
        <f>Paralelo!D55</f>
        <v>2070.1135020000002</v>
      </c>
      <c r="D52" s="40">
        <f t="shared" si="0"/>
        <v>0.16844199109028346</v>
      </c>
      <c r="E52" s="36">
        <f>'Dez24'!D55</f>
        <v>2070.2229309999998</v>
      </c>
      <c r="F52" s="40">
        <f t="shared" si="1"/>
        <v>0.16845584888404172</v>
      </c>
      <c r="G52" s="36">
        <f t="shared" si="2"/>
        <v>-1.3857793758259573E-5</v>
      </c>
      <c r="H52" s="36">
        <f>Paralelo!E55</f>
        <v>7.2740000000000001E-3</v>
      </c>
      <c r="I52" s="40">
        <f t="shared" si="3"/>
        <v>1.7135567792527653E-5</v>
      </c>
      <c r="J52" s="36">
        <f>'Dez24'!E55</f>
        <v>7.2740000000000001E-3</v>
      </c>
      <c r="K52" s="40">
        <f t="shared" si="4"/>
        <v>1.7135567752160912E-5</v>
      </c>
      <c r="L52" s="36">
        <f t="shared" si="5"/>
        <v>4.0366740847305391E-14</v>
      </c>
      <c r="M52" s="36">
        <v>5.1643100000000004</v>
      </c>
      <c r="N52" s="40">
        <f t="shared" si="6"/>
        <v>2.7088171499669043E-2</v>
      </c>
      <c r="O52" s="36">
        <v>7.5560020000000003</v>
      </c>
      <c r="P52" s="40">
        <f t="shared" si="7"/>
        <v>4.1295599804164036E-2</v>
      </c>
      <c r="Q52" s="36">
        <f t="shared" si="8"/>
        <v>-1.4207428304494993E-2</v>
      </c>
      <c r="R52" s="36">
        <f>Paralelo!G55</f>
        <v>248.74796699999999</v>
      </c>
      <c r="S52" s="40">
        <f t="shared" si="9"/>
        <v>0.2259948292832645</v>
      </c>
      <c r="T52" s="36">
        <f>'Dez24'!G55</f>
        <v>248.74798699999999</v>
      </c>
      <c r="U52" s="40">
        <f t="shared" si="10"/>
        <v>0.22599485854129153</v>
      </c>
      <c r="V52" s="36">
        <f t="shared" si="11"/>
        <v>-2.9258027028911116E-8</v>
      </c>
      <c r="W52" s="36">
        <f>Paralelo!H55</f>
        <v>74.069631999999999</v>
      </c>
      <c r="X52" s="40">
        <f t="shared" si="12"/>
        <v>0.15531857922799094</v>
      </c>
      <c r="Y52" s="36">
        <f>'Dez24'!H55</f>
        <v>74.179074</v>
      </c>
      <c r="Z52" s="40">
        <f t="shared" si="13"/>
        <v>0.15554942175909006</v>
      </c>
      <c r="AA52" s="36">
        <f t="shared" si="14"/>
        <v>-2.3084253109911801E-4</v>
      </c>
      <c r="AB52" s="36">
        <f>Paralelo!I55</f>
        <v>-66.424700000000001</v>
      </c>
      <c r="AC52" s="40">
        <f t="shared" si="15"/>
        <v>0.16418112417860625</v>
      </c>
      <c r="AD52" s="36">
        <f>'Dez24'!I55</f>
        <v>-66.522363999999996</v>
      </c>
      <c r="AE52" s="40">
        <f t="shared" si="16"/>
        <v>0.16442350219139795</v>
      </c>
      <c r="AF52" s="36">
        <f t="shared" si="17"/>
        <v>-2.4237801279169968E-4</v>
      </c>
      <c r="AG52" s="36">
        <f>Paralelo!J55</f>
        <v>-13.90044</v>
      </c>
      <c r="AH52" s="40">
        <f t="shared" si="18"/>
        <v>0.20301217001909233</v>
      </c>
      <c r="AI52" s="36">
        <f>'Dez24'!J55</f>
        <v>-13.900444999999999</v>
      </c>
      <c r="AJ52" s="40">
        <f t="shared" si="19"/>
        <v>0.2030122489726193</v>
      </c>
      <c r="AK52" s="36">
        <f t="shared" si="20"/>
        <v>-7.895352696629665E-8</v>
      </c>
      <c r="AL52" s="36">
        <f>Paralelo!K55</f>
        <v>-47.135610999999997</v>
      </c>
      <c r="AM52" s="40">
        <f t="shared" si="21"/>
        <v>0.15314532490682697</v>
      </c>
      <c r="AN52" s="36">
        <f>'Dez24'!K55</f>
        <v>-47.233279000000003</v>
      </c>
      <c r="AO52" s="40">
        <f t="shared" si="22"/>
        <v>0.15346283180955073</v>
      </c>
      <c r="AP52" s="36">
        <f t="shared" si="23"/>
        <v>-3.1750690272375204E-4</v>
      </c>
    </row>
    <row r="53" spans="2:42" ht="15" customHeight="1" x14ac:dyDescent="0.3">
      <c r="B53" s="35" t="s">
        <v>94</v>
      </c>
      <c r="C53" s="36">
        <f>Paralelo!D56</f>
        <v>786.91128500000002</v>
      </c>
      <c r="D53" s="40">
        <f t="shared" si="0"/>
        <v>6.4029775917481796E-2</v>
      </c>
      <c r="E53" s="36">
        <f>'Dez24'!D56</f>
        <v>721.84642099999996</v>
      </c>
      <c r="F53" s="40">
        <f t="shared" si="1"/>
        <v>5.8737274035857143E-2</v>
      </c>
      <c r="G53" s="36">
        <f t="shared" si="2"/>
        <v>5.2925018816246533E-3</v>
      </c>
      <c r="H53" s="36">
        <f>Paralelo!E56</f>
        <v>8.1853999999999996E-2</v>
      </c>
      <c r="I53" s="40">
        <f t="shared" si="3"/>
        <v>1.9282578582479495E-4</v>
      </c>
      <c r="J53" s="36">
        <f>'Dez24'!E56</f>
        <v>8.1853999999999996E-2</v>
      </c>
      <c r="K53" s="40">
        <f t="shared" si="4"/>
        <v>1.9282578537054977E-4</v>
      </c>
      <c r="L53" s="36">
        <f t="shared" si="5"/>
        <v>4.5424517554522315E-13</v>
      </c>
      <c r="M53" s="36">
        <v>9.7606999999999999E-2</v>
      </c>
      <c r="N53" s="40">
        <f t="shared" si="6"/>
        <v>5.119745242962169E-4</v>
      </c>
      <c r="O53" s="36">
        <v>9.4536999999999996E-2</v>
      </c>
      <c r="P53" s="40">
        <f t="shared" si="7"/>
        <v>5.1667033951106086E-4</v>
      </c>
      <c r="Q53" s="36">
        <f t="shared" si="8"/>
        <v>-4.695815214843962E-6</v>
      </c>
      <c r="R53" s="36">
        <f>Paralelo!G56</f>
        <v>55.729740999999997</v>
      </c>
      <c r="S53" s="40">
        <f t="shared" si="9"/>
        <v>5.06321054808683E-2</v>
      </c>
      <c r="T53" s="36">
        <f>'Dez24'!G56</f>
        <v>55.729740999999997</v>
      </c>
      <c r="U53" s="40">
        <f t="shared" si="10"/>
        <v>5.0632107964909141E-2</v>
      </c>
      <c r="V53" s="36">
        <f t="shared" si="11"/>
        <v>-2.4840408410775616E-9</v>
      </c>
      <c r="W53" s="36">
        <f>Paralelo!H56</f>
        <v>49.654983000000001</v>
      </c>
      <c r="X53" s="40">
        <f t="shared" si="12"/>
        <v>0.10412285308977969</v>
      </c>
      <c r="Y53" s="36">
        <f>'Dez24'!H56</f>
        <v>49.663077000000001</v>
      </c>
      <c r="Z53" s="40">
        <f t="shared" si="13"/>
        <v>0.10414072990621541</v>
      </c>
      <c r="AA53" s="36">
        <f t="shared" si="14"/>
        <v>-1.7876816435724585E-5</v>
      </c>
      <c r="AB53" s="36">
        <f>Paralelo!I56</f>
        <v>-35.567301</v>
      </c>
      <c r="AC53" s="40">
        <f t="shared" si="15"/>
        <v>8.7911265872166008E-2</v>
      </c>
      <c r="AD53" s="36">
        <f>'Dez24'!I56</f>
        <v>-35.367254000000003</v>
      </c>
      <c r="AE53" s="40">
        <f t="shared" si="16"/>
        <v>8.741733480146209E-2</v>
      </c>
      <c r="AF53" s="36">
        <f t="shared" si="17"/>
        <v>4.9393107070391795E-4</v>
      </c>
      <c r="AG53" s="36">
        <f>Paralelo!J56</f>
        <v>-3.7920240000000001</v>
      </c>
      <c r="AH53" s="40">
        <f t="shared" si="18"/>
        <v>5.5381485838180561E-2</v>
      </c>
      <c r="AI53" s="36">
        <f>'Dez24'!J56</f>
        <v>-3.7920219999999998</v>
      </c>
      <c r="AJ53" s="40">
        <f t="shared" si="19"/>
        <v>5.5381458246383457E-2</v>
      </c>
      <c r="AK53" s="36">
        <f t="shared" si="20"/>
        <v>2.7591797104042914E-8</v>
      </c>
      <c r="AL53" s="36">
        <f>Paralelo!K56</f>
        <v>-30.015746</v>
      </c>
      <c r="AM53" s="40">
        <f t="shared" si="21"/>
        <v>9.7522257078428279E-2</v>
      </c>
      <c r="AN53" s="36">
        <f>'Dez24'!K56</f>
        <v>-30.015747999999999</v>
      </c>
      <c r="AO53" s="40">
        <f t="shared" si="22"/>
        <v>9.7522377960714057E-2</v>
      </c>
      <c r="AP53" s="36">
        <f t="shared" si="23"/>
        <v>-1.2088228577844529E-7</v>
      </c>
    </row>
    <row r="54" spans="2:42" ht="15" hidden="1" customHeight="1" outlineLevel="1" x14ac:dyDescent="0.3">
      <c r="B54" s="37" t="s">
        <v>95</v>
      </c>
      <c r="C54" s="38">
        <f>Paralelo!D57</f>
        <v>313.720887</v>
      </c>
      <c r="D54" s="41">
        <f t="shared" si="0"/>
        <v>2.5526992023304922E-2</v>
      </c>
      <c r="E54" s="38">
        <f>'Dez24'!D57</f>
        <v>313.720887</v>
      </c>
      <c r="F54" s="41">
        <f t="shared" si="1"/>
        <v>2.552774270871002E-2</v>
      </c>
      <c r="G54" s="36">
        <f t="shared" si="2"/>
        <v>-7.5068540509801163E-7</v>
      </c>
      <c r="H54" s="38">
        <f>Paralelo!E57</f>
        <v>0</v>
      </c>
      <c r="I54" s="41">
        <f t="shared" si="3"/>
        <v>0</v>
      </c>
      <c r="J54" s="38">
        <f>'Dez24'!E57</f>
        <v>0</v>
      </c>
      <c r="K54" s="41">
        <f t="shared" si="4"/>
        <v>0</v>
      </c>
      <c r="L54" s="36">
        <f t="shared" si="5"/>
        <v>0</v>
      </c>
      <c r="M54" s="36">
        <v>3.5869999999999999E-2</v>
      </c>
      <c r="N54" s="40">
        <f t="shared" si="6"/>
        <v>1.8814763476497894E-4</v>
      </c>
      <c r="O54" s="36">
        <v>6.0567000000000003E-2</v>
      </c>
      <c r="P54" s="40">
        <f t="shared" si="7"/>
        <v>3.3101507825683519E-4</v>
      </c>
      <c r="Q54" s="36">
        <f t="shared" si="8"/>
        <v>-1.4286744349185625E-4</v>
      </c>
      <c r="R54" s="38">
        <f>Paralelo!G57</f>
        <v>45.530617999999997</v>
      </c>
      <c r="S54" s="40">
        <f t="shared" si="9"/>
        <v>4.1365902870159059E-2</v>
      </c>
      <c r="T54" s="38">
        <f>'Dez24'!G57</f>
        <v>45.530616999999999</v>
      </c>
      <c r="U54" s="40">
        <f t="shared" si="10"/>
        <v>4.1365903991065156E-2</v>
      </c>
      <c r="V54" s="36">
        <f t="shared" si="11"/>
        <v>-1.1209060971073548E-9</v>
      </c>
      <c r="W54" s="38">
        <f>Paralelo!H57</f>
        <v>11.365893</v>
      </c>
      <c r="X54" s="40">
        <f t="shared" si="12"/>
        <v>2.3833443001544379E-2</v>
      </c>
      <c r="Y54" s="38">
        <f>'Dez24'!H57</f>
        <v>11.365897</v>
      </c>
      <c r="Z54" s="40">
        <f t="shared" si="13"/>
        <v>2.3833658345794078E-2</v>
      </c>
      <c r="AA54" s="36">
        <f t="shared" si="14"/>
        <v>-2.1534424969951727E-7</v>
      </c>
      <c r="AB54" s="38">
        <f>Paralelo!I57</f>
        <v>-11.133061</v>
      </c>
      <c r="AC54" s="40">
        <f t="shared" si="15"/>
        <v>2.7517451648693906E-2</v>
      </c>
      <c r="AD54" s="38">
        <f>'Dez24'!I57</f>
        <v>-11.133062000000001</v>
      </c>
      <c r="AE54" s="40">
        <f t="shared" si="16"/>
        <v>2.7517618648579139E-2</v>
      </c>
      <c r="AF54" s="36">
        <f t="shared" si="17"/>
        <v>-1.6699988523299902E-7</v>
      </c>
      <c r="AG54" s="38">
        <f>Paralelo!J57</f>
        <v>-2.5553889999999999</v>
      </c>
      <c r="AH54" s="40">
        <f t="shared" si="18"/>
        <v>3.7320765827047082E-2</v>
      </c>
      <c r="AI54" s="38">
        <f>'Dez24'!J57</f>
        <v>-2.5553889999999999</v>
      </c>
      <c r="AJ54" s="40">
        <f t="shared" si="19"/>
        <v>3.7320766917166508E-2</v>
      </c>
      <c r="AK54" s="36">
        <f t="shared" si="20"/>
        <v>-1.0901194252843638E-9</v>
      </c>
      <c r="AL54" s="38">
        <f>Paralelo!K57</f>
        <v>-7.5581940000000003</v>
      </c>
      <c r="AM54" s="40">
        <f t="shared" si="21"/>
        <v>2.4556848872476274E-2</v>
      </c>
      <c r="AN54" s="38">
        <f>'Dez24'!K57</f>
        <v>-7.5581940000000003</v>
      </c>
      <c r="AO54" s="40">
        <f t="shared" si="22"/>
        <v>2.4556877675292358E-2</v>
      </c>
      <c r="AP54" s="36">
        <f t="shared" si="23"/>
        <v>-2.8802816083584037E-8</v>
      </c>
    </row>
    <row r="55" spans="2:42" ht="15" hidden="1" customHeight="1" outlineLevel="1" x14ac:dyDescent="0.3">
      <c r="B55" s="37" t="s">
        <v>96</v>
      </c>
      <c r="C55" s="38">
        <f>Paralelo!D58</f>
        <v>3.3902410000000001</v>
      </c>
      <c r="D55" s="41">
        <f t="shared" si="0"/>
        <v>2.7585876028739297E-4</v>
      </c>
      <c r="E55" s="38">
        <f>'Dez24'!D58</f>
        <v>3.3902410000000001</v>
      </c>
      <c r="F55" s="41">
        <f t="shared" si="1"/>
        <v>2.7586687260807016E-4</v>
      </c>
      <c r="G55" s="36">
        <f t="shared" si="2"/>
        <v>-8.1123206771907541E-9</v>
      </c>
      <c r="H55" s="38">
        <f>Paralelo!E58</f>
        <v>0</v>
      </c>
      <c r="I55" s="41">
        <f t="shared" si="3"/>
        <v>0</v>
      </c>
      <c r="J55" s="38">
        <f>'Dez24'!E58</f>
        <v>0</v>
      </c>
      <c r="K55" s="41">
        <f t="shared" si="4"/>
        <v>0</v>
      </c>
      <c r="L55" s="36">
        <f t="shared" si="5"/>
        <v>0</v>
      </c>
      <c r="M55" s="36">
        <v>0</v>
      </c>
      <c r="N55" s="40">
        <f t="shared" si="6"/>
        <v>0</v>
      </c>
      <c r="O55" s="36">
        <v>0</v>
      </c>
      <c r="P55" s="40">
        <f t="shared" si="7"/>
        <v>0</v>
      </c>
      <c r="Q55" s="36">
        <f t="shared" si="8"/>
        <v>0</v>
      </c>
      <c r="R55" s="38">
        <f>Paralelo!G58</f>
        <v>0.176204</v>
      </c>
      <c r="S55" s="40">
        <f t="shared" si="9"/>
        <v>1.6008650594932636E-4</v>
      </c>
      <c r="T55" s="38">
        <f>'Dez24'!G58</f>
        <v>0.176204</v>
      </c>
      <c r="U55" s="40">
        <f t="shared" si="10"/>
        <v>1.6008651380326441E-4</v>
      </c>
      <c r="V55" s="36">
        <f t="shared" si="11"/>
        <v>-7.853938040289915E-12</v>
      </c>
      <c r="W55" s="38">
        <f>Paralelo!H58</f>
        <v>2.1101000000000002E-2</v>
      </c>
      <c r="X55" s="40">
        <f t="shared" si="12"/>
        <v>4.424724751285165E-5</v>
      </c>
      <c r="Y55" s="38">
        <f>'Dez24'!H58</f>
        <v>2.1101000000000002E-2</v>
      </c>
      <c r="Z55" s="40">
        <f t="shared" si="13"/>
        <v>4.4247631731538736E-5</v>
      </c>
      <c r="AA55" s="36">
        <f t="shared" si="14"/>
        <v>-3.8421868708534215E-10</v>
      </c>
      <c r="AB55" s="38">
        <f>Paralelo!I58</f>
        <v>-2.9877999999999998E-2</v>
      </c>
      <c r="AC55" s="40">
        <f t="shared" si="15"/>
        <v>7.3849089694170945E-5</v>
      </c>
      <c r="AD55" s="38">
        <f>'Dez24'!I58</f>
        <v>-2.9877999999999998E-2</v>
      </c>
      <c r="AE55" s="40">
        <f t="shared" si="16"/>
        <v>7.3849531241472244E-5</v>
      </c>
      <c r="AF55" s="36">
        <f t="shared" si="17"/>
        <v>-4.4154730129901225E-10</v>
      </c>
      <c r="AG55" s="38">
        <f>Paralelo!J58</f>
        <v>-8.6770000000000007E-3</v>
      </c>
      <c r="AH55" s="40">
        <f t="shared" si="18"/>
        <v>1.2672524029855634E-4</v>
      </c>
      <c r="AI55" s="38">
        <f>'Dez24'!J58</f>
        <v>-8.6759999999999997E-3</v>
      </c>
      <c r="AJ55" s="40">
        <f t="shared" si="19"/>
        <v>1.2671063926992588E-4</v>
      </c>
      <c r="AK55" s="36">
        <f t="shared" si="20"/>
        <v>1.4601028630459919E-8</v>
      </c>
      <c r="AL55" s="38">
        <f>Paralelo!K58</f>
        <v>-1.6098999999999999E-2</v>
      </c>
      <c r="AM55" s="40">
        <f t="shared" si="21"/>
        <v>5.2306240088306214E-5</v>
      </c>
      <c r="AN55" s="38">
        <f>'Dez24'!K58</f>
        <v>-1.6098999999999999E-2</v>
      </c>
      <c r="AO55" s="40">
        <f t="shared" si="22"/>
        <v>5.230630143848274E-5</v>
      </c>
      <c r="AP55" s="36">
        <f t="shared" si="23"/>
        <v>-6.1350176525890206E-11</v>
      </c>
    </row>
    <row r="56" spans="2:42" ht="15" hidden="1" customHeight="1" outlineLevel="1" x14ac:dyDescent="0.3">
      <c r="B56" s="37" t="s">
        <v>97</v>
      </c>
      <c r="C56" s="38">
        <f>Paralelo!D59</f>
        <v>21.513591000000002</v>
      </c>
      <c r="D56" s="41">
        <f t="shared" si="0"/>
        <v>1.7505282198492719E-3</v>
      </c>
      <c r="E56" s="38">
        <f>'Dez24'!D59</f>
        <v>13.993456999999999</v>
      </c>
      <c r="F56" s="41">
        <f t="shared" si="1"/>
        <v>1.1386598237604663E-3</v>
      </c>
      <c r="G56" s="36">
        <f t="shared" si="2"/>
        <v>6.1186839608880564E-4</v>
      </c>
      <c r="H56" s="38">
        <f>Paralelo!E59</f>
        <v>0</v>
      </c>
      <c r="I56" s="41">
        <f t="shared" si="3"/>
        <v>0</v>
      </c>
      <c r="J56" s="38">
        <f>'Dez24'!E59</f>
        <v>0</v>
      </c>
      <c r="K56" s="41">
        <f t="shared" si="4"/>
        <v>0</v>
      </c>
      <c r="L56" s="36">
        <f t="shared" si="5"/>
        <v>0</v>
      </c>
      <c r="M56" s="36">
        <v>0</v>
      </c>
      <c r="N56" s="40">
        <f t="shared" si="6"/>
        <v>0</v>
      </c>
      <c r="O56" s="36">
        <v>0</v>
      </c>
      <c r="P56" s="40">
        <f t="shared" si="7"/>
        <v>0</v>
      </c>
      <c r="Q56" s="36">
        <f t="shared" si="8"/>
        <v>0</v>
      </c>
      <c r="R56" s="38">
        <f>Paralelo!G59</f>
        <v>9.8700000000000003E-4</v>
      </c>
      <c r="S56" s="40">
        <f t="shared" si="9"/>
        <v>8.9671847047731684E-7</v>
      </c>
      <c r="T56" s="38">
        <f>'Dez24'!G59</f>
        <v>9.8700000000000003E-4</v>
      </c>
      <c r="U56" s="40">
        <f t="shared" si="10"/>
        <v>8.9671851447085181E-7</v>
      </c>
      <c r="V56" s="36">
        <f t="shared" si="11"/>
        <v>-4.3993534968881569E-14</v>
      </c>
      <c r="W56" s="38">
        <f>Paralelo!H59</f>
        <v>13.975781</v>
      </c>
      <c r="X56" s="40">
        <f t="shared" si="12"/>
        <v>2.9306186488432268E-2</v>
      </c>
      <c r="Y56" s="38">
        <f>'Dez24'!H59</f>
        <v>13.975781</v>
      </c>
      <c r="Z56" s="40">
        <f t="shared" si="13"/>
        <v>2.9306440967188097E-2</v>
      </c>
      <c r="AA56" s="36">
        <f t="shared" si="14"/>
        <v>-2.5447875582826351E-7</v>
      </c>
      <c r="AB56" s="38">
        <f>Paralelo!I59</f>
        <v>-9.101934</v>
      </c>
      <c r="AC56" s="40">
        <f t="shared" si="15"/>
        <v>2.2497139713381891E-2</v>
      </c>
      <c r="AD56" s="38">
        <f>'Dez24'!I59</f>
        <v>-9.0795410000000007</v>
      </c>
      <c r="AE56" s="40">
        <f t="shared" si="16"/>
        <v>2.24419253878348E-2</v>
      </c>
      <c r="AF56" s="36">
        <f t="shared" si="17"/>
        <v>5.5214325547090631E-5</v>
      </c>
      <c r="AG56" s="38">
        <f>Paralelo!J59</f>
        <v>-3.9399999999999998E-4</v>
      </c>
      <c r="AH56" s="40">
        <f t="shared" si="18"/>
        <v>5.7542635332063142E-6</v>
      </c>
      <c r="AI56" s="38">
        <f>'Dez24'!J59</f>
        <v>-3.9399999999999998E-4</v>
      </c>
      <c r="AJ56" s="40">
        <f t="shared" si="19"/>
        <v>5.7542637012852464E-6</v>
      </c>
      <c r="AK56" s="36">
        <f t="shared" si="20"/>
        <v>-1.6807893222164179E-13</v>
      </c>
      <c r="AL56" s="38">
        <f>Paralelo!K59</f>
        <v>-9.0791409999999999</v>
      </c>
      <c r="AM56" s="40">
        <f t="shared" si="21"/>
        <v>2.9498461329373536E-2</v>
      </c>
      <c r="AN56" s="38">
        <f>'Dez24'!K59</f>
        <v>-9.0791409999999999</v>
      </c>
      <c r="AO56" s="40">
        <f t="shared" si="22"/>
        <v>2.9498495928224591E-2</v>
      </c>
      <c r="AP56" s="36">
        <f t="shared" si="23"/>
        <v>-3.4598851055001045E-8</v>
      </c>
    </row>
    <row r="57" spans="2:42" ht="15" hidden="1" customHeight="1" outlineLevel="1" x14ac:dyDescent="0.3">
      <c r="B57" s="37" t="s">
        <v>98</v>
      </c>
      <c r="C57" s="38">
        <f>Paralelo!D60</f>
        <v>445.86044199999998</v>
      </c>
      <c r="D57" s="41">
        <f t="shared" si="0"/>
        <v>3.6278986889518791E-2</v>
      </c>
      <c r="E57" s="38">
        <f>'Dez24'!D60</f>
        <v>388.31571000000002</v>
      </c>
      <c r="F57" s="41">
        <f t="shared" si="1"/>
        <v>3.1597588638177146E-2</v>
      </c>
      <c r="G57" s="36">
        <f t="shared" si="2"/>
        <v>4.6813982513416452E-3</v>
      </c>
      <c r="H57" s="38">
        <f>Paralelo!E60</f>
        <v>8.1853999999999996E-2</v>
      </c>
      <c r="I57" s="41">
        <f t="shared" si="3"/>
        <v>1.9282578582479495E-4</v>
      </c>
      <c r="J57" s="38">
        <f>'Dez24'!E60</f>
        <v>8.1853999999999996E-2</v>
      </c>
      <c r="K57" s="41">
        <f t="shared" si="4"/>
        <v>1.9282578537054977E-4</v>
      </c>
      <c r="L57" s="36">
        <f t="shared" si="5"/>
        <v>4.5424517554522315E-13</v>
      </c>
      <c r="M57" s="36">
        <v>6.1737E-2</v>
      </c>
      <c r="N57" s="40">
        <f t="shared" si="6"/>
        <v>3.2382688953123799E-4</v>
      </c>
      <c r="O57" s="36">
        <v>3.397E-2</v>
      </c>
      <c r="P57" s="40">
        <f t="shared" si="7"/>
        <v>1.8565526125422576E-4</v>
      </c>
      <c r="Q57" s="36">
        <f t="shared" si="8"/>
        <v>1.3817162827701223E-4</v>
      </c>
      <c r="R57" s="38">
        <f>Paralelo!G60</f>
        <v>9.366142</v>
      </c>
      <c r="S57" s="40">
        <f t="shared" si="9"/>
        <v>8.5094149225059344E-3</v>
      </c>
      <c r="T57" s="38">
        <f>'Dez24'!G60</f>
        <v>9.366142</v>
      </c>
      <c r="U57" s="40">
        <f t="shared" si="10"/>
        <v>8.5094153399828294E-3</v>
      </c>
      <c r="V57" s="36">
        <f t="shared" si="11"/>
        <v>-4.1747689506765884E-10</v>
      </c>
      <c r="W57" s="38">
        <f>Paralelo!H60</f>
        <v>23.629048000000001</v>
      </c>
      <c r="X57" s="40">
        <f t="shared" si="12"/>
        <v>4.9548378529408667E-2</v>
      </c>
      <c r="Y57" s="38">
        <f>'Dez24'!H60</f>
        <v>23.637136999999999</v>
      </c>
      <c r="Z57" s="40">
        <f t="shared" si="13"/>
        <v>4.9565770966491077E-2</v>
      </c>
      <c r="AA57" s="36">
        <f t="shared" si="14"/>
        <v>-1.7392437082409951E-5</v>
      </c>
      <c r="AB57" s="38">
        <f>Paralelo!I60</f>
        <v>-14.851226</v>
      </c>
      <c r="AC57" s="40">
        <f t="shared" si="15"/>
        <v>3.6707594917410928E-2</v>
      </c>
      <c r="AD57" s="38">
        <f>'Dez24'!I60</f>
        <v>-14.67357</v>
      </c>
      <c r="AE57" s="40">
        <f t="shared" si="16"/>
        <v>3.6268701591101474E-2</v>
      </c>
      <c r="AF57" s="36">
        <f t="shared" si="17"/>
        <v>4.3889332630945438E-4</v>
      </c>
      <c r="AG57" s="38">
        <f>Paralelo!J60</f>
        <v>-1.1836739999999999</v>
      </c>
      <c r="AH57" s="40">
        <f t="shared" si="18"/>
        <v>1.728723891727018E-2</v>
      </c>
      <c r="AI57" s="38">
        <f>'Dez24'!J60</f>
        <v>-1.183673</v>
      </c>
      <c r="AJ57" s="40">
        <f t="shared" si="19"/>
        <v>1.7287224817490891E-2</v>
      </c>
      <c r="AK57" s="36">
        <f t="shared" si="20"/>
        <v>1.409977928856776E-8</v>
      </c>
      <c r="AL57" s="38">
        <f>Paralelo!K60</f>
        <v>-12.960716</v>
      </c>
      <c r="AM57" s="40">
        <f t="shared" si="21"/>
        <v>4.2109840537446534E-2</v>
      </c>
      <c r="AN57" s="38">
        <f>'Dez24'!K60</f>
        <v>-12.960718</v>
      </c>
      <c r="AO57" s="40">
        <f t="shared" si="22"/>
        <v>4.210989642631028E-2</v>
      </c>
      <c r="AP57" s="36">
        <f t="shared" si="23"/>
        <v>-5.5888863745301443E-8</v>
      </c>
    </row>
    <row r="58" spans="2:42" ht="15" hidden="1" customHeight="1" outlineLevel="1" x14ac:dyDescent="0.3">
      <c r="B58" s="37" t="s">
        <v>99</v>
      </c>
      <c r="C58" s="38">
        <f>Paralelo!D61</f>
        <v>2.4261249999999999</v>
      </c>
      <c r="D58" s="41">
        <f t="shared" si="0"/>
        <v>1.9741010588989139E-4</v>
      </c>
      <c r="E58" s="38">
        <f>'Dez24'!D61</f>
        <v>2.426126</v>
      </c>
      <c r="F58" s="41">
        <f t="shared" si="1"/>
        <v>1.9741599260144832E-4</v>
      </c>
      <c r="G58" s="36">
        <f t="shared" si="2"/>
        <v>-5.8867115569334692E-9</v>
      </c>
      <c r="H58" s="38">
        <f>Paralelo!E61</f>
        <v>0</v>
      </c>
      <c r="I58" s="41">
        <f t="shared" si="3"/>
        <v>0</v>
      </c>
      <c r="J58" s="38">
        <f>'Dez24'!E61</f>
        <v>0</v>
      </c>
      <c r="K58" s="41">
        <f t="shared" si="4"/>
        <v>0</v>
      </c>
      <c r="L58" s="36">
        <f t="shared" si="5"/>
        <v>0</v>
      </c>
      <c r="M58" s="36">
        <v>0</v>
      </c>
      <c r="N58" s="40">
        <f t="shared" si="6"/>
        <v>0</v>
      </c>
      <c r="O58" s="36">
        <v>0</v>
      </c>
      <c r="P58" s="40">
        <f t="shared" si="7"/>
        <v>0</v>
      </c>
      <c r="Q58" s="36">
        <f t="shared" si="8"/>
        <v>0</v>
      </c>
      <c r="R58" s="38">
        <f>Paralelo!G61</f>
        <v>0.65578999999999998</v>
      </c>
      <c r="S58" s="40">
        <f t="shared" si="9"/>
        <v>5.9580446378350521E-4</v>
      </c>
      <c r="T58" s="38">
        <f>'Dez24'!G61</f>
        <v>0.65579100000000001</v>
      </c>
      <c r="U58" s="40">
        <f t="shared" si="10"/>
        <v>5.9580540154341888E-4</v>
      </c>
      <c r="V58" s="36">
        <f t="shared" si="11"/>
        <v>-9.3775991366704808E-10</v>
      </c>
      <c r="W58" s="38">
        <f>Paralelo!H61</f>
        <v>0.663161</v>
      </c>
      <c r="X58" s="40">
        <f t="shared" si="12"/>
        <v>1.390599919808076E-3</v>
      </c>
      <c r="Y58" s="38">
        <f>'Dez24'!H61</f>
        <v>0.663161</v>
      </c>
      <c r="Z58" s="40">
        <f t="shared" si="13"/>
        <v>1.3906119950106135E-3</v>
      </c>
      <c r="AA58" s="36">
        <f t="shared" si="14"/>
        <v>-1.2075202537528695E-8</v>
      </c>
      <c r="AB58" s="38">
        <f>Paralelo!I61</f>
        <v>-0.45120300000000002</v>
      </c>
      <c r="AC58" s="40">
        <f t="shared" si="15"/>
        <v>1.1152329746729707E-3</v>
      </c>
      <c r="AD58" s="38">
        <f>'Dez24'!I61</f>
        <v>-0.45120300000000002</v>
      </c>
      <c r="AE58" s="40">
        <f t="shared" si="16"/>
        <v>1.1152396427052012E-3</v>
      </c>
      <c r="AF58" s="36">
        <f t="shared" si="17"/>
        <v>-6.6680322305390227E-9</v>
      </c>
      <c r="AG58" s="38">
        <f>Paralelo!J61</f>
        <v>-4.3889999999999998E-2</v>
      </c>
      <c r="AH58" s="40">
        <f t="shared" si="18"/>
        <v>6.4100159003153588E-4</v>
      </c>
      <c r="AI58" s="38">
        <f>'Dez24'!J61</f>
        <v>-4.3889999999999998E-2</v>
      </c>
      <c r="AJ58" s="40">
        <f t="shared" si="19"/>
        <v>6.4100160875484643E-4</v>
      </c>
      <c r="AK58" s="36">
        <f t="shared" si="20"/>
        <v>-1.8723310553879491E-11</v>
      </c>
      <c r="AL58" s="38">
        <f>Paralelo!K61</f>
        <v>-0.40159600000000001</v>
      </c>
      <c r="AM58" s="40">
        <f t="shared" si="21"/>
        <v>1.3048000990436314E-3</v>
      </c>
      <c r="AN58" s="38">
        <f>'Dez24'!K61</f>
        <v>-0.40159600000000001</v>
      </c>
      <c r="AO58" s="40">
        <f t="shared" si="22"/>
        <v>1.3048016294483456E-3</v>
      </c>
      <c r="AP58" s="36">
        <f t="shared" si="23"/>
        <v>-1.5304047141975058E-9</v>
      </c>
    </row>
    <row r="59" spans="2:42" ht="15" customHeight="1" collapsed="1" x14ac:dyDescent="0.3">
      <c r="B59" s="35" t="s">
        <v>100</v>
      </c>
      <c r="C59" s="36">
        <f>Paralelo!D62</f>
        <v>1110.4605039999999</v>
      </c>
      <c r="D59" s="40">
        <f t="shared" si="0"/>
        <v>9.035648438608157E-2</v>
      </c>
      <c r="E59" s="36">
        <f>'Dez24'!D62</f>
        <v>1192.716831</v>
      </c>
      <c r="F59" s="40">
        <f t="shared" si="1"/>
        <v>9.7052410750438717E-2</v>
      </c>
      <c r="G59" s="36">
        <f t="shared" si="2"/>
        <v>-6.6959263643571465E-3</v>
      </c>
      <c r="H59" s="36">
        <f>Paralelo!E62</f>
        <v>0</v>
      </c>
      <c r="I59" s="40">
        <f t="shared" si="3"/>
        <v>0</v>
      </c>
      <c r="J59" s="36">
        <f>'Dez24'!E62</f>
        <v>0</v>
      </c>
      <c r="K59" s="40">
        <f t="shared" si="4"/>
        <v>0</v>
      </c>
      <c r="L59" s="36">
        <f t="shared" si="5"/>
        <v>0</v>
      </c>
      <c r="M59" s="36">
        <v>1.5E-5</v>
      </c>
      <c r="N59" s="40">
        <f t="shared" si="6"/>
        <v>7.8678966308187467E-8</v>
      </c>
      <c r="O59" s="36">
        <v>3.1095999999999999E-2</v>
      </c>
      <c r="P59" s="40">
        <f t="shared" si="7"/>
        <v>1.6994807194469836E-4</v>
      </c>
      <c r="Q59" s="36">
        <f t="shared" si="8"/>
        <v>-1.6986939297839018E-4</v>
      </c>
      <c r="R59" s="36">
        <f>Paralelo!G62</f>
        <v>96.265905000000004</v>
      </c>
      <c r="S59" s="40">
        <f t="shared" si="9"/>
        <v>8.7460400294543758E-2</v>
      </c>
      <c r="T59" s="36">
        <f>'Dez24'!G62</f>
        <v>96.265878999999998</v>
      </c>
      <c r="U59" s="40">
        <f t="shared" si="10"/>
        <v>8.7460380963638062E-2</v>
      </c>
      <c r="V59" s="36">
        <f t="shared" si="11"/>
        <v>1.9330905695613687E-8</v>
      </c>
      <c r="W59" s="36">
        <f>Paralelo!H62</f>
        <v>98.079538999999997</v>
      </c>
      <c r="X59" s="40">
        <f t="shared" si="12"/>
        <v>0.2056655911131883</v>
      </c>
      <c r="Y59" s="36">
        <f>'Dez24'!H62</f>
        <v>98.141729999999995</v>
      </c>
      <c r="Z59" s="40">
        <f t="shared" si="13"/>
        <v>0.20579778809232294</v>
      </c>
      <c r="AA59" s="36">
        <f t="shared" si="14"/>
        <v>-1.3219697913463557E-4</v>
      </c>
      <c r="AB59" s="36">
        <f>Paralelo!I62</f>
        <v>-38.691217999999999</v>
      </c>
      <c r="AC59" s="40">
        <f t="shared" si="15"/>
        <v>9.5632613577171219E-2</v>
      </c>
      <c r="AD59" s="36">
        <f>'Dez24'!I62</f>
        <v>-73.927830999999998</v>
      </c>
      <c r="AE59" s="40">
        <f t="shared" si="16"/>
        <v>0.18272761446712565</v>
      </c>
      <c r="AF59" s="36">
        <f t="shared" si="17"/>
        <v>-8.7095000889954435E-2</v>
      </c>
      <c r="AG59" s="36">
        <f>Paralelo!J62</f>
        <v>-5.5501120000000004</v>
      </c>
      <c r="AH59" s="40">
        <f t="shared" si="18"/>
        <v>8.1057886007133928E-2</v>
      </c>
      <c r="AI59" s="36">
        <f>'Dez24'!J62</f>
        <v>-5.5501139999999998</v>
      </c>
      <c r="AJ59" s="40">
        <f t="shared" si="19"/>
        <v>8.1057917584251432E-2</v>
      </c>
      <c r="AK59" s="36">
        <f t="shared" si="20"/>
        <v>-3.1577117504122398E-8</v>
      </c>
      <c r="AL59" s="36">
        <f>Paralelo!K62</f>
        <v>-30.812778999999999</v>
      </c>
      <c r="AM59" s="40">
        <f t="shared" si="21"/>
        <v>0.10011184646014783</v>
      </c>
      <c r="AN59" s="36">
        <f>'Dez24'!K62</f>
        <v>-65.871491000000006</v>
      </c>
      <c r="AO59" s="40">
        <f t="shared" si="22"/>
        <v>0.21401913562633104</v>
      </c>
      <c r="AP59" s="36">
        <f t="shared" si="23"/>
        <v>-0.11390728916618321</v>
      </c>
    </row>
    <row r="60" spans="2:42" ht="15" customHeight="1" x14ac:dyDescent="0.3">
      <c r="B60" s="35" t="s">
        <v>101</v>
      </c>
      <c r="C60" s="36">
        <f>Paralelo!D63</f>
        <v>1166.2973770000001</v>
      </c>
      <c r="D60" s="40">
        <f t="shared" si="0"/>
        <v>9.4899845924126994E-2</v>
      </c>
      <c r="E60" s="36">
        <f>'Dez24'!D63</f>
        <v>1116.2909</v>
      </c>
      <c r="F60" s="40">
        <f t="shared" si="1"/>
        <v>9.0833565962964866E-2</v>
      </c>
      <c r="G60" s="36">
        <f t="shared" si="2"/>
        <v>4.0662799611621281E-3</v>
      </c>
      <c r="H60" s="36">
        <f>Paralelo!E63</f>
        <v>0</v>
      </c>
      <c r="I60" s="40">
        <f t="shared" si="3"/>
        <v>0</v>
      </c>
      <c r="J60" s="36">
        <f>'Dez24'!E63</f>
        <v>0</v>
      </c>
      <c r="K60" s="40">
        <f t="shared" si="4"/>
        <v>0</v>
      </c>
      <c r="L60" s="36">
        <f t="shared" si="5"/>
        <v>0</v>
      </c>
      <c r="M60" s="36">
        <v>2.0999999999999999E-5</v>
      </c>
      <c r="N60" s="40">
        <f t="shared" si="6"/>
        <v>1.1015055283146244E-7</v>
      </c>
      <c r="O60" s="36">
        <v>5.1999999999999997E-5</v>
      </c>
      <c r="P60" s="40">
        <f t="shared" si="7"/>
        <v>2.8419410024197053E-7</v>
      </c>
      <c r="Q60" s="36">
        <f t="shared" si="8"/>
        <v>-1.740435474105081E-7</v>
      </c>
      <c r="R60" s="36">
        <f>Paralelo!G63</f>
        <v>124.14765199999999</v>
      </c>
      <c r="S60" s="40">
        <f t="shared" si="9"/>
        <v>0.11279178583058784</v>
      </c>
      <c r="T60" s="36">
        <f>'Dez24'!G63</f>
        <v>124.147603</v>
      </c>
      <c r="U60" s="40">
        <f t="shared" si="10"/>
        <v>0.1127917468462787</v>
      </c>
      <c r="V60" s="36">
        <f t="shared" si="11"/>
        <v>3.8984309141953943E-8</v>
      </c>
      <c r="W60" s="36">
        <f>Paralelo!H63</f>
        <v>47.288507000000003</v>
      </c>
      <c r="X60" s="40">
        <f t="shared" si="12"/>
        <v>9.9160526692678927E-2</v>
      </c>
      <c r="Y60" s="36">
        <f>'Dez24'!H63</f>
        <v>47.495787</v>
      </c>
      <c r="Z60" s="40">
        <f t="shared" si="13"/>
        <v>9.9596042461286421E-2</v>
      </c>
      <c r="AA60" s="36">
        <f t="shared" si="14"/>
        <v>-4.3551576860749452E-4</v>
      </c>
      <c r="AB60" s="36">
        <f>Paralelo!I63</f>
        <v>-40.452142000000002</v>
      </c>
      <c r="AC60" s="40">
        <f t="shared" si="15"/>
        <v>9.9985068039337974E-2</v>
      </c>
      <c r="AD60" s="36">
        <f>'Dez24'!I63</f>
        <v>-40.371695000000003</v>
      </c>
      <c r="AE60" s="40">
        <f t="shared" si="16"/>
        <v>9.9786824793282311E-2</v>
      </c>
      <c r="AF60" s="36">
        <f t="shared" si="17"/>
        <v>1.9824324605566268E-4</v>
      </c>
      <c r="AG60" s="36">
        <f>Paralelo!J63</f>
        <v>-5.0594809999999999</v>
      </c>
      <c r="AH60" s="40">
        <f t="shared" si="18"/>
        <v>7.3892352830584304E-2</v>
      </c>
      <c r="AI60" s="36">
        <f>'Dez24'!J63</f>
        <v>-5.0594760000000001</v>
      </c>
      <c r="AJ60" s="40">
        <f t="shared" si="19"/>
        <v>7.3892281965289019E-2</v>
      </c>
      <c r="AK60" s="36">
        <f t="shared" si="20"/>
        <v>7.0865295284661123E-8</v>
      </c>
      <c r="AL60" s="36">
        <f>Paralelo!K63</f>
        <v>-33.569153999999997</v>
      </c>
      <c r="AM60" s="40">
        <f t="shared" si="21"/>
        <v>0.10906740969534287</v>
      </c>
      <c r="AN60" s="36">
        <f>'Dez24'!K63</f>
        <v>-33.610795000000003</v>
      </c>
      <c r="AO60" s="40">
        <f t="shared" si="22"/>
        <v>0.10920283091229573</v>
      </c>
      <c r="AP60" s="36">
        <f t="shared" si="23"/>
        <v>-1.3542121695285514E-4</v>
      </c>
    </row>
    <row r="61" spans="2:42" ht="15" customHeight="1" x14ac:dyDescent="0.3">
      <c r="B61" s="35" t="s">
        <v>102</v>
      </c>
      <c r="C61" s="36">
        <f>Paralelo!D65</f>
        <v>8.7186590000000006</v>
      </c>
      <c r="D61" s="40">
        <f t="shared" si="0"/>
        <v>7.0942403891302173E-4</v>
      </c>
      <c r="E61" s="36">
        <f>'Dez24'!D65</f>
        <v>4.1165900000000004</v>
      </c>
      <c r="F61" s="40">
        <f t="shared" si="1"/>
        <v>3.3497052543157127E-4</v>
      </c>
      <c r="G61" s="36">
        <f t="shared" si="2"/>
        <v>3.7445351348145046E-4</v>
      </c>
      <c r="H61" s="36">
        <f>Paralelo!E65</f>
        <v>0</v>
      </c>
      <c r="I61" s="40">
        <f t="shared" si="3"/>
        <v>0</v>
      </c>
      <c r="J61" s="36">
        <f>'Dez24'!E65</f>
        <v>0</v>
      </c>
      <c r="K61" s="40">
        <f t="shared" si="4"/>
        <v>0</v>
      </c>
      <c r="L61" s="36">
        <f t="shared" si="5"/>
        <v>0</v>
      </c>
      <c r="M61" s="36">
        <v>1.4100000000000001E-4</v>
      </c>
      <c r="N61" s="40">
        <f t="shared" si="6"/>
        <v>7.3958228329696221E-7</v>
      </c>
      <c r="O61" s="36">
        <v>0</v>
      </c>
      <c r="P61" s="40">
        <f t="shared" si="7"/>
        <v>0</v>
      </c>
      <c r="Q61" s="36">
        <f t="shared" si="8"/>
        <v>7.3958228329696221E-7</v>
      </c>
      <c r="R61" s="36">
        <f>Paralelo!G65</f>
        <v>0.74523200000000001</v>
      </c>
      <c r="S61" s="40">
        <f t="shared" si="9"/>
        <v>6.7706514608992078E-4</v>
      </c>
      <c r="T61" s="36">
        <f>'Dez24'!G65</f>
        <v>0.74523399999999995</v>
      </c>
      <c r="U61" s="40">
        <f t="shared" si="10"/>
        <v>6.7706699636592785E-4</v>
      </c>
      <c r="V61" s="36">
        <f t="shared" si="11"/>
        <v>-1.8502760070621127E-9</v>
      </c>
      <c r="W61" s="36">
        <f>Paralelo!H65</f>
        <v>4.9536999999999998E-2</v>
      </c>
      <c r="X61" s="40">
        <f t="shared" si="12"/>
        <v>1.0387545140249903E-4</v>
      </c>
      <c r="Y61" s="36">
        <f>'Dez24'!H65</f>
        <v>4.9535999999999997E-2</v>
      </c>
      <c r="Z61" s="40">
        <f t="shared" si="13"/>
        <v>1.0387425645483637E-4</v>
      </c>
      <c r="AA61" s="36">
        <f t="shared" si="14"/>
        <v>1.1949476626563985E-9</v>
      </c>
      <c r="AB61" s="36">
        <f>Paralelo!I65</f>
        <v>-0.44827800000000001</v>
      </c>
      <c r="AC61" s="40">
        <f t="shared" si="15"/>
        <v>1.1080032877007686E-3</v>
      </c>
      <c r="AD61" s="36">
        <f>'Dez24'!I65</f>
        <v>-0.43586399999999997</v>
      </c>
      <c r="AE61" s="40">
        <f t="shared" si="16"/>
        <v>1.0773261960316306E-3</v>
      </c>
      <c r="AF61" s="36">
        <f t="shared" si="17"/>
        <v>3.0677091669137997E-5</v>
      </c>
      <c r="AG61" s="36">
        <f>Paralelo!J65</f>
        <v>-5.9659999999999998E-2</v>
      </c>
      <c r="AH61" s="40">
        <f t="shared" si="18"/>
        <v>8.7131817865758552E-4</v>
      </c>
      <c r="AI61" s="36">
        <f>'Dez24'!J65</f>
        <v>-5.9659999999999998E-2</v>
      </c>
      <c r="AJ61" s="40">
        <f t="shared" si="19"/>
        <v>8.7131820410831927E-4</v>
      </c>
      <c r="AK61" s="36">
        <f t="shared" si="20"/>
        <v>-2.5450733751389287E-11</v>
      </c>
      <c r="AL61" s="36">
        <f>Paralelo!K65</f>
        <v>-3.295E-2</v>
      </c>
      <c r="AM61" s="40">
        <f t="shared" si="21"/>
        <v>1.0705575569350206E-4</v>
      </c>
      <c r="AN61" s="36">
        <f>'Dez24'!K65</f>
        <v>-3.295E-2</v>
      </c>
      <c r="AO61" s="40">
        <f t="shared" si="22"/>
        <v>1.0705588125958174E-4</v>
      </c>
      <c r="AP61" s="36">
        <f t="shared" si="23"/>
        <v>-1.2556607968292836E-10</v>
      </c>
    </row>
    <row r="62" spans="2:42" ht="15" customHeight="1" x14ac:dyDescent="0.3">
      <c r="B62" s="35" t="s">
        <v>103</v>
      </c>
      <c r="C62" s="36">
        <f>Paralelo!D66</f>
        <v>2859.0787399999999</v>
      </c>
      <c r="D62" s="40">
        <f t="shared" si="0"/>
        <v>0.23263889404335608</v>
      </c>
      <c r="E62" s="36">
        <f>'Dez24'!D66</f>
        <v>3007.3322939999998</v>
      </c>
      <c r="F62" s="40">
        <f t="shared" si="1"/>
        <v>0.24470925661008561</v>
      </c>
      <c r="G62" s="36">
        <f t="shared" si="2"/>
        <v>-1.2070362566729526E-2</v>
      </c>
      <c r="H62" s="36">
        <f>Paralelo!E66</f>
        <v>348.99050799999998</v>
      </c>
      <c r="I62" s="40">
        <f t="shared" si="3"/>
        <v>0.82212682276363258</v>
      </c>
      <c r="J62" s="36">
        <f>'Dez24'!E66</f>
        <v>355.08484199999998</v>
      </c>
      <c r="K62" s="40">
        <f t="shared" si="4"/>
        <v>0.83648341598245146</v>
      </c>
      <c r="L62" s="36">
        <f t="shared" si="5"/>
        <v>-1.4356593218818881E-2</v>
      </c>
      <c r="M62" s="36">
        <v>159.131395</v>
      </c>
      <c r="N62" s="40">
        <f t="shared" si="6"/>
        <v>0.83468624438532468</v>
      </c>
      <c r="O62" s="36">
        <v>159.811657</v>
      </c>
      <c r="P62" s="40">
        <f t="shared" si="7"/>
        <v>0.87341403979410404</v>
      </c>
      <c r="Q62" s="36">
        <f t="shared" si="8"/>
        <v>-3.8727795408779353E-2</v>
      </c>
      <c r="R62" s="36">
        <f>Paralelo!G66</f>
        <v>192.06056799999999</v>
      </c>
      <c r="S62" s="40">
        <f t="shared" si="9"/>
        <v>0.17449266340016686</v>
      </c>
      <c r="T62" s="36">
        <f>'Dez24'!G66</f>
        <v>192.060575</v>
      </c>
      <c r="U62" s="40">
        <f t="shared" si="10"/>
        <v>0.17449267832058524</v>
      </c>
      <c r="V62" s="36">
        <f t="shared" si="11"/>
        <v>-1.4920418373032263E-8</v>
      </c>
      <c r="W62" s="36">
        <f>Paralelo!H66</f>
        <v>51.627654999999997</v>
      </c>
      <c r="X62" s="40">
        <f t="shared" si="12"/>
        <v>0.10825940141666807</v>
      </c>
      <c r="Y62" s="36">
        <f>'Dez24'!H66</f>
        <v>51.235286000000002</v>
      </c>
      <c r="Z62" s="40">
        <f t="shared" si="13"/>
        <v>0.10743756535652633</v>
      </c>
      <c r="AA62" s="36">
        <f t="shared" si="14"/>
        <v>8.2183606014173127E-4</v>
      </c>
      <c r="AB62" s="36">
        <f>Paralelo!I66</f>
        <v>-96.122107999999997</v>
      </c>
      <c r="AC62" s="40">
        <f t="shared" si="15"/>
        <v>0.23758384681989381</v>
      </c>
      <c r="AD62" s="36">
        <f>'Dez24'!I66</f>
        <v>-61.093088999999999</v>
      </c>
      <c r="AE62" s="40">
        <f t="shared" si="16"/>
        <v>0.15100394888357802</v>
      </c>
      <c r="AF62" s="36">
        <f t="shared" si="17"/>
        <v>8.6579897936315792E-2</v>
      </c>
      <c r="AG62" s="36">
        <f>Paralelo!J66</f>
        <v>-20.352345</v>
      </c>
      <c r="AH62" s="40">
        <f t="shared" si="18"/>
        <v>0.29724049910846156</v>
      </c>
      <c r="AI62" s="36">
        <f>'Dez24'!J66</f>
        <v>-20.352352</v>
      </c>
      <c r="AJ62" s="40">
        <f t="shared" si="19"/>
        <v>0.29724061002380758</v>
      </c>
      <c r="AK62" s="36">
        <f t="shared" si="20"/>
        <v>-1.1091534601881392E-7</v>
      </c>
      <c r="AL62" s="36">
        <f>Paralelo!K66</f>
        <v>-68.567654000000005</v>
      </c>
      <c r="AM62" s="40">
        <f t="shared" si="21"/>
        <v>0.2227788168467551</v>
      </c>
      <c r="AN62" s="36">
        <f>'Dez24'!K66</f>
        <v>-33.368729000000002</v>
      </c>
      <c r="AO62" s="40">
        <f t="shared" si="22"/>
        <v>0.10841634869824468</v>
      </c>
      <c r="AP62" s="36">
        <f t="shared" si="23"/>
        <v>0.11436246814851042</v>
      </c>
    </row>
    <row r="63" spans="2:42" ht="15" customHeight="1" x14ac:dyDescent="0.3">
      <c r="B63" s="35" t="s">
        <v>104</v>
      </c>
      <c r="C63" s="36">
        <f>Paralelo!D67</f>
        <v>12289.771028000003</v>
      </c>
      <c r="D63" s="40">
        <f t="shared" si="0"/>
        <v>1</v>
      </c>
      <c r="E63" s="36">
        <f>'Dez24'!D67</f>
        <v>12289.409627000001</v>
      </c>
      <c r="F63" s="40">
        <f t="shared" si="1"/>
        <v>1</v>
      </c>
      <c r="H63" s="36">
        <f>Paralelo!E67</f>
        <v>424.49716799999999</v>
      </c>
      <c r="I63" s="40">
        <f t="shared" si="3"/>
        <v>1</v>
      </c>
      <c r="J63" s="36">
        <f>'Dez24'!E67</f>
        <v>424.49716899999999</v>
      </c>
      <c r="K63" s="40">
        <f t="shared" si="4"/>
        <v>1</v>
      </c>
      <c r="M63" s="36">
        <v>190.648158</v>
      </c>
      <c r="N63" s="40">
        <f t="shared" si="6"/>
        <v>1</v>
      </c>
      <c r="O63" s="36">
        <v>182.97353799999999</v>
      </c>
      <c r="P63" s="40">
        <f t="shared" si="7"/>
        <v>1</v>
      </c>
      <c r="R63" s="36">
        <f>Paralelo!G67</f>
        <v>1100.6799040000001</v>
      </c>
      <c r="S63" s="40">
        <f t="shared" si="9"/>
        <v>1</v>
      </c>
      <c r="T63" s="36">
        <f>'Dez24'!G67</f>
        <v>1100.67985</v>
      </c>
      <c r="U63" s="40">
        <f t="shared" si="10"/>
        <v>1</v>
      </c>
      <c r="W63" s="36">
        <f>Paralelo!H67</f>
        <v>476.88842099999999</v>
      </c>
      <c r="X63" s="40">
        <f t="shared" si="12"/>
        <v>1</v>
      </c>
      <c r="Y63" s="36">
        <f>'Dez24'!H67</f>
        <v>476.88427999999999</v>
      </c>
      <c r="Z63" s="40">
        <f t="shared" si="13"/>
        <v>1</v>
      </c>
      <c r="AB63" s="36">
        <f>Paralelo!I67</f>
        <v>-404.58183199999996</v>
      </c>
      <c r="AC63" s="40">
        <f t="shared" si="15"/>
        <v>1</v>
      </c>
      <c r="AD63" s="36">
        <f>'Dez24'!I67</f>
        <v>-404.57941299999999</v>
      </c>
      <c r="AE63" s="40">
        <f t="shared" si="16"/>
        <v>1</v>
      </c>
      <c r="AG63" s="36">
        <f>Paralelo!J67</f>
        <v>-68.470968999999997</v>
      </c>
      <c r="AH63" s="40">
        <f t="shared" si="18"/>
        <v>1</v>
      </c>
      <c r="AI63" s="36">
        <f>'Dez24'!J67</f>
        <v>-68.470967000000002</v>
      </c>
      <c r="AJ63" s="40">
        <f t="shared" si="19"/>
        <v>1</v>
      </c>
      <c r="AL63" s="36">
        <f>Paralelo!K67</f>
        <v>-307.783545</v>
      </c>
      <c r="AM63" s="40">
        <f t="shared" si="21"/>
        <v>1</v>
      </c>
      <c r="AN63" s="36">
        <f>'Dez24'!K67</f>
        <v>-307.78318400000001</v>
      </c>
      <c r="AO63" s="40">
        <f t="shared" si="22"/>
        <v>1</v>
      </c>
    </row>
    <row r="64" spans="2:42" ht="1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69"/>
  <sheetViews>
    <sheetView zoomScale="55" zoomScaleNormal="55" workbookViewId="0">
      <pane ySplit="6" topLeftCell="A7" activePane="bottomLeft" state="frozen"/>
      <selection pane="bottomLeft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109</v>
      </c>
    </row>
    <row r="9" spans="1:20" ht="15" customHeight="1" x14ac:dyDescent="0.3">
      <c r="C9" s="10" t="s">
        <v>110</v>
      </c>
      <c r="D9" s="11" t="s">
        <v>111</v>
      </c>
      <c r="E9" s="11" t="s">
        <v>112</v>
      </c>
      <c r="F9" s="11" t="s">
        <v>113</v>
      </c>
      <c r="G9" s="11" t="s">
        <v>114</v>
      </c>
      <c r="H9" s="11" t="s">
        <v>115</v>
      </c>
      <c r="I9" s="11" t="s">
        <v>116</v>
      </c>
      <c r="J9" s="11" t="s">
        <v>117</v>
      </c>
      <c r="K9" s="11" t="s">
        <v>118</v>
      </c>
      <c r="L9" s="11" t="s">
        <v>119</v>
      </c>
      <c r="M9" s="11" t="s">
        <v>120</v>
      </c>
      <c r="N9" s="11" t="s">
        <v>121</v>
      </c>
      <c r="O9" s="11" t="s">
        <v>122</v>
      </c>
      <c r="P9" s="11" t="s">
        <v>123</v>
      </c>
      <c r="Q9" s="11" t="s">
        <v>124</v>
      </c>
      <c r="R9" s="11" t="s">
        <v>125</v>
      </c>
      <c r="S9" s="11" t="s">
        <v>126</v>
      </c>
    </row>
    <row r="10" spans="1:20" ht="76.5" customHeight="1" x14ac:dyDescent="0.3">
      <c r="C10" s="12"/>
      <c r="D10" s="79" t="s">
        <v>127</v>
      </c>
      <c r="E10" s="80"/>
      <c r="F10" s="80"/>
      <c r="G10" s="80"/>
      <c r="H10" s="81"/>
      <c r="I10" s="79" t="s">
        <v>128</v>
      </c>
      <c r="J10" s="80"/>
      <c r="K10" s="81"/>
      <c r="L10" s="79" t="s">
        <v>129</v>
      </c>
      <c r="M10" s="81"/>
      <c r="N10" s="77" t="s">
        <v>130</v>
      </c>
      <c r="O10" s="77" t="s">
        <v>131</v>
      </c>
      <c r="P10" s="77" t="s">
        <v>132</v>
      </c>
      <c r="Q10" s="77" t="s">
        <v>133</v>
      </c>
      <c r="R10" s="77" t="s">
        <v>134</v>
      </c>
      <c r="S10" s="77" t="s">
        <v>46</v>
      </c>
    </row>
    <row r="11" spans="1:20" ht="96.6" x14ac:dyDescent="0.3">
      <c r="C11" s="12"/>
      <c r="D11" s="13"/>
      <c r="E11" s="14" t="s">
        <v>135</v>
      </c>
      <c r="F11" s="14" t="s">
        <v>136</v>
      </c>
      <c r="G11" s="15" t="s">
        <v>137</v>
      </c>
      <c r="H11" s="15" t="s">
        <v>138</v>
      </c>
      <c r="I11" s="16"/>
      <c r="J11" s="14" t="s">
        <v>139</v>
      </c>
      <c r="K11" s="14" t="s">
        <v>138</v>
      </c>
      <c r="L11" s="28"/>
      <c r="M11" s="29" t="s">
        <v>140</v>
      </c>
      <c r="N11" s="78"/>
      <c r="O11" s="78"/>
      <c r="P11" s="78"/>
      <c r="Q11" s="78"/>
      <c r="R11" s="78"/>
      <c r="S11" s="78"/>
    </row>
    <row r="12" spans="1:20" x14ac:dyDescent="0.3">
      <c r="B12" s="17">
        <v>1</v>
      </c>
      <c r="C12" s="18" t="s">
        <v>141</v>
      </c>
      <c r="D12" s="44">
        <v>9421.9736290000019</v>
      </c>
      <c r="E12" s="44">
        <v>75.506659999999997</v>
      </c>
      <c r="F12" s="44">
        <v>81.162959999999998</v>
      </c>
      <c r="G12" s="44">
        <v>907.87410399999999</v>
      </c>
      <c r="H12" s="44">
        <v>425.211229</v>
      </c>
      <c r="I12" s="44">
        <v>-308.01144599999998</v>
      </c>
      <c r="J12" s="44">
        <v>-48.058963999999996</v>
      </c>
      <c r="K12" s="44">
        <v>-239.182941</v>
      </c>
      <c r="L12" s="46">
        <v>84.579199000000003</v>
      </c>
      <c r="M12" s="46">
        <v>20.412817999999998</v>
      </c>
      <c r="N12" s="47">
        <v>5.0707247354505748E-2</v>
      </c>
      <c r="O12" s="44">
        <v>7014.5423099999998</v>
      </c>
      <c r="P12" s="44">
        <v>1330.4506239999998</v>
      </c>
      <c r="Q12" s="44">
        <v>1012.5947450000001</v>
      </c>
      <c r="R12" s="44">
        <v>64.385951000000006</v>
      </c>
      <c r="S12" s="50">
        <v>4</v>
      </c>
    </row>
    <row r="13" spans="1:20" x14ac:dyDescent="0.3">
      <c r="B13" s="17">
        <v>2</v>
      </c>
      <c r="C13" s="19" t="s">
        <v>51</v>
      </c>
      <c r="D13" s="51">
        <v>331.59962200000001</v>
      </c>
      <c r="E13" s="51">
        <v>0</v>
      </c>
      <c r="F13" s="44">
        <v>4.2486000000000003E-2</v>
      </c>
      <c r="G13" s="52">
        <v>40.456465999999999</v>
      </c>
      <c r="H13" s="52">
        <v>24.969028000000002</v>
      </c>
      <c r="I13" s="51">
        <v>-7.224882</v>
      </c>
      <c r="J13" s="52">
        <v>-2.078722</v>
      </c>
      <c r="K13" s="52">
        <v>-4.2610710000000003</v>
      </c>
      <c r="L13" s="46">
        <v>2.6598130000000002</v>
      </c>
      <c r="M13" s="46">
        <v>0.29977799999999999</v>
      </c>
      <c r="N13" s="47">
        <v>2.1569581861644142E-3</v>
      </c>
      <c r="O13" s="52">
        <v>216.42934199999999</v>
      </c>
      <c r="P13" s="52">
        <v>58.723522000000003</v>
      </c>
      <c r="Q13" s="52">
        <v>56.446759</v>
      </c>
      <c r="R13" s="52">
        <v>0</v>
      </c>
      <c r="S13" s="53">
        <v>5</v>
      </c>
    </row>
    <row r="14" spans="1:20" x14ac:dyDescent="0.3">
      <c r="B14" s="17">
        <v>3</v>
      </c>
      <c r="C14" s="19" t="s">
        <v>52</v>
      </c>
      <c r="D14" s="51">
        <v>14.172404</v>
      </c>
      <c r="E14" s="51">
        <v>0</v>
      </c>
      <c r="F14" s="44">
        <v>0</v>
      </c>
      <c r="G14" s="52">
        <v>1.9365669999999999</v>
      </c>
      <c r="H14" s="52">
        <v>2.36266</v>
      </c>
      <c r="I14" s="51">
        <v>-1.4009210000000001</v>
      </c>
      <c r="J14" s="52">
        <v>-0.10181</v>
      </c>
      <c r="K14" s="52">
        <v>-1.266405</v>
      </c>
      <c r="L14" s="46">
        <v>0.441276</v>
      </c>
      <c r="M14" s="46">
        <v>6.4510000000000001E-3</v>
      </c>
      <c r="N14" s="47">
        <v>0</v>
      </c>
      <c r="O14" s="52">
        <v>13.072704</v>
      </c>
      <c r="P14" s="52">
        <v>1.0996999999999999</v>
      </c>
      <c r="Q14" s="52">
        <v>0</v>
      </c>
      <c r="R14" s="52">
        <v>0</v>
      </c>
      <c r="S14" s="53">
        <v>2</v>
      </c>
    </row>
    <row r="15" spans="1:20" x14ac:dyDescent="0.3">
      <c r="B15" s="17">
        <v>4</v>
      </c>
      <c r="C15" s="20" t="s">
        <v>53</v>
      </c>
      <c r="D15" s="51">
        <v>0</v>
      </c>
      <c r="E15" s="51">
        <v>0</v>
      </c>
      <c r="F15" s="44">
        <v>0</v>
      </c>
      <c r="G15" s="52">
        <v>0</v>
      </c>
      <c r="H15" s="52">
        <v>0</v>
      </c>
      <c r="I15" s="51">
        <v>0</v>
      </c>
      <c r="J15" s="52">
        <v>0</v>
      </c>
      <c r="K15" s="52">
        <v>0</v>
      </c>
      <c r="L15" s="46">
        <v>0</v>
      </c>
      <c r="M15" s="46">
        <v>0</v>
      </c>
      <c r="N15" s="47">
        <v>0</v>
      </c>
      <c r="O15" s="52">
        <v>0</v>
      </c>
      <c r="P15" s="52">
        <v>0</v>
      </c>
      <c r="Q15" s="52">
        <v>0</v>
      </c>
      <c r="R15" s="52">
        <v>0</v>
      </c>
      <c r="S15" s="53">
        <v>0</v>
      </c>
    </row>
    <row r="16" spans="1:20" x14ac:dyDescent="0.3">
      <c r="B16" s="17">
        <v>5</v>
      </c>
      <c r="C16" s="20" t="s">
        <v>54</v>
      </c>
      <c r="D16" s="51">
        <v>0</v>
      </c>
      <c r="E16" s="51">
        <v>0</v>
      </c>
      <c r="F16" s="44">
        <v>0</v>
      </c>
      <c r="G16" s="52">
        <v>0</v>
      </c>
      <c r="H16" s="52">
        <v>0</v>
      </c>
      <c r="I16" s="51">
        <v>0</v>
      </c>
      <c r="J16" s="52">
        <v>0</v>
      </c>
      <c r="K16" s="52">
        <v>0</v>
      </c>
      <c r="L16" s="46">
        <v>0</v>
      </c>
      <c r="M16" s="46">
        <v>0</v>
      </c>
      <c r="N16" s="47">
        <v>0</v>
      </c>
      <c r="O16" s="52">
        <v>0</v>
      </c>
      <c r="P16" s="52">
        <v>0</v>
      </c>
      <c r="Q16" s="52">
        <v>0</v>
      </c>
      <c r="R16" s="52">
        <v>0</v>
      </c>
      <c r="S16" s="53">
        <v>0</v>
      </c>
    </row>
    <row r="17" spans="2:19" x14ac:dyDescent="0.3">
      <c r="B17" s="17">
        <v>6</v>
      </c>
      <c r="C17" s="20" t="s">
        <v>55</v>
      </c>
      <c r="D17" s="51">
        <v>0.14147199999999999</v>
      </c>
      <c r="E17" s="51">
        <v>0</v>
      </c>
      <c r="F17" s="44">
        <v>0</v>
      </c>
      <c r="G17" s="52">
        <v>0</v>
      </c>
      <c r="H17" s="52">
        <v>0</v>
      </c>
      <c r="I17" s="51">
        <v>-1.35E-4</v>
      </c>
      <c r="J17" s="52">
        <v>0</v>
      </c>
      <c r="K17" s="52">
        <v>0</v>
      </c>
      <c r="L17" s="46">
        <v>8.7000000000000001E-5</v>
      </c>
      <c r="M17" s="46">
        <v>3.1999999999999999E-5</v>
      </c>
      <c r="N17" s="47">
        <v>0</v>
      </c>
      <c r="O17" s="52">
        <v>0.14147199999999999</v>
      </c>
      <c r="P17" s="52">
        <v>0</v>
      </c>
      <c r="Q17" s="52">
        <v>0</v>
      </c>
      <c r="R17" s="52">
        <v>0</v>
      </c>
      <c r="S17" s="53">
        <v>0</v>
      </c>
    </row>
    <row r="18" spans="2:19" x14ac:dyDescent="0.3">
      <c r="B18" s="17">
        <v>7</v>
      </c>
      <c r="C18" s="20" t="s">
        <v>56</v>
      </c>
      <c r="D18" s="51">
        <v>13.954368000000001</v>
      </c>
      <c r="E18" s="51">
        <v>0</v>
      </c>
      <c r="F18" s="44">
        <v>0</v>
      </c>
      <c r="G18" s="52">
        <v>1.8604909999999999</v>
      </c>
      <c r="H18" s="52">
        <v>2.3621799999999999</v>
      </c>
      <c r="I18" s="51">
        <v>-1.3993640000000001</v>
      </c>
      <c r="J18" s="52">
        <v>-0.100796</v>
      </c>
      <c r="K18" s="52">
        <v>-1.265998</v>
      </c>
      <c r="L18" s="46">
        <v>0.441139</v>
      </c>
      <c r="M18" s="46">
        <v>6.4009999999999996E-3</v>
      </c>
      <c r="N18" s="47">
        <v>0</v>
      </c>
      <c r="O18" s="52">
        <v>12.854668</v>
      </c>
      <c r="P18" s="52">
        <v>1.0996999999999999</v>
      </c>
      <c r="Q18" s="52">
        <v>0</v>
      </c>
      <c r="R18" s="52">
        <v>0</v>
      </c>
      <c r="S18" s="53">
        <v>2</v>
      </c>
    </row>
    <row r="19" spans="2:19" x14ac:dyDescent="0.3">
      <c r="B19" s="17">
        <v>8</v>
      </c>
      <c r="C19" s="20" t="s">
        <v>57</v>
      </c>
      <c r="D19" s="51">
        <v>7.6563999999999993E-2</v>
      </c>
      <c r="E19" s="51">
        <v>0</v>
      </c>
      <c r="F19" s="44">
        <v>0</v>
      </c>
      <c r="G19" s="52">
        <v>7.6076000000000005E-2</v>
      </c>
      <c r="H19" s="52">
        <v>4.8000000000000001E-4</v>
      </c>
      <c r="I19" s="51">
        <v>-1.4220000000000001E-3</v>
      </c>
      <c r="J19" s="52">
        <v>-1.0139999999999999E-3</v>
      </c>
      <c r="K19" s="52">
        <v>-4.08E-4</v>
      </c>
      <c r="L19" s="46">
        <v>5.0000000000000002E-5</v>
      </c>
      <c r="M19" s="46">
        <v>1.8E-5</v>
      </c>
      <c r="N19" s="47">
        <v>0</v>
      </c>
      <c r="O19" s="52">
        <v>7.6563999999999993E-2</v>
      </c>
      <c r="P19" s="52">
        <v>0</v>
      </c>
      <c r="Q19" s="52">
        <v>0</v>
      </c>
      <c r="R19" s="52">
        <v>0</v>
      </c>
      <c r="S19" s="53">
        <v>2</v>
      </c>
    </row>
    <row r="20" spans="2:19" x14ac:dyDescent="0.3">
      <c r="B20" s="17">
        <v>9</v>
      </c>
      <c r="C20" s="19" t="s">
        <v>58</v>
      </c>
      <c r="D20" s="51">
        <v>2168.5504340000002</v>
      </c>
      <c r="E20" s="51">
        <v>6.8394999999999997E-2</v>
      </c>
      <c r="F20" s="44">
        <v>9.0338049999999992</v>
      </c>
      <c r="G20" s="52">
        <v>234.77593200000001</v>
      </c>
      <c r="H20" s="52">
        <v>77.604364000000004</v>
      </c>
      <c r="I20" s="51">
        <v>-72.098161000000005</v>
      </c>
      <c r="J20" s="52">
        <v>-12.014859</v>
      </c>
      <c r="K20" s="52">
        <v>-54.583787000000001</v>
      </c>
      <c r="L20" s="46">
        <v>7.4269319999999999</v>
      </c>
      <c r="M20" s="46">
        <v>3.1902720000000002</v>
      </c>
      <c r="N20" s="47">
        <v>3.9885581815582626E-2</v>
      </c>
      <c r="O20" s="52">
        <v>1927.3023089999999</v>
      </c>
      <c r="P20" s="52">
        <v>194.179643</v>
      </c>
      <c r="Q20" s="52">
        <v>47.032904000000002</v>
      </c>
      <c r="R20" s="52">
        <v>3.5577999999999999E-2</v>
      </c>
      <c r="S20" s="53">
        <v>2</v>
      </c>
    </row>
    <row r="21" spans="2:19" x14ac:dyDescent="0.3">
      <c r="B21" s="17">
        <v>10</v>
      </c>
      <c r="C21" s="20" t="s">
        <v>59</v>
      </c>
      <c r="D21" s="51">
        <v>338.99325299999998</v>
      </c>
      <c r="E21" s="51">
        <v>0</v>
      </c>
      <c r="F21" s="44">
        <v>0</v>
      </c>
      <c r="G21" s="52">
        <v>36.946739000000001</v>
      </c>
      <c r="H21" s="52">
        <v>9.6289960000000008</v>
      </c>
      <c r="I21" s="51">
        <v>-8.3400090000000002</v>
      </c>
      <c r="J21" s="52">
        <v>-2.077334</v>
      </c>
      <c r="K21" s="52">
        <v>-5.2775660000000002</v>
      </c>
      <c r="L21" s="46">
        <v>2.5960489999999998</v>
      </c>
      <c r="M21" s="46">
        <v>1.825828</v>
      </c>
      <c r="N21" s="47">
        <v>4.6945553519623151E-2</v>
      </c>
      <c r="O21" s="52">
        <v>301.20061800000002</v>
      </c>
      <c r="P21" s="52">
        <v>18.618869</v>
      </c>
      <c r="Q21" s="52">
        <v>19.173766000000001</v>
      </c>
      <c r="R21" s="52">
        <v>0</v>
      </c>
      <c r="S21" s="53">
        <v>2</v>
      </c>
    </row>
    <row r="22" spans="2:19" x14ac:dyDescent="0.3">
      <c r="B22" s="17">
        <v>11</v>
      </c>
      <c r="C22" s="20" t="s">
        <v>60</v>
      </c>
      <c r="D22" s="51">
        <v>217.52209300000001</v>
      </c>
      <c r="E22" s="51">
        <v>0</v>
      </c>
      <c r="F22" s="44">
        <v>0</v>
      </c>
      <c r="G22" s="52">
        <v>7.5690939999999998</v>
      </c>
      <c r="H22" s="52">
        <v>0.39642100000000002</v>
      </c>
      <c r="I22" s="51">
        <v>-1.1073630000000001</v>
      </c>
      <c r="J22" s="52">
        <v>-0.45090599999999997</v>
      </c>
      <c r="K22" s="52">
        <v>-0.302535</v>
      </c>
      <c r="L22" s="46">
        <v>9.9889000000000006E-2</v>
      </c>
      <c r="M22" s="46">
        <v>5.5965000000000001E-2</v>
      </c>
      <c r="N22" s="47">
        <v>1.6481706666006621E-3</v>
      </c>
      <c r="O22" s="52">
        <v>148.09782000000001</v>
      </c>
      <c r="P22" s="52">
        <v>68.582633000000001</v>
      </c>
      <c r="Q22" s="52">
        <v>0.84164099999999997</v>
      </c>
      <c r="R22" s="52">
        <v>0</v>
      </c>
      <c r="S22" s="53">
        <v>3</v>
      </c>
    </row>
    <row r="23" spans="2:19" x14ac:dyDescent="0.3">
      <c r="B23" s="17">
        <v>12</v>
      </c>
      <c r="C23" s="20" t="s">
        <v>61</v>
      </c>
      <c r="D23" s="51">
        <v>2.9247709999999998</v>
      </c>
      <c r="E23" s="51">
        <v>0</v>
      </c>
      <c r="F23" s="44">
        <v>0</v>
      </c>
      <c r="G23" s="52">
        <v>0</v>
      </c>
      <c r="H23" s="52">
        <v>0</v>
      </c>
      <c r="I23" s="51">
        <v>-1.0149E-2</v>
      </c>
      <c r="J23" s="52">
        <v>0</v>
      </c>
      <c r="K23" s="52">
        <v>0</v>
      </c>
      <c r="L23" s="46">
        <v>8.2692000000000002E-2</v>
      </c>
      <c r="M23" s="46">
        <v>7.2674000000000002E-2</v>
      </c>
      <c r="N23" s="47">
        <v>0</v>
      </c>
      <c r="O23" s="52">
        <v>2.9247709999999998</v>
      </c>
      <c r="P23" s="52">
        <v>0</v>
      </c>
      <c r="Q23" s="52">
        <v>0</v>
      </c>
      <c r="R23" s="52">
        <v>0</v>
      </c>
      <c r="S23" s="53">
        <v>0</v>
      </c>
    </row>
    <row r="24" spans="2:19" x14ac:dyDescent="0.3">
      <c r="B24" s="17">
        <v>13</v>
      </c>
      <c r="C24" s="20" t="s">
        <v>62</v>
      </c>
      <c r="D24" s="51">
        <v>112.288974</v>
      </c>
      <c r="E24" s="51">
        <v>0</v>
      </c>
      <c r="F24" s="44">
        <v>0</v>
      </c>
      <c r="G24" s="52">
        <v>17.483433999999999</v>
      </c>
      <c r="H24" s="52">
        <v>3.057178</v>
      </c>
      <c r="I24" s="51">
        <v>-4.058046</v>
      </c>
      <c r="J24" s="52">
        <v>-1.1716390000000001</v>
      </c>
      <c r="K24" s="52">
        <v>-2.4024169999999998</v>
      </c>
      <c r="L24" s="46">
        <v>0.168845</v>
      </c>
      <c r="M24" s="46">
        <v>5.1084999999999998E-2</v>
      </c>
      <c r="N24" s="47">
        <v>2.9941406695051832E-2</v>
      </c>
      <c r="O24" s="52">
        <v>105.94177500000001</v>
      </c>
      <c r="P24" s="52">
        <v>4.2102779999999997</v>
      </c>
      <c r="Q24" s="52">
        <v>2.1369210000000001</v>
      </c>
      <c r="R24" s="52">
        <v>0</v>
      </c>
      <c r="S24" s="53">
        <v>2</v>
      </c>
    </row>
    <row r="25" spans="2:19" x14ac:dyDescent="0.3">
      <c r="B25" s="17">
        <v>14</v>
      </c>
      <c r="C25" s="20" t="s">
        <v>63</v>
      </c>
      <c r="D25" s="51">
        <v>94.341449999999995</v>
      </c>
      <c r="E25" s="51">
        <v>0</v>
      </c>
      <c r="F25" s="44">
        <v>4.8430000000000001E-3</v>
      </c>
      <c r="G25" s="52">
        <v>15.615</v>
      </c>
      <c r="H25" s="52">
        <v>8.1171849999999992</v>
      </c>
      <c r="I25" s="51">
        <v>-7.0678289999999997</v>
      </c>
      <c r="J25" s="52">
        <v>-0.98600699999999997</v>
      </c>
      <c r="K25" s="52">
        <v>-5.7751080000000004</v>
      </c>
      <c r="L25" s="46">
        <v>0.240507</v>
      </c>
      <c r="M25" s="46">
        <v>0.125892</v>
      </c>
      <c r="N25" s="47">
        <v>1.3782911462763753E-2</v>
      </c>
      <c r="O25" s="52">
        <v>83.762240000000006</v>
      </c>
      <c r="P25" s="52">
        <v>7.3780229999999998</v>
      </c>
      <c r="Q25" s="52">
        <v>3.2011859999999999</v>
      </c>
      <c r="R25" s="52">
        <v>0</v>
      </c>
      <c r="S25" s="53">
        <v>2</v>
      </c>
    </row>
    <row r="26" spans="2:19" x14ac:dyDescent="0.3">
      <c r="B26" s="17">
        <v>15</v>
      </c>
      <c r="C26" s="20" t="s">
        <v>64</v>
      </c>
      <c r="D26" s="51">
        <v>50.416474999999998</v>
      </c>
      <c r="E26" s="51">
        <v>0</v>
      </c>
      <c r="F26" s="44">
        <v>0</v>
      </c>
      <c r="G26" s="52">
        <v>12.097785999999999</v>
      </c>
      <c r="H26" s="52">
        <v>6.7355270000000003</v>
      </c>
      <c r="I26" s="51">
        <v>-5.5203720000000001</v>
      </c>
      <c r="J26" s="52">
        <v>-0.68337999999999999</v>
      </c>
      <c r="K26" s="52">
        <v>-4.653708</v>
      </c>
      <c r="L26" s="46">
        <v>7.5815999999999995E-2</v>
      </c>
      <c r="M26" s="46">
        <v>3.0404E-2</v>
      </c>
      <c r="N26" s="47">
        <v>0</v>
      </c>
      <c r="O26" s="52">
        <v>47.567579000000002</v>
      </c>
      <c r="P26" s="52">
        <v>2.3946749999999999</v>
      </c>
      <c r="Q26" s="52">
        <v>0.45422099999999999</v>
      </c>
      <c r="R26" s="52">
        <v>0</v>
      </c>
      <c r="S26" s="53">
        <v>2</v>
      </c>
    </row>
    <row r="27" spans="2:19" x14ac:dyDescent="0.3">
      <c r="B27" s="17">
        <v>16</v>
      </c>
      <c r="C27" s="20" t="s">
        <v>65</v>
      </c>
      <c r="D27" s="51">
        <v>113.903358</v>
      </c>
      <c r="E27" s="51">
        <v>0</v>
      </c>
      <c r="F27" s="44">
        <v>0.67807799999999996</v>
      </c>
      <c r="G27" s="52">
        <v>11.594229</v>
      </c>
      <c r="H27" s="52">
        <v>5.0176090000000002</v>
      </c>
      <c r="I27" s="51">
        <v>-4.4068990000000001</v>
      </c>
      <c r="J27" s="52">
        <v>-0.62377499999999997</v>
      </c>
      <c r="K27" s="52">
        <v>-3.4569329999999998</v>
      </c>
      <c r="L27" s="46">
        <v>0.27095599999999997</v>
      </c>
      <c r="M27" s="46">
        <v>5.1381999999999997E-2</v>
      </c>
      <c r="N27" s="47">
        <v>0.11565582246149306</v>
      </c>
      <c r="O27" s="52">
        <v>110.56855400000001</v>
      </c>
      <c r="P27" s="52">
        <v>2.739179</v>
      </c>
      <c r="Q27" s="52">
        <v>0.59562499999999996</v>
      </c>
      <c r="R27" s="52">
        <v>0</v>
      </c>
      <c r="S27" s="53">
        <v>1</v>
      </c>
    </row>
    <row r="28" spans="2:19" x14ac:dyDescent="0.3">
      <c r="B28" s="17">
        <v>17</v>
      </c>
      <c r="C28" s="20" t="s">
        <v>66</v>
      </c>
      <c r="D28" s="51">
        <v>145.662162</v>
      </c>
      <c r="E28" s="51">
        <v>0</v>
      </c>
      <c r="F28" s="44">
        <v>2.2264240000000002</v>
      </c>
      <c r="G28" s="52">
        <v>2.0891700000000002</v>
      </c>
      <c r="H28" s="52">
        <v>0.13273499999999999</v>
      </c>
      <c r="I28" s="51">
        <v>-0.332783</v>
      </c>
      <c r="J28" s="52">
        <v>-0.10208399999999999</v>
      </c>
      <c r="K28" s="52">
        <v>-7.3282E-2</v>
      </c>
      <c r="L28" s="46">
        <v>0.14388799999999999</v>
      </c>
      <c r="M28" s="46">
        <v>5.0765999999999999E-2</v>
      </c>
      <c r="N28" s="47">
        <v>0.12357958332600991</v>
      </c>
      <c r="O28" s="52">
        <v>143.75183699999999</v>
      </c>
      <c r="P28" s="52">
        <v>1.184124</v>
      </c>
      <c r="Q28" s="52">
        <v>0.72620099999999999</v>
      </c>
      <c r="R28" s="52">
        <v>0</v>
      </c>
      <c r="S28" s="53">
        <v>1</v>
      </c>
    </row>
    <row r="29" spans="2:19" x14ac:dyDescent="0.3">
      <c r="B29" s="17">
        <v>18</v>
      </c>
      <c r="C29" s="20" t="s">
        <v>67</v>
      </c>
      <c r="D29" s="51">
        <v>29.940097000000002</v>
      </c>
      <c r="E29" s="51">
        <v>0</v>
      </c>
      <c r="F29" s="44">
        <v>0</v>
      </c>
      <c r="G29" s="52">
        <v>8.1984209999999997</v>
      </c>
      <c r="H29" s="52">
        <v>2.33595</v>
      </c>
      <c r="I29" s="51">
        <v>-2.468645</v>
      </c>
      <c r="J29" s="52">
        <v>-0.39780399999999999</v>
      </c>
      <c r="K29" s="52">
        <v>-1.9973449999999999</v>
      </c>
      <c r="L29" s="46">
        <v>5.3159999999999999E-2</v>
      </c>
      <c r="M29" s="46">
        <v>1.2409E-2</v>
      </c>
      <c r="N29" s="47">
        <v>0</v>
      </c>
      <c r="O29" s="52">
        <v>26.138881000000001</v>
      </c>
      <c r="P29" s="52">
        <v>2.3008479999999998</v>
      </c>
      <c r="Q29" s="52">
        <v>1.5003679999999999</v>
      </c>
      <c r="R29" s="52">
        <v>0</v>
      </c>
      <c r="S29" s="53">
        <v>3</v>
      </c>
    </row>
    <row r="30" spans="2:19" x14ac:dyDescent="0.3">
      <c r="B30" s="17">
        <v>19</v>
      </c>
      <c r="C30" s="20" t="s">
        <v>68</v>
      </c>
      <c r="D30" s="51">
        <v>0.46905000000000002</v>
      </c>
      <c r="E30" s="51">
        <v>6.0889999999999998E-3</v>
      </c>
      <c r="F30" s="44">
        <v>6.4999999999999994E-5</v>
      </c>
      <c r="G30" s="52">
        <v>0.190606</v>
      </c>
      <c r="H30" s="52">
        <v>9.2800000000000001E-4</v>
      </c>
      <c r="I30" s="51">
        <v>-1.7937000000000002E-2</v>
      </c>
      <c r="J30" s="52">
        <v>-1.5744000000000001E-2</v>
      </c>
      <c r="K30" s="52">
        <v>-9.01E-4</v>
      </c>
      <c r="L30" s="46">
        <v>9.4700000000000003E-4</v>
      </c>
      <c r="M30" s="46">
        <v>5.5099999999999995E-4</v>
      </c>
      <c r="N30" s="47">
        <v>8.6548900796255528E-3</v>
      </c>
      <c r="O30" s="52">
        <v>0.46905000000000002</v>
      </c>
      <c r="P30" s="52">
        <v>0</v>
      </c>
      <c r="Q30" s="52">
        <v>0</v>
      </c>
      <c r="R30" s="52">
        <v>0</v>
      </c>
      <c r="S30" s="53">
        <v>2</v>
      </c>
    </row>
    <row r="31" spans="2:19" x14ac:dyDescent="0.3">
      <c r="B31" s="17">
        <v>20</v>
      </c>
      <c r="C31" s="20" t="s">
        <v>69</v>
      </c>
      <c r="D31" s="51">
        <v>103.985032</v>
      </c>
      <c r="E31" s="51">
        <v>6.2306E-2</v>
      </c>
      <c r="F31" s="44">
        <v>0.219527</v>
      </c>
      <c r="G31" s="52">
        <v>7.8018390000000002</v>
      </c>
      <c r="H31" s="52">
        <v>1.586409</v>
      </c>
      <c r="I31" s="51">
        <v>-1.292144</v>
      </c>
      <c r="J31" s="52">
        <v>-0.36968000000000001</v>
      </c>
      <c r="K31" s="52">
        <v>-0.62299099999999996</v>
      </c>
      <c r="L31" s="46">
        <v>0.16199</v>
      </c>
      <c r="M31" s="46">
        <v>6.5228999999999995E-2</v>
      </c>
      <c r="N31" s="47">
        <v>1.5541273864678256E-3</v>
      </c>
      <c r="O31" s="52">
        <v>97.568631999999994</v>
      </c>
      <c r="P31" s="52">
        <v>4.9116080000000002</v>
      </c>
      <c r="Q31" s="52">
        <v>1.504793</v>
      </c>
      <c r="R31" s="52">
        <v>0</v>
      </c>
      <c r="S31" s="53">
        <v>1</v>
      </c>
    </row>
    <row r="32" spans="2:19" x14ac:dyDescent="0.3">
      <c r="B32" s="17">
        <v>21</v>
      </c>
      <c r="C32" s="20" t="s">
        <v>70</v>
      </c>
      <c r="D32" s="51">
        <v>61.623359999999998</v>
      </c>
      <c r="E32" s="51">
        <v>0</v>
      </c>
      <c r="F32" s="44">
        <v>0</v>
      </c>
      <c r="G32" s="52">
        <v>1.9614739999999999</v>
      </c>
      <c r="H32" s="52">
        <v>0</v>
      </c>
      <c r="I32" s="51">
        <v>-0.23284099999999999</v>
      </c>
      <c r="J32" s="52">
        <v>-0.15795000000000001</v>
      </c>
      <c r="K32" s="52">
        <v>0</v>
      </c>
      <c r="L32" s="46">
        <v>4.0912999999999998E-2</v>
      </c>
      <c r="M32" s="46">
        <v>2.0843E-2</v>
      </c>
      <c r="N32" s="47">
        <v>2.4919432088404548E-3</v>
      </c>
      <c r="O32" s="52">
        <v>58.798540000000003</v>
      </c>
      <c r="P32" s="52">
        <v>2.8248199999999999</v>
      </c>
      <c r="Q32" s="52">
        <v>0</v>
      </c>
      <c r="R32" s="52">
        <v>0</v>
      </c>
      <c r="S32" s="53">
        <v>1</v>
      </c>
    </row>
    <row r="33" spans="2:19" x14ac:dyDescent="0.3">
      <c r="B33" s="17">
        <v>22</v>
      </c>
      <c r="C33" s="20" t="s">
        <v>71</v>
      </c>
      <c r="D33" s="51">
        <v>93.631495000000001</v>
      </c>
      <c r="E33" s="51">
        <v>0</v>
      </c>
      <c r="F33" s="44">
        <v>0</v>
      </c>
      <c r="G33" s="52">
        <v>7.2807930000000001</v>
      </c>
      <c r="H33" s="52">
        <v>2.5458530000000001</v>
      </c>
      <c r="I33" s="51">
        <v>-2.3462550000000002</v>
      </c>
      <c r="J33" s="52">
        <v>-0.37250100000000003</v>
      </c>
      <c r="K33" s="52">
        <v>-1.6856120000000001</v>
      </c>
      <c r="L33" s="46">
        <v>0.13437099999999999</v>
      </c>
      <c r="M33" s="46">
        <v>5.9583999999999998E-2</v>
      </c>
      <c r="N33" s="47">
        <v>8.3973033172188912E-4</v>
      </c>
      <c r="O33" s="52">
        <v>89.069557000000003</v>
      </c>
      <c r="P33" s="52">
        <v>4.1935710000000004</v>
      </c>
      <c r="Q33" s="52">
        <v>0.368367</v>
      </c>
      <c r="R33" s="52">
        <v>0</v>
      </c>
      <c r="S33" s="53">
        <v>2</v>
      </c>
    </row>
    <row r="34" spans="2:19" x14ac:dyDescent="0.3">
      <c r="B34" s="17">
        <v>23</v>
      </c>
      <c r="C34" s="20" t="s">
        <v>72</v>
      </c>
      <c r="D34" s="51">
        <v>187.95646199999999</v>
      </c>
      <c r="E34" s="51">
        <v>0</v>
      </c>
      <c r="F34" s="44">
        <v>0.44046099999999999</v>
      </c>
      <c r="G34" s="52">
        <v>12.327617999999999</v>
      </c>
      <c r="H34" s="52">
        <v>9.4330499999999997</v>
      </c>
      <c r="I34" s="51">
        <v>-9.3132990000000007</v>
      </c>
      <c r="J34" s="52">
        <v>-0.65494699999999995</v>
      </c>
      <c r="K34" s="52">
        <v>-8.3726929999999999</v>
      </c>
      <c r="L34" s="46">
        <v>1.3922620000000001</v>
      </c>
      <c r="M34" s="46">
        <v>8.0588999999999994E-2</v>
      </c>
      <c r="N34" s="47">
        <v>1.4790627726463189E-2</v>
      </c>
      <c r="O34" s="52">
        <v>168.43196900000001</v>
      </c>
      <c r="P34" s="52">
        <v>17.376842</v>
      </c>
      <c r="Q34" s="52">
        <v>2.1476519999999999</v>
      </c>
      <c r="R34" s="52">
        <v>0</v>
      </c>
      <c r="S34" s="53">
        <v>2</v>
      </c>
    </row>
    <row r="35" spans="2:19" x14ac:dyDescent="0.3">
      <c r="B35" s="17">
        <v>24</v>
      </c>
      <c r="C35" s="20" t="s">
        <v>73</v>
      </c>
      <c r="D35" s="51">
        <v>20.014637</v>
      </c>
      <c r="E35" s="51">
        <v>0</v>
      </c>
      <c r="F35" s="44">
        <v>0</v>
      </c>
      <c r="G35" s="52">
        <v>0.73263999999999996</v>
      </c>
      <c r="H35" s="52">
        <v>3.6878570000000002</v>
      </c>
      <c r="I35" s="51">
        <v>-3.6370130000000001</v>
      </c>
      <c r="J35" s="52">
        <v>-1.3427E-2</v>
      </c>
      <c r="K35" s="52">
        <v>-3.5804119999999999</v>
      </c>
      <c r="L35" s="46">
        <v>4.7849999999999997E-2</v>
      </c>
      <c r="M35" s="46">
        <v>2.6460000000000001E-2</v>
      </c>
      <c r="N35" s="47">
        <v>0</v>
      </c>
      <c r="O35" s="52">
        <v>18.657858000000001</v>
      </c>
      <c r="P35" s="52">
        <v>1.356779</v>
      </c>
      <c r="Q35" s="52">
        <v>0</v>
      </c>
      <c r="R35" s="52">
        <v>0</v>
      </c>
      <c r="S35" s="53">
        <v>2</v>
      </c>
    </row>
    <row r="36" spans="2:19" x14ac:dyDescent="0.3">
      <c r="B36" s="17">
        <v>25</v>
      </c>
      <c r="C36" s="20" t="s">
        <v>74</v>
      </c>
      <c r="D36" s="51">
        <v>263.86383599999999</v>
      </c>
      <c r="E36" s="51">
        <v>0</v>
      </c>
      <c r="F36" s="44">
        <v>1.519E-2</v>
      </c>
      <c r="G36" s="52">
        <v>46.049190000000003</v>
      </c>
      <c r="H36" s="52">
        <v>9.4631290000000003</v>
      </c>
      <c r="I36" s="51">
        <v>-8.2847620000000006</v>
      </c>
      <c r="J36" s="52">
        <v>-1.829671</v>
      </c>
      <c r="K36" s="52">
        <v>-5.779655</v>
      </c>
      <c r="L36" s="46">
        <v>0.68908499999999995</v>
      </c>
      <c r="M36" s="46">
        <v>0.185526</v>
      </c>
      <c r="N36" s="47">
        <v>3.5753056670043099E-4</v>
      </c>
      <c r="O36" s="52">
        <v>221.87701100000001</v>
      </c>
      <c r="P36" s="52">
        <v>34.706736999999997</v>
      </c>
      <c r="Q36" s="52">
        <v>7.2800880000000001</v>
      </c>
      <c r="R36" s="52">
        <v>0</v>
      </c>
      <c r="S36" s="53">
        <v>2</v>
      </c>
    </row>
    <row r="37" spans="2:19" x14ac:dyDescent="0.3">
      <c r="B37" s="17">
        <v>26</v>
      </c>
      <c r="C37" s="20" t="s">
        <v>75</v>
      </c>
      <c r="D37" s="51">
        <v>5.0556939999999999</v>
      </c>
      <c r="E37" s="51">
        <v>0</v>
      </c>
      <c r="F37" s="44">
        <v>0</v>
      </c>
      <c r="G37" s="52">
        <v>1.600592</v>
      </c>
      <c r="H37" s="52">
        <v>0.58731900000000004</v>
      </c>
      <c r="I37" s="51">
        <v>-0.52808900000000003</v>
      </c>
      <c r="J37" s="52">
        <v>-0.119509</v>
      </c>
      <c r="K37" s="52">
        <v>-0.388183</v>
      </c>
      <c r="L37" s="46">
        <v>1.303E-2</v>
      </c>
      <c r="M37" s="46">
        <v>1.5280000000000001E-3</v>
      </c>
      <c r="N37" s="47">
        <v>1.4889613554285963E-4</v>
      </c>
      <c r="O37" s="52">
        <v>4.3632350000000004</v>
      </c>
      <c r="P37" s="52">
        <v>0.69245900000000005</v>
      </c>
      <c r="Q37" s="52">
        <v>0</v>
      </c>
      <c r="R37" s="52">
        <v>0</v>
      </c>
      <c r="S37" s="53">
        <v>3</v>
      </c>
    </row>
    <row r="38" spans="2:19" x14ac:dyDescent="0.3">
      <c r="B38" s="17">
        <v>27</v>
      </c>
      <c r="C38" s="20" t="s">
        <v>76</v>
      </c>
      <c r="D38" s="51">
        <v>21.132876</v>
      </c>
      <c r="E38" s="51">
        <v>0</v>
      </c>
      <c r="F38" s="44">
        <v>0</v>
      </c>
      <c r="G38" s="52">
        <v>4.3766920000000002</v>
      </c>
      <c r="H38" s="52">
        <v>2.007727</v>
      </c>
      <c r="I38" s="51">
        <v>-1.5468310000000001</v>
      </c>
      <c r="J38" s="52">
        <v>-0.165377</v>
      </c>
      <c r="K38" s="52">
        <v>-1.3144389999999999</v>
      </c>
      <c r="L38" s="46">
        <v>3.5046000000000001E-2</v>
      </c>
      <c r="M38" s="46">
        <v>1.0923E-2</v>
      </c>
      <c r="N38" s="47">
        <v>1.3644371295499105E-3</v>
      </c>
      <c r="O38" s="52">
        <v>17.854808999999999</v>
      </c>
      <c r="P38" s="52">
        <v>2.286451</v>
      </c>
      <c r="Q38" s="52">
        <v>0.99161500000000002</v>
      </c>
      <c r="R38" s="52">
        <v>0</v>
      </c>
      <c r="S38" s="53">
        <v>3</v>
      </c>
    </row>
    <row r="39" spans="2:19" x14ac:dyDescent="0.3">
      <c r="B39" s="17">
        <v>28</v>
      </c>
      <c r="C39" s="20" t="s">
        <v>77</v>
      </c>
      <c r="D39" s="51">
        <v>43.651387</v>
      </c>
      <c r="E39" s="51">
        <v>0</v>
      </c>
      <c r="F39" s="44">
        <v>1.6699999999999999E-4</v>
      </c>
      <c r="G39" s="52">
        <v>8.1417739999999998</v>
      </c>
      <c r="H39" s="52">
        <v>1.702291</v>
      </c>
      <c r="I39" s="51">
        <v>-1.6807380000000001</v>
      </c>
      <c r="J39" s="52">
        <v>-0.44473299999999999</v>
      </c>
      <c r="K39" s="52">
        <v>-1.0953189999999999</v>
      </c>
      <c r="L39" s="46">
        <v>0.183888</v>
      </c>
      <c r="M39" s="46">
        <v>1.6544E-2</v>
      </c>
      <c r="N39" s="47">
        <v>6.6740300096339964E-5</v>
      </c>
      <c r="O39" s="52">
        <v>40.748111000000002</v>
      </c>
      <c r="P39" s="52">
        <v>2.0749089999999999</v>
      </c>
      <c r="Q39" s="52">
        <v>0.82836699999999996</v>
      </c>
      <c r="R39" s="52">
        <v>0</v>
      </c>
      <c r="S39" s="53">
        <v>2</v>
      </c>
    </row>
    <row r="40" spans="2:19" x14ac:dyDescent="0.3">
      <c r="B40" s="17">
        <v>29</v>
      </c>
      <c r="C40" s="20" t="s">
        <v>78</v>
      </c>
      <c r="D40" s="51">
        <v>116.50789899999999</v>
      </c>
      <c r="E40" s="51">
        <v>0</v>
      </c>
      <c r="F40" s="44">
        <v>5.439235</v>
      </c>
      <c r="G40" s="52">
        <v>7.2530619999999999</v>
      </c>
      <c r="H40" s="52">
        <v>2.274975</v>
      </c>
      <c r="I40" s="51">
        <v>-2.467336</v>
      </c>
      <c r="J40" s="52">
        <v>-0.11713899999999999</v>
      </c>
      <c r="K40" s="52">
        <v>-2.0162810000000002</v>
      </c>
      <c r="L40" s="46">
        <v>0.46949400000000002</v>
      </c>
      <c r="M40" s="46">
        <v>0.38281500000000002</v>
      </c>
      <c r="N40" s="47">
        <v>0.25709177274141082</v>
      </c>
      <c r="O40" s="52">
        <v>114.040412</v>
      </c>
      <c r="P40" s="52">
        <v>1.6426769999999999</v>
      </c>
      <c r="Q40" s="52">
        <v>0.78923200000000004</v>
      </c>
      <c r="R40" s="52">
        <v>3.5577999999999999E-2</v>
      </c>
      <c r="S40" s="53">
        <v>1</v>
      </c>
    </row>
    <row r="41" spans="2:19" x14ac:dyDescent="0.3">
      <c r="B41" s="17">
        <v>30</v>
      </c>
      <c r="C41" s="20" t="s">
        <v>79</v>
      </c>
      <c r="D41" s="51">
        <v>6.7766380000000002</v>
      </c>
      <c r="E41" s="51">
        <v>0</v>
      </c>
      <c r="F41" s="44">
        <v>0</v>
      </c>
      <c r="G41" s="52">
        <v>1.0409660000000001</v>
      </c>
      <c r="H41" s="52">
        <v>2.6493039999999999</v>
      </c>
      <c r="I41" s="51">
        <v>-2.3246389999999999</v>
      </c>
      <c r="J41" s="52">
        <v>-2.4240000000000001E-2</v>
      </c>
      <c r="K41" s="52">
        <v>-2.2835320000000001</v>
      </c>
      <c r="L41" s="46">
        <v>6.0369999999999998E-3</v>
      </c>
      <c r="M41" s="46">
        <v>3.6540000000000001E-3</v>
      </c>
      <c r="N41" s="47">
        <v>0</v>
      </c>
      <c r="O41" s="52">
        <v>6.2942270000000002</v>
      </c>
      <c r="P41" s="52">
        <v>0.48241099999999998</v>
      </c>
      <c r="Q41" s="52">
        <v>0</v>
      </c>
      <c r="R41" s="52">
        <v>0</v>
      </c>
      <c r="S41" s="53">
        <v>2</v>
      </c>
    </row>
    <row r="42" spans="2:19" x14ac:dyDescent="0.3">
      <c r="B42" s="17">
        <v>31</v>
      </c>
      <c r="C42" s="20" t="s">
        <v>80</v>
      </c>
      <c r="D42" s="51">
        <v>70.662107000000006</v>
      </c>
      <c r="E42" s="51">
        <v>0</v>
      </c>
      <c r="F42" s="44">
        <v>0</v>
      </c>
      <c r="G42" s="52">
        <v>15.191041999999999</v>
      </c>
      <c r="H42" s="52">
        <v>4.3038400000000001</v>
      </c>
      <c r="I42" s="51">
        <v>-3.7764509999999998</v>
      </c>
      <c r="J42" s="52">
        <v>-0.80986499999999995</v>
      </c>
      <c r="K42" s="52">
        <v>-2.7933089999999998</v>
      </c>
      <c r="L42" s="46">
        <v>0.20830699999999999</v>
      </c>
      <c r="M42" s="46">
        <v>2.4150999999999999E-2</v>
      </c>
      <c r="N42" s="47">
        <v>0</v>
      </c>
      <c r="O42" s="52">
        <v>58.159143</v>
      </c>
      <c r="P42" s="52">
        <v>9.6651240000000005</v>
      </c>
      <c r="Q42" s="52">
        <v>2.8378399999999999</v>
      </c>
      <c r="R42" s="52">
        <v>0</v>
      </c>
      <c r="S42" s="53">
        <v>3</v>
      </c>
    </row>
    <row r="43" spans="2:19" x14ac:dyDescent="0.3">
      <c r="B43" s="17">
        <v>32</v>
      </c>
      <c r="C43" s="20" t="s">
        <v>81</v>
      </c>
      <c r="D43" s="51">
        <v>26.211628000000001</v>
      </c>
      <c r="E43" s="51">
        <v>0</v>
      </c>
      <c r="F43" s="44">
        <v>0</v>
      </c>
      <c r="G43" s="52">
        <v>5.0559960000000004</v>
      </c>
      <c r="H43" s="52">
        <v>1.2362629999999999</v>
      </c>
      <c r="I43" s="51">
        <v>-0.54107499999999997</v>
      </c>
      <c r="J43" s="52">
        <v>-0.24243500000000001</v>
      </c>
      <c r="K43" s="52">
        <v>-0.22908200000000001</v>
      </c>
      <c r="L43" s="46">
        <v>4.7036000000000001E-2</v>
      </c>
      <c r="M43" s="46">
        <v>9.6240000000000006E-3</v>
      </c>
      <c r="N43" s="47">
        <v>4.0729801760552138E-2</v>
      </c>
      <c r="O43" s="52">
        <v>22.780483</v>
      </c>
      <c r="P43" s="52">
        <v>2.6439689999999998</v>
      </c>
      <c r="Q43" s="52">
        <v>0.78717700000000002</v>
      </c>
      <c r="R43" s="52">
        <v>0</v>
      </c>
      <c r="S43" s="53">
        <v>3</v>
      </c>
    </row>
    <row r="44" spans="2:19" x14ac:dyDescent="0.3">
      <c r="B44" s="17">
        <v>33</v>
      </c>
      <c r="C44" s="20" t="s">
        <v>82</v>
      </c>
      <c r="D44" s="51">
        <v>41.015698999999998</v>
      </c>
      <c r="E44" s="51">
        <v>0</v>
      </c>
      <c r="F44" s="44">
        <v>9.8150000000000008E-3</v>
      </c>
      <c r="G44" s="52">
        <v>4.1777759999999997</v>
      </c>
      <c r="H44" s="52">
        <v>0.70381700000000003</v>
      </c>
      <c r="I44" s="51">
        <v>-0.796655</v>
      </c>
      <c r="J44" s="52">
        <v>-0.18471299999999999</v>
      </c>
      <c r="K44" s="52">
        <v>-0.482483</v>
      </c>
      <c r="L44" s="46">
        <v>0.264874</v>
      </c>
      <c r="M44" s="46">
        <v>2.5847999999999999E-2</v>
      </c>
      <c r="N44" s="47">
        <v>1.4337789658202137E-3</v>
      </c>
      <c r="O44" s="52">
        <v>38.235194999999997</v>
      </c>
      <c r="P44" s="52">
        <v>1.9126609999999999</v>
      </c>
      <c r="Q44" s="52">
        <v>0.86784300000000003</v>
      </c>
      <c r="R44" s="52">
        <v>0</v>
      </c>
      <c r="S44" s="53">
        <v>2</v>
      </c>
    </row>
    <row r="45" spans="2:19" x14ac:dyDescent="0.3">
      <c r="B45" s="17">
        <v>34</v>
      </c>
      <c r="C45" s="19" t="s">
        <v>83</v>
      </c>
      <c r="D45" s="51">
        <v>671.41561300000001</v>
      </c>
      <c r="E45" s="51">
        <v>75.349136999999999</v>
      </c>
      <c r="F45" s="44">
        <v>53.576743999999998</v>
      </c>
      <c r="G45" s="52">
        <v>0.78312899999999996</v>
      </c>
      <c r="H45" s="52">
        <v>6.4569000000000001E-2</v>
      </c>
      <c r="I45" s="51">
        <v>-0.63046599999999997</v>
      </c>
      <c r="J45" s="52">
        <v>-4.9621999999999999E-2</v>
      </c>
      <c r="K45" s="52">
        <v>-5.2624999999999998E-2</v>
      </c>
      <c r="L45" s="46">
        <v>2.3212619999999999</v>
      </c>
      <c r="M45" s="46">
        <v>0.66019000000000005</v>
      </c>
      <c r="N45" s="47">
        <v>0.16038315385801666</v>
      </c>
      <c r="O45" s="52">
        <v>347.42516000000001</v>
      </c>
      <c r="P45" s="52">
        <v>153.94082</v>
      </c>
      <c r="Q45" s="52">
        <v>170.049633</v>
      </c>
      <c r="R45" s="52">
        <v>0</v>
      </c>
      <c r="S45" s="53">
        <v>5</v>
      </c>
    </row>
    <row r="46" spans="2:19" x14ac:dyDescent="0.3">
      <c r="B46" s="17">
        <v>35</v>
      </c>
      <c r="C46" s="21" t="s">
        <v>84</v>
      </c>
      <c r="D46" s="51">
        <v>670.81948599999998</v>
      </c>
      <c r="E46" s="51">
        <v>75.349136999999999</v>
      </c>
      <c r="F46" s="44">
        <v>53.570148000000003</v>
      </c>
      <c r="G46" s="52">
        <v>0.56329099999999999</v>
      </c>
      <c r="H46" s="52">
        <v>6.3658000000000006E-2</v>
      </c>
      <c r="I46" s="51">
        <v>-0.612317</v>
      </c>
      <c r="J46" s="52">
        <v>-3.6137000000000002E-2</v>
      </c>
      <c r="K46" s="52">
        <v>-5.1769999999999997E-2</v>
      </c>
      <c r="L46" s="46">
        <v>2.3155100000000002</v>
      </c>
      <c r="M46" s="46">
        <v>0.65991299999999997</v>
      </c>
      <c r="N46" s="47">
        <v>0.16051066251422563</v>
      </c>
      <c r="O46" s="52">
        <v>346.89081700000003</v>
      </c>
      <c r="P46" s="52">
        <v>153.87903700000001</v>
      </c>
      <c r="Q46" s="52">
        <v>170.049633</v>
      </c>
      <c r="R46" s="52">
        <v>0</v>
      </c>
      <c r="S46" s="53">
        <v>5</v>
      </c>
    </row>
    <row r="47" spans="2:19" x14ac:dyDescent="0.3">
      <c r="B47" s="17">
        <v>36</v>
      </c>
      <c r="C47" s="21" t="s">
        <v>85</v>
      </c>
      <c r="D47" s="51">
        <v>428.35755599999999</v>
      </c>
      <c r="E47" s="51">
        <v>67.590619000000004</v>
      </c>
      <c r="F47" s="44">
        <v>46.523868</v>
      </c>
      <c r="G47" s="52">
        <v>0.40745399999999998</v>
      </c>
      <c r="H47" s="52">
        <v>5.0759999999999998E-3</v>
      </c>
      <c r="I47" s="51">
        <v>-0.51633700000000005</v>
      </c>
      <c r="J47" s="52">
        <v>-3.3856999999999998E-2</v>
      </c>
      <c r="K47" s="52">
        <v>-3.7929999999999999E-3</v>
      </c>
      <c r="L47" s="46">
        <v>0.252581</v>
      </c>
      <c r="M47" s="46">
        <v>0.17838899999999999</v>
      </c>
      <c r="N47" s="47">
        <v>0.2249741678637428</v>
      </c>
      <c r="O47" s="52">
        <v>104.428887</v>
      </c>
      <c r="P47" s="52">
        <v>153.87903700000001</v>
      </c>
      <c r="Q47" s="52">
        <v>170.049633</v>
      </c>
      <c r="R47" s="52">
        <v>0</v>
      </c>
      <c r="S47" s="53">
        <v>8</v>
      </c>
    </row>
    <row r="48" spans="2:19" x14ac:dyDescent="0.3">
      <c r="B48" s="17">
        <v>37</v>
      </c>
      <c r="C48" s="21" t="s">
        <v>86</v>
      </c>
      <c r="D48" s="51">
        <v>0.28814800000000002</v>
      </c>
      <c r="E48" s="51">
        <v>0</v>
      </c>
      <c r="F48" s="44">
        <v>6.5960000000000003E-3</v>
      </c>
      <c r="G48" s="52">
        <v>0.15859999999999999</v>
      </c>
      <c r="H48" s="52">
        <v>0</v>
      </c>
      <c r="I48" s="51">
        <v>-9.9620000000000004E-3</v>
      </c>
      <c r="J48" s="52">
        <v>-9.5409999999999991E-3</v>
      </c>
      <c r="K48" s="52">
        <v>0</v>
      </c>
      <c r="L48" s="46">
        <v>1.436E-3</v>
      </c>
      <c r="M48" s="46">
        <v>1.7899999999999999E-4</v>
      </c>
      <c r="N48" s="47">
        <v>3.4959235943860335E-2</v>
      </c>
      <c r="O48" s="52">
        <v>0.28814800000000002</v>
      </c>
      <c r="P48" s="52">
        <v>0</v>
      </c>
      <c r="Q48" s="52">
        <v>0</v>
      </c>
      <c r="R48" s="52">
        <v>0</v>
      </c>
      <c r="S48" s="53">
        <v>0</v>
      </c>
    </row>
    <row r="49" spans="1:20" x14ac:dyDescent="0.3">
      <c r="B49" s="17">
        <v>38</v>
      </c>
      <c r="C49" s="21" t="s">
        <v>87</v>
      </c>
      <c r="D49" s="51">
        <v>0.307979</v>
      </c>
      <c r="E49" s="51">
        <v>0</v>
      </c>
      <c r="F49" s="44">
        <v>0</v>
      </c>
      <c r="G49" s="52">
        <v>6.1237E-2</v>
      </c>
      <c r="H49" s="52">
        <v>9.1100000000000003E-4</v>
      </c>
      <c r="I49" s="51">
        <v>-8.1869999999999998E-3</v>
      </c>
      <c r="J49" s="52">
        <v>-3.9439999999999996E-3</v>
      </c>
      <c r="K49" s="52">
        <v>-8.5400000000000005E-4</v>
      </c>
      <c r="L49" s="46">
        <v>4.3160000000000004E-3</v>
      </c>
      <c r="M49" s="46">
        <v>9.7999999999999997E-5</v>
      </c>
      <c r="N49" s="47">
        <v>0</v>
      </c>
      <c r="O49" s="52">
        <v>0.246195</v>
      </c>
      <c r="P49" s="52">
        <v>6.1782999999999998E-2</v>
      </c>
      <c r="Q49" s="52">
        <v>0</v>
      </c>
      <c r="R49" s="52">
        <v>0</v>
      </c>
      <c r="S49" s="53">
        <v>3</v>
      </c>
    </row>
    <row r="50" spans="1:20" x14ac:dyDescent="0.3">
      <c r="B50" s="17">
        <v>39</v>
      </c>
      <c r="C50" s="19" t="s">
        <v>88</v>
      </c>
      <c r="D50" s="51">
        <v>33.931316000000002</v>
      </c>
      <c r="E50" s="51">
        <v>0</v>
      </c>
      <c r="F50" s="44">
        <v>6.1227999999999998E-2</v>
      </c>
      <c r="G50" s="52">
        <v>3.7084820000000001</v>
      </c>
      <c r="H50" s="52">
        <v>1.7047190000000001</v>
      </c>
      <c r="I50" s="51">
        <v>-1.4345730000000001</v>
      </c>
      <c r="J50" s="52">
        <v>-0.170379</v>
      </c>
      <c r="K50" s="52">
        <v>-1.1535880000000001</v>
      </c>
      <c r="L50" s="46">
        <v>0.25025500000000001</v>
      </c>
      <c r="M50" s="46">
        <v>1.1122E-2</v>
      </c>
      <c r="N50" s="47">
        <v>4.8251159491971828E-4</v>
      </c>
      <c r="O50" s="52">
        <v>28.640253999999999</v>
      </c>
      <c r="P50" s="52">
        <v>4.1862149999999998</v>
      </c>
      <c r="Q50" s="52">
        <v>1.1048469999999999</v>
      </c>
      <c r="R50" s="52">
        <v>0</v>
      </c>
      <c r="S50" s="53">
        <v>3</v>
      </c>
    </row>
    <row r="51" spans="1:20" x14ac:dyDescent="0.3">
      <c r="B51" s="17">
        <v>40</v>
      </c>
      <c r="C51" s="19" t="s">
        <v>89</v>
      </c>
      <c r="D51" s="51">
        <v>1068.5215720000001</v>
      </c>
      <c r="E51" s="51">
        <v>0</v>
      </c>
      <c r="F51" s="44">
        <v>4.2726649999999999</v>
      </c>
      <c r="G51" s="52">
        <v>101.32226300000001</v>
      </c>
      <c r="H51" s="52">
        <v>49.413227999999997</v>
      </c>
      <c r="I51" s="51">
        <v>-44.087082000000002</v>
      </c>
      <c r="J51" s="52">
        <v>-5.3415150000000002</v>
      </c>
      <c r="K51" s="52">
        <v>-36.332174999999999</v>
      </c>
      <c r="L51" s="46">
        <v>5.2059550000000003</v>
      </c>
      <c r="M51" s="46">
        <v>0.55998499999999996</v>
      </c>
      <c r="N51" s="47">
        <v>1.2605504818401498E-2</v>
      </c>
      <c r="O51" s="52">
        <v>902.84657500000003</v>
      </c>
      <c r="P51" s="52">
        <v>70.041543000000004</v>
      </c>
      <c r="Q51" s="52">
        <v>95.633454</v>
      </c>
      <c r="R51" s="52">
        <v>0</v>
      </c>
      <c r="S51" s="53">
        <v>3</v>
      </c>
    </row>
    <row r="52" spans="1:20" x14ac:dyDescent="0.3">
      <c r="B52" s="17">
        <v>41</v>
      </c>
      <c r="C52" s="21" t="s">
        <v>90</v>
      </c>
      <c r="D52" s="51">
        <v>747.59956099999999</v>
      </c>
      <c r="E52" s="51">
        <v>0</v>
      </c>
      <c r="F52" s="44">
        <v>3.0841029999999998</v>
      </c>
      <c r="G52" s="52">
        <v>57.181147000000003</v>
      </c>
      <c r="H52" s="52">
        <v>41.335394999999998</v>
      </c>
      <c r="I52" s="51">
        <v>-35.522866999999998</v>
      </c>
      <c r="J52" s="52">
        <v>-3.3240590000000001</v>
      </c>
      <c r="K52" s="52">
        <v>-30.729479000000001</v>
      </c>
      <c r="L52" s="46">
        <v>2.2645149999999998</v>
      </c>
      <c r="M52" s="46">
        <v>0.37558900000000001</v>
      </c>
      <c r="N52" s="47">
        <v>4.0443797061673345E-3</v>
      </c>
      <c r="O52" s="52">
        <v>630.26563599999997</v>
      </c>
      <c r="P52" s="52">
        <v>58.878318999999998</v>
      </c>
      <c r="Q52" s="52">
        <v>58.455604999999998</v>
      </c>
      <c r="R52" s="52">
        <v>0</v>
      </c>
      <c r="S52" s="53">
        <v>3</v>
      </c>
    </row>
    <row r="53" spans="1:20" x14ac:dyDescent="0.3">
      <c r="B53" s="17">
        <v>42</v>
      </c>
      <c r="C53" s="21" t="s">
        <v>91</v>
      </c>
      <c r="D53" s="51">
        <v>165.331917</v>
      </c>
      <c r="E53" s="51">
        <v>0</v>
      </c>
      <c r="F53" s="44">
        <v>0.65822000000000003</v>
      </c>
      <c r="G53" s="52">
        <v>15.194556</v>
      </c>
      <c r="H53" s="52">
        <v>1.298467</v>
      </c>
      <c r="I53" s="51">
        <v>-1.740944</v>
      </c>
      <c r="J53" s="52">
        <v>-0.41082299999999999</v>
      </c>
      <c r="K53" s="52">
        <v>-0.98984000000000005</v>
      </c>
      <c r="L53" s="46">
        <v>1.133772</v>
      </c>
      <c r="M53" s="46">
        <v>5.8540000000000002E-2</v>
      </c>
      <c r="N53" s="47">
        <v>5.0345752923571963E-2</v>
      </c>
      <c r="O53" s="52">
        <v>129.467727</v>
      </c>
      <c r="P53" s="52">
        <v>2.381815</v>
      </c>
      <c r="Q53" s="52">
        <v>33.482374</v>
      </c>
      <c r="R53" s="52">
        <v>0</v>
      </c>
      <c r="S53" s="53">
        <v>3</v>
      </c>
    </row>
    <row r="54" spans="1:20" x14ac:dyDescent="0.3">
      <c r="B54" s="17">
        <v>43</v>
      </c>
      <c r="C54" s="21" t="s">
        <v>92</v>
      </c>
      <c r="D54" s="51">
        <v>155.59009399999999</v>
      </c>
      <c r="E54" s="51">
        <v>0</v>
      </c>
      <c r="F54" s="44">
        <v>0.53034199999999998</v>
      </c>
      <c r="G54" s="52">
        <v>28.946560999999999</v>
      </c>
      <c r="H54" s="52">
        <v>6.7793659999999996</v>
      </c>
      <c r="I54" s="51">
        <v>-6.8232720000000002</v>
      </c>
      <c r="J54" s="52">
        <v>-1.606633</v>
      </c>
      <c r="K54" s="52">
        <v>-4.612857</v>
      </c>
      <c r="L54" s="46">
        <v>1.8076669999999999</v>
      </c>
      <c r="M54" s="46">
        <v>0.125857</v>
      </c>
      <c r="N54" s="47">
        <v>1.3637870201856594E-2</v>
      </c>
      <c r="O54" s="52">
        <v>143.11321100000001</v>
      </c>
      <c r="P54" s="52">
        <v>8.781409</v>
      </c>
      <c r="Q54" s="52">
        <v>3.6954750000000001</v>
      </c>
      <c r="R54" s="52">
        <v>0</v>
      </c>
      <c r="S54" s="53">
        <v>2</v>
      </c>
    </row>
    <row r="55" spans="1:20" x14ac:dyDescent="0.3">
      <c r="B55" s="17">
        <v>44</v>
      </c>
      <c r="C55" s="19" t="s">
        <v>93</v>
      </c>
      <c r="D55" s="51">
        <v>2070.1135020000002</v>
      </c>
      <c r="E55" s="51">
        <v>7.2740000000000001E-3</v>
      </c>
      <c r="F55" s="44">
        <v>13.805042</v>
      </c>
      <c r="G55" s="52">
        <v>248.74796699999999</v>
      </c>
      <c r="H55" s="52">
        <v>74.069631999999999</v>
      </c>
      <c r="I55" s="51">
        <v>-66.424700000000001</v>
      </c>
      <c r="J55" s="52">
        <v>-13.90044</v>
      </c>
      <c r="K55" s="52">
        <v>-47.135610999999997</v>
      </c>
      <c r="L55" s="46">
        <v>23.934318999999999</v>
      </c>
      <c r="M55" s="46">
        <v>14.866322</v>
      </c>
      <c r="N55" s="47">
        <v>0.11555754978767846</v>
      </c>
      <c r="O55" s="52">
        <v>1897.879191</v>
      </c>
      <c r="P55" s="52">
        <v>133.21463600000001</v>
      </c>
      <c r="Q55" s="52">
        <v>38.591335999999998</v>
      </c>
      <c r="R55" s="52">
        <v>0.42834</v>
      </c>
      <c r="S55" s="53">
        <v>2</v>
      </c>
    </row>
    <row r="56" spans="1:20" x14ac:dyDescent="0.3">
      <c r="B56" s="17">
        <v>45</v>
      </c>
      <c r="C56" s="19" t="s">
        <v>94</v>
      </c>
      <c r="D56" s="51">
        <v>786.91128500000002</v>
      </c>
      <c r="E56" s="51">
        <v>8.1853999999999996E-2</v>
      </c>
      <c r="F56" s="44">
        <v>0.35062199999999999</v>
      </c>
      <c r="G56" s="52">
        <v>55.729740999999997</v>
      </c>
      <c r="H56" s="52">
        <v>49.654983000000001</v>
      </c>
      <c r="I56" s="51">
        <v>-35.567301</v>
      </c>
      <c r="J56" s="52">
        <v>-3.7920240000000001</v>
      </c>
      <c r="K56" s="52">
        <v>-30.015746</v>
      </c>
      <c r="L56" s="46">
        <v>41.197401999999997</v>
      </c>
      <c r="M56" s="46">
        <v>0.60053000000000001</v>
      </c>
      <c r="N56" s="47">
        <v>3.8311297208746986E-2</v>
      </c>
      <c r="O56" s="52">
        <v>584.21061899999995</v>
      </c>
      <c r="P56" s="52">
        <v>147.031768</v>
      </c>
      <c r="Q56" s="52">
        <v>55.668897999999999</v>
      </c>
      <c r="R56" s="52">
        <v>0</v>
      </c>
      <c r="S56" s="53">
        <v>3</v>
      </c>
    </row>
    <row r="57" spans="1:20" x14ac:dyDescent="0.3">
      <c r="B57" s="17">
        <v>46</v>
      </c>
      <c r="C57" s="21" t="s">
        <v>95</v>
      </c>
      <c r="D57" s="51">
        <v>313.720887</v>
      </c>
      <c r="E57" s="51">
        <v>0</v>
      </c>
      <c r="F57" s="44">
        <v>6.0714999999999998E-2</v>
      </c>
      <c r="G57" s="52">
        <v>45.530617999999997</v>
      </c>
      <c r="H57" s="52">
        <v>11.365893</v>
      </c>
      <c r="I57" s="51">
        <v>-11.133061</v>
      </c>
      <c r="J57" s="52">
        <v>-2.5553889999999999</v>
      </c>
      <c r="K57" s="52">
        <v>-7.5581940000000003</v>
      </c>
      <c r="L57" s="46">
        <v>39.971972000000001</v>
      </c>
      <c r="M57" s="46">
        <v>0.168763</v>
      </c>
      <c r="N57" s="47">
        <v>2.4406227509511343E-4</v>
      </c>
      <c r="O57" s="52">
        <v>291.37410299999999</v>
      </c>
      <c r="P57" s="52">
        <v>20.289912000000001</v>
      </c>
      <c r="Q57" s="52">
        <v>2.0568710000000001</v>
      </c>
      <c r="R57" s="52">
        <v>0</v>
      </c>
      <c r="S57" s="53">
        <v>2</v>
      </c>
    </row>
    <row r="58" spans="1:20" x14ac:dyDescent="0.3">
      <c r="B58" s="17">
        <v>47</v>
      </c>
      <c r="C58" s="21" t="s">
        <v>96</v>
      </c>
      <c r="D58" s="51">
        <v>3.3902410000000001</v>
      </c>
      <c r="E58" s="51">
        <v>0</v>
      </c>
      <c r="F58" s="44">
        <v>0</v>
      </c>
      <c r="G58" s="52">
        <v>0.176204</v>
      </c>
      <c r="H58" s="52">
        <v>2.1101000000000002E-2</v>
      </c>
      <c r="I58" s="51">
        <v>-2.9877999999999998E-2</v>
      </c>
      <c r="J58" s="52">
        <v>-8.6770000000000007E-3</v>
      </c>
      <c r="K58" s="52">
        <v>-1.6098999999999999E-2</v>
      </c>
      <c r="L58" s="46">
        <v>4.3660000000000001E-3</v>
      </c>
      <c r="M58" s="46">
        <v>1.6329999999999999E-3</v>
      </c>
      <c r="N58" s="47">
        <v>0</v>
      </c>
      <c r="O58" s="52">
        <v>3.2399900000000001</v>
      </c>
      <c r="P58" s="52">
        <v>0</v>
      </c>
      <c r="Q58" s="52">
        <v>0.150252</v>
      </c>
      <c r="R58" s="52">
        <v>0</v>
      </c>
      <c r="S58" s="53">
        <v>3</v>
      </c>
    </row>
    <row r="59" spans="1:20" x14ac:dyDescent="0.3">
      <c r="B59" s="17">
        <v>48</v>
      </c>
      <c r="C59" s="21" t="s">
        <v>97</v>
      </c>
      <c r="D59" s="51">
        <v>21.513591000000002</v>
      </c>
      <c r="E59" s="51">
        <v>0</v>
      </c>
      <c r="F59" s="44">
        <v>0</v>
      </c>
      <c r="G59" s="52">
        <v>9.8700000000000003E-4</v>
      </c>
      <c r="H59" s="52">
        <v>13.975781</v>
      </c>
      <c r="I59" s="51">
        <v>-9.101934</v>
      </c>
      <c r="J59" s="52">
        <v>-3.9399999999999998E-4</v>
      </c>
      <c r="K59" s="52">
        <v>-9.0791409999999999</v>
      </c>
      <c r="L59" s="46">
        <v>8.5550000000000001E-3</v>
      </c>
      <c r="M59" s="46">
        <v>5.0689999999999997E-3</v>
      </c>
      <c r="N59" s="47">
        <v>2.3275209809124002E-6</v>
      </c>
      <c r="O59" s="52">
        <v>10.308232</v>
      </c>
      <c r="P59" s="52">
        <v>11.205359</v>
      </c>
      <c r="Q59" s="52">
        <v>0</v>
      </c>
      <c r="R59" s="52">
        <v>0</v>
      </c>
      <c r="S59" s="53">
        <v>4</v>
      </c>
    </row>
    <row r="60" spans="1:20" x14ac:dyDescent="0.3">
      <c r="B60" s="17">
        <v>49</v>
      </c>
      <c r="C60" s="21" t="s">
        <v>98</v>
      </c>
      <c r="D60" s="51">
        <v>445.86044199999998</v>
      </c>
      <c r="E60" s="51">
        <v>8.1853999999999996E-2</v>
      </c>
      <c r="F60" s="44">
        <v>0.28990700000000003</v>
      </c>
      <c r="G60" s="52">
        <v>9.366142</v>
      </c>
      <c r="H60" s="52">
        <v>23.629048000000001</v>
      </c>
      <c r="I60" s="51">
        <v>-14.851226</v>
      </c>
      <c r="J60" s="52">
        <v>-1.1836739999999999</v>
      </c>
      <c r="K60" s="52">
        <v>-12.960716</v>
      </c>
      <c r="L60" s="46">
        <v>1.17621</v>
      </c>
      <c r="M60" s="46">
        <v>0.42378199999999999</v>
      </c>
      <c r="N60" s="47">
        <v>6.7444814139867207E-2</v>
      </c>
      <c r="O60" s="52">
        <v>276.86216899999999</v>
      </c>
      <c r="P60" s="52">
        <v>115.536497</v>
      </c>
      <c r="Q60" s="52">
        <v>53.461775000000003</v>
      </c>
      <c r="R60" s="52">
        <v>0</v>
      </c>
      <c r="S60" s="53">
        <v>3</v>
      </c>
    </row>
    <row r="61" spans="1:20" x14ac:dyDescent="0.3">
      <c r="B61" s="17">
        <v>50</v>
      </c>
      <c r="C61" s="21" t="s">
        <v>99</v>
      </c>
      <c r="D61" s="51">
        <v>2.4261249999999999</v>
      </c>
      <c r="E61" s="51">
        <v>0</v>
      </c>
      <c r="F61" s="44">
        <v>0</v>
      </c>
      <c r="G61" s="52">
        <v>0.65578999999999998</v>
      </c>
      <c r="H61" s="52">
        <v>0.663161</v>
      </c>
      <c r="I61" s="51">
        <v>-0.45120300000000002</v>
      </c>
      <c r="J61" s="52">
        <v>-4.3889999999999998E-2</v>
      </c>
      <c r="K61" s="52">
        <v>-0.40159600000000001</v>
      </c>
      <c r="L61" s="46">
        <v>3.6298999999999998E-2</v>
      </c>
      <c r="M61" s="46">
        <v>1.2819999999999999E-3</v>
      </c>
      <c r="N61" s="47">
        <v>0</v>
      </c>
      <c r="O61" s="52">
        <v>2.4261249999999999</v>
      </c>
      <c r="P61" s="52">
        <v>0</v>
      </c>
      <c r="Q61" s="52">
        <v>0</v>
      </c>
      <c r="R61" s="52">
        <v>0</v>
      </c>
      <c r="S61" s="53">
        <v>2</v>
      </c>
    </row>
    <row r="62" spans="1:20" x14ac:dyDescent="0.3">
      <c r="A62" s="30"/>
      <c r="B62" s="17">
        <v>51</v>
      </c>
      <c r="C62" s="22" t="s">
        <v>100</v>
      </c>
      <c r="D62" s="51">
        <v>1110.4605039999999</v>
      </c>
      <c r="E62" s="51">
        <v>0</v>
      </c>
      <c r="F62" s="44">
        <v>2.0368000000000001E-2</v>
      </c>
      <c r="G62" s="52">
        <v>96.265905000000004</v>
      </c>
      <c r="H62" s="52">
        <v>98.079538999999997</v>
      </c>
      <c r="I62" s="51">
        <v>-38.691217999999999</v>
      </c>
      <c r="J62" s="52">
        <v>-5.5501120000000004</v>
      </c>
      <c r="K62" s="52">
        <v>-30.812778999999999</v>
      </c>
      <c r="L62" s="46">
        <v>0.69018500000000005</v>
      </c>
      <c r="M62" s="46">
        <v>0.17232700000000001</v>
      </c>
      <c r="N62" s="47">
        <v>1.710032903056215E-5</v>
      </c>
      <c r="O62" s="52">
        <v>463.91691600000001</v>
      </c>
      <c r="P62" s="52">
        <v>241.85521399999999</v>
      </c>
      <c r="Q62" s="52">
        <v>340.897516</v>
      </c>
      <c r="R62" s="52">
        <v>63.790857000000003</v>
      </c>
      <c r="S62" s="53">
        <v>8</v>
      </c>
      <c r="T62" s="30"/>
    </row>
    <row r="63" spans="1:20" x14ac:dyDescent="0.3">
      <c r="A63" s="31"/>
      <c r="B63" s="17">
        <v>52</v>
      </c>
      <c r="C63" s="19" t="s">
        <v>101</v>
      </c>
      <c r="D63" s="51">
        <v>1166.2973770000001</v>
      </c>
      <c r="E63" s="51">
        <v>0</v>
      </c>
      <c r="F63" s="44">
        <v>0</v>
      </c>
      <c r="G63" s="52">
        <v>124.14765199999999</v>
      </c>
      <c r="H63" s="52">
        <v>47.288507000000003</v>
      </c>
      <c r="I63" s="51">
        <v>-40.452142000000002</v>
      </c>
      <c r="J63" s="52">
        <v>-5.0594809999999999</v>
      </c>
      <c r="K63" s="52">
        <v>-33.569153999999997</v>
      </c>
      <c r="L63" s="46">
        <v>0.45179999999999998</v>
      </c>
      <c r="M63" s="46">
        <v>4.5841E-2</v>
      </c>
      <c r="N63" s="47">
        <v>0</v>
      </c>
      <c r="O63" s="52">
        <v>632.81924000000004</v>
      </c>
      <c r="P63" s="52">
        <v>326.17756300000002</v>
      </c>
      <c r="Q63" s="52">
        <v>207.169398</v>
      </c>
      <c r="R63" s="52">
        <v>0.13117599999999999</v>
      </c>
      <c r="S63" s="53">
        <v>6</v>
      </c>
    </row>
    <row r="64" spans="1:20" x14ac:dyDescent="0.3">
      <c r="A64" s="31"/>
      <c r="B64" s="17">
        <v>53</v>
      </c>
      <c r="C64" s="23" t="s">
        <v>142</v>
      </c>
      <c r="D64" s="46">
        <v>2867.797399</v>
      </c>
      <c r="E64" s="46">
        <v>348.99050799999998</v>
      </c>
      <c r="F64" s="44">
        <v>167.36531600000001</v>
      </c>
      <c r="G64" s="46">
        <v>192.80579999999998</v>
      </c>
      <c r="H64" s="46">
        <v>51.677191999999998</v>
      </c>
      <c r="I64" s="46">
        <v>-96.570385999999999</v>
      </c>
      <c r="J64" s="46">
        <v>-20.412005000000001</v>
      </c>
      <c r="K64" s="46">
        <v>-68.600604000000004</v>
      </c>
      <c r="L64" s="46">
        <v>18.099413000000002</v>
      </c>
      <c r="M64" s="46">
        <v>2.9564460000000001</v>
      </c>
      <c r="N64" s="47">
        <v>0.32230678733983487</v>
      </c>
      <c r="O64" s="46">
        <v>2285.2900360000003</v>
      </c>
      <c r="P64" s="46">
        <v>370.65629000000001</v>
      </c>
      <c r="Q64" s="46">
        <v>206.702405</v>
      </c>
      <c r="R64" s="46">
        <v>5.1486679999999998</v>
      </c>
      <c r="S64" s="54">
        <v>3</v>
      </c>
      <c r="T64" s="30"/>
    </row>
    <row r="65" spans="1:20" x14ac:dyDescent="0.3">
      <c r="A65" s="30"/>
      <c r="B65" s="17">
        <v>54</v>
      </c>
      <c r="C65" s="22" t="s">
        <v>102</v>
      </c>
      <c r="D65" s="51">
        <v>8.7186590000000006</v>
      </c>
      <c r="E65" s="51">
        <v>0</v>
      </c>
      <c r="F65" s="44">
        <v>9.7E-5</v>
      </c>
      <c r="G65" s="52">
        <v>0.74523200000000001</v>
      </c>
      <c r="H65" s="52">
        <v>4.9536999999999998E-2</v>
      </c>
      <c r="I65" s="51">
        <v>-0.44827800000000001</v>
      </c>
      <c r="J65" s="52">
        <v>-5.9659999999999998E-2</v>
      </c>
      <c r="K65" s="52">
        <v>-3.295E-2</v>
      </c>
      <c r="L65" s="46">
        <v>1.6062E-2</v>
      </c>
      <c r="M65" s="46">
        <v>7.0899999999999999E-4</v>
      </c>
      <c r="N65" s="47">
        <v>5.3606104954347291E-5</v>
      </c>
      <c r="O65" s="52">
        <v>8.0634689999999996</v>
      </c>
      <c r="P65" s="52">
        <v>0.336785</v>
      </c>
      <c r="Q65" s="52">
        <v>0.31840499999999999</v>
      </c>
      <c r="R65" s="52">
        <v>0</v>
      </c>
      <c r="S65" s="53">
        <v>4</v>
      </c>
      <c r="T65" s="30"/>
    </row>
    <row r="66" spans="1:20" x14ac:dyDescent="0.3">
      <c r="A66" s="30"/>
      <c r="B66" s="17">
        <v>55</v>
      </c>
      <c r="C66" s="24" t="s">
        <v>103</v>
      </c>
      <c r="D66" s="51">
        <v>2859.0787399999999</v>
      </c>
      <c r="E66" s="51">
        <v>348.99050799999998</v>
      </c>
      <c r="F66" s="44">
        <v>167.365219</v>
      </c>
      <c r="G66" s="51">
        <v>192.06056799999999</v>
      </c>
      <c r="H66" s="51">
        <v>51.627654999999997</v>
      </c>
      <c r="I66" s="51">
        <v>-96.122107999999997</v>
      </c>
      <c r="J66" s="51">
        <v>-20.352345</v>
      </c>
      <c r="K66" s="51">
        <v>-68.567654000000005</v>
      </c>
      <c r="L66" s="46">
        <v>18.083351</v>
      </c>
      <c r="M66" s="46">
        <v>2.9557370000000001</v>
      </c>
      <c r="N66" s="47">
        <v>0.32327930314922565</v>
      </c>
      <c r="O66" s="55">
        <v>2277.2265670000002</v>
      </c>
      <c r="P66" s="55">
        <v>370.31950499999999</v>
      </c>
      <c r="Q66" s="55">
        <v>206.38399999999999</v>
      </c>
      <c r="R66" s="55">
        <v>5.1486679999999998</v>
      </c>
      <c r="S66" s="56">
        <v>3</v>
      </c>
      <c r="T66" s="30"/>
    </row>
    <row r="67" spans="1:20" x14ac:dyDescent="0.3">
      <c r="B67" s="17">
        <v>56</v>
      </c>
      <c r="C67" s="25" t="s">
        <v>104</v>
      </c>
      <c r="D67" s="51">
        <v>12289.771028000003</v>
      </c>
      <c r="E67" s="51">
        <v>424.49716799999999</v>
      </c>
      <c r="F67" s="44">
        <v>248.52827600000001</v>
      </c>
      <c r="G67" s="51">
        <v>1100.6799040000001</v>
      </c>
      <c r="H67" s="51">
        <v>476.88842099999999</v>
      </c>
      <c r="I67" s="51">
        <v>-404.58183199999996</v>
      </c>
      <c r="J67" s="51">
        <v>-68.470968999999997</v>
      </c>
      <c r="K67" s="51">
        <v>-307.783545</v>
      </c>
      <c r="L67" s="46">
        <v>102.678612</v>
      </c>
      <c r="M67" s="46">
        <v>23.369263999999998</v>
      </c>
      <c r="N67" s="47">
        <v>0.11459056182797138</v>
      </c>
      <c r="O67" s="51">
        <v>9299.8323459999992</v>
      </c>
      <c r="P67" s="51">
        <v>1701.106914</v>
      </c>
      <c r="Q67" s="51">
        <v>1219.2971500000001</v>
      </c>
      <c r="R67" s="51">
        <v>69.534619000000006</v>
      </c>
      <c r="S67" s="51">
        <v>4</v>
      </c>
    </row>
    <row r="68" spans="1:20" x14ac:dyDescent="0.3">
      <c r="C68" s="26" t="s">
        <v>143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69"/>
  <sheetViews>
    <sheetView zoomScale="55" zoomScaleNormal="55" workbookViewId="0">
      <pane ySplit="6" topLeftCell="A7" activePane="bottomLeft" state="frozen"/>
      <selection pane="bottomLeft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109</v>
      </c>
    </row>
    <row r="9" spans="1:20" ht="15" customHeight="1" x14ac:dyDescent="0.3">
      <c r="C9" s="10" t="s">
        <v>110</v>
      </c>
      <c r="D9" s="11" t="s">
        <v>111</v>
      </c>
      <c r="E9" s="11" t="s">
        <v>112</v>
      </c>
      <c r="F9" s="11" t="s">
        <v>113</v>
      </c>
      <c r="G9" s="11" t="s">
        <v>114</v>
      </c>
      <c r="H9" s="11" t="s">
        <v>115</v>
      </c>
      <c r="I9" s="11" t="s">
        <v>116</v>
      </c>
      <c r="J9" s="11" t="s">
        <v>117</v>
      </c>
      <c r="K9" s="11" t="s">
        <v>118</v>
      </c>
      <c r="L9" s="11" t="s">
        <v>119</v>
      </c>
      <c r="M9" s="11" t="s">
        <v>120</v>
      </c>
      <c r="N9" s="11" t="s">
        <v>121</v>
      </c>
      <c r="O9" s="11" t="s">
        <v>122</v>
      </c>
      <c r="P9" s="11" t="s">
        <v>123</v>
      </c>
      <c r="Q9" s="11" t="s">
        <v>124</v>
      </c>
      <c r="R9" s="11" t="s">
        <v>125</v>
      </c>
      <c r="S9" s="11" t="s">
        <v>126</v>
      </c>
    </row>
    <row r="10" spans="1:20" ht="76.5" customHeight="1" x14ac:dyDescent="0.3">
      <c r="C10" s="12"/>
      <c r="D10" s="79" t="s">
        <v>127</v>
      </c>
      <c r="E10" s="80"/>
      <c r="F10" s="80"/>
      <c r="G10" s="80"/>
      <c r="H10" s="81"/>
      <c r="I10" s="79" t="s">
        <v>128</v>
      </c>
      <c r="J10" s="80"/>
      <c r="K10" s="81"/>
      <c r="L10" s="79" t="s">
        <v>129</v>
      </c>
      <c r="M10" s="81"/>
      <c r="N10" s="77" t="s">
        <v>130</v>
      </c>
      <c r="O10" s="77" t="s">
        <v>131</v>
      </c>
      <c r="P10" s="77" t="s">
        <v>132</v>
      </c>
      <c r="Q10" s="77" t="s">
        <v>133</v>
      </c>
      <c r="R10" s="77" t="s">
        <v>134</v>
      </c>
      <c r="S10" s="77" t="s">
        <v>46</v>
      </c>
    </row>
    <row r="11" spans="1:20" ht="96.6" x14ac:dyDescent="0.3">
      <c r="C11" s="12"/>
      <c r="D11" s="13"/>
      <c r="E11" s="14" t="s">
        <v>135</v>
      </c>
      <c r="F11" s="14" t="s">
        <v>136</v>
      </c>
      <c r="G11" s="15" t="s">
        <v>137</v>
      </c>
      <c r="H11" s="15" t="s">
        <v>138</v>
      </c>
      <c r="I11" s="16"/>
      <c r="J11" s="14" t="s">
        <v>139</v>
      </c>
      <c r="K11" s="14" t="s">
        <v>138</v>
      </c>
      <c r="L11" s="28"/>
      <c r="M11" s="29" t="s">
        <v>140</v>
      </c>
      <c r="N11" s="78"/>
      <c r="O11" s="78"/>
      <c r="P11" s="78"/>
      <c r="Q11" s="78"/>
      <c r="R11" s="78"/>
      <c r="S11" s="78"/>
    </row>
    <row r="12" spans="1:20" x14ac:dyDescent="0.3">
      <c r="B12" s="17">
        <v>1</v>
      </c>
      <c r="C12" s="18" t="s">
        <v>141</v>
      </c>
      <c r="D12" s="44">
        <v>9277.9607429999996</v>
      </c>
      <c r="E12" s="44">
        <v>69.412327000000005</v>
      </c>
      <c r="F12" s="44">
        <v>34.647959999999998</v>
      </c>
      <c r="G12" s="44">
        <v>907.87404100000003</v>
      </c>
      <c r="H12" s="44">
        <v>425.59945800000003</v>
      </c>
      <c r="I12" s="44">
        <v>-343.05045999999999</v>
      </c>
      <c r="J12" s="44">
        <v>-48.058954999999997</v>
      </c>
      <c r="K12" s="44">
        <v>-274.381505</v>
      </c>
      <c r="L12" s="45">
        <v>6511242.9000000032</v>
      </c>
      <c r="M12" s="45">
        <v>3787494.9800000023</v>
      </c>
      <c r="N12" s="45">
        <v>0.75789345217552451</v>
      </c>
      <c r="O12" s="44">
        <v>7005.590424</v>
      </c>
      <c r="P12" s="44">
        <v>1330.4502809999999</v>
      </c>
      <c r="Q12" s="44">
        <v>877.53428199999996</v>
      </c>
      <c r="R12" s="44">
        <v>64.385756000000001</v>
      </c>
      <c r="S12" s="44">
        <v>4</v>
      </c>
    </row>
    <row r="13" spans="1:20" x14ac:dyDescent="0.3">
      <c r="B13" s="17">
        <v>2</v>
      </c>
      <c r="C13" s="19" t="s">
        <v>51</v>
      </c>
      <c r="D13" s="44">
        <v>331.599603</v>
      </c>
      <c r="E13" s="44">
        <v>0</v>
      </c>
      <c r="F13" s="44">
        <v>4.2486000000000003E-2</v>
      </c>
      <c r="G13" s="44">
        <v>40.456467000000004</v>
      </c>
      <c r="H13" s="44">
        <v>24.969025999999999</v>
      </c>
      <c r="I13" s="44">
        <v>-7.2248869999999998</v>
      </c>
      <c r="J13" s="44">
        <v>-2.0787239999999998</v>
      </c>
      <c r="K13" s="44">
        <v>-4.2610729999999997</v>
      </c>
      <c r="L13" s="45">
        <v>378876.61000000016</v>
      </c>
      <c r="M13" s="45">
        <v>99537.049999999974</v>
      </c>
      <c r="N13" s="45">
        <v>2.6690837051136757E-2</v>
      </c>
      <c r="O13" s="44">
        <v>216.42934199999999</v>
      </c>
      <c r="P13" s="44">
        <v>58.723517999999999</v>
      </c>
      <c r="Q13" s="44">
        <v>56.446742999999998</v>
      </c>
      <c r="R13" s="44">
        <v>0</v>
      </c>
      <c r="S13" s="44">
        <v>5</v>
      </c>
    </row>
    <row r="14" spans="1:20" x14ac:dyDescent="0.3">
      <c r="B14" s="17">
        <v>3</v>
      </c>
      <c r="C14" s="19" t="s">
        <v>52</v>
      </c>
      <c r="D14" s="44">
        <v>14.172371999999999</v>
      </c>
      <c r="E14" s="44">
        <v>0</v>
      </c>
      <c r="F14" s="44">
        <v>0</v>
      </c>
      <c r="G14" s="44">
        <v>1.936569</v>
      </c>
      <c r="H14" s="44">
        <v>2.362628</v>
      </c>
      <c r="I14" s="44">
        <v>-1.4009130000000001</v>
      </c>
      <c r="J14" s="44">
        <v>-0.101809</v>
      </c>
      <c r="K14" s="44">
        <v>-1.2663979999999999</v>
      </c>
      <c r="L14" s="45">
        <v>273035.17</v>
      </c>
      <c r="M14" s="45">
        <v>5657.5899999999974</v>
      </c>
      <c r="N14" s="45">
        <v>1.226783370569861E-3</v>
      </c>
      <c r="O14" s="44">
        <v>13.072672000000001</v>
      </c>
      <c r="P14" s="44">
        <v>1.0996999999999999</v>
      </c>
      <c r="Q14" s="44">
        <v>0</v>
      </c>
      <c r="R14" s="44">
        <v>0</v>
      </c>
      <c r="S14" s="44">
        <v>2</v>
      </c>
    </row>
    <row r="15" spans="1:20" x14ac:dyDescent="0.3">
      <c r="B15" s="17">
        <v>4</v>
      </c>
      <c r="C15" s="20" t="s">
        <v>53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5">
        <v>0</v>
      </c>
      <c r="M15" s="45">
        <v>0</v>
      </c>
      <c r="N15" s="45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</row>
    <row r="16" spans="1:20" x14ac:dyDescent="0.3">
      <c r="B16" s="17">
        <v>5</v>
      </c>
      <c r="C16" s="20" t="s">
        <v>54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5">
        <v>0</v>
      </c>
      <c r="M16" s="45">
        <v>0</v>
      </c>
      <c r="N16" s="45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</row>
    <row r="17" spans="2:19" x14ac:dyDescent="0.3">
      <c r="B17" s="17">
        <v>6</v>
      </c>
      <c r="C17" s="20" t="s">
        <v>55</v>
      </c>
      <c r="D17" s="44">
        <v>0.14147100000000001</v>
      </c>
      <c r="E17" s="44">
        <v>0</v>
      </c>
      <c r="F17" s="44">
        <v>0</v>
      </c>
      <c r="G17" s="44">
        <v>0</v>
      </c>
      <c r="H17" s="44">
        <v>0</v>
      </c>
      <c r="I17" s="44">
        <v>-1.35E-4</v>
      </c>
      <c r="J17" s="44">
        <v>0</v>
      </c>
      <c r="K17" s="44">
        <v>0</v>
      </c>
      <c r="L17" s="45">
        <v>87.08</v>
      </c>
      <c r="M17" s="45">
        <v>31.76</v>
      </c>
      <c r="N17" s="45">
        <v>1.1155043695801628E-5</v>
      </c>
      <c r="O17" s="44">
        <v>0.14147100000000001</v>
      </c>
      <c r="P17" s="44">
        <v>0</v>
      </c>
      <c r="Q17" s="44">
        <v>0</v>
      </c>
      <c r="R17" s="44">
        <v>0</v>
      </c>
      <c r="S17" s="44">
        <v>0</v>
      </c>
    </row>
    <row r="18" spans="2:19" x14ac:dyDescent="0.3">
      <c r="B18" s="17">
        <v>7</v>
      </c>
      <c r="C18" s="20" t="s">
        <v>56</v>
      </c>
      <c r="D18" s="44">
        <v>13.954338</v>
      </c>
      <c r="E18" s="44">
        <v>0</v>
      </c>
      <c r="F18" s="44">
        <v>0</v>
      </c>
      <c r="G18" s="44">
        <v>1.8604940000000001</v>
      </c>
      <c r="H18" s="44">
        <v>2.3621479999999999</v>
      </c>
      <c r="I18" s="44">
        <v>-1.399356</v>
      </c>
      <c r="J18" s="44">
        <v>-0.100795</v>
      </c>
      <c r="K18" s="44">
        <v>-1.2659899999999999</v>
      </c>
      <c r="L18" s="45">
        <v>272898.28999999998</v>
      </c>
      <c r="M18" s="45">
        <v>5607.6699999999973</v>
      </c>
      <c r="N18" s="45">
        <v>1.2094849686543733E-3</v>
      </c>
      <c r="O18" s="44">
        <v>12.854638</v>
      </c>
      <c r="P18" s="44">
        <v>1.0996999999999999</v>
      </c>
      <c r="Q18" s="44">
        <v>0</v>
      </c>
      <c r="R18" s="44">
        <v>0</v>
      </c>
      <c r="S18" s="44">
        <v>2</v>
      </c>
    </row>
    <row r="19" spans="2:19" x14ac:dyDescent="0.3">
      <c r="B19" s="17">
        <v>8</v>
      </c>
      <c r="C19" s="20" t="s">
        <v>57</v>
      </c>
      <c r="D19" s="44">
        <v>7.6563000000000006E-2</v>
      </c>
      <c r="E19" s="44">
        <v>0</v>
      </c>
      <c r="F19" s="44">
        <v>0</v>
      </c>
      <c r="G19" s="44">
        <v>7.6075000000000004E-2</v>
      </c>
      <c r="H19" s="44">
        <v>4.8000000000000001E-4</v>
      </c>
      <c r="I19" s="44">
        <v>-1.4220000000000001E-3</v>
      </c>
      <c r="J19" s="44">
        <v>-1.0139999999999999E-3</v>
      </c>
      <c r="K19" s="44">
        <v>-4.08E-4</v>
      </c>
      <c r="L19" s="45">
        <v>49.8</v>
      </c>
      <c r="M19" s="45">
        <v>18.16</v>
      </c>
      <c r="N19" s="45">
        <v>6.1433582196859608E-6</v>
      </c>
      <c r="O19" s="44">
        <v>7.6563000000000006E-2</v>
      </c>
      <c r="P19" s="44">
        <v>0</v>
      </c>
      <c r="Q19" s="44">
        <v>0</v>
      </c>
      <c r="R19" s="44">
        <v>0</v>
      </c>
      <c r="S19" s="44">
        <v>2</v>
      </c>
    </row>
    <row r="20" spans="2:19" x14ac:dyDescent="0.3">
      <c r="B20" s="17">
        <v>9</v>
      </c>
      <c r="C20" s="19" t="s">
        <v>58</v>
      </c>
      <c r="D20" s="44">
        <v>2226.1042630000002</v>
      </c>
      <c r="E20" s="44">
        <v>6.8394999999999997E-2</v>
      </c>
      <c r="F20" s="44">
        <v>9.0369229999999998</v>
      </c>
      <c r="G20" s="44">
        <v>234.77592799999999</v>
      </c>
      <c r="H20" s="44">
        <v>77.605407</v>
      </c>
      <c r="I20" s="44">
        <v>-72.276143000000005</v>
      </c>
      <c r="J20" s="44">
        <v>-12.014849</v>
      </c>
      <c r="K20" s="44">
        <v>-54.584122000000001</v>
      </c>
      <c r="L20" s="45">
        <v>1919151.7799999998</v>
      </c>
      <c r="M20" s="45">
        <v>1331620.6199999999</v>
      </c>
      <c r="N20" s="45">
        <v>0.18105450059818562</v>
      </c>
      <c r="O20" s="44">
        <v>1927.303347</v>
      </c>
      <c r="P20" s="44">
        <v>238.98095699999999</v>
      </c>
      <c r="Q20" s="44">
        <v>59.784381000000003</v>
      </c>
      <c r="R20" s="44">
        <v>3.5577999999999999E-2</v>
      </c>
      <c r="S20" s="44">
        <v>2</v>
      </c>
    </row>
    <row r="21" spans="2:19" x14ac:dyDescent="0.3">
      <c r="B21" s="17">
        <v>10</v>
      </c>
      <c r="C21" s="20" t="s">
        <v>59</v>
      </c>
      <c r="D21" s="44">
        <v>338.99324999999999</v>
      </c>
      <c r="E21" s="44">
        <v>0</v>
      </c>
      <c r="F21" s="44">
        <v>0</v>
      </c>
      <c r="G21" s="44">
        <v>36.946734999999997</v>
      </c>
      <c r="H21" s="44">
        <v>9.6289979999999993</v>
      </c>
      <c r="I21" s="44">
        <v>-8.3400110000000005</v>
      </c>
      <c r="J21" s="44">
        <v>-2.0773350000000002</v>
      </c>
      <c r="K21" s="44">
        <v>-5.2775699999999999</v>
      </c>
      <c r="L21" s="45">
        <v>425368.50999999966</v>
      </c>
      <c r="M21" s="45">
        <v>366797.7999999997</v>
      </c>
      <c r="N21" s="45">
        <v>2.736111450575213E-2</v>
      </c>
      <c r="O21" s="44">
        <v>301.20061700000002</v>
      </c>
      <c r="P21" s="44">
        <v>18.618867999999999</v>
      </c>
      <c r="Q21" s="44">
        <v>19.173765</v>
      </c>
      <c r="R21" s="44">
        <v>0</v>
      </c>
      <c r="S21" s="44">
        <v>2</v>
      </c>
    </row>
    <row r="22" spans="2:19" x14ac:dyDescent="0.3">
      <c r="B22" s="17">
        <v>11</v>
      </c>
      <c r="C22" s="20" t="s">
        <v>60</v>
      </c>
      <c r="D22" s="44">
        <v>217.522088</v>
      </c>
      <c r="E22" s="44">
        <v>0</v>
      </c>
      <c r="F22" s="44">
        <v>0</v>
      </c>
      <c r="G22" s="44">
        <v>7.5690939999999998</v>
      </c>
      <c r="H22" s="44">
        <v>0.39642100000000002</v>
      </c>
      <c r="I22" s="44">
        <v>-1.1073660000000001</v>
      </c>
      <c r="J22" s="44">
        <v>-0.45090799999999998</v>
      </c>
      <c r="K22" s="44">
        <v>-0.30253600000000003</v>
      </c>
      <c r="L22" s="45">
        <v>105276.42000000004</v>
      </c>
      <c r="M22" s="45">
        <v>91850.070000000036</v>
      </c>
      <c r="N22" s="45">
        <v>1.7222495350161071E-2</v>
      </c>
      <c r="O22" s="44">
        <v>148.09781899999999</v>
      </c>
      <c r="P22" s="44">
        <v>68.582628</v>
      </c>
      <c r="Q22" s="44">
        <v>0.84164099999999997</v>
      </c>
      <c r="R22" s="44">
        <v>0</v>
      </c>
      <c r="S22" s="44">
        <v>3</v>
      </c>
    </row>
    <row r="23" spans="2:19" x14ac:dyDescent="0.3">
      <c r="B23" s="17">
        <v>12</v>
      </c>
      <c r="C23" s="20" t="s">
        <v>61</v>
      </c>
      <c r="D23" s="44">
        <v>2.9247709999999998</v>
      </c>
      <c r="E23" s="44">
        <v>0</v>
      </c>
      <c r="F23" s="44">
        <v>0</v>
      </c>
      <c r="G23" s="44">
        <v>0</v>
      </c>
      <c r="H23" s="44">
        <v>0</v>
      </c>
      <c r="I23" s="44">
        <v>-1.0149E-2</v>
      </c>
      <c r="J23" s="44">
        <v>0</v>
      </c>
      <c r="K23" s="44">
        <v>0</v>
      </c>
      <c r="L23" s="45">
        <v>7897.4800000000005</v>
      </c>
      <c r="M23" s="45">
        <v>6940.71</v>
      </c>
      <c r="N23" s="45">
        <v>2.31197821643981E-4</v>
      </c>
      <c r="O23" s="44">
        <v>2.9247709999999998</v>
      </c>
      <c r="P23" s="44">
        <v>0</v>
      </c>
      <c r="Q23" s="44">
        <v>0</v>
      </c>
      <c r="R23" s="44">
        <v>0</v>
      </c>
      <c r="S23" s="44">
        <v>0</v>
      </c>
    </row>
    <row r="24" spans="2:19" x14ac:dyDescent="0.3">
      <c r="B24" s="17">
        <v>13</v>
      </c>
      <c r="C24" s="20" t="s">
        <v>62</v>
      </c>
      <c r="D24" s="44">
        <v>112.288971</v>
      </c>
      <c r="E24" s="44">
        <v>0</v>
      </c>
      <c r="F24" s="44">
        <v>0</v>
      </c>
      <c r="G24" s="44">
        <v>17.483433000000002</v>
      </c>
      <c r="H24" s="44">
        <v>3.0571790000000001</v>
      </c>
      <c r="I24" s="44">
        <v>-4.0580449999999999</v>
      </c>
      <c r="J24" s="44">
        <v>-1.1716359999999999</v>
      </c>
      <c r="K24" s="44">
        <v>-2.4024160000000001</v>
      </c>
      <c r="L24" s="45">
        <v>63527.900000000052</v>
      </c>
      <c r="M24" s="45">
        <v>47138.34000000004</v>
      </c>
      <c r="N24" s="45">
        <v>9.1652152209927059E-3</v>
      </c>
      <c r="O24" s="44">
        <v>105.941774</v>
      </c>
      <c r="P24" s="44">
        <v>4.2102779999999997</v>
      </c>
      <c r="Q24" s="44">
        <v>2.1369189999999998</v>
      </c>
      <c r="R24" s="44">
        <v>0</v>
      </c>
      <c r="S24" s="44">
        <v>2</v>
      </c>
    </row>
    <row r="25" spans="2:19" x14ac:dyDescent="0.3">
      <c r="B25" s="17">
        <v>14</v>
      </c>
      <c r="C25" s="20" t="s">
        <v>63</v>
      </c>
      <c r="D25" s="44">
        <v>94.342483000000001</v>
      </c>
      <c r="E25" s="44">
        <v>0</v>
      </c>
      <c r="F25" s="44">
        <v>7.9620000000000003E-3</v>
      </c>
      <c r="G25" s="44">
        <v>15.614997000000001</v>
      </c>
      <c r="H25" s="44">
        <v>8.1182250000000007</v>
      </c>
      <c r="I25" s="44">
        <v>-7.0681669999999999</v>
      </c>
      <c r="J25" s="44">
        <v>-0.98600900000000002</v>
      </c>
      <c r="K25" s="44">
        <v>-5.7754440000000002</v>
      </c>
      <c r="L25" s="45">
        <v>74411.91</v>
      </c>
      <c r="M25" s="45">
        <v>46755.670000000006</v>
      </c>
      <c r="N25" s="45">
        <v>7.9886058240172982E-3</v>
      </c>
      <c r="O25" s="44">
        <v>83.763276000000005</v>
      </c>
      <c r="P25" s="44">
        <v>7.3780219999999996</v>
      </c>
      <c r="Q25" s="44">
        <v>3.2011850000000002</v>
      </c>
      <c r="R25" s="44">
        <v>0</v>
      </c>
      <c r="S25" s="44">
        <v>2</v>
      </c>
    </row>
    <row r="26" spans="2:19" x14ac:dyDescent="0.3">
      <c r="B26" s="17">
        <v>15</v>
      </c>
      <c r="C26" s="20" t="s">
        <v>64</v>
      </c>
      <c r="D26" s="44">
        <v>50.416471000000001</v>
      </c>
      <c r="E26" s="44">
        <v>0</v>
      </c>
      <c r="F26" s="44">
        <v>0</v>
      </c>
      <c r="G26" s="44">
        <v>12.097787</v>
      </c>
      <c r="H26" s="44">
        <v>6.7355280000000004</v>
      </c>
      <c r="I26" s="44">
        <v>-5.5203709999999999</v>
      </c>
      <c r="J26" s="44">
        <v>-0.68338100000000002</v>
      </c>
      <c r="K26" s="44">
        <v>-4.6537059999999997</v>
      </c>
      <c r="L26" s="45">
        <v>36693.270000000004</v>
      </c>
      <c r="M26" s="45">
        <v>24729.780000000002</v>
      </c>
      <c r="N26" s="45">
        <v>4.4064144734115625E-3</v>
      </c>
      <c r="O26" s="44">
        <v>47.567580999999997</v>
      </c>
      <c r="P26" s="44">
        <v>2.3946689999999999</v>
      </c>
      <c r="Q26" s="44">
        <v>0.45422099999999999</v>
      </c>
      <c r="R26" s="44">
        <v>0</v>
      </c>
      <c r="S26" s="44">
        <v>2</v>
      </c>
    </row>
    <row r="27" spans="2:19" x14ac:dyDescent="0.3">
      <c r="B27" s="17">
        <v>16</v>
      </c>
      <c r="C27" s="20" t="s">
        <v>65</v>
      </c>
      <c r="D27" s="44">
        <v>113.903358</v>
      </c>
      <c r="E27" s="44">
        <v>0</v>
      </c>
      <c r="F27" s="44">
        <v>0.67807799999999996</v>
      </c>
      <c r="G27" s="44">
        <v>11.594229</v>
      </c>
      <c r="H27" s="44">
        <v>5.0176080000000001</v>
      </c>
      <c r="I27" s="44">
        <v>-4.4068940000000003</v>
      </c>
      <c r="J27" s="44">
        <v>-0.62377000000000005</v>
      </c>
      <c r="K27" s="44">
        <v>-3.456934</v>
      </c>
      <c r="L27" s="45">
        <v>67864.45</v>
      </c>
      <c r="M27" s="45">
        <v>43811.08</v>
      </c>
      <c r="N27" s="45">
        <v>9.3198688621113322E-3</v>
      </c>
      <c r="O27" s="44">
        <v>110.56855400000001</v>
      </c>
      <c r="P27" s="44">
        <v>2.7391800000000002</v>
      </c>
      <c r="Q27" s="44">
        <v>0.59562400000000004</v>
      </c>
      <c r="R27" s="44">
        <v>0</v>
      </c>
      <c r="S27" s="44">
        <v>1</v>
      </c>
    </row>
    <row r="28" spans="2:19" x14ac:dyDescent="0.3">
      <c r="B28" s="17">
        <v>17</v>
      </c>
      <c r="C28" s="20" t="s">
        <v>66</v>
      </c>
      <c r="D28" s="44">
        <v>145.66216299999999</v>
      </c>
      <c r="E28" s="44">
        <v>0</v>
      </c>
      <c r="F28" s="44">
        <v>2.2264240000000002</v>
      </c>
      <c r="G28" s="44">
        <v>2.0891709999999999</v>
      </c>
      <c r="H28" s="44">
        <v>0.13273499999999999</v>
      </c>
      <c r="I28" s="44">
        <v>-0.33278200000000002</v>
      </c>
      <c r="J28" s="44">
        <v>-0.102085</v>
      </c>
      <c r="K28" s="44">
        <v>-7.3279999999999998E-2</v>
      </c>
      <c r="L28" s="45">
        <v>129122.93</v>
      </c>
      <c r="M28" s="45">
        <v>49268.54</v>
      </c>
      <c r="N28" s="45">
        <v>1.1500725270270894E-2</v>
      </c>
      <c r="O28" s="44">
        <v>143.75183799999999</v>
      </c>
      <c r="P28" s="44">
        <v>1.184124</v>
      </c>
      <c r="Q28" s="44">
        <v>0.72620099999999999</v>
      </c>
      <c r="R28" s="44">
        <v>0</v>
      </c>
      <c r="S28" s="44">
        <v>1</v>
      </c>
    </row>
    <row r="29" spans="2:19" x14ac:dyDescent="0.3">
      <c r="B29" s="17">
        <v>18</v>
      </c>
      <c r="C29" s="20" t="s">
        <v>67</v>
      </c>
      <c r="D29" s="44">
        <v>29.940097000000002</v>
      </c>
      <c r="E29" s="44">
        <v>0</v>
      </c>
      <c r="F29" s="44">
        <v>0</v>
      </c>
      <c r="G29" s="44">
        <v>8.1984209999999997</v>
      </c>
      <c r="H29" s="44">
        <v>2.3359489999999998</v>
      </c>
      <c r="I29" s="44">
        <v>-2.4686490000000001</v>
      </c>
      <c r="J29" s="44">
        <v>-0.39780500000000002</v>
      </c>
      <c r="K29" s="44">
        <v>-1.9973449999999999</v>
      </c>
      <c r="L29" s="45">
        <v>17852.62</v>
      </c>
      <c r="M29" s="45">
        <v>9987.5300000000007</v>
      </c>
      <c r="N29" s="45">
        <v>2.5529927866252923E-3</v>
      </c>
      <c r="O29" s="44">
        <v>26.13888</v>
      </c>
      <c r="P29" s="44">
        <v>2.3008500000000001</v>
      </c>
      <c r="Q29" s="44">
        <v>1.500367</v>
      </c>
      <c r="R29" s="44">
        <v>0</v>
      </c>
      <c r="S29" s="44">
        <v>3</v>
      </c>
    </row>
    <row r="30" spans="2:19" x14ac:dyDescent="0.3">
      <c r="B30" s="17">
        <v>19</v>
      </c>
      <c r="C30" s="20" t="s">
        <v>68</v>
      </c>
      <c r="D30" s="44">
        <v>0.46904899999999999</v>
      </c>
      <c r="E30" s="44">
        <v>6.0889999999999998E-3</v>
      </c>
      <c r="F30" s="44">
        <v>6.4999999999999994E-5</v>
      </c>
      <c r="G30" s="44">
        <v>0.190606</v>
      </c>
      <c r="H30" s="44">
        <v>9.2800000000000001E-4</v>
      </c>
      <c r="I30" s="44">
        <v>-1.7937000000000002E-2</v>
      </c>
      <c r="J30" s="44">
        <v>-1.5743E-2</v>
      </c>
      <c r="K30" s="44">
        <v>-9.01E-4</v>
      </c>
      <c r="L30" s="45">
        <v>947.07999999999993</v>
      </c>
      <c r="M30" s="45">
        <v>551.42999999999995</v>
      </c>
      <c r="N30" s="45">
        <v>3.8362354388693612E-5</v>
      </c>
      <c r="O30" s="44">
        <v>0.46904899999999999</v>
      </c>
      <c r="P30" s="44">
        <v>0</v>
      </c>
      <c r="Q30" s="44">
        <v>0</v>
      </c>
      <c r="R30" s="44">
        <v>0</v>
      </c>
      <c r="S30" s="44">
        <v>2</v>
      </c>
    </row>
    <row r="31" spans="2:19" x14ac:dyDescent="0.3">
      <c r="B31" s="17">
        <v>20</v>
      </c>
      <c r="C31" s="20" t="s">
        <v>69</v>
      </c>
      <c r="D31" s="44">
        <v>103.98503599999999</v>
      </c>
      <c r="E31" s="44">
        <v>6.2306E-2</v>
      </c>
      <c r="F31" s="44">
        <v>0.219526</v>
      </c>
      <c r="G31" s="44">
        <v>7.8018400000000003</v>
      </c>
      <c r="H31" s="44">
        <v>1.586409</v>
      </c>
      <c r="I31" s="44">
        <v>-1.292143</v>
      </c>
      <c r="J31" s="44">
        <v>-0.36967899999999998</v>
      </c>
      <c r="K31" s="44">
        <v>-0.62299199999999999</v>
      </c>
      <c r="L31" s="45">
        <v>107535.78000000004</v>
      </c>
      <c r="M31" s="45">
        <v>56074.420000000013</v>
      </c>
      <c r="N31" s="45">
        <v>8.2931905196366052E-3</v>
      </c>
      <c r="O31" s="44">
        <v>97.568635</v>
      </c>
      <c r="P31" s="44">
        <v>4.9116070000000001</v>
      </c>
      <c r="Q31" s="44">
        <v>1.504794</v>
      </c>
      <c r="R31" s="44">
        <v>0</v>
      </c>
      <c r="S31" s="44">
        <v>1</v>
      </c>
    </row>
    <row r="32" spans="2:19" x14ac:dyDescent="0.3">
      <c r="B32" s="17">
        <v>21</v>
      </c>
      <c r="C32" s="20" t="s">
        <v>70</v>
      </c>
      <c r="D32" s="44">
        <v>61.623358000000003</v>
      </c>
      <c r="E32" s="44">
        <v>0</v>
      </c>
      <c r="F32" s="44">
        <v>0</v>
      </c>
      <c r="G32" s="44">
        <v>1.9614739999999999</v>
      </c>
      <c r="H32" s="44">
        <v>0</v>
      </c>
      <c r="I32" s="44">
        <v>-0.23284299999999999</v>
      </c>
      <c r="J32" s="44">
        <v>-0.15794900000000001</v>
      </c>
      <c r="K32" s="44">
        <v>0</v>
      </c>
      <c r="L32" s="45">
        <v>39907.730000000003</v>
      </c>
      <c r="M32" s="45">
        <v>19832.760000000002</v>
      </c>
      <c r="N32" s="45">
        <v>4.8727108503603817E-3</v>
      </c>
      <c r="O32" s="44">
        <v>58.798541</v>
      </c>
      <c r="P32" s="44">
        <v>2.8248169999999999</v>
      </c>
      <c r="Q32" s="44">
        <v>0</v>
      </c>
      <c r="R32" s="44">
        <v>0</v>
      </c>
      <c r="S32" s="44">
        <v>1</v>
      </c>
    </row>
    <row r="33" spans="2:19" x14ac:dyDescent="0.3">
      <c r="B33" s="17">
        <v>22</v>
      </c>
      <c r="C33" s="20" t="s">
        <v>71</v>
      </c>
      <c r="D33" s="44">
        <v>93.631493000000006</v>
      </c>
      <c r="E33" s="44">
        <v>0</v>
      </c>
      <c r="F33" s="44">
        <v>0</v>
      </c>
      <c r="G33" s="44">
        <v>7.2807930000000001</v>
      </c>
      <c r="H33" s="44">
        <v>2.5458560000000001</v>
      </c>
      <c r="I33" s="44">
        <v>-2.3462510000000001</v>
      </c>
      <c r="J33" s="44">
        <v>-0.37250100000000003</v>
      </c>
      <c r="K33" s="44">
        <v>-1.6856100000000001</v>
      </c>
      <c r="L33" s="45">
        <v>90722.049999999988</v>
      </c>
      <c r="M33" s="45">
        <v>47746.549999999996</v>
      </c>
      <c r="N33" s="45">
        <v>7.5606297380672221E-3</v>
      </c>
      <c r="O33" s="44">
        <v>89.069557000000003</v>
      </c>
      <c r="P33" s="44">
        <v>4.193568</v>
      </c>
      <c r="Q33" s="44">
        <v>0.36836799999999997</v>
      </c>
      <c r="R33" s="44">
        <v>0</v>
      </c>
      <c r="S33" s="44">
        <v>2</v>
      </c>
    </row>
    <row r="34" spans="2:19" x14ac:dyDescent="0.3">
      <c r="B34" s="17">
        <v>23</v>
      </c>
      <c r="C34" s="20" t="s">
        <v>72</v>
      </c>
      <c r="D34" s="44">
        <v>187.956467</v>
      </c>
      <c r="E34" s="44">
        <v>0</v>
      </c>
      <c r="F34" s="44">
        <v>0.44046099999999999</v>
      </c>
      <c r="G34" s="44">
        <v>12.32762</v>
      </c>
      <c r="H34" s="44">
        <v>9.4330490000000005</v>
      </c>
      <c r="I34" s="44">
        <v>-9.3132979999999996</v>
      </c>
      <c r="J34" s="44">
        <v>-0.65494799999999997</v>
      </c>
      <c r="K34" s="44">
        <v>-8.3726920000000007</v>
      </c>
      <c r="L34" s="45">
        <v>129673.05000000002</v>
      </c>
      <c r="M34" s="45">
        <v>72323.240000000005</v>
      </c>
      <c r="N34" s="45">
        <v>1.553988964590795E-2</v>
      </c>
      <c r="O34" s="44">
        <v>168.431973</v>
      </c>
      <c r="P34" s="44">
        <v>17.376842</v>
      </c>
      <c r="Q34" s="44">
        <v>2.1476519999999999</v>
      </c>
      <c r="R34" s="44">
        <v>0</v>
      </c>
      <c r="S34" s="44">
        <v>2</v>
      </c>
    </row>
    <row r="35" spans="2:19" x14ac:dyDescent="0.3">
      <c r="B35" s="17">
        <v>24</v>
      </c>
      <c r="C35" s="20" t="s">
        <v>73</v>
      </c>
      <c r="D35" s="44">
        <v>20.014634999999998</v>
      </c>
      <c r="E35" s="44">
        <v>0</v>
      </c>
      <c r="F35" s="44">
        <v>0</v>
      </c>
      <c r="G35" s="44">
        <v>0.73264200000000002</v>
      </c>
      <c r="H35" s="44">
        <v>3.6878549999999999</v>
      </c>
      <c r="I35" s="44">
        <v>-3.6370070000000001</v>
      </c>
      <c r="J35" s="44">
        <v>-1.3424999999999999E-2</v>
      </c>
      <c r="K35" s="44">
        <v>-3.5804100000000001</v>
      </c>
      <c r="L35" s="45">
        <v>25697.06</v>
      </c>
      <c r="M35" s="45">
        <v>16309.640000000005</v>
      </c>
      <c r="N35" s="45">
        <v>1.8631542526177584E-3</v>
      </c>
      <c r="O35" s="44">
        <v>18.657855999999999</v>
      </c>
      <c r="P35" s="44">
        <v>1.356779</v>
      </c>
      <c r="Q35" s="44">
        <v>0</v>
      </c>
      <c r="R35" s="44">
        <v>0</v>
      </c>
      <c r="S35" s="44">
        <v>2</v>
      </c>
    </row>
    <row r="36" spans="2:19" x14ac:dyDescent="0.3">
      <c r="B36" s="17">
        <v>25</v>
      </c>
      <c r="C36" s="20" t="s">
        <v>74</v>
      </c>
      <c r="D36" s="44">
        <v>321.416653</v>
      </c>
      <c r="E36" s="44">
        <v>0</v>
      </c>
      <c r="F36" s="44">
        <v>1.519E-2</v>
      </c>
      <c r="G36" s="44">
        <v>46.049191</v>
      </c>
      <c r="H36" s="44">
        <v>9.4631319999999999</v>
      </c>
      <c r="I36" s="44">
        <v>-8.4624210000000009</v>
      </c>
      <c r="J36" s="44">
        <v>-1.829672</v>
      </c>
      <c r="K36" s="44">
        <v>-5.7796529999999997</v>
      </c>
      <c r="L36" s="45">
        <v>274312.08999999997</v>
      </c>
      <c r="M36" s="45">
        <v>179351.52000000002</v>
      </c>
      <c r="N36" s="45">
        <v>2.5986164176575739E-2</v>
      </c>
      <c r="O36" s="44">
        <v>221.877015</v>
      </c>
      <c r="P36" s="44">
        <v>79.508067999999994</v>
      </c>
      <c r="Q36" s="44">
        <v>20.031569999999999</v>
      </c>
      <c r="R36" s="44">
        <v>0</v>
      </c>
      <c r="S36" s="44">
        <v>3</v>
      </c>
    </row>
    <row r="37" spans="2:19" x14ac:dyDescent="0.3">
      <c r="B37" s="17">
        <v>26</v>
      </c>
      <c r="C37" s="20" t="s">
        <v>75</v>
      </c>
      <c r="D37" s="44">
        <v>5.0556950000000001</v>
      </c>
      <c r="E37" s="44">
        <v>0</v>
      </c>
      <c r="F37" s="44">
        <v>0</v>
      </c>
      <c r="G37" s="44">
        <v>1.6005929999999999</v>
      </c>
      <c r="H37" s="44">
        <v>0.58731800000000001</v>
      </c>
      <c r="I37" s="44">
        <v>-0.528088</v>
      </c>
      <c r="J37" s="44">
        <v>-0.119507</v>
      </c>
      <c r="K37" s="44">
        <v>-0.38818399999999997</v>
      </c>
      <c r="L37" s="45">
        <v>3595.9399999999996</v>
      </c>
      <c r="M37" s="45">
        <v>1324.5799999999997</v>
      </c>
      <c r="N37" s="45">
        <v>4.3986153764241415E-4</v>
      </c>
      <c r="O37" s="44">
        <v>4.3632359999999997</v>
      </c>
      <c r="P37" s="44">
        <v>0.69245900000000005</v>
      </c>
      <c r="Q37" s="44">
        <v>0</v>
      </c>
      <c r="R37" s="44">
        <v>0</v>
      </c>
      <c r="S37" s="44">
        <v>3</v>
      </c>
    </row>
    <row r="38" spans="2:19" x14ac:dyDescent="0.3">
      <c r="B38" s="17">
        <v>27</v>
      </c>
      <c r="C38" s="20" t="s">
        <v>76</v>
      </c>
      <c r="D38" s="44">
        <v>21.132876</v>
      </c>
      <c r="E38" s="44">
        <v>0</v>
      </c>
      <c r="F38" s="44">
        <v>0</v>
      </c>
      <c r="G38" s="44">
        <v>4.3766920000000002</v>
      </c>
      <c r="H38" s="44">
        <v>2.007727</v>
      </c>
      <c r="I38" s="44">
        <v>-1.5468299999999999</v>
      </c>
      <c r="J38" s="44">
        <v>-0.16537499999999999</v>
      </c>
      <c r="K38" s="44">
        <v>-1.314441</v>
      </c>
      <c r="L38" s="45">
        <v>12180.18</v>
      </c>
      <c r="M38" s="45">
        <v>9803.98</v>
      </c>
      <c r="N38" s="45">
        <v>1.7865897340097095E-3</v>
      </c>
      <c r="O38" s="44">
        <v>17.854810000000001</v>
      </c>
      <c r="P38" s="44">
        <v>2.286451</v>
      </c>
      <c r="Q38" s="44">
        <v>0.99161500000000002</v>
      </c>
      <c r="R38" s="44">
        <v>0</v>
      </c>
      <c r="S38" s="44">
        <v>3</v>
      </c>
    </row>
    <row r="39" spans="2:19" x14ac:dyDescent="0.3">
      <c r="B39" s="17">
        <v>28</v>
      </c>
      <c r="C39" s="20" t="s">
        <v>77</v>
      </c>
      <c r="D39" s="44">
        <v>43.651383000000003</v>
      </c>
      <c r="E39" s="44">
        <v>0</v>
      </c>
      <c r="F39" s="44">
        <v>1.6699999999999999E-4</v>
      </c>
      <c r="G39" s="44">
        <v>8.1417730000000006</v>
      </c>
      <c r="H39" s="44">
        <v>1.702288</v>
      </c>
      <c r="I39" s="44">
        <v>-1.680739</v>
      </c>
      <c r="J39" s="44">
        <v>-0.44473200000000002</v>
      </c>
      <c r="K39" s="44">
        <v>-1.095321</v>
      </c>
      <c r="L39" s="45">
        <v>30198.159999999996</v>
      </c>
      <c r="M39" s="45">
        <v>13710.289999999992</v>
      </c>
      <c r="N39" s="45">
        <v>3.57102992221088E-3</v>
      </c>
      <c r="O39" s="44">
        <v>40.748106</v>
      </c>
      <c r="P39" s="44">
        <v>2.0749089999999999</v>
      </c>
      <c r="Q39" s="44">
        <v>0.82836799999999999</v>
      </c>
      <c r="R39" s="44">
        <v>0</v>
      </c>
      <c r="S39" s="44">
        <v>2</v>
      </c>
    </row>
    <row r="40" spans="2:19" x14ac:dyDescent="0.3">
      <c r="B40" s="17">
        <v>29</v>
      </c>
      <c r="C40" s="20" t="s">
        <v>78</v>
      </c>
      <c r="D40" s="44">
        <v>116.50789899999999</v>
      </c>
      <c r="E40" s="44">
        <v>0</v>
      </c>
      <c r="F40" s="44">
        <v>5.4392339999999999</v>
      </c>
      <c r="G40" s="44">
        <v>7.2530609999999998</v>
      </c>
      <c r="H40" s="44">
        <v>2.2749760000000001</v>
      </c>
      <c r="I40" s="44">
        <v>-2.467336</v>
      </c>
      <c r="J40" s="44">
        <v>-0.11713899999999999</v>
      </c>
      <c r="K40" s="44">
        <v>-2.0162800000000001</v>
      </c>
      <c r="L40" s="45">
        <v>187486.00000000003</v>
      </c>
      <c r="M40" s="45">
        <v>177507.08000000002</v>
      </c>
      <c r="N40" s="45">
        <v>9.3722525623248214E-3</v>
      </c>
      <c r="O40" s="44">
        <v>114.040413</v>
      </c>
      <c r="P40" s="44">
        <v>1.642676</v>
      </c>
      <c r="Q40" s="44">
        <v>0.78923200000000004</v>
      </c>
      <c r="R40" s="44">
        <v>3.5577999999999999E-2</v>
      </c>
      <c r="S40" s="44">
        <v>1</v>
      </c>
    </row>
    <row r="41" spans="2:19" x14ac:dyDescent="0.3">
      <c r="B41" s="17">
        <v>30</v>
      </c>
      <c r="C41" s="20" t="s">
        <v>79</v>
      </c>
      <c r="D41" s="44">
        <v>6.7766359999999999</v>
      </c>
      <c r="E41" s="44">
        <v>0</v>
      </c>
      <c r="F41" s="44">
        <v>0</v>
      </c>
      <c r="G41" s="44">
        <v>1.0409660000000001</v>
      </c>
      <c r="H41" s="44">
        <v>2.6493030000000002</v>
      </c>
      <c r="I41" s="44">
        <v>-2.3246410000000002</v>
      </c>
      <c r="J41" s="44">
        <v>-2.4240999999999999E-2</v>
      </c>
      <c r="K41" s="44">
        <v>-2.2835329999999998</v>
      </c>
      <c r="L41" s="45">
        <v>3188.8599999999992</v>
      </c>
      <c r="M41" s="45">
        <v>2842.8399999999992</v>
      </c>
      <c r="N41" s="45">
        <v>7.1695141968848618E-4</v>
      </c>
      <c r="O41" s="44">
        <v>6.294225</v>
      </c>
      <c r="P41" s="44">
        <v>0.48241099999999998</v>
      </c>
      <c r="Q41" s="44">
        <v>0</v>
      </c>
      <c r="R41" s="44">
        <v>0</v>
      </c>
      <c r="S41" s="44">
        <v>2</v>
      </c>
    </row>
    <row r="42" spans="2:19" x14ac:dyDescent="0.3">
      <c r="B42" s="17">
        <v>31</v>
      </c>
      <c r="C42" s="20" t="s">
        <v>80</v>
      </c>
      <c r="D42" s="44">
        <v>70.662107000000006</v>
      </c>
      <c r="E42" s="44">
        <v>0</v>
      </c>
      <c r="F42" s="44">
        <v>0</v>
      </c>
      <c r="G42" s="44">
        <v>15.191039999999999</v>
      </c>
      <c r="H42" s="44">
        <v>4.3038429999999996</v>
      </c>
      <c r="I42" s="44">
        <v>-3.7764489999999999</v>
      </c>
      <c r="J42" s="44">
        <v>-0.80986499999999995</v>
      </c>
      <c r="K42" s="44">
        <v>-2.793307</v>
      </c>
      <c r="L42" s="45">
        <v>30259.709999999995</v>
      </c>
      <c r="M42" s="45">
        <v>18691.779999999995</v>
      </c>
      <c r="N42" s="45">
        <v>5.8638839026524253E-3</v>
      </c>
      <c r="O42" s="44">
        <v>58.159143999999998</v>
      </c>
      <c r="P42" s="44">
        <v>9.6651229999999995</v>
      </c>
      <c r="Q42" s="44">
        <v>2.8378399999999999</v>
      </c>
      <c r="R42" s="44">
        <v>0</v>
      </c>
      <c r="S42" s="44">
        <v>3</v>
      </c>
    </row>
    <row r="43" spans="2:19" x14ac:dyDescent="0.3">
      <c r="B43" s="17">
        <v>32</v>
      </c>
      <c r="C43" s="20" t="s">
        <v>81</v>
      </c>
      <c r="D43" s="44">
        <v>26.211627</v>
      </c>
      <c r="E43" s="44">
        <v>0</v>
      </c>
      <c r="F43" s="44">
        <v>0</v>
      </c>
      <c r="G43" s="44">
        <v>5.0559940000000001</v>
      </c>
      <c r="H43" s="44">
        <v>1.2362629999999999</v>
      </c>
      <c r="I43" s="44">
        <v>-0.54107099999999997</v>
      </c>
      <c r="J43" s="44">
        <v>-0.24243400000000001</v>
      </c>
      <c r="K43" s="44">
        <v>-0.22908100000000001</v>
      </c>
      <c r="L43" s="45">
        <v>9504.1399999999976</v>
      </c>
      <c r="M43" s="45">
        <v>7250.3499999999985</v>
      </c>
      <c r="N43" s="45">
        <v>2.1074392665356482E-3</v>
      </c>
      <c r="O43" s="44">
        <v>22.780481999999999</v>
      </c>
      <c r="P43" s="44">
        <v>2.6439680000000001</v>
      </c>
      <c r="Q43" s="44">
        <v>0.78717700000000002</v>
      </c>
      <c r="R43" s="44">
        <v>0</v>
      </c>
      <c r="S43" s="44">
        <v>3</v>
      </c>
    </row>
    <row r="44" spans="2:19" x14ac:dyDescent="0.3">
      <c r="B44" s="17">
        <v>33</v>
      </c>
      <c r="C44" s="20" t="s">
        <v>82</v>
      </c>
      <c r="D44" s="44">
        <v>41.015697000000003</v>
      </c>
      <c r="E44" s="44">
        <v>0</v>
      </c>
      <c r="F44" s="44">
        <v>9.8160000000000001E-3</v>
      </c>
      <c r="G44" s="44">
        <v>4.1777759999999997</v>
      </c>
      <c r="H44" s="44">
        <v>0.70381700000000003</v>
      </c>
      <c r="I44" s="44">
        <v>-0.796655</v>
      </c>
      <c r="J44" s="44">
        <v>-0.18471000000000001</v>
      </c>
      <c r="K44" s="44">
        <v>-0.48248600000000003</v>
      </c>
      <c r="L44" s="45">
        <v>45928.460000000006</v>
      </c>
      <c r="M44" s="45">
        <v>21020.639999999999</v>
      </c>
      <c r="N44" s="45">
        <v>3.2937606005807715E-3</v>
      </c>
      <c r="O44" s="44">
        <v>38.235194999999997</v>
      </c>
      <c r="P44" s="44">
        <v>1.91266</v>
      </c>
      <c r="Q44" s="44">
        <v>0.867842</v>
      </c>
      <c r="R44" s="44">
        <v>0</v>
      </c>
      <c r="S44" s="44">
        <v>2</v>
      </c>
    </row>
    <row r="45" spans="2:19" x14ac:dyDescent="0.3">
      <c r="B45" s="17">
        <v>34</v>
      </c>
      <c r="C45" s="19" t="s">
        <v>83</v>
      </c>
      <c r="D45" s="44">
        <v>526.82284600000003</v>
      </c>
      <c r="E45" s="44">
        <v>69.254803999999993</v>
      </c>
      <c r="F45" s="44">
        <v>7.0674190000000001</v>
      </c>
      <c r="G45" s="44">
        <v>0.78312899999999996</v>
      </c>
      <c r="H45" s="44">
        <v>6.4569000000000001E-2</v>
      </c>
      <c r="I45" s="44">
        <v>-0.47853499999999999</v>
      </c>
      <c r="J45" s="44">
        <v>-4.9619999999999997E-2</v>
      </c>
      <c r="K45" s="44">
        <v>-5.2623999999999997E-2</v>
      </c>
      <c r="L45" s="45">
        <v>354963.30999999994</v>
      </c>
      <c r="M45" s="45">
        <v>161495.55999999997</v>
      </c>
      <c r="N45" s="45">
        <v>4.1538070551623646E-2</v>
      </c>
      <c r="O45" s="44">
        <v>337.89263999999997</v>
      </c>
      <c r="P45" s="44">
        <v>153.940819</v>
      </c>
      <c r="Q45" s="44">
        <v>34.989387000000001</v>
      </c>
      <c r="R45" s="44">
        <v>0</v>
      </c>
      <c r="S45" s="44">
        <v>4</v>
      </c>
    </row>
    <row r="46" spans="2:19" x14ac:dyDescent="0.3">
      <c r="B46" s="17">
        <v>35</v>
      </c>
      <c r="C46" s="21" t="s">
        <v>84</v>
      </c>
      <c r="D46" s="44">
        <v>526.22672</v>
      </c>
      <c r="E46" s="44">
        <v>69.254803999999993</v>
      </c>
      <c r="F46" s="44">
        <v>7.0608230000000001</v>
      </c>
      <c r="G46" s="44">
        <v>0.56329200000000001</v>
      </c>
      <c r="H46" s="44">
        <v>6.3658000000000006E-2</v>
      </c>
      <c r="I46" s="44">
        <v>-0.46038600000000002</v>
      </c>
      <c r="J46" s="44">
        <v>-3.6135E-2</v>
      </c>
      <c r="K46" s="44">
        <v>-5.1769999999999997E-2</v>
      </c>
      <c r="L46" s="45">
        <v>0</v>
      </c>
      <c r="M46" s="45">
        <v>0</v>
      </c>
      <c r="N46" s="45">
        <v>0</v>
      </c>
      <c r="O46" s="44">
        <v>337.35829699999999</v>
      </c>
      <c r="P46" s="44">
        <v>153.87903600000001</v>
      </c>
      <c r="Q46" s="44">
        <v>34.989387000000001</v>
      </c>
      <c r="R46" s="44">
        <v>0</v>
      </c>
      <c r="S46" s="44">
        <v>4</v>
      </c>
    </row>
    <row r="47" spans="2:19" x14ac:dyDescent="0.3">
      <c r="B47" s="17">
        <v>36</v>
      </c>
      <c r="C47" s="21" t="s">
        <v>85</v>
      </c>
      <c r="D47" s="44">
        <v>249.275679</v>
      </c>
      <c r="E47" s="44">
        <v>27.007176999999999</v>
      </c>
      <c r="F47" s="44">
        <v>1.4541999999999999E-2</v>
      </c>
      <c r="G47" s="44">
        <v>0.40745399999999998</v>
      </c>
      <c r="H47" s="44">
        <v>5.0759999999999998E-3</v>
      </c>
      <c r="I47" s="44">
        <v>-0.35252099999999997</v>
      </c>
      <c r="J47" s="44">
        <v>-3.3855999999999997E-2</v>
      </c>
      <c r="K47" s="44">
        <v>-3.7929999999999999E-3</v>
      </c>
      <c r="L47" s="45">
        <v>0</v>
      </c>
      <c r="M47" s="45">
        <v>0</v>
      </c>
      <c r="N47" s="45">
        <v>0</v>
      </c>
      <c r="O47" s="44">
        <v>94.896365000000003</v>
      </c>
      <c r="P47" s="44">
        <v>153.87903600000001</v>
      </c>
      <c r="Q47" s="44">
        <v>0.500278</v>
      </c>
      <c r="R47" s="44">
        <v>0</v>
      </c>
      <c r="S47" s="44">
        <v>5</v>
      </c>
    </row>
    <row r="48" spans="2:19" x14ac:dyDescent="0.3">
      <c r="B48" s="17">
        <v>37</v>
      </c>
      <c r="C48" s="21" t="s">
        <v>86</v>
      </c>
      <c r="D48" s="44">
        <v>0.28814699999999999</v>
      </c>
      <c r="E48" s="44">
        <v>0</v>
      </c>
      <c r="F48" s="44">
        <v>6.5960000000000003E-3</v>
      </c>
      <c r="G48" s="44">
        <v>0.15859999999999999</v>
      </c>
      <c r="H48" s="44">
        <v>0</v>
      </c>
      <c r="I48" s="44">
        <v>-9.9620000000000004E-3</v>
      </c>
      <c r="J48" s="44">
        <v>-9.5409999999999991E-3</v>
      </c>
      <c r="K48" s="44">
        <v>0</v>
      </c>
      <c r="L48" s="45">
        <v>0</v>
      </c>
      <c r="M48" s="45">
        <v>0</v>
      </c>
      <c r="N48" s="45">
        <v>0</v>
      </c>
      <c r="O48" s="44">
        <v>0.28814699999999999</v>
      </c>
      <c r="P48" s="44">
        <v>0</v>
      </c>
      <c r="Q48" s="44">
        <v>0</v>
      </c>
      <c r="R48" s="44">
        <v>0</v>
      </c>
      <c r="S48" s="44">
        <v>0</v>
      </c>
    </row>
    <row r="49" spans="1:20" x14ac:dyDescent="0.3">
      <c r="B49" s="17">
        <v>38</v>
      </c>
      <c r="C49" s="21" t="s">
        <v>87</v>
      </c>
      <c r="D49" s="44">
        <v>0.307979</v>
      </c>
      <c r="E49" s="44">
        <v>0</v>
      </c>
      <c r="F49" s="44">
        <v>0</v>
      </c>
      <c r="G49" s="44">
        <v>6.1237E-2</v>
      </c>
      <c r="H49" s="44">
        <v>9.1100000000000003E-4</v>
      </c>
      <c r="I49" s="44">
        <v>-8.1869999999999998E-3</v>
      </c>
      <c r="J49" s="44">
        <v>-3.9439999999999996E-3</v>
      </c>
      <c r="K49" s="44">
        <v>-8.5400000000000005E-4</v>
      </c>
      <c r="L49" s="45">
        <v>0</v>
      </c>
      <c r="M49" s="45">
        <v>0</v>
      </c>
      <c r="N49" s="45">
        <v>0</v>
      </c>
      <c r="O49" s="44">
        <v>0.246196</v>
      </c>
      <c r="P49" s="44">
        <v>6.1782999999999998E-2</v>
      </c>
      <c r="Q49" s="44">
        <v>0</v>
      </c>
      <c r="R49" s="44">
        <v>0</v>
      </c>
      <c r="S49" s="44">
        <v>3</v>
      </c>
    </row>
    <row r="50" spans="1:20" x14ac:dyDescent="0.3">
      <c r="B50" s="17">
        <v>39</v>
      </c>
      <c r="C50" s="19" t="s">
        <v>88</v>
      </c>
      <c r="D50" s="44">
        <v>33.931305999999999</v>
      </c>
      <c r="E50" s="44">
        <v>0</v>
      </c>
      <c r="F50" s="44">
        <v>6.1227999999999998E-2</v>
      </c>
      <c r="G50" s="44">
        <v>3.7084820000000001</v>
      </c>
      <c r="H50" s="44">
        <v>1.704715</v>
      </c>
      <c r="I50" s="44">
        <v>-1.434572</v>
      </c>
      <c r="J50" s="44">
        <v>-0.170381</v>
      </c>
      <c r="K50" s="44">
        <v>-1.153586</v>
      </c>
      <c r="L50" s="45">
        <v>21198.54</v>
      </c>
      <c r="M50" s="45">
        <v>9526.4700000000012</v>
      </c>
      <c r="N50" s="45">
        <v>2.7859414841733122E-3</v>
      </c>
      <c r="O50" s="44">
        <v>28.640246999999999</v>
      </c>
      <c r="P50" s="44">
        <v>4.1862139999999997</v>
      </c>
      <c r="Q50" s="44">
        <v>1.1048450000000001</v>
      </c>
      <c r="R50" s="44">
        <v>0</v>
      </c>
      <c r="S50" s="44">
        <v>3</v>
      </c>
    </row>
    <row r="51" spans="1:20" x14ac:dyDescent="0.3">
      <c r="B51" s="17">
        <v>40</v>
      </c>
      <c r="C51" s="19" t="s">
        <v>89</v>
      </c>
      <c r="D51" s="44">
        <v>1044.2532699999999</v>
      </c>
      <c r="E51" s="44">
        <v>0</v>
      </c>
      <c r="F51" s="44">
        <v>4.2638740000000004</v>
      </c>
      <c r="G51" s="44">
        <v>101.322256</v>
      </c>
      <c r="H51" s="44">
        <v>49.413445000000003</v>
      </c>
      <c r="I51" s="44">
        <v>-44.046266000000003</v>
      </c>
      <c r="J51" s="44">
        <v>-5.3415150000000002</v>
      </c>
      <c r="K51" s="44">
        <v>-36.332388999999999</v>
      </c>
      <c r="L51" s="45">
        <v>480020.47</v>
      </c>
      <c r="M51" s="45">
        <v>291273.16999999987</v>
      </c>
      <c r="N51" s="45">
        <v>8.5730607984539284E-2</v>
      </c>
      <c r="O51" s="44">
        <v>892.62267599999996</v>
      </c>
      <c r="P51" s="44">
        <v>70.041520000000006</v>
      </c>
      <c r="Q51" s="44">
        <v>81.589073999999997</v>
      </c>
      <c r="R51" s="44">
        <v>0</v>
      </c>
      <c r="S51" s="44">
        <v>3</v>
      </c>
    </row>
    <row r="52" spans="1:20" x14ac:dyDescent="0.3">
      <c r="B52" s="17">
        <v>41</v>
      </c>
      <c r="C52" s="21" t="s">
        <v>90</v>
      </c>
      <c r="D52" s="44">
        <v>723.33126000000004</v>
      </c>
      <c r="E52" s="44">
        <v>0</v>
      </c>
      <c r="F52" s="44">
        <v>3.0841029999999998</v>
      </c>
      <c r="G52" s="44">
        <v>57.181136000000002</v>
      </c>
      <c r="H52" s="44">
        <v>41.335608999999998</v>
      </c>
      <c r="I52" s="44">
        <v>-35.482049000000004</v>
      </c>
      <c r="J52" s="44">
        <v>-3.3240560000000001</v>
      </c>
      <c r="K52" s="44">
        <v>-30.729696000000001</v>
      </c>
      <c r="L52" s="45">
        <v>261820.78</v>
      </c>
      <c r="M52" s="45">
        <v>146385.87</v>
      </c>
      <c r="N52" s="45">
        <v>5.9775390413567032E-2</v>
      </c>
      <c r="O52" s="44">
        <v>620.04173400000002</v>
      </c>
      <c r="P52" s="44">
        <v>58.878301999999998</v>
      </c>
      <c r="Q52" s="44">
        <v>44.411223999999997</v>
      </c>
      <c r="R52" s="44">
        <v>0</v>
      </c>
      <c r="S52" s="44">
        <v>3</v>
      </c>
    </row>
    <row r="53" spans="1:20" x14ac:dyDescent="0.3">
      <c r="B53" s="17">
        <v>42</v>
      </c>
      <c r="C53" s="21" t="s">
        <v>91</v>
      </c>
      <c r="D53" s="44">
        <v>165.331918</v>
      </c>
      <c r="E53" s="44">
        <v>0</v>
      </c>
      <c r="F53" s="44">
        <v>0.64942900000000003</v>
      </c>
      <c r="G53" s="44">
        <v>15.194557</v>
      </c>
      <c r="H53" s="44">
        <v>1.298468</v>
      </c>
      <c r="I53" s="44">
        <v>-1.7409479999999999</v>
      </c>
      <c r="J53" s="44">
        <v>-0.410827</v>
      </c>
      <c r="K53" s="44">
        <v>-0.989838</v>
      </c>
      <c r="L53" s="45">
        <v>63774.280000000013</v>
      </c>
      <c r="M53" s="45">
        <v>49455.680000000015</v>
      </c>
      <c r="N53" s="45">
        <v>1.3161134293724674E-2</v>
      </c>
      <c r="O53" s="44">
        <v>129.46772799999999</v>
      </c>
      <c r="P53" s="44">
        <v>2.381815</v>
      </c>
      <c r="Q53" s="44">
        <v>33.482374999999998</v>
      </c>
      <c r="R53" s="44">
        <v>0</v>
      </c>
      <c r="S53" s="44">
        <v>3</v>
      </c>
    </row>
    <row r="54" spans="1:20" x14ac:dyDescent="0.3">
      <c r="B54" s="17">
        <v>43</v>
      </c>
      <c r="C54" s="21" t="s">
        <v>92</v>
      </c>
      <c r="D54" s="44">
        <v>155.590092</v>
      </c>
      <c r="E54" s="44">
        <v>0</v>
      </c>
      <c r="F54" s="44">
        <v>0.53034199999999998</v>
      </c>
      <c r="G54" s="44">
        <v>28.946563000000001</v>
      </c>
      <c r="H54" s="44">
        <v>6.7793679999999998</v>
      </c>
      <c r="I54" s="44">
        <v>-6.8232689999999998</v>
      </c>
      <c r="J54" s="44">
        <v>-1.6066320000000001</v>
      </c>
      <c r="K54" s="44">
        <v>-4.6128549999999997</v>
      </c>
      <c r="L54" s="45">
        <v>154425.40999999997</v>
      </c>
      <c r="M54" s="45">
        <v>95431.62000000001</v>
      </c>
      <c r="N54" s="45">
        <v>1.2794083277247495E-2</v>
      </c>
      <c r="O54" s="44">
        <v>143.113214</v>
      </c>
      <c r="P54" s="44">
        <v>8.7814029999999992</v>
      </c>
      <c r="Q54" s="44">
        <v>3.6954750000000001</v>
      </c>
      <c r="R54" s="44">
        <v>0</v>
      </c>
      <c r="S54" s="44">
        <v>2</v>
      </c>
    </row>
    <row r="55" spans="1:20" x14ac:dyDescent="0.3">
      <c r="B55" s="17">
        <v>44</v>
      </c>
      <c r="C55" s="19" t="s">
        <v>93</v>
      </c>
      <c r="D55" s="44">
        <v>2070.2229309999998</v>
      </c>
      <c r="E55" s="44">
        <v>7.2740000000000001E-3</v>
      </c>
      <c r="F55" s="44">
        <v>13.805040999999999</v>
      </c>
      <c r="G55" s="44">
        <v>248.74798699999999</v>
      </c>
      <c r="H55" s="44">
        <v>74.179074</v>
      </c>
      <c r="I55" s="44">
        <v>-66.522363999999996</v>
      </c>
      <c r="J55" s="44">
        <v>-13.900444999999999</v>
      </c>
      <c r="K55" s="44">
        <v>-47.233279000000003</v>
      </c>
      <c r="L55" s="45">
        <v>1912414.290000004</v>
      </c>
      <c r="M55" s="45">
        <v>1301200.9000000027</v>
      </c>
      <c r="N55" s="45">
        <v>0.1683217224032873</v>
      </c>
      <c r="O55" s="44">
        <v>1897.988713</v>
      </c>
      <c r="P55" s="44">
        <v>133.21461600000001</v>
      </c>
      <c r="Q55" s="44">
        <v>38.591329999999999</v>
      </c>
      <c r="R55" s="44">
        <v>0.42827199999999999</v>
      </c>
      <c r="S55" s="44">
        <v>2</v>
      </c>
    </row>
    <row r="56" spans="1:20" x14ac:dyDescent="0.3">
      <c r="B56" s="17">
        <v>45</v>
      </c>
      <c r="C56" s="19" t="s">
        <v>94</v>
      </c>
      <c r="D56" s="44">
        <v>721.84642099999996</v>
      </c>
      <c r="E56" s="44">
        <v>8.1853999999999996E-2</v>
      </c>
      <c r="F56" s="44">
        <v>0.35062100000000002</v>
      </c>
      <c r="G56" s="44">
        <v>55.729740999999997</v>
      </c>
      <c r="H56" s="44">
        <v>49.663077000000001</v>
      </c>
      <c r="I56" s="44">
        <v>-35.367254000000003</v>
      </c>
      <c r="J56" s="44">
        <v>-3.7920219999999998</v>
      </c>
      <c r="K56" s="44">
        <v>-30.015747999999999</v>
      </c>
      <c r="L56" s="45">
        <v>859891.96999999974</v>
      </c>
      <c r="M56" s="45">
        <v>493672.2</v>
      </c>
      <c r="N56" s="45">
        <v>5.9649369210990469E-2</v>
      </c>
      <c r="O56" s="44">
        <v>576.69857400000001</v>
      </c>
      <c r="P56" s="44">
        <v>102.230434</v>
      </c>
      <c r="Q56" s="44">
        <v>42.917413000000003</v>
      </c>
      <c r="R56" s="44">
        <v>0</v>
      </c>
      <c r="S56" s="44">
        <v>3</v>
      </c>
    </row>
    <row r="57" spans="1:20" x14ac:dyDescent="0.3">
      <c r="B57" s="17">
        <v>46</v>
      </c>
      <c r="C57" s="21" t="s">
        <v>95</v>
      </c>
      <c r="D57" s="44">
        <v>313.720887</v>
      </c>
      <c r="E57" s="44">
        <v>0</v>
      </c>
      <c r="F57" s="44">
        <v>6.0714999999999998E-2</v>
      </c>
      <c r="G57" s="44">
        <v>45.530616999999999</v>
      </c>
      <c r="H57" s="44">
        <v>11.365897</v>
      </c>
      <c r="I57" s="44">
        <v>-11.133062000000001</v>
      </c>
      <c r="J57" s="44">
        <v>-2.5553889999999999</v>
      </c>
      <c r="K57" s="44">
        <v>-7.5581940000000003</v>
      </c>
      <c r="L57" s="45">
        <v>199816.56000000006</v>
      </c>
      <c r="M57" s="45">
        <v>106021.44000000002</v>
      </c>
      <c r="N57" s="45">
        <v>2.5590310658539072E-2</v>
      </c>
      <c r="O57" s="44">
        <v>291.37410499999999</v>
      </c>
      <c r="P57" s="44">
        <v>20.289912999999999</v>
      </c>
      <c r="Q57" s="44">
        <v>2.0568689999999998</v>
      </c>
      <c r="R57" s="44">
        <v>0</v>
      </c>
      <c r="S57" s="44">
        <v>2</v>
      </c>
    </row>
    <row r="58" spans="1:20" x14ac:dyDescent="0.3">
      <c r="B58" s="17">
        <v>47</v>
      </c>
      <c r="C58" s="21" t="s">
        <v>96</v>
      </c>
      <c r="D58" s="44">
        <v>3.3902410000000001</v>
      </c>
      <c r="E58" s="44">
        <v>0</v>
      </c>
      <c r="F58" s="44">
        <v>0</v>
      </c>
      <c r="G58" s="44">
        <v>0.176204</v>
      </c>
      <c r="H58" s="44">
        <v>2.1101000000000002E-2</v>
      </c>
      <c r="I58" s="44">
        <v>-2.9877999999999998E-2</v>
      </c>
      <c r="J58" s="44">
        <v>-8.6759999999999997E-3</v>
      </c>
      <c r="K58" s="44">
        <v>-1.6098999999999999E-2</v>
      </c>
      <c r="L58" s="45">
        <v>4471.42</v>
      </c>
      <c r="M58" s="45">
        <v>1457.15</v>
      </c>
      <c r="N58" s="45">
        <v>2.6941923842902811E-4</v>
      </c>
      <c r="O58" s="44">
        <v>3.239989</v>
      </c>
      <c r="P58" s="44">
        <v>0</v>
      </c>
      <c r="Q58" s="44">
        <v>0.150252</v>
      </c>
      <c r="R58" s="44">
        <v>0</v>
      </c>
      <c r="S58" s="44">
        <v>3</v>
      </c>
    </row>
    <row r="59" spans="1:20" x14ac:dyDescent="0.3">
      <c r="B59" s="17">
        <v>48</v>
      </c>
      <c r="C59" s="21" t="s">
        <v>97</v>
      </c>
      <c r="D59" s="44">
        <v>13.993456999999999</v>
      </c>
      <c r="E59" s="44">
        <v>0</v>
      </c>
      <c r="F59" s="44">
        <v>0</v>
      </c>
      <c r="G59" s="44">
        <v>9.8700000000000003E-4</v>
      </c>
      <c r="H59" s="44">
        <v>13.975781</v>
      </c>
      <c r="I59" s="44">
        <v>-9.0795410000000007</v>
      </c>
      <c r="J59" s="44">
        <v>-3.9399999999999998E-4</v>
      </c>
      <c r="K59" s="44">
        <v>-9.0791409999999999</v>
      </c>
      <c r="L59" s="45">
        <v>7302.83</v>
      </c>
      <c r="M59" s="45">
        <v>4327.58</v>
      </c>
      <c r="N59" s="45">
        <v>1.817571223466213E-3</v>
      </c>
      <c r="O59" s="44">
        <v>2.7880980000000002</v>
      </c>
      <c r="P59" s="44">
        <v>11.205359</v>
      </c>
      <c r="Q59" s="44">
        <v>0</v>
      </c>
      <c r="R59" s="44">
        <v>0</v>
      </c>
      <c r="S59" s="44">
        <v>5</v>
      </c>
    </row>
    <row r="60" spans="1:20" x14ac:dyDescent="0.3">
      <c r="B60" s="17">
        <v>49</v>
      </c>
      <c r="C60" s="21" t="s">
        <v>98</v>
      </c>
      <c r="D60" s="44">
        <v>388.31571000000002</v>
      </c>
      <c r="E60" s="44">
        <v>8.1853999999999996E-2</v>
      </c>
      <c r="F60" s="44">
        <v>0.289906</v>
      </c>
      <c r="G60" s="44">
        <v>9.366142</v>
      </c>
      <c r="H60" s="44">
        <v>23.637136999999999</v>
      </c>
      <c r="I60" s="44">
        <v>-14.67357</v>
      </c>
      <c r="J60" s="44">
        <v>-1.183673</v>
      </c>
      <c r="K60" s="44">
        <v>-12.960718</v>
      </c>
      <c r="L60" s="45">
        <v>645809.92000000016</v>
      </c>
      <c r="M60" s="45">
        <v>381503.77000000014</v>
      </c>
      <c r="N60" s="45">
        <v>3.1745407107658677E-2</v>
      </c>
      <c r="O60" s="44">
        <v>276.87025599999998</v>
      </c>
      <c r="P60" s="44">
        <v>70.735162000000003</v>
      </c>
      <c r="Q60" s="44">
        <v>40.710292000000003</v>
      </c>
      <c r="R60" s="44">
        <v>0</v>
      </c>
      <c r="S60" s="44">
        <v>3</v>
      </c>
    </row>
    <row r="61" spans="1:20" x14ac:dyDescent="0.3">
      <c r="B61" s="17">
        <v>50</v>
      </c>
      <c r="C61" s="21" t="s">
        <v>99</v>
      </c>
      <c r="D61" s="44">
        <v>2.426126</v>
      </c>
      <c r="E61" s="44">
        <v>0</v>
      </c>
      <c r="F61" s="44">
        <v>0</v>
      </c>
      <c r="G61" s="44">
        <v>0.65579100000000001</v>
      </c>
      <c r="H61" s="44">
        <v>0.663161</v>
      </c>
      <c r="I61" s="44">
        <v>-0.45120300000000002</v>
      </c>
      <c r="J61" s="44">
        <v>-4.3889999999999998E-2</v>
      </c>
      <c r="K61" s="44">
        <v>-0.40159600000000001</v>
      </c>
      <c r="L61" s="45">
        <v>2491.2399999999993</v>
      </c>
      <c r="M61" s="45">
        <v>362.26000000000005</v>
      </c>
      <c r="N61" s="45">
        <v>2.2666098289755377E-4</v>
      </c>
      <c r="O61" s="44">
        <v>2.426126</v>
      </c>
      <c r="P61" s="44">
        <v>0</v>
      </c>
      <c r="Q61" s="44">
        <v>0</v>
      </c>
      <c r="R61" s="44">
        <v>0</v>
      </c>
      <c r="S61" s="44">
        <v>2</v>
      </c>
    </row>
    <row r="62" spans="1:20" x14ac:dyDescent="0.3">
      <c r="A62" s="30"/>
      <c r="B62" s="17">
        <v>51</v>
      </c>
      <c r="C62" s="22" t="s">
        <v>100</v>
      </c>
      <c r="D62" s="44">
        <v>1192.716831</v>
      </c>
      <c r="E62" s="44">
        <v>0</v>
      </c>
      <c r="F62" s="44">
        <v>2.0368000000000001E-2</v>
      </c>
      <c r="G62" s="44">
        <v>96.265878999999998</v>
      </c>
      <c r="H62" s="44">
        <v>98.141729999999995</v>
      </c>
      <c r="I62" s="44">
        <v>-73.927830999999998</v>
      </c>
      <c r="J62" s="44">
        <v>-5.5501139999999998</v>
      </c>
      <c r="K62" s="44">
        <v>-65.871491000000006</v>
      </c>
      <c r="L62" s="45">
        <v>142722.55999999994</v>
      </c>
      <c r="M62" s="45">
        <v>82022.140000000014</v>
      </c>
      <c r="N62" s="45">
        <v>9.9779708126857949E-2</v>
      </c>
      <c r="O62" s="44">
        <v>532.12911199999996</v>
      </c>
      <c r="P62" s="44">
        <v>241.855166</v>
      </c>
      <c r="Q62" s="44">
        <v>354.941823</v>
      </c>
      <c r="R62" s="44">
        <v>63.790730000000003</v>
      </c>
      <c r="S62" s="44">
        <v>8</v>
      </c>
      <c r="T62" s="30"/>
    </row>
    <row r="63" spans="1:20" x14ac:dyDescent="0.3">
      <c r="A63" s="31"/>
      <c r="B63" s="17">
        <v>52</v>
      </c>
      <c r="C63" s="19" t="s">
        <v>101</v>
      </c>
      <c r="D63" s="44">
        <v>1116.2909</v>
      </c>
      <c r="E63" s="44">
        <v>0</v>
      </c>
      <c r="F63" s="44">
        <v>0</v>
      </c>
      <c r="G63" s="44">
        <v>124.147603</v>
      </c>
      <c r="H63" s="44">
        <v>47.495787</v>
      </c>
      <c r="I63" s="44">
        <v>-40.371695000000003</v>
      </c>
      <c r="J63" s="44">
        <v>-5.0594760000000001</v>
      </c>
      <c r="K63" s="44">
        <v>-33.610795000000003</v>
      </c>
      <c r="L63" s="45">
        <v>168968.19999999995</v>
      </c>
      <c r="M63" s="45">
        <v>11489.280000000004</v>
      </c>
      <c r="N63" s="45">
        <v>9.1115911394160254E-2</v>
      </c>
      <c r="O63" s="44">
        <v>582.81310099999996</v>
      </c>
      <c r="P63" s="44">
        <v>326.17733700000002</v>
      </c>
      <c r="Q63" s="44">
        <v>207.169286</v>
      </c>
      <c r="R63" s="44">
        <v>0.13117599999999999</v>
      </c>
      <c r="S63" s="44">
        <v>6</v>
      </c>
    </row>
    <row r="64" spans="1:20" x14ac:dyDescent="0.3">
      <c r="A64" s="31"/>
      <c r="B64" s="17">
        <v>53</v>
      </c>
      <c r="C64" s="23" t="s">
        <v>142</v>
      </c>
      <c r="D64" s="44">
        <v>3011.4488839999999</v>
      </c>
      <c r="E64" s="44">
        <v>355.08484199999998</v>
      </c>
      <c r="F64" s="44">
        <v>167.40093300000001</v>
      </c>
      <c r="G64" s="44">
        <v>192.80580900000001</v>
      </c>
      <c r="H64" s="44">
        <v>51.284821999999998</v>
      </c>
      <c r="I64" s="44">
        <v>-61.528953000000001</v>
      </c>
      <c r="J64" s="44">
        <v>-20.412012000000001</v>
      </c>
      <c r="K64" s="44">
        <v>-33.401679000000001</v>
      </c>
      <c r="L64" s="45">
        <v>2685956.1500000004</v>
      </c>
      <c r="M64" s="45">
        <v>2142111.2800000003</v>
      </c>
      <c r="N64" s="45">
        <v>0.24207327337570814</v>
      </c>
      <c r="O64" s="44">
        <v>2322.5084419999998</v>
      </c>
      <c r="P64" s="44">
        <v>370.656183</v>
      </c>
      <c r="Q64" s="44">
        <v>341.76261099999999</v>
      </c>
      <c r="R64" s="44">
        <v>-23.478352000000001</v>
      </c>
      <c r="S64" s="44">
        <v>3</v>
      </c>
      <c r="T64" s="30"/>
    </row>
    <row r="65" spans="1:20" x14ac:dyDescent="0.3">
      <c r="A65" s="30"/>
      <c r="B65" s="17">
        <v>54</v>
      </c>
      <c r="C65" s="22" t="s">
        <v>102</v>
      </c>
      <c r="D65" s="44">
        <v>4.1165900000000004</v>
      </c>
      <c r="E65" s="44">
        <v>0</v>
      </c>
      <c r="F65" s="44">
        <v>3.2170999999999998E-2</v>
      </c>
      <c r="G65" s="44">
        <v>0.74523399999999995</v>
      </c>
      <c r="H65" s="44">
        <v>4.9535999999999997E-2</v>
      </c>
      <c r="I65" s="44">
        <v>-0.43586399999999997</v>
      </c>
      <c r="J65" s="44">
        <v>-5.9659999999999998E-2</v>
      </c>
      <c r="K65" s="44">
        <v>-3.295E-2</v>
      </c>
      <c r="L65" s="45">
        <v>5456.0399999999991</v>
      </c>
      <c r="M65" s="45">
        <v>628.34999999999991</v>
      </c>
      <c r="N65" s="45">
        <v>3.5861851086622595E-4</v>
      </c>
      <c r="O65" s="44">
        <v>1.789283</v>
      </c>
      <c r="P65" s="44">
        <v>0.336785</v>
      </c>
      <c r="Q65" s="44">
        <v>0.31840499999999999</v>
      </c>
      <c r="R65" s="44">
        <v>1.6721170000000001</v>
      </c>
      <c r="S65" s="44">
        <v>3</v>
      </c>
      <c r="T65" s="30"/>
    </row>
    <row r="66" spans="1:20" x14ac:dyDescent="0.3">
      <c r="A66" s="30"/>
      <c r="B66" s="17">
        <v>55</v>
      </c>
      <c r="C66" s="24" t="s">
        <v>103</v>
      </c>
      <c r="D66" s="44">
        <v>3007.3322939999998</v>
      </c>
      <c r="E66" s="44">
        <v>355.08484199999998</v>
      </c>
      <c r="F66" s="44">
        <v>167.368762</v>
      </c>
      <c r="G66" s="44">
        <v>192.060575</v>
      </c>
      <c r="H66" s="44">
        <v>51.235286000000002</v>
      </c>
      <c r="I66" s="44">
        <v>-61.093088999999999</v>
      </c>
      <c r="J66" s="44">
        <v>-20.352352</v>
      </c>
      <c r="K66" s="44">
        <v>-33.368729000000002</v>
      </c>
      <c r="L66" s="45">
        <v>2680500.1100000003</v>
      </c>
      <c r="M66" s="45">
        <v>2141482.9300000002</v>
      </c>
      <c r="N66" s="45">
        <v>0.24171465486484192</v>
      </c>
      <c r="O66" s="44">
        <v>2320.7191590000002</v>
      </c>
      <c r="P66" s="44">
        <v>370.31939799999998</v>
      </c>
      <c r="Q66" s="44">
        <v>341.44420600000001</v>
      </c>
      <c r="R66" s="44">
        <v>-25.150469000000001</v>
      </c>
      <c r="S66" s="44">
        <v>3</v>
      </c>
      <c r="T66" s="30"/>
    </row>
    <row r="67" spans="1:20" x14ac:dyDescent="0.3">
      <c r="B67" s="17">
        <v>56</v>
      </c>
      <c r="C67" s="25" t="s">
        <v>104</v>
      </c>
      <c r="D67" s="44">
        <v>12289.409627000001</v>
      </c>
      <c r="E67" s="44">
        <v>424.49716899999999</v>
      </c>
      <c r="F67" s="44">
        <v>202.04889299999999</v>
      </c>
      <c r="G67" s="44">
        <v>1100.67985</v>
      </c>
      <c r="H67" s="44">
        <v>476.88427999999999</v>
      </c>
      <c r="I67" s="44">
        <v>-404.57941299999999</v>
      </c>
      <c r="J67" s="44">
        <v>-68.470967000000002</v>
      </c>
      <c r="K67" s="44">
        <v>-307.78318400000001</v>
      </c>
      <c r="L67" s="45">
        <v>9197199.0500000045</v>
      </c>
      <c r="M67" s="45">
        <v>5929606.2600000026</v>
      </c>
      <c r="N67" s="45">
        <v>0.99996672555123267</v>
      </c>
      <c r="O67" s="44">
        <v>9328.0988660000003</v>
      </c>
      <c r="P67" s="44">
        <v>1701.106464</v>
      </c>
      <c r="Q67" s="44">
        <v>1219.296893</v>
      </c>
      <c r="R67" s="44">
        <v>40.907404</v>
      </c>
      <c r="S67" s="44">
        <v>4</v>
      </c>
    </row>
    <row r="68" spans="1:20" x14ac:dyDescent="0.3">
      <c r="C68" s="26" t="s">
        <v>143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138B4B-7D02-4579-AA37-830835749C06}">
  <ds:schemaRefs>
    <ds:schemaRef ds:uri="http://schemas.microsoft.com/office/infopath/2007/PartnerControls"/>
    <ds:schemaRef ds:uri="572bdb13-c576-4166-8827-65186753b8b5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C25C23D-5ED2-455C-BF7E-D6098F1962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2025-07-31T10:57:11Z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