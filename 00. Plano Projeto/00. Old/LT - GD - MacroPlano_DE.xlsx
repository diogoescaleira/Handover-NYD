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0. Plano Projeto/00. Old/"/>
    </mc:Choice>
  </mc:AlternateContent>
  <xr:revisionPtr revIDLastSave="4597" documentId="8_{00F3143F-2427-46B8-8F6E-270929B4A6A6}" xr6:coauthVersionLast="47" xr6:coauthVersionMax="47" xr10:uidLastSave="{3C030BE8-9533-449C-ACAC-F0B8B590EDAA}"/>
  <bookViews>
    <workbookView xWindow="-110" yWindow="-110" windowWidth="19420" windowHeight="10420" tabRatio="839" firstSheet="3" activeTab="3" xr2:uid="{627A4034-705C-4DFF-80ED-F6A7EEC89BD4}"/>
  </bookViews>
  <sheets>
    <sheet name="PlanoV1.0" sheetId="11" state="hidden" r:id="rId1"/>
    <sheet name="Sheet1" sheetId="12" state="hidden" r:id="rId2"/>
    <sheet name="RESUMO" sheetId="8" state="hidden" r:id="rId3"/>
    <sheet name="Plano SCA" sheetId="13" r:id="rId4"/>
    <sheet name="LISTA - Abril2024" sheetId="3" state="hidden" r:id="rId5"/>
    <sheet name="LISTA - Atual" sheetId="1" state="hidden" r:id="rId6"/>
    <sheet name="Aux DE" sheetId="15" r:id="rId7"/>
    <sheet name="Auxiliar" sheetId="10" r:id="rId8"/>
    <sheet name="Lista - Âmbito Projeto GD" sheetId="4" r:id="rId9"/>
    <sheet name="Campos Resumo Prop2.0" sheetId="14" state="hidden" r:id="rId10"/>
    <sheet name="DataLake" sheetId="5" state="hidden" r:id="rId11"/>
  </sheets>
  <externalReferences>
    <externalReference r:id="rId12"/>
  </externalReferences>
  <definedNames>
    <definedName name="_xlnm._FilterDatabase" localSheetId="6" hidden="1">'Aux DE'!$B$4:$T$72</definedName>
    <definedName name="_xlnm._FilterDatabase" localSheetId="9" hidden="1">'Campos Resumo Prop2.0'!$B$2:$G$2</definedName>
    <definedName name="_xlnm._FilterDatabase" localSheetId="10" hidden="1">DataLake!$A$3:$D$429</definedName>
    <definedName name="_xlnm._FilterDatabase" localSheetId="4" hidden="1">'LISTA - Abril2024'!$A$1:$J$478</definedName>
    <definedName name="_xlnm._FilterDatabase" localSheetId="8" hidden="1">'Lista - Âmbito Projeto GD'!$A$3:$AK$71</definedName>
    <definedName name="_xlnm._FilterDatabase" localSheetId="5" hidden="1">'LISTA - Atual'!$A$1:$U$444</definedName>
    <definedName name="_xlnm._FilterDatabase" localSheetId="0" hidden="1">PlanoV1.0!$B$8:$D$37</definedName>
    <definedName name="_xlcn.WorksheetConnection_LISTASetembro2024A3Z5391" hidden="1">'Lista - Âmbito Projeto GD'!$A$3:$Z$71</definedName>
    <definedName name="asefadf" localSheetId="9">#REF!</definedName>
    <definedName name="asefadf" localSheetId="4">#REF!</definedName>
    <definedName name="asefadf" localSheetId="8">#REF!</definedName>
    <definedName name="asefadf" localSheetId="0">#REF!</definedName>
    <definedName name="asefadf">#REF!</definedName>
    <definedName name="bn" localSheetId="4">#REF!</definedName>
    <definedName name="bn">#REF!</definedName>
  </definedNames>
  <calcPr calcId="191029"/>
  <pivotCaches>
    <pivotCache cacheId="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LISTA - Setembro2024!$A$3:$Z$53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3" l="1"/>
  <c r="BB3" i="13"/>
  <c r="BB2" i="13" s="1"/>
  <c r="G101" i="13"/>
  <c r="H53" i="13"/>
  <c r="I53" i="13" s="1"/>
  <c r="B99" i="13"/>
  <c r="F99" i="13" s="1"/>
  <c r="B98" i="13"/>
  <c r="G98" i="13" s="1"/>
  <c r="B97" i="13"/>
  <c r="F97" i="13" s="1"/>
  <c r="B96" i="13"/>
  <c r="F96" i="13" s="1"/>
  <c r="B95" i="13"/>
  <c r="G95" i="13" s="1"/>
  <c r="B94" i="13"/>
  <c r="G94" i="13" s="1"/>
  <c r="B93" i="13"/>
  <c r="G93" i="13" s="1"/>
  <c r="B92" i="13"/>
  <c r="G92" i="13" s="1"/>
  <c r="B91" i="13"/>
  <c r="F91" i="13" s="1"/>
  <c r="B90" i="13"/>
  <c r="G90" i="13" s="1"/>
  <c r="B89" i="13"/>
  <c r="G89" i="13" s="1"/>
  <c r="B88" i="13"/>
  <c r="G88" i="13" s="1"/>
  <c r="B87" i="13"/>
  <c r="G87" i="13" s="1"/>
  <c r="B86" i="13"/>
  <c r="G86" i="13" s="1"/>
  <c r="B85" i="13"/>
  <c r="F85" i="13" s="1"/>
  <c r="B84" i="13"/>
  <c r="F84" i="13" s="1"/>
  <c r="B83" i="13"/>
  <c r="G83" i="13" s="1"/>
  <c r="B82" i="13"/>
  <c r="G82" i="13" s="1"/>
  <c r="B81" i="13"/>
  <c r="F81" i="13" s="1"/>
  <c r="B80" i="13"/>
  <c r="F80" i="13" s="1"/>
  <c r="B79" i="13"/>
  <c r="G79" i="13" s="1"/>
  <c r="B78" i="13"/>
  <c r="G78" i="13" s="1"/>
  <c r="B77" i="13"/>
  <c r="G77" i="13" s="1"/>
  <c r="B76" i="13"/>
  <c r="G76" i="13" s="1"/>
  <c r="B75" i="13"/>
  <c r="F75" i="13" s="1"/>
  <c r="B74" i="13"/>
  <c r="G74" i="13" s="1"/>
  <c r="B73" i="13"/>
  <c r="G73" i="13" s="1"/>
  <c r="B72" i="13"/>
  <c r="G72" i="13" s="1"/>
  <c r="B71" i="13"/>
  <c r="G71" i="13" s="1"/>
  <c r="B70" i="13"/>
  <c r="G70" i="13" s="1"/>
  <c r="B69" i="13"/>
  <c r="F69" i="13" s="1"/>
  <c r="B68" i="13"/>
  <c r="F68" i="13" s="1"/>
  <c r="B67" i="13"/>
  <c r="F67" i="13" s="1"/>
  <c r="B66" i="13"/>
  <c r="G66" i="13" s="1"/>
  <c r="B65" i="13"/>
  <c r="F65" i="13" s="1"/>
  <c r="B64" i="13"/>
  <c r="F64" i="13" s="1"/>
  <c r="B63" i="13"/>
  <c r="G63" i="13" s="1"/>
  <c r="B62" i="13"/>
  <c r="G62" i="13" s="1"/>
  <c r="B61" i="13"/>
  <c r="G61" i="13" s="1"/>
  <c r="B60" i="13"/>
  <c r="G60" i="13" s="1"/>
  <c r="B59" i="13"/>
  <c r="F59" i="13" s="1"/>
  <c r="B58" i="13"/>
  <c r="G58" i="13" s="1"/>
  <c r="B57" i="13"/>
  <c r="G57" i="13" s="1"/>
  <c r="B56" i="13"/>
  <c r="G56" i="13" s="1"/>
  <c r="B55" i="13"/>
  <c r="G55" i="13" s="1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F54" i="13"/>
  <c r="F37" i="13"/>
  <c r="B51" i="13"/>
  <c r="G51" i="13" s="1"/>
  <c r="B50" i="13"/>
  <c r="G50" i="13" s="1"/>
  <c r="B49" i="13"/>
  <c r="G49" i="13" s="1"/>
  <c r="B48" i="13"/>
  <c r="G48" i="13" s="1"/>
  <c r="B47" i="13"/>
  <c r="G47" i="13" s="1"/>
  <c r="B46" i="13"/>
  <c r="G46" i="13" s="1"/>
  <c r="B45" i="13"/>
  <c r="G45" i="13" s="1"/>
  <c r="B44" i="13"/>
  <c r="G44" i="13" s="1"/>
  <c r="B43" i="13"/>
  <c r="G43" i="13" s="1"/>
  <c r="B42" i="13"/>
  <c r="G42" i="13" s="1"/>
  <c r="B41" i="13"/>
  <c r="G41" i="13" s="1"/>
  <c r="B40" i="13"/>
  <c r="G40" i="13" s="1"/>
  <c r="B39" i="13"/>
  <c r="G39" i="13" s="1"/>
  <c r="B38" i="13"/>
  <c r="G38" i="13" s="1"/>
  <c r="B36" i="13"/>
  <c r="G36" i="13" s="1"/>
  <c r="B35" i="13"/>
  <c r="G35" i="13" s="1"/>
  <c r="B34" i="13"/>
  <c r="G34" i="13" s="1"/>
  <c r="B33" i="13"/>
  <c r="G33" i="13" s="1"/>
  <c r="B32" i="13"/>
  <c r="G32" i="13" s="1"/>
  <c r="B31" i="13"/>
  <c r="G31" i="13" s="1"/>
  <c r="B30" i="13"/>
  <c r="G30" i="13" s="1"/>
  <c r="B29" i="13"/>
  <c r="G29" i="13" s="1"/>
  <c r="B28" i="13"/>
  <c r="G28" i="13" s="1"/>
  <c r="B27" i="13"/>
  <c r="G27" i="13" s="1"/>
  <c r="B26" i="13"/>
  <c r="G26" i="13" s="1"/>
  <c r="B25" i="13"/>
  <c r="G25" i="13" s="1"/>
  <c r="B24" i="13"/>
  <c r="G24" i="13" s="1"/>
  <c r="B23" i="13"/>
  <c r="G23" i="13" s="1"/>
  <c r="B22" i="13"/>
  <c r="G22" i="13" s="1"/>
  <c r="B21" i="13"/>
  <c r="G21" i="13" s="1"/>
  <c r="B20" i="13"/>
  <c r="G20" i="13" s="1"/>
  <c r="B19" i="13"/>
  <c r="G19" i="13" s="1"/>
  <c r="B18" i="13"/>
  <c r="G18" i="13" s="1"/>
  <c r="B17" i="13"/>
  <c r="G17" i="13" s="1"/>
  <c r="B16" i="13"/>
  <c r="G16" i="13" s="1"/>
  <c r="B15" i="13"/>
  <c r="G15" i="13" s="1"/>
  <c r="B14" i="13"/>
  <c r="G14" i="13" s="1"/>
  <c r="O3" i="15"/>
  <c r="I3" i="15"/>
  <c r="H3" i="15"/>
  <c r="F13" i="13"/>
  <c r="G12" i="13"/>
  <c r="H12" i="13" s="1"/>
  <c r="I12" i="13" s="1"/>
  <c r="J3" i="13"/>
  <c r="J2" i="13" s="1"/>
  <c r="G11" i="13"/>
  <c r="H11" i="13" s="1"/>
  <c r="J1" i="13"/>
  <c r="K7" i="13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AH7" i="13" s="1"/>
  <c r="AI7" i="13" s="1"/>
  <c r="AJ7" i="13" s="1"/>
  <c r="AK7" i="13" s="1"/>
  <c r="AL7" i="13" s="1"/>
  <c r="AM7" i="13" s="1"/>
  <c r="AN7" i="13" s="1"/>
  <c r="AO7" i="13" s="1"/>
  <c r="AP7" i="13" s="1"/>
  <c r="AQ7" i="13" s="1"/>
  <c r="AR7" i="13" s="1"/>
  <c r="AS7" i="13" s="1"/>
  <c r="AT7" i="13" s="1"/>
  <c r="AU7" i="13" s="1"/>
  <c r="AV7" i="13" s="1"/>
  <c r="AW7" i="13" s="1"/>
  <c r="AX7" i="13" s="1"/>
  <c r="AY7" i="13" s="1"/>
  <c r="AZ7" i="13" s="1"/>
  <c r="BA7" i="13" s="1"/>
  <c r="BB7" i="13" s="1"/>
  <c r="BC7" i="13" s="1"/>
  <c r="BD7" i="13" s="1"/>
  <c r="BE7" i="13" s="1"/>
  <c r="BF7" i="13" s="1"/>
  <c r="BG7" i="13" s="1"/>
  <c r="BH7" i="13" s="1"/>
  <c r="BI7" i="13" s="1"/>
  <c r="BJ7" i="13" s="1"/>
  <c r="BK7" i="13" s="1"/>
  <c r="BL7" i="13" s="1"/>
  <c r="BM7" i="13" s="1"/>
  <c r="BN7" i="13" s="1"/>
  <c r="BO7" i="13" s="1"/>
  <c r="BP7" i="13" s="1"/>
  <c r="BQ7" i="13" s="1"/>
  <c r="BR7" i="13" s="1"/>
  <c r="BS7" i="13" s="1"/>
  <c r="BT7" i="13" s="1"/>
  <c r="BU7" i="13" s="1"/>
  <c r="BV7" i="13" s="1"/>
  <c r="BW7" i="13" s="1"/>
  <c r="BX7" i="13" s="1"/>
  <c r="BY7" i="13" s="1"/>
  <c r="BZ7" i="13" s="1"/>
  <c r="S72" i="15"/>
  <c r="S71" i="15"/>
  <c r="S70" i="15"/>
  <c r="S69" i="15"/>
  <c r="S68" i="15"/>
  <c r="S67" i="15"/>
  <c r="S66" i="15"/>
  <c r="S65" i="15"/>
  <c r="S64" i="15"/>
  <c r="S63" i="15"/>
  <c r="S62" i="15"/>
  <c r="S61" i="15"/>
  <c r="S60" i="15"/>
  <c r="S59" i="15"/>
  <c r="S58" i="15"/>
  <c r="S57" i="15"/>
  <c r="S56" i="15"/>
  <c r="S55" i="15"/>
  <c r="S54" i="15"/>
  <c r="S53" i="15"/>
  <c r="S52" i="15"/>
  <c r="S51" i="15"/>
  <c r="S50" i="15"/>
  <c r="S49" i="15"/>
  <c r="S48" i="15"/>
  <c r="S47" i="15"/>
  <c r="S46" i="15"/>
  <c r="S45" i="15"/>
  <c r="S44" i="15"/>
  <c r="S43" i="15"/>
  <c r="S42" i="15"/>
  <c r="S41" i="15"/>
  <c r="S40" i="15"/>
  <c r="S39" i="15"/>
  <c r="S38" i="15"/>
  <c r="S37" i="15"/>
  <c r="S36" i="15"/>
  <c r="S35" i="15"/>
  <c r="S34" i="15"/>
  <c r="S33" i="15"/>
  <c r="S32" i="15"/>
  <c r="S31" i="15"/>
  <c r="S30" i="15"/>
  <c r="S29" i="15"/>
  <c r="S28" i="15"/>
  <c r="S27" i="15"/>
  <c r="S26" i="15"/>
  <c r="S25" i="15"/>
  <c r="S24" i="15"/>
  <c r="S23" i="15"/>
  <c r="S22" i="15"/>
  <c r="S21" i="15"/>
  <c r="S20" i="15"/>
  <c r="S19" i="15"/>
  <c r="S18" i="15"/>
  <c r="S17" i="15"/>
  <c r="S16" i="15"/>
  <c r="S15" i="15"/>
  <c r="S14" i="15"/>
  <c r="S13" i="15"/>
  <c r="S12" i="15"/>
  <c r="S11" i="15"/>
  <c r="S10" i="15"/>
  <c r="S9" i="15"/>
  <c r="S8" i="15"/>
  <c r="S7" i="15"/>
  <c r="S6" i="15"/>
  <c r="S5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G85" i="13" l="1"/>
  <c r="G59" i="13"/>
  <c r="G84" i="13"/>
  <c r="G91" i="13"/>
  <c r="F72" i="13"/>
  <c r="F73" i="13"/>
  <c r="F74" i="13"/>
  <c r="F56" i="13"/>
  <c r="G68" i="13"/>
  <c r="F57" i="13"/>
  <c r="F89" i="13"/>
  <c r="F83" i="13"/>
  <c r="G65" i="13"/>
  <c r="G67" i="13"/>
  <c r="G69" i="13"/>
  <c r="F58" i="13"/>
  <c r="F90" i="13"/>
  <c r="F82" i="13"/>
  <c r="F88" i="13"/>
  <c r="G75" i="13"/>
  <c r="F66" i="13"/>
  <c r="F98" i="13"/>
  <c r="G97" i="13"/>
  <c r="G64" i="13"/>
  <c r="G99" i="13"/>
  <c r="G80" i="13"/>
  <c r="F86" i="13"/>
  <c r="F55" i="13"/>
  <c r="G81" i="13"/>
  <c r="F87" i="13"/>
  <c r="F70" i="13"/>
  <c r="G96" i="13"/>
  <c r="F71" i="13"/>
  <c r="F39" i="13"/>
  <c r="F17" i="13"/>
  <c r="F18" i="13"/>
  <c r="F60" i="13"/>
  <c r="F76" i="13"/>
  <c r="F92" i="13"/>
  <c r="F19" i="13"/>
  <c r="F61" i="13"/>
  <c r="F77" i="13"/>
  <c r="F93" i="13"/>
  <c r="F16" i="13"/>
  <c r="F29" i="13"/>
  <c r="F62" i="13"/>
  <c r="F78" i="13"/>
  <c r="F94" i="13"/>
  <c r="F15" i="13"/>
  <c r="F31" i="13"/>
  <c r="F63" i="13"/>
  <c r="F79" i="13"/>
  <c r="F95" i="13"/>
  <c r="F32" i="13"/>
  <c r="F33" i="13"/>
  <c r="F34" i="13"/>
  <c r="F49" i="13"/>
  <c r="F35" i="13"/>
  <c r="F38" i="13"/>
  <c r="F42" i="13"/>
  <c r="F43" i="13"/>
  <c r="F44" i="13"/>
  <c r="F45" i="13"/>
  <c r="F46" i="13"/>
  <c r="F40" i="13"/>
  <c r="F51" i="13"/>
  <c r="F41" i="13"/>
  <c r="F48" i="13"/>
  <c r="G37" i="13"/>
  <c r="H37" i="13" s="1"/>
  <c r="F50" i="13"/>
  <c r="F47" i="13"/>
  <c r="F23" i="13"/>
  <c r="F24" i="13"/>
  <c r="F25" i="13"/>
  <c r="F36" i="13"/>
  <c r="F26" i="13"/>
  <c r="F27" i="13"/>
  <c r="F21" i="13"/>
  <c r="F22" i="13"/>
  <c r="F28" i="13"/>
  <c r="F20" i="13"/>
  <c r="F14" i="13"/>
  <c r="F30" i="13"/>
  <c r="G13" i="13"/>
  <c r="H13" i="13" s="1"/>
  <c r="I13" i="13" s="1"/>
  <c r="S3" i="15"/>
  <c r="Q3" i="15"/>
  <c r="F3" i="15"/>
  <c r="AE4" i="4"/>
  <c r="AE5" i="4"/>
  <c r="AE6" i="4"/>
  <c r="AE7" i="4"/>
  <c r="AE8" i="4"/>
  <c r="AE9" i="4"/>
  <c r="AE10" i="4"/>
  <c r="AE11" i="4"/>
  <c r="AE12" i="4"/>
  <c r="AE13" i="4"/>
  <c r="AE14" i="4"/>
  <c r="AE17" i="4"/>
  <c r="AE18" i="4"/>
  <c r="AE19" i="4"/>
  <c r="AE20" i="4"/>
  <c r="AE21" i="4"/>
  <c r="AE22" i="4"/>
  <c r="AE53" i="4"/>
  <c r="G54" i="13" l="1"/>
  <c r="H54" i="13" l="1"/>
  <c r="I54" i="13" s="1"/>
  <c r="H100" i="13"/>
  <c r="G100" i="13" s="1"/>
  <c r="G52" i="13" s="1"/>
  <c r="I100" i="13" l="1"/>
  <c r="AJ71" i="4" l="1"/>
  <c r="AI71" i="4"/>
  <c r="AG71" i="4"/>
  <c r="AH71" i="4" s="1"/>
  <c r="AF71" i="4"/>
  <c r="AE71" i="4"/>
  <c r="AJ70" i="4"/>
  <c r="AI70" i="4"/>
  <c r="AG70" i="4"/>
  <c r="AH70" i="4" s="1"/>
  <c r="AF70" i="4"/>
  <c r="AE70" i="4"/>
  <c r="AD70" i="4"/>
  <c r="AJ69" i="4"/>
  <c r="AI69" i="4"/>
  <c r="AG69" i="4"/>
  <c r="AH69" i="4" s="1"/>
  <c r="AF69" i="4"/>
  <c r="AE69" i="4"/>
  <c r="AJ68" i="4"/>
  <c r="AI68" i="4"/>
  <c r="AG68" i="4"/>
  <c r="AH68" i="4" s="1"/>
  <c r="AF68" i="4"/>
  <c r="AE68" i="4"/>
  <c r="AJ67" i="4"/>
  <c r="AI67" i="4"/>
  <c r="AG67" i="4"/>
  <c r="AH67" i="4" s="1"/>
  <c r="AF67" i="4"/>
  <c r="AE67" i="4"/>
  <c r="AJ66" i="4"/>
  <c r="AI66" i="4"/>
  <c r="AG66" i="4"/>
  <c r="AH66" i="4" s="1"/>
  <c r="AF66" i="4"/>
  <c r="AE66" i="4"/>
  <c r="AJ65" i="4"/>
  <c r="AI65" i="4"/>
  <c r="AG65" i="4"/>
  <c r="AH65" i="4" s="1"/>
  <c r="AF65" i="4"/>
  <c r="AE65" i="4"/>
  <c r="AD65" i="4"/>
  <c r="AJ64" i="4"/>
  <c r="AI64" i="4"/>
  <c r="AG64" i="4"/>
  <c r="AH64" i="4" s="1"/>
  <c r="AF64" i="4"/>
  <c r="AE64" i="4"/>
  <c r="AD64" i="4"/>
  <c r="AJ63" i="4"/>
  <c r="AI63" i="4"/>
  <c r="AG63" i="4"/>
  <c r="AH63" i="4" s="1"/>
  <c r="AF63" i="4"/>
  <c r="AE63" i="4"/>
  <c r="AD63" i="4"/>
  <c r="AJ62" i="4"/>
  <c r="AI62" i="4"/>
  <c r="AG62" i="4"/>
  <c r="AH62" i="4" s="1"/>
  <c r="AF62" i="4"/>
  <c r="AE62" i="4"/>
  <c r="AD62" i="4"/>
  <c r="AJ61" i="4"/>
  <c r="AI61" i="4"/>
  <c r="AG61" i="4"/>
  <c r="AH61" i="4" s="1"/>
  <c r="AF61" i="4"/>
  <c r="AE61" i="4"/>
  <c r="AD61" i="4"/>
  <c r="AJ60" i="4"/>
  <c r="AI60" i="4"/>
  <c r="AG60" i="4"/>
  <c r="AH60" i="4" s="1"/>
  <c r="AF60" i="4"/>
  <c r="AE60" i="4"/>
  <c r="AD60" i="4"/>
  <c r="AJ59" i="4"/>
  <c r="AI59" i="4"/>
  <c r="AG59" i="4"/>
  <c r="AH59" i="4" s="1"/>
  <c r="AF59" i="4"/>
  <c r="AE59" i="4"/>
  <c r="AJ58" i="4"/>
  <c r="AI58" i="4"/>
  <c r="AG58" i="4"/>
  <c r="AH58" i="4" s="1"/>
  <c r="AF58" i="4"/>
  <c r="AE58" i="4"/>
  <c r="AD58" i="4"/>
  <c r="AJ57" i="4"/>
  <c r="AI57" i="4"/>
  <c r="AG57" i="4"/>
  <c r="AH57" i="4" s="1"/>
  <c r="AF57" i="4"/>
  <c r="AE57" i="4"/>
  <c r="AD57" i="4"/>
  <c r="AJ56" i="4"/>
  <c r="AI56" i="4"/>
  <c r="AG56" i="4"/>
  <c r="AH56" i="4" s="1"/>
  <c r="AF56" i="4"/>
  <c r="AE56" i="4"/>
  <c r="AD56" i="4"/>
  <c r="AJ55" i="4"/>
  <c r="AI55" i="4"/>
  <c r="AG55" i="4"/>
  <c r="AH55" i="4" s="1"/>
  <c r="AF55" i="4"/>
  <c r="AE55" i="4"/>
  <c r="AD55" i="4"/>
  <c r="AJ54" i="4"/>
  <c r="AI54" i="4"/>
  <c r="AG54" i="4"/>
  <c r="AH54" i="4" s="1"/>
  <c r="AF54" i="4"/>
  <c r="AE54" i="4"/>
  <c r="AD54" i="4"/>
  <c r="AJ53" i="4"/>
  <c r="AI53" i="4"/>
  <c r="AG53" i="4"/>
  <c r="AH53" i="4" s="1"/>
  <c r="AF53" i="4"/>
  <c r="AJ52" i="4"/>
  <c r="AI52" i="4"/>
  <c r="AG52" i="4"/>
  <c r="AH52" i="4" s="1"/>
  <c r="AF52" i="4"/>
  <c r="AE52" i="4"/>
  <c r="AJ51" i="4"/>
  <c r="AI51" i="4"/>
  <c r="AG51" i="4"/>
  <c r="AH51" i="4" s="1"/>
  <c r="AF51" i="4"/>
  <c r="AE51" i="4"/>
  <c r="AJ50" i="4"/>
  <c r="AI50" i="4"/>
  <c r="AG50" i="4"/>
  <c r="AH50" i="4" s="1"/>
  <c r="AF50" i="4"/>
  <c r="AE50" i="4"/>
  <c r="AJ49" i="4"/>
  <c r="AI49" i="4"/>
  <c r="AG49" i="4"/>
  <c r="AH49" i="4" s="1"/>
  <c r="AF49" i="4"/>
  <c r="AE49" i="4"/>
  <c r="AJ48" i="4"/>
  <c r="AI48" i="4"/>
  <c r="AG48" i="4"/>
  <c r="AH48" i="4" s="1"/>
  <c r="AF48" i="4"/>
  <c r="AE48" i="4"/>
  <c r="AJ47" i="4"/>
  <c r="AI47" i="4"/>
  <c r="AG47" i="4"/>
  <c r="AH47" i="4" s="1"/>
  <c r="AF47" i="4"/>
  <c r="AE47" i="4"/>
  <c r="AJ46" i="4"/>
  <c r="AI46" i="4"/>
  <c r="AG46" i="4"/>
  <c r="AH46" i="4" s="1"/>
  <c r="AF46" i="4"/>
  <c r="AE46" i="4"/>
  <c r="AJ45" i="4"/>
  <c r="AI45" i="4"/>
  <c r="AG45" i="4"/>
  <c r="AH45" i="4" s="1"/>
  <c r="AF45" i="4"/>
  <c r="AE45" i="4"/>
  <c r="AJ44" i="4"/>
  <c r="AI44" i="4"/>
  <c r="AG44" i="4"/>
  <c r="AH44" i="4" s="1"/>
  <c r="AF44" i="4"/>
  <c r="AE44" i="4"/>
  <c r="AJ43" i="4"/>
  <c r="AI43" i="4"/>
  <c r="AG43" i="4"/>
  <c r="AH43" i="4" s="1"/>
  <c r="AF43" i="4"/>
  <c r="AE43" i="4"/>
  <c r="AJ42" i="4"/>
  <c r="AI42" i="4"/>
  <c r="AG42" i="4"/>
  <c r="AH42" i="4" s="1"/>
  <c r="AF42" i="4"/>
  <c r="AE42" i="4"/>
  <c r="AJ41" i="4"/>
  <c r="AI41" i="4"/>
  <c r="AG41" i="4"/>
  <c r="AH41" i="4" s="1"/>
  <c r="AF41" i="4"/>
  <c r="AE41" i="4"/>
  <c r="AJ40" i="4"/>
  <c r="AI40" i="4"/>
  <c r="AG40" i="4"/>
  <c r="AH40" i="4" s="1"/>
  <c r="AF40" i="4"/>
  <c r="AE40" i="4"/>
  <c r="AJ39" i="4"/>
  <c r="AI39" i="4"/>
  <c r="AG39" i="4"/>
  <c r="AH39" i="4" s="1"/>
  <c r="AF39" i="4"/>
  <c r="AE39" i="4"/>
  <c r="AJ38" i="4"/>
  <c r="AI38" i="4"/>
  <c r="AG38" i="4"/>
  <c r="AH38" i="4" s="1"/>
  <c r="AF38" i="4"/>
  <c r="AE38" i="4"/>
  <c r="AJ37" i="4"/>
  <c r="AI37" i="4"/>
  <c r="AG37" i="4"/>
  <c r="AH37" i="4" s="1"/>
  <c r="AF37" i="4"/>
  <c r="AE37" i="4"/>
  <c r="AJ36" i="4"/>
  <c r="AI36" i="4"/>
  <c r="AG36" i="4"/>
  <c r="AH36" i="4" s="1"/>
  <c r="AF36" i="4"/>
  <c r="AE36" i="4"/>
  <c r="AJ35" i="4"/>
  <c r="AI35" i="4"/>
  <c r="AG35" i="4"/>
  <c r="AH35" i="4" s="1"/>
  <c r="AF35" i="4"/>
  <c r="AE35" i="4"/>
  <c r="AJ34" i="4"/>
  <c r="AI34" i="4"/>
  <c r="AG34" i="4"/>
  <c r="AH34" i="4" s="1"/>
  <c r="AF34" i="4"/>
  <c r="AE34" i="4"/>
  <c r="AJ33" i="4"/>
  <c r="AI33" i="4"/>
  <c r="AG33" i="4"/>
  <c r="AH33" i="4" s="1"/>
  <c r="AF33" i="4"/>
  <c r="AE33" i="4"/>
  <c r="AJ32" i="4"/>
  <c r="AI32" i="4"/>
  <c r="AG32" i="4"/>
  <c r="AH32" i="4" s="1"/>
  <c r="AF32" i="4"/>
  <c r="AE32" i="4"/>
  <c r="AJ31" i="4"/>
  <c r="AI31" i="4"/>
  <c r="AG31" i="4"/>
  <c r="AH31" i="4" s="1"/>
  <c r="AF31" i="4"/>
  <c r="AE31" i="4"/>
  <c r="AJ30" i="4"/>
  <c r="AI30" i="4"/>
  <c r="AG30" i="4"/>
  <c r="AH30" i="4" s="1"/>
  <c r="AF30" i="4"/>
  <c r="AE30" i="4"/>
  <c r="AJ29" i="4"/>
  <c r="AI29" i="4"/>
  <c r="AG29" i="4"/>
  <c r="AH29" i="4" s="1"/>
  <c r="AF29" i="4"/>
  <c r="AE29" i="4"/>
  <c r="AJ28" i="4"/>
  <c r="AI28" i="4"/>
  <c r="AG28" i="4"/>
  <c r="AH28" i="4" s="1"/>
  <c r="AF28" i="4"/>
  <c r="AE28" i="4"/>
  <c r="AJ27" i="4"/>
  <c r="AI27" i="4"/>
  <c r="AG27" i="4"/>
  <c r="AH27" i="4" s="1"/>
  <c r="AF27" i="4"/>
  <c r="AE27" i="4"/>
  <c r="AJ26" i="4"/>
  <c r="AI26" i="4"/>
  <c r="AG26" i="4"/>
  <c r="AH26" i="4" s="1"/>
  <c r="AF26" i="4"/>
  <c r="AE26" i="4"/>
  <c r="AJ25" i="4"/>
  <c r="AI25" i="4"/>
  <c r="AG25" i="4"/>
  <c r="AH25" i="4" s="1"/>
  <c r="AF25" i="4"/>
  <c r="AE25" i="4"/>
  <c r="AJ24" i="4"/>
  <c r="AI24" i="4"/>
  <c r="AG24" i="4"/>
  <c r="AH24" i="4" s="1"/>
  <c r="AF24" i="4"/>
  <c r="AE24" i="4"/>
  <c r="AJ23" i="4"/>
  <c r="AI23" i="4"/>
  <c r="AG23" i="4"/>
  <c r="AH23" i="4" s="1"/>
  <c r="AF23" i="4"/>
  <c r="AE23" i="4"/>
  <c r="AJ22" i="4"/>
  <c r="AI22" i="4"/>
  <c r="AG22" i="4"/>
  <c r="AH22" i="4" s="1"/>
  <c r="AF22" i="4"/>
  <c r="AJ21" i="4"/>
  <c r="AI21" i="4"/>
  <c r="AG21" i="4"/>
  <c r="AH21" i="4" s="1"/>
  <c r="AF21" i="4"/>
  <c r="AJ20" i="4"/>
  <c r="AI20" i="4"/>
  <c r="AG20" i="4"/>
  <c r="AH20" i="4" s="1"/>
  <c r="AF20" i="4"/>
  <c r="AJ19" i="4"/>
  <c r="AI19" i="4"/>
  <c r="AG19" i="4"/>
  <c r="AH19" i="4" s="1"/>
  <c r="AF19" i="4"/>
  <c r="AJ18" i="4"/>
  <c r="AI18" i="4"/>
  <c r="AG18" i="4"/>
  <c r="AH18" i="4" s="1"/>
  <c r="AF18" i="4"/>
  <c r="AJ17" i="4"/>
  <c r="AI17" i="4"/>
  <c r="AG17" i="4"/>
  <c r="AH17" i="4" s="1"/>
  <c r="AF17" i="4"/>
  <c r="AJ16" i="4"/>
  <c r="AI16" i="4"/>
  <c r="AG16" i="4"/>
  <c r="AH16" i="4" s="1"/>
  <c r="AF16" i="4"/>
  <c r="AE16" i="4"/>
  <c r="AD16" i="4"/>
  <c r="AJ15" i="4"/>
  <c r="AI15" i="4"/>
  <c r="AG15" i="4"/>
  <c r="AH15" i="4" s="1"/>
  <c r="AF15" i="4"/>
  <c r="AE15" i="4"/>
  <c r="AD15" i="4"/>
  <c r="AJ14" i="4"/>
  <c r="AI14" i="4"/>
  <c r="AH14" i="4"/>
  <c r="AF14" i="4"/>
  <c r="AJ13" i="4"/>
  <c r="AI13" i="4"/>
  <c r="AG13" i="4"/>
  <c r="AH13" i="4" s="1"/>
  <c r="AF13" i="4"/>
  <c r="AJ12" i="4"/>
  <c r="AI12" i="4"/>
  <c r="AG12" i="4"/>
  <c r="AH12" i="4" s="1"/>
  <c r="AF12" i="4"/>
  <c r="AJ11" i="4"/>
  <c r="AI11" i="4"/>
  <c r="AH11" i="4"/>
  <c r="AF11" i="4"/>
  <c r="AJ10" i="4"/>
  <c r="AI10" i="4"/>
  <c r="AH10" i="4"/>
  <c r="AF10" i="4"/>
  <c r="AJ9" i="4"/>
  <c r="AI9" i="4"/>
  <c r="AH9" i="4"/>
  <c r="AF9" i="4"/>
  <c r="AJ8" i="4"/>
  <c r="AI8" i="4"/>
  <c r="AH8" i="4"/>
  <c r="AF8" i="4"/>
  <c r="AJ7" i="4"/>
  <c r="AI7" i="4"/>
  <c r="AG7" i="4"/>
  <c r="AH7" i="4" s="1"/>
  <c r="AF7" i="4"/>
  <c r="AJ6" i="4"/>
  <c r="AI6" i="4"/>
  <c r="AG6" i="4"/>
  <c r="AH6" i="4" s="1"/>
  <c r="AF6" i="4"/>
  <c r="AJ5" i="4"/>
  <c r="AI5" i="4"/>
  <c r="AH5" i="4"/>
  <c r="AF5" i="4"/>
  <c r="AK8" i="4" l="1"/>
  <c r="AK16" i="4"/>
  <c r="AK56" i="4"/>
  <c r="AK59" i="4"/>
  <c r="AK14" i="4"/>
  <c r="AK22" i="4"/>
  <c r="AK54" i="4"/>
  <c r="AK62" i="4"/>
  <c r="AK26" i="4"/>
  <c r="AK34" i="4"/>
  <c r="AK42" i="4"/>
  <c r="AK50" i="4"/>
  <c r="AK24" i="4"/>
  <c r="AK32" i="4"/>
  <c r="AK40" i="4"/>
  <c r="AK48" i="4"/>
  <c r="AK69" i="4"/>
  <c r="AK11" i="4"/>
  <c r="AK19" i="4"/>
  <c r="AK27" i="4"/>
  <c r="AK35" i="4"/>
  <c r="AK43" i="4"/>
  <c r="AK51" i="4"/>
  <c r="AK64" i="4"/>
  <c r="AK30" i="4"/>
  <c r="AK38" i="4"/>
  <c r="AK9" i="4"/>
  <c r="AK17" i="4"/>
  <c r="AK25" i="4"/>
  <c r="AK33" i="4"/>
  <c r="AK41" i="4"/>
  <c r="AK49" i="4"/>
  <c r="AK70" i="4"/>
  <c r="AK46" i="4"/>
  <c r="AK67" i="4"/>
  <c r="AK57" i="4"/>
  <c r="AK20" i="4"/>
  <c r="AK60" i="4"/>
  <c r="AK28" i="4"/>
  <c r="AK36" i="4"/>
  <c r="AK44" i="4"/>
  <c r="AK52" i="4"/>
  <c r="AK65" i="4"/>
  <c r="AK7" i="4"/>
  <c r="AK15" i="4"/>
  <c r="AK68" i="4"/>
  <c r="AK55" i="4"/>
  <c r="AK10" i="4"/>
  <c r="AK18" i="4"/>
  <c r="AK58" i="4"/>
  <c r="AK63" i="4"/>
  <c r="AK71" i="4"/>
  <c r="AK5" i="4"/>
  <c r="AK13" i="4"/>
  <c r="AK29" i="4"/>
  <c r="AK37" i="4"/>
  <c r="AK45" i="4"/>
  <c r="AK61" i="4"/>
  <c r="AK21" i="4"/>
  <c r="AK53" i="4"/>
  <c r="AK66" i="4"/>
  <c r="AK23" i="4"/>
  <c r="AK31" i="4"/>
  <c r="AK39" i="4"/>
  <c r="AK47" i="4"/>
  <c r="AK12" i="4"/>
  <c r="AK6" i="4"/>
  <c r="AN3" i="13" l="1"/>
  <c r="A71" i="14" l="1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H10" i="13" l="1"/>
  <c r="G10" i="13" s="1"/>
  <c r="H9" i="13"/>
  <c r="G9" i="13" s="1"/>
  <c r="J6" i="13"/>
  <c r="K6" i="13" s="1"/>
  <c r="L6" i="13" s="1"/>
  <c r="BF3" i="13"/>
  <c r="BF2" i="13" s="1"/>
  <c r="BE3" i="13"/>
  <c r="BE2" i="13" s="1"/>
  <c r="BD3" i="13"/>
  <c r="BD2" i="13" s="1"/>
  <c r="BC3" i="13"/>
  <c r="BC2" i="13" s="1"/>
  <c r="BA3" i="13"/>
  <c r="BA2" i="13" s="1"/>
  <c r="AZ3" i="13"/>
  <c r="AZ2" i="13" s="1"/>
  <c r="AY3" i="13"/>
  <c r="AY2" i="13" s="1"/>
  <c r="AX3" i="13"/>
  <c r="AX2" i="13" s="1"/>
  <c r="AW3" i="13"/>
  <c r="AW2" i="13" s="1"/>
  <c r="AV3" i="13"/>
  <c r="AV2" i="13" s="1"/>
  <c r="AU3" i="13"/>
  <c r="AU2" i="13" s="1"/>
  <c r="AT3" i="13"/>
  <c r="AT2" i="13" s="1"/>
  <c r="AS3" i="13"/>
  <c r="AS2" i="13" s="1"/>
  <c r="AR3" i="13"/>
  <c r="AR2" i="13" s="1"/>
  <c r="AQ3" i="13"/>
  <c r="AQ2" i="13" s="1"/>
  <c r="AP3" i="13"/>
  <c r="AP2" i="13" s="1"/>
  <c r="AO3" i="13"/>
  <c r="AO2" i="13" s="1"/>
  <c r="AN2" i="13"/>
  <c r="AM3" i="13"/>
  <c r="AM2" i="13" s="1"/>
  <c r="AL3" i="13"/>
  <c r="AL2" i="13" s="1"/>
  <c r="AK3" i="13"/>
  <c r="AK2" i="13" s="1"/>
  <c r="AJ3" i="13"/>
  <c r="AJ2" i="13" s="1"/>
  <c r="AI3" i="13"/>
  <c r="AI2" i="13" s="1"/>
  <c r="AH3" i="13"/>
  <c r="AH2" i="13" s="1"/>
  <c r="AG3" i="13"/>
  <c r="AG2" i="13" s="1"/>
  <c r="AF3" i="13"/>
  <c r="AF2" i="13" s="1"/>
  <c r="AE3" i="13"/>
  <c r="AE2" i="13" s="1"/>
  <c r="AD3" i="13"/>
  <c r="AD2" i="13" s="1"/>
  <c r="AC3" i="13"/>
  <c r="AC2" i="13" s="1"/>
  <c r="AB3" i="13"/>
  <c r="AB2" i="13" s="1"/>
  <c r="AA3" i="13"/>
  <c r="AA2" i="13" s="1"/>
  <c r="Z3" i="13"/>
  <c r="Z2" i="13" s="1"/>
  <c r="Y3" i="13"/>
  <c r="Y2" i="13" s="1"/>
  <c r="X3" i="13"/>
  <c r="X2" i="13" s="1"/>
  <c r="W3" i="13"/>
  <c r="W2" i="13" s="1"/>
  <c r="U3" i="13"/>
  <c r="U2" i="13" s="1"/>
  <c r="T3" i="13"/>
  <c r="T2" i="13" s="1"/>
  <c r="S3" i="13"/>
  <c r="S2" i="13" s="1"/>
  <c r="R3" i="13"/>
  <c r="R2" i="13" s="1"/>
  <c r="Q3" i="13"/>
  <c r="Q2" i="13" s="1"/>
  <c r="P3" i="13"/>
  <c r="P2" i="13" s="1"/>
  <c r="O3" i="13"/>
  <c r="O2" i="13" s="1"/>
  <c r="N3" i="13"/>
  <c r="N2" i="13" s="1"/>
  <c r="M3" i="13"/>
  <c r="M2" i="13" s="1"/>
  <c r="L3" i="13"/>
  <c r="L2" i="13" s="1"/>
  <c r="K3" i="13"/>
  <c r="K2" i="13" s="1"/>
  <c r="BF1" i="13"/>
  <c r="BE1" i="13"/>
  <c r="BD1" i="13"/>
  <c r="BC1" i="13"/>
  <c r="BB1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D104" i="13" l="1"/>
  <c r="I1" i="13"/>
  <c r="N6" i="13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I11" i="13"/>
  <c r="I10" i="13"/>
  <c r="BU1" i="12" l="1"/>
  <c r="I1" i="12" s="1"/>
  <c r="H1" i="12" s="1"/>
  <c r="BT1" i="12"/>
  <c r="BS1" i="12"/>
  <c r="BR1" i="12"/>
  <c r="BQ1" i="12"/>
  <c r="BP1" i="12"/>
  <c r="BO1" i="12"/>
  <c r="BN1" i="12"/>
  <c r="BM1" i="12"/>
  <c r="BL1" i="12"/>
  <c r="BK1" i="12"/>
  <c r="BJ1" i="12"/>
  <c r="BI1" i="12"/>
  <c r="BH1" i="12"/>
  <c r="BG1" i="12"/>
  <c r="BF1" i="12"/>
  <c r="BE1" i="12"/>
  <c r="BD1" i="12"/>
  <c r="BC1" i="12"/>
  <c r="BB1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I11" i="12"/>
  <c r="K1" i="12"/>
  <c r="G11" i="12"/>
  <c r="H11" i="12"/>
  <c r="C224" i="12"/>
  <c r="B224" i="12"/>
  <c r="C223" i="12"/>
  <c r="B223" i="12"/>
  <c r="C222" i="12"/>
  <c r="B222" i="12"/>
  <c r="C221" i="12"/>
  <c r="B221" i="12"/>
  <c r="C220" i="12"/>
  <c r="B220" i="12"/>
  <c r="C219" i="12"/>
  <c r="B219" i="12"/>
  <c r="C218" i="12"/>
  <c r="B218" i="12"/>
  <c r="C217" i="12"/>
  <c r="B217" i="12"/>
  <c r="C216" i="12"/>
  <c r="B216" i="12"/>
  <c r="C215" i="12"/>
  <c r="B215" i="12"/>
  <c r="C214" i="12"/>
  <c r="B214" i="12"/>
  <c r="C213" i="12"/>
  <c r="B213" i="12"/>
  <c r="C212" i="12"/>
  <c r="B212" i="12"/>
  <c r="C211" i="12"/>
  <c r="B211" i="12"/>
  <c r="C210" i="12"/>
  <c r="B210" i="12"/>
  <c r="C209" i="12"/>
  <c r="B209" i="12"/>
  <c r="C208" i="12"/>
  <c r="B208" i="12"/>
  <c r="C207" i="12"/>
  <c r="B207" i="12"/>
  <c r="C206" i="12"/>
  <c r="B206" i="12"/>
  <c r="C205" i="12"/>
  <c r="B205" i="12"/>
  <c r="C204" i="12"/>
  <c r="B204" i="12"/>
  <c r="C203" i="12"/>
  <c r="B203" i="12"/>
  <c r="C202" i="12"/>
  <c r="B202" i="12"/>
  <c r="C201" i="12"/>
  <c r="B201" i="12"/>
  <c r="C200" i="12"/>
  <c r="B200" i="12"/>
  <c r="C199" i="12"/>
  <c r="B199" i="12"/>
  <c r="C198" i="12"/>
  <c r="B198" i="12"/>
  <c r="C197" i="12"/>
  <c r="B197" i="12"/>
  <c r="C196" i="12"/>
  <c r="B196" i="12"/>
  <c r="C195" i="12"/>
  <c r="B195" i="12"/>
  <c r="C194" i="12"/>
  <c r="B194" i="12"/>
  <c r="C193" i="12"/>
  <c r="B193" i="12"/>
  <c r="C192" i="12"/>
  <c r="B192" i="12"/>
  <c r="C191" i="12"/>
  <c r="B191" i="12"/>
  <c r="C190" i="12"/>
  <c r="B190" i="12"/>
  <c r="C189" i="12"/>
  <c r="B189" i="12"/>
  <c r="C188" i="12"/>
  <c r="B188" i="12"/>
  <c r="C187" i="12"/>
  <c r="B187" i="12"/>
  <c r="C186" i="12"/>
  <c r="B186" i="12"/>
  <c r="C185" i="12"/>
  <c r="B185" i="12"/>
  <c r="C184" i="12"/>
  <c r="B184" i="12"/>
  <c r="C183" i="12"/>
  <c r="B183" i="12"/>
  <c r="C182" i="12"/>
  <c r="B182" i="12"/>
  <c r="C181" i="12"/>
  <c r="B181" i="12"/>
  <c r="C180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C170" i="12"/>
  <c r="B170" i="12"/>
  <c r="C169" i="12"/>
  <c r="B169" i="12"/>
  <c r="C168" i="12"/>
  <c r="B168" i="12"/>
  <c r="C167" i="12"/>
  <c r="B167" i="12"/>
  <c r="C166" i="12"/>
  <c r="B166" i="12"/>
  <c r="C165" i="12"/>
  <c r="B165" i="12"/>
  <c r="C164" i="12"/>
  <c r="B164" i="12"/>
  <c r="C163" i="12"/>
  <c r="B163" i="12"/>
  <c r="C162" i="12"/>
  <c r="B162" i="12"/>
  <c r="C161" i="12"/>
  <c r="B161" i="12"/>
  <c r="C160" i="12"/>
  <c r="B160" i="12"/>
  <c r="C159" i="12"/>
  <c r="B159" i="12"/>
  <c r="C158" i="12"/>
  <c r="B158" i="12"/>
  <c r="C157" i="12"/>
  <c r="B157" i="12"/>
  <c r="F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F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F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F17" i="12"/>
  <c r="G15" i="12"/>
  <c r="H15" i="12" s="1"/>
  <c r="H14" i="12"/>
  <c r="H13" i="12"/>
  <c r="H12" i="12" s="1"/>
  <c r="H10" i="12"/>
  <c r="G10" i="12"/>
  <c r="J8" i="12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AN8" i="12" s="1"/>
  <c r="AO8" i="12" s="1"/>
  <c r="AP8" i="12" s="1"/>
  <c r="AQ8" i="12" s="1"/>
  <c r="AR8" i="12" s="1"/>
  <c r="AS8" i="12" s="1"/>
  <c r="AT8" i="12" s="1"/>
  <c r="AU8" i="12" s="1"/>
  <c r="AV8" i="12" s="1"/>
  <c r="AW8" i="12" s="1"/>
  <c r="AX8" i="12" s="1"/>
  <c r="AY8" i="12" s="1"/>
  <c r="AZ8" i="12" s="1"/>
  <c r="BA8" i="12" s="1"/>
  <c r="BB8" i="12" s="1"/>
  <c r="BC8" i="12" s="1"/>
  <c r="BD8" i="12" s="1"/>
  <c r="BE8" i="12" s="1"/>
  <c r="BF8" i="12" s="1"/>
  <c r="BG8" i="12" s="1"/>
  <c r="BH8" i="12" s="1"/>
  <c r="BI8" i="12" s="1"/>
  <c r="BJ8" i="12" s="1"/>
  <c r="BK8" i="12" s="1"/>
  <c r="BL8" i="12" s="1"/>
  <c r="BM8" i="12" s="1"/>
  <c r="BN8" i="12" s="1"/>
  <c r="BO8" i="12" s="1"/>
  <c r="BP8" i="12" s="1"/>
  <c r="BQ8" i="12" s="1"/>
  <c r="BR8" i="12" s="1"/>
  <c r="BS8" i="12" s="1"/>
  <c r="BT8" i="12" s="1"/>
  <c r="BU8" i="12" s="1"/>
  <c r="BV8" i="12" s="1"/>
  <c r="BW8" i="12" s="1"/>
  <c r="BX8" i="12" s="1"/>
  <c r="BY8" i="12" s="1"/>
  <c r="BZ8" i="12" s="1"/>
  <c r="CA8" i="12" s="1"/>
  <c r="CB8" i="12" s="1"/>
  <c r="CC8" i="12" s="1"/>
  <c r="CD8" i="12" s="1"/>
  <c r="CE8" i="12" s="1"/>
  <c r="CF8" i="12" s="1"/>
  <c r="CG8" i="12" s="1"/>
  <c r="CH8" i="12" s="1"/>
  <c r="CI8" i="12" s="1"/>
  <c r="CJ8" i="12" s="1"/>
  <c r="CK8" i="12" s="1"/>
  <c r="CL8" i="12" s="1"/>
  <c r="CM8" i="12" s="1"/>
  <c r="CN8" i="12" s="1"/>
  <c r="CO8" i="12" s="1"/>
  <c r="CP8" i="12" s="1"/>
  <c r="CQ8" i="12" s="1"/>
  <c r="J7" i="12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BU3" i="12"/>
  <c r="BU2" i="12" s="1"/>
  <c r="BT3" i="12"/>
  <c r="BT2" i="12" s="1"/>
  <c r="BS3" i="12"/>
  <c r="BS2" i="12" s="1"/>
  <c r="BR3" i="12"/>
  <c r="BR2" i="12" s="1"/>
  <c r="BQ3" i="12"/>
  <c r="BQ2" i="12" s="1"/>
  <c r="BP3" i="12"/>
  <c r="BP2" i="12" s="1"/>
  <c r="BO3" i="12"/>
  <c r="BO2" i="12" s="1"/>
  <c r="BN3" i="12"/>
  <c r="BN2" i="12" s="1"/>
  <c r="BM3" i="12"/>
  <c r="BM2" i="12" s="1"/>
  <c r="BL3" i="12"/>
  <c r="BL2" i="12" s="1"/>
  <c r="BK3" i="12"/>
  <c r="BK2" i="12" s="1"/>
  <c r="BJ3" i="12"/>
  <c r="BJ2" i="12" s="1"/>
  <c r="BI3" i="12"/>
  <c r="BI2" i="12" s="1"/>
  <c r="BH3" i="12"/>
  <c r="BH2" i="12" s="1"/>
  <c r="BG3" i="12"/>
  <c r="BG2" i="12" s="1"/>
  <c r="BF3" i="12"/>
  <c r="BF2" i="12" s="1"/>
  <c r="BE3" i="12"/>
  <c r="BE2" i="12" s="1"/>
  <c r="BD3" i="12"/>
  <c r="BD2" i="12" s="1"/>
  <c r="BC3" i="12"/>
  <c r="BC2" i="12" s="1"/>
  <c r="BA3" i="12"/>
  <c r="BA2" i="12" s="1"/>
  <c r="AZ3" i="12"/>
  <c r="AZ2" i="12" s="1"/>
  <c r="AY3" i="12"/>
  <c r="AY2" i="12" s="1"/>
  <c r="AX3" i="12"/>
  <c r="AX2" i="12" s="1"/>
  <c r="AW3" i="12"/>
  <c r="AW2" i="12" s="1"/>
  <c r="AV3" i="12"/>
  <c r="AV2" i="12" s="1"/>
  <c r="AU3" i="12"/>
  <c r="AU2" i="12" s="1"/>
  <c r="AT3" i="12"/>
  <c r="AT2" i="12" s="1"/>
  <c r="AS3" i="12"/>
  <c r="AS2" i="12" s="1"/>
  <c r="AR3" i="12"/>
  <c r="AR2" i="12" s="1"/>
  <c r="AQ3" i="12"/>
  <c r="AQ2" i="12" s="1"/>
  <c r="AP3" i="12"/>
  <c r="AP2" i="12" s="1"/>
  <c r="AO3" i="12"/>
  <c r="AO2" i="12" s="1"/>
  <c r="AN3" i="12"/>
  <c r="AN2" i="12" s="1"/>
  <c r="AM3" i="12"/>
  <c r="AM2" i="12" s="1"/>
  <c r="AL3" i="12"/>
  <c r="AL2" i="12" s="1"/>
  <c r="AK3" i="12"/>
  <c r="AK2" i="12" s="1"/>
  <c r="AJ3" i="12"/>
  <c r="AJ2" i="12" s="1"/>
  <c r="AI3" i="12"/>
  <c r="AI2" i="12" s="1"/>
  <c r="AH3" i="12"/>
  <c r="AH2" i="12" s="1"/>
  <c r="AG3" i="12"/>
  <c r="AG2" i="12" s="1"/>
  <c r="AF3" i="12"/>
  <c r="AF2" i="12" s="1"/>
  <c r="AE3" i="12"/>
  <c r="AE2" i="12" s="1"/>
  <c r="AD3" i="12"/>
  <c r="AD2" i="12" s="1"/>
  <c r="AC3" i="12"/>
  <c r="AC2" i="12" s="1"/>
  <c r="AB3" i="12"/>
  <c r="AB2" i="12" s="1"/>
  <c r="AA3" i="12"/>
  <c r="AA2" i="12" s="1"/>
  <c r="Z3" i="12"/>
  <c r="Z2" i="12" s="1"/>
  <c r="Y3" i="12"/>
  <c r="Y2" i="12" s="1"/>
  <c r="X3" i="12"/>
  <c r="X2" i="12" s="1"/>
  <c r="W3" i="12"/>
  <c r="W2" i="12" s="1"/>
  <c r="V3" i="12"/>
  <c r="V2" i="12" s="1"/>
  <c r="U3" i="12"/>
  <c r="U2" i="12" s="1"/>
  <c r="T3" i="12"/>
  <c r="T2" i="12" s="1"/>
  <c r="S3" i="12"/>
  <c r="S2" i="12" s="1"/>
  <c r="R3" i="12"/>
  <c r="R2" i="12" s="1"/>
  <c r="Q3" i="12"/>
  <c r="Q2" i="12" s="1"/>
  <c r="P3" i="12"/>
  <c r="P2" i="12" s="1"/>
  <c r="O3" i="12"/>
  <c r="O2" i="12" s="1"/>
  <c r="N3" i="12"/>
  <c r="N2" i="12" s="1"/>
  <c r="M3" i="12"/>
  <c r="M2" i="12" s="1"/>
  <c r="L3" i="12"/>
  <c r="L2" i="12" s="1"/>
  <c r="K3" i="12"/>
  <c r="K2" i="12" s="1"/>
  <c r="BU3" i="11"/>
  <c r="BU2" i="11" s="1"/>
  <c r="BT3" i="11"/>
  <c r="BT2" i="11" s="1"/>
  <c r="BS3" i="11"/>
  <c r="BS2" i="11" s="1"/>
  <c r="BR3" i="11"/>
  <c r="BR2" i="11" s="1"/>
  <c r="BQ3" i="11"/>
  <c r="BQ2" i="11" s="1"/>
  <c r="BP3" i="11"/>
  <c r="BP2" i="11" s="1"/>
  <c r="BO3" i="11"/>
  <c r="BO2" i="11" s="1"/>
  <c r="BN3" i="11"/>
  <c r="BN2" i="11" s="1"/>
  <c r="BU1" i="11"/>
  <c r="BT1" i="11"/>
  <c r="BS1" i="11"/>
  <c r="BR1" i="11"/>
  <c r="BQ1" i="11"/>
  <c r="BP1" i="11"/>
  <c r="BO1" i="11"/>
  <c r="BN1" i="11"/>
  <c r="F156" i="11"/>
  <c r="F87" i="11"/>
  <c r="F16" i="11"/>
  <c r="F66" i="11"/>
  <c r="F17" i="11"/>
  <c r="H215" i="11"/>
  <c r="I215" i="11" s="1"/>
  <c r="H214" i="11"/>
  <c r="I214" i="11" s="1"/>
  <c r="H213" i="11"/>
  <c r="I213" i="11" s="1"/>
  <c r="H212" i="11"/>
  <c r="I212" i="11" s="1"/>
  <c r="H211" i="11"/>
  <c r="I211" i="11" s="1"/>
  <c r="H210" i="11"/>
  <c r="I210" i="11" s="1"/>
  <c r="H209" i="11"/>
  <c r="I209" i="11" s="1"/>
  <c r="H208" i="11"/>
  <c r="I208" i="11" s="1"/>
  <c r="H207" i="11"/>
  <c r="I207" i="11" s="1"/>
  <c r="C224" i="11"/>
  <c r="B224" i="11"/>
  <c r="C223" i="11"/>
  <c r="B223" i="11"/>
  <c r="C222" i="11"/>
  <c r="B222" i="11"/>
  <c r="C221" i="11"/>
  <c r="B221" i="11"/>
  <c r="C220" i="11"/>
  <c r="B220" i="11"/>
  <c r="C219" i="11"/>
  <c r="B219" i="11"/>
  <c r="C218" i="11"/>
  <c r="B218" i="11"/>
  <c r="C217" i="11"/>
  <c r="B217" i="11"/>
  <c r="C216" i="11"/>
  <c r="B216" i="11"/>
  <c r="C215" i="11"/>
  <c r="B215" i="11"/>
  <c r="C214" i="11"/>
  <c r="B214" i="11"/>
  <c r="C213" i="11"/>
  <c r="B213" i="11"/>
  <c r="C212" i="11"/>
  <c r="B212" i="11"/>
  <c r="C211" i="11"/>
  <c r="B211" i="11"/>
  <c r="C210" i="11"/>
  <c r="B210" i="11"/>
  <c r="C209" i="11"/>
  <c r="B209" i="11"/>
  <c r="C208" i="11"/>
  <c r="B208" i="11"/>
  <c r="C207" i="11"/>
  <c r="B207" i="11"/>
  <c r="H146" i="11"/>
  <c r="I146" i="11" s="1"/>
  <c r="H145" i="11"/>
  <c r="I145" i="11" s="1"/>
  <c r="H144" i="11"/>
  <c r="I144" i="11" s="1"/>
  <c r="H143" i="11"/>
  <c r="I143" i="11" s="1"/>
  <c r="H142" i="11"/>
  <c r="I142" i="11" s="1"/>
  <c r="H141" i="11"/>
  <c r="I141" i="11" s="1"/>
  <c r="H140" i="11"/>
  <c r="I140" i="11" s="1"/>
  <c r="H139" i="11"/>
  <c r="I139" i="11" s="1"/>
  <c r="H138" i="11"/>
  <c r="I138" i="11" s="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B149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42" i="11"/>
  <c r="B142" i="11"/>
  <c r="C141" i="11"/>
  <c r="B141" i="11"/>
  <c r="C140" i="11"/>
  <c r="B140" i="11"/>
  <c r="C139" i="11"/>
  <c r="B139" i="11"/>
  <c r="C138" i="11"/>
  <c r="B138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F16" i="12" l="1"/>
  <c r="G12" i="12"/>
  <c r="Y17" i="4"/>
  <c r="Y16" i="4"/>
  <c r="H14" i="11" l="1"/>
  <c r="H13" i="11"/>
  <c r="H11" i="11"/>
  <c r="I11" i="11" s="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BM3" i="11"/>
  <c r="BM2" i="11" s="1"/>
  <c r="BL3" i="11"/>
  <c r="BL2" i="11" s="1"/>
  <c r="BK3" i="11"/>
  <c r="BK2" i="11" s="1"/>
  <c r="BJ3" i="11"/>
  <c r="BJ2" i="11" s="1"/>
  <c r="BI3" i="11"/>
  <c r="BI2" i="11" s="1"/>
  <c r="BH3" i="11"/>
  <c r="BH2" i="11" s="1"/>
  <c r="BG3" i="11"/>
  <c r="BG2" i="11" s="1"/>
  <c r="BF3" i="11"/>
  <c r="BF2" i="11" s="1"/>
  <c r="BE3" i="11"/>
  <c r="BE2" i="11" s="1"/>
  <c r="BD3" i="11"/>
  <c r="BD2" i="11" s="1"/>
  <c r="BC3" i="11"/>
  <c r="BC2" i="11" s="1"/>
  <c r="BA3" i="11"/>
  <c r="BA2" i="11" s="1"/>
  <c r="AZ3" i="11"/>
  <c r="AZ2" i="11" s="1"/>
  <c r="AY3" i="11"/>
  <c r="AY2" i="11" s="1"/>
  <c r="AX3" i="11"/>
  <c r="AX2" i="11" s="1"/>
  <c r="AW3" i="11"/>
  <c r="AW2" i="11" s="1"/>
  <c r="AV3" i="11"/>
  <c r="AV2" i="11" s="1"/>
  <c r="AU3" i="11"/>
  <c r="AU2" i="11" s="1"/>
  <c r="AT3" i="11"/>
  <c r="AT2" i="11" s="1"/>
  <c r="AS3" i="11"/>
  <c r="AS2" i="11" s="1"/>
  <c r="AR3" i="11"/>
  <c r="AR2" i="11" s="1"/>
  <c r="AQ3" i="11"/>
  <c r="AQ2" i="11" s="1"/>
  <c r="AP3" i="11"/>
  <c r="AP2" i="11" s="1"/>
  <c r="AO3" i="11"/>
  <c r="AO2" i="11" s="1"/>
  <c r="AN3" i="11"/>
  <c r="AN2" i="11" s="1"/>
  <c r="AM3" i="11"/>
  <c r="AM2" i="11" s="1"/>
  <c r="AL3" i="11"/>
  <c r="AL2" i="11" s="1"/>
  <c r="AK3" i="11"/>
  <c r="AK2" i="11" s="1"/>
  <c r="AJ3" i="11"/>
  <c r="AJ2" i="11" s="1"/>
  <c r="AI3" i="11"/>
  <c r="AI2" i="11" s="1"/>
  <c r="AH3" i="11"/>
  <c r="AH2" i="11" s="1"/>
  <c r="AG3" i="11"/>
  <c r="AG2" i="11" s="1"/>
  <c r="AF3" i="11"/>
  <c r="AF2" i="11" s="1"/>
  <c r="AE3" i="11"/>
  <c r="AE2" i="11" s="1"/>
  <c r="AD3" i="11"/>
  <c r="AD2" i="11" s="1"/>
  <c r="AC3" i="11"/>
  <c r="AC2" i="11" s="1"/>
  <c r="AB3" i="11"/>
  <c r="AB2" i="11" s="1"/>
  <c r="AA3" i="11"/>
  <c r="AA2" i="11" s="1"/>
  <c r="Z3" i="11"/>
  <c r="Z2" i="11" s="1"/>
  <c r="Y3" i="11"/>
  <c r="Y2" i="11" s="1"/>
  <c r="X3" i="11"/>
  <c r="X2" i="11" s="1"/>
  <c r="W3" i="11"/>
  <c r="W2" i="11" s="1"/>
  <c r="V3" i="11"/>
  <c r="V2" i="11" s="1"/>
  <c r="U3" i="11"/>
  <c r="U2" i="11" s="1"/>
  <c r="T3" i="11"/>
  <c r="T2" i="11" s="1"/>
  <c r="S3" i="11"/>
  <c r="S2" i="11" s="1"/>
  <c r="R3" i="11"/>
  <c r="R2" i="11" s="1"/>
  <c r="Q3" i="11"/>
  <c r="Q2" i="11" s="1"/>
  <c r="P3" i="11"/>
  <c r="P2" i="11" s="1"/>
  <c r="O3" i="11"/>
  <c r="O2" i="11" s="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G15" i="11"/>
  <c r="H15" i="11" s="1"/>
  <c r="G11" i="11" l="1"/>
  <c r="G12" i="11"/>
  <c r="H12" i="11"/>
  <c r="J8" i="1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AW8" i="11" s="1"/>
  <c r="AX8" i="11" s="1"/>
  <c r="AY8" i="11" s="1"/>
  <c r="AZ8" i="11" s="1"/>
  <c r="BA8" i="11" s="1"/>
  <c r="BB8" i="11" s="1"/>
  <c r="BC8" i="11" s="1"/>
  <c r="BD8" i="11" s="1"/>
  <c r="BE8" i="11" s="1"/>
  <c r="BF8" i="11" s="1"/>
  <c r="BG8" i="11" s="1"/>
  <c r="BH8" i="11" s="1"/>
  <c r="BI8" i="11" s="1"/>
  <c r="BJ8" i="11" s="1"/>
  <c r="BK8" i="11" s="1"/>
  <c r="BL8" i="11" s="1"/>
  <c r="BM8" i="11" s="1"/>
  <c r="BN8" i="11" s="1"/>
  <c r="BO8" i="11" s="1"/>
  <c r="BP8" i="11" s="1"/>
  <c r="BQ8" i="11" s="1"/>
  <c r="BR8" i="11" s="1"/>
  <c r="BS8" i="11" s="1"/>
  <c r="BT8" i="11" s="1"/>
  <c r="BU8" i="11" s="1"/>
  <c r="BV8" i="11" s="1"/>
  <c r="BW8" i="11" s="1"/>
  <c r="BX8" i="11" s="1"/>
  <c r="BY8" i="11" s="1"/>
  <c r="BZ8" i="11" s="1"/>
  <c r="CA8" i="11" s="1"/>
  <c r="CB8" i="11" s="1"/>
  <c r="CC8" i="11" s="1"/>
  <c r="CD8" i="11" s="1"/>
  <c r="CE8" i="11" s="1"/>
  <c r="CF8" i="11" s="1"/>
  <c r="CG8" i="11" s="1"/>
  <c r="CH8" i="11" s="1"/>
  <c r="CI8" i="11" s="1"/>
  <c r="CJ8" i="11" s="1"/>
  <c r="CK8" i="11" s="1"/>
  <c r="CL8" i="11" s="1"/>
  <c r="CM8" i="11" s="1"/>
  <c r="CN8" i="11" s="1"/>
  <c r="CO8" i="11" s="1"/>
  <c r="CP8" i="11" s="1"/>
  <c r="CQ8" i="11" s="1"/>
  <c r="J7" i="1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N3" i="11"/>
  <c r="N2" i="11" s="1"/>
  <c r="N1" i="11"/>
  <c r="C206" i="11" l="1"/>
  <c r="B206" i="11"/>
  <c r="C205" i="11"/>
  <c r="B205" i="11"/>
  <c r="C204" i="11"/>
  <c r="B204" i="11"/>
  <c r="C203" i="11"/>
  <c r="B203" i="11"/>
  <c r="C202" i="11"/>
  <c r="B202" i="11"/>
  <c r="C201" i="11"/>
  <c r="B201" i="11"/>
  <c r="C200" i="11"/>
  <c r="B200" i="11"/>
  <c r="C199" i="11"/>
  <c r="B199" i="11"/>
  <c r="C198" i="11"/>
  <c r="B198" i="11"/>
  <c r="C197" i="11"/>
  <c r="B197" i="11"/>
  <c r="C196" i="11"/>
  <c r="B196" i="11"/>
  <c r="C195" i="11"/>
  <c r="B195" i="11"/>
  <c r="C194" i="11"/>
  <c r="B194" i="11"/>
  <c r="C193" i="11"/>
  <c r="B193" i="11"/>
  <c r="C192" i="11"/>
  <c r="B192" i="11"/>
  <c r="C191" i="11"/>
  <c r="B191" i="11"/>
  <c r="C190" i="11"/>
  <c r="B190" i="11"/>
  <c r="C189" i="11"/>
  <c r="B189" i="11"/>
  <c r="C188" i="11"/>
  <c r="B188" i="11"/>
  <c r="C187" i="11"/>
  <c r="B187" i="11"/>
  <c r="C186" i="11"/>
  <c r="B186" i="11"/>
  <c r="C185" i="11"/>
  <c r="B185" i="11"/>
  <c r="C184" i="11"/>
  <c r="B184" i="11"/>
  <c r="C183" i="11"/>
  <c r="B183" i="11"/>
  <c r="C182" i="11"/>
  <c r="B182" i="11"/>
  <c r="C181" i="11"/>
  <c r="B181" i="11"/>
  <c r="C180" i="11"/>
  <c r="B180" i="11"/>
  <c r="C179" i="11"/>
  <c r="B179" i="11"/>
  <c r="C178" i="11"/>
  <c r="B178" i="11"/>
  <c r="C177" i="11"/>
  <c r="B177" i="11"/>
  <c r="C176" i="11"/>
  <c r="B176" i="11"/>
  <c r="C175" i="11"/>
  <c r="B175" i="11"/>
  <c r="C174" i="11"/>
  <c r="B174" i="11"/>
  <c r="C173" i="11"/>
  <c r="B173" i="11"/>
  <c r="C172" i="11"/>
  <c r="B172" i="11"/>
  <c r="C171" i="11"/>
  <c r="B171" i="11"/>
  <c r="C170" i="11"/>
  <c r="B170" i="11"/>
  <c r="C169" i="11"/>
  <c r="B169" i="11"/>
  <c r="C168" i="11"/>
  <c r="B168" i="11"/>
  <c r="C167" i="11"/>
  <c r="B167" i="11"/>
  <c r="C166" i="11"/>
  <c r="B166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36" i="11"/>
  <c r="B136" i="11"/>
  <c r="C135" i="11"/>
  <c r="B135" i="11"/>
  <c r="C134" i="11"/>
  <c r="B134" i="11"/>
  <c r="C133" i="11"/>
  <c r="B133" i="11"/>
  <c r="C132" i="11"/>
  <c r="B132" i="11"/>
  <c r="C131" i="11"/>
  <c r="B131" i="11"/>
  <c r="C130" i="11"/>
  <c r="B130" i="11"/>
  <c r="C129" i="11"/>
  <c r="B129" i="11"/>
  <c r="C128" i="11"/>
  <c r="B128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B67" i="11"/>
  <c r="C67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M1" i="11" l="1"/>
  <c r="L1" i="11"/>
  <c r="K1" i="11"/>
  <c r="I1" i="11" l="1"/>
  <c r="H1" i="11" s="1"/>
  <c r="M3" i="11"/>
  <c r="M2" i="11" s="1"/>
  <c r="L3" i="11"/>
  <c r="L2" i="11" s="1"/>
  <c r="K3" i="11"/>
  <c r="K2" i="11" s="1"/>
  <c r="H10" i="11"/>
  <c r="B157" i="11"/>
  <c r="C157" i="11"/>
  <c r="B137" i="11"/>
  <c r="B97" i="11"/>
  <c r="B96" i="11"/>
  <c r="B95" i="11"/>
  <c r="B94" i="11"/>
  <c r="B93" i="11"/>
  <c r="B92" i="11"/>
  <c r="B91" i="11"/>
  <c r="B90" i="11"/>
  <c r="B89" i="11"/>
  <c r="B88" i="11"/>
  <c r="B55" i="11"/>
  <c r="B54" i="11"/>
  <c r="B53" i="11"/>
  <c r="B52" i="11"/>
  <c r="B36" i="11"/>
  <c r="B35" i="11"/>
  <c r="B34" i="11"/>
  <c r="B33" i="11"/>
  <c r="B32" i="11"/>
  <c r="B18" i="11"/>
  <c r="C137" i="11"/>
  <c r="C97" i="11"/>
  <c r="C96" i="11"/>
  <c r="C95" i="11"/>
  <c r="C94" i="11"/>
  <c r="C93" i="11"/>
  <c r="C92" i="11"/>
  <c r="C91" i="11"/>
  <c r="C90" i="11"/>
  <c r="C89" i="11"/>
  <c r="C88" i="11"/>
  <c r="C55" i="11"/>
  <c r="C54" i="11"/>
  <c r="C53" i="11"/>
  <c r="C52" i="11"/>
  <c r="C36" i="11"/>
  <c r="C35" i="11"/>
  <c r="C34" i="11"/>
  <c r="C33" i="11"/>
  <c r="C32" i="11"/>
  <c r="C18" i="11"/>
  <c r="G10" i="11" l="1"/>
  <c r="I10" i="10" l="1"/>
  <c r="I9" i="10"/>
  <c r="I8" i="10"/>
  <c r="AG4" i="4" l="1"/>
  <c r="AJ4" i="4" l="1"/>
  <c r="AI4" i="4"/>
  <c r="AH4" i="4"/>
  <c r="AF4" i="4"/>
  <c r="AK4" i="4" l="1"/>
  <c r="D25" i="8" l="1"/>
  <c r="C11" i="8"/>
  <c r="C2" i="8"/>
  <c r="D23" i="8"/>
  <c r="D22" i="8"/>
  <c r="D16" i="8"/>
  <c r="D19" i="8"/>
  <c r="D21" i="8"/>
  <c r="D18" i="8"/>
  <c r="D17" i="8"/>
  <c r="D28" i="8"/>
  <c r="D24" i="8"/>
  <c r="D27" i="8"/>
  <c r="D15" i="8"/>
  <c r="D20" i="8"/>
  <c r="D26" i="8" l="1"/>
  <c r="D29" i="8" s="1"/>
  <c r="D7" i="8"/>
  <c r="Y71" i="4"/>
  <c r="Y69" i="4"/>
  <c r="Y68" i="4"/>
  <c r="Y67" i="4"/>
  <c r="Y66" i="4"/>
  <c r="Y59" i="4"/>
  <c r="Y39" i="4"/>
  <c r="Y26" i="4"/>
  <c r="Y25" i="4"/>
  <c r="Y24" i="4"/>
  <c r="Y21" i="4"/>
  <c r="Y19" i="4"/>
  <c r="Y18" i="4"/>
  <c r="Y15" i="4"/>
  <c r="Y70" i="4"/>
  <c r="Y64" i="4"/>
  <c r="Y63" i="4"/>
  <c r="Y62" i="4"/>
  <c r="Y61" i="4"/>
  <c r="Y60" i="4"/>
  <c r="Y58" i="4"/>
  <c r="Y57" i="4"/>
  <c r="Y56" i="4"/>
  <c r="Y55" i="4"/>
  <c r="Y54" i="4"/>
  <c r="Y53" i="4"/>
  <c r="Y22" i="4"/>
  <c r="Y20" i="4"/>
  <c r="Y14" i="4"/>
  <c r="Y13" i="4"/>
  <c r="Y12" i="4"/>
  <c r="Y11" i="4"/>
  <c r="Y10" i="4"/>
  <c r="Y9" i="4"/>
  <c r="Y8" i="4"/>
  <c r="Y7" i="4"/>
  <c r="Y6" i="4"/>
  <c r="Y5" i="4"/>
  <c r="Y4" i="4"/>
  <c r="Y65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8" i="4"/>
  <c r="Y37" i="4"/>
  <c r="Y36" i="4"/>
  <c r="Y35" i="4"/>
  <c r="Y34" i="4"/>
  <c r="Y33" i="4"/>
  <c r="Y32" i="4"/>
  <c r="Y31" i="4"/>
  <c r="Y30" i="4"/>
  <c r="Y29" i="4"/>
  <c r="Y28" i="4"/>
  <c r="Y27" i="4"/>
  <c r="Y23" i="4"/>
  <c r="D6" i="8"/>
  <c r="D5" i="8"/>
  <c r="D8" i="8" l="1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444" i="1"/>
  <c r="U444" i="1" s="1"/>
  <c r="B443" i="1"/>
  <c r="U443" i="1" s="1"/>
  <c r="B442" i="1"/>
  <c r="U442" i="1" s="1"/>
  <c r="B441" i="1"/>
  <c r="U441" i="1" s="1"/>
  <c r="B440" i="1"/>
  <c r="U440" i="1" s="1"/>
  <c r="B439" i="1"/>
  <c r="U439" i="1" s="1"/>
  <c r="B438" i="1"/>
  <c r="U438" i="1" s="1"/>
  <c r="B437" i="1"/>
  <c r="U437" i="1" s="1"/>
  <c r="B436" i="1"/>
  <c r="U436" i="1" s="1"/>
  <c r="B435" i="1"/>
  <c r="U435" i="1" s="1"/>
  <c r="B434" i="1"/>
  <c r="U434" i="1" s="1"/>
  <c r="B433" i="1"/>
  <c r="U433" i="1" s="1"/>
  <c r="B432" i="1"/>
  <c r="U432" i="1" s="1"/>
  <c r="B431" i="1"/>
  <c r="U431" i="1" s="1"/>
  <c r="B430" i="1"/>
  <c r="U430" i="1" s="1"/>
  <c r="B429" i="1"/>
  <c r="U429" i="1" s="1"/>
  <c r="B428" i="1"/>
  <c r="U428" i="1" s="1"/>
  <c r="B427" i="1"/>
  <c r="U427" i="1" s="1"/>
  <c r="B426" i="1"/>
  <c r="U426" i="1" s="1"/>
  <c r="B425" i="1"/>
  <c r="U425" i="1" s="1"/>
  <c r="B424" i="1"/>
  <c r="U424" i="1" s="1"/>
  <c r="B423" i="1"/>
  <c r="U423" i="1" s="1"/>
  <c r="B422" i="1"/>
  <c r="U422" i="1" s="1"/>
  <c r="B421" i="1"/>
  <c r="U421" i="1" s="1"/>
  <c r="B420" i="1"/>
  <c r="U420" i="1" s="1"/>
  <c r="B419" i="1"/>
  <c r="U419" i="1" s="1"/>
  <c r="B418" i="1"/>
  <c r="U418" i="1" s="1"/>
  <c r="B417" i="1"/>
  <c r="U417" i="1" s="1"/>
  <c r="B416" i="1"/>
  <c r="U416" i="1" s="1"/>
  <c r="B415" i="1"/>
  <c r="U415" i="1" s="1"/>
  <c r="B414" i="1"/>
  <c r="U414" i="1" s="1"/>
  <c r="B413" i="1"/>
  <c r="U413" i="1" s="1"/>
  <c r="B412" i="1"/>
  <c r="U412" i="1" s="1"/>
  <c r="B411" i="1"/>
  <c r="U411" i="1" s="1"/>
  <c r="B410" i="1"/>
  <c r="U410" i="1" s="1"/>
  <c r="B409" i="1"/>
  <c r="U409" i="1" s="1"/>
  <c r="B408" i="1"/>
  <c r="U408" i="1" s="1"/>
  <c r="B407" i="1"/>
  <c r="U407" i="1" s="1"/>
  <c r="B406" i="1"/>
  <c r="U406" i="1" s="1"/>
  <c r="B405" i="1"/>
  <c r="U405" i="1" s="1"/>
  <c r="B404" i="1"/>
  <c r="U404" i="1" s="1"/>
  <c r="B403" i="1"/>
  <c r="U403" i="1" s="1"/>
  <c r="B402" i="1"/>
  <c r="U402" i="1" s="1"/>
  <c r="B401" i="1"/>
  <c r="U401" i="1" s="1"/>
  <c r="B400" i="1"/>
  <c r="U400" i="1" s="1"/>
  <c r="B399" i="1"/>
  <c r="U399" i="1" s="1"/>
  <c r="B398" i="1"/>
  <c r="U398" i="1" s="1"/>
  <c r="B397" i="1"/>
  <c r="U397" i="1" s="1"/>
  <c r="B396" i="1"/>
  <c r="U396" i="1" s="1"/>
  <c r="B395" i="1"/>
  <c r="U395" i="1" s="1"/>
  <c r="B394" i="1"/>
  <c r="U394" i="1" s="1"/>
  <c r="B393" i="1"/>
  <c r="U393" i="1" s="1"/>
  <c r="B392" i="1"/>
  <c r="U392" i="1" s="1"/>
  <c r="B391" i="1"/>
  <c r="U391" i="1" s="1"/>
  <c r="B390" i="1"/>
  <c r="U390" i="1" s="1"/>
  <c r="B389" i="1"/>
  <c r="U389" i="1" s="1"/>
  <c r="B388" i="1"/>
  <c r="U388" i="1" s="1"/>
  <c r="B387" i="1"/>
  <c r="U387" i="1" s="1"/>
  <c r="B386" i="1"/>
  <c r="U386" i="1" s="1"/>
  <c r="B385" i="1"/>
  <c r="U385" i="1" s="1"/>
  <c r="B384" i="1"/>
  <c r="U384" i="1" s="1"/>
  <c r="B383" i="1"/>
  <c r="U383" i="1" s="1"/>
  <c r="B382" i="1"/>
  <c r="U382" i="1" s="1"/>
  <c r="B381" i="1"/>
  <c r="U381" i="1" s="1"/>
  <c r="B380" i="1"/>
  <c r="U380" i="1" s="1"/>
  <c r="B379" i="1"/>
  <c r="U379" i="1" s="1"/>
  <c r="B378" i="1"/>
  <c r="U378" i="1" s="1"/>
  <c r="B377" i="1"/>
  <c r="U377" i="1" s="1"/>
  <c r="B376" i="1"/>
  <c r="U376" i="1" s="1"/>
  <c r="B375" i="1"/>
  <c r="U375" i="1" s="1"/>
  <c r="B374" i="1"/>
  <c r="U374" i="1" s="1"/>
  <c r="B373" i="1"/>
  <c r="U373" i="1" s="1"/>
  <c r="B372" i="1"/>
  <c r="U372" i="1" s="1"/>
  <c r="B371" i="1"/>
  <c r="U371" i="1" s="1"/>
  <c r="B370" i="1"/>
  <c r="U370" i="1" s="1"/>
  <c r="B369" i="1"/>
  <c r="U369" i="1" s="1"/>
  <c r="B368" i="1"/>
  <c r="U368" i="1" s="1"/>
  <c r="B367" i="1"/>
  <c r="U367" i="1" s="1"/>
  <c r="B366" i="1"/>
  <c r="U366" i="1" s="1"/>
  <c r="B365" i="1"/>
  <c r="U365" i="1" s="1"/>
  <c r="B364" i="1"/>
  <c r="U364" i="1" s="1"/>
  <c r="B363" i="1"/>
  <c r="U363" i="1" s="1"/>
  <c r="B362" i="1"/>
  <c r="U362" i="1" s="1"/>
  <c r="B361" i="1"/>
  <c r="U361" i="1" s="1"/>
  <c r="B360" i="1"/>
  <c r="U360" i="1" s="1"/>
  <c r="B359" i="1"/>
  <c r="U359" i="1" s="1"/>
  <c r="B358" i="1"/>
  <c r="U358" i="1" s="1"/>
  <c r="B357" i="1"/>
  <c r="U357" i="1" s="1"/>
  <c r="B356" i="1"/>
  <c r="U356" i="1" s="1"/>
  <c r="B355" i="1"/>
  <c r="U355" i="1" s="1"/>
  <c r="B354" i="1"/>
  <c r="U354" i="1" s="1"/>
  <c r="B353" i="1"/>
  <c r="U353" i="1" s="1"/>
  <c r="B352" i="1"/>
  <c r="U352" i="1" s="1"/>
  <c r="B351" i="1"/>
  <c r="U351" i="1" s="1"/>
  <c r="B350" i="1"/>
  <c r="U350" i="1" s="1"/>
  <c r="B349" i="1"/>
  <c r="U349" i="1" s="1"/>
  <c r="B348" i="1"/>
  <c r="U348" i="1" s="1"/>
  <c r="B347" i="1"/>
  <c r="U347" i="1" s="1"/>
  <c r="B346" i="1"/>
  <c r="U346" i="1" s="1"/>
  <c r="B345" i="1"/>
  <c r="U345" i="1" s="1"/>
  <c r="B344" i="1"/>
  <c r="U344" i="1" s="1"/>
  <c r="B343" i="1"/>
  <c r="U343" i="1" s="1"/>
  <c r="B342" i="1"/>
  <c r="U342" i="1" s="1"/>
  <c r="B341" i="1"/>
  <c r="U341" i="1" s="1"/>
  <c r="B340" i="1"/>
  <c r="U340" i="1" s="1"/>
  <c r="B339" i="1"/>
  <c r="U339" i="1" s="1"/>
  <c r="B338" i="1"/>
  <c r="U338" i="1" s="1"/>
  <c r="B337" i="1"/>
  <c r="U337" i="1" s="1"/>
  <c r="B336" i="1"/>
  <c r="U336" i="1" s="1"/>
  <c r="B335" i="1"/>
  <c r="U335" i="1" s="1"/>
  <c r="B334" i="1"/>
  <c r="U334" i="1" s="1"/>
  <c r="B333" i="1"/>
  <c r="U333" i="1" s="1"/>
  <c r="B332" i="1"/>
  <c r="U332" i="1" s="1"/>
  <c r="B331" i="1"/>
  <c r="U331" i="1" s="1"/>
  <c r="B330" i="1"/>
  <c r="U330" i="1" s="1"/>
  <c r="B329" i="1"/>
  <c r="U329" i="1" s="1"/>
  <c r="B328" i="1"/>
  <c r="U328" i="1" s="1"/>
  <c r="B327" i="1"/>
  <c r="U327" i="1" s="1"/>
  <c r="B326" i="1"/>
  <c r="U326" i="1" s="1"/>
  <c r="B325" i="1"/>
  <c r="U325" i="1" s="1"/>
  <c r="B324" i="1"/>
  <c r="U324" i="1" s="1"/>
  <c r="B323" i="1"/>
  <c r="U323" i="1" s="1"/>
  <c r="B322" i="1"/>
  <c r="U322" i="1" s="1"/>
  <c r="B321" i="1"/>
  <c r="U321" i="1" s="1"/>
  <c r="B320" i="1"/>
  <c r="U320" i="1" s="1"/>
  <c r="B319" i="1"/>
  <c r="U319" i="1" s="1"/>
  <c r="B318" i="1"/>
  <c r="U318" i="1" s="1"/>
  <c r="B317" i="1"/>
  <c r="U317" i="1" s="1"/>
  <c r="B316" i="1"/>
  <c r="U316" i="1" s="1"/>
  <c r="B315" i="1"/>
  <c r="U315" i="1" s="1"/>
  <c r="B314" i="1"/>
  <c r="U314" i="1" s="1"/>
  <c r="B313" i="1"/>
  <c r="U313" i="1" s="1"/>
  <c r="B312" i="1"/>
  <c r="U312" i="1" s="1"/>
  <c r="B311" i="1"/>
  <c r="U311" i="1" s="1"/>
  <c r="B310" i="1"/>
  <c r="U310" i="1" s="1"/>
  <c r="B309" i="1"/>
  <c r="U309" i="1" s="1"/>
  <c r="B308" i="1"/>
  <c r="U308" i="1" s="1"/>
  <c r="B307" i="1"/>
  <c r="U307" i="1" s="1"/>
  <c r="B306" i="1"/>
  <c r="U306" i="1" s="1"/>
  <c r="B305" i="1"/>
  <c r="U305" i="1" s="1"/>
  <c r="B304" i="1"/>
  <c r="U304" i="1" s="1"/>
  <c r="B303" i="1"/>
  <c r="U303" i="1" s="1"/>
  <c r="B302" i="1"/>
  <c r="U302" i="1" s="1"/>
  <c r="B301" i="1"/>
  <c r="U301" i="1" s="1"/>
  <c r="B300" i="1"/>
  <c r="U300" i="1" s="1"/>
  <c r="B299" i="1"/>
  <c r="U299" i="1" s="1"/>
  <c r="B298" i="1"/>
  <c r="U298" i="1" s="1"/>
  <c r="B297" i="1"/>
  <c r="U297" i="1" s="1"/>
  <c r="B296" i="1"/>
  <c r="U296" i="1" s="1"/>
  <c r="B295" i="1"/>
  <c r="U295" i="1" s="1"/>
  <c r="B294" i="1"/>
  <c r="U294" i="1" s="1"/>
  <c r="B293" i="1"/>
  <c r="U293" i="1" s="1"/>
  <c r="B292" i="1"/>
  <c r="U292" i="1" s="1"/>
  <c r="B291" i="1"/>
  <c r="U291" i="1" s="1"/>
  <c r="B290" i="1"/>
  <c r="U290" i="1" s="1"/>
  <c r="B289" i="1"/>
  <c r="U289" i="1" s="1"/>
  <c r="B288" i="1"/>
  <c r="U288" i="1" s="1"/>
  <c r="B287" i="1"/>
  <c r="U287" i="1" s="1"/>
  <c r="B286" i="1"/>
  <c r="U286" i="1" s="1"/>
  <c r="B285" i="1"/>
  <c r="U285" i="1" s="1"/>
  <c r="B284" i="1"/>
  <c r="U284" i="1" s="1"/>
  <c r="B283" i="1"/>
  <c r="U283" i="1" s="1"/>
  <c r="B282" i="1"/>
  <c r="U282" i="1" s="1"/>
  <c r="B281" i="1"/>
  <c r="U281" i="1" s="1"/>
  <c r="B280" i="1"/>
  <c r="U280" i="1" s="1"/>
  <c r="B279" i="1"/>
  <c r="U279" i="1" s="1"/>
  <c r="B278" i="1"/>
  <c r="U278" i="1" s="1"/>
  <c r="B277" i="1"/>
  <c r="U277" i="1" s="1"/>
  <c r="B276" i="1"/>
  <c r="U276" i="1" s="1"/>
  <c r="B275" i="1"/>
  <c r="U275" i="1" s="1"/>
  <c r="B274" i="1"/>
  <c r="U274" i="1" s="1"/>
  <c r="B273" i="1"/>
  <c r="U273" i="1" s="1"/>
  <c r="B272" i="1"/>
  <c r="U272" i="1" s="1"/>
  <c r="B271" i="1"/>
  <c r="U271" i="1" s="1"/>
  <c r="B270" i="1"/>
  <c r="U270" i="1" s="1"/>
  <c r="B269" i="1"/>
  <c r="U269" i="1" s="1"/>
  <c r="B268" i="1"/>
  <c r="U268" i="1" s="1"/>
  <c r="B267" i="1"/>
  <c r="U267" i="1" s="1"/>
  <c r="B266" i="1"/>
  <c r="U266" i="1" s="1"/>
  <c r="B265" i="1"/>
  <c r="U265" i="1" s="1"/>
  <c r="B264" i="1"/>
  <c r="U264" i="1" s="1"/>
  <c r="B263" i="1"/>
  <c r="U263" i="1" s="1"/>
  <c r="B262" i="1"/>
  <c r="U262" i="1" s="1"/>
  <c r="B261" i="1"/>
  <c r="U261" i="1" s="1"/>
  <c r="B260" i="1"/>
  <c r="U260" i="1" s="1"/>
  <c r="B259" i="1"/>
  <c r="U259" i="1" s="1"/>
  <c r="B258" i="1"/>
  <c r="U258" i="1" s="1"/>
  <c r="B257" i="1"/>
  <c r="U257" i="1" s="1"/>
  <c r="B256" i="1"/>
  <c r="U256" i="1" s="1"/>
  <c r="B255" i="1"/>
  <c r="U255" i="1" s="1"/>
  <c r="B254" i="1"/>
  <c r="U254" i="1" s="1"/>
  <c r="B253" i="1"/>
  <c r="U253" i="1" s="1"/>
  <c r="B252" i="1"/>
  <c r="U252" i="1" s="1"/>
  <c r="B251" i="1"/>
  <c r="U251" i="1" s="1"/>
  <c r="B250" i="1"/>
  <c r="U250" i="1" s="1"/>
  <c r="B249" i="1"/>
  <c r="U249" i="1" s="1"/>
  <c r="B248" i="1"/>
  <c r="U248" i="1" s="1"/>
  <c r="B247" i="1"/>
  <c r="U247" i="1" s="1"/>
  <c r="B246" i="1"/>
  <c r="U246" i="1" s="1"/>
  <c r="B245" i="1"/>
  <c r="U245" i="1" s="1"/>
  <c r="B244" i="1"/>
  <c r="U244" i="1" s="1"/>
  <c r="B243" i="1"/>
  <c r="U243" i="1" s="1"/>
  <c r="B242" i="1"/>
  <c r="U242" i="1" s="1"/>
  <c r="B241" i="1"/>
  <c r="U241" i="1" s="1"/>
  <c r="B240" i="1"/>
  <c r="U240" i="1" s="1"/>
  <c r="B239" i="1"/>
  <c r="U239" i="1" s="1"/>
  <c r="B238" i="1"/>
  <c r="U238" i="1" s="1"/>
  <c r="B237" i="1"/>
  <c r="U237" i="1" s="1"/>
  <c r="B236" i="1"/>
  <c r="U236" i="1" s="1"/>
  <c r="B235" i="1"/>
  <c r="U235" i="1" s="1"/>
  <c r="B234" i="1"/>
  <c r="U234" i="1" s="1"/>
  <c r="B233" i="1"/>
  <c r="U233" i="1" s="1"/>
  <c r="B232" i="1"/>
  <c r="U232" i="1" s="1"/>
  <c r="B231" i="1"/>
  <c r="U231" i="1" s="1"/>
  <c r="B230" i="1"/>
  <c r="U230" i="1" s="1"/>
  <c r="B229" i="1"/>
  <c r="U229" i="1" s="1"/>
  <c r="B228" i="1"/>
  <c r="U228" i="1" s="1"/>
  <c r="B227" i="1"/>
  <c r="U227" i="1" s="1"/>
  <c r="B226" i="1"/>
  <c r="U226" i="1" s="1"/>
  <c r="B225" i="1"/>
  <c r="U225" i="1" s="1"/>
  <c r="B224" i="1"/>
  <c r="U224" i="1" s="1"/>
  <c r="B223" i="1"/>
  <c r="U223" i="1" s="1"/>
  <c r="B222" i="1"/>
  <c r="U222" i="1" s="1"/>
  <c r="B221" i="1"/>
  <c r="U221" i="1" s="1"/>
  <c r="B220" i="1"/>
  <c r="U220" i="1" s="1"/>
  <c r="B219" i="1"/>
  <c r="U219" i="1" s="1"/>
  <c r="B218" i="1"/>
  <c r="U218" i="1" s="1"/>
  <c r="B217" i="1"/>
  <c r="U217" i="1" s="1"/>
  <c r="B216" i="1"/>
  <c r="U216" i="1" s="1"/>
  <c r="B215" i="1"/>
  <c r="U215" i="1" s="1"/>
  <c r="B214" i="1"/>
  <c r="U214" i="1" s="1"/>
  <c r="B213" i="1"/>
  <c r="U213" i="1" s="1"/>
  <c r="B212" i="1"/>
  <c r="U212" i="1" s="1"/>
  <c r="B211" i="1"/>
  <c r="U211" i="1" s="1"/>
  <c r="B210" i="1"/>
  <c r="U210" i="1" s="1"/>
  <c r="B209" i="1"/>
  <c r="U209" i="1" s="1"/>
  <c r="B208" i="1"/>
  <c r="U208" i="1" s="1"/>
  <c r="B207" i="1"/>
  <c r="U207" i="1" s="1"/>
  <c r="B206" i="1"/>
  <c r="U206" i="1" s="1"/>
  <c r="B205" i="1"/>
  <c r="U205" i="1" s="1"/>
  <c r="B204" i="1"/>
  <c r="U204" i="1" s="1"/>
  <c r="B203" i="1"/>
  <c r="U203" i="1" s="1"/>
  <c r="B202" i="1"/>
  <c r="U202" i="1" s="1"/>
  <c r="B201" i="1"/>
  <c r="U201" i="1" s="1"/>
  <c r="B200" i="1"/>
  <c r="U200" i="1" s="1"/>
  <c r="B199" i="1"/>
  <c r="U199" i="1" s="1"/>
  <c r="B198" i="1"/>
  <c r="U198" i="1" s="1"/>
  <c r="B197" i="1"/>
  <c r="U197" i="1" s="1"/>
  <c r="B196" i="1"/>
  <c r="U196" i="1" s="1"/>
  <c r="B195" i="1"/>
  <c r="U195" i="1" s="1"/>
  <c r="B194" i="1"/>
  <c r="U194" i="1" s="1"/>
  <c r="B193" i="1"/>
  <c r="U193" i="1" s="1"/>
  <c r="B192" i="1"/>
  <c r="U192" i="1" s="1"/>
  <c r="B191" i="1"/>
  <c r="U191" i="1" s="1"/>
  <c r="B190" i="1"/>
  <c r="U190" i="1" s="1"/>
  <c r="B189" i="1"/>
  <c r="U189" i="1" s="1"/>
  <c r="B188" i="1"/>
  <c r="U188" i="1" s="1"/>
  <c r="B187" i="1"/>
  <c r="U187" i="1" s="1"/>
  <c r="B186" i="1"/>
  <c r="U186" i="1" s="1"/>
  <c r="B185" i="1"/>
  <c r="U185" i="1" s="1"/>
  <c r="B184" i="1"/>
  <c r="U184" i="1" s="1"/>
  <c r="B183" i="1"/>
  <c r="U183" i="1" s="1"/>
  <c r="B182" i="1"/>
  <c r="U182" i="1" s="1"/>
  <c r="B181" i="1"/>
  <c r="U181" i="1" s="1"/>
  <c r="B180" i="1"/>
  <c r="U180" i="1" s="1"/>
  <c r="B179" i="1"/>
  <c r="U179" i="1" s="1"/>
  <c r="B178" i="1"/>
  <c r="U178" i="1" s="1"/>
  <c r="B177" i="1"/>
  <c r="U177" i="1" s="1"/>
  <c r="B176" i="1"/>
  <c r="U176" i="1" s="1"/>
  <c r="B175" i="1"/>
  <c r="U175" i="1" s="1"/>
  <c r="B174" i="1"/>
  <c r="U174" i="1" s="1"/>
  <c r="B173" i="1"/>
  <c r="U173" i="1" s="1"/>
  <c r="B172" i="1"/>
  <c r="U172" i="1" s="1"/>
  <c r="B171" i="1"/>
  <c r="U171" i="1" s="1"/>
  <c r="B170" i="1"/>
  <c r="U170" i="1" s="1"/>
  <c r="B169" i="1"/>
  <c r="U169" i="1" s="1"/>
  <c r="B168" i="1"/>
  <c r="U168" i="1" s="1"/>
  <c r="B167" i="1"/>
  <c r="U167" i="1" s="1"/>
  <c r="B166" i="1"/>
  <c r="U166" i="1" s="1"/>
  <c r="B165" i="1"/>
  <c r="U165" i="1" s="1"/>
  <c r="B164" i="1"/>
  <c r="U164" i="1" s="1"/>
  <c r="B163" i="1"/>
  <c r="U163" i="1" s="1"/>
  <c r="B162" i="1"/>
  <c r="U162" i="1" s="1"/>
  <c r="B161" i="1"/>
  <c r="U161" i="1" s="1"/>
  <c r="B160" i="1"/>
  <c r="U160" i="1" s="1"/>
  <c r="B159" i="1"/>
  <c r="U159" i="1" s="1"/>
  <c r="B158" i="1"/>
  <c r="U158" i="1" s="1"/>
  <c r="B157" i="1"/>
  <c r="U157" i="1" s="1"/>
  <c r="B156" i="1"/>
  <c r="U156" i="1" s="1"/>
  <c r="B155" i="1"/>
  <c r="U155" i="1" s="1"/>
  <c r="B154" i="1"/>
  <c r="U154" i="1" s="1"/>
  <c r="B153" i="1"/>
  <c r="U153" i="1" s="1"/>
  <c r="B152" i="1"/>
  <c r="U152" i="1" s="1"/>
  <c r="B151" i="1"/>
  <c r="U151" i="1" s="1"/>
  <c r="B150" i="1"/>
  <c r="U150" i="1" s="1"/>
  <c r="B149" i="1"/>
  <c r="U149" i="1" s="1"/>
  <c r="B148" i="1"/>
  <c r="U148" i="1" s="1"/>
  <c r="B147" i="1"/>
  <c r="U147" i="1" s="1"/>
  <c r="B146" i="1"/>
  <c r="U146" i="1" s="1"/>
  <c r="B145" i="1"/>
  <c r="U145" i="1" s="1"/>
  <c r="B144" i="1"/>
  <c r="U144" i="1" s="1"/>
  <c r="B143" i="1"/>
  <c r="U143" i="1" s="1"/>
  <c r="B142" i="1"/>
  <c r="U142" i="1" s="1"/>
  <c r="B141" i="1"/>
  <c r="U141" i="1" s="1"/>
  <c r="B140" i="1"/>
  <c r="U140" i="1" s="1"/>
  <c r="B139" i="1"/>
  <c r="U139" i="1" s="1"/>
  <c r="B138" i="1"/>
  <c r="U138" i="1" s="1"/>
  <c r="B137" i="1"/>
  <c r="U137" i="1" s="1"/>
  <c r="B136" i="1"/>
  <c r="U136" i="1" s="1"/>
  <c r="B135" i="1"/>
  <c r="U135" i="1" s="1"/>
  <c r="B134" i="1"/>
  <c r="U134" i="1" s="1"/>
  <c r="B133" i="1"/>
  <c r="U133" i="1" s="1"/>
  <c r="B132" i="1"/>
  <c r="U132" i="1" s="1"/>
  <c r="B131" i="1"/>
  <c r="U131" i="1" s="1"/>
  <c r="B130" i="1"/>
  <c r="U130" i="1" s="1"/>
  <c r="B129" i="1"/>
  <c r="U129" i="1" s="1"/>
  <c r="B128" i="1"/>
  <c r="U128" i="1" s="1"/>
  <c r="B127" i="1"/>
  <c r="U127" i="1" s="1"/>
  <c r="B126" i="1"/>
  <c r="U126" i="1" s="1"/>
  <c r="B125" i="1"/>
  <c r="U125" i="1" s="1"/>
  <c r="B124" i="1"/>
  <c r="U124" i="1" s="1"/>
  <c r="B123" i="1"/>
  <c r="U123" i="1" s="1"/>
  <c r="B122" i="1"/>
  <c r="U122" i="1" s="1"/>
  <c r="B121" i="1"/>
  <c r="U121" i="1" s="1"/>
  <c r="B120" i="1"/>
  <c r="U120" i="1" s="1"/>
  <c r="B119" i="1"/>
  <c r="U119" i="1" s="1"/>
  <c r="B118" i="1"/>
  <c r="U118" i="1" s="1"/>
  <c r="B117" i="1"/>
  <c r="U117" i="1" s="1"/>
  <c r="B116" i="1"/>
  <c r="U116" i="1" s="1"/>
  <c r="B115" i="1"/>
  <c r="U115" i="1" s="1"/>
  <c r="B114" i="1"/>
  <c r="U114" i="1" s="1"/>
  <c r="B113" i="1"/>
  <c r="U113" i="1" s="1"/>
  <c r="B112" i="1"/>
  <c r="U112" i="1" s="1"/>
  <c r="B111" i="1"/>
  <c r="U111" i="1" s="1"/>
  <c r="B110" i="1"/>
  <c r="U110" i="1" s="1"/>
  <c r="B109" i="1"/>
  <c r="U109" i="1" s="1"/>
  <c r="B108" i="1"/>
  <c r="U108" i="1" s="1"/>
  <c r="B107" i="1"/>
  <c r="U107" i="1" s="1"/>
  <c r="B106" i="1"/>
  <c r="U106" i="1" s="1"/>
  <c r="B105" i="1"/>
  <c r="U105" i="1" s="1"/>
  <c r="B104" i="1"/>
  <c r="U104" i="1" s="1"/>
  <c r="B103" i="1"/>
  <c r="U103" i="1" s="1"/>
  <c r="B102" i="1"/>
  <c r="U102" i="1" s="1"/>
  <c r="B101" i="1"/>
  <c r="U101" i="1" s="1"/>
  <c r="B100" i="1"/>
  <c r="U100" i="1" s="1"/>
  <c r="B99" i="1"/>
  <c r="U99" i="1" s="1"/>
  <c r="B98" i="1"/>
  <c r="U98" i="1" s="1"/>
  <c r="B97" i="1"/>
  <c r="U97" i="1" s="1"/>
  <c r="B96" i="1"/>
  <c r="U96" i="1" s="1"/>
  <c r="B95" i="1"/>
  <c r="U95" i="1" s="1"/>
  <c r="B94" i="1"/>
  <c r="U94" i="1" s="1"/>
  <c r="B93" i="1"/>
  <c r="U93" i="1" s="1"/>
  <c r="B92" i="1"/>
  <c r="U92" i="1" s="1"/>
  <c r="B91" i="1"/>
  <c r="U91" i="1" s="1"/>
  <c r="B90" i="1"/>
  <c r="U90" i="1" s="1"/>
  <c r="B89" i="1"/>
  <c r="U89" i="1" s="1"/>
  <c r="B88" i="1"/>
  <c r="U88" i="1" s="1"/>
  <c r="B87" i="1"/>
  <c r="U87" i="1" s="1"/>
  <c r="B86" i="1"/>
  <c r="U86" i="1" s="1"/>
  <c r="B85" i="1"/>
  <c r="U85" i="1" s="1"/>
  <c r="B84" i="1"/>
  <c r="U84" i="1" s="1"/>
  <c r="B83" i="1"/>
  <c r="U83" i="1" s="1"/>
  <c r="B82" i="1"/>
  <c r="U82" i="1" s="1"/>
  <c r="B81" i="1"/>
  <c r="U81" i="1" s="1"/>
  <c r="B80" i="1"/>
  <c r="U80" i="1" s="1"/>
  <c r="B79" i="1"/>
  <c r="U79" i="1" s="1"/>
  <c r="B78" i="1"/>
  <c r="U78" i="1" s="1"/>
  <c r="B77" i="1"/>
  <c r="U77" i="1" s="1"/>
  <c r="B76" i="1"/>
  <c r="U76" i="1" s="1"/>
  <c r="B75" i="1"/>
  <c r="U75" i="1" s="1"/>
  <c r="B74" i="1"/>
  <c r="U74" i="1" s="1"/>
  <c r="B73" i="1"/>
  <c r="U73" i="1" s="1"/>
  <c r="B72" i="1"/>
  <c r="U72" i="1" s="1"/>
  <c r="B71" i="1"/>
  <c r="U71" i="1" s="1"/>
  <c r="B70" i="1"/>
  <c r="U70" i="1" s="1"/>
  <c r="B69" i="1"/>
  <c r="U69" i="1" s="1"/>
  <c r="B68" i="1"/>
  <c r="U68" i="1" s="1"/>
  <c r="B67" i="1"/>
  <c r="U67" i="1" s="1"/>
  <c r="B66" i="1"/>
  <c r="U66" i="1" s="1"/>
  <c r="B65" i="1"/>
  <c r="U65" i="1" s="1"/>
  <c r="B64" i="1"/>
  <c r="U64" i="1" s="1"/>
  <c r="B63" i="1"/>
  <c r="U63" i="1" s="1"/>
  <c r="B62" i="1"/>
  <c r="U62" i="1" s="1"/>
  <c r="B61" i="1"/>
  <c r="U61" i="1" s="1"/>
  <c r="B60" i="1"/>
  <c r="U60" i="1" s="1"/>
  <c r="B59" i="1"/>
  <c r="U59" i="1" s="1"/>
  <c r="B58" i="1"/>
  <c r="U58" i="1" s="1"/>
  <c r="B57" i="1"/>
  <c r="U57" i="1" s="1"/>
  <c r="B56" i="1"/>
  <c r="U56" i="1" s="1"/>
  <c r="B55" i="1"/>
  <c r="U55" i="1" s="1"/>
  <c r="B54" i="1"/>
  <c r="U54" i="1" s="1"/>
  <c r="B53" i="1"/>
  <c r="U53" i="1" s="1"/>
  <c r="B52" i="1"/>
  <c r="U52" i="1" s="1"/>
  <c r="B51" i="1"/>
  <c r="U51" i="1" s="1"/>
  <c r="B50" i="1"/>
  <c r="U50" i="1" s="1"/>
  <c r="B49" i="1"/>
  <c r="U49" i="1" s="1"/>
  <c r="B48" i="1"/>
  <c r="U48" i="1" s="1"/>
  <c r="B47" i="1"/>
  <c r="U47" i="1" s="1"/>
  <c r="B46" i="1"/>
  <c r="U46" i="1" s="1"/>
  <c r="B45" i="1"/>
  <c r="U45" i="1" s="1"/>
  <c r="B44" i="1"/>
  <c r="U44" i="1" s="1"/>
  <c r="B43" i="1"/>
  <c r="U43" i="1" s="1"/>
  <c r="B42" i="1"/>
  <c r="U42" i="1" s="1"/>
  <c r="B41" i="1"/>
  <c r="U41" i="1" s="1"/>
  <c r="B40" i="1"/>
  <c r="U40" i="1" s="1"/>
  <c r="B39" i="1"/>
  <c r="U39" i="1" s="1"/>
  <c r="B38" i="1"/>
  <c r="U38" i="1" s="1"/>
  <c r="B37" i="1"/>
  <c r="U37" i="1" s="1"/>
  <c r="B36" i="1"/>
  <c r="U36" i="1" s="1"/>
  <c r="B35" i="1"/>
  <c r="U35" i="1" s="1"/>
  <c r="B34" i="1"/>
  <c r="U34" i="1" s="1"/>
  <c r="B33" i="1"/>
  <c r="U33" i="1" s="1"/>
  <c r="B32" i="1"/>
  <c r="U32" i="1" s="1"/>
  <c r="B31" i="1"/>
  <c r="U31" i="1" s="1"/>
  <c r="B30" i="1"/>
  <c r="U30" i="1" s="1"/>
  <c r="B29" i="1"/>
  <c r="U29" i="1" s="1"/>
  <c r="B28" i="1"/>
  <c r="U28" i="1" s="1"/>
  <c r="B27" i="1"/>
  <c r="U27" i="1" s="1"/>
  <c r="B26" i="1"/>
  <c r="U26" i="1" s="1"/>
  <c r="B25" i="1"/>
  <c r="U25" i="1" s="1"/>
  <c r="B24" i="1"/>
  <c r="U24" i="1" s="1"/>
  <c r="B23" i="1"/>
  <c r="U23" i="1" s="1"/>
  <c r="B22" i="1"/>
  <c r="U22" i="1" s="1"/>
  <c r="B21" i="1"/>
  <c r="U21" i="1" s="1"/>
  <c r="B20" i="1"/>
  <c r="U20" i="1" s="1"/>
  <c r="B19" i="1"/>
  <c r="U19" i="1" s="1"/>
  <c r="B18" i="1"/>
  <c r="U18" i="1" s="1"/>
  <c r="B17" i="1"/>
  <c r="U17" i="1" s="1"/>
  <c r="B16" i="1"/>
  <c r="U16" i="1" s="1"/>
  <c r="B15" i="1"/>
  <c r="U15" i="1" s="1"/>
  <c r="B14" i="1"/>
  <c r="U14" i="1" s="1"/>
  <c r="B13" i="1"/>
  <c r="U13" i="1" s="1"/>
  <c r="B12" i="1"/>
  <c r="U12" i="1" s="1"/>
  <c r="B11" i="1"/>
  <c r="U11" i="1" s="1"/>
  <c r="B10" i="1"/>
  <c r="U10" i="1" s="1"/>
  <c r="B9" i="1"/>
  <c r="U9" i="1" s="1"/>
  <c r="B8" i="1"/>
  <c r="U8" i="1" s="1"/>
  <c r="B7" i="1"/>
  <c r="U7" i="1" s="1"/>
  <c r="B6" i="1"/>
  <c r="U6" i="1" s="1"/>
  <c r="B5" i="1"/>
  <c r="U5" i="1" s="1"/>
  <c r="B4" i="1"/>
  <c r="U4" i="1" s="1"/>
  <c r="B3" i="1"/>
  <c r="U3" i="1" s="1"/>
  <c r="B2" i="1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71" i="4"/>
  <c r="AA71" i="4" s="1"/>
  <c r="B70" i="4"/>
  <c r="AA70" i="4" s="1"/>
  <c r="B69" i="4"/>
  <c r="AA69" i="4" s="1"/>
  <c r="B68" i="4"/>
  <c r="AA68" i="4" s="1"/>
  <c r="B67" i="4"/>
  <c r="AA67" i="4" s="1"/>
  <c r="B66" i="4"/>
  <c r="AA66" i="4" s="1"/>
  <c r="B65" i="4"/>
  <c r="AA65" i="4" s="1"/>
  <c r="B64" i="4"/>
  <c r="AA64" i="4" s="1"/>
  <c r="B63" i="4"/>
  <c r="AA63" i="4" s="1"/>
  <c r="B62" i="4"/>
  <c r="AA62" i="4" s="1"/>
  <c r="B61" i="4"/>
  <c r="AA61" i="4" s="1"/>
  <c r="B60" i="4"/>
  <c r="AA60" i="4" s="1"/>
  <c r="B59" i="4"/>
  <c r="AA59" i="4" s="1"/>
  <c r="B58" i="4"/>
  <c r="AA58" i="4" s="1"/>
  <c r="B57" i="4"/>
  <c r="AA57" i="4" s="1"/>
  <c r="B56" i="4"/>
  <c r="AA56" i="4" s="1"/>
  <c r="B55" i="4"/>
  <c r="AA55" i="4" s="1"/>
  <c r="B54" i="4"/>
  <c r="AA54" i="4" s="1"/>
  <c r="B53" i="4"/>
  <c r="AA53" i="4" s="1"/>
  <c r="B52" i="4"/>
  <c r="AA52" i="4" s="1"/>
  <c r="B51" i="4"/>
  <c r="AA51" i="4" s="1"/>
  <c r="B50" i="4"/>
  <c r="AA50" i="4" s="1"/>
  <c r="B49" i="4"/>
  <c r="AA49" i="4" s="1"/>
  <c r="B48" i="4"/>
  <c r="AA48" i="4" s="1"/>
  <c r="B47" i="4"/>
  <c r="AA47" i="4" s="1"/>
  <c r="B46" i="4"/>
  <c r="AA46" i="4" s="1"/>
  <c r="B45" i="4"/>
  <c r="AA45" i="4" s="1"/>
  <c r="B44" i="4"/>
  <c r="AA44" i="4" s="1"/>
  <c r="B43" i="4"/>
  <c r="AA43" i="4" s="1"/>
  <c r="B42" i="4"/>
  <c r="AA42" i="4" s="1"/>
  <c r="B41" i="4"/>
  <c r="AA41" i="4" s="1"/>
  <c r="B40" i="4"/>
  <c r="AA40" i="4" s="1"/>
  <c r="B39" i="4"/>
  <c r="AA39" i="4" s="1"/>
  <c r="B38" i="4"/>
  <c r="AA38" i="4" s="1"/>
  <c r="B37" i="4"/>
  <c r="AA37" i="4" s="1"/>
  <c r="B36" i="4"/>
  <c r="AA36" i="4" s="1"/>
  <c r="B35" i="4"/>
  <c r="AA35" i="4" s="1"/>
  <c r="B34" i="4"/>
  <c r="AA34" i="4" s="1"/>
  <c r="B33" i="4"/>
  <c r="AA33" i="4" s="1"/>
  <c r="B32" i="4"/>
  <c r="AA32" i="4" s="1"/>
  <c r="B31" i="4"/>
  <c r="AA31" i="4" s="1"/>
  <c r="B30" i="4"/>
  <c r="AA30" i="4" s="1"/>
  <c r="B29" i="4"/>
  <c r="AA29" i="4" s="1"/>
  <c r="B28" i="4"/>
  <c r="AA28" i="4" s="1"/>
  <c r="B27" i="4"/>
  <c r="AA27" i="4" s="1"/>
  <c r="B26" i="4"/>
  <c r="AA26" i="4" s="1"/>
  <c r="B25" i="4"/>
  <c r="AA25" i="4" s="1"/>
  <c r="B24" i="4"/>
  <c r="AA24" i="4" s="1"/>
  <c r="B23" i="4"/>
  <c r="AA23" i="4" s="1"/>
  <c r="B22" i="4"/>
  <c r="AA22" i="4" s="1"/>
  <c r="B21" i="4"/>
  <c r="AA21" i="4" s="1"/>
  <c r="B20" i="4"/>
  <c r="AA20" i="4" s="1"/>
  <c r="B19" i="4"/>
  <c r="AA19" i="4" s="1"/>
  <c r="B18" i="4"/>
  <c r="AA18" i="4" s="1"/>
  <c r="B17" i="4"/>
  <c r="AA17" i="4" s="1"/>
  <c r="B16" i="4"/>
  <c r="AA16" i="4" s="1"/>
  <c r="B15" i="4"/>
  <c r="AA15" i="4" s="1"/>
  <c r="B14" i="4"/>
  <c r="AA14" i="4" s="1"/>
  <c r="B13" i="4"/>
  <c r="AA13" i="4" s="1"/>
  <c r="B12" i="4"/>
  <c r="AA12" i="4" s="1"/>
  <c r="B11" i="4"/>
  <c r="AA11" i="4" s="1"/>
  <c r="B10" i="4"/>
  <c r="AA10" i="4" s="1"/>
  <c r="B9" i="4"/>
  <c r="AA9" i="4" s="1"/>
  <c r="B8" i="4"/>
  <c r="AA8" i="4" s="1"/>
  <c r="B7" i="4"/>
  <c r="AA7" i="4" s="1"/>
  <c r="B6" i="4"/>
  <c r="AA6" i="4" s="1"/>
  <c r="B5" i="4"/>
  <c r="AA5" i="4" s="1"/>
  <c r="B4" i="4"/>
  <c r="AA4" i="4" s="1"/>
  <c r="G98" i="12" l="1"/>
  <c r="H98" i="12" s="1"/>
  <c r="G138" i="12"/>
  <c r="H138" i="12" s="1"/>
  <c r="G117" i="12"/>
  <c r="H117" i="12" s="1"/>
  <c r="G206" i="12"/>
  <c r="H206" i="12" s="1"/>
  <c r="G205" i="12"/>
  <c r="H205" i="12" s="1"/>
  <c r="G127" i="12"/>
  <c r="H127" i="12" s="1"/>
  <c r="G224" i="12"/>
  <c r="H224" i="12" s="1"/>
  <c r="G193" i="12"/>
  <c r="H193" i="12" s="1"/>
  <c r="G83" i="12"/>
  <c r="H83" i="12" s="1"/>
  <c r="G143" i="12"/>
  <c r="H143" i="12" s="1"/>
  <c r="G220" i="12"/>
  <c r="H220" i="12" s="1"/>
  <c r="G217" i="12"/>
  <c r="H217" i="12" s="1"/>
  <c r="G212" i="12"/>
  <c r="H212" i="12" s="1"/>
  <c r="G81" i="12"/>
  <c r="H81" i="12" s="1"/>
  <c r="G128" i="12"/>
  <c r="H128" i="12" s="1"/>
  <c r="G136" i="12"/>
  <c r="H136" i="12" s="1"/>
  <c r="G186" i="12"/>
  <c r="H186" i="12" s="1"/>
  <c r="G176" i="12"/>
  <c r="H176" i="12" s="1"/>
  <c r="G211" i="12"/>
  <c r="H211" i="12" s="1"/>
  <c r="G134" i="12"/>
  <c r="H134" i="12" s="1"/>
  <c r="G142" i="12"/>
  <c r="H142" i="12" s="1"/>
  <c r="G109" i="12"/>
  <c r="H109" i="12" s="1"/>
  <c r="G114" i="12"/>
  <c r="H114" i="12" s="1"/>
  <c r="G154" i="12"/>
  <c r="H154" i="12" s="1"/>
  <c r="G125" i="12"/>
  <c r="H125" i="12" s="1"/>
  <c r="G214" i="12"/>
  <c r="H214" i="12" s="1"/>
  <c r="G86" i="12"/>
  <c r="H86" i="12" s="1"/>
  <c r="G135" i="12"/>
  <c r="H135" i="12" s="1"/>
  <c r="G116" i="12"/>
  <c r="H116" i="12" s="1"/>
  <c r="G201" i="12"/>
  <c r="H201" i="12" s="1"/>
  <c r="G164" i="12"/>
  <c r="H164" i="12" s="1"/>
  <c r="G96" i="12"/>
  <c r="H96" i="12" s="1"/>
  <c r="G204" i="12"/>
  <c r="H204" i="12" s="1"/>
  <c r="G167" i="12"/>
  <c r="H167" i="12" s="1"/>
  <c r="G104" i="12"/>
  <c r="H104" i="12" s="1"/>
  <c r="G112" i="12"/>
  <c r="H112" i="12" s="1"/>
  <c r="G100" i="12"/>
  <c r="H100" i="12" s="1"/>
  <c r="G221" i="12"/>
  <c r="H221" i="12" s="1"/>
  <c r="G89" i="12"/>
  <c r="H89" i="12" s="1"/>
  <c r="G178" i="12"/>
  <c r="H178" i="12" s="1"/>
  <c r="G158" i="12"/>
  <c r="H158" i="12" s="1"/>
  <c r="G148" i="12"/>
  <c r="H148" i="12" s="1"/>
  <c r="G197" i="12"/>
  <c r="H197" i="12" s="1"/>
  <c r="G137" i="12"/>
  <c r="H137" i="12" s="1"/>
  <c r="G145" i="12"/>
  <c r="H145" i="12" s="1"/>
  <c r="G180" i="12"/>
  <c r="H180" i="12" s="1"/>
  <c r="G130" i="12"/>
  <c r="H130" i="12" s="1"/>
  <c r="G91" i="12"/>
  <c r="H91" i="12" s="1"/>
  <c r="G133" i="12"/>
  <c r="H133" i="12" s="1"/>
  <c r="G222" i="12"/>
  <c r="H222" i="12" s="1"/>
  <c r="G159" i="12"/>
  <c r="H159" i="12" s="1"/>
  <c r="G209" i="12"/>
  <c r="H209" i="12" s="1"/>
  <c r="G132" i="12"/>
  <c r="H132" i="12" s="1"/>
  <c r="G120" i="12"/>
  <c r="H120" i="12" s="1"/>
  <c r="G79" i="12"/>
  <c r="H79" i="12" s="1"/>
  <c r="G203" i="12"/>
  <c r="H203" i="12" s="1"/>
  <c r="G219" i="12"/>
  <c r="H219" i="12" s="1"/>
  <c r="G111" i="12"/>
  <c r="H111" i="12" s="1"/>
  <c r="G216" i="12"/>
  <c r="H216" i="12" s="1"/>
  <c r="G146" i="12"/>
  <c r="H146" i="12" s="1"/>
  <c r="G99" i="12"/>
  <c r="H99" i="12" s="1"/>
  <c r="G141" i="12"/>
  <c r="H141" i="12" s="1"/>
  <c r="G151" i="12"/>
  <c r="H151" i="12" s="1"/>
  <c r="G162" i="12"/>
  <c r="H162" i="12" s="1"/>
  <c r="G97" i="12"/>
  <c r="H97" i="12" s="1"/>
  <c r="G113" i="12"/>
  <c r="H113" i="12" s="1"/>
  <c r="G126" i="12"/>
  <c r="H126" i="12" s="1"/>
  <c r="G182" i="12"/>
  <c r="H182" i="12" s="1"/>
  <c r="G122" i="12"/>
  <c r="H122" i="12" s="1"/>
  <c r="G82" i="12"/>
  <c r="H82" i="12" s="1"/>
  <c r="G107" i="12"/>
  <c r="H107" i="12" s="1"/>
  <c r="G149" i="12"/>
  <c r="H149" i="12" s="1"/>
  <c r="G108" i="12"/>
  <c r="H108" i="12" s="1"/>
  <c r="G175" i="12"/>
  <c r="H175" i="12" s="1"/>
  <c r="G196" i="12"/>
  <c r="H196" i="12" s="1"/>
  <c r="G165" i="12"/>
  <c r="H165" i="12" s="1"/>
  <c r="G170" i="12"/>
  <c r="H170" i="12" s="1"/>
  <c r="G155" i="12"/>
  <c r="H155" i="12" s="1"/>
  <c r="G184" i="12"/>
  <c r="H184" i="12" s="1"/>
  <c r="G210" i="12"/>
  <c r="H210" i="12" s="1"/>
  <c r="G150" i="12"/>
  <c r="H150" i="12" s="1"/>
  <c r="G163" i="12"/>
  <c r="H163" i="12" s="1"/>
  <c r="G115" i="12"/>
  <c r="H115" i="12" s="1"/>
  <c r="G172" i="12"/>
  <c r="H172" i="12" s="1"/>
  <c r="G173" i="12"/>
  <c r="H173" i="12" s="1"/>
  <c r="G183" i="12"/>
  <c r="H183" i="12" s="1"/>
  <c r="G92" i="12"/>
  <c r="H92" i="12" s="1"/>
  <c r="G118" i="12"/>
  <c r="H118" i="12" s="1"/>
  <c r="G202" i="12"/>
  <c r="H202" i="12" s="1"/>
  <c r="G192" i="12"/>
  <c r="H192" i="12" s="1"/>
  <c r="G190" i="12"/>
  <c r="H190" i="12" s="1"/>
  <c r="G153" i="12"/>
  <c r="H153" i="12" s="1"/>
  <c r="G171" i="12"/>
  <c r="H171" i="12" s="1"/>
  <c r="G123" i="12"/>
  <c r="H123" i="12" s="1"/>
  <c r="G124" i="12"/>
  <c r="H124" i="12" s="1"/>
  <c r="G189" i="12"/>
  <c r="H189" i="12" s="1"/>
  <c r="G191" i="12"/>
  <c r="H191" i="12" s="1"/>
  <c r="G213" i="12"/>
  <c r="H213" i="12" s="1"/>
  <c r="G223" i="12"/>
  <c r="H223" i="12" s="1"/>
  <c r="G80" i="12"/>
  <c r="H80" i="12" s="1"/>
  <c r="G95" i="12"/>
  <c r="H95" i="12" s="1"/>
  <c r="G218" i="12"/>
  <c r="H218" i="12" s="1"/>
  <c r="G198" i="12"/>
  <c r="H198" i="12" s="1"/>
  <c r="G179" i="12"/>
  <c r="H179" i="12" s="1"/>
  <c r="G131" i="12"/>
  <c r="H131" i="12" s="1"/>
  <c r="G84" i="12"/>
  <c r="H84" i="12" s="1"/>
  <c r="G94" i="12"/>
  <c r="H94" i="12" s="1"/>
  <c r="G199" i="12"/>
  <c r="H199" i="12" s="1"/>
  <c r="G188" i="12"/>
  <c r="H188" i="12" s="1"/>
  <c r="G121" i="12"/>
  <c r="H121" i="12" s="1"/>
  <c r="G129" i="12"/>
  <c r="H129" i="12" s="1"/>
  <c r="G208" i="12"/>
  <c r="H208" i="12" s="1"/>
  <c r="G187" i="12"/>
  <c r="H187" i="12" s="1"/>
  <c r="G139" i="12"/>
  <c r="H139" i="12" s="1"/>
  <c r="G181" i="12"/>
  <c r="H181" i="12" s="1"/>
  <c r="G102" i="12"/>
  <c r="H102" i="12" s="1"/>
  <c r="G207" i="12"/>
  <c r="H207" i="12" s="1"/>
  <c r="G160" i="12"/>
  <c r="H160" i="12" s="1"/>
  <c r="G144" i="12"/>
  <c r="H144" i="12" s="1"/>
  <c r="G194" i="12"/>
  <c r="H194" i="12" s="1"/>
  <c r="G140" i="12"/>
  <c r="H140" i="12" s="1"/>
  <c r="G161" i="12"/>
  <c r="H161" i="12" s="1"/>
  <c r="G169" i="12"/>
  <c r="H169" i="12" s="1"/>
  <c r="G185" i="12"/>
  <c r="H185" i="12" s="1"/>
  <c r="G195" i="12"/>
  <c r="H195" i="12" s="1"/>
  <c r="G147" i="12"/>
  <c r="H147" i="12" s="1"/>
  <c r="G85" i="12"/>
  <c r="H85" i="12" s="1"/>
  <c r="G110" i="12"/>
  <c r="H110" i="12" s="1"/>
  <c r="G215" i="12"/>
  <c r="H215" i="12" s="1"/>
  <c r="G168" i="12"/>
  <c r="H168" i="12" s="1"/>
  <c r="G152" i="12"/>
  <c r="H152" i="12" s="1"/>
  <c r="G105" i="12"/>
  <c r="H105" i="12" s="1"/>
  <c r="G166" i="12"/>
  <c r="H166" i="12" s="1"/>
  <c r="G174" i="12"/>
  <c r="H174" i="12" s="1"/>
  <c r="G103" i="12"/>
  <c r="H103" i="12" s="1"/>
  <c r="G177" i="12"/>
  <c r="H177" i="12" s="1"/>
  <c r="G119" i="12"/>
  <c r="H119" i="12" s="1"/>
  <c r="G90" i="12"/>
  <c r="H90" i="12" s="1"/>
  <c r="G93" i="12"/>
  <c r="H93" i="12" s="1"/>
  <c r="G200" i="12"/>
  <c r="H200" i="12" s="1"/>
  <c r="G106" i="12"/>
  <c r="H106" i="12" s="1"/>
  <c r="G101" i="12"/>
  <c r="H101" i="12" s="1"/>
  <c r="G77" i="12"/>
  <c r="H77" i="12" s="1"/>
  <c r="G60" i="12"/>
  <c r="H60" i="12" s="1"/>
  <c r="G44" i="12"/>
  <c r="H44" i="12" s="1"/>
  <c r="G28" i="12"/>
  <c r="H28" i="12" s="1"/>
  <c r="G76" i="12"/>
  <c r="H76" i="12" s="1"/>
  <c r="G59" i="12"/>
  <c r="H59" i="12" s="1"/>
  <c r="G43" i="12"/>
  <c r="H43" i="12" s="1"/>
  <c r="G27" i="12"/>
  <c r="H27" i="12" s="1"/>
  <c r="G75" i="12"/>
  <c r="H75" i="12" s="1"/>
  <c r="G58" i="12"/>
  <c r="H58" i="12" s="1"/>
  <c r="G42" i="12"/>
  <c r="H42" i="12" s="1"/>
  <c r="G26" i="12"/>
  <c r="H26" i="12" s="1"/>
  <c r="G46" i="12"/>
  <c r="H46" i="12" s="1"/>
  <c r="G74" i="12"/>
  <c r="H74" i="12" s="1"/>
  <c r="G57" i="12"/>
  <c r="H57" i="12" s="1"/>
  <c r="G41" i="12"/>
  <c r="H41" i="12" s="1"/>
  <c r="G25" i="12"/>
  <c r="H25" i="12" s="1"/>
  <c r="G45" i="12"/>
  <c r="H45" i="12" s="1"/>
  <c r="G73" i="12"/>
  <c r="H73" i="12" s="1"/>
  <c r="G56" i="12"/>
  <c r="H56" i="12" s="1"/>
  <c r="G40" i="12"/>
  <c r="H40" i="12" s="1"/>
  <c r="G24" i="12"/>
  <c r="H24" i="12" s="1"/>
  <c r="G61" i="12"/>
  <c r="H61" i="12" s="1"/>
  <c r="G157" i="12"/>
  <c r="G72" i="12"/>
  <c r="H72" i="12" s="1"/>
  <c r="G55" i="12"/>
  <c r="H55" i="12" s="1"/>
  <c r="G39" i="12"/>
  <c r="H39" i="12" s="1"/>
  <c r="G23" i="12"/>
  <c r="H23" i="12" s="1"/>
  <c r="G19" i="12"/>
  <c r="H19" i="12" s="1"/>
  <c r="G71" i="12"/>
  <c r="H71" i="12" s="1"/>
  <c r="G54" i="12"/>
  <c r="H54" i="12" s="1"/>
  <c r="G38" i="12"/>
  <c r="H38" i="12" s="1"/>
  <c r="G22" i="12"/>
  <c r="H22" i="12" s="1"/>
  <c r="G78" i="12"/>
  <c r="H78" i="12" s="1"/>
  <c r="G70" i="12"/>
  <c r="H70" i="12" s="1"/>
  <c r="G53" i="12"/>
  <c r="H53" i="12" s="1"/>
  <c r="G37" i="12"/>
  <c r="H37" i="12" s="1"/>
  <c r="G21" i="12"/>
  <c r="H21" i="12" s="1"/>
  <c r="G35" i="12"/>
  <c r="H35" i="12" s="1"/>
  <c r="G30" i="12"/>
  <c r="H30" i="12" s="1"/>
  <c r="G29" i="12"/>
  <c r="H29" i="12" s="1"/>
  <c r="G69" i="12"/>
  <c r="H69" i="12" s="1"/>
  <c r="G52" i="12"/>
  <c r="H52" i="12" s="1"/>
  <c r="G36" i="12"/>
  <c r="H36" i="12" s="1"/>
  <c r="G20" i="12"/>
  <c r="H20" i="12" s="1"/>
  <c r="G68" i="12"/>
  <c r="H68" i="12" s="1"/>
  <c r="G51" i="12"/>
  <c r="H51" i="12" s="1"/>
  <c r="G67" i="12"/>
  <c r="G50" i="12"/>
  <c r="H50" i="12" s="1"/>
  <c r="G34" i="12"/>
  <c r="H34" i="12" s="1"/>
  <c r="G18" i="12"/>
  <c r="G62" i="12"/>
  <c r="H62" i="12" s="1"/>
  <c r="G88" i="12"/>
  <c r="G65" i="12"/>
  <c r="H65" i="12" s="1"/>
  <c r="G49" i="12"/>
  <c r="H49" i="12" s="1"/>
  <c r="G33" i="12"/>
  <c r="H33" i="12" s="1"/>
  <c r="G63" i="12"/>
  <c r="H63" i="12" s="1"/>
  <c r="G47" i="12"/>
  <c r="H47" i="12" s="1"/>
  <c r="G31" i="12"/>
  <c r="H31" i="12" s="1"/>
  <c r="G64" i="12"/>
  <c r="H64" i="12" s="1"/>
  <c r="G48" i="12"/>
  <c r="H48" i="12" s="1"/>
  <c r="G32" i="12"/>
  <c r="H32" i="12" s="1"/>
  <c r="G224" i="11"/>
  <c r="H224" i="11" s="1"/>
  <c r="I224" i="11" s="1"/>
  <c r="G222" i="11"/>
  <c r="H222" i="11" s="1"/>
  <c r="I222" i="11" s="1"/>
  <c r="H218" i="11"/>
  <c r="I218" i="11" s="1"/>
  <c r="G154" i="11"/>
  <c r="H154" i="11" s="1"/>
  <c r="I154" i="11" s="1"/>
  <c r="H217" i="11"/>
  <c r="I217" i="11" s="1"/>
  <c r="G216" i="11"/>
  <c r="H216" i="11" s="1"/>
  <c r="I216" i="11" s="1"/>
  <c r="G153" i="11"/>
  <c r="H153" i="11" s="1"/>
  <c r="I153" i="11" s="1"/>
  <c r="G147" i="11"/>
  <c r="H147" i="11" s="1"/>
  <c r="I147" i="11" s="1"/>
  <c r="H219" i="11"/>
  <c r="I219" i="11" s="1"/>
  <c r="H152" i="11"/>
  <c r="I152" i="11" s="1"/>
  <c r="G223" i="11"/>
  <c r="H223" i="11" s="1"/>
  <c r="I223" i="11" s="1"/>
  <c r="H221" i="11"/>
  <c r="I221" i="11" s="1"/>
  <c r="H220" i="11"/>
  <c r="I220" i="11" s="1"/>
  <c r="G155" i="11"/>
  <c r="H155" i="11" s="1"/>
  <c r="I155" i="11" s="1"/>
  <c r="H151" i="11"/>
  <c r="I151" i="11" s="1"/>
  <c r="H150" i="11"/>
  <c r="I150" i="11" s="1"/>
  <c r="H149" i="11"/>
  <c r="I149" i="11" s="1"/>
  <c r="H148" i="11"/>
  <c r="I148" i="11" s="1"/>
  <c r="H79" i="11"/>
  <c r="I79" i="11" s="1"/>
  <c r="H83" i="11"/>
  <c r="I83" i="11" s="1"/>
  <c r="H82" i="11"/>
  <c r="I82" i="11" s="1"/>
  <c r="H81" i="11"/>
  <c r="I81" i="11" s="1"/>
  <c r="H80" i="11"/>
  <c r="I80" i="11" s="1"/>
  <c r="H63" i="11"/>
  <c r="I63" i="11" s="1"/>
  <c r="H56" i="11"/>
  <c r="I56" i="11" s="1"/>
  <c r="H64" i="11"/>
  <c r="I64" i="11" s="1"/>
  <c r="H57" i="11"/>
  <c r="I57" i="11" s="1"/>
  <c r="H65" i="11"/>
  <c r="I65" i="11" s="1"/>
  <c r="H58" i="11"/>
  <c r="I58" i="11" s="1"/>
  <c r="H59" i="11"/>
  <c r="I59" i="11" s="1"/>
  <c r="H61" i="11"/>
  <c r="I61" i="11" s="1"/>
  <c r="H62" i="11"/>
  <c r="I62" i="11" s="1"/>
  <c r="H60" i="11"/>
  <c r="I60" i="11" s="1"/>
  <c r="G84" i="11"/>
  <c r="H84" i="11" s="1"/>
  <c r="I84" i="11" s="1"/>
  <c r="G85" i="11"/>
  <c r="H85" i="11" s="1"/>
  <c r="I85" i="11" s="1"/>
  <c r="G86" i="11"/>
  <c r="H86" i="11" s="1"/>
  <c r="I86" i="11" s="1"/>
  <c r="G179" i="11"/>
  <c r="H179" i="11" s="1"/>
  <c r="I179" i="11" s="1"/>
  <c r="G158" i="11"/>
  <c r="H158" i="11" s="1"/>
  <c r="I158" i="11" s="1"/>
  <c r="G129" i="11"/>
  <c r="H129" i="11" s="1"/>
  <c r="I129" i="11" s="1"/>
  <c r="G77" i="11"/>
  <c r="H77" i="11" s="1"/>
  <c r="I77" i="11" s="1"/>
  <c r="G136" i="11"/>
  <c r="H136" i="11" s="1"/>
  <c r="I136" i="11" s="1"/>
  <c r="G183" i="11"/>
  <c r="H183" i="11" s="1"/>
  <c r="I183" i="11" s="1"/>
  <c r="G124" i="11"/>
  <c r="H124" i="11" s="1"/>
  <c r="I124" i="11" s="1"/>
  <c r="G110" i="11"/>
  <c r="H110" i="11" s="1"/>
  <c r="I110" i="11" s="1"/>
  <c r="G194" i="11"/>
  <c r="H194" i="11" s="1"/>
  <c r="I194" i="11" s="1"/>
  <c r="G107" i="11"/>
  <c r="H107" i="11" s="1"/>
  <c r="I107" i="11" s="1"/>
  <c r="G115" i="11"/>
  <c r="H115" i="11" s="1"/>
  <c r="I115" i="11" s="1"/>
  <c r="G189" i="11"/>
  <c r="H189" i="11" s="1"/>
  <c r="I189" i="11" s="1"/>
  <c r="G98" i="11"/>
  <c r="H98" i="11" s="1"/>
  <c r="I98" i="11" s="1"/>
  <c r="G178" i="11"/>
  <c r="H178" i="11" s="1"/>
  <c r="I178" i="11" s="1"/>
  <c r="G168" i="11"/>
  <c r="H168" i="11" s="1"/>
  <c r="I168" i="11" s="1"/>
  <c r="G205" i="11"/>
  <c r="H205" i="11" s="1"/>
  <c r="I205" i="11" s="1"/>
  <c r="G105" i="11"/>
  <c r="H105" i="11" s="1"/>
  <c r="I105" i="11" s="1"/>
  <c r="G160" i="11"/>
  <c r="H160" i="11" s="1"/>
  <c r="I160" i="11" s="1"/>
  <c r="G128" i="11"/>
  <c r="H128" i="11" s="1"/>
  <c r="I128" i="11" s="1"/>
  <c r="G72" i="11"/>
  <c r="H72" i="11" s="1"/>
  <c r="I72" i="11" s="1"/>
  <c r="G186" i="11"/>
  <c r="H186" i="11" s="1"/>
  <c r="I186" i="11" s="1"/>
  <c r="G187" i="11"/>
  <c r="H187" i="11" s="1"/>
  <c r="I187" i="11" s="1"/>
  <c r="G104" i="11"/>
  <c r="H104" i="11" s="1"/>
  <c r="I104" i="11" s="1"/>
  <c r="G191" i="11"/>
  <c r="H191" i="11" s="1"/>
  <c r="I191" i="11" s="1"/>
  <c r="G172" i="11"/>
  <c r="H172" i="11" s="1"/>
  <c r="I172" i="11" s="1"/>
  <c r="G161" i="11"/>
  <c r="H161" i="11" s="1"/>
  <c r="I161" i="11" s="1"/>
  <c r="G102" i="11"/>
  <c r="H102" i="11" s="1"/>
  <c r="I102" i="11" s="1"/>
  <c r="G123" i="11"/>
  <c r="H123" i="11" s="1"/>
  <c r="I123" i="11" s="1"/>
  <c r="G99" i="11"/>
  <c r="H99" i="11" s="1"/>
  <c r="I99" i="11" s="1"/>
  <c r="G199" i="11"/>
  <c r="H199" i="11" s="1"/>
  <c r="I199" i="11" s="1"/>
  <c r="G180" i="11"/>
  <c r="H180" i="11" s="1"/>
  <c r="I180" i="11" s="1"/>
  <c r="G198" i="11"/>
  <c r="H198" i="11" s="1"/>
  <c r="I198" i="11" s="1"/>
  <c r="G120" i="11"/>
  <c r="H120" i="11" s="1"/>
  <c r="I120" i="11" s="1"/>
  <c r="G131" i="11"/>
  <c r="H131" i="11" s="1"/>
  <c r="I131" i="11" s="1"/>
  <c r="G49" i="11"/>
  <c r="H49" i="11" s="1"/>
  <c r="I49" i="11" s="1"/>
  <c r="G184" i="11"/>
  <c r="H184" i="11" s="1"/>
  <c r="I184" i="11" s="1"/>
  <c r="G188" i="11"/>
  <c r="H188" i="11" s="1"/>
  <c r="I188" i="11" s="1"/>
  <c r="G176" i="11"/>
  <c r="H176" i="11" s="1"/>
  <c r="I176" i="11" s="1"/>
  <c r="G134" i="11"/>
  <c r="H134" i="11" s="1"/>
  <c r="I134" i="11" s="1"/>
  <c r="G108" i="11"/>
  <c r="H108" i="11" s="1"/>
  <c r="I108" i="11" s="1"/>
  <c r="G75" i="11"/>
  <c r="H75" i="11" s="1"/>
  <c r="I75" i="11" s="1"/>
  <c r="G200" i="11"/>
  <c r="H200" i="11" s="1"/>
  <c r="I200" i="11" s="1"/>
  <c r="G196" i="11"/>
  <c r="H196" i="11" s="1"/>
  <c r="I196" i="11" s="1"/>
  <c r="G159" i="11"/>
  <c r="H159" i="11" s="1"/>
  <c r="I159" i="11" s="1"/>
  <c r="G121" i="11"/>
  <c r="H121" i="11" s="1"/>
  <c r="I121" i="11" s="1"/>
  <c r="G101" i="11"/>
  <c r="H101" i="11" s="1"/>
  <c r="I101" i="11" s="1"/>
  <c r="G51" i="11"/>
  <c r="H51" i="11" s="1"/>
  <c r="I51" i="11" s="1"/>
  <c r="G204" i="11"/>
  <c r="H204" i="11" s="1"/>
  <c r="I204" i="11" s="1"/>
  <c r="G162" i="11"/>
  <c r="H162" i="11" s="1"/>
  <c r="I162" i="11" s="1"/>
  <c r="G167" i="11"/>
  <c r="H167" i="11" s="1"/>
  <c r="I167" i="11" s="1"/>
  <c r="G114" i="11"/>
  <c r="H114" i="11" s="1"/>
  <c r="I114" i="11" s="1"/>
  <c r="G106" i="11"/>
  <c r="H106" i="11" s="1"/>
  <c r="I106" i="11" s="1"/>
  <c r="G48" i="11"/>
  <c r="H48" i="11" s="1"/>
  <c r="I48" i="11" s="1"/>
  <c r="G192" i="11"/>
  <c r="H192" i="11" s="1"/>
  <c r="I192" i="11" s="1"/>
  <c r="G165" i="11"/>
  <c r="H165" i="11" s="1"/>
  <c r="I165" i="11" s="1"/>
  <c r="G175" i="11"/>
  <c r="H175" i="11" s="1"/>
  <c r="I175" i="11" s="1"/>
  <c r="G50" i="11"/>
  <c r="H50" i="11" s="1"/>
  <c r="I50" i="11" s="1"/>
  <c r="G100" i="11"/>
  <c r="H100" i="11" s="1"/>
  <c r="I100" i="11" s="1"/>
  <c r="G76" i="11"/>
  <c r="H76" i="11" s="1"/>
  <c r="I76" i="11" s="1"/>
  <c r="G177" i="11"/>
  <c r="H177" i="11" s="1"/>
  <c r="I177" i="11" s="1"/>
  <c r="G173" i="11"/>
  <c r="H173" i="11" s="1"/>
  <c r="I173" i="11" s="1"/>
  <c r="G195" i="11"/>
  <c r="H195" i="11" s="1"/>
  <c r="I195" i="11" s="1"/>
  <c r="G119" i="11"/>
  <c r="H119" i="11" s="1"/>
  <c r="I119" i="11" s="1"/>
  <c r="G117" i="11"/>
  <c r="H117" i="11" s="1"/>
  <c r="I117" i="11" s="1"/>
  <c r="G70" i="11"/>
  <c r="H70" i="11" s="1"/>
  <c r="I70" i="11" s="1"/>
  <c r="G181" i="11"/>
  <c r="H181" i="11" s="1"/>
  <c r="I181" i="11" s="1"/>
  <c r="G185" i="11"/>
  <c r="H185" i="11" s="1"/>
  <c r="I185" i="11" s="1"/>
  <c r="G197" i="11"/>
  <c r="H197" i="11" s="1"/>
  <c r="I197" i="11" s="1"/>
  <c r="G127" i="11"/>
  <c r="H127" i="11" s="1"/>
  <c r="I127" i="11" s="1"/>
  <c r="G133" i="11"/>
  <c r="H133" i="11" s="1"/>
  <c r="I133" i="11" s="1"/>
  <c r="G74" i="11"/>
  <c r="H74" i="11" s="1"/>
  <c r="I74" i="11" s="1"/>
  <c r="G193" i="11"/>
  <c r="H193" i="11" s="1"/>
  <c r="I193" i="11" s="1"/>
  <c r="G169" i="11"/>
  <c r="H169" i="11" s="1"/>
  <c r="I169" i="11" s="1"/>
  <c r="G103" i="11"/>
  <c r="H103" i="11" s="1"/>
  <c r="I103" i="11" s="1"/>
  <c r="G135" i="11"/>
  <c r="H135" i="11" s="1"/>
  <c r="I135" i="11" s="1"/>
  <c r="G132" i="11"/>
  <c r="H132" i="11" s="1"/>
  <c r="I132" i="11" s="1"/>
  <c r="G68" i="11"/>
  <c r="H68" i="11" s="1"/>
  <c r="I68" i="11" s="1"/>
  <c r="G201" i="11"/>
  <c r="H201" i="11" s="1"/>
  <c r="I201" i="11" s="1"/>
  <c r="G170" i="11"/>
  <c r="H170" i="11" s="1"/>
  <c r="I170" i="11" s="1"/>
  <c r="G118" i="11"/>
  <c r="H118" i="11" s="1"/>
  <c r="I118" i="11" s="1"/>
  <c r="G126" i="11"/>
  <c r="H126" i="11" s="1"/>
  <c r="I126" i="11" s="1"/>
  <c r="G109" i="11"/>
  <c r="H109" i="11" s="1"/>
  <c r="I109" i="11" s="1"/>
  <c r="G78" i="11"/>
  <c r="H78" i="11" s="1"/>
  <c r="I78" i="11" s="1"/>
  <c r="G182" i="11"/>
  <c r="H182" i="11" s="1"/>
  <c r="I182" i="11" s="1"/>
  <c r="G203" i="11"/>
  <c r="H203" i="11" s="1"/>
  <c r="I203" i="11" s="1"/>
  <c r="G171" i="11"/>
  <c r="H171" i="11" s="1"/>
  <c r="I171" i="11" s="1"/>
  <c r="G111" i="11"/>
  <c r="H111" i="11" s="1"/>
  <c r="I111" i="11" s="1"/>
  <c r="G113" i="11"/>
  <c r="H113" i="11" s="1"/>
  <c r="I113" i="11" s="1"/>
  <c r="G125" i="11"/>
  <c r="H125" i="11" s="1"/>
  <c r="I125" i="11" s="1"/>
  <c r="G71" i="11"/>
  <c r="H71" i="11" s="1"/>
  <c r="I71" i="11" s="1"/>
  <c r="G190" i="11"/>
  <c r="H190" i="11" s="1"/>
  <c r="I190" i="11" s="1"/>
  <c r="G202" i="11"/>
  <c r="H202" i="11" s="1"/>
  <c r="I202" i="11" s="1"/>
  <c r="G164" i="11"/>
  <c r="H164" i="11" s="1"/>
  <c r="I164" i="11" s="1"/>
  <c r="G69" i="11"/>
  <c r="H69" i="11" s="1"/>
  <c r="I69" i="11" s="1"/>
  <c r="G122" i="11"/>
  <c r="H122" i="11" s="1"/>
  <c r="I122" i="11" s="1"/>
  <c r="G67" i="11"/>
  <c r="H67" i="11" s="1"/>
  <c r="I67" i="11" s="1"/>
  <c r="G112" i="11"/>
  <c r="H112" i="11" s="1"/>
  <c r="I112" i="11" s="1"/>
  <c r="G73" i="11"/>
  <c r="H73" i="11" s="1"/>
  <c r="I73" i="11" s="1"/>
  <c r="G166" i="11"/>
  <c r="H166" i="11" s="1"/>
  <c r="I166" i="11" s="1"/>
  <c r="G116" i="11"/>
  <c r="H116" i="11" s="1"/>
  <c r="I116" i="11" s="1"/>
  <c r="G174" i="11"/>
  <c r="H174" i="11" s="1"/>
  <c r="I174" i="11" s="1"/>
  <c r="G130" i="11"/>
  <c r="H130" i="11" s="1"/>
  <c r="I130" i="11" s="1"/>
  <c r="G163" i="11"/>
  <c r="H163" i="11" s="1"/>
  <c r="I163" i="11" s="1"/>
  <c r="G206" i="11"/>
  <c r="H206" i="11" s="1"/>
  <c r="I206" i="11" s="1"/>
  <c r="G55" i="11"/>
  <c r="H55" i="11" s="1"/>
  <c r="I55" i="11" s="1"/>
  <c r="G54" i="11"/>
  <c r="H54" i="11" s="1"/>
  <c r="I54" i="11" s="1"/>
  <c r="G52" i="11"/>
  <c r="H52" i="11" s="1"/>
  <c r="I52" i="11" s="1"/>
  <c r="G53" i="11"/>
  <c r="H53" i="11" s="1"/>
  <c r="I53" i="11" s="1"/>
  <c r="G29" i="11"/>
  <c r="H29" i="11" s="1"/>
  <c r="I29" i="11" s="1"/>
  <c r="G41" i="11"/>
  <c r="H41" i="11" s="1"/>
  <c r="I41" i="11" s="1"/>
  <c r="G30" i="11"/>
  <c r="H30" i="11" s="1"/>
  <c r="I30" i="11" s="1"/>
  <c r="G37" i="11"/>
  <c r="H37" i="11" s="1"/>
  <c r="I37" i="11" s="1"/>
  <c r="G31" i="11"/>
  <c r="H31" i="11" s="1"/>
  <c r="I31" i="11" s="1"/>
  <c r="G45" i="11"/>
  <c r="H45" i="11" s="1"/>
  <c r="I45" i="11" s="1"/>
  <c r="G24" i="11"/>
  <c r="H24" i="11" s="1"/>
  <c r="I24" i="11" s="1"/>
  <c r="G23" i="11"/>
  <c r="H23" i="11" s="1"/>
  <c r="I23" i="11" s="1"/>
  <c r="G28" i="11"/>
  <c r="H28" i="11" s="1"/>
  <c r="I28" i="11" s="1"/>
  <c r="G38" i="11"/>
  <c r="H38" i="11" s="1"/>
  <c r="I38" i="11" s="1"/>
  <c r="G25" i="11"/>
  <c r="H25" i="11" s="1"/>
  <c r="I25" i="11" s="1"/>
  <c r="G46" i="11"/>
  <c r="H46" i="11" s="1"/>
  <c r="I46" i="11" s="1"/>
  <c r="G26" i="11"/>
  <c r="H26" i="11" s="1"/>
  <c r="I26" i="11" s="1"/>
  <c r="G39" i="11"/>
  <c r="H39" i="11" s="1"/>
  <c r="I39" i="11" s="1"/>
  <c r="G47" i="11"/>
  <c r="H47" i="11" s="1"/>
  <c r="I47" i="11" s="1"/>
  <c r="G19" i="11"/>
  <c r="H19" i="11" s="1"/>
  <c r="I19" i="11" s="1"/>
  <c r="G27" i="11"/>
  <c r="H27" i="11" s="1"/>
  <c r="I27" i="11" s="1"/>
  <c r="G43" i="11"/>
  <c r="H43" i="11" s="1"/>
  <c r="I43" i="11" s="1"/>
  <c r="G20" i="11"/>
  <c r="H20" i="11" s="1"/>
  <c r="I20" i="11" s="1"/>
  <c r="G22" i="11"/>
  <c r="H22" i="11" s="1"/>
  <c r="I22" i="11" s="1"/>
  <c r="G40" i="11"/>
  <c r="H40" i="11" s="1"/>
  <c r="I40" i="11" s="1"/>
  <c r="G42" i="11"/>
  <c r="H42" i="11" s="1"/>
  <c r="I42" i="11" s="1"/>
  <c r="G44" i="11"/>
  <c r="H44" i="11" s="1"/>
  <c r="I44" i="11" s="1"/>
  <c r="G21" i="11"/>
  <c r="H21" i="11" s="1"/>
  <c r="I21" i="11" s="1"/>
  <c r="G90" i="11"/>
  <c r="H90" i="11" s="1"/>
  <c r="I90" i="11" s="1"/>
  <c r="G137" i="11"/>
  <c r="H137" i="11" s="1"/>
  <c r="I137" i="11" s="1"/>
  <c r="G89" i="11"/>
  <c r="H89" i="11" s="1"/>
  <c r="I89" i="11" s="1"/>
  <c r="G88" i="11"/>
  <c r="H88" i="11" s="1"/>
  <c r="I88" i="11" s="1"/>
  <c r="G93" i="11"/>
  <c r="H93" i="11" s="1"/>
  <c r="I93" i="11" s="1"/>
  <c r="G95" i="11"/>
  <c r="H95" i="11" s="1"/>
  <c r="I95" i="11" s="1"/>
  <c r="G96" i="11"/>
  <c r="H96" i="11" s="1"/>
  <c r="I96" i="11" s="1"/>
  <c r="G97" i="11"/>
  <c r="H97" i="11" s="1"/>
  <c r="I97" i="11" s="1"/>
  <c r="G94" i="11"/>
  <c r="H94" i="11" s="1"/>
  <c r="I94" i="11" s="1"/>
  <c r="G91" i="11"/>
  <c r="H91" i="11" s="1"/>
  <c r="I91" i="11" s="1"/>
  <c r="G92" i="11"/>
  <c r="H92" i="11" s="1"/>
  <c r="I92" i="11" s="1"/>
  <c r="G157" i="11"/>
  <c r="H157" i="11" s="1"/>
  <c r="I157" i="11" s="1"/>
  <c r="G34" i="11"/>
  <c r="H34" i="11" s="1"/>
  <c r="I34" i="11" s="1"/>
  <c r="G18" i="11"/>
  <c r="H18" i="11" s="1"/>
  <c r="G33" i="11"/>
  <c r="H33" i="11" s="1"/>
  <c r="I33" i="11" s="1"/>
  <c r="G32" i="11"/>
  <c r="H32" i="11" s="1"/>
  <c r="I32" i="11" s="1"/>
  <c r="G35" i="11"/>
  <c r="H35" i="11" s="1"/>
  <c r="I35" i="11" s="1"/>
  <c r="G36" i="11"/>
  <c r="H36" i="11" s="1"/>
  <c r="I36" i="11" s="1"/>
  <c r="W17" i="4"/>
  <c r="X17" i="4"/>
  <c r="W33" i="4"/>
  <c r="X33" i="4"/>
  <c r="W11" i="4"/>
  <c r="X11" i="4"/>
  <c r="W50" i="4"/>
  <c r="X50" i="4"/>
  <c r="W54" i="4"/>
  <c r="X54" i="4"/>
  <c r="W56" i="4"/>
  <c r="X56" i="4"/>
  <c r="W7" i="4"/>
  <c r="X7" i="4"/>
  <c r="W20" i="4"/>
  <c r="X20" i="4"/>
  <c r="W21" i="4"/>
  <c r="X21" i="4"/>
  <c r="W27" i="4"/>
  <c r="X27" i="4"/>
  <c r="W35" i="4"/>
  <c r="X35" i="4"/>
  <c r="W43" i="4"/>
  <c r="X43" i="4"/>
  <c r="W51" i="4"/>
  <c r="X51" i="4"/>
  <c r="W57" i="4"/>
  <c r="X57" i="4"/>
  <c r="W65" i="4"/>
  <c r="X65" i="4"/>
  <c r="W71" i="4"/>
  <c r="X71" i="4"/>
  <c r="W49" i="4"/>
  <c r="X49" i="4"/>
  <c r="W6" i="4"/>
  <c r="X6" i="4"/>
  <c r="W4" i="4"/>
  <c r="X4" i="4"/>
  <c r="W15" i="4"/>
  <c r="X15" i="4"/>
  <c r="W22" i="4"/>
  <c r="X22" i="4"/>
  <c r="W28" i="4"/>
  <c r="X28" i="4"/>
  <c r="W36" i="4"/>
  <c r="X36" i="4"/>
  <c r="W44" i="4"/>
  <c r="X44" i="4"/>
  <c r="W52" i="4"/>
  <c r="X52" i="4"/>
  <c r="W58" i="4"/>
  <c r="X58" i="4"/>
  <c r="W62" i="4"/>
  <c r="X62" i="4"/>
  <c r="W66" i="4"/>
  <c r="X66" i="4"/>
  <c r="W25" i="4"/>
  <c r="X25" i="4"/>
  <c r="W26" i="4"/>
  <c r="X26" i="4"/>
  <c r="W61" i="4"/>
  <c r="X61" i="4"/>
  <c r="W5" i="4"/>
  <c r="X5" i="4"/>
  <c r="W9" i="4"/>
  <c r="X9" i="4"/>
  <c r="W16" i="4"/>
  <c r="X16" i="4"/>
  <c r="W18" i="4"/>
  <c r="X18" i="4"/>
  <c r="W29" i="4"/>
  <c r="X29" i="4"/>
  <c r="W37" i="4"/>
  <c r="X37" i="4"/>
  <c r="W45" i="4"/>
  <c r="X45" i="4"/>
  <c r="W53" i="4"/>
  <c r="X53" i="4"/>
  <c r="W63" i="4"/>
  <c r="X63" i="4"/>
  <c r="W67" i="4"/>
  <c r="X67" i="4"/>
  <c r="W55" i="4"/>
  <c r="X55" i="4"/>
  <c r="W42" i="4"/>
  <c r="X42" i="4"/>
  <c r="W30" i="4"/>
  <c r="X30" i="4"/>
  <c r="W38" i="4"/>
  <c r="X38" i="4"/>
  <c r="W46" i="4"/>
  <c r="X46" i="4"/>
  <c r="W68" i="4"/>
  <c r="X68" i="4"/>
  <c r="W41" i="4"/>
  <c r="X41" i="4"/>
  <c r="W8" i="4"/>
  <c r="X8" i="4"/>
  <c r="W10" i="4"/>
  <c r="X10" i="4"/>
  <c r="W12" i="4"/>
  <c r="X12" i="4"/>
  <c r="W23" i="4"/>
  <c r="X23" i="4"/>
  <c r="W31" i="4"/>
  <c r="X31" i="4"/>
  <c r="W39" i="4"/>
  <c r="X39" i="4"/>
  <c r="W47" i="4"/>
  <c r="X47" i="4"/>
  <c r="W59" i="4"/>
  <c r="X59" i="4"/>
  <c r="W64" i="4"/>
  <c r="X64" i="4"/>
  <c r="W69" i="4"/>
  <c r="X69" i="4"/>
  <c r="W14" i="4"/>
  <c r="X14" i="4"/>
  <c r="W34" i="4"/>
  <c r="X34" i="4"/>
  <c r="W13" i="4"/>
  <c r="X13" i="4"/>
  <c r="W19" i="4"/>
  <c r="X19" i="4"/>
  <c r="W24" i="4"/>
  <c r="X24" i="4"/>
  <c r="W32" i="4"/>
  <c r="X32" i="4"/>
  <c r="W40" i="4"/>
  <c r="X40" i="4"/>
  <c r="W48" i="4"/>
  <c r="X48" i="4"/>
  <c r="W60" i="4"/>
  <c r="X60" i="4"/>
  <c r="W70" i="4"/>
  <c r="X70" i="4"/>
  <c r="P117" i="1"/>
  <c r="Q117" i="1" s="1"/>
  <c r="D5" i="5"/>
  <c r="D87" i="5"/>
  <c r="D13" i="5"/>
  <c r="D21" i="5"/>
  <c r="D29" i="5"/>
  <c r="D37" i="5"/>
  <c r="D45" i="5"/>
  <c r="D53" i="5"/>
  <c r="D61" i="5"/>
  <c r="D69" i="5"/>
  <c r="D77" i="5"/>
  <c r="D85" i="5"/>
  <c r="D93" i="5"/>
  <c r="D101" i="5"/>
  <c r="D109" i="5"/>
  <c r="D117" i="5"/>
  <c r="D125" i="5"/>
  <c r="D133" i="5"/>
  <c r="D141" i="5"/>
  <c r="D149" i="5"/>
  <c r="D157" i="5"/>
  <c r="D165" i="5"/>
  <c r="D173" i="5"/>
  <c r="D181" i="5"/>
  <c r="D189" i="5"/>
  <c r="D6" i="5"/>
  <c r="D14" i="5"/>
  <c r="D22" i="5"/>
  <c r="D30" i="5"/>
  <c r="D38" i="5"/>
  <c r="D46" i="5"/>
  <c r="D54" i="5"/>
  <c r="D62" i="5"/>
  <c r="D70" i="5"/>
  <c r="D78" i="5"/>
  <c r="D86" i="5"/>
  <c r="D94" i="5"/>
  <c r="D102" i="5"/>
  <c r="D110" i="5"/>
  <c r="D118" i="5"/>
  <c r="D126" i="5"/>
  <c r="D134" i="5"/>
  <c r="D142" i="5"/>
  <c r="D150" i="5"/>
  <c r="D158" i="5"/>
  <c r="D166" i="5"/>
  <c r="D174" i="5"/>
  <c r="D182" i="5"/>
  <c r="D190" i="5"/>
  <c r="D15" i="5"/>
  <c r="D47" i="5"/>
  <c r="D79" i="5"/>
  <c r="D111" i="5"/>
  <c r="D143" i="5"/>
  <c r="D183" i="5"/>
  <c r="D8" i="5"/>
  <c r="D16" i="5"/>
  <c r="D24" i="5"/>
  <c r="D32" i="5"/>
  <c r="D40" i="5"/>
  <c r="D48" i="5"/>
  <c r="D56" i="5"/>
  <c r="D64" i="5"/>
  <c r="D72" i="5"/>
  <c r="D80" i="5"/>
  <c r="D88" i="5"/>
  <c r="D96" i="5"/>
  <c r="D104" i="5"/>
  <c r="D112" i="5"/>
  <c r="D120" i="5"/>
  <c r="D128" i="5"/>
  <c r="D136" i="5"/>
  <c r="D144" i="5"/>
  <c r="D152" i="5"/>
  <c r="D160" i="5"/>
  <c r="D168" i="5"/>
  <c r="D176" i="5"/>
  <c r="D184" i="5"/>
  <c r="D192" i="5"/>
  <c r="D7" i="5"/>
  <c r="D39" i="5"/>
  <c r="D71" i="5"/>
  <c r="D119" i="5"/>
  <c r="D151" i="5"/>
  <c r="D167" i="5"/>
  <c r="D9" i="5"/>
  <c r="D17" i="5"/>
  <c r="D25" i="5"/>
  <c r="D33" i="5"/>
  <c r="D41" i="5"/>
  <c r="D49" i="5"/>
  <c r="D57" i="5"/>
  <c r="D65" i="5"/>
  <c r="D73" i="5"/>
  <c r="D81" i="5"/>
  <c r="D89" i="5"/>
  <c r="D97" i="5"/>
  <c r="D105" i="5"/>
  <c r="D113" i="5"/>
  <c r="D121" i="5"/>
  <c r="D129" i="5"/>
  <c r="D137" i="5"/>
  <c r="D145" i="5"/>
  <c r="D153" i="5"/>
  <c r="D161" i="5"/>
  <c r="D177" i="5"/>
  <c r="D185" i="5"/>
  <c r="D193" i="5"/>
  <c r="D23" i="5"/>
  <c r="D55" i="5"/>
  <c r="D103" i="5"/>
  <c r="D159" i="5"/>
  <c r="D10" i="5"/>
  <c r="D18" i="5"/>
  <c r="D26" i="5"/>
  <c r="D34" i="5"/>
  <c r="D42" i="5"/>
  <c r="D50" i="5"/>
  <c r="D58" i="5"/>
  <c r="D66" i="5"/>
  <c r="D74" i="5"/>
  <c r="D82" i="5"/>
  <c r="D90" i="5"/>
  <c r="D98" i="5"/>
  <c r="D106" i="5"/>
  <c r="D114" i="5"/>
  <c r="D122" i="5"/>
  <c r="D130" i="5"/>
  <c r="D138" i="5"/>
  <c r="D146" i="5"/>
  <c r="D154" i="5"/>
  <c r="D162" i="5"/>
  <c r="D170" i="5"/>
  <c r="D178" i="5"/>
  <c r="D186" i="5"/>
  <c r="D194" i="5"/>
  <c r="D202" i="5"/>
  <c r="D210" i="5"/>
  <c r="D218" i="5"/>
  <c r="D226" i="5"/>
  <c r="D234" i="5"/>
  <c r="D242" i="5"/>
  <c r="D250" i="5"/>
  <c r="D258" i="5"/>
  <c r="D266" i="5"/>
  <c r="D274" i="5"/>
  <c r="D282" i="5"/>
  <c r="D290" i="5"/>
  <c r="D298" i="5"/>
  <c r="D306" i="5"/>
  <c r="D314" i="5"/>
  <c r="D322" i="5"/>
  <c r="D330" i="5"/>
  <c r="D338" i="5"/>
  <c r="D346" i="5"/>
  <c r="D354" i="5"/>
  <c r="D362" i="5"/>
  <c r="D370" i="5"/>
  <c r="D378" i="5"/>
  <c r="D386" i="5"/>
  <c r="D394" i="5"/>
  <c r="D402" i="5"/>
  <c r="D410" i="5"/>
  <c r="D418" i="5"/>
  <c r="D426" i="5"/>
  <c r="D127" i="5"/>
  <c r="D175" i="5"/>
  <c r="U2" i="1"/>
  <c r="D169" i="5"/>
  <c r="D11" i="5"/>
  <c r="D19" i="5"/>
  <c r="D27" i="5"/>
  <c r="D35" i="5"/>
  <c r="D43" i="5"/>
  <c r="D51" i="5"/>
  <c r="D59" i="5"/>
  <c r="D67" i="5"/>
  <c r="D75" i="5"/>
  <c r="D83" i="5"/>
  <c r="D91" i="5"/>
  <c r="D99" i="5"/>
  <c r="D107" i="5"/>
  <c r="D115" i="5"/>
  <c r="D123" i="5"/>
  <c r="D131" i="5"/>
  <c r="D139" i="5"/>
  <c r="D147" i="5"/>
  <c r="D155" i="5"/>
  <c r="D163" i="5"/>
  <c r="D171" i="5"/>
  <c r="D179" i="5"/>
  <c r="D187" i="5"/>
  <c r="D195" i="5"/>
  <c r="D31" i="5"/>
  <c r="D63" i="5"/>
  <c r="D95" i="5"/>
  <c r="D135" i="5"/>
  <c r="D191" i="5"/>
  <c r="D4" i="5"/>
  <c r="D12" i="5"/>
  <c r="D20" i="5"/>
  <c r="D28" i="5"/>
  <c r="D36" i="5"/>
  <c r="D44" i="5"/>
  <c r="D52" i="5"/>
  <c r="D60" i="5"/>
  <c r="D68" i="5"/>
  <c r="D76" i="5"/>
  <c r="D84" i="5"/>
  <c r="D92" i="5"/>
  <c r="D100" i="5"/>
  <c r="D108" i="5"/>
  <c r="D116" i="5"/>
  <c r="D124" i="5"/>
  <c r="D132" i="5"/>
  <c r="D140" i="5"/>
  <c r="D148" i="5"/>
  <c r="D156" i="5"/>
  <c r="D164" i="5"/>
  <c r="D172" i="5"/>
  <c r="D180" i="5"/>
  <c r="D188" i="5"/>
  <c r="D196" i="5"/>
  <c r="D203" i="5"/>
  <c r="D211" i="5"/>
  <c r="D219" i="5"/>
  <c r="D227" i="5"/>
  <c r="D235" i="5"/>
  <c r="D243" i="5"/>
  <c r="D251" i="5"/>
  <c r="D259" i="5"/>
  <c r="D267" i="5"/>
  <c r="D275" i="5"/>
  <c r="D283" i="5"/>
  <c r="D291" i="5"/>
  <c r="D299" i="5"/>
  <c r="D307" i="5"/>
  <c r="D315" i="5"/>
  <c r="D323" i="5"/>
  <c r="D331" i="5"/>
  <c r="D339" i="5"/>
  <c r="D347" i="5"/>
  <c r="D355" i="5"/>
  <c r="D363" i="5"/>
  <c r="D371" i="5"/>
  <c r="D379" i="5"/>
  <c r="D387" i="5"/>
  <c r="D395" i="5"/>
  <c r="D403" i="5"/>
  <c r="D411" i="5"/>
  <c r="D419" i="5"/>
  <c r="D427" i="5"/>
  <c r="D204" i="5"/>
  <c r="D212" i="5"/>
  <c r="D220" i="5"/>
  <c r="D228" i="5"/>
  <c r="D236" i="5"/>
  <c r="D244" i="5"/>
  <c r="D252" i="5"/>
  <c r="D260" i="5"/>
  <c r="D268" i="5"/>
  <c r="D276" i="5"/>
  <c r="D284" i="5"/>
  <c r="D292" i="5"/>
  <c r="D300" i="5"/>
  <c r="D308" i="5"/>
  <c r="D316" i="5"/>
  <c r="D324" i="5"/>
  <c r="D332" i="5"/>
  <c r="D340" i="5"/>
  <c r="D348" i="5"/>
  <c r="D356" i="5"/>
  <c r="D364" i="5"/>
  <c r="D372" i="5"/>
  <c r="D380" i="5"/>
  <c r="D388" i="5"/>
  <c r="D396" i="5"/>
  <c r="D404" i="5"/>
  <c r="D412" i="5"/>
  <c r="D420" i="5"/>
  <c r="D428" i="5"/>
  <c r="D197" i="5"/>
  <c r="D205" i="5"/>
  <c r="D213" i="5"/>
  <c r="D221" i="5"/>
  <c r="D229" i="5"/>
  <c r="D237" i="5"/>
  <c r="D245" i="5"/>
  <c r="D253" i="5"/>
  <c r="D261" i="5"/>
  <c r="D269" i="5"/>
  <c r="D277" i="5"/>
  <c r="D285" i="5"/>
  <c r="D293" i="5"/>
  <c r="D301" i="5"/>
  <c r="D309" i="5"/>
  <c r="D317" i="5"/>
  <c r="D325" i="5"/>
  <c r="D333" i="5"/>
  <c r="D341" i="5"/>
  <c r="D349" i="5"/>
  <c r="D357" i="5"/>
  <c r="D365" i="5"/>
  <c r="D373" i="5"/>
  <c r="D381" i="5"/>
  <c r="D389" i="5"/>
  <c r="D397" i="5"/>
  <c r="D405" i="5"/>
  <c r="D413" i="5"/>
  <c r="D421" i="5"/>
  <c r="D429" i="5"/>
  <c r="D198" i="5"/>
  <c r="D206" i="5"/>
  <c r="D214" i="5"/>
  <c r="D222" i="5"/>
  <c r="D230" i="5"/>
  <c r="D238" i="5"/>
  <c r="D246" i="5"/>
  <c r="D254" i="5"/>
  <c r="D262" i="5"/>
  <c r="D270" i="5"/>
  <c r="D278" i="5"/>
  <c r="D286" i="5"/>
  <c r="D294" i="5"/>
  <c r="D302" i="5"/>
  <c r="D310" i="5"/>
  <c r="D318" i="5"/>
  <c r="D326" i="5"/>
  <c r="D334" i="5"/>
  <c r="D342" i="5"/>
  <c r="D350" i="5"/>
  <c r="D358" i="5"/>
  <c r="D366" i="5"/>
  <c r="D374" i="5"/>
  <c r="D382" i="5"/>
  <c r="D390" i="5"/>
  <c r="D398" i="5"/>
  <c r="D406" i="5"/>
  <c r="D414" i="5"/>
  <c r="D422" i="5"/>
  <c r="D199" i="5"/>
  <c r="D207" i="5"/>
  <c r="D215" i="5"/>
  <c r="D223" i="5"/>
  <c r="D231" i="5"/>
  <c r="D239" i="5"/>
  <c r="D247" i="5"/>
  <c r="D255" i="5"/>
  <c r="D263" i="5"/>
  <c r="D271" i="5"/>
  <c r="D279" i="5"/>
  <c r="D287" i="5"/>
  <c r="D295" i="5"/>
  <c r="D303" i="5"/>
  <c r="D311" i="5"/>
  <c r="D319" i="5"/>
  <c r="D327" i="5"/>
  <c r="D335" i="5"/>
  <c r="D343" i="5"/>
  <c r="D351" i="5"/>
  <c r="D359" i="5"/>
  <c r="D367" i="5"/>
  <c r="D375" i="5"/>
  <c r="D383" i="5"/>
  <c r="D391" i="5"/>
  <c r="D399" i="5"/>
  <c r="D407" i="5"/>
  <c r="D415" i="5"/>
  <c r="D423" i="5"/>
  <c r="D200" i="5"/>
  <c r="D208" i="5"/>
  <c r="D216" i="5"/>
  <c r="D224" i="5"/>
  <c r="D232" i="5"/>
  <c r="D240" i="5"/>
  <c r="D248" i="5"/>
  <c r="D256" i="5"/>
  <c r="D264" i="5"/>
  <c r="D272" i="5"/>
  <c r="D280" i="5"/>
  <c r="D288" i="5"/>
  <c r="D296" i="5"/>
  <c r="D304" i="5"/>
  <c r="D312" i="5"/>
  <c r="D320" i="5"/>
  <c r="D328" i="5"/>
  <c r="D336" i="5"/>
  <c r="D344" i="5"/>
  <c r="D352" i="5"/>
  <c r="D360" i="5"/>
  <c r="D368" i="5"/>
  <c r="D376" i="5"/>
  <c r="D384" i="5"/>
  <c r="D392" i="5"/>
  <c r="D400" i="5"/>
  <c r="D408" i="5"/>
  <c r="D416" i="5"/>
  <c r="D424" i="5"/>
  <c r="D201" i="5"/>
  <c r="D209" i="5"/>
  <c r="D217" i="5"/>
  <c r="D225" i="5"/>
  <c r="D233" i="5"/>
  <c r="D241" i="5"/>
  <c r="D249" i="5"/>
  <c r="D257" i="5"/>
  <c r="D265" i="5"/>
  <c r="D273" i="5"/>
  <c r="D281" i="5"/>
  <c r="D289" i="5"/>
  <c r="D297" i="5"/>
  <c r="D305" i="5"/>
  <c r="D313" i="5"/>
  <c r="D321" i="5"/>
  <c r="D329" i="5"/>
  <c r="D337" i="5"/>
  <c r="D345" i="5"/>
  <c r="D353" i="5"/>
  <c r="D361" i="5"/>
  <c r="D369" i="5"/>
  <c r="D377" i="5"/>
  <c r="D385" i="5"/>
  <c r="D393" i="5"/>
  <c r="D401" i="5"/>
  <c r="D409" i="5"/>
  <c r="D417" i="5"/>
  <c r="D425" i="5"/>
  <c r="L426" i="1"/>
  <c r="M426" i="1" s="1"/>
  <c r="L4" i="1"/>
  <c r="M4" i="1" s="1"/>
  <c r="N52" i="1"/>
  <c r="O52" i="1" s="1"/>
  <c r="N132" i="1"/>
  <c r="O132" i="1" s="1"/>
  <c r="N180" i="1"/>
  <c r="O180" i="1" s="1"/>
  <c r="L236" i="1"/>
  <c r="M236" i="1" s="1"/>
  <c r="L276" i="1"/>
  <c r="M276" i="1" s="1"/>
  <c r="L300" i="1"/>
  <c r="M300" i="1" s="1"/>
  <c r="L396" i="1"/>
  <c r="M396" i="1" s="1"/>
  <c r="N125" i="1"/>
  <c r="O125" i="1" s="1"/>
  <c r="L133" i="1"/>
  <c r="M133" i="1" s="1"/>
  <c r="L141" i="1"/>
  <c r="M141" i="1" s="1"/>
  <c r="L197" i="1"/>
  <c r="M197" i="1" s="1"/>
  <c r="L205" i="1"/>
  <c r="M205" i="1" s="1"/>
  <c r="L261" i="1"/>
  <c r="M261" i="1" s="1"/>
  <c r="N309" i="1"/>
  <c r="O309" i="1" s="1"/>
  <c r="L333" i="1"/>
  <c r="M333" i="1" s="1"/>
  <c r="L341" i="1"/>
  <c r="M341" i="1" s="1"/>
  <c r="N349" i="1"/>
  <c r="O349" i="1" s="1"/>
  <c r="L357" i="1"/>
  <c r="M357" i="1" s="1"/>
  <c r="N381" i="1"/>
  <c r="O381" i="1" s="1"/>
  <c r="L154" i="1"/>
  <c r="M154" i="1" s="1"/>
  <c r="N62" i="1"/>
  <c r="O62" i="1" s="1"/>
  <c r="N12" i="1"/>
  <c r="O12" i="1" s="1"/>
  <c r="N76" i="1"/>
  <c r="O76" i="1" s="1"/>
  <c r="L148" i="1"/>
  <c r="M148" i="1" s="1"/>
  <c r="L212" i="1"/>
  <c r="M212" i="1" s="1"/>
  <c r="L244" i="1"/>
  <c r="M244" i="1" s="1"/>
  <c r="N292" i="1"/>
  <c r="O292" i="1" s="1"/>
  <c r="L356" i="1"/>
  <c r="M356" i="1" s="1"/>
  <c r="L428" i="1"/>
  <c r="M428" i="1" s="1"/>
  <c r="R6" i="1"/>
  <c r="S6" i="1" s="1"/>
  <c r="R14" i="1"/>
  <c r="S14" i="1" s="1"/>
  <c r="R22" i="1"/>
  <c r="S22" i="1" s="1"/>
  <c r="R38" i="1"/>
  <c r="S38" i="1" s="1"/>
  <c r="R54" i="1"/>
  <c r="S54" i="1" s="1"/>
  <c r="R70" i="1"/>
  <c r="S70" i="1" s="1"/>
  <c r="N78" i="1"/>
  <c r="O78" i="1" s="1"/>
  <c r="R86" i="1"/>
  <c r="S86" i="1" s="1"/>
  <c r="N94" i="1"/>
  <c r="O94" i="1" s="1"/>
  <c r="R102" i="1"/>
  <c r="S102" i="1" s="1"/>
  <c r="N110" i="1"/>
  <c r="O110" i="1" s="1"/>
  <c r="L118" i="1"/>
  <c r="M118" i="1" s="1"/>
  <c r="L126" i="1"/>
  <c r="M126" i="1" s="1"/>
  <c r="L134" i="1"/>
  <c r="M134" i="1" s="1"/>
  <c r="L142" i="1"/>
  <c r="M142" i="1" s="1"/>
  <c r="N158" i="1"/>
  <c r="O158" i="1" s="1"/>
  <c r="N182" i="1"/>
  <c r="O182" i="1" s="1"/>
  <c r="L198" i="1"/>
  <c r="M198" i="1" s="1"/>
  <c r="L206" i="1"/>
  <c r="M206" i="1" s="1"/>
  <c r="N214" i="1"/>
  <c r="O214" i="1" s="1"/>
  <c r="N238" i="1"/>
  <c r="O238" i="1" s="1"/>
  <c r="P246" i="1"/>
  <c r="Q246" i="1" s="1"/>
  <c r="N254" i="1"/>
  <c r="O254" i="1" s="1"/>
  <c r="P310" i="1"/>
  <c r="Q310" i="1" s="1"/>
  <c r="L326" i="1"/>
  <c r="M326" i="1" s="1"/>
  <c r="L334" i="1"/>
  <c r="M334" i="1" s="1"/>
  <c r="N342" i="1"/>
  <c r="O342" i="1" s="1"/>
  <c r="L350" i="1"/>
  <c r="M350" i="1" s="1"/>
  <c r="L358" i="1"/>
  <c r="M358" i="1" s="1"/>
  <c r="L390" i="1"/>
  <c r="M390" i="1" s="1"/>
  <c r="L398" i="1"/>
  <c r="M398" i="1" s="1"/>
  <c r="L406" i="1"/>
  <c r="M406" i="1" s="1"/>
  <c r="L438" i="1"/>
  <c r="M438" i="1" s="1"/>
  <c r="L190" i="1"/>
  <c r="M190" i="1" s="1"/>
  <c r="N138" i="1"/>
  <c r="O138" i="1" s="1"/>
  <c r="L68" i="1"/>
  <c r="M68" i="1" s="1"/>
  <c r="L140" i="1"/>
  <c r="M140" i="1" s="1"/>
  <c r="N204" i="1"/>
  <c r="O204" i="1" s="1"/>
  <c r="L228" i="1"/>
  <c r="M228" i="1" s="1"/>
  <c r="L268" i="1"/>
  <c r="M268" i="1" s="1"/>
  <c r="L340" i="1"/>
  <c r="M340" i="1" s="1"/>
  <c r="L7" i="1"/>
  <c r="M7" i="1" s="1"/>
  <c r="R15" i="1"/>
  <c r="S15" i="1" s="1"/>
  <c r="N23" i="1"/>
  <c r="O23" i="1" s="1"/>
  <c r="L31" i="1"/>
  <c r="M31" i="1" s="1"/>
  <c r="N39" i="1"/>
  <c r="O39" i="1" s="1"/>
  <c r="N47" i="1"/>
  <c r="O47" i="1" s="1"/>
  <c r="L55" i="1"/>
  <c r="M55" i="1" s="1"/>
  <c r="L63" i="1"/>
  <c r="M63" i="1" s="1"/>
  <c r="L71" i="1"/>
  <c r="M71" i="1" s="1"/>
  <c r="L79" i="1"/>
  <c r="M79" i="1" s="1"/>
  <c r="L87" i="1"/>
  <c r="M87" i="1" s="1"/>
  <c r="L95" i="1"/>
  <c r="M95" i="1" s="1"/>
  <c r="L103" i="1"/>
  <c r="M103" i="1" s="1"/>
  <c r="L111" i="1"/>
  <c r="M111" i="1" s="1"/>
  <c r="L119" i="1"/>
  <c r="M119" i="1" s="1"/>
  <c r="P127" i="1"/>
  <c r="Q127" i="1" s="1"/>
  <c r="L135" i="1"/>
  <c r="M135" i="1" s="1"/>
  <c r="L143" i="1"/>
  <c r="M143" i="1" s="1"/>
  <c r="P159" i="1"/>
  <c r="Q159" i="1" s="1"/>
  <c r="N167" i="1"/>
  <c r="O167" i="1" s="1"/>
  <c r="L183" i="1"/>
  <c r="M183" i="1" s="1"/>
  <c r="L191" i="1"/>
  <c r="M191" i="1" s="1"/>
  <c r="L199" i="1"/>
  <c r="M199" i="1" s="1"/>
  <c r="L207" i="1"/>
  <c r="M207" i="1" s="1"/>
  <c r="N215" i="1"/>
  <c r="O215" i="1" s="1"/>
  <c r="P223" i="1"/>
  <c r="Q223" i="1" s="1"/>
  <c r="L247" i="1"/>
  <c r="M247" i="1" s="1"/>
  <c r="L255" i="1"/>
  <c r="M255" i="1" s="1"/>
  <c r="L263" i="1"/>
  <c r="M263" i="1" s="1"/>
  <c r="R303" i="1"/>
  <c r="S303" i="1" s="1"/>
  <c r="L311" i="1"/>
  <c r="M311" i="1" s="1"/>
  <c r="L319" i="1"/>
  <c r="M319" i="1" s="1"/>
  <c r="N327" i="1"/>
  <c r="O327" i="1" s="1"/>
  <c r="L335" i="1"/>
  <c r="M335" i="1" s="1"/>
  <c r="N343" i="1"/>
  <c r="O343" i="1" s="1"/>
  <c r="L351" i="1"/>
  <c r="M351" i="1" s="1"/>
  <c r="L359" i="1"/>
  <c r="M359" i="1" s="1"/>
  <c r="L399" i="1"/>
  <c r="M399" i="1" s="1"/>
  <c r="L407" i="1"/>
  <c r="M407" i="1" s="1"/>
  <c r="L439" i="1"/>
  <c r="M439" i="1" s="1"/>
  <c r="L262" i="1"/>
  <c r="M262" i="1" s="1"/>
  <c r="N209" i="1"/>
  <c r="O209" i="1" s="1"/>
  <c r="L20" i="1"/>
  <c r="M20" i="1" s="1"/>
  <c r="N92" i="1"/>
  <c r="O92" i="1" s="1"/>
  <c r="P220" i="1"/>
  <c r="Q220" i="1" s="1"/>
  <c r="L8" i="1"/>
  <c r="M8" i="1" s="1"/>
  <c r="N16" i="1"/>
  <c r="O16" i="1" s="1"/>
  <c r="N24" i="1"/>
  <c r="O24" i="1" s="1"/>
  <c r="L32" i="1"/>
  <c r="M32" i="1" s="1"/>
  <c r="L40" i="1"/>
  <c r="M40" i="1" s="1"/>
  <c r="L48" i="1"/>
  <c r="M48" i="1" s="1"/>
  <c r="L56" i="1"/>
  <c r="M56" i="1" s="1"/>
  <c r="L64" i="1"/>
  <c r="M64" i="1" s="1"/>
  <c r="L72" i="1"/>
  <c r="M72" i="1" s="1"/>
  <c r="L80" i="1"/>
  <c r="M80" i="1" s="1"/>
  <c r="L88" i="1"/>
  <c r="M88" i="1" s="1"/>
  <c r="L96" i="1"/>
  <c r="M96" i="1" s="1"/>
  <c r="L104" i="1"/>
  <c r="M104" i="1" s="1"/>
  <c r="L112" i="1"/>
  <c r="M112" i="1" s="1"/>
  <c r="L120" i="1"/>
  <c r="M120" i="1" s="1"/>
  <c r="L128" i="1"/>
  <c r="M128" i="1" s="1"/>
  <c r="L136" i="1"/>
  <c r="M136" i="1" s="1"/>
  <c r="N144" i="1"/>
  <c r="O144" i="1" s="1"/>
  <c r="N152" i="1"/>
  <c r="O152" i="1" s="1"/>
  <c r="N160" i="1"/>
  <c r="O160" i="1" s="1"/>
  <c r="L168" i="1"/>
  <c r="M168" i="1" s="1"/>
  <c r="L176" i="1"/>
  <c r="M176" i="1" s="1"/>
  <c r="L184" i="1"/>
  <c r="M184" i="1" s="1"/>
  <c r="L192" i="1"/>
  <c r="M192" i="1" s="1"/>
  <c r="L200" i="1"/>
  <c r="M200" i="1" s="1"/>
  <c r="N216" i="1"/>
  <c r="O216" i="1" s="1"/>
  <c r="N224" i="1"/>
  <c r="O224" i="1" s="1"/>
  <c r="L232" i="1"/>
  <c r="M232" i="1" s="1"/>
  <c r="L240" i="1"/>
  <c r="M240" i="1" s="1"/>
  <c r="L248" i="1"/>
  <c r="M248" i="1" s="1"/>
  <c r="L256" i="1"/>
  <c r="M256" i="1" s="1"/>
  <c r="L264" i="1"/>
  <c r="M264" i="1" s="1"/>
  <c r="N272" i="1"/>
  <c r="O272" i="1" s="1"/>
  <c r="R280" i="1"/>
  <c r="S280" i="1" s="1"/>
  <c r="N296" i="1"/>
  <c r="O296" i="1" s="1"/>
  <c r="L304" i="1"/>
  <c r="M304" i="1" s="1"/>
  <c r="L312" i="1"/>
  <c r="M312" i="1" s="1"/>
  <c r="L320" i="1"/>
  <c r="M320" i="1" s="1"/>
  <c r="N328" i="1"/>
  <c r="O328" i="1" s="1"/>
  <c r="L336" i="1"/>
  <c r="M336" i="1" s="1"/>
  <c r="N344" i="1"/>
  <c r="O344" i="1" s="1"/>
  <c r="L352" i="1"/>
  <c r="M352" i="1" s="1"/>
  <c r="L392" i="1"/>
  <c r="M392" i="1" s="1"/>
  <c r="L440" i="1"/>
  <c r="M440" i="1" s="1"/>
  <c r="L348" i="1"/>
  <c r="M348" i="1" s="1"/>
  <c r="N294" i="1"/>
  <c r="O294" i="1" s="1"/>
  <c r="L36" i="1"/>
  <c r="M36" i="1" s="1"/>
  <c r="L84" i="1"/>
  <c r="M84" i="1" s="1"/>
  <c r="L172" i="1"/>
  <c r="M172" i="1" s="1"/>
  <c r="L380" i="1"/>
  <c r="M380" i="1" s="1"/>
  <c r="L9" i="1"/>
  <c r="M9" i="1" s="1"/>
  <c r="P17" i="1"/>
  <c r="Q17" i="1" s="1"/>
  <c r="L25" i="1"/>
  <c r="M25" i="1" s="1"/>
  <c r="L33" i="1"/>
  <c r="M33" i="1" s="1"/>
  <c r="L41" i="1"/>
  <c r="M41" i="1" s="1"/>
  <c r="N49" i="1"/>
  <c r="O49" i="1" s="1"/>
  <c r="L57" i="1"/>
  <c r="M57" i="1" s="1"/>
  <c r="P65" i="1"/>
  <c r="Q65" i="1" s="1"/>
  <c r="L73" i="1"/>
  <c r="M73" i="1" s="1"/>
  <c r="N81" i="1"/>
  <c r="O81" i="1" s="1"/>
  <c r="L89" i="1"/>
  <c r="M89" i="1" s="1"/>
  <c r="L97" i="1"/>
  <c r="M97" i="1" s="1"/>
  <c r="L105" i="1"/>
  <c r="M105" i="1" s="1"/>
  <c r="L113" i="1"/>
  <c r="M113" i="1" s="1"/>
  <c r="L121" i="1"/>
  <c r="M121" i="1" s="1"/>
  <c r="L129" i="1"/>
  <c r="M129" i="1" s="1"/>
  <c r="L137" i="1"/>
  <c r="M137" i="1" s="1"/>
  <c r="L161" i="1"/>
  <c r="M161" i="1" s="1"/>
  <c r="R169" i="1"/>
  <c r="S169" i="1" s="1"/>
  <c r="L177" i="1"/>
  <c r="M177" i="1" s="1"/>
  <c r="L185" i="1"/>
  <c r="M185" i="1" s="1"/>
  <c r="L193" i="1"/>
  <c r="M193" i="1" s="1"/>
  <c r="R201" i="1"/>
  <c r="S201" i="1" s="1"/>
  <c r="L225" i="1"/>
  <c r="M225" i="1" s="1"/>
  <c r="N233" i="1"/>
  <c r="O233" i="1" s="1"/>
  <c r="L241" i="1"/>
  <c r="M241" i="1" s="1"/>
  <c r="L249" i="1"/>
  <c r="M249" i="1" s="1"/>
  <c r="L257" i="1"/>
  <c r="M257" i="1" s="1"/>
  <c r="L265" i="1"/>
  <c r="M265" i="1" s="1"/>
  <c r="R273" i="1"/>
  <c r="S273" i="1" s="1"/>
  <c r="N289" i="1"/>
  <c r="O289" i="1" s="1"/>
  <c r="L297" i="1"/>
  <c r="M297" i="1" s="1"/>
  <c r="L305" i="1"/>
  <c r="M305" i="1" s="1"/>
  <c r="N313" i="1"/>
  <c r="O313" i="1" s="1"/>
  <c r="L321" i="1"/>
  <c r="M321" i="1" s="1"/>
  <c r="N329" i="1"/>
  <c r="O329" i="1" s="1"/>
  <c r="L337" i="1"/>
  <c r="M337" i="1" s="1"/>
  <c r="L345" i="1"/>
  <c r="M345" i="1" s="1"/>
  <c r="L353" i="1"/>
  <c r="M353" i="1" s="1"/>
  <c r="L369" i="1"/>
  <c r="M369" i="1" s="1"/>
  <c r="L377" i="1"/>
  <c r="M377" i="1" s="1"/>
  <c r="L393" i="1"/>
  <c r="M393" i="1" s="1"/>
  <c r="L401" i="1"/>
  <c r="M401" i="1" s="1"/>
  <c r="L409" i="1"/>
  <c r="M409" i="1" s="1"/>
  <c r="L417" i="1"/>
  <c r="M417" i="1" s="1"/>
  <c r="L349" i="1"/>
  <c r="M349" i="1" s="1"/>
  <c r="N386" i="1"/>
  <c r="O386" i="1" s="1"/>
  <c r="N28" i="1"/>
  <c r="O28" i="1" s="1"/>
  <c r="L100" i="1"/>
  <c r="M100" i="1" s="1"/>
  <c r="L164" i="1"/>
  <c r="M164" i="1" s="1"/>
  <c r="L364" i="1"/>
  <c r="M364" i="1" s="1"/>
  <c r="L2" i="1"/>
  <c r="M2" i="1" s="1"/>
  <c r="N10" i="1"/>
  <c r="O10" i="1" s="1"/>
  <c r="N18" i="1"/>
  <c r="O18" i="1" s="1"/>
  <c r="L26" i="1"/>
  <c r="M26" i="1" s="1"/>
  <c r="L34" i="1"/>
  <c r="M34" i="1" s="1"/>
  <c r="N42" i="1"/>
  <c r="O42" i="1" s="1"/>
  <c r="L50" i="1"/>
  <c r="M50" i="1" s="1"/>
  <c r="N58" i="1"/>
  <c r="O58" i="1" s="1"/>
  <c r="L66" i="1"/>
  <c r="M66" i="1" s="1"/>
  <c r="N74" i="1"/>
  <c r="O74" i="1" s="1"/>
  <c r="L82" i="1"/>
  <c r="M82" i="1" s="1"/>
  <c r="N90" i="1"/>
  <c r="O90" i="1" s="1"/>
  <c r="L98" i="1"/>
  <c r="M98" i="1" s="1"/>
  <c r="N106" i="1"/>
  <c r="O106" i="1" s="1"/>
  <c r="L114" i="1"/>
  <c r="M114" i="1" s="1"/>
  <c r="N122" i="1"/>
  <c r="O122" i="1" s="1"/>
  <c r="R130" i="1"/>
  <c r="S130" i="1" s="1"/>
  <c r="L138" i="1"/>
  <c r="M138" i="1" s="1"/>
  <c r="N146" i="1"/>
  <c r="O146" i="1" s="1"/>
  <c r="N154" i="1"/>
  <c r="O154" i="1" s="1"/>
  <c r="N162" i="1"/>
  <c r="O162" i="1" s="1"/>
  <c r="L170" i="1"/>
  <c r="M170" i="1" s="1"/>
  <c r="L178" i="1"/>
  <c r="M178" i="1" s="1"/>
  <c r="L186" i="1"/>
  <c r="M186" i="1" s="1"/>
  <c r="R194" i="1"/>
  <c r="S194" i="1" s="1"/>
  <c r="L202" i="1"/>
  <c r="M202" i="1" s="1"/>
  <c r="N218" i="1"/>
  <c r="O218" i="1" s="1"/>
  <c r="R226" i="1"/>
  <c r="S226" i="1" s="1"/>
  <c r="L234" i="1"/>
  <c r="M234" i="1" s="1"/>
  <c r="L242" i="1"/>
  <c r="M242" i="1" s="1"/>
  <c r="N250" i="1"/>
  <c r="O250" i="1" s="1"/>
  <c r="L258" i="1"/>
  <c r="M258" i="1" s="1"/>
  <c r="L266" i="1"/>
  <c r="M266" i="1" s="1"/>
  <c r="L274" i="1"/>
  <c r="M274" i="1" s="1"/>
  <c r="L282" i="1"/>
  <c r="M282" i="1" s="1"/>
  <c r="L290" i="1"/>
  <c r="M290" i="1" s="1"/>
  <c r="L298" i="1"/>
  <c r="M298" i="1" s="1"/>
  <c r="N306" i="1"/>
  <c r="O306" i="1" s="1"/>
  <c r="N314" i="1"/>
  <c r="O314" i="1" s="1"/>
  <c r="L322" i="1"/>
  <c r="M322" i="1" s="1"/>
  <c r="L330" i="1"/>
  <c r="M330" i="1" s="1"/>
  <c r="L338" i="1"/>
  <c r="M338" i="1" s="1"/>
  <c r="L346" i="1"/>
  <c r="M346" i="1" s="1"/>
  <c r="L354" i="1"/>
  <c r="M354" i="1" s="1"/>
  <c r="N362" i="1"/>
  <c r="O362" i="1" s="1"/>
  <c r="R370" i="1"/>
  <c r="S370" i="1" s="1"/>
  <c r="N378" i="1"/>
  <c r="O378" i="1" s="1"/>
  <c r="N394" i="1"/>
  <c r="O394" i="1" s="1"/>
  <c r="N402" i="1"/>
  <c r="O402" i="1" s="1"/>
  <c r="N410" i="1"/>
  <c r="O410" i="1" s="1"/>
  <c r="N418" i="1"/>
  <c r="O418" i="1" s="1"/>
  <c r="N426" i="1"/>
  <c r="O426" i="1" s="1"/>
  <c r="R434" i="1"/>
  <c r="S434" i="1" s="1"/>
  <c r="N442" i="1"/>
  <c r="O442" i="1" s="1"/>
  <c r="L388" i="1"/>
  <c r="M388" i="1" s="1"/>
  <c r="N413" i="1"/>
  <c r="O413" i="1" s="1"/>
  <c r="L60" i="1"/>
  <c r="M60" i="1" s="1"/>
  <c r="L108" i="1"/>
  <c r="M108" i="1" s="1"/>
  <c r="L156" i="1"/>
  <c r="M156" i="1" s="1"/>
  <c r="R252" i="1"/>
  <c r="S252" i="1" s="1"/>
  <c r="L3" i="1"/>
  <c r="M3" i="1" s="1"/>
  <c r="L19" i="1"/>
  <c r="M19" i="1" s="1"/>
  <c r="L27" i="1"/>
  <c r="M27" i="1" s="1"/>
  <c r="N43" i="1"/>
  <c r="O43" i="1" s="1"/>
  <c r="L51" i="1"/>
  <c r="M51" i="1" s="1"/>
  <c r="L59" i="1"/>
  <c r="M59" i="1" s="1"/>
  <c r="L67" i="1"/>
  <c r="M67" i="1" s="1"/>
  <c r="L83" i="1"/>
  <c r="M83" i="1" s="1"/>
  <c r="L91" i="1"/>
  <c r="M91" i="1" s="1"/>
  <c r="L99" i="1"/>
  <c r="M99" i="1" s="1"/>
  <c r="L115" i="1"/>
  <c r="M115" i="1" s="1"/>
  <c r="L123" i="1"/>
  <c r="M123" i="1" s="1"/>
  <c r="L147" i="1"/>
  <c r="M147" i="1" s="1"/>
  <c r="L163" i="1"/>
  <c r="M163" i="1" s="1"/>
  <c r="L171" i="1"/>
  <c r="M171" i="1" s="1"/>
  <c r="L179" i="1"/>
  <c r="M179" i="1" s="1"/>
  <c r="L195" i="1"/>
  <c r="M195" i="1" s="1"/>
  <c r="N203" i="1"/>
  <c r="O203" i="1" s="1"/>
  <c r="L211" i="1"/>
  <c r="M211" i="1" s="1"/>
  <c r="L227" i="1"/>
  <c r="M227" i="1" s="1"/>
  <c r="L235" i="1"/>
  <c r="M235" i="1" s="1"/>
  <c r="L243" i="1"/>
  <c r="M243" i="1" s="1"/>
  <c r="N259" i="1"/>
  <c r="O259" i="1" s="1"/>
  <c r="N275" i="1"/>
  <c r="O275" i="1" s="1"/>
  <c r="L283" i="1"/>
  <c r="M283" i="1" s="1"/>
  <c r="L299" i="1"/>
  <c r="M299" i="1" s="1"/>
  <c r="L307" i="1"/>
  <c r="M307" i="1" s="1"/>
  <c r="N315" i="1"/>
  <c r="O315" i="1" s="1"/>
  <c r="N331" i="1"/>
  <c r="O331" i="1" s="1"/>
  <c r="N363" i="1"/>
  <c r="O363" i="1" s="1"/>
  <c r="L371" i="1"/>
  <c r="M371" i="1" s="1"/>
  <c r="N395" i="1"/>
  <c r="O395" i="1" s="1"/>
  <c r="L403" i="1"/>
  <c r="M403" i="1" s="1"/>
  <c r="L419" i="1"/>
  <c r="M419" i="1" s="1"/>
  <c r="N427" i="1"/>
  <c r="O427" i="1" s="1"/>
  <c r="L389" i="1"/>
  <c r="M389" i="1" s="1"/>
  <c r="L182" i="1"/>
  <c r="M182" i="1" s="1"/>
  <c r="N50" i="1"/>
  <c r="O50" i="1" s="1"/>
  <c r="N280" i="1"/>
  <c r="O280" i="1" s="1"/>
  <c r="N354" i="1"/>
  <c r="O354" i="1" s="1"/>
  <c r="P54" i="1"/>
  <c r="Q54" i="1" s="1"/>
  <c r="L15" i="1"/>
  <c r="M15" i="1" s="1"/>
  <c r="L47" i="1"/>
  <c r="M47" i="1" s="1"/>
  <c r="L226" i="1"/>
  <c r="M226" i="1" s="1"/>
  <c r="L378" i="1"/>
  <c r="M378" i="1" s="1"/>
  <c r="L418" i="1"/>
  <c r="M418" i="1" s="1"/>
  <c r="N60" i="1"/>
  <c r="O60" i="1" s="1"/>
  <c r="N197" i="1"/>
  <c r="O197" i="1" s="1"/>
  <c r="N282" i="1"/>
  <c r="O282" i="1" s="1"/>
  <c r="P113" i="1"/>
  <c r="Q113" i="1" s="1"/>
  <c r="L23" i="1"/>
  <c r="M23" i="1" s="1"/>
  <c r="L233" i="1"/>
  <c r="M233" i="1" s="1"/>
  <c r="P194" i="1"/>
  <c r="Q194" i="1" s="1"/>
  <c r="L24" i="1"/>
  <c r="M24" i="1" s="1"/>
  <c r="L162" i="1"/>
  <c r="M162" i="1" s="1"/>
  <c r="N14" i="1"/>
  <c r="O14" i="1" s="1"/>
  <c r="N226" i="1"/>
  <c r="O226" i="1" s="1"/>
  <c r="P201" i="1"/>
  <c r="Q201" i="1" s="1"/>
  <c r="L16" i="1"/>
  <c r="M16" i="1" s="1"/>
  <c r="L204" i="1"/>
  <c r="M204" i="1" s="1"/>
  <c r="L246" i="1"/>
  <c r="M246" i="1" s="1"/>
  <c r="L327" i="1"/>
  <c r="M327" i="1" s="1"/>
  <c r="N322" i="1"/>
  <c r="O322" i="1" s="1"/>
  <c r="P2" i="1"/>
  <c r="Q2" i="1" s="1"/>
  <c r="P303" i="1"/>
  <c r="Q303" i="1" s="1"/>
  <c r="L127" i="1"/>
  <c r="M127" i="1" s="1"/>
  <c r="L169" i="1"/>
  <c r="M169" i="1" s="1"/>
  <c r="N169" i="1"/>
  <c r="O169" i="1" s="1"/>
  <c r="N252" i="1"/>
  <c r="O252" i="1" s="1"/>
  <c r="N336" i="1"/>
  <c r="O336" i="1" s="1"/>
  <c r="P6" i="1"/>
  <c r="Q6" i="1" s="1"/>
  <c r="L39" i="1"/>
  <c r="M39" i="1" s="1"/>
  <c r="L218" i="1"/>
  <c r="M218" i="1" s="1"/>
  <c r="L254" i="1"/>
  <c r="M254" i="1" s="1"/>
  <c r="L370" i="1"/>
  <c r="M370" i="1" s="1"/>
  <c r="N108" i="1"/>
  <c r="O108" i="1" s="1"/>
  <c r="N338" i="1"/>
  <c r="O338" i="1" s="1"/>
  <c r="P49" i="1"/>
  <c r="Q49" i="1" s="1"/>
  <c r="R81" i="1"/>
  <c r="S81" i="1" s="1"/>
  <c r="R11" i="1"/>
  <c r="S11" i="1" s="1"/>
  <c r="P11" i="1"/>
  <c r="Q11" i="1" s="1"/>
  <c r="R35" i="1"/>
  <c r="S35" i="1" s="1"/>
  <c r="P35" i="1"/>
  <c r="Q35" i="1" s="1"/>
  <c r="R75" i="1"/>
  <c r="S75" i="1" s="1"/>
  <c r="P75" i="1"/>
  <c r="Q75" i="1" s="1"/>
  <c r="R107" i="1"/>
  <c r="S107" i="1" s="1"/>
  <c r="P107" i="1"/>
  <c r="Q107" i="1" s="1"/>
  <c r="R131" i="1"/>
  <c r="S131" i="1" s="1"/>
  <c r="P131" i="1"/>
  <c r="Q131" i="1" s="1"/>
  <c r="N131" i="1"/>
  <c r="O131" i="1" s="1"/>
  <c r="R155" i="1"/>
  <c r="S155" i="1" s="1"/>
  <c r="P155" i="1"/>
  <c r="Q155" i="1" s="1"/>
  <c r="N155" i="1"/>
  <c r="O155" i="1" s="1"/>
  <c r="R187" i="1"/>
  <c r="S187" i="1" s="1"/>
  <c r="P187" i="1"/>
  <c r="Q187" i="1" s="1"/>
  <c r="R219" i="1"/>
  <c r="S219" i="1" s="1"/>
  <c r="P219" i="1"/>
  <c r="Q219" i="1" s="1"/>
  <c r="N219" i="1"/>
  <c r="O219" i="1" s="1"/>
  <c r="R251" i="1"/>
  <c r="S251" i="1" s="1"/>
  <c r="P251" i="1"/>
  <c r="Q251" i="1" s="1"/>
  <c r="R267" i="1"/>
  <c r="S267" i="1" s="1"/>
  <c r="P267" i="1"/>
  <c r="Q267" i="1" s="1"/>
  <c r="R291" i="1"/>
  <c r="S291" i="1" s="1"/>
  <c r="P291" i="1"/>
  <c r="Q291" i="1" s="1"/>
  <c r="N291" i="1"/>
  <c r="O291" i="1" s="1"/>
  <c r="R323" i="1"/>
  <c r="S323" i="1" s="1"/>
  <c r="P323" i="1"/>
  <c r="Q323" i="1" s="1"/>
  <c r="N323" i="1"/>
  <c r="O323" i="1" s="1"/>
  <c r="R355" i="1"/>
  <c r="S355" i="1" s="1"/>
  <c r="P355" i="1"/>
  <c r="Q355" i="1" s="1"/>
  <c r="N355" i="1"/>
  <c r="O355" i="1" s="1"/>
  <c r="R379" i="1"/>
  <c r="S379" i="1" s="1"/>
  <c r="P379" i="1"/>
  <c r="Q379" i="1" s="1"/>
  <c r="L379" i="1"/>
  <c r="M379" i="1" s="1"/>
  <c r="R411" i="1"/>
  <c r="S411" i="1" s="1"/>
  <c r="P411" i="1"/>
  <c r="Q411" i="1" s="1"/>
  <c r="R284" i="1"/>
  <c r="S284" i="1" s="1"/>
  <c r="P284" i="1"/>
  <c r="Q284" i="1" s="1"/>
  <c r="N284" i="1"/>
  <c r="O284" i="1" s="1"/>
  <c r="R324" i="1"/>
  <c r="S324" i="1" s="1"/>
  <c r="P324" i="1"/>
  <c r="Q324" i="1" s="1"/>
  <c r="N324" i="1"/>
  <c r="O324" i="1" s="1"/>
  <c r="R372" i="1"/>
  <c r="S372" i="1" s="1"/>
  <c r="P372" i="1"/>
  <c r="Q372" i="1" s="1"/>
  <c r="N372" i="1"/>
  <c r="O372" i="1" s="1"/>
  <c r="R412" i="1"/>
  <c r="S412" i="1" s="1"/>
  <c r="N412" i="1"/>
  <c r="O412" i="1" s="1"/>
  <c r="P412" i="1"/>
  <c r="Q412" i="1" s="1"/>
  <c r="L412" i="1"/>
  <c r="M412" i="1" s="1"/>
  <c r="N3" i="1"/>
  <c r="O3" i="1" s="1"/>
  <c r="R5" i="1"/>
  <c r="S5" i="1" s="1"/>
  <c r="P5" i="1"/>
  <c r="Q5" i="1" s="1"/>
  <c r="N5" i="1"/>
  <c r="O5" i="1" s="1"/>
  <c r="P13" i="1"/>
  <c r="Q13" i="1" s="1"/>
  <c r="R13" i="1"/>
  <c r="S13" i="1" s="1"/>
  <c r="N13" i="1"/>
  <c r="O13" i="1" s="1"/>
  <c r="P21" i="1"/>
  <c r="Q21" i="1" s="1"/>
  <c r="R21" i="1"/>
  <c r="S21" i="1" s="1"/>
  <c r="N21" i="1"/>
  <c r="O21" i="1" s="1"/>
  <c r="P29" i="1"/>
  <c r="Q29" i="1" s="1"/>
  <c r="R29" i="1"/>
  <c r="S29" i="1" s="1"/>
  <c r="N29" i="1"/>
  <c r="O29" i="1" s="1"/>
  <c r="R37" i="1"/>
  <c r="S37" i="1" s="1"/>
  <c r="P37" i="1"/>
  <c r="Q37" i="1" s="1"/>
  <c r="N37" i="1"/>
  <c r="O37" i="1" s="1"/>
  <c r="P45" i="1"/>
  <c r="Q45" i="1" s="1"/>
  <c r="R45" i="1"/>
  <c r="S45" i="1" s="1"/>
  <c r="N45" i="1"/>
  <c r="O45" i="1" s="1"/>
  <c r="P53" i="1"/>
  <c r="Q53" i="1" s="1"/>
  <c r="R53" i="1"/>
  <c r="S53" i="1" s="1"/>
  <c r="N53" i="1"/>
  <c r="O53" i="1" s="1"/>
  <c r="P61" i="1"/>
  <c r="Q61" i="1" s="1"/>
  <c r="R61" i="1"/>
  <c r="S61" i="1" s="1"/>
  <c r="N61" i="1"/>
  <c r="O61" i="1" s="1"/>
  <c r="R69" i="1"/>
  <c r="S69" i="1" s="1"/>
  <c r="P69" i="1"/>
  <c r="Q69" i="1" s="1"/>
  <c r="N69" i="1"/>
  <c r="O69" i="1" s="1"/>
  <c r="P77" i="1"/>
  <c r="Q77" i="1" s="1"/>
  <c r="R77" i="1"/>
  <c r="S77" i="1" s="1"/>
  <c r="N77" i="1"/>
  <c r="O77" i="1" s="1"/>
  <c r="P85" i="1"/>
  <c r="Q85" i="1" s="1"/>
  <c r="R85" i="1"/>
  <c r="S85" i="1" s="1"/>
  <c r="N85" i="1"/>
  <c r="O85" i="1" s="1"/>
  <c r="P93" i="1"/>
  <c r="Q93" i="1" s="1"/>
  <c r="R93" i="1"/>
  <c r="S93" i="1" s="1"/>
  <c r="N93" i="1"/>
  <c r="O93" i="1" s="1"/>
  <c r="R101" i="1"/>
  <c r="S101" i="1" s="1"/>
  <c r="P101" i="1"/>
  <c r="Q101" i="1" s="1"/>
  <c r="N101" i="1"/>
  <c r="O101" i="1" s="1"/>
  <c r="R109" i="1"/>
  <c r="S109" i="1" s="1"/>
  <c r="P109" i="1"/>
  <c r="Q109" i="1" s="1"/>
  <c r="N109" i="1"/>
  <c r="O109" i="1" s="1"/>
  <c r="R117" i="1"/>
  <c r="S117" i="1" s="1"/>
  <c r="N117" i="1"/>
  <c r="O117" i="1" s="1"/>
  <c r="R125" i="1"/>
  <c r="S125" i="1" s="1"/>
  <c r="P125" i="1"/>
  <c r="Q125" i="1" s="1"/>
  <c r="R133" i="1"/>
  <c r="S133" i="1" s="1"/>
  <c r="P133" i="1"/>
  <c r="Q133" i="1" s="1"/>
  <c r="N133" i="1"/>
  <c r="O133" i="1" s="1"/>
  <c r="P141" i="1"/>
  <c r="Q141" i="1" s="1"/>
  <c r="N141" i="1"/>
  <c r="O141" i="1" s="1"/>
  <c r="R149" i="1"/>
  <c r="S149" i="1" s="1"/>
  <c r="N149" i="1"/>
  <c r="O149" i="1" s="1"/>
  <c r="R157" i="1"/>
  <c r="S157" i="1" s="1"/>
  <c r="P157" i="1"/>
  <c r="Q157" i="1" s="1"/>
  <c r="N157" i="1"/>
  <c r="O157" i="1" s="1"/>
  <c r="P165" i="1"/>
  <c r="Q165" i="1" s="1"/>
  <c r="R165" i="1"/>
  <c r="S165" i="1" s="1"/>
  <c r="P173" i="1"/>
  <c r="Q173" i="1" s="1"/>
  <c r="R173" i="1"/>
  <c r="S173" i="1" s="1"/>
  <c r="R181" i="1"/>
  <c r="S181" i="1" s="1"/>
  <c r="P181" i="1"/>
  <c r="Q181" i="1" s="1"/>
  <c r="N181" i="1"/>
  <c r="O181" i="1" s="1"/>
  <c r="R189" i="1"/>
  <c r="S189" i="1" s="1"/>
  <c r="P189" i="1"/>
  <c r="Q189" i="1" s="1"/>
  <c r="N189" i="1"/>
  <c r="O189" i="1" s="1"/>
  <c r="R197" i="1"/>
  <c r="S197" i="1" s="1"/>
  <c r="P197" i="1"/>
  <c r="Q197" i="1" s="1"/>
  <c r="P205" i="1"/>
  <c r="Q205" i="1" s="1"/>
  <c r="R205" i="1"/>
  <c r="S205" i="1" s="1"/>
  <c r="N205" i="1"/>
  <c r="O205" i="1" s="1"/>
  <c r="R213" i="1"/>
  <c r="S213" i="1" s="1"/>
  <c r="P213" i="1"/>
  <c r="Q213" i="1" s="1"/>
  <c r="N213" i="1"/>
  <c r="O213" i="1" s="1"/>
  <c r="R221" i="1"/>
  <c r="S221" i="1" s="1"/>
  <c r="N221" i="1"/>
  <c r="O221" i="1" s="1"/>
  <c r="P221" i="1"/>
  <c r="Q221" i="1" s="1"/>
  <c r="P229" i="1"/>
  <c r="Q229" i="1" s="1"/>
  <c r="R229" i="1"/>
  <c r="S229" i="1" s="1"/>
  <c r="P237" i="1"/>
  <c r="Q237" i="1" s="1"/>
  <c r="R237" i="1"/>
  <c r="S237" i="1" s="1"/>
  <c r="R245" i="1"/>
  <c r="S245" i="1" s="1"/>
  <c r="N245" i="1"/>
  <c r="O245" i="1" s="1"/>
  <c r="R253" i="1"/>
  <c r="S253" i="1" s="1"/>
  <c r="P253" i="1"/>
  <c r="Q253" i="1" s="1"/>
  <c r="N253" i="1"/>
  <c r="O253" i="1" s="1"/>
  <c r="R261" i="1"/>
  <c r="S261" i="1" s="1"/>
  <c r="P261" i="1"/>
  <c r="Q261" i="1" s="1"/>
  <c r="P269" i="1"/>
  <c r="Q269" i="1" s="1"/>
  <c r="R269" i="1"/>
  <c r="S269" i="1" s="1"/>
  <c r="N269" i="1"/>
  <c r="O269" i="1" s="1"/>
  <c r="P277" i="1"/>
  <c r="Q277" i="1" s="1"/>
  <c r="R277" i="1"/>
  <c r="S277" i="1" s="1"/>
  <c r="N277" i="1"/>
  <c r="O277" i="1" s="1"/>
  <c r="R285" i="1"/>
  <c r="S285" i="1" s="1"/>
  <c r="P285" i="1"/>
  <c r="Q285" i="1" s="1"/>
  <c r="P293" i="1"/>
  <c r="Q293" i="1" s="1"/>
  <c r="R293" i="1"/>
  <c r="S293" i="1" s="1"/>
  <c r="P301" i="1"/>
  <c r="Q301" i="1" s="1"/>
  <c r="R301" i="1"/>
  <c r="S301" i="1" s="1"/>
  <c r="P309" i="1"/>
  <c r="Q309" i="1" s="1"/>
  <c r="R309" i="1"/>
  <c r="S309" i="1" s="1"/>
  <c r="P317" i="1"/>
  <c r="Q317" i="1" s="1"/>
  <c r="N317" i="1"/>
  <c r="O317" i="1" s="1"/>
  <c r="P325" i="1"/>
  <c r="Q325" i="1" s="1"/>
  <c r="R325" i="1"/>
  <c r="S325" i="1" s="1"/>
  <c r="N325" i="1"/>
  <c r="O325" i="1" s="1"/>
  <c r="R333" i="1"/>
  <c r="S333" i="1" s="1"/>
  <c r="P333" i="1"/>
  <c r="Q333" i="1" s="1"/>
  <c r="N333" i="1"/>
  <c r="O333" i="1" s="1"/>
  <c r="R341" i="1"/>
  <c r="S341" i="1" s="1"/>
  <c r="P341" i="1"/>
  <c r="Q341" i="1" s="1"/>
  <c r="N341" i="1"/>
  <c r="O341" i="1" s="1"/>
  <c r="P357" i="1"/>
  <c r="Q357" i="1" s="1"/>
  <c r="R357" i="1"/>
  <c r="S357" i="1" s="1"/>
  <c r="N357" i="1"/>
  <c r="O357" i="1" s="1"/>
  <c r="P365" i="1"/>
  <c r="Q365" i="1" s="1"/>
  <c r="R365" i="1"/>
  <c r="S365" i="1" s="1"/>
  <c r="P373" i="1"/>
  <c r="Q373" i="1" s="1"/>
  <c r="R373" i="1"/>
  <c r="S373" i="1" s="1"/>
  <c r="N373" i="1"/>
  <c r="O373" i="1" s="1"/>
  <c r="P381" i="1"/>
  <c r="Q381" i="1" s="1"/>
  <c r="R381" i="1"/>
  <c r="S381" i="1" s="1"/>
  <c r="P389" i="1"/>
  <c r="Q389" i="1" s="1"/>
  <c r="R389" i="1"/>
  <c r="S389" i="1" s="1"/>
  <c r="N389" i="1"/>
  <c r="O389" i="1" s="1"/>
  <c r="P397" i="1"/>
  <c r="Q397" i="1" s="1"/>
  <c r="R397" i="1"/>
  <c r="S397" i="1" s="1"/>
  <c r="L397" i="1"/>
  <c r="M397" i="1" s="1"/>
  <c r="P405" i="1"/>
  <c r="Q405" i="1" s="1"/>
  <c r="R405" i="1"/>
  <c r="S405" i="1" s="1"/>
  <c r="N405" i="1"/>
  <c r="O405" i="1" s="1"/>
  <c r="P413" i="1"/>
  <c r="Q413" i="1" s="1"/>
  <c r="R413" i="1"/>
  <c r="S413" i="1" s="1"/>
  <c r="P421" i="1"/>
  <c r="Q421" i="1" s="1"/>
  <c r="R421" i="1"/>
  <c r="S421" i="1" s="1"/>
  <c r="N421" i="1"/>
  <c r="O421" i="1" s="1"/>
  <c r="P429" i="1"/>
  <c r="Q429" i="1" s="1"/>
  <c r="R429" i="1"/>
  <c r="S429" i="1" s="1"/>
  <c r="P437" i="1"/>
  <c r="Q437" i="1" s="1"/>
  <c r="R437" i="1"/>
  <c r="S437" i="1" s="1"/>
  <c r="L437" i="1"/>
  <c r="M437" i="1" s="1"/>
  <c r="N437" i="1"/>
  <c r="O437" i="1" s="1"/>
  <c r="L17" i="1"/>
  <c r="M17" i="1" s="1"/>
  <c r="L49" i="1"/>
  <c r="M49" i="1" s="1"/>
  <c r="L65" i="1"/>
  <c r="M65" i="1" s="1"/>
  <c r="L81" i="1"/>
  <c r="M81" i="1" s="1"/>
  <c r="L220" i="1"/>
  <c r="M220" i="1" s="1"/>
  <c r="L269" i="1"/>
  <c r="M269" i="1" s="1"/>
  <c r="L284" i="1"/>
  <c r="M284" i="1" s="1"/>
  <c r="L292" i="1"/>
  <c r="M292" i="1" s="1"/>
  <c r="L313" i="1"/>
  <c r="M313" i="1" s="1"/>
  <c r="L328" i="1"/>
  <c r="M328" i="1" s="1"/>
  <c r="L342" i="1"/>
  <c r="M342" i="1" s="1"/>
  <c r="N4" i="1"/>
  <c r="O4" i="1" s="1"/>
  <c r="N15" i="1"/>
  <c r="O15" i="1" s="1"/>
  <c r="N26" i="1"/>
  <c r="O26" i="1" s="1"/>
  <c r="N38" i="1"/>
  <c r="O38" i="1" s="1"/>
  <c r="N51" i="1"/>
  <c r="O51" i="1" s="1"/>
  <c r="N66" i="1"/>
  <c r="O66" i="1" s="1"/>
  <c r="N82" i="1"/>
  <c r="O82" i="1" s="1"/>
  <c r="N98" i="1"/>
  <c r="O98" i="1" s="1"/>
  <c r="N114" i="1"/>
  <c r="O114" i="1" s="1"/>
  <c r="N143" i="1"/>
  <c r="O143" i="1" s="1"/>
  <c r="N172" i="1"/>
  <c r="O172" i="1" s="1"/>
  <c r="N186" i="1"/>
  <c r="O186" i="1" s="1"/>
  <c r="N201" i="1"/>
  <c r="O201" i="1" s="1"/>
  <c r="N229" i="1"/>
  <c r="O229" i="1" s="1"/>
  <c r="N243" i="1"/>
  <c r="O243" i="1" s="1"/>
  <c r="N258" i="1"/>
  <c r="O258" i="1" s="1"/>
  <c r="N285" i="1"/>
  <c r="O285" i="1" s="1"/>
  <c r="P14" i="1"/>
  <c r="Q14" i="1" s="1"/>
  <c r="P349" i="1"/>
  <c r="Q349" i="1" s="1"/>
  <c r="R141" i="1"/>
  <c r="S141" i="1" s="1"/>
  <c r="L219" i="1"/>
  <c r="M219" i="1" s="1"/>
  <c r="L275" i="1"/>
  <c r="M275" i="1" s="1"/>
  <c r="L291" i="1"/>
  <c r="M291" i="1" s="1"/>
  <c r="R30" i="1"/>
  <c r="S30" i="1" s="1"/>
  <c r="P30" i="1"/>
  <c r="Q30" i="1" s="1"/>
  <c r="R46" i="1"/>
  <c r="S46" i="1" s="1"/>
  <c r="P46" i="1"/>
  <c r="Q46" i="1" s="1"/>
  <c r="R62" i="1"/>
  <c r="S62" i="1" s="1"/>
  <c r="P62" i="1"/>
  <c r="Q62" i="1" s="1"/>
  <c r="R78" i="1"/>
  <c r="S78" i="1" s="1"/>
  <c r="P78" i="1"/>
  <c r="Q78" i="1" s="1"/>
  <c r="R94" i="1"/>
  <c r="S94" i="1" s="1"/>
  <c r="P94" i="1"/>
  <c r="Q94" i="1" s="1"/>
  <c r="R110" i="1"/>
  <c r="S110" i="1" s="1"/>
  <c r="P110" i="1"/>
  <c r="Q110" i="1" s="1"/>
  <c r="R118" i="1"/>
  <c r="S118" i="1" s="1"/>
  <c r="P118" i="1"/>
  <c r="Q118" i="1" s="1"/>
  <c r="R126" i="1"/>
  <c r="S126" i="1" s="1"/>
  <c r="P126" i="1"/>
  <c r="Q126" i="1" s="1"/>
  <c r="N126" i="1"/>
  <c r="O126" i="1" s="1"/>
  <c r="R134" i="1"/>
  <c r="S134" i="1" s="1"/>
  <c r="P134" i="1"/>
  <c r="Q134" i="1" s="1"/>
  <c r="N134" i="1"/>
  <c r="O134" i="1" s="1"/>
  <c r="P142" i="1"/>
  <c r="Q142" i="1" s="1"/>
  <c r="N142" i="1"/>
  <c r="O142" i="1" s="1"/>
  <c r="R142" i="1"/>
  <c r="S142" i="1" s="1"/>
  <c r="R150" i="1"/>
  <c r="S150" i="1" s="1"/>
  <c r="P150" i="1"/>
  <c r="Q150" i="1" s="1"/>
  <c r="R158" i="1"/>
  <c r="S158" i="1" s="1"/>
  <c r="P158" i="1"/>
  <c r="Q158" i="1" s="1"/>
  <c r="P166" i="1"/>
  <c r="Q166" i="1" s="1"/>
  <c r="R166" i="1"/>
  <c r="S166" i="1" s="1"/>
  <c r="P174" i="1"/>
  <c r="Q174" i="1" s="1"/>
  <c r="R174" i="1"/>
  <c r="S174" i="1" s="1"/>
  <c r="P182" i="1"/>
  <c r="Q182" i="1" s="1"/>
  <c r="R182" i="1"/>
  <c r="S182" i="1" s="1"/>
  <c r="R190" i="1"/>
  <c r="S190" i="1" s="1"/>
  <c r="P190" i="1"/>
  <c r="Q190" i="1" s="1"/>
  <c r="R198" i="1"/>
  <c r="S198" i="1" s="1"/>
  <c r="P198" i="1"/>
  <c r="Q198" i="1" s="1"/>
  <c r="N198" i="1"/>
  <c r="O198" i="1" s="1"/>
  <c r="P206" i="1"/>
  <c r="Q206" i="1" s="1"/>
  <c r="R206" i="1"/>
  <c r="S206" i="1" s="1"/>
  <c r="N206" i="1"/>
  <c r="O206" i="1" s="1"/>
  <c r="R214" i="1"/>
  <c r="S214" i="1" s="1"/>
  <c r="P214" i="1"/>
  <c r="Q214" i="1" s="1"/>
  <c r="R222" i="1"/>
  <c r="S222" i="1" s="1"/>
  <c r="P222" i="1"/>
  <c r="Q222" i="1" s="1"/>
  <c r="P230" i="1"/>
  <c r="Q230" i="1" s="1"/>
  <c r="R230" i="1"/>
  <c r="S230" i="1" s="1"/>
  <c r="R238" i="1"/>
  <c r="S238" i="1" s="1"/>
  <c r="P238" i="1"/>
  <c r="Q238" i="1" s="1"/>
  <c r="R254" i="1"/>
  <c r="S254" i="1" s="1"/>
  <c r="P254" i="1"/>
  <c r="Q254" i="1" s="1"/>
  <c r="R262" i="1"/>
  <c r="S262" i="1" s="1"/>
  <c r="P262" i="1"/>
  <c r="Q262" i="1" s="1"/>
  <c r="N262" i="1"/>
  <c r="O262" i="1" s="1"/>
  <c r="P270" i="1"/>
  <c r="Q270" i="1" s="1"/>
  <c r="R270" i="1"/>
  <c r="S270" i="1" s="1"/>
  <c r="N270" i="1"/>
  <c r="O270" i="1" s="1"/>
  <c r="P278" i="1"/>
  <c r="Q278" i="1" s="1"/>
  <c r="R278" i="1"/>
  <c r="S278" i="1" s="1"/>
  <c r="R286" i="1"/>
  <c r="S286" i="1" s="1"/>
  <c r="P286" i="1"/>
  <c r="Q286" i="1" s="1"/>
  <c r="P294" i="1"/>
  <c r="Q294" i="1" s="1"/>
  <c r="R294" i="1"/>
  <c r="S294" i="1" s="1"/>
  <c r="R302" i="1"/>
  <c r="S302" i="1" s="1"/>
  <c r="P302" i="1"/>
  <c r="Q302" i="1" s="1"/>
  <c r="N302" i="1"/>
  <c r="O302" i="1" s="1"/>
  <c r="R310" i="1"/>
  <c r="S310" i="1" s="1"/>
  <c r="N310" i="1"/>
  <c r="O310" i="1" s="1"/>
  <c r="R318" i="1"/>
  <c r="S318" i="1" s="1"/>
  <c r="P318" i="1"/>
  <c r="Q318" i="1" s="1"/>
  <c r="N318" i="1"/>
  <c r="O318" i="1" s="1"/>
  <c r="P326" i="1"/>
  <c r="Q326" i="1" s="1"/>
  <c r="R326" i="1"/>
  <c r="S326" i="1" s="1"/>
  <c r="N326" i="1"/>
  <c r="O326" i="1" s="1"/>
  <c r="R334" i="1"/>
  <c r="S334" i="1" s="1"/>
  <c r="P334" i="1"/>
  <c r="Q334" i="1" s="1"/>
  <c r="R342" i="1"/>
  <c r="S342" i="1" s="1"/>
  <c r="P342" i="1"/>
  <c r="Q342" i="1" s="1"/>
  <c r="R350" i="1"/>
  <c r="S350" i="1" s="1"/>
  <c r="P350" i="1"/>
  <c r="Q350" i="1" s="1"/>
  <c r="P358" i="1"/>
  <c r="Q358" i="1" s="1"/>
  <c r="R358" i="1"/>
  <c r="S358" i="1" s="1"/>
  <c r="N358" i="1"/>
  <c r="O358" i="1" s="1"/>
  <c r="P366" i="1"/>
  <c r="Q366" i="1" s="1"/>
  <c r="R366" i="1"/>
  <c r="S366" i="1" s="1"/>
  <c r="N366" i="1"/>
  <c r="O366" i="1" s="1"/>
  <c r="P374" i="1"/>
  <c r="Q374" i="1" s="1"/>
  <c r="R374" i="1"/>
  <c r="S374" i="1" s="1"/>
  <c r="N374" i="1"/>
  <c r="O374" i="1" s="1"/>
  <c r="P382" i="1"/>
  <c r="Q382" i="1" s="1"/>
  <c r="R382" i="1"/>
  <c r="S382" i="1" s="1"/>
  <c r="N382" i="1"/>
  <c r="O382" i="1" s="1"/>
  <c r="P390" i="1"/>
  <c r="Q390" i="1" s="1"/>
  <c r="R390" i="1"/>
  <c r="S390" i="1" s="1"/>
  <c r="N390" i="1"/>
  <c r="O390" i="1" s="1"/>
  <c r="P398" i="1"/>
  <c r="Q398" i="1" s="1"/>
  <c r="R398" i="1"/>
  <c r="S398" i="1" s="1"/>
  <c r="N398" i="1"/>
  <c r="O398" i="1" s="1"/>
  <c r="P406" i="1"/>
  <c r="Q406" i="1" s="1"/>
  <c r="R406" i="1"/>
  <c r="S406" i="1" s="1"/>
  <c r="N406" i="1"/>
  <c r="O406" i="1" s="1"/>
  <c r="P414" i="1"/>
  <c r="Q414" i="1" s="1"/>
  <c r="R414" i="1"/>
  <c r="S414" i="1" s="1"/>
  <c r="N414" i="1"/>
  <c r="O414" i="1" s="1"/>
  <c r="P422" i="1"/>
  <c r="Q422" i="1" s="1"/>
  <c r="R422" i="1"/>
  <c r="S422" i="1" s="1"/>
  <c r="N422" i="1"/>
  <c r="O422" i="1" s="1"/>
  <c r="P430" i="1"/>
  <c r="Q430" i="1" s="1"/>
  <c r="R430" i="1"/>
  <c r="S430" i="1" s="1"/>
  <c r="N430" i="1"/>
  <c r="O430" i="1" s="1"/>
  <c r="L430" i="1"/>
  <c r="M430" i="1" s="1"/>
  <c r="P438" i="1"/>
  <c r="Q438" i="1" s="1"/>
  <c r="R438" i="1"/>
  <c r="S438" i="1" s="1"/>
  <c r="N438" i="1"/>
  <c r="O438" i="1" s="1"/>
  <c r="L10" i="1"/>
  <c r="M10" i="1" s="1"/>
  <c r="L18" i="1"/>
  <c r="M18" i="1" s="1"/>
  <c r="L42" i="1"/>
  <c r="M42" i="1" s="1"/>
  <c r="L58" i="1"/>
  <c r="M58" i="1" s="1"/>
  <c r="L74" i="1"/>
  <c r="M74" i="1" s="1"/>
  <c r="L90" i="1"/>
  <c r="M90" i="1" s="1"/>
  <c r="L106" i="1"/>
  <c r="M106" i="1" s="1"/>
  <c r="L149" i="1"/>
  <c r="M149" i="1" s="1"/>
  <c r="L157" i="1"/>
  <c r="M157" i="1" s="1"/>
  <c r="L213" i="1"/>
  <c r="M213" i="1" s="1"/>
  <c r="L221" i="1"/>
  <c r="M221" i="1" s="1"/>
  <c r="L270" i="1"/>
  <c r="M270" i="1" s="1"/>
  <c r="L277" i="1"/>
  <c r="M277" i="1" s="1"/>
  <c r="L285" i="1"/>
  <c r="M285" i="1" s="1"/>
  <c r="L293" i="1"/>
  <c r="M293" i="1" s="1"/>
  <c r="L306" i="1"/>
  <c r="M306" i="1" s="1"/>
  <c r="L314" i="1"/>
  <c r="M314" i="1" s="1"/>
  <c r="L329" i="1"/>
  <c r="M329" i="1" s="1"/>
  <c r="L343" i="1"/>
  <c r="M343" i="1" s="1"/>
  <c r="L365" i="1"/>
  <c r="M365" i="1" s="1"/>
  <c r="L372" i="1"/>
  <c r="M372" i="1" s="1"/>
  <c r="L381" i="1"/>
  <c r="M381" i="1" s="1"/>
  <c r="L410" i="1"/>
  <c r="M410" i="1" s="1"/>
  <c r="L421" i="1"/>
  <c r="M421" i="1" s="1"/>
  <c r="L429" i="1"/>
  <c r="M429" i="1" s="1"/>
  <c r="N6" i="1"/>
  <c r="O6" i="1" s="1"/>
  <c r="N27" i="1"/>
  <c r="O27" i="1" s="1"/>
  <c r="N67" i="1"/>
  <c r="O67" i="1" s="1"/>
  <c r="N83" i="1"/>
  <c r="O83" i="1" s="1"/>
  <c r="N99" i="1"/>
  <c r="O99" i="1" s="1"/>
  <c r="N115" i="1"/>
  <c r="O115" i="1" s="1"/>
  <c r="N129" i="1"/>
  <c r="O129" i="1" s="1"/>
  <c r="N159" i="1"/>
  <c r="O159" i="1" s="1"/>
  <c r="N173" i="1"/>
  <c r="O173" i="1" s="1"/>
  <c r="N187" i="1"/>
  <c r="O187" i="1" s="1"/>
  <c r="N202" i="1"/>
  <c r="O202" i="1" s="1"/>
  <c r="N230" i="1"/>
  <c r="O230" i="1" s="1"/>
  <c r="N286" i="1"/>
  <c r="O286" i="1" s="1"/>
  <c r="N300" i="1"/>
  <c r="O300" i="1" s="1"/>
  <c r="P15" i="1"/>
  <c r="Q15" i="1" s="1"/>
  <c r="P70" i="1"/>
  <c r="Q70" i="1" s="1"/>
  <c r="P130" i="1"/>
  <c r="Q130" i="1" s="1"/>
  <c r="P226" i="1"/>
  <c r="Q226" i="1" s="1"/>
  <c r="P370" i="1"/>
  <c r="Q370" i="1" s="1"/>
  <c r="R159" i="1"/>
  <c r="S159" i="1" s="1"/>
  <c r="N267" i="1"/>
  <c r="O267" i="1" s="1"/>
  <c r="R12" i="1"/>
  <c r="S12" i="1" s="1"/>
  <c r="P12" i="1"/>
  <c r="Q12" i="1" s="1"/>
  <c r="R44" i="1"/>
  <c r="S44" i="1" s="1"/>
  <c r="P44" i="1"/>
  <c r="Q44" i="1" s="1"/>
  <c r="R76" i="1"/>
  <c r="S76" i="1" s="1"/>
  <c r="P76" i="1"/>
  <c r="Q76" i="1" s="1"/>
  <c r="R116" i="1"/>
  <c r="S116" i="1" s="1"/>
  <c r="P116" i="1"/>
  <c r="Q116" i="1" s="1"/>
  <c r="R156" i="1"/>
  <c r="S156" i="1" s="1"/>
  <c r="P156" i="1"/>
  <c r="Q156" i="1" s="1"/>
  <c r="N156" i="1"/>
  <c r="O156" i="1" s="1"/>
  <c r="R188" i="1"/>
  <c r="S188" i="1" s="1"/>
  <c r="P188" i="1"/>
  <c r="Q188" i="1" s="1"/>
  <c r="R220" i="1"/>
  <c r="S220" i="1" s="1"/>
  <c r="N220" i="1"/>
  <c r="O220" i="1" s="1"/>
  <c r="R268" i="1"/>
  <c r="S268" i="1" s="1"/>
  <c r="P268" i="1"/>
  <c r="Q268" i="1" s="1"/>
  <c r="R316" i="1"/>
  <c r="S316" i="1" s="1"/>
  <c r="P316" i="1"/>
  <c r="Q316" i="1" s="1"/>
  <c r="R356" i="1"/>
  <c r="S356" i="1" s="1"/>
  <c r="P356" i="1"/>
  <c r="Q356" i="1" s="1"/>
  <c r="R388" i="1"/>
  <c r="S388" i="1" s="1"/>
  <c r="N388" i="1"/>
  <c r="O388" i="1" s="1"/>
  <c r="P388" i="1"/>
  <c r="Q388" i="1" s="1"/>
  <c r="R428" i="1"/>
  <c r="S428" i="1" s="1"/>
  <c r="P428" i="1"/>
  <c r="Q428" i="1" s="1"/>
  <c r="N428" i="1"/>
  <c r="O428" i="1" s="1"/>
  <c r="R444" i="1"/>
  <c r="S444" i="1" s="1"/>
  <c r="P444" i="1"/>
  <c r="Q444" i="1" s="1"/>
  <c r="N444" i="1"/>
  <c r="O444" i="1" s="1"/>
  <c r="L155" i="1"/>
  <c r="M155" i="1" s="1"/>
  <c r="N211" i="1"/>
  <c r="O211" i="1" s="1"/>
  <c r="N268" i="1"/>
  <c r="O268" i="1" s="1"/>
  <c r="R7" i="1"/>
  <c r="S7" i="1" s="1"/>
  <c r="P7" i="1"/>
  <c r="Q7" i="1" s="1"/>
  <c r="R23" i="1"/>
  <c r="S23" i="1" s="1"/>
  <c r="P23" i="1"/>
  <c r="Q23" i="1" s="1"/>
  <c r="R47" i="1"/>
  <c r="S47" i="1" s="1"/>
  <c r="P47" i="1"/>
  <c r="Q47" i="1" s="1"/>
  <c r="R71" i="1"/>
  <c r="S71" i="1" s="1"/>
  <c r="P71" i="1"/>
  <c r="Q71" i="1" s="1"/>
  <c r="N71" i="1"/>
  <c r="O71" i="1" s="1"/>
  <c r="R87" i="1"/>
  <c r="S87" i="1" s="1"/>
  <c r="P87" i="1"/>
  <c r="Q87" i="1" s="1"/>
  <c r="N87" i="1"/>
  <c r="O87" i="1" s="1"/>
  <c r="R111" i="1"/>
  <c r="S111" i="1" s="1"/>
  <c r="P111" i="1"/>
  <c r="Q111" i="1" s="1"/>
  <c r="N111" i="1"/>
  <c r="O111" i="1" s="1"/>
  <c r="P167" i="1"/>
  <c r="Q167" i="1" s="1"/>
  <c r="R167" i="1"/>
  <c r="S167" i="1" s="1"/>
  <c r="P175" i="1"/>
  <c r="Q175" i="1" s="1"/>
  <c r="R175" i="1"/>
  <c r="S175" i="1" s="1"/>
  <c r="N175" i="1"/>
  <c r="O175" i="1" s="1"/>
  <c r="P183" i="1"/>
  <c r="Q183" i="1" s="1"/>
  <c r="R183" i="1"/>
  <c r="S183" i="1" s="1"/>
  <c r="N183" i="1"/>
  <c r="O183" i="1" s="1"/>
  <c r="R191" i="1"/>
  <c r="S191" i="1" s="1"/>
  <c r="P191" i="1"/>
  <c r="Q191" i="1" s="1"/>
  <c r="N191" i="1"/>
  <c r="O191" i="1" s="1"/>
  <c r="R199" i="1"/>
  <c r="S199" i="1" s="1"/>
  <c r="P199" i="1"/>
  <c r="Q199" i="1" s="1"/>
  <c r="N199" i="1"/>
  <c r="O199" i="1" s="1"/>
  <c r="P207" i="1"/>
  <c r="Q207" i="1" s="1"/>
  <c r="R207" i="1"/>
  <c r="S207" i="1" s="1"/>
  <c r="N207" i="1"/>
  <c r="O207" i="1" s="1"/>
  <c r="R215" i="1"/>
  <c r="S215" i="1" s="1"/>
  <c r="P215" i="1"/>
  <c r="Q215" i="1" s="1"/>
  <c r="P231" i="1"/>
  <c r="Q231" i="1" s="1"/>
  <c r="R231" i="1"/>
  <c r="S231" i="1" s="1"/>
  <c r="R239" i="1"/>
  <c r="S239" i="1" s="1"/>
  <c r="P239" i="1"/>
  <c r="Q239" i="1" s="1"/>
  <c r="N239" i="1"/>
  <c r="O239" i="1" s="1"/>
  <c r="P247" i="1"/>
  <c r="Q247" i="1" s="1"/>
  <c r="R247" i="1"/>
  <c r="S247" i="1" s="1"/>
  <c r="N247" i="1"/>
  <c r="O247" i="1" s="1"/>
  <c r="R255" i="1"/>
  <c r="S255" i="1" s="1"/>
  <c r="P255" i="1"/>
  <c r="Q255" i="1" s="1"/>
  <c r="N255" i="1"/>
  <c r="O255" i="1" s="1"/>
  <c r="R263" i="1"/>
  <c r="S263" i="1" s="1"/>
  <c r="P263" i="1"/>
  <c r="Q263" i="1" s="1"/>
  <c r="N263" i="1"/>
  <c r="O263" i="1" s="1"/>
  <c r="P271" i="1"/>
  <c r="Q271" i="1" s="1"/>
  <c r="R271" i="1"/>
  <c r="S271" i="1" s="1"/>
  <c r="N271" i="1"/>
  <c r="O271" i="1" s="1"/>
  <c r="P279" i="1"/>
  <c r="Q279" i="1" s="1"/>
  <c r="R279" i="1"/>
  <c r="S279" i="1" s="1"/>
  <c r="P287" i="1"/>
  <c r="Q287" i="1" s="1"/>
  <c r="R287" i="1"/>
  <c r="S287" i="1" s="1"/>
  <c r="P295" i="1"/>
  <c r="Q295" i="1" s="1"/>
  <c r="R295" i="1"/>
  <c r="S295" i="1" s="1"/>
  <c r="N295" i="1"/>
  <c r="O295" i="1" s="1"/>
  <c r="R311" i="1"/>
  <c r="S311" i="1" s="1"/>
  <c r="N311" i="1"/>
  <c r="O311" i="1" s="1"/>
  <c r="P311" i="1"/>
  <c r="Q311" i="1" s="1"/>
  <c r="P319" i="1"/>
  <c r="Q319" i="1" s="1"/>
  <c r="N319" i="1"/>
  <c r="O319" i="1" s="1"/>
  <c r="R319" i="1"/>
  <c r="S319" i="1" s="1"/>
  <c r="P327" i="1"/>
  <c r="Q327" i="1" s="1"/>
  <c r="R327" i="1"/>
  <c r="S327" i="1" s="1"/>
  <c r="R335" i="1"/>
  <c r="S335" i="1" s="1"/>
  <c r="P335" i="1"/>
  <c r="Q335" i="1" s="1"/>
  <c r="P343" i="1"/>
  <c r="Q343" i="1" s="1"/>
  <c r="R343" i="1"/>
  <c r="S343" i="1" s="1"/>
  <c r="P351" i="1"/>
  <c r="Q351" i="1" s="1"/>
  <c r="N351" i="1"/>
  <c r="O351" i="1" s="1"/>
  <c r="R351" i="1"/>
  <c r="S351" i="1" s="1"/>
  <c r="P359" i="1"/>
  <c r="Q359" i="1" s="1"/>
  <c r="N359" i="1"/>
  <c r="O359" i="1" s="1"/>
  <c r="R359" i="1"/>
  <c r="S359" i="1" s="1"/>
  <c r="P367" i="1"/>
  <c r="Q367" i="1" s="1"/>
  <c r="R367" i="1"/>
  <c r="S367" i="1" s="1"/>
  <c r="N367" i="1"/>
  <c r="O367" i="1" s="1"/>
  <c r="P375" i="1"/>
  <c r="Q375" i="1" s="1"/>
  <c r="R375" i="1"/>
  <c r="S375" i="1" s="1"/>
  <c r="N375" i="1"/>
  <c r="O375" i="1" s="1"/>
  <c r="P383" i="1"/>
  <c r="Q383" i="1" s="1"/>
  <c r="N383" i="1"/>
  <c r="O383" i="1" s="1"/>
  <c r="R383" i="1"/>
  <c r="S383" i="1" s="1"/>
  <c r="L383" i="1"/>
  <c r="M383" i="1" s="1"/>
  <c r="P391" i="1"/>
  <c r="Q391" i="1" s="1"/>
  <c r="N391" i="1"/>
  <c r="O391" i="1" s="1"/>
  <c r="R391" i="1"/>
  <c r="S391" i="1" s="1"/>
  <c r="L391" i="1"/>
  <c r="M391" i="1" s="1"/>
  <c r="P399" i="1"/>
  <c r="Q399" i="1" s="1"/>
  <c r="R399" i="1"/>
  <c r="S399" i="1" s="1"/>
  <c r="N399" i="1"/>
  <c r="O399" i="1" s="1"/>
  <c r="P407" i="1"/>
  <c r="Q407" i="1" s="1"/>
  <c r="R407" i="1"/>
  <c r="S407" i="1" s="1"/>
  <c r="N407" i="1"/>
  <c r="O407" i="1" s="1"/>
  <c r="P415" i="1"/>
  <c r="Q415" i="1" s="1"/>
  <c r="N415" i="1"/>
  <c r="O415" i="1" s="1"/>
  <c r="R415" i="1"/>
  <c r="S415" i="1" s="1"/>
  <c r="P423" i="1"/>
  <c r="Q423" i="1" s="1"/>
  <c r="N423" i="1"/>
  <c r="O423" i="1" s="1"/>
  <c r="R423" i="1"/>
  <c r="S423" i="1" s="1"/>
  <c r="P431" i="1"/>
  <c r="Q431" i="1" s="1"/>
  <c r="R431" i="1"/>
  <c r="S431" i="1" s="1"/>
  <c r="N431" i="1"/>
  <c r="O431" i="1" s="1"/>
  <c r="P439" i="1"/>
  <c r="Q439" i="1" s="1"/>
  <c r="R439" i="1"/>
  <c r="S439" i="1" s="1"/>
  <c r="N439" i="1"/>
  <c r="O439" i="1" s="1"/>
  <c r="L11" i="1"/>
  <c r="M11" i="1" s="1"/>
  <c r="L35" i="1"/>
  <c r="M35" i="1" s="1"/>
  <c r="L43" i="1"/>
  <c r="M43" i="1" s="1"/>
  <c r="L75" i="1"/>
  <c r="M75" i="1" s="1"/>
  <c r="L107" i="1"/>
  <c r="M107" i="1" s="1"/>
  <c r="L122" i="1"/>
  <c r="M122" i="1" s="1"/>
  <c r="L150" i="1"/>
  <c r="M150" i="1" s="1"/>
  <c r="L158" i="1"/>
  <c r="M158" i="1" s="1"/>
  <c r="L214" i="1"/>
  <c r="M214" i="1" s="1"/>
  <c r="L222" i="1"/>
  <c r="M222" i="1" s="1"/>
  <c r="L250" i="1"/>
  <c r="M250" i="1" s="1"/>
  <c r="L271" i="1"/>
  <c r="M271" i="1" s="1"/>
  <c r="L278" i="1"/>
  <c r="M278" i="1" s="1"/>
  <c r="L286" i="1"/>
  <c r="M286" i="1" s="1"/>
  <c r="L294" i="1"/>
  <c r="M294" i="1" s="1"/>
  <c r="L315" i="1"/>
  <c r="M315" i="1" s="1"/>
  <c r="L344" i="1"/>
  <c r="M344" i="1" s="1"/>
  <c r="L366" i="1"/>
  <c r="M366" i="1" s="1"/>
  <c r="L373" i="1"/>
  <c r="M373" i="1" s="1"/>
  <c r="L382" i="1"/>
  <c r="M382" i="1" s="1"/>
  <c r="L411" i="1"/>
  <c r="M411" i="1" s="1"/>
  <c r="L422" i="1"/>
  <c r="M422" i="1" s="1"/>
  <c r="L431" i="1"/>
  <c r="M431" i="1" s="1"/>
  <c r="N7" i="1"/>
  <c r="O7" i="1" s="1"/>
  <c r="N54" i="1"/>
  <c r="O54" i="1" s="1"/>
  <c r="N68" i="1"/>
  <c r="O68" i="1" s="1"/>
  <c r="N84" i="1"/>
  <c r="O84" i="1" s="1"/>
  <c r="N100" i="1"/>
  <c r="O100" i="1" s="1"/>
  <c r="N116" i="1"/>
  <c r="O116" i="1" s="1"/>
  <c r="N130" i="1"/>
  <c r="O130" i="1" s="1"/>
  <c r="N174" i="1"/>
  <c r="O174" i="1" s="1"/>
  <c r="N188" i="1"/>
  <c r="O188" i="1" s="1"/>
  <c r="N231" i="1"/>
  <c r="O231" i="1" s="1"/>
  <c r="N244" i="1"/>
  <c r="O244" i="1" s="1"/>
  <c r="N273" i="1"/>
  <c r="O273" i="1" s="1"/>
  <c r="N287" i="1"/>
  <c r="O287" i="1" s="1"/>
  <c r="N301" i="1"/>
  <c r="O301" i="1" s="1"/>
  <c r="N365" i="1"/>
  <c r="O365" i="1" s="1"/>
  <c r="N397" i="1"/>
  <c r="O397" i="1" s="1"/>
  <c r="N429" i="1"/>
  <c r="O429" i="1" s="1"/>
  <c r="P81" i="1"/>
  <c r="Q81" i="1" s="1"/>
  <c r="P245" i="1"/>
  <c r="Q245" i="1" s="1"/>
  <c r="P434" i="1"/>
  <c r="Q434" i="1" s="1"/>
  <c r="R223" i="1"/>
  <c r="S223" i="1" s="1"/>
  <c r="R19" i="1"/>
  <c r="S19" i="1" s="1"/>
  <c r="P19" i="1"/>
  <c r="Q19" i="1" s="1"/>
  <c r="R59" i="1"/>
  <c r="S59" i="1" s="1"/>
  <c r="P59" i="1"/>
  <c r="Q59" i="1" s="1"/>
  <c r="R99" i="1"/>
  <c r="S99" i="1" s="1"/>
  <c r="P99" i="1"/>
  <c r="Q99" i="1" s="1"/>
  <c r="R139" i="1"/>
  <c r="S139" i="1" s="1"/>
  <c r="P139" i="1"/>
  <c r="Q139" i="1" s="1"/>
  <c r="N139" i="1"/>
  <c r="O139" i="1" s="1"/>
  <c r="R171" i="1"/>
  <c r="S171" i="1" s="1"/>
  <c r="P171" i="1"/>
  <c r="Q171" i="1" s="1"/>
  <c r="N171" i="1"/>
  <c r="O171" i="1" s="1"/>
  <c r="R203" i="1"/>
  <c r="S203" i="1" s="1"/>
  <c r="P203" i="1"/>
  <c r="Q203" i="1" s="1"/>
  <c r="R227" i="1"/>
  <c r="S227" i="1" s="1"/>
  <c r="P227" i="1"/>
  <c r="Q227" i="1" s="1"/>
  <c r="N227" i="1"/>
  <c r="O227" i="1" s="1"/>
  <c r="R259" i="1"/>
  <c r="S259" i="1" s="1"/>
  <c r="P259" i="1"/>
  <c r="Q259" i="1" s="1"/>
  <c r="R307" i="1"/>
  <c r="S307" i="1" s="1"/>
  <c r="P307" i="1"/>
  <c r="Q307" i="1" s="1"/>
  <c r="P347" i="1"/>
  <c r="Q347" i="1" s="1"/>
  <c r="R347" i="1"/>
  <c r="S347" i="1" s="1"/>
  <c r="N347" i="1"/>
  <c r="O347" i="1" s="1"/>
  <c r="R395" i="1"/>
  <c r="S395" i="1" s="1"/>
  <c r="P395" i="1"/>
  <c r="Q395" i="1" s="1"/>
  <c r="N35" i="1"/>
  <c r="O35" i="1" s="1"/>
  <c r="R28" i="1"/>
  <c r="S28" i="1" s="1"/>
  <c r="P28" i="1"/>
  <c r="Q28" i="1" s="1"/>
  <c r="R52" i="1"/>
  <c r="S52" i="1" s="1"/>
  <c r="P52" i="1"/>
  <c r="Q52" i="1" s="1"/>
  <c r="R92" i="1"/>
  <c r="S92" i="1" s="1"/>
  <c r="P92" i="1"/>
  <c r="Q92" i="1" s="1"/>
  <c r="R124" i="1"/>
  <c r="S124" i="1" s="1"/>
  <c r="P124" i="1"/>
  <c r="Q124" i="1" s="1"/>
  <c r="N124" i="1"/>
  <c r="O124" i="1" s="1"/>
  <c r="R148" i="1"/>
  <c r="S148" i="1" s="1"/>
  <c r="P148" i="1"/>
  <c r="Q148" i="1" s="1"/>
  <c r="N148" i="1"/>
  <c r="O148" i="1" s="1"/>
  <c r="R180" i="1"/>
  <c r="S180" i="1" s="1"/>
  <c r="P180" i="1"/>
  <c r="Q180" i="1" s="1"/>
  <c r="R212" i="1"/>
  <c r="S212" i="1" s="1"/>
  <c r="P212" i="1"/>
  <c r="Q212" i="1" s="1"/>
  <c r="N212" i="1"/>
  <c r="O212" i="1" s="1"/>
  <c r="R236" i="1"/>
  <c r="S236" i="1" s="1"/>
  <c r="P236" i="1"/>
  <c r="Q236" i="1" s="1"/>
  <c r="R276" i="1"/>
  <c r="S276" i="1" s="1"/>
  <c r="P276" i="1"/>
  <c r="Q276" i="1" s="1"/>
  <c r="N276" i="1"/>
  <c r="O276" i="1" s="1"/>
  <c r="R308" i="1"/>
  <c r="S308" i="1" s="1"/>
  <c r="P308" i="1"/>
  <c r="Q308" i="1" s="1"/>
  <c r="N308" i="1"/>
  <c r="O308" i="1" s="1"/>
  <c r="R348" i="1"/>
  <c r="S348" i="1" s="1"/>
  <c r="P348" i="1"/>
  <c r="Q348" i="1" s="1"/>
  <c r="N348" i="1"/>
  <c r="O348" i="1" s="1"/>
  <c r="R380" i="1"/>
  <c r="S380" i="1" s="1"/>
  <c r="P380" i="1"/>
  <c r="Q380" i="1" s="1"/>
  <c r="N380" i="1"/>
  <c r="O380" i="1" s="1"/>
  <c r="R420" i="1"/>
  <c r="S420" i="1" s="1"/>
  <c r="P420" i="1"/>
  <c r="Q420" i="1" s="1"/>
  <c r="N420" i="1"/>
  <c r="O420" i="1" s="1"/>
  <c r="L420" i="1"/>
  <c r="M420" i="1" s="1"/>
  <c r="R436" i="1"/>
  <c r="S436" i="1" s="1"/>
  <c r="P436" i="1"/>
  <c r="Q436" i="1" s="1"/>
  <c r="N436" i="1"/>
  <c r="O436" i="1" s="1"/>
  <c r="N36" i="1"/>
  <c r="O36" i="1" s="1"/>
  <c r="N356" i="1"/>
  <c r="O356" i="1" s="1"/>
  <c r="R31" i="1"/>
  <c r="S31" i="1" s="1"/>
  <c r="P31" i="1"/>
  <c r="Q31" i="1" s="1"/>
  <c r="R39" i="1"/>
  <c r="S39" i="1" s="1"/>
  <c r="P39" i="1"/>
  <c r="Q39" i="1" s="1"/>
  <c r="R55" i="1"/>
  <c r="S55" i="1" s="1"/>
  <c r="P55" i="1"/>
  <c r="Q55" i="1" s="1"/>
  <c r="R63" i="1"/>
  <c r="S63" i="1" s="1"/>
  <c r="P63" i="1"/>
  <c r="Q63" i="1" s="1"/>
  <c r="N63" i="1"/>
  <c r="O63" i="1" s="1"/>
  <c r="R79" i="1"/>
  <c r="S79" i="1" s="1"/>
  <c r="P79" i="1"/>
  <c r="Q79" i="1" s="1"/>
  <c r="N79" i="1"/>
  <c r="O79" i="1" s="1"/>
  <c r="R95" i="1"/>
  <c r="S95" i="1" s="1"/>
  <c r="P95" i="1"/>
  <c r="Q95" i="1" s="1"/>
  <c r="N95" i="1"/>
  <c r="O95" i="1" s="1"/>
  <c r="R103" i="1"/>
  <c r="S103" i="1" s="1"/>
  <c r="P103" i="1"/>
  <c r="Q103" i="1" s="1"/>
  <c r="N103" i="1"/>
  <c r="O103" i="1" s="1"/>
  <c r="P119" i="1"/>
  <c r="Q119" i="1" s="1"/>
  <c r="R119" i="1"/>
  <c r="S119" i="1" s="1"/>
  <c r="N119" i="1"/>
  <c r="O119" i="1" s="1"/>
  <c r="R127" i="1"/>
  <c r="S127" i="1" s="1"/>
  <c r="N127" i="1"/>
  <c r="O127" i="1" s="1"/>
  <c r="R135" i="1"/>
  <c r="S135" i="1" s="1"/>
  <c r="P135" i="1"/>
  <c r="Q135" i="1" s="1"/>
  <c r="N135" i="1"/>
  <c r="O135" i="1" s="1"/>
  <c r="P143" i="1"/>
  <c r="Q143" i="1" s="1"/>
  <c r="R143" i="1"/>
  <c r="S143" i="1" s="1"/>
  <c r="R151" i="1"/>
  <c r="S151" i="1" s="1"/>
  <c r="P151" i="1"/>
  <c r="Q151" i="1" s="1"/>
  <c r="R8" i="1"/>
  <c r="S8" i="1" s="1"/>
  <c r="P8" i="1"/>
  <c r="Q8" i="1" s="1"/>
  <c r="R16" i="1"/>
  <c r="S16" i="1" s="1"/>
  <c r="P16" i="1"/>
  <c r="Q16" i="1" s="1"/>
  <c r="R24" i="1"/>
  <c r="S24" i="1" s="1"/>
  <c r="P24" i="1"/>
  <c r="Q24" i="1" s="1"/>
  <c r="R32" i="1"/>
  <c r="S32" i="1" s="1"/>
  <c r="P32" i="1"/>
  <c r="Q32" i="1" s="1"/>
  <c r="N32" i="1"/>
  <c r="O32" i="1" s="1"/>
  <c r="R40" i="1"/>
  <c r="S40" i="1" s="1"/>
  <c r="P40" i="1"/>
  <c r="Q40" i="1" s="1"/>
  <c r="N40" i="1"/>
  <c r="O40" i="1" s="1"/>
  <c r="R48" i="1"/>
  <c r="S48" i="1" s="1"/>
  <c r="P48" i="1"/>
  <c r="Q48" i="1" s="1"/>
  <c r="N48" i="1"/>
  <c r="O48" i="1" s="1"/>
  <c r="R56" i="1"/>
  <c r="S56" i="1" s="1"/>
  <c r="P56" i="1"/>
  <c r="Q56" i="1" s="1"/>
  <c r="N56" i="1"/>
  <c r="O56" i="1" s="1"/>
  <c r="R64" i="1"/>
  <c r="S64" i="1" s="1"/>
  <c r="P64" i="1"/>
  <c r="Q64" i="1" s="1"/>
  <c r="N64" i="1"/>
  <c r="O64" i="1" s="1"/>
  <c r="R72" i="1"/>
  <c r="S72" i="1" s="1"/>
  <c r="P72" i="1"/>
  <c r="Q72" i="1" s="1"/>
  <c r="N72" i="1"/>
  <c r="O72" i="1" s="1"/>
  <c r="R80" i="1"/>
  <c r="S80" i="1" s="1"/>
  <c r="P80" i="1"/>
  <c r="Q80" i="1" s="1"/>
  <c r="N80" i="1"/>
  <c r="O80" i="1" s="1"/>
  <c r="R88" i="1"/>
  <c r="S88" i="1" s="1"/>
  <c r="P88" i="1"/>
  <c r="Q88" i="1" s="1"/>
  <c r="N88" i="1"/>
  <c r="O88" i="1" s="1"/>
  <c r="R96" i="1"/>
  <c r="S96" i="1" s="1"/>
  <c r="P96" i="1"/>
  <c r="Q96" i="1" s="1"/>
  <c r="N96" i="1"/>
  <c r="O96" i="1" s="1"/>
  <c r="R104" i="1"/>
  <c r="S104" i="1" s="1"/>
  <c r="P104" i="1"/>
  <c r="Q104" i="1" s="1"/>
  <c r="N104" i="1"/>
  <c r="O104" i="1" s="1"/>
  <c r="R112" i="1"/>
  <c r="S112" i="1" s="1"/>
  <c r="P112" i="1"/>
  <c r="Q112" i="1" s="1"/>
  <c r="N112" i="1"/>
  <c r="O112" i="1" s="1"/>
  <c r="R120" i="1"/>
  <c r="S120" i="1" s="1"/>
  <c r="P120" i="1"/>
  <c r="Q120" i="1" s="1"/>
  <c r="N120" i="1"/>
  <c r="O120" i="1" s="1"/>
  <c r="R128" i="1"/>
  <c r="S128" i="1" s="1"/>
  <c r="P128" i="1"/>
  <c r="Q128" i="1" s="1"/>
  <c r="N128" i="1"/>
  <c r="O128" i="1" s="1"/>
  <c r="R136" i="1"/>
  <c r="S136" i="1" s="1"/>
  <c r="P136" i="1"/>
  <c r="Q136" i="1" s="1"/>
  <c r="R144" i="1"/>
  <c r="S144" i="1" s="1"/>
  <c r="P144" i="1"/>
  <c r="Q144" i="1" s="1"/>
  <c r="R152" i="1"/>
  <c r="S152" i="1" s="1"/>
  <c r="P152" i="1"/>
  <c r="Q152" i="1" s="1"/>
  <c r="R160" i="1"/>
  <c r="S160" i="1" s="1"/>
  <c r="P160" i="1"/>
  <c r="Q160" i="1" s="1"/>
  <c r="R168" i="1"/>
  <c r="S168" i="1" s="1"/>
  <c r="P168" i="1"/>
  <c r="Q168" i="1" s="1"/>
  <c r="N168" i="1"/>
  <c r="O168" i="1" s="1"/>
  <c r="R176" i="1"/>
  <c r="S176" i="1" s="1"/>
  <c r="P176" i="1"/>
  <c r="Q176" i="1" s="1"/>
  <c r="N176" i="1"/>
  <c r="O176" i="1" s="1"/>
  <c r="R184" i="1"/>
  <c r="S184" i="1" s="1"/>
  <c r="P184" i="1"/>
  <c r="Q184" i="1" s="1"/>
  <c r="N184" i="1"/>
  <c r="O184" i="1" s="1"/>
  <c r="R192" i="1"/>
  <c r="S192" i="1" s="1"/>
  <c r="P192" i="1"/>
  <c r="Q192" i="1" s="1"/>
  <c r="N192" i="1"/>
  <c r="O192" i="1" s="1"/>
  <c r="R200" i="1"/>
  <c r="S200" i="1" s="1"/>
  <c r="P200" i="1"/>
  <c r="Q200" i="1" s="1"/>
  <c r="N200" i="1"/>
  <c r="O200" i="1" s="1"/>
  <c r="R208" i="1"/>
  <c r="S208" i="1" s="1"/>
  <c r="P208" i="1"/>
  <c r="Q208" i="1" s="1"/>
  <c r="R216" i="1"/>
  <c r="S216" i="1" s="1"/>
  <c r="P216" i="1"/>
  <c r="Q216" i="1" s="1"/>
  <c r="R224" i="1"/>
  <c r="S224" i="1" s="1"/>
  <c r="P224" i="1"/>
  <c r="Q224" i="1" s="1"/>
  <c r="R232" i="1"/>
  <c r="S232" i="1" s="1"/>
  <c r="P232" i="1"/>
  <c r="Q232" i="1" s="1"/>
  <c r="N232" i="1"/>
  <c r="O232" i="1" s="1"/>
  <c r="R240" i="1"/>
  <c r="S240" i="1" s="1"/>
  <c r="P240" i="1"/>
  <c r="Q240" i="1" s="1"/>
  <c r="N240" i="1"/>
  <c r="O240" i="1" s="1"/>
  <c r="R248" i="1"/>
  <c r="S248" i="1" s="1"/>
  <c r="P248" i="1"/>
  <c r="Q248" i="1" s="1"/>
  <c r="N248" i="1"/>
  <c r="O248" i="1" s="1"/>
  <c r="R256" i="1"/>
  <c r="S256" i="1" s="1"/>
  <c r="P256" i="1"/>
  <c r="Q256" i="1" s="1"/>
  <c r="N256" i="1"/>
  <c r="O256" i="1" s="1"/>
  <c r="R264" i="1"/>
  <c r="S264" i="1" s="1"/>
  <c r="P264" i="1"/>
  <c r="Q264" i="1" s="1"/>
  <c r="N264" i="1"/>
  <c r="O264" i="1" s="1"/>
  <c r="R272" i="1"/>
  <c r="S272" i="1" s="1"/>
  <c r="P272" i="1"/>
  <c r="Q272" i="1" s="1"/>
  <c r="R288" i="1"/>
  <c r="S288" i="1" s="1"/>
  <c r="P288" i="1"/>
  <c r="Q288" i="1" s="1"/>
  <c r="N288" i="1"/>
  <c r="O288" i="1" s="1"/>
  <c r="R296" i="1"/>
  <c r="S296" i="1" s="1"/>
  <c r="P296" i="1"/>
  <c r="Q296" i="1" s="1"/>
  <c r="R304" i="1"/>
  <c r="S304" i="1" s="1"/>
  <c r="P304" i="1"/>
  <c r="Q304" i="1" s="1"/>
  <c r="N304" i="1"/>
  <c r="O304" i="1" s="1"/>
  <c r="R312" i="1"/>
  <c r="S312" i="1" s="1"/>
  <c r="P312" i="1"/>
  <c r="Q312" i="1" s="1"/>
  <c r="N312" i="1"/>
  <c r="O312" i="1" s="1"/>
  <c r="R320" i="1"/>
  <c r="S320" i="1" s="1"/>
  <c r="P320" i="1"/>
  <c r="Q320" i="1" s="1"/>
  <c r="R328" i="1"/>
  <c r="S328" i="1" s="1"/>
  <c r="P328" i="1"/>
  <c r="Q328" i="1" s="1"/>
  <c r="P336" i="1"/>
  <c r="Q336" i="1" s="1"/>
  <c r="R336" i="1"/>
  <c r="S336" i="1" s="1"/>
  <c r="P344" i="1"/>
  <c r="Q344" i="1" s="1"/>
  <c r="R344" i="1"/>
  <c r="S344" i="1" s="1"/>
  <c r="P352" i="1"/>
  <c r="Q352" i="1" s="1"/>
  <c r="R352" i="1"/>
  <c r="S352" i="1" s="1"/>
  <c r="P360" i="1"/>
  <c r="Q360" i="1" s="1"/>
  <c r="R360" i="1"/>
  <c r="S360" i="1" s="1"/>
  <c r="N360" i="1"/>
  <c r="O360" i="1" s="1"/>
  <c r="P368" i="1"/>
  <c r="Q368" i="1" s="1"/>
  <c r="R368" i="1"/>
  <c r="S368" i="1" s="1"/>
  <c r="N368" i="1"/>
  <c r="O368" i="1" s="1"/>
  <c r="P376" i="1"/>
  <c r="Q376" i="1" s="1"/>
  <c r="R376" i="1"/>
  <c r="S376" i="1" s="1"/>
  <c r="N376" i="1"/>
  <c r="O376" i="1" s="1"/>
  <c r="P384" i="1"/>
  <c r="Q384" i="1" s="1"/>
  <c r="R384" i="1"/>
  <c r="S384" i="1" s="1"/>
  <c r="N384" i="1"/>
  <c r="O384" i="1" s="1"/>
  <c r="P392" i="1"/>
  <c r="Q392" i="1" s="1"/>
  <c r="R392" i="1"/>
  <c r="S392" i="1" s="1"/>
  <c r="N392" i="1"/>
  <c r="O392" i="1" s="1"/>
  <c r="P400" i="1"/>
  <c r="Q400" i="1" s="1"/>
  <c r="R400" i="1"/>
  <c r="S400" i="1" s="1"/>
  <c r="L400" i="1"/>
  <c r="M400" i="1" s="1"/>
  <c r="N400" i="1"/>
  <c r="O400" i="1" s="1"/>
  <c r="P408" i="1"/>
  <c r="Q408" i="1" s="1"/>
  <c r="R408" i="1"/>
  <c r="S408" i="1" s="1"/>
  <c r="N408" i="1"/>
  <c r="O408" i="1" s="1"/>
  <c r="L408" i="1"/>
  <c r="M408" i="1" s="1"/>
  <c r="P416" i="1"/>
  <c r="Q416" i="1" s="1"/>
  <c r="R416" i="1"/>
  <c r="S416" i="1" s="1"/>
  <c r="L416" i="1"/>
  <c r="M416" i="1" s="1"/>
  <c r="N416" i="1"/>
  <c r="O416" i="1" s="1"/>
  <c r="P424" i="1"/>
  <c r="Q424" i="1" s="1"/>
  <c r="R424" i="1"/>
  <c r="S424" i="1" s="1"/>
  <c r="N424" i="1"/>
  <c r="O424" i="1" s="1"/>
  <c r="P432" i="1"/>
  <c r="Q432" i="1" s="1"/>
  <c r="R432" i="1"/>
  <c r="S432" i="1" s="1"/>
  <c r="N432" i="1"/>
  <c r="O432" i="1" s="1"/>
  <c r="P440" i="1"/>
  <c r="Q440" i="1" s="1"/>
  <c r="R440" i="1"/>
  <c r="S440" i="1" s="1"/>
  <c r="N440" i="1"/>
  <c r="O440" i="1" s="1"/>
  <c r="L12" i="1"/>
  <c r="M12" i="1" s="1"/>
  <c r="L28" i="1"/>
  <c r="M28" i="1" s="1"/>
  <c r="L44" i="1"/>
  <c r="M44" i="1" s="1"/>
  <c r="L52" i="1"/>
  <c r="M52" i="1" s="1"/>
  <c r="L76" i="1"/>
  <c r="M76" i="1" s="1"/>
  <c r="L92" i="1"/>
  <c r="M92" i="1" s="1"/>
  <c r="L116" i="1"/>
  <c r="M116" i="1" s="1"/>
  <c r="L130" i="1"/>
  <c r="M130" i="1" s="1"/>
  <c r="L144" i="1"/>
  <c r="M144" i="1" s="1"/>
  <c r="L151" i="1"/>
  <c r="M151" i="1" s="1"/>
  <c r="L159" i="1"/>
  <c r="M159" i="1" s="1"/>
  <c r="L165" i="1"/>
  <c r="M165" i="1" s="1"/>
  <c r="L173" i="1"/>
  <c r="M173" i="1" s="1"/>
  <c r="L180" i="1"/>
  <c r="M180" i="1" s="1"/>
  <c r="L187" i="1"/>
  <c r="M187" i="1" s="1"/>
  <c r="L194" i="1"/>
  <c r="M194" i="1" s="1"/>
  <c r="L201" i="1"/>
  <c r="M201" i="1" s="1"/>
  <c r="L208" i="1"/>
  <c r="M208" i="1" s="1"/>
  <c r="L215" i="1"/>
  <c r="M215" i="1" s="1"/>
  <c r="L223" i="1"/>
  <c r="M223" i="1" s="1"/>
  <c r="L229" i="1"/>
  <c r="M229" i="1" s="1"/>
  <c r="L237" i="1"/>
  <c r="M237" i="1" s="1"/>
  <c r="L251" i="1"/>
  <c r="M251" i="1" s="1"/>
  <c r="L279" i="1"/>
  <c r="M279" i="1" s="1"/>
  <c r="L287" i="1"/>
  <c r="M287" i="1" s="1"/>
  <c r="L295" i="1"/>
  <c r="M295" i="1" s="1"/>
  <c r="L301" i="1"/>
  <c r="M301" i="1" s="1"/>
  <c r="L308" i="1"/>
  <c r="M308" i="1" s="1"/>
  <c r="L316" i="1"/>
  <c r="M316" i="1" s="1"/>
  <c r="L323" i="1"/>
  <c r="M323" i="1" s="1"/>
  <c r="L331" i="1"/>
  <c r="M331" i="1" s="1"/>
  <c r="L360" i="1"/>
  <c r="M360" i="1" s="1"/>
  <c r="L367" i="1"/>
  <c r="M367" i="1" s="1"/>
  <c r="L374" i="1"/>
  <c r="M374" i="1" s="1"/>
  <c r="L384" i="1"/>
  <c r="M384" i="1" s="1"/>
  <c r="L402" i="1"/>
  <c r="M402" i="1" s="1"/>
  <c r="L413" i="1"/>
  <c r="M413" i="1" s="1"/>
  <c r="L423" i="1"/>
  <c r="M423" i="1" s="1"/>
  <c r="L442" i="1"/>
  <c r="M442" i="1" s="1"/>
  <c r="N8" i="1"/>
  <c r="O8" i="1" s="1"/>
  <c r="N19" i="1"/>
  <c r="O19" i="1" s="1"/>
  <c r="N30" i="1"/>
  <c r="O30" i="1" s="1"/>
  <c r="N55" i="1"/>
  <c r="O55" i="1" s="1"/>
  <c r="N70" i="1"/>
  <c r="O70" i="1" s="1"/>
  <c r="N86" i="1"/>
  <c r="O86" i="1" s="1"/>
  <c r="N102" i="1"/>
  <c r="O102" i="1" s="1"/>
  <c r="N118" i="1"/>
  <c r="O118" i="1" s="1"/>
  <c r="N190" i="1"/>
  <c r="O190" i="1" s="1"/>
  <c r="N246" i="1"/>
  <c r="O246" i="1" s="1"/>
  <c r="N261" i="1"/>
  <c r="O261" i="1" s="1"/>
  <c r="N303" i="1"/>
  <c r="O303" i="1" s="1"/>
  <c r="N316" i="1"/>
  <c r="O316" i="1" s="1"/>
  <c r="N346" i="1"/>
  <c r="O346" i="1" s="1"/>
  <c r="N370" i="1"/>
  <c r="O370" i="1" s="1"/>
  <c r="N434" i="1"/>
  <c r="O434" i="1" s="1"/>
  <c r="P22" i="1"/>
  <c r="Q22" i="1" s="1"/>
  <c r="P86" i="1"/>
  <c r="Q86" i="1" s="1"/>
  <c r="P149" i="1"/>
  <c r="Q149" i="1" s="1"/>
  <c r="P252" i="1"/>
  <c r="Q252" i="1" s="1"/>
  <c r="R246" i="1"/>
  <c r="S246" i="1" s="1"/>
  <c r="R3" i="1"/>
  <c r="S3" i="1" s="1"/>
  <c r="P3" i="1"/>
  <c r="Q3" i="1" s="1"/>
  <c r="R43" i="1"/>
  <c r="S43" i="1" s="1"/>
  <c r="P43" i="1"/>
  <c r="Q43" i="1" s="1"/>
  <c r="R67" i="1"/>
  <c r="S67" i="1" s="1"/>
  <c r="P67" i="1"/>
  <c r="Q67" i="1" s="1"/>
  <c r="R91" i="1"/>
  <c r="S91" i="1" s="1"/>
  <c r="P91" i="1"/>
  <c r="Q91" i="1" s="1"/>
  <c r="R123" i="1"/>
  <c r="S123" i="1" s="1"/>
  <c r="P123" i="1"/>
  <c r="Q123" i="1" s="1"/>
  <c r="R147" i="1"/>
  <c r="S147" i="1" s="1"/>
  <c r="P147" i="1"/>
  <c r="Q147" i="1" s="1"/>
  <c r="N147" i="1"/>
  <c r="O147" i="1" s="1"/>
  <c r="R179" i="1"/>
  <c r="S179" i="1" s="1"/>
  <c r="P179" i="1"/>
  <c r="Q179" i="1" s="1"/>
  <c r="R211" i="1"/>
  <c r="S211" i="1" s="1"/>
  <c r="P211" i="1"/>
  <c r="Q211" i="1" s="1"/>
  <c r="R243" i="1"/>
  <c r="S243" i="1" s="1"/>
  <c r="P243" i="1"/>
  <c r="Q243" i="1" s="1"/>
  <c r="R275" i="1"/>
  <c r="S275" i="1" s="1"/>
  <c r="P275" i="1"/>
  <c r="Q275" i="1" s="1"/>
  <c r="R299" i="1"/>
  <c r="S299" i="1" s="1"/>
  <c r="P299" i="1"/>
  <c r="Q299" i="1" s="1"/>
  <c r="N299" i="1"/>
  <c r="O299" i="1" s="1"/>
  <c r="R331" i="1"/>
  <c r="S331" i="1" s="1"/>
  <c r="P331" i="1"/>
  <c r="Q331" i="1" s="1"/>
  <c r="R363" i="1"/>
  <c r="S363" i="1" s="1"/>
  <c r="P363" i="1"/>
  <c r="Q363" i="1" s="1"/>
  <c r="R387" i="1"/>
  <c r="S387" i="1" s="1"/>
  <c r="P387" i="1"/>
  <c r="Q387" i="1" s="1"/>
  <c r="L387" i="1"/>
  <c r="M387" i="1" s="1"/>
  <c r="N387" i="1"/>
  <c r="O387" i="1" s="1"/>
  <c r="R419" i="1"/>
  <c r="S419" i="1" s="1"/>
  <c r="P419" i="1"/>
  <c r="Q419" i="1" s="1"/>
  <c r="N419" i="1"/>
  <c r="O419" i="1" s="1"/>
  <c r="R435" i="1"/>
  <c r="S435" i="1" s="1"/>
  <c r="N435" i="1"/>
  <c r="O435" i="1" s="1"/>
  <c r="P435" i="1"/>
  <c r="Q435" i="1" s="1"/>
  <c r="R443" i="1"/>
  <c r="S443" i="1" s="1"/>
  <c r="P443" i="1"/>
  <c r="Q443" i="1" s="1"/>
  <c r="R20" i="1"/>
  <c r="S20" i="1" s="1"/>
  <c r="P20" i="1"/>
  <c r="Q20" i="1" s="1"/>
  <c r="R60" i="1"/>
  <c r="S60" i="1" s="1"/>
  <c r="P60" i="1"/>
  <c r="Q60" i="1" s="1"/>
  <c r="R100" i="1"/>
  <c r="S100" i="1" s="1"/>
  <c r="P100" i="1"/>
  <c r="Q100" i="1" s="1"/>
  <c r="R132" i="1"/>
  <c r="S132" i="1" s="1"/>
  <c r="P132" i="1"/>
  <c r="Q132" i="1" s="1"/>
  <c r="R164" i="1"/>
  <c r="S164" i="1" s="1"/>
  <c r="P164" i="1"/>
  <c r="Q164" i="1" s="1"/>
  <c r="N164" i="1"/>
  <c r="O164" i="1" s="1"/>
  <c r="R196" i="1"/>
  <c r="S196" i="1" s="1"/>
  <c r="P196" i="1"/>
  <c r="Q196" i="1" s="1"/>
  <c r="N196" i="1"/>
  <c r="O196" i="1" s="1"/>
  <c r="R228" i="1"/>
  <c r="S228" i="1" s="1"/>
  <c r="P228" i="1"/>
  <c r="Q228" i="1" s="1"/>
  <c r="N228" i="1"/>
  <c r="O228" i="1" s="1"/>
  <c r="R260" i="1"/>
  <c r="S260" i="1" s="1"/>
  <c r="P260" i="1"/>
  <c r="Q260" i="1" s="1"/>
  <c r="N260" i="1"/>
  <c r="O260" i="1" s="1"/>
  <c r="R300" i="1"/>
  <c r="S300" i="1" s="1"/>
  <c r="P300" i="1"/>
  <c r="Q300" i="1" s="1"/>
  <c r="R332" i="1"/>
  <c r="S332" i="1" s="1"/>
  <c r="P332" i="1"/>
  <c r="Q332" i="1" s="1"/>
  <c r="N332" i="1"/>
  <c r="O332" i="1" s="1"/>
  <c r="R364" i="1"/>
  <c r="S364" i="1" s="1"/>
  <c r="P364" i="1"/>
  <c r="Q364" i="1" s="1"/>
  <c r="N364" i="1"/>
  <c r="O364" i="1" s="1"/>
  <c r="R404" i="1"/>
  <c r="S404" i="1" s="1"/>
  <c r="P404" i="1"/>
  <c r="Q404" i="1" s="1"/>
  <c r="N404" i="1"/>
  <c r="O404" i="1" s="1"/>
  <c r="L404" i="1"/>
  <c r="M404" i="1" s="1"/>
  <c r="L436" i="1"/>
  <c r="M436" i="1" s="1"/>
  <c r="R9" i="1"/>
  <c r="S9" i="1" s="1"/>
  <c r="N9" i="1"/>
  <c r="O9" i="1" s="1"/>
  <c r="P9" i="1"/>
  <c r="Q9" i="1" s="1"/>
  <c r="N17" i="1"/>
  <c r="O17" i="1" s="1"/>
  <c r="R17" i="1"/>
  <c r="S17" i="1" s="1"/>
  <c r="R25" i="1"/>
  <c r="S25" i="1" s="1"/>
  <c r="N25" i="1"/>
  <c r="O25" i="1" s="1"/>
  <c r="P25" i="1"/>
  <c r="Q25" i="1" s="1"/>
  <c r="R33" i="1"/>
  <c r="S33" i="1" s="1"/>
  <c r="N33" i="1"/>
  <c r="O33" i="1" s="1"/>
  <c r="R41" i="1"/>
  <c r="S41" i="1" s="1"/>
  <c r="N41" i="1"/>
  <c r="O41" i="1" s="1"/>
  <c r="P41" i="1"/>
  <c r="Q41" i="1" s="1"/>
  <c r="R57" i="1"/>
  <c r="S57" i="1" s="1"/>
  <c r="N57" i="1"/>
  <c r="O57" i="1" s="1"/>
  <c r="P57" i="1"/>
  <c r="Q57" i="1" s="1"/>
  <c r="R65" i="1"/>
  <c r="S65" i="1" s="1"/>
  <c r="N65" i="1"/>
  <c r="O65" i="1" s="1"/>
  <c r="R73" i="1"/>
  <c r="S73" i="1" s="1"/>
  <c r="N73" i="1"/>
  <c r="O73" i="1" s="1"/>
  <c r="P73" i="1"/>
  <c r="Q73" i="1" s="1"/>
  <c r="R89" i="1"/>
  <c r="S89" i="1" s="1"/>
  <c r="N89" i="1"/>
  <c r="O89" i="1" s="1"/>
  <c r="P89" i="1"/>
  <c r="Q89" i="1" s="1"/>
  <c r="R97" i="1"/>
  <c r="S97" i="1" s="1"/>
  <c r="N97" i="1"/>
  <c r="O97" i="1" s="1"/>
  <c r="R105" i="1"/>
  <c r="S105" i="1" s="1"/>
  <c r="N105" i="1"/>
  <c r="O105" i="1" s="1"/>
  <c r="P105" i="1"/>
  <c r="Q105" i="1" s="1"/>
  <c r="R113" i="1"/>
  <c r="S113" i="1" s="1"/>
  <c r="N113" i="1"/>
  <c r="O113" i="1" s="1"/>
  <c r="R121" i="1"/>
  <c r="S121" i="1" s="1"/>
  <c r="P121" i="1"/>
  <c r="Q121" i="1" s="1"/>
  <c r="N121" i="1"/>
  <c r="O121" i="1" s="1"/>
  <c r="R129" i="1"/>
  <c r="S129" i="1" s="1"/>
  <c r="P129" i="1"/>
  <c r="Q129" i="1" s="1"/>
  <c r="R137" i="1"/>
  <c r="S137" i="1" s="1"/>
  <c r="P137" i="1"/>
  <c r="Q137" i="1" s="1"/>
  <c r="R145" i="1"/>
  <c r="S145" i="1" s="1"/>
  <c r="P145" i="1"/>
  <c r="Q145" i="1" s="1"/>
  <c r="N145" i="1"/>
  <c r="O145" i="1" s="1"/>
  <c r="R153" i="1"/>
  <c r="S153" i="1" s="1"/>
  <c r="P153" i="1"/>
  <c r="Q153" i="1" s="1"/>
  <c r="N153" i="1"/>
  <c r="O153" i="1" s="1"/>
  <c r="R161" i="1"/>
  <c r="S161" i="1" s="1"/>
  <c r="P161" i="1"/>
  <c r="Q161" i="1" s="1"/>
  <c r="N161" i="1"/>
  <c r="O161" i="1" s="1"/>
  <c r="R177" i="1"/>
  <c r="S177" i="1" s="1"/>
  <c r="P177" i="1"/>
  <c r="Q177" i="1" s="1"/>
  <c r="N177" i="1"/>
  <c r="O177" i="1" s="1"/>
  <c r="R185" i="1"/>
  <c r="S185" i="1" s="1"/>
  <c r="P185" i="1"/>
  <c r="Q185" i="1" s="1"/>
  <c r="N185" i="1"/>
  <c r="O185" i="1" s="1"/>
  <c r="R193" i="1"/>
  <c r="S193" i="1" s="1"/>
  <c r="P193" i="1"/>
  <c r="Q193" i="1" s="1"/>
  <c r="N193" i="1"/>
  <c r="O193" i="1" s="1"/>
  <c r="R209" i="1"/>
  <c r="S209" i="1" s="1"/>
  <c r="P209" i="1"/>
  <c r="Q209" i="1" s="1"/>
  <c r="R217" i="1"/>
  <c r="S217" i="1" s="1"/>
  <c r="P217" i="1"/>
  <c r="Q217" i="1" s="1"/>
  <c r="N217" i="1"/>
  <c r="O217" i="1" s="1"/>
  <c r="R225" i="1"/>
  <c r="S225" i="1" s="1"/>
  <c r="P225" i="1"/>
  <c r="Q225" i="1" s="1"/>
  <c r="N225" i="1"/>
  <c r="O225" i="1" s="1"/>
  <c r="R233" i="1"/>
  <c r="S233" i="1" s="1"/>
  <c r="P233" i="1"/>
  <c r="Q233" i="1" s="1"/>
  <c r="R241" i="1"/>
  <c r="S241" i="1" s="1"/>
  <c r="P241" i="1"/>
  <c r="Q241" i="1" s="1"/>
  <c r="N241" i="1"/>
  <c r="O241" i="1" s="1"/>
  <c r="R249" i="1"/>
  <c r="S249" i="1" s="1"/>
  <c r="P249" i="1"/>
  <c r="Q249" i="1" s="1"/>
  <c r="N249" i="1"/>
  <c r="O249" i="1" s="1"/>
  <c r="R257" i="1"/>
  <c r="S257" i="1" s="1"/>
  <c r="P257" i="1"/>
  <c r="Q257" i="1" s="1"/>
  <c r="N257" i="1"/>
  <c r="O257" i="1" s="1"/>
  <c r="R265" i="1"/>
  <c r="S265" i="1" s="1"/>
  <c r="P265" i="1"/>
  <c r="Q265" i="1" s="1"/>
  <c r="R281" i="1"/>
  <c r="S281" i="1" s="1"/>
  <c r="P281" i="1"/>
  <c r="Q281" i="1" s="1"/>
  <c r="N281" i="1"/>
  <c r="O281" i="1" s="1"/>
  <c r="R289" i="1"/>
  <c r="S289" i="1" s="1"/>
  <c r="P289" i="1"/>
  <c r="Q289" i="1" s="1"/>
  <c r="R297" i="1"/>
  <c r="S297" i="1" s="1"/>
  <c r="P297" i="1"/>
  <c r="Q297" i="1" s="1"/>
  <c r="N297" i="1"/>
  <c r="O297" i="1" s="1"/>
  <c r="R305" i="1"/>
  <c r="S305" i="1" s="1"/>
  <c r="P305" i="1"/>
  <c r="Q305" i="1" s="1"/>
  <c r="N305" i="1"/>
  <c r="O305" i="1" s="1"/>
  <c r="R313" i="1"/>
  <c r="S313" i="1" s="1"/>
  <c r="P313" i="1"/>
  <c r="Q313" i="1" s="1"/>
  <c r="R321" i="1"/>
  <c r="S321" i="1" s="1"/>
  <c r="P321" i="1"/>
  <c r="Q321" i="1" s="1"/>
  <c r="R329" i="1"/>
  <c r="S329" i="1" s="1"/>
  <c r="P329" i="1"/>
  <c r="Q329" i="1" s="1"/>
  <c r="P337" i="1"/>
  <c r="Q337" i="1" s="1"/>
  <c r="R337" i="1"/>
  <c r="S337" i="1" s="1"/>
  <c r="N337" i="1"/>
  <c r="O337" i="1" s="1"/>
  <c r="P345" i="1"/>
  <c r="Q345" i="1" s="1"/>
  <c r="R345" i="1"/>
  <c r="S345" i="1" s="1"/>
  <c r="N345" i="1"/>
  <c r="O345" i="1" s="1"/>
  <c r="P353" i="1"/>
  <c r="Q353" i="1" s="1"/>
  <c r="R353" i="1"/>
  <c r="S353" i="1" s="1"/>
  <c r="N353" i="1"/>
  <c r="O353" i="1" s="1"/>
  <c r="P361" i="1"/>
  <c r="Q361" i="1" s="1"/>
  <c r="R361" i="1"/>
  <c r="S361" i="1" s="1"/>
  <c r="N361" i="1"/>
  <c r="O361" i="1" s="1"/>
  <c r="P369" i="1"/>
  <c r="Q369" i="1" s="1"/>
  <c r="R369" i="1"/>
  <c r="S369" i="1" s="1"/>
  <c r="N369" i="1"/>
  <c r="O369" i="1" s="1"/>
  <c r="P377" i="1"/>
  <c r="Q377" i="1" s="1"/>
  <c r="R377" i="1"/>
  <c r="S377" i="1" s="1"/>
  <c r="N377" i="1"/>
  <c r="O377" i="1" s="1"/>
  <c r="P385" i="1"/>
  <c r="Q385" i="1" s="1"/>
  <c r="R385" i="1"/>
  <c r="S385" i="1" s="1"/>
  <c r="N385" i="1"/>
  <c r="O385" i="1" s="1"/>
  <c r="P393" i="1"/>
  <c r="Q393" i="1" s="1"/>
  <c r="R393" i="1"/>
  <c r="S393" i="1" s="1"/>
  <c r="N393" i="1"/>
  <c r="O393" i="1" s="1"/>
  <c r="P401" i="1"/>
  <c r="Q401" i="1" s="1"/>
  <c r="R401" i="1"/>
  <c r="S401" i="1" s="1"/>
  <c r="N401" i="1"/>
  <c r="O401" i="1" s="1"/>
  <c r="P409" i="1"/>
  <c r="Q409" i="1" s="1"/>
  <c r="R409" i="1"/>
  <c r="S409" i="1" s="1"/>
  <c r="N409" i="1"/>
  <c r="O409" i="1" s="1"/>
  <c r="P417" i="1"/>
  <c r="Q417" i="1" s="1"/>
  <c r="R417" i="1"/>
  <c r="S417" i="1" s="1"/>
  <c r="N417" i="1"/>
  <c r="O417" i="1" s="1"/>
  <c r="P425" i="1"/>
  <c r="Q425" i="1" s="1"/>
  <c r="R425" i="1"/>
  <c r="S425" i="1" s="1"/>
  <c r="N425" i="1"/>
  <c r="O425" i="1" s="1"/>
  <c r="P433" i="1"/>
  <c r="Q433" i="1" s="1"/>
  <c r="R433" i="1"/>
  <c r="S433" i="1" s="1"/>
  <c r="N433" i="1"/>
  <c r="O433" i="1" s="1"/>
  <c r="L433" i="1"/>
  <c r="M433" i="1" s="1"/>
  <c r="P441" i="1"/>
  <c r="Q441" i="1" s="1"/>
  <c r="R441" i="1"/>
  <c r="S441" i="1" s="1"/>
  <c r="N441" i="1"/>
  <c r="O441" i="1" s="1"/>
  <c r="L441" i="1"/>
  <c r="M441" i="1" s="1"/>
  <c r="L5" i="1"/>
  <c r="M5" i="1" s="1"/>
  <c r="L13" i="1"/>
  <c r="M13" i="1" s="1"/>
  <c r="L21" i="1"/>
  <c r="M21" i="1" s="1"/>
  <c r="L29" i="1"/>
  <c r="M29" i="1" s="1"/>
  <c r="L37" i="1"/>
  <c r="M37" i="1" s="1"/>
  <c r="L45" i="1"/>
  <c r="M45" i="1" s="1"/>
  <c r="L53" i="1"/>
  <c r="M53" i="1" s="1"/>
  <c r="L61" i="1"/>
  <c r="M61" i="1" s="1"/>
  <c r="L69" i="1"/>
  <c r="M69" i="1" s="1"/>
  <c r="L77" i="1"/>
  <c r="M77" i="1" s="1"/>
  <c r="L85" i="1"/>
  <c r="M85" i="1" s="1"/>
  <c r="L93" i="1"/>
  <c r="M93" i="1" s="1"/>
  <c r="L101" i="1"/>
  <c r="M101" i="1" s="1"/>
  <c r="L109" i="1"/>
  <c r="M109" i="1" s="1"/>
  <c r="L124" i="1"/>
  <c r="M124" i="1" s="1"/>
  <c r="L131" i="1"/>
  <c r="M131" i="1" s="1"/>
  <c r="L145" i="1"/>
  <c r="M145" i="1" s="1"/>
  <c r="L152" i="1"/>
  <c r="M152" i="1" s="1"/>
  <c r="L166" i="1"/>
  <c r="M166" i="1" s="1"/>
  <c r="L174" i="1"/>
  <c r="M174" i="1" s="1"/>
  <c r="L188" i="1"/>
  <c r="M188" i="1" s="1"/>
  <c r="L209" i="1"/>
  <c r="M209" i="1" s="1"/>
  <c r="L216" i="1"/>
  <c r="M216" i="1" s="1"/>
  <c r="L230" i="1"/>
  <c r="M230" i="1" s="1"/>
  <c r="L238" i="1"/>
  <c r="M238" i="1" s="1"/>
  <c r="L252" i="1"/>
  <c r="M252" i="1" s="1"/>
  <c r="L259" i="1"/>
  <c r="M259" i="1" s="1"/>
  <c r="L272" i="1"/>
  <c r="M272" i="1" s="1"/>
  <c r="L280" i="1"/>
  <c r="M280" i="1" s="1"/>
  <c r="L288" i="1"/>
  <c r="M288" i="1" s="1"/>
  <c r="L302" i="1"/>
  <c r="M302" i="1" s="1"/>
  <c r="L309" i="1"/>
  <c r="M309" i="1" s="1"/>
  <c r="L317" i="1"/>
  <c r="M317" i="1" s="1"/>
  <c r="L324" i="1"/>
  <c r="M324" i="1" s="1"/>
  <c r="L361" i="1"/>
  <c r="M361" i="1" s="1"/>
  <c r="L375" i="1"/>
  <c r="M375" i="1" s="1"/>
  <c r="L385" i="1"/>
  <c r="M385" i="1" s="1"/>
  <c r="L395" i="1"/>
  <c r="M395" i="1" s="1"/>
  <c r="L414" i="1"/>
  <c r="M414" i="1" s="1"/>
  <c r="L424" i="1"/>
  <c r="M424" i="1" s="1"/>
  <c r="L432" i="1"/>
  <c r="M432" i="1" s="1"/>
  <c r="L443" i="1"/>
  <c r="M443" i="1" s="1"/>
  <c r="N20" i="1"/>
  <c r="O20" i="1" s="1"/>
  <c r="N31" i="1"/>
  <c r="O31" i="1" s="1"/>
  <c r="N44" i="1"/>
  <c r="O44" i="1" s="1"/>
  <c r="N136" i="1"/>
  <c r="O136" i="1" s="1"/>
  <c r="N150" i="1"/>
  <c r="O150" i="1" s="1"/>
  <c r="N165" i="1"/>
  <c r="O165" i="1" s="1"/>
  <c r="N179" i="1"/>
  <c r="O179" i="1" s="1"/>
  <c r="N194" i="1"/>
  <c r="O194" i="1" s="1"/>
  <c r="N222" i="1"/>
  <c r="O222" i="1" s="1"/>
  <c r="N236" i="1"/>
  <c r="O236" i="1" s="1"/>
  <c r="N265" i="1"/>
  <c r="O265" i="1" s="1"/>
  <c r="N278" i="1"/>
  <c r="O278" i="1" s="1"/>
  <c r="N320" i="1"/>
  <c r="O320" i="1" s="1"/>
  <c r="N334" i="1"/>
  <c r="O334" i="1" s="1"/>
  <c r="N350" i="1"/>
  <c r="O350" i="1" s="1"/>
  <c r="P33" i="1"/>
  <c r="Q33" i="1" s="1"/>
  <c r="P97" i="1"/>
  <c r="Q97" i="1" s="1"/>
  <c r="P169" i="1"/>
  <c r="Q169" i="1" s="1"/>
  <c r="P273" i="1"/>
  <c r="Q273" i="1" s="1"/>
  <c r="R317" i="1"/>
  <c r="S317" i="1" s="1"/>
  <c r="R27" i="1"/>
  <c r="S27" i="1" s="1"/>
  <c r="P27" i="1"/>
  <c r="Q27" i="1" s="1"/>
  <c r="R51" i="1"/>
  <c r="S51" i="1" s="1"/>
  <c r="P51" i="1"/>
  <c r="Q51" i="1" s="1"/>
  <c r="R83" i="1"/>
  <c r="S83" i="1" s="1"/>
  <c r="P83" i="1"/>
  <c r="Q83" i="1" s="1"/>
  <c r="R115" i="1"/>
  <c r="S115" i="1" s="1"/>
  <c r="P115" i="1"/>
  <c r="Q115" i="1" s="1"/>
  <c r="R163" i="1"/>
  <c r="S163" i="1" s="1"/>
  <c r="P163" i="1"/>
  <c r="Q163" i="1" s="1"/>
  <c r="N163" i="1"/>
  <c r="O163" i="1" s="1"/>
  <c r="R195" i="1"/>
  <c r="S195" i="1" s="1"/>
  <c r="P195" i="1"/>
  <c r="Q195" i="1" s="1"/>
  <c r="R235" i="1"/>
  <c r="S235" i="1" s="1"/>
  <c r="P235" i="1"/>
  <c r="Q235" i="1" s="1"/>
  <c r="N235" i="1"/>
  <c r="O235" i="1" s="1"/>
  <c r="R283" i="1"/>
  <c r="S283" i="1" s="1"/>
  <c r="P283" i="1"/>
  <c r="Q283" i="1" s="1"/>
  <c r="N283" i="1"/>
  <c r="O283" i="1" s="1"/>
  <c r="R315" i="1"/>
  <c r="S315" i="1" s="1"/>
  <c r="P315" i="1"/>
  <c r="Q315" i="1" s="1"/>
  <c r="P339" i="1"/>
  <c r="Q339" i="1" s="1"/>
  <c r="R339" i="1"/>
  <c r="S339" i="1" s="1"/>
  <c r="N339" i="1"/>
  <c r="O339" i="1" s="1"/>
  <c r="R371" i="1"/>
  <c r="S371" i="1" s="1"/>
  <c r="P371" i="1"/>
  <c r="Q371" i="1" s="1"/>
  <c r="N371" i="1"/>
  <c r="O371" i="1" s="1"/>
  <c r="R403" i="1"/>
  <c r="S403" i="1" s="1"/>
  <c r="P403" i="1"/>
  <c r="Q403" i="1" s="1"/>
  <c r="N403" i="1"/>
  <c r="O403" i="1" s="1"/>
  <c r="R427" i="1"/>
  <c r="S427" i="1" s="1"/>
  <c r="P427" i="1"/>
  <c r="Q427" i="1" s="1"/>
  <c r="L427" i="1"/>
  <c r="M427" i="1" s="1"/>
  <c r="L363" i="1"/>
  <c r="M363" i="1" s="1"/>
  <c r="L435" i="1"/>
  <c r="M435" i="1" s="1"/>
  <c r="R4" i="1"/>
  <c r="S4" i="1" s="1"/>
  <c r="P4" i="1"/>
  <c r="Q4" i="1" s="1"/>
  <c r="R36" i="1"/>
  <c r="S36" i="1" s="1"/>
  <c r="P36" i="1"/>
  <c r="Q36" i="1" s="1"/>
  <c r="R68" i="1"/>
  <c r="S68" i="1" s="1"/>
  <c r="P68" i="1"/>
  <c r="Q68" i="1" s="1"/>
  <c r="R84" i="1"/>
  <c r="S84" i="1" s="1"/>
  <c r="P84" i="1"/>
  <c r="Q84" i="1" s="1"/>
  <c r="R108" i="1"/>
  <c r="S108" i="1" s="1"/>
  <c r="P108" i="1"/>
  <c r="Q108" i="1" s="1"/>
  <c r="R140" i="1"/>
  <c r="S140" i="1" s="1"/>
  <c r="P140" i="1"/>
  <c r="Q140" i="1" s="1"/>
  <c r="N140" i="1"/>
  <c r="O140" i="1" s="1"/>
  <c r="R172" i="1"/>
  <c r="S172" i="1" s="1"/>
  <c r="P172" i="1"/>
  <c r="Q172" i="1" s="1"/>
  <c r="R204" i="1"/>
  <c r="S204" i="1" s="1"/>
  <c r="P204" i="1"/>
  <c r="Q204" i="1" s="1"/>
  <c r="R244" i="1"/>
  <c r="S244" i="1" s="1"/>
  <c r="P244" i="1"/>
  <c r="Q244" i="1" s="1"/>
  <c r="R292" i="1"/>
  <c r="S292" i="1" s="1"/>
  <c r="P292" i="1"/>
  <c r="Q292" i="1" s="1"/>
  <c r="R340" i="1"/>
  <c r="S340" i="1" s="1"/>
  <c r="P340" i="1"/>
  <c r="Q340" i="1" s="1"/>
  <c r="N340" i="1"/>
  <c r="O340" i="1" s="1"/>
  <c r="R396" i="1"/>
  <c r="S396" i="1" s="1"/>
  <c r="P396" i="1"/>
  <c r="Q396" i="1" s="1"/>
  <c r="N396" i="1"/>
  <c r="O396" i="1" s="1"/>
  <c r="R2" i="1"/>
  <c r="S2" i="1" s="1"/>
  <c r="N2" i="1"/>
  <c r="O2" i="1" s="1"/>
  <c r="R10" i="1"/>
  <c r="S10" i="1" s="1"/>
  <c r="P10" i="1"/>
  <c r="Q10" i="1" s="1"/>
  <c r="R18" i="1"/>
  <c r="S18" i="1" s="1"/>
  <c r="P18" i="1"/>
  <c r="Q18" i="1" s="1"/>
  <c r="R26" i="1"/>
  <c r="S26" i="1" s="1"/>
  <c r="P26" i="1"/>
  <c r="Q26" i="1" s="1"/>
  <c r="R34" i="1"/>
  <c r="S34" i="1" s="1"/>
  <c r="P34" i="1"/>
  <c r="Q34" i="1" s="1"/>
  <c r="R42" i="1"/>
  <c r="S42" i="1" s="1"/>
  <c r="P42" i="1"/>
  <c r="Q42" i="1" s="1"/>
  <c r="R50" i="1"/>
  <c r="S50" i="1" s="1"/>
  <c r="P50" i="1"/>
  <c r="Q50" i="1" s="1"/>
  <c r="R58" i="1"/>
  <c r="S58" i="1" s="1"/>
  <c r="P58" i="1"/>
  <c r="Q58" i="1" s="1"/>
  <c r="R66" i="1"/>
  <c r="S66" i="1" s="1"/>
  <c r="P66" i="1"/>
  <c r="Q66" i="1" s="1"/>
  <c r="R74" i="1"/>
  <c r="S74" i="1" s="1"/>
  <c r="P74" i="1"/>
  <c r="Q74" i="1" s="1"/>
  <c r="R82" i="1"/>
  <c r="S82" i="1" s="1"/>
  <c r="P82" i="1"/>
  <c r="Q82" i="1" s="1"/>
  <c r="R90" i="1"/>
  <c r="S90" i="1" s="1"/>
  <c r="P90" i="1"/>
  <c r="Q90" i="1" s="1"/>
  <c r="R98" i="1"/>
  <c r="S98" i="1" s="1"/>
  <c r="P98" i="1"/>
  <c r="Q98" i="1" s="1"/>
  <c r="P106" i="1"/>
  <c r="Q106" i="1" s="1"/>
  <c r="R106" i="1"/>
  <c r="S106" i="1" s="1"/>
  <c r="R114" i="1"/>
  <c r="S114" i="1" s="1"/>
  <c r="P114" i="1"/>
  <c r="Q114" i="1" s="1"/>
  <c r="R122" i="1"/>
  <c r="S122" i="1" s="1"/>
  <c r="P122" i="1"/>
  <c r="Q122" i="1" s="1"/>
  <c r="R138" i="1"/>
  <c r="S138" i="1" s="1"/>
  <c r="P138" i="1"/>
  <c r="Q138" i="1" s="1"/>
  <c r="R146" i="1"/>
  <c r="S146" i="1" s="1"/>
  <c r="P146" i="1"/>
  <c r="Q146" i="1" s="1"/>
  <c r="R154" i="1"/>
  <c r="S154" i="1" s="1"/>
  <c r="P154" i="1"/>
  <c r="Q154" i="1" s="1"/>
  <c r="R162" i="1"/>
  <c r="S162" i="1" s="1"/>
  <c r="P162" i="1"/>
  <c r="Q162" i="1" s="1"/>
  <c r="R170" i="1"/>
  <c r="S170" i="1" s="1"/>
  <c r="N170" i="1"/>
  <c r="O170" i="1" s="1"/>
  <c r="P170" i="1"/>
  <c r="Q170" i="1" s="1"/>
  <c r="R178" i="1"/>
  <c r="S178" i="1" s="1"/>
  <c r="P178" i="1"/>
  <c r="Q178" i="1" s="1"/>
  <c r="N178" i="1"/>
  <c r="O178" i="1" s="1"/>
  <c r="R186" i="1"/>
  <c r="S186" i="1" s="1"/>
  <c r="P186" i="1"/>
  <c r="Q186" i="1" s="1"/>
  <c r="R202" i="1"/>
  <c r="S202" i="1" s="1"/>
  <c r="P202" i="1"/>
  <c r="Q202" i="1" s="1"/>
  <c r="R210" i="1"/>
  <c r="S210" i="1" s="1"/>
  <c r="P210" i="1"/>
  <c r="Q210" i="1" s="1"/>
  <c r="N210" i="1"/>
  <c r="O210" i="1" s="1"/>
  <c r="R218" i="1"/>
  <c r="S218" i="1" s="1"/>
  <c r="P218" i="1"/>
  <c r="Q218" i="1" s="1"/>
  <c r="R234" i="1"/>
  <c r="S234" i="1" s="1"/>
  <c r="P234" i="1"/>
  <c r="Q234" i="1" s="1"/>
  <c r="N234" i="1"/>
  <c r="O234" i="1" s="1"/>
  <c r="R242" i="1"/>
  <c r="S242" i="1" s="1"/>
  <c r="P242" i="1"/>
  <c r="Q242" i="1" s="1"/>
  <c r="N242" i="1"/>
  <c r="O242" i="1" s="1"/>
  <c r="R250" i="1"/>
  <c r="S250" i="1" s="1"/>
  <c r="P250" i="1"/>
  <c r="Q250" i="1" s="1"/>
  <c r="R258" i="1"/>
  <c r="S258" i="1" s="1"/>
  <c r="P258" i="1"/>
  <c r="Q258" i="1" s="1"/>
  <c r="R266" i="1"/>
  <c r="S266" i="1" s="1"/>
  <c r="P266" i="1"/>
  <c r="Q266" i="1" s="1"/>
  <c r="R274" i="1"/>
  <c r="S274" i="1" s="1"/>
  <c r="P274" i="1"/>
  <c r="Q274" i="1" s="1"/>
  <c r="N274" i="1"/>
  <c r="O274" i="1" s="1"/>
  <c r="R282" i="1"/>
  <c r="S282" i="1" s="1"/>
  <c r="P282" i="1"/>
  <c r="Q282" i="1" s="1"/>
  <c r="R290" i="1"/>
  <c r="S290" i="1" s="1"/>
  <c r="P290" i="1"/>
  <c r="Q290" i="1" s="1"/>
  <c r="N290" i="1"/>
  <c r="O290" i="1" s="1"/>
  <c r="R298" i="1"/>
  <c r="S298" i="1" s="1"/>
  <c r="P298" i="1"/>
  <c r="Q298" i="1" s="1"/>
  <c r="N298" i="1"/>
  <c r="O298" i="1" s="1"/>
  <c r="R306" i="1"/>
  <c r="S306" i="1" s="1"/>
  <c r="P306" i="1"/>
  <c r="Q306" i="1" s="1"/>
  <c r="R314" i="1"/>
  <c r="S314" i="1" s="1"/>
  <c r="P314" i="1"/>
  <c r="Q314" i="1" s="1"/>
  <c r="R322" i="1"/>
  <c r="S322" i="1" s="1"/>
  <c r="P322" i="1"/>
  <c r="Q322" i="1" s="1"/>
  <c r="R330" i="1"/>
  <c r="S330" i="1" s="1"/>
  <c r="P330" i="1"/>
  <c r="Q330" i="1" s="1"/>
  <c r="N330" i="1"/>
  <c r="O330" i="1" s="1"/>
  <c r="P338" i="1"/>
  <c r="Q338" i="1" s="1"/>
  <c r="R338" i="1"/>
  <c r="S338" i="1" s="1"/>
  <c r="P346" i="1"/>
  <c r="Q346" i="1" s="1"/>
  <c r="R346" i="1"/>
  <c r="S346" i="1" s="1"/>
  <c r="P354" i="1"/>
  <c r="Q354" i="1" s="1"/>
  <c r="R354" i="1"/>
  <c r="S354" i="1" s="1"/>
  <c r="R362" i="1"/>
  <c r="S362" i="1" s="1"/>
  <c r="P362" i="1"/>
  <c r="Q362" i="1" s="1"/>
  <c r="R378" i="1"/>
  <c r="S378" i="1" s="1"/>
  <c r="P378" i="1"/>
  <c r="Q378" i="1" s="1"/>
  <c r="R386" i="1"/>
  <c r="S386" i="1" s="1"/>
  <c r="P386" i="1"/>
  <c r="Q386" i="1" s="1"/>
  <c r="R394" i="1"/>
  <c r="S394" i="1" s="1"/>
  <c r="P394" i="1"/>
  <c r="Q394" i="1" s="1"/>
  <c r="L394" i="1"/>
  <c r="M394" i="1" s="1"/>
  <c r="R402" i="1"/>
  <c r="S402" i="1" s="1"/>
  <c r="P402" i="1"/>
  <c r="Q402" i="1" s="1"/>
  <c r="R410" i="1"/>
  <c r="S410" i="1" s="1"/>
  <c r="P410" i="1"/>
  <c r="Q410" i="1" s="1"/>
  <c r="R418" i="1"/>
  <c r="S418" i="1" s="1"/>
  <c r="P418" i="1"/>
  <c r="Q418" i="1" s="1"/>
  <c r="R426" i="1"/>
  <c r="S426" i="1" s="1"/>
  <c r="P426" i="1"/>
  <c r="Q426" i="1" s="1"/>
  <c r="R442" i="1"/>
  <c r="S442" i="1" s="1"/>
  <c r="P442" i="1"/>
  <c r="Q442" i="1" s="1"/>
  <c r="L6" i="1"/>
  <c r="M6" i="1" s="1"/>
  <c r="L14" i="1"/>
  <c r="M14" i="1" s="1"/>
  <c r="L22" i="1"/>
  <c r="M22" i="1" s="1"/>
  <c r="L30" i="1"/>
  <c r="M30" i="1" s="1"/>
  <c r="L38" i="1"/>
  <c r="M38" i="1" s="1"/>
  <c r="L46" i="1"/>
  <c r="M46" i="1" s="1"/>
  <c r="L54" i="1"/>
  <c r="M54" i="1" s="1"/>
  <c r="L62" i="1"/>
  <c r="M62" i="1" s="1"/>
  <c r="L70" i="1"/>
  <c r="M70" i="1" s="1"/>
  <c r="L78" i="1"/>
  <c r="M78" i="1" s="1"/>
  <c r="L86" i="1"/>
  <c r="M86" i="1" s="1"/>
  <c r="L94" i="1"/>
  <c r="M94" i="1" s="1"/>
  <c r="L102" i="1"/>
  <c r="M102" i="1" s="1"/>
  <c r="L110" i="1"/>
  <c r="M110" i="1" s="1"/>
  <c r="L117" i="1"/>
  <c r="M117" i="1" s="1"/>
  <c r="L125" i="1"/>
  <c r="M125" i="1" s="1"/>
  <c r="L132" i="1"/>
  <c r="M132" i="1" s="1"/>
  <c r="L139" i="1"/>
  <c r="M139" i="1" s="1"/>
  <c r="L146" i="1"/>
  <c r="M146" i="1" s="1"/>
  <c r="L153" i="1"/>
  <c r="M153" i="1" s="1"/>
  <c r="L160" i="1"/>
  <c r="M160" i="1" s="1"/>
  <c r="L167" i="1"/>
  <c r="M167" i="1" s="1"/>
  <c r="L175" i="1"/>
  <c r="M175" i="1" s="1"/>
  <c r="L181" i="1"/>
  <c r="M181" i="1" s="1"/>
  <c r="L189" i="1"/>
  <c r="M189" i="1" s="1"/>
  <c r="L196" i="1"/>
  <c r="M196" i="1" s="1"/>
  <c r="L203" i="1"/>
  <c r="M203" i="1" s="1"/>
  <c r="L210" i="1"/>
  <c r="M210" i="1" s="1"/>
  <c r="L217" i="1"/>
  <c r="M217" i="1" s="1"/>
  <c r="L224" i="1"/>
  <c r="M224" i="1" s="1"/>
  <c r="L231" i="1"/>
  <c r="M231" i="1" s="1"/>
  <c r="L239" i="1"/>
  <c r="M239" i="1" s="1"/>
  <c r="L245" i="1"/>
  <c r="M245" i="1" s="1"/>
  <c r="L253" i="1"/>
  <c r="M253" i="1" s="1"/>
  <c r="L260" i="1"/>
  <c r="M260" i="1" s="1"/>
  <c r="L267" i="1"/>
  <c r="M267" i="1" s="1"/>
  <c r="L273" i="1"/>
  <c r="M273" i="1" s="1"/>
  <c r="L281" i="1"/>
  <c r="M281" i="1" s="1"/>
  <c r="L289" i="1"/>
  <c r="M289" i="1" s="1"/>
  <c r="L296" i="1"/>
  <c r="M296" i="1" s="1"/>
  <c r="L303" i="1"/>
  <c r="M303" i="1" s="1"/>
  <c r="L310" i="1"/>
  <c r="M310" i="1" s="1"/>
  <c r="L318" i="1"/>
  <c r="M318" i="1" s="1"/>
  <c r="L325" i="1"/>
  <c r="M325" i="1" s="1"/>
  <c r="L332" i="1"/>
  <c r="M332" i="1" s="1"/>
  <c r="L339" i="1"/>
  <c r="M339" i="1" s="1"/>
  <c r="L347" i="1"/>
  <c r="M347" i="1" s="1"/>
  <c r="L355" i="1"/>
  <c r="M355" i="1" s="1"/>
  <c r="L362" i="1"/>
  <c r="M362" i="1" s="1"/>
  <c r="L368" i="1"/>
  <c r="M368" i="1" s="1"/>
  <c r="L376" i="1"/>
  <c r="M376" i="1" s="1"/>
  <c r="L386" i="1"/>
  <c r="M386" i="1" s="1"/>
  <c r="L405" i="1"/>
  <c r="M405" i="1" s="1"/>
  <c r="L415" i="1"/>
  <c r="M415" i="1" s="1"/>
  <c r="L425" i="1"/>
  <c r="M425" i="1" s="1"/>
  <c r="L434" i="1"/>
  <c r="M434" i="1" s="1"/>
  <c r="L444" i="1"/>
  <c r="M444" i="1" s="1"/>
  <c r="N11" i="1"/>
  <c r="O11" i="1" s="1"/>
  <c r="N22" i="1"/>
  <c r="O22" i="1" s="1"/>
  <c r="N34" i="1"/>
  <c r="O34" i="1" s="1"/>
  <c r="N46" i="1"/>
  <c r="O46" i="1" s="1"/>
  <c r="N59" i="1"/>
  <c r="O59" i="1" s="1"/>
  <c r="N75" i="1"/>
  <c r="O75" i="1" s="1"/>
  <c r="N91" i="1"/>
  <c r="O91" i="1" s="1"/>
  <c r="N107" i="1"/>
  <c r="O107" i="1" s="1"/>
  <c r="N123" i="1"/>
  <c r="O123" i="1" s="1"/>
  <c r="N137" i="1"/>
  <c r="O137" i="1" s="1"/>
  <c r="N151" i="1"/>
  <c r="O151" i="1" s="1"/>
  <c r="N166" i="1"/>
  <c r="O166" i="1" s="1"/>
  <c r="N195" i="1"/>
  <c r="O195" i="1" s="1"/>
  <c r="N208" i="1"/>
  <c r="O208" i="1" s="1"/>
  <c r="N223" i="1"/>
  <c r="O223" i="1" s="1"/>
  <c r="N237" i="1"/>
  <c r="O237" i="1" s="1"/>
  <c r="N251" i="1"/>
  <c r="O251" i="1" s="1"/>
  <c r="N266" i="1"/>
  <c r="O266" i="1" s="1"/>
  <c r="N279" i="1"/>
  <c r="O279" i="1" s="1"/>
  <c r="N293" i="1"/>
  <c r="O293" i="1" s="1"/>
  <c r="N307" i="1"/>
  <c r="O307" i="1" s="1"/>
  <c r="N321" i="1"/>
  <c r="O321" i="1" s="1"/>
  <c r="N335" i="1"/>
  <c r="O335" i="1" s="1"/>
  <c r="N352" i="1"/>
  <c r="O352" i="1" s="1"/>
  <c r="N379" i="1"/>
  <c r="O379" i="1" s="1"/>
  <c r="N411" i="1"/>
  <c r="O411" i="1" s="1"/>
  <c r="N443" i="1"/>
  <c r="O443" i="1" s="1"/>
  <c r="P38" i="1"/>
  <c r="Q38" i="1" s="1"/>
  <c r="P102" i="1"/>
  <c r="Q102" i="1" s="1"/>
  <c r="P280" i="1"/>
  <c r="Q280" i="1" s="1"/>
  <c r="R49" i="1"/>
  <c r="S49" i="1" s="1"/>
  <c r="R349" i="1"/>
  <c r="S349" i="1" s="1"/>
  <c r="P32" i="4"/>
  <c r="Q32" i="4" s="1"/>
  <c r="N50" i="4"/>
  <c r="O50" i="4" s="1"/>
  <c r="N54" i="4"/>
  <c r="O54" i="4" s="1"/>
  <c r="L56" i="4"/>
  <c r="M56" i="4" s="1"/>
  <c r="L34" i="4"/>
  <c r="M34" i="4" s="1"/>
  <c r="N61" i="4"/>
  <c r="O61" i="4" s="1"/>
  <c r="L47" i="4"/>
  <c r="M47" i="4" s="1"/>
  <c r="N42" i="4"/>
  <c r="O42" i="4" s="1"/>
  <c r="S6" i="4"/>
  <c r="T6" i="4" s="1"/>
  <c r="P6" i="4"/>
  <c r="Q6" i="4" s="1"/>
  <c r="L6" i="4"/>
  <c r="M6" i="4" s="1"/>
  <c r="N6" i="4"/>
  <c r="O6" i="4" s="1"/>
  <c r="S13" i="4"/>
  <c r="T13" i="4" s="1"/>
  <c r="P13" i="4"/>
  <c r="Q13" i="4" s="1"/>
  <c r="N13" i="4"/>
  <c r="O13" i="4" s="1"/>
  <c r="L13" i="4"/>
  <c r="M13" i="4" s="1"/>
  <c r="S19" i="4"/>
  <c r="T19" i="4" s="1"/>
  <c r="P19" i="4"/>
  <c r="Q19" i="4" s="1"/>
  <c r="N19" i="4"/>
  <c r="O19" i="4" s="1"/>
  <c r="L19" i="4"/>
  <c r="M19" i="4" s="1"/>
  <c r="N24" i="4"/>
  <c r="O24" i="4" s="1"/>
  <c r="L24" i="4"/>
  <c r="M24" i="4" s="1"/>
  <c r="P24" i="4"/>
  <c r="Q24" i="4" s="1"/>
  <c r="S24" i="4"/>
  <c r="T24" i="4" s="1"/>
  <c r="P14" i="4"/>
  <c r="Q14" i="4" s="1"/>
  <c r="N14" i="4"/>
  <c r="O14" i="4" s="1"/>
  <c r="S14" i="4"/>
  <c r="T14" i="4" s="1"/>
  <c r="L14" i="4"/>
  <c r="M14" i="4" s="1"/>
  <c r="S17" i="4"/>
  <c r="T17" i="4" s="1"/>
  <c r="N17" i="4"/>
  <c r="O17" i="4" s="1"/>
  <c r="P17" i="4"/>
  <c r="Q17" i="4" s="1"/>
  <c r="L17" i="4"/>
  <c r="M17" i="4" s="1"/>
  <c r="S11" i="4"/>
  <c r="T11" i="4" s="1"/>
  <c r="P11" i="4"/>
  <c r="Q11" i="4" s="1"/>
  <c r="L11" i="4"/>
  <c r="M11" i="4" s="1"/>
  <c r="N11" i="4"/>
  <c r="O11" i="4" s="1"/>
  <c r="S7" i="4"/>
  <c r="T7" i="4" s="1"/>
  <c r="P7" i="4"/>
  <c r="Q7" i="4" s="1"/>
  <c r="N7" i="4"/>
  <c r="O7" i="4" s="1"/>
  <c r="L7" i="4"/>
  <c r="M7" i="4" s="1"/>
  <c r="S51" i="4"/>
  <c r="T51" i="4" s="1"/>
  <c r="P51" i="4"/>
  <c r="Q51" i="4" s="1"/>
  <c r="N51" i="4"/>
  <c r="O51" i="4" s="1"/>
  <c r="L51" i="4"/>
  <c r="M51" i="4" s="1"/>
  <c r="S57" i="4"/>
  <c r="T57" i="4" s="1"/>
  <c r="P57" i="4"/>
  <c r="Q57" i="4" s="1"/>
  <c r="N57" i="4"/>
  <c r="O57" i="4" s="1"/>
  <c r="L57" i="4"/>
  <c r="M57" i="4" s="1"/>
  <c r="P71" i="4"/>
  <c r="Q71" i="4" s="1"/>
  <c r="S71" i="4"/>
  <c r="T71" i="4" s="1"/>
  <c r="N71" i="4"/>
  <c r="O71" i="4" s="1"/>
  <c r="L71" i="4"/>
  <c r="M71" i="4" s="1"/>
  <c r="S15" i="4"/>
  <c r="T15" i="4" s="1"/>
  <c r="P15" i="4"/>
  <c r="Q15" i="4" s="1"/>
  <c r="N15" i="4"/>
  <c r="O15" i="4" s="1"/>
  <c r="L15" i="4"/>
  <c r="M15" i="4" s="1"/>
  <c r="S35" i="4"/>
  <c r="T35" i="4" s="1"/>
  <c r="P35" i="4"/>
  <c r="Q35" i="4" s="1"/>
  <c r="N35" i="4"/>
  <c r="O35" i="4" s="1"/>
  <c r="L35" i="4"/>
  <c r="M35" i="4" s="1"/>
  <c r="S9" i="4"/>
  <c r="T9" i="4" s="1"/>
  <c r="P9" i="4"/>
  <c r="Q9" i="4" s="1"/>
  <c r="N9" i="4"/>
  <c r="O9" i="4" s="1"/>
  <c r="L9" i="4"/>
  <c r="M9" i="4" s="1"/>
  <c r="S16" i="4"/>
  <c r="T16" i="4" s="1"/>
  <c r="P16" i="4"/>
  <c r="Q16" i="4" s="1"/>
  <c r="N16" i="4"/>
  <c r="O16" i="4" s="1"/>
  <c r="L16" i="4"/>
  <c r="M16" i="4" s="1"/>
  <c r="S29" i="4"/>
  <c r="T29" i="4" s="1"/>
  <c r="P29" i="4"/>
  <c r="Q29" i="4" s="1"/>
  <c r="N29" i="4"/>
  <c r="O29" i="4" s="1"/>
  <c r="L29" i="4"/>
  <c r="M29" i="4" s="1"/>
  <c r="S37" i="4"/>
  <c r="T37" i="4" s="1"/>
  <c r="P37" i="4"/>
  <c r="Q37" i="4" s="1"/>
  <c r="N37" i="4"/>
  <c r="O37" i="4" s="1"/>
  <c r="L37" i="4"/>
  <c r="M37" i="4" s="1"/>
  <c r="S45" i="4"/>
  <c r="T45" i="4" s="1"/>
  <c r="P45" i="4"/>
  <c r="Q45" i="4" s="1"/>
  <c r="N45" i="4"/>
  <c r="O45" i="4" s="1"/>
  <c r="L45" i="4"/>
  <c r="M45" i="4" s="1"/>
  <c r="S53" i="4"/>
  <c r="T53" i="4" s="1"/>
  <c r="P53" i="4"/>
  <c r="Q53" i="4" s="1"/>
  <c r="N53" i="4"/>
  <c r="O53" i="4" s="1"/>
  <c r="L53" i="4"/>
  <c r="M53" i="4" s="1"/>
  <c r="S63" i="4"/>
  <c r="T63" i="4" s="1"/>
  <c r="P63" i="4"/>
  <c r="Q63" i="4" s="1"/>
  <c r="N63" i="4"/>
  <c r="O63" i="4" s="1"/>
  <c r="L63" i="4"/>
  <c r="M63" i="4" s="1"/>
  <c r="P67" i="4"/>
  <c r="Q67" i="4" s="1"/>
  <c r="S67" i="4"/>
  <c r="T67" i="4" s="1"/>
  <c r="N67" i="4"/>
  <c r="O67" i="4" s="1"/>
  <c r="L67" i="4"/>
  <c r="M67" i="4" s="1"/>
  <c r="S21" i="4"/>
  <c r="T21" i="4" s="1"/>
  <c r="P21" i="4"/>
  <c r="Q21" i="4" s="1"/>
  <c r="N21" i="4"/>
  <c r="O21" i="4" s="1"/>
  <c r="L21" i="4"/>
  <c r="M21" i="4" s="1"/>
  <c r="S20" i="4"/>
  <c r="T20" i="4" s="1"/>
  <c r="P20" i="4"/>
  <c r="Q20" i="4" s="1"/>
  <c r="N20" i="4"/>
  <c r="O20" i="4" s="1"/>
  <c r="L20" i="4"/>
  <c r="M20" i="4" s="1"/>
  <c r="S43" i="4"/>
  <c r="T43" i="4" s="1"/>
  <c r="P43" i="4"/>
  <c r="Q43" i="4" s="1"/>
  <c r="N43" i="4"/>
  <c r="O43" i="4" s="1"/>
  <c r="L43" i="4"/>
  <c r="M43" i="4" s="1"/>
  <c r="P65" i="4"/>
  <c r="Q65" i="4" s="1"/>
  <c r="S65" i="4"/>
  <c r="T65" i="4" s="1"/>
  <c r="N65" i="4"/>
  <c r="O65" i="4" s="1"/>
  <c r="L65" i="4"/>
  <c r="M65" i="4" s="1"/>
  <c r="S5" i="4"/>
  <c r="T5" i="4" s="1"/>
  <c r="P5" i="4"/>
  <c r="Q5" i="4" s="1"/>
  <c r="N5" i="4"/>
  <c r="O5" i="4" s="1"/>
  <c r="L5" i="4"/>
  <c r="M5" i="4" s="1"/>
  <c r="S18" i="4"/>
  <c r="T18" i="4" s="1"/>
  <c r="N18" i="4"/>
  <c r="O18" i="4" s="1"/>
  <c r="L18" i="4"/>
  <c r="M18" i="4" s="1"/>
  <c r="P18" i="4"/>
  <c r="Q18" i="4" s="1"/>
  <c r="S8" i="4"/>
  <c r="T8" i="4" s="1"/>
  <c r="P8" i="4"/>
  <c r="Q8" i="4" s="1"/>
  <c r="L8" i="4"/>
  <c r="M8" i="4" s="1"/>
  <c r="N8" i="4"/>
  <c r="O8" i="4" s="1"/>
  <c r="S10" i="4"/>
  <c r="T10" i="4" s="1"/>
  <c r="P10" i="4"/>
  <c r="Q10" i="4" s="1"/>
  <c r="N10" i="4"/>
  <c r="O10" i="4" s="1"/>
  <c r="L10" i="4"/>
  <c r="M10" i="4" s="1"/>
  <c r="S12" i="4"/>
  <c r="T12" i="4" s="1"/>
  <c r="P12" i="4"/>
  <c r="Q12" i="4" s="1"/>
  <c r="N12" i="4"/>
  <c r="O12" i="4" s="1"/>
  <c r="L12" i="4"/>
  <c r="M12" i="4" s="1"/>
  <c r="S23" i="4"/>
  <c r="T23" i="4" s="1"/>
  <c r="P23" i="4"/>
  <c r="Q23" i="4" s="1"/>
  <c r="N23" i="4"/>
  <c r="O23" i="4" s="1"/>
  <c r="L23" i="4"/>
  <c r="M23" i="4" s="1"/>
  <c r="P31" i="4"/>
  <c r="Q31" i="4" s="1"/>
  <c r="N31" i="4"/>
  <c r="O31" i="4" s="1"/>
  <c r="S31" i="4"/>
  <c r="T31" i="4" s="1"/>
  <c r="L31" i="4"/>
  <c r="M31" i="4" s="1"/>
  <c r="N39" i="4"/>
  <c r="O39" i="4" s="1"/>
  <c r="P39" i="4"/>
  <c r="Q39" i="4" s="1"/>
  <c r="S39" i="4"/>
  <c r="T39" i="4" s="1"/>
  <c r="L39" i="4"/>
  <c r="M39" i="4" s="1"/>
  <c r="S47" i="4"/>
  <c r="T47" i="4" s="1"/>
  <c r="P47" i="4"/>
  <c r="Q47" i="4" s="1"/>
  <c r="N47" i="4"/>
  <c r="O47" i="4" s="1"/>
  <c r="P59" i="4"/>
  <c r="Q59" i="4" s="1"/>
  <c r="N59" i="4"/>
  <c r="O59" i="4" s="1"/>
  <c r="S59" i="4"/>
  <c r="T59" i="4" s="1"/>
  <c r="L59" i="4"/>
  <c r="M59" i="4" s="1"/>
  <c r="P64" i="4"/>
  <c r="Q64" i="4" s="1"/>
  <c r="N64" i="4"/>
  <c r="O64" i="4" s="1"/>
  <c r="S64" i="4"/>
  <c r="T64" i="4" s="1"/>
  <c r="L64" i="4"/>
  <c r="M64" i="4" s="1"/>
  <c r="S69" i="4"/>
  <c r="T69" i="4" s="1"/>
  <c r="P69" i="4"/>
  <c r="Q69" i="4" s="1"/>
  <c r="N69" i="4"/>
  <c r="O69" i="4" s="1"/>
  <c r="L69" i="4"/>
  <c r="M69" i="4" s="1"/>
  <c r="S27" i="4"/>
  <c r="T27" i="4" s="1"/>
  <c r="P27" i="4"/>
  <c r="Q27" i="4" s="1"/>
  <c r="N27" i="4"/>
  <c r="O27" i="4" s="1"/>
  <c r="L27" i="4"/>
  <c r="M27" i="4" s="1"/>
  <c r="S4" i="4"/>
  <c r="T4" i="4" s="1"/>
  <c r="P4" i="4"/>
  <c r="Q4" i="4" s="1"/>
  <c r="N4" i="4"/>
  <c r="O4" i="4" s="1"/>
  <c r="L4" i="4"/>
  <c r="M4" i="4" s="1"/>
  <c r="S22" i="4"/>
  <c r="T22" i="4" s="1"/>
  <c r="P22" i="4"/>
  <c r="Q22" i="4" s="1"/>
  <c r="N22" i="4"/>
  <c r="O22" i="4" s="1"/>
  <c r="L22" i="4"/>
  <c r="M22" i="4" s="1"/>
  <c r="S28" i="4"/>
  <c r="T28" i="4" s="1"/>
  <c r="P28" i="4"/>
  <c r="Q28" i="4" s="1"/>
  <c r="L28" i="4"/>
  <c r="M28" i="4" s="1"/>
  <c r="N28" i="4"/>
  <c r="O28" i="4" s="1"/>
  <c r="S36" i="4"/>
  <c r="T36" i="4" s="1"/>
  <c r="P36" i="4"/>
  <c r="Q36" i="4" s="1"/>
  <c r="N36" i="4"/>
  <c r="O36" i="4" s="1"/>
  <c r="L36" i="4"/>
  <c r="M36" i="4" s="1"/>
  <c r="S44" i="4"/>
  <c r="T44" i="4" s="1"/>
  <c r="P44" i="4"/>
  <c r="Q44" i="4" s="1"/>
  <c r="L44" i="4"/>
  <c r="M44" i="4" s="1"/>
  <c r="N44" i="4"/>
  <c r="O44" i="4" s="1"/>
  <c r="S52" i="4"/>
  <c r="T52" i="4" s="1"/>
  <c r="P52" i="4"/>
  <c r="Q52" i="4" s="1"/>
  <c r="L52" i="4"/>
  <c r="M52" i="4" s="1"/>
  <c r="N52" i="4"/>
  <c r="O52" i="4" s="1"/>
  <c r="S58" i="4"/>
  <c r="T58" i="4" s="1"/>
  <c r="P58" i="4"/>
  <c r="Q58" i="4" s="1"/>
  <c r="N58" i="4"/>
  <c r="O58" i="4" s="1"/>
  <c r="L58" i="4"/>
  <c r="M58" i="4" s="1"/>
  <c r="S62" i="4"/>
  <c r="T62" i="4" s="1"/>
  <c r="P62" i="4"/>
  <c r="Q62" i="4" s="1"/>
  <c r="L62" i="4"/>
  <c r="M62" i="4" s="1"/>
  <c r="N62" i="4"/>
  <c r="O62" i="4" s="1"/>
  <c r="P66" i="4"/>
  <c r="Q66" i="4" s="1"/>
  <c r="S66" i="4"/>
  <c r="T66" i="4" s="1"/>
  <c r="N66" i="4"/>
  <c r="O66" i="4" s="1"/>
  <c r="L66" i="4"/>
  <c r="M66" i="4" s="1"/>
  <c r="S30" i="4"/>
  <c r="T30" i="4" s="1"/>
  <c r="P30" i="4"/>
  <c r="Q30" i="4" s="1"/>
  <c r="N30" i="4"/>
  <c r="O30" i="4" s="1"/>
  <c r="L30" i="4"/>
  <c r="M30" i="4" s="1"/>
  <c r="S38" i="4"/>
  <c r="T38" i="4" s="1"/>
  <c r="N38" i="4"/>
  <c r="O38" i="4" s="1"/>
  <c r="L38" i="4"/>
  <c r="M38" i="4" s="1"/>
  <c r="P38" i="4"/>
  <c r="Q38" i="4" s="1"/>
  <c r="S46" i="4"/>
  <c r="T46" i="4" s="1"/>
  <c r="P46" i="4"/>
  <c r="Q46" i="4" s="1"/>
  <c r="N46" i="4"/>
  <c r="O46" i="4" s="1"/>
  <c r="L46" i="4"/>
  <c r="M46" i="4" s="1"/>
  <c r="S68" i="4"/>
  <c r="T68" i="4" s="1"/>
  <c r="N68" i="4"/>
  <c r="O68" i="4" s="1"/>
  <c r="L68" i="4"/>
  <c r="M68" i="4" s="1"/>
  <c r="P68" i="4"/>
  <c r="Q68" i="4" s="1"/>
  <c r="L50" i="4"/>
  <c r="M50" i="4" s="1"/>
  <c r="S32" i="4"/>
  <c r="T32" i="4" s="1"/>
  <c r="N32" i="4"/>
  <c r="O32" i="4" s="1"/>
  <c r="L32" i="4"/>
  <c r="M32" i="4" s="1"/>
  <c r="S40" i="4"/>
  <c r="T40" i="4" s="1"/>
  <c r="N40" i="4"/>
  <c r="O40" i="4" s="1"/>
  <c r="L40" i="4"/>
  <c r="M40" i="4" s="1"/>
  <c r="P40" i="4"/>
  <c r="Q40" i="4" s="1"/>
  <c r="S48" i="4"/>
  <c r="T48" i="4" s="1"/>
  <c r="P48" i="4"/>
  <c r="Q48" i="4" s="1"/>
  <c r="N48" i="4"/>
  <c r="O48" i="4" s="1"/>
  <c r="L48" i="4"/>
  <c r="M48" i="4" s="1"/>
  <c r="S60" i="4"/>
  <c r="T60" i="4" s="1"/>
  <c r="P60" i="4"/>
  <c r="Q60" i="4" s="1"/>
  <c r="N60" i="4"/>
  <c r="O60" i="4" s="1"/>
  <c r="L60" i="4"/>
  <c r="M60" i="4" s="1"/>
  <c r="P70" i="4"/>
  <c r="Q70" i="4" s="1"/>
  <c r="S70" i="4"/>
  <c r="T70" i="4" s="1"/>
  <c r="N70" i="4"/>
  <c r="O70" i="4" s="1"/>
  <c r="L70" i="4"/>
  <c r="M70" i="4" s="1"/>
  <c r="S25" i="4"/>
  <c r="T25" i="4" s="1"/>
  <c r="N25" i="4"/>
  <c r="O25" i="4" s="1"/>
  <c r="P25" i="4"/>
  <c r="Q25" i="4" s="1"/>
  <c r="L25" i="4"/>
  <c r="M25" i="4" s="1"/>
  <c r="S33" i="4"/>
  <c r="T33" i="4" s="1"/>
  <c r="P33" i="4"/>
  <c r="Q33" i="4" s="1"/>
  <c r="N33" i="4"/>
  <c r="O33" i="4" s="1"/>
  <c r="L33" i="4"/>
  <c r="M33" i="4" s="1"/>
  <c r="S41" i="4"/>
  <c r="T41" i="4" s="1"/>
  <c r="P41" i="4"/>
  <c r="Q41" i="4" s="1"/>
  <c r="N41" i="4"/>
  <c r="O41" i="4" s="1"/>
  <c r="L41" i="4"/>
  <c r="M41" i="4" s="1"/>
  <c r="S49" i="4"/>
  <c r="T49" i="4" s="1"/>
  <c r="P49" i="4"/>
  <c r="Q49" i="4" s="1"/>
  <c r="N49" i="4"/>
  <c r="O49" i="4" s="1"/>
  <c r="L49" i="4"/>
  <c r="M49" i="4" s="1"/>
  <c r="S55" i="4"/>
  <c r="T55" i="4" s="1"/>
  <c r="P55" i="4"/>
  <c r="Q55" i="4" s="1"/>
  <c r="N55" i="4"/>
  <c r="O55" i="4" s="1"/>
  <c r="L55" i="4"/>
  <c r="M55" i="4" s="1"/>
  <c r="S26" i="4"/>
  <c r="T26" i="4" s="1"/>
  <c r="P26" i="4"/>
  <c r="Q26" i="4" s="1"/>
  <c r="L26" i="4"/>
  <c r="M26" i="4" s="1"/>
  <c r="N26" i="4"/>
  <c r="O26" i="4" s="1"/>
  <c r="S34" i="4"/>
  <c r="T34" i="4" s="1"/>
  <c r="P34" i="4"/>
  <c r="Q34" i="4" s="1"/>
  <c r="N34" i="4"/>
  <c r="O34" i="4" s="1"/>
  <c r="S42" i="4"/>
  <c r="T42" i="4" s="1"/>
  <c r="P42" i="4"/>
  <c r="Q42" i="4" s="1"/>
  <c r="L42" i="4"/>
  <c r="M42" i="4" s="1"/>
  <c r="S50" i="4"/>
  <c r="T50" i="4" s="1"/>
  <c r="P50" i="4"/>
  <c r="Q50" i="4" s="1"/>
  <c r="S54" i="4"/>
  <c r="T54" i="4" s="1"/>
  <c r="P54" i="4"/>
  <c r="Q54" i="4" s="1"/>
  <c r="L54" i="4"/>
  <c r="M54" i="4" s="1"/>
  <c r="S56" i="4"/>
  <c r="T56" i="4" s="1"/>
  <c r="P56" i="4"/>
  <c r="Q56" i="4" s="1"/>
  <c r="N56" i="4"/>
  <c r="O56" i="4" s="1"/>
  <c r="S61" i="4"/>
  <c r="T61" i="4" s="1"/>
  <c r="P61" i="4"/>
  <c r="Q61" i="4" s="1"/>
  <c r="L61" i="4"/>
  <c r="M61" i="4" s="1"/>
  <c r="I52" i="13" l="1"/>
  <c r="G156" i="12"/>
  <c r="H157" i="12"/>
  <c r="H156" i="12" s="1"/>
  <c r="I156" i="12" s="1"/>
  <c r="H88" i="12"/>
  <c r="H87" i="12" s="1"/>
  <c r="I87" i="12" s="1"/>
  <c r="G87" i="12"/>
  <c r="H67" i="12"/>
  <c r="H66" i="12" s="1"/>
  <c r="G66" i="12"/>
  <c r="H18" i="12"/>
  <c r="H17" i="12" s="1"/>
  <c r="G17" i="12"/>
  <c r="H66" i="11"/>
  <c r="G66" i="11"/>
  <c r="H87" i="11"/>
  <c r="G87" i="11"/>
  <c r="H156" i="11"/>
  <c r="G156" i="11"/>
  <c r="G17" i="11"/>
  <c r="I101" i="13" l="1"/>
  <c r="I66" i="12"/>
  <c r="I17" i="12"/>
  <c r="H225" i="12"/>
  <c r="H225" i="11"/>
  <c r="H17" i="11"/>
  <c r="I18" i="11"/>
  <c r="H16" i="12" l="1"/>
  <c r="H5" i="12" s="1"/>
  <c r="I225" i="12"/>
  <c r="G225" i="12"/>
  <c r="G16" i="12" s="1"/>
  <c r="G5" i="12" s="1"/>
  <c r="G6" i="12" s="1"/>
  <c r="I225" i="11"/>
  <c r="G225" i="11"/>
  <c r="G16" i="11" s="1"/>
  <c r="H16" i="11"/>
  <c r="H6" i="12" l="1"/>
  <c r="V3" i="13"/>
  <c r="V2" i="13" s="1"/>
  <c r="I37" i="13"/>
  <c r="R25" i="15" l="1"/>
  <c r="R60" i="15"/>
  <c r="R72" i="15"/>
  <c r="R16" i="15"/>
  <c r="R70" i="15"/>
  <c r="R26" i="15"/>
  <c r="R68" i="15"/>
  <c r="R27" i="15"/>
  <c r="R40" i="15"/>
  <c r="R17" i="15"/>
  <c r="R67" i="15"/>
  <c r="R69" i="15"/>
  <c r="R54" i="15" l="1"/>
  <c r="R42" i="15"/>
  <c r="R39" i="15"/>
  <c r="R37" i="15"/>
  <c r="R36" i="15"/>
  <c r="R35" i="15"/>
  <c r="R34" i="15"/>
  <c r="R23" i="15"/>
  <c r="R22" i="15"/>
  <c r="R21" i="15"/>
  <c r="R20" i="15"/>
  <c r="R19" i="15"/>
  <c r="R18" i="15"/>
  <c r="R15" i="15"/>
  <c r="R14" i="15"/>
  <c r="R13" i="15"/>
  <c r="R12" i="15"/>
  <c r="R11" i="15"/>
  <c r="R10" i="15"/>
  <c r="R9" i="15"/>
  <c r="R7" i="15"/>
  <c r="R6" i="15"/>
  <c r="R5" i="15"/>
  <c r="R55" i="15" l="1"/>
  <c r="R64" i="15"/>
  <c r="R65" i="15"/>
  <c r="R71" i="15"/>
  <c r="R52" i="15"/>
  <c r="R51" i="15"/>
  <c r="R47" i="15"/>
  <c r="R46" i="15"/>
  <c r="R66" i="15" l="1"/>
  <c r="R43" i="15"/>
  <c r="R41" i="15"/>
  <c r="R29" i="15"/>
  <c r="R32" i="15"/>
  <c r="R30" i="15"/>
  <c r="R24" i="15"/>
  <c r="R53" i="15"/>
  <c r="R49" i="15"/>
  <c r="R31" i="15"/>
  <c r="R38" i="15"/>
  <c r="R33" i="15"/>
  <c r="R28" i="15"/>
  <c r="R63" i="15"/>
  <c r="R59" i="15"/>
  <c r="R48" i="15"/>
  <c r="R44" i="15"/>
  <c r="R8" i="15"/>
  <c r="R58" i="15"/>
  <c r="R45" i="15"/>
  <c r="R62" i="15"/>
  <c r="R57" i="15"/>
  <c r="R50" i="15"/>
  <c r="R61" i="15"/>
  <c r="R56" i="15"/>
  <c r="R3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Escaleira, Diogo Alexandre</author>
  </authors>
  <commentList>
    <comment ref="AC7" authorId="0" shapeId="0" xr:uid="{A3F64120-38E5-4EDD-B5B3-94415D8EF712}">
      <text>
        <r>
          <rPr>
            <b/>
            <sz val="9"/>
            <color indexed="81"/>
            <rFont val="Tahoma"/>
            <family val="2"/>
          </rPr>
          <t>Escaleira, Diogo Alexandre:</t>
        </r>
        <r>
          <rPr>
            <sz val="9"/>
            <color indexed="81"/>
            <rFont val="Tahoma"/>
            <family val="2"/>
          </rPr>
          <t xml:space="preserve">
desagregação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092DD9-FD85-4AA8-808E-348BA1EB94F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46C5A70-72B2-45A2-86BE-84C7045F11D9}" name="WorksheetConnection_LISTA - Setembro2024!$A$3:$Z$539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LISTASetembro2024A3Z5391"/>
        </x15:connection>
      </ext>
    </extLst>
  </connection>
</connections>
</file>

<file path=xl/sharedStrings.xml><?xml version="1.0" encoding="utf-8"?>
<sst xmlns="http://schemas.openxmlformats.org/spreadsheetml/2006/main" count="12146" uniqueCount="1721">
  <si>
    <t>ID Data field / Field order</t>
  </si>
  <si>
    <t>Table</t>
  </si>
  <si>
    <t>Data field</t>
  </si>
  <si>
    <t>Field name</t>
  </si>
  <si>
    <t>Structural 
ECB Loan Tape</t>
  </si>
  <si>
    <t>Green 
Dashboard</t>
  </si>
  <si>
    <t>Pillar III ESG</t>
  </si>
  <si>
    <t>ESG Risks</t>
  </si>
  <si>
    <t>SCIB GLOBAL FIELD</t>
  </si>
  <si>
    <t>EN.001</t>
  </si>
  <si>
    <t>ENTITY</t>
  </si>
  <si>
    <t>N</t>
  </si>
  <si>
    <t>COD_SOC</t>
  </si>
  <si>
    <t>Y</t>
  </si>
  <si>
    <t>Entity code of the informing society.</t>
  </si>
  <si>
    <t>-</t>
  </si>
  <si>
    <t>EN.002</t>
  </si>
  <si>
    <t>CNTRY</t>
  </si>
  <si>
    <t>Country of counterparty residence</t>
  </si>
  <si>
    <t>EN.003</t>
  </si>
  <si>
    <t>DT_BRTH</t>
  </si>
  <si>
    <t>Birth date counterparty</t>
  </si>
  <si>
    <t>EN.004</t>
  </si>
  <si>
    <t>DT_DFLT_STTS</t>
  </si>
  <si>
    <t>Date of default status</t>
  </si>
  <si>
    <t>EN.005</t>
  </si>
  <si>
    <t>DT_FNNCL_STTMTS</t>
  </si>
  <si>
    <t>Date of financial statements</t>
  </si>
  <si>
    <t>EN.006</t>
  </si>
  <si>
    <t>DT_FNNCL_STTMTS_PRVS</t>
  </si>
  <si>
    <t>Date of previous fiscal year financial statements</t>
  </si>
  <si>
    <t>EN.007</t>
  </si>
  <si>
    <t>DT_INTTN_LGL_PRCDNGS_LE</t>
  </si>
  <si>
    <t>Date of initiation of legal proceedings counterparty (LE)</t>
  </si>
  <si>
    <t>EN.008</t>
  </si>
  <si>
    <t>DT_PRFRMNG_STTS_LE</t>
  </si>
  <si>
    <t>Date of performing status</t>
  </si>
  <si>
    <t>EN.009</t>
  </si>
  <si>
    <t>DT_RFRNC</t>
  </si>
  <si>
    <t>Reference date.</t>
  </si>
  <si>
    <t>EN.010</t>
  </si>
  <si>
    <t>ENTTY_ID</t>
  </si>
  <si>
    <t>Entity ID</t>
  </si>
  <si>
    <t>EN.011</t>
  </si>
  <si>
    <t>GCC_PRNT_ID</t>
  </si>
  <si>
    <t>Identifier for the parent entity of a group of connected clients</t>
  </si>
  <si>
    <t>EN.012</t>
  </si>
  <si>
    <t>GCC_PRNT_NM</t>
  </si>
  <si>
    <t>Name of the parent entity of a group of connected clients</t>
  </si>
  <si>
    <t>EN.013</t>
  </si>
  <si>
    <t>INTRNL_SGMNT</t>
  </si>
  <si>
    <t>Internal code for segment/portfolio</t>
  </si>
  <si>
    <t>EN.014</t>
  </si>
  <si>
    <t>INTRNL_UNT</t>
  </si>
  <si>
    <t>Internal code for business line/unit</t>
  </si>
  <si>
    <t>EN.015</t>
  </si>
  <si>
    <t>LEI</t>
  </si>
  <si>
    <t>Legal entity identifier Counterparty</t>
  </si>
  <si>
    <t>EN.016</t>
  </si>
  <si>
    <t>ENTTY_NM</t>
  </si>
  <si>
    <t>Name Counterparty</t>
  </si>
  <si>
    <t>EN.017</t>
  </si>
  <si>
    <t>EXTRNL_RTNG_NM</t>
  </si>
  <si>
    <t>Name of external rating agency</t>
  </si>
  <si>
    <t>EN.018</t>
  </si>
  <si>
    <t>ACCNTNG_FRMWRK_SL</t>
  </si>
  <si>
    <t>Accounting standard counterparty</t>
  </si>
  <si>
    <t>EN.019</t>
  </si>
  <si>
    <t>CR_FLG</t>
  </si>
  <si>
    <t>Cure flag for entity which was classified as non-performing in the last 1.5 years and is classified as performing at the reference date</t>
  </si>
  <si>
    <t>EN.020</t>
  </si>
  <si>
    <t>DCSD</t>
  </si>
  <si>
    <t>Entity deceased</t>
  </si>
  <si>
    <t>EN.021</t>
  </si>
  <si>
    <t>DFLT_STTS</t>
  </si>
  <si>
    <t>Default status of the entity</t>
  </si>
  <si>
    <t>EN.022</t>
  </si>
  <si>
    <t>DT_EXTRNL_RTNG</t>
  </si>
  <si>
    <t>Date of external rating</t>
  </si>
  <si>
    <t>EN.023</t>
  </si>
  <si>
    <t>DT_INTRNL_RTNG</t>
  </si>
  <si>
    <t>Date of internal rating</t>
  </si>
  <si>
    <t>EN.024</t>
  </si>
  <si>
    <t>ECNMC_ACTVTY</t>
  </si>
  <si>
    <t>Economic activity counterparty</t>
  </si>
  <si>
    <t>EN.025</t>
  </si>
  <si>
    <t>EMPLYMNT_STTS_INTRNL</t>
  </si>
  <si>
    <t>Employment status according to bank-internal classification</t>
  </si>
  <si>
    <t>EN.026</t>
  </si>
  <si>
    <t>EMPLYMNT_STTS</t>
  </si>
  <si>
    <t>Employment status (Code List)</t>
  </si>
  <si>
    <t>EN.027</t>
  </si>
  <si>
    <t>ENTRPRS_SZ_LE</t>
  </si>
  <si>
    <t>Enterprise size Counterparty (LE)</t>
  </si>
  <si>
    <t>EN.028</t>
  </si>
  <si>
    <t>EXTRNL_RTNG</t>
  </si>
  <si>
    <t>External rating</t>
  </si>
  <si>
    <t>EN.029</t>
  </si>
  <si>
    <t>EXTRNL_RTNG_PRVS</t>
  </si>
  <si>
    <t>External rating T-1</t>
  </si>
  <si>
    <t>EN.030</t>
  </si>
  <si>
    <t>FLG_BNKRPTCY_IN_GRP</t>
  </si>
  <si>
    <t>Any legal entity within the group of connected clients of the debtor (incl. subsidiaries of the debtor) has filed bankruptcy application</t>
  </si>
  <si>
    <t>EN.031</t>
  </si>
  <si>
    <t>FLG_HGH_CDS</t>
  </si>
  <si>
    <t>5Y CDS &gt; 1,000bps over the last 12 months</t>
  </si>
  <si>
    <t>EN.032</t>
  </si>
  <si>
    <t>FLG_ISDA_CRDT_EVNT</t>
  </si>
  <si>
    <t>ISDA credit event declared</t>
  </si>
  <si>
    <t>EN.033</t>
  </si>
  <si>
    <t>FLG_NN_ACCRL</t>
  </si>
  <si>
    <t>Credit obligation on non-accrual status</t>
  </si>
  <si>
    <t>EN.034</t>
  </si>
  <si>
    <t>FLG_RQST_BNKRPTCY</t>
  </si>
  <si>
    <t xml:space="preserve">Request by the institution for the obligor's bankruptcy </t>
  </si>
  <si>
    <t>EN.035</t>
  </si>
  <si>
    <t>FLG_RQST_DSTRSSD_RSTRCTRNG</t>
  </si>
  <si>
    <t xml:space="preserve">Request for current concession of forbearance measures as defined in EBA/ITS/2013/03 resulting in distressed restructuring of the credit obligation </t>
  </si>
  <si>
    <t>EN.036</t>
  </si>
  <si>
    <t>FLG_RQST_EMRGNCY_FNDNG</t>
  </si>
  <si>
    <t>Request by the debtor for emergency funding from the bank</t>
  </si>
  <si>
    <t>EN.037</t>
  </si>
  <si>
    <t>FLG_SLL_WTH_LSS</t>
  </si>
  <si>
    <t>Sell of a credit obligation with material credit related economic loss (&gt;= 5%)</t>
  </si>
  <si>
    <t>EN.038</t>
  </si>
  <si>
    <t>INCM_SC</t>
  </si>
  <si>
    <t>Income self-certified</t>
  </si>
  <si>
    <t>EN.039</t>
  </si>
  <si>
    <t>INTRNL_RTNG</t>
  </si>
  <si>
    <t>Internal rating at reference date</t>
  </si>
  <si>
    <t>EN.040</t>
  </si>
  <si>
    <t>INTRNL_RTNG_PRVS</t>
  </si>
  <si>
    <t>Previous internal rating</t>
  </si>
  <si>
    <t>EN.041</t>
  </si>
  <si>
    <t>LGL_PRCDNG_STTS_LE</t>
  </si>
  <si>
    <t>Legal proceedings status Counterparty (LE)</t>
  </si>
  <si>
    <t>EN.042</t>
  </si>
  <si>
    <t>OWND_BY_SPNSR</t>
  </si>
  <si>
    <t>&gt;50% owned by a sponsor as per ECB Guidance on leveraged transactions</t>
  </si>
  <si>
    <t>EN.043</t>
  </si>
  <si>
    <t>PRFRMNG_STTS_LE</t>
  </si>
  <si>
    <t>Performing status</t>
  </si>
  <si>
    <t>EN.044</t>
  </si>
  <si>
    <t>RTNG_MTHD</t>
  </si>
  <si>
    <t>Rating method</t>
  </si>
  <si>
    <t>EN.045</t>
  </si>
  <si>
    <t>RTNG_SCL</t>
  </si>
  <si>
    <t>Rating scale</t>
  </si>
  <si>
    <t>EN.046</t>
  </si>
  <si>
    <t>WTCH_LST</t>
  </si>
  <si>
    <t>Debtor on watch-list (Y/N)</t>
  </si>
  <si>
    <t>EN.047</t>
  </si>
  <si>
    <t>SNGL_PRPS_VHCL</t>
  </si>
  <si>
    <t>Type of SPV debtor</t>
  </si>
  <si>
    <t>EN.048</t>
  </si>
  <si>
    <t>GRP_EBITDA</t>
  </si>
  <si>
    <t>Group's EBITDA at most recent reported figures</t>
  </si>
  <si>
    <t>EN.049</t>
  </si>
  <si>
    <t>GRP_EQTY</t>
  </si>
  <si>
    <t>Group's equity at most recent reported figures</t>
  </si>
  <si>
    <t>EN.050</t>
  </si>
  <si>
    <t>GRP_NT_DBT</t>
  </si>
  <si>
    <t>Total net debt at most recent reported figures</t>
  </si>
  <si>
    <t>EN.051</t>
  </si>
  <si>
    <t>ANNL_TRNVR_LE</t>
  </si>
  <si>
    <t>Annual turnover counterparty (LE)</t>
  </si>
  <si>
    <t>EN.052</t>
  </si>
  <si>
    <t>ANNL_TRNVR_PRVS</t>
  </si>
  <si>
    <t>Annual turnover counterparty (LE) at previous reporting</t>
  </si>
  <si>
    <t>EN.053</t>
  </si>
  <si>
    <t>CAPEX</t>
  </si>
  <si>
    <t>Capital expenditures at most recent reported figures</t>
  </si>
  <si>
    <t>EN.054</t>
  </si>
  <si>
    <t>CAPEX_PRVS</t>
  </si>
  <si>
    <t>Capital expenditures at previous reported figures</t>
  </si>
  <si>
    <t>EN.055</t>
  </si>
  <si>
    <t>CLLCTN_MD</t>
  </si>
  <si>
    <t>Collection mode</t>
  </si>
  <si>
    <t>EN.056</t>
  </si>
  <si>
    <t>CSH</t>
  </si>
  <si>
    <t>Cash and cash equivalents at most recent reported figures</t>
  </si>
  <si>
    <t>EN.057</t>
  </si>
  <si>
    <t>CSH_PRVS</t>
  </si>
  <si>
    <t>Cash and cash equivalents at previous reported figures</t>
  </si>
  <si>
    <t>EN.058</t>
  </si>
  <si>
    <t>EBITDA</t>
  </si>
  <si>
    <t>EBITDA at latest reported figures</t>
  </si>
  <si>
    <t>EN.059</t>
  </si>
  <si>
    <t>EBITDA_PRVS</t>
  </si>
  <si>
    <t>EBITDA at previous reported figures</t>
  </si>
  <si>
    <t>EN.060</t>
  </si>
  <si>
    <t>EQTY</t>
  </si>
  <si>
    <t>Equity at most recent reported figures</t>
  </si>
  <si>
    <t>EN.061</t>
  </si>
  <si>
    <t>EQTY_PRVS</t>
  </si>
  <si>
    <t>Equity at previous reported figures</t>
  </si>
  <si>
    <t>EN.062</t>
  </si>
  <si>
    <t>GRP_TTL_DBT</t>
  </si>
  <si>
    <t>Group's total debt at most recent reported figures</t>
  </si>
  <si>
    <t>EN.063</t>
  </si>
  <si>
    <t>GDWILL</t>
  </si>
  <si>
    <t>Goodwill at most recent reported figures</t>
  </si>
  <si>
    <t>EN.064</t>
  </si>
  <si>
    <t>GDWILL_PRVS</t>
  </si>
  <si>
    <t>Goodwill at previous reported figures</t>
  </si>
  <si>
    <t>EN.065</t>
  </si>
  <si>
    <t>LTI</t>
  </si>
  <si>
    <t>Loan to income (LTI)</t>
  </si>
  <si>
    <t>EN.066</t>
  </si>
  <si>
    <t>LVRG</t>
  </si>
  <si>
    <t>Leverage (net debt / EBITDA) at most recent reported figures</t>
  </si>
  <si>
    <t>EN.067</t>
  </si>
  <si>
    <t>LVRG_PRVS</t>
  </si>
  <si>
    <t>Leverage (net debt / EBITDA) at previous reported figures</t>
  </si>
  <si>
    <t>EN.068</t>
  </si>
  <si>
    <t>MNTHL_INCM</t>
  </si>
  <si>
    <t>Monthly income - other</t>
  </si>
  <si>
    <t>EN.069</t>
  </si>
  <si>
    <t>MNTHL_INCM_SLR</t>
  </si>
  <si>
    <t>Monthly income - salary</t>
  </si>
  <si>
    <t>EN.070</t>
  </si>
  <si>
    <t>MNTHL_TRNVR</t>
  </si>
  <si>
    <t>Average monthly turnover to bank account(s)</t>
  </si>
  <si>
    <t>EN.071</t>
  </si>
  <si>
    <t>NT_INCM</t>
  </si>
  <si>
    <t>Net income at most recent reported figures</t>
  </si>
  <si>
    <t>EN.072</t>
  </si>
  <si>
    <t>NT_INCM_PRVS</t>
  </si>
  <si>
    <t>Net income at previous reported figures</t>
  </si>
  <si>
    <t>EN.073</t>
  </si>
  <si>
    <t>TTL_DBT</t>
  </si>
  <si>
    <t>Total debt at latest most recent reported figures</t>
  </si>
  <si>
    <t>EN.074</t>
  </si>
  <si>
    <t>TTL_DBT_PRVS</t>
  </si>
  <si>
    <t>Total debt at previous reported figures</t>
  </si>
  <si>
    <t>EN.075</t>
  </si>
  <si>
    <t>TTL_INTRST_PD</t>
  </si>
  <si>
    <t>Debtor's total interest paid  (over period for one year)</t>
  </si>
  <si>
    <t>EN.076</t>
  </si>
  <si>
    <t>TTL_LVRG_RT</t>
  </si>
  <si>
    <t>Leverage ratio as per ECB Guidance on leveraged transactions; total debt vs EBITDA</t>
  </si>
  <si>
    <t>EN.077</t>
  </si>
  <si>
    <t>TTL_LVRG_RT_PRVS</t>
  </si>
  <si>
    <t>Leverage ratio  at previous reported figures as per ECB Guidance on leveraged transactions; total debt vs EBITDA</t>
  </si>
  <si>
    <t>EN.078</t>
  </si>
  <si>
    <t>DBT_RPYMNT_CPCTY_SNR_DBT</t>
  </si>
  <si>
    <t>Debt repayment capacity of senior secured debt as per ECB Guidance on leveraged transactions</t>
  </si>
  <si>
    <t>EN.079</t>
  </si>
  <si>
    <t>DBT_RPYMNT_CPCTY_TTL</t>
  </si>
  <si>
    <t>Debt repayment capacity of the total debt as per ECB Guidance on leveraged transactions</t>
  </si>
  <si>
    <t>EN.080</t>
  </si>
  <si>
    <t>DBT_SRVC_RT</t>
  </si>
  <si>
    <t>Debt service coverage ratio</t>
  </si>
  <si>
    <t>EN.081</t>
  </si>
  <si>
    <t>DBT_SRVC_RT_12M</t>
  </si>
  <si>
    <t>Debt service coverage ratio at the most recent reported figures prior to the reference date</t>
  </si>
  <si>
    <t>EN.082</t>
  </si>
  <si>
    <t>PD_CRR_RD</t>
  </si>
  <si>
    <t>Probability of default according to CRR at reference date</t>
  </si>
  <si>
    <t>EN.083</t>
  </si>
  <si>
    <t>PD_IFRS9_12M_RD</t>
  </si>
  <si>
    <t>12-month PD at reporting date according to IFRS 9</t>
  </si>
  <si>
    <t>EN.084</t>
  </si>
  <si>
    <t>PD_IFRS9_12M_RD_T1</t>
  </si>
  <si>
    <t>12-month PD one year prior to the reporting date according to IFRS 9</t>
  </si>
  <si>
    <t>EN.085</t>
  </si>
  <si>
    <t>TAX_ID</t>
  </si>
  <si>
    <t>Fiscal ID</t>
  </si>
  <si>
    <t>EN.086</t>
  </si>
  <si>
    <t>ANNL_TRNVR_LE_BDR</t>
  </si>
  <si>
    <t>BDR Annual turnover counterparty (LE)</t>
  </si>
  <si>
    <t>EN.087</t>
  </si>
  <si>
    <t>ANNL_TRNVR_PRVS_BDR</t>
  </si>
  <si>
    <t>BDR Annual turnover counterparty (LE) at previous reporting</t>
  </si>
  <si>
    <t>EN.088</t>
  </si>
  <si>
    <t>OSI_ID</t>
  </si>
  <si>
    <t>On-site inspection identifier</t>
  </si>
  <si>
    <t>EN.089</t>
  </si>
  <si>
    <t>PD_CRR_RD_T1</t>
  </si>
  <si>
    <t>Probability of default according to CRR one year prior to the reference date</t>
  </si>
  <si>
    <t>EN.090</t>
  </si>
  <si>
    <t>EC_GRP_ID</t>
  </si>
  <si>
    <t>Economic (financial) Group ID</t>
  </si>
  <si>
    <t>EN.091</t>
  </si>
  <si>
    <t>EC_GRP_NM</t>
  </si>
  <si>
    <t>Economic (Financial) Group Name</t>
  </si>
  <si>
    <t>EN.092</t>
  </si>
  <si>
    <t>PST_CD</t>
  </si>
  <si>
    <t>Post code / ZIP</t>
  </si>
  <si>
    <t>EN.093</t>
  </si>
  <si>
    <t>ESG_SBSCTR</t>
  </si>
  <si>
    <t>ESG Subsector</t>
  </si>
  <si>
    <t>EN.094</t>
  </si>
  <si>
    <t>NACE_ESG</t>
  </si>
  <si>
    <t>Economic activity counterparty ESG</t>
  </si>
  <si>
    <t>EN.095</t>
  </si>
  <si>
    <t>TTL_LBLTY</t>
  </si>
  <si>
    <t>Total Liabilities at latest most recent reported figures</t>
  </si>
  <si>
    <t>EN.096</t>
  </si>
  <si>
    <t>TXNMY_ELGBL_CAPEX_CCM</t>
  </si>
  <si>
    <t>Taxonomy-eligible CAPEX (CCM) Ratio</t>
  </si>
  <si>
    <t>EN.097</t>
  </si>
  <si>
    <t>TXNMY_ELGBL_TRNVR_CCM</t>
  </si>
  <si>
    <t>Taxonomy-eligible Turnover (CCM) Ratio</t>
  </si>
  <si>
    <t>EN.098</t>
  </si>
  <si>
    <t>TXNMY_ELGBL_CAPEX_CCA</t>
  </si>
  <si>
    <t>Taxonomy-eligible CAPEX (CCA) Ratio</t>
  </si>
  <si>
    <t>EN.099</t>
  </si>
  <si>
    <t>TXNMY_ELGBL_TRNVR_CCA</t>
  </si>
  <si>
    <t>Taxonomy-eligible Turnover (CCA) Ratio</t>
  </si>
  <si>
    <t>EN.100</t>
  </si>
  <si>
    <t>ENBLNG_CAPEX_CCM</t>
  </si>
  <si>
    <t>Taxonomy-aligned CAPEX (CCM) - Enabling Ratio</t>
  </si>
  <si>
    <t>EN.101</t>
  </si>
  <si>
    <t>ENBLNG_CAPEX_CCA</t>
  </si>
  <si>
    <t>Taxonomy-aligned CAPEX (CCA) - Enabling Ratio</t>
  </si>
  <si>
    <t>EN.102</t>
  </si>
  <si>
    <t>TRNSTNL_CAPEX</t>
  </si>
  <si>
    <t>Taxonomy-aligned CAPEX (CCM) - Transitional Ratio</t>
  </si>
  <si>
    <t>EN.103</t>
  </si>
  <si>
    <t>PURE_CAPEX_CCM</t>
  </si>
  <si>
    <t>Taxonomy-aligned CAPEX (CCM) - Pure Ratio</t>
  </si>
  <si>
    <t>EN.104</t>
  </si>
  <si>
    <t>PURE_CAPEX_CCA</t>
  </si>
  <si>
    <t>Taxonomy-aligned CAPEX (CCA) - Pure Ratio</t>
  </si>
  <si>
    <t>EN.105</t>
  </si>
  <si>
    <t>ENBLNG_TRNVR_CCM</t>
  </si>
  <si>
    <t>Taxonomy-aligned Turnover (CCM) - Enabling Ratio</t>
  </si>
  <si>
    <t>EN.106</t>
  </si>
  <si>
    <t>ENBLNG_TRNVR_CCA</t>
  </si>
  <si>
    <t>Taxonomy-aligned Turnover (CCA) - Enabling Ratio</t>
  </si>
  <si>
    <t>EN.107</t>
  </si>
  <si>
    <t>TRNSTNL_TRNVR</t>
  </si>
  <si>
    <t>Taxonomy-aligned Turnover (CCM) - Transitional Ratio</t>
  </si>
  <si>
    <t>EN.108</t>
  </si>
  <si>
    <t>PURE_TRNVR_CCM</t>
  </si>
  <si>
    <t>Taxonomy-aligned turnover (CCM) - Pure Ratio</t>
  </si>
  <si>
    <t>EN.109</t>
  </si>
  <si>
    <t>PURE_TRNVR_CCA</t>
  </si>
  <si>
    <t>Taxonomy-aligned turnover (CCA) - Pure Ratio</t>
  </si>
  <si>
    <t>EN.110</t>
  </si>
  <si>
    <t>FLG_NFRD_APPLCBLTY</t>
  </si>
  <si>
    <t>Flag of NFRD applicability at counterparty level</t>
  </si>
  <si>
    <t>EN.111</t>
  </si>
  <si>
    <t>FLG_GRP_NFRD_APPLCBLTY</t>
  </si>
  <si>
    <t>Flag of NFRD applicability at Group Level</t>
  </si>
  <si>
    <t>EN.112</t>
  </si>
  <si>
    <t>ISIN</t>
  </si>
  <si>
    <t>EN.113</t>
  </si>
  <si>
    <t>GRP_ANNL_TRNVR_LE</t>
  </si>
  <si>
    <t>Group's annual turnover (LE)</t>
  </si>
  <si>
    <t>EN.114</t>
  </si>
  <si>
    <t>GRP_TTL_LBLTY</t>
  </si>
  <si>
    <t>Group's total liability at most recent reported figures</t>
  </si>
  <si>
    <t>EN.115</t>
  </si>
  <si>
    <t>CNTRPRTY_EMSSNS_SCP1</t>
  </si>
  <si>
    <t>Counterparty's emissions scope 1</t>
  </si>
  <si>
    <t>EN.116</t>
  </si>
  <si>
    <t>CNTRPRTY_EMSSNS_SCP2</t>
  </si>
  <si>
    <t>Counterparty's emissions scope 2</t>
  </si>
  <si>
    <t>EN.117</t>
  </si>
  <si>
    <t>CNTRPRTY_EMSSNS_SCP3</t>
  </si>
  <si>
    <t>Counterparty's emissions scope 3</t>
  </si>
  <si>
    <t>EN.118</t>
  </si>
  <si>
    <t>FLG_EXCLDD_EU_PRS_ALGND_BNCHMRK</t>
  </si>
  <si>
    <t>Flag Excluded from EU Paris-aligned benchmark </t>
  </si>
  <si>
    <t>EN.119</t>
  </si>
  <si>
    <t>GRP_EMSSNS_SCP1</t>
  </si>
  <si>
    <t>Group's emissions scope 1</t>
  </si>
  <si>
    <t>EN.120</t>
  </si>
  <si>
    <t>GRP_EMSSNS_SCP2</t>
  </si>
  <si>
    <t>Group's emissions scope 2</t>
  </si>
  <si>
    <t>EN.121</t>
  </si>
  <si>
    <t>GRP_EMSSNS_SCP3</t>
  </si>
  <si>
    <t>Group's emissions scope 3</t>
  </si>
  <si>
    <t>EN.122</t>
  </si>
  <si>
    <t>FLG_ACT_PHYSCL_RSK</t>
  </si>
  <si>
    <t>Flag Acute Physical Risk at entity level</t>
  </si>
  <si>
    <t>EN.123</t>
  </si>
  <si>
    <t>FLG_CHRNC_PHYSCL_RSK</t>
  </si>
  <si>
    <t>Flag Chronic Physical Risk at entity level</t>
  </si>
  <si>
    <t>EN.124</t>
  </si>
  <si>
    <t>GRP_ECNMC_ACTVTY</t>
  </si>
  <si>
    <t>Group's economic activity</t>
  </si>
  <si>
    <t>EN.125</t>
  </si>
  <si>
    <t>PRSN_TYP</t>
  </si>
  <si>
    <t>Type of person</t>
  </si>
  <si>
    <t>EN.126</t>
  </si>
  <si>
    <t>FR_CSH_FLW</t>
  </si>
  <si>
    <t>Free Cash Flow</t>
  </si>
  <si>
    <t>EN.127</t>
  </si>
  <si>
    <t>FR_CSH_FLW_T1</t>
  </si>
  <si>
    <t>Free Cash Flow T+1</t>
  </si>
  <si>
    <t>EN.128</t>
  </si>
  <si>
    <t>FR_CSH_FLW_T2</t>
  </si>
  <si>
    <t>Free Cash Flow T+2</t>
  </si>
  <si>
    <t>EN.129</t>
  </si>
  <si>
    <t>FR_CSH_FLW_T3</t>
  </si>
  <si>
    <t>Free Cash Flow T+3</t>
  </si>
  <si>
    <t>IE.001</t>
  </si>
  <si>
    <t>INSTR_ENTITY</t>
  </si>
  <si>
    <t>IE.002</t>
  </si>
  <si>
    <t>Reference date</t>
  </si>
  <si>
    <t>IE.003</t>
  </si>
  <si>
    <t>IE.004</t>
  </si>
  <si>
    <t>INSTRMNT_ID</t>
  </si>
  <si>
    <t>Instrument ID</t>
  </si>
  <si>
    <t>IE.005</t>
  </si>
  <si>
    <t>JNT_LBLTY_AMNT</t>
  </si>
  <si>
    <t>Joint-liability amount</t>
  </si>
  <si>
    <t>IE.006</t>
  </si>
  <si>
    <t>MN_ENTTY_ID</t>
  </si>
  <si>
    <t>Main Entity ID</t>
  </si>
  <si>
    <t>IN.001</t>
  </si>
  <si>
    <t>INSTRUMENT</t>
  </si>
  <si>
    <t>IN.002</t>
  </si>
  <si>
    <t>SUBPORTFOLIO_ID</t>
  </si>
  <si>
    <t>Subportfolio ID</t>
  </si>
  <si>
    <t>IN.003</t>
  </si>
  <si>
    <t>CRE_FNRP18</t>
  </si>
  <si>
    <t>Flag of CREs</t>
  </si>
  <si>
    <t>IN.004</t>
  </si>
  <si>
    <t>SME_FNRP18</t>
  </si>
  <si>
    <t>Flag of SMEs</t>
  </si>
  <si>
    <t>IN.005</t>
  </si>
  <si>
    <t>RRE_FNRP18</t>
  </si>
  <si>
    <t>Flag of RREs</t>
  </si>
  <si>
    <t>IN.006</t>
  </si>
  <si>
    <t>CNSMPTN_FNRP18</t>
  </si>
  <si>
    <t>Flag of Credit for consumption</t>
  </si>
  <si>
    <t>IN.007</t>
  </si>
  <si>
    <t>IN.008</t>
  </si>
  <si>
    <t>IN.009</t>
  </si>
  <si>
    <t>CNTRCT_ID</t>
  </si>
  <si>
    <t>Contract ID</t>
  </si>
  <si>
    <t>IN.010</t>
  </si>
  <si>
    <t>CRRNCY_DNMNTN</t>
  </si>
  <si>
    <t>Currency denomination</t>
  </si>
  <si>
    <t>IN.011</t>
  </si>
  <si>
    <t>DT_INCPTN</t>
  </si>
  <si>
    <t>Date of inception</t>
  </si>
  <si>
    <t>IN.012</t>
  </si>
  <si>
    <t>OBSRVD_AGNT_ID</t>
  </si>
  <si>
    <t>Observed agent identifier</t>
  </si>
  <si>
    <t>IN.013</t>
  </si>
  <si>
    <t>OBSRVD_AGNT_NM</t>
  </si>
  <si>
    <t>Observed Agent Name</t>
  </si>
  <si>
    <t>IN.014</t>
  </si>
  <si>
    <t>PRDCT</t>
  </si>
  <si>
    <t>Product type according to bank-internal definition</t>
  </si>
  <si>
    <t>IN.015</t>
  </si>
  <si>
    <t>BRCHD_CVNNTS</t>
  </si>
  <si>
    <t>Breached covenants</t>
  </si>
  <si>
    <t>IN.016</t>
  </si>
  <si>
    <t>CHNNL_ORGNTN</t>
  </si>
  <si>
    <t>Channel of origination</t>
  </si>
  <si>
    <t>IN.017</t>
  </si>
  <si>
    <t>CSH_SWP_TRP</t>
  </si>
  <si>
    <t>Cash sweep or cash trap covenants agreed  (Y/N)</t>
  </si>
  <si>
    <t>IN.018</t>
  </si>
  <si>
    <t>CVNNT_STTS</t>
  </si>
  <si>
    <t>Covenant status</t>
  </si>
  <si>
    <t>IN.019</t>
  </si>
  <si>
    <t>CVNNT_TYP</t>
  </si>
  <si>
    <t>Covenant Type</t>
  </si>
  <si>
    <t>IN.020</t>
  </si>
  <si>
    <t>DFLT_STTS_INSTRMNT</t>
  </si>
  <si>
    <t>Default status of the instrument</t>
  </si>
  <si>
    <t>IN.021</t>
  </si>
  <si>
    <t>DT_DFLT_STTS_INSTRMNT</t>
  </si>
  <si>
    <t>IN.022</t>
  </si>
  <si>
    <t>DT_END_GP_PPAL</t>
  </si>
  <si>
    <t>End date of principal grace period</t>
  </si>
  <si>
    <t>IN.023</t>
  </si>
  <si>
    <t>DT_END_INTRST_ONLY</t>
  </si>
  <si>
    <t>End date of the interest-only period</t>
  </si>
  <si>
    <t>IN.024</t>
  </si>
  <si>
    <t>DT_FRBRNC_STTS</t>
  </si>
  <si>
    <t>Date of forbearance status</t>
  </si>
  <si>
    <t>IN.025</t>
  </si>
  <si>
    <t>DT_FRBRNC_STTS_PRVS</t>
  </si>
  <si>
    <t>Date of previous forbearance status</t>
  </si>
  <si>
    <t>IN.026</t>
  </si>
  <si>
    <t>IN.027</t>
  </si>
  <si>
    <t>DT_PRFRMNG_STTS</t>
  </si>
  <si>
    <t>IN.028</t>
  </si>
  <si>
    <t>DT_PRFRMNG_STTS_PRVS</t>
  </si>
  <si>
    <t>Date of previous performing status</t>
  </si>
  <si>
    <t>IN.029</t>
  </si>
  <si>
    <t>DT_STRT_INTRST_ONLY</t>
  </si>
  <si>
    <t>Start date of the interest-only period</t>
  </si>
  <si>
    <t>IN.030</t>
  </si>
  <si>
    <t>EXPSR_IN_SCP</t>
  </si>
  <si>
    <t>Identification of exposure that is in scope of the on-site inspection</t>
  </si>
  <si>
    <t>IN.031</t>
  </si>
  <si>
    <t>FLD_SYNDCTN</t>
  </si>
  <si>
    <t>Failed syndication (as per definition according to the ECB Guidance on leveraged transactions)</t>
  </si>
  <si>
    <t>IN.032</t>
  </si>
  <si>
    <t>FLG_LBO</t>
  </si>
  <si>
    <t>Flag for leverage buy-out transactions</t>
  </si>
  <si>
    <t>IN.033</t>
  </si>
  <si>
    <t>FRBRNC_STTS_INSTRMNT</t>
  </si>
  <si>
    <t>Forbearance status</t>
  </si>
  <si>
    <t>IN.034</t>
  </si>
  <si>
    <t>IMPRMNT_STTS</t>
  </si>
  <si>
    <t>Impairment status</t>
  </si>
  <si>
    <t>IN.035</t>
  </si>
  <si>
    <t>IMPRMNT_STTS_PRVS</t>
  </si>
  <si>
    <t>Previous impairment status</t>
  </si>
  <si>
    <t>IN.036</t>
  </si>
  <si>
    <t>IN.037</t>
  </si>
  <si>
    <t>INTRNL_RTNG_INCPTN</t>
  </si>
  <si>
    <t>Internal rating at inception</t>
  </si>
  <si>
    <t>IN.038</t>
  </si>
  <si>
    <t>IN.039</t>
  </si>
  <si>
    <t>IN.040</t>
  </si>
  <si>
    <t>LCRE</t>
  </si>
  <si>
    <t>Low credit risk exemption for SICR assessment</t>
  </si>
  <si>
    <t>IN.041</t>
  </si>
  <si>
    <t>LGL_PRCDNG_STTS</t>
  </si>
  <si>
    <t>Status of legal proceedings of the instrument</t>
  </si>
  <si>
    <t>IN.042</t>
  </si>
  <si>
    <t>LND_DRGTN</t>
  </si>
  <si>
    <t>Derogation of lending standards when the instrument was granted  (Y/N)</t>
  </si>
  <si>
    <t>IN.043</t>
  </si>
  <si>
    <t>POCI</t>
  </si>
  <si>
    <t>Purchased credit-impaired financial asset (POCI)</t>
  </si>
  <si>
    <t>IN.044</t>
  </si>
  <si>
    <t>PRFRMNG_STTS</t>
  </si>
  <si>
    <t>IN.045</t>
  </si>
  <si>
    <t>PRFRMNG_STTS_PRVS</t>
  </si>
  <si>
    <t>Previous performing status</t>
  </si>
  <si>
    <t>IN.046</t>
  </si>
  <si>
    <t>PRJCT_FNNC_LN</t>
  </si>
  <si>
    <t>Project finance loan</t>
  </si>
  <si>
    <t>IN.047</t>
  </si>
  <si>
    <t>PRPS</t>
  </si>
  <si>
    <t>Purpose</t>
  </si>
  <si>
    <t>IN.048</t>
  </si>
  <si>
    <t>PYMNT_INTRST_ONLY</t>
  </si>
  <si>
    <t>Interest only repayment</t>
  </si>
  <si>
    <t>IN.049</t>
  </si>
  <si>
    <t>RCRS</t>
  </si>
  <si>
    <t>Recourse</t>
  </si>
  <si>
    <t>IN.050</t>
  </si>
  <si>
    <t>RFNNC_PRPS</t>
  </si>
  <si>
    <t>Refinance purpose (Y/N)</t>
  </si>
  <si>
    <t>IN.051</t>
  </si>
  <si>
    <t>SPCLTV_LNDNG</t>
  </si>
  <si>
    <t>Speculative immovable property financing  (Y/N)</t>
  </si>
  <si>
    <t>IN.052</t>
  </si>
  <si>
    <t>STTS_UNDRWRTTN_TRNSCTN</t>
  </si>
  <si>
    <t>Status for underwritten transaction</t>
  </si>
  <si>
    <t>IN.053</t>
  </si>
  <si>
    <t>TRNCH</t>
  </si>
  <si>
    <t>Tranching / security</t>
  </si>
  <si>
    <t>IN.054</t>
  </si>
  <si>
    <t>TYP_AMRTSTN</t>
  </si>
  <si>
    <t>Type of amortisation</t>
  </si>
  <si>
    <t>IN.055</t>
  </si>
  <si>
    <t>TYP_INSTRMNT</t>
  </si>
  <si>
    <t>Type of instrument</t>
  </si>
  <si>
    <t>IN.056</t>
  </si>
  <si>
    <t>TYP_INTRST_RT</t>
  </si>
  <si>
    <t>Type of interest rate</t>
  </si>
  <si>
    <t>IN.057</t>
  </si>
  <si>
    <t>TYP_MRTGG</t>
  </si>
  <si>
    <t>Type of mortgage</t>
  </si>
  <si>
    <t>IN.058</t>
  </si>
  <si>
    <t>TYP_CRE_OPRTN</t>
  </si>
  <si>
    <t>Type of CRE operation financed</t>
  </si>
  <si>
    <t>IN.059</t>
  </si>
  <si>
    <t>DT_STRT_GP_PPAL</t>
  </si>
  <si>
    <t>Start date of principal grace period</t>
  </si>
  <si>
    <t>IN.060</t>
  </si>
  <si>
    <t>GRSS_CRRYNG_AMNT_INSTRMNT</t>
  </si>
  <si>
    <t>Gross carrying amount</t>
  </si>
  <si>
    <t>IN.061</t>
  </si>
  <si>
    <t>ACCMLTD_CHNGS_FV_CR_INSTRMNT</t>
  </si>
  <si>
    <t>Accumulated changes in fair value due to credit risk</t>
  </si>
  <si>
    <t>IN.062</t>
  </si>
  <si>
    <t>ACCNTNG_CLSSFCTN</t>
  </si>
  <si>
    <t>Accounting portfolio</t>
  </si>
  <si>
    <t>IN.063</t>
  </si>
  <si>
    <t>ACCRD_INTRST_INSTRMNT</t>
  </si>
  <si>
    <t>Accrued interest balance as recognised on the balance sheet</t>
  </si>
  <si>
    <t>IN.064</t>
  </si>
  <si>
    <t>AMNT_D_AT_MTRTY</t>
  </si>
  <si>
    <t>Amount due at the legal final maturity date</t>
  </si>
  <si>
    <t>IN.065</t>
  </si>
  <si>
    <t>CCF</t>
  </si>
  <si>
    <t>Credit conversion factor (CCF) according to CRR</t>
  </si>
  <si>
    <t>IN.066</t>
  </si>
  <si>
    <t>CMMTMNT_INCPTN_INSTRMNT</t>
  </si>
  <si>
    <t>Commitment amount at inception</t>
  </si>
  <si>
    <t>IN.067</t>
  </si>
  <si>
    <t>CMMTMNT_INSTRMNT</t>
  </si>
  <si>
    <t>Commitment amount at reference date</t>
  </si>
  <si>
    <t>IN.068</t>
  </si>
  <si>
    <t>CRRYNG_AMNT_INSTRMNT</t>
  </si>
  <si>
    <t>Carrying amount</t>
  </si>
  <si>
    <t>IN.069</t>
  </si>
  <si>
    <t>DBT_YLD</t>
  </si>
  <si>
    <t>Debt yield</t>
  </si>
  <si>
    <t>IN.070</t>
  </si>
  <si>
    <t>DT_LGL_FNL_MTRTY</t>
  </si>
  <si>
    <t>Legal final maturity date (latest repayment date)</t>
  </si>
  <si>
    <t>IN.071</t>
  </si>
  <si>
    <t>DT_NXT_INTRST_RT_RST</t>
  </si>
  <si>
    <t>Next interest rate reset date</t>
  </si>
  <si>
    <t>IN.072</t>
  </si>
  <si>
    <t>DT_ORGNL_MTRTY</t>
  </si>
  <si>
    <t>Original contractual maturity date (latest repayment date)</t>
  </si>
  <si>
    <t>IN.073</t>
  </si>
  <si>
    <t>IFRS9_BHVRL_MTRTY</t>
  </si>
  <si>
    <t>Behavioural maturity</t>
  </si>
  <si>
    <t>IN.074</t>
  </si>
  <si>
    <t>EAD</t>
  </si>
  <si>
    <t>Regulatory EAD</t>
  </si>
  <si>
    <t>IN.075</t>
  </si>
  <si>
    <t>IFRS9_CCF</t>
  </si>
  <si>
    <t>IFRS 9 accounting CCF</t>
  </si>
  <si>
    <t>IN.076</t>
  </si>
  <si>
    <t>IFRS9_EAD</t>
  </si>
  <si>
    <t>IFRS 9 accounting EAD</t>
  </si>
  <si>
    <t>IN.077</t>
  </si>
  <si>
    <t>INSTLMNT_PAY</t>
  </si>
  <si>
    <t>Instalment payable</t>
  </si>
  <si>
    <t>IN.078</t>
  </si>
  <si>
    <t>OFF_BLNC_SHT_AMNT_INSTRMNT</t>
  </si>
  <si>
    <t>Off-balance sheet amount</t>
  </si>
  <si>
    <t>IN.079</t>
  </si>
  <si>
    <t>OFF_BLNC_SHT_AMNT_INSTRMNT_PRVS</t>
  </si>
  <si>
    <t>Previous off-balance amount</t>
  </si>
  <si>
    <t>IN.080</t>
  </si>
  <si>
    <t>OTSTNDNG_NMNL_AMNT_INSTRMNT</t>
  </si>
  <si>
    <t>Outstanding gross nominal amount</t>
  </si>
  <si>
    <t>IN.081</t>
  </si>
  <si>
    <t>OTSTNDNG_NMNL_AMNT_INSTRMNT_PRVS</t>
  </si>
  <si>
    <t>Previous outstanding gross nominal amount</t>
  </si>
  <si>
    <t>IN.082</t>
  </si>
  <si>
    <t>PRVSNS_OFF_BLNC_SHT</t>
  </si>
  <si>
    <t>Provisions associated with off-balance sheet exposures</t>
  </si>
  <si>
    <t>IN.083</t>
  </si>
  <si>
    <t>PYMNT_FRQNCY</t>
  </si>
  <si>
    <t>Payment frequency</t>
  </si>
  <si>
    <t>IN.084</t>
  </si>
  <si>
    <t>RTNTN_SHR</t>
  </si>
  <si>
    <t>Retention share</t>
  </si>
  <si>
    <t>IN.085</t>
  </si>
  <si>
    <t>RWA</t>
  </si>
  <si>
    <t>IN.086</t>
  </si>
  <si>
    <t>RWA_MTHD</t>
  </si>
  <si>
    <t>RWA calculation method</t>
  </si>
  <si>
    <t>IN.087</t>
  </si>
  <si>
    <t>SPNSR_NM</t>
  </si>
  <si>
    <t>Name of the sponsor of the transaction as per definition according to the ECB Guidance on leveraged transactions</t>
  </si>
  <si>
    <t>IN.088</t>
  </si>
  <si>
    <t>ACCMLTD_IMPRMNT_INSTRMNT</t>
  </si>
  <si>
    <t>Sum of LLPs and other allowances</t>
  </si>
  <si>
    <t>IN.089</t>
  </si>
  <si>
    <t>ACCMLTD_IMPRMNT_INSTRMNT_PRVS</t>
  </si>
  <si>
    <t>Previous sum of LLPs and other allowances</t>
  </si>
  <si>
    <t>IN.090</t>
  </si>
  <si>
    <t>ACCMLTD_WRTFFS_INSTRMNT</t>
  </si>
  <si>
    <t>Accumulated write-offs</t>
  </si>
  <si>
    <t>IN.091</t>
  </si>
  <si>
    <t>ARRRS_INSTRMNT</t>
  </si>
  <si>
    <t>Total exposure in arrears</t>
  </si>
  <si>
    <t>IN.092</t>
  </si>
  <si>
    <t>ARRRS_INSTRMNT_12M</t>
  </si>
  <si>
    <t>Highest total exposure in arrears in the last 12 months before the reference date</t>
  </si>
  <si>
    <t>IN.093</t>
  </si>
  <si>
    <t>CMLTV_RCVRS_SNC_DFLT_INSTRMNT</t>
  </si>
  <si>
    <t>Cumulative recoveries since default</t>
  </si>
  <si>
    <t>IN.094</t>
  </si>
  <si>
    <t>DPD</t>
  </si>
  <si>
    <t>Days past due at reference date</t>
  </si>
  <si>
    <t>IN.095</t>
  </si>
  <si>
    <t>DPD_12M</t>
  </si>
  <si>
    <t>Highest number of days past due in the last 12 months</t>
  </si>
  <si>
    <t>IN.096</t>
  </si>
  <si>
    <t>DPD_12M_FRBRNC_STTS</t>
  </si>
  <si>
    <t>Highest number of days past due in the 12 months prior to the most recent change of the forbearance status</t>
  </si>
  <si>
    <t>IN.097</t>
  </si>
  <si>
    <t>DPD_12M_PRFRMNG_STTS</t>
  </si>
  <si>
    <t>Highest number of days past due in the 12 months prior to the most recent change of performing status</t>
  </si>
  <si>
    <t>IN.098</t>
  </si>
  <si>
    <t>DPD_24M_FRBRNC_STTS</t>
  </si>
  <si>
    <t>Highest number of days past due in the 24 months prior to the most recent change of the forbearance status</t>
  </si>
  <si>
    <t>IN.099</t>
  </si>
  <si>
    <t>DPD_24M_PRFRMNG_STTS</t>
  </si>
  <si>
    <t>Highest number of days past due in the 24 months before most recent change of performing status</t>
  </si>
  <si>
    <t>IN.100</t>
  </si>
  <si>
    <t>DPD_FRBRNC_STTS</t>
  </si>
  <si>
    <t>Days past due at the date of the most recent change of the forbearance status</t>
  </si>
  <si>
    <t>IN.101</t>
  </si>
  <si>
    <t>DPD_PRFRMNG_STTS</t>
  </si>
  <si>
    <t>Days past due at the time of the most recent change of the performing status</t>
  </si>
  <si>
    <t>IN.102</t>
  </si>
  <si>
    <t>DT_IMPRMNT_STTS</t>
  </si>
  <si>
    <t>Date of impairment status</t>
  </si>
  <si>
    <t>IN.103</t>
  </si>
  <si>
    <t>DT_IMPRMNT_STTS_PRVS</t>
  </si>
  <si>
    <t>Date of previous impairment status</t>
  </si>
  <si>
    <t>IN.104</t>
  </si>
  <si>
    <t>DT_PST_D</t>
  </si>
  <si>
    <t>Date past due</t>
  </si>
  <si>
    <t>IN.105</t>
  </si>
  <si>
    <t>IMPRMNT_ASSSSMNT_MTHD</t>
  </si>
  <si>
    <t>Impairment assessment method</t>
  </si>
  <si>
    <t>IN.106</t>
  </si>
  <si>
    <t>IMPRMNT_CLCLTN_MTHD</t>
  </si>
  <si>
    <t>Impairment calculation method</t>
  </si>
  <si>
    <t>IN.107</t>
  </si>
  <si>
    <t>NMBR_FRBRNC_MSRS</t>
  </si>
  <si>
    <t>Number of historical forbearance</t>
  </si>
  <si>
    <t>IN.108</t>
  </si>
  <si>
    <t>IFRS9_LGD</t>
  </si>
  <si>
    <t>IFRS 9 accounting LGD</t>
  </si>
  <si>
    <t>IN.109</t>
  </si>
  <si>
    <t>LGD</t>
  </si>
  <si>
    <t>Regulatory LGD</t>
  </si>
  <si>
    <t>IN.110</t>
  </si>
  <si>
    <t>LTV</t>
  </si>
  <si>
    <t>Loan to value (LTV) at reference date</t>
  </si>
  <si>
    <t>IN.111</t>
  </si>
  <si>
    <t>LTV_INCPTN</t>
  </si>
  <si>
    <t>Loan to value (LTV) at inception</t>
  </si>
  <si>
    <t>IN.112</t>
  </si>
  <si>
    <t>LTV_NPE</t>
  </si>
  <si>
    <t>Loan to value (LTV) at the date when the instrument was classified as non performing</t>
  </si>
  <si>
    <t>IN.113</t>
  </si>
  <si>
    <t>PD_CRR_INCPTN</t>
  </si>
  <si>
    <t>Probability of default according to CRR at inception date</t>
  </si>
  <si>
    <t>IN.114</t>
  </si>
  <si>
    <t>IN.115</t>
  </si>
  <si>
    <t>IN.116</t>
  </si>
  <si>
    <t>PD_IFRS9_12M_INCPTN</t>
  </si>
  <si>
    <t>12-month PD at inception date according to IFRS 9</t>
  </si>
  <si>
    <t>IN.117</t>
  </si>
  <si>
    <t>IN.118</t>
  </si>
  <si>
    <t>IN.119</t>
  </si>
  <si>
    <t>PD_IFRS9_LFTM_INCPTN</t>
  </si>
  <si>
    <t>Lifetime PD at inception date according to IFRS 9 (cumulative)</t>
  </si>
  <si>
    <t>IN.120</t>
  </si>
  <si>
    <t>PD_IFRS9_RMNNG_LFTM_INCPTN</t>
  </si>
  <si>
    <t>Remaining lifetime PD at inception date according to IFRS 9 (cumulative)</t>
  </si>
  <si>
    <t>IN.121</t>
  </si>
  <si>
    <t>PD_IFRS9_RMNNG_LFTM_RD</t>
  </si>
  <si>
    <t>Remaining lifetime PD at reporting date according to IFRS 9 (cumulative)</t>
  </si>
  <si>
    <t>IN.122</t>
  </si>
  <si>
    <t>IN.123</t>
  </si>
  <si>
    <t>IN.124</t>
  </si>
  <si>
    <t>SICR_ASSSSMNT_MTHD</t>
  </si>
  <si>
    <t>Significant increase in credit risk assessment approach</t>
  </si>
  <si>
    <t>IN.125</t>
  </si>
  <si>
    <t>ANNLSD_AGRD_RT</t>
  </si>
  <si>
    <t>Interest rate at the rerefence date</t>
  </si>
  <si>
    <t>IN.126</t>
  </si>
  <si>
    <t>EIR</t>
  </si>
  <si>
    <t>Current effective interest rate for provisioning calculation according to IFRS 9.</t>
  </si>
  <si>
    <t>IN.127</t>
  </si>
  <si>
    <t>EIR_INCPTN</t>
  </si>
  <si>
    <t>Effective interest rate at inception</t>
  </si>
  <si>
    <t>IN.128</t>
  </si>
  <si>
    <t>INTRST_RT_RST_FRQNCY</t>
  </si>
  <si>
    <t>Interest rate reset frequency</t>
  </si>
  <si>
    <t>IN.129</t>
  </si>
  <si>
    <t>RCVD_AMRTSTN_12M</t>
  </si>
  <si>
    <t>Received amortisation payments within last 12 months prior to reference date</t>
  </si>
  <si>
    <t>IN.130</t>
  </si>
  <si>
    <t>RCVD_AMRTSTN_24M</t>
  </si>
  <si>
    <t>Received amortisation payments within last 24 months prior to reference date</t>
  </si>
  <si>
    <t>IN.131</t>
  </si>
  <si>
    <t>RCVD_INTRST_12M</t>
  </si>
  <si>
    <t>Received interest payments within last 12 months prior to reference date</t>
  </si>
  <si>
    <t>IN.132</t>
  </si>
  <si>
    <t>RCVD_INTRST_24M</t>
  </si>
  <si>
    <t>Received interest payments within last 24 months prior to reference date</t>
  </si>
  <si>
    <t>IN.133</t>
  </si>
  <si>
    <t>SYNDCT_RL</t>
  </si>
  <si>
    <t>Role of the lender in the syndicate</t>
  </si>
  <si>
    <t>IN.134</t>
  </si>
  <si>
    <t>SYNDCTD_AGNT</t>
  </si>
  <si>
    <t>Syndicate agent name</t>
  </si>
  <si>
    <t>IN.135</t>
  </si>
  <si>
    <t>SYNDCTD_CNTRCT_ID</t>
  </si>
  <si>
    <t>Syndicated contract ID</t>
  </si>
  <si>
    <t>IN.136</t>
  </si>
  <si>
    <t>SYNDCTD_LNDRS</t>
  </si>
  <si>
    <t>Names of the other lenders in the syndicate</t>
  </si>
  <si>
    <t>IN.137</t>
  </si>
  <si>
    <t>SYNDCTD_SHR</t>
  </si>
  <si>
    <t>Share in the syndicate</t>
  </si>
  <si>
    <t>IN.138</t>
  </si>
  <si>
    <t>SYNDCTN_TYP</t>
  </si>
  <si>
    <t>Syndication type</t>
  </si>
  <si>
    <t>IN.139</t>
  </si>
  <si>
    <t>EBA_CMPLNT_MRTR_ST_C19</t>
  </si>
  <si>
    <t>EBA compliant moratoria status. Please report all COVID-related measures until 31 December 2022. Afterwards, please report Not Applicable default value</t>
  </si>
  <si>
    <t>IN.140</t>
  </si>
  <si>
    <t>DT_CMPLNT_MRTR_STTS_C19</t>
  </si>
  <si>
    <t>Date of EBA compliant moratoria status. Please report all COVID-related measures until 31 December 2022. Afterwards, please report Not Applicable default value</t>
  </si>
  <si>
    <t>IN.141</t>
  </si>
  <si>
    <t>DT_CMPLNT_MRTR_STTS_PRVS_C19</t>
  </si>
  <si>
    <t>Initial date of first EBA compliant moratoria status. Please report all COVID-related measures until 31 December 2022. Afterwards, please report Not Applicable default value</t>
  </si>
  <si>
    <t>IN.142</t>
  </si>
  <si>
    <t>MTRTY_LTST_MRTR_C19</t>
  </si>
  <si>
    <t>Maturity of latest EBA compliant moratoria. Please report all COVID-related measures until 31 December 2022. Afterwards, please report Not Applicable default value</t>
  </si>
  <si>
    <t>IN.143</t>
  </si>
  <si>
    <t>TYP_CMPLNT_MRTR_C19</t>
  </si>
  <si>
    <t>Type of EBA-compliant moratoria. Please report all COVID-related measures until 31 December 2022. Afterwards, please report Not Applicable default value</t>
  </si>
  <si>
    <t>IN.144</t>
  </si>
  <si>
    <t>GRC_PRD_CPTL_INTRST_C19</t>
  </si>
  <si>
    <t>Grace period on capital and interest. Please report all COVID-related measures until 31 December 2022. Afterwards, please report Not Applicable default value</t>
  </si>
  <si>
    <t>IN.145</t>
  </si>
  <si>
    <t>CMPLNT_MRTR_C19_NM</t>
  </si>
  <si>
    <t>Internal name of EBA compliant moratoria as registered by the bank. Please report all COVID-related measures until 31 December 2022. Afterwards, please report Not Applicable default value</t>
  </si>
  <si>
    <t>IN.146</t>
  </si>
  <si>
    <t>FRBRNC_STTS_C19</t>
  </si>
  <si>
    <t>COVID-19 related forbearance measure status. Please report all COVID-related measures until 31 December 2022. Afterwards, please report Not Applicable default value</t>
  </si>
  <si>
    <t>IN.147</t>
  </si>
  <si>
    <t>DT_FRBRNC_STTS_C19</t>
  </si>
  <si>
    <t>Date of COVID-19 related forbearance measure status. Please report all COVID-related measures until 31 December 2022. Afterwards, please report Not Applicable default value</t>
  </si>
  <si>
    <t>IN.148</t>
  </si>
  <si>
    <t>DT_FRBRNC_STTS_PRVS_C19</t>
  </si>
  <si>
    <t>Initial date of first COVID-19 related forbearance measure status. Please report all COVID-related measures until 31 December 2022. Afterwards, please report Not Applicable default value</t>
  </si>
  <si>
    <t>IN.149</t>
  </si>
  <si>
    <t>MTRTY_LTST_FRBRNC_MSR_C19</t>
  </si>
  <si>
    <t>Maturity of latest COVID19 related forbearnace measure. Please report all COVID-related measures until 31 December 2022. Afterwards, please report Not Applicable default value</t>
  </si>
  <si>
    <t>IN.150</t>
  </si>
  <si>
    <t>DT_END_GP_PPAL_C19</t>
  </si>
  <si>
    <t>End date of principal grace period for COVID19 related measures. Please report all COVID-related measures until 31 December 2022. Afterwards, please report Not Applicable default value</t>
  </si>
  <si>
    <t>IN.151</t>
  </si>
  <si>
    <t>DT_END_INTRST_ONLY_C19</t>
  </si>
  <si>
    <t>End date of the interest-only period for COVID19 related measures. Please report all COVID-related measures until 31 December 2022. Afterwards, please report Not Applicable default value</t>
  </si>
  <si>
    <t>IN.152</t>
  </si>
  <si>
    <t>SBJCT_PBLC_GRNT_SCHM_C19</t>
  </si>
  <si>
    <t>(Newly originated) Loan subject to a public guarantee scheme. Please report all COVID-related measures until 31 December 2022. Afterwards, please report Not Applicable default value</t>
  </si>
  <si>
    <t>IN.153</t>
  </si>
  <si>
    <t>PBLC_GRNT_SCHM_C19_NM</t>
  </si>
  <si>
    <t>Name of public guarantee scheme applied. Please report all COVID-related measures until 31 December 2022. Afterwards, please report Not Applicable default value</t>
  </si>
  <si>
    <t>IN.154</t>
  </si>
  <si>
    <t>PMNT_PBLC_GRNT_SCHM_C19</t>
  </si>
  <si>
    <t>Payment received from the public guarantor since inception of the public guarantee scheme introduced in response to the COVID19 situation. Please report all COVID-related measures until 31 December 2022. Afterwards, please report Not Applicable default value</t>
  </si>
  <si>
    <t>IN.155</t>
  </si>
  <si>
    <t>ASST_SCRT_CLSS</t>
  </si>
  <si>
    <t>Asset securitisation class</t>
  </si>
  <si>
    <t>IN.156</t>
  </si>
  <si>
    <t>CPN_CRRNCY</t>
  </si>
  <si>
    <t xml:space="preserve">Coupon currency </t>
  </si>
  <si>
    <t>IN.157</t>
  </si>
  <si>
    <t>CPN_RT</t>
  </si>
  <si>
    <t xml:space="preserve">Coupon rate </t>
  </si>
  <si>
    <t>Coupon rate (if fixed).</t>
  </si>
  <si>
    <t>IN.158</t>
  </si>
  <si>
    <t>DT_VLTN</t>
  </si>
  <si>
    <t>Valuation date</t>
  </si>
  <si>
    <t>IN.159</t>
  </si>
  <si>
    <t>ELGBLTY_ECB</t>
  </si>
  <si>
    <t>Eligibility for standard central bank (ECB) operations</t>
  </si>
  <si>
    <t>IN.160</t>
  </si>
  <si>
    <t>GRNTR_ID</t>
  </si>
  <si>
    <t>Guarantor ID</t>
  </si>
  <si>
    <t>IN.161</t>
  </si>
  <si>
    <t>GRNTR_ID_TYP</t>
  </si>
  <si>
    <t>Guarantor ID type</t>
  </si>
  <si>
    <t>IN.162</t>
  </si>
  <si>
    <t>HEDGE_ID</t>
  </si>
  <si>
    <t>Hedge ID</t>
  </si>
  <si>
    <t>IN.163</t>
  </si>
  <si>
    <t>INSTR_SNRTY_CLSS</t>
  </si>
  <si>
    <t>Instrument seniority type</t>
  </si>
  <si>
    <t>IN.164</t>
  </si>
  <si>
    <t>INSTRMNT_CLSS</t>
  </si>
  <si>
    <t>Instrument class</t>
  </si>
  <si>
    <t>IN.165</t>
  </si>
  <si>
    <t>IN.166</t>
  </si>
  <si>
    <t>ISSR_CNTRY</t>
  </si>
  <si>
    <t>Country of the issuer</t>
  </si>
  <si>
    <t>IN.167</t>
  </si>
  <si>
    <t>ISSR_ESA_2010</t>
  </si>
  <si>
    <t>Issuer ESA 2010</t>
  </si>
  <si>
    <t>IN.168</t>
  </si>
  <si>
    <t>ISSR_ID</t>
  </si>
  <si>
    <t>ID of the issuer</t>
  </si>
  <si>
    <t>IN.169</t>
  </si>
  <si>
    <t>ISSR_ID_TYP</t>
  </si>
  <si>
    <t>Type of ID of the issuer</t>
  </si>
  <si>
    <t>IN.170</t>
  </si>
  <si>
    <t>ISSR_NACE_SCTR</t>
  </si>
  <si>
    <t>Issuer NACE sector</t>
  </si>
  <si>
    <t>IN.171</t>
  </si>
  <si>
    <t>ISSR_RTNG</t>
  </si>
  <si>
    <t>Issuer Rating(s)</t>
  </si>
  <si>
    <t>IN.172</t>
  </si>
  <si>
    <t>ISSR_RTNG_SRC</t>
  </si>
  <si>
    <t>Issuer Rating(s) Source(s)</t>
  </si>
  <si>
    <t>IN.173</t>
  </si>
  <si>
    <t>ISSR_TYP</t>
  </si>
  <si>
    <t>Type of Issuer</t>
  </si>
  <si>
    <t>IN.174</t>
  </si>
  <si>
    <t>LCR_BFFR_CTGRY</t>
  </si>
  <si>
    <t>Category of LCR buffer</t>
  </si>
  <si>
    <t>IN.175</t>
  </si>
  <si>
    <t>PRCH_UNDR_RSL_AGR</t>
  </si>
  <si>
    <t>Purchased under resale agreement</t>
  </si>
  <si>
    <t>IN.176</t>
  </si>
  <si>
    <t>PRDNTL_PRTFL</t>
  </si>
  <si>
    <t>Prudential portfolio of the instrument</t>
  </si>
  <si>
    <t>IN.177</t>
  </si>
  <si>
    <t>PRMRY_ASST_CLSSF</t>
  </si>
  <si>
    <t>Primary asset classification</t>
  </si>
  <si>
    <t>IN.178</t>
  </si>
  <si>
    <t>PRT_LCR_BFFR</t>
  </si>
  <si>
    <t>Part of LCR buffer</t>
  </si>
  <si>
    <t>IN.179</t>
  </si>
  <si>
    <t>RFRNC_RT</t>
  </si>
  <si>
    <t xml:space="preserve">Reference rate </t>
  </si>
  <si>
    <t>Coupon rate (if floating).</t>
  </si>
  <si>
    <t>IN.180</t>
  </si>
  <si>
    <t>SPRD</t>
  </si>
  <si>
    <t xml:space="preserve">Spread </t>
  </si>
  <si>
    <t>IN.181</t>
  </si>
  <si>
    <t>SRCS_ENCMBRNC</t>
  </si>
  <si>
    <t>Sources of encumbrance</t>
  </si>
  <si>
    <t>IN.182</t>
  </si>
  <si>
    <t>TYPE_OF_PLCMNT</t>
  </si>
  <si>
    <t>Type of placement</t>
  </si>
  <si>
    <t>IN.183</t>
  </si>
  <si>
    <t>VLTN_CRRNCY</t>
  </si>
  <si>
    <t>Currency of the value</t>
  </si>
  <si>
    <t>IN.184</t>
  </si>
  <si>
    <t>VLTN_TYP</t>
  </si>
  <si>
    <t>Valuation type</t>
  </si>
  <si>
    <t>IN.185</t>
  </si>
  <si>
    <t>LVRG_FNNC_FLG</t>
  </si>
  <si>
    <t>Leverage finance flag</t>
  </si>
  <si>
    <t>IN.186</t>
  </si>
  <si>
    <t>INTRNL_SGMNT_IFRS9</t>
  </si>
  <si>
    <t>IFRS9 Segment</t>
  </si>
  <si>
    <t>IN.187</t>
  </si>
  <si>
    <t>INTRNL_SGMNT_CAT_MSTA</t>
  </si>
  <si>
    <t>COREP Segment - Final Category BIS II</t>
  </si>
  <si>
    <t>IN.188</t>
  </si>
  <si>
    <t>INTRNL_SGMNT_CATGSUB</t>
  </si>
  <si>
    <t>COREP Segment - Final Subcategory BIS II</t>
  </si>
  <si>
    <t>IN.189</t>
  </si>
  <si>
    <t>CRRLTN_CFFCNT</t>
  </si>
  <si>
    <t>Coefficient of correlation (R)</t>
  </si>
  <si>
    <t>IN.190</t>
  </si>
  <si>
    <t>ISIN_SCRTSTN</t>
  </si>
  <si>
    <t>ISIN code of the securitisation bonds and SRT (Y/N)</t>
  </si>
  <si>
    <t>IN.191</t>
  </si>
  <si>
    <t>CNTRCT_ID_BDR</t>
  </si>
  <si>
    <t xml:space="preserve">BDR Contract ID </t>
  </si>
  <si>
    <t>IN.192</t>
  </si>
  <si>
    <t>COD_SOC_INTRGRP</t>
  </si>
  <si>
    <t>Cargabal identification code of the intragroup exposure</t>
  </si>
  <si>
    <t>IN.193</t>
  </si>
  <si>
    <t>LCL_INSTMRNT_ID</t>
  </si>
  <si>
    <t>Local Instrument ID</t>
  </si>
  <si>
    <t>IN.194</t>
  </si>
  <si>
    <t>SSTNBL_INDCTR</t>
  </si>
  <si>
    <t>Sustainable Indicator</t>
  </si>
  <si>
    <t>IN.195</t>
  </si>
  <si>
    <t>SSTNBL_CTGRY</t>
  </si>
  <si>
    <t>Sustainable Category</t>
  </si>
  <si>
    <t>IN.196</t>
  </si>
  <si>
    <t>AVRG_BLNC</t>
  </si>
  <si>
    <t>Average balance</t>
  </si>
  <si>
    <t>IN.197</t>
  </si>
  <si>
    <t>NW_BSNSS</t>
  </si>
  <si>
    <t>New Business</t>
  </si>
  <si>
    <t>IN.198</t>
  </si>
  <si>
    <t>GRSS_INTRST_INCM</t>
  </si>
  <si>
    <t>Gross Interest income before distribution to SCIB under the Collabotarion Revenues distribution agreement</t>
  </si>
  <si>
    <t>IN.199</t>
  </si>
  <si>
    <t>GRSS_CMMSSN_INCM</t>
  </si>
  <si>
    <t>Gross fee and commission income before distribution to SCIB under the Collabotarion Revenues distribution agreement</t>
  </si>
  <si>
    <t>IN.200</t>
  </si>
  <si>
    <t>INTRNL_TRNSFR_RT</t>
  </si>
  <si>
    <t>Internal transfer rate amount</t>
  </si>
  <si>
    <t>IN.201</t>
  </si>
  <si>
    <t>NT_LN_LSS_PRVSN</t>
  </si>
  <si>
    <t>Net loan-loss provisions</t>
  </si>
  <si>
    <t>IN.202</t>
  </si>
  <si>
    <t>BSNSS_AREA</t>
  </si>
  <si>
    <t>Business Area</t>
  </si>
  <si>
    <t>IN.203</t>
  </si>
  <si>
    <t>MNGMNT_PRDCT</t>
  </si>
  <si>
    <t>Management Product</t>
  </si>
  <si>
    <t>IN.204</t>
  </si>
  <si>
    <t>GRSS_CMMSSN_EXPNS</t>
  </si>
  <si>
    <t>Gross fee and commission expense before distribution to SCIB under the Collabotarion Revenues distribution agreement</t>
  </si>
  <si>
    <t>IN.205</t>
  </si>
  <si>
    <t>GNS_FNNCL_TRNSCTN_EXCHNG_DFFRNCS</t>
  </si>
  <si>
    <t>Gains (Losses) On Financial Transaction (gft) And Exchange Differences, before distribution to SCIB under the Collabotarion Revenues distribution agreement</t>
  </si>
  <si>
    <t>IN.206</t>
  </si>
  <si>
    <t>FLG_INTRBSNSS</t>
  </si>
  <si>
    <t>Flag of interbusiness</t>
  </si>
  <si>
    <t>IN.207</t>
  </si>
  <si>
    <t>INTRBSNSS_ADJ_COD</t>
  </si>
  <si>
    <t>Interbusiness adjustment code</t>
  </si>
  <si>
    <t>IN.208</t>
  </si>
  <si>
    <t>COD_SOC_DSTNTN</t>
  </si>
  <si>
    <t>Cargabal identification code of the destination entity</t>
  </si>
  <si>
    <t>IN.209</t>
  </si>
  <si>
    <t>BSNSS_AREA_DSTNTN</t>
  </si>
  <si>
    <t>Destination Business area</t>
  </si>
  <si>
    <t>IN.210</t>
  </si>
  <si>
    <t>AVRG_BLNC_OFF_BLNC</t>
  </si>
  <si>
    <t>Average off balance</t>
  </si>
  <si>
    <t>IN.211</t>
  </si>
  <si>
    <t>INTRNL_TRNSFR_RT_OFF_BLNC</t>
  </si>
  <si>
    <t>Internal transfer rate due to off balance amounts</t>
  </si>
  <si>
    <t>IN.212</t>
  </si>
  <si>
    <t>GRSS_CMMSSN_INCM_OFF_BLNC</t>
  </si>
  <si>
    <t>Gross fee and commission income corresponding to off balance product before distribution to SCIB under the Collabotarion Revenues distribution agreement</t>
  </si>
  <si>
    <t>IN.213</t>
  </si>
  <si>
    <t>GRSS_CMMSSN_EXPNS_OFF_BLNC</t>
  </si>
  <si>
    <t>Gross fee and commission expense corresponding to off balance product before distribution to SCIB under the Collabotarion Revenues distribution agreement</t>
  </si>
  <si>
    <t>IN.214</t>
  </si>
  <si>
    <t>RWA_OFF_BLNC</t>
  </si>
  <si>
    <t>RWA Off Balance</t>
  </si>
  <si>
    <t>IN.215</t>
  </si>
  <si>
    <t>GRSS_INTRST_EXPNS</t>
  </si>
  <si>
    <t>Gross Interest expense before distribution to SCIB under the Collabotarion Revenues distribution agreement</t>
  </si>
  <si>
    <t>IN.216</t>
  </si>
  <si>
    <t>NT_LN_LSS_PRVSN_OFF_BLNC</t>
  </si>
  <si>
    <t>Net loan-loss provisions corresponding to off balance exposures</t>
  </si>
  <si>
    <t>IN.217</t>
  </si>
  <si>
    <t>GRSS_INTRST_INCM_CCRR</t>
  </si>
  <si>
    <t>Gross Interest income distributed to SCIB under the Collabotarion Revenues distribution agreement</t>
  </si>
  <si>
    <t>IN.218</t>
  </si>
  <si>
    <t>GRSS_INTRST_EXPNS_CCRR</t>
  </si>
  <si>
    <t>Gross Interest expense distributed to SCIB under the Collabotarion Revenues distribution agreement</t>
  </si>
  <si>
    <t>IN.219</t>
  </si>
  <si>
    <t>GRSS_CMMSSN_INCM_CCRR</t>
  </si>
  <si>
    <t>Gross fee and commission income distributed to SCIB under the Collabotarion Revenues distribution agreement</t>
  </si>
  <si>
    <t>IN.220</t>
  </si>
  <si>
    <t>GRSS_CMMSSN_EXPNS_CCRR</t>
  </si>
  <si>
    <t>Gross fee and commission expense distributed to SCIB under the Collabotarion Revenues distribution agreement</t>
  </si>
  <si>
    <t>IN.221</t>
  </si>
  <si>
    <t>GNS_FNNCL_TRNSCTN_EXCHNG_CCRR</t>
  </si>
  <si>
    <t>Gains (Losses) On Financial Transaction (gft) And Exchange Differences distributed to SCIB under the Collabotarion Revenues distribution agreement</t>
  </si>
  <si>
    <t>IN.222</t>
  </si>
  <si>
    <t>BSNSS_AREA_CCRR</t>
  </si>
  <si>
    <t>Business Area related to CIB</t>
  </si>
  <si>
    <t>IN.223</t>
  </si>
  <si>
    <t>GRSS_CMMSSN_INCM_OFF_BLNC_CCRR</t>
  </si>
  <si>
    <t>Gross fee and commission income corresponding to off balance product distributed to SCIB under the Collabotarion Revenues distribution agreement</t>
  </si>
  <si>
    <t>IN.224</t>
  </si>
  <si>
    <t>GRSS_CMMSSN_EXPNS_OFF_BLNC_CCRR</t>
  </si>
  <si>
    <t>Gross fee and commission expense corresponding to off balance product distributed to SCIB under the Collabotarion Revenues distribution agreement</t>
  </si>
  <si>
    <t>IN.225</t>
  </si>
  <si>
    <t>ENVRNMNTL_OBJCTV</t>
  </si>
  <si>
    <t>Environmental objective</t>
  </si>
  <si>
    <t>IN.226</t>
  </si>
  <si>
    <t>RSK_MTGTD_CCT</t>
  </si>
  <si>
    <t>Risk Mitigated CCT</t>
  </si>
  <si>
    <t>IN.227</t>
  </si>
  <si>
    <t>RSK_MTGTD_CCP</t>
  </si>
  <si>
    <t>Risk Mitigated CCP</t>
  </si>
  <si>
    <t>IN.228</t>
  </si>
  <si>
    <t>TYP_ACTVTY</t>
  </si>
  <si>
    <t>Type of activity</t>
  </si>
  <si>
    <t>IN.229</t>
  </si>
  <si>
    <t>LNS_CLLTRLZD_CLSSFCTN</t>
  </si>
  <si>
    <t>Loans collateralized classification</t>
  </si>
  <si>
    <t>IN.230</t>
  </si>
  <si>
    <t>MTHD_USD_INSTRMNT_SCP_1</t>
  </si>
  <si>
    <t>Financed emissions calculation approach at instrument level scope 1</t>
  </si>
  <si>
    <t>IN.231</t>
  </si>
  <si>
    <t>MTHD_USD_INSTRMNT_SCP_2</t>
  </si>
  <si>
    <t>Financed emissions calculation approach at instrument level scope 2</t>
  </si>
  <si>
    <t>IN.232</t>
  </si>
  <si>
    <t>MTHD_USD_INSTRMNT_SCP_3</t>
  </si>
  <si>
    <t>Financed emissions calculation approach at instrument level scope 3</t>
  </si>
  <si>
    <t>IN.233</t>
  </si>
  <si>
    <t>CNCLLD_INSTRMNT_STTS</t>
  </si>
  <si>
    <t>Cancelled instrument status</t>
  </si>
  <si>
    <t>IN.234</t>
  </si>
  <si>
    <t>IDCMB</t>
  </si>
  <si>
    <t>IDCOMB</t>
  </si>
  <si>
    <t>IN.235</t>
  </si>
  <si>
    <t>EXPCTD_LSS_CRR</t>
  </si>
  <si>
    <t>Expected loss (CRR)</t>
  </si>
  <si>
    <t>IN.236</t>
  </si>
  <si>
    <t>LSTI</t>
  </si>
  <si>
    <t>LSTI at reference date</t>
  </si>
  <si>
    <t>IN.237</t>
  </si>
  <si>
    <t>DSTI</t>
  </si>
  <si>
    <t>DSTI at reference date</t>
  </si>
  <si>
    <t>IN.238</t>
  </si>
  <si>
    <t>LTI_INSTRMNT</t>
  </si>
  <si>
    <t>IN.239</t>
  </si>
  <si>
    <t>SSTNBL_CTGRY_TXNMY</t>
  </si>
  <si>
    <t>Sustainable category according to the European Taxonomy</t>
  </si>
  <si>
    <t>IP.001</t>
  </si>
  <si>
    <t>INSTR_PROTECTION</t>
  </si>
  <si>
    <t>IP.002</t>
  </si>
  <si>
    <t>IP.003</t>
  </si>
  <si>
    <t>IP.004</t>
  </si>
  <si>
    <t>PRTCTN_ID</t>
  </si>
  <si>
    <t>Protection ID</t>
  </si>
  <si>
    <t>IP.005</t>
  </si>
  <si>
    <t>PRTCTN_ALLCTD_VL</t>
  </si>
  <si>
    <t>Protection allocated value</t>
  </si>
  <si>
    <t>IP.006</t>
  </si>
  <si>
    <t>THRD_PRTY_PRRTY_CLMS</t>
  </si>
  <si>
    <t>Third party priority claims against the protection </t>
  </si>
  <si>
    <t>PR.001</t>
  </si>
  <si>
    <t>PROTECTION</t>
  </si>
  <si>
    <t>PR.002</t>
  </si>
  <si>
    <t>DT_MTRTY_PRTCTN</t>
  </si>
  <si>
    <t>Maturity date of the protection</t>
  </si>
  <si>
    <t>PR.003</t>
  </si>
  <si>
    <t>PR.004</t>
  </si>
  <si>
    <t>NTNL_ID</t>
  </si>
  <si>
    <t>National reference of the property</t>
  </si>
  <si>
    <t>PR.005</t>
  </si>
  <si>
    <t>PR.006</t>
  </si>
  <si>
    <t>PRTCTN_PRVDR_ID</t>
  </si>
  <si>
    <t>Protection Provider ID (Guarantor)</t>
  </si>
  <si>
    <t>PR.007</t>
  </si>
  <si>
    <t>RL_ESTT_ADDRSS</t>
  </si>
  <si>
    <t>Address (street) and number</t>
  </si>
  <si>
    <t>PR.008</t>
  </si>
  <si>
    <t>RL_ESTT_CLLTRL_LCTN</t>
  </si>
  <si>
    <t>Real estate collateral location</t>
  </si>
  <si>
    <t>PR.009</t>
  </si>
  <si>
    <t>RL_ESTT_CLLTRL_LCTN_INT</t>
  </si>
  <si>
    <t>Real estate asset location according to bank-internal definition</t>
  </si>
  <si>
    <t>PR.010</t>
  </si>
  <si>
    <t>RL_ESTT_CTY</t>
  </si>
  <si>
    <t>City real estate</t>
  </si>
  <si>
    <t>PR.011</t>
  </si>
  <si>
    <t>RL_ESTT_PST_CD</t>
  </si>
  <si>
    <t>PR.012</t>
  </si>
  <si>
    <t>HRCT_MV</t>
  </si>
  <si>
    <t>Haircut applied by the bank to the market value</t>
  </si>
  <si>
    <t>PR.013</t>
  </si>
  <si>
    <t>PRTCTN_CLLD</t>
  </si>
  <si>
    <t>Protection called</t>
  </si>
  <si>
    <t>PR.014</t>
  </si>
  <si>
    <t>TYP_PRTCTN</t>
  </si>
  <si>
    <t>Protection type</t>
  </si>
  <si>
    <t>PR.015</t>
  </si>
  <si>
    <t>TYP_PRTCTN_INTRNL</t>
  </si>
  <si>
    <t>Type of protection received, irrespective of its eligibility for credit risk mitigation according to bank-internal classification</t>
  </si>
  <si>
    <t>PR.016</t>
  </si>
  <si>
    <t>TYP_PRTCTN_VL</t>
  </si>
  <si>
    <t>Type of protection value</t>
  </si>
  <si>
    <t>PR.017</t>
  </si>
  <si>
    <t>APPRSL_CRRNCY</t>
  </si>
  <si>
    <t>Appraisal currency</t>
  </si>
  <si>
    <t>PR.018</t>
  </si>
  <si>
    <t>APPRSR</t>
  </si>
  <si>
    <t>Provider of latest valuation (appraiser)</t>
  </si>
  <si>
    <t>PR.019</t>
  </si>
  <si>
    <t>DT_LST_FLL_APPRSL</t>
  </si>
  <si>
    <t>Date of last full appraisal</t>
  </si>
  <si>
    <t>PR.020</t>
  </si>
  <si>
    <t>DT_ORGNL_PRTCTN_VL</t>
  </si>
  <si>
    <t>Date of original protection value</t>
  </si>
  <si>
    <t>PR.021</t>
  </si>
  <si>
    <t>DT_PRTCTN_VL</t>
  </si>
  <si>
    <t>Date of protection value</t>
  </si>
  <si>
    <t>PR.022</t>
  </si>
  <si>
    <t>ORGNL_PRTCTN_VL</t>
  </si>
  <si>
    <t>Original protection value (at inception)</t>
  </si>
  <si>
    <t>PR.023</t>
  </si>
  <si>
    <t>PRTCTN_FRCD_SL_VL</t>
  </si>
  <si>
    <t>Forced sale value</t>
  </si>
  <si>
    <t>PR.024</t>
  </si>
  <si>
    <t>PRTCTN_VL</t>
  </si>
  <si>
    <t>Appraised market value</t>
  </si>
  <si>
    <t>PR.025</t>
  </si>
  <si>
    <t>PRTCTN_VL_NPE</t>
  </si>
  <si>
    <t>Most recent appraised market value at the time when the instrument was classified as non-performing</t>
  </si>
  <si>
    <t>PR.026</t>
  </si>
  <si>
    <t>PRTCTN_VLTN_APPRCH</t>
  </si>
  <si>
    <t>Protection valuation approach</t>
  </si>
  <si>
    <t>PR.027</t>
  </si>
  <si>
    <t>DT_APPRSL_PRVS</t>
  </si>
  <si>
    <t>Previous appraisal date</t>
  </si>
  <si>
    <t>PR.028</t>
  </si>
  <si>
    <t>PRTCTN_VL_PRVS</t>
  </si>
  <si>
    <t>Previous appraised market value</t>
  </si>
  <si>
    <t>PR.029</t>
  </si>
  <si>
    <t>CNSTRCTN_STTS</t>
  </si>
  <si>
    <t>Construction status</t>
  </si>
  <si>
    <t>PR.030</t>
  </si>
  <si>
    <t>DT_CNSTRCTN_STTS</t>
  </si>
  <si>
    <t>Date of construction status</t>
  </si>
  <si>
    <t>PR.031</t>
  </si>
  <si>
    <t>DT_FRST_USG</t>
  </si>
  <si>
    <t>Date of first usage of the building</t>
  </si>
  <si>
    <t>PR.032</t>
  </si>
  <si>
    <t>DVLPMNT_STTS</t>
  </si>
  <si>
    <t>Development status</t>
  </si>
  <si>
    <t>PR.033</t>
  </si>
  <si>
    <t>MN_PRPS</t>
  </si>
  <si>
    <t>Main purpose</t>
  </si>
  <si>
    <t>PR.034</t>
  </si>
  <si>
    <t>PRM_LCTN</t>
  </si>
  <si>
    <t>Prime location according to bank-internal definition  (Y/N)</t>
  </si>
  <si>
    <t>PR.035</t>
  </si>
  <si>
    <t>CRE_INCM_CRRNCY</t>
  </si>
  <si>
    <t>Currency of annual income and expenses</t>
  </si>
  <si>
    <t>PR.036</t>
  </si>
  <si>
    <t>CRE_YRLY_EXPNSS</t>
  </si>
  <si>
    <t>Current annual operating expenses</t>
  </si>
  <si>
    <t>PR.037</t>
  </si>
  <si>
    <t>CRE_YRLY_INCM</t>
  </si>
  <si>
    <t>Current annual income</t>
  </si>
  <si>
    <t>PR.038</t>
  </si>
  <si>
    <t>PRTCTN_TYP_PBLC_GRNT_SCHM_C19</t>
  </si>
  <si>
    <t>Type protection value is a public guarantee scheme in response to the COVID19 situation. Please report all COVID-related measures until 31 December 2022. Afterwards, please report Not Applicable default value</t>
  </si>
  <si>
    <t>PR.039</t>
  </si>
  <si>
    <t>PR.040</t>
  </si>
  <si>
    <t>TYP_EP_SCR</t>
  </si>
  <si>
    <t>EP Score Data Type</t>
  </si>
  <si>
    <t>PR.041</t>
  </si>
  <si>
    <t>EP_SCR</t>
  </si>
  <si>
    <t>EP Score</t>
  </si>
  <si>
    <t>PR.042</t>
  </si>
  <si>
    <t>TYP_EPC_LBL</t>
  </si>
  <si>
    <t>EPC Label Data Type</t>
  </si>
  <si>
    <t>PR.043</t>
  </si>
  <si>
    <t>EPC_LBL</t>
  </si>
  <si>
    <t>EPC Label</t>
  </si>
  <si>
    <t>PR.044</t>
  </si>
  <si>
    <t>TYP_EMSSNS_LBL</t>
  </si>
  <si>
    <t>EPC or Vehicle emissions label data type</t>
  </si>
  <si>
    <t>PR.045</t>
  </si>
  <si>
    <t>EPC_EMSSNS_LBL</t>
  </si>
  <si>
    <t>EPC emissions label</t>
  </si>
  <si>
    <t>PR.046</t>
  </si>
  <si>
    <t>VHCL_EMSSNS_LBL</t>
  </si>
  <si>
    <t>Vehicle emissions label</t>
  </si>
  <si>
    <t>PR.047</t>
  </si>
  <si>
    <t>TYP_EMSSNS_SCR</t>
  </si>
  <si>
    <t>Emissions score data type</t>
  </si>
  <si>
    <t>PR.048</t>
  </si>
  <si>
    <t>EPC_EMSSNS_SCR</t>
  </si>
  <si>
    <t>EPC emissions score</t>
  </si>
  <si>
    <t>PR.049</t>
  </si>
  <si>
    <t>VHCL_EMSSNS_SCR</t>
  </si>
  <si>
    <t>Vehicle's emissions score</t>
  </si>
  <si>
    <t>PR.050</t>
  </si>
  <si>
    <t>EMSSNS_SCP1_PRTCTN</t>
  </si>
  <si>
    <t>Protection's emissions scope 1</t>
  </si>
  <si>
    <t>PR.051</t>
  </si>
  <si>
    <t>EMSSNS_SCP2_PRTCTN</t>
  </si>
  <si>
    <t>Protection's emissions scope 2</t>
  </si>
  <si>
    <t>PR.052</t>
  </si>
  <si>
    <t>EMSSNS_SCP3_PRTCTN</t>
  </si>
  <si>
    <t>Protection's emissions scope 3</t>
  </si>
  <si>
    <t>PR.053</t>
  </si>
  <si>
    <t>MTHD_USD_PRTCTN_SCP_1</t>
  </si>
  <si>
    <t>Financed emissions calculation approach at protection level scope 1</t>
  </si>
  <si>
    <t>PR.054</t>
  </si>
  <si>
    <t>MTHD_USD_PRTCTN_SCP_2</t>
  </si>
  <si>
    <t>Financed emissions calculation approach at protection level scope 2</t>
  </si>
  <si>
    <t>PR.055</t>
  </si>
  <si>
    <t>MTHD_USD_PRTCTN_SCP_3</t>
  </si>
  <si>
    <t>Financed emissions calculation approach at protection level scope 3</t>
  </si>
  <si>
    <t>PR.056</t>
  </si>
  <si>
    <t>Flag Acute Physical Risk at protection level</t>
  </si>
  <si>
    <t>PR.057</t>
  </si>
  <si>
    <t>Flag Chronic Physical Risk at protection level</t>
  </si>
  <si>
    <t>PR.058</t>
  </si>
  <si>
    <t>INSRNC_ID</t>
  </si>
  <si>
    <t>Insurance ID</t>
  </si>
  <si>
    <t>PR.059</t>
  </si>
  <si>
    <t>TYP_HZRDS_INSRD</t>
  </si>
  <si>
    <t>Type of hazards insured</t>
  </si>
  <si>
    <t>PR.060</t>
  </si>
  <si>
    <t>AMNT_CVRD_INSRNC</t>
  </si>
  <si>
    <t>Total amount covered by the insurance</t>
  </si>
  <si>
    <t>PR.061</t>
  </si>
  <si>
    <t>DT_MTRTY_INSRNC</t>
  </si>
  <si>
    <t>Maturity date of the insurance</t>
  </si>
  <si>
    <t>PR.062</t>
  </si>
  <si>
    <t>FLG_FRST_HM</t>
  </si>
  <si>
    <t>Flag first home</t>
  </si>
  <si>
    <t>PR.063</t>
  </si>
  <si>
    <t>YR_CNSTRCTN</t>
  </si>
  <si>
    <t>Year of construction</t>
  </si>
  <si>
    <t>EN.130</t>
  </si>
  <si>
    <t>ADDRSS_CTY</t>
  </si>
  <si>
    <t>Address: city/town/village</t>
  </si>
  <si>
    <t>EN.131</t>
  </si>
  <si>
    <t>ADDRSS_STRT</t>
  </si>
  <si>
    <t>Address: street</t>
  </si>
  <si>
    <t>EN.132</t>
  </si>
  <si>
    <t>DT_ENTRPRS_SZ</t>
  </si>
  <si>
    <t>Date of enterprise size</t>
  </si>
  <si>
    <t>EN.133</t>
  </si>
  <si>
    <t>NMBR_EMPLYS</t>
  </si>
  <si>
    <t>Number of employees</t>
  </si>
  <si>
    <t>EN.134</t>
  </si>
  <si>
    <t>LGL_FRM</t>
  </si>
  <si>
    <t>Legal form</t>
  </si>
  <si>
    <t>EN.135</t>
  </si>
  <si>
    <t>HD_OFFC_UNDRTKNG_ID</t>
  </si>
  <si>
    <t>Head office undertaking identifier</t>
  </si>
  <si>
    <t>EN.136</t>
  </si>
  <si>
    <t>IMMDT_PRNT_UNDRTKNG_ID</t>
  </si>
  <si>
    <t>Immediate parent undertaking identifier</t>
  </si>
  <si>
    <t>EN.137</t>
  </si>
  <si>
    <t>ULTMT_PRNT_UNDRTKNG_ID</t>
  </si>
  <si>
    <t>Ultimate parent undertaking identifier</t>
  </si>
  <si>
    <t>EN.138</t>
  </si>
  <si>
    <t>TTL_ASSTS</t>
  </si>
  <si>
    <t>Total Assets</t>
  </si>
  <si>
    <t>EN.139</t>
  </si>
  <si>
    <t>FLLN_ANGL_NRRW_DFNTN</t>
  </si>
  <si>
    <t>Fallen Angel narrow definition</t>
  </si>
  <si>
    <t>EN.140</t>
  </si>
  <si>
    <t>FLLN_ANGL_EXTNDD_DFNTN</t>
  </si>
  <si>
    <t>Fallen Angel extended definition</t>
  </si>
  <si>
    <t>EN.141</t>
  </si>
  <si>
    <t>ENTTY_ID_BDR</t>
  </si>
  <si>
    <t xml:space="preserve">BDR Entity ID </t>
  </si>
  <si>
    <t>CPN_RT_FXD</t>
  </si>
  <si>
    <t>CPN_RT_FLTNG</t>
  </si>
  <si>
    <t>IN.240</t>
  </si>
  <si>
    <t>INTRST_RT_CP</t>
  </si>
  <si>
    <t>Interest rate cap</t>
  </si>
  <si>
    <t>IN.241</t>
  </si>
  <si>
    <t>INTRST_RT_FLR</t>
  </si>
  <si>
    <t>Interest rate floor</t>
  </si>
  <si>
    <t>IN.242</t>
  </si>
  <si>
    <t>NMNL_INTRST_RT_FEE</t>
  </si>
  <si>
    <t>Nominal interest rate or fee</t>
  </si>
  <si>
    <t>IN.243</t>
  </si>
  <si>
    <t xml:space="preserve">Reference interest rate </t>
  </si>
  <si>
    <t>IN.244</t>
  </si>
  <si>
    <t>DT_STTLMNT</t>
  </si>
  <si>
    <t>Settlement date</t>
  </si>
  <si>
    <t>IN.245</t>
  </si>
  <si>
    <t>TRNSFRRD_AMNT</t>
  </si>
  <si>
    <t>Transferred amount</t>
  </si>
  <si>
    <t>IN.246</t>
  </si>
  <si>
    <t>TYP_SCRTZTN</t>
  </si>
  <si>
    <t>Type of securitization</t>
  </si>
  <si>
    <t>IN.247</t>
  </si>
  <si>
    <t>TYP_OFF_BLNC_PRDCT</t>
  </si>
  <si>
    <t>Type of off balance product</t>
  </si>
  <si>
    <t>IN.248</t>
  </si>
  <si>
    <t>BLNC_SHT_RCGNTN</t>
  </si>
  <si>
    <t>Balance sheet recognition</t>
  </si>
  <si>
    <t>IN.249</t>
  </si>
  <si>
    <t>FLG_DFLT</t>
  </si>
  <si>
    <t>Flag default (CRR Exposure class)</t>
  </si>
  <si>
    <t>IN.250</t>
  </si>
  <si>
    <t>FLG_HGH_RSK</t>
  </si>
  <si>
    <t>Flag high risk (CRR Exposure class)</t>
  </si>
  <si>
    <t>IN.251</t>
  </si>
  <si>
    <t>EXCLDD_LF</t>
  </si>
  <si>
    <t>Excluded Leveraged Transaction Exposures</t>
  </si>
  <si>
    <t>IN.252</t>
  </si>
  <si>
    <t>RWA_MTGTN</t>
  </si>
  <si>
    <t>RWA for exposures subject to credit risk mitigation techniques</t>
  </si>
  <si>
    <t>IN.253</t>
  </si>
  <si>
    <t>RWA_PRMTGTN</t>
  </si>
  <si>
    <t>RWA premitigation</t>
  </si>
  <si>
    <t>IN.254</t>
  </si>
  <si>
    <t>US_PRCDS</t>
  </si>
  <si>
    <t>Use of proceeds</t>
  </si>
  <si>
    <t>IN.255</t>
  </si>
  <si>
    <t>TTL_LVRG_RT_INCPTN</t>
  </si>
  <si>
    <t>Leverage ratio at inception date</t>
  </si>
  <si>
    <t>IN.256</t>
  </si>
  <si>
    <t>TYP_FCLTY</t>
  </si>
  <si>
    <t>Type of Facility</t>
  </si>
  <si>
    <t>IN.257</t>
  </si>
  <si>
    <t>TYP_CL</t>
  </si>
  <si>
    <t>Type of CLO</t>
  </si>
  <si>
    <t>IP.007</t>
  </si>
  <si>
    <t>TYP_RLTN</t>
  </si>
  <si>
    <t>Type of relation</t>
  </si>
  <si>
    <t>PR.064</t>
  </si>
  <si>
    <t>BLDNG_AR</t>
  </si>
  <si>
    <t>Building Area (M2)</t>
  </si>
  <si>
    <t>PR.065</t>
  </si>
  <si>
    <t>LND_AR</t>
  </si>
  <si>
    <t>Land Area (M2)</t>
  </si>
  <si>
    <t>PR.066</t>
  </si>
  <si>
    <t>LN_PSTN</t>
  </si>
  <si>
    <t>Lien position</t>
  </si>
  <si>
    <t>Green Finance</t>
  </si>
  <si>
    <t>Leveraged Finance</t>
  </si>
  <si>
    <t>TXNMY_ELGBL_CAPEX_W</t>
  </si>
  <si>
    <t>Taxonomy-eligible CAPEX (W) Ratio</t>
  </si>
  <si>
    <t>TXNMY_ELGBL_TRNVR_W</t>
  </si>
  <si>
    <t>Taxonomy-eligible Turnover (W) Ratio</t>
  </si>
  <si>
    <t>TXNMY_ELGBL_CAPEX_P</t>
  </si>
  <si>
    <t>Taxonomy-eligible CAPEX (P) Ratio</t>
  </si>
  <si>
    <t>TXNMY_ELGBL_TRNVR_P</t>
  </si>
  <si>
    <t>Taxonomy-eligible Turnover (P) Ratio</t>
  </si>
  <si>
    <t>TXNMY_ELGBL_CAPEX_B</t>
  </si>
  <si>
    <t>Taxonomy-eligible CAPEX (B) Ratio</t>
  </si>
  <si>
    <t>TXNMY_ELGBL_TRNVR_B</t>
  </si>
  <si>
    <t>Taxonomy-eligible Turnover (B) Ratio</t>
  </si>
  <si>
    <t>TXNMY_ELGBL_CAPEX_CE</t>
  </si>
  <si>
    <t>Taxonomy-eligible CAPEX (CE) Ratio</t>
  </si>
  <si>
    <t>TXNMY_ELGBL_TRNVR_CE</t>
  </si>
  <si>
    <t>Taxonomy-eligible Turnover (CE) Ratio</t>
  </si>
  <si>
    <t>PURE_CAPEX_P</t>
  </si>
  <si>
    <t>Taxonomy-aligned CAPEX (P) - Pure Ratio</t>
  </si>
  <si>
    <t>PURE_TRNVR_P</t>
  </si>
  <si>
    <t>Taxonomy-aligned Turnover (P) - Pure Ratio</t>
  </si>
  <si>
    <t>PURE_CAPEX_B</t>
  </si>
  <si>
    <t>Taxonomy-aligned CAPEX (B) - Pure Ratio</t>
  </si>
  <si>
    <t>PURE_TRNVR_B</t>
  </si>
  <si>
    <t>Taxonomy-aligned Turnover (B) - Pure Ratio</t>
  </si>
  <si>
    <t>PURE_CAPEX_W</t>
  </si>
  <si>
    <t>Taxonomy-aligned CAPEX (W) - Pure Ratio</t>
  </si>
  <si>
    <t>PURE_TRNVR_W</t>
  </si>
  <si>
    <t>Taxonomy-aligned Turnover (W) - Pure Ratio</t>
  </si>
  <si>
    <t>PURE_CAPEX_CE</t>
  </si>
  <si>
    <t>Taxonomy-aligned CAPEX (CE) - Pure Ratio</t>
  </si>
  <si>
    <t>PURE_TRNVR_CE</t>
  </si>
  <si>
    <t>Taxonomy-aligned Turnover (CE) - Pure Ratio</t>
  </si>
  <si>
    <t>ENBLNG_CAPEX_W</t>
  </si>
  <si>
    <t>Taxonomy-aligned CAPEX (W) - Enabling Ratio</t>
  </si>
  <si>
    <t>ENBLNG_TRNVR_W</t>
  </si>
  <si>
    <t>Taxonomy-aligned Turnover (W) - Enabling Ratio</t>
  </si>
  <si>
    <t>ENBLNG_CAPEX_CE</t>
  </si>
  <si>
    <t>Taxonomy-aligned CAPEX (CE) - Enabling Ratio</t>
  </si>
  <si>
    <t>ENBLNG_TRNVR_CE</t>
  </si>
  <si>
    <t>Taxonomy-aligned Turnover (CE) - Enabling Ratio</t>
  </si>
  <si>
    <t>Interest rate at the reference date</t>
  </si>
  <si>
    <t>FLG_MNMM_SFGRDS</t>
  </si>
  <si>
    <t>Minimum safeguards flag</t>
  </si>
  <si>
    <t>RL_ESTT_CRTFCTN</t>
  </si>
  <si>
    <t>Real estate sustainable certifications</t>
  </si>
  <si>
    <t>TYP_VHCL</t>
  </si>
  <si>
    <t>Type of vehicle</t>
  </si>
  <si>
    <t>DT_RGSTRTN</t>
  </si>
  <si>
    <t>Registration date of the vehicle</t>
  </si>
  <si>
    <t>PRMRY_ENRGY_DMND_NN_RNWBL</t>
  </si>
  <si>
    <t>Actual annual primary energy demand from non renewable sources of the building</t>
  </si>
  <si>
    <t>PRMRY_ENRGY_DMND_TTL</t>
  </si>
  <si>
    <t>Actual annual primary energy demand of the building</t>
  </si>
  <si>
    <t>PRMRY_ENRGY_DMND_RFRNC_VL</t>
  </si>
  <si>
    <t>Annual primary energy demand of reference</t>
  </si>
  <si>
    <t>RL_ESTT_CLMT_ZN</t>
  </si>
  <si>
    <t>Climatic zone of the building</t>
  </si>
  <si>
    <t>PR.076</t>
  </si>
  <si>
    <t>FLG_ELCTRC_VHCL</t>
  </si>
  <si>
    <t>Flag of electric vehicle</t>
  </si>
  <si>
    <t>AC.001</t>
  </si>
  <si>
    <t>INSTR_ACTIVITY</t>
  </si>
  <si>
    <t>AC.002</t>
  </si>
  <si>
    <t>AC.003</t>
  </si>
  <si>
    <t>AC.004</t>
  </si>
  <si>
    <t>Sustainable Category Green (specific purpose) and General (general purpose)</t>
  </si>
  <si>
    <t>AC.005</t>
  </si>
  <si>
    <t>PRCNTG_ACTVTY</t>
  </si>
  <si>
    <t>Percentage of UoP</t>
  </si>
  <si>
    <t>AC.008</t>
  </si>
  <si>
    <t>FLG_SBSTNTL_CNTRBTN</t>
  </si>
  <si>
    <t>Substantial contribution compliance</t>
  </si>
  <si>
    <t>FLG_DNSH_CMPLNC</t>
  </si>
  <si>
    <t>DNSH compliance</t>
  </si>
  <si>
    <t>DNSH_DTL</t>
  </si>
  <si>
    <t>DNSH detail</t>
  </si>
  <si>
    <t>n/a</t>
  </si>
  <si>
    <t>val</t>
  </si>
  <si>
    <t>Campo eliminado</t>
  </si>
  <si>
    <t>Nome campo alterado</t>
  </si>
  <si>
    <t>ESTR</t>
  </si>
  <si>
    <t>AMBITO</t>
  </si>
  <si>
    <t>xx</t>
  </si>
  <si>
    <t>Novo Campo</t>
  </si>
  <si>
    <t>Descrição</t>
  </si>
  <si>
    <t>9. Concluído</t>
  </si>
  <si>
    <t>5.2 Em testes - Incidência</t>
  </si>
  <si>
    <t>2. Alterar especificação</t>
  </si>
  <si>
    <t>3. Pendente de decisão</t>
  </si>
  <si>
    <t>1. Especificar</t>
  </si>
  <si>
    <t>7. Analisar controlos e completude</t>
  </si>
  <si>
    <t>8. Concluído - sem dados</t>
  </si>
  <si>
    <t>4.1 Em implementação - Re-especificação</t>
  </si>
  <si>
    <t>5.1 Em testes - Re-especificação</t>
  </si>
  <si>
    <t>6. Outros Desenvolvimentos</t>
  </si>
  <si>
    <t>4.2 Em implementação - Incidência</t>
  </si>
  <si>
    <t>Status Data Lake</t>
  </si>
  <si>
    <t>val_GD</t>
  </si>
  <si>
    <t>val_ESTR</t>
  </si>
  <si>
    <t>val_PILAR3</t>
  </si>
  <si>
    <t>val_ESG_RISKS</t>
  </si>
  <si>
    <t>ATUAL_Structural 
ECB Loan Tape</t>
  </si>
  <si>
    <t>ATUAL_Green 
Dashboard</t>
  </si>
  <si>
    <t>ATUAL_Pillar III ESG</t>
  </si>
  <si>
    <t>ATUAL_Green Finance</t>
  </si>
  <si>
    <t>ATUAL_ESG Risks</t>
  </si>
  <si>
    <t>ATUAL_Leveraged Finance</t>
  </si>
  <si>
    <t>CONCAT</t>
  </si>
  <si>
    <t>ESTR &amp; GD &amp; PILAR3</t>
  </si>
  <si>
    <t>ESTR &amp; GD</t>
  </si>
  <si>
    <t>GD</t>
  </si>
  <si>
    <t>PILAR3</t>
  </si>
  <si>
    <t>ESG_RISKS</t>
  </si>
  <si>
    <t>LF</t>
  </si>
  <si>
    <t xml:space="preserve"> &amp; </t>
  </si>
  <si>
    <t>STATUS</t>
  </si>
  <si>
    <t>GFINANCE</t>
  </si>
  <si>
    <t>Sem alteração</t>
  </si>
  <si>
    <t>Nova tabela</t>
  </si>
  <si>
    <t>Nova Tabela</t>
  </si>
  <si>
    <t>Nova Tabela - Campo existente</t>
  </si>
  <si>
    <t>Campo eliminado - troca tabela</t>
  </si>
  <si>
    <t>GD &amp; PILAR3</t>
  </si>
  <si>
    <t>ESTR &amp; GFINANCE</t>
  </si>
  <si>
    <t>ESTR &amp; PILAR3</t>
  </si>
  <si>
    <t># Campos</t>
  </si>
  <si>
    <t>Alteração</t>
  </si>
  <si>
    <t>Âmbito</t>
  </si>
  <si>
    <t>Observações</t>
  </si>
  <si>
    <t>Sem alterações</t>
  </si>
  <si>
    <t>ESTR (&amp; outros)</t>
  </si>
  <si>
    <t>Fonte manual LF</t>
  </si>
  <si>
    <t>Status Data Lake (Detalhe)</t>
  </si>
  <si>
    <t>Total</t>
  </si>
  <si>
    <t>Leverage Finance = "Y"</t>
  </si>
  <si>
    <t>Leverage Finance = "N"</t>
  </si>
  <si>
    <t>De notar que 2 campos trocaram de tabela</t>
  </si>
  <si>
    <t>n.a.</t>
  </si>
  <si>
    <t>ESTR (&amp; Green Finance)</t>
  </si>
  <si>
    <t>Nome de campo alterado</t>
  </si>
  <si>
    <t>Total (excl. campos elim.)</t>
  </si>
  <si>
    <t>Sem impacto previsto a nível de re-especificação.</t>
  </si>
  <si>
    <t>Campos adicionados pela Corporação antes de abril e não contemplados no Data Lake.</t>
  </si>
  <si>
    <r>
      <t xml:space="preserve">De notar que destes campos (âmbito ESTR):
- </t>
    </r>
    <r>
      <rPr>
        <b/>
        <sz val="10"/>
        <color theme="7"/>
        <rFont val="Arial"/>
        <family val="2"/>
        <scheme val="major"/>
      </rPr>
      <t>29</t>
    </r>
    <r>
      <rPr>
        <sz val="10"/>
        <color theme="1"/>
        <rFont val="Arial"/>
        <family val="2"/>
        <scheme val="major"/>
      </rPr>
      <t xml:space="preserve"> estão sem dados/pouca qualidade com necessidades de (re)-especificações (Salários, Demonstrações Financeiras CIB)
- </t>
    </r>
    <r>
      <rPr>
        <b/>
        <sz val="10"/>
        <color theme="7"/>
        <rFont val="Arial"/>
        <family val="2"/>
        <scheme val="major"/>
      </rPr>
      <t>27</t>
    </r>
    <r>
      <rPr>
        <sz val="10"/>
        <color theme="1"/>
        <rFont val="Arial"/>
        <family val="2"/>
        <scheme val="major"/>
      </rPr>
      <t xml:space="preserve"> em testes/implementação
- </t>
    </r>
    <r>
      <rPr>
        <b/>
        <sz val="10"/>
        <color theme="7"/>
        <rFont val="Arial"/>
        <family val="2"/>
        <scheme val="major"/>
      </rPr>
      <t>42</t>
    </r>
    <r>
      <rPr>
        <sz val="10"/>
        <color theme="1"/>
        <rFont val="Arial"/>
        <family val="2"/>
        <scheme val="major"/>
      </rPr>
      <t xml:space="preserve"> com incidências nos controlos corporativos</t>
    </r>
  </si>
  <si>
    <t>Comparação com lista ATUAL</t>
  </si>
  <si>
    <t>Estimação Horas</t>
  </si>
  <si>
    <t>Tipologia de testes</t>
  </si>
  <si>
    <t>Categorização de Testes</t>
  </si>
  <si>
    <t>Baixa</t>
  </si>
  <si>
    <t>Média</t>
  </si>
  <si>
    <t>Alta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</si>
  <si>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</si>
  <si>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</si>
  <si>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Validação de formato de acordo com o que é esperado pela Corporação (incluindo validação de codelists, missing e default values)
Validar especificação e controlos da especificação vs o que está implementado</t>
  </si>
  <si>
    <t>Validar controlos corporativos e se a especificação cumpre os requisitos.</t>
  </si>
  <si>
    <t xml:space="preserve">A partir da simulação realizada, comparar com as parametrizações implementadas por IT (code list). </t>
  </si>
  <si>
    <t>Estimativas</t>
  </si>
  <si>
    <t>2. Testes comparativos</t>
  </si>
  <si>
    <t>3. Val. Code List</t>
  </si>
  <si>
    <t>4. Val. Formatos</t>
  </si>
  <si>
    <t>5. Val.Controlos Corp.</t>
  </si>
  <si>
    <t>VARCHAR2(5)</t>
  </si>
  <si>
    <t>Code List</t>
  </si>
  <si>
    <t>DATE</t>
  </si>
  <si>
    <t>VARCHAR2(255)</t>
  </si>
  <si>
    <t>Y, N</t>
  </si>
  <si>
    <t>FLOAT 2 decimal places</t>
  </si>
  <si>
    <t>FLOAT 6 decimal places</t>
  </si>
  <si>
    <t>INTEGER</t>
  </si>
  <si>
    <t>VARCHAR2(60)</t>
  </si>
  <si>
    <t>format</t>
  </si>
  <si>
    <t>Complexidade
(todos)</t>
  </si>
  <si>
    <t>Complexidade (code list)</t>
  </si>
  <si>
    <t>Capital</t>
  </si>
  <si>
    <t>Especificação</t>
  </si>
  <si>
    <t>Levantamento de informação e especificação de requisitos</t>
  </si>
  <si>
    <t>MV</t>
  </si>
  <si>
    <t>M. Baixa</t>
  </si>
  <si>
    <t>Total Testes</t>
  </si>
  <si>
    <t>Simulação</t>
  </si>
  <si>
    <t>M. Alta</t>
  </si>
  <si>
    <t>default</t>
  </si>
  <si>
    <t>mudança de fonte ifrs</t>
  </si>
  <si>
    <t>Quem está a solicitar esta informação? &gt;&gt; 25 campos ESTR &gt;&gt; custo à unidade</t>
  </si>
  <si>
    <r>
      <t xml:space="preserve">Apenas 1 campo reportado na LT estrutural (questionar corporação) &gt;&gt;&gt; </t>
    </r>
    <r>
      <rPr>
        <b/>
        <sz val="10"/>
        <color theme="1"/>
        <rFont val="Arial"/>
        <family val="2"/>
        <scheme val="major"/>
      </rPr>
      <t>é para ESG</t>
    </r>
  </si>
  <si>
    <t>Confirmar com ficheiro enviado pela Raquel &gt; LF</t>
  </si>
  <si>
    <t>Green finance + ESG Risks o que são e para que são utilizados &gt;&gt; 7+12</t>
  </si>
  <si>
    <t>Adicionar flag de marcação</t>
  </si>
  <si>
    <t>Ver com a Zeneida se os de CIB podem não ser preenchidos pq vêm do AQUA &gt; corporativo</t>
  </si>
  <si>
    <t>Contabilidade</t>
  </si>
  <si>
    <r>
      <t>De notar que destes campos:
-</t>
    </r>
    <r>
      <rPr>
        <b/>
        <sz val="10"/>
        <color theme="7"/>
        <rFont val="Arial"/>
        <family val="2"/>
        <scheme val="major"/>
      </rPr>
      <t xml:space="preserve"> 9</t>
    </r>
    <r>
      <rPr>
        <sz val="10"/>
        <color theme="1"/>
        <rFont val="Arial"/>
        <family val="2"/>
        <scheme val="major"/>
      </rPr>
      <t xml:space="preserve"> provém da fonte manual de LF (lt601_lev_fin)
- </t>
    </r>
    <r>
      <rPr>
        <b/>
        <sz val="10"/>
        <color theme="7"/>
        <rFont val="Arial"/>
        <family val="2"/>
        <scheme val="major"/>
      </rPr>
      <t>39</t>
    </r>
    <r>
      <rPr>
        <sz val="10"/>
        <color theme="1"/>
        <rFont val="Arial"/>
        <family val="2"/>
        <scheme val="major"/>
      </rPr>
      <t xml:space="preserve"> estão sem dados/pouca qualidade com necessidades de (re)-especificações (Sindicados, Demonstrações Financeiras CIB, Re-estruturados)
- </t>
    </r>
    <r>
      <rPr>
        <b/>
        <sz val="10"/>
        <color theme="7"/>
        <rFont val="Arial"/>
        <family val="2"/>
        <scheme val="major"/>
      </rPr>
      <t>24</t>
    </r>
    <r>
      <rPr>
        <sz val="10"/>
        <color theme="1"/>
        <rFont val="Arial"/>
        <family val="2"/>
        <scheme val="major"/>
      </rPr>
      <t xml:space="preserve"> em testes/implementação
- </t>
    </r>
    <r>
      <rPr>
        <b/>
        <sz val="10"/>
        <color theme="7"/>
        <rFont val="Arial"/>
        <family val="2"/>
        <scheme val="major"/>
      </rPr>
      <t>15</t>
    </r>
    <r>
      <rPr>
        <sz val="10"/>
        <color theme="1"/>
        <rFont val="Arial"/>
        <family val="2"/>
        <scheme val="major"/>
      </rPr>
      <t xml:space="preserve"> com incidências nos controlos corporativos</t>
    </r>
  </si>
  <si>
    <t>6. Testes Regressivos</t>
  </si>
  <si>
    <t>Testar que, com reprocessamentos, nenhum outro campo foi alterado (aplicável a toda a LT)</t>
  </si>
  <si>
    <t>Janeiro</t>
  </si>
  <si>
    <t>Fevereiro</t>
  </si>
  <si>
    <t>Março</t>
  </si>
  <si>
    <t>Abril</t>
  </si>
  <si>
    <t>FTE ESP.</t>
  </si>
  <si>
    <t>FTE REAIS</t>
  </si>
  <si>
    <t>VAL</t>
  </si>
  <si>
    <t>Duração (horas)</t>
  </si>
  <si>
    <t>Testes</t>
  </si>
  <si>
    <t>Gestão Projeto</t>
  </si>
  <si>
    <t>Re-testes</t>
  </si>
  <si>
    <t>7. Re-testes</t>
  </si>
  <si>
    <t>Pressupostos</t>
  </si>
  <si>
    <t>O esforço estimado de implementação de IT corresponde a metade do tempo estimado para especificação dos campos</t>
  </si>
  <si>
    <t>Implementações de IT</t>
  </si>
  <si>
    <t>As implementações devem começar 2 semanas após o envio das definições de requisitos</t>
  </si>
  <si>
    <t>Serão realizados testes regressivos de 3 em 3 semanas (com base em reprocessamentos sobre as várias entregas)</t>
  </si>
  <si>
    <t>Assume-se que 20% dos campos entregues terão incidências/re-especificações de pequenos ajustos e devem ser re-implementados</t>
  </si>
  <si>
    <t>Não serão realizados re-testes para as streams 4, 5 e 6 uma vez que as mesmas já pressupõe testes anteriores.</t>
  </si>
  <si>
    <t>Especificação de Requisitos - P3</t>
  </si>
  <si>
    <t>Especificação de Requisitos - ESG Risks</t>
  </si>
  <si>
    <t>Simulação campos (P3 + ESG Risks)</t>
  </si>
  <si>
    <t>Testes Campos (P3 + ESG Risks)</t>
  </si>
  <si>
    <t>1. Re-especificações + Simulação + Testes + Re-testes requisitos atuais)</t>
  </si>
  <si>
    <t>2. Novos Campos (Especificação + Simulação + Testes+ Re-testes)</t>
  </si>
  <si>
    <t>MunichRe</t>
  </si>
  <si>
    <t>Gloval - Tabela intermédia</t>
  </si>
  <si>
    <t>Duração (Dias)</t>
  </si>
  <si>
    <t>Horas Total</t>
  </si>
  <si>
    <t>Horas Novos Requisitos</t>
  </si>
  <si>
    <t>SMART TOTAL</t>
  </si>
  <si>
    <t>SMART NOVOS REQUISITOS</t>
  </si>
  <si>
    <t>Parque de campos</t>
  </si>
  <si>
    <t>Não será contemplado no âmbito da proposta - Campos do LT ESTR</t>
  </si>
  <si>
    <t>Âmbito de proposta - Especificação &amp; Simular</t>
  </si>
  <si>
    <t>ESG_RISKS &amp; ESTR</t>
  </si>
  <si>
    <t>Âmbito de proposta - Especificação</t>
  </si>
  <si>
    <t>ESG_RISKS &amp; ESTR &amp; GD</t>
  </si>
  <si>
    <t>SB - Validar com CdG</t>
  </si>
  <si>
    <t>Não será contemplado no âmbito da proposta - Banco não tem esta informação na fonte/Sem materialidade</t>
  </si>
  <si>
    <t xml:space="preserve"> </t>
  </si>
  <si>
    <t>DEZEMBRO</t>
  </si>
  <si>
    <t xml:space="preserve">Est anterior </t>
  </si>
  <si>
    <t>INSTRUMENT_COD_SOC</t>
  </si>
  <si>
    <t>INSTRUMENT_SUBPORTFOLIO_ID</t>
  </si>
  <si>
    <t>INSTRUMENT_DT_RFRNC</t>
  </si>
  <si>
    <t>INSTRUMENT_INSTRMNT_ID</t>
  </si>
  <si>
    <t>INSTRUMENT_DFLT_STTS_INSTRMNT</t>
  </si>
  <si>
    <t>INSTRUMENT_IMPRMNT_STTS</t>
  </si>
  <si>
    <t>INSTRUMENT_PRFRMNG_STTS</t>
  </si>
  <si>
    <t>INSTRUMENT_TYP_INSTRMNT</t>
  </si>
  <si>
    <t>INSTRUMENT_GRSS_CRRYNG_AMNT_INSTRMNT</t>
  </si>
  <si>
    <t>INSTRUMENT_ACCMLTD_CHNGS_FV_CR_INSTRMNT</t>
  </si>
  <si>
    <t>INSTRUMENT_ACCNTNG_CLSSFCTN</t>
  </si>
  <si>
    <t>INSTRUMENT_CCF</t>
  </si>
  <si>
    <t>INSTRUMENT_EAD</t>
  </si>
  <si>
    <t>INSTRUMENT_OFF_BLNC_SHT_AMNT_INSTRMNT</t>
  </si>
  <si>
    <t>INSTRUMENT_PRVSNS_OFF_BLNC_SHT</t>
  </si>
  <si>
    <t>INSTRUMENT_RWA</t>
  </si>
  <si>
    <t>INSTRUMENT_ACCMLTD_IMPRMNT_INSTRMNT</t>
  </si>
  <si>
    <t>INSTRUMENT_COD_SOC_INTRGRP</t>
  </si>
  <si>
    <t>INSTRUMENT_LCL_INSTMRNT_ID</t>
  </si>
  <si>
    <t>INSTRUMENT_AVRG_BLNC</t>
  </si>
  <si>
    <t>INSTRUMENT_NW_BSNSS</t>
  </si>
  <si>
    <t>INSTRUMENT_GRSS_INTRST_INCM</t>
  </si>
  <si>
    <t>INSTRUMENT_GRSS_CMMSSN_INCM</t>
  </si>
  <si>
    <t>INSTRUMENT_INTRNL_TRNSFR_RT</t>
  </si>
  <si>
    <t>INSTRUMENT_NT_LN_LSS_PRVSN</t>
  </si>
  <si>
    <t>INSTRUMENT_BSNSS_AREA</t>
  </si>
  <si>
    <t>INSTRUMENT_MNGMNT_PRDCT</t>
  </si>
  <si>
    <t>INSTRUMENT_GRSS_CMMSSN_EXPNS</t>
  </si>
  <si>
    <t>INSTRUMENT_GNS_FNNCL_TRNSCTN_EXCHNG_DFFRNCS</t>
  </si>
  <si>
    <t>INSTRUMENT_FLG_INTRBSNSS</t>
  </si>
  <si>
    <t>INSTRUMENT_INTRBSNSS_ADJ_COD</t>
  </si>
  <si>
    <t>INSTRUMENT_COD_SOC_DSTNTN</t>
  </si>
  <si>
    <t>INSTRUMENT_BSNSS_AREA_DSTNTN</t>
  </si>
  <si>
    <t>INSTRUMENT_AVRG_BLNC_OFF_BLNC</t>
  </si>
  <si>
    <t>INSTRUMENT_INTRNL_TRNSFR_RT_OFF_BLNC</t>
  </si>
  <si>
    <t>INSTRUMENT_GRSS_CMMSSN_INCM_OFF_BLNC</t>
  </si>
  <si>
    <t>INSTRUMENT_GRSS_CMMSSN_EXPNS_OFF_BLNC</t>
  </si>
  <si>
    <t>INSTRUMENT_RWA_OFF_BLNC</t>
  </si>
  <si>
    <t>INSTRUMENT_GRSS_INTRST_EXPNS</t>
  </si>
  <si>
    <t>INSTRUMENT_NT_LN_LSS_PRVSN_OFF_BLNC</t>
  </si>
  <si>
    <t>INSTRUMENT_GRSS_INTRST_INCM_CCRR</t>
  </si>
  <si>
    <t>INSTRUMENT_GRSS_INTRST_EXPNS_CCRR</t>
  </si>
  <si>
    <t>INSTRUMENT_GRSS_CMMSSN_INCM_CCRR</t>
  </si>
  <si>
    <t>INSTRUMENT_GRSS_CMMSSN_EXPNS_CCRR</t>
  </si>
  <si>
    <t>INSTRUMENT_GNS_FNNCL_TRNSCTN_EXCHNG_CCRR</t>
  </si>
  <si>
    <t>INSTRUMENT_BSNSS_AREA_CCRR</t>
  </si>
  <si>
    <t>INSTRUMENT_GRSS_CMMSSN_INCM_OFF_BLNC_CCRR</t>
  </si>
  <si>
    <t>INSTRUMENT_GRSS_CMMSSN_EXPNS_OFF_BLNC_CCRR</t>
  </si>
  <si>
    <t>INSTRUMENT_CNCLLD_INSTRMNT_STTS</t>
  </si>
  <si>
    <t>INSTRUMENT_IDCMB</t>
  </si>
  <si>
    <t>INSTRUMENT_TYP_OFF_BLNC_PRDCT</t>
  </si>
  <si>
    <t>INSTR_PROTECTION_COD_SOC</t>
  </si>
  <si>
    <t>INSTR_PROTECTION_DT_RFRNC</t>
  </si>
  <si>
    <t>INSTR_PROTECTION_INSTRMNT_ID</t>
  </si>
  <si>
    <t>INSTR_PROTECTION_PRTCTN_ID</t>
  </si>
  <si>
    <t>INSTR_PROTECTION_TYP_RLTN</t>
  </si>
  <si>
    <t>PROTECTION_COD_SOC</t>
  </si>
  <si>
    <t>PROTECTION_DT_RFRNC</t>
  </si>
  <si>
    <t>PROTECTION_PRTCTN_ID</t>
  </si>
  <si>
    <t>PROTECTION_TYP_PRTCTN</t>
  </si>
  <si>
    <t>PROTECTION_PRTCTN_VL</t>
  </si>
  <si>
    <t>PROTECTION_FLG_ELCTRC_VHCL</t>
  </si>
  <si>
    <t>INSTR_ACTIVITY_COD_SOC</t>
  </si>
  <si>
    <t>INSTR_ACTIVITY_DT_RFRNC</t>
  </si>
  <si>
    <t>INSTR_ACTIVITY_INSTRMNT_ID</t>
  </si>
  <si>
    <t>INSTR_ACTIVITY_SSTNBL_CTGRY</t>
  </si>
  <si>
    <t>INSTR_ACTIVITY_PRCNTG_ACTVTY</t>
  </si>
  <si>
    <t>INSTR_ACTIVITY_SSTNBL_INDCTR</t>
  </si>
  <si>
    <t xml:space="preserve">Cenário </t>
  </si>
  <si>
    <t>SCA   SCB1</t>
  </si>
  <si>
    <t>SCA   SCB 2</t>
  </si>
  <si>
    <t>Tempo SC1</t>
  </si>
  <si>
    <t>Tempo SC B1</t>
  </si>
  <si>
    <t>Tempo SC B2</t>
  </si>
  <si>
    <t>Mês 1</t>
  </si>
  <si>
    <t>Mês 2</t>
  </si>
  <si>
    <t>Mês 3</t>
  </si>
  <si>
    <t>0. Gestão Projeto</t>
  </si>
  <si>
    <t>1. Set-Up</t>
  </si>
  <si>
    <t>2. Assessment ao Green Dashboard (Esp. Atual)</t>
  </si>
  <si>
    <t>3. Re-testes aos campos concluídos do GD âmbito projeto anterior</t>
  </si>
  <si>
    <t>4. Especificação de novos requisitos</t>
  </si>
  <si>
    <t>5. Testes/Re-testes</t>
  </si>
  <si>
    <t>5. Documentação</t>
  </si>
  <si>
    <t>Flg Concluído</t>
  </si>
  <si>
    <t xml:space="preserve">Testes ao Universo </t>
  </si>
  <si>
    <t>Testes aos Campos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</si>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</sst>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"/>
    <numFmt numFmtId="165" formatCode="dd"/>
    <numFmt numFmtId="166" formatCode="0.0"/>
    <numFmt numFmtId="167" formatCode="0.000"/>
    <numFmt numFmtId="168" formatCode="0.0000"/>
    <numFmt numFmtId="169" formatCode="0.00000"/>
  </numFmts>
  <fonts count="46" x14ac:knownFonts="1"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trike/>
      <sz val="11"/>
      <color rgb="FFFF0000"/>
      <name val="Arial"/>
      <family val="2"/>
      <scheme val="minor"/>
    </font>
    <font>
      <strike/>
      <sz val="11"/>
      <color rgb="FFFF0000"/>
      <name val="Arial"/>
      <family val="2"/>
      <scheme val="minor"/>
    </font>
    <font>
      <b/>
      <strike/>
      <sz val="11"/>
      <name val="Arial"/>
      <family val="2"/>
      <scheme val="minor"/>
    </font>
    <font>
      <strike/>
      <sz val="11"/>
      <name val="Arial"/>
      <family val="2"/>
      <scheme val="minor"/>
    </font>
    <font>
      <b/>
      <sz val="11"/>
      <color theme="0" tint="-0.249977111117893"/>
      <name val="Arial"/>
      <family val="2"/>
      <scheme val="minor"/>
    </font>
    <font>
      <b/>
      <sz val="10"/>
      <color theme="0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7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sz val="10"/>
      <color theme="0"/>
      <name val="Arial"/>
      <family val="2"/>
      <scheme val="major"/>
    </font>
    <font>
      <b/>
      <sz val="10"/>
      <name val="Arial"/>
      <family val="2"/>
      <scheme val="major"/>
    </font>
    <font>
      <b/>
      <u/>
      <sz val="10"/>
      <color rgb="FFFF0000"/>
      <name val="Arial"/>
      <family val="2"/>
      <scheme val="maj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3"/>
      <name val="Arial"/>
      <family val="2"/>
      <scheme val="major"/>
    </font>
    <font>
      <b/>
      <sz val="8"/>
      <color theme="1"/>
      <name val="Arial"/>
      <family val="2"/>
      <scheme val="major"/>
    </font>
    <font>
      <b/>
      <sz val="8"/>
      <color theme="3"/>
      <name val="Arial"/>
      <family val="2"/>
      <scheme val="major"/>
    </font>
    <font>
      <sz val="8"/>
      <color theme="1"/>
      <name val="Arial"/>
      <family val="2"/>
      <scheme val="major"/>
    </font>
    <font>
      <sz val="8"/>
      <color theme="1"/>
      <name val="Arial"/>
      <family val="2"/>
      <scheme val="minor"/>
    </font>
    <font>
      <sz val="8"/>
      <color theme="0" tint="-0.499984740745262"/>
      <name val="Arial"/>
      <family val="2"/>
      <scheme val="major"/>
    </font>
    <font>
      <sz val="10"/>
      <color theme="3"/>
      <name val="Arial"/>
      <family val="2"/>
      <scheme val="major"/>
    </font>
    <font>
      <sz val="10"/>
      <name val="Arial"/>
      <family val="2"/>
      <scheme val="major"/>
    </font>
    <font>
      <sz val="10"/>
      <color theme="0" tint="-0.14999847407452621"/>
      <name val="Arial"/>
      <family val="2"/>
      <scheme val="major"/>
    </font>
    <font>
      <b/>
      <sz val="10"/>
      <color theme="1"/>
      <name val="Santander Text"/>
      <family val="2"/>
    </font>
    <font>
      <b/>
      <sz val="11"/>
      <color theme="1"/>
      <name val="Santander Text"/>
      <family val="2"/>
    </font>
    <font>
      <b/>
      <sz val="8"/>
      <color theme="1"/>
      <name val="Arial"/>
      <family val="2"/>
      <scheme val="minor"/>
    </font>
    <font>
      <b/>
      <sz val="8"/>
      <color theme="0" tint="-0.499984740745262"/>
      <name val="Arial"/>
      <family val="2"/>
      <scheme val="major"/>
    </font>
    <font>
      <b/>
      <sz val="8"/>
      <name val="Arial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249977111117893"/>
      <name val="Arial"/>
      <family val="2"/>
      <scheme val="minor"/>
    </font>
    <font>
      <sz val="11"/>
      <color theme="3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rgb="FF8CC1C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9BAFCD"/>
      </right>
      <top style="thin">
        <color rgb="FF9BAFCD"/>
      </top>
      <bottom/>
      <diagonal/>
    </border>
    <border>
      <left/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rgb="FF9BAFCD"/>
      </left>
      <right style="thin">
        <color rgb="FF9BAFCD"/>
      </right>
      <top style="thin">
        <color rgb="FF9BAFCD"/>
      </top>
      <bottom style="thin">
        <color rgb="FF9BAFCD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0" borderId="3" xfId="0" applyBorder="1" applyAlignment="1">
      <alignment vertical="top"/>
    </xf>
    <xf numFmtId="0" fontId="7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9" fontId="7" fillId="0" borderId="2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left" vertical="center"/>
    </xf>
    <xf numFmtId="9" fontId="0" fillId="0" borderId="3" xfId="0" applyNumberForma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9" fontId="8" fillId="0" borderId="3" xfId="0" applyNumberFormat="1" applyFont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0" fontId="8" fillId="0" borderId="3" xfId="0" applyFont="1" applyBorder="1" applyAlignment="1">
      <alignment vertical="top"/>
    </xf>
    <xf numFmtId="0" fontId="8" fillId="0" borderId="3" xfId="0" applyFont="1" applyBorder="1"/>
    <xf numFmtId="0" fontId="8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top"/>
    </xf>
    <xf numFmtId="0" fontId="8" fillId="4" borderId="2" xfId="0" applyFont="1" applyFill="1" applyBorder="1" applyAlignment="1">
      <alignment horizontal="center" vertical="center"/>
    </xf>
    <xf numFmtId="0" fontId="3" fillId="4" borderId="3" xfId="0" applyFont="1" applyFill="1" applyBorder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7" xfId="0" applyBorder="1"/>
    <xf numFmtId="0" fontId="0" fillId="0" borderId="8" xfId="0" applyBorder="1"/>
    <xf numFmtId="0" fontId="0" fillId="10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0" borderId="10" xfId="0" applyBorder="1"/>
    <xf numFmtId="0" fontId="15" fillId="16" borderId="12" xfId="0" applyFont="1" applyFill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15" borderId="0" xfId="0" applyFont="1" applyFill="1"/>
    <xf numFmtId="0" fontId="17" fillId="15" borderId="0" xfId="0" applyFont="1" applyFill="1" applyAlignment="1">
      <alignment vertical="center" wrapText="1"/>
    </xf>
    <xf numFmtId="0" fontId="17" fillId="15" borderId="0" xfId="0" applyFont="1" applyFill="1"/>
    <xf numFmtId="0" fontId="18" fillId="0" borderId="0" xfId="0" applyFont="1"/>
    <xf numFmtId="0" fontId="18" fillId="4" borderId="0" xfId="0" applyFont="1" applyFill="1"/>
    <xf numFmtId="0" fontId="16" fillId="0" borderId="15" xfId="0" applyFont="1" applyBorder="1" applyAlignment="1">
      <alignment horizontal="left" vertical="center" wrapText="1"/>
    </xf>
    <xf numFmtId="0" fontId="16" fillId="13" borderId="12" xfId="0" applyFont="1" applyFill="1" applyBorder="1" applyAlignment="1">
      <alignment vertical="center" wrapText="1"/>
    </xf>
    <xf numFmtId="0" fontId="17" fillId="1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17" borderId="0" xfId="0" applyFont="1" applyFill="1" applyAlignment="1">
      <alignment horizontal="centerContinuous" vertical="center"/>
    </xf>
    <xf numFmtId="0" fontId="20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left" vertical="center"/>
    </xf>
    <xf numFmtId="0" fontId="2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Continuous" vertical="center"/>
    </xf>
    <xf numFmtId="0" fontId="5" fillId="18" borderId="0" xfId="0" applyFont="1" applyFill="1" applyAlignment="1">
      <alignment horizontal="centerContinuous" vertical="center"/>
    </xf>
    <xf numFmtId="0" fontId="1" fillId="0" borderId="12" xfId="0" applyFont="1" applyBorder="1" applyAlignment="1">
      <alignment vertical="center"/>
    </xf>
    <xf numFmtId="0" fontId="7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14" borderId="12" xfId="0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2" xfId="0" applyFill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top"/>
    </xf>
    <xf numFmtId="0" fontId="8" fillId="0" borderId="12" xfId="0" applyFont="1" applyBorder="1"/>
    <xf numFmtId="0" fontId="7" fillId="4" borderId="12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vertical="center"/>
    </xf>
    <xf numFmtId="9" fontId="7" fillId="0" borderId="12" xfId="0" applyNumberFormat="1" applyFont="1" applyBorder="1" applyAlignment="1">
      <alignment horizontal="left" vertical="center"/>
    </xf>
    <xf numFmtId="9" fontId="8" fillId="0" borderId="12" xfId="0" applyNumberFormat="1" applyFont="1" applyBorder="1" applyAlignment="1">
      <alignment vertical="center"/>
    </xf>
    <xf numFmtId="0" fontId="8" fillId="9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vertical="center"/>
    </xf>
    <xf numFmtId="0" fontId="2" fillId="19" borderId="12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vertical="center"/>
    </xf>
    <xf numFmtId="0" fontId="22" fillId="17" borderId="0" xfId="0" applyFont="1" applyFill="1" applyAlignment="1">
      <alignment horizontal="centerContinuous" vertical="center"/>
    </xf>
    <xf numFmtId="0" fontId="16" fillId="0" borderId="0" xfId="0" applyFont="1"/>
    <xf numFmtId="0" fontId="23" fillId="16" borderId="12" xfId="0" applyFont="1" applyFill="1" applyBorder="1" applyAlignment="1">
      <alignment horizontal="centerContinuous" vertical="center"/>
    </xf>
    <xf numFmtId="0" fontId="24" fillId="21" borderId="12" xfId="0" applyFont="1" applyFill="1" applyBorder="1" applyAlignment="1">
      <alignment horizontal="left"/>
    </xf>
    <xf numFmtId="0" fontId="16" fillId="21" borderId="12" xfId="0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2" xfId="0" quotePrefix="1" applyFont="1" applyBorder="1" applyAlignment="1">
      <alignment wrapText="1"/>
    </xf>
    <xf numFmtId="0" fontId="16" fillId="0" borderId="12" xfId="0" applyFont="1" applyBorder="1" applyAlignment="1">
      <alignment horizontal="center" vertical="center"/>
    </xf>
    <xf numFmtId="0" fontId="16" fillId="9" borderId="12" xfId="0" applyFont="1" applyFill="1" applyBorder="1" applyAlignment="1">
      <alignment vertical="center"/>
    </xf>
    <xf numFmtId="0" fontId="15" fillId="16" borderId="12" xfId="0" applyFont="1" applyFill="1" applyBorder="1" applyAlignment="1">
      <alignment horizontal="centerContinuous"/>
    </xf>
    <xf numFmtId="0" fontId="25" fillId="0" borderId="0" xfId="0" applyFont="1"/>
    <xf numFmtId="0" fontId="0" fillId="0" borderId="9" xfId="0" applyBorder="1"/>
    <xf numFmtId="0" fontId="0" fillId="0" borderId="11" xfId="0" applyBorder="1"/>
    <xf numFmtId="0" fontId="2" fillId="20" borderId="16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2" fillId="22" borderId="12" xfId="0" applyFont="1" applyFill="1" applyBorder="1" applyAlignment="1">
      <alignment horizontal="centerContinuous" vertical="center"/>
    </xf>
    <xf numFmtId="0" fontId="5" fillId="22" borderId="12" xfId="0" applyFont="1" applyFill="1" applyBorder="1" applyAlignment="1">
      <alignment horizontal="centerContinuous" vertical="center"/>
    </xf>
    <xf numFmtId="0" fontId="4" fillId="12" borderId="12" xfId="0" applyFont="1" applyFill="1" applyBorder="1" applyAlignment="1">
      <alignment vertical="center" wrapText="1"/>
    </xf>
    <xf numFmtId="0" fontId="0" fillId="10" borderId="12" xfId="0" applyFill="1" applyBorder="1" applyAlignment="1">
      <alignment vertical="center"/>
    </xf>
    <xf numFmtId="0" fontId="4" fillId="19" borderId="14" xfId="0" applyFont="1" applyFill="1" applyBorder="1" applyAlignment="1">
      <alignment vertical="center"/>
    </xf>
    <xf numFmtId="0" fontId="0" fillId="13" borderId="12" xfId="0" applyFill="1" applyBorder="1" applyAlignment="1">
      <alignment vertical="center"/>
    </xf>
    <xf numFmtId="0" fontId="26" fillId="0" borderId="0" xfId="0" applyFont="1"/>
    <xf numFmtId="0" fontId="27" fillId="0" borderId="0" xfId="0" applyFont="1"/>
    <xf numFmtId="0" fontId="16" fillId="10" borderId="12" xfId="0" applyFont="1" applyFill="1" applyBorder="1" applyAlignment="1">
      <alignment vertical="center" wrapText="1"/>
    </xf>
    <xf numFmtId="0" fontId="0" fillId="10" borderId="0" xfId="0" applyFill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5" fillId="3" borderId="18" xfId="0" applyFont="1" applyFill="1" applyBorder="1" applyAlignment="1">
      <alignment horizontal="centerContinuous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 indent="2"/>
    </xf>
    <xf numFmtId="0" fontId="34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4" fillId="12" borderId="16" xfId="0" applyFont="1" applyFill="1" applyBorder="1" applyAlignment="1">
      <alignment vertical="center" wrapText="1"/>
    </xf>
    <xf numFmtId="0" fontId="0" fillId="12" borderId="16" xfId="0" applyFill="1" applyBorder="1" applyAlignment="1">
      <alignment vertical="center"/>
    </xf>
    <xf numFmtId="9" fontId="0" fillId="0" borderId="12" xfId="0" applyNumberFormat="1" applyBorder="1" applyAlignment="1">
      <alignment vertical="center"/>
    </xf>
    <xf numFmtId="0" fontId="4" fillId="12" borderId="14" xfId="0" applyFont="1" applyFill="1" applyBorder="1" applyAlignment="1">
      <alignment vertical="center" wrapText="1"/>
    </xf>
    <xf numFmtId="0" fontId="16" fillId="0" borderId="20" xfId="0" applyFont="1" applyBorder="1" applyAlignment="1">
      <alignment vertical="center"/>
    </xf>
    <xf numFmtId="0" fontId="26" fillId="0" borderId="0" xfId="0" applyFont="1" applyAlignment="1">
      <alignment horizontal="left" indent="1"/>
    </xf>
    <xf numFmtId="164" fontId="37" fillId="23" borderId="0" xfId="0" applyNumberFormat="1" applyFont="1" applyFill="1" applyAlignment="1">
      <alignment horizontal="center" vertical="center"/>
    </xf>
    <xf numFmtId="165" fontId="38" fillId="24" borderId="0" xfId="0" applyNumberFormat="1" applyFont="1" applyFill="1" applyAlignment="1" applyProtection="1">
      <alignment horizontal="center" vertical="center"/>
      <protection hidden="1"/>
    </xf>
    <xf numFmtId="14" fontId="16" fillId="0" borderId="0" xfId="0" applyNumberFormat="1" applyFont="1" applyAlignment="1">
      <alignment vertical="center"/>
    </xf>
    <xf numFmtId="0" fontId="0" fillId="25" borderId="21" xfId="0" applyFill="1" applyBorder="1"/>
    <xf numFmtId="0" fontId="16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0" fontId="39" fillId="0" borderId="0" xfId="0" applyFont="1"/>
    <xf numFmtId="0" fontId="24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0" fontId="28" fillId="12" borderId="0" xfId="0" applyFont="1" applyFill="1" applyAlignment="1">
      <alignment vertical="center"/>
    </xf>
    <xf numFmtId="0" fontId="17" fillId="12" borderId="0" xfId="0" applyFont="1" applyFill="1" applyAlignment="1">
      <alignment horizontal="center" vertical="center"/>
    </xf>
    <xf numFmtId="0" fontId="39" fillId="12" borderId="0" xfId="0" applyFont="1" applyFill="1"/>
    <xf numFmtId="0" fontId="1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 indent="2"/>
    </xf>
    <xf numFmtId="0" fontId="34" fillId="0" borderId="0" xfId="0" applyFont="1" applyAlignment="1">
      <alignment horizontal="left" vertical="center" indent="4"/>
    </xf>
    <xf numFmtId="2" fontId="17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left" vertical="center"/>
    </xf>
    <xf numFmtId="2" fontId="17" fillId="0" borderId="0" xfId="0" applyNumberFormat="1" applyFont="1" applyAlignment="1">
      <alignment horizontal="left" vertical="center"/>
    </xf>
    <xf numFmtId="2" fontId="28" fillId="0" borderId="0" xfId="0" applyNumberFormat="1" applyFont="1" applyAlignment="1">
      <alignment vertical="center"/>
    </xf>
    <xf numFmtId="2" fontId="17" fillId="12" borderId="0" xfId="0" applyNumberFormat="1" applyFont="1" applyFill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vertical="center"/>
    </xf>
    <xf numFmtId="0" fontId="16" fillId="14" borderId="20" xfId="0" applyFont="1" applyFill="1" applyBorder="1" applyAlignment="1">
      <alignment vertical="center"/>
    </xf>
    <xf numFmtId="0" fontId="16" fillId="26" borderId="20" xfId="0" applyFont="1" applyFill="1" applyBorder="1" applyAlignment="1">
      <alignment vertical="center"/>
    </xf>
    <xf numFmtId="0" fontId="24" fillId="27" borderId="0" xfId="0" applyFont="1" applyFill="1" applyAlignment="1">
      <alignment horizontal="left" vertical="center"/>
    </xf>
    <xf numFmtId="0" fontId="17" fillId="27" borderId="0" xfId="0" applyFont="1" applyFill="1" applyAlignment="1">
      <alignment horizontal="left" vertical="center"/>
    </xf>
    <xf numFmtId="0" fontId="28" fillId="27" borderId="0" xfId="0" applyFont="1" applyFill="1" applyAlignment="1">
      <alignment vertical="center"/>
    </xf>
    <xf numFmtId="0" fontId="17" fillId="27" borderId="0" xfId="0" applyFont="1" applyFill="1" applyAlignment="1">
      <alignment horizontal="center" vertical="center"/>
    </xf>
    <xf numFmtId="2" fontId="17" fillId="27" borderId="0" xfId="0" applyNumberFormat="1" applyFont="1" applyFill="1" applyAlignment="1">
      <alignment horizontal="center" vertical="center"/>
    </xf>
    <xf numFmtId="0" fontId="39" fillId="27" borderId="0" xfId="0" applyFont="1" applyFill="1"/>
    <xf numFmtId="0" fontId="40" fillId="0" borderId="0" xfId="0" applyFont="1" applyAlignment="1">
      <alignment horizontal="center" vertical="center"/>
    </xf>
    <xf numFmtId="0" fontId="16" fillId="0" borderId="20" xfId="0" quotePrefix="1" applyFont="1" applyBorder="1" applyAlignment="1">
      <alignment vertical="center"/>
    </xf>
    <xf numFmtId="0" fontId="32" fillId="12" borderId="0" xfId="0" applyFont="1" applyFill="1"/>
    <xf numFmtId="0" fontId="24" fillId="12" borderId="0" xfId="0" applyFont="1" applyFill="1" applyAlignment="1">
      <alignment horizontal="center" vertical="center"/>
    </xf>
    <xf numFmtId="1" fontId="24" fillId="12" borderId="0" xfId="0" applyNumberFormat="1" applyFont="1" applyFill="1" applyAlignment="1">
      <alignment horizontal="center" vertical="center"/>
    </xf>
    <xf numFmtId="0" fontId="35" fillId="12" borderId="0" xfId="0" applyFont="1" applyFill="1" applyAlignment="1">
      <alignment horizontal="left" vertical="center" indent="1"/>
    </xf>
    <xf numFmtId="2" fontId="24" fillId="12" borderId="0" xfId="0" applyNumberFormat="1" applyFont="1" applyFill="1" applyAlignment="1">
      <alignment horizontal="center" vertical="center"/>
    </xf>
    <xf numFmtId="2" fontId="16" fillId="12" borderId="0" xfId="0" applyNumberFormat="1" applyFont="1" applyFill="1" applyAlignment="1">
      <alignment vertical="center"/>
    </xf>
    <xf numFmtId="2" fontId="32" fillId="12" borderId="0" xfId="0" applyNumberFormat="1" applyFont="1" applyFill="1"/>
    <xf numFmtId="0" fontId="24" fillId="12" borderId="0" xfId="0" applyFont="1" applyFill="1" applyAlignment="1">
      <alignment horizontal="left" vertical="center" indent="1"/>
    </xf>
    <xf numFmtId="0" fontId="24" fillId="12" borderId="0" xfId="0" applyFont="1" applyFill="1" applyAlignment="1">
      <alignment horizontal="left" vertical="center" indent="2"/>
    </xf>
    <xf numFmtId="0" fontId="0" fillId="4" borderId="16" xfId="0" applyFill="1" applyBorder="1" applyAlignment="1">
      <alignment vertical="center"/>
    </xf>
    <xf numFmtId="1" fontId="35" fillId="0" borderId="0" xfId="0" applyNumberFormat="1" applyFont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2" fontId="39" fillId="0" borderId="0" xfId="0" applyNumberFormat="1" applyFont="1"/>
    <xf numFmtId="2" fontId="17" fillId="0" borderId="0" xfId="0" applyNumberFormat="1" applyFont="1" applyAlignment="1">
      <alignment vertical="center"/>
    </xf>
    <xf numFmtId="3" fontId="29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horizontal="left" vertical="center"/>
    </xf>
    <xf numFmtId="0" fontId="28" fillId="10" borderId="0" xfId="0" applyFont="1" applyFill="1" applyAlignment="1">
      <alignment vertical="center"/>
    </xf>
    <xf numFmtId="4" fontId="17" fillId="10" borderId="0" xfId="0" applyNumberFormat="1" applyFont="1" applyFill="1" applyAlignment="1">
      <alignment horizontal="left" vertical="center"/>
    </xf>
    <xf numFmtId="0" fontId="0" fillId="4" borderId="17" xfId="0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4" fillId="4" borderId="17" xfId="0" applyFont="1" applyFill="1" applyBorder="1" applyAlignment="1">
      <alignment horizontal="center" vertical="center"/>
    </xf>
    <xf numFmtId="0" fontId="44" fillId="0" borderId="12" xfId="0" applyFont="1" applyBorder="1" applyAlignment="1">
      <alignment horizontal="left" vertical="center"/>
    </xf>
    <xf numFmtId="0" fontId="45" fillId="0" borderId="12" xfId="0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9" fontId="8" fillId="0" borderId="12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8" fillId="4" borderId="12" xfId="0" applyFont="1" applyFill="1" applyBorder="1" applyAlignment="1">
      <alignment horizontal="left" vertical="center"/>
    </xf>
    <xf numFmtId="0" fontId="4" fillId="12" borderId="12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28" borderId="12" xfId="0" applyFill="1" applyBorder="1"/>
    <xf numFmtId="0" fontId="4" fillId="28" borderId="12" xfId="0" applyFont="1" applyFill="1" applyBorder="1" applyAlignment="1">
      <alignment horizontal="center" vertical="center"/>
    </xf>
    <xf numFmtId="0" fontId="31" fillId="28" borderId="0" xfId="0" applyFont="1" applyFill="1" applyAlignment="1">
      <alignment vertical="center"/>
    </xf>
    <xf numFmtId="0" fontId="29" fillId="28" borderId="0" xfId="0" applyFont="1" applyFill="1" applyAlignment="1">
      <alignment horizontal="center" vertical="center"/>
    </xf>
    <xf numFmtId="0" fontId="30" fillId="28" borderId="0" xfId="0" applyFont="1" applyFill="1" applyAlignment="1">
      <alignment vertical="center"/>
    </xf>
    <xf numFmtId="0" fontId="29" fillId="28" borderId="0" xfId="0" applyFont="1" applyFill="1" applyAlignment="1">
      <alignment horizontal="left" vertical="center"/>
    </xf>
    <xf numFmtId="0" fontId="41" fillId="28" borderId="0" xfId="0" applyFont="1" applyFill="1" applyAlignment="1">
      <alignment horizontal="center" vertical="center"/>
    </xf>
    <xf numFmtId="2" fontId="29" fillId="28" borderId="0" xfId="0" applyNumberFormat="1" applyFont="1" applyFill="1" applyAlignment="1">
      <alignment horizontal="left" vertical="center"/>
    </xf>
    <xf numFmtId="0" fontId="33" fillId="28" borderId="0" xfId="0" applyFont="1" applyFill="1" applyAlignment="1">
      <alignment vertical="center"/>
    </xf>
    <xf numFmtId="1" fontId="38" fillId="24" borderId="0" xfId="0" applyNumberFormat="1" applyFont="1" applyFill="1" applyAlignment="1" applyProtection="1">
      <alignment horizontal="center" vertical="center"/>
      <protection hidden="1"/>
    </xf>
    <xf numFmtId="0" fontId="4" fillId="10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center" vertical="center"/>
    </xf>
    <xf numFmtId="2" fontId="24" fillId="10" borderId="0" xfId="0" applyNumberFormat="1" applyFont="1" applyFill="1" applyAlignment="1">
      <alignment horizontal="center" vertical="center"/>
    </xf>
    <xf numFmtId="168" fontId="32" fillId="0" borderId="0" xfId="0" applyNumberFormat="1" applyFont="1"/>
    <xf numFmtId="169" fontId="32" fillId="0" borderId="0" xfId="0" applyNumberFormat="1" applyFont="1"/>
    <xf numFmtId="167" fontId="32" fillId="0" borderId="0" xfId="0" applyNumberFormat="1" applyFont="1"/>
    <xf numFmtId="2" fontId="32" fillId="0" borderId="0" xfId="0" applyNumberFormat="1" applyFont="1"/>
    <xf numFmtId="0" fontId="0" fillId="7" borderId="12" xfId="0" applyFill="1" applyBorder="1" applyAlignment="1">
      <alignment horizontal="center" vertical="center"/>
    </xf>
    <xf numFmtId="4" fontId="17" fillId="0" borderId="0" xfId="0" applyNumberFormat="1" applyFont="1" applyAlignment="1">
      <alignment vertical="center"/>
    </xf>
    <xf numFmtId="169" fontId="0" fillId="0" borderId="0" xfId="0" applyNumberFormat="1"/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</cellXfs>
  <cellStyles count="2">
    <cellStyle name="Hipervínculo" xfId="1" xr:uid="{7C158813-19BE-439F-992C-0D6AD6051A6C}"/>
    <cellStyle name="Normal" xfId="0" builtinId="0"/>
  </cellStyles>
  <dxfs count="93"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  <dxf>
      <alignment horizontal="general" vertical="center" textRotation="0" wrapText="0" indent="0" justifyLastLine="0" shrinkToFit="0" readingOrder="0"/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8CC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ioncloud.sharepoint.com/sites/BCManagement/Shared%20Documents/Propostas%20BC/Santander%20-%20Testes%20ao%20GD/02.%202a%20Vers&#227;o/MacroPlano%20Detalhado_V0.3.xlsx" TargetMode="External"/><Relationship Id="rId1" Type="http://schemas.openxmlformats.org/officeDocument/2006/relationships/externalLinkPath" Target="02.%202a%20Vers&#227;o/MacroPlano%20Detalhado_V0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 SC1"/>
      <sheetName val="GD"/>
      <sheetName val="Plano SCB 1 "/>
      <sheetName val="Plano SCB 2"/>
      <sheetName val="1. Tipologias Testes GD"/>
      <sheetName val="Sheet4"/>
      <sheetName val="copia tabela"/>
      <sheetName val="4. Tipologias Testes MV_BI"/>
      <sheetName val="Auxiliar"/>
      <sheetName val="Plano GD - SC1"/>
      <sheetName val="Plano GD - SCB 1"/>
      <sheetName val="Plano GD - SCB 2"/>
      <sheetName val="Campos âmbito"/>
    </sheetNames>
    <sheetDataSet>
      <sheetData sheetId="0"/>
      <sheetData sheetId="1"/>
      <sheetData sheetId="2"/>
      <sheetData sheetId="3"/>
      <sheetData sheetId="4">
        <row r="8">
          <cell r="F8" t="str">
            <v>Column1</v>
          </cell>
          <cell r="G8" t="str">
            <v>concat</v>
          </cell>
          <cell r="H8" t="str">
            <v>Status</v>
          </cell>
          <cell r="I8" t="str">
            <v>Status2</v>
          </cell>
          <cell r="J8" t="str">
            <v>Tipologia_Testes</v>
          </cell>
          <cell r="K8" t="str">
            <v>Necessidade de re-especificação? (campo)</v>
          </cell>
          <cell r="L8" t="str">
            <v>Complexidade</v>
          </cell>
        </row>
        <row r="9">
          <cell r="F9" t="str">
            <v>INSTRUMENT_N.A.</v>
          </cell>
          <cell r="G9" t="str">
            <v>INSTRUMENTn.a.</v>
          </cell>
          <cell r="H9" t="str">
            <v>2. Em Teste</v>
          </cell>
          <cell r="I9">
            <v>2</v>
          </cell>
          <cell r="J9" t="str">
            <v>1. Teste de universo</v>
          </cell>
          <cell r="K9" t="str">
            <v>Sim</v>
          </cell>
          <cell r="L9" t="str">
            <v>Alta</v>
          </cell>
        </row>
        <row r="10">
          <cell r="F10" t="str">
            <v>INSTR_ACTIVITY_SSTNBL_CTGRY</v>
          </cell>
          <cell r="G10" t="str">
            <v>INSTR_ACTIVITYsstnbl_ctgry</v>
          </cell>
          <cell r="H10" t="str">
            <v>6. Por iniciar</v>
          </cell>
          <cell r="I10">
            <v>6</v>
          </cell>
          <cell r="J10" t="str">
            <v>2. Simulação</v>
          </cell>
          <cell r="K10" t="str">
            <v>Sim</v>
          </cell>
          <cell r="L10" t="str">
            <v>Alta</v>
          </cell>
        </row>
        <row r="11">
          <cell r="F11" t="str">
            <v>INSTR_ACTIVITY_SSTNBL_CTGRY</v>
          </cell>
          <cell r="G11" t="str">
            <v>INSTR_ACTIVITYsstnbl_ctgry</v>
          </cell>
          <cell r="H11" t="str">
            <v>6. Por iniciar</v>
          </cell>
          <cell r="I11">
            <v>6</v>
          </cell>
          <cell r="J11" t="str">
            <v>3. Testes comparativos (Espec. VS Impl.)</v>
          </cell>
          <cell r="K11" t="str">
            <v>Sim</v>
          </cell>
          <cell r="L11" t="str">
            <v>Alta</v>
          </cell>
        </row>
        <row r="12">
          <cell r="F12" t="str">
            <v>INSTR_ACTIVITY_SSTNBL_CTGRY</v>
          </cell>
          <cell r="G12" t="str">
            <v>INSTR_ACTIVITYsstnbl_ctgry</v>
          </cell>
          <cell r="H12" t="str">
            <v>6. Por iniciar</v>
          </cell>
          <cell r="I12">
            <v>6</v>
          </cell>
          <cell r="J12" t="str">
            <v>6. Validação de formatos</v>
          </cell>
          <cell r="K12" t="str">
            <v>Sim</v>
          </cell>
          <cell r="L12" t="str">
            <v>Alta</v>
          </cell>
        </row>
        <row r="13">
          <cell r="F13" t="str">
            <v>INSTR_ACTIVITY_SSTNBL_CTGRY</v>
          </cell>
          <cell r="G13" t="str">
            <v>INSTR_ACTIVITYsstnbl_ctgry</v>
          </cell>
          <cell r="H13" t="str">
            <v>6. Por iniciar</v>
          </cell>
          <cell r="I13">
            <v>6</v>
          </cell>
          <cell r="J13" t="str">
            <v>7. Validação de controlos corporativos</v>
          </cell>
          <cell r="K13" t="str">
            <v>Sim</v>
          </cell>
          <cell r="L13" t="str">
            <v>Alta</v>
          </cell>
        </row>
        <row r="14">
          <cell r="F14" t="str">
            <v>INSTRUMENT_CCF</v>
          </cell>
          <cell r="G14" t="str">
            <v>INSTRUMENTCCF</v>
          </cell>
          <cell r="H14" t="str">
            <v>6. Por iniciar</v>
          </cell>
          <cell r="I14">
            <v>6</v>
          </cell>
          <cell r="J14" t="str">
            <v>5. Teste comparativos com LT</v>
          </cell>
          <cell r="K14" t="str">
            <v>Não</v>
          </cell>
          <cell r="L14" t="str">
            <v>Baixa</v>
          </cell>
        </row>
        <row r="15">
          <cell r="F15" t="str">
            <v>INSTRUMENT_EAD</v>
          </cell>
          <cell r="G15" t="str">
            <v>INSTRUMENTEAD</v>
          </cell>
          <cell r="H15" t="str">
            <v>6. Por iniciar</v>
          </cell>
          <cell r="I15">
            <v>6</v>
          </cell>
          <cell r="J15" t="str">
            <v>5. Teste comparativos com LT</v>
          </cell>
          <cell r="K15" t="str">
            <v>Não</v>
          </cell>
          <cell r="L15" t="str">
            <v>Baixa</v>
          </cell>
        </row>
        <row r="16">
          <cell r="F16" t="str">
            <v>INSTRUMENT_TYP_OFF_BLNC_PRDCT</v>
          </cell>
          <cell r="G16" t="str">
            <v>INSTRUMENTTYP_OFF_BLNC_PRDCT</v>
          </cell>
          <cell r="H16" t="str">
            <v>6. Por iniciar</v>
          </cell>
          <cell r="I16">
            <v>6</v>
          </cell>
          <cell r="J16" t="str">
            <v>2. Simulação</v>
          </cell>
          <cell r="K16" t="str">
            <v>Não</v>
          </cell>
          <cell r="L16" t="str">
            <v>Média</v>
          </cell>
        </row>
        <row r="17">
          <cell r="F17" t="str">
            <v>INSTRUMENT_TYP_OFF_BLNC_PRDCT</v>
          </cell>
          <cell r="G17" t="str">
            <v>INSTRUMENTTYP_OFF_BLNC_PRDCT</v>
          </cell>
          <cell r="H17" t="str">
            <v>6. Por iniciar</v>
          </cell>
          <cell r="I17">
            <v>6</v>
          </cell>
          <cell r="J17" t="str">
            <v>3. Testes comparativos (Espec. VS Impl.)</v>
          </cell>
          <cell r="K17" t="str">
            <v>Não</v>
          </cell>
          <cell r="L17" t="str">
            <v>Média</v>
          </cell>
        </row>
        <row r="18">
          <cell r="F18" t="str">
            <v>INSTRUMENT_TYP_OFF_BLNC_PRDCT</v>
          </cell>
          <cell r="G18" t="str">
            <v>INSTRUMENTTYP_OFF_BLNC_PRDCT</v>
          </cell>
          <cell r="H18" t="str">
            <v>6. Por iniciar</v>
          </cell>
          <cell r="I18">
            <v>6</v>
          </cell>
          <cell r="J18" t="str">
            <v>6. Validação de formatos</v>
          </cell>
          <cell r="K18" t="str">
            <v>Não</v>
          </cell>
          <cell r="L18" t="str">
            <v>Média</v>
          </cell>
        </row>
        <row r="19">
          <cell r="F19" t="str">
            <v>INSTRUMENT_TYP_OFF_BLNC_PRDCT</v>
          </cell>
          <cell r="G19" t="str">
            <v>INSTRUMENTTYP_OFF_BLNC_PRDCT</v>
          </cell>
          <cell r="H19" t="str">
            <v>6. Por iniciar</v>
          </cell>
          <cell r="I19">
            <v>6</v>
          </cell>
          <cell r="J19" t="str">
            <v>7. Validação de controlos corporativos</v>
          </cell>
          <cell r="K19" t="str">
            <v>Não</v>
          </cell>
          <cell r="L19" t="str">
            <v>Média</v>
          </cell>
        </row>
        <row r="20">
          <cell r="F20" t="str">
            <v>INSTRUMENT_TYP_OFF_BLNC_PRDCT</v>
          </cell>
          <cell r="G20" t="str">
            <v>INSTRUMENTTYP_OFF_BLNC_PRDCT</v>
          </cell>
          <cell r="H20" t="str">
            <v>6. Por iniciar</v>
          </cell>
          <cell r="I20">
            <v>6</v>
          </cell>
          <cell r="J20" t="str">
            <v>5. Teste comparativos com LT</v>
          </cell>
          <cell r="K20" t="str">
            <v>Não</v>
          </cell>
          <cell r="L20" t="str">
            <v>Média</v>
          </cell>
        </row>
        <row r="21">
          <cell r="F21" t="str">
            <v>INSTR_PROTECTION_COD_SOC</v>
          </cell>
          <cell r="G21" t="str">
            <v>INSTR_PROTECTIONCOD_SOC</v>
          </cell>
          <cell r="H21" t="str">
            <v>6. Por iniciar</v>
          </cell>
          <cell r="I21">
            <v>6</v>
          </cell>
          <cell r="J21" t="str">
            <v>5. Teste comparativos com LT</v>
          </cell>
          <cell r="K21" t="str">
            <v>Não</v>
          </cell>
          <cell r="L21" t="str">
            <v>Baixa</v>
          </cell>
        </row>
        <row r="22">
          <cell r="F22" t="str">
            <v>INSTR_PROTECTION_DT_RFRNC</v>
          </cell>
          <cell r="G22" t="str">
            <v>INSTR_PROTECTIONDT_RFRNC</v>
          </cell>
          <cell r="H22" t="str">
            <v>6. Por iniciar</v>
          </cell>
          <cell r="I22">
            <v>6</v>
          </cell>
          <cell r="J22" t="str">
            <v>5. Teste comparativos com LT</v>
          </cell>
          <cell r="K22" t="str">
            <v>Não</v>
          </cell>
          <cell r="L22" t="str">
            <v>Baixa</v>
          </cell>
        </row>
        <row r="23">
          <cell r="F23" t="str">
            <v>INSTR_PROTECTION_INSTRMNT_ID</v>
          </cell>
          <cell r="G23" t="str">
            <v>INSTR_PROTECTIONINSTRMNT_ID</v>
          </cell>
          <cell r="H23" t="str">
            <v>6. Por iniciar</v>
          </cell>
          <cell r="I23">
            <v>6</v>
          </cell>
          <cell r="J23" t="str">
            <v>5. Teste comparativos com LT</v>
          </cell>
          <cell r="K23" t="str">
            <v>Não</v>
          </cell>
          <cell r="L23" t="str">
            <v>Baixa</v>
          </cell>
        </row>
        <row r="24">
          <cell r="F24" t="str">
            <v>INSTR_PROTECTION_PRTCTN_ID</v>
          </cell>
          <cell r="G24" t="str">
            <v>INSTR_PROTECTIONPRTCTN_ID</v>
          </cell>
          <cell r="H24" t="str">
            <v>6. Por iniciar</v>
          </cell>
          <cell r="I24">
            <v>6</v>
          </cell>
          <cell r="J24" t="str">
            <v>5. Teste comparativos com LT</v>
          </cell>
          <cell r="K24" t="str">
            <v>Não</v>
          </cell>
          <cell r="L24" t="str">
            <v>Baixa</v>
          </cell>
        </row>
        <row r="25">
          <cell r="F25" t="str">
            <v>PROTECTION_COD_SOC</v>
          </cell>
          <cell r="G25" t="str">
            <v>PROTECTIONCOD_SOC</v>
          </cell>
          <cell r="H25" t="str">
            <v>6. Por iniciar</v>
          </cell>
          <cell r="I25">
            <v>6</v>
          </cell>
          <cell r="J25" t="str">
            <v>5. Teste comparativos com LT</v>
          </cell>
          <cell r="K25" t="str">
            <v>Não</v>
          </cell>
          <cell r="L25" t="str">
            <v>Baixa</v>
          </cell>
        </row>
        <row r="26">
          <cell r="F26" t="str">
            <v>PROTECTION_DT_RFRNC</v>
          </cell>
          <cell r="G26" t="str">
            <v>PROTECTIONDT_RFRNC</v>
          </cell>
          <cell r="H26" t="str">
            <v>6. Por iniciar</v>
          </cell>
          <cell r="I26">
            <v>6</v>
          </cell>
          <cell r="J26" t="str">
            <v>5. Teste comparativos com LT</v>
          </cell>
          <cell r="K26" t="str">
            <v>Não</v>
          </cell>
          <cell r="L26" t="str">
            <v>Baixa</v>
          </cell>
        </row>
        <row r="27">
          <cell r="F27" t="str">
            <v>PROTECTION_PRTCTN_ID</v>
          </cell>
          <cell r="G27" t="str">
            <v>PROTECTIONPRTCTN_ID</v>
          </cell>
          <cell r="H27" t="str">
            <v>6. Por iniciar</v>
          </cell>
          <cell r="I27">
            <v>6</v>
          </cell>
          <cell r="J27" t="str">
            <v>5. Teste comparativos com LT</v>
          </cell>
          <cell r="K27" t="str">
            <v>Não</v>
          </cell>
          <cell r="L27" t="str">
            <v>Baixa</v>
          </cell>
        </row>
        <row r="28">
          <cell r="F28" t="str">
            <v>PROTECTION_TYP_PRTCTN</v>
          </cell>
          <cell r="G28" t="str">
            <v>PROTECTIONTYP_PRTCTN</v>
          </cell>
          <cell r="H28" t="str">
            <v>6. Por iniciar</v>
          </cell>
          <cell r="I28">
            <v>6</v>
          </cell>
          <cell r="J28" t="str">
            <v>5. Teste comparativos com LT</v>
          </cell>
          <cell r="K28" t="str">
            <v>Não</v>
          </cell>
          <cell r="L28" t="str">
            <v>Baixa</v>
          </cell>
        </row>
        <row r="29">
          <cell r="F29" t="str">
            <v>PROTECTION_PRTCTN_VL</v>
          </cell>
          <cell r="G29" t="str">
            <v>PROTECTIONPRTCTN_VL</v>
          </cell>
          <cell r="H29" t="str">
            <v>6. Por iniciar</v>
          </cell>
          <cell r="I29">
            <v>6</v>
          </cell>
          <cell r="J29" t="str">
            <v>5. Teste comparativos com LT</v>
          </cell>
          <cell r="K29" t="str">
            <v>Não</v>
          </cell>
          <cell r="L29" t="str">
            <v>Baixa</v>
          </cell>
        </row>
        <row r="30">
          <cell r="F30" t="str">
            <v>INSTR_ACTIVITY_PRCNTG_ACTVTY</v>
          </cell>
          <cell r="G30" t="str">
            <v>INSTR_ACTIVITYPRCNTG_ACTVTY</v>
          </cell>
          <cell r="H30" t="str">
            <v>6. Por iniciar</v>
          </cell>
          <cell r="I30">
            <v>6</v>
          </cell>
          <cell r="J30" t="str">
            <v>5. Teste comparativos com LT</v>
          </cell>
          <cell r="K30" t="str">
            <v>Não</v>
          </cell>
          <cell r="L30" t="str">
            <v>Baixa</v>
          </cell>
        </row>
        <row r="31">
          <cell r="F31" t="str">
            <v>INSTR_PROTECTION_TYP_RLTN</v>
          </cell>
          <cell r="G31" t="str">
            <v>INSTR_PROTECTIONTYP_RLTN</v>
          </cell>
          <cell r="H31" t="str">
            <v>6. Por iniciar</v>
          </cell>
          <cell r="I31">
            <v>6</v>
          </cell>
          <cell r="J31" t="str">
            <v>2. Simulação</v>
          </cell>
          <cell r="K31" t="str">
            <v>Não</v>
          </cell>
          <cell r="L31" t="str">
            <v>Alta</v>
          </cell>
        </row>
        <row r="32">
          <cell r="F32" t="str">
            <v>INSTR_PROTECTION_TYP_RLTN</v>
          </cell>
          <cell r="G32" t="str">
            <v>INSTR_PROTECTIONTYP_RLTN</v>
          </cell>
          <cell r="H32" t="str">
            <v>6. Por iniciar</v>
          </cell>
          <cell r="I32">
            <v>6</v>
          </cell>
          <cell r="J32" t="str">
            <v>3. Testes comparativos (Espec. VS Impl.)</v>
          </cell>
          <cell r="K32" t="str">
            <v>Não</v>
          </cell>
          <cell r="L32" t="str">
            <v>Alta</v>
          </cell>
        </row>
        <row r="33">
          <cell r="F33" t="str">
            <v>INSTR_PROTECTION_TYP_RLTN</v>
          </cell>
          <cell r="G33" t="str">
            <v>INSTR_PROTECTIONTYP_RLTN</v>
          </cell>
          <cell r="H33" t="str">
            <v>6. Por iniciar</v>
          </cell>
          <cell r="I33">
            <v>6</v>
          </cell>
          <cell r="J33" t="str">
            <v>6. Validação de formatos</v>
          </cell>
          <cell r="K33" t="str">
            <v>Não</v>
          </cell>
          <cell r="L33" t="str">
            <v>Alta</v>
          </cell>
        </row>
        <row r="34">
          <cell r="F34" t="str">
            <v>INSTR_PROTECTION_TYP_RLTN</v>
          </cell>
          <cell r="G34" t="str">
            <v>INSTR_PROTECTIONTYP_RLTN</v>
          </cell>
          <cell r="H34" t="str">
            <v>6. Por iniciar</v>
          </cell>
          <cell r="I34">
            <v>6</v>
          </cell>
          <cell r="J34" t="str">
            <v>7. Validação de controlos corporativos</v>
          </cell>
          <cell r="K34" t="str">
            <v>Não</v>
          </cell>
          <cell r="L34" t="str">
            <v>Alta</v>
          </cell>
        </row>
        <row r="35">
          <cell r="F35" t="str">
            <v>PROTECTION_FLG_ELCTRC_VHCL</v>
          </cell>
          <cell r="G35" t="str">
            <v>PROTECTIONFLG_ELCTRC_VHCL</v>
          </cell>
          <cell r="H35" t="str">
            <v>6. Por iniciar</v>
          </cell>
          <cell r="I35">
            <v>6</v>
          </cell>
          <cell r="J35" t="str">
            <v>2. Simulação</v>
          </cell>
          <cell r="K35" t="str">
            <v>Não</v>
          </cell>
          <cell r="L35" t="str">
            <v>Alta</v>
          </cell>
        </row>
        <row r="36">
          <cell r="F36" t="str">
            <v>PROTECTION_FLG_ELCTRC_VHCL</v>
          </cell>
          <cell r="G36" t="str">
            <v>PROTECTIONFLG_ELCTRC_VHCL</v>
          </cell>
          <cell r="H36" t="str">
            <v>6. Por iniciar</v>
          </cell>
          <cell r="I36">
            <v>6</v>
          </cell>
          <cell r="J36" t="str">
            <v>3. Testes comparativos (Espec. VS Impl.)</v>
          </cell>
          <cell r="K36" t="str">
            <v>Não</v>
          </cell>
          <cell r="L36" t="str">
            <v>Alta</v>
          </cell>
        </row>
        <row r="37">
          <cell r="F37" t="str">
            <v>PROTECTION_FLG_ELCTRC_VHCL</v>
          </cell>
          <cell r="G37" t="str">
            <v>PROTECTIONFLG_ELCTRC_VHCL</v>
          </cell>
          <cell r="H37" t="str">
            <v>6. Por iniciar</v>
          </cell>
          <cell r="I37">
            <v>6</v>
          </cell>
          <cell r="J37" t="str">
            <v>6. Validação de formatos</v>
          </cell>
          <cell r="K37" t="str">
            <v>Não</v>
          </cell>
          <cell r="L37" t="str">
            <v>Alta</v>
          </cell>
        </row>
        <row r="38">
          <cell r="F38" t="str">
            <v>PROTECTION_FLG_ELCTRC_VHCL</v>
          </cell>
          <cell r="G38" t="str">
            <v>PROTECTIONFLG_ELCTRC_VHCL</v>
          </cell>
          <cell r="H38" t="str">
            <v>6. Por iniciar</v>
          </cell>
          <cell r="I38">
            <v>6</v>
          </cell>
          <cell r="J38" t="str">
            <v>7. Validação de controlos corporativos</v>
          </cell>
          <cell r="K38" t="str">
            <v>Não</v>
          </cell>
          <cell r="L38" t="str">
            <v>Alta</v>
          </cell>
        </row>
        <row r="39">
          <cell r="F39" t="str">
            <v>INSTR_ACTIVITY_COD_SOC</v>
          </cell>
          <cell r="G39" t="str">
            <v>INSTR_ACTIVITYCOD_SOC</v>
          </cell>
          <cell r="H39" t="str">
            <v>6. Por iniciar</v>
          </cell>
          <cell r="I39">
            <v>6</v>
          </cell>
          <cell r="J39" t="str">
            <v>2. Simulação</v>
          </cell>
          <cell r="K39" t="str">
            <v>Não</v>
          </cell>
          <cell r="L39" t="str">
            <v>Média</v>
          </cell>
        </row>
        <row r="40">
          <cell r="F40" t="str">
            <v>INSTR_ACTIVITY_COD_SOC</v>
          </cell>
          <cell r="G40" t="str">
            <v>INSTR_ACTIVITYCOD_SOC</v>
          </cell>
          <cell r="H40" t="str">
            <v>6. Por iniciar</v>
          </cell>
          <cell r="I40">
            <v>6</v>
          </cell>
          <cell r="J40" t="str">
            <v>3. Testes comparativos (Espec. VS Impl.)</v>
          </cell>
          <cell r="K40" t="str">
            <v>Não</v>
          </cell>
          <cell r="L40" t="str">
            <v>Média</v>
          </cell>
        </row>
        <row r="41">
          <cell r="F41" t="str">
            <v>INSTR_ACTIVITY_COD_SOC</v>
          </cell>
          <cell r="G41" t="str">
            <v>INSTR_ACTIVITYCOD_SOC</v>
          </cell>
          <cell r="H41" t="str">
            <v>6. Por iniciar</v>
          </cell>
          <cell r="I41">
            <v>6</v>
          </cell>
          <cell r="J41" t="str">
            <v>6. Validação de formatos</v>
          </cell>
          <cell r="K41" t="str">
            <v>Não</v>
          </cell>
          <cell r="L41" t="str">
            <v>Baixa</v>
          </cell>
        </row>
        <row r="42">
          <cell r="F42" t="str">
            <v>INSTR_ACTIVITY_COD_SOC</v>
          </cell>
          <cell r="G42" t="str">
            <v>INSTR_ACTIVITYCOD_SOC</v>
          </cell>
          <cell r="H42" t="str">
            <v>6. Por iniciar</v>
          </cell>
          <cell r="I42">
            <v>6</v>
          </cell>
          <cell r="J42" t="str">
            <v>7. Validação de controlos corporativos</v>
          </cell>
          <cell r="K42" t="str">
            <v>Não</v>
          </cell>
          <cell r="L42" t="str">
            <v>Baixa</v>
          </cell>
        </row>
        <row r="43">
          <cell r="F43" t="str">
            <v>INSTR_ACTIVITY_DT_RFRNC</v>
          </cell>
          <cell r="G43" t="str">
            <v>INSTR_ACTIVITYDT_RFRNC</v>
          </cell>
          <cell r="H43" t="str">
            <v>6. Por iniciar</v>
          </cell>
          <cell r="I43">
            <v>6</v>
          </cell>
          <cell r="J43" t="str">
            <v>2. Simulação</v>
          </cell>
          <cell r="K43" t="str">
            <v>Não</v>
          </cell>
          <cell r="L43" t="str">
            <v>Baixa</v>
          </cell>
        </row>
        <row r="44">
          <cell r="F44" t="str">
            <v>INSTR_ACTIVITY_DT_RFRNC</v>
          </cell>
          <cell r="G44" t="str">
            <v>INSTR_ACTIVITYDT_RFRNC</v>
          </cell>
          <cell r="H44" t="str">
            <v>6. Por iniciar</v>
          </cell>
          <cell r="I44">
            <v>6</v>
          </cell>
          <cell r="J44" t="str">
            <v>3. Testes comparativos (Espec. VS Impl.)</v>
          </cell>
          <cell r="K44" t="str">
            <v>Não</v>
          </cell>
          <cell r="L44" t="str">
            <v>Baixa</v>
          </cell>
        </row>
        <row r="45">
          <cell r="F45" t="str">
            <v>INSTR_ACTIVITY_INSTRMNT_ID</v>
          </cell>
          <cell r="G45" t="str">
            <v>INSTR_ACTIVITYINSTRMNT_ID</v>
          </cell>
          <cell r="H45" t="str">
            <v>6. Por iniciar</v>
          </cell>
          <cell r="I45">
            <v>6</v>
          </cell>
          <cell r="J45" t="str">
            <v>2. Simulação</v>
          </cell>
          <cell r="K45" t="str">
            <v>Não</v>
          </cell>
          <cell r="L45" t="str">
            <v>Média</v>
          </cell>
        </row>
        <row r="46">
          <cell r="F46" t="str">
            <v>INSTR_ACTIVITY_INSTRMNT_ID</v>
          </cell>
          <cell r="G46" t="str">
            <v>INSTR_ACTIVITYINSTRMNT_ID</v>
          </cell>
          <cell r="H46" t="str">
            <v>6. Por iniciar</v>
          </cell>
          <cell r="I46">
            <v>6</v>
          </cell>
          <cell r="J46" t="str">
            <v>3. Testes comparativos (Espec. VS Impl.)</v>
          </cell>
          <cell r="K46" t="str">
            <v>Não</v>
          </cell>
          <cell r="L46" t="str">
            <v>Média</v>
          </cell>
        </row>
        <row r="47">
          <cell r="F47" t="str">
            <v>INSTR_ACTIVITY_INSTRMNT_ID</v>
          </cell>
          <cell r="G47" t="str">
            <v>INSTR_ACTIVITYINSTRMNT_ID</v>
          </cell>
          <cell r="H47" t="str">
            <v>6. Por iniciar</v>
          </cell>
          <cell r="I47">
            <v>6</v>
          </cell>
          <cell r="J47" t="str">
            <v>6. Validação de formatos</v>
          </cell>
          <cell r="K47" t="str">
            <v>Não</v>
          </cell>
          <cell r="L47" t="str">
            <v>Média</v>
          </cell>
        </row>
        <row r="48">
          <cell r="F48" t="str">
            <v>INSTRUMENT_DFLT_STTS_INSTRMNT</v>
          </cell>
          <cell r="G48" t="str">
            <v>INSTRUMENTdflt_stts_instrmnt</v>
          </cell>
          <cell r="H48" t="str">
            <v>1. Concluído</v>
          </cell>
          <cell r="I48">
            <v>1</v>
          </cell>
          <cell r="J48" t="str">
            <v>5. Teste comparativos com LT</v>
          </cell>
          <cell r="K48" t="str">
            <v>Não</v>
          </cell>
          <cell r="L48" t="str">
            <v>Baixa</v>
          </cell>
        </row>
        <row r="49">
          <cell r="F49" t="str">
            <v>INSTRUMENT_ACCMLTD_CHNGS_FV_CR_INSTRMNT</v>
          </cell>
          <cell r="G49" t="str">
            <v>INSTRUMENTaccmltd_chngs_fv_cr_instrmnt</v>
          </cell>
          <cell r="H49" t="str">
            <v>1. Concluído</v>
          </cell>
          <cell r="I49">
            <v>1</v>
          </cell>
          <cell r="J49" t="str">
            <v>5. Teste comparativos com LT</v>
          </cell>
          <cell r="K49" t="str">
            <v>Não</v>
          </cell>
          <cell r="L49" t="str">
            <v>Baixa</v>
          </cell>
        </row>
        <row r="50">
          <cell r="F50" t="str">
            <v>INSTRUMENT_ACCMLTD_IMPRMNT_INSTRMNT</v>
          </cell>
          <cell r="G50" t="str">
            <v>INSTRUMENTaccmltd_imprmnt_instrmnt</v>
          </cell>
          <cell r="H50" t="str">
            <v>1. Concluído</v>
          </cell>
          <cell r="I50">
            <v>1</v>
          </cell>
          <cell r="J50" t="str">
            <v>5. Teste comparativos com LT</v>
          </cell>
          <cell r="K50" t="str">
            <v>Não</v>
          </cell>
          <cell r="L50" t="str">
            <v>Baixa</v>
          </cell>
        </row>
        <row r="51">
          <cell r="F51" t="str">
            <v>INSTRUMENT_ACCNTNG_CLSSFCTN</v>
          </cell>
          <cell r="G51" t="str">
            <v>INSTRUMENTaccntng_clssfctn</v>
          </cell>
          <cell r="H51" t="str">
            <v>1. Concluído</v>
          </cell>
          <cell r="I51">
            <v>1</v>
          </cell>
          <cell r="J51" t="str">
            <v>5. Teste comparativos com LT</v>
          </cell>
          <cell r="K51" t="str">
            <v>Não</v>
          </cell>
          <cell r="L51" t="str">
            <v>Baixa</v>
          </cell>
        </row>
        <row r="52">
          <cell r="F52" t="str">
            <v>INSTRUMENT_COD_SOC</v>
          </cell>
          <cell r="G52" t="str">
            <v>INSTRUMENTcod_soc</v>
          </cell>
          <cell r="H52" t="str">
            <v>1. Concluído</v>
          </cell>
          <cell r="I52">
            <v>1</v>
          </cell>
          <cell r="J52" t="str">
            <v>5. Teste comparativos com LT</v>
          </cell>
          <cell r="K52" t="str">
            <v>Não</v>
          </cell>
          <cell r="L52" t="str">
            <v>Baixa</v>
          </cell>
        </row>
        <row r="53">
          <cell r="F53" t="str">
            <v>INSTRUMENT_DT_RFRNC</v>
          </cell>
          <cell r="G53" t="str">
            <v>INSTRUMENTdt_rfrnc</v>
          </cell>
          <cell r="H53" t="str">
            <v>1. Concluído</v>
          </cell>
          <cell r="I53">
            <v>1</v>
          </cell>
          <cell r="J53" t="str">
            <v>5. Teste comparativos com LT</v>
          </cell>
          <cell r="K53" t="str">
            <v>Não</v>
          </cell>
          <cell r="L53" t="str">
            <v>Baixa</v>
          </cell>
        </row>
        <row r="54">
          <cell r="F54" t="str">
            <v>INSTRUMENT_GRSS_CRRYNG_AMNT_INSTRMNT</v>
          </cell>
          <cell r="G54" t="str">
            <v>INSTRUMENTgrss_crryng_amnt_instrmnt</v>
          </cell>
          <cell r="H54" t="str">
            <v>1. Concluído</v>
          </cell>
          <cell r="I54">
            <v>1</v>
          </cell>
          <cell r="J54" t="str">
            <v>5. Teste comparativos com LT</v>
          </cell>
          <cell r="K54" t="str">
            <v>Não</v>
          </cell>
          <cell r="L54" t="str">
            <v>Baixa</v>
          </cell>
        </row>
        <row r="55">
          <cell r="F55" t="str">
            <v>INSTRUMENT_IDCMB</v>
          </cell>
          <cell r="G55" t="str">
            <v>INSTRUMENTidcmb</v>
          </cell>
          <cell r="H55" t="str">
            <v>1. Concluído</v>
          </cell>
          <cell r="I55">
            <v>1</v>
          </cell>
          <cell r="J55" t="str">
            <v>5. Teste comparativos com LT</v>
          </cell>
          <cell r="K55" t="str">
            <v>Não</v>
          </cell>
          <cell r="L55" t="str">
            <v>Baixa</v>
          </cell>
        </row>
        <row r="56">
          <cell r="F56" t="str">
            <v>INSTRUMENT_IMPRMNT_STTS</v>
          </cell>
          <cell r="G56" t="str">
            <v>INSTRUMENTimprmnt_stts</v>
          </cell>
          <cell r="H56" t="str">
            <v>1. Concluído</v>
          </cell>
          <cell r="I56">
            <v>1</v>
          </cell>
          <cell r="J56" t="str">
            <v>5. Teste comparativos com LT</v>
          </cell>
          <cell r="K56" t="str">
            <v>Não</v>
          </cell>
          <cell r="L56" t="str">
            <v>Baixa</v>
          </cell>
        </row>
        <row r="57">
          <cell r="F57" t="str">
            <v>INSTRUMENT_INSTRMNT_ID</v>
          </cell>
          <cell r="G57" t="str">
            <v>INSTRUMENTinstrmnt_id</v>
          </cell>
          <cell r="H57" t="str">
            <v>2. Em Teste</v>
          </cell>
          <cell r="I57">
            <v>2</v>
          </cell>
          <cell r="J57" t="str">
            <v>2. Simulação</v>
          </cell>
          <cell r="K57" t="str">
            <v>Sim</v>
          </cell>
          <cell r="L57" t="str">
            <v>Alta</v>
          </cell>
        </row>
        <row r="58">
          <cell r="F58" t="str">
            <v>INSTRUMENT_INSTRMNT_ID</v>
          </cell>
          <cell r="G58" t="str">
            <v>INSTRUMENTinstrmnt_id</v>
          </cell>
          <cell r="H58" t="str">
            <v>2. Em Teste</v>
          </cell>
          <cell r="I58">
            <v>2</v>
          </cell>
          <cell r="J58" t="str">
            <v>3. Testes comparativos (Espec. VS Impl.)</v>
          </cell>
          <cell r="K58" t="str">
            <v>Sim</v>
          </cell>
          <cell r="L58" t="str">
            <v>Alta</v>
          </cell>
        </row>
        <row r="59">
          <cell r="F59" t="str">
            <v>INSTRUMENT_INSTRMNT_ID</v>
          </cell>
          <cell r="G59" t="str">
            <v>INSTRUMENTinstrmnt_id</v>
          </cell>
          <cell r="H59" t="str">
            <v>2. Em Teste</v>
          </cell>
          <cell r="I59">
            <v>2</v>
          </cell>
          <cell r="J59" t="str">
            <v>6. Validação de formatos</v>
          </cell>
          <cell r="K59" t="str">
            <v>Sim</v>
          </cell>
          <cell r="L59" t="str">
            <v>Alta</v>
          </cell>
        </row>
        <row r="60">
          <cell r="F60" t="str">
            <v>INSTRUMENT_LCL_INSTMRNT_ID</v>
          </cell>
          <cell r="G60" t="str">
            <v>INSTRUMENTlcl_instmrnt_id</v>
          </cell>
          <cell r="H60" t="str">
            <v>1. Concluído</v>
          </cell>
          <cell r="I60">
            <v>1</v>
          </cell>
          <cell r="J60" t="str">
            <v>5. Teste comparativos com LT</v>
          </cell>
          <cell r="K60" t="str">
            <v>Não</v>
          </cell>
          <cell r="L60" t="str">
            <v>Baixa</v>
          </cell>
        </row>
        <row r="61">
          <cell r="F61" t="str">
            <v>INSTRUMENT_OFF_BLNC_SHT_AMNT_INSTRMNT</v>
          </cell>
          <cell r="G61" t="str">
            <v>INSTRUMENToff_blnc_sht_amnt_instrmnt</v>
          </cell>
          <cell r="H61" t="str">
            <v>1. Concluído</v>
          </cell>
          <cell r="I61">
            <v>1</v>
          </cell>
          <cell r="J61" t="str">
            <v>5. Teste comparativos com LT</v>
          </cell>
          <cell r="K61" t="str">
            <v>Não</v>
          </cell>
          <cell r="L61" t="str">
            <v>Baixa</v>
          </cell>
        </row>
        <row r="62">
          <cell r="F62" t="str">
            <v>INSTRUMENT_PRFRMNG_STTS</v>
          </cell>
          <cell r="G62" t="str">
            <v>INSTRUMENTprfrmng_stts</v>
          </cell>
          <cell r="H62" t="str">
            <v>1. Concluído</v>
          </cell>
          <cell r="I62">
            <v>1</v>
          </cell>
          <cell r="J62" t="str">
            <v>5. Teste comparativos com LT</v>
          </cell>
          <cell r="K62" t="str">
            <v>Não</v>
          </cell>
          <cell r="L62" t="str">
            <v>Baixa</v>
          </cell>
        </row>
        <row r="63">
          <cell r="F63" t="str">
            <v>INSTRUMENT_PRVSNS_OFF_BLNC_SHT</v>
          </cell>
          <cell r="G63" t="str">
            <v>INSTRUMENTprvsns_off_blnc_sht</v>
          </cell>
          <cell r="H63" t="str">
            <v>1. Concluído</v>
          </cell>
          <cell r="I63">
            <v>1</v>
          </cell>
          <cell r="J63" t="str">
            <v>5. Teste comparativos com LT</v>
          </cell>
          <cell r="K63" t="str">
            <v>Não</v>
          </cell>
          <cell r="L63" t="str">
            <v>Baixa</v>
          </cell>
        </row>
        <row r="64">
          <cell r="F64" t="str">
            <v>INSTRUMENT_SUBPORTFOLIO_ID</v>
          </cell>
          <cell r="G64" t="str">
            <v>INSTRUMENTsubportfolio_id</v>
          </cell>
          <cell r="H64" t="str">
            <v>1. Concluído</v>
          </cell>
          <cell r="I64">
            <v>1</v>
          </cell>
          <cell r="J64" t="str">
            <v>5. Teste comparativos com LT</v>
          </cell>
          <cell r="K64" t="str">
            <v>Não</v>
          </cell>
          <cell r="L64" t="str">
            <v>Baixa</v>
          </cell>
        </row>
        <row r="65">
          <cell r="F65" t="str">
            <v>INSTRUMENT_TYP_INSTRMNT</v>
          </cell>
          <cell r="G65" t="str">
            <v>INSTRUMENTtyp_instrmnt</v>
          </cell>
          <cell r="H65" t="str">
            <v>1. Concluído</v>
          </cell>
          <cell r="I65">
            <v>1</v>
          </cell>
          <cell r="J65" t="str">
            <v>5. Teste comparativos com LT</v>
          </cell>
          <cell r="K65" t="str">
            <v>Não</v>
          </cell>
          <cell r="L65" t="str">
            <v>Baixa</v>
          </cell>
        </row>
        <row r="66">
          <cell r="F66" t="str">
            <v>INSTRUMENT_RWA</v>
          </cell>
          <cell r="G66" t="str">
            <v>INSTRUMENTrwa</v>
          </cell>
          <cell r="H66" t="str">
            <v>1. Concluído</v>
          </cell>
          <cell r="I66">
            <v>1</v>
          </cell>
          <cell r="J66" t="str">
            <v>5. Teste comparativos com LT</v>
          </cell>
          <cell r="K66" t="str">
            <v>Não</v>
          </cell>
          <cell r="L66" t="str">
            <v>Baixa</v>
          </cell>
        </row>
        <row r="67">
          <cell r="F67" t="str">
            <v>INSTRUMENT_COD_SOC_INTRGRP</v>
          </cell>
          <cell r="G67" t="str">
            <v>INSTRUMENTcod_soc_intrgrp</v>
          </cell>
          <cell r="H67" t="str">
            <v>1. Concluído</v>
          </cell>
          <cell r="I67">
            <v>1</v>
          </cell>
          <cell r="J67" t="str">
            <v>5. Teste comparativos com LT</v>
          </cell>
          <cell r="K67" t="str">
            <v>Não</v>
          </cell>
          <cell r="L67" t="str">
            <v>Baixa</v>
          </cell>
        </row>
        <row r="68">
          <cell r="F68" t="str">
            <v>INSTRUMENT_BSNSS_AREA_DSTNTN</v>
          </cell>
          <cell r="G68" t="str">
            <v>INSTRUMENTbsnss_area_dstntn</v>
          </cell>
          <cell r="H68" t="str">
            <v>1. Concluído</v>
          </cell>
          <cell r="I68">
            <v>1</v>
          </cell>
          <cell r="J68" t="str">
            <v>2. Simulação</v>
          </cell>
          <cell r="K68" t="str">
            <v>Não</v>
          </cell>
          <cell r="L68" t="str">
            <v>Baixa</v>
          </cell>
        </row>
        <row r="69">
          <cell r="F69" t="str">
            <v>INSTRUMENT_BSNSS_AREA_DSTNTN</v>
          </cell>
          <cell r="G69" t="str">
            <v>INSTRUMENTbsnss_area_dstntn</v>
          </cell>
          <cell r="H69" t="str">
            <v>1. Concluído</v>
          </cell>
          <cell r="I69">
            <v>1</v>
          </cell>
          <cell r="J69" t="str">
            <v>3. Testes comparativos (Espec. VS Impl.)</v>
          </cell>
          <cell r="K69" t="str">
            <v>Não</v>
          </cell>
          <cell r="L69" t="str">
            <v>Baixa</v>
          </cell>
        </row>
        <row r="70">
          <cell r="F70" t="str">
            <v>INSTRUMENT_BSNSS_AREA_DSTNTN</v>
          </cell>
          <cell r="G70" t="str">
            <v>INSTRUMENTbsnss_area_dstntn</v>
          </cell>
          <cell r="H70" t="str">
            <v>1. Concluído</v>
          </cell>
          <cell r="I70">
            <v>1</v>
          </cell>
          <cell r="J70" t="str">
            <v>6. Validação de formatos</v>
          </cell>
          <cell r="K70" t="str">
            <v>Não</v>
          </cell>
          <cell r="L70" t="str">
            <v>Baixa</v>
          </cell>
        </row>
        <row r="71">
          <cell r="F71" t="str">
            <v>INSTRUMENT_BSNSS_AREA_DSTNTN</v>
          </cell>
          <cell r="G71" t="str">
            <v>INSTRUMENTbsnss_area_dstntn</v>
          </cell>
          <cell r="H71" t="str">
            <v>1. Concluído</v>
          </cell>
          <cell r="I71">
            <v>1</v>
          </cell>
          <cell r="J71" t="str">
            <v>7. Validação de controlos corporativos</v>
          </cell>
          <cell r="K71" t="str">
            <v>Não</v>
          </cell>
          <cell r="L71" t="str">
            <v>Baixa</v>
          </cell>
        </row>
        <row r="72">
          <cell r="F72" t="str">
            <v>INSTRUMENT_FLG_INTRBSNSS</v>
          </cell>
          <cell r="G72" t="str">
            <v>INSTRUMENTflg_intrbsnss</v>
          </cell>
          <cell r="H72" t="str">
            <v>1. Concluído</v>
          </cell>
          <cell r="I72">
            <v>1</v>
          </cell>
          <cell r="J72" t="str">
            <v>2. Simulação</v>
          </cell>
          <cell r="K72" t="str">
            <v>Não</v>
          </cell>
          <cell r="L72" t="str">
            <v>Baixa</v>
          </cell>
        </row>
        <row r="73">
          <cell r="F73" t="str">
            <v>INSTRUMENT_FLG_INTRBSNSS</v>
          </cell>
          <cell r="G73" t="str">
            <v>INSTRUMENTflg_intrbsnss</v>
          </cell>
          <cell r="H73" t="str">
            <v>1. Concluído</v>
          </cell>
          <cell r="I73">
            <v>1</v>
          </cell>
          <cell r="J73" t="str">
            <v>3. Testes comparativos (Espec. VS Impl.)</v>
          </cell>
          <cell r="K73" t="str">
            <v>Não</v>
          </cell>
          <cell r="L73" t="str">
            <v>Baixa</v>
          </cell>
        </row>
        <row r="74">
          <cell r="F74" t="str">
            <v>INSTRUMENT_FLG_INTRBSNSS</v>
          </cell>
          <cell r="G74" t="str">
            <v>INSTRUMENTflg_intrbsnss</v>
          </cell>
          <cell r="H74" t="str">
            <v>1. Concluído</v>
          </cell>
          <cell r="I74">
            <v>1</v>
          </cell>
          <cell r="J74" t="str">
            <v>6. Validação de formatos</v>
          </cell>
          <cell r="K74" t="str">
            <v>Não</v>
          </cell>
          <cell r="L74" t="str">
            <v>Baixa</v>
          </cell>
        </row>
        <row r="75">
          <cell r="F75" t="str">
            <v>INSTRUMENT_FLG_INTRBSNSS</v>
          </cell>
          <cell r="G75" t="str">
            <v>INSTRUMENTflg_intrbsnss</v>
          </cell>
          <cell r="H75" t="str">
            <v>1. Concluído</v>
          </cell>
          <cell r="I75">
            <v>1</v>
          </cell>
          <cell r="J75" t="str">
            <v>7. Validação de controlos corporativos</v>
          </cell>
          <cell r="K75" t="str">
            <v>Não</v>
          </cell>
          <cell r="L75" t="str">
            <v>Baixa</v>
          </cell>
        </row>
        <row r="76">
          <cell r="F76" t="str">
            <v>INSTRUMENT_INTRBSNSS_ADJ_COD</v>
          </cell>
          <cell r="G76" t="str">
            <v>INSTRUMENTintrbsnss_adj_cod</v>
          </cell>
          <cell r="H76" t="str">
            <v>1. Concluído</v>
          </cell>
          <cell r="I76">
            <v>1</v>
          </cell>
          <cell r="J76" t="str">
            <v>2. Simulação</v>
          </cell>
          <cell r="K76" t="str">
            <v>Não</v>
          </cell>
          <cell r="L76" t="str">
            <v>Baixa</v>
          </cell>
        </row>
        <row r="77">
          <cell r="F77" t="str">
            <v>INSTRUMENT_INTRBSNSS_ADJ_COD</v>
          </cell>
          <cell r="G77" t="str">
            <v>INSTRUMENTintrbsnss_adj_cod</v>
          </cell>
          <cell r="H77" t="str">
            <v>1. Concluído</v>
          </cell>
          <cell r="I77">
            <v>1</v>
          </cell>
          <cell r="J77" t="str">
            <v>3. Testes comparativos (Espec. VS Impl.)</v>
          </cell>
          <cell r="K77" t="str">
            <v>Não</v>
          </cell>
          <cell r="L77" t="str">
            <v>Baixa</v>
          </cell>
        </row>
        <row r="78">
          <cell r="F78" t="str">
            <v>INSTRUMENT_INTRBSNSS_ADJ_COD</v>
          </cell>
          <cell r="G78" t="str">
            <v>INSTRUMENTintrbsnss_adj_cod</v>
          </cell>
          <cell r="H78" t="str">
            <v>1. Concluído</v>
          </cell>
          <cell r="I78">
            <v>1</v>
          </cell>
          <cell r="J78" t="str">
            <v>6. Validação de formatos</v>
          </cell>
          <cell r="K78" t="str">
            <v>Não</v>
          </cell>
          <cell r="L78" t="str">
            <v>Baixa</v>
          </cell>
        </row>
        <row r="79">
          <cell r="F79" t="str">
            <v>INSTRUMENT_INTRBSNSS_ADJ_COD</v>
          </cell>
          <cell r="G79" t="str">
            <v>INSTRUMENTintrbsnss_adj_cod</v>
          </cell>
          <cell r="H79" t="str">
            <v>1. Concluído</v>
          </cell>
          <cell r="I79">
            <v>1</v>
          </cell>
          <cell r="J79" t="str">
            <v>7. Validação de controlos corporativos</v>
          </cell>
          <cell r="K79" t="str">
            <v>Não</v>
          </cell>
          <cell r="L79" t="str">
            <v>Baixa</v>
          </cell>
        </row>
        <row r="80">
          <cell r="F80" t="str">
            <v>INSTRUMENT_COD_SOC_DSTNTN</v>
          </cell>
          <cell r="G80" t="str">
            <v>INSTRUMENTcod_soc_dstntn</v>
          </cell>
          <cell r="H80" t="str">
            <v>1. Concluído</v>
          </cell>
          <cell r="I80">
            <v>1</v>
          </cell>
          <cell r="J80" t="str">
            <v>2. Simulação</v>
          </cell>
          <cell r="K80" t="str">
            <v>Não</v>
          </cell>
          <cell r="L80" t="str">
            <v>Baixa</v>
          </cell>
        </row>
        <row r="81">
          <cell r="F81" t="str">
            <v>INSTRUMENT_COD_SOC_DSTNTN</v>
          </cell>
          <cell r="G81" t="str">
            <v>INSTRUMENTcod_soc_dstntn</v>
          </cell>
          <cell r="H81" t="str">
            <v>1. Concluído</v>
          </cell>
          <cell r="I81">
            <v>1</v>
          </cell>
          <cell r="J81" t="str">
            <v>3. Testes comparativos (Espec. VS Impl.)</v>
          </cell>
          <cell r="K81" t="str">
            <v>Não</v>
          </cell>
          <cell r="L81" t="str">
            <v>Baixa</v>
          </cell>
        </row>
        <row r="82">
          <cell r="F82" t="str">
            <v>INSTRUMENT_COD_SOC_DSTNTN</v>
          </cell>
          <cell r="G82" t="str">
            <v>INSTRUMENTcod_soc_dstntn</v>
          </cell>
          <cell r="H82" t="str">
            <v>1. Concluído</v>
          </cell>
          <cell r="I82">
            <v>1</v>
          </cell>
          <cell r="J82" t="str">
            <v>6. Validação de formatos</v>
          </cell>
          <cell r="K82" t="str">
            <v>Não</v>
          </cell>
          <cell r="L82" t="str">
            <v>Baixa</v>
          </cell>
        </row>
        <row r="83">
          <cell r="F83" t="str">
            <v>INSTRUMENT_COD_SOC_DSTNTN</v>
          </cell>
          <cell r="G83" t="str">
            <v>INSTRUMENTcod_soc_dstntn</v>
          </cell>
          <cell r="H83" t="str">
            <v>1. Concluído</v>
          </cell>
          <cell r="I83">
            <v>1</v>
          </cell>
          <cell r="J83" t="str">
            <v>7. Validação de controlos corporativos</v>
          </cell>
          <cell r="K83" t="str">
            <v>Não</v>
          </cell>
          <cell r="L83" t="str">
            <v>Baixa</v>
          </cell>
        </row>
        <row r="84">
          <cell r="F84" t="str">
            <v>INSTRUMENT_RWA_OFF_BLNC</v>
          </cell>
          <cell r="G84" t="str">
            <v>INSTRUMENTrwa_off_blnc</v>
          </cell>
          <cell r="H84" t="str">
            <v>1. Concluído</v>
          </cell>
          <cell r="I84">
            <v>1</v>
          </cell>
          <cell r="J84" t="str">
            <v>2. Simulação</v>
          </cell>
          <cell r="K84" t="str">
            <v>Não</v>
          </cell>
          <cell r="L84" t="str">
            <v>Baixa</v>
          </cell>
        </row>
        <row r="85">
          <cell r="F85" t="str">
            <v>INSTRUMENT_RWA_OFF_BLNC</v>
          </cell>
          <cell r="G85" t="str">
            <v>INSTRUMENTrwa_off_blnc</v>
          </cell>
          <cell r="H85" t="str">
            <v>1. Concluído</v>
          </cell>
          <cell r="I85">
            <v>1</v>
          </cell>
          <cell r="J85" t="str">
            <v>3. Testes comparativos (Espec. VS Impl.)</v>
          </cell>
          <cell r="K85" t="str">
            <v>Não</v>
          </cell>
          <cell r="L85" t="str">
            <v>Baixa</v>
          </cell>
        </row>
        <row r="86">
          <cell r="F86" t="str">
            <v>INSTRUMENT_RWA_OFF_BLNC</v>
          </cell>
          <cell r="G86" t="str">
            <v>INSTRUMENTrwa_off_blnc</v>
          </cell>
          <cell r="H86" t="str">
            <v>1. Concluído</v>
          </cell>
          <cell r="I86">
            <v>1</v>
          </cell>
          <cell r="J86" t="str">
            <v>6. Validação de formatos</v>
          </cell>
          <cell r="K86" t="str">
            <v>Não</v>
          </cell>
          <cell r="L86" t="str">
            <v>Baixa</v>
          </cell>
        </row>
        <row r="87">
          <cell r="F87" t="str">
            <v>INSTRUMENT_RWA_OFF_BLNC</v>
          </cell>
          <cell r="G87" t="str">
            <v>INSTRUMENTrwa_off_blnc</v>
          </cell>
          <cell r="H87" t="str">
            <v>1. Concluído</v>
          </cell>
          <cell r="I87">
            <v>1</v>
          </cell>
          <cell r="J87" t="str">
            <v>7. Validação de controlos corporativos</v>
          </cell>
          <cell r="K87" t="str">
            <v>Não</v>
          </cell>
          <cell r="L87" t="str">
            <v>Baixa</v>
          </cell>
        </row>
        <row r="88">
          <cell r="F88" t="str">
            <v>INSTRUMENT_INTRNL_TRNSFR_RT_OFF_BLNC</v>
          </cell>
          <cell r="G88" t="str">
            <v>INSTRUMENTintrnl_trnsfr_rt_off_blnc</v>
          </cell>
          <cell r="H88" t="str">
            <v>1. Concluído</v>
          </cell>
          <cell r="I88">
            <v>1</v>
          </cell>
          <cell r="J88" t="str">
            <v>2. Simulação</v>
          </cell>
          <cell r="K88" t="str">
            <v>Não</v>
          </cell>
          <cell r="L88" t="str">
            <v>Baixa</v>
          </cell>
        </row>
        <row r="89">
          <cell r="F89" t="str">
            <v>INSTRUMENT_INTRNL_TRNSFR_RT_OFF_BLNC</v>
          </cell>
          <cell r="G89" t="str">
            <v>INSTRUMENTintrnl_trnsfr_rt_off_blnc</v>
          </cell>
          <cell r="H89" t="str">
            <v>1. Concluído</v>
          </cell>
          <cell r="I89">
            <v>1</v>
          </cell>
          <cell r="J89" t="str">
            <v>3. Testes comparativos (Espec. VS Impl.)</v>
          </cell>
          <cell r="K89" t="str">
            <v>Não</v>
          </cell>
          <cell r="L89" t="str">
            <v>Baixa</v>
          </cell>
        </row>
        <row r="90">
          <cell r="F90" t="str">
            <v>INSTRUMENT_INTRNL_TRNSFR_RT_OFF_BLNC</v>
          </cell>
          <cell r="G90" t="str">
            <v>INSTRUMENTintrnl_trnsfr_rt_off_blnc</v>
          </cell>
          <cell r="H90" t="str">
            <v>1. Concluído</v>
          </cell>
          <cell r="I90">
            <v>1</v>
          </cell>
          <cell r="J90" t="str">
            <v>6. Validação de formatos</v>
          </cell>
          <cell r="K90" t="str">
            <v>Não</v>
          </cell>
          <cell r="L90" t="str">
            <v>Baixa</v>
          </cell>
        </row>
        <row r="91">
          <cell r="F91" t="str">
            <v>INSTRUMENT_INTRNL_TRNSFR_RT_OFF_BLNC</v>
          </cell>
          <cell r="G91" t="str">
            <v>INSTRUMENTintrnl_trnsfr_rt_off_blnc</v>
          </cell>
          <cell r="H91" t="str">
            <v>1. Concluído</v>
          </cell>
          <cell r="I91">
            <v>1</v>
          </cell>
          <cell r="J91" t="str">
            <v>7. Validação de controlos corporativos</v>
          </cell>
          <cell r="K91" t="str">
            <v>Não</v>
          </cell>
          <cell r="L91" t="str">
            <v>Baixa</v>
          </cell>
        </row>
        <row r="92">
          <cell r="F92" t="str">
            <v>INSTRUMENT_BSNSS_AREA</v>
          </cell>
          <cell r="G92" t="str">
            <v>INSTRUMENTbsnss_area</v>
          </cell>
          <cell r="H92" t="str">
            <v>2. Em Teste</v>
          </cell>
          <cell r="I92">
            <v>2</v>
          </cell>
          <cell r="J92" t="str">
            <v>2. Simulação</v>
          </cell>
          <cell r="K92" t="str">
            <v>Sim</v>
          </cell>
          <cell r="L92" t="str">
            <v>Alta</v>
          </cell>
        </row>
        <row r="93">
          <cell r="F93" t="str">
            <v>INSTRUMENT_BSNSS_AREA</v>
          </cell>
          <cell r="G93" t="str">
            <v>INSTRUMENTbsnss_area</v>
          </cell>
          <cell r="H93" t="str">
            <v>2. Em Teste</v>
          </cell>
          <cell r="I93">
            <v>2</v>
          </cell>
          <cell r="J93" t="str">
            <v>3. Testes comparativos (Espec. VS Impl.)</v>
          </cell>
          <cell r="K93" t="str">
            <v>Sim</v>
          </cell>
          <cell r="L93" t="str">
            <v>Alta</v>
          </cell>
        </row>
        <row r="94">
          <cell r="F94" t="str">
            <v>INSTRUMENT_BSNSS_AREA</v>
          </cell>
          <cell r="G94" t="str">
            <v>INSTRUMENTbsnss_area</v>
          </cell>
          <cell r="H94" t="str">
            <v>2. Em Teste</v>
          </cell>
          <cell r="I94">
            <v>2</v>
          </cell>
          <cell r="J94" t="str">
            <v>6. Validação de formatos</v>
          </cell>
          <cell r="K94" t="str">
            <v>Sim</v>
          </cell>
          <cell r="L94" t="str">
            <v>Alta</v>
          </cell>
        </row>
        <row r="95">
          <cell r="F95" t="str">
            <v>INSTRUMENT_BSNSS_AREA</v>
          </cell>
          <cell r="G95" t="str">
            <v>INSTRUMENTbsnss_area</v>
          </cell>
          <cell r="H95" t="str">
            <v>2. Em Teste</v>
          </cell>
          <cell r="I95">
            <v>2</v>
          </cell>
          <cell r="J95" t="str">
            <v>7. Validação de controlos corporativos</v>
          </cell>
          <cell r="K95" t="str">
            <v>Sim</v>
          </cell>
          <cell r="L95" t="str">
            <v>Alta</v>
          </cell>
        </row>
        <row r="96">
          <cell r="F96" t="str">
            <v>INSTRUMENT_AVRG_BLNC</v>
          </cell>
          <cell r="G96" t="str">
            <v>INSTRUMENTavrg_blnc</v>
          </cell>
          <cell r="H96" t="str">
            <v>2. Em Teste</v>
          </cell>
          <cell r="I96">
            <v>2</v>
          </cell>
          <cell r="J96" t="str">
            <v>2. Simulação</v>
          </cell>
          <cell r="K96" t="str">
            <v>Não</v>
          </cell>
          <cell r="L96" t="str">
            <v>Média</v>
          </cell>
        </row>
        <row r="97">
          <cell r="F97" t="str">
            <v>INSTRUMENT_AVRG_BLNC</v>
          </cell>
          <cell r="G97" t="str">
            <v>INSTRUMENTavrg_blnc</v>
          </cell>
          <cell r="H97" t="str">
            <v>2. Em Teste</v>
          </cell>
          <cell r="I97">
            <v>2</v>
          </cell>
          <cell r="J97" t="str">
            <v>3. Testes comparativos (Espec. VS Impl.)</v>
          </cell>
          <cell r="K97" t="str">
            <v>Não</v>
          </cell>
          <cell r="L97" t="str">
            <v>Média</v>
          </cell>
        </row>
        <row r="98">
          <cell r="F98" t="str">
            <v>INSTRUMENT_AVRG_BLNC</v>
          </cell>
          <cell r="G98" t="str">
            <v>INSTRUMENTavrg_blnc</v>
          </cell>
          <cell r="H98" t="str">
            <v>2. Em Teste</v>
          </cell>
          <cell r="I98">
            <v>2</v>
          </cell>
          <cell r="J98" t="str">
            <v>6. Validação de formatos</v>
          </cell>
          <cell r="K98" t="str">
            <v>Não</v>
          </cell>
          <cell r="L98" t="str">
            <v>Média</v>
          </cell>
        </row>
        <row r="99">
          <cell r="F99" t="str">
            <v>INSTRUMENT_AVRG_BLNC</v>
          </cell>
          <cell r="G99" t="str">
            <v>INSTRUMENTavrg_blnc</v>
          </cell>
          <cell r="H99" t="str">
            <v>2. Em Teste</v>
          </cell>
          <cell r="I99">
            <v>2</v>
          </cell>
          <cell r="J99" t="str">
            <v>7. Validação de controlos corporativos</v>
          </cell>
          <cell r="K99" t="str">
            <v>Não</v>
          </cell>
          <cell r="L99" t="str">
            <v>Baixa</v>
          </cell>
        </row>
        <row r="100">
          <cell r="F100" t="str">
            <v>INSTRUMENT_NT_LN_LSS_PRVSN</v>
          </cell>
          <cell r="G100" t="str">
            <v>INSTRUMENTnt_ln_lss_prvsn</v>
          </cell>
          <cell r="H100" t="str">
            <v>2. Em Teste</v>
          </cell>
          <cell r="I100">
            <v>2</v>
          </cell>
          <cell r="J100" t="str">
            <v>2. Simulação</v>
          </cell>
          <cell r="K100" t="str">
            <v>Não</v>
          </cell>
          <cell r="L100" t="str">
            <v>Média</v>
          </cell>
        </row>
        <row r="101">
          <cell r="F101" t="str">
            <v>INSTRUMENT_NT_LN_LSS_PRVSN</v>
          </cell>
          <cell r="G101" t="str">
            <v>INSTRUMENTnt_ln_lss_prvsn</v>
          </cell>
          <cell r="H101" t="str">
            <v>2. Em Teste</v>
          </cell>
          <cell r="I101">
            <v>2</v>
          </cell>
          <cell r="J101" t="str">
            <v>3. Testes comparativos (Espec. VS Impl.)</v>
          </cell>
          <cell r="K101" t="str">
            <v>Não</v>
          </cell>
          <cell r="L101" t="str">
            <v>Média</v>
          </cell>
        </row>
        <row r="102">
          <cell r="F102" t="str">
            <v>INSTRUMENT_NT_LN_LSS_PRVSN</v>
          </cell>
          <cell r="G102" t="str">
            <v>INSTRUMENTnt_ln_lss_prvsn</v>
          </cell>
          <cell r="H102" t="str">
            <v>2. Em Teste</v>
          </cell>
          <cell r="I102">
            <v>2</v>
          </cell>
          <cell r="J102" t="str">
            <v>6. Validação de formatos</v>
          </cell>
          <cell r="K102" t="str">
            <v>Não</v>
          </cell>
          <cell r="L102" t="str">
            <v>Média</v>
          </cell>
        </row>
        <row r="103">
          <cell r="F103" t="str">
            <v>INSTRUMENT_NT_LN_LSS_PRVSN</v>
          </cell>
          <cell r="G103" t="str">
            <v>INSTRUMENTnt_ln_lss_prvsn</v>
          </cell>
          <cell r="H103" t="str">
            <v>2. Em Teste</v>
          </cell>
          <cell r="I103">
            <v>2</v>
          </cell>
          <cell r="J103" t="str">
            <v>7. Validação de controlos corporativos</v>
          </cell>
          <cell r="K103" t="str">
            <v>Não</v>
          </cell>
          <cell r="L103" t="str">
            <v>Baixa</v>
          </cell>
        </row>
        <row r="104">
          <cell r="F104" t="str">
            <v>INSTRUMENT_MNGMNT_PRDCT</v>
          </cell>
          <cell r="G104" t="str">
            <v>INSTRUMENTmngmnt_prdct</v>
          </cell>
          <cell r="H104" t="str">
            <v>2. Em Teste</v>
          </cell>
          <cell r="I104">
            <v>2</v>
          </cell>
          <cell r="J104" t="str">
            <v>2. Simulação</v>
          </cell>
          <cell r="K104" t="str">
            <v>Não</v>
          </cell>
          <cell r="L104" t="str">
            <v>Média</v>
          </cell>
        </row>
        <row r="105">
          <cell r="F105" t="str">
            <v>INSTRUMENT_MNGMNT_PRDCT</v>
          </cell>
          <cell r="G105" t="str">
            <v>INSTRUMENTmngmnt_prdct</v>
          </cell>
          <cell r="H105" t="str">
            <v>2. Em Teste</v>
          </cell>
          <cell r="I105">
            <v>2</v>
          </cell>
          <cell r="J105" t="str">
            <v>3. Testes comparativos (Espec. VS Impl.)</v>
          </cell>
          <cell r="K105" t="str">
            <v>Não</v>
          </cell>
          <cell r="L105" t="str">
            <v>Média</v>
          </cell>
        </row>
        <row r="106">
          <cell r="F106" t="str">
            <v>INSTRUMENT_MNGMNT_PRDCT</v>
          </cell>
          <cell r="G106" t="str">
            <v>INSTRUMENTmngmnt_prdct</v>
          </cell>
          <cell r="H106" t="str">
            <v>2. Em Teste</v>
          </cell>
          <cell r="I106">
            <v>2</v>
          </cell>
          <cell r="J106" t="str">
            <v>6. Validação de formatos</v>
          </cell>
          <cell r="K106" t="str">
            <v>Não</v>
          </cell>
          <cell r="L106" t="str">
            <v>Média</v>
          </cell>
        </row>
        <row r="107">
          <cell r="F107" t="str">
            <v>INSTRUMENT_MNGMNT_PRDCT</v>
          </cell>
          <cell r="G107" t="str">
            <v>INSTRUMENTmngmnt_prdct</v>
          </cell>
          <cell r="H107" t="str">
            <v>2. Em Teste</v>
          </cell>
          <cell r="I107">
            <v>2</v>
          </cell>
          <cell r="J107" t="str">
            <v>7. Validação de controlos corporativos</v>
          </cell>
          <cell r="K107" t="str">
            <v>Não</v>
          </cell>
          <cell r="L107" t="str">
            <v>Média</v>
          </cell>
        </row>
        <row r="108">
          <cell r="F108" t="str">
            <v>INSTRUMENT_NW_BSNSS</v>
          </cell>
          <cell r="G108" t="str">
            <v>INSTRUMENTnw_bsnss</v>
          </cell>
          <cell r="H108" t="str">
            <v>2. Em Teste</v>
          </cell>
          <cell r="I108">
            <v>2</v>
          </cell>
          <cell r="J108" t="str">
            <v>2. Simulação</v>
          </cell>
          <cell r="K108" t="str">
            <v>Não</v>
          </cell>
          <cell r="L108" t="str">
            <v>Média</v>
          </cell>
        </row>
        <row r="109">
          <cell r="F109" t="str">
            <v>INSTRUMENT_NW_BSNSS</v>
          </cell>
          <cell r="G109" t="str">
            <v>INSTRUMENTnw_bsnss</v>
          </cell>
          <cell r="H109" t="str">
            <v>2. Em Teste</v>
          </cell>
          <cell r="I109">
            <v>2</v>
          </cell>
          <cell r="J109" t="str">
            <v>3. Testes comparativos (Espec. VS Impl.)</v>
          </cell>
          <cell r="K109" t="str">
            <v>Não</v>
          </cell>
          <cell r="L109" t="str">
            <v>Média</v>
          </cell>
        </row>
        <row r="110">
          <cell r="F110" t="str">
            <v>INSTRUMENT_NW_BSNSS</v>
          </cell>
          <cell r="G110" t="str">
            <v>INSTRUMENTnw_bsnss</v>
          </cell>
          <cell r="H110" t="str">
            <v>2. Em Teste</v>
          </cell>
          <cell r="I110">
            <v>2</v>
          </cell>
          <cell r="J110" t="str">
            <v>6. Validação de formatos</v>
          </cell>
          <cell r="K110" t="str">
            <v>Não</v>
          </cell>
          <cell r="L110" t="str">
            <v>Média</v>
          </cell>
        </row>
        <row r="111">
          <cell r="F111" t="str">
            <v>INSTRUMENT_NW_BSNSS</v>
          </cell>
          <cell r="G111" t="str">
            <v>INSTRUMENTnw_bsnss</v>
          </cell>
          <cell r="H111" t="str">
            <v>2. Em Teste</v>
          </cell>
          <cell r="I111">
            <v>2</v>
          </cell>
          <cell r="J111" t="str">
            <v>7. Validação de controlos corporativos</v>
          </cell>
          <cell r="K111" t="str">
            <v>Não</v>
          </cell>
          <cell r="L111" t="str">
            <v>Média</v>
          </cell>
        </row>
        <row r="112">
          <cell r="F112" t="str">
            <v>INSTRUMENT_GRSS_INTRST_INCM_CCRR</v>
          </cell>
          <cell r="G112" t="str">
            <v>INSTRUMENTgrss_intrst_incm_ccrr</v>
          </cell>
          <cell r="H112" t="str">
            <v>2. Em Teste</v>
          </cell>
          <cell r="I112">
            <v>2</v>
          </cell>
          <cell r="J112" t="str">
            <v>3. Testes comparativos (Espec. VS Impl.)</v>
          </cell>
          <cell r="K112" t="str">
            <v>Não</v>
          </cell>
          <cell r="L112" t="str">
            <v>Baixa</v>
          </cell>
        </row>
        <row r="113">
          <cell r="F113" t="str">
            <v>INSTRUMENT_NT_LN_LSS_PRVSN_OFF_BLNC</v>
          </cell>
          <cell r="G113" t="str">
            <v>INSTRUMENTnt_ln_lss_prvsn_off_blnc</v>
          </cell>
          <cell r="H113" t="str">
            <v>2. Em Teste</v>
          </cell>
          <cell r="I113">
            <v>2</v>
          </cell>
          <cell r="J113" t="str">
            <v>2. Simulação</v>
          </cell>
          <cell r="K113" t="str">
            <v>Não</v>
          </cell>
          <cell r="L113" t="str">
            <v>Média</v>
          </cell>
        </row>
        <row r="114">
          <cell r="F114" t="str">
            <v>INSTRUMENT_NT_LN_LSS_PRVSN_OFF_BLNC</v>
          </cell>
          <cell r="G114" t="str">
            <v>INSTRUMENTnt_ln_lss_prvsn_off_blnc</v>
          </cell>
          <cell r="H114" t="str">
            <v>2. Em Teste</v>
          </cell>
          <cell r="I114">
            <v>2</v>
          </cell>
          <cell r="J114" t="str">
            <v>3. Testes comparativos (Espec. VS Impl.)</v>
          </cell>
          <cell r="K114" t="str">
            <v>Não</v>
          </cell>
          <cell r="L114" t="str">
            <v>Média</v>
          </cell>
        </row>
        <row r="115">
          <cell r="F115" t="str">
            <v>INSTRUMENT_NT_LN_LSS_PRVSN_OFF_BLNC</v>
          </cell>
          <cell r="G115" t="str">
            <v>INSTRUMENTnt_ln_lss_prvsn_off_blnc</v>
          </cell>
          <cell r="H115" t="str">
            <v>2. Em Teste</v>
          </cell>
          <cell r="I115">
            <v>2</v>
          </cell>
          <cell r="J115" t="str">
            <v>6. Validação de formatos</v>
          </cell>
          <cell r="K115" t="str">
            <v>Não</v>
          </cell>
          <cell r="L115" t="str">
            <v>Média</v>
          </cell>
        </row>
        <row r="116">
          <cell r="F116" t="str">
            <v>INSTRUMENT_NT_LN_LSS_PRVSN_OFF_BLNC</v>
          </cell>
          <cell r="G116" t="str">
            <v>INSTRUMENTnt_ln_lss_prvsn_off_blnc</v>
          </cell>
          <cell r="H116" t="str">
            <v>2. Em Teste</v>
          </cell>
          <cell r="I116">
            <v>2</v>
          </cell>
          <cell r="J116" t="str">
            <v>7. Validação de controlos corporativos</v>
          </cell>
          <cell r="K116" t="str">
            <v>Não</v>
          </cell>
          <cell r="L116" t="str">
            <v>Baixa</v>
          </cell>
        </row>
        <row r="117">
          <cell r="F117" t="str">
            <v>INSTRUMENT_AVRG_BLNC_OFF_BLNC</v>
          </cell>
          <cell r="G117" t="str">
            <v>INSTRUMENTavrg_blnc_off_blnc</v>
          </cell>
          <cell r="H117" t="str">
            <v>2. Em Teste</v>
          </cell>
          <cell r="I117">
            <v>2</v>
          </cell>
          <cell r="J117" t="str">
            <v>2. Simulação</v>
          </cell>
          <cell r="K117" t="str">
            <v>Não</v>
          </cell>
          <cell r="L117" t="str">
            <v>Média</v>
          </cell>
        </row>
        <row r="118">
          <cell r="F118" t="str">
            <v>INSTRUMENT_AVRG_BLNC_OFF_BLNC</v>
          </cell>
          <cell r="G118" t="str">
            <v>INSTRUMENTavrg_blnc_off_blnc</v>
          </cell>
          <cell r="H118" t="str">
            <v>2. Em Teste</v>
          </cell>
          <cell r="I118">
            <v>2</v>
          </cell>
          <cell r="J118" t="str">
            <v>3. Testes comparativos (Espec. VS Impl.)</v>
          </cell>
          <cell r="K118" t="str">
            <v>Não</v>
          </cell>
          <cell r="L118" t="str">
            <v>Média</v>
          </cell>
        </row>
        <row r="119">
          <cell r="F119" t="str">
            <v>INSTRUMENT_AVRG_BLNC_OFF_BLNC</v>
          </cell>
          <cell r="G119" t="str">
            <v>INSTRUMENTavrg_blnc_off_blnc</v>
          </cell>
          <cell r="H119" t="str">
            <v>2. Em Teste</v>
          </cell>
          <cell r="I119">
            <v>2</v>
          </cell>
          <cell r="J119" t="str">
            <v>6. Validação de formatos</v>
          </cell>
          <cell r="K119" t="str">
            <v>Não</v>
          </cell>
          <cell r="L119" t="str">
            <v>Média</v>
          </cell>
        </row>
        <row r="120">
          <cell r="F120" t="str">
            <v>INSTRUMENT_AVRG_BLNC_OFF_BLNC</v>
          </cell>
          <cell r="G120" t="str">
            <v>INSTRUMENTavrg_blnc_off_blnc</v>
          </cell>
          <cell r="H120" t="str">
            <v>2. Em Teste</v>
          </cell>
          <cell r="I120">
            <v>2</v>
          </cell>
          <cell r="J120" t="str">
            <v>7. Validação de controlos corporativos</v>
          </cell>
          <cell r="K120" t="str">
            <v>Não</v>
          </cell>
          <cell r="L120" t="str">
            <v>Baixa</v>
          </cell>
        </row>
        <row r="121">
          <cell r="F121" t="str">
            <v>INSTRUMENT_BSNSS_AREA_CCRR</v>
          </cell>
          <cell r="G121" t="str">
            <v>INSTRUMENTbsnss_area_ccrr</v>
          </cell>
          <cell r="H121" t="str">
            <v>2. Em Teste</v>
          </cell>
          <cell r="I121">
            <v>2</v>
          </cell>
          <cell r="J121" t="str">
            <v>3. Testes comparativos (Espec. VS Impl.)</v>
          </cell>
          <cell r="K121" t="str">
            <v>Não</v>
          </cell>
          <cell r="L121" t="str">
            <v>Baixa</v>
          </cell>
        </row>
        <row r="122">
          <cell r="F122" t="str">
            <v>INSTRUMENT_GRSS_CMMSSN_INCM_OFF_BLNC</v>
          </cell>
          <cell r="G122" t="str">
            <v>INSTRUMENTgrss_cmmssn_incm_off_blnc</v>
          </cell>
          <cell r="H122" t="str">
            <v>2. Em Teste</v>
          </cell>
          <cell r="I122">
            <v>2</v>
          </cell>
          <cell r="J122" t="str">
            <v>2. Simulação</v>
          </cell>
          <cell r="K122" t="str">
            <v>Não</v>
          </cell>
          <cell r="L122" t="str">
            <v>Alta</v>
          </cell>
        </row>
        <row r="123">
          <cell r="F123" t="str">
            <v>INSTRUMENT_GRSS_CMMSSN_INCM_OFF_BLNC</v>
          </cell>
          <cell r="G123" t="str">
            <v>INSTRUMENTgrss_cmmssn_incm_off_blnc</v>
          </cell>
          <cell r="H123" t="str">
            <v>2. Em Teste</v>
          </cell>
          <cell r="I123">
            <v>2</v>
          </cell>
          <cell r="J123" t="str">
            <v>3. Testes comparativos (Espec. VS Impl.)</v>
          </cell>
          <cell r="K123" t="str">
            <v>Não</v>
          </cell>
          <cell r="L123" t="str">
            <v>Alta</v>
          </cell>
        </row>
        <row r="124">
          <cell r="F124" t="str">
            <v>INSTRUMENT_GRSS_CMMSSN_INCM_OFF_BLNC</v>
          </cell>
          <cell r="G124" t="str">
            <v>INSTRUMENTgrss_cmmssn_incm_off_blnc</v>
          </cell>
          <cell r="H124" t="str">
            <v>2. Em Teste</v>
          </cell>
          <cell r="I124">
            <v>2</v>
          </cell>
          <cell r="J124" t="str">
            <v>6. Validação de formatos</v>
          </cell>
          <cell r="K124" t="str">
            <v>Não</v>
          </cell>
          <cell r="L124" t="str">
            <v>Alta</v>
          </cell>
        </row>
        <row r="125">
          <cell r="F125" t="str">
            <v>INSTRUMENT_GRSS_CMMSSN_INCM_OFF_BLNC</v>
          </cell>
          <cell r="G125" t="str">
            <v>INSTRUMENTgrss_cmmssn_incm_off_blnc</v>
          </cell>
          <cell r="H125" t="str">
            <v>2. Em Teste</v>
          </cell>
          <cell r="I125">
            <v>2</v>
          </cell>
          <cell r="J125" t="str">
            <v>7. Validação de controlos corporativos</v>
          </cell>
          <cell r="K125" t="str">
            <v>Não</v>
          </cell>
          <cell r="L125" t="str">
            <v>Alta</v>
          </cell>
        </row>
        <row r="126">
          <cell r="F126" t="str">
            <v>INSTRUMENT_GRSS_CMMSSN_EXPNS_OFF_BLNC_CCRR</v>
          </cell>
          <cell r="G126" t="str">
            <v>INSTRUMENTgrss_cmmssn_expns_off_blnc_ccrr</v>
          </cell>
          <cell r="H126" t="str">
            <v>2. Em Teste</v>
          </cell>
          <cell r="I126">
            <v>2</v>
          </cell>
          <cell r="J126" t="str">
            <v>3. Testes comparativos (Espec. VS Impl.)</v>
          </cell>
          <cell r="K126" t="str">
            <v>Não</v>
          </cell>
          <cell r="L126" t="str">
            <v>Baixa</v>
          </cell>
        </row>
        <row r="127">
          <cell r="F127" t="str">
            <v>INSTRUMENT_GRSS_CMMSSN_EXPNS_OFF_BLNC</v>
          </cell>
          <cell r="G127" t="str">
            <v>INSTRUMENTgrss_cmmssn_expns_off_blnc</v>
          </cell>
          <cell r="H127" t="str">
            <v>2. Em Teste</v>
          </cell>
          <cell r="I127">
            <v>2</v>
          </cell>
          <cell r="J127" t="str">
            <v>2. Simulação</v>
          </cell>
          <cell r="K127" t="str">
            <v>Não</v>
          </cell>
          <cell r="L127" t="str">
            <v>Alta</v>
          </cell>
        </row>
        <row r="128">
          <cell r="F128" t="str">
            <v>INSTRUMENT_GRSS_CMMSSN_EXPNS_OFF_BLNC</v>
          </cell>
          <cell r="G128" t="str">
            <v>INSTRUMENTgrss_cmmssn_expns_off_blnc</v>
          </cell>
          <cell r="H128" t="str">
            <v>2. Em Teste</v>
          </cell>
          <cell r="I128">
            <v>2</v>
          </cell>
          <cell r="J128" t="str">
            <v>3. Testes comparativos (Espec. VS Impl.)</v>
          </cell>
          <cell r="K128" t="str">
            <v>Não</v>
          </cell>
          <cell r="L128" t="str">
            <v>Alta</v>
          </cell>
        </row>
        <row r="129">
          <cell r="F129" t="str">
            <v>INSTRUMENT_GRSS_CMMSSN_EXPNS_OFF_BLNC</v>
          </cell>
          <cell r="G129" t="str">
            <v>INSTRUMENTgrss_cmmssn_expns_off_blnc</v>
          </cell>
          <cell r="H129" t="str">
            <v>2. Em Teste</v>
          </cell>
          <cell r="I129">
            <v>2</v>
          </cell>
          <cell r="J129" t="str">
            <v>6. Validação de formatos</v>
          </cell>
          <cell r="K129" t="str">
            <v>Não</v>
          </cell>
          <cell r="L129" t="str">
            <v>Alta</v>
          </cell>
        </row>
        <row r="130">
          <cell r="F130" t="str">
            <v>INSTRUMENT_GRSS_CMMSSN_EXPNS_OFF_BLNC</v>
          </cell>
          <cell r="G130" t="str">
            <v>INSTRUMENTgrss_cmmssn_expns_off_blnc</v>
          </cell>
          <cell r="H130" t="str">
            <v>2. Em Teste</v>
          </cell>
          <cell r="I130">
            <v>2</v>
          </cell>
          <cell r="J130" t="str">
            <v>7. Validação de controlos corporativos</v>
          </cell>
          <cell r="K130" t="str">
            <v>Não</v>
          </cell>
          <cell r="L130" t="str">
            <v>Alta</v>
          </cell>
        </row>
        <row r="131">
          <cell r="F131" t="str">
            <v>INSTRUMENT_GRSS_CMMSSN_INCM_OFF_BLNC_CCRR</v>
          </cell>
          <cell r="G131" t="str">
            <v>INSTRUMENTgrss_cmmssn_incm_off_blnc_ccrr</v>
          </cell>
          <cell r="H131" t="str">
            <v>2. Em Teste</v>
          </cell>
          <cell r="I131">
            <v>2</v>
          </cell>
          <cell r="J131" t="str">
            <v>3. Testes comparativos (Espec. VS Impl.)</v>
          </cell>
          <cell r="K131" t="str">
            <v>Não</v>
          </cell>
          <cell r="L131" t="str">
            <v>Baixa</v>
          </cell>
        </row>
        <row r="132">
          <cell r="F132" t="str">
            <v>INSTRUMENT_GRSS_INTRST_INCM</v>
          </cell>
          <cell r="G132" t="str">
            <v>INSTRUMENTgrss_intrst_incm</v>
          </cell>
          <cell r="H132" t="str">
            <v>2. Em Teste</v>
          </cell>
          <cell r="I132">
            <v>2</v>
          </cell>
          <cell r="J132" t="str">
            <v>2. Simulação</v>
          </cell>
          <cell r="K132" t="str">
            <v>Não</v>
          </cell>
          <cell r="L132" t="str">
            <v>Alta</v>
          </cell>
        </row>
        <row r="133">
          <cell r="F133" t="str">
            <v>INSTRUMENT_GRSS_INTRST_INCM</v>
          </cell>
          <cell r="G133" t="str">
            <v>INSTRUMENTgrss_intrst_incm</v>
          </cell>
          <cell r="H133" t="str">
            <v>2. Em Teste</v>
          </cell>
          <cell r="I133">
            <v>2</v>
          </cell>
          <cell r="J133" t="str">
            <v>3. Testes comparativos (Espec. VS Impl.)</v>
          </cell>
          <cell r="K133" t="str">
            <v>Não</v>
          </cell>
          <cell r="L133" t="str">
            <v>Alta</v>
          </cell>
        </row>
        <row r="134">
          <cell r="F134" t="str">
            <v>INSTRUMENT_GRSS_INTRST_INCM</v>
          </cell>
          <cell r="G134" t="str">
            <v>INSTRUMENTgrss_intrst_incm</v>
          </cell>
          <cell r="H134" t="str">
            <v>2. Em Teste</v>
          </cell>
          <cell r="I134">
            <v>2</v>
          </cell>
          <cell r="J134" t="str">
            <v>6. Validação de formatos</v>
          </cell>
          <cell r="K134" t="str">
            <v>Não</v>
          </cell>
          <cell r="L134" t="str">
            <v>Alta</v>
          </cell>
        </row>
        <row r="135">
          <cell r="F135" t="str">
            <v>INSTRUMENT_GRSS_INTRST_INCM</v>
          </cell>
          <cell r="G135" t="str">
            <v>INSTRUMENTgrss_intrst_incm</v>
          </cell>
          <cell r="H135" t="str">
            <v>2. Em Teste</v>
          </cell>
          <cell r="I135">
            <v>2</v>
          </cell>
          <cell r="J135" t="str">
            <v>7. Validação de controlos corporativos</v>
          </cell>
          <cell r="K135" t="str">
            <v>Não</v>
          </cell>
          <cell r="L135" t="str">
            <v>Alta</v>
          </cell>
        </row>
        <row r="136">
          <cell r="F136" t="str">
            <v>INSTRUMENT_GRSS_CMMSSN_INCM</v>
          </cell>
          <cell r="G136" t="str">
            <v>INSTRUMENTgrss_cmmssn_incm</v>
          </cell>
          <cell r="H136" t="str">
            <v>2. Em Teste</v>
          </cell>
          <cell r="I136">
            <v>2</v>
          </cell>
          <cell r="J136" t="str">
            <v>2. Simulação</v>
          </cell>
          <cell r="K136" t="str">
            <v>Não</v>
          </cell>
          <cell r="L136" t="str">
            <v>Alta</v>
          </cell>
        </row>
        <row r="137">
          <cell r="F137" t="str">
            <v>INSTRUMENT_GRSS_CMMSSN_INCM</v>
          </cell>
          <cell r="G137" t="str">
            <v>INSTRUMENTgrss_cmmssn_incm</v>
          </cell>
          <cell r="H137" t="str">
            <v>2. Em Teste</v>
          </cell>
          <cell r="I137">
            <v>2</v>
          </cell>
          <cell r="J137" t="str">
            <v>3. Testes comparativos (Espec. VS Impl.)</v>
          </cell>
          <cell r="K137" t="str">
            <v>Não</v>
          </cell>
          <cell r="L137" t="str">
            <v>Alta</v>
          </cell>
        </row>
        <row r="138">
          <cell r="F138" t="str">
            <v>INSTRUMENT_GRSS_CMMSSN_INCM</v>
          </cell>
          <cell r="G138" t="str">
            <v>INSTRUMENTgrss_cmmssn_incm</v>
          </cell>
          <cell r="H138" t="str">
            <v>2. Em Teste</v>
          </cell>
          <cell r="I138">
            <v>2</v>
          </cell>
          <cell r="J138" t="str">
            <v>6. Validação de formatos</v>
          </cell>
          <cell r="K138" t="str">
            <v>Não</v>
          </cell>
          <cell r="L138" t="str">
            <v>Alta</v>
          </cell>
        </row>
        <row r="139">
          <cell r="F139" t="str">
            <v>INSTRUMENT_GRSS_CMMSSN_INCM</v>
          </cell>
          <cell r="G139" t="str">
            <v>INSTRUMENTgrss_cmmssn_incm</v>
          </cell>
          <cell r="H139" t="str">
            <v>2. Em Teste</v>
          </cell>
          <cell r="I139">
            <v>2</v>
          </cell>
          <cell r="J139" t="str">
            <v>7. Validação de controlos corporativos</v>
          </cell>
          <cell r="K139" t="str">
            <v>Não</v>
          </cell>
          <cell r="L139" t="str">
            <v>Alta</v>
          </cell>
        </row>
        <row r="140">
          <cell r="F140" t="str">
            <v>INSTRUMENT_GRSS_CMMSSN_INCM_CCRR</v>
          </cell>
          <cell r="G140" t="str">
            <v>INSTRUMENTgrss_cmmssn_incm_ccrr</v>
          </cell>
          <cell r="H140" t="str">
            <v>2. Em Teste</v>
          </cell>
          <cell r="I140">
            <v>2</v>
          </cell>
          <cell r="J140" t="str">
            <v>3. Testes comparativos (Espec. VS Impl.)</v>
          </cell>
          <cell r="K140" t="str">
            <v>Não</v>
          </cell>
          <cell r="L140" t="str">
            <v>Baixa</v>
          </cell>
        </row>
        <row r="141">
          <cell r="F141" t="str">
            <v>INSTRUMENT_INTRNL_TRNSFR_RT</v>
          </cell>
          <cell r="G141" t="str">
            <v>INSTRUMENTintrnl_trnsfr_rt</v>
          </cell>
          <cell r="H141" t="str">
            <v>2. Em Teste</v>
          </cell>
          <cell r="I141">
            <v>2</v>
          </cell>
          <cell r="J141" t="str">
            <v>2. Simulação</v>
          </cell>
          <cell r="K141" t="str">
            <v>Não</v>
          </cell>
          <cell r="L141" t="str">
            <v>Alta</v>
          </cell>
        </row>
        <row r="142">
          <cell r="F142" t="str">
            <v>INSTRUMENT_INTRNL_TRNSFR_RT</v>
          </cell>
          <cell r="G142" t="str">
            <v>INSTRUMENTintrnl_trnsfr_rt</v>
          </cell>
          <cell r="H142" t="str">
            <v>2. Em Teste</v>
          </cell>
          <cell r="I142">
            <v>2</v>
          </cell>
          <cell r="J142" t="str">
            <v>3. Testes comparativos (Espec. VS Impl.)</v>
          </cell>
          <cell r="K142" t="str">
            <v>Não</v>
          </cell>
          <cell r="L142" t="str">
            <v>Alta</v>
          </cell>
        </row>
        <row r="143">
          <cell r="F143" t="str">
            <v>INSTRUMENT_INTRNL_TRNSFR_RT</v>
          </cell>
          <cell r="G143" t="str">
            <v>INSTRUMENTintrnl_trnsfr_rt</v>
          </cell>
          <cell r="H143" t="str">
            <v>2. Em Teste</v>
          </cell>
          <cell r="I143">
            <v>2</v>
          </cell>
          <cell r="J143" t="str">
            <v>6. Validação de formatos</v>
          </cell>
          <cell r="K143" t="str">
            <v>Não</v>
          </cell>
          <cell r="L143" t="str">
            <v>Alta</v>
          </cell>
        </row>
        <row r="144">
          <cell r="F144" t="str">
            <v>INSTRUMENT_INTRNL_TRNSFR_RT</v>
          </cell>
          <cell r="G144" t="str">
            <v>INSTRUMENTintrnl_trnsfr_rt</v>
          </cell>
          <cell r="H144" t="str">
            <v>2. Em Teste</v>
          </cell>
          <cell r="I144">
            <v>2</v>
          </cell>
          <cell r="J144" t="str">
            <v>7. Validação de controlos corporativos</v>
          </cell>
          <cell r="K144" t="str">
            <v>Não</v>
          </cell>
          <cell r="L144" t="str">
            <v>Alta</v>
          </cell>
        </row>
        <row r="145">
          <cell r="F145" t="str">
            <v>INSTRUMENT_GRSS_CMMSSN_EXPNS</v>
          </cell>
          <cell r="G145" t="str">
            <v>INSTRUMENTgrss_cmmssn_expns</v>
          </cell>
          <cell r="H145" t="str">
            <v>2. Em Teste</v>
          </cell>
          <cell r="I145">
            <v>2</v>
          </cell>
          <cell r="J145" t="str">
            <v>2. Simulação</v>
          </cell>
          <cell r="K145" t="str">
            <v>Não</v>
          </cell>
          <cell r="L145" t="str">
            <v>Alta</v>
          </cell>
        </row>
        <row r="146">
          <cell r="F146" t="str">
            <v>INSTRUMENT_GRSS_CMMSSN_EXPNS</v>
          </cell>
          <cell r="G146" t="str">
            <v>INSTRUMENTgrss_cmmssn_expns</v>
          </cell>
          <cell r="H146" t="str">
            <v>2. Em Teste</v>
          </cell>
          <cell r="I146">
            <v>2</v>
          </cell>
          <cell r="J146" t="str">
            <v>3. Testes comparativos (Espec. VS Impl.)</v>
          </cell>
          <cell r="K146" t="str">
            <v>Não</v>
          </cell>
          <cell r="L146" t="str">
            <v>Alta</v>
          </cell>
        </row>
        <row r="147">
          <cell r="F147" t="str">
            <v>INSTRUMENT_GRSS_CMMSSN_EXPNS</v>
          </cell>
          <cell r="G147" t="str">
            <v>INSTRUMENTgrss_cmmssn_expns</v>
          </cell>
          <cell r="H147" t="str">
            <v>2. Em Teste</v>
          </cell>
          <cell r="I147">
            <v>2</v>
          </cell>
          <cell r="J147" t="str">
            <v>6. Validação de formatos</v>
          </cell>
          <cell r="K147" t="str">
            <v>Não</v>
          </cell>
          <cell r="L147" t="str">
            <v>Alta</v>
          </cell>
        </row>
        <row r="148">
          <cell r="F148" t="str">
            <v>INSTRUMENT_GRSS_CMMSSN_EXPNS</v>
          </cell>
          <cell r="G148" t="str">
            <v>INSTRUMENTgrss_cmmssn_expns</v>
          </cell>
          <cell r="H148" t="str">
            <v>2. Em Teste</v>
          </cell>
          <cell r="I148">
            <v>2</v>
          </cell>
          <cell r="J148" t="str">
            <v>7. Validação de controlos corporativos</v>
          </cell>
          <cell r="K148" t="str">
            <v>Não</v>
          </cell>
          <cell r="L148" t="str">
            <v>Alta</v>
          </cell>
        </row>
        <row r="149">
          <cell r="F149" t="str">
            <v>INSTRUMENT_GRSS_CMMSSN_EXPNS_CCRR</v>
          </cell>
          <cell r="G149" t="str">
            <v>INSTRUMENTgrss_cmmssn_expns_ccrr</v>
          </cell>
          <cell r="H149" t="str">
            <v>2. Em Teste</v>
          </cell>
          <cell r="I149">
            <v>2</v>
          </cell>
          <cell r="J149" t="str">
            <v>3. Testes comparativos (Espec. VS Impl.)</v>
          </cell>
          <cell r="K149" t="str">
            <v>Não</v>
          </cell>
          <cell r="L149" t="str">
            <v>Baixa</v>
          </cell>
        </row>
        <row r="150">
          <cell r="F150" t="str">
            <v>INSTRUMENT_GRSS_INTRST_EXPNS</v>
          </cell>
          <cell r="G150" t="str">
            <v>INSTRUMENTgrss_intrst_expns</v>
          </cell>
          <cell r="H150" t="str">
            <v>2. Em Teste</v>
          </cell>
          <cell r="I150">
            <v>2</v>
          </cell>
          <cell r="J150" t="str">
            <v>2. Simulação</v>
          </cell>
          <cell r="K150" t="str">
            <v>Não</v>
          </cell>
          <cell r="L150" t="str">
            <v>Alta</v>
          </cell>
        </row>
        <row r="151">
          <cell r="F151" t="str">
            <v>INSTRUMENT_GRSS_INTRST_EXPNS</v>
          </cell>
          <cell r="G151" t="str">
            <v>INSTRUMENTgrss_intrst_expns</v>
          </cell>
          <cell r="H151" t="str">
            <v>2. Em Teste</v>
          </cell>
          <cell r="I151">
            <v>2</v>
          </cell>
          <cell r="J151" t="str">
            <v>3. Testes comparativos (Espec. VS Impl.)</v>
          </cell>
          <cell r="K151" t="str">
            <v>Não</v>
          </cell>
          <cell r="L151" t="str">
            <v>Alta</v>
          </cell>
        </row>
        <row r="152">
          <cell r="F152" t="str">
            <v>INSTRUMENT_GRSS_INTRST_EXPNS</v>
          </cell>
          <cell r="G152" t="str">
            <v>INSTRUMENTgrss_intrst_expns</v>
          </cell>
          <cell r="H152" t="str">
            <v>2. Em Teste</v>
          </cell>
          <cell r="I152">
            <v>2</v>
          </cell>
          <cell r="J152" t="str">
            <v>6. Validação de formatos</v>
          </cell>
          <cell r="K152" t="str">
            <v>Não</v>
          </cell>
          <cell r="L152" t="str">
            <v>Alta</v>
          </cell>
        </row>
        <row r="153">
          <cell r="F153" t="str">
            <v>INSTRUMENT_GRSS_INTRST_EXPNS</v>
          </cell>
          <cell r="G153" t="str">
            <v>INSTRUMENTgrss_intrst_expns</v>
          </cell>
          <cell r="H153" t="str">
            <v>2. Em Teste</v>
          </cell>
          <cell r="I153">
            <v>2</v>
          </cell>
          <cell r="J153" t="str">
            <v>7. Validação de controlos corporativos</v>
          </cell>
          <cell r="K153" t="str">
            <v>Não</v>
          </cell>
          <cell r="L153" t="str">
            <v>Alta</v>
          </cell>
        </row>
        <row r="154">
          <cell r="F154" t="str">
            <v>INSTRUMENT_GRSS_INTRST_EXPNS_CCRR</v>
          </cell>
          <cell r="G154" t="str">
            <v>INSTRUMENTgrss_intrst_expns_ccrr</v>
          </cell>
          <cell r="H154" t="str">
            <v>2. Em Teste</v>
          </cell>
          <cell r="I154">
            <v>2</v>
          </cell>
          <cell r="J154" t="str">
            <v>3. Testes comparativos (Espec. VS Impl.)</v>
          </cell>
          <cell r="K154" t="str">
            <v>Não</v>
          </cell>
          <cell r="L154" t="str">
            <v>Baixa</v>
          </cell>
        </row>
        <row r="155">
          <cell r="F155" t="str">
            <v>INSTRUMENT_GNS_FNNCL_TRNSCTN_EXCHNG_DFFRNCS</v>
          </cell>
          <cell r="G155" t="str">
            <v>INSTRUMENTgns_fnncl_trnsctn_exchng_dffrncs</v>
          </cell>
          <cell r="H155" t="str">
            <v>2. Em Teste</v>
          </cell>
          <cell r="I155">
            <v>2</v>
          </cell>
          <cell r="J155" t="str">
            <v>2. Simulação</v>
          </cell>
          <cell r="K155" t="str">
            <v>Não</v>
          </cell>
          <cell r="L155" t="str">
            <v>Alta</v>
          </cell>
        </row>
        <row r="156">
          <cell r="F156" t="str">
            <v>INSTRUMENT_GNS_FNNCL_TRNSCTN_EXCHNG_DFFRNCS</v>
          </cell>
          <cell r="G156" t="str">
            <v>INSTRUMENTgns_fnncl_trnsctn_exchng_dffrncs</v>
          </cell>
          <cell r="H156" t="str">
            <v>2. Em Teste</v>
          </cell>
          <cell r="I156">
            <v>2</v>
          </cell>
          <cell r="J156" t="str">
            <v>3. Testes comparativos (Espec. VS Impl.)</v>
          </cell>
          <cell r="K156" t="str">
            <v>Não</v>
          </cell>
          <cell r="L156" t="str">
            <v>Alta</v>
          </cell>
        </row>
        <row r="157">
          <cell r="F157" t="str">
            <v>INSTRUMENT_GNS_FNNCL_TRNSCTN_EXCHNG_DFFRNCS</v>
          </cell>
          <cell r="G157" t="str">
            <v>INSTRUMENTgns_fnncl_trnsctn_exchng_dffrncs</v>
          </cell>
          <cell r="H157" t="str">
            <v>2. Em Teste</v>
          </cell>
          <cell r="I157">
            <v>2</v>
          </cell>
          <cell r="J157" t="str">
            <v>6. Validação de formatos</v>
          </cell>
          <cell r="K157" t="str">
            <v>Não</v>
          </cell>
          <cell r="L157" t="str">
            <v>Alta</v>
          </cell>
        </row>
        <row r="158">
          <cell r="F158" t="str">
            <v>INSTRUMENT_GNS_FNNCL_TRNSCTN_EXCHNG_DFFRNCS</v>
          </cell>
          <cell r="G158" t="str">
            <v>INSTRUMENTgns_fnncl_trnsctn_exchng_dffrncs</v>
          </cell>
          <cell r="H158" t="str">
            <v>2. Em Teste</v>
          </cell>
          <cell r="I158">
            <v>2</v>
          </cell>
          <cell r="J158" t="str">
            <v>7. Validação de controlos corporativos</v>
          </cell>
          <cell r="K158" t="str">
            <v>Não</v>
          </cell>
          <cell r="L158" t="str">
            <v>Alta</v>
          </cell>
        </row>
        <row r="159">
          <cell r="F159" t="str">
            <v>INSTRUMENT_GNS_FNNCL_TRNSCTN_EXCHNG_CCRR</v>
          </cell>
          <cell r="G159" t="str">
            <v>INSTRUMENTgns_fnncl_trnsctn_exchng_ccrr</v>
          </cell>
          <cell r="H159" t="str">
            <v>2. Em Teste</v>
          </cell>
          <cell r="I159">
            <v>2</v>
          </cell>
          <cell r="J159" t="str">
            <v>3. Testes comparativos (Espec. VS Impl.)</v>
          </cell>
          <cell r="K159" t="str">
            <v>Não</v>
          </cell>
          <cell r="L159" t="str">
            <v>Baixa</v>
          </cell>
        </row>
        <row r="160">
          <cell r="F160" t="str">
            <v>INSTRUMENT_CNCLLD_INSTRMNT_STTS</v>
          </cell>
          <cell r="G160" t="str">
            <v>INSTRUMENTcnclld_instrmnt_stts</v>
          </cell>
          <cell r="H160" t="str">
            <v>5. Em Correção</v>
          </cell>
          <cell r="I160">
            <v>5</v>
          </cell>
          <cell r="J160" t="str">
            <v>2. Simulação</v>
          </cell>
          <cell r="K160" t="str">
            <v>Sim</v>
          </cell>
          <cell r="L160" t="str">
            <v>Alta</v>
          </cell>
        </row>
        <row r="161">
          <cell r="F161" t="str">
            <v>INSTRUMENT_CNCLLD_INSTRMNT_STTS</v>
          </cell>
          <cell r="G161" t="str">
            <v>INSTRUMENTcnclld_instrmnt_stts</v>
          </cell>
          <cell r="H161" t="str">
            <v>5. Em Correção</v>
          </cell>
          <cell r="I161">
            <v>5</v>
          </cell>
          <cell r="J161" t="str">
            <v>3. Testes comparativos (Espec. VS Impl.)</v>
          </cell>
          <cell r="K161" t="str">
            <v>Sim</v>
          </cell>
          <cell r="L161" t="str">
            <v>Alta</v>
          </cell>
        </row>
        <row r="162">
          <cell r="F162" t="str">
            <v>INSTRUMENT_CNCLLD_INSTRMNT_STTS</v>
          </cell>
          <cell r="G162" t="str">
            <v>INSTRUMENTcnclld_instrmnt_stts</v>
          </cell>
          <cell r="H162" t="str">
            <v>5. Em Correção</v>
          </cell>
          <cell r="I162">
            <v>5</v>
          </cell>
          <cell r="J162" t="str">
            <v>6. Validação de formatos</v>
          </cell>
          <cell r="K162" t="str">
            <v>Sim</v>
          </cell>
          <cell r="L162" t="str">
            <v>Alta</v>
          </cell>
        </row>
        <row r="163">
          <cell r="F163" t="str">
            <v>INSTRUMENT_CNCLLD_INSTRMNT_STTS</v>
          </cell>
          <cell r="G163" t="str">
            <v>INSTRUMENTcnclld_instrmnt_stts</v>
          </cell>
          <cell r="H163" t="str">
            <v>5. Em Correção</v>
          </cell>
          <cell r="I163">
            <v>5</v>
          </cell>
          <cell r="J163" t="str">
            <v>7. Validação de controlos corporativos</v>
          </cell>
          <cell r="K163" t="str">
            <v>Sim</v>
          </cell>
          <cell r="L163" t="str">
            <v>Alta</v>
          </cell>
        </row>
        <row r="164">
          <cell r="F164" t="str">
            <v>INSTR_ACTIVITY_SSTNBL_INDCTR</v>
          </cell>
          <cell r="G164" t="str">
            <v>INSTR_ACTIVITYsstnbl_indctr</v>
          </cell>
          <cell r="H164" t="str">
            <v>6. Por iniciar</v>
          </cell>
          <cell r="I164">
            <v>6</v>
          </cell>
          <cell r="J164" t="str">
            <v>2. Simulação</v>
          </cell>
          <cell r="K164" t="str">
            <v>Não</v>
          </cell>
          <cell r="L164" t="str">
            <v>Alta</v>
          </cell>
        </row>
        <row r="165">
          <cell r="F165" t="str">
            <v>INSTR_ACTIVITY_SSTNBL_INDCTR</v>
          </cell>
          <cell r="G165" t="str">
            <v>INSTR_ACTIVITYsstnbl_indctr</v>
          </cell>
          <cell r="H165" t="str">
            <v>6. Por iniciar</v>
          </cell>
          <cell r="I165">
            <v>6</v>
          </cell>
          <cell r="J165" t="str">
            <v>3. Testes comparativos (Espec. VS Impl.)</v>
          </cell>
          <cell r="K165" t="str">
            <v>Não</v>
          </cell>
          <cell r="L165" t="str">
            <v>Alta</v>
          </cell>
        </row>
        <row r="166">
          <cell r="F166" t="str">
            <v>INSTR_ACTIVITY_SSTNBL_INDCTR</v>
          </cell>
          <cell r="G166" t="str">
            <v>INSTR_ACTIVITYsstnbl_indctr</v>
          </cell>
          <cell r="H166" t="str">
            <v>6. Por iniciar</v>
          </cell>
          <cell r="I166">
            <v>6</v>
          </cell>
          <cell r="J166" t="str">
            <v>6. Validação de formatos</v>
          </cell>
          <cell r="K166" t="str">
            <v>Não</v>
          </cell>
          <cell r="L166" t="str">
            <v>Alta</v>
          </cell>
        </row>
        <row r="167">
          <cell r="F167" t="str">
            <v>INSTR_ACTIVITY_SSTNBL_INDCTR</v>
          </cell>
          <cell r="G167" t="str">
            <v>INSTR_ACTIVITYsstnbl_indctr</v>
          </cell>
          <cell r="H167" t="str">
            <v>6. Por iniciar</v>
          </cell>
          <cell r="I167">
            <v>6</v>
          </cell>
          <cell r="J167" t="str">
            <v>7. Validação de controlos corporativos</v>
          </cell>
          <cell r="K167" t="str">
            <v>Não</v>
          </cell>
          <cell r="L167" t="str">
            <v>Alta</v>
          </cell>
        </row>
        <row r="168">
          <cell r="F168" t="str">
            <v>_</v>
          </cell>
        </row>
        <row r="169">
          <cell r="F169" t="str">
            <v>_</v>
          </cell>
        </row>
        <row r="170">
          <cell r="F170" t="str">
            <v>_</v>
          </cell>
        </row>
        <row r="171">
          <cell r="F171" t="str">
            <v>_</v>
          </cell>
        </row>
        <row r="172">
          <cell r="F172" t="str">
            <v>_</v>
          </cell>
        </row>
        <row r="173">
          <cell r="F173" t="str">
            <v>_</v>
          </cell>
        </row>
        <row r="174">
          <cell r="F174" t="str">
            <v>_</v>
          </cell>
        </row>
        <row r="175">
          <cell r="F175" t="str">
            <v>_</v>
          </cell>
        </row>
        <row r="176">
          <cell r="F176" t="str">
            <v>_</v>
          </cell>
        </row>
        <row r="177">
          <cell r="F177" t="str">
            <v>_</v>
          </cell>
        </row>
        <row r="178">
          <cell r="F178" t="str">
            <v>_</v>
          </cell>
        </row>
        <row r="179">
          <cell r="F179" t="str">
            <v>_</v>
          </cell>
        </row>
        <row r="180">
          <cell r="F180" t="str">
            <v>_</v>
          </cell>
        </row>
        <row r="181">
          <cell r="F181" t="str">
            <v>_</v>
          </cell>
        </row>
        <row r="182">
          <cell r="F182" t="str">
            <v>_</v>
          </cell>
        </row>
        <row r="183">
          <cell r="F183" t="str">
            <v>_</v>
          </cell>
        </row>
        <row r="184">
          <cell r="F184" t="str">
            <v>_</v>
          </cell>
        </row>
        <row r="185">
          <cell r="F185" t="str">
            <v>_</v>
          </cell>
        </row>
        <row r="186">
          <cell r="F186" t="str">
            <v>_</v>
          </cell>
        </row>
        <row r="187">
          <cell r="F187" t="str">
            <v>_</v>
          </cell>
        </row>
        <row r="188">
          <cell r="F188" t="str">
            <v>_</v>
          </cell>
        </row>
        <row r="189">
          <cell r="F189" t="str">
            <v>_</v>
          </cell>
        </row>
        <row r="190">
          <cell r="F190" t="str">
            <v>_</v>
          </cell>
        </row>
        <row r="191">
          <cell r="F191" t="str">
            <v>_</v>
          </cell>
        </row>
        <row r="192">
          <cell r="F192" t="str">
            <v>_</v>
          </cell>
        </row>
        <row r="193">
          <cell r="F193" t="str">
            <v>_</v>
          </cell>
        </row>
        <row r="194">
          <cell r="F194" t="str">
            <v>_</v>
          </cell>
        </row>
        <row r="195">
          <cell r="F195" t="str">
            <v>_</v>
          </cell>
        </row>
        <row r="196">
          <cell r="F196" t="str">
            <v>_</v>
          </cell>
        </row>
        <row r="197">
          <cell r="F197" t="str">
            <v>_</v>
          </cell>
        </row>
        <row r="198">
          <cell r="F198" t="str">
            <v>_</v>
          </cell>
        </row>
        <row r="199">
          <cell r="F199" t="str">
            <v>_</v>
          </cell>
        </row>
        <row r="200">
          <cell r="F200" t="str">
            <v>_</v>
          </cell>
        </row>
        <row r="201">
          <cell r="F201" t="str">
            <v>_</v>
          </cell>
        </row>
        <row r="202">
          <cell r="F202" t="str">
            <v>_</v>
          </cell>
        </row>
        <row r="203">
          <cell r="F203" t="str">
            <v>_</v>
          </cell>
        </row>
        <row r="204">
          <cell r="F204" t="str">
            <v>_</v>
          </cell>
        </row>
        <row r="205">
          <cell r="F205" t="str">
            <v>_</v>
          </cell>
        </row>
        <row r="206">
          <cell r="F206" t="str">
            <v>_</v>
          </cell>
        </row>
        <row r="207">
          <cell r="F207" t="str">
            <v>_</v>
          </cell>
        </row>
        <row r="208">
          <cell r="F208" t="str">
            <v>_</v>
          </cell>
        </row>
        <row r="209">
          <cell r="F209" t="str">
            <v>_</v>
          </cell>
        </row>
        <row r="210">
          <cell r="F210" t="str">
            <v>_</v>
          </cell>
        </row>
        <row r="211">
          <cell r="F211" t="str">
            <v>_</v>
          </cell>
        </row>
        <row r="212">
          <cell r="F212" t="str">
            <v>_</v>
          </cell>
        </row>
        <row r="213">
          <cell r="F213" t="str">
            <v>_</v>
          </cell>
        </row>
        <row r="214">
          <cell r="F214" t="str">
            <v>_</v>
          </cell>
        </row>
        <row r="215">
          <cell r="F215" t="str">
            <v>_</v>
          </cell>
        </row>
        <row r="216">
          <cell r="F216" t="str">
            <v>_</v>
          </cell>
        </row>
        <row r="217">
          <cell r="F217" t="str">
            <v>_</v>
          </cell>
        </row>
        <row r="218">
          <cell r="F218" t="str">
            <v>_</v>
          </cell>
        </row>
        <row r="219">
          <cell r="F219" t="str">
            <v>_</v>
          </cell>
        </row>
        <row r="220">
          <cell r="F220" t="str">
            <v>_</v>
          </cell>
        </row>
        <row r="221">
          <cell r="F221" t="str">
            <v>_</v>
          </cell>
        </row>
        <row r="222">
          <cell r="F222" t="str">
            <v>_</v>
          </cell>
        </row>
        <row r="223">
          <cell r="F223" t="str">
            <v>_</v>
          </cell>
        </row>
        <row r="224">
          <cell r="F224" t="str">
            <v>_</v>
          </cell>
        </row>
        <row r="225">
          <cell r="F225" t="str">
            <v>_</v>
          </cell>
        </row>
        <row r="226">
          <cell r="F226" t="str">
            <v>_</v>
          </cell>
        </row>
        <row r="227">
          <cell r="F227" t="str">
            <v>_</v>
          </cell>
        </row>
        <row r="228">
          <cell r="F228" t="str">
            <v>_</v>
          </cell>
        </row>
        <row r="229">
          <cell r="F229" t="str">
            <v>_</v>
          </cell>
        </row>
        <row r="230">
          <cell r="F230" t="str">
            <v>_</v>
          </cell>
        </row>
        <row r="231">
          <cell r="F231" t="str">
            <v>_</v>
          </cell>
        </row>
        <row r="232">
          <cell r="F232" t="str">
            <v>_</v>
          </cell>
        </row>
        <row r="233">
          <cell r="F233" t="str">
            <v>_</v>
          </cell>
        </row>
        <row r="234">
          <cell r="F234" t="str">
            <v>_</v>
          </cell>
        </row>
        <row r="235">
          <cell r="F235" t="str">
            <v>_</v>
          </cell>
        </row>
        <row r="236">
          <cell r="F236" t="str">
            <v>_</v>
          </cell>
        </row>
        <row r="237">
          <cell r="F237" t="str">
            <v>_</v>
          </cell>
        </row>
        <row r="238">
          <cell r="F238" t="str">
            <v>_</v>
          </cell>
        </row>
        <row r="239">
          <cell r="F239" t="str">
            <v>_</v>
          </cell>
        </row>
        <row r="240">
          <cell r="F240" t="str">
            <v>_</v>
          </cell>
        </row>
        <row r="241">
          <cell r="F241" t="str">
            <v>_</v>
          </cell>
        </row>
        <row r="242">
          <cell r="F242" t="str">
            <v>_</v>
          </cell>
        </row>
        <row r="243">
          <cell r="F243" t="str">
            <v>_</v>
          </cell>
        </row>
        <row r="244">
          <cell r="F244" t="str">
            <v>_</v>
          </cell>
        </row>
        <row r="245">
          <cell r="F245" t="str">
            <v>_</v>
          </cell>
        </row>
        <row r="246">
          <cell r="F246" t="str">
            <v>_</v>
          </cell>
        </row>
        <row r="247">
          <cell r="F247" t="str">
            <v>_</v>
          </cell>
        </row>
        <row r="248">
          <cell r="F248" t="str">
            <v>_</v>
          </cell>
        </row>
        <row r="249">
          <cell r="F249" t="str">
            <v>_</v>
          </cell>
        </row>
        <row r="250">
          <cell r="F250" t="str">
            <v>_</v>
          </cell>
        </row>
        <row r="251">
          <cell r="F251" t="str">
            <v>_</v>
          </cell>
        </row>
        <row r="252">
          <cell r="F252" t="str">
            <v>_</v>
          </cell>
        </row>
        <row r="253">
          <cell r="F253" t="str">
            <v>_</v>
          </cell>
        </row>
        <row r="254">
          <cell r="F254" t="str">
            <v>_</v>
          </cell>
        </row>
        <row r="255">
          <cell r="F255" t="str">
            <v>_</v>
          </cell>
        </row>
        <row r="256">
          <cell r="F256" t="str">
            <v>_</v>
          </cell>
        </row>
        <row r="257">
          <cell r="F257" t="str">
            <v>_</v>
          </cell>
        </row>
        <row r="258">
          <cell r="F258" t="str">
            <v>_</v>
          </cell>
        </row>
        <row r="259">
          <cell r="F259" t="str">
            <v>_</v>
          </cell>
        </row>
        <row r="260">
          <cell r="F260" t="str">
            <v>_</v>
          </cell>
        </row>
        <row r="261">
          <cell r="F261" t="str">
            <v>_</v>
          </cell>
        </row>
        <row r="262">
          <cell r="F262" t="str">
            <v>_</v>
          </cell>
        </row>
        <row r="263">
          <cell r="F263" t="str">
            <v>_</v>
          </cell>
        </row>
        <row r="264">
          <cell r="F264" t="str">
            <v>_</v>
          </cell>
        </row>
        <row r="265">
          <cell r="F265" t="str">
            <v>_</v>
          </cell>
        </row>
        <row r="266">
          <cell r="F266" t="str">
            <v>_</v>
          </cell>
        </row>
        <row r="267">
          <cell r="F267" t="str">
            <v>_</v>
          </cell>
        </row>
        <row r="268">
          <cell r="F268" t="str">
            <v>_</v>
          </cell>
        </row>
        <row r="269">
          <cell r="F269" t="str">
            <v>_</v>
          </cell>
        </row>
        <row r="270">
          <cell r="F270" t="str">
            <v>_</v>
          </cell>
        </row>
        <row r="271">
          <cell r="F271" t="str">
            <v>_</v>
          </cell>
        </row>
        <row r="272">
          <cell r="F272" t="str">
            <v>_</v>
          </cell>
        </row>
        <row r="273">
          <cell r="F273" t="str">
            <v>_</v>
          </cell>
        </row>
        <row r="274">
          <cell r="F274" t="str">
            <v>_</v>
          </cell>
        </row>
        <row r="275">
          <cell r="F275" t="str">
            <v>_</v>
          </cell>
        </row>
        <row r="276">
          <cell r="F276" t="str">
            <v>_</v>
          </cell>
        </row>
        <row r="277">
          <cell r="F277" t="str">
            <v>_</v>
          </cell>
        </row>
        <row r="278">
          <cell r="F278" t="str">
            <v>_</v>
          </cell>
        </row>
        <row r="279">
          <cell r="F279" t="str">
            <v>_</v>
          </cell>
        </row>
        <row r="280">
          <cell r="F280" t="str">
            <v>_</v>
          </cell>
        </row>
        <row r="281">
          <cell r="F281" t="str">
            <v>_</v>
          </cell>
        </row>
        <row r="282">
          <cell r="F282" t="str">
            <v>_</v>
          </cell>
        </row>
        <row r="283">
          <cell r="F283" t="str">
            <v>_</v>
          </cell>
        </row>
        <row r="284">
          <cell r="F284" t="str">
            <v>_</v>
          </cell>
        </row>
        <row r="285">
          <cell r="F285" t="str">
            <v>_</v>
          </cell>
        </row>
        <row r="286">
          <cell r="F286" t="str">
            <v>_</v>
          </cell>
        </row>
        <row r="287">
          <cell r="F287" t="str">
            <v>_</v>
          </cell>
        </row>
        <row r="288">
          <cell r="F288" t="str">
            <v>_</v>
          </cell>
        </row>
        <row r="289">
          <cell r="F289" t="str">
            <v>_</v>
          </cell>
        </row>
        <row r="290">
          <cell r="F290" t="str">
            <v>_</v>
          </cell>
        </row>
        <row r="291">
          <cell r="F291" t="str">
            <v>_</v>
          </cell>
        </row>
        <row r="292">
          <cell r="F292" t="str">
            <v>_</v>
          </cell>
        </row>
        <row r="293">
          <cell r="F293" t="str">
            <v>_</v>
          </cell>
        </row>
        <row r="294">
          <cell r="F294" t="str">
            <v>_</v>
          </cell>
        </row>
        <row r="295">
          <cell r="F295" t="str">
            <v>_</v>
          </cell>
        </row>
        <row r="296">
          <cell r="F296" t="str">
            <v>_</v>
          </cell>
        </row>
        <row r="297">
          <cell r="F297" t="str">
            <v>_</v>
          </cell>
        </row>
        <row r="298">
          <cell r="F298" t="str">
            <v>_</v>
          </cell>
        </row>
        <row r="299">
          <cell r="F299" t="str">
            <v>_</v>
          </cell>
        </row>
        <row r="300">
          <cell r="F300" t="str">
            <v>_</v>
          </cell>
        </row>
        <row r="301">
          <cell r="F301" t="str">
            <v>_</v>
          </cell>
        </row>
        <row r="302">
          <cell r="F302" t="str">
            <v>_</v>
          </cell>
        </row>
        <row r="303">
          <cell r="F303" t="str">
            <v>_</v>
          </cell>
        </row>
        <row r="304">
          <cell r="F304" t="str">
            <v>_</v>
          </cell>
        </row>
        <row r="305">
          <cell r="F305" t="str">
            <v>_</v>
          </cell>
        </row>
        <row r="306">
          <cell r="F306" t="str">
            <v>_</v>
          </cell>
        </row>
        <row r="307">
          <cell r="F307" t="str">
            <v>_</v>
          </cell>
        </row>
        <row r="308">
          <cell r="F308" t="str">
            <v>_</v>
          </cell>
        </row>
        <row r="309">
          <cell r="F309" t="str">
            <v>_</v>
          </cell>
        </row>
        <row r="310">
          <cell r="F310" t="str">
            <v>_</v>
          </cell>
        </row>
        <row r="311">
          <cell r="F311" t="str">
            <v>_</v>
          </cell>
        </row>
        <row r="312">
          <cell r="F312" t="str">
            <v>_</v>
          </cell>
        </row>
        <row r="313">
          <cell r="F313" t="str">
            <v>_</v>
          </cell>
        </row>
        <row r="314">
          <cell r="F314" t="str">
            <v>_</v>
          </cell>
        </row>
        <row r="315">
          <cell r="F315" t="str">
            <v>_</v>
          </cell>
        </row>
        <row r="316">
          <cell r="F316" t="str">
            <v>_</v>
          </cell>
        </row>
        <row r="317">
          <cell r="F317" t="str">
            <v>_</v>
          </cell>
        </row>
        <row r="318">
          <cell r="F318" t="str">
            <v>_</v>
          </cell>
        </row>
        <row r="319">
          <cell r="F319" t="str">
            <v>_</v>
          </cell>
        </row>
        <row r="320">
          <cell r="F320" t="str">
            <v>_</v>
          </cell>
        </row>
        <row r="321">
          <cell r="F321" t="str">
            <v>_</v>
          </cell>
        </row>
        <row r="322">
          <cell r="F322" t="str">
            <v>_</v>
          </cell>
        </row>
        <row r="323">
          <cell r="F323" t="str">
            <v>_</v>
          </cell>
        </row>
        <row r="324">
          <cell r="F324" t="str">
            <v>_</v>
          </cell>
        </row>
        <row r="325">
          <cell r="F325" t="str">
            <v>_</v>
          </cell>
        </row>
        <row r="326">
          <cell r="F326" t="str">
            <v>_</v>
          </cell>
        </row>
        <row r="327">
          <cell r="F327" t="str">
            <v>_</v>
          </cell>
        </row>
        <row r="328">
          <cell r="F328" t="str">
            <v>_</v>
          </cell>
        </row>
        <row r="329">
          <cell r="F329" t="str">
            <v>_</v>
          </cell>
        </row>
        <row r="330">
          <cell r="F330" t="str">
            <v>_</v>
          </cell>
        </row>
        <row r="331">
          <cell r="F331" t="str">
            <v>_</v>
          </cell>
        </row>
        <row r="332">
          <cell r="F332" t="str">
            <v>_</v>
          </cell>
        </row>
        <row r="333">
          <cell r="F333" t="str">
            <v>_</v>
          </cell>
        </row>
        <row r="334">
          <cell r="F334" t="str">
            <v>_</v>
          </cell>
        </row>
        <row r="335">
          <cell r="F335" t="str">
            <v>_</v>
          </cell>
        </row>
        <row r="336">
          <cell r="F336" t="str">
            <v>_</v>
          </cell>
        </row>
        <row r="337">
          <cell r="F337" t="str">
            <v>_</v>
          </cell>
        </row>
        <row r="338">
          <cell r="F338" t="str">
            <v>_</v>
          </cell>
        </row>
        <row r="339">
          <cell r="F339" t="str">
            <v>_</v>
          </cell>
        </row>
        <row r="340">
          <cell r="F340" t="str">
            <v>_</v>
          </cell>
        </row>
        <row r="341">
          <cell r="F341" t="str">
            <v>_</v>
          </cell>
        </row>
        <row r="342">
          <cell r="F342" t="str">
            <v>_</v>
          </cell>
        </row>
        <row r="343">
          <cell r="F343" t="str">
            <v>_</v>
          </cell>
        </row>
        <row r="344">
          <cell r="F344" t="str">
            <v>_</v>
          </cell>
        </row>
        <row r="345">
          <cell r="F345" t="str">
            <v>_</v>
          </cell>
        </row>
        <row r="346">
          <cell r="F346" t="str">
            <v>_</v>
          </cell>
        </row>
        <row r="347">
          <cell r="F347" t="str">
            <v>_</v>
          </cell>
        </row>
        <row r="348">
          <cell r="F348" t="str">
            <v>_</v>
          </cell>
        </row>
        <row r="349">
          <cell r="F349" t="str">
            <v>_</v>
          </cell>
        </row>
        <row r="350">
          <cell r="F350" t="str">
            <v>_</v>
          </cell>
        </row>
        <row r="351">
          <cell r="F351" t="str">
            <v>_</v>
          </cell>
        </row>
        <row r="352">
          <cell r="F352" t="str">
            <v>_</v>
          </cell>
        </row>
        <row r="353">
          <cell r="F353" t="str">
            <v>_</v>
          </cell>
        </row>
        <row r="354">
          <cell r="F354" t="str">
            <v>_</v>
          </cell>
        </row>
        <row r="355">
          <cell r="F355" t="str">
            <v>_</v>
          </cell>
        </row>
        <row r="356">
          <cell r="F356" t="str">
            <v>_</v>
          </cell>
        </row>
        <row r="357">
          <cell r="F357" t="str">
            <v>_</v>
          </cell>
        </row>
        <row r="358">
          <cell r="F358" t="str">
            <v>_</v>
          </cell>
        </row>
        <row r="359">
          <cell r="F359" t="str">
            <v>_</v>
          </cell>
        </row>
        <row r="360">
          <cell r="F360" t="str">
            <v>_</v>
          </cell>
        </row>
        <row r="361">
          <cell r="F361" t="str">
            <v>_</v>
          </cell>
        </row>
        <row r="362">
          <cell r="F362" t="str">
            <v>_</v>
          </cell>
        </row>
        <row r="363">
          <cell r="F363" t="str">
            <v>_</v>
          </cell>
        </row>
        <row r="364">
          <cell r="F364" t="str">
            <v>_</v>
          </cell>
        </row>
        <row r="365">
          <cell r="F365" t="str">
            <v>_</v>
          </cell>
        </row>
        <row r="366">
          <cell r="F366" t="str">
            <v>_</v>
          </cell>
        </row>
        <row r="367">
          <cell r="F367" t="str">
            <v>_</v>
          </cell>
        </row>
        <row r="368">
          <cell r="F368" t="str">
            <v>_</v>
          </cell>
        </row>
        <row r="369">
          <cell r="F369" t="str">
            <v>_</v>
          </cell>
        </row>
        <row r="370">
          <cell r="F370" t="str">
            <v>_</v>
          </cell>
        </row>
        <row r="371">
          <cell r="F371" t="str">
            <v>_</v>
          </cell>
        </row>
        <row r="372">
          <cell r="F372" t="str">
            <v>_</v>
          </cell>
        </row>
        <row r="373">
          <cell r="F373" t="str">
            <v>_</v>
          </cell>
        </row>
        <row r="374">
          <cell r="F374" t="str">
            <v>_</v>
          </cell>
        </row>
        <row r="375">
          <cell r="F375" t="str">
            <v>_</v>
          </cell>
        </row>
        <row r="376">
          <cell r="F376" t="str">
            <v>_</v>
          </cell>
        </row>
        <row r="377">
          <cell r="F377" t="str">
            <v>_</v>
          </cell>
        </row>
        <row r="378">
          <cell r="F378" t="str">
            <v>_</v>
          </cell>
        </row>
        <row r="379">
          <cell r="F379" t="str">
            <v>_</v>
          </cell>
        </row>
        <row r="380">
          <cell r="F380" t="str">
            <v>_</v>
          </cell>
        </row>
        <row r="381">
          <cell r="F381" t="str">
            <v>_</v>
          </cell>
        </row>
        <row r="382">
          <cell r="F382" t="str">
            <v>_</v>
          </cell>
        </row>
        <row r="383">
          <cell r="F383" t="str">
            <v>_</v>
          </cell>
        </row>
        <row r="384">
          <cell r="F384" t="str">
            <v>_</v>
          </cell>
        </row>
        <row r="385">
          <cell r="F385" t="str">
            <v>_</v>
          </cell>
        </row>
        <row r="386">
          <cell r="F386" t="str">
            <v>_</v>
          </cell>
        </row>
        <row r="387">
          <cell r="F387" t="str">
            <v>_</v>
          </cell>
        </row>
        <row r="388">
          <cell r="F388" t="str">
            <v>_</v>
          </cell>
        </row>
        <row r="389">
          <cell r="F389" t="str">
            <v>_</v>
          </cell>
        </row>
        <row r="390">
          <cell r="F390" t="str">
            <v>_</v>
          </cell>
        </row>
        <row r="391">
          <cell r="F391" t="str">
            <v>_</v>
          </cell>
        </row>
        <row r="392">
          <cell r="F392" t="str">
            <v>_</v>
          </cell>
        </row>
        <row r="393">
          <cell r="F393" t="str">
            <v>_</v>
          </cell>
        </row>
        <row r="394">
          <cell r="F394" t="str">
            <v>_</v>
          </cell>
        </row>
        <row r="395">
          <cell r="F395" t="str">
            <v>_</v>
          </cell>
        </row>
        <row r="396">
          <cell r="F396" t="str">
            <v>_</v>
          </cell>
        </row>
        <row r="397">
          <cell r="F397" t="str">
            <v>_</v>
          </cell>
        </row>
        <row r="398">
          <cell r="F398" t="str">
            <v>_</v>
          </cell>
        </row>
        <row r="399">
          <cell r="F399" t="str">
            <v>_</v>
          </cell>
        </row>
        <row r="400">
          <cell r="F400" t="str">
            <v>_</v>
          </cell>
        </row>
        <row r="401">
          <cell r="F401" t="str">
            <v>_</v>
          </cell>
        </row>
        <row r="402">
          <cell r="F402" t="str">
            <v>_</v>
          </cell>
        </row>
        <row r="403">
          <cell r="F403" t="str">
            <v>_</v>
          </cell>
        </row>
        <row r="404">
          <cell r="F404" t="str">
            <v>_</v>
          </cell>
        </row>
        <row r="405">
          <cell r="F405" t="str">
            <v>_</v>
          </cell>
        </row>
        <row r="406">
          <cell r="F406" t="str">
            <v>_</v>
          </cell>
        </row>
        <row r="407">
          <cell r="F407" t="str">
            <v>_</v>
          </cell>
        </row>
        <row r="408">
          <cell r="F408" t="str">
            <v>_</v>
          </cell>
        </row>
        <row r="409">
          <cell r="F409" t="str">
            <v>_</v>
          </cell>
        </row>
        <row r="410">
          <cell r="F410" t="str">
            <v>_</v>
          </cell>
        </row>
        <row r="411">
          <cell r="F411" t="str">
            <v>_</v>
          </cell>
        </row>
        <row r="412">
          <cell r="F412" t="str">
            <v>_</v>
          </cell>
        </row>
        <row r="413">
          <cell r="F413" t="str">
            <v>_</v>
          </cell>
        </row>
        <row r="414">
          <cell r="F414" t="str">
            <v>_</v>
          </cell>
        </row>
        <row r="415">
          <cell r="F415" t="str">
            <v>_</v>
          </cell>
        </row>
        <row r="416">
          <cell r="F416" t="str">
            <v>_</v>
          </cell>
        </row>
        <row r="417">
          <cell r="F417" t="str">
            <v>_</v>
          </cell>
        </row>
        <row r="418">
          <cell r="F418" t="str">
            <v>_</v>
          </cell>
        </row>
        <row r="419">
          <cell r="F419" t="str">
            <v>_</v>
          </cell>
        </row>
        <row r="420">
          <cell r="F420" t="str">
            <v>_</v>
          </cell>
        </row>
        <row r="421">
          <cell r="F421" t="str">
            <v>_</v>
          </cell>
        </row>
        <row r="422">
          <cell r="F422" t="str">
            <v>_</v>
          </cell>
        </row>
        <row r="423">
          <cell r="F423" t="str">
            <v>_</v>
          </cell>
        </row>
        <row r="424">
          <cell r="F424" t="str">
            <v>_</v>
          </cell>
        </row>
        <row r="425">
          <cell r="F425" t="str">
            <v>_</v>
          </cell>
        </row>
        <row r="426">
          <cell r="F426" t="str">
            <v>_</v>
          </cell>
        </row>
        <row r="427">
          <cell r="F427" t="str">
            <v>_</v>
          </cell>
        </row>
        <row r="428">
          <cell r="F428" t="str">
            <v>_</v>
          </cell>
        </row>
        <row r="429">
          <cell r="F429" t="str">
            <v>_</v>
          </cell>
        </row>
        <row r="430">
          <cell r="F430" t="str">
            <v>_</v>
          </cell>
        </row>
        <row r="431">
          <cell r="F431" t="str">
            <v>_</v>
          </cell>
        </row>
        <row r="432">
          <cell r="F432" t="str">
            <v>_</v>
          </cell>
        </row>
        <row r="433">
          <cell r="F433" t="str">
            <v>_</v>
          </cell>
        </row>
        <row r="434">
          <cell r="F434" t="str">
            <v>_</v>
          </cell>
        </row>
        <row r="435">
          <cell r="F435" t="str">
            <v>_</v>
          </cell>
        </row>
        <row r="436">
          <cell r="F436" t="str">
            <v>_</v>
          </cell>
        </row>
        <row r="437">
          <cell r="F437" t="str">
            <v>_</v>
          </cell>
        </row>
        <row r="438">
          <cell r="F438" t="str">
            <v>_</v>
          </cell>
        </row>
        <row r="439">
          <cell r="F439" t="str">
            <v>_</v>
          </cell>
        </row>
        <row r="440">
          <cell r="F440" t="str">
            <v>_</v>
          </cell>
        </row>
        <row r="441">
          <cell r="F441" t="str">
            <v>_</v>
          </cell>
        </row>
        <row r="442">
          <cell r="F442" t="str">
            <v>_</v>
          </cell>
        </row>
        <row r="443">
          <cell r="F443" t="str">
            <v>_</v>
          </cell>
        </row>
        <row r="444">
          <cell r="F444" t="str">
            <v>_</v>
          </cell>
        </row>
        <row r="445">
          <cell r="F445" t="str">
            <v>_</v>
          </cell>
        </row>
        <row r="446">
          <cell r="F446" t="str">
            <v>_</v>
          </cell>
        </row>
        <row r="447">
          <cell r="F447" t="str">
            <v>_</v>
          </cell>
        </row>
        <row r="448">
          <cell r="F448" t="str">
            <v>_</v>
          </cell>
        </row>
        <row r="449">
          <cell r="F449" t="str">
            <v>_</v>
          </cell>
        </row>
        <row r="450">
          <cell r="F450" t="str">
            <v>_</v>
          </cell>
        </row>
        <row r="451">
          <cell r="F451" t="str">
            <v>_</v>
          </cell>
        </row>
        <row r="452">
          <cell r="F452" t="str">
            <v>_</v>
          </cell>
        </row>
        <row r="453">
          <cell r="F453" t="str">
            <v>_</v>
          </cell>
        </row>
        <row r="454">
          <cell r="F454" t="str">
            <v>_</v>
          </cell>
        </row>
        <row r="455">
          <cell r="F455" t="str">
            <v>_</v>
          </cell>
        </row>
        <row r="456">
          <cell r="F456" t="str">
            <v>_</v>
          </cell>
        </row>
        <row r="457">
          <cell r="F457" t="str">
            <v>_</v>
          </cell>
        </row>
        <row r="458">
          <cell r="F458" t="str">
            <v>_</v>
          </cell>
        </row>
        <row r="459">
          <cell r="F459" t="str">
            <v>_</v>
          </cell>
        </row>
        <row r="460">
          <cell r="F460" t="str">
            <v>_</v>
          </cell>
        </row>
        <row r="461">
          <cell r="F461" t="str">
            <v>_</v>
          </cell>
        </row>
        <row r="462">
          <cell r="F462" t="str">
            <v>_</v>
          </cell>
        </row>
        <row r="463">
          <cell r="F463" t="str">
            <v>_</v>
          </cell>
        </row>
        <row r="464">
          <cell r="F464" t="str">
            <v>_</v>
          </cell>
        </row>
        <row r="465">
          <cell r="F465" t="str">
            <v>_</v>
          </cell>
        </row>
        <row r="466">
          <cell r="F466" t="str">
            <v>_</v>
          </cell>
        </row>
        <row r="467">
          <cell r="F467" t="str">
            <v>_</v>
          </cell>
        </row>
        <row r="468">
          <cell r="F468" t="str">
            <v>_</v>
          </cell>
        </row>
        <row r="469">
          <cell r="F469" t="str">
            <v>_</v>
          </cell>
        </row>
        <row r="470">
          <cell r="F470" t="str">
            <v>_</v>
          </cell>
        </row>
        <row r="471">
          <cell r="F471" t="str">
            <v>_</v>
          </cell>
        </row>
        <row r="472">
          <cell r="F472" t="str">
            <v>_</v>
          </cell>
        </row>
        <row r="473">
          <cell r="F473" t="str">
            <v>_</v>
          </cell>
        </row>
        <row r="474">
          <cell r="F474" t="str">
            <v>_</v>
          </cell>
        </row>
        <row r="475">
          <cell r="F475" t="str">
            <v>_</v>
          </cell>
        </row>
        <row r="476">
          <cell r="F476" t="str">
            <v>_</v>
          </cell>
        </row>
        <row r="477">
          <cell r="F477" t="str">
            <v>_</v>
          </cell>
        </row>
        <row r="478">
          <cell r="F478" t="str">
            <v>_</v>
          </cell>
        </row>
        <row r="479">
          <cell r="F479" t="str">
            <v>_</v>
          </cell>
        </row>
        <row r="480">
          <cell r="F480" t="str">
            <v>_</v>
          </cell>
        </row>
        <row r="481">
          <cell r="F481" t="str">
            <v>_</v>
          </cell>
        </row>
        <row r="482">
          <cell r="F482" t="str">
            <v>_</v>
          </cell>
        </row>
        <row r="483">
          <cell r="F483" t="str">
            <v>_</v>
          </cell>
        </row>
        <row r="484">
          <cell r="F484" t="str">
            <v>_</v>
          </cell>
        </row>
        <row r="485">
          <cell r="F485" t="str">
            <v>_</v>
          </cell>
        </row>
        <row r="486">
          <cell r="F486" t="str">
            <v>_</v>
          </cell>
        </row>
        <row r="487">
          <cell r="F487" t="str">
            <v>_</v>
          </cell>
        </row>
        <row r="488">
          <cell r="F488" t="str">
            <v>_</v>
          </cell>
        </row>
        <row r="489">
          <cell r="F489" t="str">
            <v>_</v>
          </cell>
        </row>
        <row r="490">
          <cell r="F490" t="str">
            <v>_</v>
          </cell>
        </row>
        <row r="491">
          <cell r="F491" t="str">
            <v>_</v>
          </cell>
        </row>
        <row r="492">
          <cell r="F492" t="str">
            <v>_</v>
          </cell>
        </row>
        <row r="493">
          <cell r="F493" t="str">
            <v>_</v>
          </cell>
        </row>
        <row r="494">
          <cell r="F494" t="str">
            <v>_</v>
          </cell>
        </row>
        <row r="495">
          <cell r="F495" t="str">
            <v>_</v>
          </cell>
        </row>
        <row r="496">
          <cell r="F496" t="str">
            <v>_</v>
          </cell>
        </row>
        <row r="497">
          <cell r="F497" t="str">
            <v>_</v>
          </cell>
        </row>
        <row r="498">
          <cell r="F498" t="str">
            <v>_</v>
          </cell>
        </row>
        <row r="499">
          <cell r="F499" t="str">
            <v>_</v>
          </cell>
        </row>
        <row r="500">
          <cell r="F500" t="str">
            <v>_</v>
          </cell>
        </row>
        <row r="501">
          <cell r="F501" t="str">
            <v>_</v>
          </cell>
        </row>
        <row r="502">
          <cell r="F502" t="str">
            <v>_</v>
          </cell>
        </row>
        <row r="503">
          <cell r="F503" t="str">
            <v>_</v>
          </cell>
        </row>
        <row r="504">
          <cell r="F504" t="str">
            <v>_</v>
          </cell>
        </row>
        <row r="505">
          <cell r="F505" t="str">
            <v>_</v>
          </cell>
        </row>
        <row r="506">
          <cell r="F506" t="str">
            <v>_</v>
          </cell>
        </row>
        <row r="507">
          <cell r="F507" t="str">
            <v>_</v>
          </cell>
        </row>
        <row r="508">
          <cell r="F508" t="str">
            <v>_</v>
          </cell>
        </row>
        <row r="509">
          <cell r="F509" t="str">
            <v>_</v>
          </cell>
        </row>
        <row r="510">
          <cell r="F510" t="str">
            <v>_</v>
          </cell>
        </row>
        <row r="511">
          <cell r="F511" t="str">
            <v>_</v>
          </cell>
        </row>
        <row r="512">
          <cell r="F512" t="str">
            <v>_</v>
          </cell>
        </row>
        <row r="513">
          <cell r="F513" t="str">
            <v>_</v>
          </cell>
        </row>
        <row r="514">
          <cell r="F514" t="str">
            <v>_</v>
          </cell>
        </row>
        <row r="515">
          <cell r="F515" t="str">
            <v>_</v>
          </cell>
        </row>
        <row r="516">
          <cell r="F516" t="str">
            <v>_</v>
          </cell>
        </row>
        <row r="517">
          <cell r="F517" t="str">
            <v>_</v>
          </cell>
        </row>
        <row r="518">
          <cell r="F518" t="str">
            <v>_</v>
          </cell>
        </row>
        <row r="519">
          <cell r="F519" t="str">
            <v>_</v>
          </cell>
        </row>
        <row r="520">
          <cell r="F520" t="str">
            <v>_</v>
          </cell>
        </row>
        <row r="521">
          <cell r="F521" t="str">
            <v>_</v>
          </cell>
        </row>
        <row r="522">
          <cell r="F522" t="str">
            <v>_</v>
          </cell>
        </row>
        <row r="523">
          <cell r="F523" t="str">
            <v>_</v>
          </cell>
        </row>
        <row r="524">
          <cell r="F524" t="str">
            <v>_</v>
          </cell>
        </row>
        <row r="525">
          <cell r="F525" t="str">
            <v>_</v>
          </cell>
        </row>
        <row r="526">
          <cell r="F526" t="str">
            <v>_</v>
          </cell>
        </row>
        <row r="527">
          <cell r="F527" t="str">
            <v>_</v>
          </cell>
        </row>
        <row r="528">
          <cell r="F528" t="str">
            <v>_</v>
          </cell>
        </row>
        <row r="529">
          <cell r="F529" t="str">
            <v>_</v>
          </cell>
        </row>
        <row r="530">
          <cell r="F530" t="str">
            <v>_</v>
          </cell>
        </row>
        <row r="531">
          <cell r="F531" t="str">
            <v>_</v>
          </cell>
        </row>
        <row r="532">
          <cell r="F532" t="str">
            <v>_</v>
          </cell>
        </row>
        <row r="533">
          <cell r="F533" t="str">
            <v>_</v>
          </cell>
        </row>
        <row r="534">
          <cell r="F534" t="str">
            <v>_</v>
          </cell>
        </row>
        <row r="535">
          <cell r="F535" t="str">
            <v>_</v>
          </cell>
        </row>
        <row r="536">
          <cell r="F536" t="str">
            <v>_</v>
          </cell>
        </row>
        <row r="537">
          <cell r="F537" t="str">
            <v>_</v>
          </cell>
        </row>
        <row r="538">
          <cell r="F538" t="str">
            <v>_</v>
          </cell>
        </row>
        <row r="539">
          <cell r="F539" t="str">
            <v>_</v>
          </cell>
        </row>
        <row r="540">
          <cell r="F540" t="str">
            <v>_</v>
          </cell>
        </row>
        <row r="541">
          <cell r="F541" t="str">
            <v>_</v>
          </cell>
        </row>
        <row r="542">
          <cell r="F542" t="str">
            <v>_</v>
          </cell>
        </row>
        <row r="543">
          <cell r="F543" t="str">
            <v>_</v>
          </cell>
        </row>
        <row r="544">
          <cell r="F544" t="str">
            <v>_</v>
          </cell>
        </row>
        <row r="545">
          <cell r="F545" t="str">
            <v>_</v>
          </cell>
        </row>
        <row r="546">
          <cell r="F546" t="str">
            <v>_</v>
          </cell>
        </row>
        <row r="547">
          <cell r="F547" t="str">
            <v>_</v>
          </cell>
        </row>
        <row r="548">
          <cell r="F548" t="str">
            <v>_</v>
          </cell>
        </row>
        <row r="549">
          <cell r="F549" t="str">
            <v>_</v>
          </cell>
        </row>
        <row r="550">
          <cell r="F550" t="str">
            <v>_</v>
          </cell>
        </row>
        <row r="551">
          <cell r="F551" t="str">
            <v>_</v>
          </cell>
        </row>
        <row r="552">
          <cell r="F552" t="str">
            <v>_</v>
          </cell>
        </row>
        <row r="553">
          <cell r="F553" t="str">
            <v>_</v>
          </cell>
        </row>
        <row r="554">
          <cell r="F554" t="str">
            <v>_</v>
          </cell>
        </row>
        <row r="555">
          <cell r="F555" t="str">
            <v>_</v>
          </cell>
        </row>
        <row r="556">
          <cell r="F556" t="str">
            <v>_</v>
          </cell>
        </row>
        <row r="557">
          <cell r="F557" t="str">
            <v>_</v>
          </cell>
        </row>
        <row r="558">
          <cell r="F558" t="str">
            <v>_</v>
          </cell>
        </row>
        <row r="559">
          <cell r="F559" t="str">
            <v>_</v>
          </cell>
        </row>
        <row r="560">
          <cell r="F560" t="str">
            <v>_</v>
          </cell>
        </row>
        <row r="561">
          <cell r="F561" t="str">
            <v>_</v>
          </cell>
        </row>
        <row r="562">
          <cell r="F562" t="str">
            <v>_</v>
          </cell>
        </row>
        <row r="563">
          <cell r="F563" t="str">
            <v>_</v>
          </cell>
        </row>
        <row r="564">
          <cell r="F564" t="str">
            <v>_</v>
          </cell>
        </row>
        <row r="565">
          <cell r="F565" t="str">
            <v>_</v>
          </cell>
        </row>
        <row r="566">
          <cell r="F566" t="str">
            <v>_</v>
          </cell>
        </row>
        <row r="567">
          <cell r="F567" t="str">
            <v>_</v>
          </cell>
        </row>
        <row r="568">
          <cell r="F568" t="str">
            <v>_</v>
          </cell>
        </row>
        <row r="569">
          <cell r="F569" t="str">
            <v>_</v>
          </cell>
        </row>
        <row r="570">
          <cell r="F570" t="str">
            <v>_</v>
          </cell>
        </row>
        <row r="571">
          <cell r="F571" t="str">
            <v>_</v>
          </cell>
        </row>
        <row r="572">
          <cell r="F572" t="str">
            <v>_</v>
          </cell>
        </row>
        <row r="573">
          <cell r="F573" t="str">
            <v>_</v>
          </cell>
        </row>
        <row r="574">
          <cell r="F574" t="str">
            <v>_</v>
          </cell>
        </row>
        <row r="575">
          <cell r="F575" t="str">
            <v>_</v>
          </cell>
        </row>
        <row r="576">
          <cell r="F576" t="str">
            <v>_</v>
          </cell>
        </row>
        <row r="577">
          <cell r="F577" t="str">
            <v>_</v>
          </cell>
        </row>
        <row r="578">
          <cell r="F578" t="str">
            <v>_</v>
          </cell>
        </row>
        <row r="579">
          <cell r="F579" t="str">
            <v>_</v>
          </cell>
        </row>
        <row r="580">
          <cell r="F580" t="str">
            <v>_</v>
          </cell>
        </row>
        <row r="581">
          <cell r="F581" t="str">
            <v>_</v>
          </cell>
        </row>
        <row r="582">
          <cell r="F582" t="str">
            <v>_</v>
          </cell>
        </row>
        <row r="583">
          <cell r="F583" t="str">
            <v>_</v>
          </cell>
        </row>
        <row r="584">
          <cell r="F584" t="str">
            <v>_</v>
          </cell>
        </row>
        <row r="585">
          <cell r="F585" t="str">
            <v>_</v>
          </cell>
        </row>
        <row r="586">
          <cell r="F586" t="str">
            <v>_</v>
          </cell>
        </row>
        <row r="587">
          <cell r="F587" t="str">
            <v>_</v>
          </cell>
        </row>
        <row r="588">
          <cell r="F588" t="str">
            <v>_</v>
          </cell>
        </row>
        <row r="589">
          <cell r="F589" t="str">
            <v>_</v>
          </cell>
        </row>
        <row r="590">
          <cell r="F590" t="str">
            <v>_</v>
          </cell>
        </row>
        <row r="591">
          <cell r="F591" t="str">
            <v>_</v>
          </cell>
        </row>
        <row r="592">
          <cell r="F592" t="str">
            <v>_</v>
          </cell>
        </row>
        <row r="593">
          <cell r="F593" t="str">
            <v>_</v>
          </cell>
        </row>
        <row r="594">
          <cell r="F594" t="str">
            <v>_</v>
          </cell>
        </row>
        <row r="595">
          <cell r="F595" t="str">
            <v>_</v>
          </cell>
        </row>
        <row r="596">
          <cell r="F596" t="str">
            <v>_</v>
          </cell>
        </row>
        <row r="597">
          <cell r="F597" t="str">
            <v>_</v>
          </cell>
        </row>
        <row r="598">
          <cell r="F598" t="str">
            <v>_</v>
          </cell>
        </row>
        <row r="599">
          <cell r="F599" t="str">
            <v>_</v>
          </cell>
        </row>
        <row r="600">
          <cell r="F600" t="str">
            <v>_</v>
          </cell>
        </row>
        <row r="601">
          <cell r="F601" t="str">
            <v>_</v>
          </cell>
        </row>
        <row r="602">
          <cell r="F602" t="str">
            <v>_</v>
          </cell>
        </row>
        <row r="603">
          <cell r="F603" t="str">
            <v>_</v>
          </cell>
        </row>
        <row r="604">
          <cell r="F604" t="str">
            <v>_</v>
          </cell>
        </row>
        <row r="605">
          <cell r="F605" t="str">
            <v>_</v>
          </cell>
        </row>
        <row r="606">
          <cell r="F606" t="str">
            <v>_</v>
          </cell>
        </row>
        <row r="607">
          <cell r="F607" t="str">
            <v>_</v>
          </cell>
        </row>
        <row r="608">
          <cell r="F608" t="str">
            <v>_</v>
          </cell>
        </row>
        <row r="609">
          <cell r="F609" t="str">
            <v>_</v>
          </cell>
        </row>
        <row r="610">
          <cell r="F610" t="str">
            <v>_</v>
          </cell>
        </row>
        <row r="611">
          <cell r="F611" t="str">
            <v>_</v>
          </cell>
        </row>
        <row r="612">
          <cell r="F612" t="str">
            <v>_</v>
          </cell>
        </row>
        <row r="613">
          <cell r="F613" t="str">
            <v>_</v>
          </cell>
        </row>
        <row r="614">
          <cell r="F614" t="str">
            <v>_</v>
          </cell>
        </row>
        <row r="615">
          <cell r="F615" t="str">
            <v>_</v>
          </cell>
        </row>
        <row r="616">
          <cell r="F616" t="str">
            <v>_</v>
          </cell>
        </row>
        <row r="617">
          <cell r="F617" t="str">
            <v>_</v>
          </cell>
        </row>
        <row r="618">
          <cell r="F618" t="str">
            <v>_</v>
          </cell>
        </row>
        <row r="619">
          <cell r="F619" t="str">
            <v>_</v>
          </cell>
        </row>
        <row r="620">
          <cell r="F620" t="str">
            <v>_</v>
          </cell>
        </row>
        <row r="621">
          <cell r="F621" t="str">
            <v>_</v>
          </cell>
        </row>
        <row r="622">
          <cell r="F622" t="str">
            <v>_</v>
          </cell>
        </row>
        <row r="623">
          <cell r="F623" t="str">
            <v>_</v>
          </cell>
        </row>
        <row r="624">
          <cell r="F624" t="str">
            <v>_</v>
          </cell>
        </row>
        <row r="625">
          <cell r="F625" t="str">
            <v>_</v>
          </cell>
        </row>
        <row r="626">
          <cell r="F626" t="str">
            <v>_</v>
          </cell>
        </row>
        <row r="627">
          <cell r="F627" t="str">
            <v>_</v>
          </cell>
        </row>
        <row r="628">
          <cell r="F628" t="str">
            <v>_</v>
          </cell>
        </row>
        <row r="629">
          <cell r="F629" t="str">
            <v>_</v>
          </cell>
        </row>
        <row r="630">
          <cell r="F630" t="str">
            <v>_</v>
          </cell>
        </row>
        <row r="631">
          <cell r="F631" t="str">
            <v>_</v>
          </cell>
        </row>
        <row r="632">
          <cell r="F632" t="str">
            <v>_</v>
          </cell>
        </row>
        <row r="633">
          <cell r="F633" t="str">
            <v>_</v>
          </cell>
        </row>
        <row r="634">
          <cell r="F634" t="str">
            <v>_</v>
          </cell>
        </row>
        <row r="635">
          <cell r="F635" t="str">
            <v>_</v>
          </cell>
        </row>
        <row r="636">
          <cell r="F636" t="str">
            <v>_</v>
          </cell>
        </row>
        <row r="637">
          <cell r="F637" t="str">
            <v>_</v>
          </cell>
        </row>
        <row r="638">
          <cell r="F638" t="str">
            <v>_</v>
          </cell>
        </row>
        <row r="639">
          <cell r="F639" t="str">
            <v>_</v>
          </cell>
        </row>
        <row r="640">
          <cell r="F640" t="str">
            <v>_</v>
          </cell>
        </row>
        <row r="641">
          <cell r="F641" t="str">
            <v>_</v>
          </cell>
        </row>
        <row r="642">
          <cell r="F642" t="str">
            <v>_</v>
          </cell>
        </row>
        <row r="643">
          <cell r="F643" t="str">
            <v>_</v>
          </cell>
        </row>
        <row r="644">
          <cell r="F644" t="str">
            <v>_</v>
          </cell>
        </row>
        <row r="645">
          <cell r="F645" t="str">
            <v>_</v>
          </cell>
        </row>
        <row r="646">
          <cell r="F646" t="str">
            <v>_</v>
          </cell>
        </row>
        <row r="647">
          <cell r="F647" t="str">
            <v>_</v>
          </cell>
        </row>
        <row r="648">
          <cell r="F648" t="str">
            <v>_</v>
          </cell>
        </row>
        <row r="649">
          <cell r="F649" t="str">
            <v>_</v>
          </cell>
        </row>
        <row r="650">
          <cell r="F650" t="str">
            <v>_</v>
          </cell>
        </row>
        <row r="651">
          <cell r="F651" t="str">
            <v>_</v>
          </cell>
        </row>
        <row r="652">
          <cell r="F652" t="str">
            <v>_</v>
          </cell>
        </row>
        <row r="653">
          <cell r="F653" t="str">
            <v>_</v>
          </cell>
        </row>
        <row r="654">
          <cell r="F654" t="str">
            <v>_</v>
          </cell>
        </row>
        <row r="655">
          <cell r="F655" t="str">
            <v>_</v>
          </cell>
        </row>
        <row r="656">
          <cell r="F656" t="str">
            <v>_</v>
          </cell>
        </row>
        <row r="657">
          <cell r="F657" t="str">
            <v>_</v>
          </cell>
        </row>
        <row r="658">
          <cell r="F658" t="str">
            <v>_</v>
          </cell>
        </row>
        <row r="659">
          <cell r="F659" t="str">
            <v>_</v>
          </cell>
        </row>
        <row r="660">
          <cell r="F660" t="str">
            <v>_</v>
          </cell>
        </row>
        <row r="661">
          <cell r="F661" t="str">
            <v>_</v>
          </cell>
        </row>
        <row r="662">
          <cell r="F662" t="str">
            <v>_</v>
          </cell>
        </row>
        <row r="663">
          <cell r="F663" t="str">
            <v>_</v>
          </cell>
        </row>
        <row r="664">
          <cell r="F664" t="str">
            <v>_</v>
          </cell>
        </row>
        <row r="665">
          <cell r="F665" t="str">
            <v>_</v>
          </cell>
        </row>
        <row r="666">
          <cell r="F666" t="str">
            <v>_</v>
          </cell>
        </row>
        <row r="667">
          <cell r="F667" t="str">
            <v>_</v>
          </cell>
        </row>
        <row r="668">
          <cell r="F668" t="str">
            <v>_</v>
          </cell>
        </row>
        <row r="669">
          <cell r="F669" t="str">
            <v>_</v>
          </cell>
        </row>
        <row r="670">
          <cell r="F670" t="str">
            <v>_</v>
          </cell>
        </row>
        <row r="671">
          <cell r="F671" t="str">
            <v>_</v>
          </cell>
        </row>
        <row r="672">
          <cell r="F672" t="str">
            <v>_</v>
          </cell>
        </row>
        <row r="673">
          <cell r="F673" t="str">
            <v>_</v>
          </cell>
        </row>
        <row r="674">
          <cell r="F674" t="str">
            <v>_</v>
          </cell>
        </row>
        <row r="675">
          <cell r="F675" t="str">
            <v>_</v>
          </cell>
        </row>
        <row r="676">
          <cell r="F676" t="str">
            <v>_</v>
          </cell>
        </row>
        <row r="677">
          <cell r="F677" t="str">
            <v>_</v>
          </cell>
        </row>
        <row r="678">
          <cell r="F678" t="str">
            <v>_</v>
          </cell>
        </row>
        <row r="679">
          <cell r="F679" t="str">
            <v>_</v>
          </cell>
        </row>
        <row r="680">
          <cell r="F680" t="str">
            <v>_</v>
          </cell>
        </row>
        <row r="681">
          <cell r="F681" t="str">
            <v>_</v>
          </cell>
        </row>
        <row r="682">
          <cell r="F682" t="str">
            <v>_</v>
          </cell>
        </row>
        <row r="683">
          <cell r="F683" t="str">
            <v>_</v>
          </cell>
        </row>
        <row r="684">
          <cell r="F684" t="str">
            <v>_</v>
          </cell>
        </row>
        <row r="685">
          <cell r="F685" t="str">
            <v>_</v>
          </cell>
        </row>
        <row r="686">
          <cell r="F686" t="str">
            <v>_</v>
          </cell>
        </row>
        <row r="687">
          <cell r="F687" t="str">
            <v>_</v>
          </cell>
        </row>
        <row r="688">
          <cell r="F688" t="str">
            <v>_</v>
          </cell>
        </row>
        <row r="689">
          <cell r="F689" t="str">
            <v>_</v>
          </cell>
        </row>
        <row r="690">
          <cell r="F690" t="str">
            <v>_</v>
          </cell>
        </row>
        <row r="691">
          <cell r="F691" t="str">
            <v>_</v>
          </cell>
        </row>
        <row r="692">
          <cell r="F692" t="str">
            <v>_</v>
          </cell>
        </row>
        <row r="693">
          <cell r="F693" t="str">
            <v>_</v>
          </cell>
        </row>
        <row r="694">
          <cell r="F694" t="str">
            <v>_</v>
          </cell>
        </row>
        <row r="695">
          <cell r="F695" t="str">
            <v>_</v>
          </cell>
        </row>
        <row r="696">
          <cell r="F696" t="str">
            <v>_</v>
          </cell>
        </row>
        <row r="697">
          <cell r="F697" t="str">
            <v>_</v>
          </cell>
        </row>
        <row r="698">
          <cell r="F698" t="str">
            <v>_</v>
          </cell>
        </row>
        <row r="699">
          <cell r="F699" t="str">
            <v>_</v>
          </cell>
        </row>
        <row r="700">
          <cell r="F700" t="str">
            <v>_</v>
          </cell>
        </row>
        <row r="701">
          <cell r="F701" t="str">
            <v>_</v>
          </cell>
        </row>
        <row r="702">
          <cell r="F702" t="str">
            <v>_</v>
          </cell>
        </row>
        <row r="703">
          <cell r="F703" t="str">
            <v>_</v>
          </cell>
        </row>
        <row r="704">
          <cell r="F704" t="str">
            <v>_</v>
          </cell>
        </row>
        <row r="705">
          <cell r="F705" t="str">
            <v>_</v>
          </cell>
        </row>
        <row r="706">
          <cell r="F706" t="str">
            <v>_</v>
          </cell>
        </row>
        <row r="707">
          <cell r="F707" t="str">
            <v>_</v>
          </cell>
        </row>
        <row r="708">
          <cell r="F708" t="str">
            <v>_</v>
          </cell>
        </row>
        <row r="709">
          <cell r="F709" t="str">
            <v>_</v>
          </cell>
        </row>
        <row r="710">
          <cell r="F710" t="str">
            <v>_</v>
          </cell>
        </row>
        <row r="711">
          <cell r="F711" t="str">
            <v>_</v>
          </cell>
        </row>
        <row r="712">
          <cell r="F712" t="str">
            <v>_</v>
          </cell>
        </row>
        <row r="713">
          <cell r="F713" t="str">
            <v>_</v>
          </cell>
        </row>
        <row r="714">
          <cell r="F714" t="str">
            <v>_</v>
          </cell>
        </row>
        <row r="715">
          <cell r="F715" t="str">
            <v>_</v>
          </cell>
        </row>
        <row r="716">
          <cell r="F716" t="str">
            <v>_</v>
          </cell>
        </row>
        <row r="717">
          <cell r="F717" t="str">
            <v>_</v>
          </cell>
        </row>
        <row r="718">
          <cell r="F718" t="str">
            <v>_</v>
          </cell>
        </row>
        <row r="719">
          <cell r="F719" t="str">
            <v>_</v>
          </cell>
        </row>
        <row r="720">
          <cell r="F720" t="str">
            <v>_</v>
          </cell>
        </row>
        <row r="721">
          <cell r="F721" t="str">
            <v>_</v>
          </cell>
        </row>
        <row r="722">
          <cell r="F722" t="str">
            <v>_</v>
          </cell>
        </row>
        <row r="723">
          <cell r="F723" t="str">
            <v>_</v>
          </cell>
        </row>
        <row r="724">
          <cell r="F724" t="str">
            <v>_</v>
          </cell>
        </row>
        <row r="725">
          <cell r="F725" t="str">
            <v>_</v>
          </cell>
        </row>
        <row r="726">
          <cell r="F726" t="str">
            <v>_</v>
          </cell>
        </row>
        <row r="727">
          <cell r="F727" t="str">
            <v>_</v>
          </cell>
        </row>
        <row r="728">
          <cell r="F728" t="str">
            <v>_</v>
          </cell>
        </row>
        <row r="729">
          <cell r="F729" t="str">
            <v>_</v>
          </cell>
        </row>
        <row r="730">
          <cell r="F730" t="str">
            <v>_</v>
          </cell>
        </row>
        <row r="731">
          <cell r="F731" t="str">
            <v>_</v>
          </cell>
        </row>
        <row r="732">
          <cell r="F732" t="str">
            <v>_</v>
          </cell>
        </row>
        <row r="733">
          <cell r="F733" t="str">
            <v>_</v>
          </cell>
        </row>
        <row r="734">
          <cell r="F734" t="str">
            <v>_</v>
          </cell>
        </row>
        <row r="735">
          <cell r="F735" t="str">
            <v>_</v>
          </cell>
        </row>
        <row r="736">
          <cell r="F736" t="str">
            <v>_</v>
          </cell>
        </row>
        <row r="737">
          <cell r="F737" t="str">
            <v>_</v>
          </cell>
        </row>
        <row r="738">
          <cell r="F738" t="str">
            <v>_</v>
          </cell>
        </row>
        <row r="739">
          <cell r="F739" t="str">
            <v>_</v>
          </cell>
        </row>
        <row r="740">
          <cell r="F740" t="str">
            <v>_</v>
          </cell>
        </row>
        <row r="741">
          <cell r="F741" t="str">
            <v>_</v>
          </cell>
        </row>
        <row r="742">
          <cell r="F742" t="str">
            <v>_</v>
          </cell>
        </row>
        <row r="743">
          <cell r="F743" t="str">
            <v>_</v>
          </cell>
        </row>
        <row r="744">
          <cell r="F744" t="str">
            <v>_</v>
          </cell>
        </row>
        <row r="745">
          <cell r="F745" t="str">
            <v>_</v>
          </cell>
        </row>
        <row r="746">
          <cell r="F746" t="str">
            <v>_</v>
          </cell>
        </row>
        <row r="747">
          <cell r="F747" t="str">
            <v>_</v>
          </cell>
        </row>
        <row r="748">
          <cell r="F748" t="str">
            <v>_</v>
          </cell>
        </row>
        <row r="749">
          <cell r="F749" t="str">
            <v>_</v>
          </cell>
        </row>
        <row r="750">
          <cell r="F750" t="str">
            <v>_</v>
          </cell>
        </row>
        <row r="751">
          <cell r="F751" t="str">
            <v>_</v>
          </cell>
        </row>
        <row r="752">
          <cell r="F752" t="str">
            <v>_</v>
          </cell>
        </row>
        <row r="753">
          <cell r="F753" t="str">
            <v>_</v>
          </cell>
        </row>
        <row r="754">
          <cell r="F754" t="str">
            <v>_</v>
          </cell>
        </row>
        <row r="755">
          <cell r="F755" t="str">
            <v>_</v>
          </cell>
        </row>
        <row r="756">
          <cell r="F756" t="str">
            <v>_</v>
          </cell>
        </row>
        <row r="757">
          <cell r="F757" t="str">
            <v>_</v>
          </cell>
        </row>
        <row r="758">
          <cell r="F758" t="str">
            <v>_</v>
          </cell>
        </row>
        <row r="759">
          <cell r="F759" t="str">
            <v>_</v>
          </cell>
        </row>
        <row r="760">
          <cell r="F760" t="str">
            <v>_</v>
          </cell>
        </row>
        <row r="761">
          <cell r="F761" t="str">
            <v>_</v>
          </cell>
        </row>
        <row r="762">
          <cell r="F762" t="str">
            <v>_</v>
          </cell>
        </row>
        <row r="763">
          <cell r="F763" t="str">
            <v>_</v>
          </cell>
        </row>
        <row r="764">
          <cell r="F764" t="str">
            <v>_</v>
          </cell>
        </row>
        <row r="765">
          <cell r="F765" t="str">
            <v>_</v>
          </cell>
        </row>
        <row r="766">
          <cell r="F766" t="str">
            <v>_</v>
          </cell>
        </row>
        <row r="767">
          <cell r="F767" t="str">
            <v>_</v>
          </cell>
        </row>
        <row r="768">
          <cell r="F768" t="str">
            <v>_</v>
          </cell>
        </row>
        <row r="769">
          <cell r="F769" t="str">
            <v>_</v>
          </cell>
        </row>
        <row r="770">
          <cell r="F770" t="str">
            <v>_</v>
          </cell>
        </row>
        <row r="771">
          <cell r="F771" t="str">
            <v>_</v>
          </cell>
        </row>
        <row r="772">
          <cell r="F772" t="str">
            <v>_</v>
          </cell>
        </row>
        <row r="773">
          <cell r="F773" t="str">
            <v>_</v>
          </cell>
        </row>
        <row r="774">
          <cell r="F774" t="str">
            <v>_</v>
          </cell>
        </row>
        <row r="775">
          <cell r="F775" t="str">
            <v>_</v>
          </cell>
        </row>
        <row r="776">
          <cell r="F776" t="str">
            <v>_</v>
          </cell>
        </row>
        <row r="777">
          <cell r="F777" t="str">
            <v>_</v>
          </cell>
        </row>
        <row r="778">
          <cell r="F778" t="str">
            <v>_</v>
          </cell>
        </row>
        <row r="779">
          <cell r="F779" t="str">
            <v>_</v>
          </cell>
        </row>
        <row r="780">
          <cell r="F780" t="str">
            <v>_</v>
          </cell>
        </row>
        <row r="781">
          <cell r="F781" t="str">
            <v>_</v>
          </cell>
        </row>
        <row r="782">
          <cell r="F782" t="str">
            <v>_</v>
          </cell>
        </row>
        <row r="783">
          <cell r="F783" t="str">
            <v>_</v>
          </cell>
        </row>
        <row r="784">
          <cell r="F784" t="str">
            <v>_</v>
          </cell>
        </row>
        <row r="785">
          <cell r="F785" t="str">
            <v>_</v>
          </cell>
        </row>
        <row r="786">
          <cell r="F786" t="str">
            <v>_</v>
          </cell>
        </row>
        <row r="787">
          <cell r="F787" t="str">
            <v>_</v>
          </cell>
        </row>
        <row r="788">
          <cell r="F788" t="str">
            <v>_</v>
          </cell>
        </row>
        <row r="789">
          <cell r="F789" t="str">
            <v>_</v>
          </cell>
        </row>
        <row r="790">
          <cell r="F790" t="str">
            <v>_</v>
          </cell>
        </row>
        <row r="791">
          <cell r="F791" t="str">
            <v>_</v>
          </cell>
        </row>
        <row r="792">
          <cell r="F792" t="str">
            <v>_</v>
          </cell>
        </row>
        <row r="793">
          <cell r="F793" t="str">
            <v>_</v>
          </cell>
        </row>
        <row r="794">
          <cell r="F794" t="str">
            <v>_</v>
          </cell>
        </row>
        <row r="795">
          <cell r="F795" t="str">
            <v>_</v>
          </cell>
        </row>
        <row r="796">
          <cell r="F796" t="str">
            <v>_</v>
          </cell>
        </row>
        <row r="797">
          <cell r="F797" t="str">
            <v>_</v>
          </cell>
        </row>
        <row r="798">
          <cell r="F798" t="str">
            <v>_</v>
          </cell>
        </row>
        <row r="799">
          <cell r="F799" t="str">
            <v>_</v>
          </cell>
        </row>
        <row r="800">
          <cell r="F800" t="str">
            <v>_</v>
          </cell>
        </row>
        <row r="801">
          <cell r="F801" t="str">
            <v>_</v>
          </cell>
        </row>
        <row r="802">
          <cell r="F802" t="str">
            <v>_</v>
          </cell>
        </row>
        <row r="803">
          <cell r="F803" t="str">
            <v>_</v>
          </cell>
        </row>
        <row r="804">
          <cell r="F804" t="str">
            <v>_</v>
          </cell>
        </row>
        <row r="805">
          <cell r="F805" t="str">
            <v>_</v>
          </cell>
        </row>
        <row r="806">
          <cell r="F806" t="str">
            <v>_</v>
          </cell>
        </row>
        <row r="807">
          <cell r="F807" t="str">
            <v>_</v>
          </cell>
        </row>
        <row r="808">
          <cell r="F808" t="str">
            <v>_</v>
          </cell>
        </row>
        <row r="809">
          <cell r="F809" t="str">
            <v>_</v>
          </cell>
        </row>
        <row r="810">
          <cell r="F810" t="str">
            <v>_</v>
          </cell>
        </row>
        <row r="811">
          <cell r="F811" t="str">
            <v>_</v>
          </cell>
        </row>
        <row r="812">
          <cell r="F812" t="str">
            <v>_</v>
          </cell>
        </row>
        <row r="813">
          <cell r="F813" t="str">
            <v>_</v>
          </cell>
        </row>
        <row r="814">
          <cell r="F814" t="str">
            <v>_</v>
          </cell>
        </row>
        <row r="815">
          <cell r="F815" t="str">
            <v>_</v>
          </cell>
        </row>
        <row r="816">
          <cell r="F816" t="str">
            <v>_</v>
          </cell>
        </row>
        <row r="817">
          <cell r="F817" t="str">
            <v>_</v>
          </cell>
        </row>
        <row r="818">
          <cell r="F818" t="str">
            <v>_</v>
          </cell>
        </row>
        <row r="819">
          <cell r="F819" t="str">
            <v>_</v>
          </cell>
        </row>
        <row r="820">
          <cell r="F820" t="str">
            <v>_</v>
          </cell>
        </row>
        <row r="821">
          <cell r="F821" t="str">
            <v>_</v>
          </cell>
        </row>
        <row r="822">
          <cell r="F822" t="str">
            <v>_</v>
          </cell>
        </row>
        <row r="823">
          <cell r="F823" t="str">
            <v>_</v>
          </cell>
        </row>
        <row r="824">
          <cell r="F824" t="str">
            <v>_</v>
          </cell>
        </row>
        <row r="825">
          <cell r="F825" t="str">
            <v>_</v>
          </cell>
        </row>
        <row r="826">
          <cell r="F826" t="str">
            <v>_</v>
          </cell>
        </row>
        <row r="827">
          <cell r="F827" t="str">
            <v>_</v>
          </cell>
        </row>
        <row r="828">
          <cell r="F828" t="str">
            <v>_</v>
          </cell>
        </row>
        <row r="829">
          <cell r="F829" t="str">
            <v>_</v>
          </cell>
        </row>
        <row r="830">
          <cell r="F830" t="str">
            <v>_</v>
          </cell>
        </row>
        <row r="831">
          <cell r="F831" t="str">
            <v>_</v>
          </cell>
        </row>
        <row r="832">
          <cell r="F832" t="str">
            <v>_</v>
          </cell>
        </row>
        <row r="833">
          <cell r="F833" t="str">
            <v>_</v>
          </cell>
        </row>
        <row r="834">
          <cell r="F834" t="str">
            <v>_</v>
          </cell>
        </row>
        <row r="835">
          <cell r="F835" t="str">
            <v>_</v>
          </cell>
        </row>
        <row r="836">
          <cell r="F836" t="str">
            <v>_</v>
          </cell>
        </row>
        <row r="837">
          <cell r="F837" t="str">
            <v>_</v>
          </cell>
        </row>
        <row r="838">
          <cell r="F838" t="str">
            <v>_</v>
          </cell>
        </row>
        <row r="839">
          <cell r="F839" t="str">
            <v>_</v>
          </cell>
        </row>
        <row r="840">
          <cell r="F840" t="str">
            <v>_</v>
          </cell>
        </row>
        <row r="841">
          <cell r="F841" t="str">
            <v>_</v>
          </cell>
        </row>
        <row r="842">
          <cell r="F842" t="str">
            <v>_</v>
          </cell>
        </row>
        <row r="843">
          <cell r="F843" t="str">
            <v>_</v>
          </cell>
        </row>
        <row r="844">
          <cell r="F844" t="str">
            <v>_</v>
          </cell>
        </row>
        <row r="845">
          <cell r="F845" t="str">
            <v>_</v>
          </cell>
        </row>
        <row r="846">
          <cell r="F846" t="str">
            <v>_</v>
          </cell>
        </row>
        <row r="847">
          <cell r="F847" t="str">
            <v>_</v>
          </cell>
        </row>
        <row r="848">
          <cell r="F848" t="str">
            <v>_</v>
          </cell>
        </row>
        <row r="849">
          <cell r="F849" t="str">
            <v>_</v>
          </cell>
        </row>
        <row r="850">
          <cell r="F850" t="str">
            <v>_</v>
          </cell>
        </row>
        <row r="851">
          <cell r="F851" t="str">
            <v>_</v>
          </cell>
        </row>
        <row r="852">
          <cell r="F852" t="str">
            <v>_</v>
          </cell>
        </row>
        <row r="853">
          <cell r="F853" t="str">
            <v>_</v>
          </cell>
        </row>
        <row r="854">
          <cell r="F854" t="str">
            <v>_</v>
          </cell>
        </row>
        <row r="855">
          <cell r="F855" t="str">
            <v>_</v>
          </cell>
        </row>
        <row r="856">
          <cell r="F856" t="str">
            <v>_</v>
          </cell>
        </row>
        <row r="857">
          <cell r="F857" t="str">
            <v>_</v>
          </cell>
        </row>
        <row r="858">
          <cell r="F858" t="str">
            <v>_</v>
          </cell>
        </row>
        <row r="859">
          <cell r="F859" t="str">
            <v>_</v>
          </cell>
        </row>
        <row r="860">
          <cell r="F860" t="str">
            <v>_</v>
          </cell>
        </row>
        <row r="861">
          <cell r="F861" t="str">
            <v>_</v>
          </cell>
        </row>
        <row r="862">
          <cell r="F862" t="str">
            <v>_</v>
          </cell>
        </row>
        <row r="863">
          <cell r="F863" t="str">
            <v>_</v>
          </cell>
        </row>
        <row r="864">
          <cell r="F864" t="str">
            <v>_</v>
          </cell>
        </row>
        <row r="865">
          <cell r="F865" t="str">
            <v>_</v>
          </cell>
        </row>
        <row r="866">
          <cell r="F866" t="str">
            <v>_</v>
          </cell>
        </row>
        <row r="867">
          <cell r="F867" t="str">
            <v>_</v>
          </cell>
        </row>
        <row r="868">
          <cell r="F868" t="str">
            <v>_</v>
          </cell>
        </row>
        <row r="869">
          <cell r="F869" t="str">
            <v>_</v>
          </cell>
        </row>
        <row r="870">
          <cell r="F870" t="str">
            <v>_</v>
          </cell>
        </row>
        <row r="871">
          <cell r="F871" t="str">
            <v>_</v>
          </cell>
        </row>
        <row r="872">
          <cell r="F872" t="str">
            <v>_</v>
          </cell>
        </row>
        <row r="873">
          <cell r="F873" t="str">
            <v>_</v>
          </cell>
        </row>
        <row r="874">
          <cell r="F874" t="str">
            <v>_</v>
          </cell>
        </row>
        <row r="875">
          <cell r="F875" t="str">
            <v>_</v>
          </cell>
        </row>
        <row r="876">
          <cell r="F876" t="str">
            <v>_</v>
          </cell>
        </row>
        <row r="877">
          <cell r="F877" t="str">
            <v>_</v>
          </cell>
        </row>
        <row r="878">
          <cell r="F878" t="str">
            <v>_</v>
          </cell>
        </row>
        <row r="879">
          <cell r="F879" t="str">
            <v>_</v>
          </cell>
        </row>
        <row r="880">
          <cell r="F880" t="str">
            <v>_</v>
          </cell>
        </row>
        <row r="881">
          <cell r="F881" t="str">
            <v>_</v>
          </cell>
        </row>
        <row r="882">
          <cell r="F882" t="str">
            <v>_</v>
          </cell>
        </row>
        <row r="883">
          <cell r="F883" t="str">
            <v>_</v>
          </cell>
        </row>
        <row r="884">
          <cell r="F884" t="str">
            <v>_</v>
          </cell>
        </row>
        <row r="885">
          <cell r="F885" t="str">
            <v>_</v>
          </cell>
        </row>
        <row r="886">
          <cell r="F886" t="str">
            <v>_</v>
          </cell>
        </row>
        <row r="887">
          <cell r="F887" t="str">
            <v>_</v>
          </cell>
        </row>
        <row r="888">
          <cell r="F888" t="str">
            <v>_</v>
          </cell>
        </row>
        <row r="889">
          <cell r="F889" t="str">
            <v>_</v>
          </cell>
        </row>
        <row r="890">
          <cell r="F890" t="str">
            <v>_</v>
          </cell>
        </row>
        <row r="891">
          <cell r="F891" t="str">
            <v>_</v>
          </cell>
        </row>
        <row r="892">
          <cell r="F892" t="str">
            <v>_</v>
          </cell>
        </row>
        <row r="893">
          <cell r="F893" t="str">
            <v>_</v>
          </cell>
        </row>
        <row r="894">
          <cell r="F894" t="str">
            <v>_</v>
          </cell>
        </row>
        <row r="895">
          <cell r="F895" t="str">
            <v>_</v>
          </cell>
        </row>
        <row r="896">
          <cell r="F896" t="str">
            <v>_</v>
          </cell>
        </row>
        <row r="897">
          <cell r="F897" t="str">
            <v>_</v>
          </cell>
        </row>
        <row r="898">
          <cell r="F898" t="str">
            <v>_</v>
          </cell>
        </row>
        <row r="899">
          <cell r="F899" t="str">
            <v>_</v>
          </cell>
        </row>
        <row r="900">
          <cell r="F900" t="str">
            <v>_</v>
          </cell>
        </row>
        <row r="901">
          <cell r="F901" t="str">
            <v>_</v>
          </cell>
        </row>
        <row r="902">
          <cell r="F902" t="str">
            <v>_</v>
          </cell>
        </row>
        <row r="903">
          <cell r="F903" t="str">
            <v>_</v>
          </cell>
        </row>
        <row r="904">
          <cell r="F904" t="str">
            <v>_</v>
          </cell>
        </row>
        <row r="905">
          <cell r="F905" t="str">
            <v>_</v>
          </cell>
        </row>
        <row r="906">
          <cell r="F906" t="str">
            <v>_</v>
          </cell>
        </row>
        <row r="907">
          <cell r="F907" t="str">
            <v>_</v>
          </cell>
        </row>
        <row r="908">
          <cell r="F908" t="str">
            <v>_</v>
          </cell>
        </row>
        <row r="909">
          <cell r="F909" t="str">
            <v>_</v>
          </cell>
        </row>
        <row r="910">
          <cell r="F910" t="str">
            <v>_</v>
          </cell>
        </row>
        <row r="911">
          <cell r="F911" t="str">
            <v>_</v>
          </cell>
        </row>
        <row r="912">
          <cell r="F912" t="str">
            <v>_</v>
          </cell>
        </row>
        <row r="913">
          <cell r="F913" t="str">
            <v>_</v>
          </cell>
        </row>
        <row r="914">
          <cell r="F914" t="str">
            <v>_</v>
          </cell>
        </row>
        <row r="915">
          <cell r="F915" t="str">
            <v>_</v>
          </cell>
        </row>
        <row r="916">
          <cell r="F916" t="str">
            <v>_</v>
          </cell>
        </row>
        <row r="917">
          <cell r="F917" t="str">
            <v>_</v>
          </cell>
        </row>
        <row r="918">
          <cell r="F918" t="str">
            <v>_</v>
          </cell>
        </row>
        <row r="919">
          <cell r="F919" t="str">
            <v>_</v>
          </cell>
        </row>
        <row r="920">
          <cell r="F920" t="str">
            <v>_</v>
          </cell>
        </row>
        <row r="921">
          <cell r="F921" t="str">
            <v>_</v>
          </cell>
        </row>
        <row r="922">
          <cell r="F922" t="str">
            <v>_</v>
          </cell>
        </row>
        <row r="923">
          <cell r="F923" t="str">
            <v>_</v>
          </cell>
        </row>
        <row r="924">
          <cell r="F924" t="str">
            <v>_</v>
          </cell>
        </row>
        <row r="925">
          <cell r="F925" t="str">
            <v>_</v>
          </cell>
        </row>
        <row r="926">
          <cell r="F926" t="str">
            <v>_</v>
          </cell>
        </row>
        <row r="927">
          <cell r="F927" t="str">
            <v>_</v>
          </cell>
        </row>
        <row r="928">
          <cell r="F928" t="str">
            <v>_</v>
          </cell>
        </row>
        <row r="929">
          <cell r="F929" t="str">
            <v>_</v>
          </cell>
        </row>
        <row r="930">
          <cell r="F930" t="str">
            <v>_</v>
          </cell>
        </row>
        <row r="931">
          <cell r="F931" t="str">
            <v>_</v>
          </cell>
        </row>
        <row r="932">
          <cell r="F932" t="str">
            <v>_</v>
          </cell>
        </row>
        <row r="933">
          <cell r="F933" t="str">
            <v>_</v>
          </cell>
        </row>
        <row r="934">
          <cell r="F934" t="str">
            <v>_</v>
          </cell>
        </row>
        <row r="935">
          <cell r="F935" t="str">
            <v>_</v>
          </cell>
        </row>
        <row r="936">
          <cell r="F936" t="str">
            <v>_</v>
          </cell>
        </row>
        <row r="937">
          <cell r="F937" t="str">
            <v>_</v>
          </cell>
        </row>
        <row r="938">
          <cell r="F938" t="str">
            <v>_</v>
          </cell>
        </row>
        <row r="939">
          <cell r="F939" t="str">
            <v>_</v>
          </cell>
        </row>
        <row r="940">
          <cell r="F940" t="str">
            <v>_</v>
          </cell>
        </row>
        <row r="941">
          <cell r="F941" t="str">
            <v>_</v>
          </cell>
        </row>
        <row r="942">
          <cell r="F942" t="str">
            <v>_</v>
          </cell>
        </row>
        <row r="943">
          <cell r="F943" t="str">
            <v>_</v>
          </cell>
        </row>
        <row r="944">
          <cell r="F944" t="str">
            <v>_</v>
          </cell>
        </row>
        <row r="945">
          <cell r="F945" t="str">
            <v>_</v>
          </cell>
        </row>
        <row r="946">
          <cell r="F946" t="str">
            <v>_</v>
          </cell>
        </row>
        <row r="947">
          <cell r="F947" t="str">
            <v>_</v>
          </cell>
        </row>
        <row r="948">
          <cell r="F948" t="str">
            <v>_</v>
          </cell>
        </row>
        <row r="949">
          <cell r="F949" t="str">
            <v>_</v>
          </cell>
        </row>
        <row r="950">
          <cell r="F950" t="str">
            <v>_</v>
          </cell>
        </row>
        <row r="951">
          <cell r="F951" t="str">
            <v>_</v>
          </cell>
        </row>
        <row r="952">
          <cell r="F952" t="str">
            <v>_</v>
          </cell>
        </row>
        <row r="953">
          <cell r="F953" t="str">
            <v>_</v>
          </cell>
        </row>
        <row r="954">
          <cell r="F954" t="str">
            <v>_</v>
          </cell>
        </row>
        <row r="955">
          <cell r="F955" t="str">
            <v>_</v>
          </cell>
        </row>
        <row r="956">
          <cell r="F956" t="str">
            <v>_</v>
          </cell>
        </row>
        <row r="957">
          <cell r="F957" t="str">
            <v>_</v>
          </cell>
        </row>
        <row r="958">
          <cell r="F958" t="str">
            <v>_</v>
          </cell>
        </row>
        <row r="959">
          <cell r="F959" t="str">
            <v>_</v>
          </cell>
        </row>
        <row r="960">
          <cell r="F960" t="str">
            <v>_</v>
          </cell>
        </row>
        <row r="961">
          <cell r="F961" t="str">
            <v>_</v>
          </cell>
        </row>
        <row r="962">
          <cell r="F962" t="str">
            <v>_</v>
          </cell>
        </row>
        <row r="963">
          <cell r="F963" t="str">
            <v>_</v>
          </cell>
        </row>
        <row r="964">
          <cell r="F964" t="str">
            <v>_</v>
          </cell>
        </row>
        <row r="965">
          <cell r="F965" t="str">
            <v>_</v>
          </cell>
        </row>
        <row r="966">
          <cell r="F966" t="str">
            <v>_</v>
          </cell>
        </row>
        <row r="967">
          <cell r="F967" t="str">
            <v>_</v>
          </cell>
        </row>
        <row r="968">
          <cell r="F968" t="str">
            <v>_</v>
          </cell>
        </row>
        <row r="969">
          <cell r="F969" t="str">
            <v>_</v>
          </cell>
        </row>
        <row r="970">
          <cell r="F970" t="str">
            <v>_</v>
          </cell>
        </row>
        <row r="971">
          <cell r="F971" t="str">
            <v>_</v>
          </cell>
        </row>
        <row r="972">
          <cell r="F972" t="str">
            <v>_</v>
          </cell>
        </row>
        <row r="973">
          <cell r="F973" t="str">
            <v>_</v>
          </cell>
        </row>
        <row r="974">
          <cell r="F974" t="str">
            <v>_</v>
          </cell>
        </row>
        <row r="975">
          <cell r="F975" t="str">
            <v>_</v>
          </cell>
        </row>
        <row r="976">
          <cell r="F976" t="str">
            <v>_</v>
          </cell>
        </row>
        <row r="977">
          <cell r="F977" t="str">
            <v>_</v>
          </cell>
        </row>
        <row r="978">
          <cell r="F978" t="str">
            <v>_</v>
          </cell>
        </row>
        <row r="979">
          <cell r="F979" t="str">
            <v>_</v>
          </cell>
        </row>
        <row r="980">
          <cell r="F980" t="str">
            <v>_</v>
          </cell>
        </row>
        <row r="981">
          <cell r="F981" t="str">
            <v>_</v>
          </cell>
        </row>
        <row r="982">
          <cell r="F982" t="str">
            <v>_</v>
          </cell>
        </row>
        <row r="983">
          <cell r="F983" t="str">
            <v>_</v>
          </cell>
        </row>
        <row r="984">
          <cell r="F984" t="str">
            <v>_</v>
          </cell>
        </row>
        <row r="985">
          <cell r="F985" t="str">
            <v>_</v>
          </cell>
        </row>
        <row r="986">
          <cell r="F986" t="str">
            <v>_</v>
          </cell>
        </row>
        <row r="987">
          <cell r="F987" t="str">
            <v>_</v>
          </cell>
        </row>
        <row r="988">
          <cell r="F988" t="str">
            <v>_</v>
          </cell>
        </row>
        <row r="989">
          <cell r="F989" t="str">
            <v>_</v>
          </cell>
        </row>
        <row r="990">
          <cell r="F990" t="str">
            <v>_</v>
          </cell>
        </row>
        <row r="991">
          <cell r="F991" t="str">
            <v>_</v>
          </cell>
        </row>
        <row r="992">
          <cell r="F992" t="str">
            <v>_</v>
          </cell>
        </row>
        <row r="993">
          <cell r="F993" t="str">
            <v>_</v>
          </cell>
        </row>
        <row r="994">
          <cell r="F994" t="str">
            <v>_</v>
          </cell>
        </row>
        <row r="995">
          <cell r="F995" t="str">
            <v>_</v>
          </cell>
        </row>
        <row r="996">
          <cell r="F996" t="str">
            <v>_</v>
          </cell>
        </row>
        <row r="997">
          <cell r="F997" t="str">
            <v>_</v>
          </cell>
        </row>
        <row r="998">
          <cell r="F998" t="str">
            <v>_</v>
          </cell>
        </row>
        <row r="999">
          <cell r="F999" t="str">
            <v>_</v>
          </cell>
        </row>
        <row r="1000">
          <cell r="F1000" t="str">
            <v>_</v>
          </cell>
        </row>
        <row r="1001">
          <cell r="F1001" t="str">
            <v>_</v>
          </cell>
        </row>
        <row r="1002">
          <cell r="F1002" t="str">
            <v>_</v>
          </cell>
        </row>
        <row r="1003">
          <cell r="F1003" t="str">
            <v>_</v>
          </cell>
        </row>
        <row r="1004">
          <cell r="F1004" t="str">
            <v>_</v>
          </cell>
        </row>
        <row r="1005">
          <cell r="F1005" t="str">
            <v>_</v>
          </cell>
        </row>
        <row r="1006">
          <cell r="F1006" t="str">
            <v>_</v>
          </cell>
        </row>
        <row r="1007">
          <cell r="F1007" t="str">
            <v>_</v>
          </cell>
        </row>
        <row r="1008">
          <cell r="F1008" t="str">
            <v>_</v>
          </cell>
        </row>
        <row r="1009">
          <cell r="F1009" t="str">
            <v>_</v>
          </cell>
        </row>
        <row r="1010">
          <cell r="F1010" t="str">
            <v>_</v>
          </cell>
        </row>
        <row r="1011">
          <cell r="F1011" t="str">
            <v>_</v>
          </cell>
        </row>
        <row r="1012">
          <cell r="F1012" t="str">
            <v>_</v>
          </cell>
        </row>
        <row r="1013">
          <cell r="F1013" t="str">
            <v>_</v>
          </cell>
        </row>
        <row r="1014">
          <cell r="F1014" t="str">
            <v>_</v>
          </cell>
        </row>
        <row r="1015">
          <cell r="F1015" t="str">
            <v>_</v>
          </cell>
        </row>
        <row r="1016">
          <cell r="F1016" t="str">
            <v>_</v>
          </cell>
        </row>
        <row r="1017">
          <cell r="F1017" t="str">
            <v>_</v>
          </cell>
        </row>
        <row r="1018">
          <cell r="F1018" t="str">
            <v>_</v>
          </cell>
        </row>
        <row r="1019">
          <cell r="F1019" t="str">
            <v>_</v>
          </cell>
        </row>
        <row r="1020">
          <cell r="F1020" t="str">
            <v>_</v>
          </cell>
        </row>
        <row r="1021">
          <cell r="F1021" t="str">
            <v>_</v>
          </cell>
        </row>
        <row r="1022">
          <cell r="F1022" t="str">
            <v>_</v>
          </cell>
        </row>
        <row r="1023">
          <cell r="F1023" t="str">
            <v>_</v>
          </cell>
        </row>
        <row r="1024">
          <cell r="F1024" t="str">
            <v>_</v>
          </cell>
        </row>
        <row r="1025">
          <cell r="F1025" t="str">
            <v>_</v>
          </cell>
        </row>
        <row r="1026">
          <cell r="F1026" t="str">
            <v>_</v>
          </cell>
        </row>
        <row r="1027">
          <cell r="F1027" t="str">
            <v>_</v>
          </cell>
        </row>
        <row r="1028">
          <cell r="F1028" t="str">
            <v>_</v>
          </cell>
        </row>
        <row r="1029">
          <cell r="F1029" t="str">
            <v>_</v>
          </cell>
        </row>
        <row r="1030">
          <cell r="F1030" t="str">
            <v>_</v>
          </cell>
        </row>
        <row r="1031">
          <cell r="F1031" t="str">
            <v>_</v>
          </cell>
        </row>
        <row r="1032">
          <cell r="F1032" t="str">
            <v>_</v>
          </cell>
        </row>
        <row r="1033">
          <cell r="F1033" t="str">
            <v>_</v>
          </cell>
        </row>
        <row r="1034">
          <cell r="F1034" t="str">
            <v>_</v>
          </cell>
        </row>
        <row r="1035">
          <cell r="F1035" t="str">
            <v>_</v>
          </cell>
        </row>
        <row r="1036">
          <cell r="F1036" t="str">
            <v>_</v>
          </cell>
        </row>
        <row r="1037">
          <cell r="F1037" t="str">
            <v>_</v>
          </cell>
        </row>
        <row r="1038">
          <cell r="F1038" t="str">
            <v>_</v>
          </cell>
        </row>
        <row r="1039">
          <cell r="F1039" t="str">
            <v>_</v>
          </cell>
        </row>
        <row r="1040">
          <cell r="F1040" t="str">
            <v>_</v>
          </cell>
        </row>
        <row r="1041">
          <cell r="F1041" t="str">
            <v>_</v>
          </cell>
        </row>
        <row r="1042">
          <cell r="F1042" t="str">
            <v>_</v>
          </cell>
        </row>
        <row r="1043">
          <cell r="F1043" t="str">
            <v>_</v>
          </cell>
        </row>
        <row r="1044">
          <cell r="F1044" t="str">
            <v>_</v>
          </cell>
        </row>
        <row r="1045">
          <cell r="F1045" t="str">
            <v>_</v>
          </cell>
        </row>
        <row r="1046">
          <cell r="F1046" t="str">
            <v>_</v>
          </cell>
        </row>
        <row r="1047">
          <cell r="F1047" t="str">
            <v>_</v>
          </cell>
        </row>
        <row r="1048">
          <cell r="F1048" t="str">
            <v>_</v>
          </cell>
        </row>
        <row r="1049">
          <cell r="F1049" t="str">
            <v>_</v>
          </cell>
        </row>
        <row r="1050">
          <cell r="F1050" t="str">
            <v>_</v>
          </cell>
        </row>
        <row r="1051">
          <cell r="F1051" t="str">
            <v>_</v>
          </cell>
        </row>
        <row r="1052">
          <cell r="F1052" t="str">
            <v>_</v>
          </cell>
        </row>
        <row r="1053">
          <cell r="F1053" t="str">
            <v>_</v>
          </cell>
        </row>
        <row r="1054">
          <cell r="F1054" t="str">
            <v>_</v>
          </cell>
        </row>
        <row r="1055">
          <cell r="F1055" t="str">
            <v>_</v>
          </cell>
        </row>
        <row r="1056">
          <cell r="F1056" t="str">
            <v>_</v>
          </cell>
        </row>
        <row r="1057">
          <cell r="F1057" t="str">
            <v>_</v>
          </cell>
        </row>
        <row r="1058">
          <cell r="F1058" t="str">
            <v>_</v>
          </cell>
        </row>
        <row r="1059">
          <cell r="F1059" t="str">
            <v>_</v>
          </cell>
        </row>
        <row r="1060">
          <cell r="F1060" t="str">
            <v>_</v>
          </cell>
        </row>
        <row r="1061">
          <cell r="F1061" t="str">
            <v>_</v>
          </cell>
        </row>
        <row r="1062">
          <cell r="F1062" t="str">
            <v>_</v>
          </cell>
        </row>
        <row r="1063">
          <cell r="F1063" t="str">
            <v>_</v>
          </cell>
        </row>
        <row r="1064">
          <cell r="F1064" t="str">
            <v>_</v>
          </cell>
        </row>
        <row r="1065">
          <cell r="F1065" t="str">
            <v>_</v>
          </cell>
        </row>
        <row r="1066">
          <cell r="F1066" t="str">
            <v>_</v>
          </cell>
        </row>
        <row r="1067">
          <cell r="F1067" t="str">
            <v>_</v>
          </cell>
        </row>
        <row r="1068">
          <cell r="F1068" t="str">
            <v>_</v>
          </cell>
        </row>
        <row r="1069">
          <cell r="F1069" t="str">
            <v>_</v>
          </cell>
        </row>
        <row r="1070">
          <cell r="F1070" t="str">
            <v>_</v>
          </cell>
        </row>
        <row r="1071">
          <cell r="F1071" t="str">
            <v>_</v>
          </cell>
        </row>
        <row r="1072">
          <cell r="F1072" t="str">
            <v>_</v>
          </cell>
        </row>
        <row r="1073">
          <cell r="F1073" t="str">
            <v>_</v>
          </cell>
        </row>
        <row r="1074">
          <cell r="F1074" t="str">
            <v>_</v>
          </cell>
        </row>
        <row r="1075">
          <cell r="F1075" t="str">
            <v>_</v>
          </cell>
        </row>
        <row r="1076">
          <cell r="F1076" t="str">
            <v>_</v>
          </cell>
        </row>
        <row r="1077">
          <cell r="F1077" t="str">
            <v>_</v>
          </cell>
        </row>
        <row r="1078">
          <cell r="F1078" t="str">
            <v>_</v>
          </cell>
        </row>
        <row r="1079">
          <cell r="F1079" t="str">
            <v>_</v>
          </cell>
        </row>
        <row r="1080">
          <cell r="F1080" t="str">
            <v>_</v>
          </cell>
        </row>
        <row r="1081">
          <cell r="F1081" t="str">
            <v>_</v>
          </cell>
        </row>
        <row r="1082">
          <cell r="F1082" t="str">
            <v>_</v>
          </cell>
        </row>
        <row r="1083">
          <cell r="F1083" t="str">
            <v>_</v>
          </cell>
        </row>
        <row r="1084">
          <cell r="F1084" t="str">
            <v>_</v>
          </cell>
        </row>
        <row r="1085">
          <cell r="F1085" t="str">
            <v>_</v>
          </cell>
        </row>
        <row r="1086">
          <cell r="F1086" t="str">
            <v>_</v>
          </cell>
        </row>
        <row r="1087">
          <cell r="F1087" t="str">
            <v>_</v>
          </cell>
        </row>
        <row r="1088">
          <cell r="F1088" t="str">
            <v>_</v>
          </cell>
        </row>
        <row r="1089">
          <cell r="F1089" t="str">
            <v>_</v>
          </cell>
        </row>
        <row r="1090">
          <cell r="F1090" t="str">
            <v>_</v>
          </cell>
        </row>
        <row r="1091">
          <cell r="F1091" t="str">
            <v>_</v>
          </cell>
        </row>
        <row r="1092">
          <cell r="F1092" t="str">
            <v>_</v>
          </cell>
        </row>
        <row r="1093">
          <cell r="F1093" t="str">
            <v>_</v>
          </cell>
        </row>
        <row r="1094">
          <cell r="F1094" t="str">
            <v>_</v>
          </cell>
        </row>
        <row r="1095">
          <cell r="F1095" t="str">
            <v>_</v>
          </cell>
        </row>
        <row r="1096">
          <cell r="F1096" t="str">
            <v>_</v>
          </cell>
        </row>
        <row r="1097">
          <cell r="F1097" t="str">
            <v>_</v>
          </cell>
        </row>
        <row r="1098">
          <cell r="F1098" t="str">
            <v>_</v>
          </cell>
        </row>
        <row r="1099">
          <cell r="F1099" t="str">
            <v>_</v>
          </cell>
        </row>
        <row r="1100">
          <cell r="F1100" t="str">
            <v>_</v>
          </cell>
        </row>
        <row r="1101">
          <cell r="F1101" t="str">
            <v>_</v>
          </cell>
        </row>
        <row r="1102">
          <cell r="F1102" t="str">
            <v>_</v>
          </cell>
        </row>
        <row r="1103">
          <cell r="F1103" t="str">
            <v>_</v>
          </cell>
        </row>
        <row r="1104">
          <cell r="F1104" t="str">
            <v>_</v>
          </cell>
        </row>
        <row r="1105">
          <cell r="F1105" t="str">
            <v>_</v>
          </cell>
        </row>
        <row r="1106">
          <cell r="F1106" t="str">
            <v>_</v>
          </cell>
        </row>
        <row r="1107">
          <cell r="F1107" t="str">
            <v>_</v>
          </cell>
        </row>
        <row r="1108">
          <cell r="F1108" t="str">
            <v>_</v>
          </cell>
        </row>
        <row r="1109">
          <cell r="F1109" t="str">
            <v>_</v>
          </cell>
        </row>
        <row r="1110">
          <cell r="F1110" t="str">
            <v>_</v>
          </cell>
        </row>
        <row r="1111">
          <cell r="F1111" t="str">
            <v>_</v>
          </cell>
        </row>
        <row r="1112">
          <cell r="F1112" t="str">
            <v>_</v>
          </cell>
        </row>
        <row r="1113">
          <cell r="F1113" t="str">
            <v>_</v>
          </cell>
        </row>
        <row r="1114">
          <cell r="F1114" t="str">
            <v>_</v>
          </cell>
        </row>
        <row r="1115">
          <cell r="F1115" t="str">
            <v>_</v>
          </cell>
        </row>
        <row r="1116">
          <cell r="F1116" t="str">
            <v>_</v>
          </cell>
        </row>
        <row r="1117">
          <cell r="F1117" t="str">
            <v>_</v>
          </cell>
        </row>
        <row r="1118">
          <cell r="F1118" t="str">
            <v>_</v>
          </cell>
        </row>
        <row r="1119">
          <cell r="F1119" t="str">
            <v>_</v>
          </cell>
        </row>
        <row r="1120">
          <cell r="F1120" t="str">
            <v>_</v>
          </cell>
        </row>
        <row r="1121">
          <cell r="F1121" t="str">
            <v>_</v>
          </cell>
        </row>
        <row r="1122">
          <cell r="F1122" t="str">
            <v>_</v>
          </cell>
        </row>
        <row r="1123">
          <cell r="F1123" t="str">
            <v>_</v>
          </cell>
        </row>
        <row r="1124">
          <cell r="F1124" t="str">
            <v>_</v>
          </cell>
        </row>
        <row r="1125">
          <cell r="F1125" t="str">
            <v>_</v>
          </cell>
        </row>
        <row r="1126">
          <cell r="F1126" t="str">
            <v>_</v>
          </cell>
        </row>
        <row r="1127">
          <cell r="F1127" t="str">
            <v>_</v>
          </cell>
        </row>
        <row r="1128">
          <cell r="F1128" t="str">
            <v>_</v>
          </cell>
        </row>
        <row r="1129">
          <cell r="F1129" t="str">
            <v>_</v>
          </cell>
        </row>
        <row r="1130">
          <cell r="F1130" t="str">
            <v>_</v>
          </cell>
        </row>
        <row r="1131">
          <cell r="F1131" t="str">
            <v>_</v>
          </cell>
        </row>
        <row r="1132">
          <cell r="F1132" t="str">
            <v>_</v>
          </cell>
        </row>
        <row r="1133">
          <cell r="F1133" t="str">
            <v>_</v>
          </cell>
        </row>
        <row r="1134">
          <cell r="F1134" t="str">
            <v>_</v>
          </cell>
        </row>
        <row r="1135">
          <cell r="F1135" t="str">
            <v>_</v>
          </cell>
        </row>
        <row r="1136">
          <cell r="F1136" t="str">
            <v>_</v>
          </cell>
        </row>
        <row r="1137">
          <cell r="F1137" t="str">
            <v>_</v>
          </cell>
        </row>
        <row r="1138">
          <cell r="F1138" t="str">
            <v>_</v>
          </cell>
        </row>
        <row r="1139">
          <cell r="F1139" t="str">
            <v>_</v>
          </cell>
        </row>
        <row r="1140">
          <cell r="F1140" t="str">
            <v>_</v>
          </cell>
        </row>
        <row r="1141">
          <cell r="F1141" t="str">
            <v>_</v>
          </cell>
        </row>
        <row r="1142">
          <cell r="F1142" t="str">
            <v>_</v>
          </cell>
        </row>
        <row r="1143">
          <cell r="F1143" t="str">
            <v>_</v>
          </cell>
        </row>
        <row r="1144">
          <cell r="F1144" t="str">
            <v>_</v>
          </cell>
        </row>
        <row r="1145">
          <cell r="F1145" t="str">
            <v>_</v>
          </cell>
        </row>
        <row r="1146">
          <cell r="F1146" t="str">
            <v>_</v>
          </cell>
        </row>
        <row r="1147">
          <cell r="F1147" t="str">
            <v>_</v>
          </cell>
        </row>
        <row r="1148">
          <cell r="F1148" t="str">
            <v>_</v>
          </cell>
        </row>
        <row r="1149">
          <cell r="F1149" t="str">
            <v>_</v>
          </cell>
        </row>
        <row r="1150">
          <cell r="F1150" t="str">
            <v>_</v>
          </cell>
        </row>
        <row r="1151">
          <cell r="F1151" t="str">
            <v>_</v>
          </cell>
        </row>
        <row r="1152">
          <cell r="F1152" t="str">
            <v>_</v>
          </cell>
        </row>
        <row r="1153">
          <cell r="F1153" t="str">
            <v>_</v>
          </cell>
        </row>
        <row r="1154">
          <cell r="F1154" t="str">
            <v>_</v>
          </cell>
        </row>
        <row r="1155">
          <cell r="F1155" t="str">
            <v>_</v>
          </cell>
        </row>
        <row r="1156">
          <cell r="F1156" t="str">
            <v>_</v>
          </cell>
        </row>
        <row r="1157">
          <cell r="F1157" t="str">
            <v>_</v>
          </cell>
        </row>
        <row r="1158">
          <cell r="F1158" t="str">
            <v>_</v>
          </cell>
        </row>
        <row r="1159">
          <cell r="F1159" t="str">
            <v>_</v>
          </cell>
        </row>
        <row r="1160">
          <cell r="F1160" t="str">
            <v>_</v>
          </cell>
        </row>
        <row r="1161">
          <cell r="F1161" t="str">
            <v>_</v>
          </cell>
        </row>
        <row r="1162">
          <cell r="F1162" t="str">
            <v>_</v>
          </cell>
        </row>
        <row r="1163">
          <cell r="F1163" t="str">
            <v>_</v>
          </cell>
        </row>
        <row r="1164">
          <cell r="F1164" t="str">
            <v>_</v>
          </cell>
        </row>
        <row r="1165">
          <cell r="F1165" t="str">
            <v>_</v>
          </cell>
        </row>
        <row r="1166">
          <cell r="F1166" t="str">
            <v>_</v>
          </cell>
        </row>
        <row r="1167">
          <cell r="F1167" t="str">
            <v>_</v>
          </cell>
        </row>
        <row r="1168">
          <cell r="F1168" t="str">
            <v>_</v>
          </cell>
        </row>
        <row r="1169">
          <cell r="F1169" t="str">
            <v>_</v>
          </cell>
        </row>
        <row r="1170">
          <cell r="F1170" t="str">
            <v>_</v>
          </cell>
        </row>
        <row r="1171">
          <cell r="F1171" t="str">
            <v>_</v>
          </cell>
        </row>
        <row r="1172">
          <cell r="F1172" t="str">
            <v>_</v>
          </cell>
        </row>
        <row r="1173">
          <cell r="F1173" t="str">
            <v>_</v>
          </cell>
        </row>
        <row r="1174">
          <cell r="F1174" t="str">
            <v>_</v>
          </cell>
        </row>
        <row r="1175">
          <cell r="F1175" t="str">
            <v>_</v>
          </cell>
        </row>
        <row r="1176">
          <cell r="F1176" t="str">
            <v>_</v>
          </cell>
        </row>
        <row r="1177">
          <cell r="F1177" t="str">
            <v>_</v>
          </cell>
        </row>
        <row r="1178">
          <cell r="F1178" t="str">
            <v>_</v>
          </cell>
        </row>
        <row r="1179">
          <cell r="F1179" t="str">
            <v>_</v>
          </cell>
        </row>
        <row r="1180">
          <cell r="F1180" t="str">
            <v>_</v>
          </cell>
        </row>
        <row r="1181">
          <cell r="F1181" t="str">
            <v>_</v>
          </cell>
        </row>
        <row r="1182">
          <cell r="F1182" t="str">
            <v>_</v>
          </cell>
        </row>
        <row r="1183">
          <cell r="F1183" t="str">
            <v>_</v>
          </cell>
        </row>
        <row r="1184">
          <cell r="F1184" t="str">
            <v>_</v>
          </cell>
        </row>
        <row r="1185">
          <cell r="F1185" t="str">
            <v>_</v>
          </cell>
        </row>
        <row r="1186">
          <cell r="F1186" t="str">
            <v>_</v>
          </cell>
        </row>
        <row r="1187">
          <cell r="F1187" t="str">
            <v>_</v>
          </cell>
        </row>
        <row r="1188">
          <cell r="F1188" t="str">
            <v>_</v>
          </cell>
        </row>
        <row r="1189">
          <cell r="F1189" t="str">
            <v>_</v>
          </cell>
        </row>
        <row r="1190">
          <cell r="F1190" t="str">
            <v>_</v>
          </cell>
        </row>
        <row r="1191">
          <cell r="F1191" t="str">
            <v>_</v>
          </cell>
        </row>
        <row r="1192">
          <cell r="F1192" t="str">
            <v>_</v>
          </cell>
        </row>
        <row r="1193">
          <cell r="F1193" t="str">
            <v>_</v>
          </cell>
        </row>
        <row r="1194">
          <cell r="F1194" t="str">
            <v>_</v>
          </cell>
        </row>
        <row r="1195">
          <cell r="F1195" t="str">
            <v>_</v>
          </cell>
        </row>
        <row r="1196">
          <cell r="F1196" t="str">
            <v>_</v>
          </cell>
        </row>
        <row r="1197">
          <cell r="F1197" t="str">
            <v>_</v>
          </cell>
        </row>
        <row r="1198">
          <cell r="F1198" t="str">
            <v>_</v>
          </cell>
        </row>
        <row r="1199">
          <cell r="F1199" t="str">
            <v>_</v>
          </cell>
        </row>
        <row r="1200">
          <cell r="F1200" t="str">
            <v>_</v>
          </cell>
        </row>
        <row r="1201">
          <cell r="F1201" t="str">
            <v>_</v>
          </cell>
        </row>
        <row r="1202">
          <cell r="F1202" t="str">
            <v>_</v>
          </cell>
        </row>
        <row r="1203">
          <cell r="F1203" t="str">
            <v>_</v>
          </cell>
        </row>
        <row r="1204">
          <cell r="F1204" t="str">
            <v>_</v>
          </cell>
        </row>
        <row r="1205">
          <cell r="F1205" t="str">
            <v>_</v>
          </cell>
        </row>
        <row r="1206">
          <cell r="F1206" t="str">
            <v>_</v>
          </cell>
        </row>
        <row r="1207">
          <cell r="F1207" t="str">
            <v>_</v>
          </cell>
        </row>
        <row r="1208">
          <cell r="F1208" t="str">
            <v>_</v>
          </cell>
        </row>
        <row r="1209">
          <cell r="F1209" t="str">
            <v>_</v>
          </cell>
        </row>
        <row r="1210">
          <cell r="F1210" t="str">
            <v>_</v>
          </cell>
        </row>
        <row r="1211">
          <cell r="F1211" t="str">
            <v>_</v>
          </cell>
        </row>
        <row r="1212">
          <cell r="F1212" t="str">
            <v>_</v>
          </cell>
        </row>
        <row r="1213">
          <cell r="F1213" t="str">
            <v>_</v>
          </cell>
        </row>
        <row r="1214">
          <cell r="F1214" t="str">
            <v>_</v>
          </cell>
        </row>
        <row r="1215">
          <cell r="F1215" t="str">
            <v>_</v>
          </cell>
        </row>
        <row r="1216">
          <cell r="F1216" t="str">
            <v>_</v>
          </cell>
        </row>
        <row r="1217">
          <cell r="F1217" t="str">
            <v>_</v>
          </cell>
        </row>
        <row r="1218">
          <cell r="F1218" t="str">
            <v>_</v>
          </cell>
        </row>
        <row r="1219">
          <cell r="F1219" t="str">
            <v>_</v>
          </cell>
        </row>
        <row r="1220">
          <cell r="F1220" t="str">
            <v>_</v>
          </cell>
        </row>
        <row r="1221">
          <cell r="F1221" t="str">
            <v>_</v>
          </cell>
        </row>
        <row r="1222">
          <cell r="F1222" t="str">
            <v>_</v>
          </cell>
        </row>
        <row r="1223">
          <cell r="F1223" t="str">
            <v>_</v>
          </cell>
        </row>
        <row r="1224">
          <cell r="F1224" t="str">
            <v>_</v>
          </cell>
        </row>
        <row r="1225">
          <cell r="F1225" t="str">
            <v>_</v>
          </cell>
        </row>
        <row r="1226">
          <cell r="F1226" t="str">
            <v>_</v>
          </cell>
        </row>
        <row r="1227">
          <cell r="F1227" t="str">
            <v>_</v>
          </cell>
        </row>
        <row r="1228">
          <cell r="F1228" t="str">
            <v>_</v>
          </cell>
        </row>
        <row r="1229">
          <cell r="F1229" t="str">
            <v>_</v>
          </cell>
        </row>
        <row r="1230">
          <cell r="F1230" t="str">
            <v>_</v>
          </cell>
        </row>
        <row r="1231">
          <cell r="F1231" t="str">
            <v>_</v>
          </cell>
        </row>
        <row r="1232">
          <cell r="F1232" t="str">
            <v>_</v>
          </cell>
        </row>
        <row r="1233">
          <cell r="F1233" t="str">
            <v>_</v>
          </cell>
        </row>
        <row r="1234">
          <cell r="F1234" t="str">
            <v>_</v>
          </cell>
        </row>
        <row r="1235">
          <cell r="F1235" t="str">
            <v>_</v>
          </cell>
        </row>
        <row r="1236">
          <cell r="F1236" t="str">
            <v>_</v>
          </cell>
        </row>
        <row r="1237">
          <cell r="F1237" t="str">
            <v>_</v>
          </cell>
        </row>
        <row r="1238">
          <cell r="F1238" t="str">
            <v>_</v>
          </cell>
        </row>
        <row r="1239">
          <cell r="F1239" t="str">
            <v>_</v>
          </cell>
        </row>
        <row r="1240">
          <cell r="F1240" t="str">
            <v>_</v>
          </cell>
        </row>
        <row r="1241">
          <cell r="F1241" t="str">
            <v>_</v>
          </cell>
        </row>
        <row r="1242">
          <cell r="F1242" t="str">
            <v>_</v>
          </cell>
        </row>
        <row r="1243">
          <cell r="F1243" t="str">
            <v>_</v>
          </cell>
        </row>
        <row r="1244">
          <cell r="F1244" t="str">
            <v>_</v>
          </cell>
        </row>
        <row r="1245">
          <cell r="F1245" t="str">
            <v>_</v>
          </cell>
        </row>
        <row r="1246">
          <cell r="F1246" t="str">
            <v>_</v>
          </cell>
        </row>
        <row r="1247">
          <cell r="F1247" t="str">
            <v>_</v>
          </cell>
        </row>
        <row r="1248">
          <cell r="F1248" t="str">
            <v>_</v>
          </cell>
        </row>
        <row r="1249">
          <cell r="F1249" t="str">
            <v>_</v>
          </cell>
        </row>
        <row r="1250">
          <cell r="F1250" t="str">
            <v>_</v>
          </cell>
        </row>
        <row r="1251">
          <cell r="F1251" t="str">
            <v>_</v>
          </cell>
        </row>
        <row r="1252">
          <cell r="F1252" t="str">
            <v>_</v>
          </cell>
        </row>
        <row r="1253">
          <cell r="F1253" t="str">
            <v>_</v>
          </cell>
        </row>
        <row r="1254">
          <cell r="F1254" t="str">
            <v>_</v>
          </cell>
        </row>
        <row r="1255">
          <cell r="F1255" t="str">
            <v>_</v>
          </cell>
        </row>
        <row r="1256">
          <cell r="F1256" t="str">
            <v>_</v>
          </cell>
        </row>
        <row r="1257">
          <cell r="F1257" t="str">
            <v>_</v>
          </cell>
        </row>
        <row r="1258">
          <cell r="F1258" t="str">
            <v>_</v>
          </cell>
        </row>
        <row r="1259">
          <cell r="F1259" t="str">
            <v>_</v>
          </cell>
        </row>
        <row r="1260">
          <cell r="F1260" t="str">
            <v>_</v>
          </cell>
        </row>
        <row r="1261">
          <cell r="F1261" t="str">
            <v>_</v>
          </cell>
        </row>
        <row r="1262">
          <cell r="F1262" t="str">
            <v>_</v>
          </cell>
        </row>
        <row r="1263">
          <cell r="F1263" t="str">
            <v>_</v>
          </cell>
        </row>
        <row r="1264">
          <cell r="F1264" t="str">
            <v>_</v>
          </cell>
        </row>
        <row r="1265">
          <cell r="F1265" t="str">
            <v>_</v>
          </cell>
        </row>
        <row r="1266">
          <cell r="F1266" t="str">
            <v>_</v>
          </cell>
        </row>
        <row r="1267">
          <cell r="F1267" t="str">
            <v>_</v>
          </cell>
        </row>
        <row r="1268">
          <cell r="F1268" t="str">
            <v>_</v>
          </cell>
        </row>
        <row r="1269">
          <cell r="F1269" t="str">
            <v>_</v>
          </cell>
        </row>
        <row r="1270">
          <cell r="F1270" t="str">
            <v>_</v>
          </cell>
        </row>
        <row r="1271">
          <cell r="F1271" t="str">
            <v>_</v>
          </cell>
        </row>
        <row r="1272">
          <cell r="F1272" t="str">
            <v>_</v>
          </cell>
        </row>
        <row r="1273">
          <cell r="F1273" t="str">
            <v>_</v>
          </cell>
        </row>
        <row r="1274">
          <cell r="F1274" t="str">
            <v>_</v>
          </cell>
        </row>
        <row r="1275">
          <cell r="F1275" t="str">
            <v>_</v>
          </cell>
        </row>
        <row r="1276">
          <cell r="F1276" t="str">
            <v>_</v>
          </cell>
        </row>
        <row r="1277">
          <cell r="F1277" t="str">
            <v>_</v>
          </cell>
        </row>
        <row r="1278">
          <cell r="F1278" t="str">
            <v>_</v>
          </cell>
        </row>
        <row r="1279">
          <cell r="F1279" t="str">
            <v>_</v>
          </cell>
        </row>
        <row r="1280">
          <cell r="F1280" t="str">
            <v>_</v>
          </cell>
        </row>
        <row r="1281">
          <cell r="F1281" t="str">
            <v>_</v>
          </cell>
        </row>
        <row r="1282">
          <cell r="F1282" t="str">
            <v>_</v>
          </cell>
        </row>
        <row r="1283">
          <cell r="F1283" t="str">
            <v>_</v>
          </cell>
        </row>
        <row r="1284">
          <cell r="F1284" t="str">
            <v>_</v>
          </cell>
        </row>
        <row r="1285">
          <cell r="F1285" t="str">
            <v>_</v>
          </cell>
        </row>
        <row r="1286">
          <cell r="F1286" t="str">
            <v>_</v>
          </cell>
        </row>
        <row r="1287">
          <cell r="F1287" t="str">
            <v>_</v>
          </cell>
        </row>
        <row r="1288">
          <cell r="F1288" t="str">
            <v>_</v>
          </cell>
        </row>
        <row r="1289">
          <cell r="F1289" t="str">
            <v>_</v>
          </cell>
        </row>
        <row r="1290">
          <cell r="F1290" t="str">
            <v>_</v>
          </cell>
        </row>
        <row r="1291">
          <cell r="F1291" t="str">
            <v>_</v>
          </cell>
        </row>
        <row r="1292">
          <cell r="F1292" t="str">
            <v>_</v>
          </cell>
        </row>
        <row r="1293">
          <cell r="F1293" t="str">
            <v>_</v>
          </cell>
        </row>
        <row r="1294">
          <cell r="F1294" t="str">
            <v>_</v>
          </cell>
        </row>
        <row r="1295">
          <cell r="F1295" t="str">
            <v>_</v>
          </cell>
        </row>
        <row r="1296">
          <cell r="F1296" t="str">
            <v>_</v>
          </cell>
        </row>
        <row r="1297">
          <cell r="F1297" t="str">
            <v>_</v>
          </cell>
        </row>
        <row r="1298">
          <cell r="F1298" t="str">
            <v>_</v>
          </cell>
        </row>
        <row r="1299">
          <cell r="F1299" t="str">
            <v>_</v>
          </cell>
        </row>
        <row r="1300">
          <cell r="F1300" t="str">
            <v>_</v>
          </cell>
        </row>
        <row r="1301">
          <cell r="F1301" t="str">
            <v>_</v>
          </cell>
        </row>
        <row r="1302">
          <cell r="F1302" t="str">
            <v>_</v>
          </cell>
        </row>
        <row r="1303">
          <cell r="F1303" t="str">
            <v>_</v>
          </cell>
        </row>
        <row r="1304">
          <cell r="F1304" t="str">
            <v>_</v>
          </cell>
        </row>
        <row r="1305">
          <cell r="F1305" t="str">
            <v>_</v>
          </cell>
        </row>
        <row r="1306">
          <cell r="F1306" t="str">
            <v>_</v>
          </cell>
        </row>
        <row r="1307">
          <cell r="F1307" t="str">
            <v>_</v>
          </cell>
        </row>
        <row r="1308">
          <cell r="F1308" t="str">
            <v>_</v>
          </cell>
        </row>
        <row r="1309">
          <cell r="F1309" t="str">
            <v>_</v>
          </cell>
        </row>
        <row r="1310">
          <cell r="F1310" t="str">
            <v>_</v>
          </cell>
        </row>
        <row r="1311">
          <cell r="F1311" t="str">
            <v>_</v>
          </cell>
        </row>
        <row r="1312">
          <cell r="F1312" t="str">
            <v>_</v>
          </cell>
        </row>
        <row r="1313">
          <cell r="F1313" t="str">
            <v>_</v>
          </cell>
        </row>
        <row r="1314">
          <cell r="F1314" t="str">
            <v>_</v>
          </cell>
        </row>
        <row r="1315">
          <cell r="F1315" t="str">
            <v>_</v>
          </cell>
        </row>
        <row r="1316">
          <cell r="F1316" t="str">
            <v>_</v>
          </cell>
        </row>
        <row r="1317">
          <cell r="F1317" t="str">
            <v>_</v>
          </cell>
        </row>
        <row r="1318">
          <cell r="F1318" t="str">
            <v>_</v>
          </cell>
        </row>
        <row r="1319">
          <cell r="F1319" t="str">
            <v>_</v>
          </cell>
        </row>
        <row r="1320">
          <cell r="F1320" t="str">
            <v>_</v>
          </cell>
        </row>
        <row r="1321">
          <cell r="F1321" t="str">
            <v>_</v>
          </cell>
        </row>
        <row r="1322">
          <cell r="F1322" t="str">
            <v>_</v>
          </cell>
        </row>
        <row r="1323">
          <cell r="F1323" t="str">
            <v>_</v>
          </cell>
        </row>
        <row r="1324">
          <cell r="F1324" t="str">
            <v>_</v>
          </cell>
        </row>
        <row r="1325">
          <cell r="F1325" t="str">
            <v>_</v>
          </cell>
        </row>
        <row r="1326">
          <cell r="F1326" t="str">
            <v>_</v>
          </cell>
        </row>
        <row r="1327">
          <cell r="F1327" t="str">
            <v>_</v>
          </cell>
        </row>
        <row r="1328">
          <cell r="F1328" t="str">
            <v>_</v>
          </cell>
        </row>
        <row r="1329">
          <cell r="F1329" t="str">
            <v>_</v>
          </cell>
        </row>
        <row r="1330">
          <cell r="F1330" t="str">
            <v>_</v>
          </cell>
        </row>
        <row r="1331">
          <cell r="F1331" t="str">
            <v>_</v>
          </cell>
        </row>
        <row r="1332">
          <cell r="F1332" t="str">
            <v>_</v>
          </cell>
        </row>
        <row r="1333">
          <cell r="F1333" t="str">
            <v>_</v>
          </cell>
        </row>
        <row r="1334">
          <cell r="F1334" t="str">
            <v>_</v>
          </cell>
        </row>
        <row r="1335">
          <cell r="F1335" t="str">
            <v>_</v>
          </cell>
        </row>
        <row r="1336">
          <cell r="F1336" t="str">
            <v>_</v>
          </cell>
        </row>
        <row r="1337">
          <cell r="F1337" t="str">
            <v>_</v>
          </cell>
        </row>
        <row r="1338">
          <cell r="F1338" t="str">
            <v>_</v>
          </cell>
        </row>
        <row r="1339">
          <cell r="F1339" t="str">
            <v>_</v>
          </cell>
        </row>
        <row r="1340">
          <cell r="F1340" t="str">
            <v>_</v>
          </cell>
        </row>
        <row r="1341">
          <cell r="F1341" t="str">
            <v>_</v>
          </cell>
        </row>
        <row r="1342">
          <cell r="F1342" t="str">
            <v>_</v>
          </cell>
        </row>
        <row r="1343">
          <cell r="F1343" t="str">
            <v>_</v>
          </cell>
        </row>
        <row r="1344">
          <cell r="F1344" t="str">
            <v>_</v>
          </cell>
        </row>
        <row r="1345">
          <cell r="F1345" t="str">
            <v>_</v>
          </cell>
        </row>
        <row r="1346">
          <cell r="F1346" t="str">
            <v>_</v>
          </cell>
        </row>
        <row r="1347">
          <cell r="F1347" t="str">
            <v>_</v>
          </cell>
        </row>
        <row r="1348">
          <cell r="F1348" t="str">
            <v>_</v>
          </cell>
        </row>
        <row r="1349">
          <cell r="F1349" t="str">
            <v>_</v>
          </cell>
        </row>
        <row r="1350">
          <cell r="F1350" t="str">
            <v>_</v>
          </cell>
        </row>
        <row r="1351">
          <cell r="F1351" t="str">
            <v>_</v>
          </cell>
        </row>
        <row r="1352">
          <cell r="F1352" t="str">
            <v>_</v>
          </cell>
        </row>
        <row r="1353">
          <cell r="F1353" t="str">
            <v>_</v>
          </cell>
        </row>
        <row r="1354">
          <cell r="F1354" t="str">
            <v>_</v>
          </cell>
        </row>
        <row r="1355">
          <cell r="F1355" t="str">
            <v>_</v>
          </cell>
        </row>
        <row r="1356">
          <cell r="F1356" t="str">
            <v>_</v>
          </cell>
        </row>
        <row r="1357">
          <cell r="F1357" t="str">
            <v>_</v>
          </cell>
        </row>
        <row r="1358">
          <cell r="F1358" t="str">
            <v>_</v>
          </cell>
        </row>
        <row r="1359">
          <cell r="F1359" t="str">
            <v>_</v>
          </cell>
        </row>
        <row r="1360">
          <cell r="F1360" t="str">
            <v>_</v>
          </cell>
        </row>
        <row r="1361">
          <cell r="F1361" t="str">
            <v>_</v>
          </cell>
        </row>
        <row r="1362">
          <cell r="F1362" t="str">
            <v>_</v>
          </cell>
        </row>
      </sheetData>
      <sheetData sheetId="5"/>
      <sheetData sheetId="6"/>
      <sheetData sheetId="7"/>
      <sheetData sheetId="8"/>
      <sheetData sheetId="9">
        <row r="7">
          <cell r="B7" t="str">
            <v>Plano com SC1 -&gt; Cenário em que são efetuados todos os campos de GD</v>
          </cell>
        </row>
        <row r="9">
          <cell r="F9">
            <v>543.00000000000023</v>
          </cell>
        </row>
        <row r="10">
          <cell r="B10" t="str">
            <v>Âmbito</v>
          </cell>
          <cell r="C10" t="str">
            <v>Campo</v>
          </cell>
          <cell r="D10" t="str">
            <v>Origem</v>
          </cell>
          <cell r="E10" t="str">
            <v>Status</v>
          </cell>
          <cell r="F10" t="str">
            <v>Total Horas</v>
          </cell>
        </row>
        <row r="11">
          <cell r="B11" t="str">
            <v>GD</v>
          </cell>
          <cell r="C11" t="str">
            <v xml:space="preserve">Testes ao Universo </v>
          </cell>
          <cell r="D11" t="str">
            <v>-</v>
          </cell>
          <cell r="E11" t="str">
            <v>2. Em Teste</v>
          </cell>
          <cell r="F11">
            <v>16</v>
          </cell>
        </row>
        <row r="12">
          <cell r="A12" t="str">
            <v>INSTRUMENT_COD_SOC</v>
          </cell>
          <cell r="B12" t="str">
            <v>GD</v>
          </cell>
          <cell r="C12" t="str">
            <v>COD_SOC</v>
          </cell>
          <cell r="D12" t="str">
            <v>INSTRUMENT</v>
          </cell>
          <cell r="E12" t="str">
            <v>1. Concluído</v>
          </cell>
          <cell r="F12">
            <v>2</v>
          </cell>
        </row>
        <row r="13">
          <cell r="A13" t="str">
            <v>INSTRUMENT_SUBPORTFOLIO_ID</v>
          </cell>
          <cell r="B13" t="str">
            <v>GD</v>
          </cell>
          <cell r="C13" t="str">
            <v>SUBPORTFOLIO_ID</v>
          </cell>
          <cell r="D13" t="str">
            <v>INSTRUMENT</v>
          </cell>
          <cell r="E13" t="str">
            <v>1. Concluído</v>
          </cell>
          <cell r="F13">
            <v>2</v>
          </cell>
        </row>
        <row r="14">
          <cell r="A14" t="str">
            <v>INSTRUMENT_DT_RFRNC</v>
          </cell>
          <cell r="B14" t="str">
            <v>GD</v>
          </cell>
          <cell r="C14" t="str">
            <v>DT_RFRNC</v>
          </cell>
          <cell r="D14" t="str">
            <v>INSTRUMENT</v>
          </cell>
          <cell r="E14" t="str">
            <v>1. Concluído</v>
          </cell>
          <cell r="F14">
            <v>2</v>
          </cell>
        </row>
        <row r="15">
          <cell r="A15" t="str">
            <v>INSTRUMENT_INSTRMNT_ID</v>
          </cell>
          <cell r="B15" t="str">
            <v>GD</v>
          </cell>
          <cell r="C15" t="str">
            <v>INSTRMNT_ID</v>
          </cell>
          <cell r="D15" t="str">
            <v>INSTRUMENT</v>
          </cell>
          <cell r="E15" t="str">
            <v>2. Em Teste</v>
          </cell>
          <cell r="F15">
            <v>25.200000000000003</v>
          </cell>
        </row>
        <row r="16">
          <cell r="A16" t="str">
            <v>INSTRUMENT_DFLT_STTS_INSTRMNT</v>
          </cell>
          <cell r="B16" t="str">
            <v>GD</v>
          </cell>
          <cell r="C16" t="str">
            <v>DFLT_STTS_INSTRMNT</v>
          </cell>
          <cell r="D16" t="str">
            <v>INSTRUMENT</v>
          </cell>
          <cell r="E16" t="str">
            <v>1. Concluído</v>
          </cell>
          <cell r="F16">
            <v>2</v>
          </cell>
        </row>
        <row r="17">
          <cell r="A17" t="str">
            <v>INSTRUMENT_IMPRMNT_STTS</v>
          </cell>
          <cell r="B17" t="str">
            <v>GD</v>
          </cell>
          <cell r="C17" t="str">
            <v>IMPRMNT_STTS</v>
          </cell>
          <cell r="D17" t="str">
            <v>INSTRUMENT</v>
          </cell>
          <cell r="E17" t="str">
            <v>1. Concluído</v>
          </cell>
          <cell r="F17">
            <v>2</v>
          </cell>
        </row>
        <row r="18">
          <cell r="A18" t="str">
            <v>INSTRUMENT_PRFRMNG_STTS</v>
          </cell>
          <cell r="B18" t="str">
            <v>GD</v>
          </cell>
          <cell r="C18" t="str">
            <v>PRFRMNG_STTS</v>
          </cell>
          <cell r="D18" t="str">
            <v>INSTRUMENT</v>
          </cell>
          <cell r="E18" t="str">
            <v>1. Concluído</v>
          </cell>
          <cell r="F18">
            <v>2</v>
          </cell>
        </row>
        <row r="19">
          <cell r="A19" t="str">
            <v>INSTRUMENT_TYP_INSTRMNT</v>
          </cell>
          <cell r="B19" t="str">
            <v>GD</v>
          </cell>
          <cell r="C19" t="str">
            <v>TYP_INSTRMNT</v>
          </cell>
          <cell r="D19" t="str">
            <v>INSTRUMENT</v>
          </cell>
          <cell r="E19" t="str">
            <v>1. Concluído</v>
          </cell>
          <cell r="F19">
            <v>2</v>
          </cell>
        </row>
        <row r="20">
          <cell r="A20" t="str">
            <v>INSTRUMENT_GRSS_CRRYNG_AMNT_INSTRMNT</v>
          </cell>
          <cell r="B20" t="str">
            <v>GD</v>
          </cell>
          <cell r="C20" t="str">
            <v>GRSS_CRRYNG_AMNT_INSTRMNT</v>
          </cell>
          <cell r="D20" t="str">
            <v>INSTRUMENT</v>
          </cell>
          <cell r="E20" t="str">
            <v>1. Concluído</v>
          </cell>
          <cell r="F20">
            <v>2</v>
          </cell>
        </row>
        <row r="21">
          <cell r="A21" t="str">
            <v>INSTRUMENT_ACCMLTD_CHNGS_FV_CR_INSTRMNT</v>
          </cell>
          <cell r="B21" t="str">
            <v>GD</v>
          </cell>
          <cell r="C21" t="str">
            <v>ACCMLTD_CHNGS_FV_CR_INSTRMNT</v>
          </cell>
          <cell r="D21" t="str">
            <v>INSTRUMENT</v>
          </cell>
          <cell r="E21" t="str">
            <v>1. Concluído</v>
          </cell>
          <cell r="F21">
            <v>2</v>
          </cell>
        </row>
        <row r="22">
          <cell r="A22" t="str">
            <v>INSTRUMENT_ACCNTNG_CLSSFCTN</v>
          </cell>
          <cell r="B22" t="str">
            <v>GD</v>
          </cell>
          <cell r="C22" t="str">
            <v>ACCNTNG_CLSSFCTN</v>
          </cell>
          <cell r="D22" t="str">
            <v>INSTRUMENT</v>
          </cell>
          <cell r="E22" t="str">
            <v>1. Concluído</v>
          </cell>
          <cell r="F22">
            <v>2</v>
          </cell>
        </row>
        <row r="23">
          <cell r="A23" t="str">
            <v>INSTRUMENT_CCF</v>
          </cell>
          <cell r="B23" t="str">
            <v>GD</v>
          </cell>
          <cell r="C23" t="str">
            <v>CCF</v>
          </cell>
          <cell r="D23" t="str">
            <v>INSTRUMENT</v>
          </cell>
          <cell r="E23" t="str">
            <v>6. Por iniciar</v>
          </cell>
          <cell r="F23">
            <v>2</v>
          </cell>
        </row>
        <row r="24">
          <cell r="A24" t="str">
            <v>INSTRUMENT_EAD</v>
          </cell>
          <cell r="B24" t="str">
            <v>GD</v>
          </cell>
          <cell r="C24" t="str">
            <v>EAD</v>
          </cell>
          <cell r="D24" t="str">
            <v>INSTRUMENT</v>
          </cell>
          <cell r="E24" t="str">
            <v>6. Por iniciar</v>
          </cell>
          <cell r="F24">
            <v>2</v>
          </cell>
        </row>
        <row r="25">
          <cell r="A25" t="str">
            <v>INSTRUMENT_OFF_BLNC_SHT_AMNT_INSTRMNT</v>
          </cell>
          <cell r="B25" t="str">
            <v>GD</v>
          </cell>
          <cell r="C25" t="str">
            <v>OFF_BLNC_SHT_AMNT_INSTRMNT</v>
          </cell>
          <cell r="D25" t="str">
            <v>INSTRUMENT</v>
          </cell>
          <cell r="E25" t="str">
            <v>1. Concluído</v>
          </cell>
          <cell r="F25">
            <v>2</v>
          </cell>
        </row>
        <row r="26">
          <cell r="A26" t="str">
            <v>INSTRUMENT_PRVSNS_OFF_BLNC_SHT</v>
          </cell>
          <cell r="B26" t="str">
            <v>GD</v>
          </cell>
          <cell r="C26" t="str">
            <v>PRVSNS_OFF_BLNC_SHT</v>
          </cell>
          <cell r="D26" t="str">
            <v>INSTRUMENT</v>
          </cell>
          <cell r="E26" t="str">
            <v>1. Concluído</v>
          </cell>
          <cell r="F26">
            <v>2</v>
          </cell>
        </row>
        <row r="27">
          <cell r="A27" t="str">
            <v>INSTRUMENT_RWA</v>
          </cell>
          <cell r="B27" t="str">
            <v>GD</v>
          </cell>
          <cell r="C27" t="str">
            <v>RWA</v>
          </cell>
          <cell r="D27" t="str">
            <v>INSTRUMENT</v>
          </cell>
          <cell r="E27" t="str">
            <v>1. Concluído</v>
          </cell>
          <cell r="F27">
            <v>2</v>
          </cell>
        </row>
        <row r="28">
          <cell r="A28" t="str">
            <v>INSTRUMENT_ACCMLTD_IMPRMNT_INSTRMNT</v>
          </cell>
          <cell r="B28" t="str">
            <v>GD</v>
          </cell>
          <cell r="C28" t="str">
            <v>ACCMLTD_IMPRMNT_INSTRMNT</v>
          </cell>
          <cell r="D28" t="str">
            <v>INSTRUMENT</v>
          </cell>
          <cell r="E28" t="str">
            <v>1. Concluído</v>
          </cell>
          <cell r="F28">
            <v>2</v>
          </cell>
        </row>
        <row r="29">
          <cell r="A29" t="str">
            <v>INSTRUMENT_COD_SOC_INTRGRP</v>
          </cell>
          <cell r="B29" t="str">
            <v>GD</v>
          </cell>
          <cell r="C29" t="str">
            <v>COD_SOC_INTRGRP</v>
          </cell>
          <cell r="D29" t="str">
            <v>INSTRUMENT</v>
          </cell>
          <cell r="E29" t="str">
            <v>1. Concluído</v>
          </cell>
          <cell r="F29">
            <v>2</v>
          </cell>
        </row>
        <row r="30">
          <cell r="A30" t="str">
            <v>INSTRUMENT_LCL_INSTMRNT_ID</v>
          </cell>
          <cell r="B30" t="str">
            <v>GD</v>
          </cell>
          <cell r="C30" t="str">
            <v>LCL_INSTMRNT_ID</v>
          </cell>
          <cell r="D30" t="str">
            <v>INSTRUMENT</v>
          </cell>
          <cell r="E30" t="str">
            <v>1. Concluído</v>
          </cell>
          <cell r="F30">
            <v>2</v>
          </cell>
        </row>
        <row r="31">
          <cell r="A31" t="str">
            <v>INSTRUMENT_AVRG_BLNC</v>
          </cell>
          <cell r="B31" t="str">
            <v>GD</v>
          </cell>
          <cell r="C31" t="str">
            <v>AVRG_BLNC</v>
          </cell>
          <cell r="D31" t="str">
            <v>INSTRUMENT</v>
          </cell>
          <cell r="E31" t="str">
            <v>2. Em Teste</v>
          </cell>
          <cell r="F31">
            <v>9.1</v>
          </cell>
        </row>
        <row r="32">
          <cell r="A32" t="str">
            <v>INSTRUMENT_NW_BSNSS</v>
          </cell>
          <cell r="B32" t="str">
            <v>GD</v>
          </cell>
          <cell r="C32" t="str">
            <v>NW_BSNSS</v>
          </cell>
          <cell r="D32" t="str">
            <v>INSTRUMENT</v>
          </cell>
          <cell r="E32" t="str">
            <v>2. Em Teste</v>
          </cell>
          <cell r="F32">
            <v>10.1</v>
          </cell>
        </row>
        <row r="33">
          <cell r="A33" t="str">
            <v>INSTRUMENT_GRSS_INTRST_INCM</v>
          </cell>
          <cell r="B33" t="str">
            <v>GD</v>
          </cell>
          <cell r="C33" t="str">
            <v>GRSS_INTRST_INCM</v>
          </cell>
          <cell r="D33" t="str">
            <v>INSTRUMENT</v>
          </cell>
          <cell r="E33" t="str">
            <v>2. Em Teste</v>
          </cell>
          <cell r="F33">
            <v>18.100000000000001</v>
          </cell>
        </row>
        <row r="34">
          <cell r="A34" t="str">
            <v>INSTRUMENT_GRSS_CMMSSN_INCM</v>
          </cell>
          <cell r="B34" t="str">
            <v>GD</v>
          </cell>
          <cell r="C34" t="str">
            <v>GRSS_CMMSSN_INCM</v>
          </cell>
          <cell r="D34" t="str">
            <v>INSTRUMENT</v>
          </cell>
          <cell r="E34" t="str">
            <v>2. Em Teste</v>
          </cell>
          <cell r="F34">
            <v>18.100000000000001</v>
          </cell>
        </row>
        <row r="35">
          <cell r="A35" t="str">
            <v>INSTRUMENT_INTRNL_TRNSFR_RT</v>
          </cell>
          <cell r="B35" t="str">
            <v>GD</v>
          </cell>
          <cell r="C35" t="str">
            <v>INTRNL_TRNSFR_RT</v>
          </cell>
          <cell r="D35" t="str">
            <v>INSTRUMENT</v>
          </cell>
          <cell r="E35" t="str">
            <v>2. Em Teste</v>
          </cell>
          <cell r="F35">
            <v>18.100000000000001</v>
          </cell>
        </row>
        <row r="36">
          <cell r="A36" t="str">
            <v>INSTRUMENT_NT_LN_LSS_PRVSN</v>
          </cell>
          <cell r="B36" t="str">
            <v>GD</v>
          </cell>
          <cell r="C36" t="str">
            <v>NT_LN_LSS_PRVSN</v>
          </cell>
          <cell r="D36" t="str">
            <v>INSTRUMENT</v>
          </cell>
          <cell r="E36" t="str">
            <v>2. Em Teste</v>
          </cell>
          <cell r="F36">
            <v>9.1</v>
          </cell>
        </row>
        <row r="37">
          <cell r="A37" t="str">
            <v>INSTRUMENT_BSNSS_AREA</v>
          </cell>
          <cell r="B37" t="str">
            <v>GD</v>
          </cell>
          <cell r="C37" t="str">
            <v>BSNSS_AREA</v>
          </cell>
          <cell r="D37" t="str">
            <v>INSTRUMENT</v>
          </cell>
          <cell r="E37" t="str">
            <v>2. Em Teste</v>
          </cell>
          <cell r="F37">
            <v>18.100000000000001</v>
          </cell>
        </row>
        <row r="38">
          <cell r="A38" t="str">
            <v>INSTRUMENT_MNGMNT_PRDCT</v>
          </cell>
          <cell r="B38" t="str">
            <v>GD</v>
          </cell>
          <cell r="C38" t="str">
            <v>MNGMNT_PRDCT</v>
          </cell>
          <cell r="D38" t="str">
            <v>INSTRUMENT</v>
          </cell>
          <cell r="E38" t="str">
            <v>2. Em Teste</v>
          </cell>
          <cell r="F38">
            <v>10.1</v>
          </cell>
        </row>
        <row r="39">
          <cell r="A39" t="str">
            <v>INSTRUMENT_GRSS_CMMSSN_EXPNS</v>
          </cell>
          <cell r="B39" t="str">
            <v>GD</v>
          </cell>
          <cell r="C39" t="str">
            <v>GRSS_CMMSSN_EXPNS</v>
          </cell>
          <cell r="D39" t="str">
            <v>INSTRUMENT</v>
          </cell>
          <cell r="E39" t="str">
            <v>2. Em Teste</v>
          </cell>
          <cell r="F39">
            <v>18.100000000000001</v>
          </cell>
        </row>
        <row r="40">
          <cell r="A40" t="str">
            <v>INSTRUMENT_GNS_FNNCL_TRNSCTN_EXCHNG_DFFRNCS</v>
          </cell>
          <cell r="B40" t="str">
            <v>GD</v>
          </cell>
          <cell r="C40" t="str">
            <v>GNS_FNNCL_TRNSCTN_EXCHNG_DFFRNCS</v>
          </cell>
          <cell r="D40" t="str">
            <v>INSTRUMENT</v>
          </cell>
          <cell r="E40" t="str">
            <v>2. Em Teste</v>
          </cell>
          <cell r="F40">
            <v>18.100000000000001</v>
          </cell>
        </row>
        <row r="41">
          <cell r="A41" t="str">
            <v>INSTRUMENT_FLG_INTRBSNSS</v>
          </cell>
          <cell r="B41" t="str">
            <v>GD</v>
          </cell>
          <cell r="C41" t="str">
            <v>FLG_INTRBSNSS</v>
          </cell>
          <cell r="D41" t="str">
            <v>INSTRUMENT</v>
          </cell>
          <cell r="E41" t="str">
            <v>1. Concluído</v>
          </cell>
          <cell r="F41">
            <v>2</v>
          </cell>
        </row>
        <row r="42">
          <cell r="A42" t="str">
            <v>INSTRUMENT_INTRBSNSS_ADJ_COD</v>
          </cell>
          <cell r="B42" t="str">
            <v>GD</v>
          </cell>
          <cell r="C42" t="str">
            <v>INTRBSNSS_ADJ_COD</v>
          </cell>
          <cell r="D42" t="str">
            <v>INSTRUMENT</v>
          </cell>
          <cell r="E42" t="str">
            <v>1. Concluído</v>
          </cell>
          <cell r="F42">
            <v>2</v>
          </cell>
        </row>
        <row r="43">
          <cell r="A43" t="str">
            <v>INSTRUMENT_COD_SOC_DSTNTN</v>
          </cell>
          <cell r="B43" t="str">
            <v>GD</v>
          </cell>
          <cell r="C43" t="str">
            <v>COD_SOC_DSTNTN</v>
          </cell>
          <cell r="D43" t="str">
            <v>INSTRUMENT</v>
          </cell>
          <cell r="E43" t="str">
            <v>1. Concluído</v>
          </cell>
          <cell r="F43">
            <v>2</v>
          </cell>
        </row>
        <row r="44">
          <cell r="A44" t="str">
            <v>INSTRUMENT_BSNSS_AREA_DSTNTN</v>
          </cell>
          <cell r="B44" t="str">
            <v>GD</v>
          </cell>
          <cell r="C44" t="str">
            <v>BSNSS_AREA_DSTNTN</v>
          </cell>
          <cell r="D44" t="str">
            <v>INSTRUMENT</v>
          </cell>
          <cell r="E44" t="str">
            <v>1. Concluído</v>
          </cell>
          <cell r="F44">
            <v>2</v>
          </cell>
        </row>
        <row r="45">
          <cell r="A45" t="str">
            <v>INSTRUMENT_AVRG_BLNC_OFF_BLNC</v>
          </cell>
          <cell r="B45" t="str">
            <v>GD</v>
          </cell>
          <cell r="C45" t="str">
            <v>AVRG_BLNC_OFF_BLNC</v>
          </cell>
          <cell r="D45" t="str">
            <v>INSTRUMENT</v>
          </cell>
          <cell r="E45" t="str">
            <v>2. Em Teste</v>
          </cell>
          <cell r="F45">
            <v>9.1</v>
          </cell>
        </row>
        <row r="46">
          <cell r="A46" t="str">
            <v>INSTRUMENT_INTRNL_TRNSFR_RT_OFF_BLNC</v>
          </cell>
          <cell r="B46" t="str">
            <v>GD</v>
          </cell>
          <cell r="C46" t="str">
            <v>INTRNL_TRNSFR_RT_OFF_BLNC</v>
          </cell>
          <cell r="D46" t="str">
            <v>INSTRUMENT</v>
          </cell>
          <cell r="E46" t="str">
            <v>1. Concluído</v>
          </cell>
          <cell r="F46">
            <v>2</v>
          </cell>
        </row>
        <row r="47">
          <cell r="A47" t="str">
            <v>INSTRUMENT_GRSS_CMMSSN_INCM_OFF_BLNC</v>
          </cell>
          <cell r="B47" t="str">
            <v>GD</v>
          </cell>
          <cell r="C47" t="str">
            <v>GRSS_CMMSSN_INCM_OFF_BLNC</v>
          </cell>
          <cell r="D47" t="str">
            <v>INSTRUMENT</v>
          </cell>
          <cell r="E47" t="str">
            <v>2. Em Teste</v>
          </cell>
          <cell r="F47">
            <v>18.100000000000001</v>
          </cell>
        </row>
        <row r="48">
          <cell r="A48" t="str">
            <v>INSTRUMENT_GRSS_CMMSSN_EXPNS_OFF_BLNC</v>
          </cell>
          <cell r="B48" t="str">
            <v>GD</v>
          </cell>
          <cell r="C48" t="str">
            <v>GRSS_CMMSSN_EXPNS_OFF_BLNC</v>
          </cell>
          <cell r="D48" t="str">
            <v>INSTRUMENT</v>
          </cell>
          <cell r="E48" t="str">
            <v>2. Em Teste</v>
          </cell>
          <cell r="F48">
            <v>18.100000000000001</v>
          </cell>
        </row>
        <row r="49">
          <cell r="A49" t="str">
            <v>INSTRUMENT_RWA_OFF_BLNC</v>
          </cell>
          <cell r="B49" t="str">
            <v>GD</v>
          </cell>
          <cell r="C49" t="str">
            <v>RWA_OFF_BLNC</v>
          </cell>
          <cell r="D49" t="str">
            <v>INSTRUMENT</v>
          </cell>
          <cell r="E49" t="str">
            <v>1. Concluído</v>
          </cell>
          <cell r="F49">
            <v>2</v>
          </cell>
        </row>
        <row r="50">
          <cell r="A50" t="str">
            <v>INSTRUMENT_GRSS_INTRST_EXPNS</v>
          </cell>
          <cell r="B50" t="str">
            <v>GD</v>
          </cell>
          <cell r="C50" t="str">
            <v>GRSS_INTRST_EXPNS</v>
          </cell>
          <cell r="D50" t="str">
            <v>INSTRUMENT</v>
          </cell>
          <cell r="E50" t="str">
            <v>2. Em Teste</v>
          </cell>
          <cell r="F50">
            <v>18.100000000000001</v>
          </cell>
        </row>
        <row r="51">
          <cell r="A51" t="str">
            <v>INSTRUMENT_NT_LN_LSS_PRVSN_OFF_BLNC</v>
          </cell>
          <cell r="B51" t="str">
            <v>GD</v>
          </cell>
          <cell r="C51" t="str">
            <v>NT_LN_LSS_PRVSN_OFF_BLNC</v>
          </cell>
          <cell r="D51" t="str">
            <v>INSTRUMENT</v>
          </cell>
          <cell r="E51" t="str">
            <v>2. Em Teste</v>
          </cell>
          <cell r="F51">
            <v>9.1</v>
          </cell>
        </row>
        <row r="52">
          <cell r="A52" t="str">
            <v>INSTRUMENT_GRSS_INTRST_INCM_CCRR</v>
          </cell>
          <cell r="B52" t="str">
            <v>GD</v>
          </cell>
          <cell r="C52" t="str">
            <v>GRSS_INTRST_INCM_CCRR</v>
          </cell>
          <cell r="D52" t="str">
            <v>INSTRUMENT</v>
          </cell>
          <cell r="E52" t="str">
            <v>2. Em Teste</v>
          </cell>
          <cell r="F52">
            <v>2</v>
          </cell>
        </row>
        <row r="53">
          <cell r="A53" t="str">
            <v>INSTRUMENT_GRSS_INTRST_EXPNS_CCRR</v>
          </cell>
          <cell r="B53" t="str">
            <v>GD</v>
          </cell>
          <cell r="C53" t="str">
            <v>GRSS_INTRST_EXPNS_CCRR</v>
          </cell>
          <cell r="D53" t="str">
            <v>INSTRUMENT</v>
          </cell>
          <cell r="E53" t="str">
            <v>2. Em Teste</v>
          </cell>
          <cell r="F53">
            <v>2</v>
          </cell>
        </row>
        <row r="54">
          <cell r="A54" t="str">
            <v>INSTRUMENT_GRSS_CMMSSN_INCM_CCRR</v>
          </cell>
          <cell r="B54" t="str">
            <v>GD</v>
          </cell>
          <cell r="C54" t="str">
            <v>GRSS_CMMSSN_INCM_CCRR</v>
          </cell>
          <cell r="D54" t="str">
            <v>INSTRUMENT</v>
          </cell>
          <cell r="E54" t="str">
            <v>2. Em Teste</v>
          </cell>
          <cell r="F54">
            <v>2</v>
          </cell>
        </row>
        <row r="55">
          <cell r="A55" t="str">
            <v>INSTRUMENT_GRSS_CMMSSN_EXPNS_CCRR</v>
          </cell>
          <cell r="B55" t="str">
            <v>GD</v>
          </cell>
          <cell r="C55" t="str">
            <v>GRSS_CMMSSN_EXPNS_CCRR</v>
          </cell>
          <cell r="D55" t="str">
            <v>INSTRUMENT</v>
          </cell>
          <cell r="E55" t="str">
            <v>2. Em Teste</v>
          </cell>
          <cell r="F55">
            <v>2</v>
          </cell>
        </row>
        <row r="56">
          <cell r="A56" t="str">
            <v>INSTRUMENT_GNS_FNNCL_TRNSCTN_EXCHNG_CCRR</v>
          </cell>
          <cell r="B56" t="str">
            <v>GD</v>
          </cell>
          <cell r="C56" t="str">
            <v>GNS_FNNCL_TRNSCTN_EXCHNG_CCRR</v>
          </cell>
          <cell r="D56" t="str">
            <v>INSTRUMENT</v>
          </cell>
          <cell r="E56" t="str">
            <v>2. Em Teste</v>
          </cell>
          <cell r="F56">
            <v>2</v>
          </cell>
        </row>
        <row r="57">
          <cell r="A57" t="str">
            <v>INSTRUMENT_BSNSS_AREA_CCRR</v>
          </cell>
          <cell r="B57" t="str">
            <v>GD</v>
          </cell>
          <cell r="C57" t="str">
            <v>BSNSS_AREA_CCRR</v>
          </cell>
          <cell r="D57" t="str">
            <v>INSTRUMENT</v>
          </cell>
          <cell r="E57" t="str">
            <v>2. Em Teste</v>
          </cell>
          <cell r="F57">
            <v>2</v>
          </cell>
        </row>
        <row r="58">
          <cell r="A58" t="str">
            <v>INSTRUMENT_GRSS_CMMSSN_INCM_OFF_BLNC_CCRR</v>
          </cell>
          <cell r="B58" t="str">
            <v>GD</v>
          </cell>
          <cell r="C58" t="str">
            <v>GRSS_CMMSSN_INCM_OFF_BLNC_CCRR</v>
          </cell>
          <cell r="D58" t="str">
            <v>INSTRUMENT</v>
          </cell>
          <cell r="E58" t="str">
            <v>2. Em Teste</v>
          </cell>
          <cell r="F58">
            <v>2</v>
          </cell>
        </row>
        <row r="59">
          <cell r="A59" t="str">
            <v>INSTRUMENT_GRSS_CMMSSN_EXPNS_OFF_BLNC_CCRR</v>
          </cell>
          <cell r="B59" t="str">
            <v>GD</v>
          </cell>
          <cell r="C59" t="str">
            <v>GRSS_CMMSSN_EXPNS_OFF_BLNC_CCRR</v>
          </cell>
          <cell r="D59" t="str">
            <v>INSTRUMENT</v>
          </cell>
          <cell r="E59" t="str">
            <v>2. Em Teste</v>
          </cell>
          <cell r="F59">
            <v>2</v>
          </cell>
        </row>
        <row r="60">
          <cell r="A60" t="str">
            <v>INSTRUMENT_CNCLLD_INSTRMNT_STTS</v>
          </cell>
          <cell r="B60" t="str">
            <v>GD</v>
          </cell>
          <cell r="C60" t="str">
            <v>CNCLLD_INSTRMNT_STTS</v>
          </cell>
          <cell r="D60" t="str">
            <v>INSTRUMENT</v>
          </cell>
          <cell r="E60" t="str">
            <v>5. Em Correção</v>
          </cell>
          <cell r="F60">
            <v>18.100000000000001</v>
          </cell>
        </row>
        <row r="61">
          <cell r="A61" t="str">
            <v>INSTRUMENT_IDCMB</v>
          </cell>
          <cell r="B61" t="str">
            <v>GD</v>
          </cell>
          <cell r="C61" t="str">
            <v>IDCMB</v>
          </cell>
          <cell r="D61" t="str">
            <v>INSTRUMENT</v>
          </cell>
          <cell r="E61" t="str">
            <v>1. Concluído</v>
          </cell>
          <cell r="F61">
            <v>2</v>
          </cell>
        </row>
        <row r="62">
          <cell r="A62" t="str">
            <v>INSTRUMENT_TYP_OFF_BLNC_PRDCT</v>
          </cell>
          <cell r="B62" t="str">
            <v>GD</v>
          </cell>
          <cell r="C62" t="str">
            <v>TYP_OFF_BLNC_PRDCT</v>
          </cell>
          <cell r="D62" t="str">
            <v>INSTRUMENT</v>
          </cell>
          <cell r="E62" t="str">
            <v>6. Por iniciar</v>
          </cell>
          <cell r="F62">
            <v>11.1</v>
          </cell>
        </row>
        <row r="63">
          <cell r="A63" t="str">
            <v>INSTR_PROTECTION_COD_SOC</v>
          </cell>
          <cell r="B63" t="str">
            <v>GD</v>
          </cell>
          <cell r="C63" t="str">
            <v>COD_SOC</v>
          </cell>
          <cell r="D63" t="str">
            <v>INSTR_PROTECTION</v>
          </cell>
          <cell r="E63" t="str">
            <v>6. Por iniciar</v>
          </cell>
          <cell r="F63">
            <v>12.1</v>
          </cell>
        </row>
        <row r="64">
          <cell r="A64" t="str">
            <v>INSTR_PROTECTION_DT_RFRNC</v>
          </cell>
          <cell r="B64" t="str">
            <v>GD</v>
          </cell>
          <cell r="C64" t="str">
            <v>DT_RFRNC</v>
          </cell>
          <cell r="D64" t="str">
            <v>INSTR_PROTECTION</v>
          </cell>
          <cell r="E64" t="str">
            <v>6. Por iniciar</v>
          </cell>
          <cell r="F64">
            <v>7</v>
          </cell>
        </row>
        <row r="65">
          <cell r="A65" t="str">
            <v>INSTR_PROTECTION_INSTRMNT_ID</v>
          </cell>
          <cell r="B65" t="str">
            <v>GD</v>
          </cell>
          <cell r="C65" t="str">
            <v>INSTRMNT_ID</v>
          </cell>
          <cell r="D65" t="str">
            <v>INSTR_PROTECTION</v>
          </cell>
          <cell r="E65" t="str">
            <v>6. Por iniciar</v>
          </cell>
          <cell r="F65">
            <v>25.200000000000003</v>
          </cell>
        </row>
        <row r="66">
          <cell r="A66" t="str">
            <v>INSTR_PROTECTION_PRTCTN_ID</v>
          </cell>
          <cell r="B66" t="str">
            <v>GD</v>
          </cell>
          <cell r="C66" t="str">
            <v>PRTCTN_ID</v>
          </cell>
          <cell r="D66" t="str">
            <v>INSTR_PROTECTION</v>
          </cell>
          <cell r="E66" t="str">
            <v>6. Por iniciar</v>
          </cell>
          <cell r="F66">
            <v>2</v>
          </cell>
        </row>
        <row r="67">
          <cell r="A67" t="str">
            <v>INSTR_PROTECTION_TYP_RLTN</v>
          </cell>
          <cell r="B67" t="str">
            <v>GD</v>
          </cell>
          <cell r="C67" t="str">
            <v>TYP_RLTN</v>
          </cell>
          <cell r="D67" t="str">
            <v>INSTR_PROTECTION</v>
          </cell>
          <cell r="E67" t="str">
            <v>6. Por iniciar</v>
          </cell>
          <cell r="F67">
            <v>18.100000000000001</v>
          </cell>
        </row>
        <row r="68">
          <cell r="A68" t="str">
            <v>PROTECTION_COD_SOC</v>
          </cell>
          <cell r="B68" t="str">
            <v>GD</v>
          </cell>
          <cell r="C68" t="str">
            <v>COD_SOC</v>
          </cell>
          <cell r="D68" t="str">
            <v>PROTECTION</v>
          </cell>
          <cell r="E68" t="str">
            <v>6. Por iniciar</v>
          </cell>
          <cell r="F68">
            <v>12.1</v>
          </cell>
        </row>
        <row r="69">
          <cell r="A69" t="str">
            <v>PROTECTION_DT_RFRNC</v>
          </cell>
          <cell r="B69" t="str">
            <v>GD</v>
          </cell>
          <cell r="C69" t="str">
            <v>DT_RFRNC</v>
          </cell>
          <cell r="D69" t="str">
            <v>PROTECTION</v>
          </cell>
          <cell r="E69" t="str">
            <v>6. Por iniciar</v>
          </cell>
          <cell r="F69">
            <v>7</v>
          </cell>
        </row>
        <row r="70">
          <cell r="A70" t="str">
            <v>PROTECTION_PRTCTN_ID</v>
          </cell>
          <cell r="B70" t="str">
            <v>GD</v>
          </cell>
          <cell r="C70" t="str">
            <v>PRTCTN_ID</v>
          </cell>
          <cell r="D70" t="str">
            <v>PROTECTION</v>
          </cell>
          <cell r="E70" t="str">
            <v>6. Por iniciar</v>
          </cell>
          <cell r="F70">
            <v>2</v>
          </cell>
        </row>
        <row r="71">
          <cell r="A71" t="str">
            <v>PROTECTION_TYP_PRTCTN</v>
          </cell>
          <cell r="B71" t="str">
            <v>GD</v>
          </cell>
          <cell r="C71" t="str">
            <v>TYP_PRTCTN</v>
          </cell>
          <cell r="D71" t="str">
            <v>PROTECTION</v>
          </cell>
          <cell r="E71" t="str">
            <v>6. Por iniciar</v>
          </cell>
          <cell r="F71">
            <v>1</v>
          </cell>
        </row>
        <row r="72">
          <cell r="A72" t="str">
            <v>PROTECTION_PRTCTN_VL</v>
          </cell>
          <cell r="B72" t="str">
            <v>GD</v>
          </cell>
          <cell r="C72" t="str">
            <v>PRTCTN_VL</v>
          </cell>
          <cell r="D72" t="str">
            <v>PROTECTION</v>
          </cell>
          <cell r="E72" t="str">
            <v>6. Por iniciar</v>
          </cell>
          <cell r="F72">
            <v>1</v>
          </cell>
        </row>
        <row r="73">
          <cell r="A73" t="str">
            <v>PROTECTION_FLG_ELCTRC_VHCL</v>
          </cell>
          <cell r="B73" t="str">
            <v>GD</v>
          </cell>
          <cell r="C73" t="str">
            <v>FLG_ELCTRC_VHCL</v>
          </cell>
          <cell r="D73" t="str">
            <v>PROTECTION</v>
          </cell>
          <cell r="E73" t="str">
            <v>6. Por iniciar</v>
          </cell>
          <cell r="F73">
            <v>18.100000000000001</v>
          </cell>
        </row>
        <row r="74">
          <cell r="A74" t="str">
            <v>INSTR_ACTIVITY_COD_SOC</v>
          </cell>
          <cell r="B74" t="str">
            <v>GD</v>
          </cell>
          <cell r="C74" t="str">
            <v>COD_SOC</v>
          </cell>
          <cell r="D74" t="str">
            <v>INSTR_ACTIVITY</v>
          </cell>
          <cell r="E74" t="str">
            <v>6. Por iniciar</v>
          </cell>
          <cell r="F74">
            <v>12.1</v>
          </cell>
        </row>
        <row r="75">
          <cell r="A75" t="str">
            <v>INSTR_ACTIVITY_DT_RFRNC</v>
          </cell>
          <cell r="B75" t="str">
            <v>GD</v>
          </cell>
          <cell r="C75" t="str">
            <v>DT_RFRNC</v>
          </cell>
          <cell r="D75" t="str">
            <v>INSTR_ACTIVITY</v>
          </cell>
          <cell r="E75" t="str">
            <v>6. Por iniciar</v>
          </cell>
          <cell r="F75">
            <v>7</v>
          </cell>
        </row>
        <row r="76">
          <cell r="A76" t="str">
            <v>INSTR_ACTIVITY_INSTRMNT_ID</v>
          </cell>
          <cell r="B76" t="str">
            <v>GD</v>
          </cell>
          <cell r="C76" t="str">
            <v>INSTRMNT_ID</v>
          </cell>
          <cell r="D76" t="str">
            <v>INSTR_ACTIVITY</v>
          </cell>
          <cell r="E76" t="str">
            <v>6. Por iniciar</v>
          </cell>
          <cell r="F76">
            <v>25.200000000000003</v>
          </cell>
        </row>
        <row r="77">
          <cell r="A77" t="str">
            <v>INSTR_ACTIVITY_SSTNBL_CTGRY</v>
          </cell>
          <cell r="B77" t="str">
            <v>GD</v>
          </cell>
          <cell r="C77" t="str">
            <v>SSTNBL_CTGRY</v>
          </cell>
          <cell r="D77" t="str">
            <v>INSTR_ACTIVITY</v>
          </cell>
          <cell r="E77" t="str">
            <v>6. Por iniciar</v>
          </cell>
          <cell r="F77">
            <v>18.100000000000001</v>
          </cell>
        </row>
        <row r="78">
          <cell r="A78" t="str">
            <v>INSTR_ACTIVITY_PRCNTG_ACTVTY</v>
          </cell>
          <cell r="B78" t="str">
            <v>GD</v>
          </cell>
          <cell r="C78" t="str">
            <v>PRCNTG_ACTVTY</v>
          </cell>
          <cell r="D78" t="str">
            <v>INSTR_ACTIVITY</v>
          </cell>
          <cell r="E78" t="str">
            <v>6. Por iniciar</v>
          </cell>
          <cell r="F78">
            <v>1</v>
          </cell>
        </row>
        <row r="79">
          <cell r="A79" t="str">
            <v>INSTR_ACTIVITY_SSTNBL_INDCTR</v>
          </cell>
          <cell r="B79" t="str">
            <v>GD</v>
          </cell>
          <cell r="C79" t="str">
            <v>SSTNBL_INDCTR</v>
          </cell>
          <cell r="D79" t="str">
            <v>INSTR_ACTIVITY</v>
          </cell>
          <cell r="E79" t="str">
            <v>6. Por iniciar</v>
          </cell>
          <cell r="F79">
            <v>18.100000000000001</v>
          </cell>
        </row>
      </sheetData>
      <sheetData sheetId="10">
        <row r="7">
          <cell r="B7" t="str">
            <v>Plano com SC2 -&gt; Cenário em que são efetuados campos GD e campos isolados P3</v>
          </cell>
        </row>
        <row r="9">
          <cell r="B9" t="str">
            <v>SC2 A) -&gt; Campos GD exclusivos(NYN) + GD&amp;LT Estrutural(YYN + YYY)</v>
          </cell>
          <cell r="F9">
            <v>380.00000000000006</v>
          </cell>
        </row>
        <row r="10">
          <cell r="B10" t="str">
            <v>Âmbito</v>
          </cell>
          <cell r="C10" t="str">
            <v>Campo</v>
          </cell>
          <cell r="D10" t="str">
            <v>Origem</v>
          </cell>
          <cell r="E10" t="str">
            <v>Status</v>
          </cell>
          <cell r="F10" t="str">
            <v>Total Horas</v>
          </cell>
        </row>
        <row r="11">
          <cell r="B11" t="str">
            <v>GD</v>
          </cell>
          <cell r="C11" t="str">
            <v xml:space="preserve">Testes ao Universo </v>
          </cell>
          <cell r="D11" t="str">
            <v>-</v>
          </cell>
          <cell r="E11" t="str">
            <v>2. Em Teste</v>
          </cell>
          <cell r="F11">
            <v>16</v>
          </cell>
        </row>
        <row r="12">
          <cell r="A12" t="str">
            <v>INSTRUMENT_COD_SOC</v>
          </cell>
          <cell r="B12" t="str">
            <v>GD + LT Estr + P3</v>
          </cell>
          <cell r="C12" t="str">
            <v>COD_SOC</v>
          </cell>
          <cell r="D12" t="str">
            <v>INSTRUMENT</v>
          </cell>
          <cell r="E12" t="str">
            <v>1. Concluído</v>
          </cell>
          <cell r="F12">
            <v>2</v>
          </cell>
        </row>
        <row r="13">
          <cell r="A13" t="str">
            <v>INSTRUMENT_SUBPORTFOLIO_ID</v>
          </cell>
          <cell r="B13" t="str">
            <v>GD + LT Estr + P3</v>
          </cell>
          <cell r="C13" t="str">
            <v>SUBPORTFOLIO_ID</v>
          </cell>
          <cell r="D13" t="str">
            <v>INSTRUMENT</v>
          </cell>
          <cell r="E13" t="str">
            <v>1. Concluído</v>
          </cell>
          <cell r="F13">
            <v>2</v>
          </cell>
        </row>
        <row r="14">
          <cell r="A14" t="str">
            <v>INSTRUMENT_DT_RFRNC</v>
          </cell>
          <cell r="B14" t="str">
            <v>GD + LT Estr + P3</v>
          </cell>
          <cell r="C14" t="str">
            <v>DT_RFRNC</v>
          </cell>
          <cell r="D14" t="str">
            <v>INSTRUMENT</v>
          </cell>
          <cell r="E14" t="str">
            <v>1. Concluído</v>
          </cell>
          <cell r="F14">
            <v>2</v>
          </cell>
        </row>
        <row r="15">
          <cell r="A15" t="str">
            <v>INSTRUMENT_INSTRMNT_ID</v>
          </cell>
          <cell r="B15" t="str">
            <v>GD + LT Estr + P3</v>
          </cell>
          <cell r="C15" t="str">
            <v>INSTRMNT_ID</v>
          </cell>
          <cell r="D15" t="str">
            <v>INSTRUMENT</v>
          </cell>
          <cell r="E15" t="str">
            <v>2. Em Teste</v>
          </cell>
          <cell r="F15">
            <v>25.200000000000003</v>
          </cell>
        </row>
        <row r="16">
          <cell r="A16" t="str">
            <v>INSTRUMENT_DFLT_STTS_INSTRMNT</v>
          </cell>
          <cell r="B16" t="str">
            <v>GD + LT Estr + P3</v>
          </cell>
          <cell r="C16" t="str">
            <v>DFLT_STTS_INSTRMNT</v>
          </cell>
          <cell r="D16" t="str">
            <v>INSTRUMENT</v>
          </cell>
          <cell r="E16" t="str">
            <v>1. Concluído</v>
          </cell>
          <cell r="F16">
            <v>2</v>
          </cell>
        </row>
        <row r="17">
          <cell r="A17" t="str">
            <v>INSTRUMENT_IMPRMNT_STTS</v>
          </cell>
          <cell r="B17" t="str">
            <v>GD + LT Estr + P3</v>
          </cell>
          <cell r="C17" t="str">
            <v>IMPRMNT_STTS</v>
          </cell>
          <cell r="D17" t="str">
            <v>INSTRUMENT</v>
          </cell>
          <cell r="E17" t="str">
            <v>1. Concluído</v>
          </cell>
          <cell r="F17">
            <v>2</v>
          </cell>
        </row>
        <row r="18">
          <cell r="A18" t="str">
            <v>INSTRUMENT_PRFRMNG_STTS</v>
          </cell>
          <cell r="B18" t="str">
            <v>GD + LT Estr + P3</v>
          </cell>
          <cell r="C18" t="str">
            <v>PRFRMNG_STTS</v>
          </cell>
          <cell r="D18" t="str">
            <v>INSTRUMENT</v>
          </cell>
          <cell r="E18" t="str">
            <v>1. Concluído</v>
          </cell>
          <cell r="F18">
            <v>2</v>
          </cell>
        </row>
        <row r="19">
          <cell r="A19" t="str">
            <v>INSTRUMENT_TYP_INSTRMNT</v>
          </cell>
          <cell r="B19" t="str">
            <v>GD + LT Estr + P3</v>
          </cell>
          <cell r="C19" t="str">
            <v>TYP_INSTRMNT</v>
          </cell>
          <cell r="D19" t="str">
            <v>INSTRUMENT</v>
          </cell>
          <cell r="E19" t="str">
            <v>1. Concluído</v>
          </cell>
          <cell r="F19">
            <v>2</v>
          </cell>
        </row>
        <row r="20">
          <cell r="A20" t="str">
            <v>INSTRUMENT_GRSS_CRRYNG_AMNT_INSTRMNT</v>
          </cell>
          <cell r="B20" t="str">
            <v>GD + LT Estr + P3</v>
          </cell>
          <cell r="C20" t="str">
            <v>GRSS_CRRYNG_AMNT_INSTRMNT</v>
          </cell>
          <cell r="D20" t="str">
            <v>INSTRUMENT</v>
          </cell>
          <cell r="E20" t="str">
            <v>1. Concluído</v>
          </cell>
          <cell r="F20">
            <v>2</v>
          </cell>
        </row>
        <row r="21">
          <cell r="A21" t="str">
            <v>INSTRUMENT_ACCMLTD_CHNGS_FV_CR_INSTRMNT</v>
          </cell>
          <cell r="B21" t="str">
            <v>GD + LT Estr + P3</v>
          </cell>
          <cell r="C21" t="str">
            <v>ACCMLTD_CHNGS_FV_CR_INSTRMNT</v>
          </cell>
          <cell r="D21" t="str">
            <v>INSTRUMENT</v>
          </cell>
          <cell r="E21" t="str">
            <v>1. Concluído</v>
          </cell>
          <cell r="F21">
            <v>2</v>
          </cell>
        </row>
        <row r="22">
          <cell r="A22" t="str">
            <v>INSTRUMENT_ACCNTNG_CLSSFCTN</v>
          </cell>
          <cell r="B22" t="str">
            <v>GD + LT Estr + P3</v>
          </cell>
          <cell r="C22" t="str">
            <v>ACCNTNG_CLSSFCTN</v>
          </cell>
          <cell r="D22" t="str">
            <v>INSTRUMENT</v>
          </cell>
          <cell r="E22" t="str">
            <v>1. Concluído</v>
          </cell>
          <cell r="F22">
            <v>2</v>
          </cell>
        </row>
        <row r="23">
          <cell r="A23" t="str">
            <v>INSTRUMENT_CCF</v>
          </cell>
          <cell r="B23" t="str">
            <v>LT Esrt + GD</v>
          </cell>
          <cell r="C23" t="str">
            <v>CCF</v>
          </cell>
          <cell r="D23" t="str">
            <v>INSTRUMENT</v>
          </cell>
          <cell r="E23" t="str">
            <v>6. Por iniciar</v>
          </cell>
          <cell r="F23">
            <v>2</v>
          </cell>
        </row>
        <row r="24">
          <cell r="A24" t="str">
            <v>INSTRUMENT_EAD</v>
          </cell>
          <cell r="B24" t="str">
            <v>LT Esrt + GD</v>
          </cell>
          <cell r="C24" t="str">
            <v>EAD</v>
          </cell>
          <cell r="D24" t="str">
            <v>INSTRUMENT</v>
          </cell>
          <cell r="E24" t="str">
            <v>6. Por iniciar</v>
          </cell>
          <cell r="F24">
            <v>2</v>
          </cell>
        </row>
        <row r="25">
          <cell r="A25" t="str">
            <v>INSTRUMENT_OFF_BLNC_SHT_AMNT_INSTRMNT</v>
          </cell>
          <cell r="B25" t="str">
            <v>LT Esrt + GD</v>
          </cell>
          <cell r="C25" t="str">
            <v>OFF_BLNC_SHT_AMNT_INSTRMNT</v>
          </cell>
          <cell r="D25" t="str">
            <v>INSTRUMENT</v>
          </cell>
          <cell r="E25" t="str">
            <v>1. Concluído</v>
          </cell>
          <cell r="F25">
            <v>2</v>
          </cell>
        </row>
        <row r="26">
          <cell r="A26" t="str">
            <v>INSTRUMENT_PRVSNS_OFF_BLNC_SHT</v>
          </cell>
          <cell r="B26" t="str">
            <v>LT Esrt + GD</v>
          </cell>
          <cell r="C26" t="str">
            <v>PRVSNS_OFF_BLNC_SHT</v>
          </cell>
          <cell r="D26" t="str">
            <v>INSTRUMENT</v>
          </cell>
          <cell r="E26" t="str">
            <v>1. Concluído</v>
          </cell>
          <cell r="F26">
            <v>2</v>
          </cell>
        </row>
        <row r="27">
          <cell r="A27" t="str">
            <v>INSTRUMENT_RWA</v>
          </cell>
          <cell r="B27" t="str">
            <v>LT Esrt + GD</v>
          </cell>
          <cell r="C27" t="str">
            <v>RWA</v>
          </cell>
          <cell r="D27" t="str">
            <v>INSTRUMENT</v>
          </cell>
          <cell r="E27" t="str">
            <v>1. Concluído</v>
          </cell>
          <cell r="F27">
            <v>2</v>
          </cell>
        </row>
        <row r="28">
          <cell r="A28" t="str">
            <v>INSTRUMENT_ACCMLTD_IMPRMNT_INSTRMNT</v>
          </cell>
          <cell r="B28" t="str">
            <v>GD + LT Estr + P3</v>
          </cell>
          <cell r="C28" t="str">
            <v>ACCMLTD_IMPRMNT_INSTRMNT</v>
          </cell>
          <cell r="D28" t="str">
            <v>INSTRUMENT</v>
          </cell>
          <cell r="E28" t="str">
            <v>1. Concluído</v>
          </cell>
          <cell r="F28">
            <v>2</v>
          </cell>
        </row>
        <row r="29">
          <cell r="A29" t="str">
            <v>INSTRUMENT_COD_SOC_INTRGRP</v>
          </cell>
          <cell r="B29" t="str">
            <v>LT Esrt + GD</v>
          </cell>
          <cell r="C29" t="str">
            <v>COD_SOC_INTRGRP</v>
          </cell>
          <cell r="D29" t="str">
            <v>INSTRUMENT</v>
          </cell>
          <cell r="E29" t="str">
            <v>1. Concluído</v>
          </cell>
          <cell r="F29">
            <v>2</v>
          </cell>
        </row>
        <row r="30">
          <cell r="A30" t="str">
            <v>INSTRUMENT_LCL_INSTMRNT_ID</v>
          </cell>
          <cell r="B30" t="str">
            <v>GD + LT Estr + P3</v>
          </cell>
          <cell r="C30" t="str">
            <v>LCL_INSTMRNT_ID</v>
          </cell>
          <cell r="D30" t="str">
            <v>INSTRUMENT</v>
          </cell>
          <cell r="E30" t="str">
            <v>1. Concluído</v>
          </cell>
          <cell r="F30">
            <v>2</v>
          </cell>
        </row>
        <row r="31">
          <cell r="A31" t="str">
            <v>INSTRUMENT_AVRG_BLNC</v>
          </cell>
          <cell r="B31" t="str">
            <v>GD</v>
          </cell>
          <cell r="C31" t="str">
            <v>AVRG_BLNC</v>
          </cell>
          <cell r="D31" t="str">
            <v>INSTRUMENT</v>
          </cell>
          <cell r="E31" t="str">
            <v>2. Em Teste</v>
          </cell>
          <cell r="F31">
            <v>9.1</v>
          </cell>
        </row>
        <row r="32">
          <cell r="A32" t="str">
            <v>INSTRUMENT_INTRNL_TRNSFR_RT</v>
          </cell>
          <cell r="B32" t="str">
            <v>GD</v>
          </cell>
          <cell r="C32" t="str">
            <v>INTRNL_TRNSFR_RT</v>
          </cell>
          <cell r="D32" t="str">
            <v>INSTRUMENT</v>
          </cell>
          <cell r="E32" t="str">
            <v>2. Em Teste</v>
          </cell>
          <cell r="F32">
            <v>18.100000000000001</v>
          </cell>
        </row>
        <row r="33">
          <cell r="A33" t="str">
            <v>INSTRUMENT_NT_LN_LSS_PRVSN</v>
          </cell>
          <cell r="B33" t="str">
            <v>GD</v>
          </cell>
          <cell r="C33" t="str">
            <v>NT_LN_LSS_PRVSN</v>
          </cell>
          <cell r="D33" t="str">
            <v>INSTRUMENT</v>
          </cell>
          <cell r="E33" t="str">
            <v>2. Em Teste</v>
          </cell>
          <cell r="F33">
            <v>9.1</v>
          </cell>
        </row>
        <row r="34">
          <cell r="A34" t="str">
            <v>INSTRUMENT_BSNSS_AREA</v>
          </cell>
          <cell r="B34" t="str">
            <v>GD</v>
          </cell>
          <cell r="C34" t="str">
            <v>BSNSS_AREA</v>
          </cell>
          <cell r="D34" t="str">
            <v>INSTRUMENT</v>
          </cell>
          <cell r="E34" t="str">
            <v>2. Em Teste</v>
          </cell>
          <cell r="F34">
            <v>18.100000000000001</v>
          </cell>
        </row>
        <row r="35">
          <cell r="A35" t="str">
            <v>INSTRUMENT_MNGMNT_PRDCT</v>
          </cell>
          <cell r="B35" t="str">
            <v>GD</v>
          </cell>
          <cell r="C35" t="str">
            <v>MNGMNT_PRDCT</v>
          </cell>
          <cell r="D35" t="str">
            <v>INSTRUMENT</v>
          </cell>
          <cell r="E35" t="str">
            <v>2. Em Teste</v>
          </cell>
          <cell r="F35">
            <v>10.1</v>
          </cell>
        </row>
        <row r="36">
          <cell r="A36" t="str">
            <v>INSTRUMENT_GRSS_CMMSSN_EXPNS</v>
          </cell>
          <cell r="B36" t="str">
            <v>GD</v>
          </cell>
          <cell r="C36" t="str">
            <v>GRSS_CMMSSN_EXPNS</v>
          </cell>
          <cell r="D36" t="str">
            <v>INSTRUMENT</v>
          </cell>
          <cell r="E36" t="str">
            <v>2. Em Teste</v>
          </cell>
          <cell r="F36">
            <v>18.100000000000001</v>
          </cell>
        </row>
        <row r="37">
          <cell r="A37" t="str">
            <v>INSTRUMENT_GNS_FNNCL_TRNSCTN_EXCHNG_DFFRNCS</v>
          </cell>
          <cell r="B37" t="str">
            <v>GD</v>
          </cell>
          <cell r="C37" t="str">
            <v>GNS_FNNCL_TRNSCTN_EXCHNG_DFFRNCS</v>
          </cell>
          <cell r="D37" t="str">
            <v>INSTRUMENT</v>
          </cell>
          <cell r="E37" t="str">
            <v>2. Em Teste</v>
          </cell>
          <cell r="F37">
            <v>18.100000000000001</v>
          </cell>
        </row>
        <row r="38">
          <cell r="A38" t="str">
            <v>INSTRUMENT_FLG_INTRBSNSS</v>
          </cell>
          <cell r="B38" t="str">
            <v>GD</v>
          </cell>
          <cell r="C38" t="str">
            <v>FLG_INTRBSNSS</v>
          </cell>
          <cell r="D38" t="str">
            <v>INSTRUMENT</v>
          </cell>
          <cell r="E38" t="str">
            <v>1. Concluído</v>
          </cell>
          <cell r="F38">
            <v>2</v>
          </cell>
        </row>
        <row r="39">
          <cell r="A39" t="str">
            <v>INSTRUMENT_INTRBSNSS_ADJ_COD</v>
          </cell>
          <cell r="B39" t="str">
            <v>GD</v>
          </cell>
          <cell r="C39" t="str">
            <v>INTRBSNSS_ADJ_COD</v>
          </cell>
          <cell r="D39" t="str">
            <v>INSTRUMENT</v>
          </cell>
          <cell r="E39" t="str">
            <v>1. Concluído</v>
          </cell>
          <cell r="F39">
            <v>2</v>
          </cell>
        </row>
        <row r="40">
          <cell r="A40" t="str">
            <v>INSTRUMENT_COD_SOC_DSTNTN</v>
          </cell>
          <cell r="B40" t="str">
            <v>GD</v>
          </cell>
          <cell r="C40" t="str">
            <v>COD_SOC_DSTNTN</v>
          </cell>
          <cell r="D40" t="str">
            <v>INSTRUMENT</v>
          </cell>
          <cell r="E40" t="str">
            <v>1. Concluído</v>
          </cell>
          <cell r="F40">
            <v>2</v>
          </cell>
        </row>
        <row r="41">
          <cell r="A41" t="str">
            <v>INSTRUMENT_BSNSS_AREA_DSTNTN</v>
          </cell>
          <cell r="B41" t="str">
            <v>GD</v>
          </cell>
          <cell r="C41" t="str">
            <v>BSNSS_AREA_DSTNTN</v>
          </cell>
          <cell r="D41" t="str">
            <v>INSTRUMENT</v>
          </cell>
          <cell r="E41" t="str">
            <v>1. Concluído</v>
          </cell>
          <cell r="F41">
            <v>2</v>
          </cell>
        </row>
        <row r="42">
          <cell r="A42" t="str">
            <v>INSTRUMENT_AVRG_BLNC_OFF_BLNC</v>
          </cell>
          <cell r="B42" t="str">
            <v>GD</v>
          </cell>
          <cell r="C42" t="str">
            <v>AVRG_BLNC_OFF_BLNC</v>
          </cell>
          <cell r="D42" t="str">
            <v>INSTRUMENT</v>
          </cell>
          <cell r="E42" t="str">
            <v>2. Em Teste</v>
          </cell>
          <cell r="F42">
            <v>9.1</v>
          </cell>
        </row>
        <row r="43">
          <cell r="A43" t="str">
            <v>INSTRUMENT_INTRNL_TRNSFR_RT_OFF_BLNC</v>
          </cell>
          <cell r="B43" t="str">
            <v>GD</v>
          </cell>
          <cell r="C43" t="str">
            <v>INTRNL_TRNSFR_RT_OFF_BLNC</v>
          </cell>
          <cell r="D43" t="str">
            <v>INSTRUMENT</v>
          </cell>
          <cell r="E43" t="str">
            <v>1. Concluído</v>
          </cell>
          <cell r="F43">
            <v>2</v>
          </cell>
        </row>
        <row r="44">
          <cell r="A44" t="str">
            <v>INSTRUMENT_GRSS_CMMSSN_EXPNS_OFF_BLNC</v>
          </cell>
          <cell r="B44" t="str">
            <v>GD</v>
          </cell>
          <cell r="C44" t="str">
            <v>GRSS_CMMSSN_EXPNS_OFF_BLNC</v>
          </cell>
          <cell r="D44" t="str">
            <v>INSTRUMENT</v>
          </cell>
          <cell r="E44" t="str">
            <v>2. Em Teste</v>
          </cell>
          <cell r="F44">
            <v>18.100000000000001</v>
          </cell>
        </row>
        <row r="45">
          <cell r="A45" t="str">
            <v>INSTRUMENT_RWA_OFF_BLNC</v>
          </cell>
          <cell r="B45" t="str">
            <v>GD</v>
          </cell>
          <cell r="C45" t="str">
            <v>RWA_OFF_BLNC</v>
          </cell>
          <cell r="D45" t="str">
            <v>INSTRUMENT</v>
          </cell>
          <cell r="E45" t="str">
            <v>1. Concluído</v>
          </cell>
          <cell r="F45">
            <v>2</v>
          </cell>
        </row>
        <row r="46">
          <cell r="A46" t="str">
            <v>INSTRUMENT_GRSS_INTRST_EXPNS</v>
          </cell>
          <cell r="B46" t="str">
            <v>GD</v>
          </cell>
          <cell r="C46" t="str">
            <v>GRSS_INTRST_EXPNS</v>
          </cell>
          <cell r="D46" t="str">
            <v>INSTRUMENT</v>
          </cell>
          <cell r="E46" t="str">
            <v>2. Em Teste</v>
          </cell>
          <cell r="F46">
            <v>18.100000000000001</v>
          </cell>
        </row>
        <row r="47">
          <cell r="A47" t="str">
            <v>INSTRUMENT_NT_LN_LSS_PRVSN_OFF_BLNC</v>
          </cell>
          <cell r="B47" t="str">
            <v>GD</v>
          </cell>
          <cell r="C47" t="str">
            <v>NT_LN_LSS_PRVSN_OFF_BLNC</v>
          </cell>
          <cell r="D47" t="str">
            <v>INSTRUMENT</v>
          </cell>
          <cell r="E47" t="str">
            <v>2. Em Teste</v>
          </cell>
          <cell r="F47">
            <v>9.1</v>
          </cell>
        </row>
        <row r="48">
          <cell r="A48" t="str">
            <v>INSTRUMENT_GRSS_INTRST_INCM_CCRR</v>
          </cell>
          <cell r="B48" t="str">
            <v>GD</v>
          </cell>
          <cell r="C48" t="str">
            <v>GRSS_INTRST_INCM_CCRR</v>
          </cell>
          <cell r="D48" t="str">
            <v>INSTRUMENT</v>
          </cell>
          <cell r="E48" t="str">
            <v>2. Em Teste</v>
          </cell>
          <cell r="F48">
            <v>2</v>
          </cell>
        </row>
        <row r="49">
          <cell r="A49" t="str">
            <v>INSTRUMENT_GRSS_INTRST_EXPNS_CCRR</v>
          </cell>
          <cell r="B49" t="str">
            <v>GD</v>
          </cell>
          <cell r="C49" t="str">
            <v>GRSS_INTRST_EXPNS_CCRR</v>
          </cell>
          <cell r="D49" t="str">
            <v>INSTRUMENT</v>
          </cell>
          <cell r="E49" t="str">
            <v>2. Em Teste</v>
          </cell>
          <cell r="F49">
            <v>2</v>
          </cell>
        </row>
        <row r="50">
          <cell r="A50" t="str">
            <v>INSTRUMENT_GRSS_CMMSSN_INCM_CCRR</v>
          </cell>
          <cell r="B50" t="str">
            <v>GD</v>
          </cell>
          <cell r="C50" t="str">
            <v>GRSS_CMMSSN_INCM_CCRR</v>
          </cell>
          <cell r="D50" t="str">
            <v>INSTRUMENT</v>
          </cell>
          <cell r="E50" t="str">
            <v>2. Em Teste</v>
          </cell>
          <cell r="F50">
            <v>2</v>
          </cell>
        </row>
        <row r="51">
          <cell r="A51" t="str">
            <v>INSTRUMENT_GRSS_CMMSSN_EXPNS_CCRR</v>
          </cell>
          <cell r="B51" t="str">
            <v>GD</v>
          </cell>
          <cell r="C51" t="str">
            <v>GRSS_CMMSSN_EXPNS_CCRR</v>
          </cell>
          <cell r="D51" t="str">
            <v>INSTRUMENT</v>
          </cell>
          <cell r="E51" t="str">
            <v>2. Em Teste</v>
          </cell>
          <cell r="F51">
            <v>2</v>
          </cell>
        </row>
        <row r="52">
          <cell r="A52" t="str">
            <v>INSTRUMENT_GNS_FNNCL_TRNSCTN_EXCHNG_CCRR</v>
          </cell>
          <cell r="B52" t="str">
            <v>GD</v>
          </cell>
          <cell r="C52" t="str">
            <v>GNS_FNNCL_TRNSCTN_EXCHNG_CCRR</v>
          </cell>
          <cell r="D52" t="str">
            <v>INSTRUMENT</v>
          </cell>
          <cell r="E52" t="str">
            <v>2. Em Teste</v>
          </cell>
          <cell r="F52">
            <v>2</v>
          </cell>
        </row>
        <row r="53">
          <cell r="A53" t="str">
            <v>INSTRUMENT_BSNSS_AREA_CCRR</v>
          </cell>
          <cell r="B53" t="str">
            <v>GD</v>
          </cell>
          <cell r="C53" t="str">
            <v>BSNSS_AREA_CCRR</v>
          </cell>
          <cell r="D53" t="str">
            <v>INSTRUMENT</v>
          </cell>
          <cell r="E53" t="str">
            <v>2. Em Teste</v>
          </cell>
          <cell r="F53">
            <v>2</v>
          </cell>
        </row>
        <row r="54">
          <cell r="A54" t="str">
            <v>INSTRUMENT_GRSS_CMMSSN_INCM_OFF_BLNC_CCRR</v>
          </cell>
          <cell r="B54" t="str">
            <v>GD</v>
          </cell>
          <cell r="C54" t="str">
            <v>GRSS_CMMSSN_INCM_OFF_BLNC_CCRR</v>
          </cell>
          <cell r="D54" t="str">
            <v>INSTRUMENT</v>
          </cell>
          <cell r="E54" t="str">
            <v>2. Em Teste</v>
          </cell>
          <cell r="F54">
            <v>2</v>
          </cell>
        </row>
        <row r="55">
          <cell r="A55" t="str">
            <v>INSTRUMENT_GRSS_CMMSSN_EXPNS_OFF_BLNC_CCRR</v>
          </cell>
          <cell r="B55" t="str">
            <v>GD</v>
          </cell>
          <cell r="C55" t="str">
            <v>GRSS_CMMSSN_EXPNS_OFF_BLNC_CCRR</v>
          </cell>
          <cell r="D55" t="str">
            <v>INSTRUMENT</v>
          </cell>
          <cell r="E55" t="str">
            <v>2. Em Teste</v>
          </cell>
          <cell r="F55">
            <v>2</v>
          </cell>
        </row>
        <row r="56">
          <cell r="A56" t="str">
            <v>INSTRUMENT_CNCLLD_INSTRMNT_STTS</v>
          </cell>
          <cell r="B56" t="str">
            <v>GD</v>
          </cell>
          <cell r="C56" t="str">
            <v>CNCLLD_INSTRMNT_STTS</v>
          </cell>
          <cell r="D56" t="str">
            <v>INSTRUMENT</v>
          </cell>
          <cell r="E56" t="str">
            <v>5. Em Correção</v>
          </cell>
          <cell r="F56">
            <v>18.100000000000001</v>
          </cell>
        </row>
        <row r="57">
          <cell r="A57" t="str">
            <v>INSTRUMENT_IDCMB</v>
          </cell>
          <cell r="B57" t="str">
            <v>GD + LT Estr + P3</v>
          </cell>
          <cell r="C57" t="str">
            <v>IDCMB</v>
          </cell>
          <cell r="D57" t="str">
            <v>INSTRUMENT</v>
          </cell>
          <cell r="E57" t="str">
            <v>1. Concluído</v>
          </cell>
          <cell r="F57">
            <v>2</v>
          </cell>
        </row>
        <row r="58">
          <cell r="A58" t="str">
            <v>INSTRUMENT_TYP_OFF_BLNC_PRDCT</v>
          </cell>
          <cell r="B58" t="str">
            <v>GD + LT Estr + P3</v>
          </cell>
          <cell r="C58" t="str">
            <v>TYP_OFF_BLNC_PRDCT</v>
          </cell>
          <cell r="D58" t="str">
            <v>INSTRUMENT</v>
          </cell>
          <cell r="E58" t="str">
            <v>6. Por iniciar</v>
          </cell>
          <cell r="F58">
            <v>11.1</v>
          </cell>
        </row>
        <row r="59">
          <cell r="A59" t="str">
            <v>INSTR_PROTECTION_COD_SOC</v>
          </cell>
          <cell r="B59" t="str">
            <v>GD + LT Estr + P3</v>
          </cell>
          <cell r="C59" t="str">
            <v>COD_SOC</v>
          </cell>
          <cell r="D59" t="str">
            <v>INSTR_PROTECTION</v>
          </cell>
          <cell r="E59" t="str">
            <v>6. Por iniciar</v>
          </cell>
          <cell r="F59">
            <v>12.1</v>
          </cell>
        </row>
        <row r="60">
          <cell r="A60" t="str">
            <v>INSTR_PROTECTION_DT_RFRNC</v>
          </cell>
          <cell r="B60" t="str">
            <v>GD + LT Estr + P3</v>
          </cell>
          <cell r="C60" t="str">
            <v>DT_RFRNC</v>
          </cell>
          <cell r="D60" t="str">
            <v>INSTR_PROTECTION</v>
          </cell>
          <cell r="E60" t="str">
            <v>6. Por iniciar</v>
          </cell>
          <cell r="F60">
            <v>7</v>
          </cell>
        </row>
        <row r="61">
          <cell r="A61" t="str">
            <v>INSTR_PROTECTION_INSTRMNT_ID</v>
          </cell>
          <cell r="B61" t="str">
            <v>GD + LT Estr + P3</v>
          </cell>
          <cell r="C61" t="str">
            <v>INSTRMNT_ID</v>
          </cell>
          <cell r="D61" t="str">
            <v>INSTR_PROTECTION</v>
          </cell>
          <cell r="E61" t="str">
            <v>6. Por iniciar</v>
          </cell>
          <cell r="F61">
            <v>25.200000000000003</v>
          </cell>
        </row>
        <row r="62">
          <cell r="A62" t="str">
            <v>INSTR_PROTECTION_PRTCTN_ID</v>
          </cell>
          <cell r="B62" t="str">
            <v>GD + LT Estr + P3</v>
          </cell>
          <cell r="C62" t="str">
            <v>PRTCTN_ID</v>
          </cell>
          <cell r="D62" t="str">
            <v>INSTR_PROTECTION</v>
          </cell>
          <cell r="E62" t="str">
            <v>6. Por iniciar</v>
          </cell>
          <cell r="F62">
            <v>2</v>
          </cell>
        </row>
        <row r="63">
          <cell r="A63" t="str">
            <v>PROTECTION_COD_SOC</v>
          </cell>
          <cell r="B63" t="str">
            <v>GD + LT Estr + P3</v>
          </cell>
          <cell r="C63" t="str">
            <v>COD_SOC</v>
          </cell>
          <cell r="D63" t="str">
            <v>PROTECTION</v>
          </cell>
          <cell r="E63" t="str">
            <v>6. Por iniciar</v>
          </cell>
          <cell r="F63">
            <v>12.1</v>
          </cell>
        </row>
        <row r="64">
          <cell r="A64" t="str">
            <v>PROTECTION_DT_RFRNC</v>
          </cell>
          <cell r="B64" t="str">
            <v>GD + LT Estr + P3</v>
          </cell>
          <cell r="C64" t="str">
            <v>DT_RFRNC</v>
          </cell>
          <cell r="D64" t="str">
            <v>PROTECTION</v>
          </cell>
          <cell r="E64" t="str">
            <v>6. Por iniciar</v>
          </cell>
          <cell r="F64">
            <v>7</v>
          </cell>
        </row>
        <row r="65">
          <cell r="A65" t="str">
            <v>PROTECTION_PRTCTN_ID</v>
          </cell>
          <cell r="B65" t="str">
            <v>GD + LT Estr + P3</v>
          </cell>
          <cell r="C65" t="str">
            <v>PRTCTN_ID</v>
          </cell>
          <cell r="D65" t="str">
            <v>PROTECTION</v>
          </cell>
          <cell r="E65" t="str">
            <v>6. Por iniciar</v>
          </cell>
          <cell r="F65">
            <v>2</v>
          </cell>
        </row>
        <row r="66">
          <cell r="A66" t="str">
            <v>PROTECTION_TYP_PRTCTN</v>
          </cell>
          <cell r="B66" t="str">
            <v>GD + LT Estr + P3</v>
          </cell>
          <cell r="C66" t="str">
            <v>TYP_PRTCTN</v>
          </cell>
          <cell r="D66" t="str">
            <v>PROTECTION</v>
          </cell>
          <cell r="E66" t="str">
            <v>6. Por iniciar</v>
          </cell>
          <cell r="F66">
            <v>1</v>
          </cell>
        </row>
        <row r="67">
          <cell r="A67" t="str">
            <v>PROTECTION_PRTCTN_VL</v>
          </cell>
          <cell r="B67" t="str">
            <v>GD + LT Estr + P3</v>
          </cell>
          <cell r="C67" t="str">
            <v>PRTCTN_VL</v>
          </cell>
          <cell r="D67" t="str">
            <v>PROTECTION</v>
          </cell>
          <cell r="E67" t="str">
            <v>6. Por iniciar</v>
          </cell>
          <cell r="F67">
            <v>1</v>
          </cell>
        </row>
        <row r="68">
          <cell r="A68" t="str">
            <v>PROTECTION_FLG_ELCTRC_VHCL</v>
          </cell>
          <cell r="B68" t="str">
            <v>GD</v>
          </cell>
          <cell r="C68" t="str">
            <v>FLG_ELCTRC_VHCL</v>
          </cell>
          <cell r="D68" t="str">
            <v>PROTECTION</v>
          </cell>
          <cell r="E68" t="str">
            <v>6. Por iniciar</v>
          </cell>
          <cell r="F68">
            <v>18.100000000000001</v>
          </cell>
        </row>
        <row r="69">
          <cell r="A69" t="str">
            <v>INSTR_ACTIVITY_PRCNTG_ACTVTY</v>
          </cell>
          <cell r="B69" t="str">
            <v>GD + LT Estr + P3</v>
          </cell>
          <cell r="C69" t="str">
            <v>PRCNTG_ACTVTY</v>
          </cell>
          <cell r="D69" t="str">
            <v>INSTR_ACTIVITY</v>
          </cell>
          <cell r="E69" t="str">
            <v>6. Por iniciar</v>
          </cell>
          <cell r="F69">
            <v>1</v>
          </cell>
        </row>
      </sheetData>
      <sheetData sheetId="11">
        <row r="7">
          <cell r="B7" t="str">
            <v>Plano com SC2 -&gt; Cenário em que são efetuados campos GD e campos isolados P3</v>
          </cell>
        </row>
        <row r="9">
          <cell r="B9" t="str">
            <v>SC2 B) -&gt; CamposP3</v>
          </cell>
        </row>
        <row r="10">
          <cell r="B10" t="str">
            <v>Âmbito</v>
          </cell>
          <cell r="C10" t="str">
            <v>Campo</v>
          </cell>
          <cell r="D10" t="str">
            <v>Origem</v>
          </cell>
          <cell r="E10" t="str">
            <v>Status</v>
          </cell>
          <cell r="F10" t="str">
            <v>Total Horas</v>
          </cell>
        </row>
        <row r="11">
          <cell r="B11" t="str">
            <v>GD</v>
          </cell>
          <cell r="C11" t="str">
            <v xml:space="preserve">Testes ao Universo </v>
          </cell>
          <cell r="D11" t="str">
            <v>-</v>
          </cell>
          <cell r="E11" t="str">
            <v>2. Em Teste</v>
          </cell>
          <cell r="F11">
            <v>16</v>
          </cell>
        </row>
        <row r="12">
          <cell r="A12" t="str">
            <v>INSTRUMENT_NW_BSNSS</v>
          </cell>
          <cell r="B12" t="str">
            <v>GD</v>
          </cell>
          <cell r="C12" t="str">
            <v>NW_BSNSS</v>
          </cell>
          <cell r="D12" t="str">
            <v>INSTRUMENT</v>
          </cell>
          <cell r="E12" t="str">
            <v>2. Em Teste</v>
          </cell>
          <cell r="F12">
            <v>10.1</v>
          </cell>
        </row>
        <row r="13">
          <cell r="A13" t="str">
            <v>INSTRUMENT_GRSS_INTRST_INCM</v>
          </cell>
          <cell r="B13" t="str">
            <v>GD</v>
          </cell>
          <cell r="C13" t="str">
            <v>GRSS_INTRST_INCM</v>
          </cell>
          <cell r="D13" t="str">
            <v>INSTRUMENT</v>
          </cell>
          <cell r="E13" t="str">
            <v>2. Em Teste</v>
          </cell>
          <cell r="F13">
            <v>18.100000000000001</v>
          </cell>
        </row>
        <row r="14">
          <cell r="A14" t="str">
            <v>INSTRUMENT_GRSS_CMMSSN_INCM</v>
          </cell>
          <cell r="B14" t="str">
            <v>GD</v>
          </cell>
          <cell r="C14" t="str">
            <v>GRSS_CMMSSN_INCM</v>
          </cell>
          <cell r="D14" t="str">
            <v>INSTRUMENT</v>
          </cell>
          <cell r="E14" t="str">
            <v>2. Em Teste</v>
          </cell>
          <cell r="F14">
            <v>18.100000000000001</v>
          </cell>
        </row>
        <row r="15">
          <cell r="A15" t="str">
            <v>INSTRUMENT_GRSS_CMMSSN_INCM_OFF_BLNC</v>
          </cell>
          <cell r="B15" t="str">
            <v>GD</v>
          </cell>
          <cell r="C15" t="str">
            <v>GRSS_CMMSSN_INCM_OFF_BLNC</v>
          </cell>
          <cell r="D15" t="str">
            <v>INSTRUMENT</v>
          </cell>
          <cell r="E15" t="str">
            <v>2. Em Teste</v>
          </cell>
          <cell r="F15">
            <v>18.100000000000001</v>
          </cell>
        </row>
        <row r="16">
          <cell r="A16" t="str">
            <v>INSTR_PROTECTION_TYP_RLTN</v>
          </cell>
          <cell r="B16" t="str">
            <v>GD</v>
          </cell>
          <cell r="C16" t="str">
            <v>TYP_RLTN</v>
          </cell>
          <cell r="D16" t="str">
            <v>INSTR_PROTECTION</v>
          </cell>
          <cell r="E16" t="str">
            <v>6. Por iniciar</v>
          </cell>
          <cell r="F16">
            <v>18.100000000000001</v>
          </cell>
        </row>
        <row r="17">
          <cell r="A17" t="str">
            <v>INSTR_ACTIVITY_COD_SOC</v>
          </cell>
          <cell r="B17" t="str">
            <v>GD</v>
          </cell>
          <cell r="C17" t="str">
            <v>COD_SOC</v>
          </cell>
          <cell r="D17" t="str">
            <v>INSTR_ACTIVITY</v>
          </cell>
          <cell r="E17" t="str">
            <v>6. Por iniciar</v>
          </cell>
          <cell r="F17">
            <v>12.1</v>
          </cell>
        </row>
        <row r="18">
          <cell r="A18" t="str">
            <v>INSTR_ACTIVITY_DT_RFRNC</v>
          </cell>
          <cell r="B18" t="str">
            <v>GD</v>
          </cell>
          <cell r="C18" t="str">
            <v>DT_RFRNC</v>
          </cell>
          <cell r="D18" t="str">
            <v>INSTR_ACTIVITY</v>
          </cell>
          <cell r="E18" t="str">
            <v>6. Por iniciar</v>
          </cell>
          <cell r="F18">
            <v>7</v>
          </cell>
        </row>
        <row r="19">
          <cell r="A19" t="str">
            <v>INSTR_ACTIVITY_INSTRMNT_ID</v>
          </cell>
          <cell r="B19" t="str">
            <v>GD</v>
          </cell>
          <cell r="C19" t="str">
            <v>INSTRMNT_ID</v>
          </cell>
          <cell r="D19" t="str">
            <v>INSTR_ACTIVITY</v>
          </cell>
          <cell r="E19" t="str">
            <v>6. Por iniciar</v>
          </cell>
          <cell r="F19">
            <v>25.200000000000003</v>
          </cell>
        </row>
        <row r="20">
          <cell r="A20" t="str">
            <v>INSTR_ACTIVITY_SSTNBL_CTGRY</v>
          </cell>
          <cell r="B20" t="str">
            <v>GD</v>
          </cell>
          <cell r="C20" t="str">
            <v>SSTNBL_CTGRY</v>
          </cell>
          <cell r="D20" t="str">
            <v>INSTR_ACTIVITY</v>
          </cell>
          <cell r="E20" t="str">
            <v>6. Por iniciar</v>
          </cell>
          <cell r="F20">
            <v>18.100000000000001</v>
          </cell>
        </row>
        <row r="21">
          <cell r="A21" t="str">
            <v>INSTR_ACTIVITY_SSTNBL_INDCTR</v>
          </cell>
          <cell r="B21" t="str">
            <v>GD</v>
          </cell>
          <cell r="C21" t="str">
            <v>SSTNBL_INDCTR</v>
          </cell>
          <cell r="D21" t="str">
            <v>INSTR_ACTIVITY</v>
          </cell>
          <cell r="E21" t="str">
            <v>6. Por iniciar</v>
          </cell>
          <cell r="F21">
            <v>18.100000000000001</v>
          </cell>
        </row>
        <row r="22">
          <cell r="C22" t="str">
            <v>re-testes</v>
          </cell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</sheetData>
      <sheetData sheetId="1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602.475379166666" backgroundQuery="1" createdVersion="8" refreshedVersion="8" minRefreshableVersion="3" recordCount="0" supportSubquery="1" supportAdvancedDrill="1" xr:uid="{A681B86B-49EE-4719-A7B0-F7BCBC663D5B}">
  <cacheSource type="external" connectionId="1"/>
  <cacheFields count="5">
    <cacheField name="[Range].[STATUS].[STATUS]" caption="STATUS" numFmtId="0" hierarchy="25" level="1">
      <sharedItems count="7">
        <s v="Campo eliminado"/>
        <s v="Campo eliminado - troca tabela"/>
        <s v="Nome campo alterado"/>
        <s v="Nova Tabela"/>
        <s v="Nova Tabela - Campo existente"/>
        <s v="Novo Campo"/>
        <s v="Sem alteração"/>
      </sharedItems>
    </cacheField>
    <cacheField name="[Range].[AMBITO].[AMBITO]" caption="AMBITO" numFmtId="0" hierarchy="24" level="1">
      <sharedItems count="10">
        <s v="PILAR3"/>
        <s v="GD &amp; PILAR3"/>
        <s v="ESTR &amp; GD &amp; PILAR3"/>
        <s v="ESG_RISKS"/>
        <s v="ESTR"/>
        <s v="ESTR &amp; GFINANCE"/>
        <s v="GD"/>
        <s v="ESTR &amp; GD"/>
        <s v="ESTR &amp; PILAR3"/>
        <s v="LF"/>
      </sharedItems>
    </cacheField>
    <cacheField name="[Measures].[Count of ID Data field / Field order]" caption="Count of ID Data field / Field order" numFmtId="0" hierarchy="29" level="32767"/>
    <cacheField name="[Range].[Status Data Lake].[Status Data Lake]" caption="Status Data Lake" numFmtId="0" hierarchy="22" level="1">
      <sharedItems count="12">
        <s v="n/a"/>
        <s v="1. Especificar"/>
        <s v="2. Alterar especificação"/>
        <s v="3. Pendente de decisão"/>
        <s v="4.1 Em implementação - Re-especificação"/>
        <s v="4.2 Em implementação - Incidência"/>
        <s v="5.1 Em testes - Re-especificação"/>
        <s v="5.2 Em testes - Incidência"/>
        <s v="7. Analisar controlos e completude"/>
        <s v="8. Concluído - sem dados"/>
        <s v="9. Concluído"/>
        <s v="6. Outros Desenvolvimentos"/>
      </sharedItems>
    </cacheField>
    <cacheField name="[Range].[Leveraged Finance].[Leveraged Finance]" caption="Leveraged Finance" numFmtId="0" hierarchy="10" level="1">
      <sharedItems count="2">
        <s v="N"/>
        <s v="Y"/>
      </sharedItems>
    </cacheField>
  </cacheFields>
  <cacheHierarchies count="30">
    <cacheHierarchy uniqueName="[Range].[ID Data field / Field order]" caption="ID Data field / Field order" attribute="1" defaultMemberUniqueName="[Range].[ID Data field / Field order].[All]" allUniqueName="[Range].[ID Data field / Field order].[All]" dimensionUniqueName="[Range]" displayFolder="" count="0" memberValueDatatype="130" unbalanced="0"/>
    <cacheHierarchy uniqueName="[Range].[CONCAT]" caption="CONCAT" attribute="1" defaultMemberUniqueName="[Range].[CONCAT].[All]" allUniqueName="[Range].[CONCAT].[All]" dimensionUniqueName="[Range]" displayFolder="" count="0" memberValueDatatype="130" unbalanced="0"/>
    <cacheHierarchy uniqueName="[Range].[Table]" caption="Table" attribute="1" defaultMemberUniqueName="[Range].[Table].[All]" allUniqueName="[Range].[Table].[All]" dimensionUniqueName="[Range]" displayFolder="" count="0" memberValueDatatype="130" unbalanced="0"/>
    <cacheHierarchy uniqueName="[Range].[Data field]" caption="Data field" attribute="1" defaultMemberUniqueName="[Range].[Data field].[All]" allUniqueName="[Range].[Data field].[All]" dimensionUniqueName="[Range]" displayFolder="" count="0" memberValueDatatype="130" unbalanced="0"/>
    <cacheHierarchy uniqueName="[Range].[Field name]" caption="Field name" attribute="1" defaultMemberUniqueName="[Range].[Field name].[All]" allUniqueName="[Range].[Field name].[All]" dimensionUniqueName="[Range]" displayFolder="" count="0" memberValueDatatype="130" unbalanced="0"/>
    <cacheHierarchy uniqueName="[Range].[Structural  ECB Loan Tape]" caption="Structural  ECB Loan Tape" attribute="1" defaultMemberUniqueName="[Range].[Structural  ECB Loan Tape].[All]" allUniqueName="[Range].[Structural  ECB Loan Tape].[All]" dimensionUniqueName="[Range]" displayFolder="" count="0" memberValueDatatype="130" unbalanced="0"/>
    <cacheHierarchy uniqueName="[Range].[Green  Dashboard]" caption="Green  Dashboard" attribute="1" defaultMemberUniqueName="[Range].[Green  Dashboard].[All]" allUniqueName="[Range].[Green  Dashboard].[All]" dimensionUniqueName="[Range]" displayFolder="" count="0" memberValueDatatype="130" unbalanced="0"/>
    <cacheHierarchy uniqueName="[Range].[Pillar III ESG]" caption="Pillar III ESG" attribute="1" defaultMemberUniqueName="[Range].[Pillar III ESG].[All]" allUniqueName="[Range].[Pillar III ESG].[All]" dimensionUniqueName="[Range]" displayFolder="" count="0" memberValueDatatype="130" unbalanced="0"/>
    <cacheHierarchy uniqueName="[Range].[Green Finance]" caption="Green Finance" attribute="1" defaultMemberUniqueName="[Range].[Green Finance].[All]" allUniqueName="[Range].[Green Finance].[All]" dimensionUniqueName="[Range]" displayFolder="" count="0" memberValueDatatype="130" unbalanced="0"/>
    <cacheHierarchy uniqueName="[Range].[ESG Risks]" caption="ESG Risks" attribute="1" defaultMemberUniqueName="[Range].[ESG Risks].[All]" allUniqueName="[Range].[ESG Risks].[All]" dimensionUniqueName="[Range]" displayFolder="" count="0" memberValueDatatype="130" unbalanced="0"/>
    <cacheHierarchy uniqueName="[Range].[Leveraged Finance]" caption="Leveraged Finance" attribute="1" defaultMemberUniqueName="[Range].[Leveraged Finance].[All]" allUniqueName="[Range].[Leveraged Financ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ATUAL_Structural  ECB Loan Tape]" caption="ATUAL_Structural  ECB Loan Tape" attribute="1" defaultMemberUniqueName="[Range].[ATUAL_Structural  ECB Loan Tape].[All]" allUniqueName="[Range].[ATUAL_Structural  ECB Loan Tape].[All]" dimensionUniqueName="[Range]" displayFolder="" count="0" memberValueDatatype="130" unbalanced="0"/>
    <cacheHierarchy uniqueName="[Range].[val_ESTR]" caption="val_ESTR" attribute="1" defaultMemberUniqueName="[Range].[val_ESTR].[All]" allUniqueName="[Range].[val_ESTR].[All]" dimensionUniqueName="[Range]" displayFolder="" count="0" memberValueDatatype="130" unbalanced="0"/>
    <cacheHierarchy uniqueName="[Range].[ATUAL_Green  Dashboard]" caption="ATUAL_Green  Dashboard" attribute="1" defaultMemberUniqueName="[Range].[ATUAL_Green  Dashboard].[All]" allUniqueName="[Range].[ATUAL_Green  Dashboard].[All]" dimensionUniqueName="[Range]" displayFolder="" count="0" memberValueDatatype="130" unbalanced="0"/>
    <cacheHierarchy uniqueName="[Range].[val_GD]" caption="val_GD" attribute="1" defaultMemberUniqueName="[Range].[val_GD].[All]" allUniqueName="[Range].[val_GD].[All]" dimensionUniqueName="[Range]" displayFolder="" count="0" memberValueDatatype="130" unbalanced="0"/>
    <cacheHierarchy uniqueName="[Range].[ATUAL_Pillar III ESG]" caption="ATUAL_Pillar III ESG" attribute="1" defaultMemberUniqueName="[Range].[ATUAL_Pillar III ESG].[All]" allUniqueName="[Range].[ATUAL_Pillar III ESG].[All]" dimensionUniqueName="[Range]" displayFolder="" count="0" memberValueDatatype="130" unbalanced="0"/>
    <cacheHierarchy uniqueName="[Range].[val_PILAR3]" caption="val_PILAR3" attribute="1" defaultMemberUniqueName="[Range].[val_PILAR3].[All]" allUniqueName="[Range].[val_PILAR3].[All]" dimensionUniqueName="[Range]" displayFolder="" count="0" memberValueDatatype="130" unbalanced="0"/>
    <cacheHierarchy uniqueName="[Range].[ATUAL_Green Finance]" caption="ATUAL_Green Finance" attribute="1" defaultMemberUniqueName="[Range].[ATUAL_Green Finance].[All]" allUniqueName="[Range].[ATUAL_Green Finance].[All]" dimensionUniqueName="[Range]" displayFolder="" count="0" memberValueDatatype="130" unbalanced="0"/>
    <cacheHierarchy uniqueName="[Range].[ATUAL_ESG Risks]" caption="ATUAL_ESG Risks" attribute="1" defaultMemberUniqueName="[Range].[ATUAL_ESG Risks].[All]" allUniqueName="[Range].[ATUAL_ESG Risks].[All]" dimensionUniqueName="[Range]" displayFolder="" count="0" memberValueDatatype="130" unbalanced="0"/>
    <cacheHierarchy uniqueName="[Range].[val_ESG_RISKS]" caption="val_ESG_RISKS" attribute="1" defaultMemberUniqueName="[Range].[val_ESG_RISKS].[All]" allUniqueName="[Range].[val_ESG_RISKS].[All]" dimensionUniqueName="[Range]" displayFolder="" count="0" memberValueDatatype="130" unbalanced="0"/>
    <cacheHierarchy uniqueName="[Range].[ATUAL_Leveraged Finance]" caption="ATUAL_Leveraged Finance" attribute="1" defaultMemberUniqueName="[Range].[ATUAL_Leveraged Finance].[All]" allUniqueName="[Range].[ATUAL_Leveraged Finance].[All]" dimensionUniqueName="[Range]" displayFolder="" count="0" memberValueDatatype="130" unbalanced="0"/>
    <cacheHierarchy uniqueName="[Range].[Fonte manual LF]" caption="Fonte manual LF" attribute="1" defaultMemberUniqueName="[Range].[Fonte manual LF].[All]" allUniqueName="[Range].[Fonte manual LF].[All]" dimensionUniqueName="[Range]" displayFolder="" count="0" memberValueDatatype="130" unbalanced="0"/>
    <cacheHierarchy uniqueName="[Range].[Status Data Lake]" caption="Status Data Lake" attribute="1" defaultMemberUniqueName="[Range].[Status Data Lake].[All]" allUniqueName="[Range].[Status Data Lake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tatus Data Lake (Detalhe)]" caption="Status Data Lake (Detalhe)" attribute="1" defaultMemberUniqueName="[Range].[Status Data Lake (Detalhe)].[All]" allUniqueName="[Range].[Status Data Lake (Detalhe)].[All]" dimensionUniqueName="[Range]" displayFolder="" count="0" memberValueDatatype="130" unbalanced="0"/>
    <cacheHierarchy uniqueName="[Range].[AMBITO]" caption="AMBITO" attribute="1" defaultMemberUniqueName="[Range].[AMBITO].[All]" allUniqueName="[Range].[AMBITO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ONCAT]" caption="Count of CONCAT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D Data field / Field order]" caption="Count of ID Data field / Field ord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D8019-A662-417D-B297-C8FED492134F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H4:L72" firstHeaderRow="1" firstDataRow="1" firstDataCol="4"/>
  <pivotFields count="5"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4">
    <field x="4"/>
    <field x="0"/>
    <field x="1"/>
    <field x="3"/>
  </rowFields>
  <rowItems count="68">
    <i>
      <x/>
      <x/>
      <x/>
      <x/>
    </i>
    <i r="1">
      <x v="1"/>
      <x v="1"/>
      <x/>
    </i>
    <i r="2">
      <x/>
      <x/>
    </i>
    <i r="1">
      <x v="2"/>
      <x/>
      <x/>
    </i>
    <i r="1">
      <x v="3"/>
      <x v="2"/>
      <x/>
    </i>
    <i r="2">
      <x v="1"/>
      <x/>
    </i>
    <i r="2">
      <x/>
      <x/>
    </i>
    <i r="1">
      <x v="4"/>
      <x v="1"/>
      <x/>
    </i>
    <i r="2">
      <x/>
      <x/>
    </i>
    <i r="1">
      <x v="5"/>
      <x v="3"/>
      <x/>
    </i>
    <i r="2">
      <x v="4"/>
      <x/>
    </i>
    <i r="2">
      <x v="5"/>
      <x/>
    </i>
    <i r="2">
      <x v="6"/>
      <x/>
    </i>
    <i r="2">
      <x v="1"/>
      <x/>
    </i>
    <i r="2">
      <x/>
      <x/>
    </i>
    <i r="1">
      <x v="6"/>
      <x v="4"/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7"/>
      <x v="6"/>
    </i>
    <i r="3">
      <x v="10"/>
    </i>
    <i r="2">
      <x v="2"/>
      <x v="4"/>
    </i>
    <i r="3">
      <x v="7"/>
    </i>
    <i r="3">
      <x v="8"/>
    </i>
    <i r="3">
      <x v="10"/>
    </i>
    <i r="2">
      <x v="5"/>
      <x v="10"/>
    </i>
    <i r="2">
      <x v="8"/>
      <x v="1"/>
    </i>
    <i r="3">
      <x v="2"/>
    </i>
    <i r="3">
      <x v="3"/>
    </i>
    <i r="3">
      <x v="4"/>
    </i>
    <i r="3">
      <x v="8"/>
    </i>
    <i r="3">
      <x v="10"/>
    </i>
    <i r="2">
      <x v="6"/>
      <x v="1"/>
    </i>
    <i r="3">
      <x/>
    </i>
    <i r="2">
      <x v="1"/>
      <x/>
    </i>
    <i r="2">
      <x/>
      <x v="1"/>
    </i>
    <i r="3">
      <x/>
    </i>
    <i>
      <x v="1"/>
      <x v="5"/>
      <x v="2"/>
      <x/>
    </i>
    <i r="2">
      <x v="9"/>
      <x/>
    </i>
    <i r="1">
      <x v="6"/>
      <x v="4"/>
      <x v="1"/>
    </i>
    <i r="3">
      <x v="2"/>
    </i>
    <i r="3">
      <x v="3"/>
    </i>
    <i r="3">
      <x v="4"/>
    </i>
    <i r="3">
      <x v="6"/>
    </i>
    <i r="3">
      <x v="7"/>
    </i>
    <i r="3">
      <x v="11"/>
    </i>
    <i r="3">
      <x v="8"/>
    </i>
    <i r="3">
      <x v="9"/>
    </i>
    <i r="3">
      <x v="10"/>
    </i>
    <i r="2">
      <x v="7"/>
      <x v="6"/>
    </i>
    <i r="3">
      <x v="8"/>
    </i>
    <i r="3">
      <x v="10"/>
    </i>
    <i r="2">
      <x v="2"/>
      <x v="2"/>
    </i>
    <i r="3">
      <x v="4"/>
    </i>
    <i r="3">
      <x v="6"/>
    </i>
    <i r="3">
      <x v="10"/>
    </i>
    <i r="2">
      <x v="8"/>
      <x v="1"/>
    </i>
    <i r="3">
      <x v="2"/>
    </i>
    <i r="3">
      <x v="4"/>
    </i>
    <i r="3">
      <x v="7"/>
    </i>
    <i r="3">
      <x v="8"/>
    </i>
    <i r="3">
      <x v="10"/>
    </i>
  </rowItems>
  <colItems count="1">
    <i/>
  </colItems>
  <dataFields count="1">
    <dataField name="# Campos" fld="2" subtotal="count" baseField="0" baseItem="0"/>
  </dataFields>
  <formats count="16">
    <format dxfId="92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1">
      <pivotArea dataOnly="0" labelOnly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90">
      <pivotArea collapsedLevelsAreSubtotals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89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1"/>
          </reference>
        </references>
      </pivotArea>
    </format>
    <format dxfId="88">
      <pivotArea collapsedLevelsAreSubtotals="1" fieldPosition="0">
        <references count="2">
          <reference field="0" count="1" selected="0">
            <x v="4"/>
          </reference>
          <reference field="1" count="2">
            <x v="0"/>
            <x v="1"/>
          </reference>
        </references>
      </pivotArea>
    </format>
    <format dxfId="87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1"/>
          </reference>
        </references>
      </pivotArea>
    </format>
    <format dxfId="86">
      <pivotArea collapsedLevelsAreSubtotals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85">
      <pivotArea dataOnly="0" labelOnly="1" fieldPosition="0">
        <references count="2">
          <reference field="0" count="1" selected="0">
            <x v="5"/>
          </reference>
          <reference field="1" count="1">
            <x v="3"/>
          </reference>
        </references>
      </pivotArea>
    </format>
    <format dxfId="84">
      <pivotArea collapsedLevelsAreSubtotals="1" fieldPosition="0">
        <references count="2">
          <reference field="0" count="1" selected="0">
            <x v="5"/>
          </reference>
          <reference field="1" count="1">
            <x v="9"/>
          </reference>
        </references>
      </pivotArea>
    </format>
    <format dxfId="83">
      <pivotArea dataOnly="0" labelOnly="1" fieldPosition="0">
        <references count="2">
          <reference field="0" count="1" selected="0">
            <x v="5"/>
          </reference>
          <reference field="1" count="1">
            <x v="9"/>
          </reference>
        </references>
      </pivotArea>
    </format>
    <format dxfId="82">
      <pivotArea collapsedLevelsAreSubtotals="1" fieldPosition="0">
        <references count="2">
          <reference field="0" count="1" selected="0">
            <x v="5"/>
          </reference>
          <reference field="1" count="2">
            <x v="1"/>
            <x v="6"/>
          </reference>
        </references>
      </pivotArea>
    </format>
    <format dxfId="81">
      <pivotArea dataOnly="0" labelOnly="1" fieldPosition="0">
        <references count="2">
          <reference field="0" count="1" selected="0">
            <x v="5"/>
          </reference>
          <reference field="1" count="2">
            <x v="1"/>
            <x v="6"/>
          </reference>
        </references>
      </pivotArea>
    </format>
    <format dxfId="80">
      <pivotArea collapsedLevelsAreSubtotals="1" fieldPosition="0">
        <references count="2">
          <reference field="0" count="1" selected="0">
            <x v="5"/>
          </reference>
          <reference field="1" count="3">
            <x v="2"/>
            <x v="4"/>
            <x v="5"/>
          </reference>
        </references>
      </pivotArea>
    </format>
    <format dxfId="79">
      <pivotArea dataOnly="0" labelOnly="1" fieldPosition="0">
        <references count="2">
          <reference field="0" count="1" selected="0">
            <x v="5"/>
          </reference>
          <reference field="1" count="3">
            <x v="2"/>
            <x v="4"/>
            <x v="5"/>
          </reference>
        </references>
      </pivotArea>
    </format>
    <format dxfId="78">
      <pivotArea collapsedLevelsAreSubtotals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  <format dxfId="77">
      <pivotArea dataOnly="0" labelOnly="1" fieldPosition="0">
        <references count="2">
          <reference field="0" count="1" selected="0">
            <x v="3"/>
          </reference>
          <reference field="1" count="1">
            <x v="2"/>
          </reference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# Campos"/>
  </pivotHierarchies>
  <pivotTableStyleInfo showRowHeaders="1" showColHeaders="1" showRowStripes="0" showColStripes="0" showLastColumn="1"/>
  <rowHierarchiesUsage count="4">
    <rowHierarchyUsage hierarchyUsage="10"/>
    <rowHierarchyUsage hierarchyUsage="25"/>
    <rowHierarchyUsage hierarchyUsage="24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STA - Setembro2024!$A$3:$Z$53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0C489-B942-4BF6-A2E1-5FE3F497D06F}" name="Table1" displayName="Table1" ref="A3:AL71" totalsRowShown="0" headerRowDxfId="76" dataDxfId="75" tableBorderDxfId="74">
  <autoFilter ref="A3:AL71" xr:uid="{49D0C489-B942-4BF6-A2E1-5FE3F497D06F}"/>
  <tableColumns count="38">
    <tableColumn id="1" xr3:uid="{CF9BD283-6A8E-4BEA-A06B-F71BB66627C1}" name="ID Data field / Field order" dataDxfId="73"/>
    <tableColumn id="2" xr3:uid="{87B7428D-458A-44AB-AE60-E540C21785FD}" name="CONCAT" dataDxfId="72">
      <calculatedColumnFormula>C4&amp;"_"&amp;D4</calculatedColumnFormula>
    </tableColumn>
    <tableColumn id="3" xr3:uid="{5D5A70B3-7F11-4964-9318-227F32585277}" name="Table" dataDxfId="71"/>
    <tableColumn id="4" xr3:uid="{4181B3EF-0145-430F-B65B-37583DB7D77E}" name="Data field" dataDxfId="70"/>
    <tableColumn id="5" xr3:uid="{4C31B094-06EF-4261-92C5-0E8ABEC7954E}" name="Field name" dataDxfId="69"/>
    <tableColumn id="6" xr3:uid="{DD005F0B-5E15-4C9A-929E-834C26394AF7}" name="Structural _x000a_ECB Loan Tape" dataDxfId="68"/>
    <tableColumn id="7" xr3:uid="{8BF2831F-D19C-4A61-9D78-12FB624421EC}" name="Green _x000a_Dashboard" dataDxfId="67"/>
    <tableColumn id="8" xr3:uid="{89D2D43F-8A9E-447E-9208-ED0932F37E5C}" name="Pillar III ESG" dataDxfId="66"/>
    <tableColumn id="9" xr3:uid="{27A3E863-A161-4BAA-A839-0272308D680C}" name="Green Finance" dataDxfId="65"/>
    <tableColumn id="10" xr3:uid="{7AE03954-7B10-48CF-A5EB-04A8C13C8029}" name="ESG Risks" dataDxfId="64"/>
    <tableColumn id="11" xr3:uid="{056107EF-3AAD-4566-A63F-7AB6A351D1D3}" name="Leveraged Finance" dataDxfId="63"/>
    <tableColumn id="12" xr3:uid="{EC20E77C-2B2B-4B06-9747-CA9BBBC79651}" name="ATUAL_Structural _x000a_ECB Loan Tape" dataDxfId="62">
      <calculatedColumnFormula>IFERROR(VLOOKUP($B4,'LISTA - Atual'!$B$1:$I$444,5,0),"Novo")</calculatedColumnFormula>
    </tableColumn>
    <tableColumn id="13" xr3:uid="{D792329F-3B4C-44F9-B5F7-E98DBEC13F29}" name="val_ESTR" dataDxfId="61">
      <calculatedColumnFormula>IF(L4="Novo","Novo Campo",IF(L4=F4,"Igual","Diferente"))</calculatedColumnFormula>
    </tableColumn>
    <tableColumn id="14" xr3:uid="{384B92E3-E594-481C-84CC-72212F57B372}" name="ATUAL_Green _x000a_Dashboard" dataDxfId="60">
      <calculatedColumnFormula>IFERROR(VLOOKUP($B4,'LISTA - Atual'!$B$1:$I$444,6,0),"Novo")</calculatedColumnFormula>
    </tableColumn>
    <tableColumn id="15" xr3:uid="{7B492ECB-1A8E-4499-8FEC-CE55E465B2C6}" name="val_GD" dataDxfId="59">
      <calculatedColumnFormula>IF(N4="Novo","Novo Campo",IF(N4=G4,"Igual","Diferente"))</calculatedColumnFormula>
    </tableColumn>
    <tableColumn id="16" xr3:uid="{0D976807-6ADC-41BE-BB84-8FBF9BCB6635}" name="ATUAL_Pillar III ESG" dataDxfId="58">
      <calculatedColumnFormula>IFERROR(VLOOKUP($B4,'LISTA - Atual'!$B$1:$I$444,7,0),"Novo")</calculatedColumnFormula>
    </tableColumn>
    <tableColumn id="17" xr3:uid="{07494FDC-22BF-4DE0-A54A-72D6646B0C37}" name="val_PILAR3" dataDxfId="57">
      <calculatedColumnFormula>IF(P4="Novo","Novo Campo",IF(P4=H4,"Igual","Diferente"))</calculatedColumnFormula>
    </tableColumn>
    <tableColumn id="18" xr3:uid="{40CEA8B1-A32D-4FCA-A26E-47073C19A759}" name="ATUAL_Green Finance" dataDxfId="56"/>
    <tableColumn id="19" xr3:uid="{31EAD436-164A-45BE-9F3B-ABD581EA7B7D}" name="ATUAL_ESG Risks" dataDxfId="55">
      <calculatedColumnFormula>IFERROR(VLOOKUP($B4,'LISTA - Atual'!$B$1:$I$444,8,0),"Novo")</calculatedColumnFormula>
    </tableColumn>
    <tableColumn id="20" xr3:uid="{AED6FFC1-010B-471C-B5A9-9F486EF128E0}" name="val_ESG_RISKS" dataDxfId="54">
      <calculatedColumnFormula>IF(S4="Novo","Novo Campo",IF(S4=J4,"Igual","Diferente"))</calculatedColumnFormula>
    </tableColumn>
    <tableColumn id="21" xr3:uid="{944F8381-2E50-40AF-A45E-7AC15468218D}" name="ATUAL_Leveraged Finance" dataDxfId="53"/>
    <tableColumn id="22" xr3:uid="{72CD3A0C-33CB-49DE-8498-EA85E407AA99}" name="Fonte manual LF" dataDxfId="52"/>
    <tableColumn id="23" xr3:uid="{16D7F1B6-ED4F-435F-ABE8-D48870F2816D}" name="Status Data Lake" dataDxfId="51">
      <calculatedColumnFormula>IFERROR(VLOOKUP(B4,#REF!,11,0),"n/a")</calculatedColumnFormula>
    </tableColumn>
    <tableColumn id="24" xr3:uid="{F2349785-F674-4A1C-A1C7-AE2FEE0DA6DC}" name="Status Data Lake (Detalhe)" dataDxfId="50">
      <calculatedColumnFormula>IFERROR(VLOOKUP(B4,#REF!,8,0),"n/a")</calculatedColumnFormula>
    </tableColumn>
    <tableColumn id="25" xr3:uid="{ADF1415C-17B8-4392-B52F-952458E32240}" name="AMBITO" dataDxfId="49">
      <calculatedColumnFormula>$H$2</calculatedColumnFormula>
    </tableColumn>
    <tableColumn id="26" xr3:uid="{02E47A27-50A0-40BB-89F2-9FAD060E2161}" name="STATUS" dataDxfId="48"/>
    <tableColumn id="27" xr3:uid="{5AAA3874-B4F0-4551-A331-F0BFB03D3878}" name="Est anterior " dataDxfId="47">
      <calculatedColumnFormula>VLOOKUP(Table1[[#This Row],[CONCAT]],'[1]1. Tipologias Testes GD'!$F:$L,7,0)</calculatedColumnFormula>
    </tableColumn>
    <tableColumn id="28" xr3:uid="{C44C4062-93B1-4E8F-A8AF-BED12033C935}" name="format" dataDxfId="46"/>
    <tableColumn id="29" xr3:uid="{72725B85-4296-4F8D-873C-9BD65575B299}" name="Complexidade_x000a_(todos)" dataDxfId="45"/>
    <tableColumn id="30" xr3:uid="{AE833E75-5A02-4D00-B2C2-4363F4B651C9}" name="Especificação" dataDxfId="44">
      <calculatedColumnFormula>INDEX(Auxiliar!$D$5:$I$10,MATCH('Lista - Âmbito Projeto GD'!AD$3,Auxiliar!$B$5:$B$10,0),MATCH('Lista - Âmbito Projeto GD'!$AC4,Auxiliar!$D$4:$I$4,0))</calculatedColumnFormula>
    </tableColumn>
    <tableColumn id="31" xr3:uid="{3E2A4B03-BB66-49E2-A74F-E244D14390CC}" name="Simulação" dataDxfId="43">
      <calculatedColumnFormula>INDEX(Auxiliar!$D$5:$I$10,MATCH('Lista - Âmbito Projeto GD'!AE$3,Auxiliar!$B$5:$B$10,0),MATCH('Lista - Âmbito Projeto GD'!$AC4,Auxiliar!$D$4:$I$4,0))</calculatedColumnFormula>
    </tableColumn>
    <tableColumn id="32" xr3:uid="{0D5DE465-A31E-4D69-AA37-BBE8EB05DB25}" name="2. Testes comparativos" dataDxfId="42">
      <calculatedColumnFormula>INDEX(Auxiliar!$D$5:$I$10,MATCH('Lista - Âmbito Projeto GD'!AF$3,Auxiliar!$B$5:$B$10,0),MATCH('Lista - Âmbito Projeto GD'!$AC4,Auxiliar!$D$4:$I$4,0))</calculatedColumnFormula>
    </tableColumn>
    <tableColumn id="33" xr3:uid="{AAD4430F-B241-4D38-BC3B-46FE6E3623BF}" name="Complexidade (code list)" dataDxfId="41">
      <calculatedColumnFormula>IF(OR(AB4="Code List",AB4="Y, N"),AC4,"n.a.")</calculatedColumnFormula>
    </tableColumn>
    <tableColumn id="34" xr3:uid="{ED6F73DB-7E8A-44CD-B39F-8F8D80759A62}" name="3. Val. Code List" dataDxfId="40">
      <calculatedColumnFormula>INDEX(Auxiliar!$D$5:$I$10,MATCH('Lista - Âmbito Projeto GD'!AH$3,Auxiliar!$B$5:$B$10,0),MATCH('Lista - Âmbito Projeto GD'!$AG4,Auxiliar!$D$4:$I$4,0))</calculatedColumnFormula>
    </tableColumn>
    <tableColumn id="35" xr3:uid="{6883E051-2037-481A-B92E-12B226303461}" name="4. Val. Formatos" dataDxfId="39">
      <calculatedColumnFormula>INDEX(Auxiliar!$D$5:$I$10,MATCH('Lista - Âmbito Projeto GD'!AI$3,Auxiliar!$B$5:$B$10,0),MATCH('Lista - Âmbito Projeto GD'!$AC4,Auxiliar!$D$4:$I$4,0))</calculatedColumnFormula>
    </tableColumn>
    <tableColumn id="36" xr3:uid="{2E2F01AF-120F-47B0-BDA5-F67E4C2DF66A}" name="5. Val.Controlos Corp." dataDxfId="38">
      <calculatedColumnFormula>INDEX(Auxiliar!$D$5:$I$10,MATCH('Lista - Âmbito Projeto GD'!AJ$3,Auxiliar!$B$5:$B$10,0),MATCH('Lista - Âmbito Projeto GD'!$AC4,Auxiliar!$D$4:$I$4,0))</calculatedColumnFormula>
    </tableColumn>
    <tableColumn id="37" xr3:uid="{8EDC6DDB-DC5B-460B-B0BD-A8881F00215C}" name="Total Testes" dataDxfId="37">
      <calculatedColumnFormula>SUM(AF4,AH4:AJ4)</calculatedColumnFormula>
    </tableColumn>
    <tableColumn id="38" xr3:uid="{7FF97967-2AEB-4483-B720-04ECE8727D52}" name="Observações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846455-7A99-42E8-905C-C109E31DA158}" name="Table13" displayName="Table13" ref="B3:H71" totalsRowShown="0" headerRowDxfId="35" dataDxfId="34" tableBorderDxfId="33">
  <autoFilter ref="B3:H71" xr:uid="{C1846455-7A99-42E8-905C-C109E31DA158}">
    <filterColumn colId="6">
      <filters>
        <filter val="Não será contemplado no âmbito da proposta - Banco não tem esta informação na fonte/Sem materialidade"/>
        <filter val="Não será contemplado no âmbito da proposta - Campos do LT ESTR"/>
        <filter val="SB - Validar com CdG"/>
      </filters>
    </filterColumn>
  </autoFilter>
  <tableColumns count="7">
    <tableColumn id="3" xr3:uid="{BFAC1ECD-E860-4D62-A0F2-2B105AC1E8D5}" name="Table" dataDxfId="32"/>
    <tableColumn id="4" xr3:uid="{4B5F2AD5-1D0B-4B49-B9C4-61D0436887D3}" name="Data field" dataDxfId="31"/>
    <tableColumn id="5" xr3:uid="{7C378C0F-7363-40EC-AD2E-C529C88CAC91}" name="Field name" dataDxfId="30"/>
    <tableColumn id="28" xr3:uid="{04EE897E-3929-45F2-9FFD-958A569FA3F2}" name="format" dataDxfId="29"/>
    <tableColumn id="25" xr3:uid="{4F487B90-696F-4CC8-A40E-84314B13E7B7}" name="AMBITO" dataDxfId="28"/>
    <tableColumn id="29" xr3:uid="{91493EC5-7CCD-46F4-B965-B3F92C095979}" name="Complexidade_x000a_(todos)" dataDxfId="27"/>
    <tableColumn id="1" xr3:uid="{762F6B25-0ABE-427C-B2E0-6718538F906B}" name="Observações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8D2E-C734-47CF-9FCD-1FC2EFEEE352}">
  <sheetPr>
    <tabColor theme="4"/>
    <pageSetUpPr autoPageBreaks="0"/>
  </sheetPr>
  <dimension ref="A1:CQ226"/>
  <sheetViews>
    <sheetView showGridLines="0" zoomScale="66" zoomScaleNormal="60" workbookViewId="0">
      <pane xSplit="4" ySplit="8" topLeftCell="E9" activePane="bottomRight" state="frozen"/>
      <selection pane="topRight" activeCell="F1" sqref="F1"/>
      <selection pane="bottomLeft" activeCell="A4" sqref="A4"/>
      <selection pane="bottomRight" activeCell="F69" sqref="F69"/>
    </sheetView>
  </sheetViews>
  <sheetFormatPr defaultColWidth="5.58203125" defaultRowHeight="0" customHeight="1" zeroHeight="1" outlineLevelRow="3" x14ac:dyDescent="0.3"/>
  <cols>
    <col min="1" max="1" width="2.6640625" style="135" customWidth="1"/>
    <col min="2" max="2" width="2.6640625" style="132" customWidth="1"/>
    <col min="3" max="3" width="39.9140625" style="133" bestFit="1" customWidth="1"/>
    <col min="4" max="4" width="20.6640625" style="134" customWidth="1"/>
    <col min="5" max="5" width="29.5" style="134" bestFit="1" customWidth="1"/>
    <col min="6" max="6" width="15.6640625" style="161" customWidth="1"/>
    <col min="7" max="7" width="18.6640625" style="134" customWidth="1"/>
    <col min="8" max="8" width="18.6640625" style="175" customWidth="1"/>
    <col min="9" max="9" width="9" style="135" bestFit="1" customWidth="1"/>
    <col min="10" max="14" width="5.58203125" style="135"/>
  </cols>
  <sheetData>
    <row r="1" spans="1:95" ht="14.9" customHeight="1" x14ac:dyDescent="0.3">
      <c r="H1" s="173">
        <f>I1/8/5</f>
        <v>68.2</v>
      </c>
      <c r="I1" s="162">
        <f>SUM(J1:AF1)</f>
        <v>2728</v>
      </c>
      <c r="K1" s="135">
        <f t="shared" ref="K1:M1" si="0">K4*8*5</f>
        <v>124</v>
      </c>
      <c r="L1" s="135">
        <f t="shared" si="0"/>
        <v>124</v>
      </c>
      <c r="M1" s="135">
        <f t="shared" si="0"/>
        <v>124</v>
      </c>
      <c r="N1" s="135">
        <f t="shared" ref="N1:BM1" si="1">N4*8*5</f>
        <v>124</v>
      </c>
      <c r="O1" s="135">
        <f t="shared" si="1"/>
        <v>124</v>
      </c>
      <c r="P1" s="135">
        <f t="shared" si="1"/>
        <v>124</v>
      </c>
      <c r="Q1" s="135">
        <f t="shared" si="1"/>
        <v>124</v>
      </c>
      <c r="R1" s="135">
        <f t="shared" si="1"/>
        <v>124</v>
      </c>
      <c r="S1" s="135">
        <f t="shared" si="1"/>
        <v>124</v>
      </c>
      <c r="T1" s="135">
        <f t="shared" si="1"/>
        <v>124</v>
      </c>
      <c r="U1" s="135">
        <f t="shared" si="1"/>
        <v>124</v>
      </c>
      <c r="V1" s="135">
        <f t="shared" si="1"/>
        <v>124</v>
      </c>
      <c r="W1" s="135">
        <f t="shared" si="1"/>
        <v>124</v>
      </c>
      <c r="X1" s="135">
        <f t="shared" si="1"/>
        <v>124</v>
      </c>
      <c r="Y1" s="135">
        <f t="shared" si="1"/>
        <v>124</v>
      </c>
      <c r="Z1" s="135">
        <f t="shared" si="1"/>
        <v>124</v>
      </c>
      <c r="AA1" s="135">
        <f t="shared" si="1"/>
        <v>124</v>
      </c>
      <c r="AB1" s="135">
        <f t="shared" si="1"/>
        <v>124</v>
      </c>
      <c r="AC1" s="135">
        <f t="shared" si="1"/>
        <v>124</v>
      </c>
      <c r="AD1" s="135">
        <f t="shared" si="1"/>
        <v>124</v>
      </c>
      <c r="AE1" s="135">
        <f t="shared" si="1"/>
        <v>124</v>
      </c>
      <c r="AF1" s="135">
        <f t="shared" si="1"/>
        <v>124</v>
      </c>
      <c r="AG1" s="135">
        <f t="shared" si="1"/>
        <v>84</v>
      </c>
      <c r="AH1" s="135">
        <f t="shared" si="1"/>
        <v>84</v>
      </c>
      <c r="AI1" s="135">
        <f t="shared" si="1"/>
        <v>84</v>
      </c>
      <c r="AJ1" s="135">
        <f t="shared" si="1"/>
        <v>84</v>
      </c>
      <c r="AK1" s="135">
        <f t="shared" si="1"/>
        <v>84</v>
      </c>
      <c r="AL1" s="135">
        <f t="shared" si="1"/>
        <v>84</v>
      </c>
      <c r="AM1" s="135">
        <f t="shared" si="1"/>
        <v>84</v>
      </c>
      <c r="AN1" s="135">
        <f t="shared" si="1"/>
        <v>84</v>
      </c>
      <c r="AO1" s="135">
        <f t="shared" si="1"/>
        <v>84</v>
      </c>
      <c r="AP1" s="135">
        <f t="shared" si="1"/>
        <v>84</v>
      </c>
      <c r="AQ1" s="135">
        <f t="shared" si="1"/>
        <v>84</v>
      </c>
      <c r="AR1" s="135">
        <f t="shared" si="1"/>
        <v>84</v>
      </c>
      <c r="AS1" s="135">
        <f t="shared" si="1"/>
        <v>84</v>
      </c>
      <c r="AT1" s="135">
        <f t="shared" si="1"/>
        <v>84</v>
      </c>
      <c r="AU1" s="135">
        <f t="shared" si="1"/>
        <v>84</v>
      </c>
      <c r="AV1" s="135">
        <f t="shared" si="1"/>
        <v>84</v>
      </c>
      <c r="AW1" s="135">
        <f t="shared" si="1"/>
        <v>84</v>
      </c>
      <c r="AX1" s="135">
        <f t="shared" si="1"/>
        <v>84</v>
      </c>
      <c r="AY1" s="135">
        <f t="shared" si="1"/>
        <v>84</v>
      </c>
      <c r="AZ1" s="135">
        <f t="shared" si="1"/>
        <v>84</v>
      </c>
      <c r="BA1" s="135">
        <f t="shared" si="1"/>
        <v>84</v>
      </c>
      <c r="BB1" s="135">
        <f t="shared" si="1"/>
        <v>0</v>
      </c>
      <c r="BC1" s="135">
        <f t="shared" si="1"/>
        <v>84</v>
      </c>
      <c r="BD1" s="135">
        <f t="shared" si="1"/>
        <v>84</v>
      </c>
      <c r="BE1" s="135">
        <f t="shared" si="1"/>
        <v>84</v>
      </c>
      <c r="BF1" s="135">
        <f t="shared" si="1"/>
        <v>84</v>
      </c>
      <c r="BG1" s="135">
        <f t="shared" si="1"/>
        <v>84</v>
      </c>
      <c r="BH1" s="135">
        <f t="shared" si="1"/>
        <v>84</v>
      </c>
      <c r="BI1" s="135">
        <f t="shared" si="1"/>
        <v>84</v>
      </c>
      <c r="BJ1" s="135">
        <f t="shared" si="1"/>
        <v>84</v>
      </c>
      <c r="BK1" s="135">
        <f t="shared" si="1"/>
        <v>84</v>
      </c>
      <c r="BL1" s="135">
        <f t="shared" si="1"/>
        <v>84</v>
      </c>
      <c r="BM1" s="135">
        <f t="shared" si="1"/>
        <v>84</v>
      </c>
      <c r="BN1" s="135">
        <f t="shared" ref="BN1:BU1" si="2">BN4*8*5</f>
        <v>84</v>
      </c>
      <c r="BO1" s="135">
        <f t="shared" si="2"/>
        <v>84</v>
      </c>
      <c r="BP1" s="135">
        <f t="shared" si="2"/>
        <v>84</v>
      </c>
      <c r="BQ1" s="135">
        <f t="shared" si="2"/>
        <v>84</v>
      </c>
      <c r="BR1" s="135">
        <f t="shared" si="2"/>
        <v>84</v>
      </c>
      <c r="BS1" s="135">
        <f t="shared" si="2"/>
        <v>84</v>
      </c>
      <c r="BT1" s="135">
        <f t="shared" si="2"/>
        <v>84</v>
      </c>
      <c r="BU1" s="135">
        <f t="shared" si="2"/>
        <v>84</v>
      </c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5"/>
      <c r="CK1" s="135"/>
      <c r="CL1" s="135"/>
      <c r="CM1" s="135"/>
      <c r="CN1" s="135"/>
      <c r="CO1" s="135"/>
      <c r="CP1" s="135"/>
      <c r="CQ1" s="135"/>
    </row>
    <row r="2" spans="1:95" ht="14.9" customHeight="1" x14ac:dyDescent="0.3">
      <c r="A2" s="140"/>
      <c r="B2" s="137"/>
      <c r="C2" s="138"/>
      <c r="D2" s="139"/>
      <c r="E2" s="139"/>
      <c r="F2" s="204"/>
      <c r="G2" s="139"/>
      <c r="H2" s="174"/>
      <c r="I2" s="142" t="s">
        <v>1596</v>
      </c>
      <c r="J2" s="141"/>
      <c r="K2" s="141">
        <f t="shared" ref="K2:M2" si="3">K3-K4</f>
        <v>0</v>
      </c>
      <c r="L2" s="141">
        <f t="shared" si="3"/>
        <v>0</v>
      </c>
      <c r="M2" s="141">
        <f t="shared" si="3"/>
        <v>0</v>
      </c>
      <c r="N2" s="141">
        <f t="shared" ref="N2:BM2" si="4">N3-N4</f>
        <v>0</v>
      </c>
      <c r="O2" s="141">
        <f t="shared" si="4"/>
        <v>0</v>
      </c>
      <c r="P2" s="141">
        <f t="shared" si="4"/>
        <v>0</v>
      </c>
      <c r="Q2" s="141">
        <f t="shared" si="4"/>
        <v>0</v>
      </c>
      <c r="R2" s="141">
        <f t="shared" si="4"/>
        <v>0</v>
      </c>
      <c r="S2" s="141">
        <f t="shared" si="4"/>
        <v>0</v>
      </c>
      <c r="T2" s="141">
        <f t="shared" si="4"/>
        <v>0</v>
      </c>
      <c r="U2" s="141">
        <f t="shared" si="4"/>
        <v>0</v>
      </c>
      <c r="V2" s="141">
        <f t="shared" si="4"/>
        <v>0</v>
      </c>
      <c r="W2" s="141">
        <f t="shared" si="4"/>
        <v>0</v>
      </c>
      <c r="X2" s="141">
        <f t="shared" si="4"/>
        <v>0</v>
      </c>
      <c r="Y2" s="141">
        <f t="shared" si="4"/>
        <v>0</v>
      </c>
      <c r="Z2" s="141">
        <f t="shared" si="4"/>
        <v>0</v>
      </c>
      <c r="AA2" s="141">
        <f t="shared" si="4"/>
        <v>0</v>
      </c>
      <c r="AB2" s="141">
        <f t="shared" si="4"/>
        <v>0</v>
      </c>
      <c r="AC2" s="141">
        <f t="shared" si="4"/>
        <v>0</v>
      </c>
      <c r="AD2" s="141">
        <f t="shared" si="4"/>
        <v>0</v>
      </c>
      <c r="AE2" s="141">
        <f t="shared" si="4"/>
        <v>0</v>
      </c>
      <c r="AF2" s="141">
        <f t="shared" si="4"/>
        <v>0</v>
      </c>
      <c r="AG2" s="141">
        <f t="shared" si="4"/>
        <v>0</v>
      </c>
      <c r="AH2" s="141">
        <f t="shared" si="4"/>
        <v>0</v>
      </c>
      <c r="AI2" s="141">
        <f t="shared" si="4"/>
        <v>0</v>
      </c>
      <c r="AJ2" s="141">
        <f t="shared" si="4"/>
        <v>0</v>
      </c>
      <c r="AK2" s="141">
        <f t="shared" si="4"/>
        <v>0</v>
      </c>
      <c r="AL2" s="141">
        <f t="shared" si="4"/>
        <v>0</v>
      </c>
      <c r="AM2" s="141">
        <f t="shared" si="4"/>
        <v>0</v>
      </c>
      <c r="AN2" s="141">
        <f t="shared" si="4"/>
        <v>0</v>
      </c>
      <c r="AO2" s="141">
        <f t="shared" si="4"/>
        <v>0</v>
      </c>
      <c r="AP2" s="141">
        <f t="shared" si="4"/>
        <v>0</v>
      </c>
      <c r="AQ2" s="141">
        <f t="shared" si="4"/>
        <v>0</v>
      </c>
      <c r="AR2" s="141">
        <f t="shared" si="4"/>
        <v>0</v>
      </c>
      <c r="AS2" s="141">
        <f t="shared" si="4"/>
        <v>0</v>
      </c>
      <c r="AT2" s="141">
        <f t="shared" si="4"/>
        <v>0</v>
      </c>
      <c r="AU2" s="141">
        <f t="shared" si="4"/>
        <v>0</v>
      </c>
      <c r="AV2" s="141">
        <f t="shared" si="4"/>
        <v>0</v>
      </c>
      <c r="AW2" s="141">
        <f t="shared" si="4"/>
        <v>0</v>
      </c>
      <c r="AX2" s="141">
        <f t="shared" si="4"/>
        <v>0</v>
      </c>
      <c r="AY2" s="141">
        <f t="shared" si="4"/>
        <v>0</v>
      </c>
      <c r="AZ2" s="141">
        <f t="shared" si="4"/>
        <v>0</v>
      </c>
      <c r="BA2" s="141">
        <f t="shared" si="4"/>
        <v>0</v>
      </c>
      <c r="BB2" s="141"/>
      <c r="BC2" s="141">
        <f t="shared" si="4"/>
        <v>0</v>
      </c>
      <c r="BD2" s="141">
        <f t="shared" si="4"/>
        <v>0</v>
      </c>
      <c r="BE2" s="141">
        <f t="shared" si="4"/>
        <v>0</v>
      </c>
      <c r="BF2" s="141">
        <f t="shared" si="4"/>
        <v>0</v>
      </c>
      <c r="BG2" s="141">
        <f t="shared" si="4"/>
        <v>0</v>
      </c>
      <c r="BH2" s="141">
        <f t="shared" si="4"/>
        <v>0</v>
      </c>
      <c r="BI2" s="141">
        <f t="shared" si="4"/>
        <v>0</v>
      </c>
      <c r="BJ2" s="141">
        <f t="shared" si="4"/>
        <v>0</v>
      </c>
      <c r="BK2" s="141">
        <f t="shared" si="4"/>
        <v>0</v>
      </c>
      <c r="BL2" s="141">
        <f t="shared" si="4"/>
        <v>0</v>
      </c>
      <c r="BM2" s="141">
        <f t="shared" si="4"/>
        <v>0</v>
      </c>
      <c r="BN2" s="141">
        <f t="shared" ref="BN2:BU2" si="5">BN3-BN4</f>
        <v>0</v>
      </c>
      <c r="BO2" s="141">
        <f t="shared" si="5"/>
        <v>0</v>
      </c>
      <c r="BP2" s="141">
        <f t="shared" si="5"/>
        <v>0</v>
      </c>
      <c r="BQ2" s="141">
        <f t="shared" si="5"/>
        <v>0</v>
      </c>
      <c r="BR2" s="141">
        <f t="shared" si="5"/>
        <v>0</v>
      </c>
      <c r="BS2" s="141">
        <f t="shared" si="5"/>
        <v>0</v>
      </c>
      <c r="BT2" s="141">
        <f t="shared" si="5"/>
        <v>0</v>
      </c>
      <c r="BU2" s="141">
        <f t="shared" si="5"/>
        <v>0</v>
      </c>
    </row>
    <row r="3" spans="1:95" ht="14.9" customHeight="1" x14ac:dyDescent="0.3">
      <c r="A3" s="140"/>
      <c r="B3" s="137"/>
      <c r="C3" s="138"/>
      <c r="D3" s="139"/>
      <c r="E3" s="139"/>
      <c r="F3" s="204"/>
      <c r="G3" s="139"/>
      <c r="H3" s="174"/>
      <c r="I3" s="142" t="s">
        <v>1595</v>
      </c>
      <c r="J3" s="142"/>
      <c r="K3" s="142">
        <f t="shared" ref="K3:AF3" si="6">SUM(K9:K226)</f>
        <v>3.1</v>
      </c>
      <c r="L3" s="142">
        <f t="shared" si="6"/>
        <v>3.1</v>
      </c>
      <c r="M3" s="142">
        <f t="shared" si="6"/>
        <v>3.1</v>
      </c>
      <c r="N3" s="142">
        <f t="shared" si="6"/>
        <v>3.1</v>
      </c>
      <c r="O3" s="142">
        <f t="shared" si="6"/>
        <v>3.1</v>
      </c>
      <c r="P3" s="142">
        <f t="shared" si="6"/>
        <v>3.1</v>
      </c>
      <c r="Q3" s="142">
        <f t="shared" si="6"/>
        <v>3.1</v>
      </c>
      <c r="R3" s="142">
        <f t="shared" si="6"/>
        <v>3.1</v>
      </c>
      <c r="S3" s="142">
        <f t="shared" si="6"/>
        <v>3.1</v>
      </c>
      <c r="T3" s="142">
        <f t="shared" si="6"/>
        <v>3.1</v>
      </c>
      <c r="U3" s="142">
        <f t="shared" si="6"/>
        <v>3.1</v>
      </c>
      <c r="V3" s="142">
        <f t="shared" si="6"/>
        <v>3.1</v>
      </c>
      <c r="W3" s="142">
        <f t="shared" si="6"/>
        <v>3.1</v>
      </c>
      <c r="X3" s="142">
        <f t="shared" si="6"/>
        <v>3.1</v>
      </c>
      <c r="Y3" s="142">
        <f t="shared" si="6"/>
        <v>3.1000000000000005</v>
      </c>
      <c r="Z3" s="142">
        <f t="shared" si="6"/>
        <v>3.0999999999999996</v>
      </c>
      <c r="AA3" s="142">
        <f t="shared" si="6"/>
        <v>3.1</v>
      </c>
      <c r="AB3" s="142">
        <f t="shared" si="6"/>
        <v>3.1</v>
      </c>
      <c r="AC3" s="142">
        <f t="shared" si="6"/>
        <v>3.1</v>
      </c>
      <c r="AD3" s="142">
        <f t="shared" si="6"/>
        <v>3.1</v>
      </c>
      <c r="AE3" s="142">
        <f t="shared" si="6"/>
        <v>3.100000000000001</v>
      </c>
      <c r="AF3" s="142">
        <f t="shared" si="6"/>
        <v>3.1</v>
      </c>
      <c r="AG3" s="142">
        <f t="shared" ref="AG3:BM3" si="7">SUM(AG9:AG226)</f>
        <v>2.1</v>
      </c>
      <c r="AH3" s="142">
        <f t="shared" si="7"/>
        <v>2.1</v>
      </c>
      <c r="AI3" s="142">
        <f t="shared" si="7"/>
        <v>2.1</v>
      </c>
      <c r="AJ3" s="142">
        <f t="shared" si="7"/>
        <v>2.1</v>
      </c>
      <c r="AK3" s="142">
        <f t="shared" si="7"/>
        <v>2.1</v>
      </c>
      <c r="AL3" s="142">
        <f t="shared" si="7"/>
        <v>2.0999999999999996</v>
      </c>
      <c r="AM3" s="142">
        <f t="shared" si="7"/>
        <v>2.0999999999999996</v>
      </c>
      <c r="AN3" s="142">
        <f t="shared" si="7"/>
        <v>2.1</v>
      </c>
      <c r="AO3" s="142">
        <f t="shared" si="7"/>
        <v>2.1</v>
      </c>
      <c r="AP3" s="142">
        <f t="shared" si="7"/>
        <v>2.0999999999999996</v>
      </c>
      <c r="AQ3" s="142">
        <f t="shared" si="7"/>
        <v>2.0999999999999996</v>
      </c>
      <c r="AR3" s="142">
        <f t="shared" si="7"/>
        <v>2.1</v>
      </c>
      <c r="AS3" s="142">
        <f t="shared" si="7"/>
        <v>2.1</v>
      </c>
      <c r="AT3" s="142">
        <f t="shared" si="7"/>
        <v>2.1</v>
      </c>
      <c r="AU3" s="142">
        <f t="shared" si="7"/>
        <v>2.1</v>
      </c>
      <c r="AV3" s="142">
        <f t="shared" si="7"/>
        <v>2.1</v>
      </c>
      <c r="AW3" s="142">
        <f t="shared" si="7"/>
        <v>2.0999999999999996</v>
      </c>
      <c r="AX3" s="142">
        <f t="shared" si="7"/>
        <v>2.0999999999999996</v>
      </c>
      <c r="AY3" s="142">
        <f t="shared" si="7"/>
        <v>2.1</v>
      </c>
      <c r="AZ3" s="142">
        <f t="shared" si="7"/>
        <v>2.0999999999999996</v>
      </c>
      <c r="BA3" s="142">
        <f t="shared" si="7"/>
        <v>2.0999999999999996</v>
      </c>
      <c r="BB3" s="142"/>
      <c r="BC3" s="142">
        <f t="shared" si="7"/>
        <v>2.0999999999999996</v>
      </c>
      <c r="BD3" s="142">
        <f t="shared" si="7"/>
        <v>2.0999999999999996</v>
      </c>
      <c r="BE3" s="142">
        <f t="shared" si="7"/>
        <v>2.0999999999999996</v>
      </c>
      <c r="BF3" s="142">
        <f t="shared" si="7"/>
        <v>2.0999999999999996</v>
      </c>
      <c r="BG3" s="142">
        <f t="shared" si="7"/>
        <v>2.1</v>
      </c>
      <c r="BH3" s="142">
        <f t="shared" si="7"/>
        <v>2.1</v>
      </c>
      <c r="BI3" s="142">
        <f t="shared" si="7"/>
        <v>2.0999999999999996</v>
      </c>
      <c r="BJ3" s="142">
        <f t="shared" si="7"/>
        <v>2.1</v>
      </c>
      <c r="BK3" s="142">
        <f t="shared" si="7"/>
        <v>2.1</v>
      </c>
      <c r="BL3" s="142">
        <f t="shared" si="7"/>
        <v>2.1</v>
      </c>
      <c r="BM3" s="142">
        <f t="shared" si="7"/>
        <v>2.1</v>
      </c>
      <c r="BN3" s="142">
        <f t="shared" ref="BN3:BU3" si="8">SUM(BN9:BN226)</f>
        <v>2.1</v>
      </c>
      <c r="BO3" s="142">
        <f t="shared" si="8"/>
        <v>2.0999999999999996</v>
      </c>
      <c r="BP3" s="142">
        <f t="shared" si="8"/>
        <v>2.0999999999999996</v>
      </c>
      <c r="BQ3" s="142">
        <f t="shared" si="8"/>
        <v>2.1</v>
      </c>
      <c r="BR3" s="142">
        <f t="shared" si="8"/>
        <v>2.1</v>
      </c>
      <c r="BS3" s="142">
        <f t="shared" si="8"/>
        <v>2.0999999999999996</v>
      </c>
      <c r="BT3" s="142">
        <f t="shared" si="8"/>
        <v>2.1</v>
      </c>
      <c r="BU3" s="142">
        <f t="shared" si="8"/>
        <v>2.1</v>
      </c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</row>
    <row r="4" spans="1:95" ht="14.9" customHeight="1" x14ac:dyDescent="0.3">
      <c r="A4" s="140"/>
      <c r="B4" s="137"/>
      <c r="C4" s="138"/>
      <c r="D4" s="139"/>
      <c r="E4" s="139"/>
      <c r="F4" s="204"/>
      <c r="G4" s="139"/>
      <c r="H4" s="174"/>
      <c r="I4" s="142" t="s">
        <v>1594</v>
      </c>
      <c r="J4" s="142"/>
      <c r="K4" s="142">
        <v>3.1</v>
      </c>
      <c r="L4" s="142">
        <v>3.1</v>
      </c>
      <c r="M4" s="142">
        <v>3.1</v>
      </c>
      <c r="N4" s="142">
        <v>3.1</v>
      </c>
      <c r="O4" s="142">
        <v>3.1</v>
      </c>
      <c r="P4" s="142">
        <v>3.1</v>
      </c>
      <c r="Q4" s="142">
        <v>3.1</v>
      </c>
      <c r="R4" s="142">
        <v>3.1</v>
      </c>
      <c r="S4" s="142">
        <v>3.1</v>
      </c>
      <c r="T4" s="142">
        <v>3.1</v>
      </c>
      <c r="U4" s="142">
        <v>3.1</v>
      </c>
      <c r="V4" s="142">
        <v>3.1</v>
      </c>
      <c r="W4" s="142">
        <v>3.1</v>
      </c>
      <c r="X4" s="142">
        <v>3.1</v>
      </c>
      <c r="Y4" s="142">
        <v>3.1</v>
      </c>
      <c r="Z4" s="142">
        <v>3.1</v>
      </c>
      <c r="AA4" s="142">
        <v>3.1</v>
      </c>
      <c r="AB4" s="142">
        <v>3.1</v>
      </c>
      <c r="AC4" s="142">
        <v>3.1</v>
      </c>
      <c r="AD4" s="142">
        <v>3.1</v>
      </c>
      <c r="AE4" s="142">
        <v>3.1</v>
      </c>
      <c r="AF4" s="142">
        <v>3.1</v>
      </c>
      <c r="AG4" s="142">
        <v>2.1</v>
      </c>
      <c r="AH4" s="142">
        <v>2.1</v>
      </c>
      <c r="AI4" s="142">
        <v>2.1</v>
      </c>
      <c r="AJ4" s="142">
        <v>2.1</v>
      </c>
      <c r="AK4" s="142">
        <v>2.1</v>
      </c>
      <c r="AL4" s="142">
        <v>2.1</v>
      </c>
      <c r="AM4" s="142">
        <v>2.1</v>
      </c>
      <c r="AN4" s="142">
        <v>2.1</v>
      </c>
      <c r="AO4" s="142">
        <v>2.1</v>
      </c>
      <c r="AP4" s="142">
        <v>2.1</v>
      </c>
      <c r="AQ4" s="142">
        <v>2.1</v>
      </c>
      <c r="AR4" s="142">
        <v>2.1</v>
      </c>
      <c r="AS4" s="142">
        <v>2.1</v>
      </c>
      <c r="AT4" s="142">
        <v>2.1</v>
      </c>
      <c r="AU4" s="142">
        <v>2.1</v>
      </c>
      <c r="AV4" s="142">
        <v>2.1</v>
      </c>
      <c r="AW4" s="142">
        <v>2.1</v>
      </c>
      <c r="AX4" s="142">
        <v>2.1</v>
      </c>
      <c r="AY4" s="142">
        <v>2.1</v>
      </c>
      <c r="AZ4" s="142">
        <v>2.1</v>
      </c>
      <c r="BA4" s="142">
        <v>2.1</v>
      </c>
      <c r="BB4" s="142"/>
      <c r="BC4" s="142">
        <v>2.1</v>
      </c>
      <c r="BD4" s="142">
        <v>2.1</v>
      </c>
      <c r="BE4" s="142">
        <v>2.1</v>
      </c>
      <c r="BF4" s="142">
        <v>2.1</v>
      </c>
      <c r="BG4" s="142">
        <v>2.1</v>
      </c>
      <c r="BH4" s="142">
        <v>2.1</v>
      </c>
      <c r="BI4" s="142">
        <v>2.1</v>
      </c>
      <c r="BJ4" s="142">
        <v>2.1</v>
      </c>
      <c r="BK4" s="142">
        <v>2.1</v>
      </c>
      <c r="BL4" s="142">
        <v>2.1</v>
      </c>
      <c r="BM4" s="142">
        <v>2.1</v>
      </c>
      <c r="BN4" s="142">
        <v>2.1</v>
      </c>
      <c r="BO4" s="142">
        <v>2.1</v>
      </c>
      <c r="BP4" s="142">
        <v>2.1</v>
      </c>
      <c r="BQ4" s="142">
        <v>2.1</v>
      </c>
      <c r="BR4" s="142">
        <v>2.1</v>
      </c>
      <c r="BS4" s="142">
        <v>2.1</v>
      </c>
      <c r="BT4" s="142">
        <v>2.1</v>
      </c>
      <c r="BU4" s="142">
        <v>2.1</v>
      </c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</row>
    <row r="5" spans="1:95" ht="14.9" customHeight="1" x14ac:dyDescent="0.3">
      <c r="J5" s="136" t="s">
        <v>1590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 t="s">
        <v>1591</v>
      </c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 t="s">
        <v>1592</v>
      </c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 t="s">
        <v>1593</v>
      </c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</row>
    <row r="6" spans="1:95" ht="16.5" x14ac:dyDescent="0.3">
      <c r="D6" s="133"/>
      <c r="E6" s="133"/>
      <c r="G6" s="133"/>
      <c r="H6" s="176"/>
      <c r="J6" s="155">
        <v>45649</v>
      </c>
      <c r="K6" s="155">
        <v>45650</v>
      </c>
      <c r="L6" s="155">
        <v>45651</v>
      </c>
      <c r="M6" s="155">
        <v>45652</v>
      </c>
      <c r="N6" s="155">
        <v>45653</v>
      </c>
      <c r="O6" s="155">
        <v>45649</v>
      </c>
      <c r="P6" s="155">
        <v>45650</v>
      </c>
      <c r="Q6" s="155">
        <v>45651</v>
      </c>
      <c r="R6" s="155">
        <v>45652</v>
      </c>
      <c r="S6" s="155">
        <v>45653</v>
      </c>
      <c r="T6" s="155">
        <v>45649</v>
      </c>
      <c r="U6" s="155">
        <v>45650</v>
      </c>
      <c r="V6" s="155">
        <v>45651</v>
      </c>
      <c r="W6" s="155">
        <v>45652</v>
      </c>
      <c r="X6" s="155">
        <v>45653</v>
      </c>
      <c r="Y6" s="155">
        <v>45649</v>
      </c>
      <c r="Z6" s="155">
        <v>45650</v>
      </c>
      <c r="AA6" s="155">
        <v>45651</v>
      </c>
      <c r="AB6" s="155">
        <v>45652</v>
      </c>
      <c r="AC6" s="155">
        <v>45653</v>
      </c>
      <c r="AD6" s="155">
        <v>45649</v>
      </c>
      <c r="AE6" s="155">
        <v>45650</v>
      </c>
      <c r="AF6" s="155">
        <v>45651</v>
      </c>
      <c r="AG6" s="155">
        <v>45652</v>
      </c>
      <c r="AH6" s="155">
        <v>45653</v>
      </c>
      <c r="AI6" s="155">
        <v>45649</v>
      </c>
      <c r="AJ6" s="155">
        <v>45650</v>
      </c>
      <c r="AK6" s="155">
        <v>45651</v>
      </c>
      <c r="AL6" s="155">
        <v>45652</v>
      </c>
      <c r="AM6" s="155">
        <v>45653</v>
      </c>
      <c r="AN6" s="155">
        <v>45649</v>
      </c>
      <c r="AO6" s="155">
        <v>45650</v>
      </c>
      <c r="AP6" s="155">
        <v>45651</v>
      </c>
      <c r="AQ6" s="155">
        <v>45652</v>
      </c>
      <c r="AR6" s="155">
        <v>45653</v>
      </c>
      <c r="AS6" s="155">
        <v>45649</v>
      </c>
      <c r="AT6" s="155">
        <v>45650</v>
      </c>
      <c r="AU6" s="155">
        <v>45651</v>
      </c>
      <c r="AV6" s="155">
        <v>45652</v>
      </c>
      <c r="AW6" s="155">
        <v>45653</v>
      </c>
      <c r="AX6" s="155">
        <v>45649</v>
      </c>
      <c r="AY6" s="155">
        <v>45650</v>
      </c>
      <c r="AZ6" s="155">
        <v>45651</v>
      </c>
      <c r="BA6" s="155">
        <v>45652</v>
      </c>
      <c r="BB6" s="155">
        <v>45653</v>
      </c>
      <c r="BC6" s="155">
        <v>45649</v>
      </c>
      <c r="BD6" s="155">
        <v>45650</v>
      </c>
      <c r="BE6" s="155">
        <v>45651</v>
      </c>
      <c r="BF6" s="155">
        <v>45652</v>
      </c>
      <c r="BG6" s="155">
        <v>45653</v>
      </c>
      <c r="BH6" s="155">
        <v>45649</v>
      </c>
      <c r="BI6" s="155">
        <v>45650</v>
      </c>
      <c r="BJ6" s="155">
        <v>45651</v>
      </c>
      <c r="BK6" s="155">
        <v>45652</v>
      </c>
      <c r="BL6" s="155">
        <v>45653</v>
      </c>
      <c r="BM6" s="155">
        <v>45649</v>
      </c>
      <c r="BN6" s="155">
        <v>45650</v>
      </c>
      <c r="BO6" s="155">
        <v>45651</v>
      </c>
      <c r="BP6" s="155">
        <v>45652</v>
      </c>
      <c r="BQ6" s="155">
        <v>45653</v>
      </c>
      <c r="BR6" s="155">
        <v>45649</v>
      </c>
      <c r="BS6" s="155">
        <v>45650</v>
      </c>
      <c r="BT6" s="155">
        <v>45651</v>
      </c>
      <c r="BU6" s="155">
        <v>45652</v>
      </c>
      <c r="BV6" s="155">
        <v>45653</v>
      </c>
      <c r="BW6" s="155">
        <v>45649</v>
      </c>
      <c r="BX6" s="155">
        <v>45650</v>
      </c>
      <c r="BY6" s="155">
        <v>45651</v>
      </c>
      <c r="BZ6" s="155">
        <v>45652</v>
      </c>
      <c r="CA6" s="155">
        <v>45653</v>
      </c>
      <c r="CB6" s="155">
        <v>45649</v>
      </c>
      <c r="CC6" s="155">
        <v>45650</v>
      </c>
      <c r="CD6" s="155">
        <v>45651</v>
      </c>
      <c r="CE6" s="155">
        <v>45652</v>
      </c>
      <c r="CF6" s="155">
        <v>45653</v>
      </c>
      <c r="CG6" s="155">
        <v>45649</v>
      </c>
      <c r="CH6" s="155">
        <v>45650</v>
      </c>
      <c r="CI6" s="155">
        <v>45651</v>
      </c>
      <c r="CJ6" s="155">
        <v>45652</v>
      </c>
      <c r="CK6" s="155">
        <v>45653</v>
      </c>
      <c r="CL6" s="155">
        <v>45649</v>
      </c>
      <c r="CM6" s="155">
        <v>45650</v>
      </c>
      <c r="CN6" s="155">
        <v>45651</v>
      </c>
      <c r="CO6" s="155">
        <v>45652</v>
      </c>
      <c r="CP6" s="155">
        <v>45653</v>
      </c>
      <c r="CQ6" s="155">
        <v>45649</v>
      </c>
    </row>
    <row r="7" spans="1:95" ht="18" hidden="1" x14ac:dyDescent="0.3">
      <c r="D7" s="133"/>
      <c r="E7" s="133"/>
      <c r="G7" s="133"/>
      <c r="H7" s="176"/>
      <c r="I7" s="157">
        <v>45657</v>
      </c>
      <c r="J7" s="156">
        <f>WORKDAY(I7,1)</f>
        <v>45658</v>
      </c>
      <c r="K7" s="156">
        <f t="shared" ref="K7:N7" si="9">WORKDAY(J7,1)</f>
        <v>45659</v>
      </c>
      <c r="L7" s="156">
        <f t="shared" si="9"/>
        <v>45660</v>
      </c>
      <c r="M7" s="156">
        <f t="shared" si="9"/>
        <v>45663</v>
      </c>
      <c r="N7" s="156">
        <f t="shared" si="9"/>
        <v>45664</v>
      </c>
      <c r="O7" s="156">
        <f>WORKDAY(N7,1)</f>
        <v>45665</v>
      </c>
      <c r="P7" s="156">
        <f t="shared" ref="P7:S7" si="10">WORKDAY(O7,1)</f>
        <v>45666</v>
      </c>
      <c r="Q7" s="156">
        <f t="shared" si="10"/>
        <v>45667</v>
      </c>
      <c r="R7" s="156">
        <f t="shared" si="10"/>
        <v>45670</v>
      </c>
      <c r="S7" s="156">
        <f t="shared" si="10"/>
        <v>45671</v>
      </c>
      <c r="T7" s="156">
        <f>WORKDAY(S7,1)</f>
        <v>45672</v>
      </c>
      <c r="U7" s="156">
        <f t="shared" ref="U7:X7" si="11">WORKDAY(T7,1)</f>
        <v>45673</v>
      </c>
      <c r="V7" s="156">
        <f t="shared" si="11"/>
        <v>45674</v>
      </c>
      <c r="W7" s="156">
        <f t="shared" si="11"/>
        <v>45677</v>
      </c>
      <c r="X7" s="156">
        <f t="shared" si="11"/>
        <v>45678</v>
      </c>
    </row>
    <row r="8" spans="1:95" ht="18" x14ac:dyDescent="0.3">
      <c r="D8" s="133"/>
      <c r="E8" s="133"/>
      <c r="F8" s="161" t="s">
        <v>1522</v>
      </c>
      <c r="G8" s="161" t="s">
        <v>1597</v>
      </c>
      <c r="H8" s="180" t="s">
        <v>1617</v>
      </c>
      <c r="I8" s="190" t="s">
        <v>1596</v>
      </c>
      <c r="J8" s="156">
        <f>WORKDAY(I7,1)</f>
        <v>45658</v>
      </c>
      <c r="K8" s="156">
        <f t="shared" ref="K8" si="12">WORKDAY(J8,1)</f>
        <v>45659</v>
      </c>
      <c r="L8" s="156">
        <f t="shared" ref="L8" si="13">WORKDAY(K8,1)</f>
        <v>45660</v>
      </c>
      <c r="M8" s="156">
        <f t="shared" ref="M8" si="14">WORKDAY(L8,1)</f>
        <v>45663</v>
      </c>
      <c r="N8" s="156">
        <f t="shared" ref="N8" si="15">WORKDAY(M8,1)</f>
        <v>45664</v>
      </c>
      <c r="O8" s="156">
        <f>WORKDAY(N8,1)</f>
        <v>45665</v>
      </c>
      <c r="P8" s="156">
        <f t="shared" ref="P8" si="16">WORKDAY(O8,1)</f>
        <v>45666</v>
      </c>
      <c r="Q8" s="156">
        <f t="shared" ref="Q8" si="17">WORKDAY(P8,1)</f>
        <v>45667</v>
      </c>
      <c r="R8" s="156">
        <f t="shared" ref="R8" si="18">WORKDAY(Q8,1)</f>
        <v>45670</v>
      </c>
      <c r="S8" s="156">
        <f t="shared" ref="S8" si="19">WORKDAY(R8,1)</f>
        <v>45671</v>
      </c>
      <c r="T8" s="156">
        <f>WORKDAY(S8,1)</f>
        <v>45672</v>
      </c>
      <c r="U8" s="156">
        <f t="shared" ref="U8" si="20">WORKDAY(T8,1)</f>
        <v>45673</v>
      </c>
      <c r="V8" s="156">
        <f t="shared" ref="V8" si="21">WORKDAY(U8,1)</f>
        <v>45674</v>
      </c>
      <c r="W8" s="156">
        <f t="shared" ref="W8" si="22">WORKDAY(V8,1)</f>
        <v>45677</v>
      </c>
      <c r="X8" s="156">
        <f t="shared" ref="X8" si="23">WORKDAY(W8,1)</f>
        <v>45678</v>
      </c>
      <c r="Y8" s="156">
        <f t="shared" ref="Y8" si="24">WORKDAY(X8,1)</f>
        <v>45679</v>
      </c>
      <c r="Z8" s="156">
        <f t="shared" ref="Z8" si="25">WORKDAY(Y8,1)</f>
        <v>45680</v>
      </c>
      <c r="AA8" s="156">
        <f t="shared" ref="AA8" si="26">WORKDAY(Z8,1)</f>
        <v>45681</v>
      </c>
      <c r="AB8" s="156">
        <f t="shared" ref="AB8" si="27">WORKDAY(AA8,1)</f>
        <v>45684</v>
      </c>
      <c r="AC8" s="156">
        <f t="shared" ref="AC8" si="28">WORKDAY(AB8,1)</f>
        <v>45685</v>
      </c>
      <c r="AD8" s="156">
        <f t="shared" ref="AD8" si="29">WORKDAY(AC8,1)</f>
        <v>45686</v>
      </c>
      <c r="AE8" s="156">
        <f t="shared" ref="AE8" si="30">WORKDAY(AD8,1)</f>
        <v>45687</v>
      </c>
      <c r="AF8" s="156">
        <f t="shared" ref="AF8" si="31">WORKDAY(AE8,1)</f>
        <v>45688</v>
      </c>
      <c r="AG8" s="156">
        <f t="shared" ref="AG8" si="32">WORKDAY(AF8,1)</f>
        <v>45691</v>
      </c>
      <c r="AH8" s="156">
        <f t="shared" ref="AH8" si="33">WORKDAY(AG8,1)</f>
        <v>45692</v>
      </c>
      <c r="AI8" s="156">
        <f t="shared" ref="AI8" si="34">WORKDAY(AH8,1)</f>
        <v>45693</v>
      </c>
      <c r="AJ8" s="156">
        <f t="shared" ref="AJ8" si="35">WORKDAY(AI8,1)</f>
        <v>45694</v>
      </c>
      <c r="AK8" s="156">
        <f t="shared" ref="AK8" si="36">WORKDAY(AJ8,1)</f>
        <v>45695</v>
      </c>
      <c r="AL8" s="156">
        <f t="shared" ref="AL8" si="37">WORKDAY(AK8,1)</f>
        <v>45698</v>
      </c>
      <c r="AM8" s="156">
        <f t="shared" ref="AM8" si="38">WORKDAY(AL8,1)</f>
        <v>45699</v>
      </c>
      <c r="AN8" s="156">
        <f t="shared" ref="AN8" si="39">WORKDAY(AM8,1)</f>
        <v>45700</v>
      </c>
      <c r="AO8" s="156">
        <f t="shared" ref="AO8" si="40">WORKDAY(AN8,1)</f>
        <v>45701</v>
      </c>
      <c r="AP8" s="156">
        <f t="shared" ref="AP8" si="41">WORKDAY(AO8,1)</f>
        <v>45702</v>
      </c>
      <c r="AQ8" s="156">
        <f t="shared" ref="AQ8" si="42">WORKDAY(AP8,1)</f>
        <v>45705</v>
      </c>
      <c r="AR8" s="156">
        <f t="shared" ref="AR8" si="43">WORKDAY(AQ8,1)</f>
        <v>45706</v>
      </c>
      <c r="AS8" s="156">
        <f t="shared" ref="AS8" si="44">WORKDAY(AR8,1)</f>
        <v>45707</v>
      </c>
      <c r="AT8" s="156">
        <f t="shared" ref="AT8" si="45">WORKDAY(AS8,1)</f>
        <v>45708</v>
      </c>
      <c r="AU8" s="156">
        <f t="shared" ref="AU8" si="46">WORKDAY(AT8,1)</f>
        <v>45709</v>
      </c>
      <c r="AV8" s="156">
        <f t="shared" ref="AV8" si="47">WORKDAY(AU8,1)</f>
        <v>45712</v>
      </c>
      <c r="AW8" s="156">
        <f t="shared" ref="AW8" si="48">WORKDAY(AV8,1)</f>
        <v>45713</v>
      </c>
      <c r="AX8" s="156">
        <f t="shared" ref="AX8" si="49">WORKDAY(AW8,1)</f>
        <v>45714</v>
      </c>
      <c r="AY8" s="156">
        <f t="shared" ref="AY8" si="50">WORKDAY(AX8,1)</f>
        <v>45715</v>
      </c>
      <c r="AZ8" s="156">
        <f t="shared" ref="AZ8" si="51">WORKDAY(AY8,1)</f>
        <v>45716</v>
      </c>
      <c r="BA8" s="156">
        <f t="shared" ref="BA8" si="52">WORKDAY(AZ8,1)</f>
        <v>45719</v>
      </c>
      <c r="BB8" s="156">
        <f t="shared" ref="BB8" si="53">WORKDAY(BA8,1)</f>
        <v>45720</v>
      </c>
      <c r="BC8" s="156">
        <f t="shared" ref="BC8" si="54">WORKDAY(BB8,1)</f>
        <v>45721</v>
      </c>
      <c r="BD8" s="156">
        <f t="shared" ref="BD8" si="55">WORKDAY(BC8,1)</f>
        <v>45722</v>
      </c>
      <c r="BE8" s="156">
        <f t="shared" ref="BE8" si="56">WORKDAY(BD8,1)</f>
        <v>45723</v>
      </c>
      <c r="BF8" s="156">
        <f t="shared" ref="BF8" si="57">WORKDAY(BE8,1)</f>
        <v>45726</v>
      </c>
      <c r="BG8" s="156">
        <f t="shared" ref="BG8" si="58">WORKDAY(BF8,1)</f>
        <v>45727</v>
      </c>
      <c r="BH8" s="156">
        <f t="shared" ref="BH8" si="59">WORKDAY(BG8,1)</f>
        <v>45728</v>
      </c>
      <c r="BI8" s="156">
        <f t="shared" ref="BI8" si="60">WORKDAY(BH8,1)</f>
        <v>45729</v>
      </c>
      <c r="BJ8" s="156">
        <f t="shared" ref="BJ8" si="61">WORKDAY(BI8,1)</f>
        <v>45730</v>
      </c>
      <c r="BK8" s="156">
        <f t="shared" ref="BK8" si="62">WORKDAY(BJ8,1)</f>
        <v>45733</v>
      </c>
      <c r="BL8" s="156">
        <f t="shared" ref="BL8" si="63">WORKDAY(BK8,1)</f>
        <v>45734</v>
      </c>
      <c r="BM8" s="156">
        <f t="shared" ref="BM8" si="64">WORKDAY(BL8,1)</f>
        <v>45735</v>
      </c>
      <c r="BN8" s="156">
        <f t="shared" ref="BN8" si="65">WORKDAY(BM8,1)</f>
        <v>45736</v>
      </c>
      <c r="BO8" s="156">
        <f t="shared" ref="BO8" si="66">WORKDAY(BN8,1)</f>
        <v>45737</v>
      </c>
      <c r="BP8" s="156">
        <f t="shared" ref="BP8" si="67">WORKDAY(BO8,1)</f>
        <v>45740</v>
      </c>
      <c r="BQ8" s="156">
        <f t="shared" ref="BQ8" si="68">WORKDAY(BP8,1)</f>
        <v>45741</v>
      </c>
      <c r="BR8" s="156">
        <f t="shared" ref="BR8" si="69">WORKDAY(BQ8,1)</f>
        <v>45742</v>
      </c>
      <c r="BS8" s="156">
        <f t="shared" ref="BS8" si="70">WORKDAY(BR8,1)</f>
        <v>45743</v>
      </c>
      <c r="BT8" s="156">
        <f t="shared" ref="BT8" si="71">WORKDAY(BS8,1)</f>
        <v>45744</v>
      </c>
      <c r="BU8" s="156">
        <f t="shared" ref="BU8" si="72">WORKDAY(BT8,1)</f>
        <v>45747</v>
      </c>
      <c r="BV8" s="156">
        <f t="shared" ref="BV8" si="73">WORKDAY(BU8,1)</f>
        <v>45748</v>
      </c>
      <c r="BW8" s="156">
        <f t="shared" ref="BW8" si="74">WORKDAY(BV8,1)</f>
        <v>45749</v>
      </c>
      <c r="BX8" s="156">
        <f t="shared" ref="BX8" si="75">WORKDAY(BW8,1)</f>
        <v>45750</v>
      </c>
      <c r="BY8" s="156">
        <f t="shared" ref="BY8" si="76">WORKDAY(BX8,1)</f>
        <v>45751</v>
      </c>
      <c r="BZ8" s="156">
        <f t="shared" ref="BZ8" si="77">WORKDAY(BY8,1)</f>
        <v>45754</v>
      </c>
      <c r="CA8" s="156">
        <f t="shared" ref="CA8" si="78">WORKDAY(BZ8,1)</f>
        <v>45755</v>
      </c>
      <c r="CB8" s="156">
        <f t="shared" ref="CB8" si="79">WORKDAY(CA8,1)</f>
        <v>45756</v>
      </c>
      <c r="CC8" s="156">
        <f t="shared" ref="CC8" si="80">WORKDAY(CB8,1)</f>
        <v>45757</v>
      </c>
      <c r="CD8" s="156">
        <f t="shared" ref="CD8" si="81">WORKDAY(CC8,1)</f>
        <v>45758</v>
      </c>
      <c r="CE8" s="156">
        <f t="shared" ref="CE8" si="82">WORKDAY(CD8,1)</f>
        <v>45761</v>
      </c>
      <c r="CF8" s="156">
        <f t="shared" ref="CF8" si="83">WORKDAY(CE8,1)</f>
        <v>45762</v>
      </c>
      <c r="CG8" s="156">
        <f t="shared" ref="CG8" si="84">WORKDAY(CF8,1)</f>
        <v>45763</v>
      </c>
      <c r="CH8" s="156">
        <f t="shared" ref="CH8" si="85">WORKDAY(CG8,1)</f>
        <v>45764</v>
      </c>
      <c r="CI8" s="156">
        <f t="shared" ref="CI8" si="86">WORKDAY(CH8,1)</f>
        <v>45765</v>
      </c>
      <c r="CJ8" s="156">
        <f t="shared" ref="CJ8" si="87">WORKDAY(CI8,1)</f>
        <v>45768</v>
      </c>
      <c r="CK8" s="156">
        <f t="shared" ref="CK8" si="88">WORKDAY(CJ8,1)</f>
        <v>45769</v>
      </c>
      <c r="CL8" s="156">
        <f t="shared" ref="CL8" si="89">WORKDAY(CK8,1)</f>
        <v>45770</v>
      </c>
      <c r="CM8" s="156">
        <f t="shared" ref="CM8" si="90">WORKDAY(CL8,1)</f>
        <v>45771</v>
      </c>
      <c r="CN8" s="156">
        <f t="shared" ref="CN8" si="91">WORKDAY(CM8,1)</f>
        <v>45772</v>
      </c>
      <c r="CO8" s="156">
        <f t="shared" ref="CO8" si="92">WORKDAY(CN8,1)</f>
        <v>45775</v>
      </c>
      <c r="CP8" s="156">
        <f t="shared" ref="CP8" si="93">WORKDAY(CO8,1)</f>
        <v>45776</v>
      </c>
      <c r="CQ8" s="156">
        <f t="shared" ref="CQ8" si="94">WORKDAY(CP8,1)</f>
        <v>45777</v>
      </c>
    </row>
    <row r="9" spans="1:95" ht="14" x14ac:dyDescent="0.3">
      <c r="G9" s="132"/>
      <c r="H9" s="173"/>
      <c r="J9" s="158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8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8"/>
      <c r="CJ9" s="153"/>
      <c r="CK9" s="153"/>
      <c r="CL9" s="153"/>
      <c r="CM9" s="153"/>
      <c r="CN9" s="158"/>
      <c r="CO9" s="153"/>
      <c r="CP9" s="153"/>
      <c r="CQ9" s="153"/>
    </row>
    <row r="10" spans="1:95" ht="14" x14ac:dyDescent="0.3">
      <c r="C10" s="184" t="s">
        <v>1599</v>
      </c>
      <c r="D10" s="185"/>
      <c r="E10" s="186"/>
      <c r="F10" s="203" t="s">
        <v>1534</v>
      </c>
      <c r="G10" s="187">
        <f>H10*8*5</f>
        <v>0</v>
      </c>
      <c r="H10" s="188">
        <f>SUM(J10:M10)</f>
        <v>0</v>
      </c>
      <c r="I10" s="189"/>
      <c r="J10" s="158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58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8"/>
      <c r="CJ10" s="153"/>
      <c r="CK10" s="153"/>
      <c r="CL10" s="153"/>
      <c r="CM10" s="153"/>
      <c r="CN10" s="158"/>
      <c r="CO10" s="153"/>
      <c r="CP10" s="153"/>
      <c r="CQ10" s="153"/>
    </row>
    <row r="11" spans="1:95" ht="14" hidden="1" x14ac:dyDescent="0.3">
      <c r="C11" s="163" t="s">
        <v>1599</v>
      </c>
      <c r="E11" s="133"/>
      <c r="F11" s="161" t="s">
        <v>1534</v>
      </c>
      <c r="G11" s="132">
        <f>H11*8*5</f>
        <v>12.000000000000002</v>
      </c>
      <c r="H11" s="173">
        <f>SUM(J11:M11)</f>
        <v>0.30000000000000004</v>
      </c>
      <c r="I11" s="164">
        <f>SUM(J11:M11)-H11</f>
        <v>0</v>
      </c>
      <c r="J11" s="158"/>
      <c r="K11" s="153">
        <v>0.1</v>
      </c>
      <c r="L11" s="153">
        <v>0.1</v>
      </c>
      <c r="M11" s="153">
        <v>0.1</v>
      </c>
      <c r="N11" s="153">
        <v>0.1</v>
      </c>
      <c r="O11" s="153">
        <v>0.1</v>
      </c>
      <c r="P11" s="153">
        <v>0.1</v>
      </c>
      <c r="Q11" s="153">
        <v>0.1</v>
      </c>
      <c r="R11" s="153">
        <v>0.1</v>
      </c>
      <c r="S11" s="153">
        <v>0.1</v>
      </c>
      <c r="T11" s="153">
        <v>0.1</v>
      </c>
      <c r="U11" s="153">
        <v>0.1</v>
      </c>
      <c r="V11" s="153">
        <v>0.1</v>
      </c>
      <c r="W11" s="153">
        <v>0.1</v>
      </c>
      <c r="X11" s="153">
        <v>0.1</v>
      </c>
      <c r="Y11" s="153">
        <v>0.1</v>
      </c>
      <c r="Z11" s="153">
        <v>0.1</v>
      </c>
      <c r="AA11" s="153">
        <v>0.1</v>
      </c>
      <c r="AB11" s="153">
        <v>0.1</v>
      </c>
      <c r="AC11" s="153">
        <v>0.1</v>
      </c>
      <c r="AD11" s="153">
        <v>0.1</v>
      </c>
      <c r="AE11" s="153">
        <v>0.1</v>
      </c>
      <c r="AF11" s="153">
        <v>0.1</v>
      </c>
      <c r="AG11" s="153">
        <v>0.1</v>
      </c>
      <c r="AH11" s="153">
        <v>0.1</v>
      </c>
      <c r="AI11" s="153">
        <v>0.1</v>
      </c>
      <c r="AJ11" s="153">
        <v>0.1</v>
      </c>
      <c r="AK11" s="153">
        <v>0.1</v>
      </c>
      <c r="AL11" s="153">
        <v>0.1</v>
      </c>
      <c r="AM11" s="153">
        <v>0.1</v>
      </c>
      <c r="AN11" s="153">
        <v>0.1</v>
      </c>
      <c r="AO11" s="153">
        <v>0.1</v>
      </c>
      <c r="AP11" s="153">
        <v>0.1</v>
      </c>
      <c r="AQ11" s="153">
        <v>0.1</v>
      </c>
      <c r="AR11" s="153">
        <v>0.1</v>
      </c>
      <c r="AS11" s="153">
        <v>0.1</v>
      </c>
      <c r="AT11" s="153">
        <v>0.1</v>
      </c>
      <c r="AU11" s="153">
        <v>0.1</v>
      </c>
      <c r="AV11" s="153">
        <v>0.1</v>
      </c>
      <c r="AW11" s="153">
        <v>0.1</v>
      </c>
      <c r="AX11" s="153">
        <v>0.1</v>
      </c>
      <c r="AY11" s="153">
        <v>0.1</v>
      </c>
      <c r="AZ11" s="153">
        <v>0.1</v>
      </c>
      <c r="BA11" s="153">
        <v>0.1</v>
      </c>
      <c r="BB11" s="158"/>
      <c r="BC11" s="153">
        <v>0.1</v>
      </c>
      <c r="BD11" s="153">
        <v>0.1</v>
      </c>
      <c r="BE11" s="153">
        <v>0.1</v>
      </c>
      <c r="BF11" s="153">
        <v>0.1</v>
      </c>
      <c r="BG11" s="153">
        <v>0.1</v>
      </c>
      <c r="BH11" s="153">
        <v>0.1</v>
      </c>
      <c r="BI11" s="153">
        <v>0.1</v>
      </c>
      <c r="BJ11" s="153">
        <v>0.1</v>
      </c>
      <c r="BK11" s="153">
        <v>0.1</v>
      </c>
      <c r="BL11" s="153">
        <v>0.1</v>
      </c>
      <c r="BM11" s="153">
        <v>0.1</v>
      </c>
      <c r="BN11" s="153">
        <v>0.1</v>
      </c>
      <c r="BO11" s="153">
        <v>0.1</v>
      </c>
      <c r="BP11" s="153">
        <v>0.1</v>
      </c>
      <c r="BQ11" s="153">
        <v>0.1</v>
      </c>
      <c r="BR11" s="153">
        <v>0.1</v>
      </c>
      <c r="BS11" s="153">
        <v>0.1</v>
      </c>
      <c r="BT11" s="153">
        <v>0.1</v>
      </c>
      <c r="BU11" s="153">
        <v>0.1</v>
      </c>
      <c r="BV11" s="153">
        <v>0.1</v>
      </c>
      <c r="BW11" s="153">
        <v>0.1</v>
      </c>
      <c r="BX11" s="153">
        <v>0.1</v>
      </c>
      <c r="BY11" s="153">
        <v>0.1</v>
      </c>
      <c r="BZ11" s="153">
        <v>0.1</v>
      </c>
      <c r="CA11" s="153">
        <v>0.1</v>
      </c>
      <c r="CB11" s="153">
        <v>0.1</v>
      </c>
      <c r="CC11" s="153">
        <v>0.1</v>
      </c>
      <c r="CD11" s="153">
        <v>0.1</v>
      </c>
      <c r="CE11" s="153">
        <v>0.1</v>
      </c>
      <c r="CF11" s="153">
        <v>0.1</v>
      </c>
      <c r="CG11" s="153">
        <v>0.1</v>
      </c>
      <c r="CH11" s="153">
        <v>0.1</v>
      </c>
      <c r="CI11" s="158"/>
      <c r="CJ11" s="153">
        <v>0.1</v>
      </c>
      <c r="CK11" s="153">
        <v>0.1</v>
      </c>
      <c r="CL11" s="153">
        <v>0.1</v>
      </c>
      <c r="CM11" s="153">
        <v>0.1</v>
      </c>
      <c r="CN11" s="158"/>
      <c r="CO11" s="153">
        <v>0.1</v>
      </c>
      <c r="CP11" s="153">
        <v>0.1</v>
      </c>
      <c r="CQ11" s="153">
        <v>0.1</v>
      </c>
    </row>
    <row r="12" spans="1:95" ht="14" x14ac:dyDescent="0.3">
      <c r="C12" s="165" t="s">
        <v>1613</v>
      </c>
      <c r="D12" s="166"/>
      <c r="E12" s="167"/>
      <c r="F12" s="193"/>
      <c r="G12" s="168">
        <f>SUM(G13:G15)</f>
        <v>128</v>
      </c>
      <c r="H12" s="177">
        <f>ROUND(SUM(H13:H15),0)</f>
        <v>16</v>
      </c>
      <c r="I12" s="169"/>
      <c r="J12" s="158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8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8"/>
      <c r="CJ12" s="153"/>
      <c r="CK12" s="153"/>
      <c r="CL12" s="153"/>
      <c r="CM12" s="153"/>
      <c r="CN12" s="158"/>
      <c r="CO12" s="153"/>
      <c r="CP12" s="153"/>
      <c r="CQ12" s="153"/>
    </row>
    <row r="13" spans="1:95" ht="14" outlineLevel="1" x14ac:dyDescent="0.3">
      <c r="B13" s="159"/>
      <c r="C13" s="171" t="s">
        <v>1615</v>
      </c>
      <c r="D13" s="170"/>
      <c r="E13" s="143"/>
      <c r="F13" s="160"/>
      <c r="G13" s="159">
        <v>16</v>
      </c>
      <c r="H13" s="178">
        <f>ROUNDUP(G13/8,1)</f>
        <v>2</v>
      </c>
      <c r="I13" s="181">
        <v>0</v>
      </c>
      <c r="J13" s="158"/>
      <c r="K13" s="153">
        <v>3</v>
      </c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8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8"/>
      <c r="CJ13" s="153"/>
      <c r="CK13" s="153"/>
      <c r="CL13" s="153"/>
      <c r="CM13" s="153"/>
      <c r="CN13" s="158"/>
      <c r="CO13" s="153"/>
      <c r="CP13" s="153"/>
      <c r="CQ13" s="153"/>
    </row>
    <row r="14" spans="1:95" ht="14" outlineLevel="1" x14ac:dyDescent="0.3">
      <c r="B14" s="159"/>
      <c r="C14" s="171" t="s">
        <v>1616</v>
      </c>
      <c r="D14" s="170"/>
      <c r="E14" s="143"/>
      <c r="F14" s="160"/>
      <c r="G14" s="159">
        <v>16</v>
      </c>
      <c r="H14" s="178">
        <f>ROUNDUP(G14/8,1)</f>
        <v>2</v>
      </c>
      <c r="I14" s="181">
        <v>0</v>
      </c>
      <c r="J14" s="158"/>
      <c r="K14" s="153"/>
      <c r="L14" s="153">
        <v>3</v>
      </c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8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8"/>
      <c r="CJ14" s="153"/>
      <c r="CK14" s="153"/>
      <c r="CL14" s="153"/>
      <c r="CM14" s="153"/>
      <c r="CN14" s="158"/>
      <c r="CO14" s="153"/>
      <c r="CP14" s="153"/>
      <c r="CQ14" s="153"/>
    </row>
    <row r="15" spans="1:95" ht="14" outlineLevel="1" x14ac:dyDescent="0.3">
      <c r="B15" s="159"/>
      <c r="C15" s="171" t="s">
        <v>1600</v>
      </c>
      <c r="D15" s="170"/>
      <c r="E15" s="143"/>
      <c r="F15" s="160"/>
      <c r="G15" s="159">
        <f>12*8</f>
        <v>96</v>
      </c>
      <c r="H15" s="178">
        <f>ROUNDUP(G15/8,1)</f>
        <v>12</v>
      </c>
      <c r="I15" s="181">
        <v>0</v>
      </c>
      <c r="J15" s="158"/>
      <c r="K15" s="153"/>
      <c r="L15" s="153"/>
      <c r="M15" s="183">
        <v>3</v>
      </c>
      <c r="N15" s="183">
        <v>3</v>
      </c>
      <c r="O15" s="183">
        <v>3</v>
      </c>
      <c r="P15" s="183">
        <v>3</v>
      </c>
      <c r="Q15" s="183">
        <v>3</v>
      </c>
      <c r="R15" s="183">
        <v>3</v>
      </c>
      <c r="S15" s="183">
        <v>3</v>
      </c>
      <c r="T15" s="183">
        <v>3</v>
      </c>
      <c r="U15" s="183">
        <v>3</v>
      </c>
      <c r="V15" s="183">
        <v>3</v>
      </c>
      <c r="W15" s="183">
        <v>3</v>
      </c>
      <c r="X15" s="183">
        <v>3</v>
      </c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8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8"/>
      <c r="CJ15" s="153"/>
      <c r="CK15" s="153"/>
      <c r="CL15" s="153"/>
      <c r="CM15" s="153"/>
      <c r="CN15" s="158"/>
      <c r="CO15" s="153"/>
      <c r="CP15" s="153"/>
      <c r="CQ15" s="153"/>
    </row>
    <row r="16" spans="1:95" ht="14" x14ac:dyDescent="0.3">
      <c r="C16" s="165" t="s">
        <v>1614</v>
      </c>
      <c r="D16" s="166"/>
      <c r="E16" s="167"/>
      <c r="F16" s="193">
        <f>F17+F66</f>
        <v>68</v>
      </c>
      <c r="G16" s="168" t="e">
        <f>G17+G66+G87+G156+G225</f>
        <v>#N/A</v>
      </c>
      <c r="H16" s="168" t="e">
        <f>H17+H66+H87+H156+H225</f>
        <v>#N/A</v>
      </c>
      <c r="I16" s="192"/>
      <c r="J16" s="158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58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8"/>
      <c r="CJ16" s="153"/>
      <c r="CK16" s="153"/>
      <c r="CL16" s="153"/>
      <c r="CM16" s="153"/>
      <c r="CN16" s="158"/>
      <c r="CO16" s="153"/>
      <c r="CP16" s="153"/>
      <c r="CQ16" s="153"/>
    </row>
    <row r="17" spans="2:95" ht="14" x14ac:dyDescent="0.3">
      <c r="B17" s="146"/>
      <c r="C17" s="200" t="s">
        <v>1609</v>
      </c>
      <c r="D17" s="166"/>
      <c r="E17" s="167"/>
      <c r="F17" s="193">
        <f>COUNTA(E18:E65)</f>
        <v>48</v>
      </c>
      <c r="G17" s="193" t="e">
        <f>SUM(G18:G55)</f>
        <v>#N/A</v>
      </c>
      <c r="H17" s="194" t="e">
        <f>ROUND(SUM(H18:H55),0)</f>
        <v>#N/A</v>
      </c>
      <c r="I17" s="192"/>
      <c r="J17" s="158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82"/>
      <c r="Z17" s="182"/>
      <c r="AA17" s="182"/>
      <c r="AB17" s="182"/>
      <c r="AC17" s="182"/>
      <c r="AD17" s="182"/>
      <c r="AE17" s="182"/>
      <c r="AF17" s="182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8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8"/>
      <c r="CJ17" s="153"/>
      <c r="CK17" s="153"/>
      <c r="CL17" s="153"/>
      <c r="CM17" s="153"/>
      <c r="CN17" s="158"/>
      <c r="CO17" s="153"/>
      <c r="CP17" s="153"/>
      <c r="CQ17" s="153"/>
    </row>
    <row r="18" spans="2:95" ht="14" outlineLevel="3" x14ac:dyDescent="0.3">
      <c r="B18" s="146" t="str">
        <f>Table1[[#Headers],[Especificação]]</f>
        <v>Especificação</v>
      </c>
      <c r="C18" s="172" t="str">
        <f t="shared" ref="C18:C67" si="95">D18&amp;"_"&amp;E18</f>
        <v>ENTITY_TXNMY_ELGBL_CAPEX_W</v>
      </c>
      <c r="D18" s="143" t="s">
        <v>10</v>
      </c>
      <c r="E18" s="143" t="s">
        <v>1397</v>
      </c>
      <c r="G18" s="160" t="e">
        <f>INDEX(Table1[[Especificação]:[Total Testes]],MATCH(PlanoV1.0!C18,Table1[CONCAT],0),MATCH(PlanoV1.0!B18,Table1[[#Headers],[Especificação]:[Total Testes]],0))</f>
        <v>#N/A</v>
      </c>
      <c r="H18" s="179" t="e">
        <f>ROUNDUP(G18/8,1)</f>
        <v>#N/A</v>
      </c>
      <c r="I18" s="181" t="e">
        <f>SUM(J18:CQ18)-H18</f>
        <v>#N/A</v>
      </c>
      <c r="J18" s="158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>
        <v>1</v>
      </c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8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8"/>
      <c r="CJ18" s="153"/>
      <c r="CK18" s="153"/>
      <c r="CL18" s="153"/>
      <c r="CM18" s="153"/>
      <c r="CN18" s="158"/>
      <c r="CO18" s="153"/>
      <c r="CP18" s="153"/>
      <c r="CQ18" s="153"/>
    </row>
    <row r="19" spans="2:95" ht="14" outlineLevel="3" x14ac:dyDescent="0.3">
      <c r="B19" s="146" t="str">
        <f>Table1[[#Headers],[Especificação]]</f>
        <v>Especificação</v>
      </c>
      <c r="C19" s="172" t="str">
        <f t="shared" ref="C19:C31" si="96">D19&amp;"_"&amp;E19</f>
        <v>ENTITY_TXNMY_ELGBL_TRNVR_W</v>
      </c>
      <c r="D19" s="143" t="s">
        <v>10</v>
      </c>
      <c r="E19" s="143" t="s">
        <v>1399</v>
      </c>
      <c r="G19" s="160" t="e">
        <f>INDEX(Table1[[Especificação]:[Total Testes]],MATCH(PlanoV1.0!C19,Table1[CONCAT],0),MATCH(PlanoV1.0!B19,Table1[[#Headers],[Especificação]:[Total Testes]],0))</f>
        <v>#N/A</v>
      </c>
      <c r="H19" s="179" t="e">
        <f t="shared" ref="H19:H100" si="97">ROUNDUP(G19/8,1)</f>
        <v>#N/A</v>
      </c>
      <c r="I19" s="181" t="e">
        <f t="shared" ref="I19:I100" si="98">SUM(J19:CQ19)-H19</f>
        <v>#N/A</v>
      </c>
      <c r="J19" s="158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>
        <v>0.5</v>
      </c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8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8"/>
      <c r="CJ19" s="153"/>
      <c r="CK19" s="153"/>
      <c r="CL19" s="153"/>
      <c r="CM19" s="153"/>
      <c r="CN19" s="158"/>
      <c r="CO19" s="153"/>
      <c r="CP19" s="153"/>
      <c r="CQ19" s="153"/>
    </row>
    <row r="20" spans="2:95" ht="14" outlineLevel="3" x14ac:dyDescent="0.3">
      <c r="B20" s="146" t="str">
        <f>Table1[[#Headers],[Especificação]]</f>
        <v>Especificação</v>
      </c>
      <c r="C20" s="172" t="str">
        <f t="shared" si="96"/>
        <v>ENTITY_TXNMY_ELGBL_CAPEX_P</v>
      </c>
      <c r="D20" s="143" t="s">
        <v>10</v>
      </c>
      <c r="E20" s="143" t="s">
        <v>1401</v>
      </c>
      <c r="G20" s="160" t="e">
        <f>INDEX(Table1[[Especificação]:[Total Testes]],MATCH(PlanoV1.0!C20,Table1[CONCAT],0),MATCH(PlanoV1.0!B20,Table1[[#Headers],[Especificação]:[Total Testes]],0))</f>
        <v>#N/A</v>
      </c>
      <c r="H20" s="179" t="e">
        <f t="shared" si="97"/>
        <v>#N/A</v>
      </c>
      <c r="I20" s="181" t="e">
        <f t="shared" si="98"/>
        <v>#N/A</v>
      </c>
      <c r="J20" s="158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>
        <v>0.3</v>
      </c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8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8"/>
      <c r="CJ20" s="153"/>
      <c r="CK20" s="153"/>
      <c r="CL20" s="153"/>
      <c r="CM20" s="153"/>
      <c r="CN20" s="158"/>
      <c r="CO20" s="153"/>
      <c r="CP20" s="153"/>
      <c r="CQ20" s="153"/>
    </row>
    <row r="21" spans="2:95" ht="14" outlineLevel="3" x14ac:dyDescent="0.3">
      <c r="B21" s="146" t="str">
        <f>Table1[[#Headers],[Especificação]]</f>
        <v>Especificação</v>
      </c>
      <c r="C21" s="172" t="str">
        <f t="shared" si="96"/>
        <v>ENTITY_TXNMY_ELGBL_TRNVR_P</v>
      </c>
      <c r="D21" s="143" t="s">
        <v>10</v>
      </c>
      <c r="E21" s="143" t="s">
        <v>1403</v>
      </c>
      <c r="G21" s="160" t="e">
        <f>INDEX(Table1[[Especificação]:[Total Testes]],MATCH(PlanoV1.0!C21,Table1[CONCAT],0),MATCH(PlanoV1.0!B21,Table1[[#Headers],[Especificação]:[Total Testes]],0))</f>
        <v>#N/A</v>
      </c>
      <c r="H21" s="179" t="e">
        <f t="shared" si="97"/>
        <v>#N/A</v>
      </c>
      <c r="I21" s="181" t="e">
        <f t="shared" si="98"/>
        <v>#N/A</v>
      </c>
      <c r="J21" s="158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>
        <v>0.2</v>
      </c>
      <c r="AA21" s="153">
        <v>0.1</v>
      </c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8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8"/>
      <c r="CJ21" s="153"/>
      <c r="CK21" s="153"/>
      <c r="CL21" s="153"/>
      <c r="CM21" s="153"/>
      <c r="CN21" s="158"/>
      <c r="CO21" s="153"/>
      <c r="CP21" s="153"/>
      <c r="CQ21" s="153"/>
    </row>
    <row r="22" spans="2:95" ht="14" outlineLevel="3" x14ac:dyDescent="0.3">
      <c r="B22" s="146" t="str">
        <f>Table1[[#Headers],[Especificação]]</f>
        <v>Especificação</v>
      </c>
      <c r="C22" s="172" t="str">
        <f t="shared" si="96"/>
        <v>ENTITY_TXNMY_ELGBL_CAPEX_B</v>
      </c>
      <c r="D22" s="143" t="s">
        <v>10</v>
      </c>
      <c r="E22" s="143" t="s">
        <v>1405</v>
      </c>
      <c r="G22" s="160" t="e">
        <f>INDEX(Table1[[Especificação]:[Total Testes]],MATCH(PlanoV1.0!C22,Table1[CONCAT],0),MATCH(PlanoV1.0!B22,Table1[[#Headers],[Especificação]:[Total Testes]],0))</f>
        <v>#N/A</v>
      </c>
      <c r="H22" s="179" t="e">
        <f t="shared" si="97"/>
        <v>#N/A</v>
      </c>
      <c r="I22" s="181" t="e">
        <f t="shared" si="98"/>
        <v>#N/A</v>
      </c>
      <c r="J22" s="158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>
        <v>0.3</v>
      </c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8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8"/>
      <c r="CJ22" s="153"/>
      <c r="CK22" s="153"/>
      <c r="CL22" s="153"/>
      <c r="CM22" s="153"/>
      <c r="CN22" s="158"/>
      <c r="CO22" s="153"/>
      <c r="CP22" s="153"/>
      <c r="CQ22" s="153"/>
    </row>
    <row r="23" spans="2:95" ht="14" outlineLevel="3" x14ac:dyDescent="0.3">
      <c r="B23" s="146" t="str">
        <f>Table1[[#Headers],[Especificação]]</f>
        <v>Especificação</v>
      </c>
      <c r="C23" s="172" t="str">
        <f t="shared" si="96"/>
        <v>ENTITY_TXNMY_ELGBL_TRNVR_B</v>
      </c>
      <c r="D23" s="143" t="s">
        <v>10</v>
      </c>
      <c r="E23" s="143" t="s">
        <v>1407</v>
      </c>
      <c r="G23" s="160" t="e">
        <f>INDEX(Table1[[Especificação]:[Total Testes]],MATCH(PlanoV1.0!C23,Table1[CONCAT],0),MATCH(PlanoV1.0!B23,Table1[[#Headers],[Especificação]:[Total Testes]],0))</f>
        <v>#N/A</v>
      </c>
      <c r="H23" s="179" t="e">
        <f t="shared" si="97"/>
        <v>#N/A</v>
      </c>
      <c r="I23" s="181" t="e">
        <f t="shared" si="98"/>
        <v>#N/A</v>
      </c>
      <c r="J23" s="158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>
        <v>0.3</v>
      </c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8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8"/>
      <c r="CJ23" s="153"/>
      <c r="CK23" s="153"/>
      <c r="CL23" s="153"/>
      <c r="CM23" s="153"/>
      <c r="CN23" s="158"/>
      <c r="CO23" s="153"/>
      <c r="CP23" s="153"/>
      <c r="CQ23" s="153"/>
    </row>
    <row r="24" spans="2:95" ht="14" outlineLevel="3" x14ac:dyDescent="0.3">
      <c r="B24" s="146" t="str">
        <f>Table1[[#Headers],[Especificação]]</f>
        <v>Especificação</v>
      </c>
      <c r="C24" s="172" t="str">
        <f t="shared" si="96"/>
        <v>ENTITY_TXNMY_ELGBL_CAPEX_CE</v>
      </c>
      <c r="D24" s="143" t="s">
        <v>10</v>
      </c>
      <c r="E24" s="143" t="s">
        <v>1409</v>
      </c>
      <c r="G24" s="160" t="e">
        <f>INDEX(Table1[[Especificação]:[Total Testes]],MATCH(PlanoV1.0!C24,Table1[CONCAT],0),MATCH(PlanoV1.0!B24,Table1[[#Headers],[Especificação]:[Total Testes]],0))</f>
        <v>#N/A</v>
      </c>
      <c r="H24" s="179" t="e">
        <f t="shared" si="97"/>
        <v>#N/A</v>
      </c>
      <c r="I24" s="181" t="e">
        <f t="shared" si="98"/>
        <v>#N/A</v>
      </c>
      <c r="J24" s="158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>
        <v>0.2</v>
      </c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8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8"/>
      <c r="CJ24" s="153"/>
      <c r="CK24" s="153"/>
      <c r="CL24" s="153"/>
      <c r="CM24" s="153"/>
      <c r="CN24" s="158"/>
      <c r="CO24" s="153"/>
      <c r="CP24" s="153"/>
      <c r="CQ24" s="153"/>
    </row>
    <row r="25" spans="2:95" ht="14" outlineLevel="3" x14ac:dyDescent="0.3">
      <c r="B25" s="146" t="str">
        <f>Table1[[#Headers],[Especificação]]</f>
        <v>Especificação</v>
      </c>
      <c r="C25" s="172" t="str">
        <f t="shared" si="96"/>
        <v>ENTITY_TXNMY_ELGBL_TRNVR_CE</v>
      </c>
      <c r="D25" s="143" t="s">
        <v>10</v>
      </c>
      <c r="E25" s="143" t="s">
        <v>1411</v>
      </c>
      <c r="G25" s="160" t="e">
        <f>INDEX(Table1[[Especificação]:[Total Testes]],MATCH(PlanoV1.0!C25,Table1[CONCAT],0),MATCH(PlanoV1.0!B25,Table1[[#Headers],[Especificação]:[Total Testes]],0))</f>
        <v>#N/A</v>
      </c>
      <c r="H25" s="179" t="e">
        <f t="shared" si="97"/>
        <v>#N/A</v>
      </c>
      <c r="I25" s="181" t="e">
        <f t="shared" si="98"/>
        <v>#N/A</v>
      </c>
      <c r="J25" s="158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>
        <v>0.1</v>
      </c>
      <c r="AB25" s="153">
        <v>0.1</v>
      </c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8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8"/>
      <c r="CJ25" s="153"/>
      <c r="CK25" s="153"/>
      <c r="CL25" s="153"/>
      <c r="CM25" s="153"/>
      <c r="CN25" s="158"/>
      <c r="CO25" s="153"/>
      <c r="CP25" s="153"/>
      <c r="CQ25" s="153"/>
    </row>
    <row r="26" spans="2:95" ht="14" outlineLevel="3" x14ac:dyDescent="0.3">
      <c r="B26" s="146" t="str">
        <f>Table1[[#Headers],[Especificação]]</f>
        <v>Especificação</v>
      </c>
      <c r="C26" s="172" t="str">
        <f t="shared" si="96"/>
        <v>ENTITY_PURE_CAPEX_P</v>
      </c>
      <c r="D26" s="143" t="s">
        <v>10</v>
      </c>
      <c r="E26" s="143" t="s">
        <v>1413</v>
      </c>
      <c r="G26" s="160" t="e">
        <f>INDEX(Table1[[Especificação]:[Total Testes]],MATCH(PlanoV1.0!C26,Table1[CONCAT],0),MATCH(PlanoV1.0!B26,Table1[[#Headers],[Especificação]:[Total Testes]],0))</f>
        <v>#N/A</v>
      </c>
      <c r="H26" s="179" t="e">
        <f t="shared" si="97"/>
        <v>#N/A</v>
      </c>
      <c r="I26" s="181" t="e">
        <f t="shared" si="98"/>
        <v>#N/A</v>
      </c>
      <c r="J26" s="158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>
        <v>0.2</v>
      </c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8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8"/>
      <c r="CJ26" s="153"/>
      <c r="CK26" s="153"/>
      <c r="CL26" s="153"/>
      <c r="CM26" s="153"/>
      <c r="CN26" s="158"/>
      <c r="CO26" s="153"/>
      <c r="CP26" s="153"/>
      <c r="CQ26" s="153"/>
    </row>
    <row r="27" spans="2:95" ht="14" outlineLevel="3" x14ac:dyDescent="0.3">
      <c r="B27" s="146" t="str">
        <f>Table1[[#Headers],[Especificação]]</f>
        <v>Especificação</v>
      </c>
      <c r="C27" s="172" t="str">
        <f t="shared" si="96"/>
        <v>ENTITY_PURE_TRNVR_P</v>
      </c>
      <c r="D27" s="143" t="s">
        <v>10</v>
      </c>
      <c r="E27" s="143" t="s">
        <v>1415</v>
      </c>
      <c r="G27" s="160" t="e">
        <f>INDEX(Table1[[Especificação]:[Total Testes]],MATCH(PlanoV1.0!C27,Table1[CONCAT],0),MATCH(PlanoV1.0!B27,Table1[[#Headers],[Especificação]:[Total Testes]],0))</f>
        <v>#N/A</v>
      </c>
      <c r="H27" s="179" t="e">
        <f t="shared" si="97"/>
        <v>#N/A</v>
      </c>
      <c r="I27" s="181" t="e">
        <f t="shared" si="98"/>
        <v>#N/A</v>
      </c>
      <c r="J27" s="158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>
        <v>0.2</v>
      </c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8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8"/>
      <c r="CJ27" s="153"/>
      <c r="CK27" s="153"/>
      <c r="CL27" s="153"/>
      <c r="CM27" s="153"/>
      <c r="CN27" s="158"/>
      <c r="CO27" s="153"/>
      <c r="CP27" s="153"/>
      <c r="CQ27" s="153"/>
    </row>
    <row r="28" spans="2:95" ht="14" outlineLevel="3" x14ac:dyDescent="0.3">
      <c r="B28" s="146" t="str">
        <f>Table1[[#Headers],[Especificação]]</f>
        <v>Especificação</v>
      </c>
      <c r="C28" s="172" t="str">
        <f t="shared" si="96"/>
        <v>ENTITY_PURE_CAPEX_B</v>
      </c>
      <c r="D28" s="143" t="s">
        <v>10</v>
      </c>
      <c r="E28" s="143" t="s">
        <v>1417</v>
      </c>
      <c r="G28" s="160" t="e">
        <f>INDEX(Table1[[Especificação]:[Total Testes]],MATCH(PlanoV1.0!C28,Table1[CONCAT],0),MATCH(PlanoV1.0!B28,Table1[[#Headers],[Especificação]:[Total Testes]],0))</f>
        <v>#N/A</v>
      </c>
      <c r="H28" s="179" t="e">
        <f t="shared" si="97"/>
        <v>#N/A</v>
      </c>
      <c r="I28" s="181" t="e">
        <f t="shared" si="98"/>
        <v>#N/A</v>
      </c>
      <c r="J28" s="158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>
        <v>0.2</v>
      </c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8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8"/>
      <c r="CJ28" s="153"/>
      <c r="CK28" s="153"/>
      <c r="CL28" s="153"/>
      <c r="CM28" s="153"/>
      <c r="CN28" s="158"/>
      <c r="CO28" s="153"/>
      <c r="CP28" s="153"/>
      <c r="CQ28" s="153"/>
    </row>
    <row r="29" spans="2:95" ht="14" outlineLevel="3" x14ac:dyDescent="0.3">
      <c r="B29" s="146" t="str">
        <f>Table1[[#Headers],[Especificação]]</f>
        <v>Especificação</v>
      </c>
      <c r="C29" s="172" t="str">
        <f t="shared" si="96"/>
        <v>ENTITY_PURE_TRNVR_B</v>
      </c>
      <c r="D29" s="143" t="s">
        <v>10</v>
      </c>
      <c r="E29" s="143" t="s">
        <v>1419</v>
      </c>
      <c r="G29" s="160" t="e">
        <f>INDEX(Table1[[Especificação]:[Total Testes]],MATCH(PlanoV1.0!C29,Table1[CONCAT],0),MATCH(PlanoV1.0!B29,Table1[[#Headers],[Especificação]:[Total Testes]],0))</f>
        <v>#N/A</v>
      </c>
      <c r="H29" s="179" t="e">
        <f t="shared" si="97"/>
        <v>#N/A</v>
      </c>
      <c r="I29" s="181" t="e">
        <f t="shared" si="98"/>
        <v>#N/A</v>
      </c>
      <c r="J29" s="158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>
        <v>0.2</v>
      </c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8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8"/>
      <c r="CJ29" s="153"/>
      <c r="CK29" s="153"/>
      <c r="CL29" s="153"/>
      <c r="CM29" s="153"/>
      <c r="CN29" s="158"/>
      <c r="CO29" s="153"/>
      <c r="CP29" s="153"/>
      <c r="CQ29" s="153"/>
    </row>
    <row r="30" spans="2:95" ht="14" outlineLevel="3" x14ac:dyDescent="0.3">
      <c r="B30" s="146" t="str">
        <f>Table1[[#Headers],[Especificação]]</f>
        <v>Especificação</v>
      </c>
      <c r="C30" s="172" t="str">
        <f t="shared" si="96"/>
        <v>ENTITY_PURE_CAPEX_W</v>
      </c>
      <c r="D30" s="143" t="s">
        <v>10</v>
      </c>
      <c r="E30" s="143" t="s">
        <v>1421</v>
      </c>
      <c r="G30" s="160" t="e">
        <f>INDEX(Table1[[Especificação]:[Total Testes]],MATCH(PlanoV1.0!C30,Table1[CONCAT],0),MATCH(PlanoV1.0!B30,Table1[[#Headers],[Especificação]:[Total Testes]],0))</f>
        <v>#N/A</v>
      </c>
      <c r="H30" s="179" t="e">
        <f t="shared" si="97"/>
        <v>#N/A</v>
      </c>
      <c r="I30" s="181" t="e">
        <f t="shared" si="98"/>
        <v>#N/A</v>
      </c>
      <c r="J30" s="158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>
        <v>0.1</v>
      </c>
      <c r="AC30" s="153">
        <v>0.1</v>
      </c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8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8"/>
      <c r="CJ30" s="153"/>
      <c r="CK30" s="153"/>
      <c r="CL30" s="153"/>
      <c r="CM30" s="153"/>
      <c r="CN30" s="158"/>
      <c r="CO30" s="153"/>
      <c r="CP30" s="153"/>
      <c r="CQ30" s="153"/>
    </row>
    <row r="31" spans="2:95" ht="14" outlineLevel="3" x14ac:dyDescent="0.3">
      <c r="B31" s="146" t="str">
        <f>Table1[[#Headers],[Especificação]]</f>
        <v>Especificação</v>
      </c>
      <c r="C31" s="172" t="str">
        <f t="shared" si="96"/>
        <v>ENTITY_PURE_TRNVR_W</v>
      </c>
      <c r="D31" s="143" t="s">
        <v>10</v>
      </c>
      <c r="E31" s="143" t="s">
        <v>1423</v>
      </c>
      <c r="G31" s="160" t="e">
        <f>INDEX(Table1[[Especificação]:[Total Testes]],MATCH(PlanoV1.0!C31,Table1[CONCAT],0),MATCH(PlanoV1.0!B31,Table1[[#Headers],[Especificação]:[Total Testes]],0))</f>
        <v>#N/A</v>
      </c>
      <c r="H31" s="179" t="e">
        <f t="shared" si="97"/>
        <v>#N/A</v>
      </c>
      <c r="I31" s="181" t="e">
        <f t="shared" si="98"/>
        <v>#N/A</v>
      </c>
      <c r="J31" s="158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>
        <v>0.2</v>
      </c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8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8"/>
      <c r="CJ31" s="153"/>
      <c r="CK31" s="153"/>
      <c r="CL31" s="153"/>
      <c r="CM31" s="153"/>
      <c r="CN31" s="158"/>
      <c r="CO31" s="153"/>
      <c r="CP31" s="153"/>
      <c r="CQ31" s="153"/>
    </row>
    <row r="32" spans="2:95" ht="14" outlineLevel="3" x14ac:dyDescent="0.3">
      <c r="B32" s="146" t="str">
        <f>Table1[[#Headers],[Especificação]]</f>
        <v>Especificação</v>
      </c>
      <c r="C32" s="172" t="str">
        <f t="shared" si="95"/>
        <v>ENTITY_PURE_CAPEX_CE</v>
      </c>
      <c r="D32" s="143" t="s">
        <v>10</v>
      </c>
      <c r="E32" s="143" t="s">
        <v>1425</v>
      </c>
      <c r="G32" s="160" t="e">
        <f>INDEX(Table1[[Especificação]:[Total Testes]],MATCH(PlanoV1.0!C32,Table1[CONCAT],0),MATCH(PlanoV1.0!B32,Table1[[#Headers],[Especificação]:[Total Testes]],0))</f>
        <v>#N/A</v>
      </c>
      <c r="H32" s="179" t="e">
        <f t="shared" si="97"/>
        <v>#N/A</v>
      </c>
      <c r="I32" s="181" t="e">
        <f t="shared" si="98"/>
        <v>#N/A</v>
      </c>
      <c r="J32" s="158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>
        <v>0.2</v>
      </c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8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8"/>
      <c r="CJ32" s="153"/>
      <c r="CK32" s="153"/>
      <c r="CL32" s="153"/>
      <c r="CM32" s="153"/>
      <c r="CN32" s="158"/>
      <c r="CO32" s="153"/>
      <c r="CP32" s="153"/>
      <c r="CQ32" s="153"/>
    </row>
    <row r="33" spans="2:95" ht="14" outlineLevel="3" x14ac:dyDescent="0.3">
      <c r="B33" s="146" t="str">
        <f>Table1[[#Headers],[Especificação]]</f>
        <v>Especificação</v>
      </c>
      <c r="C33" s="172" t="str">
        <f t="shared" si="95"/>
        <v>ENTITY_PURE_TRNVR_CE</v>
      </c>
      <c r="D33" s="143" t="s">
        <v>10</v>
      </c>
      <c r="E33" s="143" t="s">
        <v>1427</v>
      </c>
      <c r="G33" s="160" t="e">
        <f>INDEX(Table1[[Especificação]:[Total Testes]],MATCH(PlanoV1.0!C33,Table1[CONCAT],0),MATCH(PlanoV1.0!B33,Table1[[#Headers],[Especificação]:[Total Testes]],0))</f>
        <v>#N/A</v>
      </c>
      <c r="H33" s="179" t="e">
        <f t="shared" si="97"/>
        <v>#N/A</v>
      </c>
      <c r="I33" s="181" t="e">
        <f t="shared" si="98"/>
        <v>#N/A</v>
      </c>
      <c r="J33" s="158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>
        <v>0.2</v>
      </c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8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8"/>
      <c r="CJ33" s="153"/>
      <c r="CK33" s="153"/>
      <c r="CL33" s="153"/>
      <c r="CM33" s="153"/>
      <c r="CN33" s="158"/>
      <c r="CO33" s="153"/>
      <c r="CP33" s="153"/>
      <c r="CQ33" s="153"/>
    </row>
    <row r="34" spans="2:95" ht="14" outlineLevel="3" x14ac:dyDescent="0.3">
      <c r="B34" s="146" t="str">
        <f>Table1[[#Headers],[Especificação]]</f>
        <v>Especificação</v>
      </c>
      <c r="C34" s="172" t="str">
        <f t="shared" si="95"/>
        <v>ENTITY_ENBLNG_CAPEX_W</v>
      </c>
      <c r="D34" s="143" t="s">
        <v>10</v>
      </c>
      <c r="E34" s="143" t="s">
        <v>1429</v>
      </c>
      <c r="G34" s="160" t="e">
        <f>INDEX(Table1[[Especificação]:[Total Testes]],MATCH(PlanoV1.0!C34,Table1[CONCAT],0),MATCH(PlanoV1.0!B34,Table1[[#Headers],[Especificação]:[Total Testes]],0))</f>
        <v>#N/A</v>
      </c>
      <c r="H34" s="179" t="e">
        <f t="shared" si="97"/>
        <v>#N/A</v>
      </c>
      <c r="I34" s="181" t="e">
        <f t="shared" si="98"/>
        <v>#N/A</v>
      </c>
      <c r="J34" s="158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>
        <v>0.2</v>
      </c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8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8"/>
      <c r="CJ34" s="153"/>
      <c r="CK34" s="153"/>
      <c r="CL34" s="153"/>
      <c r="CM34" s="153"/>
      <c r="CN34" s="158"/>
      <c r="CO34" s="153"/>
      <c r="CP34" s="153"/>
      <c r="CQ34" s="153"/>
    </row>
    <row r="35" spans="2:95" ht="14" outlineLevel="3" x14ac:dyDescent="0.3">
      <c r="B35" s="146" t="str">
        <f>Table1[[#Headers],[Especificação]]</f>
        <v>Especificação</v>
      </c>
      <c r="C35" s="172" t="str">
        <f t="shared" si="95"/>
        <v>ENTITY_ENBLNG_TRNVR_W</v>
      </c>
      <c r="D35" s="143" t="s">
        <v>10</v>
      </c>
      <c r="E35" s="143" t="s">
        <v>1431</v>
      </c>
      <c r="G35" s="160" t="e">
        <f>INDEX(Table1[[Especificação]:[Total Testes]],MATCH(PlanoV1.0!C35,Table1[CONCAT],0),MATCH(PlanoV1.0!B35,Table1[[#Headers],[Especificação]:[Total Testes]],0))</f>
        <v>#N/A</v>
      </c>
      <c r="H35" s="179" t="e">
        <f t="shared" si="97"/>
        <v>#N/A</v>
      </c>
      <c r="I35" s="181" t="e">
        <f t="shared" si="98"/>
        <v>#N/A</v>
      </c>
      <c r="J35" s="158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>
        <v>0.1</v>
      </c>
      <c r="AD35" s="153">
        <v>0.1</v>
      </c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8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8"/>
      <c r="CJ35" s="153"/>
      <c r="CK35" s="153"/>
      <c r="CL35" s="153"/>
      <c r="CM35" s="153"/>
      <c r="CN35" s="158"/>
      <c r="CO35" s="153"/>
      <c r="CP35" s="153"/>
      <c r="CQ35" s="153"/>
    </row>
    <row r="36" spans="2:95" ht="14" outlineLevel="3" x14ac:dyDescent="0.3">
      <c r="B36" s="146" t="str">
        <f>Table1[[#Headers],[Especificação]]</f>
        <v>Especificação</v>
      </c>
      <c r="C36" s="172" t="str">
        <f t="shared" si="95"/>
        <v>ENTITY_ENBLNG_CAPEX_CE</v>
      </c>
      <c r="D36" s="143" t="s">
        <v>10</v>
      </c>
      <c r="E36" s="143" t="s">
        <v>1433</v>
      </c>
      <c r="G36" s="160" t="e">
        <f>INDEX(Table1[[Especificação]:[Total Testes]],MATCH(PlanoV1.0!C36,Table1[CONCAT],0),MATCH(PlanoV1.0!B36,Table1[[#Headers],[Especificação]:[Total Testes]],0))</f>
        <v>#N/A</v>
      </c>
      <c r="H36" s="179" t="e">
        <f t="shared" si="97"/>
        <v>#N/A</v>
      </c>
      <c r="I36" s="181" t="e">
        <f t="shared" si="98"/>
        <v>#N/A</v>
      </c>
      <c r="J36" s="158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>
        <v>0.2</v>
      </c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8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8"/>
      <c r="CJ36" s="153"/>
      <c r="CK36" s="153"/>
      <c r="CL36" s="153"/>
      <c r="CM36" s="153"/>
      <c r="CN36" s="158"/>
      <c r="CO36" s="153"/>
      <c r="CP36" s="153"/>
      <c r="CQ36" s="153"/>
    </row>
    <row r="37" spans="2:95" ht="14" outlineLevel="3" x14ac:dyDescent="0.3">
      <c r="B37" s="146" t="str">
        <f>Table1[[#Headers],[Especificação]]</f>
        <v>Especificação</v>
      </c>
      <c r="C37" s="172" t="str">
        <f t="shared" ref="C37:C51" si="99">D37&amp;"_"&amp;E37</f>
        <v>ENTITY_ENBLNG_TRNVR_CE</v>
      </c>
      <c r="D37" s="143" t="s">
        <v>10</v>
      </c>
      <c r="E37" s="143" t="s">
        <v>1435</v>
      </c>
      <c r="G37" s="160" t="e">
        <f>INDEX(Table1[[Especificação]:[Total Testes]],MATCH(PlanoV1.0!C37,Table1[CONCAT],0),MATCH(PlanoV1.0!B37,Table1[[#Headers],[Especificação]:[Total Testes]],0))</f>
        <v>#N/A</v>
      </c>
      <c r="H37" s="179" t="e">
        <f t="shared" si="97"/>
        <v>#N/A</v>
      </c>
      <c r="I37" s="181" t="e">
        <f t="shared" si="98"/>
        <v>#N/A</v>
      </c>
      <c r="J37" s="158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>
        <v>0.2</v>
      </c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8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8"/>
      <c r="CJ37" s="153"/>
      <c r="CK37" s="153"/>
      <c r="CL37" s="153"/>
      <c r="CM37" s="153"/>
      <c r="CN37" s="158"/>
      <c r="CO37" s="153"/>
      <c r="CP37" s="153"/>
      <c r="CQ37" s="153"/>
    </row>
    <row r="38" spans="2:95" ht="14" outlineLevel="3" x14ac:dyDescent="0.3">
      <c r="B38" s="146" t="str">
        <f>Table1[[#Headers],[Especificação]]</f>
        <v>Especificação</v>
      </c>
      <c r="C38" s="172" t="str">
        <f t="shared" si="99"/>
        <v>INSTRUMENT_TYP_OFF_BLNC_PRDCT</v>
      </c>
      <c r="D38" s="143" t="s">
        <v>414</v>
      </c>
      <c r="E38" s="143" t="s">
        <v>1351</v>
      </c>
      <c r="G38" s="160">
        <f>INDEX(Table1[[Especificação]:[Total Testes]],MATCH(PlanoV1.0!C38,Table1[CONCAT],0),MATCH(PlanoV1.0!B38,Table1[[#Headers],[Especificação]:[Total Testes]],0))</f>
        <v>1</v>
      </c>
      <c r="H38" s="179">
        <f t="shared" si="97"/>
        <v>0.2</v>
      </c>
      <c r="I38" s="181">
        <f t="shared" si="98"/>
        <v>0</v>
      </c>
      <c r="J38" s="158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>
        <v>0.2</v>
      </c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8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8"/>
      <c r="CJ38" s="153"/>
      <c r="CK38" s="153"/>
      <c r="CL38" s="153"/>
      <c r="CM38" s="153"/>
      <c r="CN38" s="158"/>
      <c r="CO38" s="153"/>
      <c r="CP38" s="153"/>
      <c r="CQ38" s="153"/>
    </row>
    <row r="39" spans="2:95" ht="14" outlineLevel="3" x14ac:dyDescent="0.3">
      <c r="B39" s="146" t="str">
        <f>Table1[[#Headers],[Especificação]]</f>
        <v>Especificação</v>
      </c>
      <c r="C39" s="172" t="str">
        <f t="shared" si="99"/>
        <v>INSTRUMENT_FLG_MNMM_SFGRDS</v>
      </c>
      <c r="D39" s="143" t="s">
        <v>414</v>
      </c>
      <c r="E39" s="143" t="s">
        <v>1438</v>
      </c>
      <c r="G39" s="160" t="e">
        <f>INDEX(Table1[[Especificação]:[Total Testes]],MATCH(PlanoV1.0!C39,Table1[CONCAT],0),MATCH(PlanoV1.0!B39,Table1[[#Headers],[Especificação]:[Total Testes]],0))</f>
        <v>#N/A</v>
      </c>
      <c r="H39" s="179" t="e">
        <f t="shared" si="97"/>
        <v>#N/A</v>
      </c>
      <c r="I39" s="181" t="e">
        <f t="shared" si="98"/>
        <v>#N/A</v>
      </c>
      <c r="J39" s="158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>
        <v>1.3</v>
      </c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8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8"/>
      <c r="CJ39" s="153"/>
      <c r="CK39" s="153"/>
      <c r="CL39" s="153"/>
      <c r="CM39" s="153"/>
      <c r="CN39" s="158"/>
      <c r="CO39" s="153"/>
      <c r="CP39" s="153"/>
      <c r="CQ39" s="153"/>
    </row>
    <row r="40" spans="2:95" ht="14" outlineLevel="3" x14ac:dyDescent="0.3">
      <c r="B40" s="146" t="str">
        <f>Table1[[#Headers],[Especificação]]</f>
        <v>Especificação</v>
      </c>
      <c r="C40" s="172" t="str">
        <f t="shared" si="99"/>
        <v>INSTR_PROTECTION_TYP_RLTN</v>
      </c>
      <c r="D40" s="143" t="s">
        <v>1101</v>
      </c>
      <c r="E40" s="143" t="s">
        <v>1384</v>
      </c>
      <c r="G40" s="160">
        <f>INDEX(Table1[[Especificação]:[Total Testes]],MATCH(PlanoV1.0!C40,Table1[CONCAT],0),MATCH(PlanoV1.0!B40,Table1[[#Headers],[Especificação]:[Total Testes]],0))</f>
        <v>0</v>
      </c>
      <c r="H40" s="179">
        <f t="shared" si="97"/>
        <v>0</v>
      </c>
      <c r="I40" s="181">
        <f t="shared" si="98"/>
        <v>0.5</v>
      </c>
      <c r="J40" s="158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>
        <v>0.5</v>
      </c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8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8"/>
      <c r="CJ40" s="153"/>
      <c r="CK40" s="153"/>
      <c r="CL40" s="153"/>
      <c r="CM40" s="153"/>
      <c r="CN40" s="158"/>
      <c r="CO40" s="153"/>
      <c r="CP40" s="153"/>
      <c r="CQ40" s="153"/>
    </row>
    <row r="41" spans="2:95" ht="14" outlineLevel="3" x14ac:dyDescent="0.3">
      <c r="B41" s="146" t="str">
        <f>Table1[[#Headers],[Especificação]]</f>
        <v>Especificação</v>
      </c>
      <c r="C41" s="172" t="str">
        <f t="shared" si="99"/>
        <v>PROTECTION_BLDNG_AR</v>
      </c>
      <c r="D41" s="143" t="s">
        <v>1114</v>
      </c>
      <c r="E41" s="143" t="s">
        <v>1387</v>
      </c>
      <c r="G41" s="160" t="e">
        <f>INDEX(Table1[[Especificação]:[Total Testes]],MATCH(PlanoV1.0!C41,Table1[CONCAT],0),MATCH(PlanoV1.0!B41,Table1[[#Headers],[Especificação]:[Total Testes]],0))</f>
        <v>#N/A</v>
      </c>
      <c r="H41" s="179" t="e">
        <f t="shared" si="97"/>
        <v>#N/A</v>
      </c>
      <c r="I41" s="181" t="e">
        <f t="shared" si="98"/>
        <v>#N/A</v>
      </c>
      <c r="J41" s="158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>
        <v>0.3</v>
      </c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8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8"/>
      <c r="CJ41" s="153"/>
      <c r="CK41" s="153"/>
      <c r="CL41" s="153"/>
      <c r="CM41" s="153"/>
      <c r="CN41" s="158"/>
      <c r="CO41" s="153"/>
      <c r="CP41" s="153"/>
      <c r="CQ41" s="153"/>
    </row>
    <row r="42" spans="2:95" ht="14" outlineLevel="3" x14ac:dyDescent="0.3">
      <c r="B42" s="146" t="str">
        <f>Table1[[#Headers],[Especificação]]</f>
        <v>Especificação</v>
      </c>
      <c r="C42" s="172" t="str">
        <f t="shared" si="99"/>
        <v>PROTECTION_RL_ESTT_CRTFCTN</v>
      </c>
      <c r="D42" s="143" t="s">
        <v>1114</v>
      </c>
      <c r="E42" s="143" t="s">
        <v>1440</v>
      </c>
      <c r="G42" s="160" t="e">
        <f>INDEX(Table1[[Especificação]:[Total Testes]],MATCH(PlanoV1.0!C42,Table1[CONCAT],0),MATCH(PlanoV1.0!B42,Table1[[#Headers],[Especificação]:[Total Testes]],0))</f>
        <v>#N/A</v>
      </c>
      <c r="H42" s="179" t="e">
        <f t="shared" si="97"/>
        <v>#N/A</v>
      </c>
      <c r="I42" s="181" t="e">
        <f t="shared" si="98"/>
        <v>#N/A</v>
      </c>
      <c r="J42" s="158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>
        <v>1</v>
      </c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8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8"/>
      <c r="CJ42" s="153"/>
      <c r="CK42" s="153"/>
      <c r="CL42" s="153"/>
      <c r="CM42" s="153"/>
      <c r="CN42" s="158"/>
      <c r="CO42" s="153"/>
      <c r="CP42" s="153"/>
      <c r="CQ42" s="153"/>
    </row>
    <row r="43" spans="2:95" ht="14" outlineLevel="3" x14ac:dyDescent="0.3">
      <c r="B43" s="146" t="str">
        <f>Table1[[#Headers],[Especificação]]</f>
        <v>Especificação</v>
      </c>
      <c r="C43" s="172" t="str">
        <f t="shared" si="99"/>
        <v>PROTECTION_TYP_VHCL</v>
      </c>
      <c r="D43" s="143" t="s">
        <v>1114</v>
      </c>
      <c r="E43" s="143" t="s">
        <v>1442</v>
      </c>
      <c r="G43" s="160" t="e">
        <f>INDEX(Table1[[Especificação]:[Total Testes]],MATCH(PlanoV1.0!C43,Table1[CONCAT],0),MATCH(PlanoV1.0!B43,Table1[[#Headers],[Especificação]:[Total Testes]],0))</f>
        <v>#N/A</v>
      </c>
      <c r="H43" s="179" t="e">
        <f t="shared" si="97"/>
        <v>#N/A</v>
      </c>
      <c r="I43" s="181" t="e">
        <f t="shared" si="98"/>
        <v>#N/A</v>
      </c>
      <c r="J43" s="158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>
        <v>1</v>
      </c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8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8"/>
      <c r="CJ43" s="153"/>
      <c r="CK43" s="153"/>
      <c r="CL43" s="153"/>
      <c r="CM43" s="153"/>
      <c r="CN43" s="158"/>
      <c r="CO43" s="153"/>
      <c r="CP43" s="153"/>
      <c r="CQ43" s="153"/>
    </row>
    <row r="44" spans="2:95" ht="14" outlineLevel="3" x14ac:dyDescent="0.3">
      <c r="B44" s="146" t="str">
        <f>Table1[[#Headers],[Especificação]]</f>
        <v>Especificação</v>
      </c>
      <c r="C44" s="172" t="str">
        <f t="shared" si="99"/>
        <v>PROTECTION_DT_RGSTRTN</v>
      </c>
      <c r="D44" s="143" t="s">
        <v>1114</v>
      </c>
      <c r="E44" s="143" t="s">
        <v>1444</v>
      </c>
      <c r="G44" s="160" t="e">
        <f>INDEX(Table1[[Especificação]:[Total Testes]],MATCH(PlanoV1.0!C44,Table1[CONCAT],0),MATCH(PlanoV1.0!B44,Table1[[#Headers],[Especificação]:[Total Testes]],0))</f>
        <v>#N/A</v>
      </c>
      <c r="H44" s="179" t="e">
        <f t="shared" si="97"/>
        <v>#N/A</v>
      </c>
      <c r="I44" s="181" t="e">
        <f t="shared" si="98"/>
        <v>#N/A</v>
      </c>
      <c r="J44" s="158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>
        <v>1</v>
      </c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8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8"/>
      <c r="CJ44" s="153"/>
      <c r="CK44" s="153"/>
      <c r="CL44" s="153"/>
      <c r="CM44" s="153"/>
      <c r="CN44" s="158"/>
      <c r="CO44" s="153"/>
      <c r="CP44" s="153"/>
      <c r="CQ44" s="153"/>
    </row>
    <row r="45" spans="2:95" ht="14" outlineLevel="3" x14ac:dyDescent="0.3">
      <c r="B45" s="146" t="str">
        <f>Table1[[#Headers],[Especificação]]</f>
        <v>Especificação</v>
      </c>
      <c r="C45" s="172" t="str">
        <f t="shared" si="99"/>
        <v>PROTECTION_PRMRY_ENRGY_DMND_NN_RNWBL</v>
      </c>
      <c r="D45" s="143" t="s">
        <v>1114</v>
      </c>
      <c r="E45" s="143" t="s">
        <v>1446</v>
      </c>
      <c r="G45" s="160" t="e">
        <f>INDEX(Table1[[Especificação]:[Total Testes]],MATCH(PlanoV1.0!C45,Table1[CONCAT],0),MATCH(PlanoV1.0!B45,Table1[[#Headers],[Especificação]:[Total Testes]],0))</f>
        <v>#N/A</v>
      </c>
      <c r="H45" s="179" t="e">
        <f t="shared" si="97"/>
        <v>#N/A</v>
      </c>
      <c r="I45" s="181" t="e">
        <f t="shared" si="98"/>
        <v>#N/A</v>
      </c>
      <c r="J45" s="158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>
        <v>1.3</v>
      </c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8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8"/>
      <c r="CJ45" s="153"/>
      <c r="CK45" s="153"/>
      <c r="CL45" s="153"/>
      <c r="CM45" s="153"/>
      <c r="CN45" s="158"/>
      <c r="CO45" s="153"/>
      <c r="CP45" s="153"/>
      <c r="CQ45" s="153"/>
    </row>
    <row r="46" spans="2:95" ht="14" outlineLevel="3" x14ac:dyDescent="0.3">
      <c r="B46" s="146" t="str">
        <f>Table1[[#Headers],[Especificação]]</f>
        <v>Especificação</v>
      </c>
      <c r="C46" s="172" t="str">
        <f t="shared" si="99"/>
        <v>PROTECTION_PRMRY_ENRGY_DMND_TTL</v>
      </c>
      <c r="D46" s="143" t="s">
        <v>1114</v>
      </c>
      <c r="E46" s="143" t="s">
        <v>1448</v>
      </c>
      <c r="G46" s="160" t="e">
        <f>INDEX(Table1[[Especificação]:[Total Testes]],MATCH(PlanoV1.0!C46,Table1[CONCAT],0),MATCH(PlanoV1.0!B46,Table1[[#Headers],[Especificação]:[Total Testes]],0))</f>
        <v>#N/A</v>
      </c>
      <c r="H46" s="179" t="e">
        <f t="shared" si="97"/>
        <v>#N/A</v>
      </c>
      <c r="I46" s="181" t="e">
        <f t="shared" si="98"/>
        <v>#N/A</v>
      </c>
      <c r="J46" s="158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>
        <v>1</v>
      </c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8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8"/>
      <c r="CJ46" s="153"/>
      <c r="CK46" s="153"/>
      <c r="CL46" s="153"/>
      <c r="CM46" s="153"/>
      <c r="CN46" s="158"/>
      <c r="CO46" s="153"/>
      <c r="CP46" s="153"/>
      <c r="CQ46" s="153"/>
    </row>
    <row r="47" spans="2:95" ht="14" outlineLevel="3" x14ac:dyDescent="0.3">
      <c r="B47" s="146" t="str">
        <f>Table1[[#Headers],[Especificação]]</f>
        <v>Especificação</v>
      </c>
      <c r="C47" s="172" t="str">
        <f t="shared" si="99"/>
        <v>PROTECTION_PRMRY_ENRGY_DMND_RFRNC_VL</v>
      </c>
      <c r="D47" s="143" t="s">
        <v>1114</v>
      </c>
      <c r="E47" s="143" t="s">
        <v>1450</v>
      </c>
      <c r="G47" s="160" t="e">
        <f>INDEX(Table1[[Especificação]:[Total Testes]],MATCH(PlanoV1.0!C47,Table1[CONCAT],0),MATCH(PlanoV1.0!B47,Table1[[#Headers],[Especificação]:[Total Testes]],0))</f>
        <v>#N/A</v>
      </c>
      <c r="H47" s="179" t="e">
        <f t="shared" si="97"/>
        <v>#N/A</v>
      </c>
      <c r="I47" s="181" t="e">
        <f t="shared" si="98"/>
        <v>#N/A</v>
      </c>
      <c r="J47" s="158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>
        <v>1</v>
      </c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8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8"/>
      <c r="CJ47" s="153"/>
      <c r="CK47" s="153"/>
      <c r="CL47" s="153"/>
      <c r="CM47" s="153"/>
      <c r="CN47" s="158"/>
      <c r="CO47" s="153"/>
      <c r="CP47" s="153"/>
      <c r="CQ47" s="153"/>
    </row>
    <row r="48" spans="2:95" ht="14" outlineLevel="3" x14ac:dyDescent="0.3">
      <c r="B48" s="146" t="str">
        <f>Table1[[#Headers],[Especificação]]</f>
        <v>Especificação</v>
      </c>
      <c r="C48" s="172" t="str">
        <f t="shared" si="99"/>
        <v>PROTECTION_RL_ESTT_CLMT_ZN</v>
      </c>
      <c r="D48" s="143" t="s">
        <v>1114</v>
      </c>
      <c r="E48" s="143" t="s">
        <v>1452</v>
      </c>
      <c r="G48" s="160" t="e">
        <f>INDEX(Table1[[Especificação]:[Total Testes]],MATCH(PlanoV1.0!C48,Table1[CONCAT],0),MATCH(PlanoV1.0!B48,Table1[[#Headers],[Especificação]:[Total Testes]],0))</f>
        <v>#N/A</v>
      </c>
      <c r="H48" s="179" t="e">
        <f t="shared" si="97"/>
        <v>#N/A</v>
      </c>
      <c r="I48" s="181" t="e">
        <f t="shared" si="98"/>
        <v>#N/A</v>
      </c>
      <c r="J48" s="158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>
        <v>0.9</v>
      </c>
      <c r="AD48" s="153">
        <v>0.1</v>
      </c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8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8"/>
      <c r="CJ48" s="153"/>
      <c r="CK48" s="153"/>
      <c r="CL48" s="153"/>
      <c r="CM48" s="153"/>
      <c r="CN48" s="158"/>
      <c r="CO48" s="153"/>
      <c r="CP48" s="153"/>
      <c r="CQ48" s="153"/>
    </row>
    <row r="49" spans="2:95" ht="14" outlineLevel="3" x14ac:dyDescent="0.3">
      <c r="B49" s="146" t="str">
        <f>Table1[[#Headers],[Especificação]]</f>
        <v>Especificação</v>
      </c>
      <c r="C49" s="172" t="str">
        <f t="shared" si="99"/>
        <v>INSTR_ACTIVITY_COD_SOC</v>
      </c>
      <c r="D49" s="143" t="s">
        <v>1458</v>
      </c>
      <c r="E49" s="143" t="s">
        <v>12</v>
      </c>
      <c r="G49" s="160">
        <f>INDEX(Table1[[Especificação]:[Total Testes]],MATCH(PlanoV1.0!C49,Table1[CONCAT],0),MATCH(PlanoV1.0!B49,Table1[[#Headers],[Especificação]:[Total Testes]],0))</f>
        <v>0</v>
      </c>
      <c r="H49" s="179">
        <f t="shared" si="97"/>
        <v>0</v>
      </c>
      <c r="I49" s="181">
        <f t="shared" si="98"/>
        <v>0.3</v>
      </c>
      <c r="J49" s="158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>
        <v>0.3</v>
      </c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8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8"/>
      <c r="CJ49" s="153"/>
      <c r="CK49" s="153"/>
      <c r="CL49" s="153"/>
      <c r="CM49" s="153"/>
      <c r="CN49" s="158"/>
      <c r="CO49" s="153"/>
      <c r="CP49" s="153"/>
      <c r="CQ49" s="153"/>
    </row>
    <row r="50" spans="2:95" ht="14" outlineLevel="3" x14ac:dyDescent="0.3">
      <c r="B50" s="146" t="str">
        <f>Table1[[#Headers],[Especificação]]</f>
        <v>Especificação</v>
      </c>
      <c r="C50" s="172" t="str">
        <f t="shared" si="99"/>
        <v>INSTR_ACTIVITY_DT_RFRNC</v>
      </c>
      <c r="D50" s="143" t="s">
        <v>1458</v>
      </c>
      <c r="E50" s="143" t="s">
        <v>38</v>
      </c>
      <c r="G50" s="160">
        <f>INDEX(Table1[[Especificação]:[Total Testes]],MATCH(PlanoV1.0!C50,Table1[CONCAT],0),MATCH(PlanoV1.0!B50,Table1[[#Headers],[Especificação]:[Total Testes]],0))</f>
        <v>0</v>
      </c>
      <c r="H50" s="179">
        <f t="shared" si="97"/>
        <v>0</v>
      </c>
      <c r="I50" s="181">
        <f t="shared" si="98"/>
        <v>0.2</v>
      </c>
      <c r="J50" s="158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>
        <v>0.2</v>
      </c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8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8"/>
      <c r="CJ50" s="153"/>
      <c r="CK50" s="153"/>
      <c r="CL50" s="153"/>
      <c r="CM50" s="153"/>
      <c r="CN50" s="158"/>
      <c r="CO50" s="153"/>
      <c r="CP50" s="153"/>
      <c r="CQ50" s="153"/>
    </row>
    <row r="51" spans="2:95" ht="14" outlineLevel="3" x14ac:dyDescent="0.3">
      <c r="B51" s="146" t="str">
        <f>Table1[[#Headers],[Especificação]]</f>
        <v>Especificação</v>
      </c>
      <c r="C51" s="172" t="str">
        <f t="shared" si="99"/>
        <v>INSTR_ACTIVITY_INSTRMNT_ID</v>
      </c>
      <c r="D51" s="143" t="s">
        <v>1458</v>
      </c>
      <c r="E51" s="143" t="s">
        <v>405</v>
      </c>
      <c r="G51" s="160">
        <f>INDEX(Table1[[Especificação]:[Total Testes]],MATCH(PlanoV1.0!C51,Table1[CONCAT],0),MATCH(PlanoV1.0!B51,Table1[[#Headers],[Especificação]:[Total Testes]],0))</f>
        <v>0</v>
      </c>
      <c r="H51" s="179">
        <f t="shared" si="97"/>
        <v>0</v>
      </c>
      <c r="I51" s="181">
        <f t="shared" si="98"/>
        <v>0.3</v>
      </c>
      <c r="J51" s="158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>
        <v>0.3</v>
      </c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8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8"/>
      <c r="CJ51" s="153"/>
      <c r="CK51" s="153"/>
      <c r="CL51" s="153"/>
      <c r="CM51" s="153"/>
      <c r="CN51" s="158"/>
      <c r="CO51" s="153"/>
      <c r="CP51" s="153"/>
      <c r="CQ51" s="153"/>
    </row>
    <row r="52" spans="2:95" ht="14.9" customHeight="1" outlineLevel="3" x14ac:dyDescent="0.3">
      <c r="B52" s="146" t="str">
        <f>Table1[[#Headers],[Especificação]]</f>
        <v>Especificação</v>
      </c>
      <c r="C52" s="172" t="str">
        <f t="shared" si="95"/>
        <v>INSTR_ACTIVITY_PRCNTG_ACTVTY</v>
      </c>
      <c r="D52" s="143" t="s">
        <v>1458</v>
      </c>
      <c r="E52" s="143" t="s">
        <v>1464</v>
      </c>
      <c r="G52" s="160">
        <f>INDEX(Table1[[Especificação]:[Total Testes]],MATCH(PlanoV1.0!C52,Table1[CONCAT],0),MATCH(PlanoV1.0!B52,Table1[[#Headers],[Especificação]:[Total Testes]],0))</f>
        <v>1</v>
      </c>
      <c r="H52" s="179">
        <f t="shared" si="97"/>
        <v>0.2</v>
      </c>
      <c r="I52" s="181">
        <f t="shared" si="98"/>
        <v>0.3</v>
      </c>
      <c r="J52" s="158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>
        <v>0.4</v>
      </c>
      <c r="AC52" s="153">
        <v>0.1</v>
      </c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8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8"/>
      <c r="CJ52" s="153"/>
      <c r="CK52" s="153"/>
      <c r="CL52" s="153"/>
      <c r="CM52" s="153"/>
      <c r="CN52" s="158"/>
      <c r="CO52" s="153"/>
      <c r="CP52" s="153"/>
      <c r="CQ52" s="153"/>
    </row>
    <row r="53" spans="2:95" ht="14.9" customHeight="1" outlineLevel="3" x14ac:dyDescent="0.3">
      <c r="B53" s="146" t="str">
        <f>Table1[[#Headers],[Especificação]]</f>
        <v>Especificação</v>
      </c>
      <c r="C53" s="172" t="str">
        <f t="shared" si="95"/>
        <v>INSTR_ACTIVITY_FLG_SBSTNTL_CNTRBTN</v>
      </c>
      <c r="D53" s="143" t="s">
        <v>1458</v>
      </c>
      <c r="E53" s="143" t="s">
        <v>1467</v>
      </c>
      <c r="G53" s="160" t="e">
        <f>INDEX(Table1[[Especificação]:[Total Testes]],MATCH(PlanoV1.0!C53,Table1[CONCAT],0),MATCH(PlanoV1.0!B53,Table1[[#Headers],[Especificação]:[Total Testes]],0))</f>
        <v>#N/A</v>
      </c>
      <c r="H53" s="179" t="e">
        <f t="shared" si="97"/>
        <v>#N/A</v>
      </c>
      <c r="I53" s="181" t="e">
        <f t="shared" si="98"/>
        <v>#N/A</v>
      </c>
      <c r="J53" s="158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>
        <v>0.5</v>
      </c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8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8"/>
      <c r="CJ53" s="153"/>
      <c r="CK53" s="153"/>
      <c r="CL53" s="153"/>
      <c r="CM53" s="153"/>
      <c r="CN53" s="158"/>
      <c r="CO53" s="153"/>
      <c r="CP53" s="153"/>
      <c r="CQ53" s="153"/>
    </row>
    <row r="54" spans="2:95" ht="14.9" customHeight="1" outlineLevel="3" x14ac:dyDescent="0.3">
      <c r="B54" s="146" t="str">
        <f>Table1[[#Headers],[Especificação]]</f>
        <v>Especificação</v>
      </c>
      <c r="C54" s="172" t="str">
        <f t="shared" si="95"/>
        <v>INSTR_ACTIVITY_FLG_DNSH_CMPLNC</v>
      </c>
      <c r="D54" s="143" t="s">
        <v>1458</v>
      </c>
      <c r="E54" s="143" t="s">
        <v>1469</v>
      </c>
      <c r="G54" s="160" t="e">
        <f>INDEX(Table1[[Especificação]:[Total Testes]],MATCH(PlanoV1.0!C54,Table1[CONCAT],0),MATCH(PlanoV1.0!B54,Table1[[#Headers],[Especificação]:[Total Testes]],0))</f>
        <v>#N/A</v>
      </c>
      <c r="H54" s="179" t="e">
        <f t="shared" si="97"/>
        <v>#N/A</v>
      </c>
      <c r="I54" s="181" t="e">
        <f t="shared" si="98"/>
        <v>#N/A</v>
      </c>
      <c r="J54" s="158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>
        <v>0.1</v>
      </c>
      <c r="AE54" s="153">
        <v>1.2</v>
      </c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8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8"/>
      <c r="CJ54" s="153"/>
      <c r="CK54" s="153"/>
      <c r="CL54" s="153"/>
      <c r="CM54" s="153"/>
      <c r="CN54" s="158"/>
      <c r="CO54" s="153"/>
      <c r="CP54" s="153"/>
      <c r="CQ54" s="153"/>
    </row>
    <row r="55" spans="2:95" ht="14.9" customHeight="1" outlineLevel="3" x14ac:dyDescent="0.3">
      <c r="B55" s="146" t="str">
        <f>Table1[[#Headers],[Especificação]]</f>
        <v>Especificação</v>
      </c>
      <c r="C55" s="172" t="str">
        <f t="shared" si="95"/>
        <v>INSTR_ACTIVITY_DNSH_DTL</v>
      </c>
      <c r="D55" s="143" t="s">
        <v>1458</v>
      </c>
      <c r="E55" s="143" t="s">
        <v>1471</v>
      </c>
      <c r="G55" s="160" t="e">
        <f>INDEX(Table1[[Especificação]:[Total Testes]],MATCH(PlanoV1.0!C55,Table1[CONCAT],0),MATCH(PlanoV1.0!B55,Table1[[#Headers],[Especificação]:[Total Testes]],0))</f>
        <v>#N/A</v>
      </c>
      <c r="H55" s="179" t="e">
        <f t="shared" si="97"/>
        <v>#N/A</v>
      </c>
      <c r="I55" s="181" t="e">
        <f t="shared" si="98"/>
        <v>#N/A</v>
      </c>
      <c r="J55" s="158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>
        <v>1</v>
      </c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8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8"/>
      <c r="CJ55" s="153"/>
      <c r="CK55" s="153"/>
      <c r="CL55" s="153"/>
      <c r="CM55" s="153"/>
      <c r="CN55" s="158"/>
      <c r="CO55" s="153"/>
      <c r="CP55" s="153"/>
      <c r="CQ55" s="153"/>
    </row>
    <row r="56" spans="2:95" ht="14.9" customHeight="1" outlineLevel="3" x14ac:dyDescent="0.3">
      <c r="B56" s="146" t="str">
        <f>Table1[[#Headers],[Especificação]]</f>
        <v>Especificação</v>
      </c>
      <c r="C56" s="172" t="str">
        <f t="shared" ref="C56:C65" si="100">D56&amp;"_"&amp;E56</f>
        <v>INSTR_ACTIVITY_ENTTY_NM</v>
      </c>
      <c r="D56" s="143" t="s">
        <v>1458</v>
      </c>
      <c r="E56" s="143" t="s">
        <v>59</v>
      </c>
      <c r="G56" s="160">
        <v>2</v>
      </c>
      <c r="H56" s="179">
        <f t="shared" ref="H56:H65" si="101">ROUNDUP(G56/8,1)</f>
        <v>0.30000000000000004</v>
      </c>
      <c r="I56" s="181">
        <f t="shared" ref="I56:I65" si="102">SUM(J56:CQ56)-H56</f>
        <v>0</v>
      </c>
      <c r="J56" s="158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>
        <v>0.3</v>
      </c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8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8"/>
      <c r="CJ56" s="153"/>
      <c r="CK56" s="153"/>
      <c r="CL56" s="153"/>
      <c r="CM56" s="153"/>
      <c r="CN56" s="158"/>
      <c r="CO56" s="153"/>
      <c r="CP56" s="153"/>
      <c r="CQ56" s="153"/>
    </row>
    <row r="57" spans="2:95" ht="14.9" customHeight="1" outlineLevel="3" x14ac:dyDescent="0.3">
      <c r="B57" s="146" t="str">
        <f>Table1[[#Headers],[Especificação]]</f>
        <v>Especificação</v>
      </c>
      <c r="C57" s="172" t="str">
        <f t="shared" si="100"/>
        <v>INSTR_ACTIVITY_EC_GRP_NM</v>
      </c>
      <c r="D57" s="143" t="s">
        <v>1458</v>
      </c>
      <c r="E57" s="143" t="s">
        <v>284</v>
      </c>
      <c r="G57" s="160">
        <v>2</v>
      </c>
      <c r="H57" s="179">
        <f t="shared" si="101"/>
        <v>0.30000000000000004</v>
      </c>
      <c r="I57" s="181">
        <f t="shared" si="102"/>
        <v>0</v>
      </c>
      <c r="J57" s="158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>
        <v>0.3</v>
      </c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8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8"/>
      <c r="CJ57" s="153"/>
      <c r="CK57" s="153"/>
      <c r="CL57" s="153"/>
      <c r="CM57" s="153"/>
      <c r="CN57" s="158"/>
      <c r="CO57" s="153"/>
      <c r="CP57" s="153"/>
      <c r="CQ57" s="153"/>
    </row>
    <row r="58" spans="2:95" ht="14.9" customHeight="1" outlineLevel="3" x14ac:dyDescent="0.3">
      <c r="B58" s="146" t="str">
        <f>Table1[[#Headers],[Especificação]]</f>
        <v>Especificação</v>
      </c>
      <c r="C58" s="172" t="str">
        <f t="shared" si="100"/>
        <v>INSTR_ACTIVITY_FRBRNC_STTS_INSTRMNT</v>
      </c>
      <c r="D58" s="143" t="s">
        <v>1458</v>
      </c>
      <c r="E58" s="143" t="s">
        <v>501</v>
      </c>
      <c r="G58" s="160">
        <v>1</v>
      </c>
      <c r="H58" s="179">
        <f t="shared" si="101"/>
        <v>0.2</v>
      </c>
      <c r="I58" s="181">
        <f t="shared" si="102"/>
        <v>0</v>
      </c>
      <c r="J58" s="158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>
        <v>0.2</v>
      </c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8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8"/>
      <c r="CJ58" s="153"/>
      <c r="CK58" s="153"/>
      <c r="CL58" s="153"/>
      <c r="CM58" s="153"/>
      <c r="CN58" s="158"/>
      <c r="CO58" s="153"/>
      <c r="CP58" s="153"/>
      <c r="CQ58" s="153"/>
    </row>
    <row r="59" spans="2:95" ht="14.9" customHeight="1" outlineLevel="3" x14ac:dyDescent="0.3">
      <c r="B59" s="146" t="str">
        <f>Table1[[#Headers],[Especificação]]</f>
        <v>Especificação</v>
      </c>
      <c r="C59" s="172" t="str">
        <f t="shared" si="100"/>
        <v>INSTR_ACTIVITY_IFRS9_BHVRL_MTRTY</v>
      </c>
      <c r="D59" s="143" t="s">
        <v>1458</v>
      </c>
      <c r="E59" s="143" t="s">
        <v>614</v>
      </c>
      <c r="G59" s="160">
        <v>1</v>
      </c>
      <c r="H59" s="179">
        <f t="shared" si="101"/>
        <v>0.2</v>
      </c>
      <c r="I59" s="181">
        <f t="shared" si="102"/>
        <v>0</v>
      </c>
      <c r="J59" s="158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>
        <v>0.2</v>
      </c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8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8"/>
      <c r="CJ59" s="153"/>
      <c r="CK59" s="153"/>
      <c r="CL59" s="153"/>
      <c r="CM59" s="153"/>
      <c r="CN59" s="158"/>
      <c r="CO59" s="153"/>
      <c r="CP59" s="153"/>
      <c r="CQ59" s="153"/>
    </row>
    <row r="60" spans="2:95" ht="14.9" customHeight="1" outlineLevel="3" x14ac:dyDescent="0.3">
      <c r="B60" s="146" t="str">
        <f>Table1[[#Headers],[Especificação]]</f>
        <v>Especificação</v>
      </c>
      <c r="C60" s="172" t="str">
        <f t="shared" si="100"/>
        <v>INSTR_ACTIVITY_LTV</v>
      </c>
      <c r="D60" s="143" t="s">
        <v>1458</v>
      </c>
      <c r="E60" s="143" t="s">
        <v>724</v>
      </c>
      <c r="G60" s="160">
        <v>1</v>
      </c>
      <c r="H60" s="179">
        <f t="shared" si="101"/>
        <v>0.2</v>
      </c>
      <c r="I60" s="181">
        <f t="shared" si="102"/>
        <v>0</v>
      </c>
      <c r="J60" s="158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>
        <v>0.2</v>
      </c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8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8"/>
      <c r="CJ60" s="153"/>
      <c r="CK60" s="153"/>
      <c r="CL60" s="153"/>
      <c r="CM60" s="153"/>
      <c r="CN60" s="158"/>
      <c r="CO60" s="153"/>
      <c r="CP60" s="153"/>
      <c r="CQ60" s="153"/>
    </row>
    <row r="61" spans="2:95" ht="14.9" customHeight="1" outlineLevel="3" x14ac:dyDescent="0.3">
      <c r="B61" s="146" t="str">
        <f>Table1[[#Headers],[Especificação]]</f>
        <v>Especificação</v>
      </c>
      <c r="C61" s="172" t="str">
        <f t="shared" si="100"/>
        <v>INSTR_ACTIVITY_LTV_INCPTN</v>
      </c>
      <c r="D61" s="143" t="s">
        <v>1458</v>
      </c>
      <c r="E61" s="143" t="s">
        <v>727</v>
      </c>
      <c r="G61" s="160">
        <v>1</v>
      </c>
      <c r="H61" s="179">
        <f t="shared" si="101"/>
        <v>0.2</v>
      </c>
      <c r="I61" s="181">
        <f t="shared" si="102"/>
        <v>0</v>
      </c>
      <c r="J61" s="158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>
        <v>0.2</v>
      </c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8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8"/>
      <c r="CJ61" s="153"/>
      <c r="CK61" s="153"/>
      <c r="CL61" s="153"/>
      <c r="CM61" s="153"/>
      <c r="CN61" s="158"/>
      <c r="CO61" s="153"/>
      <c r="CP61" s="153"/>
      <c r="CQ61" s="153"/>
    </row>
    <row r="62" spans="2:95" ht="14.9" customHeight="1" outlineLevel="3" x14ac:dyDescent="0.3">
      <c r="B62" s="146" t="str">
        <f>Table1[[#Headers],[Especificação]]</f>
        <v>Especificação</v>
      </c>
      <c r="C62" s="172" t="str">
        <f t="shared" si="100"/>
        <v>INSTR_ACTIVITY_ANNLSD_AGRD_RT</v>
      </c>
      <c r="D62" s="143" t="s">
        <v>1458</v>
      </c>
      <c r="E62" s="143" t="s">
        <v>757</v>
      </c>
      <c r="G62" s="160">
        <v>1</v>
      </c>
      <c r="H62" s="179">
        <f t="shared" si="101"/>
        <v>0.2</v>
      </c>
      <c r="I62" s="181">
        <f t="shared" si="102"/>
        <v>0</v>
      </c>
      <c r="J62" s="158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>
        <v>0.2</v>
      </c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8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8"/>
      <c r="CJ62" s="153"/>
      <c r="CK62" s="153"/>
      <c r="CL62" s="153"/>
      <c r="CM62" s="153"/>
      <c r="CN62" s="158"/>
      <c r="CO62" s="153"/>
      <c r="CP62" s="153"/>
      <c r="CQ62" s="153"/>
    </row>
    <row r="63" spans="2:95" ht="14.9" customHeight="1" outlineLevel="3" x14ac:dyDescent="0.3">
      <c r="B63" s="146" t="str">
        <f>Table1[[#Headers],[Especificação]]</f>
        <v>Especificação</v>
      </c>
      <c r="C63" s="172" t="str">
        <f t="shared" si="100"/>
        <v>INSTR_ACTIVITY_EIR_INCPTN</v>
      </c>
      <c r="D63" s="143" t="s">
        <v>1458</v>
      </c>
      <c r="E63" s="143" t="s">
        <v>763</v>
      </c>
      <c r="G63" s="160">
        <v>1</v>
      </c>
      <c r="H63" s="179">
        <f t="shared" si="101"/>
        <v>0.2</v>
      </c>
      <c r="I63" s="181">
        <f t="shared" si="102"/>
        <v>0</v>
      </c>
      <c r="J63" s="158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>
        <v>0.2</v>
      </c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8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8"/>
      <c r="CJ63" s="153"/>
      <c r="CK63" s="153"/>
      <c r="CL63" s="153"/>
      <c r="CM63" s="153"/>
      <c r="CN63" s="158"/>
      <c r="CO63" s="153"/>
      <c r="CP63" s="153"/>
      <c r="CQ63" s="153"/>
    </row>
    <row r="64" spans="2:95" ht="14.9" customHeight="1" outlineLevel="3" x14ac:dyDescent="0.3">
      <c r="B64" s="146" t="str">
        <f>Table1[[#Headers],[Especificação]]</f>
        <v>Especificação</v>
      </c>
      <c r="C64" s="172" t="str">
        <f t="shared" si="100"/>
        <v>INSTR_ACTIVITY_NW_BSNSS</v>
      </c>
      <c r="D64" s="143" t="s">
        <v>1458</v>
      </c>
      <c r="E64" s="143" t="s">
        <v>973</v>
      </c>
      <c r="G64" s="160">
        <v>8</v>
      </c>
      <c r="H64" s="179">
        <f t="shared" si="101"/>
        <v>1</v>
      </c>
      <c r="I64" s="181">
        <f t="shared" si="102"/>
        <v>0</v>
      </c>
      <c r="J64" s="158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>
        <v>1</v>
      </c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8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8"/>
      <c r="CJ64" s="153"/>
      <c r="CK64" s="153"/>
      <c r="CL64" s="153"/>
      <c r="CM64" s="153"/>
      <c r="CN64" s="158"/>
      <c r="CO64" s="153"/>
      <c r="CP64" s="153"/>
      <c r="CQ64" s="153"/>
    </row>
    <row r="65" spans="2:95" ht="14.9" customHeight="1" outlineLevel="3" x14ac:dyDescent="0.3">
      <c r="B65" s="146" t="str">
        <f>Table1[[#Headers],[Especificação]]</f>
        <v>Especificação</v>
      </c>
      <c r="C65" s="172" t="str">
        <f t="shared" si="100"/>
        <v>INSTR_ACTIVITY_YR_CNSTRCTN</v>
      </c>
      <c r="D65" s="143" t="s">
        <v>1458</v>
      </c>
      <c r="E65" s="143" t="s">
        <v>1290</v>
      </c>
      <c r="G65" s="160">
        <v>1</v>
      </c>
      <c r="H65" s="179">
        <f t="shared" si="101"/>
        <v>0.2</v>
      </c>
      <c r="I65" s="181">
        <f t="shared" si="102"/>
        <v>0</v>
      </c>
      <c r="J65" s="158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>
        <v>0.2</v>
      </c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8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8"/>
      <c r="CJ65" s="153"/>
      <c r="CK65" s="153"/>
      <c r="CL65" s="153"/>
      <c r="CM65" s="153"/>
      <c r="CN65" s="158"/>
      <c r="CO65" s="153"/>
      <c r="CP65" s="153"/>
      <c r="CQ65" s="153"/>
    </row>
    <row r="66" spans="2:95" ht="14" x14ac:dyDescent="0.3">
      <c r="B66" s="146"/>
      <c r="C66" s="199" t="s">
        <v>1610</v>
      </c>
      <c r="D66" s="166"/>
      <c r="E66" s="167"/>
      <c r="F66" s="193">
        <f>+COUNTA(E67:E86)</f>
        <v>20</v>
      </c>
      <c r="G66" s="193" t="e">
        <f>SUM(G67:G78)</f>
        <v>#N/A</v>
      </c>
      <c r="H66" s="196" t="e">
        <f>ROUND(SUM(H67:H78),0)</f>
        <v>#N/A</v>
      </c>
      <c r="I66" s="197"/>
      <c r="J66" s="158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82"/>
      <c r="AG66" s="182"/>
      <c r="AH66" s="182"/>
      <c r="AI66" s="182"/>
      <c r="AJ66" s="182"/>
      <c r="AK66" s="182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8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8"/>
      <c r="CJ66" s="153"/>
      <c r="CK66" s="153"/>
      <c r="CL66" s="153"/>
      <c r="CM66" s="153"/>
      <c r="CN66" s="158"/>
      <c r="CO66" s="153"/>
      <c r="CP66" s="153"/>
      <c r="CQ66" s="153"/>
    </row>
    <row r="67" spans="2:95" ht="14.9" customHeight="1" outlineLevel="1" x14ac:dyDescent="0.3">
      <c r="B67" s="146" t="str">
        <f>Table1[[#Headers],[Especificação]]</f>
        <v>Especificação</v>
      </c>
      <c r="C67" s="144" t="str">
        <f t="shared" si="95"/>
        <v>ENTITY_GRP_ECNMC_ACTVTY</v>
      </c>
      <c r="D67" s="143" t="s">
        <v>10</v>
      </c>
      <c r="E67" s="143" t="s">
        <v>382</v>
      </c>
      <c r="G67" s="160" t="e">
        <f>INDEX(Table1[[Especificação]:[Total Testes]],MATCH(PlanoV1.0!C67,Table1[CONCAT],0),MATCH(PlanoV1.0!B67,Table1[[#Headers],[Especificação]:[Total Testes]],0))</f>
        <v>#N/A</v>
      </c>
      <c r="H67" s="179" t="e">
        <f t="shared" si="97"/>
        <v>#N/A</v>
      </c>
      <c r="I67" s="181" t="e">
        <f t="shared" si="98"/>
        <v>#N/A</v>
      </c>
      <c r="J67" s="158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>
        <v>0.3</v>
      </c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8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8"/>
      <c r="CJ67" s="153"/>
      <c r="CK67" s="153"/>
      <c r="CL67" s="153"/>
      <c r="CM67" s="153"/>
      <c r="CN67" s="158"/>
      <c r="CO67" s="153"/>
      <c r="CP67" s="153"/>
      <c r="CQ67" s="153"/>
    </row>
    <row r="68" spans="2:95" ht="14.9" customHeight="1" outlineLevel="1" x14ac:dyDescent="0.3">
      <c r="B68" s="146" t="str">
        <f>Table1[[#Headers],[Especificação]]</f>
        <v>Especificação</v>
      </c>
      <c r="C68" s="144" t="str">
        <f t="shared" ref="C68:C78" si="103">D68&amp;"_"&amp;E68</f>
        <v>PROTECTION_TYP_EMSSNS_LBL</v>
      </c>
      <c r="D68" s="143" t="s">
        <v>1114</v>
      </c>
      <c r="E68" s="143" t="s">
        <v>1235</v>
      </c>
      <c r="G68" s="160" t="e">
        <f>INDEX(Table1[[Especificação]:[Total Testes]],MATCH(PlanoV1.0!C68,Table1[CONCAT],0),MATCH(PlanoV1.0!B68,Table1[[#Headers],[Especificação]:[Total Testes]],0))</f>
        <v>#N/A</v>
      </c>
      <c r="H68" s="179" t="e">
        <f t="shared" si="97"/>
        <v>#N/A</v>
      </c>
      <c r="I68" s="181" t="e">
        <f t="shared" si="98"/>
        <v>#N/A</v>
      </c>
      <c r="J68" s="158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>
        <v>0.5</v>
      </c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8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8"/>
      <c r="CJ68" s="153"/>
      <c r="CK68" s="153"/>
      <c r="CL68" s="153"/>
      <c r="CM68" s="153"/>
      <c r="CN68" s="158"/>
      <c r="CO68" s="153"/>
      <c r="CP68" s="153"/>
      <c r="CQ68" s="153"/>
    </row>
    <row r="69" spans="2:95" ht="14.9" customHeight="1" outlineLevel="1" x14ac:dyDescent="0.3">
      <c r="B69" s="146" t="str">
        <f>Table1[[#Headers],[Especificação]]</f>
        <v>Especificação</v>
      </c>
      <c r="C69" s="144" t="str">
        <f t="shared" si="103"/>
        <v>PROTECTION_EPC_EMSSNS_LBL</v>
      </c>
      <c r="D69" s="143" t="s">
        <v>1114</v>
      </c>
      <c r="E69" s="143" t="s">
        <v>1238</v>
      </c>
      <c r="G69" s="160" t="e">
        <f>INDEX(Table1[[Especificação]:[Total Testes]],MATCH(PlanoV1.0!C69,Table1[CONCAT],0),MATCH(PlanoV1.0!B69,Table1[[#Headers],[Especificação]:[Total Testes]],0))</f>
        <v>#N/A</v>
      </c>
      <c r="H69" s="179" t="e">
        <f t="shared" si="97"/>
        <v>#N/A</v>
      </c>
      <c r="I69" s="181" t="e">
        <f t="shared" si="98"/>
        <v>#N/A</v>
      </c>
      <c r="J69" s="158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>
        <v>0.3</v>
      </c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8"/>
      <c r="BC69" s="153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8"/>
      <c r="CJ69" s="153"/>
      <c r="CK69" s="153"/>
      <c r="CL69" s="153"/>
      <c r="CM69" s="153"/>
      <c r="CN69" s="158"/>
      <c r="CO69" s="153"/>
      <c r="CP69" s="153"/>
      <c r="CQ69" s="153"/>
    </row>
    <row r="70" spans="2:95" ht="14.9" customHeight="1" outlineLevel="1" x14ac:dyDescent="0.3">
      <c r="B70" s="146" t="str">
        <f>Table1[[#Headers],[Especificação]]</f>
        <v>Especificação</v>
      </c>
      <c r="C70" s="144" t="str">
        <f t="shared" si="103"/>
        <v>PROTECTION_VHCL_EMSSNS_LBL</v>
      </c>
      <c r="D70" s="143" t="s">
        <v>1114</v>
      </c>
      <c r="E70" s="143" t="s">
        <v>1241</v>
      </c>
      <c r="G70" s="160" t="e">
        <f>INDEX(Table1[[Especificação]:[Total Testes]],MATCH(PlanoV1.0!C70,Table1[CONCAT],0),MATCH(PlanoV1.0!B70,Table1[[#Headers],[Especificação]:[Total Testes]],0))</f>
        <v>#N/A</v>
      </c>
      <c r="H70" s="179" t="e">
        <f t="shared" si="97"/>
        <v>#N/A</v>
      </c>
      <c r="I70" s="181" t="e">
        <f t="shared" si="98"/>
        <v>#N/A</v>
      </c>
      <c r="J70" s="158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>
        <v>1</v>
      </c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8"/>
      <c r="BC70" s="153"/>
      <c r="BD70" s="153"/>
      <c r="BE70" s="153"/>
      <c r="BF70" s="153"/>
      <c r="BG70" s="153"/>
      <c r="BH70" s="153"/>
      <c r="BI70" s="153"/>
      <c r="BJ70" s="153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8"/>
      <c r="CJ70" s="153"/>
      <c r="CK70" s="153"/>
      <c r="CL70" s="153"/>
      <c r="CM70" s="153"/>
      <c r="CN70" s="158"/>
      <c r="CO70" s="153"/>
      <c r="CP70" s="153"/>
      <c r="CQ70" s="153"/>
    </row>
    <row r="71" spans="2:95" ht="14.9" customHeight="1" outlineLevel="1" x14ac:dyDescent="0.3">
      <c r="B71" s="146" t="str">
        <f>Table1[[#Headers],[Especificação]]</f>
        <v>Especificação</v>
      </c>
      <c r="C71" s="144" t="str">
        <f t="shared" si="103"/>
        <v>PROTECTION_TYP_EMSSNS_SCR</v>
      </c>
      <c r="D71" s="143" t="s">
        <v>1114</v>
      </c>
      <c r="E71" s="143" t="s">
        <v>1244</v>
      </c>
      <c r="G71" s="160" t="e">
        <f>INDEX(Table1[[Especificação]:[Total Testes]],MATCH(PlanoV1.0!C71,Table1[CONCAT],0),MATCH(PlanoV1.0!B71,Table1[[#Headers],[Especificação]:[Total Testes]],0))</f>
        <v>#N/A</v>
      </c>
      <c r="H71" s="179" t="e">
        <f t="shared" si="97"/>
        <v>#N/A</v>
      </c>
      <c r="I71" s="181" t="e">
        <f t="shared" si="98"/>
        <v>#N/A</v>
      </c>
      <c r="J71" s="158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>
        <v>0.3</v>
      </c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8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8"/>
      <c r="CJ71" s="153"/>
      <c r="CK71" s="153"/>
      <c r="CL71" s="153"/>
      <c r="CM71" s="153"/>
      <c r="CN71" s="158"/>
      <c r="CO71" s="153"/>
      <c r="CP71" s="153"/>
      <c r="CQ71" s="153"/>
    </row>
    <row r="72" spans="2:95" ht="14.9" customHeight="1" outlineLevel="1" x14ac:dyDescent="0.3">
      <c r="B72" s="146" t="str">
        <f>Table1[[#Headers],[Especificação]]</f>
        <v>Especificação</v>
      </c>
      <c r="C72" s="144" t="str">
        <f t="shared" si="103"/>
        <v>PROTECTION_EPC_EMSSNS_SCR</v>
      </c>
      <c r="D72" s="143" t="s">
        <v>1114</v>
      </c>
      <c r="E72" s="143" t="s">
        <v>1247</v>
      </c>
      <c r="G72" s="160" t="e">
        <f>INDEX(Table1[[Especificação]:[Total Testes]],MATCH(PlanoV1.0!C72,Table1[CONCAT],0),MATCH(PlanoV1.0!B72,Table1[[#Headers],[Especificação]:[Total Testes]],0))</f>
        <v>#N/A</v>
      </c>
      <c r="H72" s="179" t="e">
        <f t="shared" si="97"/>
        <v>#N/A</v>
      </c>
      <c r="I72" s="181" t="e">
        <f t="shared" si="98"/>
        <v>#N/A</v>
      </c>
      <c r="J72" s="158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>
        <v>0.5</v>
      </c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8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8"/>
      <c r="CJ72" s="153"/>
      <c r="CK72" s="153"/>
      <c r="CL72" s="153"/>
      <c r="CM72" s="153"/>
      <c r="CN72" s="158"/>
      <c r="CO72" s="153"/>
      <c r="CP72" s="153"/>
      <c r="CQ72" s="153"/>
    </row>
    <row r="73" spans="2:95" ht="14.9" customHeight="1" outlineLevel="1" x14ac:dyDescent="0.3">
      <c r="B73" s="146" t="str">
        <f>Table1[[#Headers],[Especificação]]</f>
        <v>Especificação</v>
      </c>
      <c r="C73" s="144" t="str">
        <f t="shared" si="103"/>
        <v>PROTECTION_VHCL_EMSSNS_SCR</v>
      </c>
      <c r="D73" s="143" t="s">
        <v>1114</v>
      </c>
      <c r="E73" s="143" t="s">
        <v>1250</v>
      </c>
      <c r="G73" s="160" t="e">
        <f>INDEX(Table1[[Especificação]:[Total Testes]],MATCH(PlanoV1.0!C73,Table1[CONCAT],0),MATCH(PlanoV1.0!B73,Table1[[#Headers],[Especificação]:[Total Testes]],0))</f>
        <v>#N/A</v>
      </c>
      <c r="H73" s="179" t="e">
        <f t="shared" si="97"/>
        <v>#N/A</v>
      </c>
      <c r="I73" s="181" t="e">
        <f t="shared" si="98"/>
        <v>#N/A</v>
      </c>
      <c r="J73" s="158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>
        <v>0.9</v>
      </c>
      <c r="AH73" s="153">
        <v>0.4</v>
      </c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8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8"/>
      <c r="CJ73" s="153"/>
      <c r="CK73" s="153"/>
      <c r="CL73" s="153"/>
      <c r="CM73" s="153"/>
      <c r="CN73" s="158"/>
      <c r="CO73" s="153"/>
      <c r="CP73" s="153"/>
      <c r="CQ73" s="153"/>
    </row>
    <row r="74" spans="2:95" ht="14.9" customHeight="1" outlineLevel="1" x14ac:dyDescent="0.3">
      <c r="B74" s="146" t="str">
        <f>Table1[[#Headers],[Especificação]]</f>
        <v>Especificação</v>
      </c>
      <c r="C74" s="144" t="str">
        <f t="shared" si="103"/>
        <v>PROTECTION_INSRNC_ID</v>
      </c>
      <c r="D74" s="143" t="s">
        <v>1114</v>
      </c>
      <c r="E74" s="143" t="s">
        <v>1275</v>
      </c>
      <c r="G74" s="160" t="e">
        <f>INDEX(Table1[[Especificação]:[Total Testes]],MATCH(PlanoV1.0!C74,Table1[CONCAT],0),MATCH(PlanoV1.0!B74,Table1[[#Headers],[Especificação]:[Total Testes]],0))</f>
        <v>#N/A</v>
      </c>
      <c r="H74" s="179" t="e">
        <f t="shared" si="97"/>
        <v>#N/A</v>
      </c>
      <c r="I74" s="181" t="e">
        <f t="shared" si="98"/>
        <v>#N/A</v>
      </c>
      <c r="J74" s="158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>
        <v>1.3</v>
      </c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8"/>
      <c r="BC74" s="153"/>
      <c r="BD74" s="153"/>
      <c r="BE74" s="153"/>
      <c r="BF74" s="153"/>
      <c r="BG74" s="153"/>
      <c r="BH74" s="153"/>
      <c r="BI74" s="153"/>
      <c r="BJ74" s="153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8"/>
      <c r="CJ74" s="153"/>
      <c r="CK74" s="153"/>
      <c r="CL74" s="153"/>
      <c r="CM74" s="153"/>
      <c r="CN74" s="158"/>
      <c r="CO74" s="153"/>
      <c r="CP74" s="153"/>
      <c r="CQ74" s="153"/>
    </row>
    <row r="75" spans="2:95" ht="14.9" customHeight="1" outlineLevel="1" x14ac:dyDescent="0.3">
      <c r="B75" s="146" t="str">
        <f>Table1[[#Headers],[Especificação]]</f>
        <v>Especificação</v>
      </c>
      <c r="C75" s="144" t="str">
        <f t="shared" si="103"/>
        <v>PROTECTION_TYP_HZRDS_INSRD</v>
      </c>
      <c r="D75" s="143" t="s">
        <v>1114</v>
      </c>
      <c r="E75" s="143" t="s">
        <v>1278</v>
      </c>
      <c r="G75" s="160" t="e">
        <f>INDEX(Table1[[Especificação]:[Total Testes]],MATCH(PlanoV1.0!C75,Table1[CONCAT],0),MATCH(PlanoV1.0!B75,Table1[[#Headers],[Especificação]:[Total Testes]],0))</f>
        <v>#N/A</v>
      </c>
      <c r="H75" s="179" t="e">
        <f t="shared" si="97"/>
        <v>#N/A</v>
      </c>
      <c r="I75" s="181" t="e">
        <f t="shared" si="98"/>
        <v>#N/A</v>
      </c>
      <c r="J75" s="158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>
        <v>0.3</v>
      </c>
      <c r="AI75" s="153">
        <v>0.2</v>
      </c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8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8"/>
      <c r="CJ75" s="153"/>
      <c r="CK75" s="153"/>
      <c r="CL75" s="153"/>
      <c r="CM75" s="153"/>
      <c r="CN75" s="158"/>
      <c r="CO75" s="153"/>
      <c r="CP75" s="153"/>
      <c r="CQ75" s="153"/>
    </row>
    <row r="76" spans="2:95" ht="14.9" customHeight="1" outlineLevel="1" x14ac:dyDescent="0.3">
      <c r="B76" s="146" t="str">
        <f>Table1[[#Headers],[Especificação]]</f>
        <v>Especificação</v>
      </c>
      <c r="C76" s="144" t="str">
        <f t="shared" si="103"/>
        <v>PROTECTION_AMNT_CVRD_INSRNC</v>
      </c>
      <c r="D76" s="143" t="s">
        <v>1114</v>
      </c>
      <c r="E76" s="143" t="s">
        <v>1281</v>
      </c>
      <c r="G76" s="160" t="e">
        <f>INDEX(Table1[[Especificação]:[Total Testes]],MATCH(PlanoV1.0!C76,Table1[CONCAT],0),MATCH(PlanoV1.0!B76,Table1[[#Headers],[Especificação]:[Total Testes]],0))</f>
        <v>#N/A</v>
      </c>
      <c r="H76" s="179" t="e">
        <f t="shared" si="97"/>
        <v>#N/A</v>
      </c>
      <c r="I76" s="181" t="e">
        <f t="shared" si="98"/>
        <v>#N/A</v>
      </c>
      <c r="J76" s="158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>
        <v>1.3</v>
      </c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8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8"/>
      <c r="CJ76" s="153"/>
      <c r="CK76" s="153"/>
      <c r="CL76" s="153"/>
      <c r="CM76" s="153"/>
      <c r="CN76" s="158"/>
      <c r="CO76" s="153"/>
      <c r="CP76" s="153"/>
      <c r="CQ76" s="153"/>
    </row>
    <row r="77" spans="2:95" ht="14.9" customHeight="1" outlineLevel="1" x14ac:dyDescent="0.3">
      <c r="B77" s="146" t="str">
        <f>Table1[[#Headers],[Especificação]]</f>
        <v>Especificação</v>
      </c>
      <c r="C77" s="144" t="str">
        <f t="shared" si="103"/>
        <v>PROTECTION_DT_MTRTY_INSRNC</v>
      </c>
      <c r="D77" s="143" t="s">
        <v>1114</v>
      </c>
      <c r="E77" s="143" t="s">
        <v>1284</v>
      </c>
      <c r="G77" s="160" t="e">
        <f>INDEX(Table1[[Especificação]:[Total Testes]],MATCH(PlanoV1.0!C77,Table1[CONCAT],0),MATCH(PlanoV1.0!B77,Table1[[#Headers],[Especificação]:[Total Testes]],0))</f>
        <v>#N/A</v>
      </c>
      <c r="H77" s="179" t="e">
        <f t="shared" si="97"/>
        <v>#N/A</v>
      </c>
      <c r="I77" s="181" t="e">
        <f t="shared" si="98"/>
        <v>#N/A</v>
      </c>
      <c r="J77" s="158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>
        <v>0.5</v>
      </c>
      <c r="AJ77" s="153">
        <v>0.8</v>
      </c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8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8"/>
      <c r="CJ77" s="153"/>
      <c r="CK77" s="153"/>
      <c r="CL77" s="153"/>
      <c r="CM77" s="153"/>
      <c r="CN77" s="158"/>
      <c r="CO77" s="153"/>
      <c r="CP77" s="153"/>
      <c r="CQ77" s="153"/>
    </row>
    <row r="78" spans="2:95" ht="14.9" customHeight="1" outlineLevel="1" x14ac:dyDescent="0.3">
      <c r="B78" s="146" t="str">
        <f>Table1[[#Headers],[Especificação]]</f>
        <v>Especificação</v>
      </c>
      <c r="C78" s="144" t="str">
        <f t="shared" si="103"/>
        <v>PROTECTION_FLG_FRST_HM</v>
      </c>
      <c r="D78" s="143" t="s">
        <v>1114</v>
      </c>
      <c r="E78" s="143" t="s">
        <v>1287</v>
      </c>
      <c r="G78" s="160" t="e">
        <f>INDEX(Table1[[Especificação]:[Total Testes]],MATCH(PlanoV1.0!C78,Table1[CONCAT],0),MATCH(PlanoV1.0!B78,Table1[[#Headers],[Especificação]:[Total Testes]],0))</f>
        <v>#N/A</v>
      </c>
      <c r="H78" s="179" t="e">
        <f t="shared" si="97"/>
        <v>#N/A</v>
      </c>
      <c r="I78" s="181" t="e">
        <f t="shared" si="98"/>
        <v>#N/A</v>
      </c>
      <c r="J78" s="158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>
        <v>0.5</v>
      </c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8"/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8"/>
      <c r="CJ78" s="153"/>
      <c r="CK78" s="153"/>
      <c r="CL78" s="153"/>
      <c r="CM78" s="153"/>
      <c r="CN78" s="158"/>
      <c r="CO78" s="153"/>
      <c r="CP78" s="153"/>
      <c r="CQ78" s="153"/>
    </row>
    <row r="79" spans="2:95" ht="14.9" customHeight="1" outlineLevel="1" x14ac:dyDescent="0.3">
      <c r="B79" s="146" t="str">
        <f>Table1[[#Headers],[Especificação]]</f>
        <v>Especificação</v>
      </c>
      <c r="C79" s="144" t="str">
        <f t="shared" ref="C79:C86" si="104">D79&amp;"_"&amp;E79</f>
        <v>PROTECTION_INTRNL_SGMNT</v>
      </c>
      <c r="D79" s="143" t="s">
        <v>1114</v>
      </c>
      <c r="E79" s="143" t="s">
        <v>50</v>
      </c>
      <c r="G79" s="160">
        <v>2</v>
      </c>
      <c r="H79" s="179">
        <f t="shared" ref="H79:H83" si="105">ROUNDUP(G79/8,1)</f>
        <v>0.30000000000000004</v>
      </c>
      <c r="I79" s="181">
        <f t="shared" ref="I79:I83" si="106">SUM(J79:CQ79)-H79</f>
        <v>0</v>
      </c>
      <c r="J79" s="158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>
        <v>0.3</v>
      </c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8"/>
      <c r="BC79" s="153"/>
      <c r="BD79" s="153"/>
      <c r="BE79" s="153"/>
      <c r="BF79" s="153"/>
      <c r="BG79" s="153"/>
      <c r="BH79" s="153"/>
      <c r="BI79" s="153"/>
      <c r="BJ79" s="153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8"/>
      <c r="CJ79" s="153"/>
      <c r="CK79" s="153"/>
      <c r="CL79" s="153"/>
      <c r="CM79" s="153"/>
      <c r="CN79" s="158"/>
      <c r="CO79" s="153"/>
      <c r="CP79" s="153"/>
      <c r="CQ79" s="153"/>
    </row>
    <row r="80" spans="2:95" ht="14.9" customHeight="1" outlineLevel="1" x14ac:dyDescent="0.3">
      <c r="B80" s="146" t="str">
        <f>Table1[[#Headers],[Especificação]]</f>
        <v>Especificação</v>
      </c>
      <c r="C80" s="144" t="str">
        <f t="shared" si="104"/>
        <v>PROTECTION_EAD</v>
      </c>
      <c r="D80" s="143" t="s">
        <v>1114</v>
      </c>
      <c r="E80" s="143" t="s">
        <v>617</v>
      </c>
      <c r="G80" s="160">
        <v>2</v>
      </c>
      <c r="H80" s="179">
        <f t="shared" si="105"/>
        <v>0.30000000000000004</v>
      </c>
      <c r="I80" s="181">
        <f t="shared" si="106"/>
        <v>0</v>
      </c>
      <c r="J80" s="158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>
        <v>0.3</v>
      </c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8"/>
      <c r="BC80" s="153"/>
      <c r="BD80" s="153"/>
      <c r="BE80" s="153"/>
      <c r="BF80" s="153"/>
      <c r="BG80" s="153"/>
      <c r="BH80" s="153"/>
      <c r="BI80" s="153"/>
      <c r="BJ80" s="153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8"/>
      <c r="CJ80" s="153"/>
      <c r="CK80" s="153"/>
      <c r="CL80" s="153"/>
      <c r="CM80" s="153"/>
      <c r="CN80" s="158"/>
      <c r="CO80" s="153"/>
      <c r="CP80" s="153"/>
      <c r="CQ80" s="153"/>
    </row>
    <row r="81" spans="2:95" ht="14.9" customHeight="1" outlineLevel="1" x14ac:dyDescent="0.3">
      <c r="B81" s="146" t="str">
        <f>Table1[[#Headers],[Especificação]]</f>
        <v>Especificação</v>
      </c>
      <c r="C81" s="144" t="str">
        <f t="shared" si="104"/>
        <v>PROTECTION_OFF_BLNC_SHT_AMNT_INSTRMNT</v>
      </c>
      <c r="D81" s="143" t="s">
        <v>1114</v>
      </c>
      <c r="E81" s="143" t="s">
        <v>629</v>
      </c>
      <c r="G81" s="160">
        <v>2</v>
      </c>
      <c r="H81" s="179">
        <f t="shared" si="105"/>
        <v>0.30000000000000004</v>
      </c>
      <c r="I81" s="181">
        <f t="shared" si="106"/>
        <v>0</v>
      </c>
      <c r="J81" s="158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>
        <v>0.1</v>
      </c>
      <c r="AK81" s="153">
        <v>0.2</v>
      </c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8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8"/>
      <c r="CJ81" s="153"/>
      <c r="CK81" s="153"/>
      <c r="CL81" s="153"/>
      <c r="CM81" s="153"/>
      <c r="CN81" s="158"/>
      <c r="CO81" s="153"/>
      <c r="CP81" s="153"/>
      <c r="CQ81" s="153"/>
    </row>
    <row r="82" spans="2:95" ht="14.9" customHeight="1" outlineLevel="1" x14ac:dyDescent="0.3">
      <c r="B82" s="146" t="str">
        <f>Table1[[#Headers],[Especificação]]</f>
        <v>Especificação</v>
      </c>
      <c r="C82" s="144" t="str">
        <f t="shared" si="104"/>
        <v>PROTECTION_INTRNL_SGMNT_CAT_MSTA</v>
      </c>
      <c r="D82" s="143" t="s">
        <v>1114</v>
      </c>
      <c r="E82" s="143" t="s">
        <v>943</v>
      </c>
      <c r="G82" s="160">
        <v>2</v>
      </c>
      <c r="H82" s="179">
        <f t="shared" si="105"/>
        <v>0.30000000000000004</v>
      </c>
      <c r="I82" s="181">
        <f t="shared" si="106"/>
        <v>0</v>
      </c>
      <c r="J82" s="158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>
        <v>0.3</v>
      </c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8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8"/>
      <c r="CJ82" s="153"/>
      <c r="CK82" s="153"/>
      <c r="CL82" s="153"/>
      <c r="CM82" s="153"/>
      <c r="CN82" s="158"/>
      <c r="CO82" s="153"/>
      <c r="CP82" s="153"/>
      <c r="CQ82" s="153"/>
    </row>
    <row r="83" spans="2:95" ht="14.9" customHeight="1" outlineLevel="1" x14ac:dyDescent="0.3">
      <c r="B83" s="146" t="str">
        <f>Table1[[#Headers],[Especificação]]</f>
        <v>Especificação</v>
      </c>
      <c r="C83" s="144" t="str">
        <f t="shared" si="104"/>
        <v>PROTECTION_INTRNL_SGMNT_CATGSUB</v>
      </c>
      <c r="D83" s="143" t="s">
        <v>1114</v>
      </c>
      <c r="E83" s="143" t="s">
        <v>946</v>
      </c>
      <c r="G83" s="202">
        <v>2</v>
      </c>
      <c r="H83" s="179">
        <f t="shared" si="105"/>
        <v>0.30000000000000004</v>
      </c>
      <c r="I83" s="181">
        <f t="shared" si="106"/>
        <v>0</v>
      </c>
      <c r="J83" s="158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>
        <v>0.3</v>
      </c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8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8"/>
      <c r="CJ83" s="153"/>
      <c r="CK83" s="153"/>
      <c r="CL83" s="153"/>
      <c r="CM83" s="153"/>
      <c r="CN83" s="158"/>
      <c r="CO83" s="153"/>
      <c r="CP83" s="153"/>
      <c r="CQ83" s="153"/>
    </row>
    <row r="84" spans="2:95" ht="14.9" customHeight="1" outlineLevel="1" x14ac:dyDescent="0.3">
      <c r="B84" s="146" t="str">
        <f>Table1[[#Headers],[Especificação]]</f>
        <v>Especificação</v>
      </c>
      <c r="C84" s="144" t="str">
        <f t="shared" si="104"/>
        <v>PROTECTION_RL_ESTT_ADDRSS</v>
      </c>
      <c r="D84" s="143" t="s">
        <v>1114</v>
      </c>
      <c r="E84" s="143" t="s">
        <v>1127</v>
      </c>
      <c r="G84" s="202" t="e">
        <f>INDEX(Table1[[Especificação]:[Total Testes]],MATCH(PlanoV1.0!C84,Table1[CONCAT],0),MATCH(PlanoV1.0!B84,Table1[[#Headers],[Especificação]:[Total Testes]],0))</f>
        <v>#N/A</v>
      </c>
      <c r="H84" s="179" t="e">
        <f t="shared" ref="H84:H86" si="107">ROUNDUP(G84/8,1)</f>
        <v>#N/A</v>
      </c>
      <c r="I84" s="181" t="e">
        <f t="shared" ref="I84:I86" si="108">SUM(J84:CQ84)-H84</f>
        <v>#N/A</v>
      </c>
      <c r="J84" s="158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>
        <v>0.3</v>
      </c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8"/>
      <c r="BC84" s="153"/>
      <c r="BD84" s="153"/>
      <c r="BE84" s="153"/>
      <c r="BF84" s="153"/>
      <c r="BG84" s="153"/>
      <c r="BH84" s="153"/>
      <c r="BI84" s="153"/>
      <c r="BJ84" s="153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8"/>
      <c r="CJ84" s="153"/>
      <c r="CK84" s="153"/>
      <c r="CL84" s="153"/>
      <c r="CM84" s="153"/>
      <c r="CN84" s="158"/>
      <c r="CO84" s="153"/>
      <c r="CP84" s="153"/>
      <c r="CQ84" s="153"/>
    </row>
    <row r="85" spans="2:95" ht="14.9" customHeight="1" outlineLevel="1" x14ac:dyDescent="0.3">
      <c r="B85" s="146" t="str">
        <f>Table1[[#Headers],[Especificação]]</f>
        <v>Especificação</v>
      </c>
      <c r="C85" s="144" t="str">
        <f t="shared" si="104"/>
        <v>PROTECTION_RL_ESTT_CLLTRL_LCTN_INT</v>
      </c>
      <c r="D85" s="143" t="s">
        <v>1114</v>
      </c>
      <c r="E85" s="143" t="s">
        <v>1133</v>
      </c>
      <c r="G85" s="202" t="e">
        <f>INDEX(Table1[[Especificação]:[Total Testes]],MATCH(PlanoV1.0!C85,Table1[CONCAT],0),MATCH(PlanoV1.0!B85,Table1[[#Headers],[Especificação]:[Total Testes]],0))</f>
        <v>#N/A</v>
      </c>
      <c r="H85" s="179" t="e">
        <f t="shared" si="107"/>
        <v>#N/A</v>
      </c>
      <c r="I85" s="181" t="e">
        <f t="shared" si="108"/>
        <v>#N/A</v>
      </c>
      <c r="J85" s="158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>
        <v>0.3</v>
      </c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8"/>
      <c r="BC85" s="153"/>
      <c r="BD85" s="153"/>
      <c r="BE85" s="153"/>
      <c r="BF85" s="153"/>
      <c r="BG85" s="153"/>
      <c r="BH85" s="153"/>
      <c r="BI85" s="153"/>
      <c r="BJ85" s="153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8"/>
      <c r="CJ85" s="153"/>
      <c r="CK85" s="153"/>
      <c r="CL85" s="153"/>
      <c r="CM85" s="153"/>
      <c r="CN85" s="158"/>
      <c r="CO85" s="153"/>
      <c r="CP85" s="153"/>
      <c r="CQ85" s="153"/>
    </row>
    <row r="86" spans="2:95" ht="14.9" customHeight="1" outlineLevel="1" x14ac:dyDescent="0.3">
      <c r="B86" s="146" t="str">
        <f>Table1[[#Headers],[Especificação]]</f>
        <v>Especificação</v>
      </c>
      <c r="C86" s="144" t="str">
        <f t="shared" si="104"/>
        <v>PROTECTION_RL_ESTT_CTY</v>
      </c>
      <c r="D86" s="143" t="s">
        <v>1114</v>
      </c>
      <c r="E86" s="143" t="s">
        <v>1136</v>
      </c>
      <c r="G86" s="202" t="e">
        <f>INDEX(Table1[[Especificação]:[Total Testes]],MATCH(PlanoV1.0!C86,Table1[CONCAT],0),MATCH(PlanoV1.0!B86,Table1[[#Headers],[Especificação]:[Total Testes]],0))</f>
        <v>#N/A</v>
      </c>
      <c r="H86" s="179" t="e">
        <f t="shared" si="107"/>
        <v>#N/A</v>
      </c>
      <c r="I86" s="181" t="e">
        <f t="shared" si="108"/>
        <v>#N/A</v>
      </c>
      <c r="J86" s="158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>
        <v>0.3</v>
      </c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8"/>
      <c r="BC86" s="153"/>
      <c r="BD86" s="153"/>
      <c r="BE86" s="153"/>
      <c r="BF86" s="153"/>
      <c r="BG86" s="153"/>
      <c r="BH86" s="153"/>
      <c r="BI86" s="153"/>
      <c r="BJ86" s="153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8"/>
      <c r="CJ86" s="153"/>
      <c r="CK86" s="153"/>
      <c r="CL86" s="153"/>
      <c r="CM86" s="153"/>
      <c r="CN86" s="158"/>
      <c r="CO86" s="153"/>
      <c r="CP86" s="153"/>
      <c r="CQ86" s="153"/>
    </row>
    <row r="87" spans="2:95" ht="14" x14ac:dyDescent="0.3">
      <c r="B87" s="146"/>
      <c r="C87" s="199" t="s">
        <v>1611</v>
      </c>
      <c r="D87" s="166"/>
      <c r="E87" s="167"/>
      <c r="F87" s="193">
        <f>COUNTA(E88:E155)</f>
        <v>68</v>
      </c>
      <c r="G87" s="193" t="e">
        <f>SUM(G88:G137)</f>
        <v>#N/A</v>
      </c>
      <c r="H87" s="196" t="e">
        <f>ROUND(SUM(H88:H137),0)</f>
        <v>#N/A</v>
      </c>
      <c r="I87" s="198"/>
      <c r="J87" s="158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53"/>
      <c r="BA87" s="153"/>
      <c r="BB87" s="158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8"/>
      <c r="CJ87" s="153"/>
      <c r="CK87" s="153"/>
      <c r="CL87" s="153"/>
      <c r="CM87" s="153"/>
      <c r="CN87" s="158"/>
      <c r="CO87" s="153"/>
      <c r="CP87" s="153"/>
      <c r="CQ87" s="153"/>
    </row>
    <row r="88" spans="2:95" ht="14" x14ac:dyDescent="0.3">
      <c r="B88" s="146" t="str">
        <f>Table1[[#Headers],[Simulação]]</f>
        <v>Simulação</v>
      </c>
      <c r="C88" s="144" t="str">
        <f t="shared" ref="C88:C137" si="109">D88&amp;"_"&amp;E88</f>
        <v>ENTITY_TXNMY_ELGBL_CAPEX_W</v>
      </c>
      <c r="D88" s="143" t="s">
        <v>10</v>
      </c>
      <c r="E88" s="143" t="s">
        <v>1397</v>
      </c>
      <c r="G88" s="160" t="e">
        <f>INDEX(Table1[[Especificação]:[Total Testes]],MATCH(PlanoV1.0!C88,Table1[CONCAT],0),MATCH(PlanoV1.0!B88,Table1[[#Headers],[Especificação]:[Total Testes]],0))</f>
        <v>#N/A</v>
      </c>
      <c r="H88" s="179" t="e">
        <f t="shared" si="97"/>
        <v>#N/A</v>
      </c>
      <c r="I88" s="181" t="e">
        <f t="shared" si="98"/>
        <v>#N/A</v>
      </c>
      <c r="J88" s="158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>
        <v>0.3</v>
      </c>
      <c r="AL88" s="153">
        <v>0.5</v>
      </c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8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8"/>
      <c r="CJ88" s="153"/>
      <c r="CK88" s="153"/>
      <c r="CL88" s="153"/>
      <c r="CM88" s="153"/>
      <c r="CN88" s="158"/>
      <c r="CO88" s="153"/>
      <c r="CP88" s="153"/>
      <c r="CQ88" s="153"/>
    </row>
    <row r="89" spans="2:95" ht="14" x14ac:dyDescent="0.3">
      <c r="B89" s="146" t="str">
        <f>Table1[[#Headers],[Simulação]]</f>
        <v>Simulação</v>
      </c>
      <c r="C89" s="144" t="str">
        <f t="shared" si="109"/>
        <v>ENTITY_TXNMY_ELGBL_TRNVR_W</v>
      </c>
      <c r="D89" s="143" t="s">
        <v>10</v>
      </c>
      <c r="E89" s="143" t="s">
        <v>1399</v>
      </c>
      <c r="G89" s="160" t="e">
        <f>INDEX(Table1[[Especificação]:[Total Testes]],MATCH(PlanoV1.0!C89,Table1[CONCAT],0),MATCH(PlanoV1.0!B89,Table1[[#Headers],[Especificação]:[Total Testes]],0))</f>
        <v>#N/A</v>
      </c>
      <c r="H89" s="179" t="e">
        <f t="shared" si="97"/>
        <v>#N/A</v>
      </c>
      <c r="I89" s="181" t="e">
        <f t="shared" si="98"/>
        <v>#N/A</v>
      </c>
      <c r="J89" s="158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>
        <v>0.4</v>
      </c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8"/>
      <c r="BC89" s="153"/>
      <c r="BD89" s="153"/>
      <c r="BE89" s="153"/>
      <c r="BF89" s="153"/>
      <c r="BG89" s="153"/>
      <c r="BH89" s="153"/>
      <c r="BI89" s="153"/>
      <c r="BJ89" s="153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8"/>
      <c r="CJ89" s="153"/>
      <c r="CK89" s="153"/>
      <c r="CL89" s="153"/>
      <c r="CM89" s="153"/>
      <c r="CN89" s="158"/>
      <c r="CO89" s="153"/>
      <c r="CP89" s="153"/>
      <c r="CQ89" s="153"/>
    </row>
    <row r="90" spans="2:95" ht="14" x14ac:dyDescent="0.3">
      <c r="B90" s="146" t="str">
        <f>Table1[[#Headers],[Simulação]]</f>
        <v>Simulação</v>
      </c>
      <c r="C90" s="144" t="str">
        <f t="shared" si="109"/>
        <v>ENTITY_TXNMY_ELGBL_CAPEX_P</v>
      </c>
      <c r="D90" s="143" t="s">
        <v>10</v>
      </c>
      <c r="E90" s="143" t="s">
        <v>1401</v>
      </c>
      <c r="G90" s="160" t="e">
        <f>INDEX(Table1[[Especificação]:[Total Testes]],MATCH(PlanoV1.0!C90,Table1[CONCAT],0),MATCH(PlanoV1.0!B90,Table1[[#Headers],[Especificação]:[Total Testes]],0))</f>
        <v>#N/A</v>
      </c>
      <c r="H90" s="179" t="e">
        <f t="shared" si="97"/>
        <v>#N/A</v>
      </c>
      <c r="I90" s="181" t="e">
        <f t="shared" si="98"/>
        <v>#N/A</v>
      </c>
      <c r="J90" s="158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91">
        <v>0.2</v>
      </c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8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8"/>
      <c r="CJ90" s="153"/>
      <c r="CK90" s="153"/>
      <c r="CL90" s="153"/>
      <c r="CM90" s="153"/>
      <c r="CN90" s="158"/>
      <c r="CO90" s="153"/>
      <c r="CP90" s="153"/>
      <c r="CQ90" s="153"/>
    </row>
    <row r="91" spans="2:95" ht="14" x14ac:dyDescent="0.3">
      <c r="B91" s="146" t="str">
        <f>Table1[[#Headers],[Simulação]]</f>
        <v>Simulação</v>
      </c>
      <c r="C91" s="144" t="str">
        <f t="shared" si="109"/>
        <v>ENTITY_TXNMY_ELGBL_TRNVR_P</v>
      </c>
      <c r="D91" s="143" t="s">
        <v>10</v>
      </c>
      <c r="E91" s="143" t="s">
        <v>1403</v>
      </c>
      <c r="G91" s="160" t="e">
        <f>INDEX(Table1[[Especificação]:[Total Testes]],MATCH(PlanoV1.0!C91,Table1[CONCAT],0),MATCH(PlanoV1.0!B91,Table1[[#Headers],[Especificação]:[Total Testes]],0))</f>
        <v>#N/A</v>
      </c>
      <c r="H91" s="179" t="e">
        <f t="shared" si="97"/>
        <v>#N/A</v>
      </c>
      <c r="I91" s="181" t="e">
        <f t="shared" si="98"/>
        <v>#N/A</v>
      </c>
      <c r="J91" s="158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>
        <v>0.2</v>
      </c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8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8"/>
      <c r="CJ91" s="153"/>
      <c r="CK91" s="153"/>
      <c r="CL91" s="153"/>
      <c r="CM91" s="153"/>
      <c r="CN91" s="158"/>
      <c r="CO91" s="153"/>
      <c r="CP91" s="153"/>
      <c r="CQ91" s="153"/>
    </row>
    <row r="92" spans="2:95" ht="14" x14ac:dyDescent="0.3">
      <c r="B92" s="146" t="str">
        <f>Table1[[#Headers],[Simulação]]</f>
        <v>Simulação</v>
      </c>
      <c r="C92" s="144" t="str">
        <f t="shared" si="109"/>
        <v>ENTITY_TXNMY_ELGBL_CAPEX_B</v>
      </c>
      <c r="D92" s="143" t="s">
        <v>10</v>
      </c>
      <c r="E92" s="143" t="s">
        <v>1405</v>
      </c>
      <c r="G92" s="160" t="e">
        <f>INDEX(Table1[[Especificação]:[Total Testes]],MATCH(PlanoV1.0!C92,Table1[CONCAT],0),MATCH(PlanoV1.0!B92,Table1[[#Headers],[Especificação]:[Total Testes]],0))</f>
        <v>#N/A</v>
      </c>
      <c r="H92" s="179" t="e">
        <f t="shared" si="97"/>
        <v>#N/A</v>
      </c>
      <c r="I92" s="181" t="e">
        <f t="shared" si="98"/>
        <v>#N/A</v>
      </c>
      <c r="J92" s="158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>
        <v>0.2</v>
      </c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8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8"/>
      <c r="CJ92" s="153"/>
      <c r="CK92" s="153"/>
      <c r="CL92" s="153"/>
      <c r="CM92" s="153"/>
      <c r="CN92" s="158"/>
      <c r="CO92" s="153"/>
      <c r="CP92" s="153"/>
      <c r="CQ92" s="153"/>
    </row>
    <row r="93" spans="2:95" ht="14" x14ac:dyDescent="0.3">
      <c r="B93" s="146" t="str">
        <f>Table1[[#Headers],[Simulação]]</f>
        <v>Simulação</v>
      </c>
      <c r="C93" s="144" t="str">
        <f t="shared" si="109"/>
        <v>ENTITY_TXNMY_ELGBL_TRNVR_B</v>
      </c>
      <c r="D93" s="143" t="s">
        <v>10</v>
      </c>
      <c r="E93" s="143" t="s">
        <v>1407</v>
      </c>
      <c r="G93" s="160" t="e">
        <f>INDEX(Table1[[Especificação]:[Total Testes]],MATCH(PlanoV1.0!C93,Table1[CONCAT],0),MATCH(PlanoV1.0!B93,Table1[[#Headers],[Especificação]:[Total Testes]],0))</f>
        <v>#N/A</v>
      </c>
      <c r="H93" s="179" t="e">
        <f t="shared" si="97"/>
        <v>#N/A</v>
      </c>
      <c r="I93" s="181" t="e">
        <f t="shared" si="98"/>
        <v>#N/A</v>
      </c>
      <c r="J93" s="158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>
        <v>0.2</v>
      </c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8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8"/>
      <c r="CJ93" s="153"/>
      <c r="CK93" s="153"/>
      <c r="CL93" s="153"/>
      <c r="CM93" s="153"/>
      <c r="CN93" s="158"/>
      <c r="CO93" s="153"/>
      <c r="CP93" s="153"/>
      <c r="CQ93" s="153"/>
    </row>
    <row r="94" spans="2:95" ht="14" x14ac:dyDescent="0.3">
      <c r="B94" s="146" t="str">
        <f>Table1[[#Headers],[Simulação]]</f>
        <v>Simulação</v>
      </c>
      <c r="C94" s="144" t="str">
        <f t="shared" si="109"/>
        <v>ENTITY_TXNMY_ELGBL_CAPEX_CE</v>
      </c>
      <c r="D94" s="143" t="s">
        <v>10</v>
      </c>
      <c r="E94" s="143" t="s">
        <v>1409</v>
      </c>
      <c r="G94" s="160" t="e">
        <f>INDEX(Table1[[Especificação]:[Total Testes]],MATCH(PlanoV1.0!C94,Table1[CONCAT],0),MATCH(PlanoV1.0!B94,Table1[[#Headers],[Especificação]:[Total Testes]],0))</f>
        <v>#N/A</v>
      </c>
      <c r="H94" s="179" t="e">
        <f t="shared" si="97"/>
        <v>#N/A</v>
      </c>
      <c r="I94" s="181" t="e">
        <f t="shared" si="98"/>
        <v>#N/A</v>
      </c>
      <c r="J94" s="158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>
        <v>0.2</v>
      </c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8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8"/>
      <c r="CJ94" s="153"/>
      <c r="CK94" s="153"/>
      <c r="CL94" s="153"/>
      <c r="CM94" s="153"/>
      <c r="CN94" s="158"/>
      <c r="CO94" s="153"/>
      <c r="CP94" s="153"/>
      <c r="CQ94" s="153"/>
    </row>
    <row r="95" spans="2:95" ht="14.9" customHeight="1" x14ac:dyDescent="0.3">
      <c r="B95" s="146" t="str">
        <f>Table1[[#Headers],[Simulação]]</f>
        <v>Simulação</v>
      </c>
      <c r="C95" s="144" t="str">
        <f t="shared" si="109"/>
        <v>ENTITY_TXNMY_ELGBL_TRNVR_CE</v>
      </c>
      <c r="D95" s="143" t="s">
        <v>10</v>
      </c>
      <c r="E95" s="145" t="s">
        <v>1411</v>
      </c>
      <c r="G95" s="160" t="e">
        <f>INDEX(Table1[[Especificação]:[Total Testes]],MATCH(PlanoV1.0!C95,Table1[CONCAT],0),MATCH(PlanoV1.0!B95,Table1[[#Headers],[Especificação]:[Total Testes]],0))</f>
        <v>#N/A</v>
      </c>
      <c r="H95" s="179" t="e">
        <f t="shared" si="97"/>
        <v>#N/A</v>
      </c>
      <c r="I95" s="181" t="e">
        <f t="shared" si="98"/>
        <v>#N/A</v>
      </c>
      <c r="J95" s="158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>
        <v>0.1</v>
      </c>
      <c r="AM95" s="153">
        <v>0.1</v>
      </c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8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8"/>
      <c r="CJ95" s="153"/>
      <c r="CK95" s="153"/>
      <c r="CL95" s="153"/>
      <c r="CM95" s="153"/>
      <c r="CN95" s="158"/>
      <c r="CO95" s="153"/>
      <c r="CP95" s="153"/>
      <c r="CQ95" s="153"/>
    </row>
    <row r="96" spans="2:95" ht="14" x14ac:dyDescent="0.3">
      <c r="B96" s="146" t="str">
        <f>Table1[[#Headers],[Simulação]]</f>
        <v>Simulação</v>
      </c>
      <c r="C96" s="144" t="str">
        <f t="shared" si="109"/>
        <v>ENTITY_PURE_CAPEX_P</v>
      </c>
      <c r="D96" s="143" t="s">
        <v>10</v>
      </c>
      <c r="E96" s="143" t="s">
        <v>1413</v>
      </c>
      <c r="G96" s="160" t="e">
        <f>INDEX(Table1[[Especificação]:[Total Testes]],MATCH(PlanoV1.0!C96,Table1[CONCAT],0),MATCH(PlanoV1.0!B96,Table1[[#Headers],[Especificação]:[Total Testes]],0))</f>
        <v>#N/A</v>
      </c>
      <c r="H96" s="179" t="e">
        <f t="shared" si="97"/>
        <v>#N/A</v>
      </c>
      <c r="I96" s="181" t="e">
        <f t="shared" si="98"/>
        <v>#N/A</v>
      </c>
      <c r="J96" s="158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>
        <v>0.2</v>
      </c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8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8"/>
      <c r="CJ96" s="153"/>
      <c r="CK96" s="153"/>
      <c r="CL96" s="153"/>
      <c r="CM96" s="153"/>
      <c r="CN96" s="158"/>
      <c r="CO96" s="153"/>
      <c r="CP96" s="153"/>
      <c r="CQ96" s="153"/>
    </row>
    <row r="97" spans="2:95" ht="14.9" customHeight="1" x14ac:dyDescent="0.3">
      <c r="B97" s="146" t="str">
        <f>Table1[[#Headers],[Simulação]]</f>
        <v>Simulação</v>
      </c>
      <c r="C97" s="144" t="str">
        <f t="shared" si="109"/>
        <v>ENTITY_PURE_TRNVR_P</v>
      </c>
      <c r="D97" s="143" t="s">
        <v>10</v>
      </c>
      <c r="E97" s="143" t="s">
        <v>1415</v>
      </c>
      <c r="G97" s="160" t="e">
        <f>INDEX(Table1[[Especificação]:[Total Testes]],MATCH(PlanoV1.0!C97,Table1[CONCAT],0),MATCH(PlanoV1.0!B97,Table1[[#Headers],[Especificação]:[Total Testes]],0))</f>
        <v>#N/A</v>
      </c>
      <c r="H97" s="179" t="e">
        <f t="shared" si="97"/>
        <v>#N/A</v>
      </c>
      <c r="I97" s="181" t="e">
        <f t="shared" si="98"/>
        <v>#N/A</v>
      </c>
      <c r="J97" s="158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>
        <v>0.2</v>
      </c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8"/>
      <c r="BC97" s="153"/>
      <c r="BD97" s="153"/>
      <c r="BE97" s="153"/>
      <c r="BF97" s="153"/>
      <c r="BG97" s="153"/>
      <c r="BH97" s="153"/>
      <c r="BI97" s="153"/>
      <c r="BJ97" s="153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8"/>
      <c r="CJ97" s="153"/>
      <c r="CK97" s="153"/>
      <c r="CL97" s="153"/>
      <c r="CM97" s="153"/>
      <c r="CN97" s="158"/>
      <c r="CO97" s="153"/>
      <c r="CP97" s="153"/>
      <c r="CQ97" s="153"/>
    </row>
    <row r="98" spans="2:95" ht="14.9" customHeight="1" x14ac:dyDescent="0.3">
      <c r="B98" s="146" t="str">
        <f>Table1[[#Headers],[Simulação]]</f>
        <v>Simulação</v>
      </c>
      <c r="C98" s="144" t="str">
        <f t="shared" ref="C98:C136" si="110">D98&amp;"_"&amp;E98</f>
        <v>ENTITY_PURE_CAPEX_B</v>
      </c>
      <c r="D98" s="143" t="s">
        <v>10</v>
      </c>
      <c r="E98" s="143" t="s">
        <v>1417</v>
      </c>
      <c r="G98" s="160" t="e">
        <f>INDEX(Table1[[Especificação]:[Total Testes]],MATCH(PlanoV1.0!C98,Table1[CONCAT],0),MATCH(PlanoV1.0!B98,Table1[[#Headers],[Especificação]:[Total Testes]],0))</f>
        <v>#N/A</v>
      </c>
      <c r="H98" s="179" t="e">
        <f t="shared" si="97"/>
        <v>#N/A</v>
      </c>
      <c r="I98" s="181" t="e">
        <f t="shared" si="98"/>
        <v>#N/A</v>
      </c>
      <c r="J98" s="158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>
        <v>0.2</v>
      </c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8"/>
      <c r="BC98" s="153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8"/>
      <c r="CJ98" s="153"/>
      <c r="CK98" s="153"/>
      <c r="CL98" s="153"/>
      <c r="CM98" s="153"/>
      <c r="CN98" s="158"/>
      <c r="CO98" s="153"/>
      <c r="CP98" s="153"/>
      <c r="CQ98" s="153"/>
    </row>
    <row r="99" spans="2:95" ht="14.9" customHeight="1" x14ac:dyDescent="0.3">
      <c r="B99" s="146" t="str">
        <f>Table1[[#Headers],[Simulação]]</f>
        <v>Simulação</v>
      </c>
      <c r="C99" s="144" t="str">
        <f t="shared" si="110"/>
        <v>ENTITY_PURE_TRNVR_B</v>
      </c>
      <c r="D99" s="143" t="s">
        <v>10</v>
      </c>
      <c r="E99" s="143" t="s">
        <v>1419</v>
      </c>
      <c r="G99" s="160" t="e">
        <f>INDEX(Table1[[Especificação]:[Total Testes]],MATCH(PlanoV1.0!C99,Table1[CONCAT],0),MATCH(PlanoV1.0!B99,Table1[[#Headers],[Especificação]:[Total Testes]],0))</f>
        <v>#N/A</v>
      </c>
      <c r="H99" s="179" t="e">
        <f t="shared" si="97"/>
        <v>#N/A</v>
      </c>
      <c r="I99" s="181" t="e">
        <f t="shared" si="98"/>
        <v>#N/A</v>
      </c>
      <c r="J99" s="158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>
        <v>0.2</v>
      </c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8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8"/>
      <c r="CJ99" s="153"/>
      <c r="CK99" s="153"/>
      <c r="CL99" s="153"/>
      <c r="CM99" s="153"/>
      <c r="CN99" s="158"/>
      <c r="CO99" s="153"/>
      <c r="CP99" s="153"/>
      <c r="CQ99" s="153"/>
    </row>
    <row r="100" spans="2:95" ht="14.9" customHeight="1" x14ac:dyDescent="0.3">
      <c r="B100" s="146" t="str">
        <f>Table1[[#Headers],[Simulação]]</f>
        <v>Simulação</v>
      </c>
      <c r="C100" s="144" t="str">
        <f t="shared" si="110"/>
        <v>ENTITY_PURE_CAPEX_W</v>
      </c>
      <c r="D100" s="143" t="s">
        <v>10</v>
      </c>
      <c r="E100" s="143" t="s">
        <v>1421</v>
      </c>
      <c r="G100" s="160" t="e">
        <f>INDEX(Table1[[Especificação]:[Total Testes]],MATCH(PlanoV1.0!C100,Table1[CONCAT],0),MATCH(PlanoV1.0!B100,Table1[[#Headers],[Especificação]:[Total Testes]],0))</f>
        <v>#N/A</v>
      </c>
      <c r="H100" s="179" t="e">
        <f t="shared" si="97"/>
        <v>#N/A</v>
      </c>
      <c r="I100" s="181" t="e">
        <f t="shared" si="98"/>
        <v>#N/A</v>
      </c>
      <c r="J100" s="158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>
        <v>0.2</v>
      </c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8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8"/>
      <c r="CJ100" s="153"/>
      <c r="CK100" s="153"/>
      <c r="CL100" s="153"/>
      <c r="CM100" s="153"/>
      <c r="CN100" s="158"/>
      <c r="CO100" s="153"/>
      <c r="CP100" s="153"/>
      <c r="CQ100" s="153"/>
    </row>
    <row r="101" spans="2:95" ht="14.9" customHeight="1" x14ac:dyDescent="0.3">
      <c r="B101" s="146" t="str">
        <f>Table1[[#Headers],[Simulação]]</f>
        <v>Simulação</v>
      </c>
      <c r="C101" s="144" t="str">
        <f t="shared" si="110"/>
        <v>ENTITY_PURE_TRNVR_W</v>
      </c>
      <c r="D101" s="143" t="s">
        <v>10</v>
      </c>
      <c r="E101" s="143" t="s">
        <v>1423</v>
      </c>
      <c r="G101" s="160" t="e">
        <f>INDEX(Table1[[Especificação]:[Total Testes]],MATCH(PlanoV1.0!C101,Table1[CONCAT],0),MATCH(PlanoV1.0!B101,Table1[[#Headers],[Especificação]:[Total Testes]],0))</f>
        <v>#N/A</v>
      </c>
      <c r="H101" s="179" t="e">
        <f t="shared" ref="H101:H182" si="111">ROUNDUP(G101/8,1)</f>
        <v>#N/A</v>
      </c>
      <c r="I101" s="181" t="e">
        <f t="shared" ref="I101:I182" si="112">SUM(J101:CQ101)-H101</f>
        <v>#N/A</v>
      </c>
      <c r="J101" s="158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>
        <v>0.2</v>
      </c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8"/>
      <c r="BC101" s="153"/>
      <c r="BD101" s="153"/>
      <c r="BE101" s="153"/>
      <c r="BF101" s="153"/>
      <c r="BG101" s="153"/>
      <c r="BH101" s="153"/>
      <c r="BI101" s="153"/>
      <c r="BJ101" s="153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8"/>
      <c r="CJ101" s="153"/>
      <c r="CK101" s="153"/>
      <c r="CL101" s="153"/>
      <c r="CM101" s="153"/>
      <c r="CN101" s="158"/>
      <c r="CO101" s="153"/>
      <c r="CP101" s="153"/>
      <c r="CQ101" s="153"/>
    </row>
    <row r="102" spans="2:95" ht="14.9" customHeight="1" x14ac:dyDescent="0.3">
      <c r="B102" s="146" t="str">
        <f>Table1[[#Headers],[Simulação]]</f>
        <v>Simulação</v>
      </c>
      <c r="C102" s="144" t="str">
        <f t="shared" si="110"/>
        <v>ENTITY_PURE_CAPEX_CE</v>
      </c>
      <c r="D102" s="143" t="s">
        <v>10</v>
      </c>
      <c r="E102" s="143" t="s">
        <v>1425</v>
      </c>
      <c r="G102" s="160" t="e">
        <f>INDEX(Table1[[Especificação]:[Total Testes]],MATCH(PlanoV1.0!C102,Table1[CONCAT],0),MATCH(PlanoV1.0!B102,Table1[[#Headers],[Especificação]:[Total Testes]],0))</f>
        <v>#N/A</v>
      </c>
      <c r="H102" s="179" t="e">
        <f t="shared" si="111"/>
        <v>#N/A</v>
      </c>
      <c r="I102" s="181" t="e">
        <f t="shared" si="112"/>
        <v>#N/A</v>
      </c>
      <c r="J102" s="158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>
        <v>0.2</v>
      </c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8"/>
      <c r="BC102" s="153"/>
      <c r="BD102" s="153"/>
      <c r="BE102" s="153"/>
      <c r="BF102" s="153"/>
      <c r="BG102" s="153"/>
      <c r="BH102" s="153"/>
      <c r="BI102" s="153"/>
      <c r="BJ102" s="153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8"/>
      <c r="CJ102" s="153"/>
      <c r="CK102" s="153"/>
      <c r="CL102" s="153"/>
      <c r="CM102" s="153"/>
      <c r="CN102" s="158"/>
      <c r="CO102" s="153"/>
      <c r="CP102" s="153"/>
      <c r="CQ102" s="153"/>
    </row>
    <row r="103" spans="2:95" ht="14.9" customHeight="1" x14ac:dyDescent="0.3">
      <c r="B103" s="146" t="str">
        <f>Table1[[#Headers],[Simulação]]</f>
        <v>Simulação</v>
      </c>
      <c r="C103" s="144" t="str">
        <f t="shared" si="110"/>
        <v>ENTITY_PURE_TRNVR_CE</v>
      </c>
      <c r="D103" s="143" t="s">
        <v>10</v>
      </c>
      <c r="E103" s="143" t="s">
        <v>1427</v>
      </c>
      <c r="G103" s="160" t="e">
        <f>INDEX(Table1[[Especificação]:[Total Testes]],MATCH(PlanoV1.0!C103,Table1[CONCAT],0),MATCH(PlanoV1.0!B103,Table1[[#Headers],[Especificação]:[Total Testes]],0))</f>
        <v>#N/A</v>
      </c>
      <c r="H103" s="179" t="e">
        <f t="shared" si="111"/>
        <v>#N/A</v>
      </c>
      <c r="I103" s="181" t="e">
        <f t="shared" si="112"/>
        <v>#N/A</v>
      </c>
      <c r="J103" s="158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>
        <v>0.2</v>
      </c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8"/>
      <c r="BC103" s="153"/>
      <c r="BD103" s="153"/>
      <c r="BE103" s="153"/>
      <c r="BF103" s="153"/>
      <c r="BG103" s="153"/>
      <c r="BH103" s="153"/>
      <c r="BI103" s="153"/>
      <c r="BJ103" s="153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8"/>
      <c r="CJ103" s="153"/>
      <c r="CK103" s="153"/>
      <c r="CL103" s="153"/>
      <c r="CM103" s="153"/>
      <c r="CN103" s="158"/>
      <c r="CO103" s="153"/>
      <c r="CP103" s="153"/>
      <c r="CQ103" s="153"/>
    </row>
    <row r="104" spans="2:95" ht="14.9" customHeight="1" x14ac:dyDescent="0.3">
      <c r="B104" s="146" t="str">
        <f>Table1[[#Headers],[Simulação]]</f>
        <v>Simulação</v>
      </c>
      <c r="C104" s="144" t="str">
        <f t="shared" si="110"/>
        <v>ENTITY_ENBLNG_CAPEX_W</v>
      </c>
      <c r="D104" s="143" t="s">
        <v>10</v>
      </c>
      <c r="E104" s="143" t="s">
        <v>1429</v>
      </c>
      <c r="G104" s="160" t="e">
        <f>INDEX(Table1[[Especificação]:[Total Testes]],MATCH(PlanoV1.0!C104,Table1[CONCAT],0),MATCH(PlanoV1.0!B104,Table1[[#Headers],[Especificação]:[Total Testes]],0))</f>
        <v>#N/A</v>
      </c>
      <c r="H104" s="179" t="e">
        <f t="shared" si="111"/>
        <v>#N/A</v>
      </c>
      <c r="I104" s="181" t="e">
        <f t="shared" si="112"/>
        <v>#N/A</v>
      </c>
      <c r="J104" s="158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>
        <v>0.2</v>
      </c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8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8"/>
      <c r="CJ104" s="153"/>
      <c r="CK104" s="153"/>
      <c r="CL104" s="153"/>
      <c r="CM104" s="153"/>
      <c r="CN104" s="158"/>
      <c r="CO104" s="153"/>
      <c r="CP104" s="153"/>
      <c r="CQ104" s="153"/>
    </row>
    <row r="105" spans="2:95" ht="14.9" customHeight="1" x14ac:dyDescent="0.3">
      <c r="B105" s="146" t="str">
        <f>Table1[[#Headers],[Simulação]]</f>
        <v>Simulação</v>
      </c>
      <c r="C105" s="144" t="str">
        <f t="shared" si="110"/>
        <v>ENTITY_ENBLNG_TRNVR_W</v>
      </c>
      <c r="D105" s="143" t="s">
        <v>10</v>
      </c>
      <c r="E105" s="143" t="s">
        <v>1431</v>
      </c>
      <c r="G105" s="160" t="e">
        <f>INDEX(Table1[[Especificação]:[Total Testes]],MATCH(PlanoV1.0!C105,Table1[CONCAT],0),MATCH(PlanoV1.0!B105,Table1[[#Headers],[Especificação]:[Total Testes]],0))</f>
        <v>#N/A</v>
      </c>
      <c r="H105" s="179" t="e">
        <f t="shared" si="111"/>
        <v>#N/A</v>
      </c>
      <c r="I105" s="181" t="e">
        <f t="shared" si="112"/>
        <v>#N/A</v>
      </c>
      <c r="J105" s="158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>
        <v>0.1</v>
      </c>
      <c r="AN105" s="153">
        <v>0.1</v>
      </c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8"/>
      <c r="BC105" s="153"/>
      <c r="BD105" s="153"/>
      <c r="BE105" s="153"/>
      <c r="BF105" s="153"/>
      <c r="BG105" s="153"/>
      <c r="BH105" s="153"/>
      <c r="BI105" s="153"/>
      <c r="BJ105" s="153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8"/>
      <c r="CJ105" s="153"/>
      <c r="CK105" s="153"/>
      <c r="CL105" s="153"/>
      <c r="CM105" s="153"/>
      <c r="CN105" s="158"/>
      <c r="CO105" s="153"/>
      <c r="CP105" s="153"/>
      <c r="CQ105" s="153"/>
    </row>
    <row r="106" spans="2:95" ht="14.9" customHeight="1" x14ac:dyDescent="0.3">
      <c r="B106" s="146" t="str">
        <f>Table1[[#Headers],[Simulação]]</f>
        <v>Simulação</v>
      </c>
      <c r="C106" s="144" t="str">
        <f t="shared" si="110"/>
        <v>ENTITY_ENBLNG_CAPEX_CE</v>
      </c>
      <c r="D106" s="143" t="s">
        <v>10</v>
      </c>
      <c r="E106" s="143" t="s">
        <v>1433</v>
      </c>
      <c r="G106" s="160" t="e">
        <f>INDEX(Table1[[Especificação]:[Total Testes]],MATCH(PlanoV1.0!C106,Table1[CONCAT],0),MATCH(PlanoV1.0!B106,Table1[[#Headers],[Especificação]:[Total Testes]],0))</f>
        <v>#N/A</v>
      </c>
      <c r="H106" s="179" t="e">
        <f t="shared" si="111"/>
        <v>#N/A</v>
      </c>
      <c r="I106" s="181" t="e">
        <f t="shared" si="112"/>
        <v>#N/A</v>
      </c>
      <c r="J106" s="158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>
        <v>0.2</v>
      </c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8"/>
      <c r="BC106" s="153"/>
      <c r="BD106" s="153"/>
      <c r="BE106" s="153"/>
      <c r="BF106" s="153"/>
      <c r="BG106" s="153"/>
      <c r="BH106" s="153"/>
      <c r="BI106" s="153"/>
      <c r="BJ106" s="153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8"/>
      <c r="CJ106" s="153"/>
      <c r="CK106" s="153"/>
      <c r="CL106" s="153"/>
      <c r="CM106" s="153"/>
      <c r="CN106" s="158"/>
      <c r="CO106" s="153"/>
      <c r="CP106" s="153"/>
      <c r="CQ106" s="153"/>
    </row>
    <row r="107" spans="2:95" ht="14.9" customHeight="1" x14ac:dyDescent="0.3">
      <c r="B107" s="146" t="str">
        <f>Table1[[#Headers],[Simulação]]</f>
        <v>Simulação</v>
      </c>
      <c r="C107" s="144" t="str">
        <f t="shared" si="110"/>
        <v>ENTITY_ENBLNG_TRNVR_CE</v>
      </c>
      <c r="D107" s="143" t="s">
        <v>10</v>
      </c>
      <c r="E107" s="143" t="s">
        <v>1435</v>
      </c>
      <c r="G107" s="160" t="e">
        <f>INDEX(Table1[[Especificação]:[Total Testes]],MATCH(PlanoV1.0!C107,Table1[CONCAT],0),MATCH(PlanoV1.0!B107,Table1[[#Headers],[Especificação]:[Total Testes]],0))</f>
        <v>#N/A</v>
      </c>
      <c r="H107" s="179" t="e">
        <f t="shared" si="111"/>
        <v>#N/A</v>
      </c>
      <c r="I107" s="181" t="e">
        <f t="shared" si="112"/>
        <v>#N/A</v>
      </c>
      <c r="J107" s="158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>
        <v>0.2</v>
      </c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8"/>
      <c r="BC107" s="153"/>
      <c r="BD107" s="153"/>
      <c r="BE107" s="153"/>
      <c r="BF107" s="153"/>
      <c r="BG107" s="153"/>
      <c r="BH107" s="153"/>
      <c r="BI107" s="153"/>
      <c r="BJ107" s="153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8"/>
      <c r="CJ107" s="153"/>
      <c r="CK107" s="153"/>
      <c r="CL107" s="153"/>
      <c r="CM107" s="153"/>
      <c r="CN107" s="158"/>
      <c r="CO107" s="153"/>
      <c r="CP107" s="153"/>
      <c r="CQ107" s="153"/>
    </row>
    <row r="108" spans="2:95" ht="14.9" customHeight="1" x14ac:dyDescent="0.3">
      <c r="B108" s="146" t="str">
        <f>Table1[[#Headers],[Simulação]]</f>
        <v>Simulação</v>
      </c>
      <c r="C108" s="144" t="str">
        <f t="shared" si="110"/>
        <v>INSTRUMENT_TYP_OFF_BLNC_PRDCT</v>
      </c>
      <c r="D108" s="143" t="s">
        <v>414</v>
      </c>
      <c r="E108" s="143" t="s">
        <v>1351</v>
      </c>
      <c r="G108" s="160">
        <f>INDEX(Table1[[Especificação]:[Total Testes]],MATCH(PlanoV1.0!C108,Table1[CONCAT],0),MATCH(PlanoV1.0!B108,Table1[[#Headers],[Especificação]:[Total Testes]],0))</f>
        <v>1</v>
      </c>
      <c r="H108" s="179">
        <f t="shared" si="111"/>
        <v>0.2</v>
      </c>
      <c r="I108" s="181">
        <f t="shared" si="112"/>
        <v>0</v>
      </c>
      <c r="J108" s="158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>
        <v>0.2</v>
      </c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/>
      <c r="AY108" s="153"/>
      <c r="AZ108" s="153"/>
      <c r="BA108" s="153"/>
      <c r="BB108" s="158"/>
      <c r="BC108" s="153"/>
      <c r="BD108" s="153"/>
      <c r="BE108" s="153"/>
      <c r="BF108" s="153"/>
      <c r="BG108" s="153"/>
      <c r="BH108" s="153"/>
      <c r="BI108" s="153"/>
      <c r="BJ108" s="153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8"/>
      <c r="CJ108" s="153"/>
      <c r="CK108" s="153"/>
      <c r="CL108" s="153"/>
      <c r="CM108" s="153"/>
      <c r="CN108" s="158"/>
      <c r="CO108" s="153"/>
      <c r="CP108" s="153"/>
      <c r="CQ108" s="153"/>
    </row>
    <row r="109" spans="2:95" ht="14.9" customHeight="1" x14ac:dyDescent="0.3">
      <c r="B109" s="146" t="str">
        <f>Table1[[#Headers],[Simulação]]</f>
        <v>Simulação</v>
      </c>
      <c r="C109" s="144" t="str">
        <f t="shared" si="110"/>
        <v>INSTRUMENT_FLG_MNMM_SFGRDS</v>
      </c>
      <c r="D109" s="143" t="s">
        <v>414</v>
      </c>
      <c r="E109" s="143" t="s">
        <v>1438</v>
      </c>
      <c r="G109" s="160" t="e">
        <f>INDEX(Table1[[Especificação]:[Total Testes]],MATCH(PlanoV1.0!C109,Table1[CONCAT],0),MATCH(PlanoV1.0!B109,Table1[[#Headers],[Especificação]:[Total Testes]],0))</f>
        <v>#N/A</v>
      </c>
      <c r="H109" s="179" t="e">
        <f t="shared" si="111"/>
        <v>#N/A</v>
      </c>
      <c r="I109" s="181" t="e">
        <f t="shared" si="112"/>
        <v>#N/A</v>
      </c>
      <c r="J109" s="158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>
        <v>1</v>
      </c>
      <c r="AO109" s="153"/>
      <c r="AP109" s="153"/>
      <c r="AQ109" s="153"/>
      <c r="AR109" s="153"/>
      <c r="AS109" s="153"/>
      <c r="AT109" s="153"/>
      <c r="AU109" s="153"/>
      <c r="AV109" s="153"/>
      <c r="AW109" s="153"/>
      <c r="AX109" s="153"/>
      <c r="AY109" s="153"/>
      <c r="AZ109" s="153"/>
      <c r="BA109" s="153"/>
      <c r="BB109" s="158"/>
      <c r="BC109" s="153"/>
      <c r="BD109" s="153"/>
      <c r="BE109" s="153"/>
      <c r="BF109" s="153"/>
      <c r="BG109" s="153"/>
      <c r="BH109" s="153"/>
      <c r="BI109" s="153"/>
      <c r="BJ109" s="153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8"/>
      <c r="CJ109" s="153"/>
      <c r="CK109" s="153"/>
      <c r="CL109" s="153"/>
      <c r="CM109" s="153"/>
      <c r="CN109" s="158"/>
      <c r="CO109" s="153"/>
      <c r="CP109" s="153"/>
      <c r="CQ109" s="153"/>
    </row>
    <row r="110" spans="2:95" ht="14.9" customHeight="1" x14ac:dyDescent="0.3">
      <c r="B110" s="146" t="str">
        <f>Table1[[#Headers],[Simulação]]</f>
        <v>Simulação</v>
      </c>
      <c r="C110" s="144" t="str">
        <f t="shared" si="110"/>
        <v>INSTR_PROTECTION_TYP_RLTN</v>
      </c>
      <c r="D110" s="143" t="s">
        <v>1101</v>
      </c>
      <c r="E110" s="143" t="s">
        <v>1384</v>
      </c>
      <c r="G110" s="160">
        <f>INDEX(Table1[[Especificação]:[Total Testes]],MATCH(PlanoV1.0!C110,Table1[CONCAT],0),MATCH(PlanoV1.0!B110,Table1[[#Headers],[Especificação]:[Total Testes]],0))</f>
        <v>1</v>
      </c>
      <c r="H110" s="179">
        <f t="shared" si="111"/>
        <v>0.2</v>
      </c>
      <c r="I110" s="181">
        <f t="shared" si="112"/>
        <v>0.2</v>
      </c>
      <c r="J110" s="158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>
        <v>0.3</v>
      </c>
      <c r="AO110" s="153">
        <v>0.1</v>
      </c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8"/>
      <c r="BC110" s="153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8"/>
      <c r="CJ110" s="153"/>
      <c r="CK110" s="153"/>
      <c r="CL110" s="153"/>
      <c r="CM110" s="153"/>
      <c r="CN110" s="158"/>
      <c r="CO110" s="153"/>
      <c r="CP110" s="153"/>
      <c r="CQ110" s="153"/>
    </row>
    <row r="111" spans="2:95" ht="14.9" customHeight="1" x14ac:dyDescent="0.3">
      <c r="B111" s="146" t="str">
        <f>Table1[[#Headers],[Simulação]]</f>
        <v>Simulação</v>
      </c>
      <c r="C111" s="144" t="str">
        <f t="shared" si="110"/>
        <v>PROTECTION_BLDNG_AR</v>
      </c>
      <c r="D111" s="143" t="s">
        <v>1114</v>
      </c>
      <c r="E111" s="143" t="s">
        <v>1387</v>
      </c>
      <c r="G111" s="160" t="e">
        <f>INDEX(Table1[[Especificação]:[Total Testes]],MATCH(PlanoV1.0!C111,Table1[CONCAT],0),MATCH(PlanoV1.0!B111,Table1[[#Headers],[Especificação]:[Total Testes]],0))</f>
        <v>#N/A</v>
      </c>
      <c r="H111" s="179" t="e">
        <f t="shared" si="111"/>
        <v>#N/A</v>
      </c>
      <c r="I111" s="181" t="e">
        <f t="shared" si="112"/>
        <v>#N/A</v>
      </c>
      <c r="J111" s="158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>
        <v>0.2</v>
      </c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8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8"/>
      <c r="CJ111" s="153"/>
      <c r="CK111" s="153"/>
      <c r="CL111" s="153"/>
      <c r="CM111" s="153"/>
      <c r="CN111" s="158"/>
      <c r="CO111" s="153"/>
      <c r="CP111" s="153"/>
      <c r="CQ111" s="153"/>
    </row>
    <row r="112" spans="2:95" ht="14.9" customHeight="1" x14ac:dyDescent="0.3">
      <c r="B112" s="146" t="str">
        <f>Table1[[#Headers],[Simulação]]</f>
        <v>Simulação</v>
      </c>
      <c r="C112" s="144" t="str">
        <f t="shared" si="110"/>
        <v>PROTECTION_RL_ESTT_CRTFCTN</v>
      </c>
      <c r="D112" s="143" t="s">
        <v>1114</v>
      </c>
      <c r="E112" s="143" t="s">
        <v>1440</v>
      </c>
      <c r="G112" s="160" t="e">
        <f>INDEX(Table1[[Especificação]:[Total Testes]],MATCH(PlanoV1.0!C112,Table1[CONCAT],0),MATCH(PlanoV1.0!B112,Table1[[#Headers],[Especificação]:[Total Testes]],0))</f>
        <v>#N/A</v>
      </c>
      <c r="H112" s="179" t="e">
        <f t="shared" si="111"/>
        <v>#N/A</v>
      </c>
      <c r="I112" s="181" t="e">
        <f t="shared" si="112"/>
        <v>#N/A</v>
      </c>
      <c r="J112" s="158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>
        <v>0.8</v>
      </c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8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8"/>
      <c r="CJ112" s="153"/>
      <c r="CK112" s="153"/>
      <c r="CL112" s="153"/>
      <c r="CM112" s="153"/>
      <c r="CN112" s="158"/>
      <c r="CO112" s="153"/>
      <c r="CP112" s="153"/>
      <c r="CQ112" s="153"/>
    </row>
    <row r="113" spans="2:95" ht="14.9" customHeight="1" x14ac:dyDescent="0.3">
      <c r="B113" s="146" t="str">
        <f>Table1[[#Headers],[Simulação]]</f>
        <v>Simulação</v>
      </c>
      <c r="C113" s="144" t="str">
        <f t="shared" si="110"/>
        <v>PROTECTION_TYP_VHCL</v>
      </c>
      <c r="D113" s="143" t="s">
        <v>1114</v>
      </c>
      <c r="E113" s="143" t="s">
        <v>1442</v>
      </c>
      <c r="G113" s="160" t="e">
        <f>INDEX(Table1[[Especificação]:[Total Testes]],MATCH(PlanoV1.0!C113,Table1[CONCAT],0),MATCH(PlanoV1.0!B113,Table1[[#Headers],[Especificação]:[Total Testes]],0))</f>
        <v>#N/A</v>
      </c>
      <c r="H113" s="179" t="e">
        <f t="shared" si="111"/>
        <v>#N/A</v>
      </c>
      <c r="I113" s="181" t="e">
        <f t="shared" si="112"/>
        <v>#N/A</v>
      </c>
      <c r="J113" s="158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>
        <v>0.8</v>
      </c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8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8"/>
      <c r="CJ113" s="153"/>
      <c r="CK113" s="153"/>
      <c r="CL113" s="153"/>
      <c r="CM113" s="153"/>
      <c r="CN113" s="158"/>
      <c r="CO113" s="153"/>
      <c r="CP113" s="153"/>
      <c r="CQ113" s="153"/>
    </row>
    <row r="114" spans="2:95" ht="14.9" customHeight="1" x14ac:dyDescent="0.3">
      <c r="B114" s="146" t="str">
        <f>Table1[[#Headers],[Simulação]]</f>
        <v>Simulação</v>
      </c>
      <c r="C114" s="144" t="str">
        <f t="shared" si="110"/>
        <v>PROTECTION_DT_RGSTRTN</v>
      </c>
      <c r="D114" s="143" t="s">
        <v>1114</v>
      </c>
      <c r="E114" s="143" t="s">
        <v>1444</v>
      </c>
      <c r="G114" s="160" t="e">
        <f>INDEX(Table1[[Especificação]:[Total Testes]],MATCH(PlanoV1.0!C114,Table1[CONCAT],0),MATCH(PlanoV1.0!B114,Table1[[#Headers],[Especificação]:[Total Testes]],0))</f>
        <v>#N/A</v>
      </c>
      <c r="H114" s="179" t="e">
        <f t="shared" si="111"/>
        <v>#N/A</v>
      </c>
      <c r="I114" s="181" t="e">
        <f t="shared" si="112"/>
        <v>#N/A</v>
      </c>
      <c r="J114" s="158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>
        <v>0.1</v>
      </c>
      <c r="AP114" s="153">
        <v>0.7</v>
      </c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8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8"/>
      <c r="CJ114" s="153"/>
      <c r="CK114" s="153"/>
      <c r="CL114" s="153"/>
      <c r="CM114" s="153"/>
      <c r="CN114" s="158"/>
      <c r="CO114" s="153"/>
      <c r="CP114" s="153"/>
      <c r="CQ114" s="153"/>
    </row>
    <row r="115" spans="2:95" ht="14.9" customHeight="1" x14ac:dyDescent="0.3">
      <c r="B115" s="146" t="str">
        <f>Table1[[#Headers],[Simulação]]</f>
        <v>Simulação</v>
      </c>
      <c r="C115" s="144" t="str">
        <f t="shared" si="110"/>
        <v>PROTECTION_PRMRY_ENRGY_DMND_NN_RNWBL</v>
      </c>
      <c r="D115" s="143" t="s">
        <v>1114</v>
      </c>
      <c r="E115" s="143" t="s">
        <v>1446</v>
      </c>
      <c r="G115" s="160" t="e">
        <f>INDEX(Table1[[Especificação]:[Total Testes]],MATCH(PlanoV1.0!C115,Table1[CONCAT],0),MATCH(PlanoV1.0!B115,Table1[[#Headers],[Especificação]:[Total Testes]],0))</f>
        <v>#N/A</v>
      </c>
      <c r="H115" s="179" t="e">
        <f t="shared" si="111"/>
        <v>#N/A</v>
      </c>
      <c r="I115" s="181" t="e">
        <f t="shared" si="112"/>
        <v>#N/A</v>
      </c>
      <c r="J115" s="158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>
        <v>1</v>
      </c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8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8"/>
      <c r="CJ115" s="153"/>
      <c r="CK115" s="153"/>
      <c r="CL115" s="153"/>
      <c r="CM115" s="153"/>
      <c r="CN115" s="158"/>
      <c r="CO115" s="153"/>
      <c r="CP115" s="153"/>
      <c r="CQ115" s="153"/>
    </row>
    <row r="116" spans="2:95" ht="14.9" customHeight="1" x14ac:dyDescent="0.3">
      <c r="B116" s="146" t="str">
        <f>Table1[[#Headers],[Simulação]]</f>
        <v>Simulação</v>
      </c>
      <c r="C116" s="144" t="str">
        <f t="shared" si="110"/>
        <v>PROTECTION_PRMRY_ENRGY_DMND_TTL</v>
      </c>
      <c r="D116" s="143" t="s">
        <v>1114</v>
      </c>
      <c r="E116" s="143" t="s">
        <v>1448</v>
      </c>
      <c r="G116" s="160" t="e">
        <f>INDEX(Table1[[Especificação]:[Total Testes]],MATCH(PlanoV1.0!C116,Table1[CONCAT],0),MATCH(PlanoV1.0!B116,Table1[[#Headers],[Especificação]:[Total Testes]],0))</f>
        <v>#N/A</v>
      </c>
      <c r="H116" s="179" t="e">
        <f t="shared" si="111"/>
        <v>#N/A</v>
      </c>
      <c r="I116" s="181" t="e">
        <f t="shared" si="112"/>
        <v>#N/A</v>
      </c>
      <c r="J116" s="158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>
        <v>0.3</v>
      </c>
      <c r="AQ116" s="153">
        <v>0.5</v>
      </c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8"/>
      <c r="BC116" s="153"/>
      <c r="BD116" s="153"/>
      <c r="BE116" s="153"/>
      <c r="BF116" s="153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8"/>
      <c r="CJ116" s="153"/>
      <c r="CK116" s="153"/>
      <c r="CL116" s="153"/>
      <c r="CM116" s="153"/>
      <c r="CN116" s="158"/>
      <c r="CO116" s="153"/>
      <c r="CP116" s="153"/>
      <c r="CQ116" s="153"/>
    </row>
    <row r="117" spans="2:95" ht="14.9" customHeight="1" x14ac:dyDescent="0.3">
      <c r="B117" s="146" t="str">
        <f>Table1[[#Headers],[Simulação]]</f>
        <v>Simulação</v>
      </c>
      <c r="C117" s="144" t="str">
        <f t="shared" si="110"/>
        <v>PROTECTION_PRMRY_ENRGY_DMND_RFRNC_VL</v>
      </c>
      <c r="D117" s="143" t="s">
        <v>1114</v>
      </c>
      <c r="E117" s="143" t="s">
        <v>1450</v>
      </c>
      <c r="G117" s="160" t="e">
        <f>INDEX(Table1[[Especificação]:[Total Testes]],MATCH(PlanoV1.0!C117,Table1[CONCAT],0),MATCH(PlanoV1.0!B117,Table1[[#Headers],[Especificação]:[Total Testes]],0))</f>
        <v>#N/A</v>
      </c>
      <c r="H117" s="179" t="e">
        <f t="shared" si="111"/>
        <v>#N/A</v>
      </c>
      <c r="I117" s="181" t="e">
        <f t="shared" si="112"/>
        <v>#N/A</v>
      </c>
      <c r="J117" s="158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/>
      <c r="AQ117" s="153">
        <v>0.8</v>
      </c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8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8"/>
      <c r="CJ117" s="153"/>
      <c r="CK117" s="153"/>
      <c r="CL117" s="153"/>
      <c r="CM117" s="153"/>
      <c r="CN117" s="158"/>
      <c r="CO117" s="153"/>
      <c r="CP117" s="153"/>
      <c r="CQ117" s="153"/>
    </row>
    <row r="118" spans="2:95" ht="14.9" customHeight="1" x14ac:dyDescent="0.3">
      <c r="B118" s="146" t="str">
        <f>Table1[[#Headers],[Simulação]]</f>
        <v>Simulação</v>
      </c>
      <c r="C118" s="144" t="str">
        <f t="shared" si="110"/>
        <v>PROTECTION_RL_ESTT_CLMT_ZN</v>
      </c>
      <c r="D118" s="143" t="s">
        <v>1114</v>
      </c>
      <c r="E118" s="143" t="s">
        <v>1452</v>
      </c>
      <c r="G118" s="160" t="e">
        <f>INDEX(Table1[[Especificação]:[Total Testes]],MATCH(PlanoV1.0!C118,Table1[CONCAT],0),MATCH(PlanoV1.0!B118,Table1[[#Headers],[Especificação]:[Total Testes]],0))</f>
        <v>#N/A</v>
      </c>
      <c r="H118" s="179" t="e">
        <f t="shared" si="111"/>
        <v>#N/A</v>
      </c>
      <c r="I118" s="181" t="e">
        <f t="shared" si="112"/>
        <v>#N/A</v>
      </c>
      <c r="J118" s="158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>
        <v>0.7</v>
      </c>
      <c r="AR118" s="153">
        <v>0.1</v>
      </c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8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8"/>
      <c r="CJ118" s="153"/>
      <c r="CK118" s="153"/>
      <c r="CL118" s="153"/>
      <c r="CM118" s="153"/>
      <c r="CN118" s="158"/>
      <c r="CO118" s="153"/>
      <c r="CP118" s="153"/>
      <c r="CQ118" s="153"/>
    </row>
    <row r="119" spans="2:95" ht="14.9" customHeight="1" x14ac:dyDescent="0.3">
      <c r="B119" s="146" t="str">
        <f>Table1[[#Headers],[Simulação]]</f>
        <v>Simulação</v>
      </c>
      <c r="C119" s="144" t="str">
        <f t="shared" si="110"/>
        <v>INSTR_ACTIVITY_COD_SOC</v>
      </c>
      <c r="D119" s="143" t="s">
        <v>1458</v>
      </c>
      <c r="E119" s="143" t="s">
        <v>12</v>
      </c>
      <c r="G119" s="160">
        <f>INDEX(Table1[[Especificação]:[Total Testes]],MATCH(PlanoV1.0!C119,Table1[CONCAT],0),MATCH(PlanoV1.0!B119,Table1[[#Headers],[Especificação]:[Total Testes]],0))</f>
        <v>1</v>
      </c>
      <c r="H119" s="179">
        <f t="shared" si="111"/>
        <v>0.2</v>
      </c>
      <c r="I119" s="181">
        <f t="shared" si="112"/>
        <v>0</v>
      </c>
      <c r="J119" s="158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153">
        <v>0.2</v>
      </c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8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8"/>
      <c r="CJ119" s="153"/>
      <c r="CK119" s="153"/>
      <c r="CL119" s="153"/>
      <c r="CM119" s="153"/>
      <c r="CN119" s="158"/>
      <c r="CO119" s="153"/>
      <c r="CP119" s="153"/>
      <c r="CQ119" s="153"/>
    </row>
    <row r="120" spans="2:95" ht="14.9" customHeight="1" x14ac:dyDescent="0.3">
      <c r="B120" s="146" t="str">
        <f>Table1[[#Headers],[Simulação]]</f>
        <v>Simulação</v>
      </c>
      <c r="C120" s="144" t="str">
        <f t="shared" si="110"/>
        <v>INSTR_ACTIVITY_DT_RFRNC</v>
      </c>
      <c r="D120" s="143" t="s">
        <v>1458</v>
      </c>
      <c r="E120" s="143" t="s">
        <v>38</v>
      </c>
      <c r="G120" s="160">
        <f>INDEX(Table1[[Especificação]:[Total Testes]],MATCH(PlanoV1.0!C120,Table1[CONCAT],0),MATCH(PlanoV1.0!B120,Table1[[#Headers],[Especificação]:[Total Testes]],0))</f>
        <v>1</v>
      </c>
      <c r="H120" s="179">
        <f t="shared" si="111"/>
        <v>0.2</v>
      </c>
      <c r="I120" s="181">
        <f t="shared" si="112"/>
        <v>0</v>
      </c>
      <c r="J120" s="158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/>
      <c r="AQ120" s="153"/>
      <c r="AR120" s="153">
        <v>0.2</v>
      </c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8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8"/>
      <c r="CJ120" s="153"/>
      <c r="CK120" s="153"/>
      <c r="CL120" s="153"/>
      <c r="CM120" s="153"/>
      <c r="CN120" s="158"/>
      <c r="CO120" s="153"/>
      <c r="CP120" s="153"/>
      <c r="CQ120" s="153"/>
    </row>
    <row r="121" spans="2:95" ht="14.9" customHeight="1" x14ac:dyDescent="0.3">
      <c r="B121" s="146" t="str">
        <f>Table1[[#Headers],[Simulação]]</f>
        <v>Simulação</v>
      </c>
      <c r="C121" s="144" t="str">
        <f t="shared" si="110"/>
        <v>INSTR_ACTIVITY_INSTRMNT_ID</v>
      </c>
      <c r="D121" s="143" t="s">
        <v>1458</v>
      </c>
      <c r="E121" s="143" t="s">
        <v>405</v>
      </c>
      <c r="G121" s="160">
        <f>INDEX(Table1[[Especificação]:[Total Testes]],MATCH(PlanoV1.0!C121,Table1[CONCAT],0),MATCH(PlanoV1.0!B121,Table1[[#Headers],[Especificação]:[Total Testes]],0))</f>
        <v>1</v>
      </c>
      <c r="H121" s="179">
        <f t="shared" si="111"/>
        <v>0.2</v>
      </c>
      <c r="I121" s="181">
        <f t="shared" si="112"/>
        <v>0</v>
      </c>
      <c r="J121" s="158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>
        <v>0.2</v>
      </c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8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8"/>
      <c r="CJ121" s="153"/>
      <c r="CK121" s="153"/>
      <c r="CL121" s="153"/>
      <c r="CM121" s="153"/>
      <c r="CN121" s="158"/>
      <c r="CO121" s="153"/>
      <c r="CP121" s="153"/>
      <c r="CQ121" s="153"/>
    </row>
    <row r="122" spans="2:95" ht="14.9" customHeight="1" x14ac:dyDescent="0.3">
      <c r="B122" s="146" t="str">
        <f>Table1[[#Headers],[Simulação]]</f>
        <v>Simulação</v>
      </c>
      <c r="C122" s="144" t="str">
        <f t="shared" si="110"/>
        <v>INSTR_ACTIVITY_PRCNTG_ACTVTY</v>
      </c>
      <c r="D122" s="143" t="s">
        <v>1458</v>
      </c>
      <c r="E122" s="143" t="s">
        <v>1464</v>
      </c>
      <c r="G122" s="160">
        <f>INDEX(Table1[[Especificação]:[Total Testes]],MATCH(PlanoV1.0!C122,Table1[CONCAT],0),MATCH(PlanoV1.0!B122,Table1[[#Headers],[Especificação]:[Total Testes]],0))</f>
        <v>1</v>
      </c>
      <c r="H122" s="179">
        <f t="shared" si="111"/>
        <v>0.2</v>
      </c>
      <c r="I122" s="181">
        <f t="shared" si="112"/>
        <v>0.2</v>
      </c>
      <c r="J122" s="158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>
        <v>0.4</v>
      </c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8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8"/>
      <c r="CJ122" s="153"/>
      <c r="CK122" s="153"/>
      <c r="CL122" s="153"/>
      <c r="CM122" s="153"/>
      <c r="CN122" s="158"/>
      <c r="CO122" s="153"/>
      <c r="CP122" s="153"/>
      <c r="CQ122" s="153"/>
    </row>
    <row r="123" spans="2:95" ht="14.9" customHeight="1" x14ac:dyDescent="0.3">
      <c r="B123" s="146" t="str">
        <f>Table1[[#Headers],[Simulação]]</f>
        <v>Simulação</v>
      </c>
      <c r="C123" s="144" t="str">
        <f t="shared" si="110"/>
        <v>INSTR_ACTIVITY_FLG_SBSTNTL_CNTRBTN</v>
      </c>
      <c r="D123" s="143" t="s">
        <v>1458</v>
      </c>
      <c r="E123" s="143" t="s">
        <v>1467</v>
      </c>
      <c r="G123" s="160" t="e">
        <f>INDEX(Table1[[Especificação]:[Total Testes]],MATCH(PlanoV1.0!C123,Table1[CONCAT],0),MATCH(PlanoV1.0!B123,Table1[[#Headers],[Especificação]:[Total Testes]],0))</f>
        <v>#N/A</v>
      </c>
      <c r="H123" s="179" t="e">
        <f t="shared" si="111"/>
        <v>#N/A</v>
      </c>
      <c r="I123" s="181" t="e">
        <f t="shared" si="112"/>
        <v>#N/A</v>
      </c>
      <c r="J123" s="158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>
        <v>0.4</v>
      </c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8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8"/>
      <c r="CJ123" s="153"/>
      <c r="CK123" s="153"/>
      <c r="CL123" s="153"/>
      <c r="CM123" s="153"/>
      <c r="CN123" s="158"/>
      <c r="CO123" s="153"/>
      <c r="CP123" s="153"/>
      <c r="CQ123" s="153"/>
    </row>
    <row r="124" spans="2:95" ht="14.9" customHeight="1" x14ac:dyDescent="0.3">
      <c r="B124" s="146" t="str">
        <f>Table1[[#Headers],[Simulação]]</f>
        <v>Simulação</v>
      </c>
      <c r="C124" s="144" t="str">
        <f t="shared" si="110"/>
        <v>INSTR_ACTIVITY_FLG_DNSH_CMPLNC</v>
      </c>
      <c r="D124" s="143" t="s">
        <v>1458</v>
      </c>
      <c r="E124" s="143" t="s">
        <v>1469</v>
      </c>
      <c r="G124" s="160" t="e">
        <f>INDEX(Table1[[Especificação]:[Total Testes]],MATCH(PlanoV1.0!C124,Table1[CONCAT],0),MATCH(PlanoV1.0!B124,Table1[[#Headers],[Especificação]:[Total Testes]],0))</f>
        <v>#N/A</v>
      </c>
      <c r="H124" s="179" t="e">
        <f t="shared" si="111"/>
        <v>#N/A</v>
      </c>
      <c r="I124" s="181" t="e">
        <f t="shared" si="112"/>
        <v>#N/A</v>
      </c>
      <c r="J124" s="158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>
        <v>0.5</v>
      </c>
      <c r="AS124" s="153">
        <v>0.5</v>
      </c>
      <c r="AT124" s="153"/>
      <c r="AU124" s="153"/>
      <c r="AV124" s="153"/>
      <c r="AW124" s="153"/>
      <c r="AX124" s="153"/>
      <c r="AY124" s="153"/>
      <c r="AZ124" s="153"/>
      <c r="BA124" s="153"/>
      <c r="BB124" s="158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8"/>
      <c r="CJ124" s="153"/>
      <c r="CK124" s="153"/>
      <c r="CL124" s="153"/>
      <c r="CM124" s="153"/>
      <c r="CN124" s="158"/>
      <c r="CO124" s="153"/>
      <c r="CP124" s="153"/>
      <c r="CQ124" s="153"/>
    </row>
    <row r="125" spans="2:95" ht="14.9" customHeight="1" x14ac:dyDescent="0.3">
      <c r="B125" s="146" t="str">
        <f>Table1[[#Headers],[Simulação]]</f>
        <v>Simulação</v>
      </c>
      <c r="C125" s="144" t="str">
        <f t="shared" si="110"/>
        <v>INSTR_ACTIVITY_DNSH_DTL</v>
      </c>
      <c r="D125" s="143" t="s">
        <v>1458</v>
      </c>
      <c r="E125" s="143" t="s">
        <v>1471</v>
      </c>
      <c r="G125" s="160" t="e">
        <f>INDEX(Table1[[Especificação]:[Total Testes]],MATCH(PlanoV1.0!C125,Table1[CONCAT],0),MATCH(PlanoV1.0!B125,Table1[[#Headers],[Especificação]:[Total Testes]],0))</f>
        <v>#N/A</v>
      </c>
      <c r="H125" s="179" t="e">
        <f t="shared" si="111"/>
        <v>#N/A</v>
      </c>
      <c r="I125" s="181" t="e">
        <f t="shared" si="112"/>
        <v>#N/A</v>
      </c>
      <c r="J125" s="158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>
        <v>0.8</v>
      </c>
      <c r="AT125" s="153"/>
      <c r="AU125" s="153"/>
      <c r="AV125" s="153"/>
      <c r="AW125" s="153"/>
      <c r="AX125" s="153"/>
      <c r="AY125" s="153"/>
      <c r="AZ125" s="153"/>
      <c r="BA125" s="153"/>
      <c r="BB125" s="158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8"/>
      <c r="CJ125" s="153"/>
      <c r="CK125" s="153"/>
      <c r="CL125" s="153"/>
      <c r="CM125" s="153"/>
      <c r="CN125" s="158"/>
      <c r="CO125" s="153"/>
      <c r="CP125" s="153"/>
      <c r="CQ125" s="153"/>
    </row>
    <row r="126" spans="2:95" ht="14.9" customHeight="1" x14ac:dyDescent="0.3">
      <c r="B126" s="146" t="str">
        <f>Table1[[#Headers],[Simulação]]</f>
        <v>Simulação</v>
      </c>
      <c r="C126" s="144" t="str">
        <f t="shared" si="110"/>
        <v>ENTITY_GRP_ECNMC_ACTVTY</v>
      </c>
      <c r="D126" s="143" t="s">
        <v>10</v>
      </c>
      <c r="E126" s="143" t="s">
        <v>382</v>
      </c>
      <c r="G126" s="160" t="e">
        <f>INDEX(Table1[[Especificação]:[Total Testes]],MATCH(PlanoV1.0!C126,Table1[CONCAT],0),MATCH(PlanoV1.0!B126,Table1[[#Headers],[Especificação]:[Total Testes]],0))</f>
        <v>#N/A</v>
      </c>
      <c r="H126" s="179" t="e">
        <f t="shared" si="111"/>
        <v>#N/A</v>
      </c>
      <c r="I126" s="181" t="e">
        <f t="shared" si="112"/>
        <v>#N/A</v>
      </c>
      <c r="J126" s="158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>
        <v>0.2</v>
      </c>
      <c r="AT126" s="153"/>
      <c r="AU126" s="153"/>
      <c r="AV126" s="153"/>
      <c r="AW126" s="153"/>
      <c r="AX126" s="153"/>
      <c r="AY126" s="153"/>
      <c r="AZ126" s="153"/>
      <c r="BA126" s="153"/>
      <c r="BB126" s="158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8"/>
      <c r="CJ126" s="153"/>
      <c r="CK126" s="153"/>
      <c r="CL126" s="153"/>
      <c r="CM126" s="153"/>
      <c r="CN126" s="158"/>
      <c r="CO126" s="153"/>
      <c r="CP126" s="153"/>
      <c r="CQ126" s="153"/>
    </row>
    <row r="127" spans="2:95" ht="14.9" customHeight="1" x14ac:dyDescent="0.3">
      <c r="B127" s="146" t="str">
        <f>Table1[[#Headers],[Simulação]]</f>
        <v>Simulação</v>
      </c>
      <c r="C127" s="144" t="str">
        <f t="shared" si="110"/>
        <v>PROTECTION_TYP_EMSSNS_LBL</v>
      </c>
      <c r="D127" s="143" t="s">
        <v>1114</v>
      </c>
      <c r="E127" s="143" t="s">
        <v>1235</v>
      </c>
      <c r="G127" s="160" t="e">
        <f>INDEX(Table1[[Especificação]:[Total Testes]],MATCH(PlanoV1.0!C127,Table1[CONCAT],0),MATCH(PlanoV1.0!B127,Table1[[#Headers],[Especificação]:[Total Testes]],0))</f>
        <v>#N/A</v>
      </c>
      <c r="H127" s="179" t="e">
        <f t="shared" si="111"/>
        <v>#N/A</v>
      </c>
      <c r="I127" s="181" t="e">
        <f t="shared" si="112"/>
        <v>#N/A</v>
      </c>
      <c r="J127" s="158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>
        <v>0.4</v>
      </c>
      <c r="AT127" s="153"/>
      <c r="AU127" s="153"/>
      <c r="AV127" s="153"/>
      <c r="AW127" s="153"/>
      <c r="AX127" s="153"/>
      <c r="AY127" s="153"/>
      <c r="AZ127" s="153"/>
      <c r="BA127" s="153"/>
      <c r="BB127" s="158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8"/>
      <c r="CJ127" s="153"/>
      <c r="CK127" s="153"/>
      <c r="CL127" s="153"/>
      <c r="CM127" s="153"/>
      <c r="CN127" s="158"/>
      <c r="CO127" s="153"/>
      <c r="CP127" s="153"/>
      <c r="CQ127" s="153"/>
    </row>
    <row r="128" spans="2:95" ht="14.9" customHeight="1" x14ac:dyDescent="0.3">
      <c r="B128" s="146" t="str">
        <f>Table1[[#Headers],[Simulação]]</f>
        <v>Simulação</v>
      </c>
      <c r="C128" s="144" t="str">
        <f t="shared" si="110"/>
        <v>PROTECTION_EPC_EMSSNS_LBL</v>
      </c>
      <c r="D128" s="143" t="s">
        <v>1114</v>
      </c>
      <c r="E128" s="143" t="s">
        <v>1238</v>
      </c>
      <c r="G128" s="160" t="e">
        <f>INDEX(Table1[[Especificação]:[Total Testes]],MATCH(PlanoV1.0!C128,Table1[CONCAT],0),MATCH(PlanoV1.0!B128,Table1[[#Headers],[Especificação]:[Total Testes]],0))</f>
        <v>#N/A</v>
      </c>
      <c r="H128" s="179" t="e">
        <f t="shared" si="111"/>
        <v>#N/A</v>
      </c>
      <c r="I128" s="181" t="e">
        <f t="shared" si="112"/>
        <v>#N/A</v>
      </c>
      <c r="J128" s="158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>
        <v>0.1</v>
      </c>
      <c r="AT128" s="153">
        <v>0.1</v>
      </c>
      <c r="AU128" s="153"/>
      <c r="AV128" s="153"/>
      <c r="AW128" s="153"/>
      <c r="AX128" s="153"/>
      <c r="AY128" s="153"/>
      <c r="AZ128" s="153"/>
      <c r="BA128" s="153"/>
      <c r="BB128" s="158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8"/>
      <c r="CJ128" s="153"/>
      <c r="CK128" s="153"/>
      <c r="CL128" s="153"/>
      <c r="CM128" s="153"/>
      <c r="CN128" s="158"/>
      <c r="CO128" s="153"/>
      <c r="CP128" s="153"/>
      <c r="CQ128" s="153"/>
    </row>
    <row r="129" spans="2:95" ht="14.9" customHeight="1" x14ac:dyDescent="0.3">
      <c r="B129" s="146" t="str">
        <f>Table1[[#Headers],[Simulação]]</f>
        <v>Simulação</v>
      </c>
      <c r="C129" s="144" t="str">
        <f t="shared" si="110"/>
        <v>PROTECTION_VHCL_EMSSNS_LBL</v>
      </c>
      <c r="D129" s="143" t="s">
        <v>1114</v>
      </c>
      <c r="E129" s="143" t="s">
        <v>1241</v>
      </c>
      <c r="G129" s="160" t="e">
        <f>INDEX(Table1[[Especificação]:[Total Testes]],MATCH(PlanoV1.0!C129,Table1[CONCAT],0),MATCH(PlanoV1.0!B129,Table1[[#Headers],[Especificação]:[Total Testes]],0))</f>
        <v>#N/A</v>
      </c>
      <c r="H129" s="179" t="e">
        <f t="shared" si="111"/>
        <v>#N/A</v>
      </c>
      <c r="I129" s="181" t="e">
        <f t="shared" si="112"/>
        <v>#N/A</v>
      </c>
      <c r="J129" s="158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>
        <v>0.8</v>
      </c>
      <c r="AU129" s="153"/>
      <c r="AV129" s="153"/>
      <c r="AW129" s="153"/>
      <c r="AX129" s="153"/>
      <c r="AY129" s="153"/>
      <c r="AZ129" s="153"/>
      <c r="BA129" s="153"/>
      <c r="BB129" s="158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8"/>
      <c r="CJ129" s="153"/>
      <c r="CK129" s="153"/>
      <c r="CL129" s="153"/>
      <c r="CM129" s="153"/>
      <c r="CN129" s="158"/>
      <c r="CO129" s="153"/>
      <c r="CP129" s="153"/>
      <c r="CQ129" s="153"/>
    </row>
    <row r="130" spans="2:95" ht="14.9" customHeight="1" x14ac:dyDescent="0.3">
      <c r="B130" s="146" t="str">
        <f>Table1[[#Headers],[Simulação]]</f>
        <v>Simulação</v>
      </c>
      <c r="C130" s="144" t="str">
        <f t="shared" si="110"/>
        <v>PROTECTION_TYP_EMSSNS_SCR</v>
      </c>
      <c r="D130" s="143" t="s">
        <v>1114</v>
      </c>
      <c r="E130" s="143" t="s">
        <v>1244</v>
      </c>
      <c r="G130" s="160" t="e">
        <f>INDEX(Table1[[Especificação]:[Total Testes]],MATCH(PlanoV1.0!C130,Table1[CONCAT],0),MATCH(PlanoV1.0!B130,Table1[[#Headers],[Especificação]:[Total Testes]],0))</f>
        <v>#N/A</v>
      </c>
      <c r="H130" s="179" t="e">
        <f t="shared" si="111"/>
        <v>#N/A</v>
      </c>
      <c r="I130" s="181" t="e">
        <f t="shared" si="112"/>
        <v>#N/A</v>
      </c>
      <c r="J130" s="158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>
        <v>0.2</v>
      </c>
      <c r="AU130" s="153"/>
      <c r="AV130" s="153"/>
      <c r="AW130" s="153"/>
      <c r="AX130" s="153"/>
      <c r="AY130" s="153"/>
      <c r="AZ130" s="153"/>
      <c r="BA130" s="153"/>
      <c r="BB130" s="158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8"/>
      <c r="CJ130" s="153"/>
      <c r="CK130" s="153"/>
      <c r="CL130" s="153"/>
      <c r="CM130" s="153"/>
      <c r="CN130" s="158"/>
      <c r="CO130" s="153"/>
      <c r="CP130" s="153"/>
      <c r="CQ130" s="153"/>
    </row>
    <row r="131" spans="2:95" ht="14.9" customHeight="1" x14ac:dyDescent="0.3">
      <c r="B131" s="146" t="str">
        <f>Table1[[#Headers],[Simulação]]</f>
        <v>Simulação</v>
      </c>
      <c r="C131" s="144" t="str">
        <f t="shared" si="110"/>
        <v>PROTECTION_EPC_EMSSNS_SCR</v>
      </c>
      <c r="D131" s="143" t="s">
        <v>1114</v>
      </c>
      <c r="E131" s="143" t="s">
        <v>1247</v>
      </c>
      <c r="G131" s="160" t="e">
        <f>INDEX(Table1[[Especificação]:[Total Testes]],MATCH(PlanoV1.0!C131,Table1[CONCAT],0),MATCH(PlanoV1.0!B131,Table1[[#Headers],[Especificação]:[Total Testes]],0))</f>
        <v>#N/A</v>
      </c>
      <c r="H131" s="179" t="e">
        <f t="shared" si="111"/>
        <v>#N/A</v>
      </c>
      <c r="I131" s="181" t="e">
        <f t="shared" si="112"/>
        <v>#N/A</v>
      </c>
      <c r="J131" s="158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>
        <v>0.4</v>
      </c>
      <c r="AU131" s="153"/>
      <c r="AV131" s="153"/>
      <c r="AW131" s="153"/>
      <c r="AX131" s="153"/>
      <c r="AY131" s="153"/>
      <c r="AZ131" s="153"/>
      <c r="BA131" s="153"/>
      <c r="BB131" s="158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8"/>
      <c r="CJ131" s="153"/>
      <c r="CK131" s="153"/>
      <c r="CL131" s="153"/>
      <c r="CM131" s="153"/>
      <c r="CN131" s="158"/>
      <c r="CO131" s="153"/>
      <c r="CP131" s="153"/>
      <c r="CQ131" s="153"/>
    </row>
    <row r="132" spans="2:95" ht="14.9" customHeight="1" x14ac:dyDescent="0.3">
      <c r="B132" s="146" t="str">
        <f>Table1[[#Headers],[Simulação]]</f>
        <v>Simulação</v>
      </c>
      <c r="C132" s="144" t="str">
        <f t="shared" si="110"/>
        <v>PROTECTION_VHCL_EMSSNS_SCR</v>
      </c>
      <c r="D132" s="143" t="s">
        <v>1114</v>
      </c>
      <c r="E132" s="143" t="s">
        <v>1250</v>
      </c>
      <c r="G132" s="160" t="e">
        <f>INDEX(Table1[[Especificação]:[Total Testes]],MATCH(PlanoV1.0!C132,Table1[CONCAT],0),MATCH(PlanoV1.0!B132,Table1[[#Headers],[Especificação]:[Total Testes]],0))</f>
        <v>#N/A</v>
      </c>
      <c r="H132" s="179" t="e">
        <f t="shared" si="111"/>
        <v>#N/A</v>
      </c>
      <c r="I132" s="181" t="e">
        <f t="shared" si="112"/>
        <v>#N/A</v>
      </c>
      <c r="J132" s="158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>
        <v>0.5</v>
      </c>
      <c r="AU132" s="153">
        <v>0.5</v>
      </c>
      <c r="AV132" s="153"/>
      <c r="AW132" s="153"/>
      <c r="AX132" s="153"/>
      <c r="AY132" s="153"/>
      <c r="AZ132" s="153"/>
      <c r="BA132" s="153"/>
      <c r="BB132" s="158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8"/>
      <c r="CJ132" s="153"/>
      <c r="CK132" s="153"/>
      <c r="CL132" s="153"/>
      <c r="CM132" s="153"/>
      <c r="CN132" s="158"/>
      <c r="CO132" s="153"/>
      <c r="CP132" s="153"/>
      <c r="CQ132" s="153"/>
    </row>
    <row r="133" spans="2:95" ht="14.9" customHeight="1" x14ac:dyDescent="0.3">
      <c r="B133" s="146" t="str">
        <f>Table1[[#Headers],[Simulação]]</f>
        <v>Simulação</v>
      </c>
      <c r="C133" s="144" t="str">
        <f t="shared" si="110"/>
        <v>PROTECTION_INSRNC_ID</v>
      </c>
      <c r="D133" s="143" t="s">
        <v>1114</v>
      </c>
      <c r="E133" s="143" t="s">
        <v>1275</v>
      </c>
      <c r="G133" s="160" t="e">
        <f>INDEX(Table1[[Especificação]:[Total Testes]],MATCH(PlanoV1.0!C133,Table1[CONCAT],0),MATCH(PlanoV1.0!B133,Table1[[#Headers],[Especificação]:[Total Testes]],0))</f>
        <v>#N/A</v>
      </c>
      <c r="H133" s="179" t="e">
        <f t="shared" si="111"/>
        <v>#N/A</v>
      </c>
      <c r="I133" s="181" t="e">
        <f t="shared" si="112"/>
        <v>#N/A</v>
      </c>
      <c r="J133" s="158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>
        <v>1</v>
      </c>
      <c r="AV133" s="153"/>
      <c r="AW133" s="153"/>
      <c r="AX133" s="153"/>
      <c r="AY133" s="153"/>
      <c r="AZ133" s="153"/>
      <c r="BA133" s="153"/>
      <c r="BB133" s="158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8"/>
      <c r="CJ133" s="153"/>
      <c r="CK133" s="153"/>
      <c r="CL133" s="153"/>
      <c r="CM133" s="153"/>
      <c r="CN133" s="158"/>
      <c r="CO133" s="153"/>
      <c r="CP133" s="153"/>
      <c r="CQ133" s="153"/>
    </row>
    <row r="134" spans="2:95" ht="14.9" customHeight="1" x14ac:dyDescent="0.3">
      <c r="B134" s="146" t="str">
        <f>Table1[[#Headers],[Simulação]]</f>
        <v>Simulação</v>
      </c>
      <c r="C134" s="144" t="str">
        <f t="shared" si="110"/>
        <v>PROTECTION_TYP_HZRDS_INSRD</v>
      </c>
      <c r="D134" s="143" t="s">
        <v>1114</v>
      </c>
      <c r="E134" s="143" t="s">
        <v>1278</v>
      </c>
      <c r="G134" s="160" t="e">
        <f>INDEX(Table1[[Especificação]:[Total Testes]],MATCH(PlanoV1.0!C134,Table1[CONCAT],0),MATCH(PlanoV1.0!B134,Table1[[#Headers],[Especificação]:[Total Testes]],0))</f>
        <v>#N/A</v>
      </c>
      <c r="H134" s="179" t="e">
        <f t="shared" si="111"/>
        <v>#N/A</v>
      </c>
      <c r="I134" s="181" t="e">
        <f t="shared" si="112"/>
        <v>#N/A</v>
      </c>
      <c r="J134" s="158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>
        <v>0.4</v>
      </c>
      <c r="AV134" s="153"/>
      <c r="AW134" s="153"/>
      <c r="AX134" s="153"/>
      <c r="AY134" s="153"/>
      <c r="AZ134" s="153"/>
      <c r="BA134" s="153"/>
      <c r="BB134" s="158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8"/>
      <c r="CJ134" s="153"/>
      <c r="CK134" s="153"/>
      <c r="CL134" s="153"/>
      <c r="CM134" s="153"/>
      <c r="CN134" s="158"/>
      <c r="CO134" s="153"/>
      <c r="CP134" s="153"/>
      <c r="CQ134" s="153"/>
    </row>
    <row r="135" spans="2:95" ht="14.9" customHeight="1" x14ac:dyDescent="0.3">
      <c r="B135" s="146" t="str">
        <f>Table1[[#Headers],[Simulação]]</f>
        <v>Simulação</v>
      </c>
      <c r="C135" s="144" t="str">
        <f t="shared" si="110"/>
        <v>PROTECTION_AMNT_CVRD_INSRNC</v>
      </c>
      <c r="D135" s="143" t="s">
        <v>1114</v>
      </c>
      <c r="E135" s="143" t="s">
        <v>1281</v>
      </c>
      <c r="G135" s="160" t="e">
        <f>INDEX(Table1[[Especificação]:[Total Testes]],MATCH(PlanoV1.0!C135,Table1[CONCAT],0),MATCH(PlanoV1.0!B135,Table1[[#Headers],[Especificação]:[Total Testes]],0))</f>
        <v>#N/A</v>
      </c>
      <c r="H135" s="179" t="e">
        <f t="shared" si="111"/>
        <v>#N/A</v>
      </c>
      <c r="I135" s="181" t="e">
        <f t="shared" si="112"/>
        <v>#N/A</v>
      </c>
      <c r="J135" s="158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>
        <v>0.1</v>
      </c>
      <c r="AV135" s="153">
        <v>0.9</v>
      </c>
      <c r="AW135" s="153"/>
      <c r="AX135" s="153"/>
      <c r="AY135" s="153"/>
      <c r="AZ135" s="153"/>
      <c r="BA135" s="153"/>
      <c r="BB135" s="158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8"/>
      <c r="CJ135" s="153"/>
      <c r="CK135" s="153"/>
      <c r="CL135" s="153"/>
      <c r="CM135" s="153"/>
      <c r="CN135" s="158"/>
      <c r="CO135" s="153"/>
      <c r="CP135" s="153"/>
      <c r="CQ135" s="153"/>
    </row>
    <row r="136" spans="2:95" ht="14.9" customHeight="1" x14ac:dyDescent="0.3">
      <c r="B136" s="146" t="str">
        <f>Table1[[#Headers],[Simulação]]</f>
        <v>Simulação</v>
      </c>
      <c r="C136" s="144" t="str">
        <f t="shared" si="110"/>
        <v>PROTECTION_DT_MTRTY_INSRNC</v>
      </c>
      <c r="D136" s="143" t="s">
        <v>1114</v>
      </c>
      <c r="E136" s="143" t="s">
        <v>1284</v>
      </c>
      <c r="G136" s="160" t="e">
        <f>INDEX(Table1[[Especificação]:[Total Testes]],MATCH(PlanoV1.0!C136,Table1[CONCAT],0),MATCH(PlanoV1.0!B136,Table1[[#Headers],[Especificação]:[Total Testes]],0))</f>
        <v>#N/A</v>
      </c>
      <c r="H136" s="179" t="e">
        <f t="shared" si="111"/>
        <v>#N/A</v>
      </c>
      <c r="I136" s="181" t="e">
        <f t="shared" si="112"/>
        <v>#N/A</v>
      </c>
      <c r="J136" s="158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>
        <v>1</v>
      </c>
      <c r="AW136" s="153"/>
      <c r="AX136" s="153"/>
      <c r="AY136" s="153"/>
      <c r="AZ136" s="153"/>
      <c r="BA136" s="153"/>
      <c r="BB136" s="158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8"/>
      <c r="CJ136" s="153"/>
      <c r="CK136" s="153"/>
      <c r="CL136" s="153"/>
      <c r="CM136" s="153"/>
      <c r="CN136" s="158"/>
      <c r="CO136" s="153"/>
      <c r="CP136" s="153"/>
      <c r="CQ136" s="153"/>
    </row>
    <row r="137" spans="2:95" ht="14.9" customHeight="1" x14ac:dyDescent="0.3">
      <c r="B137" s="146" t="str">
        <f>Table1[[#Headers],[Simulação]]</f>
        <v>Simulação</v>
      </c>
      <c r="C137" s="144" t="str">
        <f t="shared" si="109"/>
        <v>PROTECTION_FLG_FRST_HM</v>
      </c>
      <c r="D137" s="143" t="s">
        <v>1114</v>
      </c>
      <c r="E137" s="145" t="s">
        <v>1287</v>
      </c>
      <c r="G137" s="160" t="e">
        <f>INDEX(Table1[[Especificação]:[Total Testes]],MATCH(PlanoV1.0!C137,Table1[CONCAT],0),MATCH(PlanoV1.0!B137,Table1[[#Headers],[Especificação]:[Total Testes]],0))</f>
        <v>#N/A</v>
      </c>
      <c r="H137" s="179" t="e">
        <f t="shared" si="111"/>
        <v>#N/A</v>
      </c>
      <c r="I137" s="181" t="e">
        <f t="shared" si="112"/>
        <v>#N/A</v>
      </c>
      <c r="J137" s="158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>
        <v>0.1</v>
      </c>
      <c r="AW137" s="153">
        <v>0.3</v>
      </c>
      <c r="AX137" s="153"/>
      <c r="AY137" s="153"/>
      <c r="AZ137" s="153"/>
      <c r="BA137" s="153"/>
      <c r="BB137" s="158"/>
      <c r="BC137" s="153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8"/>
      <c r="CJ137" s="153"/>
      <c r="CK137" s="153"/>
      <c r="CL137" s="153"/>
      <c r="CM137" s="153"/>
      <c r="CN137" s="158"/>
      <c r="CO137" s="153"/>
      <c r="CP137" s="153"/>
      <c r="CQ137" s="153"/>
    </row>
    <row r="138" spans="2:95" ht="14.9" customHeight="1" x14ac:dyDescent="0.3">
      <c r="B138" s="146" t="str">
        <f>Table1[[#Headers],[Simulação]]</f>
        <v>Simulação</v>
      </c>
      <c r="C138" s="144" t="str">
        <f t="shared" ref="C138:C155" si="113">D138&amp;"_"&amp;E138</f>
        <v>PROTECTION_ENTTY_NM</v>
      </c>
      <c r="D138" s="143" t="s">
        <v>1114</v>
      </c>
      <c r="E138" s="143" t="s">
        <v>59</v>
      </c>
      <c r="G138" s="160">
        <v>1.5</v>
      </c>
      <c r="H138" s="179">
        <f t="shared" ref="H138:H155" si="114">ROUNDUP(G138/8,1)</f>
        <v>0.2</v>
      </c>
      <c r="I138" s="181">
        <f t="shared" ref="I138:I155" si="115">SUM(J138:CQ138)-H138</f>
        <v>0</v>
      </c>
      <c r="J138" s="158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/>
      <c r="AV138" s="153"/>
      <c r="AW138" s="153">
        <v>0.2</v>
      </c>
      <c r="AX138" s="153"/>
      <c r="AY138" s="153"/>
      <c r="AZ138" s="153"/>
      <c r="BA138" s="153"/>
      <c r="BB138" s="158"/>
      <c r="BC138" s="153"/>
      <c r="BD138" s="153"/>
      <c r="BE138" s="153"/>
      <c r="BF138" s="153"/>
      <c r="BG138" s="153"/>
      <c r="BH138" s="153"/>
      <c r="BI138" s="153"/>
      <c r="BJ138" s="153"/>
      <c r="BK138" s="153"/>
      <c r="BL138" s="153"/>
      <c r="BM138" s="153"/>
      <c r="BN138" s="153"/>
      <c r="BO138" s="153"/>
      <c r="BP138" s="153"/>
      <c r="BQ138" s="153"/>
      <c r="BR138" s="153"/>
      <c r="BS138" s="153"/>
      <c r="BT138" s="153"/>
      <c r="BU138" s="153"/>
      <c r="BV138" s="153"/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8"/>
      <c r="CJ138" s="153"/>
      <c r="CK138" s="153"/>
      <c r="CL138" s="153"/>
      <c r="CM138" s="153"/>
      <c r="CN138" s="158"/>
      <c r="CO138" s="153"/>
      <c r="CP138" s="153"/>
      <c r="CQ138" s="153"/>
    </row>
    <row r="139" spans="2:95" ht="14.9" customHeight="1" x14ac:dyDescent="0.3">
      <c r="B139" s="146" t="str">
        <f>Table1[[#Headers],[Simulação]]</f>
        <v>Simulação</v>
      </c>
      <c r="C139" s="144" t="str">
        <f t="shared" si="113"/>
        <v>PROTECTION_EC_GRP_NM</v>
      </c>
      <c r="D139" s="143" t="s">
        <v>1114</v>
      </c>
      <c r="E139" s="143" t="s">
        <v>284</v>
      </c>
      <c r="G139" s="160">
        <v>1.5</v>
      </c>
      <c r="H139" s="179">
        <f t="shared" si="114"/>
        <v>0.2</v>
      </c>
      <c r="I139" s="181">
        <f t="shared" si="115"/>
        <v>0</v>
      </c>
      <c r="J139" s="158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/>
      <c r="AV139" s="153"/>
      <c r="AW139" s="153">
        <v>0.2</v>
      </c>
      <c r="AX139" s="153"/>
      <c r="AY139" s="153"/>
      <c r="AZ139" s="153"/>
      <c r="BA139" s="153"/>
      <c r="BB139" s="158"/>
      <c r="BC139" s="153"/>
      <c r="BD139" s="153"/>
      <c r="BE139" s="153"/>
      <c r="BF139" s="153"/>
      <c r="BG139" s="153"/>
      <c r="BH139" s="153"/>
      <c r="BI139" s="153"/>
      <c r="BJ139" s="153"/>
      <c r="BK139" s="153"/>
      <c r="BL139" s="153"/>
      <c r="BM139" s="153"/>
      <c r="BN139" s="153"/>
      <c r="BO139" s="153"/>
      <c r="BP139" s="153"/>
      <c r="BQ139" s="153"/>
      <c r="BR139" s="153"/>
      <c r="BS139" s="153"/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8"/>
      <c r="CJ139" s="153"/>
      <c r="CK139" s="153"/>
      <c r="CL139" s="153"/>
      <c r="CM139" s="153"/>
      <c r="CN139" s="158"/>
      <c r="CO139" s="153"/>
      <c r="CP139" s="153"/>
      <c r="CQ139" s="153"/>
    </row>
    <row r="140" spans="2:95" ht="14.9" customHeight="1" x14ac:dyDescent="0.3">
      <c r="B140" s="146" t="str">
        <f>Table1[[#Headers],[Simulação]]</f>
        <v>Simulação</v>
      </c>
      <c r="C140" s="144" t="str">
        <f t="shared" si="113"/>
        <v>PROTECTION_FRBRNC_STTS_INSTRMNT</v>
      </c>
      <c r="D140" s="143" t="s">
        <v>1114</v>
      </c>
      <c r="E140" s="143" t="s">
        <v>501</v>
      </c>
      <c r="G140" s="160">
        <v>1</v>
      </c>
      <c r="H140" s="179">
        <f t="shared" si="114"/>
        <v>0.2</v>
      </c>
      <c r="I140" s="181">
        <f t="shared" si="115"/>
        <v>0</v>
      </c>
      <c r="J140" s="158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  <c r="AU140" s="153"/>
      <c r="AV140" s="153"/>
      <c r="AW140" s="153">
        <v>0.2</v>
      </c>
      <c r="AX140" s="153"/>
      <c r="AY140" s="153"/>
      <c r="AZ140" s="153"/>
      <c r="BA140" s="153"/>
      <c r="BB140" s="158"/>
      <c r="BC140" s="153"/>
      <c r="BD140" s="153"/>
      <c r="BE140" s="153"/>
      <c r="BF140" s="153"/>
      <c r="BG140" s="153"/>
      <c r="BH140" s="153"/>
      <c r="BI140" s="153"/>
      <c r="BJ140" s="153"/>
      <c r="BK140" s="153"/>
      <c r="BL140" s="153"/>
      <c r="BM140" s="153"/>
      <c r="BN140" s="153"/>
      <c r="BO140" s="153"/>
      <c r="BP140" s="153"/>
      <c r="BQ140" s="153"/>
      <c r="BR140" s="153"/>
      <c r="BS140" s="153"/>
      <c r="BT140" s="153"/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8"/>
      <c r="CJ140" s="153"/>
      <c r="CK140" s="153"/>
      <c r="CL140" s="153"/>
      <c r="CM140" s="153"/>
      <c r="CN140" s="158"/>
      <c r="CO140" s="153"/>
      <c r="CP140" s="153"/>
      <c r="CQ140" s="153"/>
    </row>
    <row r="141" spans="2:95" ht="14.9" customHeight="1" x14ac:dyDescent="0.3">
      <c r="B141" s="146" t="str">
        <f>Table1[[#Headers],[Simulação]]</f>
        <v>Simulação</v>
      </c>
      <c r="C141" s="144" t="str">
        <f t="shared" si="113"/>
        <v>PROTECTION_IFRS9_BHVRL_MTRTY</v>
      </c>
      <c r="D141" s="143" t="s">
        <v>1114</v>
      </c>
      <c r="E141" s="143" t="s">
        <v>614</v>
      </c>
      <c r="G141" s="160">
        <v>1</v>
      </c>
      <c r="H141" s="179">
        <f t="shared" si="114"/>
        <v>0.2</v>
      </c>
      <c r="I141" s="181">
        <f t="shared" si="115"/>
        <v>0</v>
      </c>
      <c r="J141" s="158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/>
      <c r="AQ141" s="153"/>
      <c r="AR141" s="153"/>
      <c r="AS141" s="153"/>
      <c r="AT141" s="153"/>
      <c r="AU141" s="153"/>
      <c r="AV141" s="153"/>
      <c r="AW141" s="153">
        <v>0.2</v>
      </c>
      <c r="AX141" s="153"/>
      <c r="AY141" s="153"/>
      <c r="AZ141" s="153"/>
      <c r="BA141" s="153"/>
      <c r="BB141" s="158"/>
      <c r="BC141" s="153"/>
      <c r="BD141" s="153"/>
      <c r="BE141" s="153"/>
      <c r="BF141" s="153"/>
      <c r="BG141" s="153"/>
      <c r="BH141" s="153"/>
      <c r="BI141" s="153"/>
      <c r="BJ141" s="153"/>
      <c r="BK141" s="153"/>
      <c r="BL141" s="153"/>
      <c r="BM141" s="153"/>
      <c r="BN141" s="153"/>
      <c r="BO141" s="153"/>
      <c r="BP141" s="153"/>
      <c r="BQ141" s="153"/>
      <c r="BR141" s="153"/>
      <c r="BS141" s="153"/>
      <c r="BT141" s="153"/>
      <c r="BU141" s="153"/>
      <c r="BV141" s="153"/>
      <c r="BW141" s="153"/>
      <c r="BX141" s="153"/>
      <c r="BY141" s="153"/>
      <c r="BZ141" s="153"/>
      <c r="CA141" s="153"/>
      <c r="CB141" s="153"/>
      <c r="CC141" s="153"/>
      <c r="CD141" s="153"/>
      <c r="CE141" s="153"/>
      <c r="CF141" s="153"/>
      <c r="CG141" s="153"/>
      <c r="CH141" s="153"/>
      <c r="CI141" s="158"/>
      <c r="CJ141" s="153"/>
      <c r="CK141" s="153"/>
      <c r="CL141" s="153"/>
      <c r="CM141" s="153"/>
      <c r="CN141" s="158"/>
      <c r="CO141" s="153"/>
      <c r="CP141" s="153"/>
      <c r="CQ141" s="153"/>
    </row>
    <row r="142" spans="2:95" ht="14.9" customHeight="1" x14ac:dyDescent="0.3">
      <c r="B142" s="146" t="str">
        <f>Table1[[#Headers],[Simulação]]</f>
        <v>Simulação</v>
      </c>
      <c r="C142" s="144" t="str">
        <f t="shared" si="113"/>
        <v>PROTECTION_LTV</v>
      </c>
      <c r="D142" s="143" t="s">
        <v>1114</v>
      </c>
      <c r="E142" s="143" t="s">
        <v>724</v>
      </c>
      <c r="G142" s="160">
        <v>1</v>
      </c>
      <c r="H142" s="179">
        <f t="shared" si="114"/>
        <v>0.2</v>
      </c>
      <c r="I142" s="181">
        <f t="shared" si="115"/>
        <v>0</v>
      </c>
      <c r="J142" s="158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  <c r="AW142" s="153">
        <v>0.2</v>
      </c>
      <c r="AX142" s="153"/>
      <c r="AY142" s="153"/>
      <c r="AZ142" s="153"/>
      <c r="BA142" s="153"/>
      <c r="BB142" s="158"/>
      <c r="BC142" s="153"/>
      <c r="BD142" s="153"/>
      <c r="BE142" s="153"/>
      <c r="BF142" s="153"/>
      <c r="BG142" s="153"/>
      <c r="BH142" s="153"/>
      <c r="BI142" s="153"/>
      <c r="BJ142" s="153"/>
      <c r="BK142" s="153"/>
      <c r="BL142" s="153"/>
      <c r="BM142" s="153"/>
      <c r="BN142" s="153"/>
      <c r="BO142" s="153"/>
      <c r="BP142" s="153"/>
      <c r="BQ142" s="153"/>
      <c r="BR142" s="153"/>
      <c r="BS142" s="153"/>
      <c r="BT142" s="153"/>
      <c r="BU142" s="153"/>
      <c r="BV142" s="153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8"/>
      <c r="CJ142" s="153"/>
      <c r="CK142" s="153"/>
      <c r="CL142" s="153"/>
      <c r="CM142" s="153"/>
      <c r="CN142" s="158"/>
      <c r="CO142" s="153"/>
      <c r="CP142" s="153"/>
      <c r="CQ142" s="153"/>
    </row>
    <row r="143" spans="2:95" ht="14.9" customHeight="1" x14ac:dyDescent="0.3">
      <c r="B143" s="146" t="str">
        <f>Table1[[#Headers],[Simulação]]</f>
        <v>Simulação</v>
      </c>
      <c r="C143" s="144" t="str">
        <f t="shared" si="113"/>
        <v>PROTECTION_LTV_INCPTN</v>
      </c>
      <c r="D143" s="143" t="s">
        <v>1114</v>
      </c>
      <c r="E143" s="143" t="s">
        <v>727</v>
      </c>
      <c r="G143" s="160">
        <v>1</v>
      </c>
      <c r="H143" s="179">
        <f t="shared" si="114"/>
        <v>0.2</v>
      </c>
      <c r="I143" s="181">
        <f t="shared" si="115"/>
        <v>0</v>
      </c>
      <c r="J143" s="158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  <c r="AW143" s="153">
        <v>0.2</v>
      </c>
      <c r="AX143" s="153"/>
      <c r="AY143" s="153"/>
      <c r="AZ143" s="153"/>
      <c r="BA143" s="153"/>
      <c r="BB143" s="158"/>
      <c r="BC143" s="153"/>
      <c r="BD143" s="153"/>
      <c r="BE143" s="153"/>
      <c r="BF143" s="153"/>
      <c r="BG143" s="153"/>
      <c r="BH143" s="153"/>
      <c r="BI143" s="153"/>
      <c r="BJ143" s="153"/>
      <c r="BK143" s="153"/>
      <c r="BL143" s="153"/>
      <c r="BM143" s="153"/>
      <c r="BN143" s="153"/>
      <c r="BO143" s="153"/>
      <c r="BP143" s="153"/>
      <c r="BQ143" s="153"/>
      <c r="BR143" s="153"/>
      <c r="BS143" s="153"/>
      <c r="BT143" s="153"/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8"/>
      <c r="CJ143" s="153"/>
      <c r="CK143" s="153"/>
      <c r="CL143" s="153"/>
      <c r="CM143" s="153"/>
      <c r="CN143" s="158"/>
      <c r="CO143" s="153"/>
      <c r="CP143" s="153"/>
      <c r="CQ143" s="153"/>
    </row>
    <row r="144" spans="2:95" ht="14.9" customHeight="1" x14ac:dyDescent="0.3">
      <c r="B144" s="146" t="str">
        <f>Table1[[#Headers],[Simulação]]</f>
        <v>Simulação</v>
      </c>
      <c r="C144" s="144" t="str">
        <f t="shared" si="113"/>
        <v>PROTECTION_ANNLSD_AGRD_RT</v>
      </c>
      <c r="D144" s="143" t="s">
        <v>1114</v>
      </c>
      <c r="E144" s="143" t="s">
        <v>757</v>
      </c>
      <c r="G144" s="160">
        <v>1</v>
      </c>
      <c r="H144" s="179">
        <f t="shared" si="114"/>
        <v>0.2</v>
      </c>
      <c r="I144" s="181">
        <f t="shared" si="115"/>
        <v>0</v>
      </c>
      <c r="J144" s="158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>
        <v>0.2</v>
      </c>
      <c r="AX144" s="153"/>
      <c r="AY144" s="153"/>
      <c r="AZ144" s="153"/>
      <c r="BA144" s="153"/>
      <c r="BB144" s="158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8"/>
      <c r="CJ144" s="153"/>
      <c r="CK144" s="153"/>
      <c r="CL144" s="153"/>
      <c r="CM144" s="153"/>
      <c r="CN144" s="158"/>
      <c r="CO144" s="153"/>
      <c r="CP144" s="153"/>
      <c r="CQ144" s="153"/>
    </row>
    <row r="145" spans="2:95" ht="14.9" customHeight="1" x14ac:dyDescent="0.3">
      <c r="B145" s="146" t="str">
        <f>Table1[[#Headers],[Simulação]]</f>
        <v>Simulação</v>
      </c>
      <c r="C145" s="144" t="str">
        <f t="shared" si="113"/>
        <v>PROTECTION_EIR_INCPTN</v>
      </c>
      <c r="D145" s="143" t="s">
        <v>1114</v>
      </c>
      <c r="E145" s="143" t="s">
        <v>763</v>
      </c>
      <c r="G145" s="160">
        <v>1</v>
      </c>
      <c r="H145" s="179">
        <f t="shared" si="114"/>
        <v>0.2</v>
      </c>
      <c r="I145" s="181">
        <f t="shared" si="115"/>
        <v>0</v>
      </c>
      <c r="J145" s="158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  <c r="AW145" s="153">
        <v>0.2</v>
      </c>
      <c r="AX145" s="153"/>
      <c r="AY145" s="153"/>
      <c r="AZ145" s="153"/>
      <c r="BA145" s="153"/>
      <c r="BB145" s="158"/>
      <c r="BC145" s="153"/>
      <c r="BD145" s="153"/>
      <c r="BE145" s="153"/>
      <c r="BF145" s="153"/>
      <c r="BG145" s="153"/>
      <c r="BH145" s="153"/>
      <c r="BI145" s="153"/>
      <c r="BJ145" s="153"/>
      <c r="BK145" s="153"/>
      <c r="BL145" s="153"/>
      <c r="BM145" s="153"/>
      <c r="BN145" s="153"/>
      <c r="BO145" s="153"/>
      <c r="BP145" s="153"/>
      <c r="BQ145" s="153"/>
      <c r="BR145" s="153"/>
      <c r="BS145" s="153"/>
      <c r="BT145" s="153"/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8"/>
      <c r="CJ145" s="153"/>
      <c r="CK145" s="153"/>
      <c r="CL145" s="153"/>
      <c r="CM145" s="153"/>
      <c r="CN145" s="158"/>
      <c r="CO145" s="153"/>
      <c r="CP145" s="153"/>
      <c r="CQ145" s="153"/>
    </row>
    <row r="146" spans="2:95" ht="14.9" customHeight="1" x14ac:dyDescent="0.3">
      <c r="B146" s="146" t="str">
        <f>Table1[[#Headers],[Simulação]]</f>
        <v>Simulação</v>
      </c>
      <c r="C146" s="144" t="str">
        <f t="shared" si="113"/>
        <v>PROTECTION_NW_BSNSS</v>
      </c>
      <c r="D146" s="143" t="s">
        <v>1114</v>
      </c>
      <c r="E146" s="143" t="s">
        <v>973</v>
      </c>
      <c r="G146" s="160">
        <v>6</v>
      </c>
      <c r="H146" s="179">
        <f t="shared" si="114"/>
        <v>0.79999999999999993</v>
      </c>
      <c r="I146" s="181">
        <f t="shared" si="115"/>
        <v>0</v>
      </c>
      <c r="J146" s="158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>
        <v>0.1</v>
      </c>
      <c r="AX146" s="153">
        <v>0.7</v>
      </c>
      <c r="AY146" s="153"/>
      <c r="AZ146" s="153"/>
      <c r="BA146" s="153"/>
      <c r="BB146" s="158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3"/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8"/>
      <c r="CJ146" s="153"/>
      <c r="CK146" s="153"/>
      <c r="CL146" s="153"/>
      <c r="CM146" s="153"/>
      <c r="CN146" s="158"/>
      <c r="CO146" s="153"/>
      <c r="CP146" s="153"/>
      <c r="CQ146" s="153"/>
    </row>
    <row r="147" spans="2:95" ht="14.9" customHeight="1" x14ac:dyDescent="0.3">
      <c r="B147" s="146" t="str">
        <f>Table1[[#Headers],[Simulação]]</f>
        <v>Simulação</v>
      </c>
      <c r="C147" s="144" t="str">
        <f t="shared" si="113"/>
        <v>PROTECTION_YR_CNSTRCTN</v>
      </c>
      <c r="D147" s="143" t="s">
        <v>1114</v>
      </c>
      <c r="E147" s="143" t="s">
        <v>1290</v>
      </c>
      <c r="G147" s="160" t="e">
        <f>INDEX(Table1[[Especificação]:[Total Testes]],MATCH(PlanoV1.0!C147,Table1[CONCAT],0),MATCH(PlanoV1.0!B147,Table1[[#Headers],[Especificação]:[Total Testes]],0))</f>
        <v>#N/A</v>
      </c>
      <c r="H147" s="179" t="e">
        <f t="shared" si="114"/>
        <v>#N/A</v>
      </c>
      <c r="I147" s="181" t="e">
        <f t="shared" si="115"/>
        <v>#N/A</v>
      </c>
      <c r="J147" s="158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>
        <v>0.2</v>
      </c>
      <c r="AY147" s="153"/>
      <c r="AZ147" s="153"/>
      <c r="BA147" s="153"/>
      <c r="BB147" s="158"/>
      <c r="BC147" s="153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3"/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8"/>
      <c r="CJ147" s="153"/>
      <c r="CK147" s="153"/>
      <c r="CL147" s="153"/>
      <c r="CM147" s="153"/>
      <c r="CN147" s="158"/>
      <c r="CO147" s="153"/>
      <c r="CP147" s="153"/>
      <c r="CQ147" s="153"/>
    </row>
    <row r="148" spans="2:95" ht="14.9" customHeight="1" x14ac:dyDescent="0.3">
      <c r="B148" s="146" t="str">
        <f>Table1[[#Headers],[Simulação]]</f>
        <v>Simulação</v>
      </c>
      <c r="C148" s="144" t="str">
        <f t="shared" si="113"/>
        <v>PROTECTION_INTRNL_SGMNT</v>
      </c>
      <c r="D148" s="143" t="s">
        <v>1114</v>
      </c>
      <c r="E148" s="143" t="s">
        <v>50</v>
      </c>
      <c r="G148" s="160">
        <v>1.5</v>
      </c>
      <c r="H148" s="179">
        <f t="shared" si="114"/>
        <v>0.2</v>
      </c>
      <c r="I148" s="181">
        <f t="shared" si="115"/>
        <v>0</v>
      </c>
      <c r="J148" s="158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  <c r="AW148" s="153"/>
      <c r="AX148" s="153">
        <v>0.2</v>
      </c>
      <c r="AY148" s="153"/>
      <c r="AZ148" s="153"/>
      <c r="BA148" s="153"/>
      <c r="BB148" s="158"/>
      <c r="BC148" s="153"/>
      <c r="BD148" s="153"/>
      <c r="BE148" s="153"/>
      <c r="BF148" s="153"/>
      <c r="BG148" s="153"/>
      <c r="BH148" s="153"/>
      <c r="BI148" s="153"/>
      <c r="BJ148" s="153"/>
      <c r="BK148" s="153"/>
      <c r="BL148" s="153"/>
      <c r="BM148" s="153"/>
      <c r="BN148" s="153"/>
      <c r="BO148" s="153"/>
      <c r="BP148" s="153"/>
      <c r="BQ148" s="153"/>
      <c r="BR148" s="153"/>
      <c r="BS148" s="153"/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8"/>
      <c r="CJ148" s="153"/>
      <c r="CK148" s="153"/>
      <c r="CL148" s="153"/>
      <c r="CM148" s="153"/>
      <c r="CN148" s="158"/>
      <c r="CO148" s="153"/>
      <c r="CP148" s="153"/>
      <c r="CQ148" s="153"/>
    </row>
    <row r="149" spans="2:95" ht="14.9" customHeight="1" x14ac:dyDescent="0.3">
      <c r="B149" s="146" t="str">
        <f>Table1[[#Headers],[Simulação]]</f>
        <v>Simulação</v>
      </c>
      <c r="C149" s="144" t="str">
        <f t="shared" si="113"/>
        <v>PROTECTION_EAD</v>
      </c>
      <c r="D149" s="143" t="s">
        <v>1114</v>
      </c>
      <c r="E149" s="143" t="s">
        <v>617</v>
      </c>
      <c r="G149" s="160">
        <v>1.5</v>
      </c>
      <c r="H149" s="179">
        <f t="shared" si="114"/>
        <v>0.2</v>
      </c>
      <c r="I149" s="181">
        <f t="shared" si="115"/>
        <v>0</v>
      </c>
      <c r="J149" s="158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  <c r="AW149" s="153"/>
      <c r="AX149" s="153">
        <v>0.2</v>
      </c>
      <c r="AY149" s="153"/>
      <c r="AZ149" s="153"/>
      <c r="BA149" s="153"/>
      <c r="BB149" s="158"/>
      <c r="BC149" s="153"/>
      <c r="BD149" s="153"/>
      <c r="BE149" s="153"/>
      <c r="BF149" s="153"/>
      <c r="BG149" s="153"/>
      <c r="BH149" s="153"/>
      <c r="BI149" s="153"/>
      <c r="BJ149" s="153"/>
      <c r="BK149" s="153"/>
      <c r="BL149" s="153"/>
      <c r="BM149" s="153"/>
      <c r="BN149" s="153"/>
      <c r="BO149" s="153"/>
      <c r="BP149" s="153"/>
      <c r="BQ149" s="153"/>
      <c r="BR149" s="153"/>
      <c r="BS149" s="153"/>
      <c r="BT149" s="153"/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8"/>
      <c r="CJ149" s="153"/>
      <c r="CK149" s="153"/>
      <c r="CL149" s="153"/>
      <c r="CM149" s="153"/>
      <c r="CN149" s="158"/>
      <c r="CO149" s="153"/>
      <c r="CP149" s="153"/>
      <c r="CQ149" s="153"/>
    </row>
    <row r="150" spans="2:95" ht="14.9" customHeight="1" x14ac:dyDescent="0.3">
      <c r="B150" s="146" t="str">
        <f>Table1[[#Headers],[Simulação]]</f>
        <v>Simulação</v>
      </c>
      <c r="C150" s="144" t="str">
        <f t="shared" si="113"/>
        <v>PROTECTION_OFF_BLNC_SHT_AMNT_INSTRMNT</v>
      </c>
      <c r="D150" s="143" t="s">
        <v>1114</v>
      </c>
      <c r="E150" s="143" t="s">
        <v>629</v>
      </c>
      <c r="G150" s="160">
        <v>1.5</v>
      </c>
      <c r="H150" s="179">
        <f t="shared" si="114"/>
        <v>0.2</v>
      </c>
      <c r="I150" s="181">
        <f t="shared" si="115"/>
        <v>0</v>
      </c>
      <c r="J150" s="158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>
        <v>0.2</v>
      </c>
      <c r="AY150" s="153"/>
      <c r="AZ150" s="153"/>
      <c r="BA150" s="153"/>
      <c r="BB150" s="158"/>
      <c r="BC150" s="153"/>
      <c r="BD150" s="153"/>
      <c r="BE150" s="153"/>
      <c r="BF150" s="153"/>
      <c r="BG150" s="153"/>
      <c r="BH150" s="153"/>
      <c r="BI150" s="153"/>
      <c r="BJ150" s="153"/>
      <c r="BK150" s="153"/>
      <c r="BL150" s="153"/>
      <c r="BM150" s="153"/>
      <c r="BN150" s="153"/>
      <c r="BO150" s="153"/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8"/>
      <c r="CJ150" s="153"/>
      <c r="CK150" s="153"/>
      <c r="CL150" s="153"/>
      <c r="CM150" s="153"/>
      <c r="CN150" s="158"/>
      <c r="CO150" s="153"/>
      <c r="CP150" s="153"/>
      <c r="CQ150" s="153"/>
    </row>
    <row r="151" spans="2:95" ht="14.9" customHeight="1" x14ac:dyDescent="0.3">
      <c r="B151" s="146" t="str">
        <f>Table1[[#Headers],[Simulação]]</f>
        <v>Simulação</v>
      </c>
      <c r="C151" s="144" t="str">
        <f t="shared" si="113"/>
        <v>PROTECTION_INTRNL_SGMNT_CAT_MSTA</v>
      </c>
      <c r="D151" s="143" t="s">
        <v>1114</v>
      </c>
      <c r="E151" s="143" t="s">
        <v>943</v>
      </c>
      <c r="G151" s="160">
        <v>1.5</v>
      </c>
      <c r="H151" s="179">
        <f t="shared" si="114"/>
        <v>0.2</v>
      </c>
      <c r="I151" s="181">
        <f t="shared" si="115"/>
        <v>0</v>
      </c>
      <c r="J151" s="158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>
        <v>0.2</v>
      </c>
      <c r="AY151" s="153"/>
      <c r="AZ151" s="153"/>
      <c r="BA151" s="153"/>
      <c r="BB151" s="158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8"/>
      <c r="CJ151" s="153"/>
      <c r="CK151" s="153"/>
      <c r="CL151" s="153"/>
      <c r="CM151" s="153"/>
      <c r="CN151" s="158"/>
      <c r="CO151" s="153"/>
      <c r="CP151" s="153"/>
      <c r="CQ151" s="153"/>
    </row>
    <row r="152" spans="2:95" ht="14.9" customHeight="1" x14ac:dyDescent="0.3">
      <c r="B152" s="146" t="str">
        <f>Table1[[#Headers],[Simulação]]</f>
        <v>Simulação</v>
      </c>
      <c r="C152" s="144" t="str">
        <f t="shared" si="113"/>
        <v>PROTECTION_INTRNL_SGMNT_CATGSUB</v>
      </c>
      <c r="D152" s="143" t="s">
        <v>1114</v>
      </c>
      <c r="E152" s="143" t="s">
        <v>946</v>
      </c>
      <c r="G152" s="160">
        <v>1.5</v>
      </c>
      <c r="H152" s="179">
        <f t="shared" si="114"/>
        <v>0.2</v>
      </c>
      <c r="I152" s="181">
        <f t="shared" si="115"/>
        <v>0</v>
      </c>
      <c r="J152" s="158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  <c r="AW152" s="153"/>
      <c r="AX152" s="153">
        <v>0.2</v>
      </c>
      <c r="AY152" s="153"/>
      <c r="AZ152" s="153"/>
      <c r="BA152" s="153"/>
      <c r="BB152" s="158"/>
      <c r="BC152" s="153"/>
      <c r="BD152" s="153"/>
      <c r="BE152" s="153"/>
      <c r="BF152" s="153"/>
      <c r="BG152" s="153"/>
      <c r="BH152" s="153"/>
      <c r="BI152" s="153"/>
      <c r="BJ152" s="153"/>
      <c r="BK152" s="153"/>
      <c r="BL152" s="153"/>
      <c r="BM152" s="153"/>
      <c r="BN152" s="153"/>
      <c r="BO152" s="153"/>
      <c r="BP152" s="153"/>
      <c r="BQ152" s="153"/>
      <c r="BR152" s="153"/>
      <c r="BS152" s="153"/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8"/>
      <c r="CJ152" s="153"/>
      <c r="CK152" s="153"/>
      <c r="CL152" s="153"/>
      <c r="CM152" s="153"/>
      <c r="CN152" s="158"/>
      <c r="CO152" s="153"/>
      <c r="CP152" s="153"/>
      <c r="CQ152" s="153"/>
    </row>
    <row r="153" spans="2:95" ht="14.9" customHeight="1" x14ac:dyDescent="0.3">
      <c r="B153" s="146" t="str">
        <f>Table1[[#Headers],[Simulação]]</f>
        <v>Simulação</v>
      </c>
      <c r="C153" s="144" t="str">
        <f t="shared" si="113"/>
        <v>PROTECTION_RL_ESTT_ADDRSS</v>
      </c>
      <c r="D153" s="143" t="s">
        <v>1114</v>
      </c>
      <c r="E153" s="143" t="s">
        <v>1127</v>
      </c>
      <c r="G153" s="160" t="e">
        <f>INDEX(Table1[[Especificação]:[Total Testes]],MATCH(PlanoV1.0!C153,Table1[CONCAT],0),MATCH(PlanoV1.0!B153,Table1[[#Headers],[Especificação]:[Total Testes]],0))</f>
        <v>#N/A</v>
      </c>
      <c r="H153" s="179" t="e">
        <f t="shared" si="114"/>
        <v>#N/A</v>
      </c>
      <c r="I153" s="181" t="e">
        <f t="shared" si="115"/>
        <v>#N/A</v>
      </c>
      <c r="J153" s="158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>
        <v>0.1</v>
      </c>
      <c r="AY153" s="153">
        <v>0.1</v>
      </c>
      <c r="AZ153" s="153"/>
      <c r="BA153" s="153"/>
      <c r="BB153" s="158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3"/>
      <c r="BP153" s="153"/>
      <c r="BQ153" s="153"/>
      <c r="BR153" s="153"/>
      <c r="BS153" s="153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8"/>
      <c r="CJ153" s="153"/>
      <c r="CK153" s="153"/>
      <c r="CL153" s="153"/>
      <c r="CM153" s="153"/>
      <c r="CN153" s="158"/>
      <c r="CO153" s="153"/>
      <c r="CP153" s="153"/>
      <c r="CQ153" s="153"/>
    </row>
    <row r="154" spans="2:95" ht="14.9" customHeight="1" x14ac:dyDescent="0.3">
      <c r="B154" s="146" t="str">
        <f>Table1[[#Headers],[Simulação]]</f>
        <v>Simulação</v>
      </c>
      <c r="C154" s="144" t="str">
        <f t="shared" si="113"/>
        <v>PROTECTION_RL_ESTT_CLLTRL_LCTN_INT</v>
      </c>
      <c r="D154" s="143" t="s">
        <v>1114</v>
      </c>
      <c r="E154" s="143" t="s">
        <v>1133</v>
      </c>
      <c r="G154" s="160" t="e">
        <f>INDEX(Table1[[Especificação]:[Total Testes]],MATCH(PlanoV1.0!C154,Table1[CONCAT],0),MATCH(PlanoV1.0!B154,Table1[[#Headers],[Especificação]:[Total Testes]],0))</f>
        <v>#N/A</v>
      </c>
      <c r="H154" s="179" t="e">
        <f t="shared" si="114"/>
        <v>#N/A</v>
      </c>
      <c r="I154" s="181" t="e">
        <f t="shared" si="115"/>
        <v>#N/A</v>
      </c>
      <c r="J154" s="158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3"/>
      <c r="AS154" s="153"/>
      <c r="AT154" s="153"/>
      <c r="AU154" s="153"/>
      <c r="AV154" s="153"/>
      <c r="AW154" s="153"/>
      <c r="AX154" s="153"/>
      <c r="AY154" s="153">
        <v>0.2</v>
      </c>
      <c r="AZ154" s="153"/>
      <c r="BA154" s="153"/>
      <c r="BB154" s="158"/>
      <c r="BC154" s="153"/>
      <c r="BD154" s="153"/>
      <c r="BE154" s="153"/>
      <c r="BF154" s="153"/>
      <c r="BG154" s="153"/>
      <c r="BH154" s="153"/>
      <c r="BI154" s="153"/>
      <c r="BJ154" s="153"/>
      <c r="BK154" s="153"/>
      <c r="BL154" s="153"/>
      <c r="BM154" s="153"/>
      <c r="BN154" s="153"/>
      <c r="BO154" s="153"/>
      <c r="BP154" s="153"/>
      <c r="BQ154" s="153"/>
      <c r="BR154" s="153"/>
      <c r="BS154" s="153"/>
      <c r="BT154" s="153"/>
      <c r="BU154" s="153"/>
      <c r="BV154" s="153"/>
      <c r="BW154" s="153"/>
      <c r="BX154" s="153"/>
      <c r="BY154" s="153"/>
      <c r="BZ154" s="153"/>
      <c r="CA154" s="153"/>
      <c r="CB154" s="153"/>
      <c r="CC154" s="153"/>
      <c r="CD154" s="153"/>
      <c r="CE154" s="153"/>
      <c r="CF154" s="153"/>
      <c r="CG154" s="153"/>
      <c r="CH154" s="153"/>
      <c r="CI154" s="158"/>
      <c r="CJ154" s="153"/>
      <c r="CK154" s="153"/>
      <c r="CL154" s="153"/>
      <c r="CM154" s="153"/>
      <c r="CN154" s="158"/>
      <c r="CO154" s="153"/>
      <c r="CP154" s="153"/>
      <c r="CQ154" s="153"/>
    </row>
    <row r="155" spans="2:95" ht="14.9" customHeight="1" x14ac:dyDescent="0.3">
      <c r="B155" s="146" t="str">
        <f>Table1[[#Headers],[Simulação]]</f>
        <v>Simulação</v>
      </c>
      <c r="C155" s="144" t="str">
        <f t="shared" si="113"/>
        <v>PROTECTION_RL_ESTT_CTY</v>
      </c>
      <c r="D155" s="143" t="s">
        <v>1114</v>
      </c>
      <c r="E155" s="143" t="s">
        <v>1136</v>
      </c>
      <c r="G155" s="160" t="e">
        <f>INDEX(Table1[[Especificação]:[Total Testes]],MATCH(PlanoV1.0!C155,Table1[CONCAT],0),MATCH(PlanoV1.0!B155,Table1[[#Headers],[Especificação]:[Total Testes]],0))</f>
        <v>#N/A</v>
      </c>
      <c r="H155" s="179" t="e">
        <f t="shared" si="114"/>
        <v>#N/A</v>
      </c>
      <c r="I155" s="181" t="e">
        <f t="shared" si="115"/>
        <v>#N/A</v>
      </c>
      <c r="J155" s="158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>
        <v>0.2</v>
      </c>
      <c r="AZ155" s="153"/>
      <c r="BA155" s="153"/>
      <c r="BB155" s="158"/>
      <c r="BC155" s="153"/>
      <c r="BD155" s="153"/>
      <c r="BE155" s="153"/>
      <c r="BF155" s="153"/>
      <c r="BG155" s="153"/>
      <c r="BH155" s="153"/>
      <c r="BI155" s="153"/>
      <c r="BJ155" s="153"/>
      <c r="BK155" s="153"/>
      <c r="BL155" s="153"/>
      <c r="BM155" s="153"/>
      <c r="BN155" s="153"/>
      <c r="BO155" s="153"/>
      <c r="BP155" s="153"/>
      <c r="BQ155" s="153"/>
      <c r="BR155" s="153"/>
      <c r="BS155" s="153"/>
      <c r="BT155" s="153"/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8"/>
      <c r="CJ155" s="153"/>
      <c r="CK155" s="153"/>
      <c r="CL155" s="153"/>
      <c r="CM155" s="153"/>
      <c r="CN155" s="158"/>
      <c r="CO155" s="153"/>
      <c r="CP155" s="153"/>
      <c r="CQ155" s="153"/>
    </row>
    <row r="156" spans="2:95" ht="14" x14ac:dyDescent="0.3">
      <c r="B156" s="146"/>
      <c r="C156" s="195" t="s">
        <v>1612</v>
      </c>
      <c r="D156" s="166"/>
      <c r="E156" s="167"/>
      <c r="F156" s="193">
        <f>COUNTA(E157:E224)</f>
        <v>68</v>
      </c>
      <c r="G156" s="193" t="e">
        <f>SUM(G157:G206)</f>
        <v>#N/A</v>
      </c>
      <c r="H156" s="196" t="e">
        <f>ROUND(SUM(H157:H206),0)</f>
        <v>#N/A</v>
      </c>
      <c r="I156" s="198"/>
      <c r="J156" s="158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/>
      <c r="AY156" s="182"/>
      <c r="AZ156" s="182"/>
      <c r="BA156" s="182"/>
      <c r="BB156" s="158"/>
      <c r="BC156" s="182"/>
      <c r="BD156" s="182"/>
      <c r="BE156" s="182"/>
      <c r="BF156" s="182"/>
      <c r="BG156" s="182"/>
      <c r="BH156" s="182"/>
      <c r="BI156" s="182"/>
      <c r="BJ156" s="182"/>
      <c r="BK156" s="182"/>
      <c r="BL156" s="182"/>
      <c r="BM156" s="182"/>
      <c r="BN156" s="182"/>
      <c r="BO156" s="182"/>
      <c r="BP156" s="182"/>
      <c r="BQ156" s="182"/>
      <c r="BR156" s="182"/>
      <c r="BS156" s="182"/>
      <c r="BT156" s="182"/>
      <c r="BU156" s="182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8"/>
      <c r="CJ156" s="153"/>
      <c r="CK156" s="153"/>
      <c r="CL156" s="153"/>
      <c r="CM156" s="153"/>
      <c r="CN156" s="158"/>
      <c r="CO156" s="153"/>
      <c r="CP156" s="153"/>
      <c r="CQ156" s="153"/>
    </row>
    <row r="157" spans="2:95" ht="14" x14ac:dyDescent="0.3">
      <c r="B157" s="146" t="str">
        <f>Table1[[#Headers],[Total Testes]]</f>
        <v>Total Testes</v>
      </c>
      <c r="C157" s="144" t="str">
        <f t="shared" ref="C157" si="116">D157&amp;"_"&amp;E157</f>
        <v>ENTITY_TXNMY_ELGBL_CAPEX_W</v>
      </c>
      <c r="D157" s="143" t="s">
        <v>10</v>
      </c>
      <c r="E157" s="143" t="s">
        <v>1397</v>
      </c>
      <c r="G157" s="160" t="e">
        <f>INDEX(Table1[[Especificação]:[Total Testes]],MATCH(PlanoV1.0!C157,Table1[CONCAT],0),MATCH(PlanoV1.0!B157,Table1[[#Headers],[Especificação]:[Total Testes]],0))</f>
        <v>#N/A</v>
      </c>
      <c r="H157" s="179" t="e">
        <f t="shared" si="111"/>
        <v>#N/A</v>
      </c>
      <c r="I157" s="181" t="e">
        <f t="shared" si="112"/>
        <v>#N/A</v>
      </c>
      <c r="J157" s="158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  <c r="AV157" s="153"/>
      <c r="AW157" s="153"/>
      <c r="AX157" s="153"/>
      <c r="AY157" s="153">
        <v>1</v>
      </c>
      <c r="AZ157" s="153"/>
      <c r="BA157" s="153"/>
      <c r="BB157" s="158"/>
      <c r="BC157" s="153"/>
      <c r="BD157" s="153"/>
      <c r="BE157" s="153"/>
      <c r="BF157" s="153"/>
      <c r="BG157" s="153"/>
      <c r="BH157" s="153"/>
      <c r="BI157" s="153"/>
      <c r="BJ157" s="153"/>
      <c r="BK157" s="153"/>
      <c r="BL157" s="153"/>
      <c r="BM157" s="153"/>
      <c r="BN157" s="153"/>
      <c r="BO157" s="153"/>
      <c r="BP157" s="153"/>
      <c r="BQ157" s="153"/>
      <c r="BR157" s="153"/>
      <c r="BS157" s="153"/>
      <c r="BT157" s="153"/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8"/>
      <c r="CJ157" s="153"/>
      <c r="CK157" s="153"/>
      <c r="CL157" s="153"/>
      <c r="CM157" s="153"/>
      <c r="CN157" s="158"/>
      <c r="CO157" s="153"/>
      <c r="CP157" s="153"/>
      <c r="CQ157" s="153"/>
    </row>
    <row r="158" spans="2:95" ht="14" x14ac:dyDescent="0.3">
      <c r="B158" s="146" t="str">
        <f>Table1[[#Headers],[Total Testes]]</f>
        <v>Total Testes</v>
      </c>
      <c r="C158" s="144" t="str">
        <f t="shared" ref="C158:C206" si="117">D158&amp;"_"&amp;E158</f>
        <v>ENTITY_TXNMY_ELGBL_TRNVR_W</v>
      </c>
      <c r="D158" s="143" t="s">
        <v>10</v>
      </c>
      <c r="E158" s="143" t="s">
        <v>1399</v>
      </c>
      <c r="G158" s="160" t="e">
        <f>INDEX(Table1[[Especificação]:[Total Testes]],MATCH(PlanoV1.0!C158,Table1[CONCAT],0),MATCH(PlanoV1.0!B158,Table1[[#Headers],[Especificação]:[Total Testes]],0))</f>
        <v>#N/A</v>
      </c>
      <c r="H158" s="179" t="e">
        <f t="shared" si="111"/>
        <v>#N/A</v>
      </c>
      <c r="I158" s="181" t="e">
        <f t="shared" si="112"/>
        <v>#N/A</v>
      </c>
      <c r="J158" s="158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  <c r="AW158" s="153"/>
      <c r="AX158" s="153"/>
      <c r="AY158" s="153">
        <v>0.5</v>
      </c>
      <c r="AZ158" s="153">
        <v>0.1</v>
      </c>
      <c r="BA158" s="153"/>
      <c r="BB158" s="158"/>
      <c r="BC158" s="153"/>
      <c r="BD158" s="153"/>
      <c r="BE158" s="153"/>
      <c r="BF158" s="153"/>
      <c r="BG158" s="153"/>
      <c r="BH158" s="153"/>
      <c r="BI158" s="153"/>
      <c r="BJ158" s="153"/>
      <c r="BK158" s="153"/>
      <c r="BL158" s="153"/>
      <c r="BM158" s="153"/>
      <c r="BN158" s="153"/>
      <c r="BO158" s="153"/>
      <c r="BP158" s="153"/>
      <c r="BQ158" s="153"/>
      <c r="BR158" s="153"/>
      <c r="BS158" s="153"/>
      <c r="BT158" s="153"/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8"/>
      <c r="CJ158" s="153"/>
      <c r="CK158" s="153"/>
      <c r="CL158" s="153"/>
      <c r="CM158" s="153"/>
      <c r="CN158" s="158"/>
      <c r="CO158" s="153"/>
      <c r="CP158" s="153"/>
      <c r="CQ158" s="153"/>
    </row>
    <row r="159" spans="2:95" ht="14" x14ac:dyDescent="0.3">
      <c r="B159" s="146" t="str">
        <f>Table1[[#Headers],[Total Testes]]</f>
        <v>Total Testes</v>
      </c>
      <c r="C159" s="144" t="str">
        <f t="shared" si="117"/>
        <v>ENTITY_TXNMY_ELGBL_CAPEX_P</v>
      </c>
      <c r="D159" s="143" t="s">
        <v>10</v>
      </c>
      <c r="E159" s="143" t="s">
        <v>1401</v>
      </c>
      <c r="G159" s="160" t="e">
        <f>INDEX(Table1[[Especificação]:[Total Testes]],MATCH(PlanoV1.0!C159,Table1[CONCAT],0),MATCH(PlanoV1.0!B159,Table1[[#Headers],[Especificação]:[Total Testes]],0))</f>
        <v>#N/A</v>
      </c>
      <c r="H159" s="179" t="e">
        <f t="shared" si="111"/>
        <v>#N/A</v>
      </c>
      <c r="I159" s="181" t="e">
        <f t="shared" si="112"/>
        <v>#N/A</v>
      </c>
      <c r="J159" s="158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/>
      <c r="AY159" s="153"/>
      <c r="AZ159" s="153">
        <v>0.4</v>
      </c>
      <c r="BA159" s="153"/>
      <c r="BB159" s="158"/>
      <c r="BC159" s="153"/>
      <c r="BD159" s="153"/>
      <c r="BE159" s="153"/>
      <c r="BF159" s="153"/>
      <c r="BG159" s="153"/>
      <c r="BH159" s="153"/>
      <c r="BI159" s="153"/>
      <c r="BJ159" s="153"/>
      <c r="BK159" s="153"/>
      <c r="BL159" s="153"/>
      <c r="BM159" s="153"/>
      <c r="BN159" s="153"/>
      <c r="BO159" s="153"/>
      <c r="BP159" s="153"/>
      <c r="BQ159" s="153"/>
      <c r="BR159" s="153"/>
      <c r="BS159" s="153"/>
      <c r="BT159" s="153"/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8"/>
      <c r="CJ159" s="153"/>
      <c r="CK159" s="153"/>
      <c r="CL159" s="153"/>
      <c r="CM159" s="153"/>
      <c r="CN159" s="158"/>
      <c r="CO159" s="153"/>
      <c r="CP159" s="153"/>
      <c r="CQ159" s="153"/>
    </row>
    <row r="160" spans="2:95" ht="14" x14ac:dyDescent="0.3">
      <c r="B160" s="146" t="str">
        <f>Table1[[#Headers],[Total Testes]]</f>
        <v>Total Testes</v>
      </c>
      <c r="C160" s="144" t="str">
        <f t="shared" si="117"/>
        <v>ENTITY_TXNMY_ELGBL_TRNVR_P</v>
      </c>
      <c r="D160" s="143" t="s">
        <v>10</v>
      </c>
      <c r="E160" s="143" t="s">
        <v>1403</v>
      </c>
      <c r="G160" s="160" t="e">
        <f>INDEX(Table1[[Especificação]:[Total Testes]],MATCH(PlanoV1.0!C160,Table1[CONCAT],0),MATCH(PlanoV1.0!B160,Table1[[#Headers],[Especificação]:[Total Testes]],0))</f>
        <v>#N/A</v>
      </c>
      <c r="H160" s="179" t="e">
        <f t="shared" si="111"/>
        <v>#N/A</v>
      </c>
      <c r="I160" s="181" t="e">
        <f t="shared" si="112"/>
        <v>#N/A</v>
      </c>
      <c r="J160" s="158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153"/>
      <c r="AX160" s="153"/>
      <c r="AY160" s="153"/>
      <c r="AZ160" s="153">
        <v>0.4</v>
      </c>
      <c r="BA160" s="153"/>
      <c r="BB160" s="158"/>
      <c r="BC160" s="153"/>
      <c r="BD160" s="153"/>
      <c r="BE160" s="153"/>
      <c r="BF160" s="153"/>
      <c r="BG160" s="153"/>
      <c r="BH160" s="153"/>
      <c r="BI160" s="153"/>
      <c r="BJ160" s="153"/>
      <c r="BK160" s="153"/>
      <c r="BL160" s="153"/>
      <c r="BM160" s="153"/>
      <c r="BN160" s="153"/>
      <c r="BO160" s="153"/>
      <c r="BP160" s="153"/>
      <c r="BQ160" s="153"/>
      <c r="BR160" s="153"/>
      <c r="BS160" s="153"/>
      <c r="BT160" s="153"/>
      <c r="BU160" s="153"/>
      <c r="BV160" s="153"/>
      <c r="BW160" s="153"/>
      <c r="BX160" s="153"/>
      <c r="BY160" s="153"/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8"/>
      <c r="CJ160" s="153"/>
      <c r="CK160" s="153"/>
      <c r="CL160" s="153"/>
      <c r="CM160" s="153"/>
      <c r="CN160" s="158"/>
      <c r="CO160" s="153"/>
      <c r="CP160" s="153"/>
      <c r="CQ160" s="153"/>
    </row>
    <row r="161" spans="2:95" ht="14" x14ac:dyDescent="0.3">
      <c r="B161" s="146" t="str">
        <f>Table1[[#Headers],[Total Testes]]</f>
        <v>Total Testes</v>
      </c>
      <c r="C161" s="144" t="str">
        <f t="shared" si="117"/>
        <v>ENTITY_TXNMY_ELGBL_CAPEX_B</v>
      </c>
      <c r="D161" s="143" t="s">
        <v>10</v>
      </c>
      <c r="E161" s="143" t="s">
        <v>1405</v>
      </c>
      <c r="G161" s="160" t="e">
        <f>INDEX(Table1[[Especificação]:[Total Testes]],MATCH(PlanoV1.0!C161,Table1[CONCAT],0),MATCH(PlanoV1.0!B161,Table1[[#Headers],[Especificação]:[Total Testes]],0))</f>
        <v>#N/A</v>
      </c>
      <c r="H161" s="179" t="e">
        <f t="shared" si="111"/>
        <v>#N/A</v>
      </c>
      <c r="I161" s="181" t="e">
        <f t="shared" si="112"/>
        <v>#N/A</v>
      </c>
      <c r="J161" s="158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  <c r="AV161" s="153"/>
      <c r="AW161" s="153"/>
      <c r="AX161" s="153"/>
      <c r="AY161" s="153"/>
      <c r="AZ161" s="153">
        <v>0.4</v>
      </c>
      <c r="BA161" s="153"/>
      <c r="BB161" s="158"/>
      <c r="BC161" s="153"/>
      <c r="BD161" s="153"/>
      <c r="BE161" s="153"/>
      <c r="BF161" s="153"/>
      <c r="BG161" s="153"/>
      <c r="BH161" s="153"/>
      <c r="BI161" s="153"/>
      <c r="BJ161" s="153"/>
      <c r="BK161" s="153"/>
      <c r="BL161" s="153"/>
      <c r="BM161" s="153"/>
      <c r="BN161" s="153"/>
      <c r="BO161" s="153"/>
      <c r="BP161" s="153"/>
      <c r="BQ161" s="153"/>
      <c r="BR161" s="153"/>
      <c r="BS161" s="153"/>
      <c r="BT161" s="153"/>
      <c r="BU161" s="153"/>
      <c r="BV161" s="153"/>
      <c r="BW161" s="153"/>
      <c r="BX161" s="153"/>
      <c r="BY161" s="153"/>
      <c r="BZ161" s="153"/>
      <c r="CA161" s="153"/>
      <c r="CB161" s="153"/>
      <c r="CC161" s="153"/>
      <c r="CD161" s="153"/>
      <c r="CE161" s="153"/>
      <c r="CF161" s="153"/>
      <c r="CG161" s="153"/>
      <c r="CH161" s="153"/>
      <c r="CI161" s="158"/>
      <c r="CJ161" s="153"/>
      <c r="CK161" s="153"/>
      <c r="CL161" s="153"/>
      <c r="CM161" s="153"/>
      <c r="CN161" s="158"/>
      <c r="CO161" s="153"/>
      <c r="CP161" s="153"/>
      <c r="CQ161" s="153"/>
    </row>
    <row r="162" spans="2:95" ht="14" x14ac:dyDescent="0.3">
      <c r="B162" s="146" t="str">
        <f>Table1[[#Headers],[Total Testes]]</f>
        <v>Total Testes</v>
      </c>
      <c r="C162" s="144" t="str">
        <f t="shared" si="117"/>
        <v>ENTITY_TXNMY_ELGBL_TRNVR_B</v>
      </c>
      <c r="D162" s="143" t="s">
        <v>10</v>
      </c>
      <c r="E162" s="143" t="s">
        <v>1407</v>
      </c>
      <c r="G162" s="160" t="e">
        <f>INDEX(Table1[[Especificação]:[Total Testes]],MATCH(PlanoV1.0!C162,Table1[CONCAT],0),MATCH(PlanoV1.0!B162,Table1[[#Headers],[Especificação]:[Total Testes]],0))</f>
        <v>#N/A</v>
      </c>
      <c r="H162" s="179" t="e">
        <f t="shared" si="111"/>
        <v>#N/A</v>
      </c>
      <c r="I162" s="181" t="e">
        <f t="shared" si="112"/>
        <v>#N/A</v>
      </c>
      <c r="J162" s="158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  <c r="AU162" s="153"/>
      <c r="AV162" s="153"/>
      <c r="AW162" s="153"/>
      <c r="AX162" s="153"/>
      <c r="AY162" s="153"/>
      <c r="AZ162" s="153">
        <v>0.4</v>
      </c>
      <c r="BA162" s="153"/>
      <c r="BB162" s="158"/>
      <c r="BC162" s="153"/>
      <c r="BD162" s="153"/>
      <c r="BE162" s="153"/>
      <c r="BF162" s="153"/>
      <c r="BG162" s="153"/>
      <c r="BH162" s="153"/>
      <c r="BI162" s="153"/>
      <c r="BJ162" s="153"/>
      <c r="BK162" s="153"/>
      <c r="BL162" s="153"/>
      <c r="BM162" s="153"/>
      <c r="BN162" s="153"/>
      <c r="BO162" s="153"/>
      <c r="BP162" s="153"/>
      <c r="BQ162" s="153"/>
      <c r="BR162" s="153"/>
      <c r="BS162" s="153"/>
      <c r="BT162" s="153"/>
      <c r="BU162" s="153"/>
      <c r="BV162" s="153"/>
      <c r="BW162" s="153"/>
      <c r="BX162" s="153"/>
      <c r="BY162" s="153"/>
      <c r="BZ162" s="153"/>
      <c r="CA162" s="153"/>
      <c r="CB162" s="153"/>
      <c r="CC162" s="153"/>
      <c r="CD162" s="153"/>
      <c r="CE162" s="153"/>
      <c r="CF162" s="153"/>
      <c r="CG162" s="153"/>
      <c r="CH162" s="153"/>
      <c r="CI162" s="158"/>
      <c r="CJ162" s="153"/>
      <c r="CK162" s="153"/>
      <c r="CL162" s="153"/>
      <c r="CM162" s="153"/>
      <c r="CN162" s="158"/>
      <c r="CO162" s="153"/>
      <c r="CP162" s="153"/>
      <c r="CQ162" s="153"/>
    </row>
    <row r="163" spans="2:95" ht="14" x14ac:dyDescent="0.3">
      <c r="B163" s="146" t="str">
        <f>Table1[[#Headers],[Total Testes]]</f>
        <v>Total Testes</v>
      </c>
      <c r="C163" s="144" t="str">
        <f t="shared" si="117"/>
        <v>ENTITY_TXNMY_ELGBL_CAPEX_CE</v>
      </c>
      <c r="D163" s="143" t="s">
        <v>10</v>
      </c>
      <c r="E163" s="143" t="s">
        <v>1409</v>
      </c>
      <c r="G163" s="160" t="e">
        <f>INDEX(Table1[[Especificação]:[Total Testes]],MATCH(PlanoV1.0!C163,Table1[CONCAT],0),MATCH(PlanoV1.0!B163,Table1[[#Headers],[Especificação]:[Total Testes]],0))</f>
        <v>#N/A</v>
      </c>
      <c r="H163" s="179" t="e">
        <f t="shared" si="111"/>
        <v>#N/A</v>
      </c>
      <c r="I163" s="181" t="e">
        <f t="shared" si="112"/>
        <v>#N/A</v>
      </c>
      <c r="J163" s="158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  <c r="AW163" s="153"/>
      <c r="AX163" s="153"/>
      <c r="AY163" s="153"/>
      <c r="AZ163" s="153">
        <v>0.3</v>
      </c>
      <c r="BA163" s="153">
        <v>0.1</v>
      </c>
      <c r="BB163" s="158"/>
      <c r="BC163" s="153"/>
      <c r="BD163" s="153"/>
      <c r="BE163" s="153"/>
      <c r="BF163" s="153"/>
      <c r="BG163" s="153"/>
      <c r="BH163" s="153"/>
      <c r="BI163" s="153"/>
      <c r="BJ163" s="153"/>
      <c r="BK163" s="153"/>
      <c r="BL163" s="153"/>
      <c r="BM163" s="153"/>
      <c r="BN163" s="153"/>
      <c r="BO163" s="153"/>
      <c r="BP163" s="153"/>
      <c r="BQ163" s="153"/>
      <c r="BR163" s="153"/>
      <c r="BS163" s="153"/>
      <c r="BT163" s="153"/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/>
      <c r="CF163" s="153"/>
      <c r="CG163" s="153"/>
      <c r="CH163" s="153"/>
      <c r="CI163" s="158"/>
      <c r="CJ163" s="153"/>
      <c r="CK163" s="153"/>
      <c r="CL163" s="153"/>
      <c r="CM163" s="153"/>
      <c r="CN163" s="158"/>
      <c r="CO163" s="153"/>
      <c r="CP163" s="153"/>
      <c r="CQ163" s="153"/>
    </row>
    <row r="164" spans="2:95" ht="14" x14ac:dyDescent="0.3">
      <c r="B164" s="146" t="str">
        <f>Table1[[#Headers],[Total Testes]]</f>
        <v>Total Testes</v>
      </c>
      <c r="C164" s="144" t="str">
        <f t="shared" si="117"/>
        <v>ENTITY_TXNMY_ELGBL_TRNVR_CE</v>
      </c>
      <c r="D164" s="143" t="s">
        <v>10</v>
      </c>
      <c r="E164" s="145" t="s">
        <v>1411</v>
      </c>
      <c r="G164" s="160" t="e">
        <f>INDEX(Table1[[Especificação]:[Total Testes]],MATCH(PlanoV1.0!C164,Table1[CONCAT],0),MATCH(PlanoV1.0!B164,Table1[[#Headers],[Especificação]:[Total Testes]],0))</f>
        <v>#N/A</v>
      </c>
      <c r="H164" s="179" t="e">
        <f t="shared" si="111"/>
        <v>#N/A</v>
      </c>
      <c r="I164" s="181" t="e">
        <f t="shared" si="112"/>
        <v>#N/A</v>
      </c>
      <c r="J164" s="158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  <c r="AU164" s="153"/>
      <c r="AV164" s="153"/>
      <c r="AW164" s="153"/>
      <c r="AX164" s="153"/>
      <c r="AY164" s="153"/>
      <c r="AZ164" s="153"/>
      <c r="BA164" s="153">
        <v>0.4</v>
      </c>
      <c r="BB164" s="158"/>
      <c r="BC164" s="153"/>
      <c r="BD164" s="153"/>
      <c r="BE164" s="153"/>
      <c r="BF164" s="153"/>
      <c r="BG164" s="153"/>
      <c r="BH164" s="153"/>
      <c r="BI164" s="153"/>
      <c r="BJ164" s="153"/>
      <c r="BK164" s="153"/>
      <c r="BL164" s="153"/>
      <c r="BM164" s="153"/>
      <c r="BN164" s="153"/>
      <c r="BO164" s="153"/>
      <c r="BP164" s="153"/>
      <c r="BQ164" s="153"/>
      <c r="BR164" s="153"/>
      <c r="BS164" s="153"/>
      <c r="BT164" s="153"/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8"/>
      <c r="CJ164" s="153"/>
      <c r="CK164" s="153"/>
      <c r="CL164" s="153"/>
      <c r="CM164" s="153"/>
      <c r="CN164" s="158"/>
      <c r="CO164" s="153"/>
      <c r="CP164" s="153"/>
      <c r="CQ164" s="153"/>
    </row>
    <row r="165" spans="2:95" ht="14" x14ac:dyDescent="0.3">
      <c r="B165" s="146" t="str">
        <f>Table1[[#Headers],[Total Testes]]</f>
        <v>Total Testes</v>
      </c>
      <c r="C165" s="144" t="str">
        <f t="shared" si="117"/>
        <v>ENTITY_PURE_CAPEX_P</v>
      </c>
      <c r="D165" s="143" t="s">
        <v>10</v>
      </c>
      <c r="E165" s="143" t="s">
        <v>1413</v>
      </c>
      <c r="G165" s="160" t="e">
        <f>INDEX(Table1[[Especificação]:[Total Testes]],MATCH(PlanoV1.0!C165,Table1[CONCAT],0),MATCH(PlanoV1.0!B165,Table1[[#Headers],[Especificação]:[Total Testes]],0))</f>
        <v>#N/A</v>
      </c>
      <c r="H165" s="179" t="e">
        <f t="shared" si="111"/>
        <v>#N/A</v>
      </c>
      <c r="I165" s="181" t="e">
        <f t="shared" si="112"/>
        <v>#N/A</v>
      </c>
      <c r="J165" s="158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>
        <v>0.4</v>
      </c>
      <c r="BB165" s="158"/>
      <c r="BC165" s="153"/>
      <c r="BD165" s="153"/>
      <c r="BE165" s="153"/>
      <c r="BF165" s="153"/>
      <c r="BG165" s="153"/>
      <c r="BH165" s="153"/>
      <c r="BI165" s="153"/>
      <c r="BJ165" s="153"/>
      <c r="BK165" s="153"/>
      <c r="BL165" s="153"/>
      <c r="BM165" s="153"/>
      <c r="BN165" s="153"/>
      <c r="BO165" s="153"/>
      <c r="BP165" s="153"/>
      <c r="BQ165" s="153"/>
      <c r="BR165" s="153"/>
      <c r="BS165" s="153"/>
      <c r="BT165" s="153"/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8"/>
      <c r="CJ165" s="153"/>
      <c r="CK165" s="153"/>
      <c r="CL165" s="153"/>
      <c r="CM165" s="153"/>
      <c r="CN165" s="158"/>
      <c r="CO165" s="153"/>
      <c r="CP165" s="153"/>
      <c r="CQ165" s="153"/>
    </row>
    <row r="166" spans="2:95" ht="14" x14ac:dyDescent="0.3">
      <c r="B166" s="146" t="str">
        <f>Table1[[#Headers],[Total Testes]]</f>
        <v>Total Testes</v>
      </c>
      <c r="C166" s="144" t="str">
        <f t="shared" si="117"/>
        <v>ENTITY_PURE_TRNVR_P</v>
      </c>
      <c r="D166" s="143" t="s">
        <v>10</v>
      </c>
      <c r="E166" s="143" t="s">
        <v>1415</v>
      </c>
      <c r="G166" s="160" t="e">
        <f>INDEX(Table1[[Especificação]:[Total Testes]],MATCH(PlanoV1.0!C166,Table1[CONCAT],0),MATCH(PlanoV1.0!B166,Table1[[#Headers],[Especificação]:[Total Testes]],0))</f>
        <v>#N/A</v>
      </c>
      <c r="H166" s="179" t="e">
        <f t="shared" si="111"/>
        <v>#N/A</v>
      </c>
      <c r="I166" s="181" t="e">
        <f t="shared" si="112"/>
        <v>#N/A</v>
      </c>
      <c r="J166" s="158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/>
      <c r="AS166" s="153"/>
      <c r="AT166" s="153"/>
      <c r="AU166" s="153"/>
      <c r="AV166" s="153"/>
      <c r="AW166" s="153"/>
      <c r="AX166" s="153"/>
      <c r="AY166" s="153"/>
      <c r="AZ166" s="153"/>
      <c r="BA166" s="153">
        <v>0.4</v>
      </c>
      <c r="BB166" s="158"/>
      <c r="BC166" s="153"/>
      <c r="BD166" s="153"/>
      <c r="BE166" s="153"/>
      <c r="BF166" s="153"/>
      <c r="BG166" s="153"/>
      <c r="BH166" s="153"/>
      <c r="BI166" s="153"/>
      <c r="BJ166" s="153"/>
      <c r="BK166" s="153"/>
      <c r="BL166" s="153"/>
      <c r="BM166" s="153"/>
      <c r="BN166" s="153"/>
      <c r="BO166" s="153"/>
      <c r="BP166" s="153"/>
      <c r="BQ166" s="153"/>
      <c r="BR166" s="153"/>
      <c r="BS166" s="153"/>
      <c r="BT166" s="153"/>
      <c r="BU166" s="153"/>
      <c r="BV166" s="153"/>
      <c r="BW166" s="153"/>
      <c r="BX166" s="153"/>
      <c r="BY166" s="153"/>
      <c r="BZ166" s="153"/>
      <c r="CA166" s="153"/>
      <c r="CB166" s="153"/>
      <c r="CC166" s="153"/>
      <c r="CD166" s="153"/>
      <c r="CE166" s="153"/>
      <c r="CF166" s="153"/>
      <c r="CG166" s="153"/>
      <c r="CH166" s="153"/>
      <c r="CI166" s="158"/>
      <c r="CJ166" s="153"/>
      <c r="CK166" s="153"/>
      <c r="CL166" s="153"/>
      <c r="CM166" s="153"/>
      <c r="CN166" s="158"/>
      <c r="CO166" s="153"/>
      <c r="CP166" s="153"/>
      <c r="CQ166" s="153"/>
    </row>
    <row r="167" spans="2:95" ht="14" x14ac:dyDescent="0.3">
      <c r="B167" s="146" t="str">
        <f>Table1[[#Headers],[Total Testes]]</f>
        <v>Total Testes</v>
      </c>
      <c r="C167" s="144" t="str">
        <f t="shared" si="117"/>
        <v>ENTITY_PURE_CAPEX_B</v>
      </c>
      <c r="D167" s="143" t="s">
        <v>10</v>
      </c>
      <c r="E167" s="143" t="s">
        <v>1417</v>
      </c>
      <c r="G167" s="160" t="e">
        <f>INDEX(Table1[[Especificação]:[Total Testes]],MATCH(PlanoV1.0!C167,Table1[CONCAT],0),MATCH(PlanoV1.0!B167,Table1[[#Headers],[Especificação]:[Total Testes]],0))</f>
        <v>#N/A</v>
      </c>
      <c r="H167" s="179" t="e">
        <f t="shared" si="111"/>
        <v>#N/A</v>
      </c>
      <c r="I167" s="181" t="e">
        <f t="shared" si="112"/>
        <v>#N/A</v>
      </c>
      <c r="J167" s="158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/>
      <c r="AS167" s="153"/>
      <c r="AT167" s="153"/>
      <c r="AU167" s="153"/>
      <c r="AV167" s="153"/>
      <c r="AW167" s="153"/>
      <c r="AX167" s="153"/>
      <c r="AY167" s="153"/>
      <c r="AZ167" s="153"/>
      <c r="BA167" s="153">
        <v>0.4</v>
      </c>
      <c r="BB167" s="158"/>
      <c r="BC167" s="153"/>
      <c r="BD167" s="153"/>
      <c r="BE167" s="153"/>
      <c r="BF167" s="153"/>
      <c r="BG167" s="153"/>
      <c r="BH167" s="153"/>
      <c r="BI167" s="153"/>
      <c r="BJ167" s="153"/>
      <c r="BK167" s="153"/>
      <c r="BL167" s="153"/>
      <c r="BM167" s="153"/>
      <c r="BN167" s="153"/>
      <c r="BO167" s="153"/>
      <c r="BP167" s="153"/>
      <c r="BQ167" s="153"/>
      <c r="BR167" s="153"/>
      <c r="BS167" s="153"/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8"/>
      <c r="CJ167" s="153"/>
      <c r="CK167" s="153"/>
      <c r="CL167" s="153"/>
      <c r="CM167" s="153"/>
      <c r="CN167" s="158"/>
      <c r="CO167" s="153"/>
      <c r="CP167" s="153"/>
      <c r="CQ167" s="153"/>
    </row>
    <row r="168" spans="2:95" ht="14" x14ac:dyDescent="0.3">
      <c r="B168" s="146" t="str">
        <f>Table1[[#Headers],[Total Testes]]</f>
        <v>Total Testes</v>
      </c>
      <c r="C168" s="144" t="str">
        <f t="shared" si="117"/>
        <v>ENTITY_PURE_TRNVR_B</v>
      </c>
      <c r="D168" s="143" t="s">
        <v>10</v>
      </c>
      <c r="E168" s="143" t="s">
        <v>1419</v>
      </c>
      <c r="G168" s="160" t="e">
        <f>INDEX(Table1[[Especificação]:[Total Testes]],MATCH(PlanoV1.0!C168,Table1[CONCAT],0),MATCH(PlanoV1.0!B168,Table1[[#Headers],[Especificação]:[Total Testes]],0))</f>
        <v>#N/A</v>
      </c>
      <c r="H168" s="179" t="e">
        <f t="shared" si="111"/>
        <v>#N/A</v>
      </c>
      <c r="I168" s="181" t="e">
        <f t="shared" si="112"/>
        <v>#N/A</v>
      </c>
      <c r="J168" s="158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  <c r="AV168" s="153"/>
      <c r="AW168" s="153"/>
      <c r="AX168" s="153"/>
      <c r="AY168" s="153"/>
      <c r="AZ168" s="153"/>
      <c r="BA168" s="153">
        <v>0.3</v>
      </c>
      <c r="BB168" s="158"/>
      <c r="BC168" s="153">
        <v>0.1</v>
      </c>
      <c r="BD168" s="153"/>
      <c r="BE168" s="153"/>
      <c r="BF168" s="153"/>
      <c r="BG168" s="153"/>
      <c r="BH168" s="153"/>
      <c r="BI168" s="153"/>
      <c r="BJ168" s="153"/>
      <c r="BK168" s="153"/>
      <c r="BL168" s="153"/>
      <c r="BM168" s="153"/>
      <c r="BN168" s="153"/>
      <c r="BO168" s="153"/>
      <c r="BP168" s="153"/>
      <c r="BQ168" s="153"/>
      <c r="BR168" s="153"/>
      <c r="BS168" s="153"/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8"/>
      <c r="CJ168" s="153"/>
      <c r="CK168" s="153"/>
      <c r="CL168" s="153"/>
      <c r="CM168" s="153"/>
      <c r="CN168" s="158"/>
      <c r="CO168" s="153"/>
      <c r="CP168" s="153"/>
      <c r="CQ168" s="153"/>
    </row>
    <row r="169" spans="2:95" ht="14" x14ac:dyDescent="0.3">
      <c r="B169" s="146" t="str">
        <f>Table1[[#Headers],[Total Testes]]</f>
        <v>Total Testes</v>
      </c>
      <c r="C169" s="144" t="str">
        <f t="shared" si="117"/>
        <v>ENTITY_PURE_CAPEX_W</v>
      </c>
      <c r="D169" s="143" t="s">
        <v>10</v>
      </c>
      <c r="E169" s="143" t="s">
        <v>1421</v>
      </c>
      <c r="G169" s="160" t="e">
        <f>INDEX(Table1[[Especificação]:[Total Testes]],MATCH(PlanoV1.0!C169,Table1[CONCAT],0),MATCH(PlanoV1.0!B169,Table1[[#Headers],[Especificação]:[Total Testes]],0))</f>
        <v>#N/A</v>
      </c>
      <c r="H169" s="179" t="e">
        <f t="shared" si="111"/>
        <v>#N/A</v>
      </c>
      <c r="I169" s="181" t="e">
        <f t="shared" si="112"/>
        <v>#N/A</v>
      </c>
      <c r="J169" s="158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3"/>
      <c r="AV169" s="153"/>
      <c r="AW169" s="153"/>
      <c r="AX169" s="153"/>
      <c r="AY169" s="153"/>
      <c r="AZ169" s="153"/>
      <c r="BA169" s="153"/>
      <c r="BB169" s="158"/>
      <c r="BC169" s="153">
        <v>0.4</v>
      </c>
      <c r="BD169" s="153"/>
      <c r="BE169" s="153"/>
      <c r="BF169" s="153"/>
      <c r="BG169" s="153"/>
      <c r="BH169" s="153"/>
      <c r="BI169" s="153"/>
      <c r="BJ169" s="153"/>
      <c r="BK169" s="153"/>
      <c r="BL169" s="153"/>
      <c r="BM169" s="153"/>
      <c r="BN169" s="153"/>
      <c r="BO169" s="153"/>
      <c r="BP169" s="153"/>
      <c r="BQ169" s="153"/>
      <c r="BR169" s="153"/>
      <c r="BS169" s="153"/>
      <c r="BT169" s="153"/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8"/>
      <c r="CJ169" s="153"/>
      <c r="CK169" s="153"/>
      <c r="CL169" s="153"/>
      <c r="CM169" s="153"/>
      <c r="CN169" s="158"/>
      <c r="CO169" s="153"/>
      <c r="CP169" s="153"/>
      <c r="CQ169" s="153"/>
    </row>
    <row r="170" spans="2:95" ht="14" x14ac:dyDescent="0.3">
      <c r="B170" s="146" t="str">
        <f>Table1[[#Headers],[Total Testes]]</f>
        <v>Total Testes</v>
      </c>
      <c r="C170" s="144" t="str">
        <f t="shared" si="117"/>
        <v>ENTITY_PURE_TRNVR_W</v>
      </c>
      <c r="D170" s="143" t="s">
        <v>10</v>
      </c>
      <c r="E170" s="143" t="s">
        <v>1423</v>
      </c>
      <c r="G170" s="160" t="e">
        <f>INDEX(Table1[[Especificação]:[Total Testes]],MATCH(PlanoV1.0!C170,Table1[CONCAT],0),MATCH(PlanoV1.0!B170,Table1[[#Headers],[Especificação]:[Total Testes]],0))</f>
        <v>#N/A</v>
      </c>
      <c r="H170" s="179" t="e">
        <f t="shared" si="111"/>
        <v>#N/A</v>
      </c>
      <c r="I170" s="181" t="e">
        <f t="shared" si="112"/>
        <v>#N/A</v>
      </c>
      <c r="J170" s="158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  <c r="AW170" s="153"/>
      <c r="AX170" s="153"/>
      <c r="AY170" s="153"/>
      <c r="AZ170" s="153"/>
      <c r="BA170" s="153"/>
      <c r="BB170" s="158"/>
      <c r="BC170" s="153">
        <v>0.4</v>
      </c>
      <c r="BD170" s="153"/>
      <c r="BE170" s="153"/>
      <c r="BF170" s="153"/>
      <c r="BG170" s="153"/>
      <c r="BH170" s="153"/>
      <c r="BI170" s="153"/>
      <c r="BJ170" s="153"/>
      <c r="BK170" s="153"/>
      <c r="BL170" s="153"/>
      <c r="BM170" s="153"/>
      <c r="BN170" s="153"/>
      <c r="BO170" s="153"/>
      <c r="BP170" s="153"/>
      <c r="BQ170" s="153"/>
      <c r="BR170" s="153"/>
      <c r="BS170" s="153"/>
      <c r="BT170" s="153"/>
      <c r="BU170" s="153"/>
      <c r="BV170" s="153"/>
      <c r="BW170" s="153"/>
      <c r="BX170" s="153"/>
      <c r="BY170" s="153"/>
      <c r="BZ170" s="153"/>
      <c r="CA170" s="153"/>
      <c r="CB170" s="153"/>
      <c r="CC170" s="153"/>
      <c r="CD170" s="153"/>
      <c r="CE170" s="153"/>
      <c r="CF170" s="153"/>
      <c r="CG170" s="153"/>
      <c r="CH170" s="153"/>
      <c r="CI170" s="158"/>
      <c r="CJ170" s="153"/>
      <c r="CK170" s="153"/>
      <c r="CL170" s="153"/>
      <c r="CM170" s="153"/>
      <c r="CN170" s="158"/>
      <c r="CO170" s="153"/>
      <c r="CP170" s="153"/>
      <c r="CQ170" s="153"/>
    </row>
    <row r="171" spans="2:95" ht="14" x14ac:dyDescent="0.3">
      <c r="B171" s="146" t="str">
        <f>Table1[[#Headers],[Total Testes]]</f>
        <v>Total Testes</v>
      </c>
      <c r="C171" s="144" t="str">
        <f t="shared" si="117"/>
        <v>ENTITY_PURE_CAPEX_CE</v>
      </c>
      <c r="D171" s="143" t="s">
        <v>10</v>
      </c>
      <c r="E171" s="143" t="s">
        <v>1425</v>
      </c>
      <c r="G171" s="160" t="e">
        <f>INDEX(Table1[[Especificação]:[Total Testes]],MATCH(PlanoV1.0!C171,Table1[CONCAT],0),MATCH(PlanoV1.0!B171,Table1[[#Headers],[Especificação]:[Total Testes]],0))</f>
        <v>#N/A</v>
      </c>
      <c r="H171" s="179" t="e">
        <f t="shared" si="111"/>
        <v>#N/A</v>
      </c>
      <c r="I171" s="181" t="e">
        <f t="shared" si="112"/>
        <v>#N/A</v>
      </c>
      <c r="J171" s="158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3"/>
      <c r="AV171" s="153"/>
      <c r="AW171" s="153"/>
      <c r="AX171" s="153"/>
      <c r="AY171" s="153"/>
      <c r="AZ171" s="153"/>
      <c r="BA171" s="153"/>
      <c r="BB171" s="158"/>
      <c r="BC171" s="153">
        <v>0.4</v>
      </c>
      <c r="BD171" s="153"/>
      <c r="BE171" s="153"/>
      <c r="BF171" s="153"/>
      <c r="BG171" s="153"/>
      <c r="BH171" s="153"/>
      <c r="BI171" s="153"/>
      <c r="BJ171" s="153"/>
      <c r="BK171" s="153"/>
      <c r="BL171" s="153"/>
      <c r="BM171" s="153"/>
      <c r="BN171" s="153"/>
      <c r="BO171" s="153"/>
      <c r="BP171" s="153"/>
      <c r="BQ171" s="153"/>
      <c r="BR171" s="153"/>
      <c r="BS171" s="153"/>
      <c r="BT171" s="153"/>
      <c r="BU171" s="153"/>
      <c r="BV171" s="153"/>
      <c r="BW171" s="153"/>
      <c r="BX171" s="153"/>
      <c r="BY171" s="153"/>
      <c r="BZ171" s="153"/>
      <c r="CA171" s="153"/>
      <c r="CB171" s="153"/>
      <c r="CC171" s="153"/>
      <c r="CD171" s="153"/>
      <c r="CE171" s="153"/>
      <c r="CF171" s="153"/>
      <c r="CG171" s="153"/>
      <c r="CH171" s="153"/>
      <c r="CI171" s="158"/>
      <c r="CJ171" s="153"/>
      <c r="CK171" s="153"/>
      <c r="CL171" s="153"/>
      <c r="CM171" s="153"/>
      <c r="CN171" s="158"/>
      <c r="CO171" s="153"/>
      <c r="CP171" s="153"/>
      <c r="CQ171" s="153"/>
    </row>
    <row r="172" spans="2:95" ht="14" x14ac:dyDescent="0.3">
      <c r="B172" s="146" t="str">
        <f>Table1[[#Headers],[Total Testes]]</f>
        <v>Total Testes</v>
      </c>
      <c r="C172" s="144" t="str">
        <f t="shared" si="117"/>
        <v>ENTITY_PURE_TRNVR_CE</v>
      </c>
      <c r="D172" s="143" t="s">
        <v>10</v>
      </c>
      <c r="E172" s="143" t="s">
        <v>1427</v>
      </c>
      <c r="G172" s="160" t="e">
        <f>INDEX(Table1[[Especificação]:[Total Testes]],MATCH(PlanoV1.0!C172,Table1[CONCAT],0),MATCH(PlanoV1.0!B172,Table1[[#Headers],[Especificação]:[Total Testes]],0))</f>
        <v>#N/A</v>
      </c>
      <c r="H172" s="179" t="e">
        <f t="shared" si="111"/>
        <v>#N/A</v>
      </c>
      <c r="I172" s="181" t="e">
        <f t="shared" si="112"/>
        <v>#N/A</v>
      </c>
      <c r="J172" s="158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8"/>
      <c r="BC172" s="153">
        <v>0.4</v>
      </c>
      <c r="BD172" s="153"/>
      <c r="BE172" s="153"/>
      <c r="BF172" s="153"/>
      <c r="BG172" s="153"/>
      <c r="BH172" s="153"/>
      <c r="BI172" s="153"/>
      <c r="BJ172" s="153"/>
      <c r="BK172" s="153"/>
      <c r="BL172" s="153"/>
      <c r="BM172" s="153"/>
      <c r="BN172" s="153"/>
      <c r="BO172" s="153"/>
      <c r="BP172" s="153"/>
      <c r="BQ172" s="153"/>
      <c r="BR172" s="153"/>
      <c r="BS172" s="153"/>
      <c r="BT172" s="153"/>
      <c r="BU172" s="153"/>
      <c r="BV172" s="153"/>
      <c r="BW172" s="153"/>
      <c r="BX172" s="153"/>
      <c r="BY172" s="153"/>
      <c r="BZ172" s="153"/>
      <c r="CA172" s="153"/>
      <c r="CB172" s="153"/>
      <c r="CC172" s="153"/>
      <c r="CD172" s="153"/>
      <c r="CE172" s="153"/>
      <c r="CF172" s="153"/>
      <c r="CG172" s="153"/>
      <c r="CH172" s="153"/>
      <c r="CI172" s="158"/>
      <c r="CJ172" s="153"/>
      <c r="CK172" s="153"/>
      <c r="CL172" s="153"/>
      <c r="CM172" s="153"/>
      <c r="CN172" s="158"/>
      <c r="CO172" s="153"/>
      <c r="CP172" s="153"/>
      <c r="CQ172" s="153"/>
    </row>
    <row r="173" spans="2:95" ht="14" x14ac:dyDescent="0.3">
      <c r="B173" s="146" t="str">
        <f>Table1[[#Headers],[Total Testes]]</f>
        <v>Total Testes</v>
      </c>
      <c r="C173" s="144" t="str">
        <f t="shared" si="117"/>
        <v>ENTITY_ENBLNG_CAPEX_W</v>
      </c>
      <c r="D173" s="143" t="s">
        <v>10</v>
      </c>
      <c r="E173" s="143" t="s">
        <v>1429</v>
      </c>
      <c r="G173" s="160" t="e">
        <f>INDEX(Table1[[Especificação]:[Total Testes]],MATCH(PlanoV1.0!C173,Table1[CONCAT],0),MATCH(PlanoV1.0!B173,Table1[[#Headers],[Especificação]:[Total Testes]],0))</f>
        <v>#N/A</v>
      </c>
      <c r="H173" s="179" t="e">
        <f t="shared" si="111"/>
        <v>#N/A</v>
      </c>
      <c r="I173" s="181" t="e">
        <f t="shared" si="112"/>
        <v>#N/A</v>
      </c>
      <c r="J173" s="158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8"/>
      <c r="BC173" s="153">
        <v>0.3</v>
      </c>
      <c r="BD173" s="153">
        <v>0.1</v>
      </c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3"/>
      <c r="BV173" s="153"/>
      <c r="BW173" s="153"/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8"/>
      <c r="CJ173" s="153"/>
      <c r="CK173" s="153"/>
      <c r="CL173" s="153"/>
      <c r="CM173" s="153"/>
      <c r="CN173" s="158"/>
      <c r="CO173" s="153"/>
      <c r="CP173" s="153"/>
      <c r="CQ173" s="153"/>
    </row>
    <row r="174" spans="2:95" ht="14" x14ac:dyDescent="0.3">
      <c r="B174" s="146" t="str">
        <f>Table1[[#Headers],[Total Testes]]</f>
        <v>Total Testes</v>
      </c>
      <c r="C174" s="144" t="str">
        <f t="shared" si="117"/>
        <v>ENTITY_ENBLNG_TRNVR_W</v>
      </c>
      <c r="D174" s="143" t="s">
        <v>10</v>
      </c>
      <c r="E174" s="143" t="s">
        <v>1431</v>
      </c>
      <c r="G174" s="160" t="e">
        <f>INDEX(Table1[[Especificação]:[Total Testes]],MATCH(PlanoV1.0!C174,Table1[CONCAT],0),MATCH(PlanoV1.0!B174,Table1[[#Headers],[Especificação]:[Total Testes]],0))</f>
        <v>#N/A</v>
      </c>
      <c r="H174" s="179" t="e">
        <f t="shared" si="111"/>
        <v>#N/A</v>
      </c>
      <c r="I174" s="181" t="e">
        <f t="shared" si="112"/>
        <v>#N/A</v>
      </c>
      <c r="J174" s="158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  <c r="AV174" s="153"/>
      <c r="AW174" s="153"/>
      <c r="AX174" s="153"/>
      <c r="AY174" s="153"/>
      <c r="AZ174" s="153"/>
      <c r="BA174" s="153"/>
      <c r="BB174" s="158"/>
      <c r="BC174" s="153"/>
      <c r="BD174" s="153">
        <v>0.4</v>
      </c>
      <c r="BE174" s="153"/>
      <c r="BF174" s="153"/>
      <c r="BG174" s="153"/>
      <c r="BH174" s="153"/>
      <c r="BI174" s="153"/>
      <c r="BJ174" s="153"/>
      <c r="BK174" s="153"/>
      <c r="BL174" s="153"/>
      <c r="BM174" s="153"/>
      <c r="BN174" s="153"/>
      <c r="BO174" s="153"/>
      <c r="BP174" s="153"/>
      <c r="BQ174" s="153"/>
      <c r="BR174" s="153"/>
      <c r="BS174" s="153"/>
      <c r="BT174" s="153"/>
      <c r="BU174" s="153"/>
      <c r="BV174" s="153"/>
      <c r="BW174" s="153"/>
      <c r="BX174" s="153"/>
      <c r="BY174" s="153"/>
      <c r="BZ174" s="153"/>
      <c r="CA174" s="153"/>
      <c r="CB174" s="153"/>
      <c r="CC174" s="153"/>
      <c r="CD174" s="153"/>
      <c r="CE174" s="153"/>
      <c r="CF174" s="153"/>
      <c r="CG174" s="153"/>
      <c r="CH174" s="153"/>
      <c r="CI174" s="158"/>
      <c r="CJ174" s="153"/>
      <c r="CK174" s="153"/>
      <c r="CL174" s="153"/>
      <c r="CM174" s="153"/>
      <c r="CN174" s="158"/>
      <c r="CO174" s="153"/>
      <c r="CP174" s="153"/>
      <c r="CQ174" s="153"/>
    </row>
    <row r="175" spans="2:95" ht="14" x14ac:dyDescent="0.3">
      <c r="B175" s="146" t="str">
        <f>Table1[[#Headers],[Total Testes]]</f>
        <v>Total Testes</v>
      </c>
      <c r="C175" s="144" t="str">
        <f t="shared" si="117"/>
        <v>ENTITY_ENBLNG_CAPEX_CE</v>
      </c>
      <c r="D175" s="143" t="s">
        <v>10</v>
      </c>
      <c r="E175" s="143" t="s">
        <v>1433</v>
      </c>
      <c r="G175" s="160" t="e">
        <f>INDEX(Table1[[Especificação]:[Total Testes]],MATCH(PlanoV1.0!C175,Table1[CONCAT],0),MATCH(PlanoV1.0!B175,Table1[[#Headers],[Especificação]:[Total Testes]],0))</f>
        <v>#N/A</v>
      </c>
      <c r="H175" s="179" t="e">
        <f t="shared" si="111"/>
        <v>#N/A</v>
      </c>
      <c r="I175" s="181" t="e">
        <f t="shared" si="112"/>
        <v>#N/A</v>
      </c>
      <c r="J175" s="158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8"/>
      <c r="BC175" s="153"/>
      <c r="BD175" s="153">
        <v>0.4</v>
      </c>
      <c r="BE175" s="153"/>
      <c r="BF175" s="153"/>
      <c r="BG175" s="153"/>
      <c r="BH175" s="153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/>
      <c r="BX175" s="153"/>
      <c r="BY175" s="153"/>
      <c r="BZ175" s="153"/>
      <c r="CA175" s="153"/>
      <c r="CB175" s="153"/>
      <c r="CC175" s="153"/>
      <c r="CD175" s="153"/>
      <c r="CE175" s="153"/>
      <c r="CF175" s="153"/>
      <c r="CG175" s="153"/>
      <c r="CH175" s="153"/>
      <c r="CI175" s="158"/>
      <c r="CJ175" s="153"/>
      <c r="CK175" s="153"/>
      <c r="CL175" s="153"/>
      <c r="CM175" s="153"/>
      <c r="CN175" s="158"/>
      <c r="CO175" s="153"/>
      <c r="CP175" s="153"/>
      <c r="CQ175" s="153"/>
    </row>
    <row r="176" spans="2:95" ht="14" x14ac:dyDescent="0.3">
      <c r="B176" s="146" t="str">
        <f>Table1[[#Headers],[Total Testes]]</f>
        <v>Total Testes</v>
      </c>
      <c r="C176" s="144" t="str">
        <f t="shared" si="117"/>
        <v>ENTITY_ENBLNG_TRNVR_CE</v>
      </c>
      <c r="D176" s="143" t="s">
        <v>10</v>
      </c>
      <c r="E176" s="143" t="s">
        <v>1435</v>
      </c>
      <c r="G176" s="160" t="e">
        <f>INDEX(Table1[[Especificação]:[Total Testes]],MATCH(PlanoV1.0!C176,Table1[CONCAT],0),MATCH(PlanoV1.0!B176,Table1[[#Headers],[Especificação]:[Total Testes]],0))</f>
        <v>#N/A</v>
      </c>
      <c r="H176" s="179" t="e">
        <f t="shared" si="111"/>
        <v>#N/A</v>
      </c>
      <c r="I176" s="181" t="e">
        <f t="shared" si="112"/>
        <v>#N/A</v>
      </c>
      <c r="J176" s="158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3"/>
      <c r="AV176" s="153"/>
      <c r="AW176" s="153"/>
      <c r="AX176" s="153"/>
      <c r="AY176" s="153"/>
      <c r="AZ176" s="153"/>
      <c r="BA176" s="153"/>
      <c r="BB176" s="158"/>
      <c r="BC176" s="153"/>
      <c r="BD176" s="153">
        <v>0.4</v>
      </c>
      <c r="BE176" s="153"/>
      <c r="BF176" s="153"/>
      <c r="BG176" s="153"/>
      <c r="BH176" s="153"/>
      <c r="BI176" s="153"/>
      <c r="BJ176" s="153"/>
      <c r="BK176" s="153"/>
      <c r="BL176" s="153"/>
      <c r="BM176" s="153"/>
      <c r="BN176" s="153"/>
      <c r="BO176" s="153"/>
      <c r="BP176" s="153"/>
      <c r="BQ176" s="153"/>
      <c r="BR176" s="153"/>
      <c r="BS176" s="153"/>
      <c r="BT176" s="153"/>
      <c r="BU176" s="153"/>
      <c r="BV176" s="153"/>
      <c r="BW176" s="153"/>
      <c r="BX176" s="153"/>
      <c r="BY176" s="153"/>
      <c r="BZ176" s="153"/>
      <c r="CA176" s="153"/>
      <c r="CB176" s="153"/>
      <c r="CC176" s="153"/>
      <c r="CD176" s="153"/>
      <c r="CE176" s="153"/>
      <c r="CF176" s="153"/>
      <c r="CG176" s="153"/>
      <c r="CH176" s="153"/>
      <c r="CI176" s="158"/>
      <c r="CJ176" s="153"/>
      <c r="CK176" s="153"/>
      <c r="CL176" s="153"/>
      <c r="CM176" s="153"/>
      <c r="CN176" s="158"/>
      <c r="CO176" s="153"/>
      <c r="CP176" s="153"/>
      <c r="CQ176" s="153"/>
    </row>
    <row r="177" spans="2:95" ht="14" x14ac:dyDescent="0.3">
      <c r="B177" s="146" t="str">
        <f>Table1[[#Headers],[Total Testes]]</f>
        <v>Total Testes</v>
      </c>
      <c r="C177" s="144" t="str">
        <f t="shared" si="117"/>
        <v>INSTRUMENT_TYP_OFF_BLNC_PRDCT</v>
      </c>
      <c r="D177" s="143" t="s">
        <v>414</v>
      </c>
      <c r="E177" s="143" t="s">
        <v>1351</v>
      </c>
      <c r="G177" s="160">
        <f>INDEX(Table1[[Especificação]:[Total Testes]],MATCH(PlanoV1.0!C177,Table1[CONCAT],0),MATCH(PlanoV1.0!B177,Table1[[#Headers],[Especificação]:[Total Testes]],0))</f>
        <v>3</v>
      </c>
      <c r="H177" s="179">
        <f t="shared" si="111"/>
        <v>0.4</v>
      </c>
      <c r="I177" s="181">
        <f t="shared" si="112"/>
        <v>0</v>
      </c>
      <c r="J177" s="158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3"/>
      <c r="AV177" s="153"/>
      <c r="AW177" s="153"/>
      <c r="AX177" s="153"/>
      <c r="AY177" s="153"/>
      <c r="AZ177" s="153"/>
      <c r="BA177" s="153"/>
      <c r="BB177" s="158"/>
      <c r="BC177" s="153"/>
      <c r="BD177" s="153">
        <v>0.4</v>
      </c>
      <c r="BE177" s="153"/>
      <c r="BF177" s="153"/>
      <c r="BG177" s="153"/>
      <c r="BH177" s="153"/>
      <c r="BI177" s="153"/>
      <c r="BJ177" s="153"/>
      <c r="BK177" s="153"/>
      <c r="BL177" s="153"/>
      <c r="BM177" s="153"/>
      <c r="BN177" s="153"/>
      <c r="BO177" s="153"/>
      <c r="BP177" s="153"/>
      <c r="BQ177" s="153"/>
      <c r="BR177" s="153"/>
      <c r="BS177" s="153"/>
      <c r="BT177" s="153"/>
      <c r="BU177" s="153"/>
      <c r="BV177" s="153"/>
      <c r="BW177" s="153"/>
      <c r="BX177" s="153"/>
      <c r="BY177" s="153"/>
      <c r="BZ177" s="153"/>
      <c r="CA177" s="153"/>
      <c r="CB177" s="153"/>
      <c r="CC177" s="153"/>
      <c r="CD177" s="153"/>
      <c r="CE177" s="153"/>
      <c r="CF177" s="153"/>
      <c r="CG177" s="153"/>
      <c r="CH177" s="153"/>
      <c r="CI177" s="158"/>
      <c r="CJ177" s="153"/>
      <c r="CK177" s="153"/>
      <c r="CL177" s="153"/>
      <c r="CM177" s="153"/>
      <c r="CN177" s="158"/>
      <c r="CO177" s="153"/>
      <c r="CP177" s="153"/>
      <c r="CQ177" s="153"/>
    </row>
    <row r="178" spans="2:95" ht="14" x14ac:dyDescent="0.3">
      <c r="B178" s="146" t="str">
        <f>Table1[[#Headers],[Total Testes]]</f>
        <v>Total Testes</v>
      </c>
      <c r="C178" s="144" t="str">
        <f t="shared" si="117"/>
        <v>INSTRUMENT_FLG_MNMM_SFGRDS</v>
      </c>
      <c r="D178" s="143" t="s">
        <v>414</v>
      </c>
      <c r="E178" s="143" t="s">
        <v>1438</v>
      </c>
      <c r="G178" s="160" t="e">
        <f>INDEX(Table1[[Especificação]:[Total Testes]],MATCH(PlanoV1.0!C178,Table1[CONCAT],0),MATCH(PlanoV1.0!B178,Table1[[#Headers],[Especificação]:[Total Testes]],0))</f>
        <v>#N/A</v>
      </c>
      <c r="H178" s="179" t="e">
        <f t="shared" si="111"/>
        <v>#N/A</v>
      </c>
      <c r="I178" s="181" t="e">
        <f t="shared" si="112"/>
        <v>#N/A</v>
      </c>
      <c r="J178" s="158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8"/>
      <c r="BC178" s="153"/>
      <c r="BD178" s="153">
        <v>0.3</v>
      </c>
      <c r="BE178" s="153">
        <v>0.6</v>
      </c>
      <c r="BF178" s="153"/>
      <c r="BG178" s="153"/>
      <c r="BH178" s="153"/>
      <c r="BI178" s="153"/>
      <c r="BJ178" s="153"/>
      <c r="BK178" s="153"/>
      <c r="BL178" s="153"/>
      <c r="BM178" s="153"/>
      <c r="BN178" s="153"/>
      <c r="BO178" s="153"/>
      <c r="BP178" s="153"/>
      <c r="BQ178" s="153"/>
      <c r="BR178" s="153"/>
      <c r="BS178" s="153"/>
      <c r="BT178" s="153"/>
      <c r="BU178" s="153"/>
      <c r="BV178" s="153"/>
      <c r="BW178" s="153"/>
      <c r="BX178" s="153"/>
      <c r="BY178" s="153"/>
      <c r="BZ178" s="153"/>
      <c r="CA178" s="153"/>
      <c r="CB178" s="153"/>
      <c r="CC178" s="153"/>
      <c r="CD178" s="153"/>
      <c r="CE178" s="153"/>
      <c r="CF178" s="153"/>
      <c r="CG178" s="153"/>
      <c r="CH178" s="153"/>
      <c r="CI178" s="158"/>
      <c r="CJ178" s="153"/>
      <c r="CK178" s="153"/>
      <c r="CL178" s="153"/>
      <c r="CM178" s="153"/>
      <c r="CN178" s="158"/>
      <c r="CO178" s="153"/>
      <c r="CP178" s="153"/>
      <c r="CQ178" s="153"/>
    </row>
    <row r="179" spans="2:95" ht="14" x14ac:dyDescent="0.3">
      <c r="B179" s="146" t="str">
        <f>Table1[[#Headers],[Total Testes]]</f>
        <v>Total Testes</v>
      </c>
      <c r="C179" s="144" t="str">
        <f t="shared" si="117"/>
        <v>INSTR_PROTECTION_TYP_RLTN</v>
      </c>
      <c r="D179" s="143" t="s">
        <v>1101</v>
      </c>
      <c r="E179" s="143" t="s">
        <v>1384</v>
      </c>
      <c r="G179" s="160">
        <f>INDEX(Table1[[Especificação]:[Total Testes]],MATCH(PlanoV1.0!C179,Table1[CONCAT],0),MATCH(PlanoV1.0!B179,Table1[[#Headers],[Especificação]:[Total Testes]],0))</f>
        <v>3</v>
      </c>
      <c r="H179" s="179">
        <f t="shared" si="111"/>
        <v>0.4</v>
      </c>
      <c r="I179" s="181">
        <f t="shared" si="112"/>
        <v>0.29999999999999993</v>
      </c>
      <c r="J179" s="158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8"/>
      <c r="BC179" s="153"/>
      <c r="BD179" s="153"/>
      <c r="BE179" s="153">
        <v>0.7</v>
      </c>
      <c r="BF179" s="153"/>
      <c r="BG179" s="153"/>
      <c r="BH179" s="153"/>
      <c r="BI179" s="153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8"/>
      <c r="CJ179" s="153"/>
      <c r="CK179" s="153"/>
      <c r="CL179" s="153"/>
      <c r="CM179" s="153"/>
      <c r="CN179" s="158"/>
      <c r="CO179" s="153"/>
      <c r="CP179" s="153"/>
      <c r="CQ179" s="153"/>
    </row>
    <row r="180" spans="2:95" ht="14" x14ac:dyDescent="0.3">
      <c r="B180" s="146" t="str">
        <f>Table1[[#Headers],[Total Testes]]</f>
        <v>Total Testes</v>
      </c>
      <c r="C180" s="144" t="str">
        <f t="shared" si="117"/>
        <v>PROTECTION_BLDNG_AR</v>
      </c>
      <c r="D180" s="143" t="s">
        <v>1114</v>
      </c>
      <c r="E180" s="143" t="s">
        <v>1387</v>
      </c>
      <c r="G180" s="160" t="e">
        <f>INDEX(Table1[[Especificação]:[Total Testes]],MATCH(PlanoV1.0!C180,Table1[CONCAT],0),MATCH(PlanoV1.0!B180,Table1[[#Headers],[Especificação]:[Total Testes]],0))</f>
        <v>#N/A</v>
      </c>
      <c r="H180" s="179" t="e">
        <f t="shared" si="111"/>
        <v>#N/A</v>
      </c>
      <c r="I180" s="181" t="e">
        <f t="shared" si="112"/>
        <v>#N/A</v>
      </c>
      <c r="J180" s="158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  <c r="AU180" s="153"/>
      <c r="AV180" s="153"/>
      <c r="AW180" s="153"/>
      <c r="AX180" s="153"/>
      <c r="AY180" s="153"/>
      <c r="AZ180" s="153"/>
      <c r="BA180" s="153"/>
      <c r="BB180" s="158"/>
      <c r="BC180" s="153"/>
      <c r="BD180" s="153"/>
      <c r="BE180" s="153">
        <v>0.4</v>
      </c>
      <c r="BF180" s="153"/>
      <c r="BG180" s="153"/>
      <c r="BH180" s="153"/>
      <c r="BI180" s="153"/>
      <c r="BJ180" s="153"/>
      <c r="BK180" s="153"/>
      <c r="BL180" s="153"/>
      <c r="BM180" s="153"/>
      <c r="BN180" s="153"/>
      <c r="BO180" s="153"/>
      <c r="BP180" s="153"/>
      <c r="BQ180" s="153"/>
      <c r="BR180" s="153"/>
      <c r="BS180" s="153"/>
      <c r="BT180" s="153"/>
      <c r="BU180" s="153"/>
      <c r="BV180" s="153"/>
      <c r="BW180" s="153"/>
      <c r="BX180" s="153"/>
      <c r="BY180" s="153"/>
      <c r="BZ180" s="153"/>
      <c r="CA180" s="153"/>
      <c r="CB180" s="153"/>
      <c r="CC180" s="153"/>
      <c r="CD180" s="153"/>
      <c r="CE180" s="153"/>
      <c r="CF180" s="153"/>
      <c r="CG180" s="153"/>
      <c r="CH180" s="153"/>
      <c r="CI180" s="158"/>
      <c r="CJ180" s="153"/>
      <c r="CK180" s="153"/>
      <c r="CL180" s="153"/>
      <c r="CM180" s="153"/>
      <c r="CN180" s="158"/>
      <c r="CO180" s="153"/>
      <c r="CP180" s="153"/>
      <c r="CQ180" s="153"/>
    </row>
    <row r="181" spans="2:95" ht="14" x14ac:dyDescent="0.3">
      <c r="B181" s="146" t="str">
        <f>Table1[[#Headers],[Total Testes]]</f>
        <v>Total Testes</v>
      </c>
      <c r="C181" s="144" t="str">
        <f t="shared" si="117"/>
        <v>PROTECTION_RL_ESTT_CRTFCTN</v>
      </c>
      <c r="D181" s="143" t="s">
        <v>1114</v>
      </c>
      <c r="E181" s="143" t="s">
        <v>1440</v>
      </c>
      <c r="G181" s="160" t="e">
        <f>INDEX(Table1[[Especificação]:[Total Testes]],MATCH(PlanoV1.0!C181,Table1[CONCAT],0),MATCH(PlanoV1.0!B181,Table1[[#Headers],[Especificação]:[Total Testes]],0))</f>
        <v>#N/A</v>
      </c>
      <c r="H181" s="179" t="e">
        <f t="shared" si="111"/>
        <v>#N/A</v>
      </c>
      <c r="I181" s="181" t="e">
        <f t="shared" si="112"/>
        <v>#N/A</v>
      </c>
      <c r="J181" s="158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/>
      <c r="AW181" s="153"/>
      <c r="AX181" s="153"/>
      <c r="AY181" s="153"/>
      <c r="AZ181" s="153"/>
      <c r="BA181" s="153"/>
      <c r="BB181" s="158"/>
      <c r="BC181" s="153"/>
      <c r="BD181" s="153"/>
      <c r="BE181" s="153">
        <v>0.3</v>
      </c>
      <c r="BF181" s="153">
        <v>0.7</v>
      </c>
      <c r="BG181" s="153"/>
      <c r="BH181" s="153"/>
      <c r="BI181" s="153"/>
      <c r="BJ181" s="153"/>
      <c r="BK181" s="153"/>
      <c r="BL181" s="153"/>
      <c r="BM181" s="153"/>
      <c r="BN181" s="153"/>
      <c r="BO181" s="153"/>
      <c r="BP181" s="153"/>
      <c r="BQ181" s="153"/>
      <c r="BR181" s="153"/>
      <c r="BS181" s="153"/>
      <c r="BT181" s="153"/>
      <c r="BU181" s="153"/>
      <c r="BV181" s="153"/>
      <c r="BW181" s="153"/>
      <c r="BX181" s="153"/>
      <c r="BY181" s="153"/>
      <c r="BZ181" s="153"/>
      <c r="CA181" s="153"/>
      <c r="CB181" s="153"/>
      <c r="CC181" s="153"/>
      <c r="CD181" s="153"/>
      <c r="CE181" s="153"/>
      <c r="CF181" s="153"/>
      <c r="CG181" s="153"/>
      <c r="CH181" s="153"/>
      <c r="CI181" s="158"/>
      <c r="CJ181" s="153"/>
      <c r="CK181" s="153"/>
      <c r="CL181" s="153"/>
      <c r="CM181" s="153"/>
      <c r="CN181" s="158"/>
      <c r="CO181" s="153"/>
      <c r="CP181" s="153"/>
      <c r="CQ181" s="153"/>
    </row>
    <row r="182" spans="2:95" ht="14" x14ac:dyDescent="0.3">
      <c r="B182" s="146" t="str">
        <f>Table1[[#Headers],[Total Testes]]</f>
        <v>Total Testes</v>
      </c>
      <c r="C182" s="144" t="str">
        <f t="shared" si="117"/>
        <v>PROTECTION_TYP_VHCL</v>
      </c>
      <c r="D182" s="143" t="s">
        <v>1114</v>
      </c>
      <c r="E182" s="143" t="s">
        <v>1442</v>
      </c>
      <c r="G182" s="160" t="e">
        <f>INDEX(Table1[[Especificação]:[Total Testes]],MATCH(PlanoV1.0!C182,Table1[CONCAT],0),MATCH(PlanoV1.0!B182,Table1[[#Headers],[Especificação]:[Total Testes]],0))</f>
        <v>#N/A</v>
      </c>
      <c r="H182" s="179" t="e">
        <f t="shared" si="111"/>
        <v>#N/A</v>
      </c>
      <c r="I182" s="181" t="e">
        <f t="shared" si="112"/>
        <v>#N/A</v>
      </c>
      <c r="J182" s="158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8"/>
      <c r="BC182" s="153"/>
      <c r="BD182" s="153"/>
      <c r="BE182" s="153"/>
      <c r="BF182" s="153">
        <v>1</v>
      </c>
      <c r="BG182" s="153"/>
      <c r="BH182" s="153"/>
      <c r="BI182" s="153"/>
      <c r="BJ182" s="153"/>
      <c r="BK182" s="153"/>
      <c r="BL182" s="153"/>
      <c r="BM182" s="153"/>
      <c r="BN182" s="153"/>
      <c r="BO182" s="153"/>
      <c r="BP182" s="153"/>
      <c r="BQ182" s="153"/>
      <c r="BR182" s="153"/>
      <c r="BS182" s="153"/>
      <c r="BT182" s="153"/>
      <c r="BU182" s="153"/>
      <c r="BV182" s="153"/>
      <c r="BW182" s="153"/>
      <c r="BX182" s="153"/>
      <c r="BY182" s="153"/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8"/>
      <c r="CJ182" s="153"/>
      <c r="CK182" s="153"/>
      <c r="CL182" s="153"/>
      <c r="CM182" s="153"/>
      <c r="CN182" s="158"/>
      <c r="CO182" s="153"/>
      <c r="CP182" s="153"/>
      <c r="CQ182" s="153"/>
    </row>
    <row r="183" spans="2:95" ht="14" x14ac:dyDescent="0.3">
      <c r="B183" s="146" t="str">
        <f>Table1[[#Headers],[Total Testes]]</f>
        <v>Total Testes</v>
      </c>
      <c r="C183" s="144" t="str">
        <f t="shared" si="117"/>
        <v>PROTECTION_DT_RGSTRTN</v>
      </c>
      <c r="D183" s="143" t="s">
        <v>1114</v>
      </c>
      <c r="E183" s="143" t="s">
        <v>1444</v>
      </c>
      <c r="G183" s="160" t="e">
        <f>INDEX(Table1[[Especificação]:[Total Testes]],MATCH(PlanoV1.0!C183,Table1[CONCAT],0),MATCH(PlanoV1.0!B183,Table1[[#Headers],[Especificação]:[Total Testes]],0))</f>
        <v>#N/A</v>
      </c>
      <c r="H183" s="179" t="e">
        <f t="shared" ref="H183:H206" si="118">ROUNDUP(G183/8,1)</f>
        <v>#N/A</v>
      </c>
      <c r="I183" s="181" t="e">
        <f t="shared" ref="I183:I225" si="119">SUM(J183:CQ183)-H183</f>
        <v>#N/A</v>
      </c>
      <c r="J183" s="158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8"/>
      <c r="BC183" s="153"/>
      <c r="BD183" s="153"/>
      <c r="BE183" s="153"/>
      <c r="BF183" s="153">
        <v>0.3</v>
      </c>
      <c r="BG183" s="153">
        <v>0.7</v>
      </c>
      <c r="BH183" s="153"/>
      <c r="BI183" s="153"/>
      <c r="BJ183" s="153"/>
      <c r="BK183" s="153"/>
      <c r="BL183" s="153"/>
      <c r="BM183" s="153"/>
      <c r="BN183" s="153"/>
      <c r="BO183" s="153"/>
      <c r="BP183" s="153"/>
      <c r="BQ183" s="153"/>
      <c r="BR183" s="153"/>
      <c r="BS183" s="153"/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8"/>
      <c r="CJ183" s="153"/>
      <c r="CK183" s="153"/>
      <c r="CL183" s="153"/>
      <c r="CM183" s="153"/>
      <c r="CN183" s="158"/>
      <c r="CO183" s="153"/>
      <c r="CP183" s="153"/>
      <c r="CQ183" s="153"/>
    </row>
    <row r="184" spans="2:95" ht="14" x14ac:dyDescent="0.3">
      <c r="B184" s="146" t="str">
        <f>Table1[[#Headers],[Total Testes]]</f>
        <v>Total Testes</v>
      </c>
      <c r="C184" s="144" t="str">
        <f t="shared" si="117"/>
        <v>PROTECTION_PRMRY_ENRGY_DMND_NN_RNWBL</v>
      </c>
      <c r="D184" s="143" t="s">
        <v>1114</v>
      </c>
      <c r="E184" s="143" t="s">
        <v>1446</v>
      </c>
      <c r="G184" s="160" t="e">
        <f>INDEX(Table1[[Especificação]:[Total Testes]],MATCH(PlanoV1.0!C184,Table1[CONCAT],0),MATCH(PlanoV1.0!B184,Table1[[#Headers],[Especificação]:[Total Testes]],0))</f>
        <v>#N/A</v>
      </c>
      <c r="H184" s="179" t="e">
        <f t="shared" si="118"/>
        <v>#N/A</v>
      </c>
      <c r="I184" s="181" t="e">
        <f t="shared" si="119"/>
        <v>#N/A</v>
      </c>
      <c r="J184" s="158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8"/>
      <c r="BC184" s="153"/>
      <c r="BD184" s="153"/>
      <c r="BE184" s="153"/>
      <c r="BF184" s="153"/>
      <c r="BG184" s="153">
        <v>0.8</v>
      </c>
      <c r="BH184" s="153"/>
      <c r="BI184" s="153"/>
      <c r="BJ184" s="153"/>
      <c r="BK184" s="153"/>
      <c r="BL184" s="153"/>
      <c r="BM184" s="153"/>
      <c r="BN184" s="153"/>
      <c r="BO184" s="153"/>
      <c r="BP184" s="153"/>
      <c r="BQ184" s="153"/>
      <c r="BR184" s="153"/>
      <c r="BS184" s="153"/>
      <c r="BT184" s="153"/>
      <c r="BU184" s="153"/>
      <c r="BV184" s="153"/>
      <c r="BW184" s="153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58"/>
      <c r="CJ184" s="153"/>
      <c r="CK184" s="153"/>
      <c r="CL184" s="153"/>
      <c r="CM184" s="153"/>
      <c r="CN184" s="158"/>
      <c r="CO184" s="153"/>
      <c r="CP184" s="153"/>
      <c r="CQ184" s="153"/>
    </row>
    <row r="185" spans="2:95" ht="14" x14ac:dyDescent="0.3">
      <c r="B185" s="146" t="str">
        <f>Table1[[#Headers],[Total Testes]]</f>
        <v>Total Testes</v>
      </c>
      <c r="C185" s="144" t="str">
        <f t="shared" si="117"/>
        <v>PROTECTION_PRMRY_ENRGY_DMND_TTL</v>
      </c>
      <c r="D185" s="143" t="s">
        <v>1114</v>
      </c>
      <c r="E185" s="143" t="s">
        <v>1448</v>
      </c>
      <c r="G185" s="160" t="e">
        <f>INDEX(Table1[[Especificação]:[Total Testes]],MATCH(PlanoV1.0!C185,Table1[CONCAT],0),MATCH(PlanoV1.0!B185,Table1[[#Headers],[Especificação]:[Total Testes]],0))</f>
        <v>#N/A</v>
      </c>
      <c r="H185" s="179" t="e">
        <f t="shared" si="118"/>
        <v>#N/A</v>
      </c>
      <c r="I185" s="181" t="e">
        <f t="shared" si="119"/>
        <v>#N/A</v>
      </c>
      <c r="J185" s="158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/>
      <c r="AW185" s="153"/>
      <c r="AX185" s="153"/>
      <c r="AY185" s="153"/>
      <c r="AZ185" s="153"/>
      <c r="BA185" s="153"/>
      <c r="BB185" s="158"/>
      <c r="BC185" s="153"/>
      <c r="BD185" s="153"/>
      <c r="BE185" s="153"/>
      <c r="BF185" s="153"/>
      <c r="BG185" s="153">
        <v>0.5</v>
      </c>
      <c r="BH185" s="153">
        <v>0.5</v>
      </c>
      <c r="BI185" s="153"/>
      <c r="BJ185" s="153"/>
      <c r="BK185" s="153"/>
      <c r="BL185" s="153"/>
      <c r="BM185" s="153"/>
      <c r="BN185" s="153"/>
      <c r="BO185" s="153"/>
      <c r="BP185" s="153"/>
      <c r="BQ185" s="153"/>
      <c r="BR185" s="153"/>
      <c r="BS185" s="153"/>
      <c r="BT185" s="153"/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8"/>
      <c r="CJ185" s="153"/>
      <c r="CK185" s="153"/>
      <c r="CL185" s="153"/>
      <c r="CM185" s="153"/>
      <c r="CN185" s="158"/>
      <c r="CO185" s="153"/>
      <c r="CP185" s="153"/>
      <c r="CQ185" s="153"/>
    </row>
    <row r="186" spans="2:95" ht="14" x14ac:dyDescent="0.3">
      <c r="B186" s="146" t="str">
        <f>Table1[[#Headers],[Total Testes]]</f>
        <v>Total Testes</v>
      </c>
      <c r="C186" s="144" t="str">
        <f t="shared" si="117"/>
        <v>PROTECTION_PRMRY_ENRGY_DMND_RFRNC_VL</v>
      </c>
      <c r="D186" s="143" t="s">
        <v>1114</v>
      </c>
      <c r="E186" s="143" t="s">
        <v>1450</v>
      </c>
      <c r="G186" s="160" t="e">
        <f>INDEX(Table1[[Especificação]:[Total Testes]],MATCH(PlanoV1.0!C186,Table1[CONCAT],0),MATCH(PlanoV1.0!B186,Table1[[#Headers],[Especificação]:[Total Testes]],0))</f>
        <v>#N/A</v>
      </c>
      <c r="H186" s="179" t="e">
        <f t="shared" si="118"/>
        <v>#N/A</v>
      </c>
      <c r="I186" s="181" t="e">
        <f t="shared" si="119"/>
        <v>#N/A</v>
      </c>
      <c r="J186" s="158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53"/>
      <c r="AS186" s="153"/>
      <c r="AT186" s="153"/>
      <c r="AU186" s="153"/>
      <c r="AV186" s="153"/>
      <c r="AW186" s="153"/>
      <c r="AX186" s="153"/>
      <c r="AY186" s="153"/>
      <c r="AZ186" s="153"/>
      <c r="BA186" s="153"/>
      <c r="BB186" s="158"/>
      <c r="BC186" s="153"/>
      <c r="BD186" s="153"/>
      <c r="BE186" s="153"/>
      <c r="BF186" s="153"/>
      <c r="BG186" s="153"/>
      <c r="BH186" s="153">
        <v>1</v>
      </c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8"/>
      <c r="CJ186" s="153"/>
      <c r="CK186" s="153"/>
      <c r="CL186" s="153"/>
      <c r="CM186" s="153"/>
      <c r="CN186" s="158"/>
      <c r="CO186" s="153"/>
      <c r="CP186" s="153"/>
      <c r="CQ186" s="153"/>
    </row>
    <row r="187" spans="2:95" ht="14" x14ac:dyDescent="0.3">
      <c r="B187" s="146" t="str">
        <f>Table1[[#Headers],[Total Testes]]</f>
        <v>Total Testes</v>
      </c>
      <c r="C187" s="144" t="str">
        <f t="shared" si="117"/>
        <v>PROTECTION_RL_ESTT_CLMT_ZN</v>
      </c>
      <c r="D187" s="143" t="s">
        <v>1114</v>
      </c>
      <c r="E187" s="143" t="s">
        <v>1452</v>
      </c>
      <c r="G187" s="160" t="e">
        <f>INDEX(Table1[[Especificação]:[Total Testes]],MATCH(PlanoV1.0!C187,Table1[CONCAT],0),MATCH(PlanoV1.0!B187,Table1[[#Headers],[Especificação]:[Total Testes]],0))</f>
        <v>#N/A</v>
      </c>
      <c r="H187" s="179" t="e">
        <f t="shared" si="118"/>
        <v>#N/A</v>
      </c>
      <c r="I187" s="181" t="e">
        <f t="shared" si="119"/>
        <v>#N/A</v>
      </c>
      <c r="J187" s="158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8"/>
      <c r="BC187" s="153"/>
      <c r="BD187" s="153"/>
      <c r="BE187" s="153"/>
      <c r="BF187" s="153"/>
      <c r="BG187" s="153"/>
      <c r="BH187" s="153">
        <v>0.5</v>
      </c>
      <c r="BI187" s="153">
        <v>0.5</v>
      </c>
      <c r="BJ187" s="153"/>
      <c r="BK187" s="153"/>
      <c r="BL187" s="153"/>
      <c r="BM187" s="153"/>
      <c r="BN187" s="153"/>
      <c r="BO187" s="153"/>
      <c r="BP187" s="153"/>
      <c r="BQ187" s="153"/>
      <c r="BR187" s="153"/>
      <c r="BS187" s="153"/>
      <c r="BT187" s="153"/>
      <c r="BU187" s="153"/>
      <c r="BV187" s="153"/>
      <c r="BW187" s="153"/>
      <c r="BX187" s="153"/>
      <c r="BY187" s="153"/>
      <c r="BZ187" s="153"/>
      <c r="CA187" s="153"/>
      <c r="CB187" s="153"/>
      <c r="CC187" s="153"/>
      <c r="CD187" s="153"/>
      <c r="CE187" s="153"/>
      <c r="CF187" s="153"/>
      <c r="CG187" s="153"/>
      <c r="CH187" s="153"/>
      <c r="CI187" s="158"/>
      <c r="CJ187" s="153"/>
      <c r="CK187" s="153"/>
      <c r="CL187" s="153"/>
      <c r="CM187" s="153"/>
      <c r="CN187" s="158"/>
      <c r="CO187" s="153"/>
      <c r="CP187" s="153"/>
      <c r="CQ187" s="153"/>
    </row>
    <row r="188" spans="2:95" ht="14" x14ac:dyDescent="0.3">
      <c r="B188" s="146" t="str">
        <f>Table1[[#Headers],[Total Testes]]</f>
        <v>Total Testes</v>
      </c>
      <c r="C188" s="144" t="str">
        <f t="shared" si="117"/>
        <v>INSTR_ACTIVITY_COD_SOC</v>
      </c>
      <c r="D188" s="143" t="s">
        <v>1458</v>
      </c>
      <c r="E188" s="143" t="s">
        <v>12</v>
      </c>
      <c r="G188" s="160">
        <f>INDEX(Table1[[Especificação]:[Total Testes]],MATCH(PlanoV1.0!C188,Table1[CONCAT],0),MATCH(PlanoV1.0!B188,Table1[[#Headers],[Especificação]:[Total Testes]],0))</f>
        <v>2.5</v>
      </c>
      <c r="H188" s="179">
        <f t="shared" si="118"/>
        <v>0.4</v>
      </c>
      <c r="I188" s="181">
        <f t="shared" si="119"/>
        <v>0</v>
      </c>
      <c r="J188" s="158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/>
      <c r="AQ188" s="153"/>
      <c r="AR188" s="153"/>
      <c r="AS188" s="153"/>
      <c r="AT188" s="153"/>
      <c r="AU188" s="153"/>
      <c r="AV188" s="153"/>
      <c r="AW188" s="153"/>
      <c r="AX188" s="153"/>
      <c r="AY188" s="153"/>
      <c r="AZ188" s="153"/>
      <c r="BA188" s="153"/>
      <c r="BB188" s="158"/>
      <c r="BC188" s="153"/>
      <c r="BD188" s="153"/>
      <c r="BE188" s="153"/>
      <c r="BF188" s="153"/>
      <c r="BG188" s="153"/>
      <c r="BH188" s="153"/>
      <c r="BI188" s="153">
        <v>0.4</v>
      </c>
      <c r="BJ188" s="153"/>
      <c r="BK188" s="153"/>
      <c r="BL188" s="153"/>
      <c r="BM188" s="153"/>
      <c r="BN188" s="153"/>
      <c r="BO188" s="153"/>
      <c r="BP188" s="153"/>
      <c r="BQ188" s="153"/>
      <c r="BR188" s="153"/>
      <c r="BS188" s="153"/>
      <c r="BT188" s="153"/>
      <c r="BU188" s="153"/>
      <c r="BV188" s="153"/>
      <c r="BW188" s="153"/>
      <c r="BX188" s="153"/>
      <c r="BY188" s="153"/>
      <c r="BZ188" s="153"/>
      <c r="CA188" s="153"/>
      <c r="CB188" s="153"/>
      <c r="CC188" s="153"/>
      <c r="CD188" s="153"/>
      <c r="CE188" s="153"/>
      <c r="CF188" s="153"/>
      <c r="CG188" s="153"/>
      <c r="CH188" s="153"/>
      <c r="CI188" s="158"/>
      <c r="CJ188" s="153"/>
      <c r="CK188" s="153"/>
      <c r="CL188" s="153"/>
      <c r="CM188" s="153"/>
      <c r="CN188" s="158"/>
      <c r="CO188" s="153"/>
      <c r="CP188" s="153"/>
      <c r="CQ188" s="153"/>
    </row>
    <row r="189" spans="2:95" ht="14" x14ac:dyDescent="0.3">
      <c r="B189" s="146" t="str">
        <f>Table1[[#Headers],[Total Testes]]</f>
        <v>Total Testes</v>
      </c>
      <c r="C189" s="144" t="str">
        <f t="shared" si="117"/>
        <v>INSTR_ACTIVITY_DT_RFRNC</v>
      </c>
      <c r="D189" s="143" t="s">
        <v>1458</v>
      </c>
      <c r="E189" s="143" t="s">
        <v>38</v>
      </c>
      <c r="G189" s="160">
        <f>INDEX(Table1[[Especificação]:[Total Testes]],MATCH(PlanoV1.0!C189,Table1[CONCAT],0),MATCH(PlanoV1.0!B189,Table1[[#Headers],[Especificação]:[Total Testes]],0))</f>
        <v>2.5</v>
      </c>
      <c r="H189" s="179">
        <f t="shared" si="118"/>
        <v>0.4</v>
      </c>
      <c r="I189" s="181">
        <f t="shared" si="119"/>
        <v>0</v>
      </c>
      <c r="J189" s="158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8"/>
      <c r="BC189" s="153"/>
      <c r="BD189" s="153"/>
      <c r="BE189" s="153"/>
      <c r="BF189" s="153"/>
      <c r="BG189" s="153"/>
      <c r="BH189" s="153"/>
      <c r="BI189" s="153">
        <v>0.4</v>
      </c>
      <c r="BJ189" s="153"/>
      <c r="BK189" s="153"/>
      <c r="BL189" s="153"/>
      <c r="BM189" s="153"/>
      <c r="BN189" s="153"/>
      <c r="BO189" s="153"/>
      <c r="BP189" s="153"/>
      <c r="BQ189" s="153"/>
      <c r="BR189" s="153"/>
      <c r="BS189" s="153"/>
      <c r="BT189" s="153"/>
      <c r="BU189" s="153"/>
      <c r="BV189" s="153"/>
      <c r="BW189" s="153"/>
      <c r="BX189" s="153"/>
      <c r="BY189" s="153"/>
      <c r="BZ189" s="153"/>
      <c r="CA189" s="153"/>
      <c r="CB189" s="153"/>
      <c r="CC189" s="153"/>
      <c r="CD189" s="153"/>
      <c r="CE189" s="153"/>
      <c r="CF189" s="153"/>
      <c r="CG189" s="153"/>
      <c r="CH189" s="153"/>
      <c r="CI189" s="158"/>
      <c r="CJ189" s="153"/>
      <c r="CK189" s="153"/>
      <c r="CL189" s="153"/>
      <c r="CM189" s="153"/>
      <c r="CN189" s="158"/>
      <c r="CO189" s="153"/>
      <c r="CP189" s="153"/>
      <c r="CQ189" s="153"/>
    </row>
    <row r="190" spans="2:95" ht="14" x14ac:dyDescent="0.3">
      <c r="B190" s="146" t="str">
        <f>Table1[[#Headers],[Total Testes]]</f>
        <v>Total Testes</v>
      </c>
      <c r="C190" s="144" t="str">
        <f t="shared" si="117"/>
        <v>INSTR_ACTIVITY_INSTRMNT_ID</v>
      </c>
      <c r="D190" s="143" t="s">
        <v>1458</v>
      </c>
      <c r="E190" s="143" t="s">
        <v>405</v>
      </c>
      <c r="G190" s="160">
        <f>INDEX(Table1[[Especificação]:[Total Testes]],MATCH(PlanoV1.0!C190,Table1[CONCAT],0),MATCH(PlanoV1.0!B190,Table1[[#Headers],[Especificação]:[Total Testes]],0))</f>
        <v>2.5</v>
      </c>
      <c r="H190" s="179">
        <f t="shared" si="118"/>
        <v>0.4</v>
      </c>
      <c r="I190" s="181">
        <f t="shared" si="119"/>
        <v>0</v>
      </c>
      <c r="J190" s="158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  <c r="AV190" s="153"/>
      <c r="AW190" s="153"/>
      <c r="AX190" s="153"/>
      <c r="AY190" s="153"/>
      <c r="AZ190" s="153"/>
      <c r="BA190" s="153"/>
      <c r="BB190" s="158"/>
      <c r="BC190" s="153"/>
      <c r="BD190" s="153"/>
      <c r="BE190" s="153"/>
      <c r="BF190" s="153"/>
      <c r="BG190" s="153"/>
      <c r="BH190" s="153"/>
      <c r="BI190" s="153">
        <v>0.4</v>
      </c>
      <c r="BJ190" s="153"/>
      <c r="BK190" s="153"/>
      <c r="BL190" s="153"/>
      <c r="BM190" s="153"/>
      <c r="BN190" s="153"/>
      <c r="BO190" s="153"/>
      <c r="BP190" s="153"/>
      <c r="BQ190" s="153"/>
      <c r="BR190" s="153"/>
      <c r="BS190" s="153"/>
      <c r="BT190" s="153"/>
      <c r="BU190" s="153"/>
      <c r="BV190" s="153"/>
      <c r="BW190" s="153"/>
      <c r="BX190" s="153"/>
      <c r="BY190" s="153"/>
      <c r="BZ190" s="153"/>
      <c r="CA190" s="153"/>
      <c r="CB190" s="153"/>
      <c r="CC190" s="153"/>
      <c r="CD190" s="153"/>
      <c r="CE190" s="153"/>
      <c r="CF190" s="153"/>
      <c r="CG190" s="153"/>
      <c r="CH190" s="153"/>
      <c r="CI190" s="158"/>
      <c r="CJ190" s="153"/>
      <c r="CK190" s="153"/>
      <c r="CL190" s="153"/>
      <c r="CM190" s="153"/>
      <c r="CN190" s="158"/>
      <c r="CO190" s="153"/>
      <c r="CP190" s="153"/>
      <c r="CQ190" s="153"/>
    </row>
    <row r="191" spans="2:95" ht="14" x14ac:dyDescent="0.3">
      <c r="B191" s="146" t="str">
        <f>Table1[[#Headers],[Total Testes]]</f>
        <v>Total Testes</v>
      </c>
      <c r="C191" s="144" t="str">
        <f t="shared" si="117"/>
        <v>INSTR_ACTIVITY_PRCNTG_ACTVTY</v>
      </c>
      <c r="D191" s="143" t="s">
        <v>1458</v>
      </c>
      <c r="E191" s="143" t="s">
        <v>1464</v>
      </c>
      <c r="G191" s="160">
        <f>INDEX(Table1[[Especificação]:[Total Testes]],MATCH(PlanoV1.0!C191,Table1[CONCAT],0),MATCH(PlanoV1.0!B191,Table1[[#Headers],[Especificação]:[Total Testes]],0))</f>
        <v>2.5</v>
      </c>
      <c r="H191" s="179">
        <f t="shared" si="118"/>
        <v>0.4</v>
      </c>
      <c r="I191" s="181">
        <f t="shared" si="119"/>
        <v>0.19999999999999996</v>
      </c>
      <c r="J191" s="158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53"/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8"/>
      <c r="BC191" s="153"/>
      <c r="BD191" s="153"/>
      <c r="BE191" s="153"/>
      <c r="BF191" s="153"/>
      <c r="BG191" s="153"/>
      <c r="BH191" s="153"/>
      <c r="BI191" s="153">
        <v>0.3</v>
      </c>
      <c r="BJ191" s="153">
        <v>0.3</v>
      </c>
      <c r="BK191" s="153"/>
      <c r="BL191" s="153"/>
      <c r="BM191" s="153"/>
      <c r="BN191" s="153"/>
      <c r="BO191" s="153"/>
      <c r="BP191" s="153"/>
      <c r="BQ191" s="153"/>
      <c r="BR191" s="153"/>
      <c r="BS191" s="153"/>
      <c r="BT191" s="153"/>
      <c r="BU191" s="153"/>
      <c r="BV191" s="153"/>
      <c r="BW191" s="153"/>
      <c r="BX191" s="153"/>
      <c r="BY191" s="153"/>
      <c r="BZ191" s="153"/>
      <c r="CA191" s="153"/>
      <c r="CB191" s="153"/>
      <c r="CC191" s="153"/>
      <c r="CD191" s="153"/>
      <c r="CE191" s="153"/>
      <c r="CF191" s="153"/>
      <c r="CG191" s="153"/>
      <c r="CH191" s="153"/>
      <c r="CI191" s="158"/>
      <c r="CJ191" s="153"/>
      <c r="CK191" s="153"/>
      <c r="CL191" s="153"/>
      <c r="CM191" s="153"/>
      <c r="CN191" s="158"/>
      <c r="CO191" s="153"/>
      <c r="CP191" s="153"/>
      <c r="CQ191" s="153"/>
    </row>
    <row r="192" spans="2:95" ht="14" x14ac:dyDescent="0.3">
      <c r="B192" s="146" t="str">
        <f>Table1[[#Headers],[Total Testes]]</f>
        <v>Total Testes</v>
      </c>
      <c r="C192" s="144" t="str">
        <f t="shared" si="117"/>
        <v>INSTR_ACTIVITY_FLG_SBSTNTL_CNTRBTN</v>
      </c>
      <c r="D192" s="143" t="s">
        <v>1458</v>
      </c>
      <c r="E192" s="143" t="s">
        <v>1467</v>
      </c>
      <c r="G192" s="160" t="e">
        <f>INDEX(Table1[[Especificação]:[Total Testes]],MATCH(PlanoV1.0!C192,Table1[CONCAT],0),MATCH(PlanoV1.0!B192,Table1[[#Headers],[Especificação]:[Total Testes]],0))</f>
        <v>#N/A</v>
      </c>
      <c r="H192" s="179" t="e">
        <f t="shared" si="118"/>
        <v>#N/A</v>
      </c>
      <c r="I192" s="181" t="e">
        <f t="shared" si="119"/>
        <v>#N/A</v>
      </c>
      <c r="J192" s="158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/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8"/>
      <c r="BC192" s="153"/>
      <c r="BD192" s="153"/>
      <c r="BE192" s="153"/>
      <c r="BF192" s="153"/>
      <c r="BG192" s="153"/>
      <c r="BH192" s="153"/>
      <c r="BI192" s="153"/>
      <c r="BJ192" s="153">
        <v>0.7</v>
      </c>
      <c r="BK192" s="153"/>
      <c r="BL192" s="153"/>
      <c r="BM192" s="153"/>
      <c r="BN192" s="153"/>
      <c r="BO192" s="153"/>
      <c r="BP192" s="153"/>
      <c r="BQ192" s="153"/>
      <c r="BR192" s="153"/>
      <c r="BS192" s="153"/>
      <c r="BT192" s="153"/>
      <c r="BU192" s="153"/>
      <c r="BV192" s="153"/>
      <c r="BW192" s="153"/>
      <c r="BX192" s="153"/>
      <c r="BY192" s="153"/>
      <c r="BZ192" s="153"/>
      <c r="CA192" s="153"/>
      <c r="CB192" s="153"/>
      <c r="CC192" s="153"/>
      <c r="CD192" s="153"/>
      <c r="CE192" s="153"/>
      <c r="CF192" s="153"/>
      <c r="CG192" s="153"/>
      <c r="CH192" s="153"/>
      <c r="CI192" s="158"/>
      <c r="CJ192" s="153"/>
      <c r="CK192" s="153"/>
      <c r="CL192" s="153"/>
      <c r="CM192" s="153"/>
      <c r="CN192" s="158"/>
      <c r="CO192" s="153"/>
      <c r="CP192" s="153"/>
      <c r="CQ192" s="153"/>
    </row>
    <row r="193" spans="2:95" ht="14" x14ac:dyDescent="0.3">
      <c r="B193" s="146" t="str">
        <f>Table1[[#Headers],[Total Testes]]</f>
        <v>Total Testes</v>
      </c>
      <c r="C193" s="144" t="str">
        <f t="shared" si="117"/>
        <v>INSTR_ACTIVITY_FLG_DNSH_CMPLNC</v>
      </c>
      <c r="D193" s="143" t="s">
        <v>1458</v>
      </c>
      <c r="E193" s="143" t="s">
        <v>1469</v>
      </c>
      <c r="G193" s="160" t="e">
        <f>INDEX(Table1[[Especificação]:[Total Testes]],MATCH(PlanoV1.0!C193,Table1[CONCAT],0),MATCH(PlanoV1.0!B193,Table1[[#Headers],[Especificação]:[Total Testes]],0))</f>
        <v>#N/A</v>
      </c>
      <c r="H193" s="179" t="e">
        <f t="shared" si="118"/>
        <v>#N/A</v>
      </c>
      <c r="I193" s="181" t="e">
        <f t="shared" si="119"/>
        <v>#N/A</v>
      </c>
      <c r="J193" s="158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s="153"/>
      <c r="AV193" s="153"/>
      <c r="AW193" s="153"/>
      <c r="AX193" s="153"/>
      <c r="AY193" s="153"/>
      <c r="AZ193" s="153"/>
      <c r="BA193" s="153"/>
      <c r="BB193" s="158"/>
      <c r="BC193" s="153"/>
      <c r="BD193" s="153"/>
      <c r="BE193" s="153"/>
      <c r="BF193" s="153"/>
      <c r="BG193" s="153"/>
      <c r="BH193" s="153"/>
      <c r="BI193" s="153"/>
      <c r="BJ193" s="153">
        <v>0.9</v>
      </c>
      <c r="BK193" s="153"/>
      <c r="BL193" s="153"/>
      <c r="BM193" s="153"/>
      <c r="BN193" s="153"/>
      <c r="BO193" s="153"/>
      <c r="BP193" s="153"/>
      <c r="BQ193" s="153"/>
      <c r="BR193" s="153"/>
      <c r="BS193" s="153"/>
      <c r="BT193" s="153"/>
      <c r="BU193" s="153"/>
      <c r="BV193" s="153"/>
      <c r="BW193" s="153"/>
      <c r="BX193" s="153"/>
      <c r="BY193" s="153"/>
      <c r="BZ193" s="153"/>
      <c r="CA193" s="153"/>
      <c r="CB193" s="153"/>
      <c r="CC193" s="153"/>
      <c r="CD193" s="153"/>
      <c r="CE193" s="153"/>
      <c r="CF193" s="153"/>
      <c r="CG193" s="153"/>
      <c r="CH193" s="153"/>
      <c r="CI193" s="158"/>
      <c r="CJ193" s="153"/>
      <c r="CK193" s="153"/>
      <c r="CL193" s="153"/>
      <c r="CM193" s="153"/>
      <c r="CN193" s="158"/>
      <c r="CO193" s="153"/>
      <c r="CP193" s="153"/>
      <c r="CQ193" s="153"/>
    </row>
    <row r="194" spans="2:95" ht="14" x14ac:dyDescent="0.3">
      <c r="B194" s="146" t="str">
        <f>Table1[[#Headers],[Total Testes]]</f>
        <v>Total Testes</v>
      </c>
      <c r="C194" s="144" t="str">
        <f t="shared" si="117"/>
        <v>INSTR_ACTIVITY_DNSH_DTL</v>
      </c>
      <c r="D194" s="143" t="s">
        <v>1458</v>
      </c>
      <c r="E194" s="143" t="s">
        <v>1471</v>
      </c>
      <c r="G194" s="160" t="e">
        <f>INDEX(Table1[[Especificação]:[Total Testes]],MATCH(PlanoV1.0!C194,Table1[CONCAT],0),MATCH(PlanoV1.0!B194,Table1[[#Headers],[Especificação]:[Total Testes]],0))</f>
        <v>#N/A</v>
      </c>
      <c r="H194" s="179" t="e">
        <f t="shared" si="118"/>
        <v>#N/A</v>
      </c>
      <c r="I194" s="181" t="e">
        <f t="shared" si="119"/>
        <v>#N/A</v>
      </c>
      <c r="J194" s="158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/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8"/>
      <c r="BC194" s="153"/>
      <c r="BD194" s="153"/>
      <c r="BE194" s="153"/>
      <c r="BF194" s="153"/>
      <c r="BG194" s="153"/>
      <c r="BH194" s="153"/>
      <c r="BI194" s="153"/>
      <c r="BJ194" s="153">
        <v>0.1</v>
      </c>
      <c r="BK194" s="153">
        <v>0.9</v>
      </c>
      <c r="BL194" s="153"/>
      <c r="BM194" s="153"/>
      <c r="BN194" s="153"/>
      <c r="BO194" s="153"/>
      <c r="BP194" s="153"/>
      <c r="BQ194" s="153"/>
      <c r="BR194" s="153"/>
      <c r="BS194" s="153"/>
      <c r="BT194" s="153"/>
      <c r="BU194" s="153"/>
      <c r="BV194" s="153"/>
      <c r="BW194" s="153"/>
      <c r="BX194" s="153"/>
      <c r="BY194" s="153"/>
      <c r="BZ194" s="153"/>
      <c r="CA194" s="153"/>
      <c r="CB194" s="153"/>
      <c r="CC194" s="153"/>
      <c r="CD194" s="153"/>
      <c r="CE194" s="153"/>
      <c r="CF194" s="153"/>
      <c r="CG194" s="153"/>
      <c r="CH194" s="153"/>
      <c r="CI194" s="158"/>
      <c r="CJ194" s="153"/>
      <c r="CK194" s="153"/>
      <c r="CL194" s="153"/>
      <c r="CM194" s="153"/>
      <c r="CN194" s="158"/>
      <c r="CO194" s="153"/>
      <c r="CP194" s="153"/>
      <c r="CQ194" s="153"/>
    </row>
    <row r="195" spans="2:95" ht="14" x14ac:dyDescent="0.3">
      <c r="B195" s="146" t="str">
        <f>Table1[[#Headers],[Total Testes]]</f>
        <v>Total Testes</v>
      </c>
      <c r="C195" s="144" t="str">
        <f t="shared" si="117"/>
        <v>ENTITY_GRP_ECNMC_ACTVTY</v>
      </c>
      <c r="D195" s="143" t="s">
        <v>10</v>
      </c>
      <c r="E195" s="143" t="s">
        <v>382</v>
      </c>
      <c r="G195" s="160" t="e">
        <f>INDEX(Table1[[Especificação]:[Total Testes]],MATCH(PlanoV1.0!C195,Table1[CONCAT],0),MATCH(PlanoV1.0!B195,Table1[[#Headers],[Especificação]:[Total Testes]],0))</f>
        <v>#N/A</v>
      </c>
      <c r="H195" s="179" t="e">
        <f t="shared" si="118"/>
        <v>#N/A</v>
      </c>
      <c r="I195" s="181" t="e">
        <f t="shared" si="119"/>
        <v>#N/A</v>
      </c>
      <c r="J195" s="158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/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8"/>
      <c r="BC195" s="153"/>
      <c r="BD195" s="153"/>
      <c r="BE195" s="153"/>
      <c r="BF195" s="153"/>
      <c r="BG195" s="153"/>
      <c r="BH195" s="153"/>
      <c r="BI195" s="153"/>
      <c r="BJ195" s="153"/>
      <c r="BK195" s="153">
        <v>0.5</v>
      </c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  <c r="BZ195" s="153"/>
      <c r="CA195" s="153"/>
      <c r="CB195" s="153"/>
      <c r="CC195" s="153"/>
      <c r="CD195" s="153"/>
      <c r="CE195" s="153"/>
      <c r="CF195" s="153"/>
      <c r="CG195" s="153"/>
      <c r="CH195" s="153"/>
      <c r="CI195" s="158"/>
      <c r="CJ195" s="153"/>
      <c r="CK195" s="153"/>
      <c r="CL195" s="153"/>
      <c r="CM195" s="153"/>
      <c r="CN195" s="158"/>
      <c r="CO195" s="153"/>
      <c r="CP195" s="153"/>
      <c r="CQ195" s="153"/>
    </row>
    <row r="196" spans="2:95" ht="14" x14ac:dyDescent="0.3">
      <c r="B196" s="146" t="str">
        <f>Table1[[#Headers],[Total Testes]]</f>
        <v>Total Testes</v>
      </c>
      <c r="C196" s="144" t="str">
        <f t="shared" si="117"/>
        <v>PROTECTION_TYP_EMSSNS_LBL</v>
      </c>
      <c r="D196" s="143" t="s">
        <v>1114</v>
      </c>
      <c r="E196" s="143" t="s">
        <v>1235</v>
      </c>
      <c r="G196" s="160" t="e">
        <f>INDEX(Table1[[Especificação]:[Total Testes]],MATCH(PlanoV1.0!C196,Table1[CONCAT],0),MATCH(PlanoV1.0!B196,Table1[[#Headers],[Especificação]:[Total Testes]],0))</f>
        <v>#N/A</v>
      </c>
      <c r="H196" s="179" t="e">
        <f t="shared" si="118"/>
        <v>#N/A</v>
      </c>
      <c r="I196" s="181" t="e">
        <f t="shared" si="119"/>
        <v>#N/A</v>
      </c>
      <c r="J196" s="158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8"/>
      <c r="BC196" s="153"/>
      <c r="BD196" s="153"/>
      <c r="BE196" s="153"/>
      <c r="BF196" s="153"/>
      <c r="BG196" s="153"/>
      <c r="BH196" s="153"/>
      <c r="BI196" s="153"/>
      <c r="BJ196" s="153"/>
      <c r="BK196" s="153">
        <v>0.6</v>
      </c>
      <c r="BL196" s="153">
        <v>0.1</v>
      </c>
      <c r="BM196" s="153"/>
      <c r="BN196" s="153"/>
      <c r="BO196" s="153"/>
      <c r="BP196" s="153"/>
      <c r="BQ196" s="153"/>
      <c r="BR196" s="153"/>
      <c r="BS196" s="153"/>
      <c r="BT196" s="153"/>
      <c r="BU196" s="153"/>
      <c r="BV196" s="153"/>
      <c r="BW196" s="153"/>
      <c r="BX196" s="153"/>
      <c r="BY196" s="153"/>
      <c r="BZ196" s="153"/>
      <c r="CA196" s="153"/>
      <c r="CB196" s="153"/>
      <c r="CC196" s="153"/>
      <c r="CD196" s="153"/>
      <c r="CE196" s="153"/>
      <c r="CF196" s="153"/>
      <c r="CG196" s="153"/>
      <c r="CH196" s="153"/>
      <c r="CI196" s="158"/>
      <c r="CJ196" s="153"/>
      <c r="CK196" s="153"/>
      <c r="CL196" s="153"/>
      <c r="CM196" s="153"/>
      <c r="CN196" s="158"/>
      <c r="CO196" s="153"/>
      <c r="CP196" s="153"/>
      <c r="CQ196" s="153"/>
    </row>
    <row r="197" spans="2:95" ht="14" x14ac:dyDescent="0.3">
      <c r="B197" s="146" t="str">
        <f>Table1[[#Headers],[Total Testes]]</f>
        <v>Total Testes</v>
      </c>
      <c r="C197" s="144" t="str">
        <f t="shared" si="117"/>
        <v>PROTECTION_EPC_EMSSNS_LBL</v>
      </c>
      <c r="D197" s="143" t="s">
        <v>1114</v>
      </c>
      <c r="E197" s="143" t="s">
        <v>1238</v>
      </c>
      <c r="G197" s="160" t="e">
        <f>INDEX(Table1[[Especificação]:[Total Testes]],MATCH(PlanoV1.0!C197,Table1[CONCAT],0),MATCH(PlanoV1.0!B197,Table1[[#Headers],[Especificação]:[Total Testes]],0))</f>
        <v>#N/A</v>
      </c>
      <c r="H197" s="179" t="e">
        <f t="shared" si="118"/>
        <v>#N/A</v>
      </c>
      <c r="I197" s="181" t="e">
        <f t="shared" si="119"/>
        <v>#N/A</v>
      </c>
      <c r="J197" s="158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8"/>
      <c r="BC197" s="153"/>
      <c r="BD197" s="153"/>
      <c r="BE197" s="153"/>
      <c r="BF197" s="153"/>
      <c r="BG197" s="153"/>
      <c r="BH197" s="153"/>
      <c r="BI197" s="153"/>
      <c r="BJ197" s="153"/>
      <c r="BK197" s="153"/>
      <c r="BL197" s="153">
        <v>0.5</v>
      </c>
      <c r="BM197" s="153"/>
      <c r="BN197" s="153"/>
      <c r="BO197" s="153"/>
      <c r="BP197" s="153"/>
      <c r="BQ197" s="153"/>
      <c r="BR197" s="153"/>
      <c r="BS197" s="153"/>
      <c r="BT197" s="153"/>
      <c r="BU197" s="153"/>
      <c r="BV197" s="153"/>
      <c r="BW197" s="153"/>
      <c r="BX197" s="153"/>
      <c r="BY197" s="153"/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8"/>
      <c r="CJ197" s="153"/>
      <c r="CK197" s="153"/>
      <c r="CL197" s="153"/>
      <c r="CM197" s="153"/>
      <c r="CN197" s="158"/>
      <c r="CO197" s="153"/>
      <c r="CP197" s="153"/>
      <c r="CQ197" s="153"/>
    </row>
    <row r="198" spans="2:95" ht="14" x14ac:dyDescent="0.3">
      <c r="B198" s="146" t="str">
        <f>Table1[[#Headers],[Total Testes]]</f>
        <v>Total Testes</v>
      </c>
      <c r="C198" s="144" t="str">
        <f t="shared" si="117"/>
        <v>PROTECTION_VHCL_EMSSNS_LBL</v>
      </c>
      <c r="D198" s="143" t="s">
        <v>1114</v>
      </c>
      <c r="E198" s="143" t="s">
        <v>1241</v>
      </c>
      <c r="G198" s="160" t="e">
        <f>INDEX(Table1[[Especificação]:[Total Testes]],MATCH(PlanoV1.0!C198,Table1[CONCAT],0),MATCH(PlanoV1.0!B198,Table1[[#Headers],[Especificação]:[Total Testes]],0))</f>
        <v>#N/A</v>
      </c>
      <c r="H198" s="179" t="e">
        <f t="shared" si="118"/>
        <v>#N/A</v>
      </c>
      <c r="I198" s="181" t="e">
        <f t="shared" si="119"/>
        <v>#N/A</v>
      </c>
      <c r="J198" s="158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8"/>
      <c r="BC198" s="153"/>
      <c r="BD198" s="153"/>
      <c r="BE198" s="153"/>
      <c r="BF198" s="153"/>
      <c r="BG198" s="153"/>
      <c r="BH198" s="153"/>
      <c r="BI198" s="153"/>
      <c r="BJ198" s="153"/>
      <c r="BK198" s="153"/>
      <c r="BL198" s="153">
        <v>1</v>
      </c>
      <c r="BM198" s="153"/>
      <c r="BN198" s="153"/>
      <c r="BO198" s="153"/>
      <c r="BP198" s="153"/>
      <c r="BQ198" s="153"/>
      <c r="BR198" s="153"/>
      <c r="BS198" s="153"/>
      <c r="BT198" s="153"/>
      <c r="BU198" s="153"/>
      <c r="BV198" s="153"/>
      <c r="BW198" s="153"/>
      <c r="BX198" s="153"/>
      <c r="BY198" s="153"/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8"/>
      <c r="CJ198" s="153"/>
      <c r="CK198" s="153"/>
      <c r="CL198" s="153"/>
      <c r="CM198" s="153"/>
      <c r="CN198" s="158"/>
      <c r="CO198" s="153"/>
      <c r="CP198" s="153"/>
      <c r="CQ198" s="153"/>
    </row>
    <row r="199" spans="2:95" ht="14" x14ac:dyDescent="0.3">
      <c r="B199" s="146" t="str">
        <f>Table1[[#Headers],[Total Testes]]</f>
        <v>Total Testes</v>
      </c>
      <c r="C199" s="144" t="str">
        <f t="shared" si="117"/>
        <v>PROTECTION_TYP_EMSSNS_SCR</v>
      </c>
      <c r="D199" s="143" t="s">
        <v>1114</v>
      </c>
      <c r="E199" s="143" t="s">
        <v>1244</v>
      </c>
      <c r="G199" s="160" t="e">
        <f>INDEX(Table1[[Especificação]:[Total Testes]],MATCH(PlanoV1.0!C199,Table1[CONCAT],0),MATCH(PlanoV1.0!B199,Table1[[#Headers],[Especificação]:[Total Testes]],0))</f>
        <v>#N/A</v>
      </c>
      <c r="H199" s="179" t="e">
        <f t="shared" si="118"/>
        <v>#N/A</v>
      </c>
      <c r="I199" s="181" t="e">
        <f t="shared" si="119"/>
        <v>#N/A</v>
      </c>
      <c r="J199" s="158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8"/>
      <c r="BC199" s="153"/>
      <c r="BD199" s="153"/>
      <c r="BE199" s="153"/>
      <c r="BF199" s="153"/>
      <c r="BG199" s="153"/>
      <c r="BH199" s="153"/>
      <c r="BI199" s="153"/>
      <c r="BJ199" s="153"/>
      <c r="BK199" s="153"/>
      <c r="BL199" s="153">
        <v>0.4</v>
      </c>
      <c r="BM199" s="153">
        <v>0.1</v>
      </c>
      <c r="BN199" s="153"/>
      <c r="BO199" s="153"/>
      <c r="BP199" s="153"/>
      <c r="BQ199" s="153"/>
      <c r="BR199" s="153"/>
      <c r="BS199" s="153"/>
      <c r="BT199" s="153"/>
      <c r="BU199" s="153"/>
      <c r="BV199" s="153"/>
      <c r="BW199" s="153"/>
      <c r="BX199" s="153"/>
      <c r="BY199" s="153"/>
      <c r="BZ199" s="153"/>
      <c r="CA199" s="153"/>
      <c r="CB199" s="153"/>
      <c r="CC199" s="153"/>
      <c r="CD199" s="153"/>
      <c r="CE199" s="153"/>
      <c r="CF199" s="153"/>
      <c r="CG199" s="153"/>
      <c r="CH199" s="153"/>
      <c r="CI199" s="158"/>
      <c r="CJ199" s="153"/>
      <c r="CK199" s="153"/>
      <c r="CL199" s="153"/>
      <c r="CM199" s="153"/>
      <c r="CN199" s="158"/>
      <c r="CO199" s="153"/>
      <c r="CP199" s="153"/>
      <c r="CQ199" s="153"/>
    </row>
    <row r="200" spans="2:95" ht="14" x14ac:dyDescent="0.3">
      <c r="B200" s="146" t="str">
        <f>Table1[[#Headers],[Total Testes]]</f>
        <v>Total Testes</v>
      </c>
      <c r="C200" s="144" t="str">
        <f t="shared" si="117"/>
        <v>PROTECTION_EPC_EMSSNS_SCR</v>
      </c>
      <c r="D200" s="143" t="s">
        <v>1114</v>
      </c>
      <c r="E200" s="143" t="s">
        <v>1247</v>
      </c>
      <c r="G200" s="160" t="e">
        <f>INDEX(Table1[[Especificação]:[Total Testes]],MATCH(PlanoV1.0!C200,Table1[CONCAT],0),MATCH(PlanoV1.0!B200,Table1[[#Headers],[Especificação]:[Total Testes]],0))</f>
        <v>#N/A</v>
      </c>
      <c r="H200" s="179" t="e">
        <f t="shared" si="118"/>
        <v>#N/A</v>
      </c>
      <c r="I200" s="181" t="e">
        <f t="shared" si="119"/>
        <v>#N/A</v>
      </c>
      <c r="J200" s="158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8"/>
      <c r="BC200" s="153"/>
      <c r="BD200" s="153"/>
      <c r="BE200" s="153"/>
      <c r="BF200" s="153"/>
      <c r="BG200" s="153"/>
      <c r="BH200" s="153"/>
      <c r="BI200" s="153"/>
      <c r="BJ200" s="153"/>
      <c r="BK200" s="153"/>
      <c r="BL200" s="153"/>
      <c r="BM200" s="153">
        <v>0.6</v>
      </c>
      <c r="BN200" s="153"/>
      <c r="BO200" s="153"/>
      <c r="BP200" s="153"/>
      <c r="BQ200" s="153"/>
      <c r="BR200" s="153"/>
      <c r="BS200" s="153"/>
      <c r="BT200" s="153"/>
      <c r="BU200" s="153"/>
      <c r="BV200" s="153"/>
      <c r="BW200" s="153"/>
      <c r="BX200" s="153"/>
      <c r="BY200" s="153"/>
      <c r="BZ200" s="153"/>
      <c r="CA200" s="153"/>
      <c r="CB200" s="153"/>
      <c r="CC200" s="153"/>
      <c r="CD200" s="153"/>
      <c r="CE200" s="153"/>
      <c r="CF200" s="153"/>
      <c r="CG200" s="153"/>
      <c r="CH200" s="153"/>
      <c r="CI200" s="158"/>
      <c r="CJ200" s="153"/>
      <c r="CK200" s="153"/>
      <c r="CL200" s="153"/>
      <c r="CM200" s="153"/>
      <c r="CN200" s="158"/>
      <c r="CO200" s="153"/>
      <c r="CP200" s="153"/>
      <c r="CQ200" s="153"/>
    </row>
    <row r="201" spans="2:95" ht="14.9" customHeight="1" x14ac:dyDescent="0.3">
      <c r="B201" s="146" t="str">
        <f>Table1[[#Headers],[Total Testes]]</f>
        <v>Total Testes</v>
      </c>
      <c r="C201" s="144" t="str">
        <f t="shared" si="117"/>
        <v>PROTECTION_VHCL_EMSSNS_SCR</v>
      </c>
      <c r="D201" s="143" t="s">
        <v>1114</v>
      </c>
      <c r="E201" s="143" t="s">
        <v>1250</v>
      </c>
      <c r="G201" s="160" t="e">
        <f>INDEX(Table1[[Especificação]:[Total Testes]],MATCH(PlanoV1.0!C201,Table1[CONCAT],0),MATCH(PlanoV1.0!B201,Table1[[#Headers],[Especificação]:[Total Testes]],0))</f>
        <v>#N/A</v>
      </c>
      <c r="H201" s="179" t="e">
        <f t="shared" si="118"/>
        <v>#N/A</v>
      </c>
      <c r="I201" s="181" t="e">
        <f t="shared" si="119"/>
        <v>#N/A</v>
      </c>
      <c r="J201" s="158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  <c r="AV201" s="153"/>
      <c r="AW201" s="153"/>
      <c r="AX201" s="153"/>
      <c r="AY201" s="153"/>
      <c r="AZ201" s="153"/>
      <c r="BA201" s="153"/>
      <c r="BB201" s="158"/>
      <c r="BC201" s="153"/>
      <c r="BD201" s="153"/>
      <c r="BE201" s="153"/>
      <c r="BF201" s="153"/>
      <c r="BG201" s="153"/>
      <c r="BH201" s="153"/>
      <c r="BI201" s="153"/>
      <c r="BJ201" s="153"/>
      <c r="BK201" s="153"/>
      <c r="BL201" s="153"/>
      <c r="BM201" s="153">
        <v>0.8</v>
      </c>
      <c r="BN201" s="153"/>
      <c r="BO201" s="153"/>
      <c r="BP201" s="153"/>
      <c r="BQ201" s="153"/>
      <c r="BR201" s="153"/>
      <c r="BS201" s="153"/>
      <c r="BT201" s="153"/>
      <c r="BU201" s="153"/>
      <c r="BV201" s="153"/>
      <c r="BW201" s="153"/>
      <c r="BX201" s="153"/>
      <c r="BY201" s="153"/>
      <c r="BZ201" s="153"/>
      <c r="CA201" s="153"/>
      <c r="CB201" s="153"/>
      <c r="CC201" s="153"/>
      <c r="CD201" s="153"/>
      <c r="CE201" s="153"/>
      <c r="CF201" s="153"/>
      <c r="CG201" s="153"/>
      <c r="CH201" s="153"/>
      <c r="CI201" s="158"/>
      <c r="CJ201" s="153"/>
      <c r="CK201" s="153"/>
      <c r="CL201" s="153"/>
      <c r="CM201" s="153"/>
      <c r="CN201" s="158"/>
      <c r="CO201" s="153"/>
      <c r="CP201" s="153"/>
      <c r="CQ201" s="153"/>
    </row>
    <row r="202" spans="2:95" ht="14" x14ac:dyDescent="0.3">
      <c r="B202" s="146" t="str">
        <f>Table1[[#Headers],[Total Testes]]</f>
        <v>Total Testes</v>
      </c>
      <c r="C202" s="144" t="str">
        <f t="shared" si="117"/>
        <v>PROTECTION_INSRNC_ID</v>
      </c>
      <c r="D202" s="143" t="s">
        <v>1114</v>
      </c>
      <c r="E202" s="143" t="s">
        <v>1275</v>
      </c>
      <c r="G202" s="160" t="e">
        <f>INDEX(Table1[[Especificação]:[Total Testes]],MATCH(PlanoV1.0!C202,Table1[CONCAT],0),MATCH(PlanoV1.0!B202,Table1[[#Headers],[Especificação]:[Total Testes]],0))</f>
        <v>#N/A</v>
      </c>
      <c r="H202" s="179" t="e">
        <f t="shared" si="118"/>
        <v>#N/A</v>
      </c>
      <c r="I202" s="181" t="e">
        <f t="shared" si="119"/>
        <v>#N/A</v>
      </c>
      <c r="J202" s="158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53"/>
      <c r="AS202" s="153"/>
      <c r="AT202" s="153"/>
      <c r="AU202" s="153"/>
      <c r="AV202" s="153"/>
      <c r="AW202" s="153"/>
      <c r="AX202" s="153"/>
      <c r="AY202" s="153"/>
      <c r="AZ202" s="153"/>
      <c r="BA202" s="153"/>
      <c r="BB202" s="158"/>
      <c r="BC202" s="153"/>
      <c r="BD202" s="153"/>
      <c r="BE202" s="153"/>
      <c r="BF202" s="153"/>
      <c r="BG202" s="153"/>
      <c r="BH202" s="153"/>
      <c r="BI202" s="153"/>
      <c r="BJ202" s="153"/>
      <c r="BK202" s="153"/>
      <c r="BL202" s="153"/>
      <c r="BM202" s="153">
        <v>0.5</v>
      </c>
      <c r="BN202" s="153">
        <v>0.3</v>
      </c>
      <c r="BO202" s="153"/>
      <c r="BP202" s="153"/>
      <c r="BQ202" s="153"/>
      <c r="BR202" s="153"/>
      <c r="BS202" s="153"/>
      <c r="BT202" s="153"/>
      <c r="BU202" s="153"/>
      <c r="BV202" s="153"/>
      <c r="BW202" s="153"/>
      <c r="BX202" s="153"/>
      <c r="BY202" s="153"/>
      <c r="BZ202" s="153"/>
      <c r="CA202" s="153"/>
      <c r="CB202" s="153"/>
      <c r="CC202" s="153"/>
      <c r="CD202" s="153"/>
      <c r="CE202" s="153"/>
      <c r="CF202" s="153"/>
      <c r="CG202" s="153"/>
      <c r="CH202" s="153"/>
      <c r="CI202" s="158"/>
      <c r="CJ202" s="153"/>
      <c r="CK202" s="153"/>
      <c r="CL202" s="153"/>
      <c r="CM202" s="153"/>
      <c r="CN202" s="158"/>
      <c r="CO202" s="153"/>
      <c r="CP202" s="153"/>
      <c r="CQ202" s="153"/>
    </row>
    <row r="203" spans="2:95" ht="14.9" customHeight="1" x14ac:dyDescent="0.3">
      <c r="B203" s="146" t="str">
        <f>Table1[[#Headers],[Total Testes]]</f>
        <v>Total Testes</v>
      </c>
      <c r="C203" s="144" t="str">
        <f t="shared" si="117"/>
        <v>PROTECTION_TYP_HZRDS_INSRD</v>
      </c>
      <c r="D203" s="143" t="s">
        <v>1114</v>
      </c>
      <c r="E203" s="143" t="s">
        <v>1278</v>
      </c>
      <c r="G203" s="160" t="e">
        <f>INDEX(Table1[[Especificação]:[Total Testes]],MATCH(PlanoV1.0!C203,Table1[CONCAT],0),MATCH(PlanoV1.0!B203,Table1[[#Headers],[Especificação]:[Total Testes]],0))</f>
        <v>#N/A</v>
      </c>
      <c r="H203" s="179" t="e">
        <f t="shared" si="118"/>
        <v>#N/A</v>
      </c>
      <c r="I203" s="181" t="e">
        <f t="shared" si="119"/>
        <v>#N/A</v>
      </c>
      <c r="J203" s="158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3"/>
      <c r="AS203" s="153"/>
      <c r="AT203" s="153"/>
      <c r="AU203" s="153"/>
      <c r="AV203" s="153"/>
      <c r="AW203" s="153"/>
      <c r="AX203" s="153"/>
      <c r="AY203" s="153"/>
      <c r="AZ203" s="153"/>
      <c r="BA203" s="153"/>
      <c r="BB203" s="158"/>
      <c r="BC203" s="153"/>
      <c r="BD203" s="153"/>
      <c r="BE203" s="153"/>
      <c r="BF203" s="153"/>
      <c r="BG203" s="153"/>
      <c r="BH203" s="153"/>
      <c r="BI203" s="153"/>
      <c r="BJ203" s="153"/>
      <c r="BK203" s="153"/>
      <c r="BL203" s="153"/>
      <c r="BM203" s="153"/>
      <c r="BN203" s="153">
        <v>0.7</v>
      </c>
      <c r="BO203" s="153"/>
      <c r="BP203" s="153"/>
      <c r="BQ203" s="153"/>
      <c r="BR203" s="153"/>
      <c r="BS203" s="153"/>
      <c r="BT203" s="153"/>
      <c r="BU203" s="153"/>
      <c r="BV203" s="153"/>
      <c r="BW203" s="153"/>
      <c r="BX203" s="153"/>
      <c r="BY203" s="153"/>
      <c r="BZ203" s="153"/>
      <c r="CA203" s="153"/>
      <c r="CB203" s="153"/>
      <c r="CC203" s="153"/>
      <c r="CD203" s="153"/>
      <c r="CE203" s="153"/>
      <c r="CF203" s="153"/>
      <c r="CG203" s="153"/>
      <c r="CH203" s="153"/>
      <c r="CI203" s="158"/>
      <c r="CJ203" s="153"/>
      <c r="CK203" s="153"/>
      <c r="CL203" s="153"/>
      <c r="CM203" s="153"/>
      <c r="CN203" s="158"/>
      <c r="CO203" s="153"/>
      <c r="CP203" s="153"/>
      <c r="CQ203" s="153"/>
    </row>
    <row r="204" spans="2:95" ht="14.9" customHeight="1" x14ac:dyDescent="0.3">
      <c r="B204" s="146" t="str">
        <f>Table1[[#Headers],[Total Testes]]</f>
        <v>Total Testes</v>
      </c>
      <c r="C204" s="144" t="str">
        <f t="shared" si="117"/>
        <v>PROTECTION_AMNT_CVRD_INSRNC</v>
      </c>
      <c r="D204" s="143" t="s">
        <v>1114</v>
      </c>
      <c r="E204" s="143" t="s">
        <v>1281</v>
      </c>
      <c r="G204" s="160" t="e">
        <f>INDEX(Table1[[Especificação]:[Total Testes]],MATCH(PlanoV1.0!C204,Table1[CONCAT],0),MATCH(PlanoV1.0!B204,Table1[[#Headers],[Especificação]:[Total Testes]],0))</f>
        <v>#N/A</v>
      </c>
      <c r="H204" s="179" t="e">
        <f t="shared" si="118"/>
        <v>#N/A</v>
      </c>
      <c r="I204" s="181" t="e">
        <f t="shared" si="119"/>
        <v>#N/A</v>
      </c>
      <c r="J204" s="158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53"/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8"/>
      <c r="BC204" s="153"/>
      <c r="BD204" s="153"/>
      <c r="BE204" s="153"/>
      <c r="BF204" s="153"/>
      <c r="BG204" s="153"/>
      <c r="BH204" s="153"/>
      <c r="BI204" s="191"/>
      <c r="BJ204" s="153"/>
      <c r="BK204" s="153"/>
      <c r="BL204" s="153"/>
      <c r="BM204" s="153"/>
      <c r="BN204" s="153">
        <v>0.8</v>
      </c>
      <c r="BO204" s="153"/>
      <c r="BP204" s="153"/>
      <c r="BQ204" s="153"/>
      <c r="BR204" s="153"/>
      <c r="BS204" s="153"/>
      <c r="BT204" s="153"/>
      <c r="BU204" s="153"/>
      <c r="BV204" s="153"/>
      <c r="BW204" s="153"/>
      <c r="BX204" s="153"/>
      <c r="BY204" s="153"/>
      <c r="BZ204" s="153"/>
      <c r="CA204" s="153"/>
      <c r="CB204" s="153"/>
      <c r="CC204" s="153"/>
      <c r="CD204" s="153"/>
      <c r="CE204" s="153"/>
      <c r="CF204" s="153"/>
      <c r="CG204" s="153"/>
      <c r="CH204" s="153"/>
      <c r="CI204" s="158"/>
      <c r="CJ204" s="153"/>
      <c r="CK204" s="153"/>
      <c r="CL204" s="153"/>
      <c r="CM204" s="153"/>
      <c r="CN204" s="158"/>
      <c r="CO204" s="153"/>
      <c r="CP204" s="153"/>
      <c r="CQ204" s="153"/>
    </row>
    <row r="205" spans="2:95" ht="14.9" customHeight="1" x14ac:dyDescent="0.3">
      <c r="B205" s="146" t="str">
        <f>Table1[[#Headers],[Total Testes]]</f>
        <v>Total Testes</v>
      </c>
      <c r="C205" s="144" t="str">
        <f t="shared" si="117"/>
        <v>PROTECTION_DT_MTRTY_INSRNC</v>
      </c>
      <c r="D205" s="143" t="s">
        <v>1114</v>
      </c>
      <c r="E205" s="143" t="s">
        <v>1284</v>
      </c>
      <c r="G205" s="160" t="e">
        <f>INDEX(Table1[[Especificação]:[Total Testes]],MATCH(PlanoV1.0!C205,Table1[CONCAT],0),MATCH(PlanoV1.0!B205,Table1[[#Headers],[Especificação]:[Total Testes]],0))</f>
        <v>#N/A</v>
      </c>
      <c r="H205" s="179" t="e">
        <f t="shared" si="118"/>
        <v>#N/A</v>
      </c>
      <c r="I205" s="181" t="e">
        <f t="shared" si="119"/>
        <v>#N/A</v>
      </c>
      <c r="J205" s="158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53"/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8"/>
      <c r="BC205" s="153"/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153">
        <v>0.2</v>
      </c>
      <c r="BO205" s="153">
        <v>0.6</v>
      </c>
      <c r="BP205" s="153"/>
      <c r="BQ205" s="153"/>
      <c r="BR205" s="153"/>
      <c r="BS205" s="153"/>
      <c r="BT205" s="153"/>
      <c r="BU205" s="153"/>
      <c r="BV205" s="153"/>
      <c r="BW205" s="153"/>
      <c r="BX205" s="153"/>
      <c r="BY205" s="153"/>
      <c r="BZ205" s="153"/>
      <c r="CA205" s="153"/>
      <c r="CB205" s="153"/>
      <c r="CC205" s="153"/>
      <c r="CD205" s="153"/>
      <c r="CE205" s="153"/>
      <c r="CF205" s="153"/>
      <c r="CG205" s="153"/>
      <c r="CH205" s="153"/>
      <c r="CI205" s="158"/>
      <c r="CJ205" s="153"/>
      <c r="CK205" s="153"/>
      <c r="CL205" s="153"/>
      <c r="CM205" s="153"/>
      <c r="CN205" s="158"/>
      <c r="CO205" s="153"/>
      <c r="CP205" s="153"/>
      <c r="CQ205" s="153"/>
    </row>
    <row r="206" spans="2:95" ht="14.9" customHeight="1" x14ac:dyDescent="0.3">
      <c r="B206" s="146" t="str">
        <f>Table1[[#Headers],[Total Testes]]</f>
        <v>Total Testes</v>
      </c>
      <c r="C206" s="144" t="str">
        <f t="shared" si="117"/>
        <v>PROTECTION_FLG_FRST_HM</v>
      </c>
      <c r="D206" s="143" t="s">
        <v>1114</v>
      </c>
      <c r="E206" s="145" t="s">
        <v>1287</v>
      </c>
      <c r="G206" s="160" t="e">
        <f>INDEX(Table1[[Especificação]:[Total Testes]],MATCH(PlanoV1.0!C206,Table1[CONCAT],0),MATCH(PlanoV1.0!B206,Table1[[#Headers],[Especificação]:[Total Testes]],0))</f>
        <v>#N/A</v>
      </c>
      <c r="H206" s="179" t="e">
        <f t="shared" si="118"/>
        <v>#N/A</v>
      </c>
      <c r="I206" s="181" t="e">
        <f t="shared" si="119"/>
        <v>#N/A</v>
      </c>
      <c r="J206" s="158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8"/>
      <c r="BC206" s="153"/>
      <c r="BD206" s="153"/>
      <c r="BE206" s="153"/>
      <c r="BF206" s="153"/>
      <c r="BG206" s="153"/>
      <c r="BH206" s="153"/>
      <c r="BI206" s="153"/>
      <c r="BJ206" s="153"/>
      <c r="BK206" s="153"/>
      <c r="BL206" s="153"/>
      <c r="BM206" s="153"/>
      <c r="BN206" s="153"/>
      <c r="BO206" s="153">
        <v>0.7</v>
      </c>
      <c r="BP206" s="153"/>
      <c r="BQ206" s="153"/>
      <c r="BR206" s="153"/>
      <c r="BS206" s="153"/>
      <c r="BT206" s="153"/>
      <c r="BU206" s="153"/>
      <c r="BV206" s="153"/>
      <c r="BW206" s="153"/>
      <c r="BX206" s="153"/>
      <c r="BY206" s="153"/>
      <c r="BZ206" s="153"/>
      <c r="CA206" s="153"/>
      <c r="CB206" s="153"/>
      <c r="CC206" s="153"/>
      <c r="CD206" s="153"/>
      <c r="CE206" s="153"/>
      <c r="CF206" s="153"/>
      <c r="CG206" s="153"/>
      <c r="CH206" s="153"/>
      <c r="CI206" s="158"/>
      <c r="CJ206" s="153"/>
      <c r="CK206" s="153"/>
      <c r="CL206" s="153"/>
      <c r="CM206" s="153"/>
      <c r="CN206" s="158"/>
      <c r="CO206" s="153"/>
      <c r="CP206" s="153"/>
      <c r="CQ206" s="153"/>
    </row>
    <row r="207" spans="2:95" ht="14.9" customHeight="1" x14ac:dyDescent="0.3">
      <c r="B207" s="146" t="str">
        <f>Table1[[#Headers],[Total Testes]]</f>
        <v>Total Testes</v>
      </c>
      <c r="C207" s="144" t="str">
        <f t="shared" ref="C207:C224" si="120">D207&amp;"_"&amp;E207</f>
        <v>PROTECTION_ENTTY_NM</v>
      </c>
      <c r="D207" s="143" t="s">
        <v>1114</v>
      </c>
      <c r="E207" s="143" t="s">
        <v>59</v>
      </c>
      <c r="G207" s="160">
        <v>3</v>
      </c>
      <c r="H207" s="179">
        <f t="shared" ref="H207:H224" si="121">ROUNDUP(G207/8,1)</f>
        <v>0.4</v>
      </c>
      <c r="I207" s="181">
        <f t="shared" ref="I207:I224" si="122">SUM(J207:CQ207)-H207</f>
        <v>0</v>
      </c>
      <c r="J207" s="158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/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8"/>
      <c r="BC207" s="153"/>
      <c r="BD207" s="153"/>
      <c r="BE207" s="153"/>
      <c r="BF207" s="153"/>
      <c r="BG207" s="153"/>
      <c r="BH207" s="153"/>
      <c r="BI207" s="153"/>
      <c r="BJ207" s="153"/>
      <c r="BK207" s="153"/>
      <c r="BL207" s="153"/>
      <c r="BM207" s="153"/>
      <c r="BN207" s="153"/>
      <c r="BO207" s="153">
        <v>0.4</v>
      </c>
      <c r="BP207" s="153"/>
      <c r="BQ207" s="153"/>
      <c r="BR207" s="153"/>
      <c r="BS207" s="153"/>
      <c r="BT207" s="153"/>
      <c r="BU207" s="153"/>
      <c r="BV207" s="153"/>
      <c r="BW207" s="153"/>
      <c r="BX207" s="153"/>
      <c r="BY207" s="153"/>
      <c r="BZ207" s="153"/>
      <c r="CA207" s="153"/>
      <c r="CB207" s="153"/>
      <c r="CC207" s="153"/>
      <c r="CD207" s="153"/>
      <c r="CE207" s="153"/>
      <c r="CF207" s="153"/>
      <c r="CG207" s="153"/>
      <c r="CH207" s="153"/>
      <c r="CI207" s="158"/>
      <c r="CJ207" s="153"/>
      <c r="CK207" s="153"/>
      <c r="CL207" s="153"/>
      <c r="CM207" s="153"/>
      <c r="CN207" s="158"/>
      <c r="CO207" s="153"/>
      <c r="CP207" s="153"/>
      <c r="CQ207" s="153"/>
    </row>
    <row r="208" spans="2:95" ht="14.9" customHeight="1" x14ac:dyDescent="0.3">
      <c r="B208" s="146" t="str">
        <f>Table1[[#Headers],[Total Testes]]</f>
        <v>Total Testes</v>
      </c>
      <c r="C208" s="144" t="str">
        <f t="shared" si="120"/>
        <v>PROTECTION_EC_GRP_NM</v>
      </c>
      <c r="D208" s="143" t="s">
        <v>1114</v>
      </c>
      <c r="E208" s="143" t="s">
        <v>284</v>
      </c>
      <c r="G208" s="160">
        <v>3</v>
      </c>
      <c r="H208" s="179">
        <f t="shared" si="121"/>
        <v>0.4</v>
      </c>
      <c r="I208" s="181">
        <f t="shared" si="122"/>
        <v>0</v>
      </c>
      <c r="J208" s="158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8"/>
      <c r="BC208" s="153"/>
      <c r="BD208" s="153"/>
      <c r="BE208" s="153"/>
      <c r="BF208" s="153"/>
      <c r="BG208" s="153"/>
      <c r="BH208" s="153"/>
      <c r="BI208" s="153"/>
      <c r="BJ208" s="153"/>
      <c r="BK208" s="153"/>
      <c r="BL208" s="153"/>
      <c r="BM208" s="153"/>
      <c r="BN208" s="153"/>
      <c r="BO208" s="153">
        <v>0.3</v>
      </c>
      <c r="BP208" s="153">
        <v>0.1</v>
      </c>
      <c r="BQ208" s="153"/>
      <c r="BR208" s="153"/>
      <c r="BS208" s="153"/>
      <c r="BT208" s="153"/>
      <c r="BU208" s="153"/>
      <c r="BV208" s="153"/>
      <c r="BW208" s="153"/>
      <c r="BX208" s="153"/>
      <c r="BY208" s="153"/>
      <c r="BZ208" s="153"/>
      <c r="CA208" s="153"/>
      <c r="CB208" s="153"/>
      <c r="CC208" s="153"/>
      <c r="CD208" s="153"/>
      <c r="CE208" s="153"/>
      <c r="CF208" s="153"/>
      <c r="CG208" s="153"/>
      <c r="CH208" s="153"/>
      <c r="CI208" s="158"/>
      <c r="CJ208" s="153"/>
      <c r="CK208" s="153"/>
      <c r="CL208" s="153"/>
      <c r="CM208" s="153"/>
      <c r="CN208" s="158"/>
      <c r="CO208" s="153"/>
      <c r="CP208" s="153"/>
      <c r="CQ208" s="153"/>
    </row>
    <row r="209" spans="2:95" ht="14.9" customHeight="1" x14ac:dyDescent="0.3">
      <c r="B209" s="146" t="str">
        <f>Table1[[#Headers],[Total Testes]]</f>
        <v>Total Testes</v>
      </c>
      <c r="C209" s="144" t="str">
        <f t="shared" si="120"/>
        <v>PROTECTION_FRBRNC_STTS_INSTRMNT</v>
      </c>
      <c r="D209" s="143" t="s">
        <v>1114</v>
      </c>
      <c r="E209" s="143" t="s">
        <v>501</v>
      </c>
      <c r="G209" s="160">
        <v>3</v>
      </c>
      <c r="H209" s="179">
        <f t="shared" si="121"/>
        <v>0.4</v>
      </c>
      <c r="I209" s="181">
        <f t="shared" si="122"/>
        <v>0</v>
      </c>
      <c r="J209" s="158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53"/>
      <c r="AS209" s="153"/>
      <c r="AT209" s="153"/>
      <c r="AU209" s="153"/>
      <c r="AV209" s="153"/>
      <c r="AW209" s="153"/>
      <c r="AX209" s="153"/>
      <c r="AY209" s="153"/>
      <c r="AZ209" s="153"/>
      <c r="BA209" s="153"/>
      <c r="BB209" s="158"/>
      <c r="BC209" s="153"/>
      <c r="BD209" s="153"/>
      <c r="BE209" s="153"/>
      <c r="BF209" s="153"/>
      <c r="BG209" s="153"/>
      <c r="BH209" s="153"/>
      <c r="BI209" s="153"/>
      <c r="BJ209" s="153"/>
      <c r="BK209" s="153"/>
      <c r="BL209" s="153"/>
      <c r="BM209" s="153"/>
      <c r="BN209" s="153"/>
      <c r="BO209" s="153"/>
      <c r="BP209" s="153">
        <v>0.4</v>
      </c>
      <c r="BQ209" s="153"/>
      <c r="BR209" s="153"/>
      <c r="BS209" s="153"/>
      <c r="BT209" s="153"/>
      <c r="BU209" s="153"/>
      <c r="BV209" s="153"/>
      <c r="BW209" s="153"/>
      <c r="BX209" s="153"/>
      <c r="BY209" s="153"/>
      <c r="BZ209" s="153"/>
      <c r="CA209" s="153"/>
      <c r="CB209" s="153"/>
      <c r="CC209" s="153"/>
      <c r="CD209" s="153"/>
      <c r="CE209" s="153"/>
      <c r="CF209" s="153"/>
      <c r="CG209" s="153"/>
      <c r="CH209" s="153"/>
      <c r="CI209" s="158"/>
      <c r="CJ209" s="153"/>
      <c r="CK209" s="153"/>
      <c r="CL209" s="153"/>
      <c r="CM209" s="153"/>
      <c r="CN209" s="158"/>
      <c r="CO209" s="153"/>
      <c r="CP209" s="153"/>
      <c r="CQ209" s="153"/>
    </row>
    <row r="210" spans="2:95" ht="14.9" customHeight="1" x14ac:dyDescent="0.3">
      <c r="B210" s="146" t="str">
        <f>Table1[[#Headers],[Total Testes]]</f>
        <v>Total Testes</v>
      </c>
      <c r="C210" s="144" t="str">
        <f t="shared" si="120"/>
        <v>PROTECTION_IFRS9_BHVRL_MTRTY</v>
      </c>
      <c r="D210" s="143" t="s">
        <v>1114</v>
      </c>
      <c r="E210" s="143" t="s">
        <v>614</v>
      </c>
      <c r="G210" s="160">
        <v>2.5</v>
      </c>
      <c r="H210" s="179">
        <f t="shared" si="121"/>
        <v>0.4</v>
      </c>
      <c r="I210" s="181">
        <f t="shared" si="122"/>
        <v>0</v>
      </c>
      <c r="J210" s="158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/>
      <c r="AQ210" s="153"/>
      <c r="AR210" s="153"/>
      <c r="AS210" s="153"/>
      <c r="AT210" s="153"/>
      <c r="AU210" s="153"/>
      <c r="AV210" s="153"/>
      <c r="AW210" s="153"/>
      <c r="AX210" s="153"/>
      <c r="AY210" s="153"/>
      <c r="AZ210" s="153"/>
      <c r="BA210" s="153"/>
      <c r="BB210" s="158"/>
      <c r="BC210" s="153"/>
      <c r="BD210" s="153"/>
      <c r="BE210" s="153"/>
      <c r="BF210" s="153"/>
      <c r="BG210" s="153"/>
      <c r="BH210" s="153"/>
      <c r="BI210" s="153"/>
      <c r="BJ210" s="153"/>
      <c r="BK210" s="153"/>
      <c r="BL210" s="153"/>
      <c r="BM210" s="153"/>
      <c r="BN210" s="153"/>
      <c r="BO210" s="153"/>
      <c r="BP210" s="153">
        <v>0.4</v>
      </c>
      <c r="BQ210" s="153"/>
      <c r="BR210" s="153"/>
      <c r="BS210" s="153"/>
      <c r="BT210" s="153"/>
      <c r="BU210" s="153"/>
      <c r="BV210" s="153"/>
      <c r="BW210" s="153"/>
      <c r="BX210" s="153"/>
      <c r="BY210" s="153"/>
      <c r="BZ210" s="153"/>
      <c r="CA210" s="153"/>
      <c r="CB210" s="153"/>
      <c r="CC210" s="153"/>
      <c r="CD210" s="153"/>
      <c r="CE210" s="153"/>
      <c r="CF210" s="153"/>
      <c r="CG210" s="153"/>
      <c r="CH210" s="153"/>
      <c r="CI210" s="158"/>
      <c r="CJ210" s="153"/>
      <c r="CK210" s="153"/>
      <c r="CL210" s="153"/>
      <c r="CM210" s="153"/>
      <c r="CN210" s="158"/>
      <c r="CO210" s="153"/>
      <c r="CP210" s="153"/>
      <c r="CQ210" s="153"/>
    </row>
    <row r="211" spans="2:95" ht="14.9" customHeight="1" x14ac:dyDescent="0.3">
      <c r="B211" s="146" t="str">
        <f>Table1[[#Headers],[Total Testes]]</f>
        <v>Total Testes</v>
      </c>
      <c r="C211" s="144" t="str">
        <f t="shared" si="120"/>
        <v>PROTECTION_LTV</v>
      </c>
      <c r="D211" s="143" t="s">
        <v>1114</v>
      </c>
      <c r="E211" s="143" t="s">
        <v>724</v>
      </c>
      <c r="G211" s="160">
        <v>2.5</v>
      </c>
      <c r="H211" s="179">
        <f t="shared" si="121"/>
        <v>0.4</v>
      </c>
      <c r="I211" s="181">
        <f t="shared" si="122"/>
        <v>0</v>
      </c>
      <c r="J211" s="158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/>
      <c r="AO211" s="153"/>
      <c r="AP211" s="153"/>
      <c r="AQ211" s="153"/>
      <c r="AR211" s="153"/>
      <c r="AS211" s="153"/>
      <c r="AT211" s="153"/>
      <c r="AU211" s="153"/>
      <c r="AV211" s="153"/>
      <c r="AW211" s="153"/>
      <c r="AX211" s="153"/>
      <c r="AY211" s="153"/>
      <c r="AZ211" s="153"/>
      <c r="BA211" s="153"/>
      <c r="BB211" s="158"/>
      <c r="BC211" s="153"/>
      <c r="BD211" s="153"/>
      <c r="BE211" s="153"/>
      <c r="BF211" s="153"/>
      <c r="BG211" s="153"/>
      <c r="BH211" s="153"/>
      <c r="BI211" s="153"/>
      <c r="BJ211" s="153"/>
      <c r="BK211" s="153"/>
      <c r="BL211" s="153"/>
      <c r="BM211" s="153"/>
      <c r="BN211" s="153"/>
      <c r="BO211" s="153"/>
      <c r="BP211" s="153">
        <v>0.4</v>
      </c>
      <c r="BQ211" s="153"/>
      <c r="BR211" s="153"/>
      <c r="BS211" s="153"/>
      <c r="BT211" s="153"/>
      <c r="BU211" s="153"/>
      <c r="BV211" s="153"/>
      <c r="BW211" s="153"/>
      <c r="BX211" s="153"/>
      <c r="BY211" s="153"/>
      <c r="BZ211" s="153"/>
      <c r="CA211" s="153"/>
      <c r="CB211" s="153"/>
      <c r="CC211" s="153"/>
      <c r="CD211" s="153"/>
      <c r="CE211" s="153"/>
      <c r="CF211" s="153"/>
      <c r="CG211" s="153"/>
      <c r="CH211" s="153"/>
      <c r="CI211" s="158"/>
      <c r="CJ211" s="153"/>
      <c r="CK211" s="153"/>
      <c r="CL211" s="153"/>
      <c r="CM211" s="153"/>
      <c r="CN211" s="158"/>
      <c r="CO211" s="153"/>
      <c r="CP211" s="153"/>
      <c r="CQ211" s="153"/>
    </row>
    <row r="212" spans="2:95" ht="14.9" customHeight="1" x14ac:dyDescent="0.3">
      <c r="B212" s="146" t="str">
        <f>Table1[[#Headers],[Total Testes]]</f>
        <v>Total Testes</v>
      </c>
      <c r="C212" s="144" t="str">
        <f t="shared" si="120"/>
        <v>PROTECTION_LTV_INCPTN</v>
      </c>
      <c r="D212" s="143" t="s">
        <v>1114</v>
      </c>
      <c r="E212" s="143" t="s">
        <v>727</v>
      </c>
      <c r="G212" s="160">
        <v>2.5</v>
      </c>
      <c r="H212" s="179">
        <f t="shared" si="121"/>
        <v>0.4</v>
      </c>
      <c r="I212" s="181">
        <f t="shared" si="122"/>
        <v>0</v>
      </c>
      <c r="J212" s="158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/>
      <c r="AS212" s="153"/>
      <c r="AT212" s="153"/>
      <c r="AU212" s="153"/>
      <c r="AV212" s="153"/>
      <c r="AW212" s="153"/>
      <c r="AX212" s="153"/>
      <c r="AY212" s="153"/>
      <c r="AZ212" s="153"/>
      <c r="BA212" s="153"/>
      <c r="BB212" s="158"/>
      <c r="BC212" s="153"/>
      <c r="BD212" s="153"/>
      <c r="BE212" s="153"/>
      <c r="BF212" s="153"/>
      <c r="BG212" s="153"/>
      <c r="BH212" s="153"/>
      <c r="BI212" s="153"/>
      <c r="BJ212" s="153"/>
      <c r="BK212" s="153"/>
      <c r="BL212" s="153"/>
      <c r="BM212" s="153"/>
      <c r="BN212" s="153"/>
      <c r="BO212" s="153"/>
      <c r="BP212" s="153">
        <v>0.4</v>
      </c>
      <c r="BQ212" s="153"/>
      <c r="BR212" s="153"/>
      <c r="BS212" s="153"/>
      <c r="BT212" s="153"/>
      <c r="BU212" s="153"/>
      <c r="BV212" s="153"/>
      <c r="BW212" s="153"/>
      <c r="BX212" s="153"/>
      <c r="BY212" s="153"/>
      <c r="BZ212" s="153"/>
      <c r="CA212" s="153"/>
      <c r="CB212" s="153"/>
      <c r="CC212" s="153"/>
      <c r="CD212" s="153"/>
      <c r="CE212" s="153"/>
      <c r="CF212" s="153"/>
      <c r="CG212" s="153"/>
      <c r="CH212" s="153"/>
      <c r="CI212" s="158"/>
      <c r="CJ212" s="153"/>
      <c r="CK212" s="153"/>
      <c r="CL212" s="153"/>
      <c r="CM212" s="153"/>
      <c r="CN212" s="158"/>
      <c r="CO212" s="153"/>
      <c r="CP212" s="153"/>
      <c r="CQ212" s="153"/>
    </row>
    <row r="213" spans="2:95" ht="14.9" customHeight="1" x14ac:dyDescent="0.3">
      <c r="B213" s="146" t="str">
        <f>Table1[[#Headers],[Total Testes]]</f>
        <v>Total Testes</v>
      </c>
      <c r="C213" s="144" t="str">
        <f t="shared" si="120"/>
        <v>PROTECTION_ANNLSD_AGRD_RT</v>
      </c>
      <c r="D213" s="143" t="s">
        <v>1114</v>
      </c>
      <c r="E213" s="143" t="s">
        <v>757</v>
      </c>
      <c r="G213" s="160">
        <v>2.5</v>
      </c>
      <c r="H213" s="179">
        <f t="shared" si="121"/>
        <v>0.4</v>
      </c>
      <c r="I213" s="181">
        <f t="shared" si="122"/>
        <v>0</v>
      </c>
      <c r="J213" s="158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8"/>
      <c r="BC213" s="153"/>
      <c r="BD213" s="153"/>
      <c r="BE213" s="153"/>
      <c r="BF213" s="153"/>
      <c r="BG213" s="153"/>
      <c r="BH213" s="153"/>
      <c r="BI213" s="153"/>
      <c r="BJ213" s="153"/>
      <c r="BK213" s="153"/>
      <c r="BL213" s="153"/>
      <c r="BM213" s="153"/>
      <c r="BN213" s="153"/>
      <c r="BO213" s="153"/>
      <c r="BP213" s="153">
        <v>0.3</v>
      </c>
      <c r="BQ213" s="153">
        <v>0.1</v>
      </c>
      <c r="BR213" s="153"/>
      <c r="BS213" s="153"/>
      <c r="BT213" s="153"/>
      <c r="BU213" s="153"/>
      <c r="BV213" s="153"/>
      <c r="BW213" s="153"/>
      <c r="BX213" s="153"/>
      <c r="BY213" s="153"/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8"/>
      <c r="CJ213" s="153"/>
      <c r="CK213" s="153"/>
      <c r="CL213" s="153"/>
      <c r="CM213" s="153"/>
      <c r="CN213" s="158"/>
      <c r="CO213" s="153"/>
      <c r="CP213" s="153"/>
      <c r="CQ213" s="153"/>
    </row>
    <row r="214" spans="2:95" ht="14.9" customHeight="1" x14ac:dyDescent="0.3">
      <c r="B214" s="146" t="str">
        <f>Table1[[#Headers],[Total Testes]]</f>
        <v>Total Testes</v>
      </c>
      <c r="C214" s="144" t="str">
        <f t="shared" si="120"/>
        <v>PROTECTION_EIR_INCPTN</v>
      </c>
      <c r="D214" s="143" t="s">
        <v>1114</v>
      </c>
      <c r="E214" s="143" t="s">
        <v>763</v>
      </c>
      <c r="G214" s="160">
        <v>2.5</v>
      </c>
      <c r="H214" s="179">
        <f t="shared" si="121"/>
        <v>0.4</v>
      </c>
      <c r="I214" s="181">
        <f t="shared" si="122"/>
        <v>0</v>
      </c>
      <c r="J214" s="158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/>
      <c r="AO214" s="153"/>
      <c r="AP214" s="153"/>
      <c r="AQ214" s="153"/>
      <c r="AR214" s="153"/>
      <c r="AS214" s="153"/>
      <c r="AT214" s="153"/>
      <c r="AU214" s="153"/>
      <c r="AV214" s="153"/>
      <c r="AW214" s="153"/>
      <c r="AX214" s="153"/>
      <c r="AY214" s="153"/>
      <c r="AZ214" s="153"/>
      <c r="BA214" s="153"/>
      <c r="BB214" s="158"/>
      <c r="BC214" s="153"/>
      <c r="BD214" s="153"/>
      <c r="BE214" s="153"/>
      <c r="BF214" s="153"/>
      <c r="BG214" s="153"/>
      <c r="BH214" s="153"/>
      <c r="BI214" s="153"/>
      <c r="BJ214" s="153"/>
      <c r="BK214" s="153"/>
      <c r="BL214" s="153"/>
      <c r="BM214" s="153"/>
      <c r="BN214" s="153"/>
      <c r="BO214" s="153"/>
      <c r="BP214" s="153"/>
      <c r="BQ214" s="153">
        <v>0.4</v>
      </c>
      <c r="BR214" s="153"/>
      <c r="BS214" s="153"/>
      <c r="BT214" s="153"/>
      <c r="BU214" s="153"/>
      <c r="BV214" s="153"/>
      <c r="BW214" s="153"/>
      <c r="BX214" s="153"/>
      <c r="BY214" s="153"/>
      <c r="BZ214" s="153"/>
      <c r="CA214" s="153"/>
      <c r="CB214" s="153"/>
      <c r="CC214" s="153"/>
      <c r="CD214" s="153"/>
      <c r="CE214" s="153"/>
      <c r="CF214" s="153"/>
      <c r="CG214" s="153"/>
      <c r="CH214" s="153"/>
      <c r="CI214" s="158"/>
      <c r="CJ214" s="153"/>
      <c r="CK214" s="153"/>
      <c r="CL214" s="153"/>
      <c r="CM214" s="153"/>
      <c r="CN214" s="158"/>
      <c r="CO214" s="153"/>
      <c r="CP214" s="153"/>
      <c r="CQ214" s="153"/>
    </row>
    <row r="215" spans="2:95" ht="14.9" customHeight="1" x14ac:dyDescent="0.3">
      <c r="B215" s="146" t="str">
        <f>Table1[[#Headers],[Total Testes]]</f>
        <v>Total Testes</v>
      </c>
      <c r="C215" s="144" t="str">
        <f t="shared" si="120"/>
        <v>PROTECTION_NW_BSNSS</v>
      </c>
      <c r="D215" s="143" t="s">
        <v>1114</v>
      </c>
      <c r="E215" s="143" t="s">
        <v>973</v>
      </c>
      <c r="G215" s="160">
        <v>8</v>
      </c>
      <c r="H215" s="179">
        <f t="shared" si="121"/>
        <v>1</v>
      </c>
      <c r="I215" s="181">
        <f t="shared" si="122"/>
        <v>0</v>
      </c>
      <c r="J215" s="158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  <c r="AO215" s="153"/>
      <c r="AP215" s="153"/>
      <c r="AQ215" s="153"/>
      <c r="AR215" s="153"/>
      <c r="AS215" s="153"/>
      <c r="AT215" s="153"/>
      <c r="AU215" s="153"/>
      <c r="AV215" s="153"/>
      <c r="AW215" s="153"/>
      <c r="AX215" s="153"/>
      <c r="AY215" s="153"/>
      <c r="AZ215" s="153"/>
      <c r="BA215" s="153"/>
      <c r="BB215" s="158"/>
      <c r="BC215" s="153"/>
      <c r="BD215" s="153"/>
      <c r="BE215" s="153"/>
      <c r="BF215" s="153"/>
      <c r="BG215" s="153"/>
      <c r="BH215" s="153"/>
      <c r="BI215" s="153"/>
      <c r="BJ215" s="153"/>
      <c r="BK215" s="153"/>
      <c r="BL215" s="153"/>
      <c r="BM215" s="153"/>
      <c r="BN215" s="153"/>
      <c r="BO215" s="153"/>
      <c r="BP215" s="153"/>
      <c r="BQ215" s="153">
        <v>1</v>
      </c>
      <c r="BR215" s="153"/>
      <c r="BS215" s="153"/>
      <c r="BT215" s="153"/>
      <c r="BU215" s="153"/>
      <c r="BV215" s="153"/>
      <c r="BW215" s="153"/>
      <c r="BX215" s="153"/>
      <c r="BY215" s="153"/>
      <c r="BZ215" s="153"/>
      <c r="CA215" s="153"/>
      <c r="CB215" s="153"/>
      <c r="CC215" s="153"/>
      <c r="CD215" s="153"/>
      <c r="CE215" s="153"/>
      <c r="CF215" s="153"/>
      <c r="CG215" s="153"/>
      <c r="CH215" s="153"/>
      <c r="CI215" s="158"/>
      <c r="CJ215" s="153"/>
      <c r="CK215" s="153"/>
      <c r="CL215" s="153"/>
      <c r="CM215" s="153"/>
      <c r="CN215" s="158"/>
      <c r="CO215" s="153"/>
      <c r="CP215" s="153"/>
      <c r="CQ215" s="153"/>
    </row>
    <row r="216" spans="2:95" ht="14.9" customHeight="1" x14ac:dyDescent="0.3">
      <c r="B216" s="146" t="str">
        <f>Table1[[#Headers],[Total Testes]]</f>
        <v>Total Testes</v>
      </c>
      <c r="C216" s="144" t="str">
        <f t="shared" si="120"/>
        <v>PROTECTION_YR_CNSTRCTN</v>
      </c>
      <c r="D216" s="143" t="s">
        <v>1114</v>
      </c>
      <c r="E216" s="143" t="s">
        <v>1290</v>
      </c>
      <c r="G216" s="160" t="e">
        <f>INDEX(Table1[[Especificação]:[Total Testes]],MATCH(PlanoV1.0!C216,Table1[CONCAT],0),MATCH(PlanoV1.0!B216,Table1[[#Headers],[Especificação]:[Total Testes]],0))</f>
        <v>#N/A</v>
      </c>
      <c r="H216" s="179" t="e">
        <f t="shared" si="121"/>
        <v>#N/A</v>
      </c>
      <c r="I216" s="181" t="e">
        <f t="shared" si="122"/>
        <v>#N/A</v>
      </c>
      <c r="J216" s="158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/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8"/>
      <c r="BC216" s="153"/>
      <c r="BD216" s="153"/>
      <c r="BE216" s="153"/>
      <c r="BF216" s="153"/>
      <c r="BG216" s="153"/>
      <c r="BH216" s="153"/>
      <c r="BI216" s="153"/>
      <c r="BJ216" s="153"/>
      <c r="BK216" s="153"/>
      <c r="BL216" s="153"/>
      <c r="BM216" s="153"/>
      <c r="BN216" s="153"/>
      <c r="BO216" s="153"/>
      <c r="BP216" s="153"/>
      <c r="BQ216" s="153">
        <v>0.4</v>
      </c>
      <c r="BR216" s="153"/>
      <c r="BS216" s="153"/>
      <c r="BT216" s="153"/>
      <c r="BU216" s="153"/>
      <c r="BV216" s="153"/>
      <c r="BW216" s="153"/>
      <c r="BX216" s="153"/>
      <c r="BY216" s="153"/>
      <c r="BZ216" s="153"/>
      <c r="CA216" s="153"/>
      <c r="CB216" s="153"/>
      <c r="CC216" s="153"/>
      <c r="CD216" s="153"/>
      <c r="CE216" s="153"/>
      <c r="CF216" s="153"/>
      <c r="CG216" s="153"/>
      <c r="CH216" s="153"/>
      <c r="CI216" s="158"/>
      <c r="CJ216" s="153"/>
      <c r="CK216" s="153"/>
      <c r="CL216" s="153"/>
      <c r="CM216" s="153"/>
      <c r="CN216" s="158"/>
      <c r="CO216" s="153"/>
      <c r="CP216" s="153"/>
      <c r="CQ216" s="153"/>
    </row>
    <row r="217" spans="2:95" ht="14.9" customHeight="1" x14ac:dyDescent="0.3">
      <c r="B217" s="146" t="str">
        <f>Table1[[#Headers],[Total Testes]]</f>
        <v>Total Testes</v>
      </c>
      <c r="C217" s="144" t="str">
        <f t="shared" si="120"/>
        <v>PROTECTION_INTRNL_SGMNT</v>
      </c>
      <c r="D217" s="143" t="s">
        <v>1114</v>
      </c>
      <c r="E217" s="143" t="s">
        <v>50</v>
      </c>
      <c r="G217" s="160">
        <v>3</v>
      </c>
      <c r="H217" s="179">
        <f t="shared" si="121"/>
        <v>0.4</v>
      </c>
      <c r="I217" s="181">
        <f t="shared" si="122"/>
        <v>0</v>
      </c>
      <c r="J217" s="158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  <c r="AV217" s="153"/>
      <c r="AW217" s="153"/>
      <c r="AX217" s="153"/>
      <c r="AY217" s="153"/>
      <c r="AZ217" s="153"/>
      <c r="BA217" s="153"/>
      <c r="BB217" s="158"/>
      <c r="BC217" s="153"/>
      <c r="BD217" s="153"/>
      <c r="BE217" s="153"/>
      <c r="BF217" s="153"/>
      <c r="BG217" s="153"/>
      <c r="BH217" s="153"/>
      <c r="BI217" s="153"/>
      <c r="BJ217" s="153"/>
      <c r="BK217" s="153"/>
      <c r="BL217" s="153"/>
      <c r="BM217" s="153"/>
      <c r="BN217" s="153"/>
      <c r="BO217" s="153"/>
      <c r="BP217" s="153"/>
      <c r="BQ217" s="153">
        <v>0.1</v>
      </c>
      <c r="BR217" s="153">
        <v>0.3</v>
      </c>
      <c r="BS217" s="153"/>
      <c r="BT217" s="153"/>
      <c r="BU217" s="153"/>
      <c r="BV217" s="153"/>
      <c r="BW217" s="153"/>
      <c r="BX217" s="153"/>
      <c r="BY217" s="153"/>
      <c r="BZ217" s="153"/>
      <c r="CA217" s="153"/>
      <c r="CB217" s="153"/>
      <c r="CC217" s="153"/>
      <c r="CD217" s="153"/>
      <c r="CE217" s="153"/>
      <c r="CF217" s="153"/>
      <c r="CG217" s="153"/>
      <c r="CH217" s="153"/>
      <c r="CI217" s="158"/>
      <c r="CJ217" s="153"/>
      <c r="CK217" s="153"/>
      <c r="CL217" s="153"/>
      <c r="CM217" s="153"/>
      <c r="CN217" s="158"/>
      <c r="CO217" s="153"/>
      <c r="CP217" s="153"/>
      <c r="CQ217" s="153"/>
    </row>
    <row r="218" spans="2:95" ht="14.9" customHeight="1" x14ac:dyDescent="0.3">
      <c r="B218" s="146" t="str">
        <f>Table1[[#Headers],[Total Testes]]</f>
        <v>Total Testes</v>
      </c>
      <c r="C218" s="144" t="str">
        <f t="shared" si="120"/>
        <v>PROTECTION_EAD</v>
      </c>
      <c r="D218" s="143" t="s">
        <v>1114</v>
      </c>
      <c r="E218" s="143" t="s">
        <v>617</v>
      </c>
      <c r="G218" s="160">
        <v>3</v>
      </c>
      <c r="H218" s="179">
        <f t="shared" si="121"/>
        <v>0.4</v>
      </c>
      <c r="I218" s="181">
        <f t="shared" si="122"/>
        <v>0</v>
      </c>
      <c r="J218" s="158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/>
      <c r="AQ218" s="153"/>
      <c r="AR218" s="153"/>
      <c r="AS218" s="153"/>
      <c r="AT218" s="153"/>
      <c r="AU218" s="153"/>
      <c r="AV218" s="153"/>
      <c r="AW218" s="153"/>
      <c r="AX218" s="153"/>
      <c r="AY218" s="153"/>
      <c r="AZ218" s="153"/>
      <c r="BA218" s="153"/>
      <c r="BB218" s="158"/>
      <c r="BC218" s="153"/>
      <c r="BD218" s="153"/>
      <c r="BE218" s="153"/>
      <c r="BF218" s="153"/>
      <c r="BG218" s="153"/>
      <c r="BH218" s="153"/>
      <c r="BI218" s="153"/>
      <c r="BJ218" s="153"/>
      <c r="BK218" s="153"/>
      <c r="BL218" s="153"/>
      <c r="BM218" s="153"/>
      <c r="BN218" s="153"/>
      <c r="BO218" s="153"/>
      <c r="BP218" s="153"/>
      <c r="BQ218" s="153"/>
      <c r="BR218" s="153">
        <v>0.4</v>
      </c>
      <c r="BS218" s="153"/>
      <c r="BT218" s="153"/>
      <c r="BU218" s="153"/>
      <c r="BV218" s="153"/>
      <c r="BW218" s="153"/>
      <c r="BX218" s="153"/>
      <c r="BY218" s="153"/>
      <c r="BZ218" s="153"/>
      <c r="CA218" s="153"/>
      <c r="CB218" s="153"/>
      <c r="CC218" s="153"/>
      <c r="CD218" s="153"/>
      <c r="CE218" s="153"/>
      <c r="CF218" s="153"/>
      <c r="CG218" s="153"/>
      <c r="CH218" s="153"/>
      <c r="CI218" s="158"/>
      <c r="CJ218" s="153"/>
      <c r="CK218" s="153"/>
      <c r="CL218" s="153"/>
      <c r="CM218" s="153"/>
      <c r="CN218" s="158"/>
      <c r="CO218" s="153"/>
      <c r="CP218" s="153"/>
      <c r="CQ218" s="153"/>
    </row>
    <row r="219" spans="2:95" ht="14.9" customHeight="1" x14ac:dyDescent="0.3">
      <c r="B219" s="146" t="str">
        <f>Table1[[#Headers],[Total Testes]]</f>
        <v>Total Testes</v>
      </c>
      <c r="C219" s="144" t="str">
        <f t="shared" si="120"/>
        <v>PROTECTION_OFF_BLNC_SHT_AMNT_INSTRMNT</v>
      </c>
      <c r="D219" s="143" t="s">
        <v>1114</v>
      </c>
      <c r="E219" s="143" t="s">
        <v>629</v>
      </c>
      <c r="G219" s="160">
        <v>3</v>
      </c>
      <c r="H219" s="179">
        <f t="shared" si="121"/>
        <v>0.4</v>
      </c>
      <c r="I219" s="181">
        <f t="shared" si="122"/>
        <v>0</v>
      </c>
      <c r="J219" s="158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  <c r="AO219" s="153"/>
      <c r="AP219" s="153"/>
      <c r="AQ219" s="153"/>
      <c r="AR219" s="153"/>
      <c r="AS219" s="153"/>
      <c r="AT219" s="153"/>
      <c r="AU219" s="153"/>
      <c r="AV219" s="153"/>
      <c r="AW219" s="153"/>
      <c r="AX219" s="153"/>
      <c r="AY219" s="153"/>
      <c r="AZ219" s="153"/>
      <c r="BA219" s="153"/>
      <c r="BB219" s="158"/>
      <c r="BC219" s="153"/>
      <c r="BD219" s="153"/>
      <c r="BE219" s="153"/>
      <c r="BF219" s="153"/>
      <c r="BG219" s="153"/>
      <c r="BH219" s="153"/>
      <c r="BI219" s="153"/>
      <c r="BJ219" s="153"/>
      <c r="BK219" s="153"/>
      <c r="BL219" s="153"/>
      <c r="BM219" s="153"/>
      <c r="BN219" s="153"/>
      <c r="BO219" s="153"/>
      <c r="BP219" s="153"/>
      <c r="BQ219" s="153"/>
      <c r="BR219" s="153">
        <v>0.4</v>
      </c>
      <c r="BS219" s="153"/>
      <c r="BT219" s="153"/>
      <c r="BU219" s="153"/>
      <c r="BV219" s="153"/>
      <c r="BW219" s="153"/>
      <c r="BX219" s="153"/>
      <c r="BY219" s="153"/>
      <c r="BZ219" s="153"/>
      <c r="CA219" s="153"/>
      <c r="CB219" s="153"/>
      <c r="CC219" s="153"/>
      <c r="CD219" s="153"/>
      <c r="CE219" s="153"/>
      <c r="CF219" s="153"/>
      <c r="CG219" s="153"/>
      <c r="CH219" s="153"/>
      <c r="CI219" s="158"/>
      <c r="CJ219" s="153"/>
      <c r="CK219" s="153"/>
      <c r="CL219" s="153"/>
      <c r="CM219" s="153"/>
      <c r="CN219" s="158"/>
      <c r="CO219" s="153"/>
      <c r="CP219" s="153"/>
      <c r="CQ219" s="153"/>
    </row>
    <row r="220" spans="2:95" ht="14.9" customHeight="1" x14ac:dyDescent="0.3">
      <c r="B220" s="146" t="str">
        <f>Table1[[#Headers],[Total Testes]]</f>
        <v>Total Testes</v>
      </c>
      <c r="C220" s="144" t="str">
        <f t="shared" si="120"/>
        <v>PROTECTION_INTRNL_SGMNT_CAT_MSTA</v>
      </c>
      <c r="D220" s="143" t="s">
        <v>1114</v>
      </c>
      <c r="E220" s="143" t="s">
        <v>943</v>
      </c>
      <c r="G220" s="160">
        <v>3.5</v>
      </c>
      <c r="H220" s="179">
        <f t="shared" si="121"/>
        <v>0.5</v>
      </c>
      <c r="I220" s="181">
        <f t="shared" si="122"/>
        <v>0</v>
      </c>
      <c r="J220" s="158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/>
      <c r="AS220" s="153"/>
      <c r="AT220" s="153"/>
      <c r="AU220" s="153"/>
      <c r="AV220" s="153"/>
      <c r="AW220" s="153"/>
      <c r="AX220" s="153"/>
      <c r="AY220" s="153"/>
      <c r="AZ220" s="153"/>
      <c r="BA220" s="153"/>
      <c r="BB220" s="158"/>
      <c r="BC220" s="153"/>
      <c r="BD220" s="153"/>
      <c r="BE220" s="153"/>
      <c r="BF220" s="153"/>
      <c r="BG220" s="153"/>
      <c r="BH220" s="153"/>
      <c r="BI220" s="153"/>
      <c r="BJ220" s="153"/>
      <c r="BK220" s="153"/>
      <c r="BL220" s="153"/>
      <c r="BM220" s="153"/>
      <c r="BN220" s="153"/>
      <c r="BO220" s="153"/>
      <c r="BP220" s="153"/>
      <c r="BQ220" s="153"/>
      <c r="BR220" s="153">
        <v>0.5</v>
      </c>
      <c r="BS220" s="153"/>
      <c r="BT220" s="153"/>
      <c r="BU220" s="153"/>
      <c r="BV220" s="153"/>
      <c r="BW220" s="153"/>
      <c r="BX220" s="153"/>
      <c r="BY220" s="153"/>
      <c r="BZ220" s="153"/>
      <c r="CA220" s="153"/>
      <c r="CB220" s="153"/>
      <c r="CC220" s="153"/>
      <c r="CD220" s="153"/>
      <c r="CE220" s="153"/>
      <c r="CF220" s="153"/>
      <c r="CG220" s="153"/>
      <c r="CH220" s="153"/>
      <c r="CI220" s="158"/>
      <c r="CJ220" s="153"/>
      <c r="CK220" s="153"/>
      <c r="CL220" s="153"/>
      <c r="CM220" s="153"/>
      <c r="CN220" s="158"/>
      <c r="CO220" s="153"/>
      <c r="CP220" s="153"/>
      <c r="CQ220" s="153"/>
    </row>
    <row r="221" spans="2:95" ht="14.9" customHeight="1" x14ac:dyDescent="0.3">
      <c r="B221" s="146" t="str">
        <f>Table1[[#Headers],[Total Testes]]</f>
        <v>Total Testes</v>
      </c>
      <c r="C221" s="144" t="str">
        <f t="shared" si="120"/>
        <v>PROTECTION_INTRNL_SGMNT_CATGSUB</v>
      </c>
      <c r="D221" s="143" t="s">
        <v>1114</v>
      </c>
      <c r="E221" s="143" t="s">
        <v>946</v>
      </c>
      <c r="G221" s="160">
        <v>3.5</v>
      </c>
      <c r="H221" s="179">
        <f t="shared" si="121"/>
        <v>0.5</v>
      </c>
      <c r="I221" s="181">
        <f t="shared" si="122"/>
        <v>0</v>
      </c>
      <c r="J221" s="158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/>
      <c r="AR221" s="153"/>
      <c r="AS221" s="153"/>
      <c r="AT221" s="153"/>
      <c r="AU221" s="153"/>
      <c r="AV221" s="153"/>
      <c r="AW221" s="153"/>
      <c r="AX221" s="153"/>
      <c r="AY221" s="153"/>
      <c r="AZ221" s="153"/>
      <c r="BA221" s="153"/>
      <c r="BB221" s="158"/>
      <c r="BC221" s="153"/>
      <c r="BD221" s="153"/>
      <c r="BE221" s="153"/>
      <c r="BF221" s="153"/>
      <c r="BG221" s="153"/>
      <c r="BH221" s="153"/>
      <c r="BI221" s="153"/>
      <c r="BJ221" s="153"/>
      <c r="BK221" s="153"/>
      <c r="BL221" s="153"/>
      <c r="BM221" s="153"/>
      <c r="BN221" s="153"/>
      <c r="BO221" s="153"/>
      <c r="BP221" s="153"/>
      <c r="BQ221" s="153"/>
      <c r="BR221" s="153">
        <v>0.4</v>
      </c>
      <c r="BS221" s="153">
        <v>0.1</v>
      </c>
      <c r="BT221" s="153"/>
      <c r="BU221" s="153"/>
      <c r="BV221" s="153"/>
      <c r="BW221" s="153"/>
      <c r="BX221" s="153"/>
      <c r="BY221" s="153"/>
      <c r="BZ221" s="153"/>
      <c r="CA221" s="153"/>
      <c r="CB221" s="153"/>
      <c r="CC221" s="153"/>
      <c r="CD221" s="153"/>
      <c r="CE221" s="153"/>
      <c r="CF221" s="153"/>
      <c r="CG221" s="153"/>
      <c r="CH221" s="153"/>
      <c r="CI221" s="158"/>
      <c r="CJ221" s="153"/>
      <c r="CK221" s="153"/>
      <c r="CL221" s="153"/>
      <c r="CM221" s="153"/>
      <c r="CN221" s="158"/>
      <c r="CO221" s="153"/>
      <c r="CP221" s="153"/>
      <c r="CQ221" s="153"/>
    </row>
    <row r="222" spans="2:95" ht="14.9" customHeight="1" x14ac:dyDescent="0.3">
      <c r="B222" s="146" t="str">
        <f>Table1[[#Headers],[Total Testes]]</f>
        <v>Total Testes</v>
      </c>
      <c r="C222" s="144" t="str">
        <f t="shared" si="120"/>
        <v>PROTECTION_RL_ESTT_ADDRSS</v>
      </c>
      <c r="D222" s="143" t="s">
        <v>1114</v>
      </c>
      <c r="E222" s="143" t="s">
        <v>1127</v>
      </c>
      <c r="G222" s="160" t="e">
        <f>INDEX(Table1[[Especificação]:[Total Testes]],MATCH(PlanoV1.0!C222,Table1[CONCAT],0),MATCH(PlanoV1.0!B222,Table1[[#Headers],[Especificação]:[Total Testes]],0))</f>
        <v>#N/A</v>
      </c>
      <c r="H222" s="179" t="e">
        <f t="shared" si="121"/>
        <v>#N/A</v>
      </c>
      <c r="I222" s="181" t="e">
        <f t="shared" si="122"/>
        <v>#N/A</v>
      </c>
      <c r="J222" s="158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/>
      <c r="AQ222" s="153"/>
      <c r="AR222" s="153"/>
      <c r="AS222" s="153"/>
      <c r="AT222" s="153"/>
      <c r="AU222" s="153"/>
      <c r="AV222" s="153"/>
      <c r="AW222" s="153"/>
      <c r="AX222" s="153"/>
      <c r="AY222" s="153"/>
      <c r="AZ222" s="153"/>
      <c r="BA222" s="153"/>
      <c r="BB222" s="158"/>
      <c r="BC222" s="153"/>
      <c r="BD222" s="153"/>
      <c r="BE222" s="153"/>
      <c r="BF222" s="153"/>
      <c r="BG222" s="153"/>
      <c r="BH222" s="153"/>
      <c r="BI222" s="153"/>
      <c r="BJ222" s="153"/>
      <c r="BK222" s="153"/>
      <c r="BL222" s="153"/>
      <c r="BM222" s="153"/>
      <c r="BN222" s="153"/>
      <c r="BO222" s="153"/>
      <c r="BP222" s="153"/>
      <c r="BQ222" s="153"/>
      <c r="BR222" s="153"/>
      <c r="BS222" s="153">
        <v>0.4</v>
      </c>
      <c r="BT222" s="153"/>
      <c r="BU222" s="153"/>
      <c r="BV222" s="153"/>
      <c r="BW222" s="153"/>
      <c r="BX222" s="153"/>
      <c r="BY222" s="153"/>
      <c r="BZ222" s="153"/>
      <c r="CA222" s="153"/>
      <c r="CB222" s="153"/>
      <c r="CC222" s="153"/>
      <c r="CD222" s="153"/>
      <c r="CE222" s="153"/>
      <c r="CF222" s="153"/>
      <c r="CG222" s="153"/>
      <c r="CH222" s="153"/>
      <c r="CI222" s="158"/>
      <c r="CJ222" s="153"/>
      <c r="CK222" s="153"/>
      <c r="CL222" s="153"/>
      <c r="CM222" s="153"/>
      <c r="CN222" s="158"/>
      <c r="CO222" s="153"/>
      <c r="CP222" s="153"/>
      <c r="CQ222" s="153"/>
    </row>
    <row r="223" spans="2:95" ht="14.9" customHeight="1" x14ac:dyDescent="0.3">
      <c r="B223" s="146" t="str">
        <f>Table1[[#Headers],[Total Testes]]</f>
        <v>Total Testes</v>
      </c>
      <c r="C223" s="144" t="str">
        <f t="shared" si="120"/>
        <v>PROTECTION_RL_ESTT_CLLTRL_LCTN_INT</v>
      </c>
      <c r="D223" s="143" t="s">
        <v>1114</v>
      </c>
      <c r="E223" s="143" t="s">
        <v>1133</v>
      </c>
      <c r="G223" s="160" t="e">
        <f>INDEX(Table1[[Especificação]:[Total Testes]],MATCH(PlanoV1.0!C223,Table1[CONCAT],0),MATCH(PlanoV1.0!B223,Table1[[#Headers],[Especificação]:[Total Testes]],0))</f>
        <v>#N/A</v>
      </c>
      <c r="H223" s="179" t="e">
        <f t="shared" si="121"/>
        <v>#N/A</v>
      </c>
      <c r="I223" s="181" t="e">
        <f t="shared" si="122"/>
        <v>#N/A</v>
      </c>
      <c r="J223" s="158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53"/>
      <c r="AS223" s="153"/>
      <c r="AT223" s="153"/>
      <c r="AU223" s="153"/>
      <c r="AV223" s="153"/>
      <c r="AW223" s="153"/>
      <c r="AX223" s="153"/>
      <c r="AY223" s="153"/>
      <c r="AZ223" s="153"/>
      <c r="BA223" s="153"/>
      <c r="BB223" s="158"/>
      <c r="BC223" s="153"/>
      <c r="BD223" s="153"/>
      <c r="BE223" s="153"/>
      <c r="BF223" s="153"/>
      <c r="BG223" s="153"/>
      <c r="BH223" s="153"/>
      <c r="BI223" s="153"/>
      <c r="BJ223" s="153"/>
      <c r="BK223" s="153"/>
      <c r="BL223" s="153"/>
      <c r="BM223" s="153"/>
      <c r="BN223" s="153"/>
      <c r="BO223" s="153"/>
      <c r="BP223" s="153"/>
      <c r="BQ223" s="153"/>
      <c r="BR223" s="153"/>
      <c r="BS223" s="153">
        <v>0.4</v>
      </c>
      <c r="BT223" s="153"/>
      <c r="BU223" s="153"/>
      <c r="BV223" s="153"/>
      <c r="BW223" s="153"/>
      <c r="BX223" s="153"/>
      <c r="BY223" s="153"/>
      <c r="BZ223" s="153"/>
      <c r="CA223" s="153"/>
      <c r="CB223" s="153"/>
      <c r="CC223" s="153"/>
      <c r="CD223" s="153"/>
      <c r="CE223" s="153"/>
      <c r="CF223" s="153"/>
      <c r="CG223" s="153"/>
      <c r="CH223" s="153"/>
      <c r="CI223" s="158"/>
      <c r="CJ223" s="153"/>
      <c r="CK223" s="153"/>
      <c r="CL223" s="153"/>
      <c r="CM223" s="153"/>
      <c r="CN223" s="158"/>
      <c r="CO223" s="153"/>
      <c r="CP223" s="153"/>
      <c r="CQ223" s="153"/>
    </row>
    <row r="224" spans="2:95" ht="14.9" customHeight="1" x14ac:dyDescent="0.3">
      <c r="B224" s="146" t="str">
        <f>Table1[[#Headers],[Total Testes]]</f>
        <v>Total Testes</v>
      </c>
      <c r="C224" s="144" t="str">
        <f t="shared" si="120"/>
        <v>PROTECTION_RL_ESTT_CTY</v>
      </c>
      <c r="D224" s="143" t="s">
        <v>1114</v>
      </c>
      <c r="E224" s="143" t="s">
        <v>1136</v>
      </c>
      <c r="G224" s="160" t="e">
        <f>INDEX(Table1[[Especificação]:[Total Testes]],MATCH(PlanoV1.0!C224,Table1[CONCAT],0),MATCH(PlanoV1.0!B224,Table1[[#Headers],[Especificação]:[Total Testes]],0))</f>
        <v>#N/A</v>
      </c>
      <c r="H224" s="179" t="e">
        <f t="shared" si="121"/>
        <v>#N/A</v>
      </c>
      <c r="I224" s="181" t="e">
        <f t="shared" si="122"/>
        <v>#N/A</v>
      </c>
      <c r="J224" s="158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/>
      <c r="AR224" s="153"/>
      <c r="AS224" s="153"/>
      <c r="AT224" s="153"/>
      <c r="AU224" s="153"/>
      <c r="AV224" s="153"/>
      <c r="AW224" s="153"/>
      <c r="AX224" s="153"/>
      <c r="AY224" s="153"/>
      <c r="AZ224" s="153"/>
      <c r="BA224" s="153"/>
      <c r="BB224" s="158"/>
      <c r="BC224" s="153"/>
      <c r="BD224" s="153"/>
      <c r="BE224" s="153"/>
      <c r="BF224" s="153"/>
      <c r="BG224" s="153"/>
      <c r="BH224" s="153"/>
      <c r="BI224" s="153"/>
      <c r="BJ224" s="153"/>
      <c r="BK224" s="153"/>
      <c r="BL224" s="153"/>
      <c r="BM224" s="153"/>
      <c r="BN224" s="153"/>
      <c r="BO224" s="153"/>
      <c r="BP224" s="153"/>
      <c r="BQ224" s="153"/>
      <c r="BR224" s="153"/>
      <c r="BS224" s="153">
        <v>0.4</v>
      </c>
      <c r="BT224" s="153"/>
      <c r="BU224" s="153"/>
      <c r="BV224" s="153"/>
      <c r="BW224" s="153"/>
      <c r="BX224" s="153"/>
      <c r="BY224" s="153"/>
      <c r="BZ224" s="153"/>
      <c r="CA224" s="153"/>
      <c r="CB224" s="153"/>
      <c r="CC224" s="153"/>
      <c r="CD224" s="153"/>
      <c r="CE224" s="153"/>
      <c r="CF224" s="153"/>
      <c r="CG224" s="153"/>
      <c r="CH224" s="153"/>
      <c r="CI224" s="158"/>
      <c r="CJ224" s="153"/>
      <c r="CK224" s="153"/>
      <c r="CL224" s="153"/>
      <c r="CM224" s="153"/>
      <c r="CN224" s="158"/>
      <c r="CO224" s="153"/>
      <c r="CP224" s="153"/>
      <c r="CQ224" s="153"/>
    </row>
    <row r="225" spans="1:95" ht="14" x14ac:dyDescent="0.3">
      <c r="B225" s="146"/>
      <c r="C225" s="199" t="s">
        <v>1600</v>
      </c>
      <c r="D225" s="166"/>
      <c r="E225" s="167"/>
      <c r="F225" s="193"/>
      <c r="G225" s="193" t="e">
        <f>H225*8</f>
        <v>#N/A</v>
      </c>
      <c r="H225" s="196" t="e">
        <f>ROUNDUP(Auxiliar!$E$12*H156,0)</f>
        <v>#N/A</v>
      </c>
      <c r="I225" s="197" t="e">
        <f t="shared" si="119"/>
        <v>#N/A</v>
      </c>
      <c r="J225" s="158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  <c r="AV225" s="153"/>
      <c r="AW225" s="153"/>
      <c r="AX225" s="153"/>
      <c r="AY225" s="153"/>
      <c r="AZ225" s="153"/>
      <c r="BA225" s="153"/>
      <c r="BB225" s="158"/>
      <c r="BC225" s="153"/>
      <c r="BD225" s="153"/>
      <c r="BE225" s="153"/>
      <c r="BF225" s="153"/>
      <c r="BG225" s="153"/>
      <c r="BH225" s="153"/>
      <c r="BI225" s="153"/>
      <c r="BJ225" s="153"/>
      <c r="BK225" s="153"/>
      <c r="BL225" s="153"/>
      <c r="BM225" s="153"/>
      <c r="BN225" s="153"/>
      <c r="BO225" s="153"/>
      <c r="BP225" s="153"/>
      <c r="BQ225" s="153"/>
      <c r="BR225" s="153"/>
      <c r="BS225" s="153">
        <v>0.7</v>
      </c>
      <c r="BT225" s="153">
        <v>2</v>
      </c>
      <c r="BU225" s="153">
        <v>2</v>
      </c>
      <c r="BV225" s="153"/>
      <c r="BW225" s="153"/>
      <c r="BX225" s="153"/>
      <c r="BY225" s="153"/>
      <c r="BZ225" s="153"/>
      <c r="CA225" s="153"/>
      <c r="CB225" s="153"/>
      <c r="CC225" s="153"/>
      <c r="CD225" s="153"/>
      <c r="CE225" s="153"/>
      <c r="CF225" s="153"/>
      <c r="CG225" s="153"/>
      <c r="CH225" s="153"/>
      <c r="CI225" s="158"/>
      <c r="CJ225" s="153"/>
      <c r="CK225" s="153"/>
      <c r="CL225" s="153"/>
      <c r="CM225" s="153"/>
      <c r="CN225" s="158"/>
      <c r="CO225" s="153"/>
      <c r="CP225" s="153"/>
      <c r="CQ225" s="153"/>
    </row>
    <row r="226" spans="1:95" ht="14" x14ac:dyDescent="0.3">
      <c r="A226"/>
      <c r="B226"/>
      <c r="C226"/>
      <c r="D226"/>
      <c r="E226"/>
      <c r="F226" s="205"/>
      <c r="G226"/>
      <c r="H226"/>
      <c r="I226"/>
      <c r="J226"/>
      <c r="K226"/>
      <c r="L226"/>
      <c r="M226"/>
      <c r="N226"/>
    </row>
  </sheetData>
  <conditionalFormatting sqref="I10:I225">
    <cfRule type="cellIs" dxfId="25" priority="4" operator="notEqual">
      <formula>0</formula>
    </cfRule>
    <cfRule type="cellIs" dxfId="24" priority="33" operator="equal">
      <formula>0</formula>
    </cfRule>
  </conditionalFormatting>
  <conditionalFormatting sqref="J9:J225">
    <cfRule type="cellIs" dxfId="23" priority="9" operator="greaterThan">
      <formula>0</formula>
    </cfRule>
  </conditionalFormatting>
  <conditionalFormatting sqref="J2:BU2">
    <cfRule type="cellIs" dxfId="22" priority="1" operator="equal">
      <formula>0</formula>
    </cfRule>
    <cfRule type="cellIs" dxfId="21" priority="2" operator="greaterThan">
      <formula>0</formula>
    </cfRule>
    <cfRule type="cellIs" dxfId="20" priority="3" operator="lessThan">
      <formula>0</formula>
    </cfRule>
  </conditionalFormatting>
  <conditionalFormatting sqref="K9:BA225 BC9:CH225 CJ9:CM225 CO9:CQ225">
    <cfRule type="cellIs" dxfId="19" priority="10" operator="notEqual">
      <formula>0</formula>
    </cfRule>
  </conditionalFormatting>
  <conditionalFormatting sqref="BB9:BB225">
    <cfRule type="cellIs" dxfId="18" priority="8" operator="greaterThan">
      <formula>0</formula>
    </cfRule>
  </conditionalFormatting>
  <conditionalFormatting sqref="CI9:CI225">
    <cfRule type="cellIs" dxfId="17" priority="5" operator="greaterThan">
      <formula>0</formula>
    </cfRule>
  </conditionalFormatting>
  <conditionalFormatting sqref="CN9:CN225">
    <cfRule type="cellIs" dxfId="16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BED2-14CF-421C-9A3B-79D97986AED6}">
  <sheetPr>
    <tabColor theme="4"/>
  </sheetPr>
  <dimension ref="A1:CQ232"/>
  <sheetViews>
    <sheetView showGridLines="0" zoomScale="80" zoomScaleNormal="8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5.58203125" defaultRowHeight="14" outlineLevelRow="1" x14ac:dyDescent="0.3"/>
  <cols>
    <col min="1" max="1" width="2.6640625" style="135" customWidth="1"/>
    <col min="2" max="2" width="2.6640625" style="132" customWidth="1"/>
    <col min="3" max="3" width="39.9140625" style="133" customWidth="1"/>
    <col min="4" max="4" width="20.6640625" style="134" customWidth="1"/>
    <col min="5" max="5" width="29.5" style="134" customWidth="1"/>
    <col min="6" max="6" width="15.6640625" style="161" customWidth="1"/>
    <col min="7" max="7" width="18.6640625" style="134" customWidth="1"/>
    <col min="8" max="8" width="18.6640625" style="175" customWidth="1"/>
    <col min="9" max="9" width="9.5" style="135" bestFit="1" customWidth="1"/>
    <col min="10" max="14" width="5.58203125" style="135"/>
  </cols>
  <sheetData>
    <row r="1" spans="1:95" x14ac:dyDescent="0.3">
      <c r="H1" s="173">
        <f>I1/8</f>
        <v>150.29999999999978</v>
      </c>
      <c r="I1" s="162">
        <f>SUM(J1:BU1)</f>
        <v>1202.3999999999983</v>
      </c>
      <c r="K1" s="135">
        <f>K4*8</f>
        <v>24.8</v>
      </c>
      <c r="L1" s="135">
        <f t="shared" ref="L1:BU1" si="0">L4*8</f>
        <v>24.8</v>
      </c>
      <c r="M1" s="135">
        <f t="shared" si="0"/>
        <v>24.8</v>
      </c>
      <c r="N1" s="135">
        <f t="shared" si="0"/>
        <v>24.8</v>
      </c>
      <c r="O1" s="135">
        <f t="shared" si="0"/>
        <v>24.8</v>
      </c>
      <c r="P1" s="135">
        <f t="shared" si="0"/>
        <v>24.8</v>
      </c>
      <c r="Q1" s="135">
        <f t="shared" si="0"/>
        <v>24.8</v>
      </c>
      <c r="R1" s="135">
        <f t="shared" si="0"/>
        <v>24.8</v>
      </c>
      <c r="S1" s="135">
        <f t="shared" si="0"/>
        <v>24.8</v>
      </c>
      <c r="T1" s="135">
        <f t="shared" si="0"/>
        <v>24.8</v>
      </c>
      <c r="U1" s="135">
        <f t="shared" si="0"/>
        <v>24.8</v>
      </c>
      <c r="V1" s="135">
        <f t="shared" si="0"/>
        <v>24.8</v>
      </c>
      <c r="W1" s="135">
        <f t="shared" si="0"/>
        <v>24.8</v>
      </c>
      <c r="X1" s="135">
        <f t="shared" si="0"/>
        <v>24.8</v>
      </c>
      <c r="Y1" s="135">
        <f t="shared" si="0"/>
        <v>24.8</v>
      </c>
      <c r="Z1" s="135">
        <f t="shared" si="0"/>
        <v>24.8</v>
      </c>
      <c r="AA1" s="135">
        <f t="shared" si="0"/>
        <v>24.8</v>
      </c>
      <c r="AB1" s="135">
        <f t="shared" si="0"/>
        <v>24.8</v>
      </c>
      <c r="AC1" s="135">
        <f t="shared" si="0"/>
        <v>24.8</v>
      </c>
      <c r="AD1" s="135">
        <f t="shared" si="0"/>
        <v>24.8</v>
      </c>
      <c r="AE1" s="135">
        <f t="shared" si="0"/>
        <v>24.8</v>
      </c>
      <c r="AF1" s="135">
        <f t="shared" si="0"/>
        <v>24.8</v>
      </c>
      <c r="AG1" s="135">
        <f t="shared" si="0"/>
        <v>16.8</v>
      </c>
      <c r="AH1" s="135">
        <f t="shared" si="0"/>
        <v>16.8</v>
      </c>
      <c r="AI1" s="135">
        <f t="shared" si="0"/>
        <v>16.8</v>
      </c>
      <c r="AJ1" s="135">
        <f t="shared" si="0"/>
        <v>16.8</v>
      </c>
      <c r="AK1" s="135">
        <f t="shared" si="0"/>
        <v>16.8</v>
      </c>
      <c r="AL1" s="135">
        <f t="shared" si="0"/>
        <v>16.8</v>
      </c>
      <c r="AM1" s="135">
        <f t="shared" si="0"/>
        <v>16.8</v>
      </c>
      <c r="AN1" s="135">
        <f t="shared" si="0"/>
        <v>16.8</v>
      </c>
      <c r="AO1" s="135">
        <f t="shared" si="0"/>
        <v>16.8</v>
      </c>
      <c r="AP1" s="135">
        <f t="shared" si="0"/>
        <v>16.8</v>
      </c>
      <c r="AQ1" s="135">
        <f t="shared" si="0"/>
        <v>16.8</v>
      </c>
      <c r="AR1" s="135">
        <f t="shared" si="0"/>
        <v>16.8</v>
      </c>
      <c r="AS1" s="135">
        <f t="shared" si="0"/>
        <v>16.8</v>
      </c>
      <c r="AT1" s="135">
        <f t="shared" si="0"/>
        <v>16.8</v>
      </c>
      <c r="AU1" s="135">
        <f t="shared" si="0"/>
        <v>16.8</v>
      </c>
      <c r="AV1" s="135">
        <f t="shared" si="0"/>
        <v>16.8</v>
      </c>
      <c r="AW1" s="135">
        <f t="shared" si="0"/>
        <v>16.8</v>
      </c>
      <c r="AX1" s="135">
        <f t="shared" si="0"/>
        <v>16.8</v>
      </c>
      <c r="AY1" s="135">
        <f t="shared" si="0"/>
        <v>16.8</v>
      </c>
      <c r="AZ1" s="135">
        <f t="shared" si="0"/>
        <v>16.8</v>
      </c>
      <c r="BA1" s="135">
        <f t="shared" si="0"/>
        <v>16.8</v>
      </c>
      <c r="BB1" s="135">
        <f t="shared" si="0"/>
        <v>0</v>
      </c>
      <c r="BC1" s="135">
        <f t="shared" si="0"/>
        <v>16.8</v>
      </c>
      <c r="BD1" s="135">
        <f t="shared" si="0"/>
        <v>16.8</v>
      </c>
      <c r="BE1" s="135">
        <f t="shared" si="0"/>
        <v>16.8</v>
      </c>
      <c r="BF1" s="135">
        <f t="shared" si="0"/>
        <v>16.8</v>
      </c>
      <c r="BG1" s="135">
        <f t="shared" si="0"/>
        <v>16.8</v>
      </c>
      <c r="BH1" s="135">
        <f t="shared" si="0"/>
        <v>16.8</v>
      </c>
      <c r="BI1" s="135">
        <f t="shared" si="0"/>
        <v>16.8</v>
      </c>
      <c r="BJ1" s="135">
        <f t="shared" si="0"/>
        <v>16.8</v>
      </c>
      <c r="BK1" s="135">
        <f t="shared" si="0"/>
        <v>16.8</v>
      </c>
      <c r="BL1" s="135">
        <f t="shared" si="0"/>
        <v>16.8</v>
      </c>
      <c r="BM1" s="135">
        <f t="shared" si="0"/>
        <v>16.8</v>
      </c>
      <c r="BN1" s="135">
        <f t="shared" si="0"/>
        <v>16.8</v>
      </c>
      <c r="BO1" s="135">
        <f t="shared" si="0"/>
        <v>16.8</v>
      </c>
      <c r="BP1" s="135">
        <f t="shared" si="0"/>
        <v>16.8</v>
      </c>
      <c r="BQ1" s="135">
        <f t="shared" si="0"/>
        <v>16.8</v>
      </c>
      <c r="BR1" s="135">
        <f t="shared" si="0"/>
        <v>16.8</v>
      </c>
      <c r="BS1" s="135">
        <f t="shared" si="0"/>
        <v>16.8</v>
      </c>
      <c r="BT1" s="135">
        <f t="shared" si="0"/>
        <v>16.8</v>
      </c>
      <c r="BU1" s="135">
        <f t="shared" si="0"/>
        <v>1.6</v>
      </c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5"/>
      <c r="CK1" s="135"/>
      <c r="CL1" s="135"/>
      <c r="CM1" s="135"/>
      <c r="CN1" s="135"/>
      <c r="CO1" s="135"/>
      <c r="CP1" s="135"/>
      <c r="CQ1" s="135"/>
    </row>
    <row r="2" spans="1:95" x14ac:dyDescent="0.3">
      <c r="A2" s="140"/>
      <c r="B2" s="137"/>
      <c r="C2" s="138"/>
      <c r="D2" s="139"/>
      <c r="E2" s="139"/>
      <c r="F2" s="204"/>
      <c r="G2" s="139"/>
      <c r="H2" s="174"/>
      <c r="I2" s="142" t="s">
        <v>1596</v>
      </c>
      <c r="J2" s="141"/>
      <c r="K2" s="141">
        <f t="shared" ref="K2:BU2" si="1">K3-K4</f>
        <v>0</v>
      </c>
      <c r="L2" s="141">
        <f t="shared" si="1"/>
        <v>0</v>
      </c>
      <c r="M2" s="141">
        <f t="shared" si="1"/>
        <v>0</v>
      </c>
      <c r="N2" s="141">
        <f t="shared" si="1"/>
        <v>0</v>
      </c>
      <c r="O2" s="141">
        <f t="shared" si="1"/>
        <v>0</v>
      </c>
      <c r="P2" s="141">
        <f t="shared" si="1"/>
        <v>0</v>
      </c>
      <c r="Q2" s="141">
        <f t="shared" si="1"/>
        <v>0</v>
      </c>
      <c r="R2" s="141">
        <f t="shared" si="1"/>
        <v>0</v>
      </c>
      <c r="S2" s="141">
        <f t="shared" si="1"/>
        <v>0</v>
      </c>
      <c r="T2" s="141">
        <f t="shared" si="1"/>
        <v>0</v>
      </c>
      <c r="U2" s="141">
        <f t="shared" si="1"/>
        <v>0</v>
      </c>
      <c r="V2" s="141">
        <f t="shared" si="1"/>
        <v>0</v>
      </c>
      <c r="W2" s="141">
        <f t="shared" si="1"/>
        <v>0</v>
      </c>
      <c r="X2" s="141">
        <f t="shared" si="1"/>
        <v>0</v>
      </c>
      <c r="Y2" s="141">
        <f t="shared" si="1"/>
        <v>0</v>
      </c>
      <c r="Z2" s="141">
        <f t="shared" si="1"/>
        <v>0</v>
      </c>
      <c r="AA2" s="141">
        <f t="shared" si="1"/>
        <v>0</v>
      </c>
      <c r="AB2" s="141">
        <f t="shared" si="1"/>
        <v>0</v>
      </c>
      <c r="AC2" s="141">
        <f t="shared" si="1"/>
        <v>0</v>
      </c>
      <c r="AD2" s="141">
        <f t="shared" si="1"/>
        <v>0</v>
      </c>
      <c r="AE2" s="141">
        <f t="shared" si="1"/>
        <v>0</v>
      </c>
      <c r="AF2" s="141">
        <f t="shared" si="1"/>
        <v>0</v>
      </c>
      <c r="AG2" s="141">
        <f t="shared" si="1"/>
        <v>0</v>
      </c>
      <c r="AH2" s="141">
        <f t="shared" si="1"/>
        <v>0</v>
      </c>
      <c r="AI2" s="141">
        <f t="shared" si="1"/>
        <v>0</v>
      </c>
      <c r="AJ2" s="141">
        <f t="shared" si="1"/>
        <v>0</v>
      </c>
      <c r="AK2" s="141">
        <f t="shared" si="1"/>
        <v>0</v>
      </c>
      <c r="AL2" s="141">
        <f t="shared" si="1"/>
        <v>0</v>
      </c>
      <c r="AM2" s="141">
        <f t="shared" si="1"/>
        <v>0</v>
      </c>
      <c r="AN2" s="141">
        <f t="shared" si="1"/>
        <v>0</v>
      </c>
      <c r="AO2" s="141">
        <f t="shared" si="1"/>
        <v>0</v>
      </c>
      <c r="AP2" s="141">
        <f t="shared" si="1"/>
        <v>0</v>
      </c>
      <c r="AQ2" s="141">
        <f t="shared" si="1"/>
        <v>0</v>
      </c>
      <c r="AR2" s="141">
        <f t="shared" si="1"/>
        <v>0</v>
      </c>
      <c r="AS2" s="141">
        <f t="shared" si="1"/>
        <v>0</v>
      </c>
      <c r="AT2" s="141">
        <f t="shared" si="1"/>
        <v>0</v>
      </c>
      <c r="AU2" s="141">
        <f t="shared" si="1"/>
        <v>0</v>
      </c>
      <c r="AV2" s="141">
        <f t="shared" si="1"/>
        <v>0</v>
      </c>
      <c r="AW2" s="141">
        <f t="shared" si="1"/>
        <v>0</v>
      </c>
      <c r="AX2" s="141">
        <f t="shared" si="1"/>
        <v>0</v>
      </c>
      <c r="AY2" s="141">
        <f t="shared" si="1"/>
        <v>0</v>
      </c>
      <c r="AZ2" s="141">
        <f t="shared" si="1"/>
        <v>0</v>
      </c>
      <c r="BA2" s="141">
        <f t="shared" si="1"/>
        <v>0</v>
      </c>
      <c r="BB2" s="141"/>
      <c r="BC2" s="141">
        <f t="shared" si="1"/>
        <v>0</v>
      </c>
      <c r="BD2" s="141">
        <f t="shared" si="1"/>
        <v>0</v>
      </c>
      <c r="BE2" s="141">
        <f t="shared" si="1"/>
        <v>0</v>
      </c>
      <c r="BF2" s="141">
        <f t="shared" si="1"/>
        <v>0</v>
      </c>
      <c r="BG2" s="141">
        <f t="shared" si="1"/>
        <v>0</v>
      </c>
      <c r="BH2" s="141">
        <f t="shared" si="1"/>
        <v>0</v>
      </c>
      <c r="BI2" s="141">
        <f t="shared" si="1"/>
        <v>0</v>
      </c>
      <c r="BJ2" s="141">
        <f t="shared" si="1"/>
        <v>0</v>
      </c>
      <c r="BK2" s="141">
        <f t="shared" si="1"/>
        <v>0</v>
      </c>
      <c r="BL2" s="141">
        <f t="shared" si="1"/>
        <v>0</v>
      </c>
      <c r="BM2" s="141">
        <f t="shared" si="1"/>
        <v>0</v>
      </c>
      <c r="BN2" s="141">
        <f t="shared" si="1"/>
        <v>0</v>
      </c>
      <c r="BO2" s="141">
        <f t="shared" si="1"/>
        <v>0</v>
      </c>
      <c r="BP2" s="141">
        <f t="shared" si="1"/>
        <v>0</v>
      </c>
      <c r="BQ2" s="141">
        <f t="shared" si="1"/>
        <v>0</v>
      </c>
      <c r="BR2" s="141">
        <f t="shared" si="1"/>
        <v>0</v>
      </c>
      <c r="BS2" s="141">
        <f t="shared" si="1"/>
        <v>0</v>
      </c>
      <c r="BT2" s="141">
        <f t="shared" si="1"/>
        <v>0</v>
      </c>
      <c r="BU2" s="141">
        <f t="shared" si="1"/>
        <v>0</v>
      </c>
    </row>
    <row r="3" spans="1:95" x14ac:dyDescent="0.3">
      <c r="A3" s="140"/>
      <c r="B3" s="137"/>
      <c r="C3" s="138"/>
      <c r="D3" s="139"/>
      <c r="E3" s="139"/>
      <c r="F3" s="204"/>
      <c r="G3" s="139"/>
      <c r="H3" s="174"/>
      <c r="I3" s="142" t="s">
        <v>1595</v>
      </c>
      <c r="J3" s="142"/>
      <c r="K3" s="142">
        <f t="shared" ref="K3:BU3" si="2">SUM(K9:K226)</f>
        <v>3.1</v>
      </c>
      <c r="L3" s="142">
        <f t="shared" si="2"/>
        <v>3.1</v>
      </c>
      <c r="M3" s="142">
        <f t="shared" si="2"/>
        <v>3.1</v>
      </c>
      <c r="N3" s="142">
        <f t="shared" si="2"/>
        <v>3.1</v>
      </c>
      <c r="O3" s="142">
        <f t="shared" si="2"/>
        <v>3.1</v>
      </c>
      <c r="P3" s="142">
        <f t="shared" si="2"/>
        <v>3.1</v>
      </c>
      <c r="Q3" s="142">
        <f t="shared" si="2"/>
        <v>3.1</v>
      </c>
      <c r="R3" s="142">
        <f t="shared" si="2"/>
        <v>3.1</v>
      </c>
      <c r="S3" s="142">
        <f t="shared" si="2"/>
        <v>3.1</v>
      </c>
      <c r="T3" s="142">
        <f t="shared" si="2"/>
        <v>3.1</v>
      </c>
      <c r="U3" s="142">
        <f t="shared" si="2"/>
        <v>3.1</v>
      </c>
      <c r="V3" s="142">
        <f t="shared" si="2"/>
        <v>3.1</v>
      </c>
      <c r="W3" s="142">
        <f t="shared" si="2"/>
        <v>3.1</v>
      </c>
      <c r="X3" s="142">
        <f t="shared" si="2"/>
        <v>3.1</v>
      </c>
      <c r="Y3" s="142">
        <f t="shared" si="2"/>
        <v>3.1</v>
      </c>
      <c r="Z3" s="142">
        <f t="shared" si="2"/>
        <v>3.1</v>
      </c>
      <c r="AA3" s="142">
        <f t="shared" si="2"/>
        <v>3.1</v>
      </c>
      <c r="AB3" s="142">
        <f t="shared" si="2"/>
        <v>3.1</v>
      </c>
      <c r="AC3" s="142">
        <f t="shared" si="2"/>
        <v>3.1</v>
      </c>
      <c r="AD3" s="142">
        <f t="shared" si="2"/>
        <v>3.1</v>
      </c>
      <c r="AE3" s="142">
        <f t="shared" si="2"/>
        <v>3.1</v>
      </c>
      <c r="AF3" s="142">
        <f t="shared" si="2"/>
        <v>3.1</v>
      </c>
      <c r="AG3" s="142">
        <f t="shared" si="2"/>
        <v>2.1</v>
      </c>
      <c r="AH3" s="142">
        <f t="shared" si="2"/>
        <v>2.1</v>
      </c>
      <c r="AI3" s="142">
        <f t="shared" si="2"/>
        <v>2.1</v>
      </c>
      <c r="AJ3" s="142">
        <f t="shared" si="2"/>
        <v>2.1</v>
      </c>
      <c r="AK3" s="142">
        <f t="shared" si="2"/>
        <v>2.1</v>
      </c>
      <c r="AL3" s="142">
        <f t="shared" si="2"/>
        <v>2.1</v>
      </c>
      <c r="AM3" s="142">
        <f t="shared" si="2"/>
        <v>2.1</v>
      </c>
      <c r="AN3" s="142">
        <f t="shared" si="2"/>
        <v>2.1</v>
      </c>
      <c r="AO3" s="142">
        <f t="shared" si="2"/>
        <v>2.1</v>
      </c>
      <c r="AP3" s="142">
        <f t="shared" si="2"/>
        <v>2.1</v>
      </c>
      <c r="AQ3" s="142">
        <f t="shared" si="2"/>
        <v>2.1</v>
      </c>
      <c r="AR3" s="142">
        <f t="shared" si="2"/>
        <v>2.1</v>
      </c>
      <c r="AS3" s="142">
        <f t="shared" si="2"/>
        <v>2.1</v>
      </c>
      <c r="AT3" s="142">
        <f t="shared" si="2"/>
        <v>2.1</v>
      </c>
      <c r="AU3" s="142">
        <f t="shared" si="2"/>
        <v>2.1</v>
      </c>
      <c r="AV3" s="142">
        <f t="shared" si="2"/>
        <v>2.1</v>
      </c>
      <c r="AW3" s="142">
        <f t="shared" si="2"/>
        <v>2.1</v>
      </c>
      <c r="AX3" s="142">
        <f t="shared" si="2"/>
        <v>2.1</v>
      </c>
      <c r="AY3" s="142">
        <f t="shared" si="2"/>
        <v>2.1</v>
      </c>
      <c r="AZ3" s="142">
        <f t="shared" si="2"/>
        <v>2.1</v>
      </c>
      <c r="BA3" s="142">
        <f t="shared" si="2"/>
        <v>2.1</v>
      </c>
      <c r="BB3" s="142"/>
      <c r="BC3" s="142">
        <f t="shared" si="2"/>
        <v>2.1</v>
      </c>
      <c r="BD3" s="142">
        <f t="shared" si="2"/>
        <v>2.1</v>
      </c>
      <c r="BE3" s="142">
        <f t="shared" si="2"/>
        <v>2.1</v>
      </c>
      <c r="BF3" s="142">
        <f t="shared" si="2"/>
        <v>2.1</v>
      </c>
      <c r="BG3" s="142">
        <f t="shared" si="2"/>
        <v>2.1</v>
      </c>
      <c r="BH3" s="142">
        <f t="shared" si="2"/>
        <v>2.1</v>
      </c>
      <c r="BI3" s="142">
        <f t="shared" si="2"/>
        <v>2.1</v>
      </c>
      <c r="BJ3" s="142">
        <f t="shared" si="2"/>
        <v>2.1</v>
      </c>
      <c r="BK3" s="142">
        <f t="shared" si="2"/>
        <v>2.1</v>
      </c>
      <c r="BL3" s="142">
        <f t="shared" si="2"/>
        <v>2.1</v>
      </c>
      <c r="BM3" s="142">
        <f t="shared" si="2"/>
        <v>2.1</v>
      </c>
      <c r="BN3" s="142">
        <f t="shared" si="2"/>
        <v>2.1</v>
      </c>
      <c r="BO3" s="142">
        <f t="shared" si="2"/>
        <v>2.1</v>
      </c>
      <c r="BP3" s="142">
        <f t="shared" si="2"/>
        <v>2.1</v>
      </c>
      <c r="BQ3" s="142">
        <f t="shared" si="2"/>
        <v>2.1</v>
      </c>
      <c r="BR3" s="142">
        <f t="shared" si="2"/>
        <v>2.1</v>
      </c>
      <c r="BS3" s="142">
        <f t="shared" si="2"/>
        <v>2.1</v>
      </c>
      <c r="BT3" s="142">
        <f t="shared" si="2"/>
        <v>2.1</v>
      </c>
      <c r="BU3" s="142">
        <f t="shared" si="2"/>
        <v>0.2</v>
      </c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</row>
    <row r="4" spans="1:95" x14ac:dyDescent="0.3">
      <c r="A4" s="140"/>
      <c r="B4" s="137"/>
      <c r="C4" s="138"/>
      <c r="D4" s="139"/>
      <c r="E4" s="139"/>
      <c r="F4" s="204"/>
      <c r="G4" s="210"/>
      <c r="H4" s="174"/>
      <c r="I4" s="142" t="s">
        <v>1594</v>
      </c>
      <c r="J4" s="142"/>
      <c r="K4" s="142">
        <v>3.1</v>
      </c>
      <c r="L4" s="142">
        <v>3.1</v>
      </c>
      <c r="M4" s="142">
        <v>3.1</v>
      </c>
      <c r="N4" s="142">
        <v>3.1</v>
      </c>
      <c r="O4" s="142">
        <v>3.1</v>
      </c>
      <c r="P4" s="142">
        <v>3.1</v>
      </c>
      <c r="Q4" s="142">
        <v>3.1</v>
      </c>
      <c r="R4" s="142">
        <v>3.1</v>
      </c>
      <c r="S4" s="142">
        <v>3.1</v>
      </c>
      <c r="T4" s="142">
        <v>3.1</v>
      </c>
      <c r="U4" s="142">
        <v>3.1</v>
      </c>
      <c r="V4" s="142">
        <v>3.1</v>
      </c>
      <c r="W4" s="142">
        <v>3.1</v>
      </c>
      <c r="X4" s="142">
        <v>3.1</v>
      </c>
      <c r="Y4" s="142">
        <v>3.1</v>
      </c>
      <c r="Z4" s="142">
        <v>3.1</v>
      </c>
      <c r="AA4" s="142">
        <v>3.1</v>
      </c>
      <c r="AB4" s="142">
        <v>3.1</v>
      </c>
      <c r="AC4" s="142">
        <v>3.1</v>
      </c>
      <c r="AD4" s="142">
        <v>3.1</v>
      </c>
      <c r="AE4" s="142">
        <v>3.1</v>
      </c>
      <c r="AF4" s="142">
        <v>3.1</v>
      </c>
      <c r="AG4" s="142">
        <v>2.1</v>
      </c>
      <c r="AH4" s="142">
        <v>2.1</v>
      </c>
      <c r="AI4" s="142">
        <v>2.1</v>
      </c>
      <c r="AJ4" s="142">
        <v>2.1</v>
      </c>
      <c r="AK4" s="142">
        <v>2.1</v>
      </c>
      <c r="AL4" s="142">
        <v>2.1</v>
      </c>
      <c r="AM4" s="142">
        <v>2.1</v>
      </c>
      <c r="AN4" s="142">
        <v>2.1</v>
      </c>
      <c r="AO4" s="142">
        <v>2.1</v>
      </c>
      <c r="AP4" s="142">
        <v>2.1</v>
      </c>
      <c r="AQ4" s="142">
        <v>2.1</v>
      </c>
      <c r="AR4" s="142">
        <v>2.1</v>
      </c>
      <c r="AS4" s="142">
        <v>2.1</v>
      </c>
      <c r="AT4" s="142">
        <v>2.1</v>
      </c>
      <c r="AU4" s="142">
        <v>2.1</v>
      </c>
      <c r="AV4" s="142">
        <v>2.1</v>
      </c>
      <c r="AW4" s="142">
        <v>2.1</v>
      </c>
      <c r="AX4" s="142">
        <v>2.1</v>
      </c>
      <c r="AY4" s="142">
        <v>2.1</v>
      </c>
      <c r="AZ4" s="142">
        <v>2.1</v>
      </c>
      <c r="BA4" s="142">
        <v>2.1</v>
      </c>
      <c r="BB4" s="142"/>
      <c r="BC4" s="142">
        <v>2.1</v>
      </c>
      <c r="BD4" s="142">
        <v>2.1</v>
      </c>
      <c r="BE4" s="142">
        <v>2.1</v>
      </c>
      <c r="BF4" s="142">
        <v>2.1</v>
      </c>
      <c r="BG4" s="142">
        <v>2.1</v>
      </c>
      <c r="BH4" s="142">
        <v>2.1</v>
      </c>
      <c r="BI4" s="142">
        <v>2.1</v>
      </c>
      <c r="BJ4" s="142">
        <v>2.1</v>
      </c>
      <c r="BK4" s="142">
        <v>2.1</v>
      </c>
      <c r="BL4" s="142">
        <v>2.1</v>
      </c>
      <c r="BM4" s="142">
        <v>2.1</v>
      </c>
      <c r="BN4" s="142">
        <v>2.1</v>
      </c>
      <c r="BO4" s="142">
        <v>2.1</v>
      </c>
      <c r="BP4" s="142">
        <v>2.1</v>
      </c>
      <c r="BQ4" s="142">
        <v>2.1</v>
      </c>
      <c r="BR4" s="142">
        <v>2.1</v>
      </c>
      <c r="BS4" s="142">
        <v>2.1</v>
      </c>
      <c r="BT4" s="142">
        <v>2.1</v>
      </c>
      <c r="BU4" s="142">
        <v>0.2</v>
      </c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</row>
    <row r="5" spans="1:95" x14ac:dyDescent="0.3">
      <c r="G5" s="206" t="e">
        <f>G11+G12+G16</f>
        <v>#N/A</v>
      </c>
      <c r="H5" s="206" t="e">
        <f>H11+H12+H16</f>
        <v>#N/A</v>
      </c>
      <c r="J5" s="136" t="s">
        <v>1590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 t="s">
        <v>1591</v>
      </c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 t="s">
        <v>1592</v>
      </c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 t="s">
        <v>1593</v>
      </c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</row>
    <row r="6" spans="1:95" ht="16.5" x14ac:dyDescent="0.3">
      <c r="D6" s="133"/>
      <c r="E6" s="133"/>
      <c r="G6" s="207" t="e">
        <f>G5/8</f>
        <v>#N/A</v>
      </c>
      <c r="H6" s="176" t="e">
        <f>H5-G6</f>
        <v>#N/A</v>
      </c>
      <c r="J6" s="155">
        <v>45649</v>
      </c>
      <c r="K6" s="155">
        <v>45650</v>
      </c>
      <c r="L6" s="155">
        <v>45651</v>
      </c>
      <c r="M6" s="155">
        <v>45652</v>
      </c>
      <c r="N6" s="155">
        <v>45653</v>
      </c>
      <c r="O6" s="155">
        <v>45649</v>
      </c>
      <c r="P6" s="155">
        <v>45650</v>
      </c>
      <c r="Q6" s="155">
        <v>45651</v>
      </c>
      <c r="R6" s="155">
        <v>45652</v>
      </c>
      <c r="S6" s="155">
        <v>45653</v>
      </c>
      <c r="T6" s="155">
        <v>45649</v>
      </c>
      <c r="U6" s="155">
        <v>45650</v>
      </c>
      <c r="V6" s="155">
        <v>45651</v>
      </c>
      <c r="W6" s="155">
        <v>45652</v>
      </c>
      <c r="X6" s="155">
        <v>45653</v>
      </c>
      <c r="Y6" s="155">
        <v>45649</v>
      </c>
      <c r="Z6" s="155">
        <v>45650</v>
      </c>
      <c r="AA6" s="155">
        <v>45651</v>
      </c>
      <c r="AB6" s="155">
        <v>45652</v>
      </c>
      <c r="AC6" s="155">
        <v>45653</v>
      </c>
      <c r="AD6" s="155">
        <v>45649</v>
      </c>
      <c r="AE6" s="155">
        <v>45650</v>
      </c>
      <c r="AF6" s="155">
        <v>45651</v>
      </c>
      <c r="AG6" s="155">
        <v>45652</v>
      </c>
      <c r="AH6" s="155">
        <v>45653</v>
      </c>
      <c r="AI6" s="155">
        <v>45649</v>
      </c>
      <c r="AJ6" s="155">
        <v>45650</v>
      </c>
      <c r="AK6" s="155">
        <v>45651</v>
      </c>
      <c r="AL6" s="155">
        <v>45652</v>
      </c>
      <c r="AM6" s="155">
        <v>45653</v>
      </c>
      <c r="AN6" s="155">
        <v>45649</v>
      </c>
      <c r="AO6" s="155">
        <v>45650</v>
      </c>
      <c r="AP6" s="155">
        <v>45651</v>
      </c>
      <c r="AQ6" s="155">
        <v>45652</v>
      </c>
      <c r="AR6" s="155">
        <v>45653</v>
      </c>
      <c r="AS6" s="155">
        <v>45649</v>
      </c>
      <c r="AT6" s="155">
        <v>45650</v>
      </c>
      <c r="AU6" s="155">
        <v>45651</v>
      </c>
      <c r="AV6" s="155">
        <v>45652</v>
      </c>
      <c r="AW6" s="155">
        <v>45653</v>
      </c>
      <c r="AX6" s="155">
        <v>45649</v>
      </c>
      <c r="AY6" s="155">
        <v>45650</v>
      </c>
      <c r="AZ6" s="155">
        <v>45651</v>
      </c>
      <c r="BA6" s="155">
        <v>45652</v>
      </c>
      <c r="BB6" s="155">
        <v>45653</v>
      </c>
      <c r="BC6" s="155">
        <v>45649</v>
      </c>
      <c r="BD6" s="155">
        <v>45650</v>
      </c>
      <c r="BE6" s="155">
        <v>45651</v>
      </c>
      <c r="BF6" s="155">
        <v>45652</v>
      </c>
      <c r="BG6" s="155">
        <v>45653</v>
      </c>
      <c r="BH6" s="155">
        <v>45649</v>
      </c>
      <c r="BI6" s="155">
        <v>45650</v>
      </c>
      <c r="BJ6" s="155">
        <v>45651</v>
      </c>
      <c r="BK6" s="155">
        <v>45652</v>
      </c>
      <c r="BL6" s="155">
        <v>45653</v>
      </c>
      <c r="BM6" s="155">
        <v>45649</v>
      </c>
      <c r="BN6" s="155">
        <v>45650</v>
      </c>
      <c r="BO6" s="155">
        <v>45651</v>
      </c>
      <c r="BP6" s="155">
        <v>45652</v>
      </c>
      <c r="BQ6" s="155">
        <v>45653</v>
      </c>
      <c r="BR6" s="155">
        <v>45649</v>
      </c>
      <c r="BS6" s="155">
        <v>45650</v>
      </c>
      <c r="BT6" s="155">
        <v>45651</v>
      </c>
      <c r="BU6" s="155">
        <v>45652</v>
      </c>
      <c r="BV6" s="155">
        <v>45653</v>
      </c>
      <c r="BW6" s="155">
        <v>45649</v>
      </c>
      <c r="BX6" s="155">
        <v>45650</v>
      </c>
      <c r="BY6" s="155">
        <v>45651</v>
      </c>
      <c r="BZ6" s="155">
        <v>45652</v>
      </c>
      <c r="CA6" s="155">
        <v>45653</v>
      </c>
      <c r="CB6" s="155">
        <v>45649</v>
      </c>
      <c r="CC6" s="155">
        <v>45650</v>
      </c>
      <c r="CD6" s="155">
        <v>45651</v>
      </c>
      <c r="CE6" s="155">
        <v>45652</v>
      </c>
      <c r="CF6" s="155">
        <v>45653</v>
      </c>
      <c r="CG6" s="155">
        <v>45649</v>
      </c>
      <c r="CH6" s="155">
        <v>45650</v>
      </c>
      <c r="CI6" s="155">
        <v>45651</v>
      </c>
      <c r="CJ6" s="155">
        <v>45652</v>
      </c>
      <c r="CK6" s="155">
        <v>45653</v>
      </c>
      <c r="CL6" s="155">
        <v>45649</v>
      </c>
      <c r="CM6" s="155">
        <v>45650</v>
      </c>
      <c r="CN6" s="155">
        <v>45651</v>
      </c>
      <c r="CO6" s="155">
        <v>45652</v>
      </c>
      <c r="CP6" s="155">
        <v>45653</v>
      </c>
      <c r="CQ6" s="155">
        <v>45649</v>
      </c>
    </row>
    <row r="7" spans="1:95" ht="18" x14ac:dyDescent="0.3">
      <c r="D7" s="133"/>
      <c r="E7" s="133"/>
      <c r="G7" s="133"/>
      <c r="H7" s="176"/>
      <c r="I7" s="157">
        <v>45657</v>
      </c>
      <c r="J7" s="156">
        <f>WORKDAY(I7,1)</f>
        <v>45658</v>
      </c>
      <c r="K7" s="156">
        <f t="shared" ref="K7:N8" si="3">WORKDAY(J7,1)</f>
        <v>45659</v>
      </c>
      <c r="L7" s="156">
        <f t="shared" si="3"/>
        <v>45660</v>
      </c>
      <c r="M7" s="156">
        <f t="shared" si="3"/>
        <v>45663</v>
      </c>
      <c r="N7" s="156">
        <f t="shared" si="3"/>
        <v>45664</v>
      </c>
      <c r="O7" s="156">
        <f>WORKDAY(N7,1)</f>
        <v>45665</v>
      </c>
      <c r="P7" s="156">
        <f t="shared" ref="P7:S8" si="4">WORKDAY(O7,1)</f>
        <v>45666</v>
      </c>
      <c r="Q7" s="156">
        <f t="shared" si="4"/>
        <v>45667</v>
      </c>
      <c r="R7" s="156">
        <f t="shared" si="4"/>
        <v>45670</v>
      </c>
      <c r="S7" s="156">
        <f t="shared" si="4"/>
        <v>45671</v>
      </c>
      <c r="T7" s="156">
        <f>WORKDAY(S7,1)</f>
        <v>45672</v>
      </c>
      <c r="U7" s="156">
        <f t="shared" ref="U7:AJ8" si="5">WORKDAY(T7,1)</f>
        <v>45673</v>
      </c>
      <c r="V7" s="156">
        <f t="shared" si="5"/>
        <v>45674</v>
      </c>
      <c r="W7" s="156">
        <f t="shared" si="5"/>
        <v>45677</v>
      </c>
      <c r="X7" s="156">
        <f t="shared" si="5"/>
        <v>45678</v>
      </c>
    </row>
    <row r="8" spans="1:95" ht="18" x14ac:dyDescent="0.3">
      <c r="D8" s="133"/>
      <c r="E8" s="133"/>
      <c r="F8" s="161" t="s">
        <v>1522</v>
      </c>
      <c r="G8" s="161" t="s">
        <v>1597</v>
      </c>
      <c r="H8" s="180" t="s">
        <v>1617</v>
      </c>
      <c r="I8" s="190" t="s">
        <v>1596</v>
      </c>
      <c r="J8" s="156">
        <f>WORKDAY(I7,1)</f>
        <v>45658</v>
      </c>
      <c r="K8" s="156">
        <f t="shared" si="3"/>
        <v>45659</v>
      </c>
      <c r="L8" s="156">
        <f t="shared" si="3"/>
        <v>45660</v>
      </c>
      <c r="M8" s="156">
        <f t="shared" si="3"/>
        <v>45663</v>
      </c>
      <c r="N8" s="156">
        <f t="shared" si="3"/>
        <v>45664</v>
      </c>
      <c r="O8" s="156">
        <f>WORKDAY(N8,1)</f>
        <v>45665</v>
      </c>
      <c r="P8" s="156">
        <f t="shared" si="4"/>
        <v>45666</v>
      </c>
      <c r="Q8" s="156">
        <f t="shared" si="4"/>
        <v>45667</v>
      </c>
      <c r="R8" s="156">
        <f t="shared" si="4"/>
        <v>45670</v>
      </c>
      <c r="S8" s="156">
        <f t="shared" si="4"/>
        <v>45671</v>
      </c>
      <c r="T8" s="156">
        <f>WORKDAY(S8,1)</f>
        <v>45672</v>
      </c>
      <c r="U8" s="156">
        <f t="shared" si="5"/>
        <v>45673</v>
      </c>
      <c r="V8" s="156">
        <f t="shared" si="5"/>
        <v>45674</v>
      </c>
      <c r="W8" s="156">
        <f t="shared" si="5"/>
        <v>45677</v>
      </c>
      <c r="X8" s="156">
        <f t="shared" si="5"/>
        <v>45678</v>
      </c>
      <c r="Y8" s="156">
        <f t="shared" si="5"/>
        <v>45679</v>
      </c>
      <c r="Z8" s="156">
        <f t="shared" si="5"/>
        <v>45680</v>
      </c>
      <c r="AA8" s="156">
        <f t="shared" si="5"/>
        <v>45681</v>
      </c>
      <c r="AB8" s="156">
        <f t="shared" si="5"/>
        <v>45684</v>
      </c>
      <c r="AC8" s="156">
        <f t="shared" si="5"/>
        <v>45685</v>
      </c>
      <c r="AD8" s="156">
        <f t="shared" si="5"/>
        <v>45686</v>
      </c>
      <c r="AE8" s="156">
        <f t="shared" si="5"/>
        <v>45687</v>
      </c>
      <c r="AF8" s="156">
        <f t="shared" si="5"/>
        <v>45688</v>
      </c>
      <c r="AG8" s="156">
        <f t="shared" si="5"/>
        <v>45691</v>
      </c>
      <c r="AH8" s="156">
        <f t="shared" si="5"/>
        <v>45692</v>
      </c>
      <c r="AI8" s="156">
        <f t="shared" si="5"/>
        <v>45693</v>
      </c>
      <c r="AJ8" s="156">
        <f t="shared" si="5"/>
        <v>45694</v>
      </c>
      <c r="AK8" s="156">
        <f t="shared" ref="AK8:CQ8" si="6">WORKDAY(AJ8,1)</f>
        <v>45695</v>
      </c>
      <c r="AL8" s="156">
        <f t="shared" si="6"/>
        <v>45698</v>
      </c>
      <c r="AM8" s="156">
        <f t="shared" si="6"/>
        <v>45699</v>
      </c>
      <c r="AN8" s="156">
        <f t="shared" si="6"/>
        <v>45700</v>
      </c>
      <c r="AO8" s="156">
        <f t="shared" si="6"/>
        <v>45701</v>
      </c>
      <c r="AP8" s="156">
        <f t="shared" si="6"/>
        <v>45702</v>
      </c>
      <c r="AQ8" s="156">
        <f t="shared" si="6"/>
        <v>45705</v>
      </c>
      <c r="AR8" s="156">
        <f t="shared" si="6"/>
        <v>45706</v>
      </c>
      <c r="AS8" s="156">
        <f t="shared" si="6"/>
        <v>45707</v>
      </c>
      <c r="AT8" s="156">
        <f t="shared" si="6"/>
        <v>45708</v>
      </c>
      <c r="AU8" s="156">
        <f t="shared" si="6"/>
        <v>45709</v>
      </c>
      <c r="AV8" s="156">
        <f t="shared" si="6"/>
        <v>45712</v>
      </c>
      <c r="AW8" s="156">
        <f t="shared" si="6"/>
        <v>45713</v>
      </c>
      <c r="AX8" s="156">
        <f t="shared" si="6"/>
        <v>45714</v>
      </c>
      <c r="AY8" s="156">
        <f t="shared" si="6"/>
        <v>45715</v>
      </c>
      <c r="AZ8" s="156">
        <f t="shared" si="6"/>
        <v>45716</v>
      </c>
      <c r="BA8" s="156">
        <f t="shared" si="6"/>
        <v>45719</v>
      </c>
      <c r="BB8" s="156">
        <f t="shared" si="6"/>
        <v>45720</v>
      </c>
      <c r="BC8" s="156">
        <f t="shared" si="6"/>
        <v>45721</v>
      </c>
      <c r="BD8" s="156">
        <f t="shared" si="6"/>
        <v>45722</v>
      </c>
      <c r="BE8" s="156">
        <f t="shared" si="6"/>
        <v>45723</v>
      </c>
      <c r="BF8" s="156">
        <f t="shared" si="6"/>
        <v>45726</v>
      </c>
      <c r="BG8" s="156">
        <f t="shared" si="6"/>
        <v>45727</v>
      </c>
      <c r="BH8" s="156">
        <f t="shared" si="6"/>
        <v>45728</v>
      </c>
      <c r="BI8" s="156">
        <f t="shared" si="6"/>
        <v>45729</v>
      </c>
      <c r="BJ8" s="156">
        <f t="shared" si="6"/>
        <v>45730</v>
      </c>
      <c r="BK8" s="156">
        <f t="shared" si="6"/>
        <v>45733</v>
      </c>
      <c r="BL8" s="156">
        <f t="shared" si="6"/>
        <v>45734</v>
      </c>
      <c r="BM8" s="156">
        <f t="shared" si="6"/>
        <v>45735</v>
      </c>
      <c r="BN8" s="156">
        <f t="shared" si="6"/>
        <v>45736</v>
      </c>
      <c r="BO8" s="156">
        <f t="shared" si="6"/>
        <v>45737</v>
      </c>
      <c r="BP8" s="156">
        <f t="shared" si="6"/>
        <v>45740</v>
      </c>
      <c r="BQ8" s="156">
        <f t="shared" si="6"/>
        <v>45741</v>
      </c>
      <c r="BR8" s="156">
        <f t="shared" si="6"/>
        <v>45742</v>
      </c>
      <c r="BS8" s="156">
        <f t="shared" si="6"/>
        <v>45743</v>
      </c>
      <c r="BT8" s="156">
        <f t="shared" si="6"/>
        <v>45744</v>
      </c>
      <c r="BU8" s="156">
        <f t="shared" si="6"/>
        <v>45747</v>
      </c>
      <c r="BV8" s="156">
        <f t="shared" si="6"/>
        <v>45748</v>
      </c>
      <c r="BW8" s="156">
        <f t="shared" si="6"/>
        <v>45749</v>
      </c>
      <c r="BX8" s="156">
        <f t="shared" si="6"/>
        <v>45750</v>
      </c>
      <c r="BY8" s="156">
        <f t="shared" si="6"/>
        <v>45751</v>
      </c>
      <c r="BZ8" s="156">
        <f t="shared" si="6"/>
        <v>45754</v>
      </c>
      <c r="CA8" s="156">
        <f t="shared" si="6"/>
        <v>45755</v>
      </c>
      <c r="CB8" s="156">
        <f t="shared" si="6"/>
        <v>45756</v>
      </c>
      <c r="CC8" s="156">
        <f t="shared" si="6"/>
        <v>45757</v>
      </c>
      <c r="CD8" s="156">
        <f t="shared" si="6"/>
        <v>45758</v>
      </c>
      <c r="CE8" s="156">
        <f t="shared" si="6"/>
        <v>45761</v>
      </c>
      <c r="CF8" s="156">
        <f t="shared" si="6"/>
        <v>45762</v>
      </c>
      <c r="CG8" s="156">
        <f t="shared" si="6"/>
        <v>45763</v>
      </c>
      <c r="CH8" s="156">
        <f t="shared" si="6"/>
        <v>45764</v>
      </c>
      <c r="CI8" s="156">
        <f t="shared" si="6"/>
        <v>45765</v>
      </c>
      <c r="CJ8" s="156">
        <f t="shared" si="6"/>
        <v>45768</v>
      </c>
      <c r="CK8" s="156">
        <f t="shared" si="6"/>
        <v>45769</v>
      </c>
      <c r="CL8" s="156">
        <f t="shared" si="6"/>
        <v>45770</v>
      </c>
      <c r="CM8" s="156">
        <f t="shared" si="6"/>
        <v>45771</v>
      </c>
      <c r="CN8" s="156">
        <f t="shared" si="6"/>
        <v>45772</v>
      </c>
      <c r="CO8" s="156">
        <f t="shared" si="6"/>
        <v>45775</v>
      </c>
      <c r="CP8" s="156">
        <f t="shared" si="6"/>
        <v>45776</v>
      </c>
      <c r="CQ8" s="156">
        <f t="shared" si="6"/>
        <v>45777</v>
      </c>
    </row>
    <row r="9" spans="1:95" x14ac:dyDescent="0.3">
      <c r="G9" s="132"/>
      <c r="H9" s="173"/>
      <c r="J9" s="158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8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8"/>
      <c r="CJ9" s="153"/>
      <c r="CK9" s="153"/>
      <c r="CL9" s="153"/>
      <c r="CM9" s="153"/>
      <c r="CN9" s="158"/>
      <c r="CO9" s="153"/>
      <c r="CP9" s="153"/>
      <c r="CQ9" s="153"/>
    </row>
    <row r="10" spans="1:95" x14ac:dyDescent="0.3">
      <c r="C10" s="184" t="s">
        <v>1599</v>
      </c>
      <c r="D10" s="185"/>
      <c r="E10" s="186"/>
      <c r="F10" s="203" t="s">
        <v>1534</v>
      </c>
      <c r="G10" s="187">
        <f>H10*8*5</f>
        <v>0</v>
      </c>
      <c r="H10" s="188">
        <f>SUM(J10:M10)</f>
        <v>0</v>
      </c>
      <c r="I10" s="189"/>
      <c r="J10" s="158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58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8"/>
      <c r="CJ10" s="153"/>
      <c r="CK10" s="153"/>
      <c r="CL10" s="153"/>
      <c r="CM10" s="153"/>
      <c r="CN10" s="158"/>
      <c r="CO10" s="153"/>
      <c r="CP10" s="153"/>
      <c r="CQ10" s="153"/>
    </row>
    <row r="11" spans="1:95" x14ac:dyDescent="0.3">
      <c r="C11" s="163" t="s">
        <v>1599</v>
      </c>
      <c r="E11" s="133"/>
      <c r="F11" s="161" t="s">
        <v>1534</v>
      </c>
      <c r="G11" s="132">
        <f>H11*8</f>
        <v>49.599999999999952</v>
      </c>
      <c r="H11" s="173">
        <f>SUM(J11:BU11)</f>
        <v>6.199999999999994</v>
      </c>
      <c r="I11" s="208">
        <f>SUM(J11:BU11)-H11</f>
        <v>0</v>
      </c>
      <c r="J11" s="158"/>
      <c r="K11" s="153">
        <v>0.1</v>
      </c>
      <c r="L11" s="153">
        <v>0.1</v>
      </c>
      <c r="M11" s="153">
        <v>0.1</v>
      </c>
      <c r="N11" s="153">
        <v>0.1</v>
      </c>
      <c r="O11" s="153">
        <v>0.1</v>
      </c>
      <c r="P11" s="153">
        <v>0.1</v>
      </c>
      <c r="Q11" s="153">
        <v>0.1</v>
      </c>
      <c r="R11" s="153">
        <v>0.1</v>
      </c>
      <c r="S11" s="153">
        <v>0.1</v>
      </c>
      <c r="T11" s="153">
        <v>0.1</v>
      </c>
      <c r="U11" s="153">
        <v>0.1</v>
      </c>
      <c r="V11" s="153">
        <v>0.1</v>
      </c>
      <c r="W11" s="153">
        <v>0.1</v>
      </c>
      <c r="X11" s="153">
        <v>0.1</v>
      </c>
      <c r="Y11" s="153">
        <v>0.1</v>
      </c>
      <c r="Z11" s="153">
        <v>0.1</v>
      </c>
      <c r="AA11" s="153">
        <v>0.1</v>
      </c>
      <c r="AB11" s="153">
        <v>0.1</v>
      </c>
      <c r="AC11" s="153">
        <v>0.1</v>
      </c>
      <c r="AD11" s="153">
        <v>0.1</v>
      </c>
      <c r="AE11" s="153">
        <v>0.1</v>
      </c>
      <c r="AF11" s="153">
        <v>0.1</v>
      </c>
      <c r="AG11" s="153">
        <v>0.1</v>
      </c>
      <c r="AH11" s="153">
        <v>0.1</v>
      </c>
      <c r="AI11" s="153">
        <v>0.1</v>
      </c>
      <c r="AJ11" s="153">
        <v>0.1</v>
      </c>
      <c r="AK11" s="153">
        <v>0.1</v>
      </c>
      <c r="AL11" s="153">
        <v>0.1</v>
      </c>
      <c r="AM11" s="153">
        <v>0.1</v>
      </c>
      <c r="AN11" s="153">
        <v>0.1</v>
      </c>
      <c r="AO11" s="153">
        <v>0.1</v>
      </c>
      <c r="AP11" s="153">
        <v>0.1</v>
      </c>
      <c r="AQ11" s="153">
        <v>0.1</v>
      </c>
      <c r="AR11" s="153">
        <v>0.1</v>
      </c>
      <c r="AS11" s="153">
        <v>0.1</v>
      </c>
      <c r="AT11" s="153">
        <v>0.1</v>
      </c>
      <c r="AU11" s="153">
        <v>0.1</v>
      </c>
      <c r="AV11" s="153">
        <v>0.1</v>
      </c>
      <c r="AW11" s="153">
        <v>0.1</v>
      </c>
      <c r="AX11" s="153">
        <v>0.1</v>
      </c>
      <c r="AY11" s="153">
        <v>0.1</v>
      </c>
      <c r="AZ11" s="153">
        <v>0.1</v>
      </c>
      <c r="BA11" s="153">
        <v>0.1</v>
      </c>
      <c r="BB11" s="158"/>
      <c r="BC11" s="153">
        <v>0.1</v>
      </c>
      <c r="BD11" s="153">
        <v>0.1</v>
      </c>
      <c r="BE11" s="153">
        <v>0.1</v>
      </c>
      <c r="BF11" s="153">
        <v>0.1</v>
      </c>
      <c r="BG11" s="153">
        <v>0.1</v>
      </c>
      <c r="BH11" s="153">
        <v>0.1</v>
      </c>
      <c r="BI11" s="153">
        <v>0.1</v>
      </c>
      <c r="BJ11" s="153">
        <v>0.1</v>
      </c>
      <c r="BK11" s="153">
        <v>0.1</v>
      </c>
      <c r="BL11" s="153">
        <v>0.1</v>
      </c>
      <c r="BM11" s="153">
        <v>0.1</v>
      </c>
      <c r="BN11" s="153">
        <v>0.1</v>
      </c>
      <c r="BO11" s="153">
        <v>0.1</v>
      </c>
      <c r="BP11" s="153">
        <v>0.1</v>
      </c>
      <c r="BQ11" s="153">
        <v>0.1</v>
      </c>
      <c r="BR11" s="153">
        <v>0.1</v>
      </c>
      <c r="BS11" s="153">
        <v>0.1</v>
      </c>
      <c r="BT11" s="153">
        <v>0.1</v>
      </c>
      <c r="BU11" s="153">
        <v>0.1</v>
      </c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8"/>
      <c r="CJ11" s="153"/>
      <c r="CK11" s="153"/>
      <c r="CL11" s="153"/>
      <c r="CM11" s="153"/>
      <c r="CN11" s="158"/>
      <c r="CO11" s="153"/>
      <c r="CP11" s="153"/>
      <c r="CQ11" s="153"/>
    </row>
    <row r="12" spans="1:95" x14ac:dyDescent="0.3">
      <c r="C12" s="165" t="s">
        <v>1613</v>
      </c>
      <c r="D12" s="166"/>
      <c r="E12" s="167"/>
      <c r="F12" s="193"/>
      <c r="G12" s="168">
        <f>SUM(G13:G15)</f>
        <v>128</v>
      </c>
      <c r="H12" s="177">
        <f>ROUND(SUM(H13:H15),1)</f>
        <v>16</v>
      </c>
      <c r="I12" s="169"/>
      <c r="J12" s="158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8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8"/>
      <c r="CJ12" s="153"/>
      <c r="CK12" s="153"/>
      <c r="CL12" s="153"/>
      <c r="CM12" s="153"/>
      <c r="CN12" s="158"/>
      <c r="CO12" s="153"/>
      <c r="CP12" s="153"/>
      <c r="CQ12" s="153"/>
    </row>
    <row r="13" spans="1:95" hidden="1" outlineLevel="1" x14ac:dyDescent="0.3">
      <c r="B13" s="159"/>
      <c r="C13" s="171" t="s">
        <v>1615</v>
      </c>
      <c r="D13" s="170"/>
      <c r="E13" s="143"/>
      <c r="F13" s="160"/>
      <c r="G13" s="159">
        <v>16</v>
      </c>
      <c r="H13" s="178">
        <f>ROUNDUP(G13/8,1)</f>
        <v>2</v>
      </c>
      <c r="I13" s="181">
        <v>0</v>
      </c>
      <c r="J13" s="158"/>
      <c r="K13" s="153">
        <v>3</v>
      </c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8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8"/>
      <c r="CJ13" s="153"/>
      <c r="CK13" s="153"/>
      <c r="CL13" s="153"/>
      <c r="CM13" s="153"/>
      <c r="CN13" s="158"/>
      <c r="CO13" s="153"/>
      <c r="CP13" s="153"/>
      <c r="CQ13" s="153"/>
    </row>
    <row r="14" spans="1:95" hidden="1" outlineLevel="1" x14ac:dyDescent="0.3">
      <c r="B14" s="159"/>
      <c r="C14" s="171" t="s">
        <v>1616</v>
      </c>
      <c r="D14" s="170"/>
      <c r="E14" s="143"/>
      <c r="F14" s="160"/>
      <c r="G14" s="159">
        <v>16</v>
      </c>
      <c r="H14" s="178">
        <f>ROUNDUP(G14/8,1)</f>
        <v>2</v>
      </c>
      <c r="I14" s="181">
        <v>0</v>
      </c>
      <c r="J14" s="158"/>
      <c r="K14" s="153"/>
      <c r="L14" s="153">
        <v>3</v>
      </c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8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8"/>
      <c r="CJ14" s="153"/>
      <c r="CK14" s="153"/>
      <c r="CL14" s="153"/>
      <c r="CM14" s="153"/>
      <c r="CN14" s="158"/>
      <c r="CO14" s="153"/>
      <c r="CP14" s="153"/>
      <c r="CQ14" s="153"/>
    </row>
    <row r="15" spans="1:95" hidden="1" outlineLevel="1" x14ac:dyDescent="0.3">
      <c r="B15" s="159"/>
      <c r="C15" s="171" t="s">
        <v>1600</v>
      </c>
      <c r="D15" s="170"/>
      <c r="E15" s="143"/>
      <c r="F15" s="160"/>
      <c r="G15" s="159">
        <f>12*8</f>
        <v>96</v>
      </c>
      <c r="H15" s="178">
        <f>ROUNDUP(G15/8,1)</f>
        <v>12</v>
      </c>
      <c r="I15" s="181">
        <v>0</v>
      </c>
      <c r="J15" s="158"/>
      <c r="K15" s="153"/>
      <c r="L15" s="153"/>
      <c r="M15" s="183">
        <v>3</v>
      </c>
      <c r="N15" s="183">
        <v>3</v>
      </c>
      <c r="O15" s="183">
        <v>3</v>
      </c>
      <c r="P15" s="183">
        <v>3</v>
      </c>
      <c r="Q15" s="183">
        <v>3</v>
      </c>
      <c r="R15" s="183">
        <v>3</v>
      </c>
      <c r="S15" s="183">
        <v>3</v>
      </c>
      <c r="T15" s="183">
        <v>3</v>
      </c>
      <c r="U15" s="183">
        <v>3</v>
      </c>
      <c r="V15" s="183">
        <v>3</v>
      </c>
      <c r="W15" s="183">
        <v>3</v>
      </c>
      <c r="X15" s="183">
        <v>3</v>
      </c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8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8"/>
      <c r="CJ15" s="153"/>
      <c r="CK15" s="153"/>
      <c r="CL15" s="153"/>
      <c r="CM15" s="153"/>
      <c r="CN15" s="158"/>
      <c r="CO15" s="153"/>
      <c r="CP15" s="153"/>
      <c r="CQ15" s="153"/>
    </row>
    <row r="16" spans="1:95" collapsed="1" x14ac:dyDescent="0.3">
      <c r="C16" s="165" t="s">
        <v>1614</v>
      </c>
      <c r="D16" s="166"/>
      <c r="E16" s="167"/>
      <c r="F16" s="193">
        <f>F17+F66</f>
        <v>68</v>
      </c>
      <c r="G16" s="168" t="e">
        <f>G17+G66+G87+G156+G225</f>
        <v>#N/A</v>
      </c>
      <c r="H16" s="168" t="e">
        <f>H17+H66+H87+H156+H225</f>
        <v>#N/A</v>
      </c>
      <c r="I16" s="192"/>
      <c r="J16" s="158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58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8"/>
      <c r="CJ16" s="153"/>
      <c r="CK16" s="153"/>
      <c r="CL16" s="153"/>
      <c r="CM16" s="153"/>
      <c r="CN16" s="158"/>
      <c r="CO16" s="153"/>
      <c r="CP16" s="153"/>
      <c r="CQ16" s="153"/>
    </row>
    <row r="17" spans="2:95" x14ac:dyDescent="0.3">
      <c r="B17" s="146"/>
      <c r="C17" s="200" t="s">
        <v>1609</v>
      </c>
      <c r="D17" s="166"/>
      <c r="E17" s="167"/>
      <c r="F17" s="193">
        <f>COUNTA(E18:E65)</f>
        <v>48</v>
      </c>
      <c r="G17" s="193" t="e">
        <f>SUM(G18:G65)</f>
        <v>#N/A</v>
      </c>
      <c r="H17" s="196" t="e">
        <f>ROUND(SUM(H18:H65),1)</f>
        <v>#N/A</v>
      </c>
      <c r="I17" s="209" t="e">
        <f>SUM(J17:CQ17)-H17</f>
        <v>#N/A</v>
      </c>
      <c r="J17" s="158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82">
        <v>3</v>
      </c>
      <c r="Z17" s="182">
        <v>3</v>
      </c>
      <c r="AA17" s="182">
        <v>3</v>
      </c>
      <c r="AB17" s="182">
        <v>3</v>
      </c>
      <c r="AC17" s="182">
        <v>3</v>
      </c>
      <c r="AD17" s="182">
        <v>3</v>
      </c>
      <c r="AE17" s="182">
        <v>3</v>
      </c>
      <c r="AF17" s="182">
        <v>0.1</v>
      </c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8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8"/>
      <c r="CJ17" s="153"/>
      <c r="CK17" s="153"/>
      <c r="CL17" s="153"/>
      <c r="CM17" s="153"/>
      <c r="CN17" s="158"/>
      <c r="CO17" s="153"/>
      <c r="CP17" s="153"/>
      <c r="CQ17" s="153"/>
    </row>
    <row r="18" spans="2:95" hidden="1" outlineLevel="1" x14ac:dyDescent="0.3">
      <c r="B18" s="146" t="str">
        <f>Table1[[#Headers],[Especificação]]</f>
        <v>Especificação</v>
      </c>
      <c r="C18" s="172" t="str">
        <f t="shared" ref="C18:C81" si="7">D18&amp;"_"&amp;E18</f>
        <v>ENTITY_TXNMY_ELGBL_CAPEX_W</v>
      </c>
      <c r="D18" s="143" t="s">
        <v>10</v>
      </c>
      <c r="E18" s="143" t="s">
        <v>1397</v>
      </c>
      <c r="G18" s="160" t="e">
        <f>INDEX(Table1[[Especificação]:[Total Testes]],MATCH(Sheet1!C18,Table1[CONCAT],0),MATCH(Sheet1!B18,Table1[[#Headers],[Especificação]:[Total Testes]],0))</f>
        <v>#N/A</v>
      </c>
      <c r="H18" s="179" t="e">
        <f>ROUND(G18/8,2)</f>
        <v>#N/A</v>
      </c>
      <c r="I18" s="209"/>
      <c r="J18" s="158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8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8"/>
      <c r="CJ18" s="153"/>
      <c r="CK18" s="153"/>
      <c r="CL18" s="153"/>
      <c r="CM18" s="153"/>
      <c r="CN18" s="158"/>
      <c r="CO18" s="153"/>
      <c r="CP18" s="153"/>
      <c r="CQ18" s="153"/>
    </row>
    <row r="19" spans="2:95" hidden="1" outlineLevel="1" x14ac:dyDescent="0.3">
      <c r="B19" s="146" t="str">
        <f>Table1[[#Headers],[Especificação]]</f>
        <v>Especificação</v>
      </c>
      <c r="C19" s="172" t="str">
        <f t="shared" si="7"/>
        <v>ENTITY_TXNMY_ELGBL_TRNVR_W</v>
      </c>
      <c r="D19" s="143" t="s">
        <v>10</v>
      </c>
      <c r="E19" s="143" t="s">
        <v>1399</v>
      </c>
      <c r="G19" s="160" t="e">
        <f>INDEX(Table1[[Especificação]:[Total Testes]],MATCH(Sheet1!C19,Table1[CONCAT],0),MATCH(Sheet1!B19,Table1[[#Headers],[Especificação]:[Total Testes]],0))</f>
        <v>#N/A</v>
      </c>
      <c r="H19" s="179" t="e">
        <f t="shared" ref="H19:H65" si="8">ROUND(G19/8,2)</f>
        <v>#N/A</v>
      </c>
      <c r="I19" s="209"/>
      <c r="J19" s="158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8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8"/>
      <c r="CJ19" s="153"/>
      <c r="CK19" s="153"/>
      <c r="CL19" s="153"/>
      <c r="CM19" s="153"/>
      <c r="CN19" s="158"/>
      <c r="CO19" s="153"/>
      <c r="CP19" s="153"/>
      <c r="CQ19" s="153"/>
    </row>
    <row r="20" spans="2:95" hidden="1" outlineLevel="1" x14ac:dyDescent="0.3">
      <c r="B20" s="146" t="str">
        <f>Table1[[#Headers],[Especificação]]</f>
        <v>Especificação</v>
      </c>
      <c r="C20" s="172" t="str">
        <f t="shared" si="7"/>
        <v>ENTITY_TXNMY_ELGBL_CAPEX_P</v>
      </c>
      <c r="D20" s="143" t="s">
        <v>10</v>
      </c>
      <c r="E20" s="143" t="s">
        <v>1401</v>
      </c>
      <c r="G20" s="160" t="e">
        <f>INDEX(Table1[[Especificação]:[Total Testes]],MATCH(Sheet1!C20,Table1[CONCAT],0),MATCH(Sheet1!B20,Table1[[#Headers],[Especificação]:[Total Testes]],0))</f>
        <v>#N/A</v>
      </c>
      <c r="H20" s="179" t="e">
        <f t="shared" si="8"/>
        <v>#N/A</v>
      </c>
      <c r="I20" s="209"/>
      <c r="J20" s="158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8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8"/>
      <c r="CJ20" s="153"/>
      <c r="CK20" s="153"/>
      <c r="CL20" s="153"/>
      <c r="CM20" s="153"/>
      <c r="CN20" s="158"/>
      <c r="CO20" s="153"/>
      <c r="CP20" s="153"/>
      <c r="CQ20" s="153"/>
    </row>
    <row r="21" spans="2:95" hidden="1" outlineLevel="1" x14ac:dyDescent="0.3">
      <c r="B21" s="146" t="str">
        <f>Table1[[#Headers],[Especificação]]</f>
        <v>Especificação</v>
      </c>
      <c r="C21" s="172" t="str">
        <f t="shared" si="7"/>
        <v>ENTITY_TXNMY_ELGBL_TRNVR_P</v>
      </c>
      <c r="D21" s="143" t="s">
        <v>10</v>
      </c>
      <c r="E21" s="143" t="s">
        <v>1403</v>
      </c>
      <c r="G21" s="160" t="e">
        <f>INDEX(Table1[[Especificação]:[Total Testes]],MATCH(Sheet1!C21,Table1[CONCAT],0),MATCH(Sheet1!B21,Table1[[#Headers],[Especificação]:[Total Testes]],0))</f>
        <v>#N/A</v>
      </c>
      <c r="H21" s="179" t="e">
        <f t="shared" si="8"/>
        <v>#N/A</v>
      </c>
      <c r="I21" s="209"/>
      <c r="J21" s="158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8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8"/>
      <c r="CJ21" s="153"/>
      <c r="CK21" s="153"/>
      <c r="CL21" s="153"/>
      <c r="CM21" s="153"/>
      <c r="CN21" s="158"/>
      <c r="CO21" s="153"/>
      <c r="CP21" s="153"/>
      <c r="CQ21" s="153"/>
    </row>
    <row r="22" spans="2:95" hidden="1" outlineLevel="1" x14ac:dyDescent="0.3">
      <c r="B22" s="146" t="str">
        <f>Table1[[#Headers],[Especificação]]</f>
        <v>Especificação</v>
      </c>
      <c r="C22" s="172" t="str">
        <f t="shared" si="7"/>
        <v>ENTITY_TXNMY_ELGBL_CAPEX_B</v>
      </c>
      <c r="D22" s="143" t="s">
        <v>10</v>
      </c>
      <c r="E22" s="143" t="s">
        <v>1405</v>
      </c>
      <c r="G22" s="160" t="e">
        <f>INDEX(Table1[[Especificação]:[Total Testes]],MATCH(Sheet1!C22,Table1[CONCAT],0),MATCH(Sheet1!B22,Table1[[#Headers],[Especificação]:[Total Testes]],0))</f>
        <v>#N/A</v>
      </c>
      <c r="H22" s="179" t="e">
        <f t="shared" si="8"/>
        <v>#N/A</v>
      </c>
      <c r="I22" s="209"/>
      <c r="J22" s="158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8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8"/>
      <c r="CJ22" s="153"/>
      <c r="CK22" s="153"/>
      <c r="CL22" s="153"/>
      <c r="CM22" s="153"/>
      <c r="CN22" s="158"/>
      <c r="CO22" s="153"/>
      <c r="CP22" s="153"/>
      <c r="CQ22" s="153"/>
    </row>
    <row r="23" spans="2:95" hidden="1" outlineLevel="1" x14ac:dyDescent="0.3">
      <c r="B23" s="146" t="str">
        <f>Table1[[#Headers],[Especificação]]</f>
        <v>Especificação</v>
      </c>
      <c r="C23" s="172" t="str">
        <f t="shared" si="7"/>
        <v>ENTITY_TXNMY_ELGBL_TRNVR_B</v>
      </c>
      <c r="D23" s="143" t="s">
        <v>10</v>
      </c>
      <c r="E23" s="143" t="s">
        <v>1407</v>
      </c>
      <c r="G23" s="160" t="e">
        <f>INDEX(Table1[[Especificação]:[Total Testes]],MATCH(Sheet1!C23,Table1[CONCAT],0),MATCH(Sheet1!B23,Table1[[#Headers],[Especificação]:[Total Testes]],0))</f>
        <v>#N/A</v>
      </c>
      <c r="H23" s="179" t="e">
        <f t="shared" si="8"/>
        <v>#N/A</v>
      </c>
      <c r="I23" s="209"/>
      <c r="J23" s="158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8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8"/>
      <c r="CJ23" s="153"/>
      <c r="CK23" s="153"/>
      <c r="CL23" s="153"/>
      <c r="CM23" s="153"/>
      <c r="CN23" s="158"/>
      <c r="CO23" s="153"/>
      <c r="CP23" s="153"/>
      <c r="CQ23" s="153"/>
    </row>
    <row r="24" spans="2:95" hidden="1" outlineLevel="1" x14ac:dyDescent="0.3">
      <c r="B24" s="146" t="str">
        <f>Table1[[#Headers],[Especificação]]</f>
        <v>Especificação</v>
      </c>
      <c r="C24" s="172" t="str">
        <f t="shared" si="7"/>
        <v>ENTITY_TXNMY_ELGBL_CAPEX_CE</v>
      </c>
      <c r="D24" s="143" t="s">
        <v>10</v>
      </c>
      <c r="E24" s="143" t="s">
        <v>1409</v>
      </c>
      <c r="G24" s="160" t="e">
        <f>INDEX(Table1[[Especificação]:[Total Testes]],MATCH(Sheet1!C24,Table1[CONCAT],0),MATCH(Sheet1!B24,Table1[[#Headers],[Especificação]:[Total Testes]],0))</f>
        <v>#N/A</v>
      </c>
      <c r="H24" s="179" t="e">
        <f t="shared" si="8"/>
        <v>#N/A</v>
      </c>
      <c r="I24" s="209"/>
      <c r="J24" s="158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8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8"/>
      <c r="CJ24" s="153"/>
      <c r="CK24" s="153"/>
      <c r="CL24" s="153"/>
      <c r="CM24" s="153"/>
      <c r="CN24" s="158"/>
      <c r="CO24" s="153"/>
      <c r="CP24" s="153"/>
      <c r="CQ24" s="153"/>
    </row>
    <row r="25" spans="2:95" hidden="1" outlineLevel="1" x14ac:dyDescent="0.3">
      <c r="B25" s="146" t="str">
        <f>Table1[[#Headers],[Especificação]]</f>
        <v>Especificação</v>
      </c>
      <c r="C25" s="172" t="str">
        <f t="shared" si="7"/>
        <v>ENTITY_TXNMY_ELGBL_TRNVR_CE</v>
      </c>
      <c r="D25" s="143" t="s">
        <v>10</v>
      </c>
      <c r="E25" s="143" t="s">
        <v>1411</v>
      </c>
      <c r="G25" s="160" t="e">
        <f>INDEX(Table1[[Especificação]:[Total Testes]],MATCH(Sheet1!C25,Table1[CONCAT],0),MATCH(Sheet1!B25,Table1[[#Headers],[Especificação]:[Total Testes]],0))</f>
        <v>#N/A</v>
      </c>
      <c r="H25" s="179" t="e">
        <f t="shared" si="8"/>
        <v>#N/A</v>
      </c>
      <c r="I25" s="209"/>
      <c r="J25" s="158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8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8"/>
      <c r="CJ25" s="153"/>
      <c r="CK25" s="153"/>
      <c r="CL25" s="153"/>
      <c r="CM25" s="153"/>
      <c r="CN25" s="158"/>
      <c r="CO25" s="153"/>
      <c r="CP25" s="153"/>
      <c r="CQ25" s="153"/>
    </row>
    <row r="26" spans="2:95" hidden="1" outlineLevel="1" x14ac:dyDescent="0.3">
      <c r="B26" s="146" t="str">
        <f>Table1[[#Headers],[Especificação]]</f>
        <v>Especificação</v>
      </c>
      <c r="C26" s="172" t="str">
        <f t="shared" si="7"/>
        <v>ENTITY_PURE_CAPEX_P</v>
      </c>
      <c r="D26" s="143" t="s">
        <v>10</v>
      </c>
      <c r="E26" s="143" t="s">
        <v>1413</v>
      </c>
      <c r="G26" s="160" t="e">
        <f>INDEX(Table1[[Especificação]:[Total Testes]],MATCH(Sheet1!C26,Table1[CONCAT],0),MATCH(Sheet1!B26,Table1[[#Headers],[Especificação]:[Total Testes]],0))</f>
        <v>#N/A</v>
      </c>
      <c r="H26" s="179" t="e">
        <f t="shared" si="8"/>
        <v>#N/A</v>
      </c>
      <c r="I26" s="209"/>
      <c r="J26" s="158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8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8"/>
      <c r="CJ26" s="153"/>
      <c r="CK26" s="153"/>
      <c r="CL26" s="153"/>
      <c r="CM26" s="153"/>
      <c r="CN26" s="158"/>
      <c r="CO26" s="153"/>
      <c r="CP26" s="153"/>
      <c r="CQ26" s="153"/>
    </row>
    <row r="27" spans="2:95" hidden="1" outlineLevel="1" x14ac:dyDescent="0.3">
      <c r="B27" s="146" t="str">
        <f>Table1[[#Headers],[Especificação]]</f>
        <v>Especificação</v>
      </c>
      <c r="C27" s="172" t="str">
        <f t="shared" si="7"/>
        <v>ENTITY_PURE_TRNVR_P</v>
      </c>
      <c r="D27" s="143" t="s">
        <v>10</v>
      </c>
      <c r="E27" s="143" t="s">
        <v>1415</v>
      </c>
      <c r="G27" s="160" t="e">
        <f>INDEX(Table1[[Especificação]:[Total Testes]],MATCH(Sheet1!C27,Table1[CONCAT],0),MATCH(Sheet1!B27,Table1[[#Headers],[Especificação]:[Total Testes]],0))</f>
        <v>#N/A</v>
      </c>
      <c r="H27" s="179" t="e">
        <f t="shared" si="8"/>
        <v>#N/A</v>
      </c>
      <c r="I27" s="209"/>
      <c r="J27" s="158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8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8"/>
      <c r="CJ27" s="153"/>
      <c r="CK27" s="153"/>
      <c r="CL27" s="153"/>
      <c r="CM27" s="153"/>
      <c r="CN27" s="158"/>
      <c r="CO27" s="153"/>
      <c r="CP27" s="153"/>
      <c r="CQ27" s="153"/>
    </row>
    <row r="28" spans="2:95" hidden="1" outlineLevel="1" x14ac:dyDescent="0.3">
      <c r="B28" s="146" t="str">
        <f>Table1[[#Headers],[Especificação]]</f>
        <v>Especificação</v>
      </c>
      <c r="C28" s="172" t="str">
        <f t="shared" si="7"/>
        <v>ENTITY_PURE_CAPEX_B</v>
      </c>
      <c r="D28" s="143" t="s">
        <v>10</v>
      </c>
      <c r="E28" s="143" t="s">
        <v>1417</v>
      </c>
      <c r="G28" s="160" t="e">
        <f>INDEX(Table1[[Especificação]:[Total Testes]],MATCH(Sheet1!C28,Table1[CONCAT],0),MATCH(Sheet1!B28,Table1[[#Headers],[Especificação]:[Total Testes]],0))</f>
        <v>#N/A</v>
      </c>
      <c r="H28" s="179" t="e">
        <f t="shared" si="8"/>
        <v>#N/A</v>
      </c>
      <c r="I28" s="209"/>
      <c r="J28" s="158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8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8"/>
      <c r="CJ28" s="153"/>
      <c r="CK28" s="153"/>
      <c r="CL28" s="153"/>
      <c r="CM28" s="153"/>
      <c r="CN28" s="158"/>
      <c r="CO28" s="153"/>
      <c r="CP28" s="153"/>
      <c r="CQ28" s="153"/>
    </row>
    <row r="29" spans="2:95" hidden="1" outlineLevel="1" x14ac:dyDescent="0.3">
      <c r="B29" s="146" t="str">
        <f>Table1[[#Headers],[Especificação]]</f>
        <v>Especificação</v>
      </c>
      <c r="C29" s="172" t="str">
        <f t="shared" si="7"/>
        <v>ENTITY_PURE_TRNVR_B</v>
      </c>
      <c r="D29" s="143" t="s">
        <v>10</v>
      </c>
      <c r="E29" s="143" t="s">
        <v>1419</v>
      </c>
      <c r="G29" s="160" t="e">
        <f>INDEX(Table1[[Especificação]:[Total Testes]],MATCH(Sheet1!C29,Table1[CONCAT],0),MATCH(Sheet1!B29,Table1[[#Headers],[Especificação]:[Total Testes]],0))</f>
        <v>#N/A</v>
      </c>
      <c r="H29" s="179" t="e">
        <f t="shared" si="8"/>
        <v>#N/A</v>
      </c>
      <c r="I29" s="209"/>
      <c r="J29" s="158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8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8"/>
      <c r="CJ29" s="153"/>
      <c r="CK29" s="153"/>
      <c r="CL29" s="153"/>
      <c r="CM29" s="153"/>
      <c r="CN29" s="158"/>
      <c r="CO29" s="153"/>
      <c r="CP29" s="153"/>
      <c r="CQ29" s="153"/>
    </row>
    <row r="30" spans="2:95" hidden="1" outlineLevel="1" x14ac:dyDescent="0.3">
      <c r="B30" s="146" t="str">
        <f>Table1[[#Headers],[Especificação]]</f>
        <v>Especificação</v>
      </c>
      <c r="C30" s="172" t="str">
        <f t="shared" si="7"/>
        <v>ENTITY_PURE_CAPEX_W</v>
      </c>
      <c r="D30" s="143" t="s">
        <v>10</v>
      </c>
      <c r="E30" s="143" t="s">
        <v>1421</v>
      </c>
      <c r="G30" s="160" t="e">
        <f>INDEX(Table1[[Especificação]:[Total Testes]],MATCH(Sheet1!C30,Table1[CONCAT],0),MATCH(Sheet1!B30,Table1[[#Headers],[Especificação]:[Total Testes]],0))</f>
        <v>#N/A</v>
      </c>
      <c r="H30" s="179" t="e">
        <f t="shared" si="8"/>
        <v>#N/A</v>
      </c>
      <c r="I30" s="209"/>
      <c r="J30" s="158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8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8"/>
      <c r="CJ30" s="153"/>
      <c r="CK30" s="153"/>
      <c r="CL30" s="153"/>
      <c r="CM30" s="153"/>
      <c r="CN30" s="158"/>
      <c r="CO30" s="153"/>
      <c r="CP30" s="153"/>
      <c r="CQ30" s="153"/>
    </row>
    <row r="31" spans="2:95" hidden="1" outlineLevel="1" x14ac:dyDescent="0.3">
      <c r="B31" s="146" t="str">
        <f>Table1[[#Headers],[Especificação]]</f>
        <v>Especificação</v>
      </c>
      <c r="C31" s="172" t="str">
        <f t="shared" si="7"/>
        <v>ENTITY_PURE_TRNVR_W</v>
      </c>
      <c r="D31" s="143" t="s">
        <v>10</v>
      </c>
      <c r="E31" s="143" t="s">
        <v>1423</v>
      </c>
      <c r="G31" s="160" t="e">
        <f>INDEX(Table1[[Especificação]:[Total Testes]],MATCH(Sheet1!C31,Table1[CONCAT],0),MATCH(Sheet1!B31,Table1[[#Headers],[Especificação]:[Total Testes]],0))</f>
        <v>#N/A</v>
      </c>
      <c r="H31" s="179" t="e">
        <f t="shared" si="8"/>
        <v>#N/A</v>
      </c>
      <c r="I31" s="209"/>
      <c r="J31" s="158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8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8"/>
      <c r="CJ31" s="153"/>
      <c r="CK31" s="153"/>
      <c r="CL31" s="153"/>
      <c r="CM31" s="153"/>
      <c r="CN31" s="158"/>
      <c r="CO31" s="153"/>
      <c r="CP31" s="153"/>
      <c r="CQ31" s="153"/>
    </row>
    <row r="32" spans="2:95" hidden="1" outlineLevel="1" x14ac:dyDescent="0.3">
      <c r="B32" s="146" t="str">
        <f>Table1[[#Headers],[Especificação]]</f>
        <v>Especificação</v>
      </c>
      <c r="C32" s="172" t="str">
        <f t="shared" si="7"/>
        <v>ENTITY_PURE_CAPEX_CE</v>
      </c>
      <c r="D32" s="143" t="s">
        <v>10</v>
      </c>
      <c r="E32" s="143" t="s">
        <v>1425</v>
      </c>
      <c r="G32" s="160" t="e">
        <f>INDEX(Table1[[Especificação]:[Total Testes]],MATCH(Sheet1!C32,Table1[CONCAT],0),MATCH(Sheet1!B32,Table1[[#Headers],[Especificação]:[Total Testes]],0))</f>
        <v>#N/A</v>
      </c>
      <c r="H32" s="179" t="e">
        <f t="shared" si="8"/>
        <v>#N/A</v>
      </c>
      <c r="I32" s="209"/>
      <c r="J32" s="158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8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8"/>
      <c r="CJ32" s="153"/>
      <c r="CK32" s="153"/>
      <c r="CL32" s="153"/>
      <c r="CM32" s="153"/>
      <c r="CN32" s="158"/>
      <c r="CO32" s="153"/>
      <c r="CP32" s="153"/>
      <c r="CQ32" s="153"/>
    </row>
    <row r="33" spans="2:95" hidden="1" outlineLevel="1" x14ac:dyDescent="0.3">
      <c r="B33" s="146" t="str">
        <f>Table1[[#Headers],[Especificação]]</f>
        <v>Especificação</v>
      </c>
      <c r="C33" s="172" t="str">
        <f t="shared" si="7"/>
        <v>ENTITY_PURE_TRNVR_CE</v>
      </c>
      <c r="D33" s="143" t="s">
        <v>10</v>
      </c>
      <c r="E33" s="143" t="s">
        <v>1427</v>
      </c>
      <c r="G33" s="160" t="e">
        <f>INDEX(Table1[[Especificação]:[Total Testes]],MATCH(Sheet1!C33,Table1[CONCAT],0),MATCH(Sheet1!B33,Table1[[#Headers],[Especificação]:[Total Testes]],0))</f>
        <v>#N/A</v>
      </c>
      <c r="H33" s="179" t="e">
        <f t="shared" si="8"/>
        <v>#N/A</v>
      </c>
      <c r="I33" s="209"/>
      <c r="J33" s="158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8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8"/>
      <c r="CJ33" s="153"/>
      <c r="CK33" s="153"/>
      <c r="CL33" s="153"/>
      <c r="CM33" s="153"/>
      <c r="CN33" s="158"/>
      <c r="CO33" s="153"/>
      <c r="CP33" s="153"/>
      <c r="CQ33" s="153"/>
    </row>
    <row r="34" spans="2:95" hidden="1" outlineLevel="1" x14ac:dyDescent="0.3">
      <c r="B34" s="146" t="str">
        <f>Table1[[#Headers],[Especificação]]</f>
        <v>Especificação</v>
      </c>
      <c r="C34" s="172" t="str">
        <f t="shared" si="7"/>
        <v>ENTITY_ENBLNG_CAPEX_W</v>
      </c>
      <c r="D34" s="143" t="s">
        <v>10</v>
      </c>
      <c r="E34" s="143" t="s">
        <v>1429</v>
      </c>
      <c r="G34" s="160" t="e">
        <f>INDEX(Table1[[Especificação]:[Total Testes]],MATCH(Sheet1!C34,Table1[CONCAT],0),MATCH(Sheet1!B34,Table1[[#Headers],[Especificação]:[Total Testes]],0))</f>
        <v>#N/A</v>
      </c>
      <c r="H34" s="179" t="e">
        <f t="shared" si="8"/>
        <v>#N/A</v>
      </c>
      <c r="I34" s="209"/>
      <c r="J34" s="158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8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8"/>
      <c r="CJ34" s="153"/>
      <c r="CK34" s="153"/>
      <c r="CL34" s="153"/>
      <c r="CM34" s="153"/>
      <c r="CN34" s="158"/>
      <c r="CO34" s="153"/>
      <c r="CP34" s="153"/>
      <c r="CQ34" s="153"/>
    </row>
    <row r="35" spans="2:95" hidden="1" outlineLevel="1" x14ac:dyDescent="0.3">
      <c r="B35" s="146" t="str">
        <f>Table1[[#Headers],[Especificação]]</f>
        <v>Especificação</v>
      </c>
      <c r="C35" s="172" t="str">
        <f t="shared" si="7"/>
        <v>ENTITY_ENBLNG_TRNVR_W</v>
      </c>
      <c r="D35" s="143" t="s">
        <v>10</v>
      </c>
      <c r="E35" s="143" t="s">
        <v>1431</v>
      </c>
      <c r="G35" s="160" t="e">
        <f>INDEX(Table1[[Especificação]:[Total Testes]],MATCH(Sheet1!C35,Table1[CONCAT],0),MATCH(Sheet1!B35,Table1[[#Headers],[Especificação]:[Total Testes]],0))</f>
        <v>#N/A</v>
      </c>
      <c r="H35" s="179" t="e">
        <f t="shared" si="8"/>
        <v>#N/A</v>
      </c>
      <c r="I35" s="209"/>
      <c r="J35" s="158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8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8"/>
      <c r="CJ35" s="153"/>
      <c r="CK35" s="153"/>
      <c r="CL35" s="153"/>
      <c r="CM35" s="153"/>
      <c r="CN35" s="158"/>
      <c r="CO35" s="153"/>
      <c r="CP35" s="153"/>
      <c r="CQ35" s="153"/>
    </row>
    <row r="36" spans="2:95" hidden="1" outlineLevel="1" x14ac:dyDescent="0.3">
      <c r="B36" s="146" t="str">
        <f>Table1[[#Headers],[Especificação]]</f>
        <v>Especificação</v>
      </c>
      <c r="C36" s="172" t="str">
        <f t="shared" si="7"/>
        <v>ENTITY_ENBLNG_CAPEX_CE</v>
      </c>
      <c r="D36" s="143" t="s">
        <v>10</v>
      </c>
      <c r="E36" s="143" t="s">
        <v>1433</v>
      </c>
      <c r="G36" s="160" t="e">
        <f>INDEX(Table1[[Especificação]:[Total Testes]],MATCH(Sheet1!C36,Table1[CONCAT],0),MATCH(Sheet1!B36,Table1[[#Headers],[Especificação]:[Total Testes]],0))</f>
        <v>#N/A</v>
      </c>
      <c r="H36" s="179" t="e">
        <f t="shared" si="8"/>
        <v>#N/A</v>
      </c>
      <c r="I36" s="209"/>
      <c r="J36" s="158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8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8"/>
      <c r="CJ36" s="153"/>
      <c r="CK36" s="153"/>
      <c r="CL36" s="153"/>
      <c r="CM36" s="153"/>
      <c r="CN36" s="158"/>
      <c r="CO36" s="153"/>
      <c r="CP36" s="153"/>
      <c r="CQ36" s="153"/>
    </row>
    <row r="37" spans="2:95" hidden="1" outlineLevel="1" x14ac:dyDescent="0.3">
      <c r="B37" s="146" t="str">
        <f>Table1[[#Headers],[Especificação]]</f>
        <v>Especificação</v>
      </c>
      <c r="C37" s="172" t="str">
        <f t="shared" si="7"/>
        <v>ENTITY_ENBLNG_TRNVR_CE</v>
      </c>
      <c r="D37" s="143" t="s">
        <v>10</v>
      </c>
      <c r="E37" s="143" t="s">
        <v>1435</v>
      </c>
      <c r="G37" s="160" t="e">
        <f>INDEX(Table1[[Especificação]:[Total Testes]],MATCH(Sheet1!C37,Table1[CONCAT],0),MATCH(Sheet1!B37,Table1[[#Headers],[Especificação]:[Total Testes]],0))</f>
        <v>#N/A</v>
      </c>
      <c r="H37" s="179" t="e">
        <f t="shared" si="8"/>
        <v>#N/A</v>
      </c>
      <c r="I37" s="209"/>
      <c r="J37" s="158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8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8"/>
      <c r="CJ37" s="153"/>
      <c r="CK37" s="153"/>
      <c r="CL37" s="153"/>
      <c r="CM37" s="153"/>
      <c r="CN37" s="158"/>
      <c r="CO37" s="153"/>
      <c r="CP37" s="153"/>
      <c r="CQ37" s="153"/>
    </row>
    <row r="38" spans="2:95" hidden="1" outlineLevel="1" x14ac:dyDescent="0.3">
      <c r="B38" s="146" t="str">
        <f>Table1[[#Headers],[Especificação]]</f>
        <v>Especificação</v>
      </c>
      <c r="C38" s="172" t="str">
        <f t="shared" si="7"/>
        <v>INSTRUMENT_TYP_OFF_BLNC_PRDCT</v>
      </c>
      <c r="D38" s="143" t="s">
        <v>414</v>
      </c>
      <c r="E38" s="143" t="s">
        <v>1351</v>
      </c>
      <c r="G38" s="160">
        <f>INDEX(Table1[[Especificação]:[Total Testes]],MATCH(Sheet1!C38,Table1[CONCAT],0),MATCH(Sheet1!B38,Table1[[#Headers],[Especificação]:[Total Testes]],0))</f>
        <v>1</v>
      </c>
      <c r="H38" s="179">
        <f t="shared" si="8"/>
        <v>0.13</v>
      </c>
      <c r="I38" s="209"/>
      <c r="J38" s="158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8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8"/>
      <c r="CJ38" s="153"/>
      <c r="CK38" s="153"/>
      <c r="CL38" s="153"/>
      <c r="CM38" s="153"/>
      <c r="CN38" s="158"/>
      <c r="CO38" s="153"/>
      <c r="CP38" s="153"/>
      <c r="CQ38" s="153"/>
    </row>
    <row r="39" spans="2:95" hidden="1" outlineLevel="1" x14ac:dyDescent="0.3">
      <c r="B39" s="146" t="str">
        <f>Table1[[#Headers],[Especificação]]</f>
        <v>Especificação</v>
      </c>
      <c r="C39" s="172" t="str">
        <f t="shared" si="7"/>
        <v>INSTRUMENT_FLG_MNMM_SFGRDS</v>
      </c>
      <c r="D39" s="143" t="s">
        <v>414</v>
      </c>
      <c r="E39" s="143" t="s">
        <v>1438</v>
      </c>
      <c r="G39" s="160" t="e">
        <f>INDEX(Table1[[Especificação]:[Total Testes]],MATCH(Sheet1!C39,Table1[CONCAT],0),MATCH(Sheet1!B39,Table1[[#Headers],[Especificação]:[Total Testes]],0))</f>
        <v>#N/A</v>
      </c>
      <c r="H39" s="179" t="e">
        <f t="shared" si="8"/>
        <v>#N/A</v>
      </c>
      <c r="I39" s="209"/>
      <c r="J39" s="158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8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8"/>
      <c r="CJ39" s="153"/>
      <c r="CK39" s="153"/>
      <c r="CL39" s="153"/>
      <c r="CM39" s="153"/>
      <c r="CN39" s="158"/>
      <c r="CO39" s="153"/>
      <c r="CP39" s="153"/>
      <c r="CQ39" s="153"/>
    </row>
    <row r="40" spans="2:95" hidden="1" outlineLevel="1" x14ac:dyDescent="0.3">
      <c r="B40" s="146" t="str">
        <f>Table1[[#Headers],[Especificação]]</f>
        <v>Especificação</v>
      </c>
      <c r="C40" s="172" t="str">
        <f t="shared" si="7"/>
        <v>INSTR_PROTECTION_TYP_RLTN</v>
      </c>
      <c r="D40" s="143" t="s">
        <v>1101</v>
      </c>
      <c r="E40" s="143" t="s">
        <v>1384</v>
      </c>
      <c r="G40" s="160">
        <f>INDEX(Table1[[Especificação]:[Total Testes]],MATCH(Sheet1!C40,Table1[CONCAT],0),MATCH(Sheet1!B40,Table1[[#Headers],[Especificação]:[Total Testes]],0))</f>
        <v>0</v>
      </c>
      <c r="H40" s="179">
        <f t="shared" si="8"/>
        <v>0</v>
      </c>
      <c r="I40" s="209"/>
      <c r="J40" s="158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8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8"/>
      <c r="CJ40" s="153"/>
      <c r="CK40" s="153"/>
      <c r="CL40" s="153"/>
      <c r="CM40" s="153"/>
      <c r="CN40" s="158"/>
      <c r="CO40" s="153"/>
      <c r="CP40" s="153"/>
      <c r="CQ40" s="153"/>
    </row>
    <row r="41" spans="2:95" hidden="1" outlineLevel="1" x14ac:dyDescent="0.3">
      <c r="B41" s="146" t="str">
        <f>Table1[[#Headers],[Especificação]]</f>
        <v>Especificação</v>
      </c>
      <c r="C41" s="172" t="str">
        <f t="shared" si="7"/>
        <v>PROTECTION_BLDNG_AR</v>
      </c>
      <c r="D41" s="143" t="s">
        <v>1114</v>
      </c>
      <c r="E41" s="143" t="s">
        <v>1387</v>
      </c>
      <c r="G41" s="160" t="e">
        <f>INDEX(Table1[[Especificação]:[Total Testes]],MATCH(Sheet1!C41,Table1[CONCAT],0),MATCH(Sheet1!B41,Table1[[#Headers],[Especificação]:[Total Testes]],0))</f>
        <v>#N/A</v>
      </c>
      <c r="H41" s="179" t="e">
        <f t="shared" si="8"/>
        <v>#N/A</v>
      </c>
      <c r="I41" s="209"/>
      <c r="J41" s="158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8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8"/>
      <c r="CJ41" s="153"/>
      <c r="CK41" s="153"/>
      <c r="CL41" s="153"/>
      <c r="CM41" s="153"/>
      <c r="CN41" s="158"/>
      <c r="CO41" s="153"/>
      <c r="CP41" s="153"/>
      <c r="CQ41" s="153"/>
    </row>
    <row r="42" spans="2:95" hidden="1" outlineLevel="1" x14ac:dyDescent="0.3">
      <c r="B42" s="146" t="str">
        <f>Table1[[#Headers],[Especificação]]</f>
        <v>Especificação</v>
      </c>
      <c r="C42" s="172" t="str">
        <f t="shared" si="7"/>
        <v>PROTECTION_RL_ESTT_CRTFCTN</v>
      </c>
      <c r="D42" s="143" t="s">
        <v>1114</v>
      </c>
      <c r="E42" s="143" t="s">
        <v>1440</v>
      </c>
      <c r="G42" s="160" t="e">
        <f>INDEX(Table1[[Especificação]:[Total Testes]],MATCH(Sheet1!C42,Table1[CONCAT],0),MATCH(Sheet1!B42,Table1[[#Headers],[Especificação]:[Total Testes]],0))</f>
        <v>#N/A</v>
      </c>
      <c r="H42" s="179" t="e">
        <f t="shared" si="8"/>
        <v>#N/A</v>
      </c>
      <c r="I42" s="209"/>
      <c r="J42" s="158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8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8"/>
      <c r="CJ42" s="153"/>
      <c r="CK42" s="153"/>
      <c r="CL42" s="153"/>
      <c r="CM42" s="153"/>
      <c r="CN42" s="158"/>
      <c r="CO42" s="153"/>
      <c r="CP42" s="153"/>
      <c r="CQ42" s="153"/>
    </row>
    <row r="43" spans="2:95" hidden="1" outlineLevel="1" x14ac:dyDescent="0.3">
      <c r="B43" s="146" t="str">
        <f>Table1[[#Headers],[Especificação]]</f>
        <v>Especificação</v>
      </c>
      <c r="C43" s="172" t="str">
        <f t="shared" si="7"/>
        <v>PROTECTION_TYP_VHCL</v>
      </c>
      <c r="D43" s="143" t="s">
        <v>1114</v>
      </c>
      <c r="E43" s="143" t="s">
        <v>1442</v>
      </c>
      <c r="G43" s="160" t="e">
        <f>INDEX(Table1[[Especificação]:[Total Testes]],MATCH(Sheet1!C43,Table1[CONCAT],0),MATCH(Sheet1!B43,Table1[[#Headers],[Especificação]:[Total Testes]],0))</f>
        <v>#N/A</v>
      </c>
      <c r="H43" s="179" t="e">
        <f t="shared" si="8"/>
        <v>#N/A</v>
      </c>
      <c r="I43" s="209"/>
      <c r="J43" s="158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8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8"/>
      <c r="CJ43" s="153"/>
      <c r="CK43" s="153"/>
      <c r="CL43" s="153"/>
      <c r="CM43" s="153"/>
      <c r="CN43" s="158"/>
      <c r="CO43" s="153"/>
      <c r="CP43" s="153"/>
      <c r="CQ43" s="153"/>
    </row>
    <row r="44" spans="2:95" hidden="1" outlineLevel="1" x14ac:dyDescent="0.3">
      <c r="B44" s="146" t="str">
        <f>Table1[[#Headers],[Especificação]]</f>
        <v>Especificação</v>
      </c>
      <c r="C44" s="172" t="str">
        <f t="shared" si="7"/>
        <v>PROTECTION_DT_RGSTRTN</v>
      </c>
      <c r="D44" s="143" t="s">
        <v>1114</v>
      </c>
      <c r="E44" s="143" t="s">
        <v>1444</v>
      </c>
      <c r="G44" s="160" t="e">
        <f>INDEX(Table1[[Especificação]:[Total Testes]],MATCH(Sheet1!C44,Table1[CONCAT],0),MATCH(Sheet1!B44,Table1[[#Headers],[Especificação]:[Total Testes]],0))</f>
        <v>#N/A</v>
      </c>
      <c r="H44" s="179" t="e">
        <f t="shared" si="8"/>
        <v>#N/A</v>
      </c>
      <c r="I44" s="209"/>
      <c r="J44" s="158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8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8"/>
      <c r="CJ44" s="153"/>
      <c r="CK44" s="153"/>
      <c r="CL44" s="153"/>
      <c r="CM44" s="153"/>
      <c r="CN44" s="158"/>
      <c r="CO44" s="153"/>
      <c r="CP44" s="153"/>
      <c r="CQ44" s="153"/>
    </row>
    <row r="45" spans="2:95" hidden="1" outlineLevel="1" x14ac:dyDescent="0.3">
      <c r="B45" s="146" t="str">
        <f>Table1[[#Headers],[Especificação]]</f>
        <v>Especificação</v>
      </c>
      <c r="C45" s="172" t="str">
        <f t="shared" si="7"/>
        <v>PROTECTION_PRMRY_ENRGY_DMND_NN_RNWBL</v>
      </c>
      <c r="D45" s="143" t="s">
        <v>1114</v>
      </c>
      <c r="E45" s="143" t="s">
        <v>1446</v>
      </c>
      <c r="G45" s="160" t="e">
        <f>INDEX(Table1[[Especificação]:[Total Testes]],MATCH(Sheet1!C45,Table1[CONCAT],0),MATCH(Sheet1!B45,Table1[[#Headers],[Especificação]:[Total Testes]],0))</f>
        <v>#N/A</v>
      </c>
      <c r="H45" s="179" t="e">
        <f t="shared" si="8"/>
        <v>#N/A</v>
      </c>
      <c r="I45" s="209"/>
      <c r="J45" s="158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8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8"/>
      <c r="CJ45" s="153"/>
      <c r="CK45" s="153"/>
      <c r="CL45" s="153"/>
      <c r="CM45" s="153"/>
      <c r="CN45" s="158"/>
      <c r="CO45" s="153"/>
      <c r="CP45" s="153"/>
      <c r="CQ45" s="153"/>
    </row>
    <row r="46" spans="2:95" hidden="1" outlineLevel="1" x14ac:dyDescent="0.3">
      <c r="B46" s="146" t="str">
        <f>Table1[[#Headers],[Especificação]]</f>
        <v>Especificação</v>
      </c>
      <c r="C46" s="172" t="str">
        <f t="shared" si="7"/>
        <v>PROTECTION_PRMRY_ENRGY_DMND_TTL</v>
      </c>
      <c r="D46" s="143" t="s">
        <v>1114</v>
      </c>
      <c r="E46" s="143" t="s">
        <v>1448</v>
      </c>
      <c r="G46" s="160" t="e">
        <f>INDEX(Table1[[Especificação]:[Total Testes]],MATCH(Sheet1!C46,Table1[CONCAT],0),MATCH(Sheet1!B46,Table1[[#Headers],[Especificação]:[Total Testes]],0))</f>
        <v>#N/A</v>
      </c>
      <c r="H46" s="179" t="e">
        <f t="shared" si="8"/>
        <v>#N/A</v>
      </c>
      <c r="I46" s="209"/>
      <c r="J46" s="158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8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8"/>
      <c r="CJ46" s="153"/>
      <c r="CK46" s="153"/>
      <c r="CL46" s="153"/>
      <c r="CM46" s="153"/>
      <c r="CN46" s="158"/>
      <c r="CO46" s="153"/>
      <c r="CP46" s="153"/>
      <c r="CQ46" s="153"/>
    </row>
    <row r="47" spans="2:95" hidden="1" outlineLevel="1" x14ac:dyDescent="0.3">
      <c r="B47" s="146" t="str">
        <f>Table1[[#Headers],[Especificação]]</f>
        <v>Especificação</v>
      </c>
      <c r="C47" s="172" t="str">
        <f t="shared" si="7"/>
        <v>PROTECTION_PRMRY_ENRGY_DMND_RFRNC_VL</v>
      </c>
      <c r="D47" s="143" t="s">
        <v>1114</v>
      </c>
      <c r="E47" s="143" t="s">
        <v>1450</v>
      </c>
      <c r="G47" s="160" t="e">
        <f>INDEX(Table1[[Especificação]:[Total Testes]],MATCH(Sheet1!C47,Table1[CONCAT],0),MATCH(Sheet1!B47,Table1[[#Headers],[Especificação]:[Total Testes]],0))</f>
        <v>#N/A</v>
      </c>
      <c r="H47" s="179" t="e">
        <f t="shared" si="8"/>
        <v>#N/A</v>
      </c>
      <c r="I47" s="209"/>
      <c r="J47" s="158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8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8"/>
      <c r="CJ47" s="153"/>
      <c r="CK47" s="153"/>
      <c r="CL47" s="153"/>
      <c r="CM47" s="153"/>
      <c r="CN47" s="158"/>
      <c r="CO47" s="153"/>
      <c r="CP47" s="153"/>
      <c r="CQ47" s="153"/>
    </row>
    <row r="48" spans="2:95" hidden="1" outlineLevel="1" x14ac:dyDescent="0.3">
      <c r="B48" s="146" t="str">
        <f>Table1[[#Headers],[Especificação]]</f>
        <v>Especificação</v>
      </c>
      <c r="C48" s="172" t="str">
        <f t="shared" si="7"/>
        <v>PROTECTION_RL_ESTT_CLMT_ZN</v>
      </c>
      <c r="D48" s="143" t="s">
        <v>1114</v>
      </c>
      <c r="E48" s="143" t="s">
        <v>1452</v>
      </c>
      <c r="G48" s="160" t="e">
        <f>INDEX(Table1[[Especificação]:[Total Testes]],MATCH(Sheet1!C48,Table1[CONCAT],0),MATCH(Sheet1!B48,Table1[[#Headers],[Especificação]:[Total Testes]],0))</f>
        <v>#N/A</v>
      </c>
      <c r="H48" s="179" t="e">
        <f t="shared" si="8"/>
        <v>#N/A</v>
      </c>
      <c r="I48" s="209"/>
      <c r="J48" s="158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8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8"/>
      <c r="CJ48" s="153"/>
      <c r="CK48" s="153"/>
      <c r="CL48" s="153"/>
      <c r="CM48" s="153"/>
      <c r="CN48" s="158"/>
      <c r="CO48" s="153"/>
      <c r="CP48" s="153"/>
      <c r="CQ48" s="153"/>
    </row>
    <row r="49" spans="2:95" hidden="1" outlineLevel="1" x14ac:dyDescent="0.3">
      <c r="B49" s="146" t="str">
        <f>Table1[[#Headers],[Especificação]]</f>
        <v>Especificação</v>
      </c>
      <c r="C49" s="172" t="str">
        <f t="shared" si="7"/>
        <v>INSTR_ACTIVITY_COD_SOC</v>
      </c>
      <c r="D49" s="143" t="s">
        <v>1458</v>
      </c>
      <c r="E49" s="143" t="s">
        <v>12</v>
      </c>
      <c r="G49" s="160">
        <f>INDEX(Table1[[Especificação]:[Total Testes]],MATCH(Sheet1!C49,Table1[CONCAT],0),MATCH(Sheet1!B49,Table1[[#Headers],[Especificação]:[Total Testes]],0))</f>
        <v>0</v>
      </c>
      <c r="H49" s="179">
        <f t="shared" si="8"/>
        <v>0</v>
      </c>
      <c r="I49" s="209"/>
      <c r="J49" s="158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8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8"/>
      <c r="CJ49" s="153"/>
      <c r="CK49" s="153"/>
      <c r="CL49" s="153"/>
      <c r="CM49" s="153"/>
      <c r="CN49" s="158"/>
      <c r="CO49" s="153"/>
      <c r="CP49" s="153"/>
      <c r="CQ49" s="153"/>
    </row>
    <row r="50" spans="2:95" hidden="1" outlineLevel="1" x14ac:dyDescent="0.3">
      <c r="B50" s="146" t="str">
        <f>Table1[[#Headers],[Especificação]]</f>
        <v>Especificação</v>
      </c>
      <c r="C50" s="172" t="str">
        <f t="shared" si="7"/>
        <v>INSTR_ACTIVITY_DT_RFRNC</v>
      </c>
      <c r="D50" s="143" t="s">
        <v>1458</v>
      </c>
      <c r="E50" s="143" t="s">
        <v>38</v>
      </c>
      <c r="G50" s="160">
        <f>INDEX(Table1[[Especificação]:[Total Testes]],MATCH(Sheet1!C50,Table1[CONCAT],0),MATCH(Sheet1!B50,Table1[[#Headers],[Especificação]:[Total Testes]],0))</f>
        <v>0</v>
      </c>
      <c r="H50" s="179">
        <f t="shared" si="8"/>
        <v>0</v>
      </c>
      <c r="I50" s="209"/>
      <c r="J50" s="158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8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8"/>
      <c r="CJ50" s="153"/>
      <c r="CK50" s="153"/>
      <c r="CL50" s="153"/>
      <c r="CM50" s="153"/>
      <c r="CN50" s="158"/>
      <c r="CO50" s="153"/>
      <c r="CP50" s="153"/>
      <c r="CQ50" s="153"/>
    </row>
    <row r="51" spans="2:95" hidden="1" outlineLevel="1" x14ac:dyDescent="0.3">
      <c r="B51" s="146" t="str">
        <f>Table1[[#Headers],[Especificação]]</f>
        <v>Especificação</v>
      </c>
      <c r="C51" s="172" t="str">
        <f t="shared" si="7"/>
        <v>INSTR_ACTIVITY_INSTRMNT_ID</v>
      </c>
      <c r="D51" s="143" t="s">
        <v>1458</v>
      </c>
      <c r="E51" s="143" t="s">
        <v>405</v>
      </c>
      <c r="G51" s="160">
        <f>INDEX(Table1[[Especificação]:[Total Testes]],MATCH(Sheet1!C51,Table1[CONCAT],0),MATCH(Sheet1!B51,Table1[[#Headers],[Especificação]:[Total Testes]],0))</f>
        <v>0</v>
      </c>
      <c r="H51" s="179">
        <f t="shared" si="8"/>
        <v>0</v>
      </c>
      <c r="I51" s="209"/>
      <c r="J51" s="158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8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8"/>
      <c r="CJ51" s="153"/>
      <c r="CK51" s="153"/>
      <c r="CL51" s="153"/>
      <c r="CM51" s="153"/>
      <c r="CN51" s="158"/>
      <c r="CO51" s="153"/>
      <c r="CP51" s="153"/>
      <c r="CQ51" s="153"/>
    </row>
    <row r="52" spans="2:95" hidden="1" outlineLevel="1" x14ac:dyDescent="0.3">
      <c r="B52" s="146" t="str">
        <f>Table1[[#Headers],[Especificação]]</f>
        <v>Especificação</v>
      </c>
      <c r="C52" s="172" t="str">
        <f t="shared" si="7"/>
        <v>INSTR_ACTIVITY_PRCNTG_ACTVTY</v>
      </c>
      <c r="D52" s="143" t="s">
        <v>1458</v>
      </c>
      <c r="E52" s="143" t="s">
        <v>1464</v>
      </c>
      <c r="G52" s="160">
        <f>INDEX(Table1[[Especificação]:[Total Testes]],MATCH(Sheet1!C52,Table1[CONCAT],0),MATCH(Sheet1!B52,Table1[[#Headers],[Especificação]:[Total Testes]],0))</f>
        <v>1</v>
      </c>
      <c r="H52" s="179">
        <f t="shared" si="8"/>
        <v>0.13</v>
      </c>
      <c r="I52" s="209"/>
      <c r="J52" s="158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8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8"/>
      <c r="CJ52" s="153"/>
      <c r="CK52" s="153"/>
      <c r="CL52" s="153"/>
      <c r="CM52" s="153"/>
      <c r="CN52" s="158"/>
      <c r="CO52" s="153"/>
      <c r="CP52" s="153"/>
      <c r="CQ52" s="153"/>
    </row>
    <row r="53" spans="2:95" hidden="1" outlineLevel="1" x14ac:dyDescent="0.3">
      <c r="B53" s="146" t="str">
        <f>Table1[[#Headers],[Especificação]]</f>
        <v>Especificação</v>
      </c>
      <c r="C53" s="172" t="str">
        <f t="shared" si="7"/>
        <v>INSTR_ACTIVITY_FLG_SBSTNTL_CNTRBTN</v>
      </c>
      <c r="D53" s="143" t="s">
        <v>1458</v>
      </c>
      <c r="E53" s="143" t="s">
        <v>1467</v>
      </c>
      <c r="G53" s="160" t="e">
        <f>INDEX(Table1[[Especificação]:[Total Testes]],MATCH(Sheet1!C53,Table1[CONCAT],0),MATCH(Sheet1!B53,Table1[[#Headers],[Especificação]:[Total Testes]],0))</f>
        <v>#N/A</v>
      </c>
      <c r="H53" s="179" t="e">
        <f t="shared" si="8"/>
        <v>#N/A</v>
      </c>
      <c r="I53" s="209"/>
      <c r="J53" s="158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8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8"/>
      <c r="CJ53" s="153"/>
      <c r="CK53" s="153"/>
      <c r="CL53" s="153"/>
      <c r="CM53" s="153"/>
      <c r="CN53" s="158"/>
      <c r="CO53" s="153"/>
      <c r="CP53" s="153"/>
      <c r="CQ53" s="153"/>
    </row>
    <row r="54" spans="2:95" hidden="1" outlineLevel="1" x14ac:dyDescent="0.3">
      <c r="B54" s="146" t="str">
        <f>Table1[[#Headers],[Especificação]]</f>
        <v>Especificação</v>
      </c>
      <c r="C54" s="172" t="str">
        <f t="shared" si="7"/>
        <v>INSTR_ACTIVITY_FLG_DNSH_CMPLNC</v>
      </c>
      <c r="D54" s="143" t="s">
        <v>1458</v>
      </c>
      <c r="E54" s="143" t="s">
        <v>1469</v>
      </c>
      <c r="G54" s="160" t="e">
        <f>INDEX(Table1[[Especificação]:[Total Testes]],MATCH(Sheet1!C54,Table1[CONCAT],0),MATCH(Sheet1!B54,Table1[[#Headers],[Especificação]:[Total Testes]],0))</f>
        <v>#N/A</v>
      </c>
      <c r="H54" s="179" t="e">
        <f t="shared" si="8"/>
        <v>#N/A</v>
      </c>
      <c r="I54" s="209"/>
      <c r="J54" s="158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8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8"/>
      <c r="CJ54" s="153"/>
      <c r="CK54" s="153"/>
      <c r="CL54" s="153"/>
      <c r="CM54" s="153"/>
      <c r="CN54" s="158"/>
      <c r="CO54" s="153"/>
      <c r="CP54" s="153"/>
      <c r="CQ54" s="153"/>
    </row>
    <row r="55" spans="2:95" hidden="1" outlineLevel="1" x14ac:dyDescent="0.3">
      <c r="B55" s="146" t="str">
        <f>Table1[[#Headers],[Especificação]]</f>
        <v>Especificação</v>
      </c>
      <c r="C55" s="172" t="str">
        <f t="shared" si="7"/>
        <v>INSTR_ACTIVITY_DNSH_DTL</v>
      </c>
      <c r="D55" s="143" t="s">
        <v>1458</v>
      </c>
      <c r="E55" s="143" t="s">
        <v>1471</v>
      </c>
      <c r="G55" s="160" t="e">
        <f>INDEX(Table1[[Especificação]:[Total Testes]],MATCH(Sheet1!C55,Table1[CONCAT],0),MATCH(Sheet1!B55,Table1[[#Headers],[Especificação]:[Total Testes]],0))</f>
        <v>#N/A</v>
      </c>
      <c r="H55" s="179" t="e">
        <f t="shared" si="8"/>
        <v>#N/A</v>
      </c>
      <c r="I55" s="209"/>
      <c r="J55" s="158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8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8"/>
      <c r="CJ55" s="153"/>
      <c r="CK55" s="153"/>
      <c r="CL55" s="153"/>
      <c r="CM55" s="153"/>
      <c r="CN55" s="158"/>
      <c r="CO55" s="153"/>
      <c r="CP55" s="153"/>
      <c r="CQ55" s="153"/>
    </row>
    <row r="56" spans="2:95" hidden="1" outlineLevel="1" x14ac:dyDescent="0.3">
      <c r="B56" s="146" t="str">
        <f>Table1[[#Headers],[Especificação]]</f>
        <v>Especificação</v>
      </c>
      <c r="C56" s="172" t="str">
        <f t="shared" si="7"/>
        <v>ENTITY_ENTTY_NM</v>
      </c>
      <c r="D56" s="143" t="s">
        <v>10</v>
      </c>
      <c r="E56" s="143" t="s">
        <v>59</v>
      </c>
      <c r="G56" s="160" t="e">
        <f>INDEX(Table1[[Especificação]:[Total Testes]],MATCH(Sheet1!C56,Table1[CONCAT],0),MATCH(Sheet1!B56,Table1[[#Headers],[Especificação]:[Total Testes]],0))</f>
        <v>#N/A</v>
      </c>
      <c r="H56" s="179" t="e">
        <f t="shared" si="8"/>
        <v>#N/A</v>
      </c>
      <c r="I56" s="209"/>
      <c r="J56" s="158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8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8"/>
      <c r="CJ56" s="153"/>
      <c r="CK56" s="153"/>
      <c r="CL56" s="153"/>
      <c r="CM56" s="153"/>
      <c r="CN56" s="158"/>
      <c r="CO56" s="153"/>
      <c r="CP56" s="153"/>
      <c r="CQ56" s="153"/>
    </row>
    <row r="57" spans="2:95" hidden="1" outlineLevel="1" x14ac:dyDescent="0.3">
      <c r="B57" s="146" t="str">
        <f>Table1[[#Headers],[Especificação]]</f>
        <v>Especificação</v>
      </c>
      <c r="C57" s="172" t="str">
        <f t="shared" si="7"/>
        <v>ENTITY_EC_GRP_NM</v>
      </c>
      <c r="D57" s="143" t="s">
        <v>10</v>
      </c>
      <c r="E57" s="143" t="s">
        <v>284</v>
      </c>
      <c r="G57" s="160" t="e">
        <f>INDEX(Table1[[Especificação]:[Total Testes]],MATCH(Sheet1!C57,Table1[CONCAT],0),MATCH(Sheet1!B57,Table1[[#Headers],[Especificação]:[Total Testes]],0))</f>
        <v>#N/A</v>
      </c>
      <c r="H57" s="179" t="e">
        <f t="shared" si="8"/>
        <v>#N/A</v>
      </c>
      <c r="I57" s="209"/>
      <c r="J57" s="158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8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8"/>
      <c r="CJ57" s="153"/>
      <c r="CK57" s="153"/>
      <c r="CL57" s="153"/>
      <c r="CM57" s="153"/>
      <c r="CN57" s="158"/>
      <c r="CO57" s="153"/>
      <c r="CP57" s="153"/>
      <c r="CQ57" s="153"/>
    </row>
    <row r="58" spans="2:95" hidden="1" outlineLevel="1" x14ac:dyDescent="0.3">
      <c r="B58" s="146" t="str">
        <f>Table1[[#Headers],[Especificação]]</f>
        <v>Especificação</v>
      </c>
      <c r="C58" s="172" t="str">
        <f t="shared" si="7"/>
        <v>INSTRUMENT_FRBRNC_STTS_INSTRMNT</v>
      </c>
      <c r="D58" s="143" t="s">
        <v>414</v>
      </c>
      <c r="E58" s="143" t="s">
        <v>501</v>
      </c>
      <c r="G58" s="160" t="e">
        <f>INDEX(Table1[[Especificação]:[Total Testes]],MATCH(Sheet1!C58,Table1[CONCAT],0),MATCH(Sheet1!B58,Table1[[#Headers],[Especificação]:[Total Testes]],0))</f>
        <v>#N/A</v>
      </c>
      <c r="H58" s="179" t="e">
        <f t="shared" si="8"/>
        <v>#N/A</v>
      </c>
      <c r="I58" s="209"/>
      <c r="J58" s="158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8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8"/>
      <c r="CJ58" s="153"/>
      <c r="CK58" s="153"/>
      <c r="CL58" s="153"/>
      <c r="CM58" s="153"/>
      <c r="CN58" s="158"/>
      <c r="CO58" s="153"/>
      <c r="CP58" s="153"/>
      <c r="CQ58" s="153"/>
    </row>
    <row r="59" spans="2:95" hidden="1" outlineLevel="1" x14ac:dyDescent="0.3">
      <c r="B59" s="146" t="str">
        <f>Table1[[#Headers],[Especificação]]</f>
        <v>Especificação</v>
      </c>
      <c r="C59" s="172" t="str">
        <f t="shared" si="7"/>
        <v>INSTRUMENT_IFRS9_BHVRL_MTRTY</v>
      </c>
      <c r="D59" s="143" t="s">
        <v>414</v>
      </c>
      <c r="E59" s="143" t="s">
        <v>614</v>
      </c>
      <c r="G59" s="160" t="e">
        <f>INDEX(Table1[[Especificação]:[Total Testes]],MATCH(Sheet1!C59,Table1[CONCAT],0),MATCH(Sheet1!B59,Table1[[#Headers],[Especificação]:[Total Testes]],0))</f>
        <v>#N/A</v>
      </c>
      <c r="H59" s="179" t="e">
        <f t="shared" si="8"/>
        <v>#N/A</v>
      </c>
      <c r="I59" s="209"/>
      <c r="J59" s="158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8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8"/>
      <c r="CJ59" s="153"/>
      <c r="CK59" s="153"/>
      <c r="CL59" s="153"/>
      <c r="CM59" s="153"/>
      <c r="CN59" s="158"/>
      <c r="CO59" s="153"/>
      <c r="CP59" s="153"/>
      <c r="CQ59" s="153"/>
    </row>
    <row r="60" spans="2:95" hidden="1" outlineLevel="1" x14ac:dyDescent="0.3">
      <c r="B60" s="146" t="str">
        <f>Table1[[#Headers],[Especificação]]</f>
        <v>Especificação</v>
      </c>
      <c r="C60" s="172" t="str">
        <f t="shared" si="7"/>
        <v>INSTRUMENT_LTV</v>
      </c>
      <c r="D60" s="143" t="s">
        <v>414</v>
      </c>
      <c r="E60" s="143" t="s">
        <v>724</v>
      </c>
      <c r="G60" s="160" t="e">
        <f>INDEX(Table1[[Especificação]:[Total Testes]],MATCH(Sheet1!C60,Table1[CONCAT],0),MATCH(Sheet1!B60,Table1[[#Headers],[Especificação]:[Total Testes]],0))</f>
        <v>#N/A</v>
      </c>
      <c r="H60" s="179" t="e">
        <f t="shared" si="8"/>
        <v>#N/A</v>
      </c>
      <c r="I60" s="209"/>
      <c r="J60" s="158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8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8"/>
      <c r="CJ60" s="153"/>
      <c r="CK60" s="153"/>
      <c r="CL60" s="153"/>
      <c r="CM60" s="153"/>
      <c r="CN60" s="158"/>
      <c r="CO60" s="153"/>
      <c r="CP60" s="153"/>
      <c r="CQ60" s="153"/>
    </row>
    <row r="61" spans="2:95" hidden="1" outlineLevel="1" x14ac:dyDescent="0.3">
      <c r="B61" s="146" t="str">
        <f>Table1[[#Headers],[Especificação]]</f>
        <v>Especificação</v>
      </c>
      <c r="C61" s="172" t="str">
        <f t="shared" si="7"/>
        <v>INSTRUMENT_LTV_INCPTN</v>
      </c>
      <c r="D61" s="143" t="s">
        <v>414</v>
      </c>
      <c r="E61" s="143" t="s">
        <v>727</v>
      </c>
      <c r="G61" s="160" t="e">
        <f>INDEX(Table1[[Especificação]:[Total Testes]],MATCH(Sheet1!C61,Table1[CONCAT],0),MATCH(Sheet1!B61,Table1[[#Headers],[Especificação]:[Total Testes]],0))</f>
        <v>#N/A</v>
      </c>
      <c r="H61" s="179" t="e">
        <f t="shared" si="8"/>
        <v>#N/A</v>
      </c>
      <c r="I61" s="209"/>
      <c r="J61" s="158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8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8"/>
      <c r="CJ61" s="153"/>
      <c r="CK61" s="153"/>
      <c r="CL61" s="153"/>
      <c r="CM61" s="153"/>
      <c r="CN61" s="158"/>
      <c r="CO61" s="153"/>
      <c r="CP61" s="153"/>
      <c r="CQ61" s="153"/>
    </row>
    <row r="62" spans="2:95" hidden="1" outlineLevel="1" x14ac:dyDescent="0.3">
      <c r="B62" s="146" t="str">
        <f>Table1[[#Headers],[Especificação]]</f>
        <v>Especificação</v>
      </c>
      <c r="C62" s="172" t="str">
        <f t="shared" si="7"/>
        <v>INSTRUMENT_ANNLSD_AGRD_RT</v>
      </c>
      <c r="D62" s="143" t="s">
        <v>414</v>
      </c>
      <c r="E62" s="143" t="s">
        <v>757</v>
      </c>
      <c r="G62" s="160" t="e">
        <f>INDEX(Table1[[Especificação]:[Total Testes]],MATCH(Sheet1!C62,Table1[CONCAT],0),MATCH(Sheet1!B62,Table1[[#Headers],[Especificação]:[Total Testes]],0))</f>
        <v>#N/A</v>
      </c>
      <c r="H62" s="179" t="e">
        <f t="shared" si="8"/>
        <v>#N/A</v>
      </c>
      <c r="I62" s="209"/>
      <c r="J62" s="158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8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8"/>
      <c r="CJ62" s="153"/>
      <c r="CK62" s="153"/>
      <c r="CL62" s="153"/>
      <c r="CM62" s="153"/>
      <c r="CN62" s="158"/>
      <c r="CO62" s="153"/>
      <c r="CP62" s="153"/>
      <c r="CQ62" s="153"/>
    </row>
    <row r="63" spans="2:95" hidden="1" outlineLevel="1" x14ac:dyDescent="0.3">
      <c r="B63" s="146" t="str">
        <f>Table1[[#Headers],[Especificação]]</f>
        <v>Especificação</v>
      </c>
      <c r="C63" s="172" t="str">
        <f t="shared" si="7"/>
        <v>INSTRUMENT_EIR_INCPTN</v>
      </c>
      <c r="D63" s="143" t="s">
        <v>414</v>
      </c>
      <c r="E63" s="143" t="s">
        <v>763</v>
      </c>
      <c r="G63" s="160" t="e">
        <f>INDEX(Table1[[Especificação]:[Total Testes]],MATCH(Sheet1!C63,Table1[CONCAT],0),MATCH(Sheet1!B63,Table1[[#Headers],[Especificação]:[Total Testes]],0))</f>
        <v>#N/A</v>
      </c>
      <c r="H63" s="179" t="e">
        <f t="shared" si="8"/>
        <v>#N/A</v>
      </c>
      <c r="I63" s="209"/>
      <c r="J63" s="158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8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8"/>
      <c r="CJ63" s="153"/>
      <c r="CK63" s="153"/>
      <c r="CL63" s="153"/>
      <c r="CM63" s="153"/>
      <c r="CN63" s="158"/>
      <c r="CO63" s="153"/>
      <c r="CP63" s="153"/>
      <c r="CQ63" s="153"/>
    </row>
    <row r="64" spans="2:95" hidden="1" outlineLevel="1" x14ac:dyDescent="0.3">
      <c r="B64" s="146" t="str">
        <f>Table1[[#Headers],[Especificação]]</f>
        <v>Especificação</v>
      </c>
      <c r="C64" s="172" t="str">
        <f t="shared" si="7"/>
        <v>INSTRUMENT_NW_BSNSS</v>
      </c>
      <c r="D64" s="143" t="s">
        <v>414</v>
      </c>
      <c r="E64" s="143" t="s">
        <v>973</v>
      </c>
      <c r="G64" s="160">
        <f>INDEX(Table1[[Especificação]:[Total Testes]],MATCH(Sheet1!C64,Table1[CONCAT],0),MATCH(Sheet1!B64,Table1[[#Headers],[Especificação]:[Total Testes]],0))</f>
        <v>0</v>
      </c>
      <c r="H64" s="179">
        <f t="shared" si="8"/>
        <v>0</v>
      </c>
      <c r="I64" s="209"/>
      <c r="J64" s="158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8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8"/>
      <c r="CJ64" s="153"/>
      <c r="CK64" s="153"/>
      <c r="CL64" s="153"/>
      <c r="CM64" s="153"/>
      <c r="CN64" s="158"/>
      <c r="CO64" s="153"/>
      <c r="CP64" s="153"/>
      <c r="CQ64" s="153"/>
    </row>
    <row r="65" spans="2:95" hidden="1" outlineLevel="1" x14ac:dyDescent="0.3">
      <c r="B65" s="146" t="str">
        <f>Table1[[#Headers],[Especificação]]</f>
        <v>Especificação</v>
      </c>
      <c r="C65" s="172" t="str">
        <f t="shared" si="7"/>
        <v>PROTECTION_YR_CNSTRCTN</v>
      </c>
      <c r="D65" s="143" t="s">
        <v>1114</v>
      </c>
      <c r="E65" s="143" t="s">
        <v>1290</v>
      </c>
      <c r="G65" s="160" t="e">
        <f>INDEX(Table1[[Especificação]:[Total Testes]],MATCH(Sheet1!C65,Table1[CONCAT],0),MATCH(Sheet1!B65,Table1[[#Headers],[Especificação]:[Total Testes]],0))</f>
        <v>#N/A</v>
      </c>
      <c r="H65" s="179" t="e">
        <f t="shared" si="8"/>
        <v>#N/A</v>
      </c>
      <c r="I65" s="209"/>
      <c r="J65" s="158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8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8"/>
      <c r="CJ65" s="153"/>
      <c r="CK65" s="153"/>
      <c r="CL65" s="153"/>
      <c r="CM65" s="153"/>
      <c r="CN65" s="158"/>
      <c r="CO65" s="153"/>
      <c r="CP65" s="153"/>
      <c r="CQ65" s="153"/>
    </row>
    <row r="66" spans="2:95" collapsed="1" x14ac:dyDescent="0.3">
      <c r="B66" s="146"/>
      <c r="C66" s="199" t="s">
        <v>1610</v>
      </c>
      <c r="D66" s="166"/>
      <c r="E66" s="167"/>
      <c r="F66" s="193">
        <f>+COUNTA(E67:E86)</f>
        <v>20</v>
      </c>
      <c r="G66" s="193" t="e">
        <f>SUM(G67:G86)</f>
        <v>#N/A</v>
      </c>
      <c r="H66" s="196" t="e">
        <f>ROUND(SUM(H67:H86),1)</f>
        <v>#N/A</v>
      </c>
      <c r="I66" s="209" t="e">
        <f t="shared" ref="I66:I87" si="9">SUM(J66:CQ66)-H66</f>
        <v>#N/A</v>
      </c>
      <c r="J66" s="158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>
        <v>2.9</v>
      </c>
      <c r="AG66" s="153">
        <v>2</v>
      </c>
      <c r="AH66" s="153">
        <v>2</v>
      </c>
      <c r="AI66" s="153">
        <v>2</v>
      </c>
      <c r="AJ66" s="153">
        <v>2</v>
      </c>
      <c r="AK66" s="153">
        <v>0.5</v>
      </c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8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8"/>
      <c r="CJ66" s="153"/>
      <c r="CK66" s="153"/>
      <c r="CL66" s="153"/>
      <c r="CM66" s="153"/>
      <c r="CN66" s="158"/>
      <c r="CO66" s="153"/>
      <c r="CP66" s="153"/>
      <c r="CQ66" s="153"/>
    </row>
    <row r="67" spans="2:95" hidden="1" outlineLevel="1" x14ac:dyDescent="0.3">
      <c r="B67" s="146" t="str">
        <f>Table1[[#Headers],[Especificação]]</f>
        <v>Especificação</v>
      </c>
      <c r="C67" s="144" t="str">
        <f t="shared" si="7"/>
        <v>ENTITY_GRP_ECNMC_ACTVTY</v>
      </c>
      <c r="D67" s="143" t="s">
        <v>10</v>
      </c>
      <c r="E67" s="143" t="s">
        <v>382</v>
      </c>
      <c r="G67" s="160" t="e">
        <f>INDEX(Table1[[Especificação]:[Total Testes]],MATCH(Sheet1!C67,Table1[CONCAT],0),MATCH(Sheet1!B67,Table1[[#Headers],[Especificação]:[Total Testes]],0))</f>
        <v>#N/A</v>
      </c>
      <c r="H67" s="179" t="e">
        <f t="shared" ref="H67:H86" si="10">ROUND(G67/8,2)</f>
        <v>#N/A</v>
      </c>
      <c r="I67" s="209"/>
      <c r="J67" s="158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8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8"/>
      <c r="CJ67" s="153"/>
      <c r="CK67" s="153"/>
      <c r="CL67" s="153"/>
      <c r="CM67" s="153"/>
      <c r="CN67" s="158"/>
      <c r="CO67" s="153"/>
      <c r="CP67" s="153"/>
      <c r="CQ67" s="153"/>
    </row>
    <row r="68" spans="2:95" hidden="1" outlineLevel="1" x14ac:dyDescent="0.3">
      <c r="B68" s="146" t="str">
        <f>Table1[[#Headers],[Especificação]]</f>
        <v>Especificação</v>
      </c>
      <c r="C68" s="144" t="str">
        <f t="shared" si="7"/>
        <v>PROTECTION_TYP_EMSSNS_LBL</v>
      </c>
      <c r="D68" s="143" t="s">
        <v>1114</v>
      </c>
      <c r="E68" s="143" t="s">
        <v>1235</v>
      </c>
      <c r="G68" s="160" t="e">
        <f>INDEX(Table1[[Especificação]:[Total Testes]],MATCH(Sheet1!C68,Table1[CONCAT],0),MATCH(Sheet1!B68,Table1[[#Headers],[Especificação]:[Total Testes]],0))</f>
        <v>#N/A</v>
      </c>
      <c r="H68" s="179" t="e">
        <f t="shared" si="10"/>
        <v>#N/A</v>
      </c>
      <c r="I68" s="209"/>
      <c r="J68" s="158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8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8"/>
      <c r="CJ68" s="153"/>
      <c r="CK68" s="153"/>
      <c r="CL68" s="153"/>
      <c r="CM68" s="153"/>
      <c r="CN68" s="158"/>
      <c r="CO68" s="153"/>
      <c r="CP68" s="153"/>
      <c r="CQ68" s="153"/>
    </row>
    <row r="69" spans="2:95" hidden="1" outlineLevel="1" x14ac:dyDescent="0.3">
      <c r="B69" s="146" t="str">
        <f>Table1[[#Headers],[Especificação]]</f>
        <v>Especificação</v>
      </c>
      <c r="C69" s="144" t="str">
        <f t="shared" si="7"/>
        <v>PROTECTION_EPC_EMSSNS_LBL</v>
      </c>
      <c r="D69" s="143" t="s">
        <v>1114</v>
      </c>
      <c r="E69" s="143" t="s">
        <v>1238</v>
      </c>
      <c r="G69" s="160" t="e">
        <f>INDEX(Table1[[Especificação]:[Total Testes]],MATCH(Sheet1!C69,Table1[CONCAT],0),MATCH(Sheet1!B69,Table1[[#Headers],[Especificação]:[Total Testes]],0))</f>
        <v>#N/A</v>
      </c>
      <c r="H69" s="179" t="e">
        <f t="shared" si="10"/>
        <v>#N/A</v>
      </c>
      <c r="I69" s="209"/>
      <c r="J69" s="158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8"/>
      <c r="BC69" s="153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8"/>
      <c r="CJ69" s="153"/>
      <c r="CK69" s="153"/>
      <c r="CL69" s="153"/>
      <c r="CM69" s="153"/>
      <c r="CN69" s="158"/>
      <c r="CO69" s="153"/>
      <c r="CP69" s="153"/>
      <c r="CQ69" s="153"/>
    </row>
    <row r="70" spans="2:95" hidden="1" outlineLevel="1" x14ac:dyDescent="0.3">
      <c r="B70" s="146" t="str">
        <f>Table1[[#Headers],[Especificação]]</f>
        <v>Especificação</v>
      </c>
      <c r="C70" s="144" t="str">
        <f t="shared" si="7"/>
        <v>PROTECTION_VHCL_EMSSNS_LBL</v>
      </c>
      <c r="D70" s="143" t="s">
        <v>1114</v>
      </c>
      <c r="E70" s="143" t="s">
        <v>1241</v>
      </c>
      <c r="G70" s="160" t="e">
        <f>INDEX(Table1[[Especificação]:[Total Testes]],MATCH(Sheet1!C70,Table1[CONCAT],0),MATCH(Sheet1!B70,Table1[[#Headers],[Especificação]:[Total Testes]],0))</f>
        <v>#N/A</v>
      </c>
      <c r="H70" s="179" t="e">
        <f t="shared" si="10"/>
        <v>#N/A</v>
      </c>
      <c r="I70" s="209"/>
      <c r="J70" s="158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8"/>
      <c r="BC70" s="153"/>
      <c r="BD70" s="153"/>
      <c r="BE70" s="153"/>
      <c r="BF70" s="153"/>
      <c r="BG70" s="153"/>
      <c r="BH70" s="153"/>
      <c r="BI70" s="153"/>
      <c r="BJ70" s="153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8"/>
      <c r="CJ70" s="153"/>
      <c r="CK70" s="153"/>
      <c r="CL70" s="153"/>
      <c r="CM70" s="153"/>
      <c r="CN70" s="158"/>
      <c r="CO70" s="153"/>
      <c r="CP70" s="153"/>
      <c r="CQ70" s="153"/>
    </row>
    <row r="71" spans="2:95" hidden="1" outlineLevel="1" x14ac:dyDescent="0.3">
      <c r="B71" s="146" t="str">
        <f>Table1[[#Headers],[Especificação]]</f>
        <v>Especificação</v>
      </c>
      <c r="C71" s="144" t="str">
        <f t="shared" si="7"/>
        <v>PROTECTION_TYP_EMSSNS_SCR</v>
      </c>
      <c r="D71" s="143" t="s">
        <v>1114</v>
      </c>
      <c r="E71" s="143" t="s">
        <v>1244</v>
      </c>
      <c r="G71" s="160" t="e">
        <f>INDEX(Table1[[Especificação]:[Total Testes]],MATCH(Sheet1!C71,Table1[CONCAT],0),MATCH(Sheet1!B71,Table1[[#Headers],[Especificação]:[Total Testes]],0))</f>
        <v>#N/A</v>
      </c>
      <c r="H71" s="179" t="e">
        <f t="shared" si="10"/>
        <v>#N/A</v>
      </c>
      <c r="I71" s="209"/>
      <c r="J71" s="158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8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8"/>
      <c r="CJ71" s="153"/>
      <c r="CK71" s="153"/>
      <c r="CL71" s="153"/>
      <c r="CM71" s="153"/>
      <c r="CN71" s="158"/>
      <c r="CO71" s="153"/>
      <c r="CP71" s="153"/>
      <c r="CQ71" s="153"/>
    </row>
    <row r="72" spans="2:95" hidden="1" outlineLevel="1" x14ac:dyDescent="0.3">
      <c r="B72" s="146" t="str">
        <f>Table1[[#Headers],[Especificação]]</f>
        <v>Especificação</v>
      </c>
      <c r="C72" s="144" t="str">
        <f t="shared" si="7"/>
        <v>PROTECTION_EPC_EMSSNS_SCR</v>
      </c>
      <c r="D72" s="143" t="s">
        <v>1114</v>
      </c>
      <c r="E72" s="143" t="s">
        <v>1247</v>
      </c>
      <c r="G72" s="160" t="e">
        <f>INDEX(Table1[[Especificação]:[Total Testes]],MATCH(Sheet1!C72,Table1[CONCAT],0),MATCH(Sheet1!B72,Table1[[#Headers],[Especificação]:[Total Testes]],0))</f>
        <v>#N/A</v>
      </c>
      <c r="H72" s="179" t="e">
        <f t="shared" si="10"/>
        <v>#N/A</v>
      </c>
      <c r="I72" s="209"/>
      <c r="J72" s="158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8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8"/>
      <c r="CJ72" s="153"/>
      <c r="CK72" s="153"/>
      <c r="CL72" s="153"/>
      <c r="CM72" s="153"/>
      <c r="CN72" s="158"/>
      <c r="CO72" s="153"/>
      <c r="CP72" s="153"/>
      <c r="CQ72" s="153"/>
    </row>
    <row r="73" spans="2:95" hidden="1" outlineLevel="1" x14ac:dyDescent="0.3">
      <c r="B73" s="146" t="str">
        <f>Table1[[#Headers],[Especificação]]</f>
        <v>Especificação</v>
      </c>
      <c r="C73" s="144" t="str">
        <f t="shared" si="7"/>
        <v>PROTECTION_VHCL_EMSSNS_SCR</v>
      </c>
      <c r="D73" s="143" t="s">
        <v>1114</v>
      </c>
      <c r="E73" s="143" t="s">
        <v>1250</v>
      </c>
      <c r="G73" s="160" t="e">
        <f>INDEX(Table1[[Especificação]:[Total Testes]],MATCH(Sheet1!C73,Table1[CONCAT],0),MATCH(Sheet1!B73,Table1[[#Headers],[Especificação]:[Total Testes]],0))</f>
        <v>#N/A</v>
      </c>
      <c r="H73" s="179" t="e">
        <f t="shared" si="10"/>
        <v>#N/A</v>
      </c>
      <c r="I73" s="209"/>
      <c r="J73" s="158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8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8"/>
      <c r="CJ73" s="153"/>
      <c r="CK73" s="153"/>
      <c r="CL73" s="153"/>
      <c r="CM73" s="153"/>
      <c r="CN73" s="158"/>
      <c r="CO73" s="153"/>
      <c r="CP73" s="153"/>
      <c r="CQ73" s="153"/>
    </row>
    <row r="74" spans="2:95" hidden="1" outlineLevel="1" x14ac:dyDescent="0.3">
      <c r="B74" s="146" t="str">
        <f>Table1[[#Headers],[Especificação]]</f>
        <v>Especificação</v>
      </c>
      <c r="C74" s="144" t="str">
        <f t="shared" si="7"/>
        <v>PROTECTION_INSRNC_ID</v>
      </c>
      <c r="D74" s="143" t="s">
        <v>1114</v>
      </c>
      <c r="E74" s="143" t="s">
        <v>1275</v>
      </c>
      <c r="G74" s="160" t="e">
        <f>INDEX(Table1[[Especificação]:[Total Testes]],MATCH(Sheet1!C74,Table1[CONCAT],0),MATCH(Sheet1!B74,Table1[[#Headers],[Especificação]:[Total Testes]],0))</f>
        <v>#N/A</v>
      </c>
      <c r="H74" s="179" t="e">
        <f t="shared" si="10"/>
        <v>#N/A</v>
      </c>
      <c r="I74" s="209"/>
      <c r="J74" s="158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8"/>
      <c r="BC74" s="153"/>
      <c r="BD74" s="153"/>
      <c r="BE74" s="153"/>
      <c r="BF74" s="153"/>
      <c r="BG74" s="153"/>
      <c r="BH74" s="153"/>
      <c r="BI74" s="153"/>
      <c r="BJ74" s="153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8"/>
      <c r="CJ74" s="153"/>
      <c r="CK74" s="153"/>
      <c r="CL74" s="153"/>
      <c r="CM74" s="153"/>
      <c r="CN74" s="158"/>
      <c r="CO74" s="153"/>
      <c r="CP74" s="153"/>
      <c r="CQ74" s="153"/>
    </row>
    <row r="75" spans="2:95" hidden="1" outlineLevel="1" x14ac:dyDescent="0.3">
      <c r="B75" s="146" t="str">
        <f>Table1[[#Headers],[Especificação]]</f>
        <v>Especificação</v>
      </c>
      <c r="C75" s="144" t="str">
        <f t="shared" si="7"/>
        <v>PROTECTION_TYP_HZRDS_INSRD</v>
      </c>
      <c r="D75" s="143" t="s">
        <v>1114</v>
      </c>
      <c r="E75" s="143" t="s">
        <v>1278</v>
      </c>
      <c r="G75" s="160" t="e">
        <f>INDEX(Table1[[Especificação]:[Total Testes]],MATCH(Sheet1!C75,Table1[CONCAT],0),MATCH(Sheet1!B75,Table1[[#Headers],[Especificação]:[Total Testes]],0))</f>
        <v>#N/A</v>
      </c>
      <c r="H75" s="179" t="e">
        <f t="shared" si="10"/>
        <v>#N/A</v>
      </c>
      <c r="I75" s="209"/>
      <c r="J75" s="158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8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8"/>
      <c r="CJ75" s="153"/>
      <c r="CK75" s="153"/>
      <c r="CL75" s="153"/>
      <c r="CM75" s="153"/>
      <c r="CN75" s="158"/>
      <c r="CO75" s="153"/>
      <c r="CP75" s="153"/>
      <c r="CQ75" s="153"/>
    </row>
    <row r="76" spans="2:95" hidden="1" outlineLevel="1" x14ac:dyDescent="0.3">
      <c r="B76" s="146" t="str">
        <f>Table1[[#Headers],[Especificação]]</f>
        <v>Especificação</v>
      </c>
      <c r="C76" s="144" t="str">
        <f t="shared" si="7"/>
        <v>PROTECTION_AMNT_CVRD_INSRNC</v>
      </c>
      <c r="D76" s="143" t="s">
        <v>1114</v>
      </c>
      <c r="E76" s="143" t="s">
        <v>1281</v>
      </c>
      <c r="G76" s="160" t="e">
        <f>INDEX(Table1[[Especificação]:[Total Testes]],MATCH(Sheet1!C76,Table1[CONCAT],0),MATCH(Sheet1!B76,Table1[[#Headers],[Especificação]:[Total Testes]],0))</f>
        <v>#N/A</v>
      </c>
      <c r="H76" s="179" t="e">
        <f t="shared" si="10"/>
        <v>#N/A</v>
      </c>
      <c r="I76" s="209"/>
      <c r="J76" s="158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8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8"/>
      <c r="CJ76" s="153"/>
      <c r="CK76" s="153"/>
      <c r="CL76" s="153"/>
      <c r="CM76" s="153"/>
      <c r="CN76" s="158"/>
      <c r="CO76" s="153"/>
      <c r="CP76" s="153"/>
      <c r="CQ76" s="153"/>
    </row>
    <row r="77" spans="2:95" hidden="1" outlineLevel="1" x14ac:dyDescent="0.3">
      <c r="B77" s="146" t="str">
        <f>Table1[[#Headers],[Especificação]]</f>
        <v>Especificação</v>
      </c>
      <c r="C77" s="144" t="str">
        <f t="shared" si="7"/>
        <v>PROTECTION_DT_MTRTY_INSRNC</v>
      </c>
      <c r="D77" s="143" t="s">
        <v>1114</v>
      </c>
      <c r="E77" s="143" t="s">
        <v>1284</v>
      </c>
      <c r="G77" s="160" t="e">
        <f>INDEX(Table1[[Especificação]:[Total Testes]],MATCH(Sheet1!C77,Table1[CONCAT],0),MATCH(Sheet1!B77,Table1[[#Headers],[Especificação]:[Total Testes]],0))</f>
        <v>#N/A</v>
      </c>
      <c r="H77" s="179" t="e">
        <f t="shared" si="10"/>
        <v>#N/A</v>
      </c>
      <c r="I77" s="209"/>
      <c r="J77" s="158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8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8"/>
      <c r="CJ77" s="153"/>
      <c r="CK77" s="153"/>
      <c r="CL77" s="153"/>
      <c r="CM77" s="153"/>
      <c r="CN77" s="158"/>
      <c r="CO77" s="153"/>
      <c r="CP77" s="153"/>
      <c r="CQ77" s="153"/>
    </row>
    <row r="78" spans="2:95" hidden="1" outlineLevel="1" x14ac:dyDescent="0.3">
      <c r="B78" s="146" t="str">
        <f>Table1[[#Headers],[Especificação]]</f>
        <v>Especificação</v>
      </c>
      <c r="C78" s="144" t="str">
        <f t="shared" si="7"/>
        <v>PROTECTION_FLG_FRST_HM</v>
      </c>
      <c r="D78" s="143" t="s">
        <v>1114</v>
      </c>
      <c r="E78" s="143" t="s">
        <v>1287</v>
      </c>
      <c r="G78" s="160" t="e">
        <f>INDEX(Table1[[Especificação]:[Total Testes]],MATCH(Sheet1!C78,Table1[CONCAT],0),MATCH(Sheet1!B78,Table1[[#Headers],[Especificação]:[Total Testes]],0))</f>
        <v>#N/A</v>
      </c>
      <c r="H78" s="179" t="e">
        <f t="shared" si="10"/>
        <v>#N/A</v>
      </c>
      <c r="I78" s="209"/>
      <c r="J78" s="158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8"/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8"/>
      <c r="CJ78" s="153"/>
      <c r="CK78" s="153"/>
      <c r="CL78" s="153"/>
      <c r="CM78" s="153"/>
      <c r="CN78" s="158"/>
      <c r="CO78" s="153"/>
      <c r="CP78" s="153"/>
      <c r="CQ78" s="153"/>
    </row>
    <row r="79" spans="2:95" hidden="1" outlineLevel="1" x14ac:dyDescent="0.3">
      <c r="B79" s="146" t="str">
        <f>Table1[[#Headers],[Especificação]]</f>
        <v>Especificação</v>
      </c>
      <c r="C79" s="144" t="str">
        <f t="shared" si="7"/>
        <v>INSTRUMENT_INTRNL_SGMNT</v>
      </c>
      <c r="D79" s="143" t="s">
        <v>414</v>
      </c>
      <c r="E79" s="143" t="s">
        <v>50</v>
      </c>
      <c r="G79" s="160" t="e">
        <f>INDEX(Table1[[Especificação]:[Total Testes]],MATCH(Sheet1!C79,Table1[CONCAT],0),MATCH(Sheet1!B79,Table1[[#Headers],[Especificação]:[Total Testes]],0))</f>
        <v>#N/A</v>
      </c>
      <c r="H79" s="179" t="e">
        <f t="shared" si="10"/>
        <v>#N/A</v>
      </c>
      <c r="I79" s="209"/>
      <c r="J79" s="158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8"/>
      <c r="BC79" s="153"/>
      <c r="BD79" s="153"/>
      <c r="BE79" s="153"/>
      <c r="BF79" s="153"/>
      <c r="BG79" s="153"/>
      <c r="BH79" s="153"/>
      <c r="BI79" s="153"/>
      <c r="BJ79" s="153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8"/>
      <c r="CJ79" s="153"/>
      <c r="CK79" s="153"/>
      <c r="CL79" s="153"/>
      <c r="CM79" s="153"/>
      <c r="CN79" s="158"/>
      <c r="CO79" s="153"/>
      <c r="CP79" s="153"/>
      <c r="CQ79" s="153"/>
    </row>
    <row r="80" spans="2:95" hidden="1" outlineLevel="1" x14ac:dyDescent="0.3">
      <c r="B80" s="146" t="str">
        <f>Table1[[#Headers],[Especificação]]</f>
        <v>Especificação</v>
      </c>
      <c r="C80" s="144" t="str">
        <f t="shared" si="7"/>
        <v>INSTRUMENT_EAD</v>
      </c>
      <c r="D80" s="143" t="s">
        <v>414</v>
      </c>
      <c r="E80" s="143" t="s">
        <v>617</v>
      </c>
      <c r="G80" s="160">
        <f>INDEX(Table1[[Especificação]:[Total Testes]],MATCH(Sheet1!C80,Table1[CONCAT],0),MATCH(Sheet1!B80,Table1[[#Headers],[Especificação]:[Total Testes]],0))</f>
        <v>1</v>
      </c>
      <c r="H80" s="179">
        <f t="shared" si="10"/>
        <v>0.13</v>
      </c>
      <c r="I80" s="209"/>
      <c r="J80" s="158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8"/>
      <c r="BC80" s="153"/>
      <c r="BD80" s="153"/>
      <c r="BE80" s="153"/>
      <c r="BF80" s="153"/>
      <c r="BG80" s="153"/>
      <c r="BH80" s="153"/>
      <c r="BI80" s="153"/>
      <c r="BJ80" s="153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8"/>
      <c r="CJ80" s="153"/>
      <c r="CK80" s="153"/>
      <c r="CL80" s="153"/>
      <c r="CM80" s="153"/>
      <c r="CN80" s="158"/>
      <c r="CO80" s="153"/>
      <c r="CP80" s="153"/>
      <c r="CQ80" s="153"/>
    </row>
    <row r="81" spans="2:95" hidden="1" outlineLevel="1" x14ac:dyDescent="0.3">
      <c r="B81" s="146" t="str">
        <f>Table1[[#Headers],[Especificação]]</f>
        <v>Especificação</v>
      </c>
      <c r="C81" s="144" t="str">
        <f t="shared" si="7"/>
        <v>INSTRUMENT_OFF_BLNC_SHT_AMNT_INSTRMNT</v>
      </c>
      <c r="D81" s="143" t="s">
        <v>414</v>
      </c>
      <c r="E81" s="143" t="s">
        <v>629</v>
      </c>
      <c r="G81" s="160">
        <f>INDEX(Table1[[Especificação]:[Total Testes]],MATCH(Sheet1!C81,Table1[CONCAT],0),MATCH(Sheet1!B81,Table1[[#Headers],[Especificação]:[Total Testes]],0))</f>
        <v>0</v>
      </c>
      <c r="H81" s="179">
        <f t="shared" si="10"/>
        <v>0</v>
      </c>
      <c r="I81" s="209"/>
      <c r="J81" s="158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8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8"/>
      <c r="CJ81" s="153"/>
      <c r="CK81" s="153"/>
      <c r="CL81" s="153"/>
      <c r="CM81" s="153"/>
      <c r="CN81" s="158"/>
      <c r="CO81" s="153"/>
      <c r="CP81" s="153"/>
      <c r="CQ81" s="153"/>
    </row>
    <row r="82" spans="2:95" hidden="1" outlineLevel="1" x14ac:dyDescent="0.3">
      <c r="B82" s="146" t="str">
        <f>Table1[[#Headers],[Especificação]]</f>
        <v>Especificação</v>
      </c>
      <c r="C82" s="144" t="str">
        <f t="shared" ref="C82:C86" si="11">D82&amp;"_"&amp;E82</f>
        <v>INSTRUMENT_INTRNL_SGMNT_CAT_MSTA</v>
      </c>
      <c r="D82" s="143" t="s">
        <v>414</v>
      </c>
      <c r="E82" s="143" t="s">
        <v>943</v>
      </c>
      <c r="G82" s="160" t="e">
        <f>INDEX(Table1[[Especificação]:[Total Testes]],MATCH(Sheet1!C82,Table1[CONCAT],0),MATCH(Sheet1!B82,Table1[[#Headers],[Especificação]:[Total Testes]],0))</f>
        <v>#N/A</v>
      </c>
      <c r="H82" s="179" t="e">
        <f t="shared" si="10"/>
        <v>#N/A</v>
      </c>
      <c r="I82" s="209"/>
      <c r="J82" s="158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8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8"/>
      <c r="CJ82" s="153"/>
      <c r="CK82" s="153"/>
      <c r="CL82" s="153"/>
      <c r="CM82" s="153"/>
      <c r="CN82" s="158"/>
      <c r="CO82" s="153"/>
      <c r="CP82" s="153"/>
      <c r="CQ82" s="153"/>
    </row>
    <row r="83" spans="2:95" hidden="1" outlineLevel="1" x14ac:dyDescent="0.3">
      <c r="B83" s="146" t="str">
        <f>Table1[[#Headers],[Especificação]]</f>
        <v>Especificação</v>
      </c>
      <c r="C83" s="144" t="str">
        <f t="shared" si="11"/>
        <v>INSTRUMENT_INTRNL_SGMNT_CATGSUB</v>
      </c>
      <c r="D83" s="143" t="s">
        <v>414</v>
      </c>
      <c r="E83" s="143" t="s">
        <v>946</v>
      </c>
      <c r="G83" s="160" t="e">
        <f>INDEX(Table1[[Especificação]:[Total Testes]],MATCH(Sheet1!C83,Table1[CONCAT],0),MATCH(Sheet1!B83,Table1[[#Headers],[Especificação]:[Total Testes]],0))</f>
        <v>#N/A</v>
      </c>
      <c r="H83" s="179" t="e">
        <f t="shared" si="10"/>
        <v>#N/A</v>
      </c>
      <c r="I83" s="209"/>
      <c r="J83" s="158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8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8"/>
      <c r="CJ83" s="153"/>
      <c r="CK83" s="153"/>
      <c r="CL83" s="153"/>
      <c r="CM83" s="153"/>
      <c r="CN83" s="158"/>
      <c r="CO83" s="153"/>
      <c r="CP83" s="153"/>
      <c r="CQ83" s="153"/>
    </row>
    <row r="84" spans="2:95" hidden="1" outlineLevel="1" x14ac:dyDescent="0.3">
      <c r="B84" s="146" t="str">
        <f>Table1[[#Headers],[Especificação]]</f>
        <v>Especificação</v>
      </c>
      <c r="C84" s="144" t="str">
        <f t="shared" si="11"/>
        <v>PROTECTION_RL_ESTT_ADDRSS</v>
      </c>
      <c r="D84" s="143" t="s">
        <v>1114</v>
      </c>
      <c r="E84" s="143" t="s">
        <v>1127</v>
      </c>
      <c r="G84" s="160" t="e">
        <f>INDEX(Table1[[Especificação]:[Total Testes]],MATCH(Sheet1!C84,Table1[CONCAT],0),MATCH(Sheet1!B84,Table1[[#Headers],[Especificação]:[Total Testes]],0))</f>
        <v>#N/A</v>
      </c>
      <c r="H84" s="179" t="e">
        <f t="shared" si="10"/>
        <v>#N/A</v>
      </c>
      <c r="I84" s="209"/>
      <c r="J84" s="158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8"/>
      <c r="BC84" s="153"/>
      <c r="BD84" s="153"/>
      <c r="BE84" s="153"/>
      <c r="BF84" s="153"/>
      <c r="BG84" s="153"/>
      <c r="BH84" s="153"/>
      <c r="BI84" s="153"/>
      <c r="BJ84" s="153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8"/>
      <c r="CJ84" s="153"/>
      <c r="CK84" s="153"/>
      <c r="CL84" s="153"/>
      <c r="CM84" s="153"/>
      <c r="CN84" s="158"/>
      <c r="CO84" s="153"/>
      <c r="CP84" s="153"/>
      <c r="CQ84" s="153"/>
    </row>
    <row r="85" spans="2:95" hidden="1" outlineLevel="1" x14ac:dyDescent="0.3">
      <c r="B85" s="146" t="str">
        <f>Table1[[#Headers],[Especificação]]</f>
        <v>Especificação</v>
      </c>
      <c r="C85" s="144" t="str">
        <f t="shared" si="11"/>
        <v>PROTECTION_RL_ESTT_CLLTRL_LCTN_INT</v>
      </c>
      <c r="D85" s="143" t="s">
        <v>1114</v>
      </c>
      <c r="E85" s="143" t="s">
        <v>1133</v>
      </c>
      <c r="G85" s="160" t="e">
        <f>INDEX(Table1[[Especificação]:[Total Testes]],MATCH(Sheet1!C85,Table1[CONCAT],0),MATCH(Sheet1!B85,Table1[[#Headers],[Especificação]:[Total Testes]],0))</f>
        <v>#N/A</v>
      </c>
      <c r="H85" s="179" t="e">
        <f t="shared" si="10"/>
        <v>#N/A</v>
      </c>
      <c r="I85" s="209"/>
      <c r="J85" s="158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8"/>
      <c r="BC85" s="153"/>
      <c r="BD85" s="153"/>
      <c r="BE85" s="153"/>
      <c r="BF85" s="153"/>
      <c r="BG85" s="153"/>
      <c r="BH85" s="153"/>
      <c r="BI85" s="153"/>
      <c r="BJ85" s="153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8"/>
      <c r="CJ85" s="153"/>
      <c r="CK85" s="153"/>
      <c r="CL85" s="153"/>
      <c r="CM85" s="153"/>
      <c r="CN85" s="158"/>
      <c r="CO85" s="153"/>
      <c r="CP85" s="153"/>
      <c r="CQ85" s="153"/>
    </row>
    <row r="86" spans="2:95" hidden="1" outlineLevel="1" x14ac:dyDescent="0.3">
      <c r="B86" s="146" t="str">
        <f>Table1[[#Headers],[Especificação]]</f>
        <v>Especificação</v>
      </c>
      <c r="C86" s="144" t="str">
        <f t="shared" si="11"/>
        <v>PROTECTION_RL_ESTT_CTY</v>
      </c>
      <c r="D86" s="143" t="s">
        <v>1114</v>
      </c>
      <c r="E86" s="143" t="s">
        <v>1136</v>
      </c>
      <c r="G86" s="160" t="e">
        <f>INDEX(Table1[[Especificação]:[Total Testes]],MATCH(Sheet1!C86,Table1[CONCAT],0),MATCH(Sheet1!B86,Table1[[#Headers],[Especificação]:[Total Testes]],0))</f>
        <v>#N/A</v>
      </c>
      <c r="H86" s="179" t="e">
        <f t="shared" si="10"/>
        <v>#N/A</v>
      </c>
      <c r="I86" s="209"/>
      <c r="J86" s="158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8"/>
      <c r="BC86" s="153"/>
      <c r="BD86" s="153"/>
      <c r="BE86" s="153"/>
      <c r="BF86" s="153"/>
      <c r="BG86" s="153"/>
      <c r="BH86" s="153"/>
      <c r="BI86" s="153"/>
      <c r="BJ86" s="153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8"/>
      <c r="CJ86" s="153"/>
      <c r="CK86" s="153"/>
      <c r="CL86" s="153"/>
      <c r="CM86" s="153"/>
      <c r="CN86" s="158"/>
      <c r="CO86" s="153"/>
      <c r="CP86" s="153"/>
      <c r="CQ86" s="153"/>
    </row>
    <row r="87" spans="2:95" collapsed="1" x14ac:dyDescent="0.3">
      <c r="B87" s="146"/>
      <c r="C87" s="199" t="s">
        <v>1611</v>
      </c>
      <c r="D87" s="166"/>
      <c r="E87" s="167"/>
      <c r="F87" s="193">
        <f>COUNTA(E88:E155)</f>
        <v>68</v>
      </c>
      <c r="G87" s="193" t="e">
        <f>SUM(G88:G155)</f>
        <v>#N/A</v>
      </c>
      <c r="H87" s="196" t="e">
        <f>ROUND(SUM(H88:H155),1)</f>
        <v>#N/A</v>
      </c>
      <c r="I87" s="209" t="e">
        <f t="shared" si="9"/>
        <v>#N/A</v>
      </c>
      <c r="J87" s="158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>
        <v>1.5</v>
      </c>
      <c r="AL87" s="153">
        <v>2</v>
      </c>
      <c r="AM87" s="153">
        <v>2</v>
      </c>
      <c r="AN87" s="153">
        <v>2</v>
      </c>
      <c r="AO87" s="153">
        <v>2</v>
      </c>
      <c r="AP87" s="153">
        <v>2</v>
      </c>
      <c r="AQ87" s="153">
        <v>2</v>
      </c>
      <c r="AR87" s="153">
        <v>2</v>
      </c>
      <c r="AS87" s="153">
        <v>2</v>
      </c>
      <c r="AT87" s="153">
        <v>2</v>
      </c>
      <c r="AU87" s="153">
        <v>2</v>
      </c>
      <c r="AV87" s="153">
        <v>2</v>
      </c>
      <c r="AW87" s="153">
        <v>2</v>
      </c>
      <c r="AX87" s="153">
        <v>0.3</v>
      </c>
      <c r="AY87" s="153"/>
      <c r="AZ87" s="153"/>
      <c r="BA87" s="153"/>
      <c r="BB87" s="158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8"/>
      <c r="CJ87" s="153"/>
      <c r="CK87" s="153"/>
      <c r="CL87" s="153"/>
      <c r="CM87" s="153"/>
      <c r="CN87" s="158"/>
      <c r="CO87" s="153"/>
      <c r="CP87" s="153"/>
      <c r="CQ87" s="153"/>
    </row>
    <row r="88" spans="2:95" hidden="1" outlineLevel="1" x14ac:dyDescent="0.3">
      <c r="B88" s="146" t="str">
        <f>Table1[[#Headers],[Simulação]]</f>
        <v>Simulação</v>
      </c>
      <c r="C88" s="144" t="str">
        <f t="shared" ref="C88:C151" si="12">D88&amp;"_"&amp;E88</f>
        <v>ENTITY_TXNMY_ELGBL_CAPEX_W</v>
      </c>
      <c r="D88" s="143" t="s">
        <v>10</v>
      </c>
      <c r="E88" s="143" t="s">
        <v>1397</v>
      </c>
      <c r="G88" s="160" t="e">
        <f>INDEX(Table1[[Especificação]:[Total Testes]],MATCH(Sheet1!C88,Table1[CONCAT],0),MATCH(Sheet1!B88,Table1[[#Headers],[Especificação]:[Total Testes]],0))</f>
        <v>#N/A</v>
      </c>
      <c r="H88" s="179" t="e">
        <f t="shared" ref="H88:H151" si="13">ROUND(G88/8,2)</f>
        <v>#N/A</v>
      </c>
      <c r="I88" s="209"/>
      <c r="J88" s="158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8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8"/>
      <c r="CJ88" s="153"/>
      <c r="CK88" s="153"/>
      <c r="CL88" s="153"/>
      <c r="CM88" s="153"/>
      <c r="CN88" s="158"/>
      <c r="CO88" s="153"/>
      <c r="CP88" s="153"/>
      <c r="CQ88" s="153"/>
    </row>
    <row r="89" spans="2:95" hidden="1" outlineLevel="1" x14ac:dyDescent="0.3">
      <c r="B89" s="146" t="str">
        <f>Table1[[#Headers],[Simulação]]</f>
        <v>Simulação</v>
      </c>
      <c r="C89" s="144" t="str">
        <f t="shared" si="12"/>
        <v>ENTITY_TXNMY_ELGBL_TRNVR_W</v>
      </c>
      <c r="D89" s="143" t="s">
        <v>10</v>
      </c>
      <c r="E89" s="143" t="s">
        <v>1399</v>
      </c>
      <c r="G89" s="160" t="e">
        <f>INDEX(Table1[[Especificação]:[Total Testes]],MATCH(Sheet1!C89,Table1[CONCAT],0),MATCH(Sheet1!B89,Table1[[#Headers],[Especificação]:[Total Testes]],0))</f>
        <v>#N/A</v>
      </c>
      <c r="H89" s="179" t="e">
        <f t="shared" si="13"/>
        <v>#N/A</v>
      </c>
      <c r="I89" s="209"/>
      <c r="J89" s="158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8"/>
      <c r="BC89" s="153"/>
      <c r="BD89" s="153"/>
      <c r="BE89" s="153"/>
      <c r="BF89" s="153"/>
      <c r="BG89" s="153"/>
      <c r="BH89" s="153"/>
      <c r="BI89" s="153"/>
      <c r="BJ89" s="153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8"/>
      <c r="CJ89" s="153"/>
      <c r="CK89" s="153"/>
      <c r="CL89" s="153"/>
      <c r="CM89" s="153"/>
      <c r="CN89" s="158"/>
      <c r="CO89" s="153"/>
      <c r="CP89" s="153"/>
      <c r="CQ89" s="153"/>
    </row>
    <row r="90" spans="2:95" hidden="1" outlineLevel="1" x14ac:dyDescent="0.3">
      <c r="B90" s="146" t="str">
        <f>Table1[[#Headers],[Simulação]]</f>
        <v>Simulação</v>
      </c>
      <c r="C90" s="144" t="str">
        <f t="shared" si="12"/>
        <v>ENTITY_TXNMY_ELGBL_CAPEX_P</v>
      </c>
      <c r="D90" s="143" t="s">
        <v>10</v>
      </c>
      <c r="E90" s="143" t="s">
        <v>1401</v>
      </c>
      <c r="G90" s="160" t="e">
        <f>INDEX(Table1[[Especificação]:[Total Testes]],MATCH(Sheet1!C90,Table1[CONCAT],0),MATCH(Sheet1!B90,Table1[[#Headers],[Especificação]:[Total Testes]],0))</f>
        <v>#N/A</v>
      </c>
      <c r="H90" s="179" t="e">
        <f t="shared" si="13"/>
        <v>#N/A</v>
      </c>
      <c r="I90" s="209"/>
      <c r="J90" s="158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91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8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8"/>
      <c r="CJ90" s="153"/>
      <c r="CK90" s="153"/>
      <c r="CL90" s="153"/>
      <c r="CM90" s="153"/>
      <c r="CN90" s="158"/>
      <c r="CO90" s="153"/>
      <c r="CP90" s="153"/>
      <c r="CQ90" s="153"/>
    </row>
    <row r="91" spans="2:95" hidden="1" outlineLevel="1" x14ac:dyDescent="0.3">
      <c r="B91" s="146" t="str">
        <f>Table1[[#Headers],[Simulação]]</f>
        <v>Simulação</v>
      </c>
      <c r="C91" s="144" t="str">
        <f t="shared" si="12"/>
        <v>ENTITY_TXNMY_ELGBL_TRNVR_P</v>
      </c>
      <c r="D91" s="143" t="s">
        <v>10</v>
      </c>
      <c r="E91" s="143" t="s">
        <v>1403</v>
      </c>
      <c r="G91" s="160" t="e">
        <f>INDEX(Table1[[Especificação]:[Total Testes]],MATCH(Sheet1!C91,Table1[CONCAT],0),MATCH(Sheet1!B91,Table1[[#Headers],[Especificação]:[Total Testes]],0))</f>
        <v>#N/A</v>
      </c>
      <c r="H91" s="179" t="e">
        <f t="shared" si="13"/>
        <v>#N/A</v>
      </c>
      <c r="I91" s="209"/>
      <c r="J91" s="158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8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8"/>
      <c r="CJ91" s="153"/>
      <c r="CK91" s="153"/>
      <c r="CL91" s="153"/>
      <c r="CM91" s="153"/>
      <c r="CN91" s="158"/>
      <c r="CO91" s="153"/>
      <c r="CP91" s="153"/>
      <c r="CQ91" s="153"/>
    </row>
    <row r="92" spans="2:95" hidden="1" outlineLevel="1" x14ac:dyDescent="0.3">
      <c r="B92" s="146" t="str">
        <f>Table1[[#Headers],[Simulação]]</f>
        <v>Simulação</v>
      </c>
      <c r="C92" s="144" t="str">
        <f t="shared" si="12"/>
        <v>ENTITY_TXNMY_ELGBL_CAPEX_B</v>
      </c>
      <c r="D92" s="143" t="s">
        <v>10</v>
      </c>
      <c r="E92" s="143" t="s">
        <v>1405</v>
      </c>
      <c r="G92" s="160" t="e">
        <f>INDEX(Table1[[Especificação]:[Total Testes]],MATCH(Sheet1!C92,Table1[CONCAT],0),MATCH(Sheet1!B92,Table1[[#Headers],[Especificação]:[Total Testes]],0))</f>
        <v>#N/A</v>
      </c>
      <c r="H92" s="179" t="e">
        <f t="shared" si="13"/>
        <v>#N/A</v>
      </c>
      <c r="I92" s="209"/>
      <c r="J92" s="158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8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8"/>
      <c r="CJ92" s="153"/>
      <c r="CK92" s="153"/>
      <c r="CL92" s="153"/>
      <c r="CM92" s="153"/>
      <c r="CN92" s="158"/>
      <c r="CO92" s="153"/>
      <c r="CP92" s="153"/>
      <c r="CQ92" s="153"/>
    </row>
    <row r="93" spans="2:95" hidden="1" outlineLevel="1" x14ac:dyDescent="0.3">
      <c r="B93" s="146" t="str">
        <f>Table1[[#Headers],[Simulação]]</f>
        <v>Simulação</v>
      </c>
      <c r="C93" s="144" t="str">
        <f t="shared" si="12"/>
        <v>ENTITY_TXNMY_ELGBL_TRNVR_B</v>
      </c>
      <c r="D93" s="143" t="s">
        <v>10</v>
      </c>
      <c r="E93" s="143" t="s">
        <v>1407</v>
      </c>
      <c r="G93" s="160" t="e">
        <f>INDEX(Table1[[Especificação]:[Total Testes]],MATCH(Sheet1!C93,Table1[CONCAT],0),MATCH(Sheet1!B93,Table1[[#Headers],[Especificação]:[Total Testes]],0))</f>
        <v>#N/A</v>
      </c>
      <c r="H93" s="179" t="e">
        <f t="shared" si="13"/>
        <v>#N/A</v>
      </c>
      <c r="I93" s="209"/>
      <c r="J93" s="158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8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8"/>
      <c r="CJ93" s="153"/>
      <c r="CK93" s="153"/>
      <c r="CL93" s="153"/>
      <c r="CM93" s="153"/>
      <c r="CN93" s="158"/>
      <c r="CO93" s="153"/>
      <c r="CP93" s="153"/>
      <c r="CQ93" s="153"/>
    </row>
    <row r="94" spans="2:95" hidden="1" outlineLevel="1" x14ac:dyDescent="0.3">
      <c r="B94" s="146" t="str">
        <f>Table1[[#Headers],[Simulação]]</f>
        <v>Simulação</v>
      </c>
      <c r="C94" s="144" t="str">
        <f t="shared" si="12"/>
        <v>ENTITY_TXNMY_ELGBL_CAPEX_CE</v>
      </c>
      <c r="D94" s="143" t="s">
        <v>10</v>
      </c>
      <c r="E94" s="143" t="s">
        <v>1409</v>
      </c>
      <c r="G94" s="160" t="e">
        <f>INDEX(Table1[[Especificação]:[Total Testes]],MATCH(Sheet1!C94,Table1[CONCAT],0),MATCH(Sheet1!B94,Table1[[#Headers],[Especificação]:[Total Testes]],0))</f>
        <v>#N/A</v>
      </c>
      <c r="H94" s="179" t="e">
        <f t="shared" si="13"/>
        <v>#N/A</v>
      </c>
      <c r="I94" s="209"/>
      <c r="J94" s="158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8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8"/>
      <c r="CJ94" s="153"/>
      <c r="CK94" s="153"/>
      <c r="CL94" s="153"/>
      <c r="CM94" s="153"/>
      <c r="CN94" s="158"/>
      <c r="CO94" s="153"/>
      <c r="CP94" s="153"/>
      <c r="CQ94" s="153"/>
    </row>
    <row r="95" spans="2:95" hidden="1" outlineLevel="1" x14ac:dyDescent="0.3">
      <c r="B95" s="146" t="str">
        <f>Table1[[#Headers],[Simulação]]</f>
        <v>Simulação</v>
      </c>
      <c r="C95" s="144" t="str">
        <f t="shared" si="12"/>
        <v>ENTITY_TXNMY_ELGBL_TRNVR_CE</v>
      </c>
      <c r="D95" s="143" t="s">
        <v>10</v>
      </c>
      <c r="E95" s="145" t="s">
        <v>1411</v>
      </c>
      <c r="G95" s="160" t="e">
        <f>INDEX(Table1[[Especificação]:[Total Testes]],MATCH(Sheet1!C95,Table1[CONCAT],0),MATCH(Sheet1!B95,Table1[[#Headers],[Especificação]:[Total Testes]],0))</f>
        <v>#N/A</v>
      </c>
      <c r="H95" s="179" t="e">
        <f t="shared" si="13"/>
        <v>#N/A</v>
      </c>
      <c r="I95" s="209"/>
      <c r="J95" s="158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8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8"/>
      <c r="CJ95" s="153"/>
      <c r="CK95" s="153"/>
      <c r="CL95" s="153"/>
      <c r="CM95" s="153"/>
      <c r="CN95" s="158"/>
      <c r="CO95" s="153"/>
      <c r="CP95" s="153"/>
      <c r="CQ95" s="153"/>
    </row>
    <row r="96" spans="2:95" hidden="1" outlineLevel="1" x14ac:dyDescent="0.3">
      <c r="B96" s="146" t="str">
        <f>Table1[[#Headers],[Simulação]]</f>
        <v>Simulação</v>
      </c>
      <c r="C96" s="144" t="str">
        <f t="shared" si="12"/>
        <v>ENTITY_PURE_CAPEX_P</v>
      </c>
      <c r="D96" s="143" t="s">
        <v>10</v>
      </c>
      <c r="E96" s="143" t="s">
        <v>1413</v>
      </c>
      <c r="G96" s="160" t="e">
        <f>INDEX(Table1[[Especificação]:[Total Testes]],MATCH(Sheet1!C96,Table1[CONCAT],0),MATCH(Sheet1!B96,Table1[[#Headers],[Especificação]:[Total Testes]],0))</f>
        <v>#N/A</v>
      </c>
      <c r="H96" s="179" t="e">
        <f t="shared" si="13"/>
        <v>#N/A</v>
      </c>
      <c r="I96" s="209"/>
      <c r="J96" s="158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8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8"/>
      <c r="CJ96" s="153"/>
      <c r="CK96" s="153"/>
      <c r="CL96" s="153"/>
      <c r="CM96" s="153"/>
      <c r="CN96" s="158"/>
      <c r="CO96" s="153"/>
      <c r="CP96" s="153"/>
      <c r="CQ96" s="153"/>
    </row>
    <row r="97" spans="2:95" hidden="1" outlineLevel="1" x14ac:dyDescent="0.3">
      <c r="B97" s="146" t="str">
        <f>Table1[[#Headers],[Simulação]]</f>
        <v>Simulação</v>
      </c>
      <c r="C97" s="144" t="str">
        <f t="shared" si="12"/>
        <v>ENTITY_PURE_TRNVR_P</v>
      </c>
      <c r="D97" s="143" t="s">
        <v>10</v>
      </c>
      <c r="E97" s="143" t="s">
        <v>1415</v>
      </c>
      <c r="G97" s="160" t="e">
        <f>INDEX(Table1[[Especificação]:[Total Testes]],MATCH(Sheet1!C97,Table1[CONCAT],0),MATCH(Sheet1!B97,Table1[[#Headers],[Especificação]:[Total Testes]],0))</f>
        <v>#N/A</v>
      </c>
      <c r="H97" s="179" t="e">
        <f t="shared" si="13"/>
        <v>#N/A</v>
      </c>
      <c r="I97" s="209"/>
      <c r="J97" s="158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8"/>
      <c r="BC97" s="153"/>
      <c r="BD97" s="153"/>
      <c r="BE97" s="153"/>
      <c r="BF97" s="153"/>
      <c r="BG97" s="153"/>
      <c r="BH97" s="153"/>
      <c r="BI97" s="153"/>
      <c r="BJ97" s="153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8"/>
      <c r="CJ97" s="153"/>
      <c r="CK97" s="153"/>
      <c r="CL97" s="153"/>
      <c r="CM97" s="153"/>
      <c r="CN97" s="158"/>
      <c r="CO97" s="153"/>
      <c r="CP97" s="153"/>
      <c r="CQ97" s="153"/>
    </row>
    <row r="98" spans="2:95" hidden="1" outlineLevel="1" x14ac:dyDescent="0.3">
      <c r="B98" s="146" t="str">
        <f>Table1[[#Headers],[Simulação]]</f>
        <v>Simulação</v>
      </c>
      <c r="C98" s="144" t="str">
        <f t="shared" si="12"/>
        <v>ENTITY_PURE_CAPEX_B</v>
      </c>
      <c r="D98" s="143" t="s">
        <v>10</v>
      </c>
      <c r="E98" s="143" t="s">
        <v>1417</v>
      </c>
      <c r="G98" s="160" t="e">
        <f>INDEX(Table1[[Especificação]:[Total Testes]],MATCH(Sheet1!C98,Table1[CONCAT],0),MATCH(Sheet1!B98,Table1[[#Headers],[Especificação]:[Total Testes]],0))</f>
        <v>#N/A</v>
      </c>
      <c r="H98" s="179" t="e">
        <f t="shared" si="13"/>
        <v>#N/A</v>
      </c>
      <c r="I98" s="209"/>
      <c r="J98" s="158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8"/>
      <c r="BC98" s="153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8"/>
      <c r="CJ98" s="153"/>
      <c r="CK98" s="153"/>
      <c r="CL98" s="153"/>
      <c r="CM98" s="153"/>
      <c r="CN98" s="158"/>
      <c r="CO98" s="153"/>
      <c r="CP98" s="153"/>
      <c r="CQ98" s="153"/>
    </row>
    <row r="99" spans="2:95" hidden="1" outlineLevel="1" x14ac:dyDescent="0.3">
      <c r="B99" s="146" t="str">
        <f>Table1[[#Headers],[Simulação]]</f>
        <v>Simulação</v>
      </c>
      <c r="C99" s="144" t="str">
        <f t="shared" si="12"/>
        <v>ENTITY_PURE_TRNVR_B</v>
      </c>
      <c r="D99" s="143" t="s">
        <v>10</v>
      </c>
      <c r="E99" s="143" t="s">
        <v>1419</v>
      </c>
      <c r="G99" s="160" t="e">
        <f>INDEX(Table1[[Especificação]:[Total Testes]],MATCH(Sheet1!C99,Table1[CONCAT],0),MATCH(Sheet1!B99,Table1[[#Headers],[Especificação]:[Total Testes]],0))</f>
        <v>#N/A</v>
      </c>
      <c r="H99" s="179" t="e">
        <f t="shared" si="13"/>
        <v>#N/A</v>
      </c>
      <c r="I99" s="209"/>
      <c r="J99" s="158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8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8"/>
      <c r="CJ99" s="153"/>
      <c r="CK99" s="153"/>
      <c r="CL99" s="153"/>
      <c r="CM99" s="153"/>
      <c r="CN99" s="158"/>
      <c r="CO99" s="153"/>
      <c r="CP99" s="153"/>
      <c r="CQ99" s="153"/>
    </row>
    <row r="100" spans="2:95" hidden="1" outlineLevel="1" x14ac:dyDescent="0.3">
      <c r="B100" s="146" t="str">
        <f>Table1[[#Headers],[Simulação]]</f>
        <v>Simulação</v>
      </c>
      <c r="C100" s="144" t="str">
        <f t="shared" si="12"/>
        <v>ENTITY_PURE_CAPEX_W</v>
      </c>
      <c r="D100" s="143" t="s">
        <v>10</v>
      </c>
      <c r="E100" s="143" t="s">
        <v>1421</v>
      </c>
      <c r="G100" s="160" t="e">
        <f>INDEX(Table1[[Especificação]:[Total Testes]],MATCH(Sheet1!C100,Table1[CONCAT],0),MATCH(Sheet1!B100,Table1[[#Headers],[Especificação]:[Total Testes]],0))</f>
        <v>#N/A</v>
      </c>
      <c r="H100" s="179" t="e">
        <f t="shared" si="13"/>
        <v>#N/A</v>
      </c>
      <c r="I100" s="209"/>
      <c r="J100" s="158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/>
      <c r="AW100" s="153"/>
      <c r="AX100" s="153"/>
      <c r="AY100" s="153"/>
      <c r="AZ100" s="153"/>
      <c r="BA100" s="153"/>
      <c r="BB100" s="158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8"/>
      <c r="CJ100" s="153"/>
      <c r="CK100" s="153"/>
      <c r="CL100" s="153"/>
      <c r="CM100" s="153"/>
      <c r="CN100" s="158"/>
      <c r="CO100" s="153"/>
      <c r="CP100" s="153"/>
      <c r="CQ100" s="153"/>
    </row>
    <row r="101" spans="2:95" hidden="1" outlineLevel="1" x14ac:dyDescent="0.3">
      <c r="B101" s="146" t="str">
        <f>Table1[[#Headers],[Simulação]]</f>
        <v>Simulação</v>
      </c>
      <c r="C101" s="144" t="str">
        <f t="shared" si="12"/>
        <v>ENTITY_PURE_TRNVR_W</v>
      </c>
      <c r="D101" s="143" t="s">
        <v>10</v>
      </c>
      <c r="E101" s="143" t="s">
        <v>1423</v>
      </c>
      <c r="G101" s="160" t="e">
        <f>INDEX(Table1[[Especificação]:[Total Testes]],MATCH(Sheet1!C101,Table1[CONCAT],0),MATCH(Sheet1!B101,Table1[[#Headers],[Especificação]:[Total Testes]],0))</f>
        <v>#N/A</v>
      </c>
      <c r="H101" s="179" t="e">
        <f t="shared" si="13"/>
        <v>#N/A</v>
      </c>
      <c r="I101" s="209"/>
      <c r="J101" s="158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/>
      <c r="BB101" s="158"/>
      <c r="BC101" s="153"/>
      <c r="BD101" s="153"/>
      <c r="BE101" s="153"/>
      <c r="BF101" s="153"/>
      <c r="BG101" s="153"/>
      <c r="BH101" s="153"/>
      <c r="BI101" s="153"/>
      <c r="BJ101" s="153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8"/>
      <c r="CJ101" s="153"/>
      <c r="CK101" s="153"/>
      <c r="CL101" s="153"/>
      <c r="CM101" s="153"/>
      <c r="CN101" s="158"/>
      <c r="CO101" s="153"/>
      <c r="CP101" s="153"/>
      <c r="CQ101" s="153"/>
    </row>
    <row r="102" spans="2:95" hidden="1" outlineLevel="1" x14ac:dyDescent="0.3">
      <c r="B102" s="146" t="str">
        <f>Table1[[#Headers],[Simulação]]</f>
        <v>Simulação</v>
      </c>
      <c r="C102" s="144" t="str">
        <f t="shared" si="12"/>
        <v>ENTITY_PURE_CAPEX_CE</v>
      </c>
      <c r="D102" s="143" t="s">
        <v>10</v>
      </c>
      <c r="E102" s="143" t="s">
        <v>1425</v>
      </c>
      <c r="G102" s="160" t="e">
        <f>INDEX(Table1[[Especificação]:[Total Testes]],MATCH(Sheet1!C102,Table1[CONCAT],0),MATCH(Sheet1!B102,Table1[[#Headers],[Especificação]:[Total Testes]],0))</f>
        <v>#N/A</v>
      </c>
      <c r="H102" s="179" t="e">
        <f t="shared" si="13"/>
        <v>#N/A</v>
      </c>
      <c r="I102" s="209"/>
      <c r="J102" s="158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3"/>
      <c r="AH102" s="153"/>
      <c r="AI102" s="153"/>
      <c r="AJ102" s="153"/>
      <c r="AK102" s="153"/>
      <c r="AL102" s="153"/>
      <c r="AM102" s="153"/>
      <c r="AN102" s="153"/>
      <c r="AO102" s="153"/>
      <c r="AP102" s="153"/>
      <c r="AQ102" s="153"/>
      <c r="AR102" s="153"/>
      <c r="AS102" s="153"/>
      <c r="AT102" s="153"/>
      <c r="AU102" s="153"/>
      <c r="AV102" s="153"/>
      <c r="AW102" s="153"/>
      <c r="AX102" s="153"/>
      <c r="AY102" s="153"/>
      <c r="AZ102" s="153"/>
      <c r="BA102" s="153"/>
      <c r="BB102" s="158"/>
      <c r="BC102" s="153"/>
      <c r="BD102" s="153"/>
      <c r="BE102" s="153"/>
      <c r="BF102" s="153"/>
      <c r="BG102" s="153"/>
      <c r="BH102" s="153"/>
      <c r="BI102" s="153"/>
      <c r="BJ102" s="153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8"/>
      <c r="CJ102" s="153"/>
      <c r="CK102" s="153"/>
      <c r="CL102" s="153"/>
      <c r="CM102" s="153"/>
      <c r="CN102" s="158"/>
      <c r="CO102" s="153"/>
      <c r="CP102" s="153"/>
      <c r="CQ102" s="153"/>
    </row>
    <row r="103" spans="2:95" hidden="1" outlineLevel="1" x14ac:dyDescent="0.3">
      <c r="B103" s="146" t="str">
        <f>Table1[[#Headers],[Simulação]]</f>
        <v>Simulação</v>
      </c>
      <c r="C103" s="144" t="str">
        <f t="shared" si="12"/>
        <v>ENTITY_PURE_TRNVR_CE</v>
      </c>
      <c r="D103" s="143" t="s">
        <v>10</v>
      </c>
      <c r="E103" s="143" t="s">
        <v>1427</v>
      </c>
      <c r="G103" s="160" t="e">
        <f>INDEX(Table1[[Especificação]:[Total Testes]],MATCH(Sheet1!C103,Table1[CONCAT],0),MATCH(Sheet1!B103,Table1[[#Headers],[Especificação]:[Total Testes]],0))</f>
        <v>#N/A</v>
      </c>
      <c r="H103" s="179" t="e">
        <f t="shared" si="13"/>
        <v>#N/A</v>
      </c>
      <c r="I103" s="209"/>
      <c r="J103" s="158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  <c r="AC103" s="153"/>
      <c r="AD103" s="153"/>
      <c r="AE103" s="153"/>
      <c r="AF103" s="153"/>
      <c r="AG103" s="153"/>
      <c r="AH103" s="153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53"/>
      <c r="AX103" s="153"/>
      <c r="AY103" s="153"/>
      <c r="AZ103" s="153"/>
      <c r="BA103" s="153"/>
      <c r="BB103" s="158"/>
      <c r="BC103" s="153"/>
      <c r="BD103" s="153"/>
      <c r="BE103" s="153"/>
      <c r="BF103" s="153"/>
      <c r="BG103" s="153"/>
      <c r="BH103" s="153"/>
      <c r="BI103" s="153"/>
      <c r="BJ103" s="153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8"/>
      <c r="CJ103" s="153"/>
      <c r="CK103" s="153"/>
      <c r="CL103" s="153"/>
      <c r="CM103" s="153"/>
      <c r="CN103" s="158"/>
      <c r="CO103" s="153"/>
      <c r="CP103" s="153"/>
      <c r="CQ103" s="153"/>
    </row>
    <row r="104" spans="2:95" hidden="1" outlineLevel="1" x14ac:dyDescent="0.3">
      <c r="B104" s="146" t="str">
        <f>Table1[[#Headers],[Simulação]]</f>
        <v>Simulação</v>
      </c>
      <c r="C104" s="144" t="str">
        <f t="shared" si="12"/>
        <v>ENTITY_ENBLNG_CAPEX_W</v>
      </c>
      <c r="D104" s="143" t="s">
        <v>10</v>
      </c>
      <c r="E104" s="143" t="s">
        <v>1429</v>
      </c>
      <c r="G104" s="160" t="e">
        <f>INDEX(Table1[[Especificação]:[Total Testes]],MATCH(Sheet1!C104,Table1[CONCAT],0),MATCH(Sheet1!B104,Table1[[#Headers],[Especificação]:[Total Testes]],0))</f>
        <v>#N/A</v>
      </c>
      <c r="H104" s="179" t="e">
        <f t="shared" si="13"/>
        <v>#N/A</v>
      </c>
      <c r="I104" s="209"/>
      <c r="J104" s="158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8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8"/>
      <c r="CJ104" s="153"/>
      <c r="CK104" s="153"/>
      <c r="CL104" s="153"/>
      <c r="CM104" s="153"/>
      <c r="CN104" s="158"/>
      <c r="CO104" s="153"/>
      <c r="CP104" s="153"/>
      <c r="CQ104" s="153"/>
    </row>
    <row r="105" spans="2:95" hidden="1" outlineLevel="1" x14ac:dyDescent="0.3">
      <c r="B105" s="146" t="str">
        <f>Table1[[#Headers],[Simulação]]</f>
        <v>Simulação</v>
      </c>
      <c r="C105" s="144" t="str">
        <f t="shared" si="12"/>
        <v>ENTITY_ENBLNG_TRNVR_W</v>
      </c>
      <c r="D105" s="143" t="s">
        <v>10</v>
      </c>
      <c r="E105" s="143" t="s">
        <v>1431</v>
      </c>
      <c r="G105" s="160" t="e">
        <f>INDEX(Table1[[Especificação]:[Total Testes]],MATCH(Sheet1!C105,Table1[CONCAT],0),MATCH(Sheet1!B105,Table1[[#Headers],[Especificação]:[Total Testes]],0))</f>
        <v>#N/A</v>
      </c>
      <c r="H105" s="179" t="e">
        <f t="shared" si="13"/>
        <v>#N/A</v>
      </c>
      <c r="I105" s="209"/>
      <c r="J105" s="158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8"/>
      <c r="BC105" s="153"/>
      <c r="BD105" s="153"/>
      <c r="BE105" s="153"/>
      <c r="BF105" s="153"/>
      <c r="BG105" s="153"/>
      <c r="BH105" s="153"/>
      <c r="BI105" s="153"/>
      <c r="BJ105" s="153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8"/>
      <c r="CJ105" s="153"/>
      <c r="CK105" s="153"/>
      <c r="CL105" s="153"/>
      <c r="CM105" s="153"/>
      <c r="CN105" s="158"/>
      <c r="CO105" s="153"/>
      <c r="CP105" s="153"/>
      <c r="CQ105" s="153"/>
    </row>
    <row r="106" spans="2:95" hidden="1" outlineLevel="1" x14ac:dyDescent="0.3">
      <c r="B106" s="146" t="str">
        <f>Table1[[#Headers],[Simulação]]</f>
        <v>Simulação</v>
      </c>
      <c r="C106" s="144" t="str">
        <f t="shared" si="12"/>
        <v>ENTITY_ENBLNG_CAPEX_CE</v>
      </c>
      <c r="D106" s="143" t="s">
        <v>10</v>
      </c>
      <c r="E106" s="143" t="s">
        <v>1433</v>
      </c>
      <c r="G106" s="160" t="e">
        <f>INDEX(Table1[[Especificação]:[Total Testes]],MATCH(Sheet1!C106,Table1[CONCAT],0),MATCH(Sheet1!B106,Table1[[#Headers],[Especificação]:[Total Testes]],0))</f>
        <v>#N/A</v>
      </c>
      <c r="H106" s="179" t="e">
        <f t="shared" si="13"/>
        <v>#N/A</v>
      </c>
      <c r="I106" s="209"/>
      <c r="J106" s="158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8"/>
      <c r="BC106" s="153"/>
      <c r="BD106" s="153"/>
      <c r="BE106" s="153"/>
      <c r="BF106" s="153"/>
      <c r="BG106" s="153"/>
      <c r="BH106" s="153"/>
      <c r="BI106" s="153"/>
      <c r="BJ106" s="153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8"/>
      <c r="CJ106" s="153"/>
      <c r="CK106" s="153"/>
      <c r="CL106" s="153"/>
      <c r="CM106" s="153"/>
      <c r="CN106" s="158"/>
      <c r="CO106" s="153"/>
      <c r="CP106" s="153"/>
      <c r="CQ106" s="153"/>
    </row>
    <row r="107" spans="2:95" hidden="1" outlineLevel="1" x14ac:dyDescent="0.3">
      <c r="B107" s="146" t="str">
        <f>Table1[[#Headers],[Simulação]]</f>
        <v>Simulação</v>
      </c>
      <c r="C107" s="144" t="str">
        <f t="shared" si="12"/>
        <v>ENTITY_ENBLNG_TRNVR_CE</v>
      </c>
      <c r="D107" s="143" t="s">
        <v>10</v>
      </c>
      <c r="E107" s="143" t="s">
        <v>1435</v>
      </c>
      <c r="G107" s="160" t="e">
        <f>INDEX(Table1[[Especificação]:[Total Testes]],MATCH(Sheet1!C107,Table1[CONCAT],0),MATCH(Sheet1!B107,Table1[[#Headers],[Especificação]:[Total Testes]],0))</f>
        <v>#N/A</v>
      </c>
      <c r="H107" s="179" t="e">
        <f t="shared" si="13"/>
        <v>#N/A</v>
      </c>
      <c r="I107" s="209"/>
      <c r="J107" s="158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8"/>
      <c r="BC107" s="153"/>
      <c r="BD107" s="153"/>
      <c r="BE107" s="153"/>
      <c r="BF107" s="153"/>
      <c r="BG107" s="153"/>
      <c r="BH107" s="153"/>
      <c r="BI107" s="153"/>
      <c r="BJ107" s="153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8"/>
      <c r="CJ107" s="153"/>
      <c r="CK107" s="153"/>
      <c r="CL107" s="153"/>
      <c r="CM107" s="153"/>
      <c r="CN107" s="158"/>
      <c r="CO107" s="153"/>
      <c r="CP107" s="153"/>
      <c r="CQ107" s="153"/>
    </row>
    <row r="108" spans="2:95" hidden="1" outlineLevel="1" x14ac:dyDescent="0.3">
      <c r="B108" s="146" t="str">
        <f>Table1[[#Headers],[Simulação]]</f>
        <v>Simulação</v>
      </c>
      <c r="C108" s="144" t="str">
        <f t="shared" si="12"/>
        <v>INSTRUMENT_TYP_OFF_BLNC_PRDCT</v>
      </c>
      <c r="D108" s="143" t="s">
        <v>414</v>
      </c>
      <c r="E108" s="143" t="s">
        <v>1351</v>
      </c>
      <c r="G108" s="160">
        <f>INDEX(Table1[[Especificação]:[Total Testes]],MATCH(Sheet1!C108,Table1[CONCAT],0),MATCH(Sheet1!B108,Table1[[#Headers],[Especificação]:[Total Testes]],0))</f>
        <v>1</v>
      </c>
      <c r="H108" s="179">
        <f t="shared" si="13"/>
        <v>0.13</v>
      </c>
      <c r="I108" s="209"/>
      <c r="J108" s="158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/>
      <c r="AY108" s="153"/>
      <c r="AZ108" s="153"/>
      <c r="BA108" s="153"/>
      <c r="BB108" s="158"/>
      <c r="BC108" s="153"/>
      <c r="BD108" s="153"/>
      <c r="BE108" s="153"/>
      <c r="BF108" s="153"/>
      <c r="BG108" s="153"/>
      <c r="BH108" s="153"/>
      <c r="BI108" s="153"/>
      <c r="BJ108" s="153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8"/>
      <c r="CJ108" s="153"/>
      <c r="CK108" s="153"/>
      <c r="CL108" s="153"/>
      <c r="CM108" s="153"/>
      <c r="CN108" s="158"/>
      <c r="CO108" s="153"/>
      <c r="CP108" s="153"/>
      <c r="CQ108" s="153"/>
    </row>
    <row r="109" spans="2:95" hidden="1" outlineLevel="1" x14ac:dyDescent="0.3">
      <c r="B109" s="146" t="str">
        <f>Table1[[#Headers],[Simulação]]</f>
        <v>Simulação</v>
      </c>
      <c r="C109" s="144" t="str">
        <f t="shared" si="12"/>
        <v>INSTRUMENT_FLG_MNMM_SFGRDS</v>
      </c>
      <c r="D109" s="143" t="s">
        <v>414</v>
      </c>
      <c r="E109" s="143" t="s">
        <v>1438</v>
      </c>
      <c r="G109" s="160" t="e">
        <f>INDEX(Table1[[Especificação]:[Total Testes]],MATCH(Sheet1!C109,Table1[CONCAT],0),MATCH(Sheet1!B109,Table1[[#Headers],[Especificação]:[Total Testes]],0))</f>
        <v>#N/A</v>
      </c>
      <c r="H109" s="179" t="e">
        <f t="shared" si="13"/>
        <v>#N/A</v>
      </c>
      <c r="I109" s="209"/>
      <c r="J109" s="158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153"/>
      <c r="AW109" s="153"/>
      <c r="AX109" s="153"/>
      <c r="AY109" s="153"/>
      <c r="AZ109" s="153"/>
      <c r="BA109" s="153"/>
      <c r="BB109" s="158"/>
      <c r="BC109" s="153"/>
      <c r="BD109" s="153"/>
      <c r="BE109" s="153"/>
      <c r="BF109" s="153"/>
      <c r="BG109" s="153"/>
      <c r="BH109" s="153"/>
      <c r="BI109" s="153"/>
      <c r="BJ109" s="153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8"/>
      <c r="CJ109" s="153"/>
      <c r="CK109" s="153"/>
      <c r="CL109" s="153"/>
      <c r="CM109" s="153"/>
      <c r="CN109" s="158"/>
      <c r="CO109" s="153"/>
      <c r="CP109" s="153"/>
      <c r="CQ109" s="153"/>
    </row>
    <row r="110" spans="2:95" hidden="1" outlineLevel="1" x14ac:dyDescent="0.3">
      <c r="B110" s="146" t="str">
        <f>Table1[[#Headers],[Simulação]]</f>
        <v>Simulação</v>
      </c>
      <c r="C110" s="144" t="str">
        <f t="shared" si="12"/>
        <v>INSTR_PROTECTION_TYP_RLTN</v>
      </c>
      <c r="D110" s="143" t="s">
        <v>1101</v>
      </c>
      <c r="E110" s="143" t="s">
        <v>1384</v>
      </c>
      <c r="G110" s="160">
        <f>INDEX(Table1[[Especificação]:[Total Testes]],MATCH(Sheet1!C110,Table1[CONCAT],0),MATCH(Sheet1!B110,Table1[[#Headers],[Especificação]:[Total Testes]],0))</f>
        <v>1</v>
      </c>
      <c r="H110" s="179">
        <f t="shared" si="13"/>
        <v>0.13</v>
      </c>
      <c r="I110" s="209"/>
      <c r="J110" s="158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8"/>
      <c r="BC110" s="153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8"/>
      <c r="CJ110" s="153"/>
      <c r="CK110" s="153"/>
      <c r="CL110" s="153"/>
      <c r="CM110" s="153"/>
      <c r="CN110" s="158"/>
      <c r="CO110" s="153"/>
      <c r="CP110" s="153"/>
      <c r="CQ110" s="153"/>
    </row>
    <row r="111" spans="2:95" hidden="1" outlineLevel="1" x14ac:dyDescent="0.3">
      <c r="B111" s="146" t="str">
        <f>Table1[[#Headers],[Simulação]]</f>
        <v>Simulação</v>
      </c>
      <c r="C111" s="144" t="str">
        <f t="shared" si="12"/>
        <v>PROTECTION_BLDNG_AR</v>
      </c>
      <c r="D111" s="143" t="s">
        <v>1114</v>
      </c>
      <c r="E111" s="143" t="s">
        <v>1387</v>
      </c>
      <c r="G111" s="160" t="e">
        <f>INDEX(Table1[[Especificação]:[Total Testes]],MATCH(Sheet1!C111,Table1[CONCAT],0),MATCH(Sheet1!B111,Table1[[#Headers],[Especificação]:[Total Testes]],0))</f>
        <v>#N/A</v>
      </c>
      <c r="H111" s="179" t="e">
        <f t="shared" si="13"/>
        <v>#N/A</v>
      </c>
      <c r="I111" s="209"/>
      <c r="J111" s="158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8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8"/>
      <c r="CJ111" s="153"/>
      <c r="CK111" s="153"/>
      <c r="CL111" s="153"/>
      <c r="CM111" s="153"/>
      <c r="CN111" s="158"/>
      <c r="CO111" s="153"/>
      <c r="CP111" s="153"/>
      <c r="CQ111" s="153"/>
    </row>
    <row r="112" spans="2:95" hidden="1" outlineLevel="1" x14ac:dyDescent="0.3">
      <c r="B112" s="146" t="str">
        <f>Table1[[#Headers],[Simulação]]</f>
        <v>Simulação</v>
      </c>
      <c r="C112" s="144" t="str">
        <f t="shared" si="12"/>
        <v>PROTECTION_RL_ESTT_CRTFCTN</v>
      </c>
      <c r="D112" s="143" t="s">
        <v>1114</v>
      </c>
      <c r="E112" s="143" t="s">
        <v>1440</v>
      </c>
      <c r="G112" s="160" t="e">
        <f>INDEX(Table1[[Especificação]:[Total Testes]],MATCH(Sheet1!C112,Table1[CONCAT],0),MATCH(Sheet1!B112,Table1[[#Headers],[Especificação]:[Total Testes]],0))</f>
        <v>#N/A</v>
      </c>
      <c r="H112" s="179" t="e">
        <f t="shared" si="13"/>
        <v>#N/A</v>
      </c>
      <c r="I112" s="209"/>
      <c r="J112" s="158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8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8"/>
      <c r="CJ112" s="153"/>
      <c r="CK112" s="153"/>
      <c r="CL112" s="153"/>
      <c r="CM112" s="153"/>
      <c r="CN112" s="158"/>
      <c r="CO112" s="153"/>
      <c r="CP112" s="153"/>
      <c r="CQ112" s="153"/>
    </row>
    <row r="113" spans="2:95" hidden="1" outlineLevel="1" x14ac:dyDescent="0.3">
      <c r="B113" s="146" t="str">
        <f>Table1[[#Headers],[Simulação]]</f>
        <v>Simulação</v>
      </c>
      <c r="C113" s="144" t="str">
        <f t="shared" si="12"/>
        <v>PROTECTION_TYP_VHCL</v>
      </c>
      <c r="D113" s="143" t="s">
        <v>1114</v>
      </c>
      <c r="E113" s="143" t="s">
        <v>1442</v>
      </c>
      <c r="G113" s="160" t="e">
        <f>INDEX(Table1[[Especificação]:[Total Testes]],MATCH(Sheet1!C113,Table1[CONCAT],0),MATCH(Sheet1!B113,Table1[[#Headers],[Especificação]:[Total Testes]],0))</f>
        <v>#N/A</v>
      </c>
      <c r="H113" s="179" t="e">
        <f t="shared" si="13"/>
        <v>#N/A</v>
      </c>
      <c r="I113" s="209"/>
      <c r="J113" s="158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8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8"/>
      <c r="CJ113" s="153"/>
      <c r="CK113" s="153"/>
      <c r="CL113" s="153"/>
      <c r="CM113" s="153"/>
      <c r="CN113" s="158"/>
      <c r="CO113" s="153"/>
      <c r="CP113" s="153"/>
      <c r="CQ113" s="153"/>
    </row>
    <row r="114" spans="2:95" hidden="1" outlineLevel="1" x14ac:dyDescent="0.3">
      <c r="B114" s="146" t="str">
        <f>Table1[[#Headers],[Simulação]]</f>
        <v>Simulação</v>
      </c>
      <c r="C114" s="144" t="str">
        <f t="shared" si="12"/>
        <v>PROTECTION_DT_RGSTRTN</v>
      </c>
      <c r="D114" s="143" t="s">
        <v>1114</v>
      </c>
      <c r="E114" s="143" t="s">
        <v>1444</v>
      </c>
      <c r="G114" s="160" t="e">
        <f>INDEX(Table1[[Especificação]:[Total Testes]],MATCH(Sheet1!C114,Table1[CONCAT],0),MATCH(Sheet1!B114,Table1[[#Headers],[Especificação]:[Total Testes]],0))</f>
        <v>#N/A</v>
      </c>
      <c r="H114" s="179" t="e">
        <f t="shared" si="13"/>
        <v>#N/A</v>
      </c>
      <c r="I114" s="209"/>
      <c r="J114" s="158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8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8"/>
      <c r="CJ114" s="153"/>
      <c r="CK114" s="153"/>
      <c r="CL114" s="153"/>
      <c r="CM114" s="153"/>
      <c r="CN114" s="158"/>
      <c r="CO114" s="153"/>
      <c r="CP114" s="153"/>
      <c r="CQ114" s="153"/>
    </row>
    <row r="115" spans="2:95" hidden="1" outlineLevel="1" x14ac:dyDescent="0.3">
      <c r="B115" s="146" t="str">
        <f>Table1[[#Headers],[Simulação]]</f>
        <v>Simulação</v>
      </c>
      <c r="C115" s="144" t="str">
        <f t="shared" si="12"/>
        <v>PROTECTION_PRMRY_ENRGY_DMND_NN_RNWBL</v>
      </c>
      <c r="D115" s="143" t="s">
        <v>1114</v>
      </c>
      <c r="E115" s="143" t="s">
        <v>1446</v>
      </c>
      <c r="G115" s="160" t="e">
        <f>INDEX(Table1[[Especificação]:[Total Testes]],MATCH(Sheet1!C115,Table1[CONCAT],0),MATCH(Sheet1!B115,Table1[[#Headers],[Especificação]:[Total Testes]],0))</f>
        <v>#N/A</v>
      </c>
      <c r="H115" s="179" t="e">
        <f t="shared" si="13"/>
        <v>#N/A</v>
      </c>
      <c r="I115" s="209"/>
      <c r="J115" s="158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53"/>
      <c r="AD115" s="153"/>
      <c r="AE115" s="153"/>
      <c r="AF115" s="153"/>
      <c r="AG115" s="153"/>
      <c r="AH115" s="153"/>
      <c r="AI115" s="153"/>
      <c r="AJ115" s="153"/>
      <c r="AK115" s="153"/>
      <c r="AL115" s="153"/>
      <c r="AM115" s="153"/>
      <c r="AN115" s="153"/>
      <c r="AO115" s="153"/>
      <c r="AP115" s="153"/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8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8"/>
      <c r="CJ115" s="153"/>
      <c r="CK115" s="153"/>
      <c r="CL115" s="153"/>
      <c r="CM115" s="153"/>
      <c r="CN115" s="158"/>
      <c r="CO115" s="153"/>
      <c r="CP115" s="153"/>
      <c r="CQ115" s="153"/>
    </row>
    <row r="116" spans="2:95" hidden="1" outlineLevel="1" x14ac:dyDescent="0.3">
      <c r="B116" s="146" t="str">
        <f>Table1[[#Headers],[Simulação]]</f>
        <v>Simulação</v>
      </c>
      <c r="C116" s="144" t="str">
        <f t="shared" si="12"/>
        <v>PROTECTION_PRMRY_ENRGY_DMND_TTL</v>
      </c>
      <c r="D116" s="143" t="s">
        <v>1114</v>
      </c>
      <c r="E116" s="143" t="s">
        <v>1448</v>
      </c>
      <c r="G116" s="160" t="e">
        <f>INDEX(Table1[[Especificação]:[Total Testes]],MATCH(Sheet1!C116,Table1[CONCAT],0),MATCH(Sheet1!B116,Table1[[#Headers],[Especificação]:[Total Testes]],0))</f>
        <v>#N/A</v>
      </c>
      <c r="H116" s="179" t="e">
        <f t="shared" si="13"/>
        <v>#N/A</v>
      </c>
      <c r="I116" s="209"/>
      <c r="J116" s="158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3"/>
      <c r="AJ116" s="153"/>
      <c r="AK116" s="153"/>
      <c r="AL116" s="153"/>
      <c r="AM116" s="153"/>
      <c r="AN116" s="153"/>
      <c r="AO116" s="153"/>
      <c r="AP116" s="153"/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8"/>
      <c r="BC116" s="153"/>
      <c r="BD116" s="153"/>
      <c r="BE116" s="153"/>
      <c r="BF116" s="153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8"/>
      <c r="CJ116" s="153"/>
      <c r="CK116" s="153"/>
      <c r="CL116" s="153"/>
      <c r="CM116" s="153"/>
      <c r="CN116" s="158"/>
      <c r="CO116" s="153"/>
      <c r="CP116" s="153"/>
      <c r="CQ116" s="153"/>
    </row>
    <row r="117" spans="2:95" hidden="1" outlineLevel="1" x14ac:dyDescent="0.3">
      <c r="B117" s="146" t="str">
        <f>Table1[[#Headers],[Simulação]]</f>
        <v>Simulação</v>
      </c>
      <c r="C117" s="144" t="str">
        <f t="shared" si="12"/>
        <v>PROTECTION_PRMRY_ENRGY_DMND_RFRNC_VL</v>
      </c>
      <c r="D117" s="143" t="s">
        <v>1114</v>
      </c>
      <c r="E117" s="143" t="s">
        <v>1450</v>
      </c>
      <c r="G117" s="160" t="e">
        <f>INDEX(Table1[[Especificação]:[Total Testes]],MATCH(Sheet1!C117,Table1[CONCAT],0),MATCH(Sheet1!B117,Table1[[#Headers],[Especificação]:[Total Testes]],0))</f>
        <v>#N/A</v>
      </c>
      <c r="H117" s="179" t="e">
        <f t="shared" si="13"/>
        <v>#N/A</v>
      </c>
      <c r="I117" s="209"/>
      <c r="J117" s="158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3"/>
      <c r="AJ117" s="153"/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8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8"/>
      <c r="CJ117" s="153"/>
      <c r="CK117" s="153"/>
      <c r="CL117" s="153"/>
      <c r="CM117" s="153"/>
      <c r="CN117" s="158"/>
      <c r="CO117" s="153"/>
      <c r="CP117" s="153"/>
      <c r="CQ117" s="153"/>
    </row>
    <row r="118" spans="2:95" hidden="1" outlineLevel="1" x14ac:dyDescent="0.3">
      <c r="B118" s="146" t="str">
        <f>Table1[[#Headers],[Simulação]]</f>
        <v>Simulação</v>
      </c>
      <c r="C118" s="144" t="str">
        <f t="shared" si="12"/>
        <v>PROTECTION_RL_ESTT_CLMT_ZN</v>
      </c>
      <c r="D118" s="143" t="s">
        <v>1114</v>
      </c>
      <c r="E118" s="143" t="s">
        <v>1452</v>
      </c>
      <c r="G118" s="160" t="e">
        <f>INDEX(Table1[[Especificação]:[Total Testes]],MATCH(Sheet1!C118,Table1[CONCAT],0),MATCH(Sheet1!B118,Table1[[#Headers],[Especificação]:[Total Testes]],0))</f>
        <v>#N/A</v>
      </c>
      <c r="H118" s="179" t="e">
        <f t="shared" si="13"/>
        <v>#N/A</v>
      </c>
      <c r="I118" s="209"/>
      <c r="J118" s="158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8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8"/>
      <c r="CJ118" s="153"/>
      <c r="CK118" s="153"/>
      <c r="CL118" s="153"/>
      <c r="CM118" s="153"/>
      <c r="CN118" s="158"/>
      <c r="CO118" s="153"/>
      <c r="CP118" s="153"/>
      <c r="CQ118" s="153"/>
    </row>
    <row r="119" spans="2:95" hidden="1" outlineLevel="1" x14ac:dyDescent="0.3">
      <c r="B119" s="146" t="str">
        <f>Table1[[#Headers],[Simulação]]</f>
        <v>Simulação</v>
      </c>
      <c r="C119" s="144" t="str">
        <f t="shared" si="12"/>
        <v>INSTR_ACTIVITY_COD_SOC</v>
      </c>
      <c r="D119" s="143" t="s">
        <v>1458</v>
      </c>
      <c r="E119" s="143" t="s">
        <v>12</v>
      </c>
      <c r="G119" s="160">
        <f>INDEX(Table1[[Especificação]:[Total Testes]],MATCH(Sheet1!C119,Table1[CONCAT],0),MATCH(Sheet1!B119,Table1[[#Headers],[Especificação]:[Total Testes]],0))</f>
        <v>1</v>
      </c>
      <c r="H119" s="179">
        <f t="shared" si="13"/>
        <v>0.13</v>
      </c>
      <c r="I119" s="209"/>
      <c r="J119" s="158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8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8"/>
      <c r="CJ119" s="153"/>
      <c r="CK119" s="153"/>
      <c r="CL119" s="153"/>
      <c r="CM119" s="153"/>
      <c r="CN119" s="158"/>
      <c r="CO119" s="153"/>
      <c r="CP119" s="153"/>
      <c r="CQ119" s="153"/>
    </row>
    <row r="120" spans="2:95" hidden="1" outlineLevel="1" x14ac:dyDescent="0.3">
      <c r="B120" s="146" t="str">
        <f>Table1[[#Headers],[Simulação]]</f>
        <v>Simulação</v>
      </c>
      <c r="C120" s="144" t="str">
        <f t="shared" si="12"/>
        <v>INSTR_ACTIVITY_DT_RFRNC</v>
      </c>
      <c r="D120" s="143" t="s">
        <v>1458</v>
      </c>
      <c r="E120" s="143" t="s">
        <v>38</v>
      </c>
      <c r="G120" s="160">
        <f>INDEX(Table1[[Especificação]:[Total Testes]],MATCH(Sheet1!C120,Table1[CONCAT],0),MATCH(Sheet1!B120,Table1[[#Headers],[Especificação]:[Total Testes]],0))</f>
        <v>1</v>
      </c>
      <c r="H120" s="179">
        <f t="shared" si="13"/>
        <v>0.13</v>
      </c>
      <c r="I120" s="209"/>
      <c r="J120" s="158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53"/>
      <c r="AD120" s="153"/>
      <c r="AE120" s="153"/>
      <c r="AF120" s="153"/>
      <c r="AG120" s="153"/>
      <c r="AH120" s="153"/>
      <c r="AI120" s="153"/>
      <c r="AJ120" s="153"/>
      <c r="AK120" s="153"/>
      <c r="AL120" s="153"/>
      <c r="AM120" s="153"/>
      <c r="AN120" s="153"/>
      <c r="AO120" s="153"/>
      <c r="AP120" s="153"/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8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8"/>
      <c r="CJ120" s="153"/>
      <c r="CK120" s="153"/>
      <c r="CL120" s="153"/>
      <c r="CM120" s="153"/>
      <c r="CN120" s="158"/>
      <c r="CO120" s="153"/>
      <c r="CP120" s="153"/>
      <c r="CQ120" s="153"/>
    </row>
    <row r="121" spans="2:95" hidden="1" outlineLevel="1" x14ac:dyDescent="0.3">
      <c r="B121" s="146" t="str">
        <f>Table1[[#Headers],[Simulação]]</f>
        <v>Simulação</v>
      </c>
      <c r="C121" s="144" t="str">
        <f t="shared" si="12"/>
        <v>INSTR_ACTIVITY_INSTRMNT_ID</v>
      </c>
      <c r="D121" s="143" t="s">
        <v>1458</v>
      </c>
      <c r="E121" s="143" t="s">
        <v>405</v>
      </c>
      <c r="G121" s="160">
        <f>INDEX(Table1[[Especificação]:[Total Testes]],MATCH(Sheet1!C121,Table1[CONCAT],0),MATCH(Sheet1!B121,Table1[[#Headers],[Especificação]:[Total Testes]],0))</f>
        <v>1</v>
      </c>
      <c r="H121" s="179">
        <f t="shared" si="13"/>
        <v>0.13</v>
      </c>
      <c r="I121" s="209"/>
      <c r="J121" s="158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8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8"/>
      <c r="CJ121" s="153"/>
      <c r="CK121" s="153"/>
      <c r="CL121" s="153"/>
      <c r="CM121" s="153"/>
      <c r="CN121" s="158"/>
      <c r="CO121" s="153"/>
      <c r="CP121" s="153"/>
      <c r="CQ121" s="153"/>
    </row>
    <row r="122" spans="2:95" hidden="1" outlineLevel="1" x14ac:dyDescent="0.3">
      <c r="B122" s="146" t="str">
        <f>Table1[[#Headers],[Simulação]]</f>
        <v>Simulação</v>
      </c>
      <c r="C122" s="144" t="str">
        <f t="shared" si="12"/>
        <v>INSTR_ACTIVITY_PRCNTG_ACTVTY</v>
      </c>
      <c r="D122" s="143" t="s">
        <v>1458</v>
      </c>
      <c r="E122" s="143" t="s">
        <v>1464</v>
      </c>
      <c r="G122" s="160">
        <f>INDEX(Table1[[Especificação]:[Total Testes]],MATCH(Sheet1!C122,Table1[CONCAT],0),MATCH(Sheet1!B122,Table1[[#Headers],[Especificação]:[Total Testes]],0))</f>
        <v>1</v>
      </c>
      <c r="H122" s="179">
        <f t="shared" si="13"/>
        <v>0.13</v>
      </c>
      <c r="I122" s="209"/>
      <c r="J122" s="158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8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8"/>
      <c r="CJ122" s="153"/>
      <c r="CK122" s="153"/>
      <c r="CL122" s="153"/>
      <c r="CM122" s="153"/>
      <c r="CN122" s="158"/>
      <c r="CO122" s="153"/>
      <c r="CP122" s="153"/>
      <c r="CQ122" s="153"/>
    </row>
    <row r="123" spans="2:95" hidden="1" outlineLevel="1" x14ac:dyDescent="0.3">
      <c r="B123" s="146" t="str">
        <f>Table1[[#Headers],[Simulação]]</f>
        <v>Simulação</v>
      </c>
      <c r="C123" s="144" t="str">
        <f t="shared" si="12"/>
        <v>INSTR_ACTIVITY_FLG_SBSTNTL_CNTRBTN</v>
      </c>
      <c r="D123" s="143" t="s">
        <v>1458</v>
      </c>
      <c r="E123" s="143" t="s">
        <v>1467</v>
      </c>
      <c r="G123" s="160" t="e">
        <f>INDEX(Table1[[Especificação]:[Total Testes]],MATCH(Sheet1!C123,Table1[CONCAT],0),MATCH(Sheet1!B123,Table1[[#Headers],[Especificação]:[Total Testes]],0))</f>
        <v>#N/A</v>
      </c>
      <c r="H123" s="179" t="e">
        <f t="shared" si="13"/>
        <v>#N/A</v>
      </c>
      <c r="I123" s="209"/>
      <c r="J123" s="158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8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8"/>
      <c r="CJ123" s="153"/>
      <c r="CK123" s="153"/>
      <c r="CL123" s="153"/>
      <c r="CM123" s="153"/>
      <c r="CN123" s="158"/>
      <c r="CO123" s="153"/>
      <c r="CP123" s="153"/>
      <c r="CQ123" s="153"/>
    </row>
    <row r="124" spans="2:95" hidden="1" outlineLevel="1" x14ac:dyDescent="0.3">
      <c r="B124" s="146" t="str">
        <f>Table1[[#Headers],[Simulação]]</f>
        <v>Simulação</v>
      </c>
      <c r="C124" s="144" t="str">
        <f t="shared" si="12"/>
        <v>INSTR_ACTIVITY_FLG_DNSH_CMPLNC</v>
      </c>
      <c r="D124" s="143" t="s">
        <v>1458</v>
      </c>
      <c r="E124" s="143" t="s">
        <v>1469</v>
      </c>
      <c r="G124" s="160" t="e">
        <f>INDEX(Table1[[Especificação]:[Total Testes]],MATCH(Sheet1!C124,Table1[CONCAT],0),MATCH(Sheet1!B124,Table1[[#Headers],[Especificação]:[Total Testes]],0))</f>
        <v>#N/A</v>
      </c>
      <c r="H124" s="179" t="e">
        <f t="shared" si="13"/>
        <v>#N/A</v>
      </c>
      <c r="I124" s="209"/>
      <c r="J124" s="158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3"/>
      <c r="AJ124" s="153"/>
      <c r="AK124" s="153"/>
      <c r="AL124" s="153"/>
      <c r="AM124" s="153"/>
      <c r="AN124" s="153"/>
      <c r="AO124" s="153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8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8"/>
      <c r="CJ124" s="153"/>
      <c r="CK124" s="153"/>
      <c r="CL124" s="153"/>
      <c r="CM124" s="153"/>
      <c r="CN124" s="158"/>
      <c r="CO124" s="153"/>
      <c r="CP124" s="153"/>
      <c r="CQ124" s="153"/>
    </row>
    <row r="125" spans="2:95" hidden="1" outlineLevel="1" x14ac:dyDescent="0.3">
      <c r="B125" s="146" t="str">
        <f>Table1[[#Headers],[Simulação]]</f>
        <v>Simulação</v>
      </c>
      <c r="C125" s="144" t="str">
        <f t="shared" si="12"/>
        <v>INSTR_ACTIVITY_DNSH_DTL</v>
      </c>
      <c r="D125" s="143" t="s">
        <v>1458</v>
      </c>
      <c r="E125" s="143" t="s">
        <v>1471</v>
      </c>
      <c r="G125" s="160" t="e">
        <f>INDEX(Table1[[Especificação]:[Total Testes]],MATCH(Sheet1!C125,Table1[CONCAT],0),MATCH(Sheet1!B125,Table1[[#Headers],[Especificação]:[Total Testes]],0))</f>
        <v>#N/A</v>
      </c>
      <c r="H125" s="179" t="e">
        <f t="shared" si="13"/>
        <v>#N/A</v>
      </c>
      <c r="I125" s="209"/>
      <c r="J125" s="158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  <c r="AC125" s="153"/>
      <c r="AD125" s="153"/>
      <c r="AE125" s="153"/>
      <c r="AF125" s="153"/>
      <c r="AG125" s="153"/>
      <c r="AH125" s="153"/>
      <c r="AI125" s="153"/>
      <c r="AJ125" s="153"/>
      <c r="AK125" s="153"/>
      <c r="AL125" s="153"/>
      <c r="AM125" s="153"/>
      <c r="AN125" s="153"/>
      <c r="AO125" s="153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8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8"/>
      <c r="CJ125" s="153"/>
      <c r="CK125" s="153"/>
      <c r="CL125" s="153"/>
      <c r="CM125" s="153"/>
      <c r="CN125" s="158"/>
      <c r="CO125" s="153"/>
      <c r="CP125" s="153"/>
      <c r="CQ125" s="153"/>
    </row>
    <row r="126" spans="2:95" hidden="1" outlineLevel="1" x14ac:dyDescent="0.3">
      <c r="B126" s="146" t="str">
        <f>Table1[[#Headers],[Simulação]]</f>
        <v>Simulação</v>
      </c>
      <c r="C126" s="144" t="str">
        <f t="shared" si="12"/>
        <v>ENTITY_GRP_ECNMC_ACTVTY</v>
      </c>
      <c r="D126" s="143" t="s">
        <v>10</v>
      </c>
      <c r="E126" s="143" t="s">
        <v>382</v>
      </c>
      <c r="G126" s="160" t="e">
        <f>INDEX(Table1[[Especificação]:[Total Testes]],MATCH(Sheet1!C126,Table1[CONCAT],0),MATCH(Sheet1!B126,Table1[[#Headers],[Especificação]:[Total Testes]],0))</f>
        <v>#N/A</v>
      </c>
      <c r="H126" s="179" t="e">
        <f t="shared" si="13"/>
        <v>#N/A</v>
      </c>
      <c r="I126" s="209"/>
      <c r="J126" s="158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  <c r="AC126" s="153"/>
      <c r="AD126" s="153"/>
      <c r="AE126" s="153"/>
      <c r="AF126" s="153"/>
      <c r="AG126" s="153"/>
      <c r="AH126" s="153"/>
      <c r="AI126" s="153"/>
      <c r="AJ126" s="153"/>
      <c r="AK126" s="153"/>
      <c r="AL126" s="153"/>
      <c r="AM126" s="153"/>
      <c r="AN126" s="153"/>
      <c r="AO126" s="153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8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8"/>
      <c r="CJ126" s="153"/>
      <c r="CK126" s="153"/>
      <c r="CL126" s="153"/>
      <c r="CM126" s="153"/>
      <c r="CN126" s="158"/>
      <c r="CO126" s="153"/>
      <c r="CP126" s="153"/>
      <c r="CQ126" s="153"/>
    </row>
    <row r="127" spans="2:95" hidden="1" outlineLevel="1" x14ac:dyDescent="0.3">
      <c r="B127" s="146" t="str">
        <f>Table1[[#Headers],[Simulação]]</f>
        <v>Simulação</v>
      </c>
      <c r="C127" s="144" t="str">
        <f t="shared" si="12"/>
        <v>PROTECTION_TYP_EMSSNS_LBL</v>
      </c>
      <c r="D127" s="143" t="s">
        <v>1114</v>
      </c>
      <c r="E127" s="143" t="s">
        <v>1235</v>
      </c>
      <c r="G127" s="160" t="e">
        <f>INDEX(Table1[[Especificação]:[Total Testes]],MATCH(Sheet1!C127,Table1[CONCAT],0),MATCH(Sheet1!B127,Table1[[#Headers],[Especificação]:[Total Testes]],0))</f>
        <v>#N/A</v>
      </c>
      <c r="H127" s="179" t="e">
        <f t="shared" si="13"/>
        <v>#N/A</v>
      </c>
      <c r="I127" s="209"/>
      <c r="J127" s="158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3"/>
      <c r="AJ127" s="153"/>
      <c r="AK127" s="153"/>
      <c r="AL127" s="153"/>
      <c r="AM127" s="153"/>
      <c r="AN127" s="153"/>
      <c r="AO127" s="153"/>
      <c r="AP127" s="153"/>
      <c r="AQ127" s="153"/>
      <c r="AR127" s="153"/>
      <c r="AS127" s="153"/>
      <c r="AT127" s="153"/>
      <c r="AU127" s="153"/>
      <c r="AV127" s="153"/>
      <c r="AW127" s="153"/>
      <c r="AX127" s="153"/>
      <c r="AY127" s="153"/>
      <c r="AZ127" s="153"/>
      <c r="BA127" s="153"/>
      <c r="BB127" s="158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8"/>
      <c r="CJ127" s="153"/>
      <c r="CK127" s="153"/>
      <c r="CL127" s="153"/>
      <c r="CM127" s="153"/>
      <c r="CN127" s="158"/>
      <c r="CO127" s="153"/>
      <c r="CP127" s="153"/>
      <c r="CQ127" s="153"/>
    </row>
    <row r="128" spans="2:95" hidden="1" outlineLevel="1" x14ac:dyDescent="0.3">
      <c r="B128" s="146" t="str">
        <f>Table1[[#Headers],[Simulação]]</f>
        <v>Simulação</v>
      </c>
      <c r="C128" s="144" t="str">
        <f t="shared" si="12"/>
        <v>PROTECTION_EPC_EMSSNS_LBL</v>
      </c>
      <c r="D128" s="143" t="s">
        <v>1114</v>
      </c>
      <c r="E128" s="143" t="s">
        <v>1238</v>
      </c>
      <c r="G128" s="160" t="e">
        <f>INDEX(Table1[[Especificação]:[Total Testes]],MATCH(Sheet1!C128,Table1[CONCAT],0),MATCH(Sheet1!B128,Table1[[#Headers],[Especificação]:[Total Testes]],0))</f>
        <v>#N/A</v>
      </c>
      <c r="H128" s="179" t="e">
        <f t="shared" si="13"/>
        <v>#N/A</v>
      </c>
      <c r="I128" s="209"/>
      <c r="J128" s="158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3"/>
      <c r="AJ128" s="153"/>
      <c r="AK128" s="153"/>
      <c r="AL128" s="153"/>
      <c r="AM128" s="153"/>
      <c r="AN128" s="153"/>
      <c r="AO128" s="153"/>
      <c r="AP128" s="153"/>
      <c r="AQ128" s="153"/>
      <c r="AR128" s="153"/>
      <c r="AS128" s="153"/>
      <c r="AT128" s="153"/>
      <c r="AU128" s="153"/>
      <c r="AV128" s="153"/>
      <c r="AW128" s="153"/>
      <c r="AX128" s="153"/>
      <c r="AY128" s="153"/>
      <c r="AZ128" s="153"/>
      <c r="BA128" s="153"/>
      <c r="BB128" s="158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8"/>
      <c r="CJ128" s="153"/>
      <c r="CK128" s="153"/>
      <c r="CL128" s="153"/>
      <c r="CM128" s="153"/>
      <c r="CN128" s="158"/>
      <c r="CO128" s="153"/>
      <c r="CP128" s="153"/>
      <c r="CQ128" s="153"/>
    </row>
    <row r="129" spans="2:95" hidden="1" outlineLevel="1" x14ac:dyDescent="0.3">
      <c r="B129" s="146" t="str">
        <f>Table1[[#Headers],[Simulação]]</f>
        <v>Simulação</v>
      </c>
      <c r="C129" s="144" t="str">
        <f t="shared" si="12"/>
        <v>PROTECTION_VHCL_EMSSNS_LBL</v>
      </c>
      <c r="D129" s="143" t="s">
        <v>1114</v>
      </c>
      <c r="E129" s="143" t="s">
        <v>1241</v>
      </c>
      <c r="G129" s="160" t="e">
        <f>INDEX(Table1[[Especificação]:[Total Testes]],MATCH(Sheet1!C129,Table1[CONCAT],0),MATCH(Sheet1!B129,Table1[[#Headers],[Especificação]:[Total Testes]],0))</f>
        <v>#N/A</v>
      </c>
      <c r="H129" s="179" t="e">
        <f t="shared" si="13"/>
        <v>#N/A</v>
      </c>
      <c r="I129" s="209"/>
      <c r="J129" s="158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3"/>
      <c r="AJ129" s="153"/>
      <c r="AK129" s="153"/>
      <c r="AL129" s="153"/>
      <c r="AM129" s="153"/>
      <c r="AN129" s="153"/>
      <c r="AO129" s="153"/>
      <c r="AP129" s="153"/>
      <c r="AQ129" s="153"/>
      <c r="AR129" s="153"/>
      <c r="AS129" s="153"/>
      <c r="AT129" s="153"/>
      <c r="AU129" s="153"/>
      <c r="AV129" s="153"/>
      <c r="AW129" s="153"/>
      <c r="AX129" s="153"/>
      <c r="AY129" s="153"/>
      <c r="AZ129" s="153"/>
      <c r="BA129" s="153"/>
      <c r="BB129" s="158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8"/>
      <c r="CJ129" s="153"/>
      <c r="CK129" s="153"/>
      <c r="CL129" s="153"/>
      <c r="CM129" s="153"/>
      <c r="CN129" s="158"/>
      <c r="CO129" s="153"/>
      <c r="CP129" s="153"/>
      <c r="CQ129" s="153"/>
    </row>
    <row r="130" spans="2:95" hidden="1" outlineLevel="1" x14ac:dyDescent="0.3">
      <c r="B130" s="146" t="str">
        <f>Table1[[#Headers],[Simulação]]</f>
        <v>Simulação</v>
      </c>
      <c r="C130" s="144" t="str">
        <f t="shared" si="12"/>
        <v>PROTECTION_TYP_EMSSNS_SCR</v>
      </c>
      <c r="D130" s="143" t="s">
        <v>1114</v>
      </c>
      <c r="E130" s="143" t="s">
        <v>1244</v>
      </c>
      <c r="G130" s="160" t="e">
        <f>INDEX(Table1[[Especificação]:[Total Testes]],MATCH(Sheet1!C130,Table1[CONCAT],0),MATCH(Sheet1!B130,Table1[[#Headers],[Especificação]:[Total Testes]],0))</f>
        <v>#N/A</v>
      </c>
      <c r="H130" s="179" t="e">
        <f t="shared" si="13"/>
        <v>#N/A</v>
      </c>
      <c r="I130" s="209"/>
      <c r="J130" s="158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153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53"/>
      <c r="AY130" s="153"/>
      <c r="AZ130" s="153"/>
      <c r="BA130" s="153"/>
      <c r="BB130" s="158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8"/>
      <c r="CJ130" s="153"/>
      <c r="CK130" s="153"/>
      <c r="CL130" s="153"/>
      <c r="CM130" s="153"/>
      <c r="CN130" s="158"/>
      <c r="CO130" s="153"/>
      <c r="CP130" s="153"/>
      <c r="CQ130" s="153"/>
    </row>
    <row r="131" spans="2:95" hidden="1" outlineLevel="1" x14ac:dyDescent="0.3">
      <c r="B131" s="146" t="str">
        <f>Table1[[#Headers],[Simulação]]</f>
        <v>Simulação</v>
      </c>
      <c r="C131" s="144" t="str">
        <f t="shared" si="12"/>
        <v>PROTECTION_EPC_EMSSNS_SCR</v>
      </c>
      <c r="D131" s="143" t="s">
        <v>1114</v>
      </c>
      <c r="E131" s="143" t="s">
        <v>1247</v>
      </c>
      <c r="G131" s="160" t="e">
        <f>INDEX(Table1[[Especificação]:[Total Testes]],MATCH(Sheet1!C131,Table1[CONCAT],0),MATCH(Sheet1!B131,Table1[[#Headers],[Especificação]:[Total Testes]],0))</f>
        <v>#N/A</v>
      </c>
      <c r="H131" s="179" t="e">
        <f t="shared" si="13"/>
        <v>#N/A</v>
      </c>
      <c r="I131" s="209"/>
      <c r="J131" s="158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  <c r="AC131" s="153"/>
      <c r="AD131" s="153"/>
      <c r="AE131" s="153"/>
      <c r="AF131" s="153"/>
      <c r="AG131" s="153"/>
      <c r="AH131" s="153"/>
      <c r="AI131" s="153"/>
      <c r="AJ131" s="153"/>
      <c r="AK131" s="153"/>
      <c r="AL131" s="153"/>
      <c r="AM131" s="153"/>
      <c r="AN131" s="153"/>
      <c r="AO131" s="153"/>
      <c r="AP131" s="153"/>
      <c r="AQ131" s="153"/>
      <c r="AR131" s="153"/>
      <c r="AS131" s="153"/>
      <c r="AT131" s="153"/>
      <c r="AU131" s="153"/>
      <c r="AV131" s="153"/>
      <c r="AW131" s="153"/>
      <c r="AX131" s="153"/>
      <c r="AY131" s="153"/>
      <c r="AZ131" s="153"/>
      <c r="BA131" s="153"/>
      <c r="BB131" s="158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8"/>
      <c r="CJ131" s="153"/>
      <c r="CK131" s="153"/>
      <c r="CL131" s="153"/>
      <c r="CM131" s="153"/>
      <c r="CN131" s="158"/>
      <c r="CO131" s="153"/>
      <c r="CP131" s="153"/>
      <c r="CQ131" s="153"/>
    </row>
    <row r="132" spans="2:95" hidden="1" outlineLevel="1" x14ac:dyDescent="0.3">
      <c r="B132" s="146" t="str">
        <f>Table1[[#Headers],[Simulação]]</f>
        <v>Simulação</v>
      </c>
      <c r="C132" s="144" t="str">
        <f t="shared" si="12"/>
        <v>PROTECTION_VHCL_EMSSNS_SCR</v>
      </c>
      <c r="D132" s="143" t="s">
        <v>1114</v>
      </c>
      <c r="E132" s="143" t="s">
        <v>1250</v>
      </c>
      <c r="G132" s="160" t="e">
        <f>INDEX(Table1[[Especificação]:[Total Testes]],MATCH(Sheet1!C132,Table1[CONCAT],0),MATCH(Sheet1!B132,Table1[[#Headers],[Especificação]:[Total Testes]],0))</f>
        <v>#N/A</v>
      </c>
      <c r="H132" s="179" t="e">
        <f t="shared" si="13"/>
        <v>#N/A</v>
      </c>
      <c r="I132" s="209"/>
      <c r="J132" s="158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  <c r="AC132" s="153"/>
      <c r="AD132" s="153"/>
      <c r="AE132" s="153"/>
      <c r="AF132" s="153"/>
      <c r="AG132" s="153"/>
      <c r="AH132" s="153"/>
      <c r="AI132" s="153"/>
      <c r="AJ132" s="153"/>
      <c r="AK132" s="153"/>
      <c r="AL132" s="153"/>
      <c r="AM132" s="153"/>
      <c r="AN132" s="153"/>
      <c r="AO132" s="153"/>
      <c r="AP132" s="153"/>
      <c r="AQ132" s="153"/>
      <c r="AR132" s="153"/>
      <c r="AS132" s="153"/>
      <c r="AT132" s="153"/>
      <c r="AU132" s="153"/>
      <c r="AV132" s="153"/>
      <c r="AW132" s="153"/>
      <c r="AX132" s="153"/>
      <c r="AY132" s="153"/>
      <c r="AZ132" s="153"/>
      <c r="BA132" s="153"/>
      <c r="BB132" s="158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8"/>
      <c r="CJ132" s="153"/>
      <c r="CK132" s="153"/>
      <c r="CL132" s="153"/>
      <c r="CM132" s="153"/>
      <c r="CN132" s="158"/>
      <c r="CO132" s="153"/>
      <c r="CP132" s="153"/>
      <c r="CQ132" s="153"/>
    </row>
    <row r="133" spans="2:95" hidden="1" outlineLevel="1" x14ac:dyDescent="0.3">
      <c r="B133" s="146" t="str">
        <f>Table1[[#Headers],[Simulação]]</f>
        <v>Simulação</v>
      </c>
      <c r="C133" s="144" t="str">
        <f t="shared" si="12"/>
        <v>PROTECTION_INSRNC_ID</v>
      </c>
      <c r="D133" s="143" t="s">
        <v>1114</v>
      </c>
      <c r="E133" s="143" t="s">
        <v>1275</v>
      </c>
      <c r="G133" s="160" t="e">
        <f>INDEX(Table1[[Especificação]:[Total Testes]],MATCH(Sheet1!C133,Table1[CONCAT],0),MATCH(Sheet1!B133,Table1[[#Headers],[Especificação]:[Total Testes]],0))</f>
        <v>#N/A</v>
      </c>
      <c r="H133" s="179" t="e">
        <f t="shared" si="13"/>
        <v>#N/A</v>
      </c>
      <c r="I133" s="209"/>
      <c r="J133" s="158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8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8"/>
      <c r="CJ133" s="153"/>
      <c r="CK133" s="153"/>
      <c r="CL133" s="153"/>
      <c r="CM133" s="153"/>
      <c r="CN133" s="158"/>
      <c r="CO133" s="153"/>
      <c r="CP133" s="153"/>
      <c r="CQ133" s="153"/>
    </row>
    <row r="134" spans="2:95" hidden="1" outlineLevel="1" x14ac:dyDescent="0.3">
      <c r="B134" s="146" t="str">
        <f>Table1[[#Headers],[Simulação]]</f>
        <v>Simulação</v>
      </c>
      <c r="C134" s="144" t="str">
        <f t="shared" si="12"/>
        <v>PROTECTION_TYP_HZRDS_INSRD</v>
      </c>
      <c r="D134" s="143" t="s">
        <v>1114</v>
      </c>
      <c r="E134" s="143" t="s">
        <v>1278</v>
      </c>
      <c r="G134" s="160" t="e">
        <f>INDEX(Table1[[Especificação]:[Total Testes]],MATCH(Sheet1!C134,Table1[CONCAT],0),MATCH(Sheet1!B134,Table1[[#Headers],[Especificação]:[Total Testes]],0))</f>
        <v>#N/A</v>
      </c>
      <c r="H134" s="179" t="e">
        <f t="shared" si="13"/>
        <v>#N/A</v>
      </c>
      <c r="I134" s="209"/>
      <c r="J134" s="158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3"/>
      <c r="AJ134" s="153"/>
      <c r="AK134" s="153"/>
      <c r="AL134" s="153"/>
      <c r="AM134" s="153"/>
      <c r="AN134" s="153"/>
      <c r="AO134" s="153"/>
      <c r="AP134" s="153"/>
      <c r="AQ134" s="153"/>
      <c r="AR134" s="153"/>
      <c r="AS134" s="153"/>
      <c r="AT134" s="153"/>
      <c r="AU134" s="153"/>
      <c r="AV134" s="153"/>
      <c r="AW134" s="153"/>
      <c r="AX134" s="153"/>
      <c r="AY134" s="153"/>
      <c r="AZ134" s="153"/>
      <c r="BA134" s="153"/>
      <c r="BB134" s="158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8"/>
      <c r="CJ134" s="153"/>
      <c r="CK134" s="153"/>
      <c r="CL134" s="153"/>
      <c r="CM134" s="153"/>
      <c r="CN134" s="158"/>
      <c r="CO134" s="153"/>
      <c r="CP134" s="153"/>
      <c r="CQ134" s="153"/>
    </row>
    <row r="135" spans="2:95" hidden="1" outlineLevel="1" x14ac:dyDescent="0.3">
      <c r="B135" s="146" t="str">
        <f>Table1[[#Headers],[Simulação]]</f>
        <v>Simulação</v>
      </c>
      <c r="C135" s="144" t="str">
        <f t="shared" si="12"/>
        <v>PROTECTION_AMNT_CVRD_INSRNC</v>
      </c>
      <c r="D135" s="143" t="s">
        <v>1114</v>
      </c>
      <c r="E135" s="143" t="s">
        <v>1281</v>
      </c>
      <c r="G135" s="160" t="e">
        <f>INDEX(Table1[[Especificação]:[Total Testes]],MATCH(Sheet1!C135,Table1[CONCAT],0),MATCH(Sheet1!B135,Table1[[#Headers],[Especificação]:[Total Testes]],0))</f>
        <v>#N/A</v>
      </c>
      <c r="H135" s="179" t="e">
        <f t="shared" si="13"/>
        <v>#N/A</v>
      </c>
      <c r="I135" s="209"/>
      <c r="J135" s="158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  <c r="AC135" s="153"/>
      <c r="AD135" s="153"/>
      <c r="AE135" s="153"/>
      <c r="AF135" s="153"/>
      <c r="AG135" s="153"/>
      <c r="AH135" s="153"/>
      <c r="AI135" s="153"/>
      <c r="AJ135" s="153"/>
      <c r="AK135" s="153"/>
      <c r="AL135" s="153"/>
      <c r="AM135" s="153"/>
      <c r="AN135" s="153"/>
      <c r="AO135" s="153"/>
      <c r="AP135" s="153"/>
      <c r="AQ135" s="153"/>
      <c r="AR135" s="153"/>
      <c r="AS135" s="153"/>
      <c r="AT135" s="153"/>
      <c r="AU135" s="153"/>
      <c r="AV135" s="153"/>
      <c r="AW135" s="153"/>
      <c r="AX135" s="153"/>
      <c r="AY135" s="153"/>
      <c r="AZ135" s="153"/>
      <c r="BA135" s="153"/>
      <c r="BB135" s="158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8"/>
      <c r="CJ135" s="153"/>
      <c r="CK135" s="153"/>
      <c r="CL135" s="153"/>
      <c r="CM135" s="153"/>
      <c r="CN135" s="158"/>
      <c r="CO135" s="153"/>
      <c r="CP135" s="153"/>
      <c r="CQ135" s="153"/>
    </row>
    <row r="136" spans="2:95" hidden="1" outlineLevel="1" x14ac:dyDescent="0.3">
      <c r="B136" s="146" t="str">
        <f>Table1[[#Headers],[Simulação]]</f>
        <v>Simulação</v>
      </c>
      <c r="C136" s="144" t="str">
        <f t="shared" si="12"/>
        <v>PROTECTION_DT_MTRTY_INSRNC</v>
      </c>
      <c r="D136" s="143" t="s">
        <v>1114</v>
      </c>
      <c r="E136" s="143" t="s">
        <v>1284</v>
      </c>
      <c r="G136" s="160" t="e">
        <f>INDEX(Table1[[Especificação]:[Total Testes]],MATCH(Sheet1!C136,Table1[CONCAT],0),MATCH(Sheet1!B136,Table1[[#Headers],[Especificação]:[Total Testes]],0))</f>
        <v>#N/A</v>
      </c>
      <c r="H136" s="179" t="e">
        <f t="shared" si="13"/>
        <v>#N/A</v>
      </c>
      <c r="I136" s="209"/>
      <c r="J136" s="158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  <c r="AC136" s="153"/>
      <c r="AD136" s="153"/>
      <c r="AE136" s="153"/>
      <c r="AF136" s="153"/>
      <c r="AG136" s="153"/>
      <c r="AH136" s="153"/>
      <c r="AI136" s="153"/>
      <c r="AJ136" s="153"/>
      <c r="AK136" s="153"/>
      <c r="AL136" s="153"/>
      <c r="AM136" s="153"/>
      <c r="AN136" s="153"/>
      <c r="AO136" s="153"/>
      <c r="AP136" s="153"/>
      <c r="AQ136" s="153"/>
      <c r="AR136" s="153"/>
      <c r="AS136" s="153"/>
      <c r="AT136" s="153"/>
      <c r="AU136" s="153"/>
      <c r="AV136" s="153"/>
      <c r="AW136" s="153"/>
      <c r="AX136" s="153"/>
      <c r="AY136" s="153"/>
      <c r="AZ136" s="153"/>
      <c r="BA136" s="153"/>
      <c r="BB136" s="158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8"/>
      <c r="CJ136" s="153"/>
      <c r="CK136" s="153"/>
      <c r="CL136" s="153"/>
      <c r="CM136" s="153"/>
      <c r="CN136" s="158"/>
      <c r="CO136" s="153"/>
      <c r="CP136" s="153"/>
      <c r="CQ136" s="153"/>
    </row>
    <row r="137" spans="2:95" hidden="1" outlineLevel="1" x14ac:dyDescent="0.3">
      <c r="B137" s="146" t="str">
        <f>Table1[[#Headers],[Simulação]]</f>
        <v>Simulação</v>
      </c>
      <c r="C137" s="144" t="str">
        <f t="shared" si="12"/>
        <v>PROTECTION_FLG_FRST_HM</v>
      </c>
      <c r="D137" s="143" t="s">
        <v>1114</v>
      </c>
      <c r="E137" s="145" t="s">
        <v>1287</v>
      </c>
      <c r="G137" s="160" t="e">
        <f>INDEX(Table1[[Especificação]:[Total Testes]],MATCH(Sheet1!C137,Table1[CONCAT],0),MATCH(Sheet1!B137,Table1[[#Headers],[Especificação]:[Total Testes]],0))</f>
        <v>#N/A</v>
      </c>
      <c r="H137" s="179" t="e">
        <f t="shared" si="13"/>
        <v>#N/A</v>
      </c>
      <c r="I137" s="209"/>
      <c r="J137" s="158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3"/>
      <c r="AJ137" s="153"/>
      <c r="AK137" s="153"/>
      <c r="AL137" s="153"/>
      <c r="AM137" s="153"/>
      <c r="AN137" s="153"/>
      <c r="AO137" s="153"/>
      <c r="AP137" s="153"/>
      <c r="AQ137" s="153"/>
      <c r="AR137" s="153"/>
      <c r="AS137" s="153"/>
      <c r="AT137" s="153"/>
      <c r="AU137" s="153"/>
      <c r="AV137" s="153"/>
      <c r="AW137" s="153"/>
      <c r="AX137" s="153"/>
      <c r="AY137" s="153"/>
      <c r="AZ137" s="153"/>
      <c r="BA137" s="153"/>
      <c r="BB137" s="158"/>
      <c r="BC137" s="153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8"/>
      <c r="CJ137" s="153"/>
      <c r="CK137" s="153"/>
      <c r="CL137" s="153"/>
      <c r="CM137" s="153"/>
      <c r="CN137" s="158"/>
      <c r="CO137" s="153"/>
      <c r="CP137" s="153"/>
      <c r="CQ137" s="153"/>
    </row>
    <row r="138" spans="2:95" hidden="1" outlineLevel="1" x14ac:dyDescent="0.3">
      <c r="B138" s="146" t="str">
        <f>Table1[[#Headers],[Simulação]]</f>
        <v>Simulação</v>
      </c>
      <c r="C138" s="144" t="str">
        <f t="shared" si="12"/>
        <v>ENTITY_ENTTY_NM</v>
      </c>
      <c r="D138" s="143" t="s">
        <v>10</v>
      </c>
      <c r="E138" s="143" t="s">
        <v>59</v>
      </c>
      <c r="G138" s="160" t="e">
        <f>INDEX(Table1[[Especificação]:[Total Testes]],MATCH(Sheet1!C138,Table1[CONCAT],0),MATCH(Sheet1!B138,Table1[[#Headers],[Especificação]:[Total Testes]],0))</f>
        <v>#N/A</v>
      </c>
      <c r="H138" s="179" t="e">
        <f t="shared" si="13"/>
        <v>#N/A</v>
      </c>
      <c r="I138" s="209"/>
      <c r="J138" s="158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/>
      <c r="AV138" s="153"/>
      <c r="AW138" s="153"/>
      <c r="AX138" s="153"/>
      <c r="AY138" s="153"/>
      <c r="AZ138" s="153"/>
      <c r="BA138" s="153"/>
      <c r="BB138" s="158"/>
      <c r="BC138" s="153"/>
      <c r="BD138" s="153"/>
      <c r="BE138" s="153"/>
      <c r="BF138" s="153"/>
      <c r="BG138" s="153"/>
      <c r="BH138" s="153"/>
      <c r="BI138" s="153"/>
      <c r="BJ138" s="153"/>
      <c r="BK138" s="153"/>
      <c r="BL138" s="153"/>
      <c r="BM138" s="153"/>
      <c r="BN138" s="153"/>
      <c r="BO138" s="153"/>
      <c r="BP138" s="153"/>
      <c r="BQ138" s="153"/>
      <c r="BR138" s="153"/>
      <c r="BS138" s="153"/>
      <c r="BT138" s="153"/>
      <c r="BU138" s="153"/>
      <c r="BV138" s="153"/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8"/>
      <c r="CJ138" s="153"/>
      <c r="CK138" s="153"/>
      <c r="CL138" s="153"/>
      <c r="CM138" s="153"/>
      <c r="CN138" s="158"/>
      <c r="CO138" s="153"/>
      <c r="CP138" s="153"/>
      <c r="CQ138" s="153"/>
    </row>
    <row r="139" spans="2:95" hidden="1" outlineLevel="1" x14ac:dyDescent="0.3">
      <c r="B139" s="146" t="str">
        <f>Table1[[#Headers],[Simulação]]</f>
        <v>Simulação</v>
      </c>
      <c r="C139" s="144" t="str">
        <f t="shared" si="12"/>
        <v>ENTITY_EC_GRP_NM</v>
      </c>
      <c r="D139" s="143" t="s">
        <v>10</v>
      </c>
      <c r="E139" s="143" t="s">
        <v>284</v>
      </c>
      <c r="G139" s="160" t="e">
        <f>INDEX(Table1[[Especificação]:[Total Testes]],MATCH(Sheet1!C139,Table1[CONCAT],0),MATCH(Sheet1!B139,Table1[[#Headers],[Especificação]:[Total Testes]],0))</f>
        <v>#N/A</v>
      </c>
      <c r="H139" s="179" t="e">
        <f t="shared" si="13"/>
        <v>#N/A</v>
      </c>
      <c r="I139" s="209"/>
      <c r="J139" s="158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3"/>
      <c r="AJ139" s="153"/>
      <c r="AK139" s="153"/>
      <c r="AL139" s="153"/>
      <c r="AM139" s="153"/>
      <c r="AN139" s="153"/>
      <c r="AO139" s="153"/>
      <c r="AP139" s="153"/>
      <c r="AQ139" s="153"/>
      <c r="AR139" s="153"/>
      <c r="AS139" s="153"/>
      <c r="AT139" s="153"/>
      <c r="AU139" s="153"/>
      <c r="AV139" s="153"/>
      <c r="AW139" s="153"/>
      <c r="AX139" s="153"/>
      <c r="AY139" s="153"/>
      <c r="AZ139" s="153"/>
      <c r="BA139" s="153"/>
      <c r="BB139" s="158"/>
      <c r="BC139" s="153"/>
      <c r="BD139" s="153"/>
      <c r="BE139" s="153"/>
      <c r="BF139" s="153"/>
      <c r="BG139" s="153"/>
      <c r="BH139" s="153"/>
      <c r="BI139" s="153"/>
      <c r="BJ139" s="153"/>
      <c r="BK139" s="153"/>
      <c r="BL139" s="153"/>
      <c r="BM139" s="153"/>
      <c r="BN139" s="153"/>
      <c r="BO139" s="153"/>
      <c r="BP139" s="153"/>
      <c r="BQ139" s="153"/>
      <c r="BR139" s="153"/>
      <c r="BS139" s="153"/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8"/>
      <c r="CJ139" s="153"/>
      <c r="CK139" s="153"/>
      <c r="CL139" s="153"/>
      <c r="CM139" s="153"/>
      <c r="CN139" s="158"/>
      <c r="CO139" s="153"/>
      <c r="CP139" s="153"/>
      <c r="CQ139" s="153"/>
    </row>
    <row r="140" spans="2:95" hidden="1" outlineLevel="1" x14ac:dyDescent="0.3">
      <c r="B140" s="146" t="str">
        <f>Table1[[#Headers],[Simulação]]</f>
        <v>Simulação</v>
      </c>
      <c r="C140" s="144" t="str">
        <f t="shared" si="12"/>
        <v>INSTRUMENT_FRBRNC_STTS_INSTRMNT</v>
      </c>
      <c r="D140" s="143" t="s">
        <v>414</v>
      </c>
      <c r="E140" s="143" t="s">
        <v>501</v>
      </c>
      <c r="G140" s="160" t="e">
        <f>INDEX(Table1[[Especificação]:[Total Testes]],MATCH(Sheet1!C140,Table1[CONCAT],0),MATCH(Sheet1!B140,Table1[[#Headers],[Especificação]:[Total Testes]],0))</f>
        <v>#N/A</v>
      </c>
      <c r="H140" s="179" t="e">
        <f t="shared" si="13"/>
        <v>#N/A</v>
      </c>
      <c r="I140" s="209"/>
      <c r="J140" s="158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3"/>
      <c r="AJ140" s="153"/>
      <c r="AK140" s="153"/>
      <c r="AL140" s="153"/>
      <c r="AM140" s="153"/>
      <c r="AN140" s="153"/>
      <c r="AO140" s="153"/>
      <c r="AP140" s="153"/>
      <c r="AQ140" s="153"/>
      <c r="AR140" s="153"/>
      <c r="AS140" s="153"/>
      <c r="AT140" s="153"/>
      <c r="AU140" s="153"/>
      <c r="AV140" s="153"/>
      <c r="AW140" s="153"/>
      <c r="AX140" s="153"/>
      <c r="AY140" s="153"/>
      <c r="AZ140" s="153"/>
      <c r="BA140" s="153"/>
      <c r="BB140" s="158"/>
      <c r="BC140" s="153"/>
      <c r="BD140" s="153"/>
      <c r="BE140" s="153"/>
      <c r="BF140" s="153"/>
      <c r="BG140" s="153"/>
      <c r="BH140" s="153"/>
      <c r="BI140" s="153"/>
      <c r="BJ140" s="153"/>
      <c r="BK140" s="153"/>
      <c r="BL140" s="153"/>
      <c r="BM140" s="153"/>
      <c r="BN140" s="153"/>
      <c r="BO140" s="153"/>
      <c r="BP140" s="153"/>
      <c r="BQ140" s="153"/>
      <c r="BR140" s="153"/>
      <c r="BS140" s="153"/>
      <c r="BT140" s="153"/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8"/>
      <c r="CJ140" s="153"/>
      <c r="CK140" s="153"/>
      <c r="CL140" s="153"/>
      <c r="CM140" s="153"/>
      <c r="CN140" s="158"/>
      <c r="CO140" s="153"/>
      <c r="CP140" s="153"/>
      <c r="CQ140" s="153"/>
    </row>
    <row r="141" spans="2:95" hidden="1" outlineLevel="1" x14ac:dyDescent="0.3">
      <c r="B141" s="146" t="str">
        <f>Table1[[#Headers],[Simulação]]</f>
        <v>Simulação</v>
      </c>
      <c r="C141" s="144" t="str">
        <f t="shared" si="12"/>
        <v>INSTRUMENT_IFRS9_BHVRL_MTRTY</v>
      </c>
      <c r="D141" s="143" t="s">
        <v>414</v>
      </c>
      <c r="E141" s="143" t="s">
        <v>614</v>
      </c>
      <c r="G141" s="160" t="e">
        <f>INDEX(Table1[[Especificação]:[Total Testes]],MATCH(Sheet1!C141,Table1[CONCAT],0),MATCH(Sheet1!B141,Table1[[#Headers],[Especificação]:[Total Testes]],0))</f>
        <v>#N/A</v>
      </c>
      <c r="H141" s="179" t="e">
        <f t="shared" si="13"/>
        <v>#N/A</v>
      </c>
      <c r="I141" s="209"/>
      <c r="J141" s="158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/>
      <c r="AQ141" s="153"/>
      <c r="AR141" s="153"/>
      <c r="AS141" s="153"/>
      <c r="AT141" s="153"/>
      <c r="AU141" s="153"/>
      <c r="AV141" s="153"/>
      <c r="AW141" s="153"/>
      <c r="AX141" s="153"/>
      <c r="AY141" s="153"/>
      <c r="AZ141" s="153"/>
      <c r="BA141" s="153"/>
      <c r="BB141" s="158"/>
      <c r="BC141" s="153"/>
      <c r="BD141" s="153"/>
      <c r="BE141" s="153"/>
      <c r="BF141" s="153"/>
      <c r="BG141" s="153"/>
      <c r="BH141" s="153"/>
      <c r="BI141" s="153"/>
      <c r="BJ141" s="153"/>
      <c r="BK141" s="153"/>
      <c r="BL141" s="153"/>
      <c r="BM141" s="153"/>
      <c r="BN141" s="153"/>
      <c r="BO141" s="153"/>
      <c r="BP141" s="153"/>
      <c r="BQ141" s="153"/>
      <c r="BR141" s="153"/>
      <c r="BS141" s="153"/>
      <c r="BT141" s="153"/>
      <c r="BU141" s="153"/>
      <c r="BV141" s="153"/>
      <c r="BW141" s="153"/>
      <c r="BX141" s="153"/>
      <c r="BY141" s="153"/>
      <c r="BZ141" s="153"/>
      <c r="CA141" s="153"/>
      <c r="CB141" s="153"/>
      <c r="CC141" s="153"/>
      <c r="CD141" s="153"/>
      <c r="CE141" s="153"/>
      <c r="CF141" s="153"/>
      <c r="CG141" s="153"/>
      <c r="CH141" s="153"/>
      <c r="CI141" s="158"/>
      <c r="CJ141" s="153"/>
      <c r="CK141" s="153"/>
      <c r="CL141" s="153"/>
      <c r="CM141" s="153"/>
      <c r="CN141" s="158"/>
      <c r="CO141" s="153"/>
      <c r="CP141" s="153"/>
      <c r="CQ141" s="153"/>
    </row>
    <row r="142" spans="2:95" hidden="1" outlineLevel="1" x14ac:dyDescent="0.3">
      <c r="B142" s="146" t="str">
        <f>Table1[[#Headers],[Simulação]]</f>
        <v>Simulação</v>
      </c>
      <c r="C142" s="144" t="str">
        <f t="shared" si="12"/>
        <v>INSTRUMENT_LTV</v>
      </c>
      <c r="D142" s="143" t="s">
        <v>414</v>
      </c>
      <c r="E142" s="143" t="s">
        <v>724</v>
      </c>
      <c r="G142" s="160" t="e">
        <f>INDEX(Table1[[Especificação]:[Total Testes]],MATCH(Sheet1!C142,Table1[CONCAT],0),MATCH(Sheet1!B142,Table1[[#Headers],[Especificação]:[Total Testes]],0))</f>
        <v>#N/A</v>
      </c>
      <c r="H142" s="179" t="e">
        <f t="shared" si="13"/>
        <v>#N/A</v>
      </c>
      <c r="I142" s="209"/>
      <c r="J142" s="158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53"/>
      <c r="AS142" s="153"/>
      <c r="AT142" s="153"/>
      <c r="AU142" s="153"/>
      <c r="AV142" s="153"/>
      <c r="AW142" s="153"/>
      <c r="AX142" s="153"/>
      <c r="AY142" s="153"/>
      <c r="AZ142" s="153"/>
      <c r="BA142" s="153"/>
      <c r="BB142" s="158"/>
      <c r="BC142" s="153"/>
      <c r="BD142" s="153"/>
      <c r="BE142" s="153"/>
      <c r="BF142" s="153"/>
      <c r="BG142" s="153"/>
      <c r="BH142" s="153"/>
      <c r="BI142" s="153"/>
      <c r="BJ142" s="153"/>
      <c r="BK142" s="153"/>
      <c r="BL142" s="153"/>
      <c r="BM142" s="153"/>
      <c r="BN142" s="153"/>
      <c r="BO142" s="153"/>
      <c r="BP142" s="153"/>
      <c r="BQ142" s="153"/>
      <c r="BR142" s="153"/>
      <c r="BS142" s="153"/>
      <c r="BT142" s="153"/>
      <c r="BU142" s="153"/>
      <c r="BV142" s="153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8"/>
      <c r="CJ142" s="153"/>
      <c r="CK142" s="153"/>
      <c r="CL142" s="153"/>
      <c r="CM142" s="153"/>
      <c r="CN142" s="158"/>
      <c r="CO142" s="153"/>
      <c r="CP142" s="153"/>
      <c r="CQ142" s="153"/>
    </row>
    <row r="143" spans="2:95" hidden="1" outlineLevel="1" x14ac:dyDescent="0.3">
      <c r="B143" s="146" t="str">
        <f>Table1[[#Headers],[Simulação]]</f>
        <v>Simulação</v>
      </c>
      <c r="C143" s="144" t="str">
        <f t="shared" si="12"/>
        <v>INSTRUMENT_LTV_INCPTN</v>
      </c>
      <c r="D143" s="143" t="s">
        <v>414</v>
      </c>
      <c r="E143" s="143" t="s">
        <v>727</v>
      </c>
      <c r="G143" s="160" t="e">
        <f>INDEX(Table1[[Especificação]:[Total Testes]],MATCH(Sheet1!C143,Table1[CONCAT],0),MATCH(Sheet1!B143,Table1[[#Headers],[Especificação]:[Total Testes]],0))</f>
        <v>#N/A</v>
      </c>
      <c r="H143" s="179" t="e">
        <f t="shared" si="13"/>
        <v>#N/A</v>
      </c>
      <c r="I143" s="209"/>
      <c r="J143" s="158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3"/>
      <c r="AJ143" s="153"/>
      <c r="AK143" s="153"/>
      <c r="AL143" s="153"/>
      <c r="AM143" s="153"/>
      <c r="AN143" s="153"/>
      <c r="AO143" s="153"/>
      <c r="AP143" s="153"/>
      <c r="AQ143" s="153"/>
      <c r="AR143" s="153"/>
      <c r="AS143" s="153"/>
      <c r="AT143" s="153"/>
      <c r="AU143" s="153"/>
      <c r="AV143" s="153"/>
      <c r="AW143" s="153"/>
      <c r="AX143" s="153"/>
      <c r="AY143" s="153"/>
      <c r="AZ143" s="153"/>
      <c r="BA143" s="153"/>
      <c r="BB143" s="158"/>
      <c r="BC143" s="153"/>
      <c r="BD143" s="153"/>
      <c r="BE143" s="153"/>
      <c r="BF143" s="153"/>
      <c r="BG143" s="153"/>
      <c r="BH143" s="153"/>
      <c r="BI143" s="153"/>
      <c r="BJ143" s="153"/>
      <c r="BK143" s="153"/>
      <c r="BL143" s="153"/>
      <c r="BM143" s="153"/>
      <c r="BN143" s="153"/>
      <c r="BO143" s="153"/>
      <c r="BP143" s="153"/>
      <c r="BQ143" s="153"/>
      <c r="BR143" s="153"/>
      <c r="BS143" s="153"/>
      <c r="BT143" s="153"/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8"/>
      <c r="CJ143" s="153"/>
      <c r="CK143" s="153"/>
      <c r="CL143" s="153"/>
      <c r="CM143" s="153"/>
      <c r="CN143" s="158"/>
      <c r="CO143" s="153"/>
      <c r="CP143" s="153"/>
      <c r="CQ143" s="153"/>
    </row>
    <row r="144" spans="2:95" hidden="1" outlineLevel="1" x14ac:dyDescent="0.3">
      <c r="B144" s="146" t="str">
        <f>Table1[[#Headers],[Simulação]]</f>
        <v>Simulação</v>
      </c>
      <c r="C144" s="144" t="str">
        <f t="shared" si="12"/>
        <v>INSTRUMENT_ANNLSD_AGRD_RT</v>
      </c>
      <c r="D144" s="143" t="s">
        <v>414</v>
      </c>
      <c r="E144" s="143" t="s">
        <v>757</v>
      </c>
      <c r="G144" s="160" t="e">
        <f>INDEX(Table1[[Especificação]:[Total Testes]],MATCH(Sheet1!C144,Table1[CONCAT],0),MATCH(Sheet1!B144,Table1[[#Headers],[Especificação]:[Total Testes]],0))</f>
        <v>#N/A</v>
      </c>
      <c r="H144" s="179" t="e">
        <f t="shared" si="13"/>
        <v>#N/A</v>
      </c>
      <c r="I144" s="209"/>
      <c r="J144" s="158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8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8"/>
      <c r="CJ144" s="153"/>
      <c r="CK144" s="153"/>
      <c r="CL144" s="153"/>
      <c r="CM144" s="153"/>
      <c r="CN144" s="158"/>
      <c r="CO144" s="153"/>
      <c r="CP144" s="153"/>
      <c r="CQ144" s="153"/>
    </row>
    <row r="145" spans="2:95" hidden="1" outlineLevel="1" x14ac:dyDescent="0.3">
      <c r="B145" s="146" t="str">
        <f>Table1[[#Headers],[Simulação]]</f>
        <v>Simulação</v>
      </c>
      <c r="C145" s="144" t="str">
        <f t="shared" si="12"/>
        <v>INSTRUMENT_EIR_INCPTN</v>
      </c>
      <c r="D145" s="143" t="s">
        <v>414</v>
      </c>
      <c r="E145" s="143" t="s">
        <v>763</v>
      </c>
      <c r="G145" s="160" t="e">
        <f>INDEX(Table1[[Especificação]:[Total Testes]],MATCH(Sheet1!C145,Table1[CONCAT],0),MATCH(Sheet1!B145,Table1[[#Headers],[Especificação]:[Total Testes]],0))</f>
        <v>#N/A</v>
      </c>
      <c r="H145" s="179" t="e">
        <f t="shared" si="13"/>
        <v>#N/A</v>
      </c>
      <c r="I145" s="209"/>
      <c r="J145" s="158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3"/>
      <c r="AJ145" s="153"/>
      <c r="AK145" s="153"/>
      <c r="AL145" s="153"/>
      <c r="AM145" s="153"/>
      <c r="AN145" s="153"/>
      <c r="AO145" s="153"/>
      <c r="AP145" s="153"/>
      <c r="AQ145" s="153"/>
      <c r="AR145" s="153"/>
      <c r="AS145" s="153"/>
      <c r="AT145" s="153"/>
      <c r="AU145" s="153"/>
      <c r="AV145" s="153"/>
      <c r="AW145" s="153"/>
      <c r="AX145" s="153"/>
      <c r="AY145" s="153"/>
      <c r="AZ145" s="153"/>
      <c r="BA145" s="153"/>
      <c r="BB145" s="158"/>
      <c r="BC145" s="153"/>
      <c r="BD145" s="153"/>
      <c r="BE145" s="153"/>
      <c r="BF145" s="153"/>
      <c r="BG145" s="153"/>
      <c r="BH145" s="153"/>
      <c r="BI145" s="153"/>
      <c r="BJ145" s="153"/>
      <c r="BK145" s="153"/>
      <c r="BL145" s="153"/>
      <c r="BM145" s="153"/>
      <c r="BN145" s="153"/>
      <c r="BO145" s="153"/>
      <c r="BP145" s="153"/>
      <c r="BQ145" s="153"/>
      <c r="BR145" s="153"/>
      <c r="BS145" s="153"/>
      <c r="BT145" s="153"/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8"/>
      <c r="CJ145" s="153"/>
      <c r="CK145" s="153"/>
      <c r="CL145" s="153"/>
      <c r="CM145" s="153"/>
      <c r="CN145" s="158"/>
      <c r="CO145" s="153"/>
      <c r="CP145" s="153"/>
      <c r="CQ145" s="153"/>
    </row>
    <row r="146" spans="2:95" hidden="1" outlineLevel="1" x14ac:dyDescent="0.3">
      <c r="B146" s="146" t="str">
        <f>Table1[[#Headers],[Simulação]]</f>
        <v>Simulação</v>
      </c>
      <c r="C146" s="144" t="str">
        <f t="shared" si="12"/>
        <v>INSTRUMENT_NW_BSNSS</v>
      </c>
      <c r="D146" s="143" t="s">
        <v>414</v>
      </c>
      <c r="E146" s="143" t="s">
        <v>973</v>
      </c>
      <c r="G146" s="160">
        <f>INDEX(Table1[[Especificação]:[Total Testes]],MATCH(Sheet1!C146,Table1[CONCAT],0),MATCH(Sheet1!B146,Table1[[#Headers],[Especificação]:[Total Testes]],0))</f>
        <v>8</v>
      </c>
      <c r="H146" s="179">
        <f t="shared" si="13"/>
        <v>1</v>
      </c>
      <c r="I146" s="209"/>
      <c r="J146" s="158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3"/>
      <c r="AJ146" s="153"/>
      <c r="AK146" s="153"/>
      <c r="AL146" s="153"/>
      <c r="AM146" s="153"/>
      <c r="AN146" s="153"/>
      <c r="AO146" s="153"/>
      <c r="AP146" s="153"/>
      <c r="AQ146" s="153"/>
      <c r="AR146" s="153"/>
      <c r="AS146" s="153"/>
      <c r="AT146" s="153"/>
      <c r="AU146" s="153"/>
      <c r="AV146" s="153"/>
      <c r="AW146" s="153"/>
      <c r="AX146" s="153"/>
      <c r="AY146" s="153"/>
      <c r="AZ146" s="153"/>
      <c r="BA146" s="153"/>
      <c r="BB146" s="158"/>
      <c r="BC146" s="153"/>
      <c r="BD146" s="153"/>
      <c r="BE146" s="153"/>
      <c r="BF146" s="153"/>
      <c r="BG146" s="153"/>
      <c r="BH146" s="153"/>
      <c r="BI146" s="153"/>
      <c r="BJ146" s="153"/>
      <c r="BK146" s="153"/>
      <c r="BL146" s="153"/>
      <c r="BM146" s="153"/>
      <c r="BN146" s="153"/>
      <c r="BO146" s="153"/>
      <c r="BP146" s="153"/>
      <c r="BQ146" s="153"/>
      <c r="BR146" s="153"/>
      <c r="BS146" s="153"/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8"/>
      <c r="CJ146" s="153"/>
      <c r="CK146" s="153"/>
      <c r="CL146" s="153"/>
      <c r="CM146" s="153"/>
      <c r="CN146" s="158"/>
      <c r="CO146" s="153"/>
      <c r="CP146" s="153"/>
      <c r="CQ146" s="153"/>
    </row>
    <row r="147" spans="2:95" hidden="1" outlineLevel="1" x14ac:dyDescent="0.3">
      <c r="B147" s="146" t="str">
        <f>Table1[[#Headers],[Simulação]]</f>
        <v>Simulação</v>
      </c>
      <c r="C147" s="144" t="str">
        <f t="shared" si="12"/>
        <v>PROTECTION_YR_CNSTRCTN</v>
      </c>
      <c r="D147" s="143" t="s">
        <v>1114</v>
      </c>
      <c r="E147" s="143" t="s">
        <v>1290</v>
      </c>
      <c r="G147" s="160" t="e">
        <f>INDEX(Table1[[Especificação]:[Total Testes]],MATCH(Sheet1!C147,Table1[CONCAT],0),MATCH(Sheet1!B147,Table1[[#Headers],[Especificação]:[Total Testes]],0))</f>
        <v>#N/A</v>
      </c>
      <c r="H147" s="179" t="e">
        <f t="shared" si="13"/>
        <v>#N/A</v>
      </c>
      <c r="I147" s="209"/>
      <c r="J147" s="158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  <c r="AF147" s="153"/>
      <c r="AG147" s="153"/>
      <c r="AH147" s="153"/>
      <c r="AI147" s="153"/>
      <c r="AJ147" s="153"/>
      <c r="AK147" s="153"/>
      <c r="AL147" s="153"/>
      <c r="AM147" s="153"/>
      <c r="AN147" s="153"/>
      <c r="AO147" s="153"/>
      <c r="AP147" s="153"/>
      <c r="AQ147" s="153"/>
      <c r="AR147" s="153"/>
      <c r="AS147" s="153"/>
      <c r="AT147" s="153"/>
      <c r="AU147" s="153"/>
      <c r="AV147" s="153"/>
      <c r="AW147" s="153"/>
      <c r="AX147" s="153"/>
      <c r="AY147" s="153"/>
      <c r="AZ147" s="153"/>
      <c r="BA147" s="153"/>
      <c r="BB147" s="158"/>
      <c r="BC147" s="153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3"/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8"/>
      <c r="CJ147" s="153"/>
      <c r="CK147" s="153"/>
      <c r="CL147" s="153"/>
      <c r="CM147" s="153"/>
      <c r="CN147" s="158"/>
      <c r="CO147" s="153"/>
      <c r="CP147" s="153"/>
      <c r="CQ147" s="153"/>
    </row>
    <row r="148" spans="2:95" hidden="1" outlineLevel="1" x14ac:dyDescent="0.3">
      <c r="B148" s="146" t="str">
        <f>Table1[[#Headers],[Simulação]]</f>
        <v>Simulação</v>
      </c>
      <c r="C148" s="144" t="str">
        <f t="shared" si="12"/>
        <v>INSTRUMENT_INTRNL_SGMNT</v>
      </c>
      <c r="D148" s="143" t="s">
        <v>414</v>
      </c>
      <c r="E148" s="143" t="s">
        <v>50</v>
      </c>
      <c r="G148" s="160" t="e">
        <f>INDEX(Table1[[Especificação]:[Total Testes]],MATCH(Sheet1!C148,Table1[CONCAT],0),MATCH(Sheet1!B148,Table1[[#Headers],[Especificação]:[Total Testes]],0))</f>
        <v>#N/A</v>
      </c>
      <c r="H148" s="179" t="e">
        <f t="shared" si="13"/>
        <v>#N/A</v>
      </c>
      <c r="I148" s="209"/>
      <c r="J148" s="158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  <c r="AF148" s="153"/>
      <c r="AG148" s="153"/>
      <c r="AH148" s="153"/>
      <c r="AI148" s="153"/>
      <c r="AJ148" s="153"/>
      <c r="AK148" s="153"/>
      <c r="AL148" s="153"/>
      <c r="AM148" s="153"/>
      <c r="AN148" s="153"/>
      <c r="AO148" s="153"/>
      <c r="AP148" s="153"/>
      <c r="AQ148" s="153"/>
      <c r="AR148" s="153"/>
      <c r="AS148" s="153"/>
      <c r="AT148" s="153"/>
      <c r="AU148" s="153"/>
      <c r="AV148" s="153"/>
      <c r="AW148" s="153"/>
      <c r="AX148" s="153"/>
      <c r="AY148" s="153"/>
      <c r="AZ148" s="153"/>
      <c r="BA148" s="153"/>
      <c r="BB148" s="158"/>
      <c r="BC148" s="153"/>
      <c r="BD148" s="153"/>
      <c r="BE148" s="153"/>
      <c r="BF148" s="153"/>
      <c r="BG148" s="153"/>
      <c r="BH148" s="153"/>
      <c r="BI148" s="153"/>
      <c r="BJ148" s="153"/>
      <c r="BK148" s="153"/>
      <c r="BL148" s="153"/>
      <c r="BM148" s="153"/>
      <c r="BN148" s="153"/>
      <c r="BO148" s="153"/>
      <c r="BP148" s="153"/>
      <c r="BQ148" s="153"/>
      <c r="BR148" s="153"/>
      <c r="BS148" s="153"/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8"/>
      <c r="CJ148" s="153"/>
      <c r="CK148" s="153"/>
      <c r="CL148" s="153"/>
      <c r="CM148" s="153"/>
      <c r="CN148" s="158"/>
      <c r="CO148" s="153"/>
      <c r="CP148" s="153"/>
      <c r="CQ148" s="153"/>
    </row>
    <row r="149" spans="2:95" hidden="1" outlineLevel="1" x14ac:dyDescent="0.3">
      <c r="B149" s="146" t="str">
        <f>Table1[[#Headers],[Simulação]]</f>
        <v>Simulação</v>
      </c>
      <c r="C149" s="144" t="str">
        <f t="shared" si="12"/>
        <v>INSTRUMENT_EAD</v>
      </c>
      <c r="D149" s="143" t="s">
        <v>414</v>
      </c>
      <c r="E149" s="143" t="s">
        <v>617</v>
      </c>
      <c r="G149" s="160">
        <f>INDEX(Table1[[Especificação]:[Total Testes]],MATCH(Sheet1!C149,Table1[CONCAT],0),MATCH(Sheet1!B149,Table1[[#Headers],[Especificação]:[Total Testes]],0))</f>
        <v>1</v>
      </c>
      <c r="H149" s="179">
        <f t="shared" si="13"/>
        <v>0.13</v>
      </c>
      <c r="I149" s="209"/>
      <c r="J149" s="158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3"/>
      <c r="AJ149" s="153"/>
      <c r="AK149" s="153"/>
      <c r="AL149" s="153"/>
      <c r="AM149" s="153"/>
      <c r="AN149" s="153"/>
      <c r="AO149" s="153"/>
      <c r="AP149" s="153"/>
      <c r="AQ149" s="153"/>
      <c r="AR149" s="153"/>
      <c r="AS149" s="153"/>
      <c r="AT149" s="153"/>
      <c r="AU149" s="153"/>
      <c r="AV149" s="153"/>
      <c r="AW149" s="153"/>
      <c r="AX149" s="153"/>
      <c r="AY149" s="153"/>
      <c r="AZ149" s="153"/>
      <c r="BA149" s="153"/>
      <c r="BB149" s="158"/>
      <c r="BC149" s="153"/>
      <c r="BD149" s="153"/>
      <c r="BE149" s="153"/>
      <c r="BF149" s="153"/>
      <c r="BG149" s="153"/>
      <c r="BH149" s="153"/>
      <c r="BI149" s="153"/>
      <c r="BJ149" s="153"/>
      <c r="BK149" s="153"/>
      <c r="BL149" s="153"/>
      <c r="BM149" s="153"/>
      <c r="BN149" s="153"/>
      <c r="BO149" s="153"/>
      <c r="BP149" s="153"/>
      <c r="BQ149" s="153"/>
      <c r="BR149" s="153"/>
      <c r="BS149" s="153"/>
      <c r="BT149" s="153"/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8"/>
      <c r="CJ149" s="153"/>
      <c r="CK149" s="153"/>
      <c r="CL149" s="153"/>
      <c r="CM149" s="153"/>
      <c r="CN149" s="158"/>
      <c r="CO149" s="153"/>
      <c r="CP149" s="153"/>
      <c r="CQ149" s="153"/>
    </row>
    <row r="150" spans="2:95" hidden="1" outlineLevel="1" x14ac:dyDescent="0.3">
      <c r="B150" s="146" t="str">
        <f>Table1[[#Headers],[Simulação]]</f>
        <v>Simulação</v>
      </c>
      <c r="C150" s="144" t="str">
        <f t="shared" si="12"/>
        <v>INSTRUMENT_OFF_BLNC_SHT_AMNT_INSTRMNT</v>
      </c>
      <c r="D150" s="143" t="s">
        <v>414</v>
      </c>
      <c r="E150" s="143" t="s">
        <v>629</v>
      </c>
      <c r="G150" s="160">
        <f>INDEX(Table1[[Especificação]:[Total Testes]],MATCH(Sheet1!C150,Table1[CONCAT],0),MATCH(Sheet1!B150,Table1[[#Headers],[Especificação]:[Total Testes]],0))</f>
        <v>1</v>
      </c>
      <c r="H150" s="179">
        <f t="shared" si="13"/>
        <v>0.13</v>
      </c>
      <c r="I150" s="209"/>
      <c r="J150" s="158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3"/>
      <c r="AJ150" s="153"/>
      <c r="AK150" s="153"/>
      <c r="AL150" s="153"/>
      <c r="AM150" s="153"/>
      <c r="AN150" s="153"/>
      <c r="AO150" s="153"/>
      <c r="AP150" s="153"/>
      <c r="AQ150" s="153"/>
      <c r="AR150" s="153"/>
      <c r="AS150" s="153"/>
      <c r="AT150" s="153"/>
      <c r="AU150" s="153"/>
      <c r="AV150" s="153"/>
      <c r="AW150" s="153"/>
      <c r="AX150" s="153"/>
      <c r="AY150" s="153"/>
      <c r="AZ150" s="153"/>
      <c r="BA150" s="153"/>
      <c r="BB150" s="158"/>
      <c r="BC150" s="153"/>
      <c r="BD150" s="153"/>
      <c r="BE150" s="153"/>
      <c r="BF150" s="153"/>
      <c r="BG150" s="153"/>
      <c r="BH150" s="153"/>
      <c r="BI150" s="153"/>
      <c r="BJ150" s="153"/>
      <c r="BK150" s="153"/>
      <c r="BL150" s="153"/>
      <c r="BM150" s="153"/>
      <c r="BN150" s="153"/>
      <c r="BO150" s="153"/>
      <c r="BP150" s="153"/>
      <c r="BQ150" s="153"/>
      <c r="BR150" s="153"/>
      <c r="BS150" s="153"/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8"/>
      <c r="CJ150" s="153"/>
      <c r="CK150" s="153"/>
      <c r="CL150" s="153"/>
      <c r="CM150" s="153"/>
      <c r="CN150" s="158"/>
      <c r="CO150" s="153"/>
      <c r="CP150" s="153"/>
      <c r="CQ150" s="153"/>
    </row>
    <row r="151" spans="2:95" hidden="1" outlineLevel="1" x14ac:dyDescent="0.3">
      <c r="B151" s="146" t="str">
        <f>Table1[[#Headers],[Simulação]]</f>
        <v>Simulação</v>
      </c>
      <c r="C151" s="144" t="str">
        <f t="shared" si="12"/>
        <v>INSTRUMENT_INTRNL_SGMNT_CAT_MSTA</v>
      </c>
      <c r="D151" s="143" t="s">
        <v>414</v>
      </c>
      <c r="E151" s="143" t="s">
        <v>943</v>
      </c>
      <c r="G151" s="160" t="e">
        <f>INDEX(Table1[[Especificação]:[Total Testes]],MATCH(Sheet1!C151,Table1[CONCAT],0),MATCH(Sheet1!B151,Table1[[#Headers],[Especificação]:[Total Testes]],0))</f>
        <v>#N/A</v>
      </c>
      <c r="H151" s="179" t="e">
        <f t="shared" si="13"/>
        <v>#N/A</v>
      </c>
      <c r="I151" s="209"/>
      <c r="J151" s="158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3"/>
      <c r="AJ151" s="153"/>
      <c r="AK151" s="153"/>
      <c r="AL151" s="153"/>
      <c r="AM151" s="153"/>
      <c r="AN151" s="153"/>
      <c r="AO151" s="153"/>
      <c r="AP151" s="153"/>
      <c r="AQ151" s="153"/>
      <c r="AR151" s="153"/>
      <c r="AS151" s="153"/>
      <c r="AT151" s="153"/>
      <c r="AU151" s="153"/>
      <c r="AV151" s="153"/>
      <c r="AW151" s="153"/>
      <c r="AX151" s="153"/>
      <c r="AY151" s="153"/>
      <c r="AZ151" s="153"/>
      <c r="BA151" s="153"/>
      <c r="BB151" s="158"/>
      <c r="BC151" s="153"/>
      <c r="BD151" s="153"/>
      <c r="BE151" s="153"/>
      <c r="BF151" s="153"/>
      <c r="BG151" s="153"/>
      <c r="BH151" s="153"/>
      <c r="BI151" s="153"/>
      <c r="BJ151" s="153"/>
      <c r="BK151" s="153"/>
      <c r="BL151" s="153"/>
      <c r="BM151" s="153"/>
      <c r="BN151" s="153"/>
      <c r="BO151" s="153"/>
      <c r="BP151" s="153"/>
      <c r="BQ151" s="153"/>
      <c r="BR151" s="153"/>
      <c r="BS151" s="153"/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8"/>
      <c r="CJ151" s="153"/>
      <c r="CK151" s="153"/>
      <c r="CL151" s="153"/>
      <c r="CM151" s="153"/>
      <c r="CN151" s="158"/>
      <c r="CO151" s="153"/>
      <c r="CP151" s="153"/>
      <c r="CQ151" s="153"/>
    </row>
    <row r="152" spans="2:95" hidden="1" outlineLevel="1" x14ac:dyDescent="0.3">
      <c r="B152" s="146" t="str">
        <f>Table1[[#Headers],[Simulação]]</f>
        <v>Simulação</v>
      </c>
      <c r="C152" s="144" t="str">
        <f t="shared" ref="C152:C155" si="14">D152&amp;"_"&amp;E152</f>
        <v>INSTRUMENT_INTRNL_SGMNT_CATGSUB</v>
      </c>
      <c r="D152" s="143" t="s">
        <v>414</v>
      </c>
      <c r="E152" s="143" t="s">
        <v>946</v>
      </c>
      <c r="G152" s="160" t="e">
        <f>INDEX(Table1[[Especificação]:[Total Testes]],MATCH(Sheet1!C152,Table1[CONCAT],0),MATCH(Sheet1!B152,Table1[[#Headers],[Especificação]:[Total Testes]],0))</f>
        <v>#N/A</v>
      </c>
      <c r="H152" s="179" t="e">
        <f t="shared" ref="H152:H155" si="15">ROUND(G152/8,2)</f>
        <v>#N/A</v>
      </c>
      <c r="I152" s="209"/>
      <c r="J152" s="158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3"/>
      <c r="AJ152" s="153"/>
      <c r="AK152" s="153"/>
      <c r="AL152" s="153"/>
      <c r="AM152" s="153"/>
      <c r="AN152" s="153"/>
      <c r="AO152" s="153"/>
      <c r="AP152" s="153"/>
      <c r="AQ152" s="153"/>
      <c r="AR152" s="153"/>
      <c r="AS152" s="153"/>
      <c r="AT152" s="153"/>
      <c r="AU152" s="153"/>
      <c r="AV152" s="153"/>
      <c r="AW152" s="153"/>
      <c r="AX152" s="153"/>
      <c r="AY152" s="153"/>
      <c r="AZ152" s="153"/>
      <c r="BA152" s="153"/>
      <c r="BB152" s="158"/>
      <c r="BC152" s="153"/>
      <c r="BD152" s="153"/>
      <c r="BE152" s="153"/>
      <c r="BF152" s="153"/>
      <c r="BG152" s="153"/>
      <c r="BH152" s="153"/>
      <c r="BI152" s="153"/>
      <c r="BJ152" s="153"/>
      <c r="BK152" s="153"/>
      <c r="BL152" s="153"/>
      <c r="BM152" s="153"/>
      <c r="BN152" s="153"/>
      <c r="BO152" s="153"/>
      <c r="BP152" s="153"/>
      <c r="BQ152" s="153"/>
      <c r="BR152" s="153"/>
      <c r="BS152" s="153"/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8"/>
      <c r="CJ152" s="153"/>
      <c r="CK152" s="153"/>
      <c r="CL152" s="153"/>
      <c r="CM152" s="153"/>
      <c r="CN152" s="158"/>
      <c r="CO152" s="153"/>
      <c r="CP152" s="153"/>
      <c r="CQ152" s="153"/>
    </row>
    <row r="153" spans="2:95" hidden="1" outlineLevel="1" x14ac:dyDescent="0.3">
      <c r="B153" s="146" t="str">
        <f>Table1[[#Headers],[Simulação]]</f>
        <v>Simulação</v>
      </c>
      <c r="C153" s="144" t="str">
        <f t="shared" si="14"/>
        <v>PROTECTION_RL_ESTT_ADDRSS</v>
      </c>
      <c r="D153" s="143" t="s">
        <v>1114</v>
      </c>
      <c r="E153" s="143" t="s">
        <v>1127</v>
      </c>
      <c r="G153" s="160" t="e">
        <f>INDEX(Table1[[Especificação]:[Total Testes]],MATCH(Sheet1!C153,Table1[CONCAT],0),MATCH(Sheet1!B153,Table1[[#Headers],[Especificação]:[Total Testes]],0))</f>
        <v>#N/A</v>
      </c>
      <c r="H153" s="179" t="e">
        <f t="shared" si="15"/>
        <v>#N/A</v>
      </c>
      <c r="I153" s="209"/>
      <c r="J153" s="158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  <c r="AC153" s="153"/>
      <c r="AD153" s="153"/>
      <c r="AE153" s="153"/>
      <c r="AF153" s="153"/>
      <c r="AG153" s="153"/>
      <c r="AH153" s="153"/>
      <c r="AI153" s="153"/>
      <c r="AJ153" s="153"/>
      <c r="AK153" s="153"/>
      <c r="AL153" s="153"/>
      <c r="AM153" s="153"/>
      <c r="AN153" s="153"/>
      <c r="AO153" s="153"/>
      <c r="AP153" s="153"/>
      <c r="AQ153" s="153"/>
      <c r="AR153" s="153"/>
      <c r="AS153" s="153"/>
      <c r="AT153" s="153"/>
      <c r="AU153" s="153"/>
      <c r="AV153" s="153"/>
      <c r="AW153" s="153"/>
      <c r="AX153" s="153"/>
      <c r="AY153" s="153"/>
      <c r="AZ153" s="153"/>
      <c r="BA153" s="153"/>
      <c r="BB153" s="158"/>
      <c r="BC153" s="153"/>
      <c r="BD153" s="153"/>
      <c r="BE153" s="153"/>
      <c r="BF153" s="153"/>
      <c r="BG153" s="153"/>
      <c r="BH153" s="153"/>
      <c r="BI153" s="153"/>
      <c r="BJ153" s="153"/>
      <c r="BK153" s="153"/>
      <c r="BL153" s="153"/>
      <c r="BM153" s="153"/>
      <c r="BN153" s="153"/>
      <c r="BO153" s="153"/>
      <c r="BP153" s="153"/>
      <c r="BQ153" s="153"/>
      <c r="BR153" s="153"/>
      <c r="BS153" s="153"/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8"/>
      <c r="CJ153" s="153"/>
      <c r="CK153" s="153"/>
      <c r="CL153" s="153"/>
      <c r="CM153" s="153"/>
      <c r="CN153" s="158"/>
      <c r="CO153" s="153"/>
      <c r="CP153" s="153"/>
      <c r="CQ153" s="153"/>
    </row>
    <row r="154" spans="2:95" hidden="1" outlineLevel="1" x14ac:dyDescent="0.3">
      <c r="B154" s="146" t="str">
        <f>Table1[[#Headers],[Simulação]]</f>
        <v>Simulação</v>
      </c>
      <c r="C154" s="144" t="str">
        <f t="shared" si="14"/>
        <v>PROTECTION_RL_ESTT_CLLTRL_LCTN_INT</v>
      </c>
      <c r="D154" s="143" t="s">
        <v>1114</v>
      </c>
      <c r="E154" s="143" t="s">
        <v>1133</v>
      </c>
      <c r="G154" s="160" t="e">
        <f>INDEX(Table1[[Especificação]:[Total Testes]],MATCH(Sheet1!C154,Table1[CONCAT],0),MATCH(Sheet1!B154,Table1[[#Headers],[Especificação]:[Total Testes]],0))</f>
        <v>#N/A</v>
      </c>
      <c r="H154" s="179" t="e">
        <f t="shared" si="15"/>
        <v>#N/A</v>
      </c>
      <c r="I154" s="209"/>
      <c r="J154" s="158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153"/>
      <c r="AS154" s="153"/>
      <c r="AT154" s="153"/>
      <c r="AU154" s="153"/>
      <c r="AV154" s="153"/>
      <c r="AW154" s="153"/>
      <c r="AX154" s="153"/>
      <c r="AY154" s="153"/>
      <c r="AZ154" s="153"/>
      <c r="BA154" s="153"/>
      <c r="BB154" s="158"/>
      <c r="BC154" s="153"/>
      <c r="BD154" s="153"/>
      <c r="BE154" s="153"/>
      <c r="BF154" s="153"/>
      <c r="BG154" s="153"/>
      <c r="BH154" s="153"/>
      <c r="BI154" s="153"/>
      <c r="BJ154" s="153"/>
      <c r="BK154" s="153"/>
      <c r="BL154" s="153"/>
      <c r="BM154" s="153"/>
      <c r="BN154" s="153"/>
      <c r="BO154" s="153"/>
      <c r="BP154" s="153"/>
      <c r="BQ154" s="153"/>
      <c r="BR154" s="153"/>
      <c r="BS154" s="153"/>
      <c r="BT154" s="153"/>
      <c r="BU154" s="153"/>
      <c r="BV154" s="153"/>
      <c r="BW154" s="153"/>
      <c r="BX154" s="153"/>
      <c r="BY154" s="153"/>
      <c r="BZ154" s="153"/>
      <c r="CA154" s="153"/>
      <c r="CB154" s="153"/>
      <c r="CC154" s="153"/>
      <c r="CD154" s="153"/>
      <c r="CE154" s="153"/>
      <c r="CF154" s="153"/>
      <c r="CG154" s="153"/>
      <c r="CH154" s="153"/>
      <c r="CI154" s="158"/>
      <c r="CJ154" s="153"/>
      <c r="CK154" s="153"/>
      <c r="CL154" s="153"/>
      <c r="CM154" s="153"/>
      <c r="CN154" s="158"/>
      <c r="CO154" s="153"/>
      <c r="CP154" s="153"/>
      <c r="CQ154" s="153"/>
    </row>
    <row r="155" spans="2:95" hidden="1" outlineLevel="1" x14ac:dyDescent="0.3">
      <c r="B155" s="146" t="str">
        <f>Table1[[#Headers],[Simulação]]</f>
        <v>Simulação</v>
      </c>
      <c r="C155" s="144" t="str">
        <f t="shared" si="14"/>
        <v>PROTECTION_RL_ESTT_CTY</v>
      </c>
      <c r="D155" s="143" t="s">
        <v>1114</v>
      </c>
      <c r="E155" s="143" t="s">
        <v>1136</v>
      </c>
      <c r="G155" s="160" t="e">
        <f>INDEX(Table1[[Especificação]:[Total Testes]],MATCH(Sheet1!C155,Table1[CONCAT],0),MATCH(Sheet1!B155,Table1[[#Headers],[Especificação]:[Total Testes]],0))</f>
        <v>#N/A</v>
      </c>
      <c r="H155" s="179" t="e">
        <f t="shared" si="15"/>
        <v>#N/A</v>
      </c>
      <c r="I155" s="209"/>
      <c r="J155" s="158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3"/>
      <c r="AJ155" s="153"/>
      <c r="AK155" s="153"/>
      <c r="AL155" s="153"/>
      <c r="AM155" s="153"/>
      <c r="AN155" s="153"/>
      <c r="AO155" s="153"/>
      <c r="AP155" s="153"/>
      <c r="AQ155" s="153"/>
      <c r="AR155" s="153"/>
      <c r="AS155" s="153"/>
      <c r="AT155" s="153"/>
      <c r="AU155" s="153"/>
      <c r="AV155" s="153"/>
      <c r="AW155" s="153"/>
      <c r="AX155" s="153"/>
      <c r="AY155" s="153"/>
      <c r="AZ155" s="153"/>
      <c r="BA155" s="153"/>
      <c r="BB155" s="158"/>
      <c r="BC155" s="153"/>
      <c r="BD155" s="153"/>
      <c r="BE155" s="153"/>
      <c r="BF155" s="153"/>
      <c r="BG155" s="153"/>
      <c r="BH155" s="153"/>
      <c r="BI155" s="153"/>
      <c r="BJ155" s="153"/>
      <c r="BK155" s="153"/>
      <c r="BL155" s="153"/>
      <c r="BM155" s="153"/>
      <c r="BN155" s="153"/>
      <c r="BO155" s="153"/>
      <c r="BP155" s="153"/>
      <c r="BQ155" s="153"/>
      <c r="BR155" s="153"/>
      <c r="BS155" s="153"/>
      <c r="BT155" s="153"/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8"/>
      <c r="CJ155" s="153"/>
      <c r="CK155" s="153"/>
      <c r="CL155" s="153"/>
      <c r="CM155" s="153"/>
      <c r="CN155" s="158"/>
      <c r="CO155" s="153"/>
      <c r="CP155" s="153"/>
      <c r="CQ155" s="153"/>
    </row>
    <row r="156" spans="2:95" collapsed="1" x14ac:dyDescent="0.3">
      <c r="B156" s="146"/>
      <c r="C156" s="195" t="s">
        <v>1612</v>
      </c>
      <c r="D156" s="166"/>
      <c r="E156" s="167"/>
      <c r="F156" s="193">
        <f>COUNTA(E157:E224)</f>
        <v>68</v>
      </c>
      <c r="G156" s="193" t="e">
        <f>SUM(G157:G224)</f>
        <v>#N/A</v>
      </c>
      <c r="H156" s="196" t="e">
        <f>ROUND(SUM(H157:H224),1)</f>
        <v>#N/A</v>
      </c>
      <c r="I156" s="209" t="e">
        <f t="shared" ref="I156" si="16">SUM(J156:CQ156)-H156</f>
        <v>#N/A</v>
      </c>
      <c r="J156" s="158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3"/>
      <c r="AJ156" s="153"/>
      <c r="AK156" s="153"/>
      <c r="AL156" s="153"/>
      <c r="AM156" s="153"/>
      <c r="AN156" s="153"/>
      <c r="AO156" s="153"/>
      <c r="AP156" s="153"/>
      <c r="AQ156" s="153"/>
      <c r="AR156" s="153"/>
      <c r="AS156" s="153"/>
      <c r="AT156" s="153"/>
      <c r="AU156" s="153"/>
      <c r="AV156" s="153"/>
      <c r="AW156" s="153"/>
      <c r="AX156" s="153">
        <v>1.7</v>
      </c>
      <c r="AY156" s="153">
        <v>2</v>
      </c>
      <c r="AZ156" s="153">
        <v>2</v>
      </c>
      <c r="BA156" s="153">
        <v>2</v>
      </c>
      <c r="BB156" s="158"/>
      <c r="BC156" s="153">
        <v>2</v>
      </c>
      <c r="BD156" s="153">
        <v>2</v>
      </c>
      <c r="BE156" s="153">
        <v>2</v>
      </c>
      <c r="BF156" s="153">
        <v>2</v>
      </c>
      <c r="BG156" s="153">
        <v>2</v>
      </c>
      <c r="BH156" s="153">
        <v>2</v>
      </c>
      <c r="BI156" s="153">
        <v>2</v>
      </c>
      <c r="BJ156" s="153">
        <v>2</v>
      </c>
      <c r="BK156" s="153">
        <v>2</v>
      </c>
      <c r="BL156" s="153">
        <v>2</v>
      </c>
      <c r="BM156" s="153">
        <v>2</v>
      </c>
      <c r="BN156" s="153">
        <v>2</v>
      </c>
      <c r="BO156" s="153">
        <v>2</v>
      </c>
      <c r="BP156" s="153">
        <v>2</v>
      </c>
      <c r="BQ156" s="153">
        <v>0.1</v>
      </c>
      <c r="BR156" s="153"/>
      <c r="BS156" s="153"/>
      <c r="BT156" s="153"/>
      <c r="BU156" s="153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8"/>
      <c r="CJ156" s="153"/>
      <c r="CK156" s="153"/>
      <c r="CL156" s="153"/>
      <c r="CM156" s="153"/>
      <c r="CN156" s="158"/>
      <c r="CO156" s="153"/>
      <c r="CP156" s="153"/>
      <c r="CQ156" s="153"/>
    </row>
    <row r="157" spans="2:95" hidden="1" outlineLevel="1" x14ac:dyDescent="0.3">
      <c r="B157" s="146" t="str">
        <f>Table1[[#Headers],[Total Testes]]</f>
        <v>Total Testes</v>
      </c>
      <c r="C157" s="144" t="str">
        <f t="shared" ref="C157:C220" si="17">D157&amp;"_"&amp;E157</f>
        <v>ENTITY_TXNMY_ELGBL_CAPEX_W</v>
      </c>
      <c r="D157" s="143" t="s">
        <v>10</v>
      </c>
      <c r="E157" s="143" t="s">
        <v>1397</v>
      </c>
      <c r="G157" s="160" t="e">
        <f>INDEX(Table1[[Especificação]:[Total Testes]],MATCH(Sheet1!C157,Table1[CONCAT],0),MATCH(Sheet1!B157,Table1[[#Headers],[Especificação]:[Total Testes]],0))</f>
        <v>#N/A</v>
      </c>
      <c r="H157" s="179" t="e">
        <f t="shared" ref="H157:H220" si="18">ROUND(G157/8,2)</f>
        <v>#N/A</v>
      </c>
      <c r="I157" s="181"/>
      <c r="J157" s="158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3"/>
      <c r="AJ157" s="153"/>
      <c r="AK157" s="153"/>
      <c r="AL157" s="153"/>
      <c r="AM157" s="153"/>
      <c r="AN157" s="153"/>
      <c r="AO157" s="153"/>
      <c r="AP157" s="153"/>
      <c r="AQ157" s="153"/>
      <c r="AR157" s="153"/>
      <c r="AS157" s="153"/>
      <c r="AT157" s="153"/>
      <c r="AU157" s="153"/>
      <c r="AV157" s="153"/>
      <c r="AW157" s="153"/>
      <c r="AX157" s="153"/>
      <c r="AY157" s="153"/>
      <c r="AZ157" s="153"/>
      <c r="BA157" s="153"/>
      <c r="BB157" s="158"/>
      <c r="BC157" s="153"/>
      <c r="BD157" s="153"/>
      <c r="BE157" s="153"/>
      <c r="BF157" s="153"/>
      <c r="BG157" s="153"/>
      <c r="BH157" s="153"/>
      <c r="BI157" s="153"/>
      <c r="BJ157" s="153"/>
      <c r="BK157" s="153"/>
      <c r="BL157" s="153"/>
      <c r="BM157" s="153"/>
      <c r="BN157" s="153"/>
      <c r="BO157" s="153"/>
      <c r="BP157" s="153"/>
      <c r="BQ157" s="153"/>
      <c r="BR157" s="153"/>
      <c r="BS157" s="153"/>
      <c r="BT157" s="153"/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8"/>
      <c r="CJ157" s="153"/>
      <c r="CK157" s="153"/>
      <c r="CL157" s="153"/>
      <c r="CM157" s="153"/>
      <c r="CN157" s="158"/>
      <c r="CO157" s="153"/>
      <c r="CP157" s="153"/>
      <c r="CQ157" s="153"/>
    </row>
    <row r="158" spans="2:95" hidden="1" outlineLevel="1" x14ac:dyDescent="0.3">
      <c r="B158" s="146" t="str">
        <f>Table1[[#Headers],[Total Testes]]</f>
        <v>Total Testes</v>
      </c>
      <c r="C158" s="144" t="str">
        <f t="shared" si="17"/>
        <v>ENTITY_TXNMY_ELGBL_TRNVR_W</v>
      </c>
      <c r="D158" s="143" t="s">
        <v>10</v>
      </c>
      <c r="E158" s="143" t="s">
        <v>1399</v>
      </c>
      <c r="G158" s="160" t="e">
        <f>INDEX(Table1[[Especificação]:[Total Testes]],MATCH(Sheet1!C158,Table1[CONCAT],0),MATCH(Sheet1!B158,Table1[[#Headers],[Especificação]:[Total Testes]],0))</f>
        <v>#N/A</v>
      </c>
      <c r="H158" s="179" t="e">
        <f t="shared" si="18"/>
        <v>#N/A</v>
      </c>
      <c r="I158" s="181"/>
      <c r="J158" s="158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  <c r="AC158" s="153"/>
      <c r="AD158" s="153"/>
      <c r="AE158" s="153"/>
      <c r="AF158" s="153"/>
      <c r="AG158" s="153"/>
      <c r="AH158" s="153"/>
      <c r="AI158" s="153"/>
      <c r="AJ158" s="153"/>
      <c r="AK158" s="153"/>
      <c r="AL158" s="153"/>
      <c r="AM158" s="153"/>
      <c r="AN158" s="153"/>
      <c r="AO158" s="153"/>
      <c r="AP158" s="153"/>
      <c r="AQ158" s="153"/>
      <c r="AR158" s="153"/>
      <c r="AS158" s="153"/>
      <c r="AT158" s="153"/>
      <c r="AU158" s="153"/>
      <c r="AV158" s="153"/>
      <c r="AW158" s="153"/>
      <c r="AX158" s="153"/>
      <c r="AY158" s="153"/>
      <c r="AZ158" s="153"/>
      <c r="BA158" s="153"/>
      <c r="BB158" s="158"/>
      <c r="BC158" s="153"/>
      <c r="BD158" s="153"/>
      <c r="BE158" s="153"/>
      <c r="BF158" s="153"/>
      <c r="BG158" s="153"/>
      <c r="BH158" s="153"/>
      <c r="BI158" s="153"/>
      <c r="BJ158" s="153"/>
      <c r="BK158" s="153"/>
      <c r="BL158" s="153"/>
      <c r="BM158" s="153"/>
      <c r="BN158" s="153"/>
      <c r="BO158" s="153"/>
      <c r="BP158" s="153"/>
      <c r="BQ158" s="153"/>
      <c r="BR158" s="153"/>
      <c r="BS158" s="153"/>
      <c r="BT158" s="153"/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8"/>
      <c r="CJ158" s="153"/>
      <c r="CK158" s="153"/>
      <c r="CL158" s="153"/>
      <c r="CM158" s="153"/>
      <c r="CN158" s="158"/>
      <c r="CO158" s="153"/>
      <c r="CP158" s="153"/>
      <c r="CQ158" s="153"/>
    </row>
    <row r="159" spans="2:95" hidden="1" outlineLevel="1" x14ac:dyDescent="0.3">
      <c r="B159" s="146" t="str">
        <f>Table1[[#Headers],[Total Testes]]</f>
        <v>Total Testes</v>
      </c>
      <c r="C159" s="144" t="str">
        <f t="shared" si="17"/>
        <v>ENTITY_TXNMY_ELGBL_CAPEX_P</v>
      </c>
      <c r="D159" s="143" t="s">
        <v>10</v>
      </c>
      <c r="E159" s="143" t="s">
        <v>1401</v>
      </c>
      <c r="G159" s="160" t="e">
        <f>INDEX(Table1[[Especificação]:[Total Testes]],MATCH(Sheet1!C159,Table1[CONCAT],0),MATCH(Sheet1!B159,Table1[[#Headers],[Especificação]:[Total Testes]],0))</f>
        <v>#N/A</v>
      </c>
      <c r="H159" s="179" t="e">
        <f t="shared" si="18"/>
        <v>#N/A</v>
      </c>
      <c r="I159" s="181"/>
      <c r="J159" s="158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  <c r="AC159" s="153"/>
      <c r="AD159" s="153"/>
      <c r="AE159" s="153"/>
      <c r="AF159" s="153"/>
      <c r="AG159" s="153"/>
      <c r="AH159" s="153"/>
      <c r="AI159" s="153"/>
      <c r="AJ159" s="153"/>
      <c r="AK159" s="153"/>
      <c r="AL159" s="153"/>
      <c r="AM159" s="153"/>
      <c r="AN159" s="153"/>
      <c r="AO159" s="153"/>
      <c r="AP159" s="153"/>
      <c r="AQ159" s="153"/>
      <c r="AR159" s="153"/>
      <c r="AS159" s="153"/>
      <c r="AT159" s="153"/>
      <c r="AU159" s="153"/>
      <c r="AV159" s="153"/>
      <c r="AW159" s="153"/>
      <c r="AX159" s="153"/>
      <c r="AY159" s="153"/>
      <c r="AZ159" s="153"/>
      <c r="BA159" s="153"/>
      <c r="BB159" s="158"/>
      <c r="BC159" s="153"/>
      <c r="BD159" s="153"/>
      <c r="BE159" s="153"/>
      <c r="BF159" s="153"/>
      <c r="BG159" s="153"/>
      <c r="BH159" s="153"/>
      <c r="BI159" s="153"/>
      <c r="BJ159" s="153"/>
      <c r="BK159" s="153"/>
      <c r="BL159" s="153"/>
      <c r="BM159" s="153"/>
      <c r="BN159" s="153"/>
      <c r="BO159" s="153"/>
      <c r="BP159" s="153"/>
      <c r="BQ159" s="153"/>
      <c r="BR159" s="153"/>
      <c r="BS159" s="153"/>
      <c r="BT159" s="153"/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8"/>
      <c r="CJ159" s="153"/>
      <c r="CK159" s="153"/>
      <c r="CL159" s="153"/>
      <c r="CM159" s="153"/>
      <c r="CN159" s="158"/>
      <c r="CO159" s="153"/>
      <c r="CP159" s="153"/>
      <c r="CQ159" s="153"/>
    </row>
    <row r="160" spans="2:95" hidden="1" outlineLevel="1" x14ac:dyDescent="0.3">
      <c r="B160" s="146" t="str">
        <f>Table1[[#Headers],[Total Testes]]</f>
        <v>Total Testes</v>
      </c>
      <c r="C160" s="144" t="str">
        <f t="shared" si="17"/>
        <v>ENTITY_TXNMY_ELGBL_TRNVR_P</v>
      </c>
      <c r="D160" s="143" t="s">
        <v>10</v>
      </c>
      <c r="E160" s="143" t="s">
        <v>1403</v>
      </c>
      <c r="G160" s="160" t="e">
        <f>INDEX(Table1[[Especificação]:[Total Testes]],MATCH(Sheet1!C160,Table1[CONCAT],0),MATCH(Sheet1!B160,Table1[[#Headers],[Especificação]:[Total Testes]],0))</f>
        <v>#N/A</v>
      </c>
      <c r="H160" s="179" t="e">
        <f t="shared" si="18"/>
        <v>#N/A</v>
      </c>
      <c r="I160" s="181"/>
      <c r="J160" s="158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3"/>
      <c r="AJ160" s="153"/>
      <c r="AK160" s="153"/>
      <c r="AL160" s="153"/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153"/>
      <c r="AX160" s="153"/>
      <c r="AY160" s="153"/>
      <c r="AZ160" s="153"/>
      <c r="BA160" s="153"/>
      <c r="BB160" s="158"/>
      <c r="BC160" s="153"/>
      <c r="BD160" s="153"/>
      <c r="BE160" s="153"/>
      <c r="BF160" s="153"/>
      <c r="BG160" s="153"/>
      <c r="BH160" s="153"/>
      <c r="BI160" s="153"/>
      <c r="BJ160" s="153"/>
      <c r="BK160" s="153"/>
      <c r="BL160" s="153"/>
      <c r="BM160" s="153"/>
      <c r="BN160" s="153"/>
      <c r="BO160" s="153"/>
      <c r="BP160" s="153"/>
      <c r="BQ160" s="153"/>
      <c r="BR160" s="153"/>
      <c r="BS160" s="153"/>
      <c r="BT160" s="153"/>
      <c r="BU160" s="153"/>
      <c r="BV160" s="153"/>
      <c r="BW160" s="153"/>
      <c r="BX160" s="153"/>
      <c r="BY160" s="153"/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8"/>
      <c r="CJ160" s="153"/>
      <c r="CK160" s="153"/>
      <c r="CL160" s="153"/>
      <c r="CM160" s="153"/>
      <c r="CN160" s="158"/>
      <c r="CO160" s="153"/>
      <c r="CP160" s="153"/>
      <c r="CQ160" s="153"/>
    </row>
    <row r="161" spans="2:95" hidden="1" outlineLevel="1" x14ac:dyDescent="0.3">
      <c r="B161" s="146" t="str">
        <f>Table1[[#Headers],[Total Testes]]</f>
        <v>Total Testes</v>
      </c>
      <c r="C161" s="144" t="str">
        <f t="shared" si="17"/>
        <v>ENTITY_TXNMY_ELGBL_CAPEX_B</v>
      </c>
      <c r="D161" s="143" t="s">
        <v>10</v>
      </c>
      <c r="E161" s="143" t="s">
        <v>1405</v>
      </c>
      <c r="G161" s="160" t="e">
        <f>INDEX(Table1[[Especificação]:[Total Testes]],MATCH(Sheet1!C161,Table1[CONCAT],0),MATCH(Sheet1!B161,Table1[[#Headers],[Especificação]:[Total Testes]],0))</f>
        <v>#N/A</v>
      </c>
      <c r="H161" s="179" t="e">
        <f t="shared" si="18"/>
        <v>#N/A</v>
      </c>
      <c r="I161" s="181"/>
      <c r="J161" s="158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3"/>
      <c r="AJ161" s="153"/>
      <c r="AK161" s="153"/>
      <c r="AL161" s="153"/>
      <c r="AM161" s="153"/>
      <c r="AN161" s="153"/>
      <c r="AO161" s="153"/>
      <c r="AP161" s="153"/>
      <c r="AQ161" s="153"/>
      <c r="AR161" s="153"/>
      <c r="AS161" s="153"/>
      <c r="AT161" s="153"/>
      <c r="AU161" s="153"/>
      <c r="AV161" s="153"/>
      <c r="AW161" s="153"/>
      <c r="AX161" s="153"/>
      <c r="AY161" s="153"/>
      <c r="AZ161" s="153"/>
      <c r="BA161" s="153"/>
      <c r="BB161" s="158"/>
      <c r="BC161" s="153"/>
      <c r="BD161" s="153"/>
      <c r="BE161" s="153"/>
      <c r="BF161" s="153"/>
      <c r="BG161" s="153"/>
      <c r="BH161" s="153"/>
      <c r="BI161" s="153"/>
      <c r="BJ161" s="153"/>
      <c r="BK161" s="153"/>
      <c r="BL161" s="153"/>
      <c r="BM161" s="153"/>
      <c r="BN161" s="153"/>
      <c r="BO161" s="153"/>
      <c r="BP161" s="153"/>
      <c r="BQ161" s="153"/>
      <c r="BR161" s="153"/>
      <c r="BS161" s="153"/>
      <c r="BT161" s="153"/>
      <c r="BU161" s="153"/>
      <c r="BV161" s="153"/>
      <c r="BW161" s="153"/>
      <c r="BX161" s="153"/>
      <c r="BY161" s="153"/>
      <c r="BZ161" s="153"/>
      <c r="CA161" s="153"/>
      <c r="CB161" s="153"/>
      <c r="CC161" s="153"/>
      <c r="CD161" s="153"/>
      <c r="CE161" s="153"/>
      <c r="CF161" s="153"/>
      <c r="CG161" s="153"/>
      <c r="CH161" s="153"/>
      <c r="CI161" s="158"/>
      <c r="CJ161" s="153"/>
      <c r="CK161" s="153"/>
      <c r="CL161" s="153"/>
      <c r="CM161" s="153"/>
      <c r="CN161" s="158"/>
      <c r="CO161" s="153"/>
      <c r="CP161" s="153"/>
      <c r="CQ161" s="153"/>
    </row>
    <row r="162" spans="2:95" hidden="1" outlineLevel="1" x14ac:dyDescent="0.3">
      <c r="B162" s="146" t="str">
        <f>Table1[[#Headers],[Total Testes]]</f>
        <v>Total Testes</v>
      </c>
      <c r="C162" s="144" t="str">
        <f t="shared" si="17"/>
        <v>ENTITY_TXNMY_ELGBL_TRNVR_B</v>
      </c>
      <c r="D162" s="143" t="s">
        <v>10</v>
      </c>
      <c r="E162" s="143" t="s">
        <v>1407</v>
      </c>
      <c r="G162" s="160" t="e">
        <f>INDEX(Table1[[Especificação]:[Total Testes]],MATCH(Sheet1!C162,Table1[CONCAT],0),MATCH(Sheet1!B162,Table1[[#Headers],[Especificação]:[Total Testes]],0))</f>
        <v>#N/A</v>
      </c>
      <c r="H162" s="179" t="e">
        <f t="shared" si="18"/>
        <v>#N/A</v>
      </c>
      <c r="I162" s="181"/>
      <c r="J162" s="158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  <c r="AU162" s="153"/>
      <c r="AV162" s="153"/>
      <c r="AW162" s="153"/>
      <c r="AX162" s="153"/>
      <c r="AY162" s="153"/>
      <c r="AZ162" s="153"/>
      <c r="BA162" s="153"/>
      <c r="BB162" s="158"/>
      <c r="BC162" s="153"/>
      <c r="BD162" s="153"/>
      <c r="BE162" s="153"/>
      <c r="BF162" s="153"/>
      <c r="BG162" s="153"/>
      <c r="BH162" s="153"/>
      <c r="BI162" s="153"/>
      <c r="BJ162" s="153"/>
      <c r="BK162" s="153"/>
      <c r="BL162" s="153"/>
      <c r="BM162" s="153"/>
      <c r="BN162" s="153"/>
      <c r="BO162" s="153"/>
      <c r="BP162" s="153"/>
      <c r="BQ162" s="153"/>
      <c r="BR162" s="153"/>
      <c r="BS162" s="153"/>
      <c r="BT162" s="153"/>
      <c r="BU162" s="153"/>
      <c r="BV162" s="153"/>
      <c r="BW162" s="153"/>
      <c r="BX162" s="153"/>
      <c r="BY162" s="153"/>
      <c r="BZ162" s="153"/>
      <c r="CA162" s="153"/>
      <c r="CB162" s="153"/>
      <c r="CC162" s="153"/>
      <c r="CD162" s="153"/>
      <c r="CE162" s="153"/>
      <c r="CF162" s="153"/>
      <c r="CG162" s="153"/>
      <c r="CH162" s="153"/>
      <c r="CI162" s="158"/>
      <c r="CJ162" s="153"/>
      <c r="CK162" s="153"/>
      <c r="CL162" s="153"/>
      <c r="CM162" s="153"/>
      <c r="CN162" s="158"/>
      <c r="CO162" s="153"/>
      <c r="CP162" s="153"/>
      <c r="CQ162" s="153"/>
    </row>
    <row r="163" spans="2:95" hidden="1" outlineLevel="1" x14ac:dyDescent="0.3">
      <c r="B163" s="146" t="str">
        <f>Table1[[#Headers],[Total Testes]]</f>
        <v>Total Testes</v>
      </c>
      <c r="C163" s="144" t="str">
        <f t="shared" si="17"/>
        <v>ENTITY_TXNMY_ELGBL_CAPEX_CE</v>
      </c>
      <c r="D163" s="143" t="s">
        <v>10</v>
      </c>
      <c r="E163" s="143" t="s">
        <v>1409</v>
      </c>
      <c r="G163" s="160" t="e">
        <f>INDEX(Table1[[Especificação]:[Total Testes]],MATCH(Sheet1!C163,Table1[CONCAT],0),MATCH(Sheet1!B163,Table1[[#Headers],[Especificação]:[Total Testes]],0))</f>
        <v>#N/A</v>
      </c>
      <c r="H163" s="179" t="e">
        <f t="shared" si="18"/>
        <v>#N/A</v>
      </c>
      <c r="I163" s="181"/>
      <c r="J163" s="158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  <c r="AU163" s="153"/>
      <c r="AV163" s="153"/>
      <c r="AW163" s="153"/>
      <c r="AX163" s="153"/>
      <c r="AY163" s="153"/>
      <c r="AZ163" s="153"/>
      <c r="BA163" s="153"/>
      <c r="BB163" s="158"/>
      <c r="BC163" s="153"/>
      <c r="BD163" s="153"/>
      <c r="BE163" s="153"/>
      <c r="BF163" s="153"/>
      <c r="BG163" s="153"/>
      <c r="BH163" s="153"/>
      <c r="BI163" s="153"/>
      <c r="BJ163" s="153"/>
      <c r="BK163" s="153"/>
      <c r="BL163" s="153"/>
      <c r="BM163" s="153"/>
      <c r="BN163" s="153"/>
      <c r="BO163" s="153"/>
      <c r="BP163" s="153"/>
      <c r="BQ163" s="153"/>
      <c r="BR163" s="153"/>
      <c r="BS163" s="153"/>
      <c r="BT163" s="153"/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/>
      <c r="CF163" s="153"/>
      <c r="CG163" s="153"/>
      <c r="CH163" s="153"/>
      <c r="CI163" s="158"/>
      <c r="CJ163" s="153"/>
      <c r="CK163" s="153"/>
      <c r="CL163" s="153"/>
      <c r="CM163" s="153"/>
      <c r="CN163" s="158"/>
      <c r="CO163" s="153"/>
      <c r="CP163" s="153"/>
      <c r="CQ163" s="153"/>
    </row>
    <row r="164" spans="2:95" hidden="1" outlineLevel="1" x14ac:dyDescent="0.3">
      <c r="B164" s="146" t="str">
        <f>Table1[[#Headers],[Total Testes]]</f>
        <v>Total Testes</v>
      </c>
      <c r="C164" s="144" t="str">
        <f t="shared" si="17"/>
        <v>ENTITY_TXNMY_ELGBL_TRNVR_CE</v>
      </c>
      <c r="D164" s="143" t="s">
        <v>10</v>
      </c>
      <c r="E164" s="145" t="s">
        <v>1411</v>
      </c>
      <c r="G164" s="160" t="e">
        <f>INDEX(Table1[[Especificação]:[Total Testes]],MATCH(Sheet1!C164,Table1[CONCAT],0),MATCH(Sheet1!B164,Table1[[#Headers],[Especificação]:[Total Testes]],0))</f>
        <v>#N/A</v>
      </c>
      <c r="H164" s="179" t="e">
        <f t="shared" si="18"/>
        <v>#N/A</v>
      </c>
      <c r="I164" s="181"/>
      <c r="J164" s="158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  <c r="AU164" s="153"/>
      <c r="AV164" s="153"/>
      <c r="AW164" s="153"/>
      <c r="AX164" s="153"/>
      <c r="AY164" s="153"/>
      <c r="AZ164" s="153"/>
      <c r="BA164" s="153"/>
      <c r="BB164" s="158"/>
      <c r="BC164" s="153"/>
      <c r="BD164" s="153"/>
      <c r="BE164" s="153"/>
      <c r="BF164" s="153"/>
      <c r="BG164" s="153"/>
      <c r="BH164" s="153"/>
      <c r="BI164" s="153"/>
      <c r="BJ164" s="153"/>
      <c r="BK164" s="153"/>
      <c r="BL164" s="153"/>
      <c r="BM164" s="153"/>
      <c r="BN164" s="153"/>
      <c r="BO164" s="153"/>
      <c r="BP164" s="153"/>
      <c r="BQ164" s="153"/>
      <c r="BR164" s="153"/>
      <c r="BS164" s="153"/>
      <c r="BT164" s="153"/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8"/>
      <c r="CJ164" s="153"/>
      <c r="CK164" s="153"/>
      <c r="CL164" s="153"/>
      <c r="CM164" s="153"/>
      <c r="CN164" s="158"/>
      <c r="CO164" s="153"/>
      <c r="CP164" s="153"/>
      <c r="CQ164" s="153"/>
    </row>
    <row r="165" spans="2:95" hidden="1" outlineLevel="1" x14ac:dyDescent="0.3">
      <c r="B165" s="146" t="str">
        <f>Table1[[#Headers],[Total Testes]]</f>
        <v>Total Testes</v>
      </c>
      <c r="C165" s="144" t="str">
        <f t="shared" si="17"/>
        <v>ENTITY_PURE_CAPEX_P</v>
      </c>
      <c r="D165" s="143" t="s">
        <v>10</v>
      </c>
      <c r="E165" s="143" t="s">
        <v>1413</v>
      </c>
      <c r="G165" s="160" t="e">
        <f>INDEX(Table1[[Especificação]:[Total Testes]],MATCH(Sheet1!C165,Table1[CONCAT],0),MATCH(Sheet1!B165,Table1[[#Headers],[Especificação]:[Total Testes]],0))</f>
        <v>#N/A</v>
      </c>
      <c r="H165" s="179" t="e">
        <f t="shared" si="18"/>
        <v>#N/A</v>
      </c>
      <c r="I165" s="181"/>
      <c r="J165" s="158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  <c r="AC165" s="153"/>
      <c r="AD165" s="153"/>
      <c r="AE165" s="153"/>
      <c r="AF165" s="153"/>
      <c r="AG165" s="153"/>
      <c r="AH165" s="153"/>
      <c r="AI165" s="153"/>
      <c r="AJ165" s="153"/>
      <c r="AK165" s="153"/>
      <c r="AL165" s="153"/>
      <c r="AM165" s="153"/>
      <c r="AN165" s="153"/>
      <c r="AO165" s="153"/>
      <c r="AP165" s="153"/>
      <c r="AQ165" s="153"/>
      <c r="AR165" s="153"/>
      <c r="AS165" s="153"/>
      <c r="AT165" s="153"/>
      <c r="AU165" s="153"/>
      <c r="AV165" s="153"/>
      <c r="AW165" s="153"/>
      <c r="AX165" s="153"/>
      <c r="AY165" s="153"/>
      <c r="AZ165" s="153"/>
      <c r="BA165" s="153"/>
      <c r="BB165" s="158"/>
      <c r="BC165" s="153"/>
      <c r="BD165" s="153"/>
      <c r="BE165" s="153"/>
      <c r="BF165" s="153"/>
      <c r="BG165" s="153"/>
      <c r="BH165" s="153"/>
      <c r="BI165" s="153"/>
      <c r="BJ165" s="153"/>
      <c r="BK165" s="153"/>
      <c r="BL165" s="153"/>
      <c r="BM165" s="153"/>
      <c r="BN165" s="153"/>
      <c r="BO165" s="153"/>
      <c r="BP165" s="153"/>
      <c r="BQ165" s="153"/>
      <c r="BR165" s="153"/>
      <c r="BS165" s="153"/>
      <c r="BT165" s="153"/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8"/>
      <c r="CJ165" s="153"/>
      <c r="CK165" s="153"/>
      <c r="CL165" s="153"/>
      <c r="CM165" s="153"/>
      <c r="CN165" s="158"/>
      <c r="CO165" s="153"/>
      <c r="CP165" s="153"/>
      <c r="CQ165" s="153"/>
    </row>
    <row r="166" spans="2:95" hidden="1" outlineLevel="1" x14ac:dyDescent="0.3">
      <c r="B166" s="146" t="str">
        <f>Table1[[#Headers],[Total Testes]]</f>
        <v>Total Testes</v>
      </c>
      <c r="C166" s="144" t="str">
        <f t="shared" si="17"/>
        <v>ENTITY_PURE_TRNVR_P</v>
      </c>
      <c r="D166" s="143" t="s">
        <v>10</v>
      </c>
      <c r="E166" s="143" t="s">
        <v>1415</v>
      </c>
      <c r="G166" s="160" t="e">
        <f>INDEX(Table1[[Especificação]:[Total Testes]],MATCH(Sheet1!C166,Table1[CONCAT],0),MATCH(Sheet1!B166,Table1[[#Headers],[Especificação]:[Total Testes]],0))</f>
        <v>#N/A</v>
      </c>
      <c r="H166" s="179" t="e">
        <f t="shared" si="18"/>
        <v>#N/A</v>
      </c>
      <c r="I166" s="181"/>
      <c r="J166" s="158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/>
      <c r="AS166" s="153"/>
      <c r="AT166" s="153"/>
      <c r="AU166" s="153"/>
      <c r="AV166" s="153"/>
      <c r="AW166" s="153"/>
      <c r="AX166" s="153"/>
      <c r="AY166" s="153"/>
      <c r="AZ166" s="153"/>
      <c r="BA166" s="153"/>
      <c r="BB166" s="158"/>
      <c r="BC166" s="153"/>
      <c r="BD166" s="153"/>
      <c r="BE166" s="153"/>
      <c r="BF166" s="153"/>
      <c r="BG166" s="153"/>
      <c r="BH166" s="153"/>
      <c r="BI166" s="153"/>
      <c r="BJ166" s="153"/>
      <c r="BK166" s="153"/>
      <c r="BL166" s="153"/>
      <c r="BM166" s="153"/>
      <c r="BN166" s="153"/>
      <c r="BO166" s="153"/>
      <c r="BP166" s="153"/>
      <c r="BQ166" s="153"/>
      <c r="BR166" s="153"/>
      <c r="BS166" s="153"/>
      <c r="BT166" s="153"/>
      <c r="BU166" s="153"/>
      <c r="BV166" s="153"/>
      <c r="BW166" s="153"/>
      <c r="BX166" s="153"/>
      <c r="BY166" s="153"/>
      <c r="BZ166" s="153"/>
      <c r="CA166" s="153"/>
      <c r="CB166" s="153"/>
      <c r="CC166" s="153"/>
      <c r="CD166" s="153"/>
      <c r="CE166" s="153"/>
      <c r="CF166" s="153"/>
      <c r="CG166" s="153"/>
      <c r="CH166" s="153"/>
      <c r="CI166" s="158"/>
      <c r="CJ166" s="153"/>
      <c r="CK166" s="153"/>
      <c r="CL166" s="153"/>
      <c r="CM166" s="153"/>
      <c r="CN166" s="158"/>
      <c r="CO166" s="153"/>
      <c r="CP166" s="153"/>
      <c r="CQ166" s="153"/>
    </row>
    <row r="167" spans="2:95" hidden="1" outlineLevel="1" x14ac:dyDescent="0.3">
      <c r="B167" s="146" t="str">
        <f>Table1[[#Headers],[Total Testes]]</f>
        <v>Total Testes</v>
      </c>
      <c r="C167" s="144" t="str">
        <f t="shared" si="17"/>
        <v>ENTITY_PURE_CAPEX_B</v>
      </c>
      <c r="D167" s="143" t="s">
        <v>10</v>
      </c>
      <c r="E167" s="143" t="s">
        <v>1417</v>
      </c>
      <c r="G167" s="160" t="e">
        <f>INDEX(Table1[[Especificação]:[Total Testes]],MATCH(Sheet1!C167,Table1[CONCAT],0),MATCH(Sheet1!B167,Table1[[#Headers],[Especificação]:[Total Testes]],0))</f>
        <v>#N/A</v>
      </c>
      <c r="H167" s="179" t="e">
        <f t="shared" si="18"/>
        <v>#N/A</v>
      </c>
      <c r="I167" s="181"/>
      <c r="J167" s="158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3"/>
      <c r="AJ167" s="153"/>
      <c r="AK167" s="153"/>
      <c r="AL167" s="153"/>
      <c r="AM167" s="153"/>
      <c r="AN167" s="153"/>
      <c r="AO167" s="153"/>
      <c r="AP167" s="153"/>
      <c r="AQ167" s="153"/>
      <c r="AR167" s="153"/>
      <c r="AS167" s="153"/>
      <c r="AT167" s="153"/>
      <c r="AU167" s="153"/>
      <c r="AV167" s="153"/>
      <c r="AW167" s="153"/>
      <c r="AX167" s="153"/>
      <c r="AY167" s="153"/>
      <c r="AZ167" s="153"/>
      <c r="BA167" s="153"/>
      <c r="BB167" s="158"/>
      <c r="BC167" s="153"/>
      <c r="BD167" s="153"/>
      <c r="BE167" s="153"/>
      <c r="BF167" s="153"/>
      <c r="BG167" s="153"/>
      <c r="BH167" s="153"/>
      <c r="BI167" s="153"/>
      <c r="BJ167" s="153"/>
      <c r="BK167" s="153"/>
      <c r="BL167" s="153"/>
      <c r="BM167" s="153"/>
      <c r="BN167" s="153"/>
      <c r="BO167" s="153"/>
      <c r="BP167" s="153"/>
      <c r="BQ167" s="153"/>
      <c r="BR167" s="153"/>
      <c r="BS167" s="153"/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8"/>
      <c r="CJ167" s="153"/>
      <c r="CK167" s="153"/>
      <c r="CL167" s="153"/>
      <c r="CM167" s="153"/>
      <c r="CN167" s="158"/>
      <c r="CO167" s="153"/>
      <c r="CP167" s="153"/>
      <c r="CQ167" s="153"/>
    </row>
    <row r="168" spans="2:95" hidden="1" outlineLevel="1" x14ac:dyDescent="0.3">
      <c r="B168" s="146" t="str">
        <f>Table1[[#Headers],[Total Testes]]</f>
        <v>Total Testes</v>
      </c>
      <c r="C168" s="144" t="str">
        <f t="shared" si="17"/>
        <v>ENTITY_PURE_TRNVR_B</v>
      </c>
      <c r="D168" s="143" t="s">
        <v>10</v>
      </c>
      <c r="E168" s="143" t="s">
        <v>1419</v>
      </c>
      <c r="G168" s="160" t="e">
        <f>INDEX(Table1[[Especificação]:[Total Testes]],MATCH(Sheet1!C168,Table1[CONCAT],0),MATCH(Sheet1!B168,Table1[[#Headers],[Especificação]:[Total Testes]],0))</f>
        <v>#N/A</v>
      </c>
      <c r="H168" s="179" t="e">
        <f t="shared" si="18"/>
        <v>#N/A</v>
      </c>
      <c r="I168" s="181"/>
      <c r="J168" s="158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3"/>
      <c r="AJ168" s="153"/>
      <c r="AK168" s="153"/>
      <c r="AL168" s="153"/>
      <c r="AM168" s="153"/>
      <c r="AN168" s="153"/>
      <c r="AO168" s="153"/>
      <c r="AP168" s="153"/>
      <c r="AQ168" s="153"/>
      <c r="AR168" s="153"/>
      <c r="AS168" s="153"/>
      <c r="AT168" s="153"/>
      <c r="AU168" s="153"/>
      <c r="AV168" s="153"/>
      <c r="AW168" s="153"/>
      <c r="AX168" s="153"/>
      <c r="AY168" s="153"/>
      <c r="AZ168" s="153"/>
      <c r="BA168" s="153"/>
      <c r="BB168" s="158"/>
      <c r="BC168" s="153"/>
      <c r="BD168" s="153"/>
      <c r="BE168" s="153"/>
      <c r="BF168" s="153"/>
      <c r="BG168" s="153"/>
      <c r="BH168" s="153"/>
      <c r="BI168" s="153"/>
      <c r="BJ168" s="153"/>
      <c r="BK168" s="153"/>
      <c r="BL168" s="153"/>
      <c r="BM168" s="153"/>
      <c r="BN168" s="153"/>
      <c r="BO168" s="153"/>
      <c r="BP168" s="153"/>
      <c r="BQ168" s="153"/>
      <c r="BR168" s="153"/>
      <c r="BS168" s="153"/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8"/>
      <c r="CJ168" s="153"/>
      <c r="CK168" s="153"/>
      <c r="CL168" s="153"/>
      <c r="CM168" s="153"/>
      <c r="CN168" s="158"/>
      <c r="CO168" s="153"/>
      <c r="CP168" s="153"/>
      <c r="CQ168" s="153"/>
    </row>
    <row r="169" spans="2:95" hidden="1" outlineLevel="1" x14ac:dyDescent="0.3">
      <c r="B169" s="146" t="str">
        <f>Table1[[#Headers],[Total Testes]]</f>
        <v>Total Testes</v>
      </c>
      <c r="C169" s="144" t="str">
        <f t="shared" si="17"/>
        <v>ENTITY_PURE_CAPEX_W</v>
      </c>
      <c r="D169" s="143" t="s">
        <v>10</v>
      </c>
      <c r="E169" s="143" t="s">
        <v>1421</v>
      </c>
      <c r="G169" s="160" t="e">
        <f>INDEX(Table1[[Especificação]:[Total Testes]],MATCH(Sheet1!C169,Table1[CONCAT],0),MATCH(Sheet1!B169,Table1[[#Headers],[Especificação]:[Total Testes]],0))</f>
        <v>#N/A</v>
      </c>
      <c r="H169" s="179" t="e">
        <f t="shared" si="18"/>
        <v>#N/A</v>
      </c>
      <c r="I169" s="181"/>
      <c r="J169" s="158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  <c r="AU169" s="153"/>
      <c r="AV169" s="153"/>
      <c r="AW169" s="153"/>
      <c r="AX169" s="153"/>
      <c r="AY169" s="153"/>
      <c r="AZ169" s="153"/>
      <c r="BA169" s="153"/>
      <c r="BB169" s="158"/>
      <c r="BC169" s="153"/>
      <c r="BD169" s="153"/>
      <c r="BE169" s="153"/>
      <c r="BF169" s="153"/>
      <c r="BG169" s="153"/>
      <c r="BH169" s="153"/>
      <c r="BI169" s="153"/>
      <c r="BJ169" s="153"/>
      <c r="BK169" s="153"/>
      <c r="BL169" s="153"/>
      <c r="BM169" s="153"/>
      <c r="BN169" s="153"/>
      <c r="BO169" s="153"/>
      <c r="BP169" s="153"/>
      <c r="BQ169" s="153"/>
      <c r="BR169" s="153"/>
      <c r="BS169" s="153"/>
      <c r="BT169" s="153"/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8"/>
      <c r="CJ169" s="153"/>
      <c r="CK169" s="153"/>
      <c r="CL169" s="153"/>
      <c r="CM169" s="153"/>
      <c r="CN169" s="158"/>
      <c r="CO169" s="153"/>
      <c r="CP169" s="153"/>
      <c r="CQ169" s="153"/>
    </row>
    <row r="170" spans="2:95" hidden="1" outlineLevel="1" x14ac:dyDescent="0.3">
      <c r="B170" s="146" t="str">
        <f>Table1[[#Headers],[Total Testes]]</f>
        <v>Total Testes</v>
      </c>
      <c r="C170" s="144" t="str">
        <f t="shared" si="17"/>
        <v>ENTITY_PURE_TRNVR_W</v>
      </c>
      <c r="D170" s="143" t="s">
        <v>10</v>
      </c>
      <c r="E170" s="143" t="s">
        <v>1423</v>
      </c>
      <c r="G170" s="160" t="e">
        <f>INDEX(Table1[[Especificação]:[Total Testes]],MATCH(Sheet1!C170,Table1[CONCAT],0),MATCH(Sheet1!B170,Table1[[#Headers],[Especificação]:[Total Testes]],0))</f>
        <v>#N/A</v>
      </c>
      <c r="H170" s="179" t="e">
        <f t="shared" si="18"/>
        <v>#N/A</v>
      </c>
      <c r="I170" s="181"/>
      <c r="J170" s="158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  <c r="AC170" s="153"/>
      <c r="AD170" s="153"/>
      <c r="AE170" s="153"/>
      <c r="AF170" s="153"/>
      <c r="AG170" s="153"/>
      <c r="AH170" s="153"/>
      <c r="AI170" s="153"/>
      <c r="AJ170" s="153"/>
      <c r="AK170" s="153"/>
      <c r="AL170" s="153"/>
      <c r="AM170" s="153"/>
      <c r="AN170" s="153"/>
      <c r="AO170" s="153"/>
      <c r="AP170" s="153"/>
      <c r="AQ170" s="153"/>
      <c r="AR170" s="153"/>
      <c r="AS170" s="153"/>
      <c r="AT170" s="153"/>
      <c r="AU170" s="153"/>
      <c r="AV170" s="153"/>
      <c r="AW170" s="153"/>
      <c r="AX170" s="153"/>
      <c r="AY170" s="153"/>
      <c r="AZ170" s="153"/>
      <c r="BA170" s="153"/>
      <c r="BB170" s="158"/>
      <c r="BC170" s="153"/>
      <c r="BD170" s="153"/>
      <c r="BE170" s="153"/>
      <c r="BF170" s="153"/>
      <c r="BG170" s="153"/>
      <c r="BH170" s="153"/>
      <c r="BI170" s="153"/>
      <c r="BJ170" s="153"/>
      <c r="BK170" s="153"/>
      <c r="BL170" s="153"/>
      <c r="BM170" s="153"/>
      <c r="BN170" s="153"/>
      <c r="BO170" s="153"/>
      <c r="BP170" s="153"/>
      <c r="BQ170" s="153"/>
      <c r="BR170" s="153"/>
      <c r="BS170" s="153"/>
      <c r="BT170" s="153"/>
      <c r="BU170" s="153"/>
      <c r="BV170" s="153"/>
      <c r="BW170" s="153"/>
      <c r="BX170" s="153"/>
      <c r="BY170" s="153"/>
      <c r="BZ170" s="153"/>
      <c r="CA170" s="153"/>
      <c r="CB170" s="153"/>
      <c r="CC170" s="153"/>
      <c r="CD170" s="153"/>
      <c r="CE170" s="153"/>
      <c r="CF170" s="153"/>
      <c r="CG170" s="153"/>
      <c r="CH170" s="153"/>
      <c r="CI170" s="158"/>
      <c r="CJ170" s="153"/>
      <c r="CK170" s="153"/>
      <c r="CL170" s="153"/>
      <c r="CM170" s="153"/>
      <c r="CN170" s="158"/>
      <c r="CO170" s="153"/>
      <c r="CP170" s="153"/>
      <c r="CQ170" s="153"/>
    </row>
    <row r="171" spans="2:95" hidden="1" outlineLevel="1" x14ac:dyDescent="0.3">
      <c r="B171" s="146" t="str">
        <f>Table1[[#Headers],[Total Testes]]</f>
        <v>Total Testes</v>
      </c>
      <c r="C171" s="144" t="str">
        <f t="shared" si="17"/>
        <v>ENTITY_PURE_CAPEX_CE</v>
      </c>
      <c r="D171" s="143" t="s">
        <v>10</v>
      </c>
      <c r="E171" s="143" t="s">
        <v>1425</v>
      </c>
      <c r="G171" s="160" t="e">
        <f>INDEX(Table1[[Especificação]:[Total Testes]],MATCH(Sheet1!C171,Table1[CONCAT],0),MATCH(Sheet1!B171,Table1[[#Headers],[Especificação]:[Total Testes]],0))</f>
        <v>#N/A</v>
      </c>
      <c r="H171" s="179" t="e">
        <f t="shared" si="18"/>
        <v>#N/A</v>
      </c>
      <c r="I171" s="181"/>
      <c r="J171" s="158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  <c r="AC171" s="153"/>
      <c r="AD171" s="153"/>
      <c r="AE171" s="153"/>
      <c r="AF171" s="153"/>
      <c r="AG171" s="153"/>
      <c r="AH171" s="153"/>
      <c r="AI171" s="153"/>
      <c r="AJ171" s="153"/>
      <c r="AK171" s="153"/>
      <c r="AL171" s="153"/>
      <c r="AM171" s="153"/>
      <c r="AN171" s="153"/>
      <c r="AO171" s="153"/>
      <c r="AP171" s="153"/>
      <c r="AQ171" s="153"/>
      <c r="AR171" s="153"/>
      <c r="AS171" s="153"/>
      <c r="AT171" s="153"/>
      <c r="AU171" s="153"/>
      <c r="AV171" s="153"/>
      <c r="AW171" s="153"/>
      <c r="AX171" s="153"/>
      <c r="AY171" s="153"/>
      <c r="AZ171" s="153"/>
      <c r="BA171" s="153"/>
      <c r="BB171" s="158"/>
      <c r="BC171" s="153"/>
      <c r="BD171" s="153"/>
      <c r="BE171" s="153"/>
      <c r="BF171" s="153"/>
      <c r="BG171" s="153"/>
      <c r="BH171" s="153"/>
      <c r="BI171" s="153"/>
      <c r="BJ171" s="153"/>
      <c r="BK171" s="153"/>
      <c r="BL171" s="153"/>
      <c r="BM171" s="153"/>
      <c r="BN171" s="153"/>
      <c r="BO171" s="153"/>
      <c r="BP171" s="153"/>
      <c r="BQ171" s="153"/>
      <c r="BR171" s="153"/>
      <c r="BS171" s="153"/>
      <c r="BT171" s="153"/>
      <c r="BU171" s="153"/>
      <c r="BV171" s="153"/>
      <c r="BW171" s="153"/>
      <c r="BX171" s="153"/>
      <c r="BY171" s="153"/>
      <c r="BZ171" s="153"/>
      <c r="CA171" s="153"/>
      <c r="CB171" s="153"/>
      <c r="CC171" s="153"/>
      <c r="CD171" s="153"/>
      <c r="CE171" s="153"/>
      <c r="CF171" s="153"/>
      <c r="CG171" s="153"/>
      <c r="CH171" s="153"/>
      <c r="CI171" s="158"/>
      <c r="CJ171" s="153"/>
      <c r="CK171" s="153"/>
      <c r="CL171" s="153"/>
      <c r="CM171" s="153"/>
      <c r="CN171" s="158"/>
      <c r="CO171" s="153"/>
      <c r="CP171" s="153"/>
      <c r="CQ171" s="153"/>
    </row>
    <row r="172" spans="2:95" hidden="1" outlineLevel="1" x14ac:dyDescent="0.3">
      <c r="B172" s="146" t="str">
        <f>Table1[[#Headers],[Total Testes]]</f>
        <v>Total Testes</v>
      </c>
      <c r="C172" s="144" t="str">
        <f t="shared" si="17"/>
        <v>ENTITY_PURE_TRNVR_CE</v>
      </c>
      <c r="D172" s="143" t="s">
        <v>10</v>
      </c>
      <c r="E172" s="143" t="s">
        <v>1427</v>
      </c>
      <c r="G172" s="160" t="e">
        <f>INDEX(Table1[[Especificação]:[Total Testes]],MATCH(Sheet1!C172,Table1[CONCAT],0),MATCH(Sheet1!B172,Table1[[#Headers],[Especificação]:[Total Testes]],0))</f>
        <v>#N/A</v>
      </c>
      <c r="H172" s="179" t="e">
        <f t="shared" si="18"/>
        <v>#N/A</v>
      </c>
      <c r="I172" s="181"/>
      <c r="J172" s="158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  <c r="AU172" s="153"/>
      <c r="AV172" s="153"/>
      <c r="AW172" s="153"/>
      <c r="AX172" s="153"/>
      <c r="AY172" s="153"/>
      <c r="AZ172" s="153"/>
      <c r="BA172" s="153"/>
      <c r="BB172" s="158"/>
      <c r="BC172" s="153"/>
      <c r="BD172" s="153"/>
      <c r="BE172" s="153"/>
      <c r="BF172" s="153"/>
      <c r="BG172" s="153"/>
      <c r="BH172" s="153"/>
      <c r="BI172" s="153"/>
      <c r="BJ172" s="153"/>
      <c r="BK172" s="153"/>
      <c r="BL172" s="153"/>
      <c r="BM172" s="153"/>
      <c r="BN172" s="153"/>
      <c r="BO172" s="153"/>
      <c r="BP172" s="153"/>
      <c r="BQ172" s="153"/>
      <c r="BR172" s="153"/>
      <c r="BS172" s="153"/>
      <c r="BT172" s="153"/>
      <c r="BU172" s="153"/>
      <c r="BV172" s="153"/>
      <c r="BW172" s="153"/>
      <c r="BX172" s="153"/>
      <c r="BY172" s="153"/>
      <c r="BZ172" s="153"/>
      <c r="CA172" s="153"/>
      <c r="CB172" s="153"/>
      <c r="CC172" s="153"/>
      <c r="CD172" s="153"/>
      <c r="CE172" s="153"/>
      <c r="CF172" s="153"/>
      <c r="CG172" s="153"/>
      <c r="CH172" s="153"/>
      <c r="CI172" s="158"/>
      <c r="CJ172" s="153"/>
      <c r="CK172" s="153"/>
      <c r="CL172" s="153"/>
      <c r="CM172" s="153"/>
      <c r="CN172" s="158"/>
      <c r="CO172" s="153"/>
      <c r="CP172" s="153"/>
      <c r="CQ172" s="153"/>
    </row>
    <row r="173" spans="2:95" hidden="1" outlineLevel="1" x14ac:dyDescent="0.3">
      <c r="B173" s="146" t="str">
        <f>Table1[[#Headers],[Total Testes]]</f>
        <v>Total Testes</v>
      </c>
      <c r="C173" s="144" t="str">
        <f t="shared" si="17"/>
        <v>ENTITY_ENBLNG_CAPEX_W</v>
      </c>
      <c r="D173" s="143" t="s">
        <v>10</v>
      </c>
      <c r="E173" s="143" t="s">
        <v>1429</v>
      </c>
      <c r="G173" s="160" t="e">
        <f>INDEX(Table1[[Especificação]:[Total Testes]],MATCH(Sheet1!C173,Table1[CONCAT],0),MATCH(Sheet1!B173,Table1[[#Headers],[Especificação]:[Total Testes]],0))</f>
        <v>#N/A</v>
      </c>
      <c r="H173" s="179" t="e">
        <f t="shared" si="18"/>
        <v>#N/A</v>
      </c>
      <c r="I173" s="181"/>
      <c r="J173" s="158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  <c r="AU173" s="153"/>
      <c r="AV173" s="153"/>
      <c r="AW173" s="153"/>
      <c r="AX173" s="153"/>
      <c r="AY173" s="153"/>
      <c r="AZ173" s="153"/>
      <c r="BA173" s="153"/>
      <c r="BB173" s="158"/>
      <c r="BC173" s="153"/>
      <c r="BD173" s="153"/>
      <c r="BE173" s="153"/>
      <c r="BF173" s="153"/>
      <c r="BG173" s="153"/>
      <c r="BH173" s="153"/>
      <c r="BI173" s="153"/>
      <c r="BJ173" s="153"/>
      <c r="BK173" s="153"/>
      <c r="BL173" s="153"/>
      <c r="BM173" s="153"/>
      <c r="BN173" s="153"/>
      <c r="BO173" s="153"/>
      <c r="BP173" s="153"/>
      <c r="BQ173" s="153"/>
      <c r="BR173" s="153"/>
      <c r="BS173" s="153"/>
      <c r="BT173" s="153"/>
      <c r="BU173" s="153"/>
      <c r="BV173" s="153"/>
      <c r="BW173" s="153"/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8"/>
      <c r="CJ173" s="153"/>
      <c r="CK173" s="153"/>
      <c r="CL173" s="153"/>
      <c r="CM173" s="153"/>
      <c r="CN173" s="158"/>
      <c r="CO173" s="153"/>
      <c r="CP173" s="153"/>
      <c r="CQ173" s="153"/>
    </row>
    <row r="174" spans="2:95" hidden="1" outlineLevel="1" x14ac:dyDescent="0.3">
      <c r="B174" s="146" t="str">
        <f>Table1[[#Headers],[Total Testes]]</f>
        <v>Total Testes</v>
      </c>
      <c r="C174" s="144" t="str">
        <f t="shared" si="17"/>
        <v>ENTITY_ENBLNG_TRNVR_W</v>
      </c>
      <c r="D174" s="143" t="s">
        <v>10</v>
      </c>
      <c r="E174" s="143" t="s">
        <v>1431</v>
      </c>
      <c r="G174" s="160" t="e">
        <f>INDEX(Table1[[Especificação]:[Total Testes]],MATCH(Sheet1!C174,Table1[CONCAT],0),MATCH(Sheet1!B174,Table1[[#Headers],[Especificação]:[Total Testes]],0))</f>
        <v>#N/A</v>
      </c>
      <c r="H174" s="179" t="e">
        <f t="shared" si="18"/>
        <v>#N/A</v>
      </c>
      <c r="I174" s="181"/>
      <c r="J174" s="158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  <c r="AU174" s="153"/>
      <c r="AV174" s="153"/>
      <c r="AW174" s="153"/>
      <c r="AX174" s="153"/>
      <c r="AY174" s="153"/>
      <c r="AZ174" s="153"/>
      <c r="BA174" s="153"/>
      <c r="BB174" s="158"/>
      <c r="BC174" s="153"/>
      <c r="BD174" s="153"/>
      <c r="BE174" s="153"/>
      <c r="BF174" s="153"/>
      <c r="BG174" s="153"/>
      <c r="BH174" s="153"/>
      <c r="BI174" s="153"/>
      <c r="BJ174" s="153"/>
      <c r="BK174" s="153"/>
      <c r="BL174" s="153"/>
      <c r="BM174" s="153"/>
      <c r="BN174" s="153"/>
      <c r="BO174" s="153"/>
      <c r="BP174" s="153"/>
      <c r="BQ174" s="153"/>
      <c r="BR174" s="153"/>
      <c r="BS174" s="153"/>
      <c r="BT174" s="153"/>
      <c r="BU174" s="153"/>
      <c r="BV174" s="153"/>
      <c r="BW174" s="153"/>
      <c r="BX174" s="153"/>
      <c r="BY174" s="153"/>
      <c r="BZ174" s="153"/>
      <c r="CA174" s="153"/>
      <c r="CB174" s="153"/>
      <c r="CC174" s="153"/>
      <c r="CD174" s="153"/>
      <c r="CE174" s="153"/>
      <c r="CF174" s="153"/>
      <c r="CG174" s="153"/>
      <c r="CH174" s="153"/>
      <c r="CI174" s="158"/>
      <c r="CJ174" s="153"/>
      <c r="CK174" s="153"/>
      <c r="CL174" s="153"/>
      <c r="CM174" s="153"/>
      <c r="CN174" s="158"/>
      <c r="CO174" s="153"/>
      <c r="CP174" s="153"/>
      <c r="CQ174" s="153"/>
    </row>
    <row r="175" spans="2:95" hidden="1" outlineLevel="1" x14ac:dyDescent="0.3">
      <c r="B175" s="146" t="str">
        <f>Table1[[#Headers],[Total Testes]]</f>
        <v>Total Testes</v>
      </c>
      <c r="C175" s="144" t="str">
        <f t="shared" si="17"/>
        <v>ENTITY_ENBLNG_CAPEX_CE</v>
      </c>
      <c r="D175" s="143" t="s">
        <v>10</v>
      </c>
      <c r="E175" s="143" t="s">
        <v>1433</v>
      </c>
      <c r="G175" s="160" t="e">
        <f>INDEX(Table1[[Especificação]:[Total Testes]],MATCH(Sheet1!C175,Table1[CONCAT],0),MATCH(Sheet1!B175,Table1[[#Headers],[Especificação]:[Total Testes]],0))</f>
        <v>#N/A</v>
      </c>
      <c r="H175" s="179" t="e">
        <f t="shared" si="18"/>
        <v>#N/A</v>
      </c>
      <c r="I175" s="181"/>
      <c r="J175" s="158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  <c r="AU175" s="153"/>
      <c r="AV175" s="153"/>
      <c r="AW175" s="153"/>
      <c r="AX175" s="153"/>
      <c r="AY175" s="153"/>
      <c r="AZ175" s="153"/>
      <c r="BA175" s="153"/>
      <c r="BB175" s="158"/>
      <c r="BC175" s="153"/>
      <c r="BD175" s="153"/>
      <c r="BE175" s="153"/>
      <c r="BF175" s="153"/>
      <c r="BG175" s="153"/>
      <c r="BH175" s="153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/>
      <c r="BX175" s="153"/>
      <c r="BY175" s="153"/>
      <c r="BZ175" s="153"/>
      <c r="CA175" s="153"/>
      <c r="CB175" s="153"/>
      <c r="CC175" s="153"/>
      <c r="CD175" s="153"/>
      <c r="CE175" s="153"/>
      <c r="CF175" s="153"/>
      <c r="CG175" s="153"/>
      <c r="CH175" s="153"/>
      <c r="CI175" s="158"/>
      <c r="CJ175" s="153"/>
      <c r="CK175" s="153"/>
      <c r="CL175" s="153"/>
      <c r="CM175" s="153"/>
      <c r="CN175" s="158"/>
      <c r="CO175" s="153"/>
      <c r="CP175" s="153"/>
      <c r="CQ175" s="153"/>
    </row>
    <row r="176" spans="2:95" hidden="1" outlineLevel="1" x14ac:dyDescent="0.3">
      <c r="B176" s="146" t="str">
        <f>Table1[[#Headers],[Total Testes]]</f>
        <v>Total Testes</v>
      </c>
      <c r="C176" s="144" t="str">
        <f t="shared" si="17"/>
        <v>ENTITY_ENBLNG_TRNVR_CE</v>
      </c>
      <c r="D176" s="143" t="s">
        <v>10</v>
      </c>
      <c r="E176" s="143" t="s">
        <v>1435</v>
      </c>
      <c r="G176" s="160" t="e">
        <f>INDEX(Table1[[Especificação]:[Total Testes]],MATCH(Sheet1!C176,Table1[CONCAT],0),MATCH(Sheet1!B176,Table1[[#Headers],[Especificação]:[Total Testes]],0))</f>
        <v>#N/A</v>
      </c>
      <c r="H176" s="179" t="e">
        <f t="shared" si="18"/>
        <v>#N/A</v>
      </c>
      <c r="I176" s="181"/>
      <c r="J176" s="158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  <c r="AU176" s="153"/>
      <c r="AV176" s="153"/>
      <c r="AW176" s="153"/>
      <c r="AX176" s="153"/>
      <c r="AY176" s="153"/>
      <c r="AZ176" s="153"/>
      <c r="BA176" s="153"/>
      <c r="BB176" s="158"/>
      <c r="BC176" s="153"/>
      <c r="BD176" s="153"/>
      <c r="BE176" s="153"/>
      <c r="BF176" s="153"/>
      <c r="BG176" s="153"/>
      <c r="BH176" s="153"/>
      <c r="BI176" s="153"/>
      <c r="BJ176" s="153"/>
      <c r="BK176" s="153"/>
      <c r="BL176" s="153"/>
      <c r="BM176" s="153"/>
      <c r="BN176" s="153"/>
      <c r="BO176" s="153"/>
      <c r="BP176" s="153"/>
      <c r="BQ176" s="153"/>
      <c r="BR176" s="153"/>
      <c r="BS176" s="153"/>
      <c r="BT176" s="153"/>
      <c r="BU176" s="153"/>
      <c r="BV176" s="153"/>
      <c r="BW176" s="153"/>
      <c r="BX176" s="153"/>
      <c r="BY176" s="153"/>
      <c r="BZ176" s="153"/>
      <c r="CA176" s="153"/>
      <c r="CB176" s="153"/>
      <c r="CC176" s="153"/>
      <c r="CD176" s="153"/>
      <c r="CE176" s="153"/>
      <c r="CF176" s="153"/>
      <c r="CG176" s="153"/>
      <c r="CH176" s="153"/>
      <c r="CI176" s="158"/>
      <c r="CJ176" s="153"/>
      <c r="CK176" s="153"/>
      <c r="CL176" s="153"/>
      <c r="CM176" s="153"/>
      <c r="CN176" s="158"/>
      <c r="CO176" s="153"/>
      <c r="CP176" s="153"/>
      <c r="CQ176" s="153"/>
    </row>
    <row r="177" spans="2:95" hidden="1" outlineLevel="1" x14ac:dyDescent="0.3">
      <c r="B177" s="146" t="str">
        <f>Table1[[#Headers],[Total Testes]]</f>
        <v>Total Testes</v>
      </c>
      <c r="C177" s="144" t="str">
        <f t="shared" si="17"/>
        <v>INSTRUMENT_TYP_OFF_BLNC_PRDCT</v>
      </c>
      <c r="D177" s="143" t="s">
        <v>414</v>
      </c>
      <c r="E177" s="143" t="s">
        <v>1351</v>
      </c>
      <c r="G177" s="160">
        <f>INDEX(Table1[[Especificação]:[Total Testes]],MATCH(Sheet1!C177,Table1[CONCAT],0),MATCH(Sheet1!B177,Table1[[#Headers],[Especificação]:[Total Testes]],0))</f>
        <v>3</v>
      </c>
      <c r="H177" s="179">
        <f t="shared" si="18"/>
        <v>0.38</v>
      </c>
      <c r="I177" s="181"/>
      <c r="J177" s="158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  <c r="AU177" s="153"/>
      <c r="AV177" s="153"/>
      <c r="AW177" s="153"/>
      <c r="AX177" s="153"/>
      <c r="AY177" s="153"/>
      <c r="AZ177" s="153"/>
      <c r="BA177" s="153"/>
      <c r="BB177" s="158"/>
      <c r="BC177" s="153"/>
      <c r="BD177" s="153"/>
      <c r="BE177" s="153"/>
      <c r="BF177" s="153"/>
      <c r="BG177" s="153"/>
      <c r="BH177" s="153"/>
      <c r="BI177" s="153"/>
      <c r="BJ177" s="153"/>
      <c r="BK177" s="153"/>
      <c r="BL177" s="153"/>
      <c r="BM177" s="153"/>
      <c r="BN177" s="153"/>
      <c r="BO177" s="153"/>
      <c r="BP177" s="153"/>
      <c r="BQ177" s="153"/>
      <c r="BR177" s="153"/>
      <c r="BS177" s="153"/>
      <c r="BT177" s="153"/>
      <c r="BU177" s="153"/>
      <c r="BV177" s="153"/>
      <c r="BW177" s="153"/>
      <c r="BX177" s="153"/>
      <c r="BY177" s="153"/>
      <c r="BZ177" s="153"/>
      <c r="CA177" s="153"/>
      <c r="CB177" s="153"/>
      <c r="CC177" s="153"/>
      <c r="CD177" s="153"/>
      <c r="CE177" s="153"/>
      <c r="CF177" s="153"/>
      <c r="CG177" s="153"/>
      <c r="CH177" s="153"/>
      <c r="CI177" s="158"/>
      <c r="CJ177" s="153"/>
      <c r="CK177" s="153"/>
      <c r="CL177" s="153"/>
      <c r="CM177" s="153"/>
      <c r="CN177" s="158"/>
      <c r="CO177" s="153"/>
      <c r="CP177" s="153"/>
      <c r="CQ177" s="153"/>
    </row>
    <row r="178" spans="2:95" hidden="1" outlineLevel="1" x14ac:dyDescent="0.3">
      <c r="B178" s="146" t="str">
        <f>Table1[[#Headers],[Total Testes]]</f>
        <v>Total Testes</v>
      </c>
      <c r="C178" s="144" t="str">
        <f t="shared" si="17"/>
        <v>INSTRUMENT_FLG_MNMM_SFGRDS</v>
      </c>
      <c r="D178" s="143" t="s">
        <v>414</v>
      </c>
      <c r="E178" s="143" t="s">
        <v>1438</v>
      </c>
      <c r="G178" s="160" t="e">
        <f>INDEX(Table1[[Especificação]:[Total Testes]],MATCH(Sheet1!C178,Table1[CONCAT],0),MATCH(Sheet1!B178,Table1[[#Headers],[Especificação]:[Total Testes]],0))</f>
        <v>#N/A</v>
      </c>
      <c r="H178" s="179" t="e">
        <f t="shared" si="18"/>
        <v>#N/A</v>
      </c>
      <c r="I178" s="181"/>
      <c r="J178" s="158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8"/>
      <c r="BC178" s="153"/>
      <c r="BD178" s="153"/>
      <c r="BE178" s="153"/>
      <c r="BF178" s="153"/>
      <c r="BG178" s="153"/>
      <c r="BH178" s="153"/>
      <c r="BI178" s="153"/>
      <c r="BJ178" s="153"/>
      <c r="BK178" s="153"/>
      <c r="BL178" s="153"/>
      <c r="BM178" s="153"/>
      <c r="BN178" s="153"/>
      <c r="BO178" s="153"/>
      <c r="BP178" s="153"/>
      <c r="BQ178" s="153"/>
      <c r="BR178" s="153"/>
      <c r="BS178" s="153"/>
      <c r="BT178" s="153"/>
      <c r="BU178" s="153"/>
      <c r="BV178" s="153"/>
      <c r="BW178" s="153"/>
      <c r="BX178" s="153"/>
      <c r="BY178" s="153"/>
      <c r="BZ178" s="153"/>
      <c r="CA178" s="153"/>
      <c r="CB178" s="153"/>
      <c r="CC178" s="153"/>
      <c r="CD178" s="153"/>
      <c r="CE178" s="153"/>
      <c r="CF178" s="153"/>
      <c r="CG178" s="153"/>
      <c r="CH178" s="153"/>
      <c r="CI178" s="158"/>
      <c r="CJ178" s="153"/>
      <c r="CK178" s="153"/>
      <c r="CL178" s="153"/>
      <c r="CM178" s="153"/>
      <c r="CN178" s="158"/>
      <c r="CO178" s="153"/>
      <c r="CP178" s="153"/>
      <c r="CQ178" s="153"/>
    </row>
    <row r="179" spans="2:95" hidden="1" outlineLevel="1" x14ac:dyDescent="0.3">
      <c r="B179" s="146" t="str">
        <f>Table1[[#Headers],[Total Testes]]</f>
        <v>Total Testes</v>
      </c>
      <c r="C179" s="144" t="str">
        <f t="shared" si="17"/>
        <v>INSTR_PROTECTION_TYP_RLTN</v>
      </c>
      <c r="D179" s="143" t="s">
        <v>1101</v>
      </c>
      <c r="E179" s="143" t="s">
        <v>1384</v>
      </c>
      <c r="G179" s="160">
        <f>INDEX(Table1[[Especificação]:[Total Testes]],MATCH(Sheet1!C179,Table1[CONCAT],0),MATCH(Sheet1!B179,Table1[[#Headers],[Especificação]:[Total Testes]],0))</f>
        <v>3</v>
      </c>
      <c r="H179" s="179">
        <f t="shared" si="18"/>
        <v>0.38</v>
      </c>
      <c r="I179" s="181"/>
      <c r="J179" s="158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  <c r="AU179" s="153"/>
      <c r="AV179" s="153"/>
      <c r="AW179" s="153"/>
      <c r="AX179" s="153"/>
      <c r="AY179" s="153"/>
      <c r="AZ179" s="153"/>
      <c r="BA179" s="153"/>
      <c r="BB179" s="158"/>
      <c r="BC179" s="153"/>
      <c r="BD179" s="153"/>
      <c r="BE179" s="153"/>
      <c r="BF179" s="153"/>
      <c r="BG179" s="153"/>
      <c r="BH179" s="153"/>
      <c r="BI179" s="153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8"/>
      <c r="CJ179" s="153"/>
      <c r="CK179" s="153"/>
      <c r="CL179" s="153"/>
      <c r="CM179" s="153"/>
      <c r="CN179" s="158"/>
      <c r="CO179" s="153"/>
      <c r="CP179" s="153"/>
      <c r="CQ179" s="153"/>
    </row>
    <row r="180" spans="2:95" hidden="1" outlineLevel="1" x14ac:dyDescent="0.3">
      <c r="B180" s="146" t="str">
        <f>Table1[[#Headers],[Total Testes]]</f>
        <v>Total Testes</v>
      </c>
      <c r="C180" s="144" t="str">
        <f t="shared" si="17"/>
        <v>PROTECTION_BLDNG_AR</v>
      </c>
      <c r="D180" s="143" t="s">
        <v>1114</v>
      </c>
      <c r="E180" s="143" t="s">
        <v>1387</v>
      </c>
      <c r="G180" s="160" t="e">
        <f>INDEX(Table1[[Especificação]:[Total Testes]],MATCH(Sheet1!C180,Table1[CONCAT],0),MATCH(Sheet1!B180,Table1[[#Headers],[Especificação]:[Total Testes]],0))</f>
        <v>#N/A</v>
      </c>
      <c r="H180" s="179" t="e">
        <f t="shared" si="18"/>
        <v>#N/A</v>
      </c>
      <c r="I180" s="181"/>
      <c r="J180" s="158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  <c r="AU180" s="153"/>
      <c r="AV180" s="153"/>
      <c r="AW180" s="153"/>
      <c r="AX180" s="153"/>
      <c r="AY180" s="153"/>
      <c r="AZ180" s="153"/>
      <c r="BA180" s="153"/>
      <c r="BB180" s="158"/>
      <c r="BC180" s="153"/>
      <c r="BD180" s="153"/>
      <c r="BE180" s="153"/>
      <c r="BF180" s="153"/>
      <c r="BG180" s="153"/>
      <c r="BH180" s="153"/>
      <c r="BI180" s="153"/>
      <c r="BJ180" s="153"/>
      <c r="BK180" s="153"/>
      <c r="BL180" s="153"/>
      <c r="BM180" s="153"/>
      <c r="BN180" s="153"/>
      <c r="BO180" s="153"/>
      <c r="BP180" s="153"/>
      <c r="BQ180" s="153"/>
      <c r="BR180" s="153"/>
      <c r="BS180" s="153"/>
      <c r="BT180" s="153"/>
      <c r="BU180" s="153"/>
      <c r="BV180" s="153"/>
      <c r="BW180" s="153"/>
      <c r="BX180" s="153"/>
      <c r="BY180" s="153"/>
      <c r="BZ180" s="153"/>
      <c r="CA180" s="153"/>
      <c r="CB180" s="153"/>
      <c r="CC180" s="153"/>
      <c r="CD180" s="153"/>
      <c r="CE180" s="153"/>
      <c r="CF180" s="153"/>
      <c r="CG180" s="153"/>
      <c r="CH180" s="153"/>
      <c r="CI180" s="158"/>
      <c r="CJ180" s="153"/>
      <c r="CK180" s="153"/>
      <c r="CL180" s="153"/>
      <c r="CM180" s="153"/>
      <c r="CN180" s="158"/>
      <c r="CO180" s="153"/>
      <c r="CP180" s="153"/>
      <c r="CQ180" s="153"/>
    </row>
    <row r="181" spans="2:95" hidden="1" outlineLevel="1" x14ac:dyDescent="0.3">
      <c r="B181" s="146" t="str">
        <f>Table1[[#Headers],[Total Testes]]</f>
        <v>Total Testes</v>
      </c>
      <c r="C181" s="144" t="str">
        <f t="shared" si="17"/>
        <v>PROTECTION_RL_ESTT_CRTFCTN</v>
      </c>
      <c r="D181" s="143" t="s">
        <v>1114</v>
      </c>
      <c r="E181" s="143" t="s">
        <v>1440</v>
      </c>
      <c r="G181" s="160" t="e">
        <f>INDEX(Table1[[Especificação]:[Total Testes]],MATCH(Sheet1!C181,Table1[CONCAT],0),MATCH(Sheet1!B181,Table1[[#Headers],[Especificação]:[Total Testes]],0))</f>
        <v>#N/A</v>
      </c>
      <c r="H181" s="179" t="e">
        <f t="shared" si="18"/>
        <v>#N/A</v>
      </c>
      <c r="I181" s="181"/>
      <c r="J181" s="158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  <c r="AU181" s="153"/>
      <c r="AV181" s="153"/>
      <c r="AW181" s="153"/>
      <c r="AX181" s="153"/>
      <c r="AY181" s="153"/>
      <c r="AZ181" s="153"/>
      <c r="BA181" s="153"/>
      <c r="BB181" s="158"/>
      <c r="BC181" s="153"/>
      <c r="BD181" s="153"/>
      <c r="BE181" s="153"/>
      <c r="BF181" s="153"/>
      <c r="BG181" s="153"/>
      <c r="BH181" s="153"/>
      <c r="BI181" s="153"/>
      <c r="BJ181" s="153"/>
      <c r="BK181" s="153"/>
      <c r="BL181" s="153"/>
      <c r="BM181" s="153"/>
      <c r="BN181" s="153"/>
      <c r="BO181" s="153"/>
      <c r="BP181" s="153"/>
      <c r="BQ181" s="153"/>
      <c r="BR181" s="153"/>
      <c r="BS181" s="153"/>
      <c r="BT181" s="153"/>
      <c r="BU181" s="153"/>
      <c r="BV181" s="153"/>
      <c r="BW181" s="153"/>
      <c r="BX181" s="153"/>
      <c r="BY181" s="153"/>
      <c r="BZ181" s="153"/>
      <c r="CA181" s="153"/>
      <c r="CB181" s="153"/>
      <c r="CC181" s="153"/>
      <c r="CD181" s="153"/>
      <c r="CE181" s="153"/>
      <c r="CF181" s="153"/>
      <c r="CG181" s="153"/>
      <c r="CH181" s="153"/>
      <c r="CI181" s="158"/>
      <c r="CJ181" s="153"/>
      <c r="CK181" s="153"/>
      <c r="CL181" s="153"/>
      <c r="CM181" s="153"/>
      <c r="CN181" s="158"/>
      <c r="CO181" s="153"/>
      <c r="CP181" s="153"/>
      <c r="CQ181" s="153"/>
    </row>
    <row r="182" spans="2:95" hidden="1" outlineLevel="1" x14ac:dyDescent="0.3">
      <c r="B182" s="146" t="str">
        <f>Table1[[#Headers],[Total Testes]]</f>
        <v>Total Testes</v>
      </c>
      <c r="C182" s="144" t="str">
        <f t="shared" si="17"/>
        <v>PROTECTION_TYP_VHCL</v>
      </c>
      <c r="D182" s="143" t="s">
        <v>1114</v>
      </c>
      <c r="E182" s="143" t="s">
        <v>1442</v>
      </c>
      <c r="G182" s="160" t="e">
        <f>INDEX(Table1[[Especificação]:[Total Testes]],MATCH(Sheet1!C182,Table1[CONCAT],0),MATCH(Sheet1!B182,Table1[[#Headers],[Especificação]:[Total Testes]],0))</f>
        <v>#N/A</v>
      </c>
      <c r="H182" s="179" t="e">
        <f t="shared" si="18"/>
        <v>#N/A</v>
      </c>
      <c r="I182" s="181"/>
      <c r="J182" s="158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8"/>
      <c r="BC182" s="153"/>
      <c r="BD182" s="153"/>
      <c r="BE182" s="153"/>
      <c r="BF182" s="153"/>
      <c r="BG182" s="153"/>
      <c r="BH182" s="153"/>
      <c r="BI182" s="153"/>
      <c r="BJ182" s="153"/>
      <c r="BK182" s="153"/>
      <c r="BL182" s="153"/>
      <c r="BM182" s="153"/>
      <c r="BN182" s="153"/>
      <c r="BO182" s="153"/>
      <c r="BP182" s="153"/>
      <c r="BQ182" s="153"/>
      <c r="BR182" s="153"/>
      <c r="BS182" s="153"/>
      <c r="BT182" s="153"/>
      <c r="BU182" s="153"/>
      <c r="BV182" s="153"/>
      <c r="BW182" s="153"/>
      <c r="BX182" s="153"/>
      <c r="BY182" s="153"/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8"/>
      <c r="CJ182" s="153"/>
      <c r="CK182" s="153"/>
      <c r="CL182" s="153"/>
      <c r="CM182" s="153"/>
      <c r="CN182" s="158"/>
      <c r="CO182" s="153"/>
      <c r="CP182" s="153"/>
      <c r="CQ182" s="153"/>
    </row>
    <row r="183" spans="2:95" hidden="1" outlineLevel="1" x14ac:dyDescent="0.3">
      <c r="B183" s="146" t="str">
        <f>Table1[[#Headers],[Total Testes]]</f>
        <v>Total Testes</v>
      </c>
      <c r="C183" s="144" t="str">
        <f t="shared" si="17"/>
        <v>PROTECTION_DT_RGSTRTN</v>
      </c>
      <c r="D183" s="143" t="s">
        <v>1114</v>
      </c>
      <c r="E183" s="143" t="s">
        <v>1444</v>
      </c>
      <c r="G183" s="160" t="e">
        <f>INDEX(Table1[[Especificação]:[Total Testes]],MATCH(Sheet1!C183,Table1[CONCAT],0),MATCH(Sheet1!B183,Table1[[#Headers],[Especificação]:[Total Testes]],0))</f>
        <v>#N/A</v>
      </c>
      <c r="H183" s="179" t="e">
        <f t="shared" si="18"/>
        <v>#N/A</v>
      </c>
      <c r="I183" s="181"/>
      <c r="J183" s="158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8"/>
      <c r="BC183" s="153"/>
      <c r="BD183" s="153"/>
      <c r="BE183" s="153"/>
      <c r="BF183" s="153"/>
      <c r="BG183" s="153"/>
      <c r="BH183" s="153"/>
      <c r="BI183" s="153"/>
      <c r="BJ183" s="153"/>
      <c r="BK183" s="153"/>
      <c r="BL183" s="153"/>
      <c r="BM183" s="153"/>
      <c r="BN183" s="153"/>
      <c r="BO183" s="153"/>
      <c r="BP183" s="153"/>
      <c r="BQ183" s="153"/>
      <c r="BR183" s="153"/>
      <c r="BS183" s="153"/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8"/>
      <c r="CJ183" s="153"/>
      <c r="CK183" s="153"/>
      <c r="CL183" s="153"/>
      <c r="CM183" s="153"/>
      <c r="CN183" s="158"/>
      <c r="CO183" s="153"/>
      <c r="CP183" s="153"/>
      <c r="CQ183" s="153"/>
    </row>
    <row r="184" spans="2:95" hidden="1" outlineLevel="1" x14ac:dyDescent="0.3">
      <c r="B184" s="146" t="str">
        <f>Table1[[#Headers],[Total Testes]]</f>
        <v>Total Testes</v>
      </c>
      <c r="C184" s="144" t="str">
        <f t="shared" si="17"/>
        <v>PROTECTION_PRMRY_ENRGY_DMND_NN_RNWBL</v>
      </c>
      <c r="D184" s="143" t="s">
        <v>1114</v>
      </c>
      <c r="E184" s="143" t="s">
        <v>1446</v>
      </c>
      <c r="G184" s="160" t="e">
        <f>INDEX(Table1[[Especificação]:[Total Testes]],MATCH(Sheet1!C184,Table1[CONCAT],0),MATCH(Sheet1!B184,Table1[[#Headers],[Especificação]:[Total Testes]],0))</f>
        <v>#N/A</v>
      </c>
      <c r="H184" s="179" t="e">
        <f t="shared" si="18"/>
        <v>#N/A</v>
      </c>
      <c r="I184" s="181"/>
      <c r="J184" s="158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8"/>
      <c r="BC184" s="153"/>
      <c r="BD184" s="153"/>
      <c r="BE184" s="153"/>
      <c r="BF184" s="153"/>
      <c r="BG184" s="153"/>
      <c r="BH184" s="153"/>
      <c r="BI184" s="153"/>
      <c r="BJ184" s="153"/>
      <c r="BK184" s="153"/>
      <c r="BL184" s="153"/>
      <c r="BM184" s="153"/>
      <c r="BN184" s="153"/>
      <c r="BO184" s="153"/>
      <c r="BP184" s="153"/>
      <c r="BQ184" s="153"/>
      <c r="BR184" s="153"/>
      <c r="BS184" s="153"/>
      <c r="BT184" s="153"/>
      <c r="BU184" s="153"/>
      <c r="BV184" s="153"/>
      <c r="BW184" s="153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58"/>
      <c r="CJ184" s="153"/>
      <c r="CK184" s="153"/>
      <c r="CL184" s="153"/>
      <c r="CM184" s="153"/>
      <c r="CN184" s="158"/>
      <c r="CO184" s="153"/>
      <c r="CP184" s="153"/>
      <c r="CQ184" s="153"/>
    </row>
    <row r="185" spans="2:95" hidden="1" outlineLevel="1" x14ac:dyDescent="0.3">
      <c r="B185" s="146" t="str">
        <f>Table1[[#Headers],[Total Testes]]</f>
        <v>Total Testes</v>
      </c>
      <c r="C185" s="144" t="str">
        <f t="shared" si="17"/>
        <v>PROTECTION_PRMRY_ENRGY_DMND_TTL</v>
      </c>
      <c r="D185" s="143" t="s">
        <v>1114</v>
      </c>
      <c r="E185" s="143" t="s">
        <v>1448</v>
      </c>
      <c r="G185" s="160" t="e">
        <f>INDEX(Table1[[Especificação]:[Total Testes]],MATCH(Sheet1!C185,Table1[CONCAT],0),MATCH(Sheet1!B185,Table1[[#Headers],[Especificação]:[Total Testes]],0))</f>
        <v>#N/A</v>
      </c>
      <c r="H185" s="179" t="e">
        <f t="shared" si="18"/>
        <v>#N/A</v>
      </c>
      <c r="I185" s="181"/>
      <c r="J185" s="158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/>
      <c r="AW185" s="153"/>
      <c r="AX185" s="153"/>
      <c r="AY185" s="153"/>
      <c r="AZ185" s="153"/>
      <c r="BA185" s="153"/>
      <c r="BB185" s="158"/>
      <c r="BC185" s="153"/>
      <c r="BD185" s="153"/>
      <c r="BE185" s="153"/>
      <c r="BF185" s="153"/>
      <c r="BG185" s="153"/>
      <c r="BH185" s="153"/>
      <c r="BI185" s="153"/>
      <c r="BJ185" s="153"/>
      <c r="BK185" s="153"/>
      <c r="BL185" s="153"/>
      <c r="BM185" s="153"/>
      <c r="BN185" s="153"/>
      <c r="BO185" s="153"/>
      <c r="BP185" s="153"/>
      <c r="BQ185" s="153"/>
      <c r="BR185" s="153"/>
      <c r="BS185" s="153"/>
      <c r="BT185" s="153"/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8"/>
      <c r="CJ185" s="153"/>
      <c r="CK185" s="153"/>
      <c r="CL185" s="153"/>
      <c r="CM185" s="153"/>
      <c r="CN185" s="158"/>
      <c r="CO185" s="153"/>
      <c r="CP185" s="153"/>
      <c r="CQ185" s="153"/>
    </row>
    <row r="186" spans="2:95" hidden="1" outlineLevel="1" x14ac:dyDescent="0.3">
      <c r="B186" s="146" t="str">
        <f>Table1[[#Headers],[Total Testes]]</f>
        <v>Total Testes</v>
      </c>
      <c r="C186" s="144" t="str">
        <f t="shared" si="17"/>
        <v>PROTECTION_PRMRY_ENRGY_DMND_RFRNC_VL</v>
      </c>
      <c r="D186" s="143" t="s">
        <v>1114</v>
      </c>
      <c r="E186" s="143" t="s">
        <v>1450</v>
      </c>
      <c r="G186" s="160" t="e">
        <f>INDEX(Table1[[Especificação]:[Total Testes]],MATCH(Sheet1!C186,Table1[CONCAT],0),MATCH(Sheet1!B186,Table1[[#Headers],[Especificação]:[Total Testes]],0))</f>
        <v>#N/A</v>
      </c>
      <c r="H186" s="179" t="e">
        <f t="shared" si="18"/>
        <v>#N/A</v>
      </c>
      <c r="I186" s="181"/>
      <c r="J186" s="158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53"/>
      <c r="AS186" s="153"/>
      <c r="AT186" s="153"/>
      <c r="AU186" s="153"/>
      <c r="AV186" s="153"/>
      <c r="AW186" s="153"/>
      <c r="AX186" s="153"/>
      <c r="AY186" s="153"/>
      <c r="AZ186" s="153"/>
      <c r="BA186" s="153"/>
      <c r="BB186" s="158"/>
      <c r="BC186" s="153"/>
      <c r="BD186" s="153"/>
      <c r="BE186" s="153"/>
      <c r="BF186" s="153"/>
      <c r="BG186" s="153"/>
      <c r="BH186" s="153"/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8"/>
      <c r="CJ186" s="153"/>
      <c r="CK186" s="153"/>
      <c r="CL186" s="153"/>
      <c r="CM186" s="153"/>
      <c r="CN186" s="158"/>
      <c r="CO186" s="153"/>
      <c r="CP186" s="153"/>
      <c r="CQ186" s="153"/>
    </row>
    <row r="187" spans="2:95" hidden="1" outlineLevel="1" x14ac:dyDescent="0.3">
      <c r="B187" s="146" t="str">
        <f>Table1[[#Headers],[Total Testes]]</f>
        <v>Total Testes</v>
      </c>
      <c r="C187" s="144" t="str">
        <f t="shared" si="17"/>
        <v>PROTECTION_RL_ESTT_CLMT_ZN</v>
      </c>
      <c r="D187" s="143" t="s">
        <v>1114</v>
      </c>
      <c r="E187" s="143" t="s">
        <v>1452</v>
      </c>
      <c r="G187" s="160" t="e">
        <f>INDEX(Table1[[Especificação]:[Total Testes]],MATCH(Sheet1!C187,Table1[CONCAT],0),MATCH(Sheet1!B187,Table1[[#Headers],[Especificação]:[Total Testes]],0))</f>
        <v>#N/A</v>
      </c>
      <c r="H187" s="179" t="e">
        <f t="shared" si="18"/>
        <v>#N/A</v>
      </c>
      <c r="I187" s="181"/>
      <c r="J187" s="158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8"/>
      <c r="BC187" s="153"/>
      <c r="BD187" s="153"/>
      <c r="BE187" s="153"/>
      <c r="BF187" s="153"/>
      <c r="BG187" s="153"/>
      <c r="BH187" s="153"/>
      <c r="BI187" s="153"/>
      <c r="BJ187" s="153"/>
      <c r="BK187" s="153"/>
      <c r="BL187" s="153"/>
      <c r="BM187" s="153"/>
      <c r="BN187" s="153"/>
      <c r="BO187" s="153"/>
      <c r="BP187" s="153"/>
      <c r="BQ187" s="153"/>
      <c r="BR187" s="153"/>
      <c r="BS187" s="153"/>
      <c r="BT187" s="153"/>
      <c r="BU187" s="153"/>
      <c r="BV187" s="153"/>
      <c r="BW187" s="153"/>
      <c r="BX187" s="153"/>
      <c r="BY187" s="153"/>
      <c r="BZ187" s="153"/>
      <c r="CA187" s="153"/>
      <c r="CB187" s="153"/>
      <c r="CC187" s="153"/>
      <c r="CD187" s="153"/>
      <c r="CE187" s="153"/>
      <c r="CF187" s="153"/>
      <c r="CG187" s="153"/>
      <c r="CH187" s="153"/>
      <c r="CI187" s="158"/>
      <c r="CJ187" s="153"/>
      <c r="CK187" s="153"/>
      <c r="CL187" s="153"/>
      <c r="CM187" s="153"/>
      <c r="CN187" s="158"/>
      <c r="CO187" s="153"/>
      <c r="CP187" s="153"/>
      <c r="CQ187" s="153"/>
    </row>
    <row r="188" spans="2:95" hidden="1" outlineLevel="1" x14ac:dyDescent="0.3">
      <c r="B188" s="146" t="str">
        <f>Table1[[#Headers],[Total Testes]]</f>
        <v>Total Testes</v>
      </c>
      <c r="C188" s="144" t="str">
        <f t="shared" si="17"/>
        <v>INSTR_ACTIVITY_COD_SOC</v>
      </c>
      <c r="D188" s="143" t="s">
        <v>1458</v>
      </c>
      <c r="E188" s="143" t="s">
        <v>12</v>
      </c>
      <c r="G188" s="160">
        <f>INDEX(Table1[[Especificação]:[Total Testes]],MATCH(Sheet1!C188,Table1[CONCAT],0),MATCH(Sheet1!B188,Table1[[#Headers],[Especificação]:[Total Testes]],0))</f>
        <v>2.5</v>
      </c>
      <c r="H188" s="179">
        <f t="shared" si="18"/>
        <v>0.31</v>
      </c>
      <c r="I188" s="181"/>
      <c r="J188" s="158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3"/>
      <c r="AK188" s="153"/>
      <c r="AL188" s="153"/>
      <c r="AM188" s="153"/>
      <c r="AN188" s="153"/>
      <c r="AO188" s="153"/>
      <c r="AP188" s="153"/>
      <c r="AQ188" s="153"/>
      <c r="AR188" s="153"/>
      <c r="AS188" s="153"/>
      <c r="AT188" s="153"/>
      <c r="AU188" s="153"/>
      <c r="AV188" s="153"/>
      <c r="AW188" s="153"/>
      <c r="AX188" s="153"/>
      <c r="AY188" s="153"/>
      <c r="AZ188" s="153"/>
      <c r="BA188" s="153"/>
      <c r="BB188" s="158"/>
      <c r="BC188" s="153"/>
      <c r="BD188" s="153"/>
      <c r="BE188" s="153"/>
      <c r="BF188" s="153"/>
      <c r="BG188" s="153"/>
      <c r="BH188" s="153"/>
      <c r="BI188" s="153"/>
      <c r="BJ188" s="153"/>
      <c r="BK188" s="153"/>
      <c r="BL188" s="153"/>
      <c r="BM188" s="153"/>
      <c r="BN188" s="153"/>
      <c r="BO188" s="153"/>
      <c r="BP188" s="153"/>
      <c r="BQ188" s="153"/>
      <c r="BR188" s="153"/>
      <c r="BS188" s="153"/>
      <c r="BT188" s="153"/>
      <c r="BU188" s="153"/>
      <c r="BV188" s="153"/>
      <c r="BW188" s="153"/>
      <c r="BX188" s="153"/>
      <c r="BY188" s="153"/>
      <c r="BZ188" s="153"/>
      <c r="CA188" s="153"/>
      <c r="CB188" s="153"/>
      <c r="CC188" s="153"/>
      <c r="CD188" s="153"/>
      <c r="CE188" s="153"/>
      <c r="CF188" s="153"/>
      <c r="CG188" s="153"/>
      <c r="CH188" s="153"/>
      <c r="CI188" s="158"/>
      <c r="CJ188" s="153"/>
      <c r="CK188" s="153"/>
      <c r="CL188" s="153"/>
      <c r="CM188" s="153"/>
      <c r="CN188" s="158"/>
      <c r="CO188" s="153"/>
      <c r="CP188" s="153"/>
      <c r="CQ188" s="153"/>
    </row>
    <row r="189" spans="2:95" hidden="1" outlineLevel="1" x14ac:dyDescent="0.3">
      <c r="B189" s="146" t="str">
        <f>Table1[[#Headers],[Total Testes]]</f>
        <v>Total Testes</v>
      </c>
      <c r="C189" s="144" t="str">
        <f t="shared" si="17"/>
        <v>INSTR_ACTIVITY_DT_RFRNC</v>
      </c>
      <c r="D189" s="143" t="s">
        <v>1458</v>
      </c>
      <c r="E189" s="143" t="s">
        <v>38</v>
      </c>
      <c r="G189" s="160">
        <f>INDEX(Table1[[Especificação]:[Total Testes]],MATCH(Sheet1!C189,Table1[CONCAT],0),MATCH(Sheet1!B189,Table1[[#Headers],[Especificação]:[Total Testes]],0))</f>
        <v>2.5</v>
      </c>
      <c r="H189" s="179">
        <f t="shared" si="18"/>
        <v>0.31</v>
      </c>
      <c r="I189" s="181"/>
      <c r="J189" s="158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  <c r="AC189" s="153"/>
      <c r="AD189" s="153"/>
      <c r="AE189" s="153"/>
      <c r="AF189" s="153"/>
      <c r="AG189" s="153"/>
      <c r="AH189" s="153"/>
      <c r="AI189" s="153"/>
      <c r="AJ189" s="153"/>
      <c r="AK189" s="153"/>
      <c r="AL189" s="153"/>
      <c r="AM189" s="153"/>
      <c r="AN189" s="153"/>
      <c r="AO189" s="153"/>
      <c r="AP189" s="153"/>
      <c r="AQ189" s="153"/>
      <c r="AR189" s="153"/>
      <c r="AS189" s="153"/>
      <c r="AT189" s="153"/>
      <c r="AU189" s="153"/>
      <c r="AV189" s="153"/>
      <c r="AW189" s="153"/>
      <c r="AX189" s="153"/>
      <c r="AY189" s="153"/>
      <c r="AZ189" s="153"/>
      <c r="BA189" s="153"/>
      <c r="BB189" s="158"/>
      <c r="BC189" s="153"/>
      <c r="BD189" s="153"/>
      <c r="BE189" s="153"/>
      <c r="BF189" s="153"/>
      <c r="BG189" s="153"/>
      <c r="BH189" s="153"/>
      <c r="BI189" s="153"/>
      <c r="BJ189" s="153"/>
      <c r="BK189" s="153"/>
      <c r="BL189" s="153"/>
      <c r="BM189" s="153"/>
      <c r="BN189" s="153"/>
      <c r="BO189" s="153"/>
      <c r="BP189" s="153"/>
      <c r="BQ189" s="153"/>
      <c r="BR189" s="153"/>
      <c r="BS189" s="153"/>
      <c r="BT189" s="153"/>
      <c r="BU189" s="153"/>
      <c r="BV189" s="153"/>
      <c r="BW189" s="153"/>
      <c r="BX189" s="153"/>
      <c r="BY189" s="153"/>
      <c r="BZ189" s="153"/>
      <c r="CA189" s="153"/>
      <c r="CB189" s="153"/>
      <c r="CC189" s="153"/>
      <c r="CD189" s="153"/>
      <c r="CE189" s="153"/>
      <c r="CF189" s="153"/>
      <c r="CG189" s="153"/>
      <c r="CH189" s="153"/>
      <c r="CI189" s="158"/>
      <c r="CJ189" s="153"/>
      <c r="CK189" s="153"/>
      <c r="CL189" s="153"/>
      <c r="CM189" s="153"/>
      <c r="CN189" s="158"/>
      <c r="CO189" s="153"/>
      <c r="CP189" s="153"/>
      <c r="CQ189" s="153"/>
    </row>
    <row r="190" spans="2:95" hidden="1" outlineLevel="1" x14ac:dyDescent="0.3">
      <c r="B190" s="146" t="str">
        <f>Table1[[#Headers],[Total Testes]]</f>
        <v>Total Testes</v>
      </c>
      <c r="C190" s="144" t="str">
        <f t="shared" si="17"/>
        <v>INSTR_ACTIVITY_INSTRMNT_ID</v>
      </c>
      <c r="D190" s="143" t="s">
        <v>1458</v>
      </c>
      <c r="E190" s="143" t="s">
        <v>405</v>
      </c>
      <c r="G190" s="160">
        <f>INDEX(Table1[[Especificação]:[Total Testes]],MATCH(Sheet1!C190,Table1[CONCAT],0),MATCH(Sheet1!B190,Table1[[#Headers],[Especificação]:[Total Testes]],0))</f>
        <v>2.5</v>
      </c>
      <c r="H190" s="179">
        <f t="shared" si="18"/>
        <v>0.31</v>
      </c>
      <c r="I190" s="181"/>
      <c r="J190" s="158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  <c r="AC190" s="153"/>
      <c r="AD190" s="153"/>
      <c r="AE190" s="153"/>
      <c r="AF190" s="153"/>
      <c r="AG190" s="153"/>
      <c r="AH190" s="153"/>
      <c r="AI190" s="153"/>
      <c r="AJ190" s="153"/>
      <c r="AK190" s="153"/>
      <c r="AL190" s="153"/>
      <c r="AM190" s="153"/>
      <c r="AN190" s="153"/>
      <c r="AO190" s="153"/>
      <c r="AP190" s="153"/>
      <c r="AQ190" s="153"/>
      <c r="AR190" s="153"/>
      <c r="AS190" s="153"/>
      <c r="AT190" s="153"/>
      <c r="AU190" s="153"/>
      <c r="AV190" s="153"/>
      <c r="AW190" s="153"/>
      <c r="AX190" s="153"/>
      <c r="AY190" s="153"/>
      <c r="AZ190" s="153"/>
      <c r="BA190" s="153"/>
      <c r="BB190" s="158"/>
      <c r="BC190" s="153"/>
      <c r="BD190" s="153"/>
      <c r="BE190" s="153"/>
      <c r="BF190" s="153"/>
      <c r="BG190" s="153"/>
      <c r="BH190" s="153"/>
      <c r="BI190" s="153"/>
      <c r="BJ190" s="153"/>
      <c r="BK190" s="153"/>
      <c r="BL190" s="153"/>
      <c r="BM190" s="153"/>
      <c r="BN190" s="153"/>
      <c r="BO190" s="153"/>
      <c r="BP190" s="153"/>
      <c r="BQ190" s="153"/>
      <c r="BR190" s="153"/>
      <c r="BS190" s="153"/>
      <c r="BT190" s="153"/>
      <c r="BU190" s="153"/>
      <c r="BV190" s="153"/>
      <c r="BW190" s="153"/>
      <c r="BX190" s="153"/>
      <c r="BY190" s="153"/>
      <c r="BZ190" s="153"/>
      <c r="CA190" s="153"/>
      <c r="CB190" s="153"/>
      <c r="CC190" s="153"/>
      <c r="CD190" s="153"/>
      <c r="CE190" s="153"/>
      <c r="CF190" s="153"/>
      <c r="CG190" s="153"/>
      <c r="CH190" s="153"/>
      <c r="CI190" s="158"/>
      <c r="CJ190" s="153"/>
      <c r="CK190" s="153"/>
      <c r="CL190" s="153"/>
      <c r="CM190" s="153"/>
      <c r="CN190" s="158"/>
      <c r="CO190" s="153"/>
      <c r="CP190" s="153"/>
      <c r="CQ190" s="153"/>
    </row>
    <row r="191" spans="2:95" hidden="1" outlineLevel="1" x14ac:dyDescent="0.3">
      <c r="B191" s="146" t="str">
        <f>Table1[[#Headers],[Total Testes]]</f>
        <v>Total Testes</v>
      </c>
      <c r="C191" s="144" t="str">
        <f t="shared" si="17"/>
        <v>INSTR_ACTIVITY_PRCNTG_ACTVTY</v>
      </c>
      <c r="D191" s="143" t="s">
        <v>1458</v>
      </c>
      <c r="E191" s="143" t="s">
        <v>1464</v>
      </c>
      <c r="G191" s="160">
        <f>INDEX(Table1[[Especificação]:[Total Testes]],MATCH(Sheet1!C191,Table1[CONCAT],0),MATCH(Sheet1!B191,Table1[[#Headers],[Especificação]:[Total Testes]],0))</f>
        <v>2.5</v>
      </c>
      <c r="H191" s="179">
        <f t="shared" si="18"/>
        <v>0.31</v>
      </c>
      <c r="I191" s="181"/>
      <c r="J191" s="158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  <c r="AC191" s="153"/>
      <c r="AD191" s="153"/>
      <c r="AE191" s="153"/>
      <c r="AF191" s="153"/>
      <c r="AG191" s="153"/>
      <c r="AH191" s="153"/>
      <c r="AI191" s="153"/>
      <c r="AJ191" s="153"/>
      <c r="AK191" s="153"/>
      <c r="AL191" s="153"/>
      <c r="AM191" s="153"/>
      <c r="AN191" s="153"/>
      <c r="AO191" s="153"/>
      <c r="AP191" s="153"/>
      <c r="AQ191" s="153"/>
      <c r="AR191" s="153"/>
      <c r="AS191" s="153"/>
      <c r="AT191" s="153"/>
      <c r="AU191" s="153"/>
      <c r="AV191" s="153"/>
      <c r="AW191" s="153"/>
      <c r="AX191" s="153"/>
      <c r="AY191" s="153"/>
      <c r="AZ191" s="153"/>
      <c r="BA191" s="153"/>
      <c r="BB191" s="158"/>
      <c r="BC191" s="153"/>
      <c r="BD191" s="153"/>
      <c r="BE191" s="153"/>
      <c r="BF191" s="153"/>
      <c r="BG191" s="153"/>
      <c r="BH191" s="153"/>
      <c r="BI191" s="153"/>
      <c r="BJ191" s="153"/>
      <c r="BK191" s="153"/>
      <c r="BL191" s="153"/>
      <c r="BM191" s="153"/>
      <c r="BN191" s="153"/>
      <c r="BO191" s="153"/>
      <c r="BP191" s="153"/>
      <c r="BQ191" s="153"/>
      <c r="BR191" s="153"/>
      <c r="BS191" s="153"/>
      <c r="BT191" s="153"/>
      <c r="BU191" s="153"/>
      <c r="BV191" s="153"/>
      <c r="BW191" s="153"/>
      <c r="BX191" s="153"/>
      <c r="BY191" s="153"/>
      <c r="BZ191" s="153"/>
      <c r="CA191" s="153"/>
      <c r="CB191" s="153"/>
      <c r="CC191" s="153"/>
      <c r="CD191" s="153"/>
      <c r="CE191" s="153"/>
      <c r="CF191" s="153"/>
      <c r="CG191" s="153"/>
      <c r="CH191" s="153"/>
      <c r="CI191" s="158"/>
      <c r="CJ191" s="153"/>
      <c r="CK191" s="153"/>
      <c r="CL191" s="153"/>
      <c r="CM191" s="153"/>
      <c r="CN191" s="158"/>
      <c r="CO191" s="153"/>
      <c r="CP191" s="153"/>
      <c r="CQ191" s="153"/>
    </row>
    <row r="192" spans="2:95" hidden="1" outlineLevel="1" x14ac:dyDescent="0.3">
      <c r="B192" s="146" t="str">
        <f>Table1[[#Headers],[Total Testes]]</f>
        <v>Total Testes</v>
      </c>
      <c r="C192" s="144" t="str">
        <f t="shared" si="17"/>
        <v>INSTR_ACTIVITY_FLG_SBSTNTL_CNTRBTN</v>
      </c>
      <c r="D192" s="143" t="s">
        <v>1458</v>
      </c>
      <c r="E192" s="143" t="s">
        <v>1467</v>
      </c>
      <c r="G192" s="160" t="e">
        <f>INDEX(Table1[[Especificação]:[Total Testes]],MATCH(Sheet1!C192,Table1[CONCAT],0),MATCH(Sheet1!B192,Table1[[#Headers],[Especificação]:[Total Testes]],0))</f>
        <v>#N/A</v>
      </c>
      <c r="H192" s="179" t="e">
        <f t="shared" si="18"/>
        <v>#N/A</v>
      </c>
      <c r="I192" s="181"/>
      <c r="J192" s="158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  <c r="AC192" s="153"/>
      <c r="AD192" s="153"/>
      <c r="AE192" s="153"/>
      <c r="AF192" s="153"/>
      <c r="AG192" s="153"/>
      <c r="AH192" s="153"/>
      <c r="AI192" s="153"/>
      <c r="AJ192" s="153"/>
      <c r="AK192" s="153"/>
      <c r="AL192" s="153"/>
      <c r="AM192" s="153"/>
      <c r="AN192" s="153"/>
      <c r="AO192" s="153"/>
      <c r="AP192" s="153"/>
      <c r="AQ192" s="153"/>
      <c r="AR192" s="153"/>
      <c r="AS192" s="153"/>
      <c r="AT192" s="153"/>
      <c r="AU192" s="153"/>
      <c r="AV192" s="153"/>
      <c r="AW192" s="153"/>
      <c r="AX192" s="153"/>
      <c r="AY192" s="153"/>
      <c r="AZ192" s="153"/>
      <c r="BA192" s="153"/>
      <c r="BB192" s="158"/>
      <c r="BC192" s="153"/>
      <c r="BD192" s="153"/>
      <c r="BE192" s="153"/>
      <c r="BF192" s="153"/>
      <c r="BG192" s="153"/>
      <c r="BH192" s="153"/>
      <c r="BI192" s="153"/>
      <c r="BJ192" s="153"/>
      <c r="BK192" s="153"/>
      <c r="BL192" s="153"/>
      <c r="BM192" s="153"/>
      <c r="BN192" s="153"/>
      <c r="BO192" s="153"/>
      <c r="BP192" s="153"/>
      <c r="BQ192" s="153"/>
      <c r="BR192" s="153"/>
      <c r="BS192" s="153"/>
      <c r="BT192" s="153"/>
      <c r="BU192" s="153"/>
      <c r="BV192" s="153"/>
      <c r="BW192" s="153"/>
      <c r="BX192" s="153"/>
      <c r="BY192" s="153"/>
      <c r="BZ192" s="153"/>
      <c r="CA192" s="153"/>
      <c r="CB192" s="153"/>
      <c r="CC192" s="153"/>
      <c r="CD192" s="153"/>
      <c r="CE192" s="153"/>
      <c r="CF192" s="153"/>
      <c r="CG192" s="153"/>
      <c r="CH192" s="153"/>
      <c r="CI192" s="158"/>
      <c r="CJ192" s="153"/>
      <c r="CK192" s="153"/>
      <c r="CL192" s="153"/>
      <c r="CM192" s="153"/>
      <c r="CN192" s="158"/>
      <c r="CO192" s="153"/>
      <c r="CP192" s="153"/>
      <c r="CQ192" s="153"/>
    </row>
    <row r="193" spans="2:95" hidden="1" outlineLevel="1" x14ac:dyDescent="0.3">
      <c r="B193" s="146" t="str">
        <f>Table1[[#Headers],[Total Testes]]</f>
        <v>Total Testes</v>
      </c>
      <c r="C193" s="144" t="str">
        <f t="shared" si="17"/>
        <v>INSTR_ACTIVITY_FLG_DNSH_CMPLNC</v>
      </c>
      <c r="D193" s="143" t="s">
        <v>1458</v>
      </c>
      <c r="E193" s="143" t="s">
        <v>1469</v>
      </c>
      <c r="G193" s="160" t="e">
        <f>INDEX(Table1[[Especificação]:[Total Testes]],MATCH(Sheet1!C193,Table1[CONCAT],0),MATCH(Sheet1!B193,Table1[[#Headers],[Especificação]:[Total Testes]],0))</f>
        <v>#N/A</v>
      </c>
      <c r="H193" s="179" t="e">
        <f t="shared" si="18"/>
        <v>#N/A</v>
      </c>
      <c r="I193" s="181"/>
      <c r="J193" s="158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  <c r="AC193" s="153"/>
      <c r="AD193" s="153"/>
      <c r="AE193" s="153"/>
      <c r="AF193" s="153"/>
      <c r="AG193" s="153"/>
      <c r="AH193" s="153"/>
      <c r="AI193" s="153"/>
      <c r="AJ193" s="153"/>
      <c r="AK193" s="153"/>
      <c r="AL193" s="153"/>
      <c r="AM193" s="153"/>
      <c r="AN193" s="153"/>
      <c r="AO193" s="153"/>
      <c r="AP193" s="153"/>
      <c r="AQ193" s="153"/>
      <c r="AR193" s="153"/>
      <c r="AS193" s="153"/>
      <c r="AT193" s="153"/>
      <c r="AU193" s="153"/>
      <c r="AV193" s="153"/>
      <c r="AW193" s="153"/>
      <c r="AX193" s="153"/>
      <c r="AY193" s="153"/>
      <c r="AZ193" s="153"/>
      <c r="BA193" s="153"/>
      <c r="BB193" s="158"/>
      <c r="BC193" s="153"/>
      <c r="BD193" s="153"/>
      <c r="BE193" s="153"/>
      <c r="BF193" s="153"/>
      <c r="BG193" s="153"/>
      <c r="BH193" s="153"/>
      <c r="BI193" s="153"/>
      <c r="BJ193" s="153"/>
      <c r="BK193" s="153"/>
      <c r="BL193" s="153"/>
      <c r="BM193" s="153"/>
      <c r="BN193" s="153"/>
      <c r="BO193" s="153"/>
      <c r="BP193" s="153"/>
      <c r="BQ193" s="153"/>
      <c r="BR193" s="153"/>
      <c r="BS193" s="153"/>
      <c r="BT193" s="153"/>
      <c r="BU193" s="153"/>
      <c r="BV193" s="153"/>
      <c r="BW193" s="153"/>
      <c r="BX193" s="153"/>
      <c r="BY193" s="153"/>
      <c r="BZ193" s="153"/>
      <c r="CA193" s="153"/>
      <c r="CB193" s="153"/>
      <c r="CC193" s="153"/>
      <c r="CD193" s="153"/>
      <c r="CE193" s="153"/>
      <c r="CF193" s="153"/>
      <c r="CG193" s="153"/>
      <c r="CH193" s="153"/>
      <c r="CI193" s="158"/>
      <c r="CJ193" s="153"/>
      <c r="CK193" s="153"/>
      <c r="CL193" s="153"/>
      <c r="CM193" s="153"/>
      <c r="CN193" s="158"/>
      <c r="CO193" s="153"/>
      <c r="CP193" s="153"/>
      <c r="CQ193" s="153"/>
    </row>
    <row r="194" spans="2:95" hidden="1" outlineLevel="1" x14ac:dyDescent="0.3">
      <c r="B194" s="146" t="str">
        <f>Table1[[#Headers],[Total Testes]]</f>
        <v>Total Testes</v>
      </c>
      <c r="C194" s="144" t="str">
        <f t="shared" si="17"/>
        <v>INSTR_ACTIVITY_DNSH_DTL</v>
      </c>
      <c r="D194" s="143" t="s">
        <v>1458</v>
      </c>
      <c r="E194" s="143" t="s">
        <v>1471</v>
      </c>
      <c r="G194" s="160" t="e">
        <f>INDEX(Table1[[Especificação]:[Total Testes]],MATCH(Sheet1!C194,Table1[CONCAT],0),MATCH(Sheet1!B194,Table1[[#Headers],[Especificação]:[Total Testes]],0))</f>
        <v>#N/A</v>
      </c>
      <c r="H194" s="179" t="e">
        <f t="shared" si="18"/>
        <v>#N/A</v>
      </c>
      <c r="I194" s="181"/>
      <c r="J194" s="158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3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3"/>
      <c r="AR194" s="153"/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8"/>
      <c r="BC194" s="153"/>
      <c r="BD194" s="153"/>
      <c r="BE194" s="153"/>
      <c r="BF194" s="153"/>
      <c r="BG194" s="153"/>
      <c r="BH194" s="153"/>
      <c r="BI194" s="153"/>
      <c r="BJ194" s="153"/>
      <c r="BK194" s="153"/>
      <c r="BL194" s="153"/>
      <c r="BM194" s="153"/>
      <c r="BN194" s="153"/>
      <c r="BO194" s="153"/>
      <c r="BP194" s="153"/>
      <c r="BQ194" s="153"/>
      <c r="BR194" s="153"/>
      <c r="BS194" s="153"/>
      <c r="BT194" s="153"/>
      <c r="BU194" s="153"/>
      <c r="BV194" s="153"/>
      <c r="BW194" s="153"/>
      <c r="BX194" s="153"/>
      <c r="BY194" s="153"/>
      <c r="BZ194" s="153"/>
      <c r="CA194" s="153"/>
      <c r="CB194" s="153"/>
      <c r="CC194" s="153"/>
      <c r="CD194" s="153"/>
      <c r="CE194" s="153"/>
      <c r="CF194" s="153"/>
      <c r="CG194" s="153"/>
      <c r="CH194" s="153"/>
      <c r="CI194" s="158"/>
      <c r="CJ194" s="153"/>
      <c r="CK194" s="153"/>
      <c r="CL194" s="153"/>
      <c r="CM194" s="153"/>
      <c r="CN194" s="158"/>
      <c r="CO194" s="153"/>
      <c r="CP194" s="153"/>
      <c r="CQ194" s="153"/>
    </row>
    <row r="195" spans="2:95" hidden="1" outlineLevel="1" x14ac:dyDescent="0.3">
      <c r="B195" s="146" t="str">
        <f>Table1[[#Headers],[Total Testes]]</f>
        <v>Total Testes</v>
      </c>
      <c r="C195" s="144" t="str">
        <f t="shared" si="17"/>
        <v>ENTITY_GRP_ECNMC_ACTVTY</v>
      </c>
      <c r="D195" s="143" t="s">
        <v>10</v>
      </c>
      <c r="E195" s="143" t="s">
        <v>382</v>
      </c>
      <c r="G195" s="160" t="e">
        <f>INDEX(Table1[[Especificação]:[Total Testes]],MATCH(Sheet1!C195,Table1[CONCAT],0),MATCH(Sheet1!B195,Table1[[#Headers],[Especificação]:[Total Testes]],0))</f>
        <v>#N/A</v>
      </c>
      <c r="H195" s="179" t="e">
        <f t="shared" si="18"/>
        <v>#N/A</v>
      </c>
      <c r="I195" s="181"/>
      <c r="J195" s="158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  <c r="AC195" s="153"/>
      <c r="AD195" s="153"/>
      <c r="AE195" s="153"/>
      <c r="AF195" s="153"/>
      <c r="AG195" s="153"/>
      <c r="AH195" s="153"/>
      <c r="AI195" s="153"/>
      <c r="AJ195" s="153"/>
      <c r="AK195" s="153"/>
      <c r="AL195" s="153"/>
      <c r="AM195" s="153"/>
      <c r="AN195" s="153"/>
      <c r="AO195" s="153"/>
      <c r="AP195" s="153"/>
      <c r="AQ195" s="153"/>
      <c r="AR195" s="153"/>
      <c r="AS195" s="153"/>
      <c r="AT195" s="153"/>
      <c r="AU195" s="153"/>
      <c r="AV195" s="153"/>
      <c r="AW195" s="153"/>
      <c r="AX195" s="153"/>
      <c r="AY195" s="153"/>
      <c r="AZ195" s="153"/>
      <c r="BA195" s="153"/>
      <c r="BB195" s="158"/>
      <c r="BC195" s="153"/>
      <c r="BD195" s="153"/>
      <c r="BE195" s="153"/>
      <c r="BF195" s="153"/>
      <c r="BG195" s="153"/>
      <c r="BH195" s="153"/>
      <c r="BI195" s="153"/>
      <c r="BJ195" s="153"/>
      <c r="BK195" s="153"/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  <c r="BZ195" s="153"/>
      <c r="CA195" s="153"/>
      <c r="CB195" s="153"/>
      <c r="CC195" s="153"/>
      <c r="CD195" s="153"/>
      <c r="CE195" s="153"/>
      <c r="CF195" s="153"/>
      <c r="CG195" s="153"/>
      <c r="CH195" s="153"/>
      <c r="CI195" s="158"/>
      <c r="CJ195" s="153"/>
      <c r="CK195" s="153"/>
      <c r="CL195" s="153"/>
      <c r="CM195" s="153"/>
      <c r="CN195" s="158"/>
      <c r="CO195" s="153"/>
      <c r="CP195" s="153"/>
      <c r="CQ195" s="153"/>
    </row>
    <row r="196" spans="2:95" hidden="1" outlineLevel="1" x14ac:dyDescent="0.3">
      <c r="B196" s="146" t="str">
        <f>Table1[[#Headers],[Total Testes]]</f>
        <v>Total Testes</v>
      </c>
      <c r="C196" s="144" t="str">
        <f t="shared" si="17"/>
        <v>PROTECTION_TYP_EMSSNS_LBL</v>
      </c>
      <c r="D196" s="143" t="s">
        <v>1114</v>
      </c>
      <c r="E196" s="143" t="s">
        <v>1235</v>
      </c>
      <c r="G196" s="160" t="e">
        <f>INDEX(Table1[[Especificação]:[Total Testes]],MATCH(Sheet1!C196,Table1[CONCAT],0),MATCH(Sheet1!B196,Table1[[#Headers],[Especificação]:[Total Testes]],0))</f>
        <v>#N/A</v>
      </c>
      <c r="H196" s="179" t="e">
        <f t="shared" si="18"/>
        <v>#N/A</v>
      </c>
      <c r="I196" s="181"/>
      <c r="J196" s="158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  <c r="AC196" s="153"/>
      <c r="AD196" s="153"/>
      <c r="AE196" s="153"/>
      <c r="AF196" s="153"/>
      <c r="AG196" s="153"/>
      <c r="AH196" s="153"/>
      <c r="AI196" s="153"/>
      <c r="AJ196" s="153"/>
      <c r="AK196" s="153"/>
      <c r="AL196" s="153"/>
      <c r="AM196" s="153"/>
      <c r="AN196" s="153"/>
      <c r="AO196" s="153"/>
      <c r="AP196" s="153"/>
      <c r="AQ196" s="153"/>
      <c r="AR196" s="153"/>
      <c r="AS196" s="153"/>
      <c r="AT196" s="153"/>
      <c r="AU196" s="153"/>
      <c r="AV196" s="153"/>
      <c r="AW196" s="153"/>
      <c r="AX196" s="153"/>
      <c r="AY196" s="153"/>
      <c r="AZ196" s="153"/>
      <c r="BA196" s="153"/>
      <c r="BB196" s="158"/>
      <c r="BC196" s="153"/>
      <c r="BD196" s="153"/>
      <c r="BE196" s="153"/>
      <c r="BF196" s="153"/>
      <c r="BG196" s="153"/>
      <c r="BH196" s="153"/>
      <c r="BI196" s="153"/>
      <c r="BJ196" s="153"/>
      <c r="BK196" s="153"/>
      <c r="BL196" s="153"/>
      <c r="BM196" s="153"/>
      <c r="BN196" s="153"/>
      <c r="BO196" s="153"/>
      <c r="BP196" s="153"/>
      <c r="BQ196" s="153"/>
      <c r="BR196" s="153"/>
      <c r="BS196" s="153"/>
      <c r="BT196" s="153"/>
      <c r="BU196" s="153"/>
      <c r="BV196" s="153"/>
      <c r="BW196" s="153"/>
      <c r="BX196" s="153"/>
      <c r="BY196" s="153"/>
      <c r="BZ196" s="153"/>
      <c r="CA196" s="153"/>
      <c r="CB196" s="153"/>
      <c r="CC196" s="153"/>
      <c r="CD196" s="153"/>
      <c r="CE196" s="153"/>
      <c r="CF196" s="153"/>
      <c r="CG196" s="153"/>
      <c r="CH196" s="153"/>
      <c r="CI196" s="158"/>
      <c r="CJ196" s="153"/>
      <c r="CK196" s="153"/>
      <c r="CL196" s="153"/>
      <c r="CM196" s="153"/>
      <c r="CN196" s="158"/>
      <c r="CO196" s="153"/>
      <c r="CP196" s="153"/>
      <c r="CQ196" s="153"/>
    </row>
    <row r="197" spans="2:95" hidden="1" outlineLevel="1" x14ac:dyDescent="0.3">
      <c r="B197" s="146" t="str">
        <f>Table1[[#Headers],[Total Testes]]</f>
        <v>Total Testes</v>
      </c>
      <c r="C197" s="144" t="str">
        <f t="shared" si="17"/>
        <v>PROTECTION_EPC_EMSSNS_LBL</v>
      </c>
      <c r="D197" s="143" t="s">
        <v>1114</v>
      </c>
      <c r="E197" s="143" t="s">
        <v>1238</v>
      </c>
      <c r="G197" s="160" t="e">
        <f>INDEX(Table1[[Especificação]:[Total Testes]],MATCH(Sheet1!C197,Table1[CONCAT],0),MATCH(Sheet1!B197,Table1[[#Headers],[Especificação]:[Total Testes]],0))</f>
        <v>#N/A</v>
      </c>
      <c r="H197" s="179" t="e">
        <f t="shared" si="18"/>
        <v>#N/A</v>
      </c>
      <c r="I197" s="181"/>
      <c r="J197" s="158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  <c r="AC197" s="153"/>
      <c r="AD197" s="153"/>
      <c r="AE197" s="153"/>
      <c r="AF197" s="153"/>
      <c r="AG197" s="153"/>
      <c r="AH197" s="153"/>
      <c r="AI197" s="153"/>
      <c r="AJ197" s="153"/>
      <c r="AK197" s="153"/>
      <c r="AL197" s="153"/>
      <c r="AM197" s="153"/>
      <c r="AN197" s="153"/>
      <c r="AO197" s="153"/>
      <c r="AP197" s="153"/>
      <c r="AQ197" s="153"/>
      <c r="AR197" s="153"/>
      <c r="AS197" s="153"/>
      <c r="AT197" s="153"/>
      <c r="AU197" s="153"/>
      <c r="AV197" s="153"/>
      <c r="AW197" s="153"/>
      <c r="AX197" s="153"/>
      <c r="AY197" s="153"/>
      <c r="AZ197" s="153"/>
      <c r="BA197" s="153"/>
      <c r="BB197" s="158"/>
      <c r="BC197" s="153"/>
      <c r="BD197" s="153"/>
      <c r="BE197" s="153"/>
      <c r="BF197" s="153"/>
      <c r="BG197" s="153"/>
      <c r="BH197" s="153"/>
      <c r="BI197" s="153"/>
      <c r="BJ197" s="153"/>
      <c r="BK197" s="153"/>
      <c r="BL197" s="153"/>
      <c r="BM197" s="153"/>
      <c r="BN197" s="153"/>
      <c r="BO197" s="153"/>
      <c r="BP197" s="153"/>
      <c r="BQ197" s="153"/>
      <c r="BR197" s="153"/>
      <c r="BS197" s="153"/>
      <c r="BT197" s="153"/>
      <c r="BU197" s="153"/>
      <c r="BV197" s="153"/>
      <c r="BW197" s="153"/>
      <c r="BX197" s="153"/>
      <c r="BY197" s="153"/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8"/>
      <c r="CJ197" s="153"/>
      <c r="CK197" s="153"/>
      <c r="CL197" s="153"/>
      <c r="CM197" s="153"/>
      <c r="CN197" s="158"/>
      <c r="CO197" s="153"/>
      <c r="CP197" s="153"/>
      <c r="CQ197" s="153"/>
    </row>
    <row r="198" spans="2:95" hidden="1" outlineLevel="1" x14ac:dyDescent="0.3">
      <c r="B198" s="146" t="str">
        <f>Table1[[#Headers],[Total Testes]]</f>
        <v>Total Testes</v>
      </c>
      <c r="C198" s="144" t="str">
        <f t="shared" si="17"/>
        <v>PROTECTION_VHCL_EMSSNS_LBL</v>
      </c>
      <c r="D198" s="143" t="s">
        <v>1114</v>
      </c>
      <c r="E198" s="143" t="s">
        <v>1241</v>
      </c>
      <c r="G198" s="160" t="e">
        <f>INDEX(Table1[[Especificação]:[Total Testes]],MATCH(Sheet1!C198,Table1[CONCAT],0),MATCH(Sheet1!B198,Table1[[#Headers],[Especificação]:[Total Testes]],0))</f>
        <v>#N/A</v>
      </c>
      <c r="H198" s="179" t="e">
        <f t="shared" si="18"/>
        <v>#N/A</v>
      </c>
      <c r="I198" s="181"/>
      <c r="J198" s="158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  <c r="AC198" s="153"/>
      <c r="AD198" s="153"/>
      <c r="AE198" s="153"/>
      <c r="AF198" s="153"/>
      <c r="AG198" s="153"/>
      <c r="AH198" s="153"/>
      <c r="AI198" s="153"/>
      <c r="AJ198" s="153"/>
      <c r="AK198" s="153"/>
      <c r="AL198" s="153"/>
      <c r="AM198" s="153"/>
      <c r="AN198" s="153"/>
      <c r="AO198" s="153"/>
      <c r="AP198" s="153"/>
      <c r="AQ198" s="153"/>
      <c r="AR198" s="153"/>
      <c r="AS198" s="153"/>
      <c r="AT198" s="153"/>
      <c r="AU198" s="153"/>
      <c r="AV198" s="153"/>
      <c r="AW198" s="153"/>
      <c r="AX198" s="153"/>
      <c r="AY198" s="153"/>
      <c r="AZ198" s="153"/>
      <c r="BA198" s="153"/>
      <c r="BB198" s="158"/>
      <c r="BC198" s="153"/>
      <c r="BD198" s="153"/>
      <c r="BE198" s="153"/>
      <c r="BF198" s="153"/>
      <c r="BG198" s="153"/>
      <c r="BH198" s="153"/>
      <c r="BI198" s="153"/>
      <c r="BJ198" s="153"/>
      <c r="BK198" s="153"/>
      <c r="BL198" s="153"/>
      <c r="BM198" s="153"/>
      <c r="BN198" s="153"/>
      <c r="BO198" s="153"/>
      <c r="BP198" s="153"/>
      <c r="BQ198" s="153"/>
      <c r="BR198" s="153"/>
      <c r="BS198" s="153"/>
      <c r="BT198" s="153"/>
      <c r="BU198" s="153"/>
      <c r="BV198" s="153"/>
      <c r="BW198" s="153"/>
      <c r="BX198" s="153"/>
      <c r="BY198" s="153"/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8"/>
      <c r="CJ198" s="153"/>
      <c r="CK198" s="153"/>
      <c r="CL198" s="153"/>
      <c r="CM198" s="153"/>
      <c r="CN198" s="158"/>
      <c r="CO198" s="153"/>
      <c r="CP198" s="153"/>
      <c r="CQ198" s="153"/>
    </row>
    <row r="199" spans="2:95" hidden="1" outlineLevel="1" x14ac:dyDescent="0.3">
      <c r="B199" s="146" t="str">
        <f>Table1[[#Headers],[Total Testes]]</f>
        <v>Total Testes</v>
      </c>
      <c r="C199" s="144" t="str">
        <f t="shared" si="17"/>
        <v>PROTECTION_TYP_EMSSNS_SCR</v>
      </c>
      <c r="D199" s="143" t="s">
        <v>1114</v>
      </c>
      <c r="E199" s="143" t="s">
        <v>1244</v>
      </c>
      <c r="G199" s="160" t="e">
        <f>INDEX(Table1[[Especificação]:[Total Testes]],MATCH(Sheet1!C199,Table1[CONCAT],0),MATCH(Sheet1!B199,Table1[[#Headers],[Especificação]:[Total Testes]],0))</f>
        <v>#N/A</v>
      </c>
      <c r="H199" s="179" t="e">
        <f t="shared" si="18"/>
        <v>#N/A</v>
      </c>
      <c r="I199" s="181"/>
      <c r="J199" s="158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3"/>
      <c r="AK199" s="153"/>
      <c r="AL199" s="153"/>
      <c r="AM199" s="153"/>
      <c r="AN199" s="153"/>
      <c r="AO199" s="153"/>
      <c r="AP199" s="153"/>
      <c r="AQ199" s="153"/>
      <c r="AR199" s="153"/>
      <c r="AS199" s="153"/>
      <c r="AT199" s="153"/>
      <c r="AU199" s="153"/>
      <c r="AV199" s="153"/>
      <c r="AW199" s="153"/>
      <c r="AX199" s="153"/>
      <c r="AY199" s="153"/>
      <c r="AZ199" s="153"/>
      <c r="BA199" s="153"/>
      <c r="BB199" s="158"/>
      <c r="BC199" s="153"/>
      <c r="BD199" s="153"/>
      <c r="BE199" s="153"/>
      <c r="BF199" s="153"/>
      <c r="BG199" s="153"/>
      <c r="BH199" s="153"/>
      <c r="BI199" s="153"/>
      <c r="BJ199" s="153"/>
      <c r="BK199" s="153"/>
      <c r="BL199" s="153"/>
      <c r="BM199" s="153"/>
      <c r="BN199" s="153"/>
      <c r="BO199" s="153"/>
      <c r="BP199" s="153"/>
      <c r="BQ199" s="153"/>
      <c r="BR199" s="153"/>
      <c r="BS199" s="153"/>
      <c r="BT199" s="153"/>
      <c r="BU199" s="153"/>
      <c r="BV199" s="153"/>
      <c r="BW199" s="153"/>
      <c r="BX199" s="153"/>
      <c r="BY199" s="153"/>
      <c r="BZ199" s="153"/>
      <c r="CA199" s="153"/>
      <c r="CB199" s="153"/>
      <c r="CC199" s="153"/>
      <c r="CD199" s="153"/>
      <c r="CE199" s="153"/>
      <c r="CF199" s="153"/>
      <c r="CG199" s="153"/>
      <c r="CH199" s="153"/>
      <c r="CI199" s="158"/>
      <c r="CJ199" s="153"/>
      <c r="CK199" s="153"/>
      <c r="CL199" s="153"/>
      <c r="CM199" s="153"/>
      <c r="CN199" s="158"/>
      <c r="CO199" s="153"/>
      <c r="CP199" s="153"/>
      <c r="CQ199" s="153"/>
    </row>
    <row r="200" spans="2:95" hidden="1" outlineLevel="1" x14ac:dyDescent="0.3">
      <c r="B200" s="146" t="str">
        <f>Table1[[#Headers],[Total Testes]]</f>
        <v>Total Testes</v>
      </c>
      <c r="C200" s="144" t="str">
        <f t="shared" si="17"/>
        <v>PROTECTION_EPC_EMSSNS_SCR</v>
      </c>
      <c r="D200" s="143" t="s">
        <v>1114</v>
      </c>
      <c r="E200" s="143" t="s">
        <v>1247</v>
      </c>
      <c r="G200" s="160" t="e">
        <f>INDEX(Table1[[Especificação]:[Total Testes]],MATCH(Sheet1!C200,Table1[CONCAT],0),MATCH(Sheet1!B200,Table1[[#Headers],[Especificação]:[Total Testes]],0))</f>
        <v>#N/A</v>
      </c>
      <c r="H200" s="179" t="e">
        <f t="shared" si="18"/>
        <v>#N/A</v>
      </c>
      <c r="I200" s="181"/>
      <c r="J200" s="158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  <c r="AC200" s="153"/>
      <c r="AD200" s="153"/>
      <c r="AE200" s="153"/>
      <c r="AF200" s="153"/>
      <c r="AG200" s="153"/>
      <c r="AH200" s="153"/>
      <c r="AI200" s="153"/>
      <c r="AJ200" s="153"/>
      <c r="AK200" s="153"/>
      <c r="AL200" s="153"/>
      <c r="AM200" s="153"/>
      <c r="AN200" s="153"/>
      <c r="AO200" s="153"/>
      <c r="AP200" s="153"/>
      <c r="AQ200" s="153"/>
      <c r="AR200" s="153"/>
      <c r="AS200" s="153"/>
      <c r="AT200" s="153"/>
      <c r="AU200" s="153"/>
      <c r="AV200" s="153"/>
      <c r="AW200" s="153"/>
      <c r="AX200" s="153"/>
      <c r="AY200" s="153"/>
      <c r="AZ200" s="153"/>
      <c r="BA200" s="153"/>
      <c r="BB200" s="158"/>
      <c r="BC200" s="153"/>
      <c r="BD200" s="153"/>
      <c r="BE200" s="153"/>
      <c r="BF200" s="153"/>
      <c r="BG200" s="153"/>
      <c r="BH200" s="153"/>
      <c r="BI200" s="153"/>
      <c r="BJ200" s="153"/>
      <c r="BK200" s="153"/>
      <c r="BL200" s="153"/>
      <c r="BM200" s="153"/>
      <c r="BN200" s="153"/>
      <c r="BO200" s="153"/>
      <c r="BP200" s="153"/>
      <c r="BQ200" s="153"/>
      <c r="BR200" s="153"/>
      <c r="BS200" s="153"/>
      <c r="BT200" s="153"/>
      <c r="BU200" s="153"/>
      <c r="BV200" s="153"/>
      <c r="BW200" s="153"/>
      <c r="BX200" s="153"/>
      <c r="BY200" s="153"/>
      <c r="BZ200" s="153"/>
      <c r="CA200" s="153"/>
      <c r="CB200" s="153"/>
      <c r="CC200" s="153"/>
      <c r="CD200" s="153"/>
      <c r="CE200" s="153"/>
      <c r="CF200" s="153"/>
      <c r="CG200" s="153"/>
      <c r="CH200" s="153"/>
      <c r="CI200" s="158"/>
      <c r="CJ200" s="153"/>
      <c r="CK200" s="153"/>
      <c r="CL200" s="153"/>
      <c r="CM200" s="153"/>
      <c r="CN200" s="158"/>
      <c r="CO200" s="153"/>
      <c r="CP200" s="153"/>
      <c r="CQ200" s="153"/>
    </row>
    <row r="201" spans="2:95" hidden="1" outlineLevel="1" x14ac:dyDescent="0.3">
      <c r="B201" s="146" t="str">
        <f>Table1[[#Headers],[Total Testes]]</f>
        <v>Total Testes</v>
      </c>
      <c r="C201" s="144" t="str">
        <f t="shared" si="17"/>
        <v>PROTECTION_VHCL_EMSSNS_SCR</v>
      </c>
      <c r="D201" s="143" t="s">
        <v>1114</v>
      </c>
      <c r="E201" s="143" t="s">
        <v>1250</v>
      </c>
      <c r="G201" s="160" t="e">
        <f>INDEX(Table1[[Especificação]:[Total Testes]],MATCH(Sheet1!C201,Table1[CONCAT],0),MATCH(Sheet1!B201,Table1[[#Headers],[Especificação]:[Total Testes]],0))</f>
        <v>#N/A</v>
      </c>
      <c r="H201" s="179" t="e">
        <f t="shared" si="18"/>
        <v>#N/A</v>
      </c>
      <c r="I201" s="181"/>
      <c r="J201" s="158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  <c r="AC201" s="153"/>
      <c r="AD201" s="153"/>
      <c r="AE201" s="153"/>
      <c r="AF201" s="153"/>
      <c r="AG201" s="153"/>
      <c r="AH201" s="153"/>
      <c r="AI201" s="153"/>
      <c r="AJ201" s="153"/>
      <c r="AK201" s="153"/>
      <c r="AL201" s="153"/>
      <c r="AM201" s="153"/>
      <c r="AN201" s="153"/>
      <c r="AO201" s="153"/>
      <c r="AP201" s="153"/>
      <c r="AQ201" s="153"/>
      <c r="AR201" s="153"/>
      <c r="AS201" s="153"/>
      <c r="AT201" s="153"/>
      <c r="AU201" s="153"/>
      <c r="AV201" s="153"/>
      <c r="AW201" s="153"/>
      <c r="AX201" s="153"/>
      <c r="AY201" s="153"/>
      <c r="AZ201" s="153"/>
      <c r="BA201" s="153"/>
      <c r="BB201" s="158"/>
      <c r="BC201" s="153"/>
      <c r="BD201" s="153"/>
      <c r="BE201" s="153"/>
      <c r="BF201" s="153"/>
      <c r="BG201" s="153"/>
      <c r="BH201" s="153"/>
      <c r="BI201" s="153"/>
      <c r="BJ201" s="153"/>
      <c r="BK201" s="153"/>
      <c r="BL201" s="153"/>
      <c r="BM201" s="153"/>
      <c r="BN201" s="153"/>
      <c r="BO201" s="153"/>
      <c r="BP201" s="153"/>
      <c r="BQ201" s="153"/>
      <c r="BR201" s="153"/>
      <c r="BS201" s="153"/>
      <c r="BT201" s="153"/>
      <c r="BU201" s="153"/>
      <c r="BV201" s="153"/>
      <c r="BW201" s="153"/>
      <c r="BX201" s="153"/>
      <c r="BY201" s="153"/>
      <c r="BZ201" s="153"/>
      <c r="CA201" s="153"/>
      <c r="CB201" s="153"/>
      <c r="CC201" s="153"/>
      <c r="CD201" s="153"/>
      <c r="CE201" s="153"/>
      <c r="CF201" s="153"/>
      <c r="CG201" s="153"/>
      <c r="CH201" s="153"/>
      <c r="CI201" s="158"/>
      <c r="CJ201" s="153"/>
      <c r="CK201" s="153"/>
      <c r="CL201" s="153"/>
      <c r="CM201" s="153"/>
      <c r="CN201" s="158"/>
      <c r="CO201" s="153"/>
      <c r="CP201" s="153"/>
      <c r="CQ201" s="153"/>
    </row>
    <row r="202" spans="2:95" hidden="1" outlineLevel="1" x14ac:dyDescent="0.3">
      <c r="B202" s="146" t="str">
        <f>Table1[[#Headers],[Total Testes]]</f>
        <v>Total Testes</v>
      </c>
      <c r="C202" s="144" t="str">
        <f t="shared" si="17"/>
        <v>PROTECTION_INSRNC_ID</v>
      </c>
      <c r="D202" s="143" t="s">
        <v>1114</v>
      </c>
      <c r="E202" s="143" t="s">
        <v>1275</v>
      </c>
      <c r="G202" s="160" t="e">
        <f>INDEX(Table1[[Especificação]:[Total Testes]],MATCH(Sheet1!C202,Table1[CONCAT],0),MATCH(Sheet1!B202,Table1[[#Headers],[Especificação]:[Total Testes]],0))</f>
        <v>#N/A</v>
      </c>
      <c r="H202" s="179" t="e">
        <f t="shared" si="18"/>
        <v>#N/A</v>
      </c>
      <c r="I202" s="181"/>
      <c r="J202" s="158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  <c r="AC202" s="153"/>
      <c r="AD202" s="153"/>
      <c r="AE202" s="153"/>
      <c r="AF202" s="153"/>
      <c r="AG202" s="153"/>
      <c r="AH202" s="153"/>
      <c r="AI202" s="153"/>
      <c r="AJ202" s="153"/>
      <c r="AK202" s="153"/>
      <c r="AL202" s="153"/>
      <c r="AM202" s="153"/>
      <c r="AN202" s="153"/>
      <c r="AO202" s="153"/>
      <c r="AP202" s="153"/>
      <c r="AQ202" s="153"/>
      <c r="AR202" s="153"/>
      <c r="AS202" s="153"/>
      <c r="AT202" s="153"/>
      <c r="AU202" s="153"/>
      <c r="AV202" s="153"/>
      <c r="AW202" s="153"/>
      <c r="AX202" s="153"/>
      <c r="AY202" s="153"/>
      <c r="AZ202" s="153"/>
      <c r="BA202" s="153"/>
      <c r="BB202" s="158"/>
      <c r="BC202" s="153"/>
      <c r="BD202" s="153"/>
      <c r="BE202" s="153"/>
      <c r="BF202" s="153"/>
      <c r="BG202" s="153"/>
      <c r="BH202" s="153"/>
      <c r="BI202" s="153"/>
      <c r="BJ202" s="153"/>
      <c r="BK202" s="153"/>
      <c r="BL202" s="153"/>
      <c r="BM202" s="153"/>
      <c r="BN202" s="153"/>
      <c r="BO202" s="153"/>
      <c r="BP202" s="153"/>
      <c r="BQ202" s="153"/>
      <c r="BR202" s="153"/>
      <c r="BS202" s="153"/>
      <c r="BT202" s="153"/>
      <c r="BU202" s="153"/>
      <c r="BV202" s="153"/>
      <c r="BW202" s="153"/>
      <c r="BX202" s="153"/>
      <c r="BY202" s="153"/>
      <c r="BZ202" s="153"/>
      <c r="CA202" s="153"/>
      <c r="CB202" s="153"/>
      <c r="CC202" s="153"/>
      <c r="CD202" s="153"/>
      <c r="CE202" s="153"/>
      <c r="CF202" s="153"/>
      <c r="CG202" s="153"/>
      <c r="CH202" s="153"/>
      <c r="CI202" s="158"/>
      <c r="CJ202" s="153"/>
      <c r="CK202" s="153"/>
      <c r="CL202" s="153"/>
      <c r="CM202" s="153"/>
      <c r="CN202" s="158"/>
      <c r="CO202" s="153"/>
      <c r="CP202" s="153"/>
      <c r="CQ202" s="153"/>
    </row>
    <row r="203" spans="2:95" hidden="1" outlineLevel="1" x14ac:dyDescent="0.3">
      <c r="B203" s="146" t="str">
        <f>Table1[[#Headers],[Total Testes]]</f>
        <v>Total Testes</v>
      </c>
      <c r="C203" s="144" t="str">
        <f t="shared" si="17"/>
        <v>PROTECTION_TYP_HZRDS_INSRD</v>
      </c>
      <c r="D203" s="143" t="s">
        <v>1114</v>
      </c>
      <c r="E203" s="143" t="s">
        <v>1278</v>
      </c>
      <c r="G203" s="160" t="e">
        <f>INDEX(Table1[[Especificação]:[Total Testes]],MATCH(Sheet1!C203,Table1[CONCAT],0),MATCH(Sheet1!B203,Table1[[#Headers],[Especificação]:[Total Testes]],0))</f>
        <v>#N/A</v>
      </c>
      <c r="H203" s="179" t="e">
        <f t="shared" si="18"/>
        <v>#N/A</v>
      </c>
      <c r="I203" s="181"/>
      <c r="J203" s="158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153"/>
      <c r="AF203" s="153"/>
      <c r="AG203" s="153"/>
      <c r="AH203" s="153"/>
      <c r="AI203" s="153"/>
      <c r="AJ203" s="153"/>
      <c r="AK203" s="153"/>
      <c r="AL203" s="153"/>
      <c r="AM203" s="153"/>
      <c r="AN203" s="153"/>
      <c r="AO203" s="153"/>
      <c r="AP203" s="153"/>
      <c r="AQ203" s="153"/>
      <c r="AR203" s="153"/>
      <c r="AS203" s="153"/>
      <c r="AT203" s="153"/>
      <c r="AU203" s="153"/>
      <c r="AV203" s="153"/>
      <c r="AW203" s="153"/>
      <c r="AX203" s="153"/>
      <c r="AY203" s="153"/>
      <c r="AZ203" s="153"/>
      <c r="BA203" s="153"/>
      <c r="BB203" s="158"/>
      <c r="BC203" s="153"/>
      <c r="BD203" s="153"/>
      <c r="BE203" s="153"/>
      <c r="BF203" s="153"/>
      <c r="BG203" s="153"/>
      <c r="BH203" s="153"/>
      <c r="BI203" s="153"/>
      <c r="BJ203" s="153"/>
      <c r="BK203" s="153"/>
      <c r="BL203" s="153"/>
      <c r="BM203" s="153"/>
      <c r="BN203" s="153"/>
      <c r="BO203" s="153"/>
      <c r="BP203" s="153"/>
      <c r="BQ203" s="153"/>
      <c r="BR203" s="153"/>
      <c r="BS203" s="153"/>
      <c r="BT203" s="153"/>
      <c r="BU203" s="153"/>
      <c r="BV203" s="153"/>
      <c r="BW203" s="153"/>
      <c r="BX203" s="153"/>
      <c r="BY203" s="153"/>
      <c r="BZ203" s="153"/>
      <c r="CA203" s="153"/>
      <c r="CB203" s="153"/>
      <c r="CC203" s="153"/>
      <c r="CD203" s="153"/>
      <c r="CE203" s="153"/>
      <c r="CF203" s="153"/>
      <c r="CG203" s="153"/>
      <c r="CH203" s="153"/>
      <c r="CI203" s="158"/>
      <c r="CJ203" s="153"/>
      <c r="CK203" s="153"/>
      <c r="CL203" s="153"/>
      <c r="CM203" s="153"/>
      <c r="CN203" s="158"/>
      <c r="CO203" s="153"/>
      <c r="CP203" s="153"/>
      <c r="CQ203" s="153"/>
    </row>
    <row r="204" spans="2:95" hidden="1" outlineLevel="1" x14ac:dyDescent="0.3">
      <c r="B204" s="146" t="str">
        <f>Table1[[#Headers],[Total Testes]]</f>
        <v>Total Testes</v>
      </c>
      <c r="C204" s="144" t="str">
        <f t="shared" si="17"/>
        <v>PROTECTION_AMNT_CVRD_INSRNC</v>
      </c>
      <c r="D204" s="143" t="s">
        <v>1114</v>
      </c>
      <c r="E204" s="143" t="s">
        <v>1281</v>
      </c>
      <c r="G204" s="160" t="e">
        <f>INDEX(Table1[[Especificação]:[Total Testes]],MATCH(Sheet1!C204,Table1[CONCAT],0),MATCH(Sheet1!B204,Table1[[#Headers],[Especificação]:[Total Testes]],0))</f>
        <v>#N/A</v>
      </c>
      <c r="H204" s="179" t="e">
        <f t="shared" si="18"/>
        <v>#N/A</v>
      </c>
      <c r="I204" s="181"/>
      <c r="J204" s="158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  <c r="AC204" s="153"/>
      <c r="AD204" s="153"/>
      <c r="AE204" s="153"/>
      <c r="AF204" s="153"/>
      <c r="AG204" s="153"/>
      <c r="AH204" s="153"/>
      <c r="AI204" s="153"/>
      <c r="AJ204" s="153"/>
      <c r="AK204" s="153"/>
      <c r="AL204" s="153"/>
      <c r="AM204" s="153"/>
      <c r="AN204" s="153"/>
      <c r="AO204" s="153"/>
      <c r="AP204" s="153"/>
      <c r="AQ204" s="153"/>
      <c r="AR204" s="153"/>
      <c r="AS204" s="153"/>
      <c r="AT204" s="153"/>
      <c r="AU204" s="153"/>
      <c r="AV204" s="153"/>
      <c r="AW204" s="153"/>
      <c r="AX204" s="153"/>
      <c r="AY204" s="153"/>
      <c r="AZ204" s="153"/>
      <c r="BA204" s="153"/>
      <c r="BB204" s="158"/>
      <c r="BC204" s="153"/>
      <c r="BD204" s="153"/>
      <c r="BE204" s="153"/>
      <c r="BF204" s="153"/>
      <c r="BG204" s="153"/>
      <c r="BH204" s="153"/>
      <c r="BI204" s="191"/>
      <c r="BJ204" s="153"/>
      <c r="BK204" s="153"/>
      <c r="BL204" s="153"/>
      <c r="BM204" s="153"/>
      <c r="BN204" s="153"/>
      <c r="BO204" s="153"/>
      <c r="BP204" s="153"/>
      <c r="BQ204" s="153"/>
      <c r="BR204" s="153"/>
      <c r="BS204" s="153"/>
      <c r="BT204" s="153"/>
      <c r="BU204" s="153"/>
      <c r="BV204" s="153"/>
      <c r="BW204" s="153"/>
      <c r="BX204" s="153"/>
      <c r="BY204" s="153"/>
      <c r="BZ204" s="153"/>
      <c r="CA204" s="153"/>
      <c r="CB204" s="153"/>
      <c r="CC204" s="153"/>
      <c r="CD204" s="153"/>
      <c r="CE204" s="153"/>
      <c r="CF204" s="153"/>
      <c r="CG204" s="153"/>
      <c r="CH204" s="153"/>
      <c r="CI204" s="158"/>
      <c r="CJ204" s="153"/>
      <c r="CK204" s="153"/>
      <c r="CL204" s="153"/>
      <c r="CM204" s="153"/>
      <c r="CN204" s="158"/>
      <c r="CO204" s="153"/>
      <c r="CP204" s="153"/>
      <c r="CQ204" s="153"/>
    </row>
    <row r="205" spans="2:95" hidden="1" outlineLevel="1" x14ac:dyDescent="0.3">
      <c r="B205" s="146" t="str">
        <f>Table1[[#Headers],[Total Testes]]</f>
        <v>Total Testes</v>
      </c>
      <c r="C205" s="144" t="str">
        <f t="shared" si="17"/>
        <v>PROTECTION_DT_MTRTY_INSRNC</v>
      </c>
      <c r="D205" s="143" t="s">
        <v>1114</v>
      </c>
      <c r="E205" s="143" t="s">
        <v>1284</v>
      </c>
      <c r="G205" s="160" t="e">
        <f>INDEX(Table1[[Especificação]:[Total Testes]],MATCH(Sheet1!C205,Table1[CONCAT],0),MATCH(Sheet1!B205,Table1[[#Headers],[Especificação]:[Total Testes]],0))</f>
        <v>#N/A</v>
      </c>
      <c r="H205" s="179" t="e">
        <f t="shared" si="18"/>
        <v>#N/A</v>
      </c>
      <c r="I205" s="181"/>
      <c r="J205" s="158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  <c r="AC205" s="153"/>
      <c r="AD205" s="153"/>
      <c r="AE205" s="153"/>
      <c r="AF205" s="153"/>
      <c r="AG205" s="153"/>
      <c r="AH205" s="153"/>
      <c r="AI205" s="153"/>
      <c r="AJ205" s="153"/>
      <c r="AK205" s="153"/>
      <c r="AL205" s="153"/>
      <c r="AM205" s="153"/>
      <c r="AN205" s="153"/>
      <c r="AO205" s="153"/>
      <c r="AP205" s="153"/>
      <c r="AQ205" s="153"/>
      <c r="AR205" s="153"/>
      <c r="AS205" s="153"/>
      <c r="AT205" s="153"/>
      <c r="AU205" s="153"/>
      <c r="AV205" s="153"/>
      <c r="AW205" s="153"/>
      <c r="AX205" s="153"/>
      <c r="AY205" s="153"/>
      <c r="AZ205" s="153"/>
      <c r="BA205" s="153"/>
      <c r="BB205" s="158"/>
      <c r="BC205" s="153"/>
      <c r="BD205" s="153"/>
      <c r="BE205" s="153"/>
      <c r="BF205" s="153"/>
      <c r="BG205" s="153"/>
      <c r="BH205" s="153"/>
      <c r="BI205" s="153"/>
      <c r="BJ205" s="153"/>
      <c r="BK205" s="153"/>
      <c r="BL205" s="153"/>
      <c r="BM205" s="153"/>
      <c r="BN205" s="153"/>
      <c r="BO205" s="153"/>
      <c r="BP205" s="153"/>
      <c r="BQ205" s="153"/>
      <c r="BR205" s="153"/>
      <c r="BS205" s="153"/>
      <c r="BT205" s="153"/>
      <c r="BU205" s="153"/>
      <c r="BV205" s="153"/>
      <c r="BW205" s="153"/>
      <c r="BX205" s="153"/>
      <c r="BY205" s="153"/>
      <c r="BZ205" s="153"/>
      <c r="CA205" s="153"/>
      <c r="CB205" s="153"/>
      <c r="CC205" s="153"/>
      <c r="CD205" s="153"/>
      <c r="CE205" s="153"/>
      <c r="CF205" s="153"/>
      <c r="CG205" s="153"/>
      <c r="CH205" s="153"/>
      <c r="CI205" s="158"/>
      <c r="CJ205" s="153"/>
      <c r="CK205" s="153"/>
      <c r="CL205" s="153"/>
      <c r="CM205" s="153"/>
      <c r="CN205" s="158"/>
      <c r="CO205" s="153"/>
      <c r="CP205" s="153"/>
      <c r="CQ205" s="153"/>
    </row>
    <row r="206" spans="2:95" hidden="1" outlineLevel="1" x14ac:dyDescent="0.3">
      <c r="B206" s="146" t="str">
        <f>Table1[[#Headers],[Total Testes]]</f>
        <v>Total Testes</v>
      </c>
      <c r="C206" s="144" t="str">
        <f t="shared" si="17"/>
        <v>PROTECTION_FLG_FRST_HM</v>
      </c>
      <c r="D206" s="143" t="s">
        <v>1114</v>
      </c>
      <c r="E206" s="145" t="s">
        <v>1287</v>
      </c>
      <c r="G206" s="160" t="e">
        <f>INDEX(Table1[[Especificação]:[Total Testes]],MATCH(Sheet1!C206,Table1[CONCAT],0),MATCH(Sheet1!B206,Table1[[#Headers],[Especificação]:[Total Testes]],0))</f>
        <v>#N/A</v>
      </c>
      <c r="H206" s="179" t="e">
        <f t="shared" si="18"/>
        <v>#N/A</v>
      </c>
      <c r="I206" s="181"/>
      <c r="J206" s="158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3"/>
      <c r="AK206" s="153"/>
      <c r="AL206" s="153"/>
      <c r="AM206" s="153"/>
      <c r="AN206" s="153"/>
      <c r="AO206" s="153"/>
      <c r="AP206" s="153"/>
      <c r="AQ206" s="153"/>
      <c r="AR206" s="153"/>
      <c r="AS206" s="153"/>
      <c r="AT206" s="153"/>
      <c r="AU206" s="153"/>
      <c r="AV206" s="153"/>
      <c r="AW206" s="153"/>
      <c r="AX206" s="153"/>
      <c r="AY206" s="153"/>
      <c r="AZ206" s="153"/>
      <c r="BA206" s="153"/>
      <c r="BB206" s="158"/>
      <c r="BC206" s="153"/>
      <c r="BD206" s="153"/>
      <c r="BE206" s="153"/>
      <c r="BF206" s="153"/>
      <c r="BG206" s="153"/>
      <c r="BH206" s="153"/>
      <c r="BI206" s="153"/>
      <c r="BJ206" s="153"/>
      <c r="BK206" s="153"/>
      <c r="BL206" s="153"/>
      <c r="BM206" s="153"/>
      <c r="BN206" s="153"/>
      <c r="BO206" s="153"/>
      <c r="BP206" s="153"/>
      <c r="BQ206" s="153"/>
      <c r="BR206" s="153"/>
      <c r="BS206" s="153"/>
      <c r="BT206" s="153"/>
      <c r="BU206" s="153"/>
      <c r="BV206" s="153"/>
      <c r="BW206" s="153"/>
      <c r="BX206" s="153"/>
      <c r="BY206" s="153"/>
      <c r="BZ206" s="153"/>
      <c r="CA206" s="153"/>
      <c r="CB206" s="153"/>
      <c r="CC206" s="153"/>
      <c r="CD206" s="153"/>
      <c r="CE206" s="153"/>
      <c r="CF206" s="153"/>
      <c r="CG206" s="153"/>
      <c r="CH206" s="153"/>
      <c r="CI206" s="158"/>
      <c r="CJ206" s="153"/>
      <c r="CK206" s="153"/>
      <c r="CL206" s="153"/>
      <c r="CM206" s="153"/>
      <c r="CN206" s="158"/>
      <c r="CO206" s="153"/>
      <c r="CP206" s="153"/>
      <c r="CQ206" s="153"/>
    </row>
    <row r="207" spans="2:95" hidden="1" outlineLevel="1" x14ac:dyDescent="0.3">
      <c r="B207" s="146" t="str">
        <f>Table1[[#Headers],[Total Testes]]</f>
        <v>Total Testes</v>
      </c>
      <c r="C207" s="144" t="str">
        <f t="shared" si="17"/>
        <v>ENTITY_ENTTY_NM</v>
      </c>
      <c r="D207" s="143" t="s">
        <v>10</v>
      </c>
      <c r="E207" s="143" t="s">
        <v>59</v>
      </c>
      <c r="G207" s="160" t="e">
        <f>INDEX(Table1[[Especificação]:[Total Testes]],MATCH(Sheet1!C207,Table1[CONCAT],0),MATCH(Sheet1!B207,Table1[[#Headers],[Especificação]:[Total Testes]],0))</f>
        <v>#N/A</v>
      </c>
      <c r="H207" s="179" t="e">
        <f t="shared" si="18"/>
        <v>#N/A</v>
      </c>
      <c r="I207" s="181"/>
      <c r="J207" s="158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153"/>
      <c r="AJ207" s="153"/>
      <c r="AK207" s="153"/>
      <c r="AL207" s="153"/>
      <c r="AM207" s="153"/>
      <c r="AN207" s="153"/>
      <c r="AO207" s="153"/>
      <c r="AP207" s="153"/>
      <c r="AQ207" s="153"/>
      <c r="AR207" s="153"/>
      <c r="AS207" s="153"/>
      <c r="AT207" s="153"/>
      <c r="AU207" s="153"/>
      <c r="AV207" s="153"/>
      <c r="AW207" s="153"/>
      <c r="AX207" s="153"/>
      <c r="AY207" s="153"/>
      <c r="AZ207" s="153"/>
      <c r="BA207" s="153"/>
      <c r="BB207" s="158"/>
      <c r="BC207" s="153"/>
      <c r="BD207" s="153"/>
      <c r="BE207" s="153"/>
      <c r="BF207" s="153"/>
      <c r="BG207" s="153"/>
      <c r="BH207" s="153"/>
      <c r="BI207" s="153"/>
      <c r="BJ207" s="153"/>
      <c r="BK207" s="153"/>
      <c r="BL207" s="153"/>
      <c r="BM207" s="153"/>
      <c r="BN207" s="153"/>
      <c r="BO207" s="153"/>
      <c r="BP207" s="153"/>
      <c r="BQ207" s="153"/>
      <c r="BR207" s="153"/>
      <c r="BS207" s="153"/>
      <c r="BT207" s="153"/>
      <c r="BU207" s="153"/>
      <c r="BV207" s="153"/>
      <c r="BW207" s="153"/>
      <c r="BX207" s="153"/>
      <c r="BY207" s="153"/>
      <c r="BZ207" s="153"/>
      <c r="CA207" s="153"/>
      <c r="CB207" s="153"/>
      <c r="CC207" s="153"/>
      <c r="CD207" s="153"/>
      <c r="CE207" s="153"/>
      <c r="CF207" s="153"/>
      <c r="CG207" s="153"/>
      <c r="CH207" s="153"/>
      <c r="CI207" s="158"/>
      <c r="CJ207" s="153"/>
      <c r="CK207" s="153"/>
      <c r="CL207" s="153"/>
      <c r="CM207" s="153"/>
      <c r="CN207" s="158"/>
      <c r="CO207" s="153"/>
      <c r="CP207" s="153"/>
      <c r="CQ207" s="153"/>
    </row>
    <row r="208" spans="2:95" hidden="1" outlineLevel="1" x14ac:dyDescent="0.3">
      <c r="B208" s="146" t="str">
        <f>Table1[[#Headers],[Total Testes]]</f>
        <v>Total Testes</v>
      </c>
      <c r="C208" s="144" t="str">
        <f t="shared" si="17"/>
        <v>ENTITY_EC_GRP_NM</v>
      </c>
      <c r="D208" s="143" t="s">
        <v>10</v>
      </c>
      <c r="E208" s="143" t="s">
        <v>284</v>
      </c>
      <c r="G208" s="160" t="e">
        <f>INDEX(Table1[[Especificação]:[Total Testes]],MATCH(Sheet1!C208,Table1[CONCAT],0),MATCH(Sheet1!B208,Table1[[#Headers],[Especificação]:[Total Testes]],0))</f>
        <v>#N/A</v>
      </c>
      <c r="H208" s="179" t="e">
        <f t="shared" si="18"/>
        <v>#N/A</v>
      </c>
      <c r="I208" s="181"/>
      <c r="J208" s="158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8"/>
      <c r="BC208" s="153"/>
      <c r="BD208" s="153"/>
      <c r="BE208" s="153"/>
      <c r="BF208" s="153"/>
      <c r="BG208" s="153"/>
      <c r="BH208" s="153"/>
      <c r="BI208" s="153"/>
      <c r="BJ208" s="153"/>
      <c r="BK208" s="153"/>
      <c r="BL208" s="153"/>
      <c r="BM208" s="153"/>
      <c r="BN208" s="153"/>
      <c r="BO208" s="153"/>
      <c r="BP208" s="153"/>
      <c r="BQ208" s="153"/>
      <c r="BR208" s="153"/>
      <c r="BS208" s="153"/>
      <c r="BT208" s="153"/>
      <c r="BU208" s="153"/>
      <c r="BV208" s="153"/>
      <c r="BW208" s="153"/>
      <c r="BX208" s="153"/>
      <c r="BY208" s="153"/>
      <c r="BZ208" s="153"/>
      <c r="CA208" s="153"/>
      <c r="CB208" s="153"/>
      <c r="CC208" s="153"/>
      <c r="CD208" s="153"/>
      <c r="CE208" s="153"/>
      <c r="CF208" s="153"/>
      <c r="CG208" s="153"/>
      <c r="CH208" s="153"/>
      <c r="CI208" s="158"/>
      <c r="CJ208" s="153"/>
      <c r="CK208" s="153"/>
      <c r="CL208" s="153"/>
      <c r="CM208" s="153"/>
      <c r="CN208" s="158"/>
      <c r="CO208" s="153"/>
      <c r="CP208" s="153"/>
      <c r="CQ208" s="153"/>
    </row>
    <row r="209" spans="2:95" hidden="1" outlineLevel="1" x14ac:dyDescent="0.3">
      <c r="B209" s="146" t="str">
        <f>Table1[[#Headers],[Total Testes]]</f>
        <v>Total Testes</v>
      </c>
      <c r="C209" s="144" t="str">
        <f t="shared" si="17"/>
        <v>INSTRUMENT_FRBRNC_STTS_INSTRMNT</v>
      </c>
      <c r="D209" s="143" t="s">
        <v>414</v>
      </c>
      <c r="E209" s="143" t="s">
        <v>501</v>
      </c>
      <c r="G209" s="160" t="e">
        <f>INDEX(Table1[[Especificação]:[Total Testes]],MATCH(Sheet1!C209,Table1[CONCAT],0),MATCH(Sheet1!B209,Table1[[#Headers],[Especificação]:[Total Testes]],0))</f>
        <v>#N/A</v>
      </c>
      <c r="H209" s="179" t="e">
        <f t="shared" si="18"/>
        <v>#N/A</v>
      </c>
      <c r="I209" s="181"/>
      <c r="J209" s="158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  <c r="AC209" s="153"/>
      <c r="AD209" s="153"/>
      <c r="AE209" s="153"/>
      <c r="AF209" s="153"/>
      <c r="AG209" s="153"/>
      <c r="AH209" s="153"/>
      <c r="AI209" s="153"/>
      <c r="AJ209" s="153"/>
      <c r="AK209" s="153"/>
      <c r="AL209" s="153"/>
      <c r="AM209" s="153"/>
      <c r="AN209" s="153"/>
      <c r="AO209" s="153"/>
      <c r="AP209" s="153"/>
      <c r="AQ209" s="153"/>
      <c r="AR209" s="153"/>
      <c r="AS209" s="153"/>
      <c r="AT209" s="153"/>
      <c r="AU209" s="153"/>
      <c r="AV209" s="153"/>
      <c r="AW209" s="153"/>
      <c r="AX209" s="153"/>
      <c r="AY209" s="153"/>
      <c r="AZ209" s="153"/>
      <c r="BA209" s="153"/>
      <c r="BB209" s="158"/>
      <c r="BC209" s="153"/>
      <c r="BD209" s="153"/>
      <c r="BE209" s="153"/>
      <c r="BF209" s="153"/>
      <c r="BG209" s="153"/>
      <c r="BH209" s="153"/>
      <c r="BI209" s="153"/>
      <c r="BJ209" s="153"/>
      <c r="BK209" s="153"/>
      <c r="BL209" s="153"/>
      <c r="BM209" s="153"/>
      <c r="BN209" s="153"/>
      <c r="BO209" s="153"/>
      <c r="BP209" s="153"/>
      <c r="BQ209" s="153"/>
      <c r="BR209" s="153"/>
      <c r="BS209" s="153"/>
      <c r="BT209" s="153"/>
      <c r="BU209" s="153"/>
      <c r="BV209" s="153"/>
      <c r="BW209" s="153"/>
      <c r="BX209" s="153"/>
      <c r="BY209" s="153"/>
      <c r="BZ209" s="153"/>
      <c r="CA209" s="153"/>
      <c r="CB209" s="153"/>
      <c r="CC209" s="153"/>
      <c r="CD209" s="153"/>
      <c r="CE209" s="153"/>
      <c r="CF209" s="153"/>
      <c r="CG209" s="153"/>
      <c r="CH209" s="153"/>
      <c r="CI209" s="158"/>
      <c r="CJ209" s="153"/>
      <c r="CK209" s="153"/>
      <c r="CL209" s="153"/>
      <c r="CM209" s="153"/>
      <c r="CN209" s="158"/>
      <c r="CO209" s="153"/>
      <c r="CP209" s="153"/>
      <c r="CQ209" s="153"/>
    </row>
    <row r="210" spans="2:95" hidden="1" outlineLevel="1" x14ac:dyDescent="0.3">
      <c r="B210" s="146" t="str">
        <f>Table1[[#Headers],[Total Testes]]</f>
        <v>Total Testes</v>
      </c>
      <c r="C210" s="144" t="str">
        <f t="shared" si="17"/>
        <v>INSTRUMENT_IFRS9_BHVRL_MTRTY</v>
      </c>
      <c r="D210" s="143" t="s">
        <v>414</v>
      </c>
      <c r="E210" s="143" t="s">
        <v>614</v>
      </c>
      <c r="G210" s="160" t="e">
        <f>INDEX(Table1[[Especificação]:[Total Testes]],MATCH(Sheet1!C210,Table1[CONCAT],0),MATCH(Sheet1!B210,Table1[[#Headers],[Especificação]:[Total Testes]],0))</f>
        <v>#N/A</v>
      </c>
      <c r="H210" s="179" t="e">
        <f t="shared" si="18"/>
        <v>#N/A</v>
      </c>
      <c r="I210" s="181"/>
      <c r="J210" s="158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  <c r="AC210" s="153"/>
      <c r="AD210" s="153"/>
      <c r="AE210" s="153"/>
      <c r="AF210" s="153"/>
      <c r="AG210" s="153"/>
      <c r="AH210" s="153"/>
      <c r="AI210" s="153"/>
      <c r="AJ210" s="153"/>
      <c r="AK210" s="153"/>
      <c r="AL210" s="153"/>
      <c r="AM210" s="153"/>
      <c r="AN210" s="153"/>
      <c r="AO210" s="153"/>
      <c r="AP210" s="153"/>
      <c r="AQ210" s="153"/>
      <c r="AR210" s="153"/>
      <c r="AS210" s="153"/>
      <c r="AT210" s="153"/>
      <c r="AU210" s="153"/>
      <c r="AV210" s="153"/>
      <c r="AW210" s="153"/>
      <c r="AX210" s="153"/>
      <c r="AY210" s="153"/>
      <c r="AZ210" s="153"/>
      <c r="BA210" s="153"/>
      <c r="BB210" s="158"/>
      <c r="BC210" s="153"/>
      <c r="BD210" s="153"/>
      <c r="BE210" s="153"/>
      <c r="BF210" s="153"/>
      <c r="BG210" s="153"/>
      <c r="BH210" s="153"/>
      <c r="BI210" s="153"/>
      <c r="BJ210" s="153"/>
      <c r="BK210" s="153"/>
      <c r="BL210" s="153"/>
      <c r="BM210" s="153"/>
      <c r="BN210" s="153"/>
      <c r="BO210" s="153"/>
      <c r="BP210" s="153"/>
      <c r="BQ210" s="153"/>
      <c r="BR210" s="153"/>
      <c r="BS210" s="153"/>
      <c r="BT210" s="153"/>
      <c r="BU210" s="153"/>
      <c r="BV210" s="153"/>
      <c r="BW210" s="153"/>
      <c r="BX210" s="153"/>
      <c r="BY210" s="153"/>
      <c r="BZ210" s="153"/>
      <c r="CA210" s="153"/>
      <c r="CB210" s="153"/>
      <c r="CC210" s="153"/>
      <c r="CD210" s="153"/>
      <c r="CE210" s="153"/>
      <c r="CF210" s="153"/>
      <c r="CG210" s="153"/>
      <c r="CH210" s="153"/>
      <c r="CI210" s="158"/>
      <c r="CJ210" s="153"/>
      <c r="CK210" s="153"/>
      <c r="CL210" s="153"/>
      <c r="CM210" s="153"/>
      <c r="CN210" s="158"/>
      <c r="CO210" s="153"/>
      <c r="CP210" s="153"/>
      <c r="CQ210" s="153"/>
    </row>
    <row r="211" spans="2:95" hidden="1" outlineLevel="1" x14ac:dyDescent="0.3">
      <c r="B211" s="146" t="str">
        <f>Table1[[#Headers],[Total Testes]]</f>
        <v>Total Testes</v>
      </c>
      <c r="C211" s="144" t="str">
        <f t="shared" si="17"/>
        <v>INSTRUMENT_LTV</v>
      </c>
      <c r="D211" s="143" t="s">
        <v>414</v>
      </c>
      <c r="E211" s="143" t="s">
        <v>724</v>
      </c>
      <c r="G211" s="160" t="e">
        <f>INDEX(Table1[[Especificação]:[Total Testes]],MATCH(Sheet1!C211,Table1[CONCAT],0),MATCH(Sheet1!B211,Table1[[#Headers],[Especificação]:[Total Testes]],0))</f>
        <v>#N/A</v>
      </c>
      <c r="H211" s="179" t="e">
        <f t="shared" si="18"/>
        <v>#N/A</v>
      </c>
      <c r="I211" s="181"/>
      <c r="J211" s="158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  <c r="AC211" s="153"/>
      <c r="AD211" s="153"/>
      <c r="AE211" s="153"/>
      <c r="AF211" s="153"/>
      <c r="AG211" s="153"/>
      <c r="AH211" s="153"/>
      <c r="AI211" s="153"/>
      <c r="AJ211" s="153"/>
      <c r="AK211" s="153"/>
      <c r="AL211" s="153"/>
      <c r="AM211" s="153"/>
      <c r="AN211" s="153"/>
      <c r="AO211" s="153"/>
      <c r="AP211" s="153"/>
      <c r="AQ211" s="153"/>
      <c r="AR211" s="153"/>
      <c r="AS211" s="153"/>
      <c r="AT211" s="153"/>
      <c r="AU211" s="153"/>
      <c r="AV211" s="153"/>
      <c r="AW211" s="153"/>
      <c r="AX211" s="153"/>
      <c r="AY211" s="153"/>
      <c r="AZ211" s="153"/>
      <c r="BA211" s="153"/>
      <c r="BB211" s="158"/>
      <c r="BC211" s="153"/>
      <c r="BD211" s="153"/>
      <c r="BE211" s="153"/>
      <c r="BF211" s="153"/>
      <c r="BG211" s="153"/>
      <c r="BH211" s="153"/>
      <c r="BI211" s="153"/>
      <c r="BJ211" s="153"/>
      <c r="BK211" s="153"/>
      <c r="BL211" s="153"/>
      <c r="BM211" s="153"/>
      <c r="BN211" s="153"/>
      <c r="BO211" s="153"/>
      <c r="BP211" s="153"/>
      <c r="BQ211" s="153"/>
      <c r="BR211" s="153"/>
      <c r="BS211" s="153"/>
      <c r="BT211" s="153"/>
      <c r="BU211" s="153"/>
      <c r="BV211" s="153"/>
      <c r="BW211" s="153"/>
      <c r="BX211" s="153"/>
      <c r="BY211" s="153"/>
      <c r="BZ211" s="153"/>
      <c r="CA211" s="153"/>
      <c r="CB211" s="153"/>
      <c r="CC211" s="153"/>
      <c r="CD211" s="153"/>
      <c r="CE211" s="153"/>
      <c r="CF211" s="153"/>
      <c r="CG211" s="153"/>
      <c r="CH211" s="153"/>
      <c r="CI211" s="158"/>
      <c r="CJ211" s="153"/>
      <c r="CK211" s="153"/>
      <c r="CL211" s="153"/>
      <c r="CM211" s="153"/>
      <c r="CN211" s="158"/>
      <c r="CO211" s="153"/>
      <c r="CP211" s="153"/>
      <c r="CQ211" s="153"/>
    </row>
    <row r="212" spans="2:95" hidden="1" outlineLevel="1" x14ac:dyDescent="0.3">
      <c r="B212" s="146" t="str">
        <f>Table1[[#Headers],[Total Testes]]</f>
        <v>Total Testes</v>
      </c>
      <c r="C212" s="144" t="str">
        <f t="shared" si="17"/>
        <v>INSTRUMENT_LTV_INCPTN</v>
      </c>
      <c r="D212" s="143" t="s">
        <v>414</v>
      </c>
      <c r="E212" s="143" t="s">
        <v>727</v>
      </c>
      <c r="G212" s="160" t="e">
        <f>INDEX(Table1[[Especificação]:[Total Testes]],MATCH(Sheet1!C212,Table1[CONCAT],0),MATCH(Sheet1!B212,Table1[[#Headers],[Especificação]:[Total Testes]],0))</f>
        <v>#N/A</v>
      </c>
      <c r="H212" s="179" t="e">
        <f t="shared" si="18"/>
        <v>#N/A</v>
      </c>
      <c r="I212" s="181"/>
      <c r="J212" s="158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  <c r="AC212" s="153"/>
      <c r="AD212" s="153"/>
      <c r="AE212" s="153"/>
      <c r="AF212" s="153"/>
      <c r="AG212" s="153"/>
      <c r="AH212" s="153"/>
      <c r="AI212" s="153"/>
      <c r="AJ212" s="153"/>
      <c r="AK212" s="153"/>
      <c r="AL212" s="153"/>
      <c r="AM212" s="153"/>
      <c r="AN212" s="153"/>
      <c r="AO212" s="153"/>
      <c r="AP212" s="153"/>
      <c r="AQ212" s="153"/>
      <c r="AR212" s="153"/>
      <c r="AS212" s="153"/>
      <c r="AT212" s="153"/>
      <c r="AU212" s="153"/>
      <c r="AV212" s="153"/>
      <c r="AW212" s="153"/>
      <c r="AX212" s="153"/>
      <c r="AY212" s="153"/>
      <c r="AZ212" s="153"/>
      <c r="BA212" s="153"/>
      <c r="BB212" s="158"/>
      <c r="BC212" s="153"/>
      <c r="BD212" s="153"/>
      <c r="BE212" s="153"/>
      <c r="BF212" s="153"/>
      <c r="BG212" s="153"/>
      <c r="BH212" s="153"/>
      <c r="BI212" s="153"/>
      <c r="BJ212" s="153"/>
      <c r="BK212" s="153"/>
      <c r="BL212" s="153"/>
      <c r="BM212" s="153"/>
      <c r="BN212" s="153"/>
      <c r="BO212" s="153"/>
      <c r="BP212" s="153"/>
      <c r="BQ212" s="153"/>
      <c r="BR212" s="153"/>
      <c r="BS212" s="153"/>
      <c r="BT212" s="153"/>
      <c r="BU212" s="153"/>
      <c r="BV212" s="153"/>
      <c r="BW212" s="153"/>
      <c r="BX212" s="153"/>
      <c r="BY212" s="153"/>
      <c r="BZ212" s="153"/>
      <c r="CA212" s="153"/>
      <c r="CB212" s="153"/>
      <c r="CC212" s="153"/>
      <c r="CD212" s="153"/>
      <c r="CE212" s="153"/>
      <c r="CF212" s="153"/>
      <c r="CG212" s="153"/>
      <c r="CH212" s="153"/>
      <c r="CI212" s="158"/>
      <c r="CJ212" s="153"/>
      <c r="CK212" s="153"/>
      <c r="CL212" s="153"/>
      <c r="CM212" s="153"/>
      <c r="CN212" s="158"/>
      <c r="CO212" s="153"/>
      <c r="CP212" s="153"/>
      <c r="CQ212" s="153"/>
    </row>
    <row r="213" spans="2:95" hidden="1" outlineLevel="1" x14ac:dyDescent="0.3">
      <c r="B213" s="146" t="str">
        <f>Table1[[#Headers],[Total Testes]]</f>
        <v>Total Testes</v>
      </c>
      <c r="C213" s="144" t="str">
        <f t="shared" si="17"/>
        <v>INSTRUMENT_ANNLSD_AGRD_RT</v>
      </c>
      <c r="D213" s="143" t="s">
        <v>414</v>
      </c>
      <c r="E213" s="143" t="s">
        <v>757</v>
      </c>
      <c r="G213" s="160" t="e">
        <f>INDEX(Table1[[Especificação]:[Total Testes]],MATCH(Sheet1!C213,Table1[CONCAT],0),MATCH(Sheet1!B213,Table1[[#Headers],[Especificação]:[Total Testes]],0))</f>
        <v>#N/A</v>
      </c>
      <c r="H213" s="179" t="e">
        <f t="shared" si="18"/>
        <v>#N/A</v>
      </c>
      <c r="I213" s="181"/>
      <c r="J213" s="158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3"/>
      <c r="AK213" s="153"/>
      <c r="AL213" s="153"/>
      <c r="AM213" s="153"/>
      <c r="AN213" s="153"/>
      <c r="AO213" s="153"/>
      <c r="AP213" s="153"/>
      <c r="AQ213" s="153"/>
      <c r="AR213" s="153"/>
      <c r="AS213" s="153"/>
      <c r="AT213" s="153"/>
      <c r="AU213" s="153"/>
      <c r="AV213" s="153"/>
      <c r="AW213" s="153"/>
      <c r="AX213" s="153"/>
      <c r="AY213" s="153"/>
      <c r="AZ213" s="153"/>
      <c r="BA213" s="153"/>
      <c r="BB213" s="158"/>
      <c r="BC213" s="153"/>
      <c r="BD213" s="153"/>
      <c r="BE213" s="153"/>
      <c r="BF213" s="153"/>
      <c r="BG213" s="153"/>
      <c r="BH213" s="153"/>
      <c r="BI213" s="153"/>
      <c r="BJ213" s="153"/>
      <c r="BK213" s="153"/>
      <c r="BL213" s="153"/>
      <c r="BM213" s="153"/>
      <c r="BN213" s="153"/>
      <c r="BO213" s="153"/>
      <c r="BP213" s="153"/>
      <c r="BQ213" s="153"/>
      <c r="BR213" s="153"/>
      <c r="BS213" s="153"/>
      <c r="BT213" s="153"/>
      <c r="BU213" s="153"/>
      <c r="BV213" s="153"/>
      <c r="BW213" s="153"/>
      <c r="BX213" s="153"/>
      <c r="BY213" s="153"/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8"/>
      <c r="CJ213" s="153"/>
      <c r="CK213" s="153"/>
      <c r="CL213" s="153"/>
      <c r="CM213" s="153"/>
      <c r="CN213" s="158"/>
      <c r="CO213" s="153"/>
      <c r="CP213" s="153"/>
      <c r="CQ213" s="153"/>
    </row>
    <row r="214" spans="2:95" hidden="1" outlineLevel="1" x14ac:dyDescent="0.3">
      <c r="B214" s="146" t="str">
        <f>Table1[[#Headers],[Total Testes]]</f>
        <v>Total Testes</v>
      </c>
      <c r="C214" s="144" t="str">
        <f t="shared" si="17"/>
        <v>INSTRUMENT_EIR_INCPTN</v>
      </c>
      <c r="D214" s="143" t="s">
        <v>414</v>
      </c>
      <c r="E214" s="143" t="s">
        <v>763</v>
      </c>
      <c r="G214" s="160" t="e">
        <f>INDEX(Table1[[Especificação]:[Total Testes]],MATCH(Sheet1!C214,Table1[CONCAT],0),MATCH(Sheet1!B214,Table1[[#Headers],[Especificação]:[Total Testes]],0))</f>
        <v>#N/A</v>
      </c>
      <c r="H214" s="179" t="e">
        <f t="shared" si="18"/>
        <v>#N/A</v>
      </c>
      <c r="I214" s="181"/>
      <c r="J214" s="158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  <c r="AC214" s="153"/>
      <c r="AD214" s="153"/>
      <c r="AE214" s="153"/>
      <c r="AF214" s="153"/>
      <c r="AG214" s="153"/>
      <c r="AH214" s="153"/>
      <c r="AI214" s="153"/>
      <c r="AJ214" s="153"/>
      <c r="AK214" s="153"/>
      <c r="AL214" s="153"/>
      <c r="AM214" s="153"/>
      <c r="AN214" s="153"/>
      <c r="AO214" s="153"/>
      <c r="AP214" s="153"/>
      <c r="AQ214" s="153"/>
      <c r="AR214" s="153"/>
      <c r="AS214" s="153"/>
      <c r="AT214" s="153"/>
      <c r="AU214" s="153"/>
      <c r="AV214" s="153"/>
      <c r="AW214" s="153"/>
      <c r="AX214" s="153"/>
      <c r="AY214" s="153"/>
      <c r="AZ214" s="153"/>
      <c r="BA214" s="153"/>
      <c r="BB214" s="158"/>
      <c r="BC214" s="153"/>
      <c r="BD214" s="153"/>
      <c r="BE214" s="153"/>
      <c r="BF214" s="153"/>
      <c r="BG214" s="153"/>
      <c r="BH214" s="153"/>
      <c r="BI214" s="153"/>
      <c r="BJ214" s="153"/>
      <c r="BK214" s="153"/>
      <c r="BL214" s="153"/>
      <c r="BM214" s="153"/>
      <c r="BN214" s="153"/>
      <c r="BO214" s="153"/>
      <c r="BP214" s="153"/>
      <c r="BQ214" s="153"/>
      <c r="BR214" s="153"/>
      <c r="BS214" s="153"/>
      <c r="BT214" s="153"/>
      <c r="BU214" s="153"/>
      <c r="BV214" s="153"/>
      <c r="BW214" s="153"/>
      <c r="BX214" s="153"/>
      <c r="BY214" s="153"/>
      <c r="BZ214" s="153"/>
      <c r="CA214" s="153"/>
      <c r="CB214" s="153"/>
      <c r="CC214" s="153"/>
      <c r="CD214" s="153"/>
      <c r="CE214" s="153"/>
      <c r="CF214" s="153"/>
      <c r="CG214" s="153"/>
      <c r="CH214" s="153"/>
      <c r="CI214" s="158"/>
      <c r="CJ214" s="153"/>
      <c r="CK214" s="153"/>
      <c r="CL214" s="153"/>
      <c r="CM214" s="153"/>
      <c r="CN214" s="158"/>
      <c r="CO214" s="153"/>
      <c r="CP214" s="153"/>
      <c r="CQ214" s="153"/>
    </row>
    <row r="215" spans="2:95" hidden="1" outlineLevel="1" x14ac:dyDescent="0.3">
      <c r="B215" s="146" t="str">
        <f>Table1[[#Headers],[Total Testes]]</f>
        <v>Total Testes</v>
      </c>
      <c r="C215" s="144" t="str">
        <f t="shared" si="17"/>
        <v>INSTRUMENT_NW_BSNSS</v>
      </c>
      <c r="D215" s="143" t="s">
        <v>414</v>
      </c>
      <c r="E215" s="143" t="s">
        <v>973</v>
      </c>
      <c r="G215" s="160">
        <f>INDEX(Table1[[Especificação]:[Total Testes]],MATCH(Sheet1!C215,Table1[CONCAT],0),MATCH(Sheet1!B215,Table1[[#Headers],[Especificação]:[Total Testes]],0))</f>
        <v>7</v>
      </c>
      <c r="H215" s="179">
        <f t="shared" si="18"/>
        <v>0.88</v>
      </c>
      <c r="I215" s="181"/>
      <c r="J215" s="158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  <c r="AC215" s="153"/>
      <c r="AD215" s="153"/>
      <c r="AE215" s="153"/>
      <c r="AF215" s="153"/>
      <c r="AG215" s="153"/>
      <c r="AH215" s="153"/>
      <c r="AI215" s="153"/>
      <c r="AJ215" s="153"/>
      <c r="AK215" s="153"/>
      <c r="AL215" s="153"/>
      <c r="AM215" s="153"/>
      <c r="AN215" s="153"/>
      <c r="AO215" s="153"/>
      <c r="AP215" s="153"/>
      <c r="AQ215" s="153"/>
      <c r="AR215" s="153"/>
      <c r="AS215" s="153"/>
      <c r="AT215" s="153"/>
      <c r="AU215" s="153"/>
      <c r="AV215" s="153"/>
      <c r="AW215" s="153"/>
      <c r="AX215" s="153"/>
      <c r="AY215" s="153"/>
      <c r="AZ215" s="153"/>
      <c r="BA215" s="153"/>
      <c r="BB215" s="158"/>
      <c r="BC215" s="153"/>
      <c r="BD215" s="153"/>
      <c r="BE215" s="153"/>
      <c r="BF215" s="153"/>
      <c r="BG215" s="153"/>
      <c r="BH215" s="153"/>
      <c r="BI215" s="153"/>
      <c r="BJ215" s="153"/>
      <c r="BK215" s="153"/>
      <c r="BL215" s="153"/>
      <c r="BM215" s="153"/>
      <c r="BN215" s="153"/>
      <c r="BO215" s="153"/>
      <c r="BP215" s="153"/>
      <c r="BQ215" s="153"/>
      <c r="BR215" s="153"/>
      <c r="BS215" s="153"/>
      <c r="BT215" s="153"/>
      <c r="BU215" s="153"/>
      <c r="BV215" s="153"/>
      <c r="BW215" s="153"/>
      <c r="BX215" s="153"/>
      <c r="BY215" s="153"/>
      <c r="BZ215" s="153"/>
      <c r="CA215" s="153"/>
      <c r="CB215" s="153"/>
      <c r="CC215" s="153"/>
      <c r="CD215" s="153"/>
      <c r="CE215" s="153"/>
      <c r="CF215" s="153"/>
      <c r="CG215" s="153"/>
      <c r="CH215" s="153"/>
      <c r="CI215" s="158"/>
      <c r="CJ215" s="153"/>
      <c r="CK215" s="153"/>
      <c r="CL215" s="153"/>
      <c r="CM215" s="153"/>
      <c r="CN215" s="158"/>
      <c r="CO215" s="153"/>
      <c r="CP215" s="153"/>
      <c r="CQ215" s="153"/>
    </row>
    <row r="216" spans="2:95" hidden="1" outlineLevel="1" x14ac:dyDescent="0.3">
      <c r="B216" s="146" t="str">
        <f>Table1[[#Headers],[Total Testes]]</f>
        <v>Total Testes</v>
      </c>
      <c r="C216" s="144" t="str">
        <f t="shared" si="17"/>
        <v>PROTECTION_YR_CNSTRCTN</v>
      </c>
      <c r="D216" s="143" t="s">
        <v>1114</v>
      </c>
      <c r="E216" s="143" t="s">
        <v>1290</v>
      </c>
      <c r="G216" s="160" t="e">
        <f>INDEX(Table1[[Especificação]:[Total Testes]],MATCH(Sheet1!C216,Table1[CONCAT],0),MATCH(Sheet1!B216,Table1[[#Headers],[Especificação]:[Total Testes]],0))</f>
        <v>#N/A</v>
      </c>
      <c r="H216" s="179" t="e">
        <f t="shared" si="18"/>
        <v>#N/A</v>
      </c>
      <c r="I216" s="181"/>
      <c r="J216" s="158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  <c r="AC216" s="153"/>
      <c r="AD216" s="153"/>
      <c r="AE216" s="153"/>
      <c r="AF216" s="153"/>
      <c r="AG216" s="153"/>
      <c r="AH216" s="153"/>
      <c r="AI216" s="153"/>
      <c r="AJ216" s="153"/>
      <c r="AK216" s="153"/>
      <c r="AL216" s="153"/>
      <c r="AM216" s="153"/>
      <c r="AN216" s="153"/>
      <c r="AO216" s="153"/>
      <c r="AP216" s="153"/>
      <c r="AQ216" s="153"/>
      <c r="AR216" s="153"/>
      <c r="AS216" s="153"/>
      <c r="AT216" s="153"/>
      <c r="AU216" s="153"/>
      <c r="AV216" s="153"/>
      <c r="AW216" s="153"/>
      <c r="AX216" s="153"/>
      <c r="AY216" s="153"/>
      <c r="AZ216" s="153"/>
      <c r="BA216" s="153"/>
      <c r="BB216" s="158"/>
      <c r="BC216" s="153"/>
      <c r="BD216" s="153"/>
      <c r="BE216" s="153"/>
      <c r="BF216" s="153"/>
      <c r="BG216" s="153"/>
      <c r="BH216" s="153"/>
      <c r="BI216" s="153"/>
      <c r="BJ216" s="153"/>
      <c r="BK216" s="153"/>
      <c r="BL216" s="153"/>
      <c r="BM216" s="153"/>
      <c r="BN216" s="153"/>
      <c r="BO216" s="153"/>
      <c r="BP216" s="153"/>
      <c r="BQ216" s="153"/>
      <c r="BR216" s="153"/>
      <c r="BS216" s="153"/>
      <c r="BT216" s="153"/>
      <c r="BU216" s="153"/>
      <c r="BV216" s="153"/>
      <c r="BW216" s="153"/>
      <c r="BX216" s="153"/>
      <c r="BY216" s="153"/>
      <c r="BZ216" s="153"/>
      <c r="CA216" s="153"/>
      <c r="CB216" s="153"/>
      <c r="CC216" s="153"/>
      <c r="CD216" s="153"/>
      <c r="CE216" s="153"/>
      <c r="CF216" s="153"/>
      <c r="CG216" s="153"/>
      <c r="CH216" s="153"/>
      <c r="CI216" s="158"/>
      <c r="CJ216" s="153"/>
      <c r="CK216" s="153"/>
      <c r="CL216" s="153"/>
      <c r="CM216" s="153"/>
      <c r="CN216" s="158"/>
      <c r="CO216" s="153"/>
      <c r="CP216" s="153"/>
      <c r="CQ216" s="153"/>
    </row>
    <row r="217" spans="2:95" hidden="1" outlineLevel="1" x14ac:dyDescent="0.3">
      <c r="B217" s="146" t="str">
        <f>Table1[[#Headers],[Total Testes]]</f>
        <v>Total Testes</v>
      </c>
      <c r="C217" s="144" t="str">
        <f t="shared" si="17"/>
        <v>INSTRUMENT_INTRNL_SGMNT</v>
      </c>
      <c r="D217" s="143" t="s">
        <v>414</v>
      </c>
      <c r="E217" s="143" t="s">
        <v>50</v>
      </c>
      <c r="G217" s="160" t="e">
        <f>INDEX(Table1[[Especificação]:[Total Testes]],MATCH(Sheet1!C217,Table1[CONCAT],0),MATCH(Sheet1!B217,Table1[[#Headers],[Especificação]:[Total Testes]],0))</f>
        <v>#N/A</v>
      </c>
      <c r="H217" s="179" t="e">
        <f t="shared" si="18"/>
        <v>#N/A</v>
      </c>
      <c r="I217" s="181"/>
      <c r="J217" s="158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  <c r="AC217" s="153"/>
      <c r="AD217" s="153"/>
      <c r="AE217" s="153"/>
      <c r="AF217" s="153"/>
      <c r="AG217" s="153"/>
      <c r="AH217" s="153"/>
      <c r="AI217" s="153"/>
      <c r="AJ217" s="153"/>
      <c r="AK217" s="153"/>
      <c r="AL217" s="153"/>
      <c r="AM217" s="153"/>
      <c r="AN217" s="153"/>
      <c r="AO217" s="153"/>
      <c r="AP217" s="153"/>
      <c r="AQ217" s="153"/>
      <c r="AR217" s="153"/>
      <c r="AS217" s="153"/>
      <c r="AT217" s="153"/>
      <c r="AU217" s="153"/>
      <c r="AV217" s="153"/>
      <c r="AW217" s="153"/>
      <c r="AX217" s="153"/>
      <c r="AY217" s="153"/>
      <c r="AZ217" s="153"/>
      <c r="BA217" s="153"/>
      <c r="BB217" s="158"/>
      <c r="BC217" s="153"/>
      <c r="BD217" s="153"/>
      <c r="BE217" s="153"/>
      <c r="BF217" s="153"/>
      <c r="BG217" s="153"/>
      <c r="BH217" s="153"/>
      <c r="BI217" s="153"/>
      <c r="BJ217" s="153"/>
      <c r="BK217" s="153"/>
      <c r="BL217" s="153"/>
      <c r="BM217" s="153"/>
      <c r="BN217" s="153"/>
      <c r="BO217" s="153"/>
      <c r="BP217" s="153"/>
      <c r="BQ217" s="153"/>
      <c r="BR217" s="153"/>
      <c r="BS217" s="153"/>
      <c r="BT217" s="153"/>
      <c r="BU217" s="153"/>
      <c r="BV217" s="153"/>
      <c r="BW217" s="153"/>
      <c r="BX217" s="153"/>
      <c r="BY217" s="153"/>
      <c r="BZ217" s="153"/>
      <c r="CA217" s="153"/>
      <c r="CB217" s="153"/>
      <c r="CC217" s="153"/>
      <c r="CD217" s="153"/>
      <c r="CE217" s="153"/>
      <c r="CF217" s="153"/>
      <c r="CG217" s="153"/>
      <c r="CH217" s="153"/>
      <c r="CI217" s="158"/>
      <c r="CJ217" s="153"/>
      <c r="CK217" s="153"/>
      <c r="CL217" s="153"/>
      <c r="CM217" s="153"/>
      <c r="CN217" s="158"/>
      <c r="CO217" s="153"/>
      <c r="CP217" s="153"/>
      <c r="CQ217" s="153"/>
    </row>
    <row r="218" spans="2:95" hidden="1" outlineLevel="1" x14ac:dyDescent="0.3">
      <c r="B218" s="146" t="str">
        <f>Table1[[#Headers],[Total Testes]]</f>
        <v>Total Testes</v>
      </c>
      <c r="C218" s="144" t="str">
        <f t="shared" si="17"/>
        <v>INSTRUMENT_EAD</v>
      </c>
      <c r="D218" s="143" t="s">
        <v>414</v>
      </c>
      <c r="E218" s="143" t="s">
        <v>617</v>
      </c>
      <c r="G218" s="160">
        <f>INDEX(Table1[[Especificação]:[Total Testes]],MATCH(Sheet1!C218,Table1[CONCAT],0),MATCH(Sheet1!B218,Table1[[#Headers],[Especificação]:[Total Testes]],0))</f>
        <v>2.5</v>
      </c>
      <c r="H218" s="179">
        <f t="shared" si="18"/>
        <v>0.31</v>
      </c>
      <c r="I218" s="181"/>
      <c r="J218" s="158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  <c r="AC218" s="153"/>
      <c r="AD218" s="153"/>
      <c r="AE218" s="153"/>
      <c r="AF218" s="153"/>
      <c r="AG218" s="153"/>
      <c r="AH218" s="153"/>
      <c r="AI218" s="153"/>
      <c r="AJ218" s="153"/>
      <c r="AK218" s="153"/>
      <c r="AL218" s="153"/>
      <c r="AM218" s="153"/>
      <c r="AN218" s="153"/>
      <c r="AO218" s="153"/>
      <c r="AP218" s="153"/>
      <c r="AQ218" s="153"/>
      <c r="AR218" s="153"/>
      <c r="AS218" s="153"/>
      <c r="AT218" s="153"/>
      <c r="AU218" s="153"/>
      <c r="AV218" s="153"/>
      <c r="AW218" s="153"/>
      <c r="AX218" s="153"/>
      <c r="AY218" s="153"/>
      <c r="AZ218" s="153"/>
      <c r="BA218" s="153"/>
      <c r="BB218" s="158"/>
      <c r="BC218" s="153"/>
      <c r="BD218" s="153"/>
      <c r="BE218" s="153"/>
      <c r="BF218" s="153"/>
      <c r="BG218" s="153"/>
      <c r="BH218" s="153"/>
      <c r="BI218" s="153"/>
      <c r="BJ218" s="153"/>
      <c r="BK218" s="153"/>
      <c r="BL218" s="153"/>
      <c r="BM218" s="153"/>
      <c r="BN218" s="153"/>
      <c r="BO218" s="153"/>
      <c r="BP218" s="153"/>
      <c r="BQ218" s="153"/>
      <c r="BR218" s="153"/>
      <c r="BS218" s="153"/>
      <c r="BT218" s="153"/>
      <c r="BU218" s="153"/>
      <c r="BV218" s="153"/>
      <c r="BW218" s="153"/>
      <c r="BX218" s="153"/>
      <c r="BY218" s="153"/>
      <c r="BZ218" s="153"/>
      <c r="CA218" s="153"/>
      <c r="CB218" s="153"/>
      <c r="CC218" s="153"/>
      <c r="CD218" s="153"/>
      <c r="CE218" s="153"/>
      <c r="CF218" s="153"/>
      <c r="CG218" s="153"/>
      <c r="CH218" s="153"/>
      <c r="CI218" s="158"/>
      <c r="CJ218" s="153"/>
      <c r="CK218" s="153"/>
      <c r="CL218" s="153"/>
      <c r="CM218" s="153"/>
      <c r="CN218" s="158"/>
      <c r="CO218" s="153"/>
      <c r="CP218" s="153"/>
      <c r="CQ218" s="153"/>
    </row>
    <row r="219" spans="2:95" hidden="1" outlineLevel="1" x14ac:dyDescent="0.3">
      <c r="B219" s="146" t="str">
        <f>Table1[[#Headers],[Total Testes]]</f>
        <v>Total Testes</v>
      </c>
      <c r="C219" s="144" t="str">
        <f t="shared" si="17"/>
        <v>INSTRUMENT_OFF_BLNC_SHT_AMNT_INSTRMNT</v>
      </c>
      <c r="D219" s="143" t="s">
        <v>414</v>
      </c>
      <c r="E219" s="143" t="s">
        <v>629</v>
      </c>
      <c r="G219" s="160">
        <f>INDEX(Table1[[Especificação]:[Total Testes]],MATCH(Sheet1!C219,Table1[CONCAT],0),MATCH(Sheet1!B219,Table1[[#Headers],[Especificação]:[Total Testes]],0))</f>
        <v>2.5</v>
      </c>
      <c r="H219" s="179">
        <f t="shared" si="18"/>
        <v>0.31</v>
      </c>
      <c r="I219" s="181"/>
      <c r="J219" s="158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  <c r="AC219" s="153"/>
      <c r="AD219" s="153"/>
      <c r="AE219" s="153"/>
      <c r="AF219" s="153"/>
      <c r="AG219" s="153"/>
      <c r="AH219" s="153"/>
      <c r="AI219" s="153"/>
      <c r="AJ219" s="153"/>
      <c r="AK219" s="153"/>
      <c r="AL219" s="153"/>
      <c r="AM219" s="153"/>
      <c r="AN219" s="153"/>
      <c r="AO219" s="153"/>
      <c r="AP219" s="153"/>
      <c r="AQ219" s="153"/>
      <c r="AR219" s="153"/>
      <c r="AS219" s="153"/>
      <c r="AT219" s="153"/>
      <c r="AU219" s="153"/>
      <c r="AV219" s="153"/>
      <c r="AW219" s="153"/>
      <c r="AX219" s="153"/>
      <c r="AY219" s="153"/>
      <c r="AZ219" s="153"/>
      <c r="BA219" s="153"/>
      <c r="BB219" s="158"/>
      <c r="BC219" s="153"/>
      <c r="BD219" s="153"/>
      <c r="BE219" s="153"/>
      <c r="BF219" s="153"/>
      <c r="BG219" s="153"/>
      <c r="BH219" s="153"/>
      <c r="BI219" s="153"/>
      <c r="BJ219" s="153"/>
      <c r="BK219" s="153"/>
      <c r="BL219" s="153"/>
      <c r="BM219" s="153"/>
      <c r="BN219" s="153"/>
      <c r="BO219" s="153"/>
      <c r="BP219" s="153"/>
      <c r="BQ219" s="153"/>
      <c r="BR219" s="153"/>
      <c r="BS219" s="153"/>
      <c r="BT219" s="153"/>
      <c r="BU219" s="153"/>
      <c r="BV219" s="153"/>
      <c r="BW219" s="153"/>
      <c r="BX219" s="153"/>
      <c r="BY219" s="153"/>
      <c r="BZ219" s="153"/>
      <c r="CA219" s="153"/>
      <c r="CB219" s="153"/>
      <c r="CC219" s="153"/>
      <c r="CD219" s="153"/>
      <c r="CE219" s="153"/>
      <c r="CF219" s="153"/>
      <c r="CG219" s="153"/>
      <c r="CH219" s="153"/>
      <c r="CI219" s="158"/>
      <c r="CJ219" s="153"/>
      <c r="CK219" s="153"/>
      <c r="CL219" s="153"/>
      <c r="CM219" s="153"/>
      <c r="CN219" s="158"/>
      <c r="CO219" s="153"/>
      <c r="CP219" s="153"/>
      <c r="CQ219" s="153"/>
    </row>
    <row r="220" spans="2:95" hidden="1" outlineLevel="1" x14ac:dyDescent="0.3">
      <c r="B220" s="146" t="str">
        <f>Table1[[#Headers],[Total Testes]]</f>
        <v>Total Testes</v>
      </c>
      <c r="C220" s="144" t="str">
        <f t="shared" si="17"/>
        <v>INSTRUMENT_INTRNL_SGMNT_CAT_MSTA</v>
      </c>
      <c r="D220" s="143" t="s">
        <v>414</v>
      </c>
      <c r="E220" s="143" t="s">
        <v>943</v>
      </c>
      <c r="G220" s="160" t="e">
        <f>INDEX(Table1[[Especificação]:[Total Testes]],MATCH(Sheet1!C220,Table1[CONCAT],0),MATCH(Sheet1!B220,Table1[[#Headers],[Especificação]:[Total Testes]],0))</f>
        <v>#N/A</v>
      </c>
      <c r="H220" s="179" t="e">
        <f t="shared" si="18"/>
        <v>#N/A</v>
      </c>
      <c r="I220" s="181"/>
      <c r="J220" s="158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3"/>
      <c r="AK220" s="153"/>
      <c r="AL220" s="153"/>
      <c r="AM220" s="153"/>
      <c r="AN220" s="153"/>
      <c r="AO220" s="153"/>
      <c r="AP220" s="153"/>
      <c r="AQ220" s="153"/>
      <c r="AR220" s="153"/>
      <c r="AS220" s="153"/>
      <c r="AT220" s="153"/>
      <c r="AU220" s="153"/>
      <c r="AV220" s="153"/>
      <c r="AW220" s="153"/>
      <c r="AX220" s="153"/>
      <c r="AY220" s="153"/>
      <c r="AZ220" s="153"/>
      <c r="BA220" s="153"/>
      <c r="BB220" s="158"/>
      <c r="BC220" s="153"/>
      <c r="BD220" s="153"/>
      <c r="BE220" s="153"/>
      <c r="BF220" s="153"/>
      <c r="BG220" s="153"/>
      <c r="BH220" s="153"/>
      <c r="BI220" s="153"/>
      <c r="BJ220" s="153"/>
      <c r="BK220" s="153"/>
      <c r="BL220" s="153"/>
      <c r="BM220" s="153"/>
      <c r="BN220" s="153"/>
      <c r="BO220" s="153"/>
      <c r="BP220" s="153"/>
      <c r="BQ220" s="153"/>
      <c r="BR220" s="153"/>
      <c r="BS220" s="153"/>
      <c r="BT220" s="153"/>
      <c r="BU220" s="153"/>
      <c r="BV220" s="153"/>
      <c r="BW220" s="153"/>
      <c r="BX220" s="153"/>
      <c r="BY220" s="153"/>
      <c r="BZ220" s="153"/>
      <c r="CA220" s="153"/>
      <c r="CB220" s="153"/>
      <c r="CC220" s="153"/>
      <c r="CD220" s="153"/>
      <c r="CE220" s="153"/>
      <c r="CF220" s="153"/>
      <c r="CG220" s="153"/>
      <c r="CH220" s="153"/>
      <c r="CI220" s="158"/>
      <c r="CJ220" s="153"/>
      <c r="CK220" s="153"/>
      <c r="CL220" s="153"/>
      <c r="CM220" s="153"/>
      <c r="CN220" s="158"/>
      <c r="CO220" s="153"/>
      <c r="CP220" s="153"/>
      <c r="CQ220" s="153"/>
    </row>
    <row r="221" spans="2:95" hidden="1" outlineLevel="1" x14ac:dyDescent="0.3">
      <c r="B221" s="146" t="str">
        <f>Table1[[#Headers],[Total Testes]]</f>
        <v>Total Testes</v>
      </c>
      <c r="C221" s="144" t="str">
        <f t="shared" ref="C221:C224" si="19">D221&amp;"_"&amp;E221</f>
        <v>INSTRUMENT_INTRNL_SGMNT_CATGSUB</v>
      </c>
      <c r="D221" s="143" t="s">
        <v>414</v>
      </c>
      <c r="E221" s="143" t="s">
        <v>946</v>
      </c>
      <c r="G221" s="160" t="e">
        <f>INDEX(Table1[[Especificação]:[Total Testes]],MATCH(Sheet1!C221,Table1[CONCAT],0),MATCH(Sheet1!B221,Table1[[#Headers],[Especificação]:[Total Testes]],0))</f>
        <v>#N/A</v>
      </c>
      <c r="H221" s="179" t="e">
        <f t="shared" ref="H221:H224" si="20">ROUND(G221/8,2)</f>
        <v>#N/A</v>
      </c>
      <c r="I221" s="181"/>
      <c r="J221" s="158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  <c r="AC221" s="153"/>
      <c r="AD221" s="153"/>
      <c r="AE221" s="153"/>
      <c r="AF221" s="153"/>
      <c r="AG221" s="153"/>
      <c r="AH221" s="153"/>
      <c r="AI221" s="153"/>
      <c r="AJ221" s="153"/>
      <c r="AK221" s="153"/>
      <c r="AL221" s="153"/>
      <c r="AM221" s="153"/>
      <c r="AN221" s="153"/>
      <c r="AO221" s="153"/>
      <c r="AP221" s="153"/>
      <c r="AQ221" s="153"/>
      <c r="AR221" s="153"/>
      <c r="AS221" s="153"/>
      <c r="AT221" s="153"/>
      <c r="AU221" s="153"/>
      <c r="AV221" s="153"/>
      <c r="AW221" s="153"/>
      <c r="AX221" s="153"/>
      <c r="AY221" s="153"/>
      <c r="AZ221" s="153"/>
      <c r="BA221" s="153"/>
      <c r="BB221" s="158"/>
      <c r="BC221" s="153"/>
      <c r="BD221" s="153"/>
      <c r="BE221" s="153"/>
      <c r="BF221" s="153"/>
      <c r="BG221" s="153"/>
      <c r="BH221" s="153"/>
      <c r="BI221" s="153"/>
      <c r="BJ221" s="153"/>
      <c r="BK221" s="153"/>
      <c r="BL221" s="153"/>
      <c r="BM221" s="153"/>
      <c r="BN221" s="153"/>
      <c r="BO221" s="153"/>
      <c r="BP221" s="153"/>
      <c r="BQ221" s="153"/>
      <c r="BR221" s="153"/>
      <c r="BS221" s="153"/>
      <c r="BT221" s="153"/>
      <c r="BU221" s="153"/>
      <c r="BV221" s="153"/>
      <c r="BW221" s="153"/>
      <c r="BX221" s="153"/>
      <c r="BY221" s="153"/>
      <c r="BZ221" s="153"/>
      <c r="CA221" s="153"/>
      <c r="CB221" s="153"/>
      <c r="CC221" s="153"/>
      <c r="CD221" s="153"/>
      <c r="CE221" s="153"/>
      <c r="CF221" s="153"/>
      <c r="CG221" s="153"/>
      <c r="CH221" s="153"/>
      <c r="CI221" s="158"/>
      <c r="CJ221" s="153"/>
      <c r="CK221" s="153"/>
      <c r="CL221" s="153"/>
      <c r="CM221" s="153"/>
      <c r="CN221" s="158"/>
      <c r="CO221" s="153"/>
      <c r="CP221" s="153"/>
      <c r="CQ221" s="153"/>
    </row>
    <row r="222" spans="2:95" hidden="1" outlineLevel="1" x14ac:dyDescent="0.3">
      <c r="B222" s="146" t="str">
        <f>Table1[[#Headers],[Total Testes]]</f>
        <v>Total Testes</v>
      </c>
      <c r="C222" s="144" t="str">
        <f t="shared" si="19"/>
        <v>PROTECTION_RL_ESTT_ADDRSS</v>
      </c>
      <c r="D222" s="143" t="s">
        <v>1114</v>
      </c>
      <c r="E222" s="143" t="s">
        <v>1127</v>
      </c>
      <c r="G222" s="160" t="e">
        <f>INDEX(Table1[[Especificação]:[Total Testes]],MATCH(Sheet1!C222,Table1[CONCAT],0),MATCH(Sheet1!B222,Table1[[#Headers],[Especificação]:[Total Testes]],0))</f>
        <v>#N/A</v>
      </c>
      <c r="H222" s="179" t="e">
        <f t="shared" si="20"/>
        <v>#N/A</v>
      </c>
      <c r="I222" s="181"/>
      <c r="J222" s="158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  <c r="AC222" s="153"/>
      <c r="AD222" s="153"/>
      <c r="AE222" s="153"/>
      <c r="AF222" s="153"/>
      <c r="AG222" s="153"/>
      <c r="AH222" s="153"/>
      <c r="AI222" s="153"/>
      <c r="AJ222" s="153"/>
      <c r="AK222" s="153"/>
      <c r="AL222" s="153"/>
      <c r="AM222" s="153"/>
      <c r="AN222" s="153"/>
      <c r="AO222" s="153"/>
      <c r="AP222" s="153"/>
      <c r="AQ222" s="153"/>
      <c r="AR222" s="153"/>
      <c r="AS222" s="153"/>
      <c r="AT222" s="153"/>
      <c r="AU222" s="153"/>
      <c r="AV222" s="153"/>
      <c r="AW222" s="153"/>
      <c r="AX222" s="153"/>
      <c r="AY222" s="153"/>
      <c r="AZ222" s="153"/>
      <c r="BA222" s="153"/>
      <c r="BB222" s="158"/>
      <c r="BC222" s="153"/>
      <c r="BD222" s="153"/>
      <c r="BE222" s="153"/>
      <c r="BF222" s="153"/>
      <c r="BG222" s="153"/>
      <c r="BH222" s="153"/>
      <c r="BI222" s="153"/>
      <c r="BJ222" s="153"/>
      <c r="BK222" s="153"/>
      <c r="BL222" s="153"/>
      <c r="BM222" s="153"/>
      <c r="BN222" s="153"/>
      <c r="BO222" s="153"/>
      <c r="BP222" s="153"/>
      <c r="BQ222" s="153"/>
      <c r="BR222" s="153"/>
      <c r="BS222" s="153"/>
      <c r="BT222" s="153"/>
      <c r="BU222" s="153"/>
      <c r="BV222" s="153"/>
      <c r="BW222" s="153"/>
      <c r="BX222" s="153"/>
      <c r="BY222" s="153"/>
      <c r="BZ222" s="153"/>
      <c r="CA222" s="153"/>
      <c r="CB222" s="153"/>
      <c r="CC222" s="153"/>
      <c r="CD222" s="153"/>
      <c r="CE222" s="153"/>
      <c r="CF222" s="153"/>
      <c r="CG222" s="153"/>
      <c r="CH222" s="153"/>
      <c r="CI222" s="158"/>
      <c r="CJ222" s="153"/>
      <c r="CK222" s="153"/>
      <c r="CL222" s="153"/>
      <c r="CM222" s="153"/>
      <c r="CN222" s="158"/>
      <c r="CO222" s="153"/>
      <c r="CP222" s="153"/>
      <c r="CQ222" s="153"/>
    </row>
    <row r="223" spans="2:95" hidden="1" outlineLevel="1" x14ac:dyDescent="0.3">
      <c r="B223" s="146" t="str">
        <f>Table1[[#Headers],[Total Testes]]</f>
        <v>Total Testes</v>
      </c>
      <c r="C223" s="144" t="str">
        <f t="shared" si="19"/>
        <v>PROTECTION_RL_ESTT_CLLTRL_LCTN_INT</v>
      </c>
      <c r="D223" s="143" t="s">
        <v>1114</v>
      </c>
      <c r="E223" s="143" t="s">
        <v>1133</v>
      </c>
      <c r="G223" s="160" t="e">
        <f>INDEX(Table1[[Especificação]:[Total Testes]],MATCH(Sheet1!C223,Table1[CONCAT],0),MATCH(Sheet1!B223,Table1[[#Headers],[Especificação]:[Total Testes]],0))</f>
        <v>#N/A</v>
      </c>
      <c r="H223" s="179" t="e">
        <f t="shared" si="20"/>
        <v>#N/A</v>
      </c>
      <c r="I223" s="181"/>
      <c r="J223" s="158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  <c r="AC223" s="153"/>
      <c r="AD223" s="153"/>
      <c r="AE223" s="153"/>
      <c r="AF223" s="153"/>
      <c r="AG223" s="153"/>
      <c r="AH223" s="153"/>
      <c r="AI223" s="153"/>
      <c r="AJ223" s="153"/>
      <c r="AK223" s="153"/>
      <c r="AL223" s="153"/>
      <c r="AM223" s="153"/>
      <c r="AN223" s="153"/>
      <c r="AO223" s="153"/>
      <c r="AP223" s="153"/>
      <c r="AQ223" s="153"/>
      <c r="AR223" s="153"/>
      <c r="AS223" s="153"/>
      <c r="AT223" s="153"/>
      <c r="AU223" s="153"/>
      <c r="AV223" s="153"/>
      <c r="AW223" s="153"/>
      <c r="AX223" s="153"/>
      <c r="AY223" s="153"/>
      <c r="AZ223" s="153"/>
      <c r="BA223" s="153"/>
      <c r="BB223" s="158"/>
      <c r="BC223" s="153"/>
      <c r="BD223" s="153"/>
      <c r="BE223" s="153"/>
      <c r="BF223" s="153"/>
      <c r="BG223" s="153"/>
      <c r="BH223" s="153"/>
      <c r="BI223" s="153"/>
      <c r="BJ223" s="153"/>
      <c r="BK223" s="153"/>
      <c r="BL223" s="153"/>
      <c r="BM223" s="153"/>
      <c r="BN223" s="153"/>
      <c r="BO223" s="153"/>
      <c r="BP223" s="153"/>
      <c r="BQ223" s="153"/>
      <c r="BR223" s="153"/>
      <c r="BS223" s="153"/>
      <c r="BT223" s="153"/>
      <c r="BU223" s="153"/>
      <c r="BV223" s="153"/>
      <c r="BW223" s="153"/>
      <c r="BX223" s="153"/>
      <c r="BY223" s="153"/>
      <c r="BZ223" s="153"/>
      <c r="CA223" s="153"/>
      <c r="CB223" s="153"/>
      <c r="CC223" s="153"/>
      <c r="CD223" s="153"/>
      <c r="CE223" s="153"/>
      <c r="CF223" s="153"/>
      <c r="CG223" s="153"/>
      <c r="CH223" s="153"/>
      <c r="CI223" s="158"/>
      <c r="CJ223" s="153"/>
      <c r="CK223" s="153"/>
      <c r="CL223" s="153"/>
      <c r="CM223" s="153"/>
      <c r="CN223" s="158"/>
      <c r="CO223" s="153"/>
      <c r="CP223" s="153"/>
      <c r="CQ223" s="153"/>
    </row>
    <row r="224" spans="2:95" hidden="1" outlineLevel="1" x14ac:dyDescent="0.3">
      <c r="B224" s="146" t="str">
        <f>Table1[[#Headers],[Total Testes]]</f>
        <v>Total Testes</v>
      </c>
      <c r="C224" s="144" t="str">
        <f t="shared" si="19"/>
        <v>PROTECTION_RL_ESTT_CTY</v>
      </c>
      <c r="D224" s="143" t="s">
        <v>1114</v>
      </c>
      <c r="E224" s="143" t="s">
        <v>1136</v>
      </c>
      <c r="G224" s="160" t="e">
        <f>INDEX(Table1[[Especificação]:[Total Testes]],MATCH(Sheet1!C224,Table1[CONCAT],0),MATCH(Sheet1!B224,Table1[[#Headers],[Especificação]:[Total Testes]],0))</f>
        <v>#N/A</v>
      </c>
      <c r="H224" s="179" t="e">
        <f t="shared" si="20"/>
        <v>#N/A</v>
      </c>
      <c r="I224" s="181"/>
      <c r="J224" s="158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  <c r="AC224" s="153"/>
      <c r="AD224" s="153"/>
      <c r="AE224" s="153"/>
      <c r="AF224" s="153"/>
      <c r="AG224" s="153"/>
      <c r="AH224" s="153"/>
      <c r="AI224" s="153"/>
      <c r="AJ224" s="153"/>
      <c r="AK224" s="153"/>
      <c r="AL224" s="153"/>
      <c r="AM224" s="153"/>
      <c r="AN224" s="153"/>
      <c r="AO224" s="153"/>
      <c r="AP224" s="153"/>
      <c r="AQ224" s="153"/>
      <c r="AR224" s="153"/>
      <c r="AS224" s="153"/>
      <c r="AT224" s="153"/>
      <c r="AU224" s="153"/>
      <c r="AV224" s="153"/>
      <c r="AW224" s="153"/>
      <c r="AX224" s="153"/>
      <c r="AY224" s="153"/>
      <c r="AZ224" s="153"/>
      <c r="BA224" s="153"/>
      <c r="BB224" s="158"/>
      <c r="BC224" s="153"/>
      <c r="BD224" s="153"/>
      <c r="BE224" s="153"/>
      <c r="BF224" s="153"/>
      <c r="BG224" s="153"/>
      <c r="BH224" s="153"/>
      <c r="BI224" s="153"/>
      <c r="BJ224" s="153"/>
      <c r="BK224" s="153"/>
      <c r="BL224" s="153"/>
      <c r="BM224" s="153"/>
      <c r="BN224" s="153"/>
      <c r="BO224" s="153"/>
      <c r="BP224" s="153"/>
      <c r="BQ224" s="153"/>
      <c r="BR224" s="153"/>
      <c r="BS224" s="153"/>
      <c r="BT224" s="153"/>
      <c r="BU224" s="153"/>
      <c r="BV224" s="153"/>
      <c r="BW224" s="153"/>
      <c r="BX224" s="153"/>
      <c r="BY224" s="153"/>
      <c r="BZ224" s="153"/>
      <c r="CA224" s="153"/>
      <c r="CB224" s="153"/>
      <c r="CC224" s="153"/>
      <c r="CD224" s="153"/>
      <c r="CE224" s="153"/>
      <c r="CF224" s="153"/>
      <c r="CG224" s="153"/>
      <c r="CH224" s="153"/>
      <c r="CI224" s="158"/>
      <c r="CJ224" s="153"/>
      <c r="CK224" s="153"/>
      <c r="CL224" s="153"/>
      <c r="CM224" s="153"/>
      <c r="CN224" s="158"/>
      <c r="CO224" s="153"/>
      <c r="CP224" s="153"/>
      <c r="CQ224" s="153"/>
    </row>
    <row r="225" spans="1:95" collapsed="1" x14ac:dyDescent="0.3">
      <c r="B225" s="146"/>
      <c r="C225" s="199" t="s">
        <v>1600</v>
      </c>
      <c r="D225" s="166"/>
      <c r="E225" s="167"/>
      <c r="F225" s="193"/>
      <c r="G225" s="193" t="e">
        <f>H225*8</f>
        <v>#N/A</v>
      </c>
      <c r="H225" s="196" t="e">
        <f>ROUNDUP(Auxiliar!$E$12*H156,0)</f>
        <v>#N/A</v>
      </c>
      <c r="I225" s="209" t="e">
        <f t="shared" ref="I225" si="21">SUM(J225:CQ225)-H225</f>
        <v>#N/A</v>
      </c>
      <c r="J225" s="158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3"/>
      <c r="AG225" s="153"/>
      <c r="AH225" s="153"/>
      <c r="AI225" s="153"/>
      <c r="AJ225" s="153"/>
      <c r="AK225" s="153"/>
      <c r="AL225" s="153"/>
      <c r="AM225" s="153"/>
      <c r="AN225" s="153"/>
      <c r="AO225" s="153"/>
      <c r="AP225" s="153"/>
      <c r="AQ225" s="153"/>
      <c r="AR225" s="153"/>
      <c r="AS225" s="153"/>
      <c r="AT225" s="153"/>
      <c r="AU225" s="153"/>
      <c r="AV225" s="153"/>
      <c r="AW225" s="153"/>
      <c r="AX225" s="153"/>
      <c r="AY225" s="153"/>
      <c r="AZ225" s="153"/>
      <c r="BA225" s="153"/>
      <c r="BB225" s="158"/>
      <c r="BC225" s="153"/>
      <c r="BD225" s="153"/>
      <c r="BE225" s="153"/>
      <c r="BF225" s="153"/>
      <c r="BG225" s="153"/>
      <c r="BH225" s="153"/>
      <c r="BI225" s="153"/>
      <c r="BJ225" s="153"/>
      <c r="BK225" s="153"/>
      <c r="BL225" s="153"/>
      <c r="BM225" s="153"/>
      <c r="BN225" s="153"/>
      <c r="BO225" s="153"/>
      <c r="BP225" s="153"/>
      <c r="BQ225" s="153">
        <v>1.9</v>
      </c>
      <c r="BR225" s="153">
        <v>2</v>
      </c>
      <c r="BS225" s="153">
        <v>2</v>
      </c>
      <c r="BT225" s="153">
        <v>2</v>
      </c>
      <c r="BU225" s="153">
        <v>0.1</v>
      </c>
      <c r="BV225" s="153"/>
      <c r="BW225" s="153"/>
      <c r="BX225" s="153"/>
      <c r="BY225" s="153"/>
      <c r="BZ225" s="153"/>
      <c r="CA225" s="153"/>
      <c r="CB225" s="153"/>
      <c r="CC225" s="153"/>
      <c r="CD225" s="153"/>
      <c r="CE225" s="153"/>
      <c r="CF225" s="153"/>
      <c r="CG225" s="153"/>
      <c r="CH225" s="153"/>
      <c r="CI225" s="158"/>
      <c r="CJ225" s="153"/>
      <c r="CK225" s="153"/>
      <c r="CL225" s="153"/>
      <c r="CM225" s="153"/>
      <c r="CN225" s="158"/>
      <c r="CO225" s="153"/>
      <c r="CP225" s="153"/>
      <c r="CQ225" s="153"/>
    </row>
    <row r="226" spans="1:95" x14ac:dyDescent="0.3">
      <c r="A226"/>
      <c r="B226"/>
      <c r="C226"/>
      <c r="D226"/>
      <c r="E226"/>
      <c r="F226" s="205"/>
      <c r="G226"/>
      <c r="H226"/>
      <c r="I226"/>
      <c r="J226"/>
      <c r="K226"/>
      <c r="L226"/>
      <c r="M226"/>
      <c r="N226"/>
    </row>
    <row r="231" spans="1:95" x14ac:dyDescent="0.3">
      <c r="C231" s="133" t="s">
        <v>1618</v>
      </c>
    </row>
    <row r="232" spans="1:95" x14ac:dyDescent="0.3">
      <c r="C232" s="133" t="s">
        <v>1619</v>
      </c>
    </row>
  </sheetData>
  <conditionalFormatting sqref="I10:I225">
    <cfRule type="cellIs" dxfId="15" priority="4" operator="notEqual">
      <formula>0</formula>
    </cfRule>
    <cfRule type="cellIs" dxfId="14" priority="10" operator="equal">
      <formula>0</formula>
    </cfRule>
  </conditionalFormatting>
  <conditionalFormatting sqref="J9:J225">
    <cfRule type="cellIs" dxfId="13" priority="8" operator="greaterThan">
      <formula>0</formula>
    </cfRule>
  </conditionalFormatting>
  <conditionalFormatting sqref="J2:BU2">
    <cfRule type="cellIs" dxfId="12" priority="1" operator="equal">
      <formula>0</formula>
    </cfRule>
    <cfRule type="cellIs" dxfId="11" priority="2" operator="greaterThan">
      <formula>0</formula>
    </cfRule>
    <cfRule type="cellIs" dxfId="10" priority="3" operator="lessThan">
      <formula>0</formula>
    </cfRule>
  </conditionalFormatting>
  <conditionalFormatting sqref="K9:BA225 BC9:CH225 CJ9:CM225 CO9:CQ225">
    <cfRule type="cellIs" dxfId="9" priority="9" operator="notEqual">
      <formula>0</formula>
    </cfRule>
  </conditionalFormatting>
  <conditionalFormatting sqref="BB9:BB225">
    <cfRule type="cellIs" dxfId="8" priority="7" operator="greaterThan">
      <formula>0</formula>
    </cfRule>
  </conditionalFormatting>
  <conditionalFormatting sqref="CI9:CI225">
    <cfRule type="cellIs" dxfId="7" priority="5" operator="greaterThan">
      <formula>0</formula>
    </cfRule>
  </conditionalFormatting>
  <conditionalFormatting sqref="CN9:CN225">
    <cfRule type="cellIs" dxfId="6" priority="6" operator="greaterThan">
      <formula>0</formula>
    </cfRule>
  </conditionalFormatting>
  <pageMargins left="0.7" right="0.7" top="0.75" bottom="0.75" header="0.3" footer="0.3"/>
  <ignoredErrors>
    <ignoredError sqref="H66 H87 H15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8470-0A9B-4C53-AF46-6A6B6B4EBEE4}">
  <sheetPr>
    <tabColor theme="4" tint="-0.499984740745262"/>
  </sheetPr>
  <dimension ref="A2:N73"/>
  <sheetViews>
    <sheetView showGridLines="0" topLeftCell="A28" workbookViewId="0">
      <selection activeCell="C25" sqref="C25"/>
    </sheetView>
  </sheetViews>
  <sheetFormatPr defaultColWidth="0" defaultRowHeight="14" x14ac:dyDescent="0.3"/>
  <cols>
    <col min="1" max="1" width="2.6640625" customWidth="1"/>
    <col min="2" max="2" width="20" bestFit="1" customWidth="1"/>
    <col min="3" max="3" width="24" customWidth="1"/>
    <col min="4" max="4" width="8.6640625" bestFit="1" customWidth="1"/>
    <col min="5" max="5" width="62.6640625" customWidth="1"/>
    <col min="6" max="6" width="9.4140625" bestFit="1" customWidth="1"/>
    <col min="7" max="7" width="28.6640625" hidden="1" customWidth="1"/>
    <col min="8" max="8" width="14.58203125" hidden="1" customWidth="1"/>
    <col min="9" max="9" width="29.9140625" hidden="1" customWidth="1"/>
    <col min="10" max="10" width="27.1640625" hidden="1" customWidth="1"/>
    <col min="11" max="11" width="18.5" hidden="1" customWidth="1"/>
    <col min="12" max="12" width="16.5" hidden="1" customWidth="1"/>
    <col min="13" max="13" width="8.6640625" hidden="1" customWidth="1"/>
    <col min="14" max="14" width="76.58203125" hidden="1" customWidth="1"/>
    <col min="15" max="16384" width="8.6640625" hidden="1"/>
  </cols>
  <sheetData>
    <row r="2" spans="2:12" x14ac:dyDescent="0.3">
      <c r="B2" s="70" t="s">
        <v>1531</v>
      </c>
      <c r="C2" s="69">
        <f>COUNTIFS('Lista - Âmbito Projeto GD'!$K$3:$K$71,"Y")</f>
        <v>17</v>
      </c>
    </row>
    <row r="4" spans="2:12" x14ac:dyDescent="0.3">
      <c r="B4" s="64" t="s">
        <v>1523</v>
      </c>
      <c r="C4" s="64" t="s">
        <v>1524</v>
      </c>
      <c r="D4" s="64" t="s">
        <v>1522</v>
      </c>
      <c r="E4" s="64" t="s">
        <v>1525</v>
      </c>
      <c r="H4" s="57" t="s">
        <v>1396</v>
      </c>
      <c r="I4" s="57" t="s">
        <v>1512</v>
      </c>
      <c r="J4" s="57" t="s">
        <v>1478</v>
      </c>
      <c r="K4" s="57" t="s">
        <v>1493</v>
      </c>
      <c r="L4" s="58" t="s">
        <v>1522</v>
      </c>
    </row>
    <row r="5" spans="2:12" x14ac:dyDescent="0.3">
      <c r="B5" s="248" t="s">
        <v>1480</v>
      </c>
      <c r="C5" s="65" t="s">
        <v>1527</v>
      </c>
      <c r="D5" s="72">
        <f>GETPIVOTDATA("[Measures].[Count of ID Data field / Field order]",$H$4,"[Range].[STATUS]","[Range].[STATUS].&amp;[Novo Campo]","[Range].[AMBITO]","[Range].[AMBITO].&amp;[ESTR &amp; GD &amp; PILAR3]","[Range].[Status Data Lake]","[Range].[Status Data Lake].&amp;[n/a]","[Range].[Leveraged Finance]","[Range].[Leveraged Finance].&amp;[Y]")</f>
        <v>1</v>
      </c>
      <c r="E5" s="65" t="s">
        <v>1534</v>
      </c>
      <c r="H5" s="54" t="s">
        <v>11</v>
      </c>
      <c r="I5" s="54" t="s">
        <v>1475</v>
      </c>
      <c r="J5" s="54" t="s">
        <v>1508</v>
      </c>
      <c r="K5" s="54" t="s">
        <v>1473</v>
      </c>
      <c r="L5" s="58">
        <v>1</v>
      </c>
    </row>
    <row r="6" spans="2:12" x14ac:dyDescent="0.3">
      <c r="B6" s="248"/>
      <c r="C6" s="65" t="s">
        <v>1510</v>
      </c>
      <c r="D6" s="72">
        <f>GETPIVOTDATA("[Measures].[Count of ID Data field / Field order]",$H$4,"[Range].[STATUS]","[Range].[STATUS].&amp;[Novo Campo]","[Range].[AMBITO]","[Range].[AMBITO].&amp;[LF]","[Range].[Status Data Lake]","[Range].[Status Data Lake].&amp;[n/a]","[Range].[Leveraged Finance]","[Range].[Leveraged Finance].&amp;[Y]")</f>
        <v>19</v>
      </c>
      <c r="E6" s="65" t="s">
        <v>1534</v>
      </c>
      <c r="H6" s="55"/>
      <c r="I6" s="54" t="s">
        <v>1518</v>
      </c>
      <c r="J6" s="54" t="s">
        <v>1519</v>
      </c>
      <c r="K6" s="54" t="s">
        <v>1473</v>
      </c>
      <c r="L6" s="58">
        <v>2</v>
      </c>
    </row>
    <row r="7" spans="2:12" ht="77" x14ac:dyDescent="0.3">
      <c r="B7" s="65" t="s">
        <v>1526</v>
      </c>
      <c r="C7" s="65" t="s">
        <v>1527</v>
      </c>
      <c r="D7" s="65">
        <f>SUM(L50:L72)</f>
        <v>154</v>
      </c>
      <c r="E7" s="65" t="s">
        <v>1587</v>
      </c>
      <c r="H7" s="55"/>
      <c r="I7" s="55"/>
      <c r="J7" s="54" t="s">
        <v>1508</v>
      </c>
      <c r="K7" s="54" t="s">
        <v>1473</v>
      </c>
      <c r="L7" s="58">
        <v>2</v>
      </c>
    </row>
    <row r="8" spans="2:12" x14ac:dyDescent="0.3">
      <c r="B8" s="66"/>
      <c r="C8" s="67" t="s">
        <v>1530</v>
      </c>
      <c r="D8" s="68">
        <f>SUM(D5:D7)</f>
        <v>174</v>
      </c>
      <c r="E8" s="66"/>
      <c r="H8" s="55"/>
      <c r="I8" s="54" t="s">
        <v>1476</v>
      </c>
      <c r="J8" s="60" t="s">
        <v>1508</v>
      </c>
      <c r="K8" s="54" t="s">
        <v>1473</v>
      </c>
      <c r="L8" s="58">
        <v>2</v>
      </c>
    </row>
    <row r="9" spans="2:12" x14ac:dyDescent="0.3">
      <c r="H9" s="55"/>
      <c r="I9" s="54" t="s">
        <v>1516</v>
      </c>
      <c r="J9" s="62" t="s">
        <v>1505</v>
      </c>
      <c r="K9" s="54" t="s">
        <v>1473</v>
      </c>
      <c r="L9" s="58">
        <v>1</v>
      </c>
    </row>
    <row r="10" spans="2:12" x14ac:dyDescent="0.3">
      <c r="H10" s="55"/>
      <c r="I10" s="55"/>
      <c r="J10" s="60" t="s">
        <v>1519</v>
      </c>
      <c r="K10" s="54" t="s">
        <v>1473</v>
      </c>
      <c r="L10" s="58">
        <v>3</v>
      </c>
    </row>
    <row r="11" spans="2:12" x14ac:dyDescent="0.3">
      <c r="B11" s="70" t="s">
        <v>1532</v>
      </c>
      <c r="C11" s="69">
        <f>COUNTIFS('Lista - Âmbito Projeto GD'!$K$3:$K$71,"N")</f>
        <v>51</v>
      </c>
      <c r="H11" s="55"/>
      <c r="I11" s="55"/>
      <c r="J11" s="60" t="s">
        <v>1508</v>
      </c>
      <c r="K11" s="54" t="s">
        <v>1473</v>
      </c>
      <c r="L11" s="58">
        <v>3</v>
      </c>
    </row>
    <row r="12" spans="2:12" x14ac:dyDescent="0.3">
      <c r="H12" s="55"/>
      <c r="I12" s="54" t="s">
        <v>1517</v>
      </c>
      <c r="J12" s="60" t="s">
        <v>1519</v>
      </c>
      <c r="K12" s="54" t="s">
        <v>1473</v>
      </c>
      <c r="L12" s="58">
        <v>2</v>
      </c>
    </row>
    <row r="13" spans="2:12" x14ac:dyDescent="0.3">
      <c r="H13" s="55"/>
      <c r="I13" s="55"/>
      <c r="J13" s="60" t="s">
        <v>1508</v>
      </c>
      <c r="K13" s="54" t="s">
        <v>1473</v>
      </c>
      <c r="L13" s="58">
        <v>2</v>
      </c>
    </row>
    <row r="14" spans="2:12" x14ac:dyDescent="0.3">
      <c r="B14" s="64" t="s">
        <v>1523</v>
      </c>
      <c r="C14" s="64" t="s">
        <v>1524</v>
      </c>
      <c r="D14" s="64" t="s">
        <v>1522</v>
      </c>
      <c r="E14" s="64" t="s">
        <v>1525</v>
      </c>
      <c r="H14" s="55"/>
      <c r="I14" s="54" t="s">
        <v>1480</v>
      </c>
      <c r="J14" s="61" t="s">
        <v>1509</v>
      </c>
      <c r="K14" s="54" t="s">
        <v>1473</v>
      </c>
      <c r="L14" s="58">
        <v>12</v>
      </c>
    </row>
    <row r="15" spans="2:12" ht="26" x14ac:dyDescent="0.3">
      <c r="B15" s="249" t="s">
        <v>1515</v>
      </c>
      <c r="C15" s="65" t="s">
        <v>1527</v>
      </c>
      <c r="D15" s="130">
        <f>GETPIVOTDATA("[Measures].[Count of ID Data field / Field order]",$H$4,"[Range].[STATUS]","[Range].[STATUS].&amp;[Nova Tabela]","[Range].[AMBITO]","[Range].[AMBITO].&amp;[ESTR &amp; GD &amp; PILAR3]","[Range].[Status Data Lake]","[Range].[Status Data Lake].&amp;[n/a]","[Range].[Leveraged Finance]","[Range].[Leveraged Finance].&amp;[N]")</f>
        <v>1</v>
      </c>
      <c r="E15" s="65" t="s">
        <v>1581</v>
      </c>
      <c r="H15" s="55"/>
      <c r="I15" s="55"/>
      <c r="J15" s="62" t="s">
        <v>1477</v>
      </c>
      <c r="K15" s="54" t="s">
        <v>1473</v>
      </c>
      <c r="L15" s="58">
        <v>25</v>
      </c>
    </row>
    <row r="16" spans="2:12" x14ac:dyDescent="0.3">
      <c r="B16" s="251"/>
      <c r="C16" s="65" t="s">
        <v>1519</v>
      </c>
      <c r="D16" s="65">
        <f>GETPIVOTDATA("[Measures].[Count of ID Data field / Field order]",$H$4,"[Range].[STATUS]","[Range].[STATUS].&amp;[Nova Tabela]","[Range].[AMBITO]","[Range].[AMBITO].&amp;[GD &amp; PILAR3]","[Range].[Status Data Lake]","[Range].[Status Data Lake].&amp;[n/a]","[Range].[Leveraged Finance]","[Range].[Leveraged Finance].&amp;[N]")+GETPIVOTDATA("[Measures].[Count of ID Data field / Field order]",$H$4,"[Range].[STATUS]","[Range].[STATUS].&amp;[Nova Tabela - Campo existente]","[Range].[AMBITO]","[Range].[AMBITO].&amp;[GD &amp; PILAR3]","[Range].[Status Data Lake]","[Range].[Status Data Lake].&amp;[n/a]","[Range].[Leveraged Finance]","[Range].[Leveraged Finance].&amp;[N]")</f>
        <v>5</v>
      </c>
      <c r="E16" s="65" t="s">
        <v>1533</v>
      </c>
      <c r="H16" s="55"/>
      <c r="I16" s="55"/>
      <c r="J16" s="62" t="s">
        <v>1520</v>
      </c>
      <c r="K16" s="54" t="s">
        <v>1473</v>
      </c>
      <c r="L16" s="58">
        <v>7</v>
      </c>
    </row>
    <row r="17" spans="2:12" x14ac:dyDescent="0.3">
      <c r="B17" s="250"/>
      <c r="C17" s="65" t="s">
        <v>1508</v>
      </c>
      <c r="D17" s="65">
        <f>GETPIVOTDATA("[Measures].[Count of ID Data field / Field order]",$H$4,"[Range].[STATUS]","[Range].[STATUS].&amp;[Nova Tabela]","[Range].[AMBITO]","[Range].[AMBITO].&amp;[PILAR3]","[Range].[Status Data Lake]","[Range].[Status Data Lake].&amp;[n/a]","[Range].[Leveraged Finance]","[Range].[Leveraged Finance].&amp;[N]")+GETPIVOTDATA("[Measures].[Count of ID Data field / Field order]",$H$4,"[Range].[STATUS]","[Range].[STATUS].&amp;[Nova Tabela - Campo existente]","[Range].[AMBITO]","[Range].[AMBITO].&amp;[PILAR3]","[Range].[Status Data Lake]","[Range].[Status Data Lake].&amp;[n/a]","[Range].[Leveraged Finance]","[Range].[Leveraged Finance].&amp;[N]")</f>
        <v>5</v>
      </c>
      <c r="E17" s="65" t="s">
        <v>1533</v>
      </c>
      <c r="H17" s="55"/>
      <c r="I17" s="55"/>
      <c r="J17" s="60" t="s">
        <v>1507</v>
      </c>
      <c r="K17" s="54" t="s">
        <v>1473</v>
      </c>
      <c r="L17" s="58">
        <v>1</v>
      </c>
    </row>
    <row r="18" spans="2:12" x14ac:dyDescent="0.3">
      <c r="B18" s="249" t="s">
        <v>1480</v>
      </c>
      <c r="C18" s="65" t="s">
        <v>1477</v>
      </c>
      <c r="D18" s="130">
        <f>GETPIVOTDATA("[Measures].[Count of ID Data field / Field order]",$H$4,"[Range].[STATUS]","[Range].[STATUS].&amp;[Novo Campo]","[Range].[AMBITO]","[Range].[AMBITO].&amp;[ESTR]","[Range].[Status Data Lake]","[Range].[Status Data Lake].&amp;[n/a]","[Range].[Leveraged Finance]","[Range].[Leveraged Finance].&amp;[N]")</f>
        <v>25</v>
      </c>
      <c r="E18" s="65" t="s">
        <v>1534</v>
      </c>
      <c r="H18" s="55"/>
      <c r="I18" s="55"/>
      <c r="J18" s="60" t="s">
        <v>1519</v>
      </c>
      <c r="K18" s="54" t="s">
        <v>1473</v>
      </c>
      <c r="L18" s="58">
        <v>1</v>
      </c>
    </row>
    <row r="19" spans="2:12" x14ac:dyDescent="0.3">
      <c r="B19" s="251"/>
      <c r="C19" s="65" t="s">
        <v>1535</v>
      </c>
      <c r="D19" s="130">
        <f>GETPIVOTDATA("[Measures].[Count of ID Data field / Field order]",$H$4,"[Range].[STATUS]","[Range].[STATUS].&amp;[Novo Campo]","[Range].[AMBITO]","[Range].[AMBITO].&amp;[ESTR &amp; GFINANCE]","[Range].[Status Data Lake]","[Range].[Status Data Lake].&amp;[n/a]","[Range].[Leveraged Finance]","[Range].[Leveraged Finance].&amp;[N]")</f>
        <v>7</v>
      </c>
      <c r="E19" s="65" t="s">
        <v>1534</v>
      </c>
      <c r="H19" s="55"/>
      <c r="I19" s="55"/>
      <c r="J19" s="54" t="s">
        <v>1508</v>
      </c>
      <c r="K19" s="54" t="s">
        <v>1473</v>
      </c>
      <c r="L19" s="58">
        <v>29</v>
      </c>
    </row>
    <row r="20" spans="2:12" x14ac:dyDescent="0.3">
      <c r="B20" s="251"/>
      <c r="C20" s="65" t="s">
        <v>1519</v>
      </c>
      <c r="D20" s="65">
        <f>GETPIVOTDATA("[Measures].[Count of ID Data field / Field order]",$H$4,"[Range].[STATUS]","[Range].[STATUS].&amp;[Novo Campo]","[Range].[AMBITO]","[Range].[AMBITO].&amp;[GD &amp; PILAR3]","[Range].[Status Data Lake]","[Range].[Status Data Lake].&amp;[n/a]","[Range].[Leveraged Finance]","[Range].[Leveraged Finance].&amp;[N]")</f>
        <v>1</v>
      </c>
      <c r="E20" s="65" t="s">
        <v>1534</v>
      </c>
      <c r="H20" s="55"/>
      <c r="I20" s="54" t="s">
        <v>1514</v>
      </c>
      <c r="J20" s="54" t="s">
        <v>1477</v>
      </c>
      <c r="K20" s="54" t="s">
        <v>1486</v>
      </c>
      <c r="L20" s="58">
        <v>9</v>
      </c>
    </row>
    <row r="21" spans="2:12" x14ac:dyDescent="0.3">
      <c r="B21" s="251"/>
      <c r="C21" s="65" t="s">
        <v>1508</v>
      </c>
      <c r="D21" s="65">
        <f>GETPIVOTDATA("[Measures].[Count of ID Data field / Field order]",$H$4,"[Range].[STATUS]","[Range].[STATUS].&amp;[Novo Campo]","[Range].[AMBITO]","[Range].[AMBITO].&amp;[PILAR3]","[Range].[Status Data Lake]","[Range].[Status Data Lake].&amp;[n/a]","[Range].[Leveraged Finance]","[Range].[Leveraged Finance].&amp;[N]")</f>
        <v>29</v>
      </c>
      <c r="E21" s="65" t="s">
        <v>1534</v>
      </c>
      <c r="H21" s="55"/>
      <c r="I21" s="55"/>
      <c r="J21" s="55"/>
      <c r="K21" s="59" t="s">
        <v>1484</v>
      </c>
      <c r="L21" s="118">
        <v>15</v>
      </c>
    </row>
    <row r="22" spans="2:12" x14ac:dyDescent="0.3">
      <c r="B22" s="251"/>
      <c r="C22" s="65" t="s">
        <v>1507</v>
      </c>
      <c r="D22" s="65">
        <f>GETPIVOTDATA("[Measures].[Count of ID Data field / Field order]",$H$4,"[Range].[STATUS]","[Range].[STATUS].&amp;[Novo Campo]","[Range].[AMBITO]","[Range].[AMBITO].&amp;[GD]","[Range].[Status Data Lake]","[Range].[Status Data Lake].&amp;[n/a]","[Range].[Leveraged Finance]","[Range].[Leveraged Finance].&amp;[N]")</f>
        <v>1</v>
      </c>
      <c r="E22" s="65" t="s">
        <v>1534</v>
      </c>
      <c r="H22" s="55"/>
      <c r="I22" s="55"/>
      <c r="J22" s="55"/>
      <c r="K22" s="59" t="s">
        <v>1485</v>
      </c>
      <c r="L22" s="118">
        <v>1</v>
      </c>
    </row>
    <row r="23" spans="2:12" ht="25" x14ac:dyDescent="0.3">
      <c r="B23" s="250"/>
      <c r="C23" s="65" t="s">
        <v>7</v>
      </c>
      <c r="D23" s="130">
        <f>GETPIVOTDATA("[Measures].[Count of ID Data field / Field order]",$H$4,"[Range].[STATUS]","[Range].[STATUS].&amp;[Novo Campo]","[Range].[AMBITO]","[Range].[AMBITO].&amp;[ESG_RISKS]","[Range].[Status Data Lake]","[Range].[Status Data Lake].&amp;[n/a]","[Range].[Leveraged Finance]","[Range].[Leveraged Finance].&amp;[N]")</f>
        <v>12</v>
      </c>
      <c r="E23" s="65" t="s">
        <v>1539</v>
      </c>
      <c r="H23" s="55"/>
      <c r="I23" s="55"/>
      <c r="J23" s="55"/>
      <c r="K23" s="59" t="s">
        <v>1489</v>
      </c>
      <c r="L23" s="118">
        <v>13</v>
      </c>
    </row>
    <row r="24" spans="2:12" x14ac:dyDescent="0.3">
      <c r="B24" s="71" t="s">
        <v>1536</v>
      </c>
      <c r="C24" s="65" t="s">
        <v>1508</v>
      </c>
      <c r="D24" s="65">
        <f>GETPIVOTDATA("[Measures].[Count of ID Data field / Field order]",$H$4,"[Range].[STATUS]","[Range].[STATUS].&amp;[Nome campo alterado]","[Range].[AMBITO]","[Range].[AMBITO].&amp;[PILAR3]","[Range].[Status Data Lake]","[Range].[Status Data Lake].&amp;[n/a]","[Range].[Leveraged Finance]","[Range].[Leveraged Finance].&amp;[N]")</f>
        <v>2</v>
      </c>
      <c r="E24" s="65" t="s">
        <v>1538</v>
      </c>
      <c r="H24" s="55"/>
      <c r="I24" s="55"/>
      <c r="J24" s="55"/>
      <c r="K24" s="59" t="s">
        <v>1492</v>
      </c>
      <c r="L24" s="118">
        <v>1</v>
      </c>
    </row>
    <row r="25" spans="2:12" ht="64" x14ac:dyDescent="0.3">
      <c r="B25" s="65" t="s">
        <v>1526</v>
      </c>
      <c r="C25" s="65" t="s">
        <v>15</v>
      </c>
      <c r="D25" s="65">
        <f>SUM(L20:L47)</f>
        <v>269</v>
      </c>
      <c r="E25" s="65" t="s">
        <v>1540</v>
      </c>
      <c r="H25" s="55"/>
      <c r="I25" s="55"/>
      <c r="J25" s="55"/>
      <c r="K25" s="59" t="s">
        <v>1490</v>
      </c>
      <c r="L25" s="118">
        <v>7</v>
      </c>
    </row>
    <row r="26" spans="2:12" x14ac:dyDescent="0.3">
      <c r="B26" s="66"/>
      <c r="C26" s="67" t="s">
        <v>1537</v>
      </c>
      <c r="D26" s="68">
        <f>SUM(D15:D25)</f>
        <v>357</v>
      </c>
      <c r="E26" s="66"/>
      <c r="H26" s="55"/>
      <c r="I26" s="55"/>
      <c r="J26" s="55"/>
      <c r="K26" s="59" t="s">
        <v>1483</v>
      </c>
      <c r="L26" s="118">
        <v>2</v>
      </c>
    </row>
    <row r="27" spans="2:12" x14ac:dyDescent="0.3">
      <c r="B27" s="249" t="s">
        <v>1475</v>
      </c>
      <c r="C27" s="65" t="s">
        <v>1519</v>
      </c>
      <c r="D27" s="65">
        <f>GETPIVOTDATA("[Measures].[Count of ID Data field / Field order]",$H$4,"[Range].[STATUS]","[Range].[STATUS].&amp;[Campo eliminado - troca tabela]","[Range].[AMBITO]","[Range].[AMBITO].&amp;[GD &amp; PILAR3]","[Range].[Status Data Lake]","[Range].[Status Data Lake].&amp;[n/a]","[Range].[Leveraged Finance]","[Range].[Leveraged Finance].&amp;[N]")</f>
        <v>2</v>
      </c>
      <c r="E27" s="65" t="s">
        <v>1533</v>
      </c>
      <c r="H27" s="55"/>
      <c r="I27" s="55"/>
      <c r="J27" s="55"/>
      <c r="K27" s="59" t="s">
        <v>1487</v>
      </c>
      <c r="L27" s="118">
        <v>36</v>
      </c>
    </row>
    <row r="28" spans="2:12" x14ac:dyDescent="0.3">
      <c r="B28" s="250"/>
      <c r="C28" s="65" t="s">
        <v>1508</v>
      </c>
      <c r="D28" s="65">
        <f>GETPIVOTDATA("[Measures].[Count of ID Data field / Field order]",$H$4,"[Range].[STATUS]","[Range].[STATUS].&amp;[Campo eliminado]","[Range].[AMBITO]","[Range].[AMBITO].&amp;[PILAR3]","[Range].[Status Data Lake]","[Range].[Status Data Lake].&amp;[n/a]","[Range].[Leveraged Finance]","[Range].[Leveraged Finance].&amp;[N]")+GETPIVOTDATA("[Measures].[Count of ID Data field / Field order]",$H$4,"[Range].[STATUS]","[Range].[STATUS].&amp;[Campo eliminado - troca tabela]","[Range].[AMBITO]","[Range].[AMBITO].&amp;[PILAR3]","[Range].[Status Data Lake]","[Range].[Status Data Lake].&amp;[n/a]","[Range].[Leveraged Finance]","[Range].[Leveraged Finance].&amp;[N]")</f>
        <v>3</v>
      </c>
      <c r="E28" s="65" t="s">
        <v>1533</v>
      </c>
      <c r="H28" s="55"/>
      <c r="I28" s="55"/>
      <c r="J28" s="55"/>
      <c r="K28" s="59" t="s">
        <v>1488</v>
      </c>
      <c r="L28" s="118">
        <v>6</v>
      </c>
    </row>
    <row r="29" spans="2:12" x14ac:dyDescent="0.3">
      <c r="B29" s="66"/>
      <c r="C29" s="67"/>
      <c r="D29" s="73">
        <f>D26+SUM(D27:D28)</f>
        <v>362</v>
      </c>
      <c r="E29" s="66"/>
      <c r="H29" s="55"/>
      <c r="I29" s="55"/>
      <c r="J29" s="55"/>
      <c r="K29" s="59" t="s">
        <v>1482</v>
      </c>
      <c r="L29" s="118">
        <v>73</v>
      </c>
    </row>
    <row r="30" spans="2:12" x14ac:dyDescent="0.3">
      <c r="H30" s="55"/>
      <c r="I30" s="55"/>
      <c r="J30" s="54" t="s">
        <v>1506</v>
      </c>
      <c r="K30" s="54" t="s">
        <v>1490</v>
      </c>
      <c r="L30" s="58">
        <v>1</v>
      </c>
    </row>
    <row r="31" spans="2:12" x14ac:dyDescent="0.3">
      <c r="H31" s="55"/>
      <c r="I31" s="55"/>
      <c r="J31" s="55"/>
      <c r="K31" s="59" t="s">
        <v>1482</v>
      </c>
      <c r="L31" s="118">
        <v>1</v>
      </c>
    </row>
    <row r="32" spans="2:12" x14ac:dyDescent="0.3">
      <c r="H32" s="55"/>
      <c r="I32" s="55"/>
      <c r="J32" s="54" t="s">
        <v>1505</v>
      </c>
      <c r="K32" s="54" t="s">
        <v>1489</v>
      </c>
      <c r="L32" s="58">
        <v>1</v>
      </c>
    </row>
    <row r="33" spans="2:12" x14ac:dyDescent="0.3">
      <c r="B33" s="129"/>
      <c r="C33" s="128"/>
      <c r="D33" s="128"/>
      <c r="E33" s="128"/>
      <c r="H33" s="55"/>
      <c r="I33" s="55"/>
      <c r="J33" s="55"/>
      <c r="K33" s="59" t="s">
        <v>1483</v>
      </c>
      <c r="L33" s="118">
        <v>1</v>
      </c>
    </row>
    <row r="34" spans="2:12" x14ac:dyDescent="0.3">
      <c r="B34" s="128"/>
      <c r="C34" s="128"/>
      <c r="D34" s="128"/>
      <c r="E34" s="128"/>
      <c r="H34" s="55"/>
      <c r="I34" s="55"/>
      <c r="J34" s="55"/>
      <c r="K34" s="59" t="s">
        <v>1487</v>
      </c>
      <c r="L34" s="118">
        <v>3</v>
      </c>
    </row>
    <row r="35" spans="2:12" x14ac:dyDescent="0.3">
      <c r="B35" s="128"/>
      <c r="C35" s="128"/>
      <c r="D35" s="128"/>
      <c r="E35" s="128"/>
      <c r="H35" s="55"/>
      <c r="I35" s="55"/>
      <c r="J35" s="55"/>
      <c r="K35" s="59" t="s">
        <v>1482</v>
      </c>
      <c r="L35" s="118">
        <v>6</v>
      </c>
    </row>
    <row r="36" spans="2:12" x14ac:dyDescent="0.3">
      <c r="B36" s="128"/>
      <c r="C36" s="128"/>
      <c r="D36" s="128"/>
      <c r="E36" s="128"/>
      <c r="H36" s="55"/>
      <c r="I36" s="55"/>
      <c r="J36" s="54" t="s">
        <v>1520</v>
      </c>
      <c r="K36" s="54" t="s">
        <v>1482</v>
      </c>
      <c r="L36" s="58">
        <v>1</v>
      </c>
    </row>
    <row r="37" spans="2:12" x14ac:dyDescent="0.3">
      <c r="B37" s="128"/>
      <c r="C37" s="128"/>
      <c r="D37" s="128"/>
      <c r="E37" s="128"/>
      <c r="H37" s="55"/>
      <c r="I37" s="55"/>
      <c r="J37" s="54" t="s">
        <v>1521</v>
      </c>
      <c r="K37" s="54" t="s">
        <v>1486</v>
      </c>
      <c r="L37" s="58">
        <v>1</v>
      </c>
    </row>
    <row r="38" spans="2:12" x14ac:dyDescent="0.3">
      <c r="B38" s="128"/>
      <c r="C38" s="128"/>
      <c r="D38" s="128"/>
      <c r="E38" s="128"/>
      <c r="H38" s="55"/>
      <c r="I38" s="55"/>
      <c r="J38" s="55"/>
      <c r="K38" s="59" t="s">
        <v>1484</v>
      </c>
      <c r="L38" s="118">
        <v>2</v>
      </c>
    </row>
    <row r="39" spans="2:12" x14ac:dyDescent="0.3">
      <c r="B39" s="131"/>
      <c r="C39" s="128" t="s">
        <v>1583</v>
      </c>
      <c r="D39" s="128"/>
      <c r="E39" s="128"/>
      <c r="H39" s="55"/>
      <c r="I39" s="55"/>
      <c r="J39" s="55"/>
      <c r="K39" s="59" t="s">
        <v>1485</v>
      </c>
      <c r="L39" s="118">
        <v>1</v>
      </c>
    </row>
    <row r="40" spans="2:12" x14ac:dyDescent="0.3">
      <c r="B40" s="131"/>
      <c r="C40" s="128" t="s">
        <v>1580</v>
      </c>
      <c r="D40" s="128"/>
      <c r="E40" s="128"/>
      <c r="H40" s="55"/>
      <c r="I40" s="55"/>
      <c r="J40" s="55"/>
      <c r="K40" s="59" t="s">
        <v>1489</v>
      </c>
      <c r="L40" s="118">
        <v>1</v>
      </c>
    </row>
    <row r="41" spans="2:12" x14ac:dyDescent="0.3">
      <c r="B41" s="128"/>
      <c r="C41" s="128"/>
      <c r="D41" s="128"/>
      <c r="E41" s="128"/>
      <c r="H41" s="55"/>
      <c r="I41" s="55"/>
      <c r="J41" s="55"/>
      <c r="K41" s="59" t="s">
        <v>1487</v>
      </c>
      <c r="L41" s="118">
        <v>3</v>
      </c>
    </row>
    <row r="42" spans="2:12" x14ac:dyDescent="0.3">
      <c r="B42" s="128" t="s">
        <v>1582</v>
      </c>
      <c r="C42" s="128"/>
      <c r="D42" s="128"/>
      <c r="E42" s="128"/>
      <c r="H42" s="55"/>
      <c r="I42" s="55"/>
      <c r="J42" s="55"/>
      <c r="K42" s="59" t="s">
        <v>1482</v>
      </c>
      <c r="L42" s="118">
        <v>6</v>
      </c>
    </row>
    <row r="43" spans="2:12" x14ac:dyDescent="0.3">
      <c r="B43" s="128" t="s">
        <v>1584</v>
      </c>
      <c r="C43" s="128"/>
      <c r="D43" s="128"/>
      <c r="E43" s="128"/>
      <c r="H43" s="55"/>
      <c r="I43" s="55"/>
      <c r="J43" s="54" t="s">
        <v>1507</v>
      </c>
      <c r="K43" s="54" t="s">
        <v>1486</v>
      </c>
      <c r="L43" s="58">
        <v>1</v>
      </c>
    </row>
    <row r="44" spans="2:12" x14ac:dyDescent="0.3">
      <c r="B44" s="128" t="s">
        <v>1585</v>
      </c>
      <c r="H44" s="55"/>
      <c r="I44" s="55"/>
      <c r="J44" s="55"/>
      <c r="K44" s="59" t="s">
        <v>1473</v>
      </c>
      <c r="L44" s="118">
        <v>25</v>
      </c>
    </row>
    <row r="45" spans="2:12" x14ac:dyDescent="0.3">
      <c r="H45" s="55"/>
      <c r="I45" s="55"/>
      <c r="J45" s="54" t="s">
        <v>1519</v>
      </c>
      <c r="K45" s="54" t="s">
        <v>1473</v>
      </c>
      <c r="L45" s="58">
        <v>4</v>
      </c>
    </row>
    <row r="46" spans="2:12" x14ac:dyDescent="0.3">
      <c r="H46" s="55"/>
      <c r="I46" s="55"/>
      <c r="J46" s="54" t="s">
        <v>1508</v>
      </c>
      <c r="K46" s="54" t="s">
        <v>1486</v>
      </c>
      <c r="L46" s="58">
        <v>1</v>
      </c>
    </row>
    <row r="47" spans="2:12" x14ac:dyDescent="0.3">
      <c r="H47" s="55"/>
      <c r="I47" s="55"/>
      <c r="J47" s="55"/>
      <c r="K47" s="59" t="s">
        <v>1473</v>
      </c>
      <c r="L47" s="118">
        <v>47</v>
      </c>
    </row>
    <row r="48" spans="2:12" x14ac:dyDescent="0.3">
      <c r="H48" s="54" t="s">
        <v>13</v>
      </c>
      <c r="I48" s="54" t="s">
        <v>1480</v>
      </c>
      <c r="J48" s="62" t="s">
        <v>1505</v>
      </c>
      <c r="K48" s="54" t="s">
        <v>1473</v>
      </c>
      <c r="L48" s="58">
        <v>1</v>
      </c>
    </row>
    <row r="49" spans="8:12" x14ac:dyDescent="0.3">
      <c r="H49" s="55"/>
      <c r="I49" s="55"/>
      <c r="J49" s="61" t="s">
        <v>1510</v>
      </c>
      <c r="K49" s="54" t="s">
        <v>1473</v>
      </c>
      <c r="L49" s="58">
        <v>19</v>
      </c>
    </row>
    <row r="50" spans="8:12" x14ac:dyDescent="0.3">
      <c r="H50" s="55"/>
      <c r="I50" s="54" t="s">
        <v>1514</v>
      </c>
      <c r="J50" s="54" t="s">
        <v>1477</v>
      </c>
      <c r="K50" s="54" t="s">
        <v>1486</v>
      </c>
      <c r="L50" s="58">
        <v>6</v>
      </c>
    </row>
    <row r="51" spans="8:12" x14ac:dyDescent="0.3">
      <c r="H51" s="55"/>
      <c r="I51" s="55"/>
      <c r="J51" s="55"/>
      <c r="K51" s="59" t="s">
        <v>1484</v>
      </c>
      <c r="L51" s="118">
        <v>19</v>
      </c>
    </row>
    <row r="52" spans="8:12" x14ac:dyDescent="0.3">
      <c r="H52" s="55"/>
      <c r="I52" s="55"/>
      <c r="J52" s="55"/>
      <c r="K52" s="59" t="s">
        <v>1485</v>
      </c>
      <c r="L52" s="118">
        <v>6</v>
      </c>
    </row>
    <row r="53" spans="8:12" x14ac:dyDescent="0.3">
      <c r="H53" s="55"/>
      <c r="I53" s="55"/>
      <c r="J53" s="55"/>
      <c r="K53" s="59" t="s">
        <v>1489</v>
      </c>
      <c r="L53" s="118">
        <v>5</v>
      </c>
    </row>
    <row r="54" spans="8:12" x14ac:dyDescent="0.3">
      <c r="H54" s="55"/>
      <c r="I54" s="55"/>
      <c r="J54" s="55"/>
      <c r="K54" s="59" t="s">
        <v>1490</v>
      </c>
      <c r="L54" s="118">
        <v>7</v>
      </c>
    </row>
    <row r="55" spans="8:12" x14ac:dyDescent="0.3">
      <c r="H55" s="55"/>
      <c r="I55" s="55"/>
      <c r="J55" s="55"/>
      <c r="K55" s="59" t="s">
        <v>1483</v>
      </c>
      <c r="L55" s="118">
        <v>4</v>
      </c>
    </row>
    <row r="56" spans="8:12" x14ac:dyDescent="0.3">
      <c r="H56" s="55"/>
      <c r="I56" s="55"/>
      <c r="J56" s="55"/>
      <c r="K56" s="59" t="s">
        <v>1491</v>
      </c>
      <c r="L56" s="118">
        <v>10</v>
      </c>
    </row>
    <row r="57" spans="8:12" x14ac:dyDescent="0.3">
      <c r="H57" s="55"/>
      <c r="I57" s="55"/>
      <c r="J57" s="55"/>
      <c r="K57" s="59" t="s">
        <v>1487</v>
      </c>
      <c r="L57" s="118">
        <v>11</v>
      </c>
    </row>
    <row r="58" spans="8:12" x14ac:dyDescent="0.3">
      <c r="H58" s="55"/>
      <c r="I58" s="55"/>
      <c r="J58" s="55"/>
      <c r="K58" s="59" t="s">
        <v>1488</v>
      </c>
      <c r="L58" s="118">
        <v>4</v>
      </c>
    </row>
    <row r="59" spans="8:12" x14ac:dyDescent="0.3">
      <c r="H59" s="55"/>
      <c r="I59" s="55"/>
      <c r="J59" s="55"/>
      <c r="K59" s="59" t="s">
        <v>1482</v>
      </c>
      <c r="L59" s="118">
        <v>45</v>
      </c>
    </row>
    <row r="60" spans="8:12" x14ac:dyDescent="0.3">
      <c r="H60" s="55"/>
      <c r="I60" s="55"/>
      <c r="J60" s="54" t="s">
        <v>1506</v>
      </c>
      <c r="K60" s="54" t="s">
        <v>1490</v>
      </c>
      <c r="L60" s="58">
        <v>2</v>
      </c>
    </row>
    <row r="61" spans="8:12" x14ac:dyDescent="0.3">
      <c r="H61" s="55"/>
      <c r="I61" s="55"/>
      <c r="J61" s="55"/>
      <c r="K61" s="59" t="s">
        <v>1487</v>
      </c>
      <c r="L61" s="118">
        <v>1</v>
      </c>
    </row>
    <row r="62" spans="8:12" x14ac:dyDescent="0.3">
      <c r="H62" s="55"/>
      <c r="I62" s="55"/>
      <c r="J62" s="55"/>
      <c r="K62" s="59" t="s">
        <v>1482</v>
      </c>
      <c r="L62" s="118">
        <v>1</v>
      </c>
    </row>
    <row r="63" spans="8:12" x14ac:dyDescent="0.3">
      <c r="H63" s="55"/>
      <c r="I63" s="55"/>
      <c r="J63" s="54" t="s">
        <v>1505</v>
      </c>
      <c r="K63" s="54" t="s">
        <v>1484</v>
      </c>
      <c r="L63" s="58">
        <v>1</v>
      </c>
    </row>
    <row r="64" spans="8:12" x14ac:dyDescent="0.3">
      <c r="H64" s="55"/>
      <c r="I64" s="55"/>
      <c r="J64" s="55"/>
      <c r="K64" s="59" t="s">
        <v>1489</v>
      </c>
      <c r="L64" s="118">
        <v>2</v>
      </c>
    </row>
    <row r="65" spans="8:12" x14ac:dyDescent="0.3">
      <c r="H65" s="55"/>
      <c r="I65" s="55"/>
      <c r="J65" s="55"/>
      <c r="K65" s="59" t="s">
        <v>1490</v>
      </c>
      <c r="L65" s="118">
        <v>1</v>
      </c>
    </row>
    <row r="66" spans="8:12" x14ac:dyDescent="0.3">
      <c r="H66" s="55"/>
      <c r="I66" s="55"/>
      <c r="J66" s="55"/>
      <c r="K66" s="59" t="s">
        <v>1482</v>
      </c>
      <c r="L66" s="118">
        <v>8</v>
      </c>
    </row>
    <row r="67" spans="8:12" x14ac:dyDescent="0.3">
      <c r="H67" s="55"/>
      <c r="I67" s="55"/>
      <c r="J67" s="54" t="s">
        <v>1521</v>
      </c>
      <c r="K67" s="54" t="s">
        <v>1486</v>
      </c>
      <c r="L67" s="58">
        <v>1</v>
      </c>
    </row>
    <row r="68" spans="8:12" x14ac:dyDescent="0.3">
      <c r="H68" s="55"/>
      <c r="I68" s="55"/>
      <c r="J68" s="55"/>
      <c r="K68" s="59" t="s">
        <v>1484</v>
      </c>
      <c r="L68" s="118">
        <v>4</v>
      </c>
    </row>
    <row r="69" spans="8:12" x14ac:dyDescent="0.3">
      <c r="H69" s="55"/>
      <c r="I69" s="55"/>
      <c r="J69" s="55"/>
      <c r="K69" s="59" t="s">
        <v>1489</v>
      </c>
      <c r="L69" s="118">
        <v>1</v>
      </c>
    </row>
    <row r="70" spans="8:12" x14ac:dyDescent="0.3">
      <c r="H70" s="55"/>
      <c r="I70" s="55"/>
      <c r="J70" s="55"/>
      <c r="K70" s="59" t="s">
        <v>1483</v>
      </c>
      <c r="L70" s="118">
        <v>2</v>
      </c>
    </row>
    <row r="71" spans="8:12" x14ac:dyDescent="0.3">
      <c r="H71" s="55"/>
      <c r="I71" s="55"/>
      <c r="J71" s="55"/>
      <c r="K71" s="59" t="s">
        <v>1487</v>
      </c>
      <c r="L71" s="118">
        <v>3</v>
      </c>
    </row>
    <row r="72" spans="8:12" x14ac:dyDescent="0.3">
      <c r="H72" s="56"/>
      <c r="I72" s="56"/>
      <c r="J72" s="56"/>
      <c r="K72" s="63" t="s">
        <v>1482</v>
      </c>
      <c r="L72" s="119">
        <v>10</v>
      </c>
    </row>
    <row r="73" spans="8:12" ht="29.4" customHeight="1" x14ac:dyDescent="0.3"/>
  </sheetData>
  <mergeCells count="4">
    <mergeCell ref="B5:B6"/>
    <mergeCell ref="B27:B28"/>
    <mergeCell ref="B15:B17"/>
    <mergeCell ref="B18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902F-A965-4E7F-BCB6-F1A160143AF5}">
  <sheetPr>
    <tabColor theme="4"/>
  </sheetPr>
  <dimension ref="A1:BZ107"/>
  <sheetViews>
    <sheetView showGridLines="0" tabSelected="1" zoomScale="60" zoomScaleNormal="60" workbookViewId="0">
      <pane xSplit="9" ySplit="7" topLeftCell="J30" activePane="bottomRight" state="frozen"/>
      <selection pane="topRight" activeCell="J1" sqref="J1"/>
      <selection pane="bottomLeft" activeCell="A9" sqref="A9"/>
      <selection pane="bottomRight" activeCell="D38" sqref="D38:D39"/>
    </sheetView>
  </sheetViews>
  <sheetFormatPr defaultColWidth="5.58203125" defaultRowHeight="14" outlineLevelRow="2" x14ac:dyDescent="0.3"/>
  <cols>
    <col min="1" max="1" width="2.6640625" style="135" customWidth="1"/>
    <col min="2" max="2" width="2.6640625" style="132" customWidth="1"/>
    <col min="3" max="3" width="25.5" style="133" customWidth="1"/>
    <col min="4" max="4" width="30.6640625" style="134" bestFit="1" customWidth="1"/>
    <col min="5" max="5" width="3.58203125" style="134" customWidth="1"/>
    <col min="6" max="6" width="15.6640625" style="161" customWidth="1"/>
    <col min="7" max="7" width="18.6640625" style="134" customWidth="1"/>
    <col min="8" max="8" width="18.6640625" style="175" customWidth="1"/>
    <col min="9" max="9" width="9.5" style="135" bestFit="1" customWidth="1"/>
    <col min="10" max="14" width="5.58203125" style="135"/>
    <col min="42" max="42" width="5.9140625" customWidth="1"/>
    <col min="46" max="46" width="6.5" bestFit="1" customWidth="1"/>
    <col min="48" max="48" width="6.1640625" bestFit="1" customWidth="1"/>
  </cols>
  <sheetData>
    <row r="1" spans="1:78" x14ac:dyDescent="0.3">
      <c r="H1" s="173"/>
      <c r="I1" s="246">
        <f>SUM(J1:BF1)</f>
        <v>823.19999999999936</v>
      </c>
      <c r="J1" s="135">
        <f>J4*8</f>
        <v>16.8</v>
      </c>
      <c r="K1" s="135">
        <f>K4*8</f>
        <v>16.8</v>
      </c>
      <c r="L1" s="135">
        <f t="shared" ref="L1:BF1" si="0">L4*8</f>
        <v>16.8</v>
      </c>
      <c r="M1" s="135">
        <f t="shared" si="0"/>
        <v>16.8</v>
      </c>
      <c r="N1" s="135">
        <f t="shared" si="0"/>
        <v>16.8</v>
      </c>
      <c r="O1" s="135">
        <f t="shared" si="0"/>
        <v>16.8</v>
      </c>
      <c r="P1" s="135">
        <f t="shared" si="0"/>
        <v>16.8</v>
      </c>
      <c r="Q1" s="135">
        <f t="shared" si="0"/>
        <v>16.8</v>
      </c>
      <c r="R1" s="135">
        <f t="shared" si="0"/>
        <v>16.8</v>
      </c>
      <c r="S1" s="135">
        <f t="shared" si="0"/>
        <v>16.8</v>
      </c>
      <c r="T1" s="135">
        <f t="shared" si="0"/>
        <v>16.8</v>
      </c>
      <c r="U1" s="135">
        <f t="shared" si="0"/>
        <v>16.8</v>
      </c>
      <c r="V1" s="135">
        <f t="shared" si="0"/>
        <v>16.8</v>
      </c>
      <c r="W1" s="135">
        <f t="shared" si="0"/>
        <v>16.8</v>
      </c>
      <c r="X1" s="135">
        <f t="shared" si="0"/>
        <v>16.8</v>
      </c>
      <c r="Y1" s="135">
        <f t="shared" si="0"/>
        <v>16.8</v>
      </c>
      <c r="Z1" s="135">
        <f t="shared" si="0"/>
        <v>16.8</v>
      </c>
      <c r="AA1" s="135">
        <f t="shared" si="0"/>
        <v>16.8</v>
      </c>
      <c r="AB1" s="135">
        <f t="shared" si="0"/>
        <v>16.8</v>
      </c>
      <c r="AC1" s="135">
        <f t="shared" si="0"/>
        <v>16.8</v>
      </c>
      <c r="AD1" s="135">
        <f t="shared" si="0"/>
        <v>16.8</v>
      </c>
      <c r="AE1" s="135">
        <f t="shared" si="0"/>
        <v>16.8</v>
      </c>
      <c r="AF1" s="135">
        <f t="shared" si="0"/>
        <v>16.8</v>
      </c>
      <c r="AG1" s="135">
        <f t="shared" si="0"/>
        <v>16.8</v>
      </c>
      <c r="AH1" s="135">
        <f t="shared" si="0"/>
        <v>16.8</v>
      </c>
      <c r="AI1" s="135">
        <f t="shared" si="0"/>
        <v>16.8</v>
      </c>
      <c r="AJ1" s="135">
        <f t="shared" si="0"/>
        <v>16.8</v>
      </c>
      <c r="AK1" s="135">
        <f t="shared" si="0"/>
        <v>16.8</v>
      </c>
      <c r="AL1" s="135">
        <f t="shared" si="0"/>
        <v>16.8</v>
      </c>
      <c r="AM1" s="135">
        <f t="shared" si="0"/>
        <v>16.8</v>
      </c>
      <c r="AN1" s="135">
        <f t="shared" si="0"/>
        <v>16.8</v>
      </c>
      <c r="AO1" s="135">
        <f t="shared" si="0"/>
        <v>16.8</v>
      </c>
      <c r="AP1" s="135">
        <f t="shared" si="0"/>
        <v>16.8</v>
      </c>
      <c r="AQ1" s="135">
        <f t="shared" si="0"/>
        <v>16.8</v>
      </c>
      <c r="AR1" s="135">
        <f t="shared" si="0"/>
        <v>16.8</v>
      </c>
      <c r="AS1" s="135">
        <f t="shared" si="0"/>
        <v>16.8</v>
      </c>
      <c r="AT1" s="135">
        <f t="shared" si="0"/>
        <v>16.8</v>
      </c>
      <c r="AU1" s="135">
        <f t="shared" si="0"/>
        <v>16.8</v>
      </c>
      <c r="AV1" s="135">
        <f t="shared" si="0"/>
        <v>16.8</v>
      </c>
      <c r="AW1" s="135">
        <f t="shared" si="0"/>
        <v>16.8</v>
      </c>
      <c r="AX1" s="135">
        <f t="shared" si="0"/>
        <v>16.8</v>
      </c>
      <c r="AY1" s="135">
        <f t="shared" si="0"/>
        <v>16.8</v>
      </c>
      <c r="AZ1" s="135">
        <f t="shared" si="0"/>
        <v>16.8</v>
      </c>
      <c r="BA1" s="135">
        <f t="shared" si="0"/>
        <v>16.8</v>
      </c>
      <c r="BB1" s="135">
        <f t="shared" si="0"/>
        <v>16.8</v>
      </c>
      <c r="BC1" s="135">
        <f t="shared" si="0"/>
        <v>16.8</v>
      </c>
      <c r="BD1" s="135">
        <f t="shared" si="0"/>
        <v>16.8</v>
      </c>
      <c r="BE1" s="135">
        <f t="shared" si="0"/>
        <v>16.8</v>
      </c>
      <c r="BF1" s="135">
        <f t="shared" si="0"/>
        <v>16.8</v>
      </c>
    </row>
    <row r="2" spans="1:78" x14ac:dyDescent="0.3">
      <c r="A2" s="140"/>
      <c r="B2" s="137"/>
      <c r="C2" s="138"/>
      <c r="D2" s="139"/>
      <c r="E2" s="139"/>
      <c r="F2" s="204"/>
      <c r="G2" s="139"/>
      <c r="H2" s="174"/>
      <c r="I2" s="142" t="s">
        <v>1596</v>
      </c>
      <c r="J2" s="141">
        <f t="shared" ref="J2" si="1">J3-J4</f>
        <v>0</v>
      </c>
      <c r="K2" s="141">
        <f t="shared" ref="K2:BF2" si="2">K3-K4</f>
        <v>0</v>
      </c>
      <c r="L2" s="141">
        <f t="shared" si="2"/>
        <v>0</v>
      </c>
      <c r="M2" s="141">
        <f t="shared" si="2"/>
        <v>0</v>
      </c>
      <c r="N2" s="141">
        <f t="shared" si="2"/>
        <v>0</v>
      </c>
      <c r="O2" s="141">
        <f t="shared" si="2"/>
        <v>0</v>
      </c>
      <c r="P2" s="141">
        <f t="shared" si="2"/>
        <v>0</v>
      </c>
      <c r="Q2" s="141">
        <f t="shared" si="2"/>
        <v>0</v>
      </c>
      <c r="R2" s="141">
        <f t="shared" si="2"/>
        <v>0</v>
      </c>
      <c r="S2" s="141">
        <f t="shared" si="2"/>
        <v>0</v>
      </c>
      <c r="T2" s="141">
        <f t="shared" si="2"/>
        <v>0</v>
      </c>
      <c r="U2" s="141">
        <f t="shared" si="2"/>
        <v>0</v>
      </c>
      <c r="V2" s="141">
        <f t="shared" si="2"/>
        <v>0</v>
      </c>
      <c r="W2" s="141">
        <f t="shared" si="2"/>
        <v>0</v>
      </c>
      <c r="X2" s="141">
        <f t="shared" si="2"/>
        <v>0</v>
      </c>
      <c r="Y2" s="141">
        <f t="shared" si="2"/>
        <v>0</v>
      </c>
      <c r="Z2" s="141">
        <f t="shared" si="2"/>
        <v>0</v>
      </c>
      <c r="AA2" s="141">
        <f t="shared" si="2"/>
        <v>0</v>
      </c>
      <c r="AB2" s="141">
        <f t="shared" si="2"/>
        <v>0</v>
      </c>
      <c r="AC2" s="141">
        <f t="shared" si="2"/>
        <v>0</v>
      </c>
      <c r="AD2" s="141">
        <f t="shared" si="2"/>
        <v>0</v>
      </c>
      <c r="AE2" s="141">
        <f t="shared" si="2"/>
        <v>0</v>
      </c>
      <c r="AF2" s="141">
        <f t="shared" si="2"/>
        <v>0</v>
      </c>
      <c r="AG2" s="141">
        <f t="shared" si="2"/>
        <v>0</v>
      </c>
      <c r="AH2" s="141">
        <f t="shared" si="2"/>
        <v>0</v>
      </c>
      <c r="AI2" s="141">
        <f t="shared" si="2"/>
        <v>0</v>
      </c>
      <c r="AJ2" s="141">
        <f t="shared" si="2"/>
        <v>0</v>
      </c>
      <c r="AK2" s="141">
        <f t="shared" si="2"/>
        <v>0</v>
      </c>
      <c r="AL2" s="141">
        <f t="shared" si="2"/>
        <v>0</v>
      </c>
      <c r="AM2" s="141">
        <f t="shared" si="2"/>
        <v>0</v>
      </c>
      <c r="AN2" s="141">
        <f t="shared" si="2"/>
        <v>0</v>
      </c>
      <c r="AO2" s="141">
        <f t="shared" si="2"/>
        <v>0</v>
      </c>
      <c r="AP2" s="244">
        <f t="shared" si="2"/>
        <v>0</v>
      </c>
      <c r="AQ2" s="243">
        <f t="shared" si="2"/>
        <v>0</v>
      </c>
      <c r="AR2" s="141">
        <f t="shared" si="2"/>
        <v>0</v>
      </c>
      <c r="AS2" s="141">
        <f t="shared" si="2"/>
        <v>0</v>
      </c>
      <c r="AT2" s="242">
        <f t="shared" si="2"/>
        <v>0</v>
      </c>
      <c r="AU2" s="141">
        <f t="shared" si="2"/>
        <v>0</v>
      </c>
      <c r="AV2" s="242">
        <f t="shared" si="2"/>
        <v>0</v>
      </c>
      <c r="AW2" s="241">
        <f t="shared" si="2"/>
        <v>0</v>
      </c>
      <c r="AX2" s="141">
        <f t="shared" si="2"/>
        <v>0</v>
      </c>
      <c r="AY2" s="141">
        <f t="shared" si="2"/>
        <v>0</v>
      </c>
      <c r="AZ2" s="141">
        <f t="shared" si="2"/>
        <v>0</v>
      </c>
      <c r="BA2" s="141">
        <f t="shared" si="2"/>
        <v>0</v>
      </c>
      <c r="BB2" s="141">
        <f t="shared" si="2"/>
        <v>0</v>
      </c>
      <c r="BC2" s="141">
        <f t="shared" si="2"/>
        <v>0</v>
      </c>
      <c r="BD2" s="141">
        <f t="shared" si="2"/>
        <v>0</v>
      </c>
      <c r="BE2" s="141">
        <f t="shared" si="2"/>
        <v>0</v>
      </c>
      <c r="BF2" s="141">
        <f t="shared" si="2"/>
        <v>-1.5750000000000002</v>
      </c>
    </row>
    <row r="3" spans="1:78" x14ac:dyDescent="0.3">
      <c r="A3" s="228"/>
      <c r="B3" s="229"/>
      <c r="C3" s="230"/>
      <c r="D3" s="231"/>
      <c r="E3" s="231"/>
      <c r="F3" s="232"/>
      <c r="G3" s="231"/>
      <c r="H3" s="233"/>
      <c r="I3" s="234" t="s">
        <v>1595</v>
      </c>
      <c r="J3" s="234">
        <f t="shared" ref="J3:AO3" si="3">SUM(J8:J102)</f>
        <v>2.1</v>
      </c>
      <c r="K3" s="234">
        <f t="shared" si="3"/>
        <v>2.1</v>
      </c>
      <c r="L3" s="234">
        <f t="shared" si="3"/>
        <v>2.1</v>
      </c>
      <c r="M3" s="234">
        <f t="shared" si="3"/>
        <v>2.1</v>
      </c>
      <c r="N3" s="234">
        <f t="shared" si="3"/>
        <v>2.1</v>
      </c>
      <c r="O3" s="234">
        <f t="shared" si="3"/>
        <v>2.1</v>
      </c>
      <c r="P3" s="234">
        <f t="shared" si="3"/>
        <v>2.1</v>
      </c>
      <c r="Q3" s="234">
        <f t="shared" si="3"/>
        <v>2.1</v>
      </c>
      <c r="R3" s="234">
        <f t="shared" si="3"/>
        <v>2.1</v>
      </c>
      <c r="S3" s="234">
        <f t="shared" si="3"/>
        <v>2.1</v>
      </c>
      <c r="T3" s="234">
        <f t="shared" si="3"/>
        <v>2.1</v>
      </c>
      <c r="U3" s="234">
        <f t="shared" si="3"/>
        <v>2.1</v>
      </c>
      <c r="V3" s="234">
        <f t="shared" si="3"/>
        <v>2.1</v>
      </c>
      <c r="W3" s="234">
        <f t="shared" si="3"/>
        <v>2.1</v>
      </c>
      <c r="X3" s="234">
        <f t="shared" si="3"/>
        <v>2.1</v>
      </c>
      <c r="Y3" s="234">
        <f t="shared" si="3"/>
        <v>2.1</v>
      </c>
      <c r="Z3" s="234">
        <f t="shared" si="3"/>
        <v>2.1</v>
      </c>
      <c r="AA3" s="234">
        <f t="shared" si="3"/>
        <v>2.1</v>
      </c>
      <c r="AB3" s="234">
        <f t="shared" si="3"/>
        <v>2.1</v>
      </c>
      <c r="AC3" s="234">
        <f t="shared" si="3"/>
        <v>2.1</v>
      </c>
      <c r="AD3" s="234">
        <f t="shared" si="3"/>
        <v>2.1</v>
      </c>
      <c r="AE3" s="234">
        <f t="shared" si="3"/>
        <v>2.1</v>
      </c>
      <c r="AF3" s="234">
        <f t="shared" si="3"/>
        <v>2.1</v>
      </c>
      <c r="AG3" s="234">
        <f t="shared" si="3"/>
        <v>2.1</v>
      </c>
      <c r="AH3" s="234">
        <f t="shared" si="3"/>
        <v>2.1</v>
      </c>
      <c r="AI3" s="234">
        <f t="shared" si="3"/>
        <v>2.1</v>
      </c>
      <c r="AJ3" s="234">
        <f t="shared" si="3"/>
        <v>2.1</v>
      </c>
      <c r="AK3" s="234">
        <f t="shared" si="3"/>
        <v>2.1</v>
      </c>
      <c r="AL3" s="234">
        <f t="shared" si="3"/>
        <v>2.1</v>
      </c>
      <c r="AM3" s="234">
        <f t="shared" si="3"/>
        <v>2.1</v>
      </c>
      <c r="AN3" s="234">
        <f t="shared" si="3"/>
        <v>2.1</v>
      </c>
      <c r="AO3" s="234">
        <f t="shared" si="3"/>
        <v>2.1</v>
      </c>
      <c r="AP3" s="234">
        <f t="shared" ref="AP3:BF3" si="4">SUM(AP8:AP102)</f>
        <v>2.1</v>
      </c>
      <c r="AQ3" s="234">
        <f t="shared" si="4"/>
        <v>2.1</v>
      </c>
      <c r="AR3" s="234">
        <f t="shared" si="4"/>
        <v>2.1</v>
      </c>
      <c r="AS3" s="234">
        <f t="shared" si="4"/>
        <v>2.1</v>
      </c>
      <c r="AT3" s="234">
        <f t="shared" si="4"/>
        <v>2.1</v>
      </c>
      <c r="AU3" s="234">
        <f t="shared" si="4"/>
        <v>2.1</v>
      </c>
      <c r="AV3" s="234">
        <f t="shared" si="4"/>
        <v>2.1</v>
      </c>
      <c r="AW3" s="234">
        <f t="shared" si="4"/>
        <v>2.1</v>
      </c>
      <c r="AX3" s="234">
        <f t="shared" si="4"/>
        <v>2.1</v>
      </c>
      <c r="AY3" s="234">
        <f t="shared" si="4"/>
        <v>2.1</v>
      </c>
      <c r="AZ3" s="234">
        <f t="shared" si="4"/>
        <v>2.1</v>
      </c>
      <c r="BA3" s="234">
        <f t="shared" si="4"/>
        <v>2.1</v>
      </c>
      <c r="BB3" s="234">
        <f t="shared" si="4"/>
        <v>2.1</v>
      </c>
      <c r="BC3" s="234">
        <f t="shared" si="4"/>
        <v>2.1</v>
      </c>
      <c r="BD3" s="234">
        <f t="shared" si="4"/>
        <v>2.1</v>
      </c>
      <c r="BE3" s="234">
        <f t="shared" si="4"/>
        <v>2.1</v>
      </c>
      <c r="BF3" s="234">
        <f t="shared" si="4"/>
        <v>0.52500000000000002</v>
      </c>
    </row>
    <row r="4" spans="1:78" x14ac:dyDescent="0.3">
      <c r="A4" s="140"/>
      <c r="B4" s="137"/>
      <c r="C4" s="138"/>
      <c r="D4" s="139"/>
      <c r="E4" s="139"/>
      <c r="F4" s="204"/>
      <c r="G4" s="210"/>
      <c r="H4" s="174"/>
      <c r="I4" s="142" t="s">
        <v>1594</v>
      </c>
      <c r="J4" s="142">
        <v>2.1</v>
      </c>
      <c r="K4" s="142">
        <v>2.1</v>
      </c>
      <c r="L4" s="142">
        <v>2.1</v>
      </c>
      <c r="M4" s="142">
        <v>2.1</v>
      </c>
      <c r="N4" s="142">
        <v>2.1</v>
      </c>
      <c r="O4" s="142">
        <v>2.1</v>
      </c>
      <c r="P4" s="142">
        <v>2.1</v>
      </c>
      <c r="Q4" s="142">
        <v>2.1</v>
      </c>
      <c r="R4" s="142">
        <v>2.1</v>
      </c>
      <c r="S4" s="142">
        <v>2.1</v>
      </c>
      <c r="T4" s="142">
        <v>2.1</v>
      </c>
      <c r="U4" s="142">
        <v>2.1</v>
      </c>
      <c r="V4" s="142">
        <v>2.1</v>
      </c>
      <c r="W4" s="142">
        <v>2.1</v>
      </c>
      <c r="X4" s="142">
        <v>2.1</v>
      </c>
      <c r="Y4" s="142">
        <v>2.1</v>
      </c>
      <c r="Z4" s="142">
        <v>2.1</v>
      </c>
      <c r="AA4" s="142">
        <v>2.1</v>
      </c>
      <c r="AB4" s="142">
        <v>2.1</v>
      </c>
      <c r="AC4" s="142">
        <v>2.1</v>
      </c>
      <c r="AD4" s="142">
        <v>2.1</v>
      </c>
      <c r="AE4" s="142">
        <v>2.1</v>
      </c>
      <c r="AF4" s="142">
        <v>2.1</v>
      </c>
      <c r="AG4" s="142">
        <v>2.1</v>
      </c>
      <c r="AH4" s="142">
        <v>2.1</v>
      </c>
      <c r="AI4" s="142">
        <v>2.1</v>
      </c>
      <c r="AJ4" s="142">
        <v>2.1</v>
      </c>
      <c r="AK4" s="142">
        <v>2.1</v>
      </c>
      <c r="AL4" s="142">
        <v>2.1</v>
      </c>
      <c r="AM4" s="142">
        <v>2.1</v>
      </c>
      <c r="AN4" s="142">
        <v>2.1</v>
      </c>
      <c r="AO4" s="142">
        <v>2.1</v>
      </c>
      <c r="AP4" s="142">
        <v>2.1</v>
      </c>
      <c r="AQ4" s="142">
        <v>2.1</v>
      </c>
      <c r="AR4" s="142">
        <v>2.1</v>
      </c>
      <c r="AS4" s="142">
        <v>2.1</v>
      </c>
      <c r="AT4" s="142">
        <v>2.1</v>
      </c>
      <c r="AU4" s="142">
        <v>2.1</v>
      </c>
      <c r="AV4" s="142">
        <v>2.1</v>
      </c>
      <c r="AW4" s="142">
        <v>2.1</v>
      </c>
      <c r="AX4" s="142">
        <v>2.1</v>
      </c>
      <c r="AY4" s="142">
        <v>2.1</v>
      </c>
      <c r="AZ4" s="142">
        <v>2.1</v>
      </c>
      <c r="BA4" s="142">
        <v>2.1</v>
      </c>
      <c r="BB4" s="142">
        <v>2.1</v>
      </c>
      <c r="BC4" s="142">
        <v>2.1</v>
      </c>
      <c r="BD4" s="142">
        <v>2.1</v>
      </c>
      <c r="BE4" s="142">
        <v>2.1</v>
      </c>
      <c r="BF4" s="142">
        <v>2.1</v>
      </c>
    </row>
    <row r="5" spans="1:78" x14ac:dyDescent="0.3">
      <c r="G5"/>
      <c r="H5"/>
      <c r="J5" s="136" t="s">
        <v>1707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 t="s">
        <v>1708</v>
      </c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 t="s">
        <v>1709</v>
      </c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</row>
    <row r="6" spans="1:78" ht="18" hidden="1" x14ac:dyDescent="0.3">
      <c r="D6" s="133"/>
      <c r="E6" s="133"/>
      <c r="G6" s="133"/>
      <c r="H6" s="176"/>
      <c r="I6" s="157">
        <v>45657</v>
      </c>
      <c r="J6" s="156">
        <f>WORKDAY(I6,1)</f>
        <v>45658</v>
      </c>
      <c r="K6" s="156">
        <f t="shared" ref="K6:N6" si="5">WORKDAY(J6,1)</f>
        <v>45659</v>
      </c>
      <c r="L6" s="156">
        <f t="shared" si="5"/>
        <v>45660</v>
      </c>
      <c r="M6" s="156">
        <v>4</v>
      </c>
      <c r="N6" s="156">
        <f t="shared" si="5"/>
        <v>5</v>
      </c>
      <c r="O6" s="156">
        <f>WORKDAY(N6,1)</f>
        <v>6</v>
      </c>
      <c r="P6" s="156">
        <f t="shared" ref="P6:S6" si="6">WORKDAY(O6,1)</f>
        <v>9</v>
      </c>
      <c r="Q6" s="156">
        <f t="shared" si="6"/>
        <v>10</v>
      </c>
      <c r="R6" s="156">
        <f t="shared" si="6"/>
        <v>11</v>
      </c>
      <c r="S6" s="156">
        <f t="shared" si="6"/>
        <v>12</v>
      </c>
      <c r="T6" s="156">
        <f>WORKDAY(S6,1)</f>
        <v>13</v>
      </c>
      <c r="U6" s="156">
        <f t="shared" ref="U6:X6" si="7">WORKDAY(T6,1)</f>
        <v>16</v>
      </c>
      <c r="V6" s="156">
        <f t="shared" si="7"/>
        <v>17</v>
      </c>
      <c r="W6" s="156">
        <f t="shared" si="7"/>
        <v>18</v>
      </c>
      <c r="X6" s="156">
        <f t="shared" si="7"/>
        <v>19</v>
      </c>
    </row>
    <row r="7" spans="1:78" ht="18" x14ac:dyDescent="0.3">
      <c r="D7" s="133"/>
      <c r="E7" s="133"/>
      <c r="F7" s="161" t="s">
        <v>1522</v>
      </c>
      <c r="G7" s="161" t="s">
        <v>1597</v>
      </c>
      <c r="H7" s="180" t="s">
        <v>1617</v>
      </c>
      <c r="I7" s="190" t="s">
        <v>1596</v>
      </c>
      <c r="J7" s="156">
        <v>1</v>
      </c>
      <c r="K7" s="156">
        <f>J7+1</f>
        <v>2</v>
      </c>
      <c r="L7" s="156">
        <f t="shared" ref="L7:BW7" si="8">K7+1</f>
        <v>3</v>
      </c>
      <c r="M7" s="156">
        <f t="shared" si="8"/>
        <v>4</v>
      </c>
      <c r="N7" s="156">
        <f t="shared" si="8"/>
        <v>5</v>
      </c>
      <c r="O7" s="156">
        <f t="shared" si="8"/>
        <v>6</v>
      </c>
      <c r="P7" s="156">
        <f t="shared" si="8"/>
        <v>7</v>
      </c>
      <c r="Q7" s="156">
        <f t="shared" si="8"/>
        <v>8</v>
      </c>
      <c r="R7" s="156">
        <f t="shared" si="8"/>
        <v>9</v>
      </c>
      <c r="S7" s="156">
        <f t="shared" si="8"/>
        <v>10</v>
      </c>
      <c r="T7" s="156">
        <f t="shared" si="8"/>
        <v>11</v>
      </c>
      <c r="U7" s="156">
        <f t="shared" si="8"/>
        <v>12</v>
      </c>
      <c r="V7" s="156">
        <f t="shared" si="8"/>
        <v>13</v>
      </c>
      <c r="W7" s="156">
        <f t="shared" si="8"/>
        <v>14</v>
      </c>
      <c r="X7" s="156">
        <f t="shared" si="8"/>
        <v>15</v>
      </c>
      <c r="Y7" s="156">
        <f t="shared" si="8"/>
        <v>16</v>
      </c>
      <c r="Z7" s="156">
        <f t="shared" si="8"/>
        <v>17</v>
      </c>
      <c r="AA7" s="156">
        <f t="shared" si="8"/>
        <v>18</v>
      </c>
      <c r="AB7" s="156">
        <f t="shared" si="8"/>
        <v>19</v>
      </c>
      <c r="AC7" s="156">
        <f t="shared" si="8"/>
        <v>20</v>
      </c>
      <c r="AD7" s="156">
        <f t="shared" si="8"/>
        <v>21</v>
      </c>
      <c r="AE7" s="156">
        <f t="shared" si="8"/>
        <v>22</v>
      </c>
      <c r="AF7" s="156">
        <f t="shared" si="8"/>
        <v>23</v>
      </c>
      <c r="AG7" s="156">
        <f t="shared" si="8"/>
        <v>24</v>
      </c>
      <c r="AH7" s="156">
        <f t="shared" si="8"/>
        <v>25</v>
      </c>
      <c r="AI7" s="156">
        <f t="shared" si="8"/>
        <v>26</v>
      </c>
      <c r="AJ7" s="156">
        <f t="shared" si="8"/>
        <v>27</v>
      </c>
      <c r="AK7" s="156">
        <f t="shared" si="8"/>
        <v>28</v>
      </c>
      <c r="AL7" s="156">
        <f t="shared" si="8"/>
        <v>29</v>
      </c>
      <c r="AM7" s="156">
        <f t="shared" si="8"/>
        <v>30</v>
      </c>
      <c r="AN7" s="156">
        <f t="shared" si="8"/>
        <v>31</v>
      </c>
      <c r="AO7" s="235">
        <f t="shared" si="8"/>
        <v>32</v>
      </c>
      <c r="AP7" s="235">
        <f t="shared" si="8"/>
        <v>33</v>
      </c>
      <c r="AQ7" s="235">
        <f t="shared" si="8"/>
        <v>34</v>
      </c>
      <c r="AR7" s="235">
        <f t="shared" si="8"/>
        <v>35</v>
      </c>
      <c r="AS7" s="235">
        <f t="shared" si="8"/>
        <v>36</v>
      </c>
      <c r="AT7" s="235">
        <f t="shared" si="8"/>
        <v>37</v>
      </c>
      <c r="AU7" s="235">
        <f t="shared" si="8"/>
        <v>38</v>
      </c>
      <c r="AV7" s="235">
        <f t="shared" si="8"/>
        <v>39</v>
      </c>
      <c r="AW7" s="235">
        <f t="shared" si="8"/>
        <v>40</v>
      </c>
      <c r="AX7" s="235">
        <f t="shared" si="8"/>
        <v>41</v>
      </c>
      <c r="AY7" s="235">
        <f t="shared" si="8"/>
        <v>42</v>
      </c>
      <c r="AZ7" s="235">
        <f t="shared" si="8"/>
        <v>43</v>
      </c>
      <c r="BA7" s="235">
        <f t="shared" si="8"/>
        <v>44</v>
      </c>
      <c r="BB7" s="235">
        <f t="shared" si="8"/>
        <v>45</v>
      </c>
      <c r="BC7" s="235">
        <f t="shared" si="8"/>
        <v>46</v>
      </c>
      <c r="BD7" s="235">
        <f t="shared" si="8"/>
        <v>47</v>
      </c>
      <c r="BE7" s="235">
        <f t="shared" si="8"/>
        <v>48</v>
      </c>
      <c r="BF7" s="235">
        <f t="shared" si="8"/>
        <v>49</v>
      </c>
      <c r="BG7" s="235">
        <f t="shared" si="8"/>
        <v>50</v>
      </c>
      <c r="BH7" s="235">
        <f t="shared" si="8"/>
        <v>51</v>
      </c>
      <c r="BI7" s="235">
        <f t="shared" si="8"/>
        <v>52</v>
      </c>
      <c r="BJ7" s="235">
        <f t="shared" si="8"/>
        <v>53</v>
      </c>
      <c r="BK7" s="235">
        <f t="shared" si="8"/>
        <v>54</v>
      </c>
      <c r="BL7" s="235">
        <f t="shared" si="8"/>
        <v>55</v>
      </c>
      <c r="BM7" s="235">
        <f t="shared" si="8"/>
        <v>56</v>
      </c>
      <c r="BN7" s="235">
        <f t="shared" si="8"/>
        <v>57</v>
      </c>
      <c r="BO7" s="235">
        <f t="shared" si="8"/>
        <v>58</v>
      </c>
      <c r="BP7" s="235">
        <f t="shared" si="8"/>
        <v>59</v>
      </c>
      <c r="BQ7" s="235">
        <f t="shared" si="8"/>
        <v>60</v>
      </c>
      <c r="BR7" s="235">
        <f t="shared" si="8"/>
        <v>61</v>
      </c>
      <c r="BS7" s="235">
        <f t="shared" si="8"/>
        <v>62</v>
      </c>
      <c r="BT7" s="235">
        <f t="shared" si="8"/>
        <v>63</v>
      </c>
      <c r="BU7" s="235">
        <f t="shared" si="8"/>
        <v>64</v>
      </c>
      <c r="BV7" s="235">
        <f t="shared" si="8"/>
        <v>65</v>
      </c>
      <c r="BW7" s="235">
        <f t="shared" si="8"/>
        <v>66</v>
      </c>
      <c r="BX7" s="235">
        <f t="shared" ref="BX7:BY7" si="9">BW7+1</f>
        <v>67</v>
      </c>
      <c r="BY7" s="235">
        <f t="shared" si="9"/>
        <v>68</v>
      </c>
      <c r="BZ7" s="235">
        <f t="shared" ref="BZ7" si="10">BY7+1</f>
        <v>69</v>
      </c>
    </row>
    <row r="8" spans="1:78" x14ac:dyDescent="0.3">
      <c r="G8" s="132"/>
      <c r="H8" s="17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</row>
    <row r="9" spans="1:78" hidden="1" x14ac:dyDescent="0.3">
      <c r="C9" s="184" t="s">
        <v>1599</v>
      </c>
      <c r="D9" s="185"/>
      <c r="E9" s="186"/>
      <c r="F9" s="203" t="s">
        <v>1534</v>
      </c>
      <c r="G9" s="187">
        <f>H9*8*5</f>
        <v>0</v>
      </c>
      <c r="H9" s="188">
        <f>SUM(J9:M9)</f>
        <v>0</v>
      </c>
      <c r="I9" s="189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</row>
    <row r="10" spans="1:78" x14ac:dyDescent="0.3">
      <c r="C10" s="165" t="s">
        <v>1710</v>
      </c>
      <c r="D10" s="166"/>
      <c r="E10" s="167"/>
      <c r="F10" s="193" t="s">
        <v>1534</v>
      </c>
      <c r="G10" s="168">
        <f>H10*8</f>
        <v>51.199999999999946</v>
      </c>
      <c r="H10" s="177">
        <f>SUM(J10:BU10)</f>
        <v>6.3999999999999932</v>
      </c>
      <c r="I10" s="209">
        <f>SUM(J10:BU10)-H10</f>
        <v>0</v>
      </c>
      <c r="J10" s="153">
        <v>0.1</v>
      </c>
      <c r="K10" s="153">
        <v>0.1</v>
      </c>
      <c r="L10" s="153">
        <v>0.1</v>
      </c>
      <c r="M10" s="153">
        <v>0.1</v>
      </c>
      <c r="N10" s="153">
        <v>0.1</v>
      </c>
      <c r="O10" s="153">
        <v>0.1</v>
      </c>
      <c r="P10" s="153">
        <v>0.1</v>
      </c>
      <c r="Q10" s="153">
        <v>0.1</v>
      </c>
      <c r="R10" s="153">
        <v>0.1</v>
      </c>
      <c r="S10" s="153">
        <v>0.1</v>
      </c>
      <c r="T10" s="153">
        <v>0.1</v>
      </c>
      <c r="U10" s="153">
        <v>0.1</v>
      </c>
      <c r="V10" s="153">
        <v>0.1</v>
      </c>
      <c r="W10" s="153">
        <v>0.1</v>
      </c>
      <c r="X10" s="153">
        <v>0.1</v>
      </c>
      <c r="Y10" s="153">
        <v>0.1</v>
      </c>
      <c r="Z10" s="153">
        <v>0.1</v>
      </c>
      <c r="AA10" s="153">
        <v>0.1</v>
      </c>
      <c r="AB10" s="153">
        <v>0.1</v>
      </c>
      <c r="AC10" s="153">
        <v>0.1</v>
      </c>
      <c r="AD10" s="153">
        <v>0.1</v>
      </c>
      <c r="AE10" s="153">
        <v>0.1</v>
      </c>
      <c r="AF10" s="153">
        <v>0.1</v>
      </c>
      <c r="AG10" s="153">
        <v>0.1</v>
      </c>
      <c r="AH10" s="153">
        <v>0.1</v>
      </c>
      <c r="AI10" s="153">
        <v>0.1</v>
      </c>
      <c r="AJ10" s="153">
        <v>0.1</v>
      </c>
      <c r="AK10" s="153">
        <v>0.1</v>
      </c>
      <c r="AL10" s="153">
        <v>0.1</v>
      </c>
      <c r="AM10" s="153">
        <v>0.1</v>
      </c>
      <c r="AN10" s="153">
        <v>0.1</v>
      </c>
      <c r="AO10" s="153">
        <v>0.1</v>
      </c>
      <c r="AP10" s="153">
        <v>0.1</v>
      </c>
      <c r="AQ10" s="153">
        <v>0.1</v>
      </c>
      <c r="AR10" s="153">
        <v>0.1</v>
      </c>
      <c r="AS10" s="153">
        <v>0.1</v>
      </c>
      <c r="AT10" s="153">
        <v>0.1</v>
      </c>
      <c r="AU10" s="153">
        <v>0.1</v>
      </c>
      <c r="AV10" s="153">
        <v>0.1</v>
      </c>
      <c r="AW10" s="153">
        <v>0.1</v>
      </c>
      <c r="AX10" s="153">
        <v>0.1</v>
      </c>
      <c r="AY10" s="153">
        <v>0.1</v>
      </c>
      <c r="AZ10" s="153">
        <v>0.1</v>
      </c>
      <c r="BA10" s="153">
        <v>0.1</v>
      </c>
      <c r="BB10" s="153">
        <v>0.1</v>
      </c>
      <c r="BC10" s="153">
        <v>0.1</v>
      </c>
      <c r="BD10" s="153">
        <v>0.1</v>
      </c>
      <c r="BE10" s="153">
        <v>0.1</v>
      </c>
      <c r="BF10" s="153">
        <v>0.1</v>
      </c>
      <c r="BG10" s="153">
        <v>0.1</v>
      </c>
      <c r="BH10" s="153">
        <v>0.1</v>
      </c>
      <c r="BI10" s="153">
        <v>0.1</v>
      </c>
      <c r="BJ10" s="153">
        <v>0.1</v>
      </c>
      <c r="BK10" s="153">
        <v>0.1</v>
      </c>
      <c r="BL10" s="153">
        <v>0.1</v>
      </c>
      <c r="BM10" s="153">
        <v>0.1</v>
      </c>
      <c r="BN10" s="153">
        <v>0.1</v>
      </c>
      <c r="BO10" s="153">
        <v>0.1</v>
      </c>
      <c r="BP10" s="153">
        <v>0.1</v>
      </c>
      <c r="BQ10" s="153">
        <v>0.1</v>
      </c>
      <c r="BR10" s="153">
        <v>0.1</v>
      </c>
      <c r="BS10" s="153">
        <v>0.1</v>
      </c>
      <c r="BT10" s="153">
        <v>0.1</v>
      </c>
      <c r="BU10" s="153">
        <v>0.1</v>
      </c>
      <c r="BV10" s="153">
        <v>0.1</v>
      </c>
      <c r="BW10" s="153">
        <v>0.1</v>
      </c>
      <c r="BX10" s="153">
        <v>0.1</v>
      </c>
      <c r="BY10" s="153">
        <v>0.1</v>
      </c>
      <c r="BZ10" s="153">
        <v>0.1</v>
      </c>
    </row>
    <row r="11" spans="1:78" x14ac:dyDescent="0.3">
      <c r="C11" s="165" t="s">
        <v>1711</v>
      </c>
      <c r="D11" s="166"/>
      <c r="E11" s="167"/>
      <c r="F11" s="193" t="s">
        <v>1534</v>
      </c>
      <c r="G11" s="168">
        <f>8*4</f>
        <v>32</v>
      </c>
      <c r="H11" s="177">
        <f>G11/8</f>
        <v>4</v>
      </c>
      <c r="I11" s="209">
        <f>SUM(J11:CQ11)-H11</f>
        <v>0</v>
      </c>
      <c r="J11" s="153">
        <v>2</v>
      </c>
      <c r="K11" s="153">
        <v>2</v>
      </c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53"/>
      <c r="BN11" s="153"/>
      <c r="BO11" s="153"/>
      <c r="BP11" s="153"/>
      <c r="BQ11" s="153"/>
      <c r="BR11" s="153"/>
      <c r="BS11" s="153"/>
      <c r="BT11" s="153"/>
      <c r="BU11" s="153"/>
      <c r="BV11" s="153"/>
      <c r="BW11" s="153"/>
      <c r="BX11" s="153"/>
      <c r="BY11" s="153"/>
      <c r="BZ11" s="153"/>
    </row>
    <row r="12" spans="1:78" x14ac:dyDescent="0.3">
      <c r="C12" s="165" t="s">
        <v>1712</v>
      </c>
      <c r="D12" s="166"/>
      <c r="E12" s="167"/>
      <c r="F12" s="193" t="s">
        <v>1534</v>
      </c>
      <c r="G12" s="168">
        <f>8*8</f>
        <v>64</v>
      </c>
      <c r="H12" s="177">
        <f>G12/8</f>
        <v>8</v>
      </c>
      <c r="I12" s="209">
        <f>SUM(J12:CQ12)-H12</f>
        <v>0</v>
      </c>
      <c r="J12" s="153"/>
      <c r="K12" s="153"/>
      <c r="L12" s="153">
        <v>2</v>
      </c>
      <c r="M12" s="153">
        <v>2</v>
      </c>
      <c r="N12" s="153">
        <v>2</v>
      </c>
      <c r="O12" s="153">
        <v>2</v>
      </c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</row>
    <row r="13" spans="1:78" x14ac:dyDescent="0.3">
      <c r="C13" s="165" t="s">
        <v>1713</v>
      </c>
      <c r="D13" s="166"/>
      <c r="E13" s="167"/>
      <c r="F13" s="193">
        <f>COUNTA(D14:D36)</f>
        <v>23</v>
      </c>
      <c r="G13" s="168">
        <f>SUM(G14:G36)</f>
        <v>82</v>
      </c>
      <c r="H13" s="177">
        <f>G13/8</f>
        <v>10.25</v>
      </c>
      <c r="I13" s="209">
        <f t="shared" ref="I13:I50" si="11">SUM(J13:CQ13)-H13</f>
        <v>0</v>
      </c>
      <c r="J13" s="153"/>
      <c r="K13" s="153"/>
      <c r="L13" s="153"/>
      <c r="M13" s="153"/>
      <c r="N13" s="153"/>
      <c r="O13" s="153"/>
      <c r="P13" s="153">
        <v>2</v>
      </c>
      <c r="Q13" s="153">
        <v>2</v>
      </c>
      <c r="R13" s="153">
        <v>2</v>
      </c>
      <c r="S13" s="153">
        <v>2</v>
      </c>
      <c r="T13" s="153">
        <v>2</v>
      </c>
      <c r="U13" s="153">
        <v>0.25</v>
      </c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</row>
    <row r="14" spans="1:78" outlineLevel="2" x14ac:dyDescent="0.3">
      <c r="B14" s="237" t="str">
        <f>C14&amp;"_"&amp;D14</f>
        <v>INSTRUMENT_COD_SOC</v>
      </c>
      <c r="C14" s="160" t="s">
        <v>414</v>
      </c>
      <c r="D14" s="170" t="s">
        <v>12</v>
      </c>
      <c r="E14" s="133"/>
      <c r="F14" s="160" t="str">
        <f>VLOOKUP(B14,'Aux DE'!B:P,15,0)</f>
        <v>SCA   SCB1</v>
      </c>
      <c r="G14" s="132">
        <f>SUMIF('Aux DE'!B:B,'Plano SCA'!B14,'Aux DE'!I:I)+SUMIF('Aux DE'!B:B,'Plano SCA'!B14,'Aux DE'!O:O)</f>
        <v>3.5</v>
      </c>
      <c r="H14" s="173"/>
      <c r="I14" s="209">
        <f t="shared" si="11"/>
        <v>0</v>
      </c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</row>
    <row r="15" spans="1:78" outlineLevel="2" x14ac:dyDescent="0.3">
      <c r="B15" s="237" t="str">
        <f t="shared" ref="B15:B50" si="12">C15&amp;"_"&amp;D15</f>
        <v>INSTRUMENT_SUBPORTFOLIO_ID</v>
      </c>
      <c r="C15" s="160" t="s">
        <v>414</v>
      </c>
      <c r="D15" s="170" t="s">
        <v>416</v>
      </c>
      <c r="E15" s="133"/>
      <c r="F15" s="160" t="str">
        <f>VLOOKUP(B15,'Aux DE'!B:P,15,0)</f>
        <v>SCA   SCB1</v>
      </c>
      <c r="G15" s="132">
        <f>SUMIF('Aux DE'!B:B,'Plano SCA'!B15,'Aux DE'!I:I)+SUMIF('Aux DE'!B:B,'Plano SCA'!B15,'Aux DE'!O:O)</f>
        <v>3.5</v>
      </c>
      <c r="H15" s="173"/>
      <c r="I15" s="209">
        <f t="shared" si="11"/>
        <v>0</v>
      </c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3"/>
    </row>
    <row r="16" spans="1:78" outlineLevel="2" x14ac:dyDescent="0.3">
      <c r="B16" s="237" t="str">
        <f t="shared" si="12"/>
        <v>INSTRUMENT_DT_RFRNC</v>
      </c>
      <c r="C16" s="160" t="s">
        <v>414</v>
      </c>
      <c r="D16" s="170" t="s">
        <v>38</v>
      </c>
      <c r="E16" s="133"/>
      <c r="F16" s="160" t="str">
        <f>VLOOKUP(B16,'Aux DE'!B:P,15,0)</f>
        <v>SCA   SCB1</v>
      </c>
      <c r="G16" s="132">
        <f>SUMIF('Aux DE'!B:B,'Plano SCA'!B16,'Aux DE'!I:I)+SUMIF('Aux DE'!B:B,'Plano SCA'!B16,'Aux DE'!O:O)</f>
        <v>3.5</v>
      </c>
      <c r="H16" s="173"/>
      <c r="I16" s="209">
        <f t="shared" si="11"/>
        <v>0</v>
      </c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/>
      <c r="BN16" s="153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3"/>
    </row>
    <row r="17" spans="2:78" outlineLevel="2" x14ac:dyDescent="0.3">
      <c r="B17" s="237" t="str">
        <f t="shared" si="12"/>
        <v>INSTRUMENT_DFLT_STTS_INSTRMNT</v>
      </c>
      <c r="C17" s="160" t="s">
        <v>414</v>
      </c>
      <c r="D17" s="170" t="s">
        <v>466</v>
      </c>
      <c r="E17" s="133"/>
      <c r="F17" s="160" t="str">
        <f>VLOOKUP(B17,'Aux DE'!B:P,15,0)</f>
        <v>SCA   SCB1</v>
      </c>
      <c r="G17" s="132">
        <f>SUMIF('Aux DE'!B:B,'Plano SCA'!B17,'Aux DE'!I:I)+SUMIF('Aux DE'!B:B,'Plano SCA'!B17,'Aux DE'!O:O)</f>
        <v>3.5</v>
      </c>
      <c r="H17" s="173"/>
      <c r="I17" s="209">
        <f t="shared" si="11"/>
        <v>0</v>
      </c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/>
      <c r="BM17" s="153"/>
      <c r="BN17" s="153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3"/>
    </row>
    <row r="18" spans="2:78" outlineLevel="2" x14ac:dyDescent="0.3">
      <c r="B18" s="237" t="str">
        <f t="shared" si="12"/>
        <v>INSTRUMENT_IMPRMNT_STTS</v>
      </c>
      <c r="C18" s="160" t="s">
        <v>414</v>
      </c>
      <c r="D18" s="170" t="s">
        <v>504</v>
      </c>
      <c r="E18" s="133"/>
      <c r="F18" s="160" t="str">
        <f>VLOOKUP(B18,'Aux DE'!B:P,15,0)</f>
        <v>SCA   SCB1</v>
      </c>
      <c r="G18" s="132">
        <f>SUMIF('Aux DE'!B:B,'Plano SCA'!B18,'Aux DE'!I:I)+SUMIF('Aux DE'!B:B,'Plano SCA'!B18,'Aux DE'!O:O)</f>
        <v>3.5</v>
      </c>
      <c r="H18" s="173"/>
      <c r="I18" s="209">
        <f t="shared" si="11"/>
        <v>0</v>
      </c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</row>
    <row r="19" spans="2:78" outlineLevel="2" x14ac:dyDescent="0.3">
      <c r="B19" s="237" t="str">
        <f t="shared" si="12"/>
        <v>INSTRUMENT_PRFRMNG_STTS</v>
      </c>
      <c r="C19" s="160" t="s">
        <v>414</v>
      </c>
      <c r="D19" s="170" t="s">
        <v>528</v>
      </c>
      <c r="E19" s="133"/>
      <c r="F19" s="160" t="str">
        <f>VLOOKUP(B19,'Aux DE'!B:P,15,0)</f>
        <v>SCA   SCB1</v>
      </c>
      <c r="G19" s="132">
        <f>SUMIF('Aux DE'!B:B,'Plano SCA'!B19,'Aux DE'!I:I)+SUMIF('Aux DE'!B:B,'Plano SCA'!B19,'Aux DE'!O:O)</f>
        <v>3.5</v>
      </c>
      <c r="H19" s="173"/>
      <c r="I19" s="209">
        <f t="shared" si="11"/>
        <v>0</v>
      </c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</row>
    <row r="20" spans="2:78" outlineLevel="2" x14ac:dyDescent="0.3">
      <c r="B20" s="237" t="str">
        <f t="shared" si="12"/>
        <v>INSTRUMENT_TYP_INSTRMNT</v>
      </c>
      <c r="C20" s="160" t="s">
        <v>414</v>
      </c>
      <c r="D20" s="170" t="s">
        <v>560</v>
      </c>
      <c r="E20" s="133"/>
      <c r="F20" s="160" t="str">
        <f>VLOOKUP(B20,'Aux DE'!B:P,15,0)</f>
        <v>SCA   SCB1</v>
      </c>
      <c r="G20" s="132">
        <f>SUMIF('Aux DE'!B:B,'Plano SCA'!B20,'Aux DE'!I:I)+SUMIF('Aux DE'!B:B,'Plano SCA'!B20,'Aux DE'!O:O)</f>
        <v>3.5</v>
      </c>
      <c r="H20" s="173"/>
      <c r="I20" s="209">
        <f t="shared" si="11"/>
        <v>0</v>
      </c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</row>
    <row r="21" spans="2:78" outlineLevel="2" x14ac:dyDescent="0.3">
      <c r="B21" s="237" t="str">
        <f t="shared" si="12"/>
        <v>INSTRUMENT_GRSS_CRRYNG_AMNT_INSTRMNT</v>
      </c>
      <c r="C21" s="160" t="s">
        <v>414</v>
      </c>
      <c r="D21" s="170" t="s">
        <v>575</v>
      </c>
      <c r="E21" s="133"/>
      <c r="F21" s="160" t="str">
        <f>VLOOKUP(B21,'Aux DE'!B:P,15,0)</f>
        <v>SCA   SCB1</v>
      </c>
      <c r="G21" s="132">
        <f>SUMIF('Aux DE'!B:B,'Plano SCA'!B21,'Aux DE'!I:I)+SUMIF('Aux DE'!B:B,'Plano SCA'!B21,'Aux DE'!O:O)</f>
        <v>3.5</v>
      </c>
      <c r="H21" s="173"/>
      <c r="I21" s="209">
        <f t="shared" si="11"/>
        <v>0</v>
      </c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3"/>
    </row>
    <row r="22" spans="2:78" outlineLevel="2" x14ac:dyDescent="0.3">
      <c r="B22" s="237" t="str">
        <f t="shared" si="12"/>
        <v>INSTRUMENT_ACCMLTD_CHNGS_FV_CR_INSTRMNT</v>
      </c>
      <c r="C22" s="160" t="s">
        <v>414</v>
      </c>
      <c r="D22" s="170" t="s">
        <v>578</v>
      </c>
      <c r="E22" s="133"/>
      <c r="F22" s="160" t="str">
        <f>VLOOKUP(B22,'Aux DE'!B:P,15,0)</f>
        <v>SCA   SCB1</v>
      </c>
      <c r="G22" s="132">
        <f>SUMIF('Aux DE'!B:B,'Plano SCA'!B22,'Aux DE'!I:I)+SUMIF('Aux DE'!B:B,'Plano SCA'!B22,'Aux DE'!O:O)</f>
        <v>3.5</v>
      </c>
      <c r="H22" s="173"/>
      <c r="I22" s="209">
        <f t="shared" si="11"/>
        <v>0</v>
      </c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/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3"/>
    </row>
    <row r="23" spans="2:78" outlineLevel="2" x14ac:dyDescent="0.3">
      <c r="B23" s="237" t="str">
        <f t="shared" si="12"/>
        <v>INSTRUMENT_ACCNTNG_CLSSFCTN</v>
      </c>
      <c r="C23" s="160" t="s">
        <v>414</v>
      </c>
      <c r="D23" s="170" t="s">
        <v>581</v>
      </c>
      <c r="E23" s="133"/>
      <c r="F23" s="160" t="str">
        <f>VLOOKUP(B23,'Aux DE'!B:P,15,0)</f>
        <v>SCA   SCB1</v>
      </c>
      <c r="G23" s="132">
        <f>SUMIF('Aux DE'!B:B,'Plano SCA'!B23,'Aux DE'!I:I)+SUMIF('Aux DE'!B:B,'Plano SCA'!B23,'Aux DE'!O:O)</f>
        <v>3.5</v>
      </c>
      <c r="H23" s="173"/>
      <c r="I23" s="209">
        <f t="shared" si="11"/>
        <v>0</v>
      </c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</row>
    <row r="24" spans="2:78" outlineLevel="2" x14ac:dyDescent="0.3">
      <c r="B24" s="237" t="str">
        <f t="shared" si="12"/>
        <v>INSTRUMENT_OFF_BLNC_SHT_AMNT_INSTRMNT</v>
      </c>
      <c r="C24" s="160" t="s">
        <v>414</v>
      </c>
      <c r="D24" s="170" t="s">
        <v>629</v>
      </c>
      <c r="E24" s="133"/>
      <c r="F24" s="160" t="str">
        <f>VLOOKUP(B24,'Aux DE'!B:P,15,0)</f>
        <v>SCA   SCB1</v>
      </c>
      <c r="G24" s="132">
        <f>SUMIF('Aux DE'!B:B,'Plano SCA'!B24,'Aux DE'!I:I)+SUMIF('Aux DE'!B:B,'Plano SCA'!B24,'Aux DE'!O:O)</f>
        <v>3.5</v>
      </c>
      <c r="H24" s="173"/>
      <c r="I24" s="209">
        <f t="shared" si="11"/>
        <v>0</v>
      </c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</row>
    <row r="25" spans="2:78" outlineLevel="2" x14ac:dyDescent="0.3">
      <c r="B25" s="237" t="str">
        <f t="shared" si="12"/>
        <v>INSTRUMENT_PRVSNS_OFF_BLNC_SHT</v>
      </c>
      <c r="C25" s="160" t="s">
        <v>414</v>
      </c>
      <c r="D25" s="170" t="s">
        <v>641</v>
      </c>
      <c r="E25" s="133"/>
      <c r="F25" s="160" t="str">
        <f>VLOOKUP(B25,'Aux DE'!B:P,15,0)</f>
        <v>SCA   SCB1</v>
      </c>
      <c r="G25" s="132">
        <f>SUMIF('Aux DE'!B:B,'Plano SCA'!B25,'Aux DE'!I:I)+SUMIF('Aux DE'!B:B,'Plano SCA'!B25,'Aux DE'!O:O)</f>
        <v>3.5</v>
      </c>
      <c r="H25" s="173"/>
      <c r="I25" s="209">
        <f t="shared" si="11"/>
        <v>0</v>
      </c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3"/>
    </row>
    <row r="26" spans="2:78" outlineLevel="2" x14ac:dyDescent="0.3">
      <c r="B26" s="237" t="str">
        <f t="shared" si="12"/>
        <v>INSTRUMENT_RWA</v>
      </c>
      <c r="C26" s="160" t="s">
        <v>414</v>
      </c>
      <c r="D26" s="170" t="s">
        <v>650</v>
      </c>
      <c r="E26" s="133"/>
      <c r="F26" s="160" t="str">
        <f>VLOOKUP(B26,'Aux DE'!B:P,15,0)</f>
        <v>SCA   SCB1</v>
      </c>
      <c r="G26" s="132">
        <f>SUMIF('Aux DE'!B:B,'Plano SCA'!B26,'Aux DE'!I:I)+SUMIF('Aux DE'!B:B,'Plano SCA'!B26,'Aux DE'!O:O)</f>
        <v>3.5</v>
      </c>
      <c r="H26" s="173"/>
      <c r="I26" s="209">
        <f t="shared" si="11"/>
        <v>0</v>
      </c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3"/>
      <c r="BF26" s="153"/>
      <c r="BG26" s="153"/>
      <c r="BH26" s="153"/>
      <c r="BI26" s="153"/>
      <c r="BJ26" s="153"/>
      <c r="BK26" s="153"/>
      <c r="BL26" s="153"/>
      <c r="BM26" s="153"/>
      <c r="BN26" s="153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3"/>
    </row>
    <row r="27" spans="2:78" outlineLevel="2" x14ac:dyDescent="0.3">
      <c r="B27" s="237" t="str">
        <f t="shared" si="12"/>
        <v>INSTRUMENT_ACCMLTD_IMPRMNT_INSTRMNT</v>
      </c>
      <c r="C27" s="160" t="s">
        <v>414</v>
      </c>
      <c r="D27" s="170" t="s">
        <v>658</v>
      </c>
      <c r="E27" s="133"/>
      <c r="F27" s="160" t="str">
        <f>VLOOKUP(B27,'Aux DE'!B:P,15,0)</f>
        <v>SCA   SCB1</v>
      </c>
      <c r="G27" s="132">
        <f>SUMIF('Aux DE'!B:B,'Plano SCA'!B27,'Aux DE'!I:I)+SUMIF('Aux DE'!B:B,'Plano SCA'!B27,'Aux DE'!O:O)</f>
        <v>3.5</v>
      </c>
      <c r="H27" s="173"/>
      <c r="I27" s="209">
        <f t="shared" si="11"/>
        <v>0</v>
      </c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3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</row>
    <row r="28" spans="2:78" outlineLevel="2" x14ac:dyDescent="0.3">
      <c r="B28" s="237" t="str">
        <f t="shared" si="12"/>
        <v>INSTRUMENT_COD_SOC_INTRGRP</v>
      </c>
      <c r="C28" s="160" t="s">
        <v>414</v>
      </c>
      <c r="D28" s="170" t="s">
        <v>958</v>
      </c>
      <c r="E28" s="133"/>
      <c r="F28" s="160" t="str">
        <f>VLOOKUP(B28,'Aux DE'!B:P,15,0)</f>
        <v>SCA   SCB1</v>
      </c>
      <c r="G28" s="132">
        <f>SUMIF('Aux DE'!B:B,'Plano SCA'!B28,'Aux DE'!I:I)+SUMIF('Aux DE'!B:B,'Plano SCA'!B28,'Aux DE'!O:O)</f>
        <v>3.5</v>
      </c>
      <c r="H28" s="173"/>
      <c r="I28" s="209">
        <f t="shared" si="11"/>
        <v>0</v>
      </c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3"/>
      <c r="BF28" s="153"/>
      <c r="BG28" s="153"/>
      <c r="BH28" s="153"/>
      <c r="BI28" s="153"/>
      <c r="BJ28" s="153"/>
      <c r="BK28" s="153"/>
      <c r="BL28" s="153"/>
      <c r="BM28" s="153"/>
      <c r="BN28" s="153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3"/>
    </row>
    <row r="29" spans="2:78" outlineLevel="2" x14ac:dyDescent="0.3">
      <c r="B29" s="237" t="str">
        <f t="shared" si="12"/>
        <v>INSTRUMENT_LCL_INSTMRNT_ID</v>
      </c>
      <c r="C29" s="160" t="s">
        <v>414</v>
      </c>
      <c r="D29" s="170" t="s">
        <v>961</v>
      </c>
      <c r="E29" s="133"/>
      <c r="F29" s="160" t="str">
        <f>VLOOKUP(B29,'Aux DE'!B:P,15,0)</f>
        <v>SCA   SCB1</v>
      </c>
      <c r="G29" s="132">
        <f>SUMIF('Aux DE'!B:B,'Plano SCA'!B29,'Aux DE'!I:I)+SUMIF('Aux DE'!B:B,'Plano SCA'!B29,'Aux DE'!O:O)</f>
        <v>3.5</v>
      </c>
      <c r="H29" s="173"/>
      <c r="I29" s="209">
        <f t="shared" si="11"/>
        <v>0</v>
      </c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3"/>
      <c r="BF29" s="153"/>
      <c r="BG29" s="153"/>
      <c r="BH29" s="153"/>
      <c r="BI29" s="153"/>
      <c r="BJ29" s="153"/>
      <c r="BK29" s="153"/>
      <c r="BL29" s="153"/>
      <c r="BM29" s="153"/>
      <c r="BN29" s="153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3"/>
    </row>
    <row r="30" spans="2:78" outlineLevel="2" x14ac:dyDescent="0.3">
      <c r="B30" s="237" t="str">
        <f t="shared" si="12"/>
        <v>INSTRUMENT_FLG_INTRBSNSS</v>
      </c>
      <c r="C30" s="160" t="s">
        <v>414</v>
      </c>
      <c r="D30" s="170" t="s">
        <v>1000</v>
      </c>
      <c r="E30" s="133"/>
      <c r="F30" s="160" t="str">
        <f>VLOOKUP(B30,'Aux DE'!B:P,15,0)</f>
        <v>SCA   SCB1</v>
      </c>
      <c r="G30" s="132">
        <f>SUMIF('Aux DE'!B:B,'Plano SCA'!B30,'Aux DE'!I:I)+SUMIF('Aux DE'!B:B,'Plano SCA'!B30,'Aux DE'!O:O)</f>
        <v>4</v>
      </c>
      <c r="H30" s="173"/>
      <c r="I30" s="209">
        <f t="shared" si="11"/>
        <v>0</v>
      </c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3"/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3"/>
    </row>
    <row r="31" spans="2:78" outlineLevel="2" x14ac:dyDescent="0.3">
      <c r="B31" s="237" t="str">
        <f t="shared" si="12"/>
        <v>INSTRUMENT_INTRBSNSS_ADJ_COD</v>
      </c>
      <c r="C31" s="160" t="s">
        <v>414</v>
      </c>
      <c r="D31" s="170" t="s">
        <v>1003</v>
      </c>
      <c r="E31" s="133"/>
      <c r="F31" s="160" t="str">
        <f>VLOOKUP(B31,'Aux DE'!B:P,15,0)</f>
        <v>SCA   SCB1</v>
      </c>
      <c r="G31" s="132">
        <f>SUMIF('Aux DE'!B:B,'Plano SCA'!B31,'Aux DE'!I:I)+SUMIF('Aux DE'!B:B,'Plano SCA'!B31,'Aux DE'!O:O)</f>
        <v>4</v>
      </c>
      <c r="H31" s="173"/>
      <c r="I31" s="209">
        <f t="shared" si="11"/>
        <v>0</v>
      </c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3"/>
      <c r="BF31" s="153"/>
      <c r="BG31" s="153"/>
      <c r="BH31" s="153"/>
      <c r="BI31" s="153"/>
      <c r="BJ31" s="153"/>
      <c r="BK31" s="153"/>
      <c r="BL31" s="153"/>
      <c r="BM31" s="153"/>
      <c r="BN31" s="153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3"/>
    </row>
    <row r="32" spans="2:78" outlineLevel="2" x14ac:dyDescent="0.3">
      <c r="B32" s="237" t="str">
        <f t="shared" si="12"/>
        <v>INSTRUMENT_COD_SOC_DSTNTN</v>
      </c>
      <c r="C32" s="160" t="s">
        <v>414</v>
      </c>
      <c r="D32" s="170" t="s">
        <v>1006</v>
      </c>
      <c r="E32" s="133"/>
      <c r="F32" s="160" t="str">
        <f>VLOOKUP(B32,'Aux DE'!B:P,15,0)</f>
        <v>SCA   SCB1</v>
      </c>
      <c r="G32" s="132">
        <f>SUMIF('Aux DE'!B:B,'Plano SCA'!B32,'Aux DE'!I:I)+SUMIF('Aux DE'!B:B,'Plano SCA'!B32,'Aux DE'!O:O)</f>
        <v>3.5</v>
      </c>
      <c r="H32" s="173"/>
      <c r="I32" s="209">
        <f t="shared" si="11"/>
        <v>0</v>
      </c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3"/>
      <c r="BI32" s="153"/>
      <c r="BJ32" s="153"/>
      <c r="BK32" s="153"/>
      <c r="BL32" s="153"/>
      <c r="BM32" s="153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</row>
    <row r="33" spans="2:78" outlineLevel="2" x14ac:dyDescent="0.3">
      <c r="B33" s="237" t="str">
        <f t="shared" si="12"/>
        <v>INSTRUMENT_BSNSS_AREA_DSTNTN</v>
      </c>
      <c r="C33" s="160" t="s">
        <v>414</v>
      </c>
      <c r="D33" s="170" t="s">
        <v>1009</v>
      </c>
      <c r="E33" s="133"/>
      <c r="F33" s="160" t="str">
        <f>VLOOKUP(B33,'Aux DE'!B:P,15,0)</f>
        <v>SCA   SCB1</v>
      </c>
      <c r="G33" s="132">
        <f>SUMIF('Aux DE'!B:B,'Plano SCA'!B33,'Aux DE'!I:I)+SUMIF('Aux DE'!B:B,'Plano SCA'!B33,'Aux DE'!O:O)</f>
        <v>4</v>
      </c>
      <c r="H33" s="173"/>
      <c r="I33" s="209">
        <f t="shared" si="11"/>
        <v>0</v>
      </c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</row>
    <row r="34" spans="2:78" outlineLevel="2" x14ac:dyDescent="0.3">
      <c r="B34" s="237" t="str">
        <f t="shared" si="12"/>
        <v>INSTRUMENT_INTRNL_TRNSFR_RT_OFF_BLNC</v>
      </c>
      <c r="C34" s="160" t="s">
        <v>414</v>
      </c>
      <c r="D34" s="170" t="s">
        <v>1015</v>
      </c>
      <c r="E34" s="133"/>
      <c r="F34" s="160" t="str">
        <f>VLOOKUP(B34,'Aux DE'!B:P,15,0)</f>
        <v>SCA   SCB1</v>
      </c>
      <c r="G34" s="132">
        <f>SUMIF('Aux DE'!B:B,'Plano SCA'!B34,'Aux DE'!I:I)+SUMIF('Aux DE'!B:B,'Plano SCA'!B34,'Aux DE'!O:O)</f>
        <v>3.5</v>
      </c>
      <c r="H34" s="173"/>
      <c r="I34" s="209">
        <f t="shared" si="11"/>
        <v>0</v>
      </c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</row>
    <row r="35" spans="2:78" outlineLevel="2" x14ac:dyDescent="0.3">
      <c r="B35" s="237" t="str">
        <f t="shared" si="12"/>
        <v>INSTRUMENT_IDCMB</v>
      </c>
      <c r="C35" s="160" t="s">
        <v>414</v>
      </c>
      <c r="D35" s="170" t="s">
        <v>1084</v>
      </c>
      <c r="E35" s="133"/>
      <c r="F35" s="160" t="str">
        <f>VLOOKUP(B35,'Aux DE'!B:P,15,0)</f>
        <v>SCA   SCB1</v>
      </c>
      <c r="G35" s="132">
        <f>SUMIF('Aux DE'!B:B,'Plano SCA'!B35,'Aux DE'!I:I)+SUMIF('Aux DE'!B:B,'Plano SCA'!B35,'Aux DE'!O:O)</f>
        <v>3.5</v>
      </c>
      <c r="H35" s="173"/>
      <c r="I35" s="209">
        <f t="shared" si="11"/>
        <v>0</v>
      </c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3"/>
      <c r="BJ35" s="153"/>
      <c r="BK35" s="153"/>
      <c r="BL35" s="153"/>
      <c r="BM35" s="153"/>
      <c r="BN35" s="153"/>
      <c r="BO35" s="153"/>
      <c r="BP35" s="153"/>
      <c r="BQ35" s="153"/>
      <c r="BR35" s="153"/>
      <c r="BS35" s="153"/>
      <c r="BT35" s="153"/>
      <c r="BU35" s="153"/>
      <c r="BV35" s="153"/>
      <c r="BW35" s="153"/>
      <c r="BX35" s="153"/>
      <c r="BY35" s="153"/>
      <c r="BZ35" s="153"/>
    </row>
    <row r="36" spans="2:78" outlineLevel="2" x14ac:dyDescent="0.3">
      <c r="B36" s="237" t="str">
        <f t="shared" si="12"/>
        <v>INSTRUMENT_RWA_OFF_BLNC</v>
      </c>
      <c r="C36" s="160" t="s">
        <v>414</v>
      </c>
      <c r="D36" s="170" t="s">
        <v>1024</v>
      </c>
      <c r="E36" s="133"/>
      <c r="F36" s="160" t="str">
        <f>VLOOKUP(B36,'Aux DE'!B:P,15,0)</f>
        <v>SCA   SCB1</v>
      </c>
      <c r="G36" s="132">
        <f>SUMIF('Aux DE'!B:B,'Plano SCA'!B36,'Aux DE'!I:I)+SUMIF('Aux DE'!B:B,'Plano SCA'!B36,'Aux DE'!O:O)</f>
        <v>3.5</v>
      </c>
      <c r="H36" s="173"/>
      <c r="I36" s="209">
        <f t="shared" si="11"/>
        <v>0</v>
      </c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</row>
    <row r="37" spans="2:78" x14ac:dyDescent="0.3">
      <c r="C37" s="165" t="s">
        <v>1714</v>
      </c>
      <c r="D37" s="166"/>
      <c r="E37" s="167"/>
      <c r="F37" s="193">
        <f>COUNTA(D38:D51)</f>
        <v>14</v>
      </c>
      <c r="G37" s="168">
        <f>SUM(G38:G51)</f>
        <v>15</v>
      </c>
      <c r="H37" s="177">
        <f>G37/8</f>
        <v>1.875</v>
      </c>
      <c r="I37" s="209">
        <f t="shared" si="11"/>
        <v>0</v>
      </c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>
        <v>1.75</v>
      </c>
      <c r="V37" s="153">
        <v>0.125</v>
      </c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</row>
    <row r="38" spans="2:78" outlineLevel="2" x14ac:dyDescent="0.3">
      <c r="B38" s="237" t="str">
        <f t="shared" si="12"/>
        <v>INSTRUMENT_CCF</v>
      </c>
      <c r="C38" s="160" t="s">
        <v>414</v>
      </c>
      <c r="D38" s="170" t="s">
        <v>590</v>
      </c>
      <c r="E38" s="133"/>
      <c r="F38" s="160" t="str">
        <f>VLOOKUP(B38,'Aux DE'!B:P,15,0)</f>
        <v>SCA   SCB1</v>
      </c>
      <c r="G38" s="132">
        <f>SUMIF('Aux DE'!B:B,'Plano SCA'!B38,'Aux DE'!H:H)</f>
        <v>1</v>
      </c>
      <c r="H38" s="132"/>
      <c r="I38" s="209">
        <f t="shared" si="11"/>
        <v>0</v>
      </c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</row>
    <row r="39" spans="2:78" outlineLevel="2" x14ac:dyDescent="0.3">
      <c r="B39" s="237" t="str">
        <f t="shared" si="12"/>
        <v>INSTRUMENT_EAD</v>
      </c>
      <c r="C39" s="160" t="s">
        <v>414</v>
      </c>
      <c r="D39" s="170" t="s">
        <v>617</v>
      </c>
      <c r="E39" s="133"/>
      <c r="F39" s="160" t="str">
        <f>VLOOKUP(B39,'Aux DE'!B:P,15,0)</f>
        <v>SCA   SCB1</v>
      </c>
      <c r="G39" s="132">
        <f>SUMIF('Aux DE'!B:B,'Plano SCA'!B39,'Aux DE'!H:H)</f>
        <v>1</v>
      </c>
      <c r="H39" s="132"/>
      <c r="I39" s="209">
        <f t="shared" si="11"/>
        <v>0</v>
      </c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</row>
    <row r="40" spans="2:78" outlineLevel="2" x14ac:dyDescent="0.3">
      <c r="B40" s="237" t="str">
        <f t="shared" si="12"/>
        <v>INSTRUMENT_TYP_OFF_BLNC_PRDCT</v>
      </c>
      <c r="C40" s="160" t="s">
        <v>414</v>
      </c>
      <c r="D40" s="170" t="s">
        <v>1351</v>
      </c>
      <c r="E40" s="133"/>
      <c r="F40" s="160" t="str">
        <f>VLOOKUP(B40,'Aux DE'!B:P,15,0)</f>
        <v>SCA   SCB1</v>
      </c>
      <c r="G40" s="132">
        <f>SUMIF('Aux DE'!B:B,'Plano SCA'!B40,'Aux DE'!H:H)</f>
        <v>1</v>
      </c>
      <c r="H40" s="132"/>
      <c r="I40" s="209">
        <f t="shared" si="11"/>
        <v>0</v>
      </c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</row>
    <row r="41" spans="2:78" outlineLevel="2" x14ac:dyDescent="0.3">
      <c r="B41" s="237" t="str">
        <f t="shared" si="12"/>
        <v>INSTR_PROTECTION_COD_SOC</v>
      </c>
      <c r="C41" s="160" t="s">
        <v>1101</v>
      </c>
      <c r="D41" s="170" t="s">
        <v>12</v>
      </c>
      <c r="E41" s="133"/>
      <c r="F41" s="160" t="str">
        <f>VLOOKUP(B41,'Aux DE'!B:P,15,0)</f>
        <v>SCA   SCB1</v>
      </c>
      <c r="G41" s="132">
        <f>SUMIF('Aux DE'!B:B,'Plano SCA'!B41,'Aux DE'!H:H)</f>
        <v>1</v>
      </c>
      <c r="H41" s="132"/>
      <c r="I41" s="209">
        <f t="shared" si="11"/>
        <v>0</v>
      </c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</row>
    <row r="42" spans="2:78" outlineLevel="2" x14ac:dyDescent="0.3">
      <c r="B42" s="237" t="str">
        <f t="shared" si="12"/>
        <v>INSTR_PROTECTION_DT_RFRNC</v>
      </c>
      <c r="C42" s="160" t="s">
        <v>1101</v>
      </c>
      <c r="D42" s="170" t="s">
        <v>38</v>
      </c>
      <c r="E42" s="133"/>
      <c r="F42" s="160" t="str">
        <f>VLOOKUP(B42,'Aux DE'!B:P,15,0)</f>
        <v>SCA   SCB1</v>
      </c>
      <c r="G42" s="132">
        <f>SUMIF('Aux DE'!B:B,'Plano SCA'!B42,'Aux DE'!H:H)</f>
        <v>1</v>
      </c>
      <c r="H42" s="132"/>
      <c r="I42" s="209">
        <f t="shared" si="11"/>
        <v>0</v>
      </c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</row>
    <row r="43" spans="2:78" outlineLevel="2" x14ac:dyDescent="0.3">
      <c r="B43" s="237" t="str">
        <f t="shared" si="12"/>
        <v>INSTR_PROTECTION_INSTRMNT_ID</v>
      </c>
      <c r="C43" s="160" t="s">
        <v>1101</v>
      </c>
      <c r="D43" s="170" t="s">
        <v>405</v>
      </c>
      <c r="E43" s="133"/>
      <c r="F43" s="160" t="str">
        <f>VLOOKUP(B43,'Aux DE'!B:P,15,0)</f>
        <v>SCA   SCB1</v>
      </c>
      <c r="G43" s="132">
        <f>SUMIF('Aux DE'!B:B,'Plano SCA'!B43,'Aux DE'!H:H)</f>
        <v>1</v>
      </c>
      <c r="H43" s="132"/>
      <c r="I43" s="209">
        <f t="shared" si="11"/>
        <v>0</v>
      </c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</row>
    <row r="44" spans="2:78" outlineLevel="2" x14ac:dyDescent="0.3">
      <c r="B44" s="237" t="str">
        <f t="shared" si="12"/>
        <v>INSTR_PROTECTION_PRTCTN_ID</v>
      </c>
      <c r="C44" s="160" t="s">
        <v>1101</v>
      </c>
      <c r="D44" s="170" t="s">
        <v>1105</v>
      </c>
      <c r="E44" s="133"/>
      <c r="F44" s="160" t="str">
        <f>VLOOKUP(B44,'Aux DE'!B:P,15,0)</f>
        <v>SCA   SCB1</v>
      </c>
      <c r="G44" s="132">
        <f>SUMIF('Aux DE'!B:B,'Plano SCA'!B44,'Aux DE'!H:H)</f>
        <v>1</v>
      </c>
      <c r="H44" s="132"/>
      <c r="I44" s="209">
        <f t="shared" si="11"/>
        <v>0</v>
      </c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</row>
    <row r="45" spans="2:78" outlineLevel="2" x14ac:dyDescent="0.3">
      <c r="B45" s="237" t="str">
        <f t="shared" si="12"/>
        <v>PROTECTION_COD_SOC</v>
      </c>
      <c r="C45" s="160" t="s">
        <v>1114</v>
      </c>
      <c r="D45" s="170" t="s">
        <v>12</v>
      </c>
      <c r="E45" s="133"/>
      <c r="F45" s="160" t="str">
        <f>VLOOKUP(B45,'Aux DE'!B:P,15,0)</f>
        <v>SCA   SCB1</v>
      </c>
      <c r="G45" s="132">
        <f>SUMIF('Aux DE'!B:B,'Plano SCA'!B45,'Aux DE'!H:H)</f>
        <v>1</v>
      </c>
      <c r="H45" s="132"/>
      <c r="I45" s="209">
        <f t="shared" si="11"/>
        <v>0</v>
      </c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</row>
    <row r="46" spans="2:78" outlineLevel="2" x14ac:dyDescent="0.3">
      <c r="B46" s="237" t="str">
        <f t="shared" si="12"/>
        <v>PROTECTION_DT_RFRNC</v>
      </c>
      <c r="C46" s="160" t="s">
        <v>1114</v>
      </c>
      <c r="D46" s="170" t="s">
        <v>38</v>
      </c>
      <c r="E46" s="133"/>
      <c r="F46" s="160" t="str">
        <f>VLOOKUP(B46,'Aux DE'!B:P,15,0)</f>
        <v>SCA   SCB1</v>
      </c>
      <c r="G46" s="132">
        <f>SUMIF('Aux DE'!B:B,'Plano SCA'!B46,'Aux DE'!H:H)</f>
        <v>1</v>
      </c>
      <c r="H46" s="132"/>
      <c r="I46" s="209">
        <f t="shared" si="11"/>
        <v>0</v>
      </c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</row>
    <row r="47" spans="2:78" outlineLevel="2" x14ac:dyDescent="0.3">
      <c r="B47" s="237" t="str">
        <f t="shared" si="12"/>
        <v>PROTECTION_PRTCTN_ID</v>
      </c>
      <c r="C47" s="160" t="s">
        <v>1114</v>
      </c>
      <c r="D47" s="170" t="s">
        <v>1105</v>
      </c>
      <c r="E47" s="133"/>
      <c r="F47" s="160" t="str">
        <f>VLOOKUP(B47,'Aux DE'!B:P,15,0)</f>
        <v>SCA   SCB1</v>
      </c>
      <c r="G47" s="132">
        <f>SUMIF('Aux DE'!B:B,'Plano SCA'!B47,'Aux DE'!H:H)</f>
        <v>1</v>
      </c>
      <c r="H47" s="132"/>
      <c r="I47" s="209">
        <f t="shared" si="11"/>
        <v>0</v>
      </c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</row>
    <row r="48" spans="2:78" outlineLevel="2" x14ac:dyDescent="0.3">
      <c r="B48" s="237" t="str">
        <f t="shared" si="12"/>
        <v>PROTECTION_TYP_PRTCTN</v>
      </c>
      <c r="C48" s="160" t="s">
        <v>1114</v>
      </c>
      <c r="D48" s="170" t="s">
        <v>1147</v>
      </c>
      <c r="E48" s="133"/>
      <c r="F48" s="160" t="str">
        <f>VLOOKUP(B48,'Aux DE'!B:P,15,0)</f>
        <v>SCA   SCB1</v>
      </c>
      <c r="G48" s="132">
        <f>SUMIF('Aux DE'!B:B,'Plano SCA'!B48,'Aux DE'!H:H)</f>
        <v>1</v>
      </c>
      <c r="H48" s="132"/>
      <c r="I48" s="209">
        <f t="shared" si="11"/>
        <v>0</v>
      </c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</row>
    <row r="49" spans="2:78" outlineLevel="2" x14ac:dyDescent="0.3">
      <c r="B49" s="237" t="str">
        <f t="shared" si="12"/>
        <v>PROTECTION_PRTCTN_VL</v>
      </c>
      <c r="C49" s="160" t="s">
        <v>1114</v>
      </c>
      <c r="D49" s="170" t="s">
        <v>1177</v>
      </c>
      <c r="E49" s="133"/>
      <c r="F49" s="160" t="str">
        <f>VLOOKUP(B49,'Aux DE'!B:P,15,0)</f>
        <v>SCA   SCB1</v>
      </c>
      <c r="G49" s="132">
        <f>SUMIF('Aux DE'!B:B,'Plano SCA'!B49,'Aux DE'!H:H)</f>
        <v>1</v>
      </c>
      <c r="H49" s="132"/>
      <c r="I49" s="209">
        <f t="shared" si="11"/>
        <v>0</v>
      </c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</row>
    <row r="50" spans="2:78" outlineLevel="2" x14ac:dyDescent="0.3">
      <c r="B50" s="237" t="str">
        <f t="shared" si="12"/>
        <v>PROTECTION_FLG_ELCTRC_VHCL</v>
      </c>
      <c r="C50" s="160" t="s">
        <v>1114</v>
      </c>
      <c r="D50" s="170" t="s">
        <v>1455</v>
      </c>
      <c r="E50" s="133"/>
      <c r="F50" s="160" t="str">
        <f>VLOOKUP(B50,'Aux DE'!B:P,15,0)</f>
        <v>SCA   SCB1</v>
      </c>
      <c r="G50" s="132">
        <f>SUMIF('Aux DE'!B:B,'Plano SCA'!B50,'Aux DE'!H:H)</f>
        <v>2</v>
      </c>
      <c r="H50" s="132"/>
      <c r="I50" s="209">
        <f t="shared" si="11"/>
        <v>0</v>
      </c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</row>
    <row r="51" spans="2:78" outlineLevel="2" x14ac:dyDescent="0.3">
      <c r="B51" s="237" t="str">
        <f t="shared" ref="B51" si="13">C51&amp;"_"&amp;D51</f>
        <v>INSTR_ACTIVITY_PRCNTG_ACTVTY</v>
      </c>
      <c r="C51" s="160" t="s">
        <v>1458</v>
      </c>
      <c r="D51" s="170" t="s">
        <v>1464</v>
      </c>
      <c r="E51" s="133"/>
      <c r="F51" s="160" t="str">
        <f>VLOOKUP(B51,'Aux DE'!B:P,15,0)</f>
        <v>SCA   SCB1</v>
      </c>
      <c r="G51" s="132">
        <f>SUMIF('Aux DE'!B:B,'Plano SCA'!B51,'Aux DE'!H:H)</f>
        <v>1</v>
      </c>
      <c r="H51" s="132"/>
      <c r="I51" s="209">
        <f t="shared" ref="I51:I100" si="14">SUM(J51:CQ51)-H51</f>
        <v>0</v>
      </c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</row>
    <row r="52" spans="2:78" x14ac:dyDescent="0.3">
      <c r="B52" s="146"/>
      <c r="C52" s="165" t="s">
        <v>1715</v>
      </c>
      <c r="D52" s="166"/>
      <c r="E52" s="167"/>
      <c r="F52" s="193"/>
      <c r="G52" s="193">
        <f>G53+G54+G100</f>
        <v>498.4</v>
      </c>
      <c r="H52" s="193"/>
      <c r="I52" s="209">
        <f t="shared" si="14"/>
        <v>0</v>
      </c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</row>
    <row r="53" spans="2:78" x14ac:dyDescent="0.3">
      <c r="B53" s="146"/>
      <c r="C53"/>
      <c r="D53" s="238" t="s">
        <v>1718</v>
      </c>
      <c r="E53" s="212"/>
      <c r="F53" s="239" t="s">
        <v>1534</v>
      </c>
      <c r="G53" s="239">
        <v>40</v>
      </c>
      <c r="H53" s="240">
        <f>G53/8</f>
        <v>5</v>
      </c>
      <c r="I53" s="209">
        <f t="shared" si="14"/>
        <v>0</v>
      </c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>
        <v>1.875</v>
      </c>
      <c r="W53" s="153">
        <v>2</v>
      </c>
      <c r="X53" s="153">
        <v>1.125</v>
      </c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</row>
    <row r="54" spans="2:78" x14ac:dyDescent="0.3">
      <c r="B54" s="146"/>
      <c r="C54"/>
      <c r="D54" s="238" t="s">
        <v>1719</v>
      </c>
      <c r="E54" s="212"/>
      <c r="F54" s="239">
        <f>COUNTA(D55:D99)</f>
        <v>45</v>
      </c>
      <c r="G54" s="239">
        <f>SUM(G55:G99)</f>
        <v>382</v>
      </c>
      <c r="H54" s="240">
        <f>G54/8</f>
        <v>47.75</v>
      </c>
      <c r="I54" s="209">
        <f t="shared" si="14"/>
        <v>0</v>
      </c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>
        <v>0.875</v>
      </c>
      <c r="Y54" s="153">
        <v>2</v>
      </c>
      <c r="Z54" s="153">
        <v>2</v>
      </c>
      <c r="AA54" s="153">
        <v>2</v>
      </c>
      <c r="AB54" s="153">
        <v>2</v>
      </c>
      <c r="AC54" s="153">
        <v>2</v>
      </c>
      <c r="AD54" s="153">
        <v>2</v>
      </c>
      <c r="AE54" s="153">
        <v>2</v>
      </c>
      <c r="AF54" s="153">
        <v>2</v>
      </c>
      <c r="AG54" s="153">
        <v>2</v>
      </c>
      <c r="AH54" s="153">
        <v>2</v>
      </c>
      <c r="AI54" s="153">
        <v>2</v>
      </c>
      <c r="AJ54" s="153">
        <v>2</v>
      </c>
      <c r="AK54" s="153">
        <v>2</v>
      </c>
      <c r="AL54" s="153">
        <v>2</v>
      </c>
      <c r="AM54" s="153">
        <v>2</v>
      </c>
      <c r="AN54" s="153">
        <v>2</v>
      </c>
      <c r="AO54" s="153">
        <v>2</v>
      </c>
      <c r="AP54" s="153">
        <v>2</v>
      </c>
      <c r="AQ54" s="153">
        <v>2</v>
      </c>
      <c r="AR54" s="153">
        <v>2</v>
      </c>
      <c r="AS54" s="153">
        <v>2</v>
      </c>
      <c r="AT54" s="153">
        <v>2</v>
      </c>
      <c r="AU54" s="153">
        <v>2</v>
      </c>
      <c r="AV54" s="153">
        <v>0.875</v>
      </c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</row>
    <row r="55" spans="2:78" hidden="1" outlineLevel="1" x14ac:dyDescent="0.3">
      <c r="B55" s="237" t="str">
        <f>C55&amp;"_"&amp;D55</f>
        <v>INSTRUMENT_INSTRMNT_ID</v>
      </c>
      <c r="C55" s="160" t="s">
        <v>414</v>
      </c>
      <c r="D55" s="170" t="s">
        <v>405</v>
      </c>
      <c r="E55" s="133"/>
      <c r="F55" s="160" t="str">
        <f>VLOOKUP(B55,'Aux DE'!B:P,15,0)</f>
        <v>SCA   SCB1</v>
      </c>
      <c r="G55" s="132">
        <f>SUMIF('Aux DE'!B:B,'Plano SCA'!B55,'Aux DE'!I:I)+SUMIF('Aux DE'!B:B,'Plano SCA'!B55,'Aux DE'!O:O)</f>
        <v>22</v>
      </c>
      <c r="H55" s="132"/>
      <c r="I55" s="209">
        <f t="shared" si="14"/>
        <v>0</v>
      </c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</row>
    <row r="56" spans="2:78" hidden="1" outlineLevel="1" x14ac:dyDescent="0.3">
      <c r="B56" s="237" t="str">
        <f t="shared" ref="B56:B99" si="15">C56&amp;"_"&amp;D56</f>
        <v>INSTRUMENT_CCF</v>
      </c>
      <c r="C56" s="160" t="s">
        <v>414</v>
      </c>
      <c r="D56" s="170" t="s">
        <v>590</v>
      </c>
      <c r="E56" s="133"/>
      <c r="F56" s="160" t="str">
        <f>VLOOKUP(B56,'Aux DE'!B:P,15,0)</f>
        <v>SCA   SCB1</v>
      </c>
      <c r="G56" s="132">
        <f>SUMIF('Aux DE'!B:B,'Plano SCA'!B56,'Aux DE'!I:I)+SUMIF('Aux DE'!B:B,'Plano SCA'!B56,'Aux DE'!O:O)</f>
        <v>3.5</v>
      </c>
      <c r="H56" s="132"/>
      <c r="I56" s="209">
        <f t="shared" si="14"/>
        <v>0</v>
      </c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</row>
    <row r="57" spans="2:78" hidden="1" outlineLevel="1" x14ac:dyDescent="0.3">
      <c r="B57" s="237" t="str">
        <f t="shared" si="15"/>
        <v>INSTRUMENT_EAD</v>
      </c>
      <c r="C57" s="160" t="s">
        <v>414</v>
      </c>
      <c r="D57" s="170" t="s">
        <v>617</v>
      </c>
      <c r="E57" s="133"/>
      <c r="F57" s="160" t="str">
        <f>VLOOKUP(B57,'Aux DE'!B:P,15,0)</f>
        <v>SCA   SCB1</v>
      </c>
      <c r="G57" s="132">
        <f>SUMIF('Aux DE'!B:B,'Plano SCA'!B57,'Aux DE'!I:I)+SUMIF('Aux DE'!B:B,'Plano SCA'!B57,'Aux DE'!O:O)</f>
        <v>3.5</v>
      </c>
      <c r="H57" s="132"/>
      <c r="I57" s="209">
        <f t="shared" si="14"/>
        <v>0</v>
      </c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</row>
    <row r="58" spans="2:78" hidden="1" outlineLevel="1" x14ac:dyDescent="0.3">
      <c r="B58" s="237" t="str">
        <f t="shared" si="15"/>
        <v>INSTRUMENT_AVRG_BLNC</v>
      </c>
      <c r="C58" s="160" t="s">
        <v>414</v>
      </c>
      <c r="D58" s="170" t="s">
        <v>970</v>
      </c>
      <c r="E58" s="133"/>
      <c r="F58" s="160" t="str">
        <f>VLOOKUP(B58,'Aux DE'!B:P,15,0)</f>
        <v>SCA   SCB1</v>
      </c>
      <c r="G58" s="132">
        <f>SUMIF('Aux DE'!B:B,'Plano SCA'!B58,'Aux DE'!I:I)+SUMIF('Aux DE'!B:B,'Plano SCA'!B58,'Aux DE'!O:O)</f>
        <v>7.5</v>
      </c>
      <c r="H58" s="132"/>
      <c r="I58" s="209">
        <f t="shared" si="14"/>
        <v>0</v>
      </c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</row>
    <row r="59" spans="2:78" hidden="1" outlineLevel="1" x14ac:dyDescent="0.3">
      <c r="B59" s="237" t="str">
        <f t="shared" si="15"/>
        <v>INSTRUMENT_NW_BSNSS</v>
      </c>
      <c r="C59" s="160" t="s">
        <v>414</v>
      </c>
      <c r="D59" s="170" t="s">
        <v>973</v>
      </c>
      <c r="E59" s="133"/>
      <c r="F59" s="160" t="str">
        <f>VLOOKUP(B59,'Aux DE'!B:P,15,0)</f>
        <v>SCA   SCB 2</v>
      </c>
      <c r="G59" s="132">
        <f>SUMIF('Aux DE'!B:B,'Plano SCA'!B59,'Aux DE'!I:I)+SUMIF('Aux DE'!B:B,'Plano SCA'!B59,'Aux DE'!O:O)</f>
        <v>15</v>
      </c>
      <c r="H59" s="132"/>
      <c r="I59" s="209">
        <f t="shared" si="14"/>
        <v>0</v>
      </c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</row>
    <row r="60" spans="2:78" hidden="1" outlineLevel="1" x14ac:dyDescent="0.3">
      <c r="B60" s="237" t="str">
        <f t="shared" si="15"/>
        <v>INSTRUMENT_GRSS_INTRST_INCM</v>
      </c>
      <c r="C60" s="160" t="s">
        <v>414</v>
      </c>
      <c r="D60" s="170" t="s">
        <v>976</v>
      </c>
      <c r="E60" s="133"/>
      <c r="F60" s="160" t="str">
        <f>VLOOKUP(B60,'Aux DE'!B:P,15,0)</f>
        <v>SCA   SCB 2</v>
      </c>
      <c r="G60" s="132">
        <f>SUMIF('Aux DE'!B:B,'Plano SCA'!B60,'Aux DE'!I:I)+SUMIF('Aux DE'!B:B,'Plano SCA'!B60,'Aux DE'!O:O)</f>
        <v>18</v>
      </c>
      <c r="H60" s="132"/>
      <c r="I60" s="209">
        <f t="shared" si="14"/>
        <v>0</v>
      </c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</row>
    <row r="61" spans="2:78" hidden="1" outlineLevel="1" x14ac:dyDescent="0.3">
      <c r="B61" s="237" t="str">
        <f t="shared" si="15"/>
        <v>INSTRUMENT_GRSS_CMMSSN_INCM</v>
      </c>
      <c r="C61" s="160" t="s">
        <v>414</v>
      </c>
      <c r="D61" s="170" t="s">
        <v>979</v>
      </c>
      <c r="E61" s="133"/>
      <c r="F61" s="160" t="str">
        <f>VLOOKUP(B61,'Aux DE'!B:P,15,0)</f>
        <v>SCA   SCB 2</v>
      </c>
      <c r="G61" s="132">
        <f>SUMIF('Aux DE'!B:B,'Plano SCA'!B61,'Aux DE'!I:I)+SUMIF('Aux DE'!B:B,'Plano SCA'!B61,'Aux DE'!O:O)</f>
        <v>18</v>
      </c>
      <c r="H61" s="132"/>
      <c r="I61" s="209">
        <f t="shared" si="14"/>
        <v>0</v>
      </c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</row>
    <row r="62" spans="2:78" hidden="1" outlineLevel="1" x14ac:dyDescent="0.3">
      <c r="B62" s="237" t="str">
        <f t="shared" si="15"/>
        <v>INSTRUMENT_INTRNL_TRNSFR_RT</v>
      </c>
      <c r="C62" s="160" t="s">
        <v>414</v>
      </c>
      <c r="D62" s="170" t="s">
        <v>982</v>
      </c>
      <c r="E62" s="133"/>
      <c r="F62" s="160" t="str">
        <f>VLOOKUP(B62,'Aux DE'!B:P,15,0)</f>
        <v>SCA   SCB1</v>
      </c>
      <c r="G62" s="132">
        <f>SUMIF('Aux DE'!B:B,'Plano SCA'!B62,'Aux DE'!I:I)+SUMIF('Aux DE'!B:B,'Plano SCA'!B62,'Aux DE'!O:O)</f>
        <v>7.5</v>
      </c>
      <c r="H62" s="132"/>
      <c r="I62" s="209">
        <f t="shared" si="14"/>
        <v>0</v>
      </c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</row>
    <row r="63" spans="2:78" hidden="1" outlineLevel="1" x14ac:dyDescent="0.3">
      <c r="B63" s="237" t="str">
        <f t="shared" si="15"/>
        <v>INSTRUMENT_NT_LN_LSS_PRVSN</v>
      </c>
      <c r="C63" s="160" t="s">
        <v>414</v>
      </c>
      <c r="D63" s="170" t="s">
        <v>985</v>
      </c>
      <c r="E63" s="133"/>
      <c r="F63" s="160" t="str">
        <f>VLOOKUP(B63,'Aux DE'!B:P,15,0)</f>
        <v>SCA   SCB1</v>
      </c>
      <c r="G63" s="132">
        <f>SUMIF('Aux DE'!B:B,'Plano SCA'!B63,'Aux DE'!I:I)+SUMIF('Aux DE'!B:B,'Plano SCA'!B63,'Aux DE'!O:O)</f>
        <v>7.5</v>
      </c>
      <c r="H63" s="132"/>
      <c r="I63" s="209">
        <f t="shared" si="14"/>
        <v>0</v>
      </c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</row>
    <row r="64" spans="2:78" hidden="1" outlineLevel="1" x14ac:dyDescent="0.3">
      <c r="B64" s="237" t="str">
        <f t="shared" si="15"/>
        <v>INSTRUMENT_BSNSS_AREA</v>
      </c>
      <c r="C64" s="160" t="s">
        <v>414</v>
      </c>
      <c r="D64" s="170" t="s">
        <v>988</v>
      </c>
      <c r="E64" s="133"/>
      <c r="F64" s="160" t="str">
        <f>VLOOKUP(B64,'Aux DE'!B:P,15,0)</f>
        <v>SCA   SCB1</v>
      </c>
      <c r="G64" s="132">
        <f>SUMIF('Aux DE'!B:B,'Plano SCA'!B64,'Aux DE'!I:I)+SUMIF('Aux DE'!B:B,'Plano SCA'!B64,'Aux DE'!O:O)</f>
        <v>35</v>
      </c>
      <c r="H64" s="132"/>
      <c r="I64" s="209">
        <f t="shared" si="14"/>
        <v>0</v>
      </c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</row>
    <row r="65" spans="2:78" hidden="1" outlineLevel="1" x14ac:dyDescent="0.3">
      <c r="B65" s="237" t="str">
        <f t="shared" si="15"/>
        <v>INSTRUMENT_MNGMNT_PRDCT</v>
      </c>
      <c r="C65" s="160" t="s">
        <v>414</v>
      </c>
      <c r="D65" s="170" t="s">
        <v>991</v>
      </c>
      <c r="E65" s="133"/>
      <c r="F65" s="160" t="str">
        <f>VLOOKUP(B65,'Aux DE'!B:P,15,0)</f>
        <v>SCA   SCB1</v>
      </c>
      <c r="G65" s="132">
        <f>SUMIF('Aux DE'!B:B,'Plano SCA'!B65,'Aux DE'!I:I)+SUMIF('Aux DE'!B:B,'Plano SCA'!B65,'Aux DE'!O:O)</f>
        <v>18</v>
      </c>
      <c r="H65" s="132"/>
      <c r="I65" s="209">
        <f t="shared" si="14"/>
        <v>0</v>
      </c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</row>
    <row r="66" spans="2:78" hidden="1" outlineLevel="1" x14ac:dyDescent="0.3">
      <c r="B66" s="237" t="str">
        <f t="shared" si="15"/>
        <v>INSTRUMENT_GRSS_CMMSSN_EXPNS</v>
      </c>
      <c r="C66" s="160" t="s">
        <v>414</v>
      </c>
      <c r="D66" s="170" t="s">
        <v>994</v>
      </c>
      <c r="E66" s="133"/>
      <c r="F66" s="160" t="str">
        <f>VLOOKUP(B66,'Aux DE'!B:P,15,0)</f>
        <v>SCA   SCB1</v>
      </c>
      <c r="G66" s="132">
        <f>SUMIF('Aux DE'!B:B,'Plano SCA'!B66,'Aux DE'!I:I)+SUMIF('Aux DE'!B:B,'Plano SCA'!B66,'Aux DE'!O:O)</f>
        <v>7.5</v>
      </c>
      <c r="H66" s="132"/>
      <c r="I66" s="209">
        <f t="shared" si="14"/>
        <v>0</v>
      </c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</row>
    <row r="67" spans="2:78" hidden="1" outlineLevel="1" x14ac:dyDescent="0.3">
      <c r="B67" s="237" t="str">
        <f t="shared" si="15"/>
        <v>INSTRUMENT_GNS_FNNCL_TRNSCTN_EXCHNG_DFFRNCS</v>
      </c>
      <c r="C67" s="160" t="s">
        <v>414</v>
      </c>
      <c r="D67" s="170" t="s">
        <v>997</v>
      </c>
      <c r="E67" s="133"/>
      <c r="F67" s="160" t="str">
        <f>VLOOKUP(B67,'Aux DE'!B:P,15,0)</f>
        <v>SCA   SCB1</v>
      </c>
      <c r="G67" s="132">
        <f>SUMIF('Aux DE'!B:B,'Plano SCA'!B67,'Aux DE'!I:I)+SUMIF('Aux DE'!B:B,'Plano SCA'!B67,'Aux DE'!O:O)</f>
        <v>7.5</v>
      </c>
      <c r="H67" s="132"/>
      <c r="I67" s="209">
        <f t="shared" si="14"/>
        <v>0</v>
      </c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</row>
    <row r="68" spans="2:78" hidden="1" outlineLevel="1" x14ac:dyDescent="0.3">
      <c r="B68" s="237" t="str">
        <f t="shared" si="15"/>
        <v>INSTRUMENT_AVRG_BLNC_OFF_BLNC</v>
      </c>
      <c r="C68" s="160" t="s">
        <v>414</v>
      </c>
      <c r="D68" s="170" t="s">
        <v>1012</v>
      </c>
      <c r="E68" s="133"/>
      <c r="F68" s="160" t="str">
        <f>VLOOKUP(B68,'Aux DE'!B:P,15,0)</f>
        <v>SCA   SCB1</v>
      </c>
      <c r="G68" s="132">
        <f>SUMIF('Aux DE'!B:B,'Plano SCA'!B68,'Aux DE'!I:I)+SUMIF('Aux DE'!B:B,'Plano SCA'!B68,'Aux DE'!O:O)</f>
        <v>7.5</v>
      </c>
      <c r="H68" s="132"/>
      <c r="I68" s="209">
        <f t="shared" si="14"/>
        <v>0</v>
      </c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</row>
    <row r="69" spans="2:78" hidden="1" outlineLevel="1" x14ac:dyDescent="0.3">
      <c r="B69" s="237" t="str">
        <f t="shared" si="15"/>
        <v>INSTRUMENT_GRSS_CMMSSN_INCM_OFF_BLNC</v>
      </c>
      <c r="C69" s="160" t="s">
        <v>414</v>
      </c>
      <c r="D69" s="170" t="s">
        <v>1018</v>
      </c>
      <c r="E69" s="133"/>
      <c r="F69" s="160" t="str">
        <f>VLOOKUP(B69,'Aux DE'!B:P,15,0)</f>
        <v>SCA   SCB 2</v>
      </c>
      <c r="G69" s="132">
        <f>SUMIF('Aux DE'!B:B,'Plano SCA'!B69,'Aux DE'!I:I)+SUMIF('Aux DE'!B:B,'Plano SCA'!B69,'Aux DE'!O:O)</f>
        <v>18</v>
      </c>
      <c r="H69" s="132"/>
      <c r="I69" s="209">
        <f t="shared" si="14"/>
        <v>0</v>
      </c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3"/>
      <c r="BB69" s="153"/>
      <c r="BC69" s="153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</row>
    <row r="70" spans="2:78" hidden="1" outlineLevel="1" x14ac:dyDescent="0.3">
      <c r="B70" s="237" t="str">
        <f t="shared" si="15"/>
        <v>INSTRUMENT_GRSS_CMMSSN_EXPNS_OFF_BLNC</v>
      </c>
      <c r="C70" s="160" t="s">
        <v>414</v>
      </c>
      <c r="D70" s="170" t="s">
        <v>1021</v>
      </c>
      <c r="E70" s="133"/>
      <c r="F70" s="160" t="str">
        <f>VLOOKUP(B70,'Aux DE'!B:P,15,0)</f>
        <v>SCA   SCB1</v>
      </c>
      <c r="G70" s="132">
        <f>SUMIF('Aux DE'!B:B,'Plano SCA'!B70,'Aux DE'!I:I)+SUMIF('Aux DE'!B:B,'Plano SCA'!B70,'Aux DE'!O:O)</f>
        <v>7.5</v>
      </c>
      <c r="H70" s="132"/>
      <c r="I70" s="209">
        <f t="shared" si="14"/>
        <v>0</v>
      </c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3"/>
      <c r="BB70" s="153"/>
      <c r="BC70" s="153"/>
      <c r="BD70" s="153"/>
      <c r="BE70" s="153"/>
      <c r="BF70" s="153"/>
      <c r="BG70" s="153"/>
      <c r="BH70" s="153"/>
      <c r="BI70" s="153"/>
      <c r="BJ70" s="153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</row>
    <row r="71" spans="2:78" hidden="1" outlineLevel="1" x14ac:dyDescent="0.3">
      <c r="B71" s="237" t="str">
        <f t="shared" si="15"/>
        <v>INSTRUMENT_GRSS_INTRST_EXPNS</v>
      </c>
      <c r="C71" s="160" t="s">
        <v>414</v>
      </c>
      <c r="D71" s="170" t="s">
        <v>1027</v>
      </c>
      <c r="E71" s="133"/>
      <c r="F71" s="160" t="str">
        <f>VLOOKUP(B71,'Aux DE'!B:P,15,0)</f>
        <v>SCA   SCB1</v>
      </c>
      <c r="G71" s="132">
        <f>SUMIF('Aux DE'!B:B,'Plano SCA'!B71,'Aux DE'!I:I)+SUMIF('Aux DE'!B:B,'Plano SCA'!B71,'Aux DE'!O:O)</f>
        <v>7.5</v>
      </c>
      <c r="H71" s="132"/>
      <c r="I71" s="209">
        <f t="shared" si="14"/>
        <v>0</v>
      </c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</row>
    <row r="72" spans="2:78" hidden="1" outlineLevel="1" x14ac:dyDescent="0.3">
      <c r="B72" s="237" t="str">
        <f t="shared" si="15"/>
        <v>INSTRUMENT_NT_LN_LSS_PRVSN_OFF_BLNC</v>
      </c>
      <c r="C72" s="160" t="s">
        <v>414</v>
      </c>
      <c r="D72" s="170" t="s">
        <v>1030</v>
      </c>
      <c r="E72" s="133"/>
      <c r="F72" s="160" t="str">
        <f>VLOOKUP(B72,'Aux DE'!B:P,15,0)</f>
        <v>SCA   SCB1</v>
      </c>
      <c r="G72" s="132">
        <f>SUMIF('Aux DE'!B:B,'Plano SCA'!B72,'Aux DE'!I:I)+SUMIF('Aux DE'!B:B,'Plano SCA'!B72,'Aux DE'!O:O)</f>
        <v>7.5</v>
      </c>
      <c r="H72" s="132"/>
      <c r="I72" s="209">
        <f t="shared" si="14"/>
        <v>0</v>
      </c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3"/>
      <c r="BB72" s="153"/>
      <c r="BC72" s="153"/>
      <c r="BD72" s="153"/>
      <c r="BE72" s="153"/>
      <c r="BF72" s="153"/>
      <c r="BG72" s="153"/>
      <c r="BH72" s="153"/>
      <c r="BI72" s="153"/>
      <c r="BJ72" s="153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</row>
    <row r="73" spans="2:78" hidden="1" outlineLevel="1" x14ac:dyDescent="0.3">
      <c r="B73" s="237" t="str">
        <f t="shared" si="15"/>
        <v>INSTRUMENT_GRSS_INTRST_INCM_CCRR</v>
      </c>
      <c r="C73" s="160" t="s">
        <v>414</v>
      </c>
      <c r="D73" s="170" t="s">
        <v>1033</v>
      </c>
      <c r="E73" s="133"/>
      <c r="F73" s="160" t="str">
        <f>VLOOKUP(B73,'Aux DE'!B:P,15,0)</f>
        <v>SCA   SCB1</v>
      </c>
      <c r="G73" s="132">
        <f>SUMIF('Aux DE'!B:B,'Plano SCA'!B73,'Aux DE'!I:I)+SUMIF('Aux DE'!B:B,'Plano SCA'!B73,'Aux DE'!O:O)</f>
        <v>7.5</v>
      </c>
      <c r="H73" s="132"/>
      <c r="I73" s="209">
        <f t="shared" si="14"/>
        <v>0</v>
      </c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3"/>
      <c r="BB73" s="153"/>
      <c r="BC73" s="153"/>
      <c r="BD73" s="153"/>
      <c r="BE73" s="153"/>
      <c r="BF73" s="153"/>
      <c r="BG73" s="153"/>
      <c r="BH73" s="153"/>
      <c r="BI73" s="153"/>
      <c r="BJ73" s="153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</row>
    <row r="74" spans="2:78" hidden="1" outlineLevel="1" x14ac:dyDescent="0.3">
      <c r="B74" s="237" t="str">
        <f t="shared" si="15"/>
        <v>INSTRUMENT_GRSS_INTRST_EXPNS_CCRR</v>
      </c>
      <c r="C74" s="160" t="s">
        <v>414</v>
      </c>
      <c r="D74" s="170" t="s">
        <v>1036</v>
      </c>
      <c r="E74" s="133"/>
      <c r="F74" s="160" t="str">
        <f>VLOOKUP(B74,'Aux DE'!B:P,15,0)</f>
        <v>SCA   SCB1</v>
      </c>
      <c r="G74" s="132">
        <f>SUMIF('Aux DE'!B:B,'Plano SCA'!B74,'Aux DE'!I:I)+SUMIF('Aux DE'!B:B,'Plano SCA'!B74,'Aux DE'!O:O)</f>
        <v>7.5</v>
      </c>
      <c r="H74" s="132"/>
      <c r="I74" s="209">
        <f t="shared" si="14"/>
        <v>0</v>
      </c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3"/>
      <c r="BB74" s="153"/>
      <c r="BC74" s="153"/>
      <c r="BD74" s="153"/>
      <c r="BE74" s="153"/>
      <c r="BF74" s="153"/>
      <c r="BG74" s="153"/>
      <c r="BH74" s="153"/>
      <c r="BI74" s="153"/>
      <c r="BJ74" s="153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</row>
    <row r="75" spans="2:78" hidden="1" outlineLevel="1" x14ac:dyDescent="0.3">
      <c r="B75" s="237" t="str">
        <f t="shared" si="15"/>
        <v>INSTRUMENT_GRSS_CMMSSN_INCM_CCRR</v>
      </c>
      <c r="C75" s="160" t="s">
        <v>414</v>
      </c>
      <c r="D75" s="170" t="s">
        <v>1039</v>
      </c>
      <c r="E75" s="133"/>
      <c r="F75" s="160" t="str">
        <f>VLOOKUP(B75,'Aux DE'!B:P,15,0)</f>
        <v>SCA   SCB1</v>
      </c>
      <c r="G75" s="132">
        <f>SUMIF('Aux DE'!B:B,'Plano SCA'!B75,'Aux DE'!I:I)+SUMIF('Aux DE'!B:B,'Plano SCA'!B75,'Aux DE'!O:O)</f>
        <v>7.5</v>
      </c>
      <c r="H75" s="132"/>
      <c r="I75" s="209">
        <f t="shared" si="14"/>
        <v>0</v>
      </c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</row>
    <row r="76" spans="2:78" hidden="1" outlineLevel="1" x14ac:dyDescent="0.3">
      <c r="B76" s="237" t="str">
        <f t="shared" si="15"/>
        <v>INSTRUMENT_GRSS_CMMSSN_EXPNS_CCRR</v>
      </c>
      <c r="C76" s="160" t="s">
        <v>414</v>
      </c>
      <c r="D76" s="170" t="s">
        <v>1042</v>
      </c>
      <c r="E76" s="133"/>
      <c r="F76" s="160" t="str">
        <f>VLOOKUP(B76,'Aux DE'!B:P,15,0)</f>
        <v>SCA   SCB1</v>
      </c>
      <c r="G76" s="132">
        <f>SUMIF('Aux DE'!B:B,'Plano SCA'!B76,'Aux DE'!I:I)+SUMIF('Aux DE'!B:B,'Plano SCA'!B76,'Aux DE'!O:O)</f>
        <v>7.5</v>
      </c>
      <c r="H76" s="132"/>
      <c r="I76" s="209">
        <f t="shared" si="14"/>
        <v>0</v>
      </c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</row>
    <row r="77" spans="2:78" hidden="1" outlineLevel="1" x14ac:dyDescent="0.3">
      <c r="B77" s="237" t="str">
        <f t="shared" si="15"/>
        <v>INSTRUMENT_GNS_FNNCL_TRNSCTN_EXCHNG_CCRR</v>
      </c>
      <c r="C77" s="160" t="s">
        <v>414</v>
      </c>
      <c r="D77" s="170" t="s">
        <v>1045</v>
      </c>
      <c r="E77" s="133"/>
      <c r="F77" s="160" t="str">
        <f>VLOOKUP(B77,'Aux DE'!B:P,15,0)</f>
        <v>SCA   SCB1</v>
      </c>
      <c r="G77" s="132">
        <f>SUMIF('Aux DE'!B:B,'Plano SCA'!B77,'Aux DE'!I:I)+SUMIF('Aux DE'!B:B,'Plano SCA'!B77,'Aux DE'!O:O)</f>
        <v>7.5</v>
      </c>
      <c r="H77" s="132"/>
      <c r="I77" s="209">
        <f t="shared" si="14"/>
        <v>0</v>
      </c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</row>
    <row r="78" spans="2:78" hidden="1" outlineLevel="1" x14ac:dyDescent="0.3">
      <c r="B78" s="237" t="str">
        <f t="shared" si="15"/>
        <v>INSTRUMENT_BSNSS_AREA_CCRR</v>
      </c>
      <c r="C78" s="160" t="s">
        <v>414</v>
      </c>
      <c r="D78" s="170" t="s">
        <v>1048</v>
      </c>
      <c r="E78" s="133"/>
      <c r="F78" s="160" t="str">
        <f>VLOOKUP(B78,'Aux DE'!B:P,15,0)</f>
        <v>SCA   SCB1</v>
      </c>
      <c r="G78" s="132">
        <f>SUMIF('Aux DE'!B:B,'Plano SCA'!B78,'Aux DE'!I:I)+SUMIF('Aux DE'!B:B,'Plano SCA'!B78,'Aux DE'!O:O)</f>
        <v>8</v>
      </c>
      <c r="H78" s="132"/>
      <c r="I78" s="209">
        <f t="shared" si="14"/>
        <v>0</v>
      </c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  <c r="AJ78" s="153"/>
      <c r="AK78" s="153"/>
      <c r="AL78" s="153"/>
      <c r="AM78" s="153"/>
      <c r="AN78" s="153"/>
      <c r="AO78" s="153"/>
      <c r="AP78" s="153"/>
      <c r="AQ78" s="153"/>
      <c r="AR78" s="153"/>
      <c r="AS78" s="153"/>
      <c r="AT78" s="153"/>
      <c r="AU78" s="153"/>
      <c r="AV78" s="153"/>
      <c r="AW78" s="153"/>
      <c r="AX78" s="153"/>
      <c r="AY78" s="153"/>
      <c r="AZ78" s="153"/>
      <c r="BA78" s="153"/>
      <c r="BB78" s="153"/>
      <c r="BC78" s="153"/>
      <c r="BD78" s="153"/>
      <c r="BE78" s="153"/>
      <c r="BF78" s="153"/>
      <c r="BG78" s="153"/>
      <c r="BH78" s="153"/>
      <c r="BI78" s="153"/>
      <c r="BJ78" s="153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</row>
    <row r="79" spans="2:78" hidden="1" outlineLevel="1" x14ac:dyDescent="0.3">
      <c r="B79" s="237" t="str">
        <f t="shared" si="15"/>
        <v>INSTRUMENT_GRSS_CMMSSN_INCM_OFF_BLNC_CCRR</v>
      </c>
      <c r="C79" s="160" t="s">
        <v>414</v>
      </c>
      <c r="D79" s="170" t="s">
        <v>1051</v>
      </c>
      <c r="E79" s="133"/>
      <c r="F79" s="160" t="str">
        <f>VLOOKUP(B79,'Aux DE'!B:P,15,0)</f>
        <v>SCA   SCB1</v>
      </c>
      <c r="G79" s="132">
        <f>SUMIF('Aux DE'!B:B,'Plano SCA'!B79,'Aux DE'!I:I)+SUMIF('Aux DE'!B:B,'Plano SCA'!B79,'Aux DE'!O:O)</f>
        <v>7.5</v>
      </c>
      <c r="H79" s="132"/>
      <c r="I79" s="209">
        <f t="shared" si="14"/>
        <v>0</v>
      </c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3"/>
      <c r="AT79" s="153"/>
      <c r="AU79" s="153"/>
      <c r="AV79" s="153"/>
      <c r="AW79" s="153"/>
      <c r="AX79" s="153"/>
      <c r="AY79" s="153"/>
      <c r="AZ79" s="153"/>
      <c r="BA79" s="153"/>
      <c r="BB79" s="153"/>
      <c r="BC79" s="153"/>
      <c r="BD79" s="153"/>
      <c r="BE79" s="153"/>
      <c r="BF79" s="153"/>
      <c r="BG79" s="153"/>
      <c r="BH79" s="153"/>
      <c r="BI79" s="153"/>
      <c r="BJ79" s="153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</row>
    <row r="80" spans="2:78" hidden="1" outlineLevel="1" x14ac:dyDescent="0.3">
      <c r="B80" s="237" t="str">
        <f t="shared" si="15"/>
        <v>INSTRUMENT_GRSS_CMMSSN_EXPNS_OFF_BLNC_CCRR</v>
      </c>
      <c r="C80" s="160" t="s">
        <v>414</v>
      </c>
      <c r="D80" s="170" t="s">
        <v>1054</v>
      </c>
      <c r="E80" s="133"/>
      <c r="F80" s="160" t="str">
        <f>VLOOKUP(B80,'Aux DE'!B:P,15,0)</f>
        <v>SCA   SCB1</v>
      </c>
      <c r="G80" s="132">
        <f>SUMIF('Aux DE'!B:B,'Plano SCA'!B80,'Aux DE'!I:I)+SUMIF('Aux DE'!B:B,'Plano SCA'!B80,'Aux DE'!O:O)</f>
        <v>7.5</v>
      </c>
      <c r="H80" s="132"/>
      <c r="I80" s="209">
        <f t="shared" si="14"/>
        <v>0</v>
      </c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  <c r="AJ80" s="153"/>
      <c r="AK80" s="153"/>
      <c r="AL80" s="153"/>
      <c r="AM80" s="153"/>
      <c r="AN80" s="153"/>
      <c r="AO80" s="153"/>
      <c r="AP80" s="153"/>
      <c r="AQ80" s="153"/>
      <c r="AR80" s="153"/>
      <c r="AS80" s="153"/>
      <c r="AT80" s="153"/>
      <c r="AU80" s="153"/>
      <c r="AV80" s="153"/>
      <c r="AW80" s="153"/>
      <c r="AX80" s="153"/>
      <c r="AY80" s="153"/>
      <c r="AZ80" s="153"/>
      <c r="BA80" s="153"/>
      <c r="BB80" s="153"/>
      <c r="BC80" s="153"/>
      <c r="BD80" s="153"/>
      <c r="BE80" s="153"/>
      <c r="BF80" s="153"/>
      <c r="BG80" s="153"/>
      <c r="BH80" s="153"/>
      <c r="BI80" s="153"/>
      <c r="BJ80" s="153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</row>
    <row r="81" spans="2:78" hidden="1" outlineLevel="1" x14ac:dyDescent="0.3">
      <c r="B81" s="237" t="str">
        <f t="shared" si="15"/>
        <v>INSTRUMENT_CNCLLD_INSTRMNT_STTS</v>
      </c>
      <c r="C81" s="160" t="s">
        <v>414</v>
      </c>
      <c r="D81" s="170" t="s">
        <v>1081</v>
      </c>
      <c r="E81" s="133"/>
      <c r="F81" s="160" t="str">
        <f>VLOOKUP(B81,'Aux DE'!B:P,15,0)</f>
        <v>SCA   SCB1</v>
      </c>
      <c r="G81" s="132">
        <f>SUMIF('Aux DE'!B:B,'Plano SCA'!B81,'Aux DE'!I:I)+SUMIF('Aux DE'!B:B,'Plano SCA'!B81,'Aux DE'!O:O)</f>
        <v>8</v>
      </c>
      <c r="H81" s="132"/>
      <c r="I81" s="209">
        <f t="shared" si="14"/>
        <v>0</v>
      </c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</row>
    <row r="82" spans="2:78" hidden="1" outlineLevel="1" x14ac:dyDescent="0.3">
      <c r="B82" s="237" t="str">
        <f t="shared" si="15"/>
        <v>INSTRUMENT_TYP_OFF_BLNC_PRDCT</v>
      </c>
      <c r="C82" s="160" t="s">
        <v>414</v>
      </c>
      <c r="D82" s="170" t="s">
        <v>1351</v>
      </c>
      <c r="E82" s="133"/>
      <c r="F82" s="160" t="str">
        <f>VLOOKUP(B82,'Aux DE'!B:P,15,0)</f>
        <v>SCA   SCB1</v>
      </c>
      <c r="G82" s="132">
        <f>SUMIF('Aux DE'!B:B,'Plano SCA'!B82,'Aux DE'!I:I)+SUMIF('Aux DE'!B:B,'Plano SCA'!B82,'Aux DE'!O:O)</f>
        <v>4</v>
      </c>
      <c r="H82" s="132"/>
      <c r="I82" s="209">
        <f t="shared" si="14"/>
        <v>0</v>
      </c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153"/>
      <c r="AQ82" s="153"/>
      <c r="AR82" s="153"/>
      <c r="AS82" s="153"/>
      <c r="AT82" s="153"/>
      <c r="AU82" s="153"/>
      <c r="AV82" s="153"/>
      <c r="AW82" s="153"/>
      <c r="AX82" s="153"/>
      <c r="AY82" s="153"/>
      <c r="AZ82" s="153"/>
      <c r="BA82" s="153"/>
      <c r="BB82" s="153"/>
      <c r="BC82" s="153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</row>
    <row r="83" spans="2:78" hidden="1" outlineLevel="1" x14ac:dyDescent="0.3">
      <c r="B83" s="237" t="str">
        <f t="shared" si="15"/>
        <v>INSTR_PROTECTION_COD_SOC</v>
      </c>
      <c r="C83" s="160" t="s">
        <v>1101</v>
      </c>
      <c r="D83" s="170" t="s">
        <v>12</v>
      </c>
      <c r="E83" s="133"/>
      <c r="F83" s="160" t="str">
        <f>VLOOKUP(B83,'Aux DE'!B:P,15,0)</f>
        <v>SCA   SCB1</v>
      </c>
      <c r="G83" s="132">
        <f>SUMIF('Aux DE'!B:B,'Plano SCA'!B83,'Aux DE'!I:I)+SUMIF('Aux DE'!B:B,'Plano SCA'!B83,'Aux DE'!O:O)</f>
        <v>3.5</v>
      </c>
      <c r="H83" s="132"/>
      <c r="I83" s="209">
        <f t="shared" si="14"/>
        <v>0</v>
      </c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  <c r="AJ83" s="153"/>
      <c r="AK83" s="153"/>
      <c r="AL83" s="153"/>
      <c r="AM83" s="153"/>
      <c r="AN83" s="153"/>
      <c r="AO83" s="153"/>
      <c r="AP83" s="153"/>
      <c r="AQ83" s="153"/>
      <c r="AR83" s="153"/>
      <c r="AS83" s="153"/>
      <c r="AT83" s="153"/>
      <c r="AU83" s="153"/>
      <c r="AV83" s="153"/>
      <c r="AW83" s="153"/>
      <c r="AX83" s="153"/>
      <c r="AY83" s="153"/>
      <c r="AZ83" s="153"/>
      <c r="BA83" s="153"/>
      <c r="BB83" s="153"/>
      <c r="BC83" s="153"/>
      <c r="BD83" s="153"/>
      <c r="BE83" s="153"/>
      <c r="BF83" s="153"/>
      <c r="BG83" s="153"/>
      <c r="BH83" s="153"/>
      <c r="BI83" s="153"/>
      <c r="BJ83" s="153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</row>
    <row r="84" spans="2:78" hidden="1" outlineLevel="1" x14ac:dyDescent="0.3">
      <c r="B84" s="237" t="str">
        <f t="shared" si="15"/>
        <v>INSTR_PROTECTION_DT_RFRNC</v>
      </c>
      <c r="C84" s="160" t="s">
        <v>1101</v>
      </c>
      <c r="D84" s="170" t="s">
        <v>38</v>
      </c>
      <c r="E84" s="133"/>
      <c r="F84" s="160" t="str">
        <f>VLOOKUP(B84,'Aux DE'!B:P,15,0)</f>
        <v>SCA   SCB1</v>
      </c>
      <c r="G84" s="132">
        <f>SUMIF('Aux DE'!B:B,'Plano SCA'!B84,'Aux DE'!I:I)+SUMIF('Aux DE'!B:B,'Plano SCA'!B84,'Aux DE'!O:O)</f>
        <v>3.5</v>
      </c>
      <c r="H84" s="132"/>
      <c r="I84" s="209">
        <f t="shared" si="14"/>
        <v>0</v>
      </c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K84" s="153"/>
      <c r="AL84" s="153"/>
      <c r="AM84" s="153"/>
      <c r="AN84" s="153"/>
      <c r="AO84" s="153"/>
      <c r="AP84" s="153"/>
      <c r="AQ84" s="153"/>
      <c r="AR84" s="153"/>
      <c r="AS84" s="153"/>
      <c r="AT84" s="153"/>
      <c r="AU84" s="153"/>
      <c r="AV84" s="153"/>
      <c r="AW84" s="153"/>
      <c r="AX84" s="153"/>
      <c r="AY84" s="153"/>
      <c r="AZ84" s="153"/>
      <c r="BA84" s="153"/>
      <c r="BB84" s="153"/>
      <c r="BC84" s="153"/>
      <c r="BD84" s="153"/>
      <c r="BE84" s="153"/>
      <c r="BF84" s="153"/>
      <c r="BG84" s="153"/>
      <c r="BH84" s="153"/>
      <c r="BI84" s="153"/>
      <c r="BJ84" s="153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</row>
    <row r="85" spans="2:78" hidden="1" outlineLevel="1" x14ac:dyDescent="0.3">
      <c r="B85" s="237" t="str">
        <f t="shared" si="15"/>
        <v>INSTR_PROTECTION_INSTRMNT_ID</v>
      </c>
      <c r="C85" s="160" t="s">
        <v>1101</v>
      </c>
      <c r="D85" s="170" t="s">
        <v>405</v>
      </c>
      <c r="E85" s="133"/>
      <c r="F85" s="160" t="str">
        <f>VLOOKUP(B85,'Aux DE'!B:P,15,0)</f>
        <v>SCA   SCB1</v>
      </c>
      <c r="G85" s="132">
        <f>SUMIF('Aux DE'!B:B,'Plano SCA'!B85,'Aux DE'!I:I)+SUMIF('Aux DE'!B:B,'Plano SCA'!B85,'Aux DE'!O:O)</f>
        <v>3.5</v>
      </c>
      <c r="H85" s="132"/>
      <c r="I85" s="209">
        <f t="shared" si="14"/>
        <v>0</v>
      </c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153"/>
      <c r="AS85" s="153"/>
      <c r="AT85" s="153"/>
      <c r="AU85" s="153"/>
      <c r="AV85" s="153"/>
      <c r="AW85" s="153"/>
      <c r="AX85" s="153"/>
      <c r="AY85" s="153"/>
      <c r="AZ85" s="153"/>
      <c r="BA85" s="153"/>
      <c r="BB85" s="153"/>
      <c r="BC85" s="153"/>
      <c r="BD85" s="153"/>
      <c r="BE85" s="153"/>
      <c r="BF85" s="153"/>
      <c r="BG85" s="153"/>
      <c r="BH85" s="153"/>
      <c r="BI85" s="153"/>
      <c r="BJ85" s="153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</row>
    <row r="86" spans="2:78" hidden="1" outlineLevel="1" x14ac:dyDescent="0.3">
      <c r="B86" s="237" t="str">
        <f t="shared" si="15"/>
        <v>INSTR_PROTECTION_PRTCTN_ID</v>
      </c>
      <c r="C86" s="160" t="s">
        <v>1101</v>
      </c>
      <c r="D86" s="170" t="s">
        <v>1105</v>
      </c>
      <c r="E86" s="133"/>
      <c r="F86" s="160" t="str">
        <f>VLOOKUP(B86,'Aux DE'!B:P,15,0)</f>
        <v>SCA   SCB1</v>
      </c>
      <c r="G86" s="132">
        <f>SUMIF('Aux DE'!B:B,'Plano SCA'!B86,'Aux DE'!I:I)+SUMIF('Aux DE'!B:B,'Plano SCA'!B86,'Aux DE'!O:O)</f>
        <v>3.5</v>
      </c>
      <c r="H86" s="132"/>
      <c r="I86" s="209">
        <f t="shared" si="14"/>
        <v>0</v>
      </c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153"/>
      <c r="BA86" s="153"/>
      <c r="BB86" s="153"/>
      <c r="BC86" s="153"/>
      <c r="BD86" s="153"/>
      <c r="BE86" s="153"/>
      <c r="BF86" s="153"/>
      <c r="BG86" s="153"/>
      <c r="BH86" s="153"/>
      <c r="BI86" s="153"/>
      <c r="BJ86" s="153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</row>
    <row r="87" spans="2:78" hidden="1" outlineLevel="1" x14ac:dyDescent="0.3">
      <c r="B87" s="237" t="str">
        <f t="shared" si="15"/>
        <v>INSTR_PROTECTION_TYP_RLTN</v>
      </c>
      <c r="C87" s="160" t="s">
        <v>1101</v>
      </c>
      <c r="D87" s="170" t="s">
        <v>1384</v>
      </c>
      <c r="E87" s="133"/>
      <c r="F87" s="160" t="str">
        <f>VLOOKUP(B87,'Aux DE'!B:P,15,0)</f>
        <v>SCA   SCB 2</v>
      </c>
      <c r="G87" s="132">
        <f>SUMIF('Aux DE'!B:B,'Plano SCA'!B87,'Aux DE'!I:I)+SUMIF('Aux DE'!B:B,'Plano SCA'!B87,'Aux DE'!O:O)</f>
        <v>4</v>
      </c>
      <c r="H87" s="132"/>
      <c r="I87" s="209">
        <f t="shared" si="14"/>
        <v>0</v>
      </c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</row>
    <row r="88" spans="2:78" hidden="1" outlineLevel="1" x14ac:dyDescent="0.3">
      <c r="B88" s="237" t="str">
        <f t="shared" si="15"/>
        <v>PROTECTION_COD_SOC</v>
      </c>
      <c r="C88" s="160" t="s">
        <v>1114</v>
      </c>
      <c r="D88" s="170" t="s">
        <v>12</v>
      </c>
      <c r="E88" s="133"/>
      <c r="F88" s="160" t="str">
        <f>VLOOKUP(B88,'Aux DE'!B:P,15,0)</f>
        <v>SCA   SCB1</v>
      </c>
      <c r="G88" s="132">
        <f>SUMIF('Aux DE'!B:B,'Plano SCA'!B88,'Aux DE'!I:I)+SUMIF('Aux DE'!B:B,'Plano SCA'!B88,'Aux DE'!O:O)</f>
        <v>3.5</v>
      </c>
      <c r="H88" s="132"/>
      <c r="I88" s="209">
        <f t="shared" si="14"/>
        <v>0</v>
      </c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  <c r="AJ88" s="153"/>
      <c r="AK88" s="153"/>
      <c r="AL88" s="153"/>
      <c r="AM88" s="153"/>
      <c r="AN88" s="153"/>
      <c r="AO88" s="153"/>
      <c r="AP88" s="153"/>
      <c r="AQ88" s="153"/>
      <c r="AR88" s="153"/>
      <c r="AS88" s="153"/>
      <c r="AT88" s="153"/>
      <c r="AU88" s="153"/>
      <c r="AV88" s="153"/>
      <c r="AW88" s="153"/>
      <c r="AX88" s="153"/>
      <c r="AY88" s="153"/>
      <c r="AZ88" s="153"/>
      <c r="BA88" s="153"/>
      <c r="BB88" s="153"/>
      <c r="BC88" s="153"/>
      <c r="BD88" s="153"/>
      <c r="BE88" s="153"/>
      <c r="BF88" s="153"/>
      <c r="BG88" s="153"/>
      <c r="BH88" s="153"/>
      <c r="BI88" s="153"/>
      <c r="BJ88" s="153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</row>
    <row r="89" spans="2:78" hidden="1" outlineLevel="1" x14ac:dyDescent="0.3">
      <c r="B89" s="237" t="str">
        <f t="shared" si="15"/>
        <v>PROTECTION_DT_RFRNC</v>
      </c>
      <c r="C89" s="160" t="s">
        <v>1114</v>
      </c>
      <c r="D89" s="170" t="s">
        <v>38</v>
      </c>
      <c r="E89" s="133"/>
      <c r="F89" s="160" t="str">
        <f>VLOOKUP(B89,'Aux DE'!B:P,15,0)</f>
        <v>SCA   SCB1</v>
      </c>
      <c r="G89" s="132">
        <f>SUMIF('Aux DE'!B:B,'Plano SCA'!B89,'Aux DE'!I:I)+SUMIF('Aux DE'!B:B,'Plano SCA'!B89,'Aux DE'!O:O)</f>
        <v>3.5</v>
      </c>
      <c r="H89" s="132"/>
      <c r="I89" s="209">
        <f t="shared" si="14"/>
        <v>0</v>
      </c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  <c r="BE89" s="153"/>
      <c r="BF89" s="153"/>
      <c r="BG89" s="153"/>
      <c r="BH89" s="153"/>
      <c r="BI89" s="153"/>
      <c r="BJ89" s="153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</row>
    <row r="90" spans="2:78" hidden="1" outlineLevel="1" x14ac:dyDescent="0.3">
      <c r="B90" s="237" t="str">
        <f t="shared" si="15"/>
        <v>PROTECTION_PRTCTN_ID</v>
      </c>
      <c r="C90" s="160" t="s">
        <v>1114</v>
      </c>
      <c r="D90" s="170" t="s">
        <v>1105</v>
      </c>
      <c r="E90" s="133"/>
      <c r="F90" s="160" t="str">
        <f>VLOOKUP(B90,'Aux DE'!B:P,15,0)</f>
        <v>SCA   SCB1</v>
      </c>
      <c r="G90" s="132">
        <f>SUMIF('Aux DE'!B:B,'Plano SCA'!B90,'Aux DE'!I:I)+SUMIF('Aux DE'!B:B,'Plano SCA'!B90,'Aux DE'!O:O)</f>
        <v>3.5</v>
      </c>
      <c r="H90" s="132"/>
      <c r="I90" s="209">
        <f t="shared" si="14"/>
        <v>0</v>
      </c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</row>
    <row r="91" spans="2:78" hidden="1" outlineLevel="1" x14ac:dyDescent="0.3">
      <c r="B91" s="237" t="str">
        <f t="shared" si="15"/>
        <v>PROTECTION_TYP_PRTCTN</v>
      </c>
      <c r="C91" s="160" t="s">
        <v>1114</v>
      </c>
      <c r="D91" s="170" t="s">
        <v>1147</v>
      </c>
      <c r="E91" s="133"/>
      <c r="F91" s="160" t="str">
        <f>VLOOKUP(B91,'Aux DE'!B:P,15,0)</f>
        <v>SCA   SCB1</v>
      </c>
      <c r="G91" s="132">
        <f>SUMIF('Aux DE'!B:B,'Plano SCA'!B91,'Aux DE'!I:I)+SUMIF('Aux DE'!B:B,'Plano SCA'!B91,'Aux DE'!O:O)</f>
        <v>4</v>
      </c>
      <c r="H91" s="132"/>
      <c r="I91" s="209">
        <f t="shared" si="14"/>
        <v>0</v>
      </c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  <c r="AJ91" s="153"/>
      <c r="AK91" s="153"/>
      <c r="AL91" s="153"/>
      <c r="AM91" s="153"/>
      <c r="AN91" s="153"/>
      <c r="AO91" s="153"/>
      <c r="AP91" s="153"/>
      <c r="AQ91" s="153"/>
      <c r="AR91" s="153"/>
      <c r="AS91" s="153"/>
      <c r="AT91" s="153"/>
      <c r="AU91" s="153"/>
      <c r="AV91" s="153"/>
      <c r="AW91" s="153"/>
      <c r="AX91" s="153"/>
      <c r="AY91" s="153"/>
      <c r="AZ91" s="153"/>
      <c r="BA91" s="153"/>
      <c r="BB91" s="153"/>
      <c r="BC91" s="153"/>
      <c r="BD91" s="153"/>
      <c r="BE91" s="153"/>
      <c r="BF91" s="153"/>
      <c r="BG91" s="153"/>
      <c r="BH91" s="153"/>
      <c r="BI91" s="153"/>
      <c r="BJ91" s="153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</row>
    <row r="92" spans="2:78" hidden="1" outlineLevel="1" x14ac:dyDescent="0.3">
      <c r="B92" s="237" t="str">
        <f t="shared" si="15"/>
        <v>PROTECTION_PRTCTN_VL</v>
      </c>
      <c r="C92" s="160" t="s">
        <v>1114</v>
      </c>
      <c r="D92" s="170" t="s">
        <v>1177</v>
      </c>
      <c r="E92" s="133"/>
      <c r="F92" s="160" t="str">
        <f>VLOOKUP(B92,'Aux DE'!B:P,15,0)</f>
        <v>SCA   SCB1</v>
      </c>
      <c r="G92" s="132">
        <f>SUMIF('Aux DE'!B:B,'Plano SCA'!B92,'Aux DE'!I:I)+SUMIF('Aux DE'!B:B,'Plano SCA'!B92,'Aux DE'!O:O)</f>
        <v>3.5</v>
      </c>
      <c r="H92" s="132"/>
      <c r="I92" s="209">
        <f t="shared" si="14"/>
        <v>0</v>
      </c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  <c r="AJ92" s="153"/>
      <c r="AK92" s="153"/>
      <c r="AL92" s="153"/>
      <c r="AM92" s="153"/>
      <c r="AN92" s="153"/>
      <c r="AO92" s="153"/>
      <c r="AP92" s="153"/>
      <c r="AQ92" s="153"/>
      <c r="AR92" s="153"/>
      <c r="AS92" s="153"/>
      <c r="AT92" s="153"/>
      <c r="AU92" s="153"/>
      <c r="AV92" s="153"/>
      <c r="AW92" s="153"/>
      <c r="AX92" s="153"/>
      <c r="AY92" s="153"/>
      <c r="AZ92" s="153"/>
      <c r="BA92" s="153"/>
      <c r="BB92" s="153"/>
      <c r="BC92" s="153"/>
      <c r="BD92" s="153"/>
      <c r="BE92" s="153"/>
      <c r="BF92" s="153"/>
      <c r="BG92" s="153"/>
      <c r="BH92" s="153"/>
      <c r="BI92" s="153"/>
      <c r="BJ92" s="153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</row>
    <row r="93" spans="2:78" hidden="1" outlineLevel="1" x14ac:dyDescent="0.3">
      <c r="B93" s="237" t="str">
        <f t="shared" si="15"/>
        <v>PROTECTION_FLG_ELCTRC_VHCL</v>
      </c>
      <c r="C93" s="160" t="s">
        <v>1114</v>
      </c>
      <c r="D93" s="170" t="s">
        <v>1455</v>
      </c>
      <c r="E93" s="133"/>
      <c r="F93" s="160" t="str">
        <f>VLOOKUP(B93,'Aux DE'!B:P,15,0)</f>
        <v>SCA   SCB1</v>
      </c>
      <c r="G93" s="132">
        <f>SUMIF('Aux DE'!B:B,'Plano SCA'!B93,'Aux DE'!I:I)+SUMIF('Aux DE'!B:B,'Plano SCA'!B93,'Aux DE'!O:O)</f>
        <v>5</v>
      </c>
      <c r="H93" s="132"/>
      <c r="I93" s="209">
        <f t="shared" si="14"/>
        <v>0</v>
      </c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</row>
    <row r="94" spans="2:78" hidden="1" outlineLevel="1" x14ac:dyDescent="0.3">
      <c r="B94" s="237" t="str">
        <f t="shared" si="15"/>
        <v>INSTR_ACTIVITY_COD_SOC</v>
      </c>
      <c r="C94" s="160" t="s">
        <v>1458</v>
      </c>
      <c r="D94" s="170" t="s">
        <v>12</v>
      </c>
      <c r="E94" s="133"/>
      <c r="F94" s="160" t="str">
        <f>VLOOKUP(B94,'Aux DE'!B:P,15,0)</f>
        <v>SCA   SCB 2</v>
      </c>
      <c r="G94" s="132">
        <f>SUMIF('Aux DE'!B:B,'Plano SCA'!B94,'Aux DE'!I:I)+SUMIF('Aux DE'!B:B,'Plano SCA'!B94,'Aux DE'!O:O)</f>
        <v>3.5</v>
      </c>
      <c r="H94" s="132"/>
      <c r="I94" s="209">
        <f t="shared" si="14"/>
        <v>0</v>
      </c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  <c r="AJ94" s="153"/>
      <c r="AK94" s="153"/>
      <c r="AL94" s="153"/>
      <c r="AM94" s="153"/>
      <c r="AN94" s="153"/>
      <c r="AO94" s="153"/>
      <c r="AP94" s="153"/>
      <c r="AQ94" s="153"/>
      <c r="AR94" s="153"/>
      <c r="AS94" s="153"/>
      <c r="AT94" s="153"/>
      <c r="AU94" s="153"/>
      <c r="AV94" s="153"/>
      <c r="AW94" s="153"/>
      <c r="AX94" s="153"/>
      <c r="AY94" s="153"/>
      <c r="AZ94" s="153"/>
      <c r="BA94" s="153"/>
      <c r="BB94" s="153"/>
      <c r="BC94" s="153"/>
      <c r="BD94" s="153"/>
      <c r="BE94" s="153"/>
      <c r="BF94" s="153"/>
      <c r="BG94" s="153"/>
      <c r="BH94" s="153"/>
      <c r="BI94" s="153"/>
      <c r="BJ94" s="153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</row>
    <row r="95" spans="2:78" hidden="1" outlineLevel="1" x14ac:dyDescent="0.3">
      <c r="B95" s="237" t="str">
        <f t="shared" si="15"/>
        <v>INSTR_ACTIVITY_DT_RFRNC</v>
      </c>
      <c r="C95" s="160" t="s">
        <v>1458</v>
      </c>
      <c r="D95" s="170" t="s">
        <v>38</v>
      </c>
      <c r="E95" s="133"/>
      <c r="F95" s="160" t="str">
        <f>VLOOKUP(B95,'Aux DE'!B:P,15,0)</f>
        <v>SCA   SCB 2</v>
      </c>
      <c r="G95" s="132">
        <f>SUMIF('Aux DE'!B:B,'Plano SCA'!B95,'Aux DE'!I:I)+SUMIF('Aux DE'!B:B,'Plano SCA'!B95,'Aux DE'!O:O)</f>
        <v>3.5</v>
      </c>
      <c r="H95" s="132"/>
      <c r="I95" s="209">
        <f t="shared" si="14"/>
        <v>0</v>
      </c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  <c r="AC95" s="153"/>
      <c r="AD95" s="153"/>
      <c r="AE95" s="153"/>
      <c r="AF95" s="153"/>
      <c r="AG95" s="153"/>
      <c r="AH95" s="153"/>
      <c r="AI95" s="153"/>
      <c r="AJ95" s="153"/>
      <c r="AK95" s="153"/>
      <c r="AL95" s="153"/>
      <c r="AM95" s="153"/>
      <c r="AN95" s="153"/>
      <c r="AO95" s="153"/>
      <c r="AP95" s="153"/>
      <c r="AQ95" s="153"/>
      <c r="AR95" s="153"/>
      <c r="AS95" s="153"/>
      <c r="AT95" s="153"/>
      <c r="AU95" s="153"/>
      <c r="AV95" s="153"/>
      <c r="AW95" s="153"/>
      <c r="AX95" s="153"/>
      <c r="AY95" s="153"/>
      <c r="AZ95" s="153"/>
      <c r="BA95" s="153"/>
      <c r="BB95" s="153"/>
      <c r="BC95" s="153"/>
      <c r="BD95" s="153"/>
      <c r="BE95" s="153"/>
      <c r="BF95" s="153"/>
      <c r="BG95" s="153"/>
      <c r="BH95" s="153"/>
      <c r="BI95" s="153"/>
      <c r="BJ95" s="153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</row>
    <row r="96" spans="2:78" hidden="1" outlineLevel="1" x14ac:dyDescent="0.3">
      <c r="B96" s="237" t="str">
        <f t="shared" si="15"/>
        <v>INSTR_ACTIVITY_INSTRMNT_ID</v>
      </c>
      <c r="C96" s="160" t="s">
        <v>1458</v>
      </c>
      <c r="D96" s="170" t="s">
        <v>405</v>
      </c>
      <c r="E96" s="133"/>
      <c r="F96" s="160" t="str">
        <f>VLOOKUP(B96,'Aux DE'!B:P,15,0)</f>
        <v>SCA   SCB 2</v>
      </c>
      <c r="G96" s="132">
        <f>SUMIF('Aux DE'!B:B,'Plano SCA'!B96,'Aux DE'!I:I)+SUMIF('Aux DE'!B:B,'Plano SCA'!B96,'Aux DE'!O:O)</f>
        <v>3.5</v>
      </c>
      <c r="H96" s="132"/>
      <c r="I96" s="209">
        <f t="shared" si="14"/>
        <v>0</v>
      </c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</row>
    <row r="97" spans="1:78" hidden="1" outlineLevel="1" x14ac:dyDescent="0.3">
      <c r="B97" s="237" t="str">
        <f t="shared" si="15"/>
        <v>INSTR_ACTIVITY_SSTNBL_CTGRY</v>
      </c>
      <c r="C97" s="160" t="s">
        <v>1458</v>
      </c>
      <c r="D97" s="170" t="s">
        <v>967</v>
      </c>
      <c r="E97" s="133"/>
      <c r="F97" s="160" t="str">
        <f>VLOOKUP(B97,'Aux DE'!B:P,15,0)</f>
        <v>SCA   SCB 2</v>
      </c>
      <c r="G97" s="132">
        <f>SUMIF('Aux DE'!B:B,'Plano SCA'!B97,'Aux DE'!I:I)+SUMIF('Aux DE'!B:B,'Plano SCA'!B97,'Aux DE'!O:O)</f>
        <v>18</v>
      </c>
      <c r="H97" s="132"/>
      <c r="I97" s="209">
        <f t="shared" si="14"/>
        <v>0</v>
      </c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153"/>
      <c r="BH97" s="153"/>
      <c r="BI97" s="153"/>
      <c r="BJ97" s="153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</row>
    <row r="98" spans="1:78" hidden="1" outlineLevel="1" x14ac:dyDescent="0.3">
      <c r="B98" s="237" t="str">
        <f t="shared" si="15"/>
        <v>INSTR_ACTIVITY_PRCNTG_ACTVTY</v>
      </c>
      <c r="C98" s="160" t="s">
        <v>1458</v>
      </c>
      <c r="D98" s="170" t="s">
        <v>1464</v>
      </c>
      <c r="E98" s="133"/>
      <c r="F98" s="160" t="str">
        <f>VLOOKUP(B98,'Aux DE'!B:P,15,0)</f>
        <v>SCA   SCB1</v>
      </c>
      <c r="G98" s="132">
        <f>SUMIF('Aux DE'!B:B,'Plano SCA'!B98,'Aux DE'!I:I)+SUMIF('Aux DE'!B:B,'Plano SCA'!B98,'Aux DE'!O:O)</f>
        <v>3.5</v>
      </c>
      <c r="H98" s="132"/>
      <c r="I98" s="209">
        <f t="shared" si="14"/>
        <v>0</v>
      </c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</row>
    <row r="99" spans="1:78" hidden="1" outlineLevel="1" x14ac:dyDescent="0.3">
      <c r="B99" s="237" t="str">
        <f t="shared" si="15"/>
        <v>INSTR_ACTIVITY_SSTNBL_INDCTR</v>
      </c>
      <c r="C99" s="160" t="s">
        <v>1458</v>
      </c>
      <c r="D99" s="170" t="s">
        <v>964</v>
      </c>
      <c r="E99" s="133"/>
      <c r="F99" s="160" t="str">
        <f>VLOOKUP(B99,'Aux DE'!B:P,15,0)</f>
        <v>SCA   SCB 2</v>
      </c>
      <c r="G99" s="132">
        <f>SUMIF('Aux DE'!B:B,'Plano SCA'!B99,'Aux DE'!I:I)+SUMIF('Aux DE'!B:B,'Plano SCA'!B99,'Aux DE'!O:O)</f>
        <v>18</v>
      </c>
      <c r="H99" s="132"/>
      <c r="I99" s="209">
        <f t="shared" si="14"/>
        <v>0</v>
      </c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</row>
    <row r="100" spans="1:78" collapsed="1" x14ac:dyDescent="0.3">
      <c r="B100" s="146"/>
      <c r="C100" s="163"/>
      <c r="D100" s="238" t="s">
        <v>1600</v>
      </c>
      <c r="E100" s="212"/>
      <c r="F100" s="239"/>
      <c r="G100" s="239">
        <f>H100*8</f>
        <v>76.400000000000006</v>
      </c>
      <c r="H100" s="240">
        <f>0.2*H54</f>
        <v>9.5500000000000007</v>
      </c>
      <c r="I100" s="209">
        <f t="shared" si="14"/>
        <v>0</v>
      </c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>
        <v>1.125</v>
      </c>
      <c r="AW100" s="153">
        <v>2</v>
      </c>
      <c r="AX100" s="153">
        <v>2</v>
      </c>
      <c r="AY100" s="153">
        <v>2</v>
      </c>
      <c r="AZ100" s="153">
        <v>2</v>
      </c>
      <c r="BA100" s="153">
        <v>0.42499999999999999</v>
      </c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</row>
    <row r="101" spans="1:78" x14ac:dyDescent="0.3">
      <c r="B101" s="146"/>
      <c r="C101" s="165" t="s">
        <v>1716</v>
      </c>
      <c r="D101" s="166"/>
      <c r="E101" s="167"/>
      <c r="F101" s="193"/>
      <c r="G101" s="194">
        <f>H101*8</f>
        <v>80</v>
      </c>
      <c r="H101" s="194">
        <f>10</f>
        <v>10</v>
      </c>
      <c r="I101" s="209">
        <f t="shared" ref="I101" si="16">SUM(J101:CQ101)-H101</f>
        <v>0</v>
      </c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  <c r="AF101" s="153"/>
      <c r="AG101" s="153"/>
      <c r="AH101" s="153"/>
      <c r="AI101" s="153"/>
      <c r="AJ101" s="153"/>
      <c r="AK101" s="153"/>
      <c r="AL101" s="153"/>
      <c r="AM101" s="153"/>
      <c r="AN101" s="153"/>
      <c r="AO101" s="153"/>
      <c r="AP101" s="153"/>
      <c r="AQ101" s="153"/>
      <c r="AR101" s="153"/>
      <c r="AS101" s="153"/>
      <c r="AT101" s="153"/>
      <c r="AU101" s="153"/>
      <c r="AV101" s="153"/>
      <c r="AW101" s="153"/>
      <c r="AX101" s="153"/>
      <c r="AY101" s="153"/>
      <c r="AZ101" s="153"/>
      <c r="BA101" s="153">
        <v>1.575</v>
      </c>
      <c r="BB101" s="153">
        <v>2</v>
      </c>
      <c r="BC101" s="153">
        <v>2</v>
      </c>
      <c r="BD101" s="153">
        <v>2</v>
      </c>
      <c r="BE101" s="153">
        <v>2</v>
      </c>
      <c r="BF101" s="153">
        <v>0.42499999999999999</v>
      </c>
      <c r="BG101" s="153"/>
      <c r="BH101" s="153"/>
      <c r="BI101" s="153"/>
      <c r="BJ101" s="153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</row>
    <row r="102" spans="1:78" x14ac:dyDescent="0.3">
      <c r="A102"/>
      <c r="B102"/>
      <c r="C102"/>
      <c r="D102"/>
      <c r="E102"/>
      <c r="F102" s="205"/>
      <c r="G102"/>
      <c r="H102"/>
      <c r="I102" s="247"/>
      <c r="J102"/>
      <c r="K102"/>
      <c r="L102"/>
      <c r="M102"/>
      <c r="N102"/>
      <c r="BF102" t="s">
        <v>1720</v>
      </c>
    </row>
    <row r="104" spans="1:78" x14ac:dyDescent="0.3">
      <c r="C104" s="212" t="s">
        <v>1618</v>
      </c>
      <c r="D104" s="213">
        <f>SUM(J1:CA1)</f>
        <v>823.19999999999936</v>
      </c>
      <c r="E104" s="134" t="s">
        <v>1620</v>
      </c>
    </row>
    <row r="105" spans="1:78" x14ac:dyDescent="0.3">
      <c r="C105" s="133" t="s">
        <v>1619</v>
      </c>
      <c r="D105" s="211" t="s">
        <v>1630</v>
      </c>
      <c r="E105" s="134" t="s">
        <v>1621</v>
      </c>
    </row>
    <row r="107" spans="1:78" x14ac:dyDescent="0.3">
      <c r="D107" s="211"/>
    </row>
  </sheetData>
  <conditionalFormatting sqref="I9:I101">
    <cfRule type="cellIs" dxfId="5" priority="5" operator="notEqual">
      <formula>0</formula>
    </cfRule>
    <cfRule type="cellIs" dxfId="4" priority="11" operator="equal">
      <formula>0</formula>
    </cfRule>
  </conditionalFormatting>
  <conditionalFormatting sqref="J2:BF2">
    <cfRule type="cellIs" dxfId="3" priority="2" operator="equal">
      <formula>0</formula>
    </cfRule>
    <cfRule type="cellIs" dxfId="2" priority="3" operator="greaterThan">
      <formula>0</formula>
    </cfRule>
    <cfRule type="cellIs" dxfId="1" priority="4" operator="lessThan">
      <formula>0</formula>
    </cfRule>
  </conditionalFormatting>
  <conditionalFormatting sqref="J8:BZ101">
    <cfRule type="cellIs" dxfId="0" priority="10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0919-8086-42DD-9F47-D3CC7E3E9E48}">
  <sheetPr filterMode="1">
    <pageSetUpPr autoPageBreaks="0"/>
  </sheetPr>
  <dimension ref="A1:I547"/>
  <sheetViews>
    <sheetView showGridLines="0" zoomScale="85" zoomScaleNormal="85" workbookViewId="0">
      <pane xSplit="4" ySplit="1" topLeftCell="E2" activePane="bottomRight" state="frozen"/>
      <selection pane="topRight" activeCell="EP15" sqref="EP15"/>
      <selection pane="bottomLeft" activeCell="EP15" sqref="EP15"/>
      <selection pane="bottomRight" activeCell="I17" sqref="I17"/>
    </sheetView>
  </sheetViews>
  <sheetFormatPr defaultColWidth="9" defaultRowHeight="14.9" customHeight="1" outlineLevelCol="1" x14ac:dyDescent="0.3"/>
  <cols>
    <col min="1" max="1" width="14.6640625" style="36" customWidth="1"/>
    <col min="2" max="2" width="14.6640625" style="36" hidden="1" customWidth="1"/>
    <col min="3" max="3" width="17.5" style="37" customWidth="1"/>
    <col min="4" max="4" width="40.5" style="38" customWidth="1"/>
    <col min="5" max="5" width="60.4140625" style="6" customWidth="1"/>
    <col min="6" max="6" width="21.4140625" style="39" customWidth="1" outlineLevel="1"/>
    <col min="7" max="9" width="18.6640625" style="38" customWidth="1" outlineLevel="1"/>
    <col min="10" max="16384" width="9" style="6"/>
  </cols>
  <sheetData>
    <row r="1" spans="1:9" ht="28" x14ac:dyDescent="0.3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15" hidden="1" customHeight="1" x14ac:dyDescent="0.3">
      <c r="A2" s="7" t="s">
        <v>9</v>
      </c>
      <c r="B2" s="47" t="str">
        <f>C2&amp;"_"&amp;D2</f>
        <v>ENTITY_COD_SOC</v>
      </c>
      <c r="C2" s="8" t="s">
        <v>10</v>
      </c>
      <c r="D2" s="9" t="s">
        <v>12</v>
      </c>
      <c r="E2" s="14" t="s">
        <v>14</v>
      </c>
      <c r="F2" s="10" t="s">
        <v>13</v>
      </c>
      <c r="G2" s="10" t="s">
        <v>11</v>
      </c>
      <c r="H2" s="10" t="s">
        <v>13</v>
      </c>
      <c r="I2" s="10" t="s">
        <v>13</v>
      </c>
    </row>
    <row r="3" spans="1:9" ht="15" hidden="1" customHeight="1" x14ac:dyDescent="0.3">
      <c r="A3" s="7" t="s">
        <v>16</v>
      </c>
      <c r="B3" s="47" t="str">
        <f t="shared" ref="B3:B66" si="0">C3&amp;"_"&amp;D3</f>
        <v>ENTITY_CNTRY</v>
      </c>
      <c r="C3" s="8" t="s">
        <v>10</v>
      </c>
      <c r="D3" s="9" t="s">
        <v>17</v>
      </c>
      <c r="E3" s="14" t="s">
        <v>18</v>
      </c>
      <c r="F3" s="10" t="s">
        <v>13</v>
      </c>
      <c r="G3" s="10" t="s">
        <v>11</v>
      </c>
      <c r="H3" s="10" t="s">
        <v>13</v>
      </c>
      <c r="I3" s="10" t="s">
        <v>13</v>
      </c>
    </row>
    <row r="4" spans="1:9" ht="15" hidden="1" customHeight="1" x14ac:dyDescent="0.3">
      <c r="A4" s="7" t="s">
        <v>19</v>
      </c>
      <c r="B4" s="47" t="str">
        <f t="shared" si="0"/>
        <v>ENTITY_DT_BRTH</v>
      </c>
      <c r="C4" s="8" t="s">
        <v>10</v>
      </c>
      <c r="D4" s="9" t="s">
        <v>20</v>
      </c>
      <c r="E4" s="14" t="s">
        <v>21</v>
      </c>
      <c r="F4" s="10" t="s">
        <v>13</v>
      </c>
      <c r="G4" s="10" t="s">
        <v>11</v>
      </c>
      <c r="H4" s="10" t="s">
        <v>11</v>
      </c>
      <c r="I4" s="10" t="s">
        <v>11</v>
      </c>
    </row>
    <row r="5" spans="1:9" ht="15" hidden="1" customHeight="1" x14ac:dyDescent="0.3">
      <c r="A5" s="7" t="s">
        <v>22</v>
      </c>
      <c r="B5" s="47" t="str">
        <f t="shared" si="0"/>
        <v>ENTITY_DT_DFLT_STTS</v>
      </c>
      <c r="C5" s="8" t="s">
        <v>10</v>
      </c>
      <c r="D5" s="9" t="s">
        <v>23</v>
      </c>
      <c r="E5" s="14" t="s">
        <v>24</v>
      </c>
      <c r="F5" s="10" t="s">
        <v>13</v>
      </c>
      <c r="G5" s="10" t="s">
        <v>11</v>
      </c>
      <c r="H5" s="10" t="s">
        <v>11</v>
      </c>
      <c r="I5" s="10" t="s">
        <v>11</v>
      </c>
    </row>
    <row r="6" spans="1:9" ht="15" hidden="1" customHeight="1" x14ac:dyDescent="0.3">
      <c r="A6" s="7" t="s">
        <v>25</v>
      </c>
      <c r="B6" s="47" t="str">
        <f t="shared" si="0"/>
        <v>ENTITY_DT_FNNCL_STTMTS</v>
      </c>
      <c r="C6" s="8" t="s">
        <v>10</v>
      </c>
      <c r="D6" s="9" t="s">
        <v>26</v>
      </c>
      <c r="E6" s="14" t="s">
        <v>27</v>
      </c>
      <c r="F6" s="10" t="s">
        <v>13</v>
      </c>
      <c r="G6" s="10" t="s">
        <v>11</v>
      </c>
      <c r="H6" s="10" t="s">
        <v>11</v>
      </c>
      <c r="I6" s="10" t="s">
        <v>11</v>
      </c>
    </row>
    <row r="7" spans="1:9" ht="15" hidden="1" customHeight="1" x14ac:dyDescent="0.3">
      <c r="A7" s="7" t="s">
        <v>28</v>
      </c>
      <c r="B7" s="47" t="str">
        <f t="shared" si="0"/>
        <v>ENTITY_DT_FNNCL_STTMTS_PRVS</v>
      </c>
      <c r="C7" s="8" t="s">
        <v>10</v>
      </c>
      <c r="D7" s="9" t="s">
        <v>29</v>
      </c>
      <c r="E7" s="14" t="s">
        <v>30</v>
      </c>
      <c r="F7" s="10" t="s">
        <v>13</v>
      </c>
      <c r="G7" s="10" t="s">
        <v>11</v>
      </c>
      <c r="H7" s="10" t="s">
        <v>11</v>
      </c>
      <c r="I7" s="10" t="s">
        <v>11</v>
      </c>
    </row>
    <row r="8" spans="1:9" ht="15" hidden="1" customHeight="1" x14ac:dyDescent="0.3">
      <c r="A8" s="7" t="s">
        <v>31</v>
      </c>
      <c r="B8" s="47" t="str">
        <f t="shared" si="0"/>
        <v>ENTITY_DT_INTTN_LGL_PRCDNGS_LE</v>
      </c>
      <c r="C8" s="8" t="s">
        <v>10</v>
      </c>
      <c r="D8" s="9" t="s">
        <v>32</v>
      </c>
      <c r="E8" s="14" t="s">
        <v>33</v>
      </c>
      <c r="F8" s="10" t="s">
        <v>13</v>
      </c>
      <c r="G8" s="10" t="s">
        <v>11</v>
      </c>
      <c r="H8" s="10" t="s">
        <v>11</v>
      </c>
      <c r="I8" s="10" t="s">
        <v>11</v>
      </c>
    </row>
    <row r="9" spans="1:9" ht="15" hidden="1" customHeight="1" x14ac:dyDescent="0.3">
      <c r="A9" s="7" t="s">
        <v>34</v>
      </c>
      <c r="B9" s="47" t="str">
        <f t="shared" si="0"/>
        <v>ENTITY_DT_PRFRMNG_STTS_LE</v>
      </c>
      <c r="C9" s="8" t="s">
        <v>10</v>
      </c>
      <c r="D9" s="9" t="s">
        <v>35</v>
      </c>
      <c r="E9" s="14" t="s">
        <v>36</v>
      </c>
      <c r="F9" s="10" t="s">
        <v>13</v>
      </c>
      <c r="G9" s="10" t="s">
        <v>11</v>
      </c>
      <c r="H9" s="10" t="s">
        <v>11</v>
      </c>
      <c r="I9" s="10" t="s">
        <v>11</v>
      </c>
    </row>
    <row r="10" spans="1:9" ht="15" hidden="1" customHeight="1" x14ac:dyDescent="0.3">
      <c r="A10" s="7" t="s">
        <v>37</v>
      </c>
      <c r="B10" s="47" t="str">
        <f t="shared" si="0"/>
        <v>ENTITY_DT_RFRNC</v>
      </c>
      <c r="C10" s="8" t="s">
        <v>10</v>
      </c>
      <c r="D10" s="9" t="s">
        <v>38</v>
      </c>
      <c r="E10" s="14" t="s">
        <v>39</v>
      </c>
      <c r="F10" s="10" t="s">
        <v>13</v>
      </c>
      <c r="G10" s="10" t="s">
        <v>11</v>
      </c>
      <c r="H10" s="10" t="s">
        <v>13</v>
      </c>
      <c r="I10" s="10" t="s">
        <v>11</v>
      </c>
    </row>
    <row r="11" spans="1:9" ht="15" hidden="1" customHeight="1" x14ac:dyDescent="0.3">
      <c r="A11" s="7" t="s">
        <v>40</v>
      </c>
      <c r="B11" s="47" t="str">
        <f t="shared" si="0"/>
        <v>ENTITY_ENTTY_ID</v>
      </c>
      <c r="C11" s="8" t="s">
        <v>10</v>
      </c>
      <c r="D11" s="9" t="s">
        <v>41</v>
      </c>
      <c r="E11" s="14" t="s">
        <v>42</v>
      </c>
      <c r="F11" s="10" t="s">
        <v>13</v>
      </c>
      <c r="G11" s="10" t="s">
        <v>11</v>
      </c>
      <c r="H11" s="10" t="s">
        <v>13</v>
      </c>
      <c r="I11" s="10" t="s">
        <v>13</v>
      </c>
    </row>
    <row r="12" spans="1:9" ht="15" hidden="1" customHeight="1" x14ac:dyDescent="0.3">
      <c r="A12" s="7" t="s">
        <v>43</v>
      </c>
      <c r="B12" s="47" t="str">
        <f t="shared" si="0"/>
        <v>ENTITY_GCC_PRNT_ID</v>
      </c>
      <c r="C12" s="8" t="s">
        <v>10</v>
      </c>
      <c r="D12" s="9" t="s">
        <v>44</v>
      </c>
      <c r="E12" s="14" t="s">
        <v>45</v>
      </c>
      <c r="F12" s="10" t="s">
        <v>13</v>
      </c>
      <c r="G12" s="10" t="s">
        <v>11</v>
      </c>
      <c r="H12" s="10" t="s">
        <v>11</v>
      </c>
      <c r="I12" s="10" t="s">
        <v>11</v>
      </c>
    </row>
    <row r="13" spans="1:9" ht="15" hidden="1" customHeight="1" x14ac:dyDescent="0.3">
      <c r="A13" s="7" t="s">
        <v>46</v>
      </c>
      <c r="B13" s="47" t="str">
        <f t="shared" si="0"/>
        <v>ENTITY_GCC_PRNT_NM</v>
      </c>
      <c r="C13" s="8" t="s">
        <v>10</v>
      </c>
      <c r="D13" s="9" t="s">
        <v>47</v>
      </c>
      <c r="E13" s="14" t="s">
        <v>48</v>
      </c>
      <c r="F13" s="10" t="s">
        <v>13</v>
      </c>
      <c r="G13" s="10" t="s">
        <v>11</v>
      </c>
      <c r="H13" s="10" t="s">
        <v>11</v>
      </c>
      <c r="I13" s="10" t="s">
        <v>11</v>
      </c>
    </row>
    <row r="14" spans="1:9" ht="15" hidden="1" customHeight="1" x14ac:dyDescent="0.3">
      <c r="A14" s="7" t="s">
        <v>49</v>
      </c>
      <c r="B14" s="47" t="str">
        <f t="shared" si="0"/>
        <v>ENTITY_INTRNL_SGMNT</v>
      </c>
      <c r="C14" s="8" t="s">
        <v>10</v>
      </c>
      <c r="D14" s="9" t="s">
        <v>50</v>
      </c>
      <c r="E14" s="14" t="s">
        <v>51</v>
      </c>
      <c r="F14" s="10" t="s">
        <v>13</v>
      </c>
      <c r="G14" s="10" t="s">
        <v>11</v>
      </c>
      <c r="H14" s="10" t="s">
        <v>11</v>
      </c>
      <c r="I14" s="10" t="s">
        <v>11</v>
      </c>
    </row>
    <row r="15" spans="1:9" ht="15" hidden="1" customHeight="1" x14ac:dyDescent="0.3">
      <c r="A15" s="7" t="s">
        <v>52</v>
      </c>
      <c r="B15" s="47" t="str">
        <f t="shared" si="0"/>
        <v>ENTITY_INTRNL_UNT</v>
      </c>
      <c r="C15" s="8" t="s">
        <v>10</v>
      </c>
      <c r="D15" s="9" t="s">
        <v>53</v>
      </c>
      <c r="E15" s="14" t="s">
        <v>54</v>
      </c>
      <c r="F15" s="10" t="s">
        <v>13</v>
      </c>
      <c r="G15" s="10" t="s">
        <v>11</v>
      </c>
      <c r="H15" s="10" t="s">
        <v>11</v>
      </c>
      <c r="I15" s="10" t="s">
        <v>11</v>
      </c>
    </row>
    <row r="16" spans="1:9" ht="15" hidden="1" customHeight="1" x14ac:dyDescent="0.3">
      <c r="A16" s="7" t="s">
        <v>55</v>
      </c>
      <c r="B16" s="47" t="str">
        <f t="shared" si="0"/>
        <v>ENTITY_LEI</v>
      </c>
      <c r="C16" s="8" t="s">
        <v>10</v>
      </c>
      <c r="D16" s="9" t="s">
        <v>56</v>
      </c>
      <c r="E16" s="14" t="s">
        <v>57</v>
      </c>
      <c r="F16" s="10" t="s">
        <v>13</v>
      </c>
      <c r="G16" s="10" t="s">
        <v>11</v>
      </c>
      <c r="H16" s="10" t="s">
        <v>13</v>
      </c>
      <c r="I16" s="10" t="s">
        <v>11</v>
      </c>
    </row>
    <row r="17" spans="1:9" ht="15" customHeight="1" x14ac:dyDescent="0.3">
      <c r="A17" s="7" t="s">
        <v>58</v>
      </c>
      <c r="B17" s="47" t="str">
        <f t="shared" si="0"/>
        <v>ENTITY_ENTTY_NM</v>
      </c>
      <c r="C17" s="8" t="s">
        <v>10</v>
      </c>
      <c r="D17" s="9" t="s">
        <v>59</v>
      </c>
      <c r="E17" s="14" t="s">
        <v>60</v>
      </c>
      <c r="F17" s="10" t="s">
        <v>13</v>
      </c>
      <c r="G17" s="10" t="s">
        <v>11</v>
      </c>
      <c r="H17" s="10" t="s">
        <v>11</v>
      </c>
      <c r="I17" s="10" t="s">
        <v>11</v>
      </c>
    </row>
    <row r="18" spans="1:9" ht="15" hidden="1" customHeight="1" x14ac:dyDescent="0.3">
      <c r="A18" s="7" t="s">
        <v>61</v>
      </c>
      <c r="B18" s="47" t="str">
        <f t="shared" si="0"/>
        <v>ENTITY_EXTRNL_RTNG_NM</v>
      </c>
      <c r="C18" s="8" t="s">
        <v>10</v>
      </c>
      <c r="D18" s="9" t="s">
        <v>62</v>
      </c>
      <c r="E18" s="14" t="s">
        <v>63</v>
      </c>
      <c r="F18" s="10" t="s">
        <v>13</v>
      </c>
      <c r="G18" s="10" t="s">
        <v>11</v>
      </c>
      <c r="H18" s="10" t="s">
        <v>11</v>
      </c>
      <c r="I18" s="10" t="s">
        <v>11</v>
      </c>
    </row>
    <row r="19" spans="1:9" ht="15" hidden="1" customHeight="1" x14ac:dyDescent="0.3">
      <c r="A19" s="7" t="s">
        <v>64</v>
      </c>
      <c r="B19" s="47" t="str">
        <f t="shared" si="0"/>
        <v>ENTITY_ACCNTNG_FRMWRK_SL</v>
      </c>
      <c r="C19" s="8" t="s">
        <v>10</v>
      </c>
      <c r="D19" s="9" t="s">
        <v>65</v>
      </c>
      <c r="E19" s="14" t="s">
        <v>66</v>
      </c>
      <c r="F19" s="10" t="s">
        <v>13</v>
      </c>
      <c r="G19" s="10" t="s">
        <v>11</v>
      </c>
      <c r="H19" s="10" t="s">
        <v>11</v>
      </c>
      <c r="I19" s="10" t="s">
        <v>11</v>
      </c>
    </row>
    <row r="20" spans="1:9" ht="15" hidden="1" customHeight="1" x14ac:dyDescent="0.3">
      <c r="A20" s="7" t="s">
        <v>67</v>
      </c>
      <c r="B20" s="47" t="str">
        <f t="shared" si="0"/>
        <v>ENTITY_CR_FLG</v>
      </c>
      <c r="C20" s="8" t="s">
        <v>10</v>
      </c>
      <c r="D20" s="9" t="s">
        <v>68</v>
      </c>
      <c r="E20" s="14" t="s">
        <v>69</v>
      </c>
      <c r="F20" s="10" t="s">
        <v>13</v>
      </c>
      <c r="G20" s="10" t="s">
        <v>11</v>
      </c>
      <c r="H20" s="10" t="s">
        <v>11</v>
      </c>
      <c r="I20" s="10" t="s">
        <v>11</v>
      </c>
    </row>
    <row r="21" spans="1:9" ht="15" hidden="1" customHeight="1" x14ac:dyDescent="0.3">
      <c r="A21" s="7" t="s">
        <v>70</v>
      </c>
      <c r="B21" s="47" t="str">
        <f t="shared" si="0"/>
        <v>ENTITY_DCSD</v>
      </c>
      <c r="C21" s="8" t="s">
        <v>10</v>
      </c>
      <c r="D21" s="9" t="s">
        <v>71</v>
      </c>
      <c r="E21" s="14" t="s">
        <v>72</v>
      </c>
      <c r="F21" s="10" t="s">
        <v>13</v>
      </c>
      <c r="G21" s="10" t="s">
        <v>11</v>
      </c>
      <c r="H21" s="10" t="s">
        <v>11</v>
      </c>
      <c r="I21" s="10" t="s">
        <v>11</v>
      </c>
    </row>
    <row r="22" spans="1:9" ht="15" hidden="1" customHeight="1" x14ac:dyDescent="0.3">
      <c r="A22" s="7" t="s">
        <v>73</v>
      </c>
      <c r="B22" s="47" t="str">
        <f t="shared" si="0"/>
        <v>ENTITY_DFLT_STTS</v>
      </c>
      <c r="C22" s="8" t="s">
        <v>10</v>
      </c>
      <c r="D22" s="9" t="s">
        <v>74</v>
      </c>
      <c r="E22" s="14" t="s">
        <v>75</v>
      </c>
      <c r="F22" s="10" t="s">
        <v>13</v>
      </c>
      <c r="G22" s="10" t="s">
        <v>11</v>
      </c>
      <c r="H22" s="10" t="s">
        <v>11</v>
      </c>
      <c r="I22" s="10" t="s">
        <v>11</v>
      </c>
    </row>
    <row r="23" spans="1:9" ht="15" hidden="1" customHeight="1" x14ac:dyDescent="0.3">
      <c r="A23" s="7" t="s">
        <v>76</v>
      </c>
      <c r="B23" s="47" t="str">
        <f t="shared" si="0"/>
        <v>ENTITY_DT_EXTRNL_RTNG</v>
      </c>
      <c r="C23" s="8" t="s">
        <v>10</v>
      </c>
      <c r="D23" s="9" t="s">
        <v>77</v>
      </c>
      <c r="E23" s="14" t="s">
        <v>78</v>
      </c>
      <c r="F23" s="10" t="s">
        <v>13</v>
      </c>
      <c r="G23" s="10" t="s">
        <v>11</v>
      </c>
      <c r="H23" s="10" t="s">
        <v>11</v>
      </c>
      <c r="I23" s="10" t="s">
        <v>11</v>
      </c>
    </row>
    <row r="24" spans="1:9" ht="15" hidden="1" customHeight="1" x14ac:dyDescent="0.3">
      <c r="A24" s="7" t="s">
        <v>79</v>
      </c>
      <c r="B24" s="47" t="str">
        <f t="shared" si="0"/>
        <v>ENTITY_DT_INTRNL_RTNG</v>
      </c>
      <c r="C24" s="8" t="s">
        <v>10</v>
      </c>
      <c r="D24" s="9" t="s">
        <v>80</v>
      </c>
      <c r="E24" s="14" t="s">
        <v>81</v>
      </c>
      <c r="F24" s="10" t="s">
        <v>13</v>
      </c>
      <c r="G24" s="10" t="s">
        <v>11</v>
      </c>
      <c r="H24" s="10" t="s">
        <v>11</v>
      </c>
      <c r="I24" s="10" t="s">
        <v>11</v>
      </c>
    </row>
    <row r="25" spans="1:9" ht="15" hidden="1" customHeight="1" x14ac:dyDescent="0.3">
      <c r="A25" s="7" t="s">
        <v>82</v>
      </c>
      <c r="B25" s="47" t="str">
        <f t="shared" si="0"/>
        <v>ENTITY_ECNMC_ACTVTY</v>
      </c>
      <c r="C25" s="8" t="s">
        <v>10</v>
      </c>
      <c r="D25" s="9" t="s">
        <v>83</v>
      </c>
      <c r="E25" s="14" t="s">
        <v>84</v>
      </c>
      <c r="F25" s="10" t="s">
        <v>13</v>
      </c>
      <c r="G25" s="10" t="s">
        <v>11</v>
      </c>
      <c r="H25" s="10" t="s">
        <v>13</v>
      </c>
      <c r="I25" s="10" t="s">
        <v>13</v>
      </c>
    </row>
    <row r="26" spans="1:9" ht="15" hidden="1" customHeight="1" x14ac:dyDescent="0.3">
      <c r="A26" s="7" t="s">
        <v>85</v>
      </c>
      <c r="B26" s="47" t="str">
        <f t="shared" si="0"/>
        <v>ENTITY_EMPLYMNT_STTS_INTRNL</v>
      </c>
      <c r="C26" s="8" t="s">
        <v>10</v>
      </c>
      <c r="D26" s="9" t="s">
        <v>86</v>
      </c>
      <c r="E26" s="14" t="s">
        <v>87</v>
      </c>
      <c r="F26" s="10" t="s">
        <v>13</v>
      </c>
      <c r="G26" s="10" t="s">
        <v>11</v>
      </c>
      <c r="H26" s="10" t="s">
        <v>11</v>
      </c>
      <c r="I26" s="10" t="s">
        <v>11</v>
      </c>
    </row>
    <row r="27" spans="1:9" ht="15" hidden="1" customHeight="1" x14ac:dyDescent="0.3">
      <c r="A27" s="7" t="s">
        <v>88</v>
      </c>
      <c r="B27" s="47" t="str">
        <f t="shared" si="0"/>
        <v>ENTITY_EMPLYMNT_STTS</v>
      </c>
      <c r="C27" s="8" t="s">
        <v>10</v>
      </c>
      <c r="D27" s="9" t="s">
        <v>89</v>
      </c>
      <c r="E27" s="14" t="s">
        <v>90</v>
      </c>
      <c r="F27" s="10" t="s">
        <v>13</v>
      </c>
      <c r="G27" s="10" t="s">
        <v>11</v>
      </c>
      <c r="H27" s="10" t="s">
        <v>11</v>
      </c>
      <c r="I27" s="10" t="s">
        <v>11</v>
      </c>
    </row>
    <row r="28" spans="1:9" ht="15" hidden="1" customHeight="1" x14ac:dyDescent="0.3">
      <c r="A28" s="7" t="s">
        <v>91</v>
      </c>
      <c r="B28" s="47" t="str">
        <f t="shared" si="0"/>
        <v>ENTITY_ENTRPRS_SZ_LE</v>
      </c>
      <c r="C28" s="8" t="s">
        <v>10</v>
      </c>
      <c r="D28" s="9" t="s">
        <v>92</v>
      </c>
      <c r="E28" s="14" t="s">
        <v>93</v>
      </c>
      <c r="F28" s="10" t="s">
        <v>13</v>
      </c>
      <c r="G28" s="10" t="s">
        <v>11</v>
      </c>
      <c r="H28" s="10" t="s">
        <v>11</v>
      </c>
      <c r="I28" s="10" t="s">
        <v>11</v>
      </c>
    </row>
    <row r="29" spans="1:9" ht="15" hidden="1" customHeight="1" x14ac:dyDescent="0.3">
      <c r="A29" s="7" t="s">
        <v>94</v>
      </c>
      <c r="B29" s="47" t="str">
        <f t="shared" si="0"/>
        <v>ENTITY_EXTRNL_RTNG</v>
      </c>
      <c r="C29" s="8" t="s">
        <v>10</v>
      </c>
      <c r="D29" s="9" t="s">
        <v>95</v>
      </c>
      <c r="E29" s="14" t="s">
        <v>96</v>
      </c>
      <c r="F29" s="10" t="s">
        <v>13</v>
      </c>
      <c r="G29" s="10" t="s">
        <v>11</v>
      </c>
      <c r="H29" s="10" t="s">
        <v>11</v>
      </c>
      <c r="I29" s="10" t="s">
        <v>11</v>
      </c>
    </row>
    <row r="30" spans="1:9" ht="15" hidden="1" customHeight="1" x14ac:dyDescent="0.3">
      <c r="A30" s="7" t="s">
        <v>97</v>
      </c>
      <c r="B30" s="47" t="str">
        <f t="shared" si="0"/>
        <v>ENTITY_EXTRNL_RTNG_PRVS</v>
      </c>
      <c r="C30" s="8" t="s">
        <v>10</v>
      </c>
      <c r="D30" s="9" t="s">
        <v>98</v>
      </c>
      <c r="E30" s="14" t="s">
        <v>99</v>
      </c>
      <c r="F30" s="10" t="s">
        <v>13</v>
      </c>
      <c r="G30" s="10" t="s">
        <v>11</v>
      </c>
      <c r="H30" s="10" t="s">
        <v>11</v>
      </c>
      <c r="I30" s="10" t="s">
        <v>11</v>
      </c>
    </row>
    <row r="31" spans="1:9" ht="15" hidden="1" customHeight="1" x14ac:dyDescent="0.3">
      <c r="A31" s="7" t="s">
        <v>100</v>
      </c>
      <c r="B31" s="47" t="str">
        <f t="shared" si="0"/>
        <v>ENTITY_FLG_BNKRPTCY_IN_GRP</v>
      </c>
      <c r="C31" s="8" t="s">
        <v>10</v>
      </c>
      <c r="D31" s="9" t="s">
        <v>101</v>
      </c>
      <c r="E31" s="14" t="s">
        <v>102</v>
      </c>
      <c r="F31" s="10" t="s">
        <v>13</v>
      </c>
      <c r="G31" s="10" t="s">
        <v>11</v>
      </c>
      <c r="H31" s="10" t="s">
        <v>11</v>
      </c>
      <c r="I31" s="10" t="s">
        <v>11</v>
      </c>
    </row>
    <row r="32" spans="1:9" ht="15" hidden="1" customHeight="1" x14ac:dyDescent="0.3">
      <c r="A32" s="7" t="s">
        <v>103</v>
      </c>
      <c r="B32" s="47" t="str">
        <f t="shared" si="0"/>
        <v>ENTITY_FLG_HGH_CDS</v>
      </c>
      <c r="C32" s="8" t="s">
        <v>10</v>
      </c>
      <c r="D32" s="9" t="s">
        <v>104</v>
      </c>
      <c r="E32" s="14" t="s">
        <v>105</v>
      </c>
      <c r="F32" s="10" t="s">
        <v>13</v>
      </c>
      <c r="G32" s="10" t="s">
        <v>11</v>
      </c>
      <c r="H32" s="10" t="s">
        <v>11</v>
      </c>
      <c r="I32" s="10" t="s">
        <v>11</v>
      </c>
    </row>
    <row r="33" spans="1:9" ht="15" hidden="1" customHeight="1" x14ac:dyDescent="0.3">
      <c r="A33" s="7" t="s">
        <v>106</v>
      </c>
      <c r="B33" s="47" t="str">
        <f t="shared" si="0"/>
        <v>ENTITY_FLG_ISDA_CRDT_EVNT</v>
      </c>
      <c r="C33" s="8" t="s">
        <v>10</v>
      </c>
      <c r="D33" s="9" t="s">
        <v>107</v>
      </c>
      <c r="E33" s="14" t="s">
        <v>108</v>
      </c>
      <c r="F33" s="10" t="s">
        <v>13</v>
      </c>
      <c r="G33" s="10" t="s">
        <v>11</v>
      </c>
      <c r="H33" s="10" t="s">
        <v>11</v>
      </c>
      <c r="I33" s="10" t="s">
        <v>11</v>
      </c>
    </row>
    <row r="34" spans="1:9" ht="15" hidden="1" customHeight="1" x14ac:dyDescent="0.3">
      <c r="A34" s="7" t="s">
        <v>109</v>
      </c>
      <c r="B34" s="47" t="str">
        <f t="shared" si="0"/>
        <v>ENTITY_FLG_NN_ACCRL</v>
      </c>
      <c r="C34" s="8" t="s">
        <v>10</v>
      </c>
      <c r="D34" s="9" t="s">
        <v>110</v>
      </c>
      <c r="E34" s="14" t="s">
        <v>111</v>
      </c>
      <c r="F34" s="10" t="s">
        <v>13</v>
      </c>
      <c r="G34" s="10" t="s">
        <v>11</v>
      </c>
      <c r="H34" s="10" t="s">
        <v>11</v>
      </c>
      <c r="I34" s="10" t="s">
        <v>11</v>
      </c>
    </row>
    <row r="35" spans="1:9" ht="15" hidden="1" customHeight="1" x14ac:dyDescent="0.3">
      <c r="A35" s="7" t="s">
        <v>112</v>
      </c>
      <c r="B35" s="47" t="str">
        <f t="shared" si="0"/>
        <v>ENTITY_FLG_RQST_BNKRPTCY</v>
      </c>
      <c r="C35" s="8" t="s">
        <v>10</v>
      </c>
      <c r="D35" s="9" t="s">
        <v>113</v>
      </c>
      <c r="E35" s="14" t="s">
        <v>114</v>
      </c>
      <c r="F35" s="10" t="s">
        <v>13</v>
      </c>
      <c r="G35" s="10" t="s">
        <v>11</v>
      </c>
      <c r="H35" s="10" t="s">
        <v>11</v>
      </c>
      <c r="I35" s="10" t="s">
        <v>11</v>
      </c>
    </row>
    <row r="36" spans="1:9" ht="15" hidden="1" customHeight="1" x14ac:dyDescent="0.3">
      <c r="A36" s="7" t="s">
        <v>115</v>
      </c>
      <c r="B36" s="47" t="str">
        <f t="shared" si="0"/>
        <v>ENTITY_FLG_RQST_DSTRSSD_RSTRCTRNG</v>
      </c>
      <c r="C36" s="8" t="s">
        <v>10</v>
      </c>
      <c r="D36" s="9" t="s">
        <v>116</v>
      </c>
      <c r="E36" s="14" t="s">
        <v>117</v>
      </c>
      <c r="F36" s="10" t="s">
        <v>13</v>
      </c>
      <c r="G36" s="10" t="s">
        <v>11</v>
      </c>
      <c r="H36" s="10" t="s">
        <v>11</v>
      </c>
      <c r="I36" s="10" t="s">
        <v>11</v>
      </c>
    </row>
    <row r="37" spans="1:9" ht="15" hidden="1" customHeight="1" x14ac:dyDescent="0.3">
      <c r="A37" s="7" t="s">
        <v>118</v>
      </c>
      <c r="B37" s="47" t="str">
        <f t="shared" si="0"/>
        <v>ENTITY_FLG_RQST_EMRGNCY_FNDNG</v>
      </c>
      <c r="C37" s="8" t="s">
        <v>10</v>
      </c>
      <c r="D37" s="9" t="s">
        <v>119</v>
      </c>
      <c r="E37" s="14" t="s">
        <v>120</v>
      </c>
      <c r="F37" s="10" t="s">
        <v>13</v>
      </c>
      <c r="G37" s="10" t="s">
        <v>11</v>
      </c>
      <c r="H37" s="10" t="s">
        <v>11</v>
      </c>
      <c r="I37" s="10" t="s">
        <v>11</v>
      </c>
    </row>
    <row r="38" spans="1:9" ht="15" hidden="1" customHeight="1" x14ac:dyDescent="0.3">
      <c r="A38" s="7" t="s">
        <v>121</v>
      </c>
      <c r="B38" s="47" t="str">
        <f t="shared" si="0"/>
        <v>ENTITY_FLG_SLL_WTH_LSS</v>
      </c>
      <c r="C38" s="8" t="s">
        <v>10</v>
      </c>
      <c r="D38" s="9" t="s">
        <v>122</v>
      </c>
      <c r="E38" s="14" t="s">
        <v>123</v>
      </c>
      <c r="F38" s="10" t="s">
        <v>13</v>
      </c>
      <c r="G38" s="10" t="s">
        <v>11</v>
      </c>
      <c r="H38" s="10" t="s">
        <v>11</v>
      </c>
      <c r="I38" s="10" t="s">
        <v>11</v>
      </c>
    </row>
    <row r="39" spans="1:9" ht="15" hidden="1" customHeight="1" x14ac:dyDescent="0.3">
      <c r="A39" s="7" t="s">
        <v>124</v>
      </c>
      <c r="B39" s="47" t="str">
        <f t="shared" si="0"/>
        <v>ENTITY_INCM_SC</v>
      </c>
      <c r="C39" s="8" t="s">
        <v>10</v>
      </c>
      <c r="D39" s="9" t="s">
        <v>125</v>
      </c>
      <c r="E39" s="14" t="s">
        <v>126</v>
      </c>
      <c r="F39" s="10" t="s">
        <v>13</v>
      </c>
      <c r="G39" s="10" t="s">
        <v>11</v>
      </c>
      <c r="H39" s="10" t="s">
        <v>11</v>
      </c>
      <c r="I39" s="10" t="s">
        <v>11</v>
      </c>
    </row>
    <row r="40" spans="1:9" ht="15" hidden="1" customHeight="1" x14ac:dyDescent="0.3">
      <c r="A40" s="7" t="s">
        <v>127</v>
      </c>
      <c r="B40" s="47" t="str">
        <f t="shared" si="0"/>
        <v>ENTITY_INTRNL_RTNG</v>
      </c>
      <c r="C40" s="8" t="s">
        <v>10</v>
      </c>
      <c r="D40" s="9" t="s">
        <v>128</v>
      </c>
      <c r="E40" s="14" t="s">
        <v>129</v>
      </c>
      <c r="F40" s="10" t="s">
        <v>13</v>
      </c>
      <c r="G40" s="10" t="s">
        <v>11</v>
      </c>
      <c r="H40" s="10" t="s">
        <v>11</v>
      </c>
      <c r="I40" s="10" t="s">
        <v>11</v>
      </c>
    </row>
    <row r="41" spans="1:9" ht="15" hidden="1" customHeight="1" x14ac:dyDescent="0.3">
      <c r="A41" s="7" t="s">
        <v>130</v>
      </c>
      <c r="B41" s="47" t="str">
        <f t="shared" si="0"/>
        <v>ENTITY_INTRNL_RTNG_PRVS</v>
      </c>
      <c r="C41" s="8" t="s">
        <v>10</v>
      </c>
      <c r="D41" s="9" t="s">
        <v>131</v>
      </c>
      <c r="E41" s="14" t="s">
        <v>132</v>
      </c>
      <c r="F41" s="10" t="s">
        <v>13</v>
      </c>
      <c r="G41" s="10" t="s">
        <v>11</v>
      </c>
      <c r="H41" s="10" t="s">
        <v>11</v>
      </c>
      <c r="I41" s="10" t="s">
        <v>11</v>
      </c>
    </row>
    <row r="42" spans="1:9" ht="15" hidden="1" customHeight="1" x14ac:dyDescent="0.3">
      <c r="A42" s="7" t="s">
        <v>133</v>
      </c>
      <c r="B42" s="47" t="str">
        <f t="shared" si="0"/>
        <v>ENTITY_LGL_PRCDNG_STTS_LE</v>
      </c>
      <c r="C42" s="8" t="s">
        <v>10</v>
      </c>
      <c r="D42" s="9" t="s">
        <v>134</v>
      </c>
      <c r="E42" s="14" t="s">
        <v>135</v>
      </c>
      <c r="F42" s="10" t="s">
        <v>13</v>
      </c>
      <c r="G42" s="10" t="s">
        <v>11</v>
      </c>
      <c r="H42" s="10" t="s">
        <v>11</v>
      </c>
      <c r="I42" s="10" t="s">
        <v>11</v>
      </c>
    </row>
    <row r="43" spans="1:9" ht="15" hidden="1" customHeight="1" x14ac:dyDescent="0.3">
      <c r="A43" s="7" t="s">
        <v>136</v>
      </c>
      <c r="B43" s="47" t="str">
        <f t="shared" si="0"/>
        <v>ENTITY_OWND_BY_SPNSR</v>
      </c>
      <c r="C43" s="8" t="s">
        <v>10</v>
      </c>
      <c r="D43" s="9" t="s">
        <v>137</v>
      </c>
      <c r="E43" s="14" t="s">
        <v>138</v>
      </c>
      <c r="F43" s="10" t="s">
        <v>13</v>
      </c>
      <c r="G43" s="10" t="s">
        <v>11</v>
      </c>
      <c r="H43" s="10" t="s">
        <v>11</v>
      </c>
      <c r="I43" s="10" t="s">
        <v>11</v>
      </c>
    </row>
    <row r="44" spans="1:9" ht="15" hidden="1" customHeight="1" x14ac:dyDescent="0.3">
      <c r="A44" s="7" t="s">
        <v>139</v>
      </c>
      <c r="B44" s="47" t="str">
        <f t="shared" si="0"/>
        <v>ENTITY_PRFRMNG_STTS_LE</v>
      </c>
      <c r="C44" s="8" t="s">
        <v>10</v>
      </c>
      <c r="D44" s="9" t="s">
        <v>140</v>
      </c>
      <c r="E44" s="14" t="s">
        <v>141</v>
      </c>
      <c r="F44" s="10" t="s">
        <v>13</v>
      </c>
      <c r="G44" s="10" t="s">
        <v>11</v>
      </c>
      <c r="H44" s="10" t="s">
        <v>11</v>
      </c>
      <c r="I44" s="10" t="s">
        <v>11</v>
      </c>
    </row>
    <row r="45" spans="1:9" ht="15" hidden="1" customHeight="1" x14ac:dyDescent="0.3">
      <c r="A45" s="7" t="s">
        <v>142</v>
      </c>
      <c r="B45" s="47" t="str">
        <f t="shared" si="0"/>
        <v>ENTITY_RTNG_MTHD</v>
      </c>
      <c r="C45" s="8" t="s">
        <v>10</v>
      </c>
      <c r="D45" s="9" t="s">
        <v>143</v>
      </c>
      <c r="E45" s="14" t="s">
        <v>144</v>
      </c>
      <c r="F45" s="10" t="s">
        <v>13</v>
      </c>
      <c r="G45" s="10" t="s">
        <v>11</v>
      </c>
      <c r="H45" s="10" t="s">
        <v>11</v>
      </c>
      <c r="I45" s="10" t="s">
        <v>11</v>
      </c>
    </row>
    <row r="46" spans="1:9" ht="15" hidden="1" customHeight="1" x14ac:dyDescent="0.3">
      <c r="A46" s="7" t="s">
        <v>145</v>
      </c>
      <c r="B46" s="47" t="str">
        <f t="shared" si="0"/>
        <v>ENTITY_RTNG_SCL</v>
      </c>
      <c r="C46" s="8" t="s">
        <v>10</v>
      </c>
      <c r="D46" s="9" t="s">
        <v>146</v>
      </c>
      <c r="E46" s="14" t="s">
        <v>147</v>
      </c>
      <c r="F46" s="10" t="s">
        <v>13</v>
      </c>
      <c r="G46" s="10" t="s">
        <v>11</v>
      </c>
      <c r="H46" s="10" t="s">
        <v>11</v>
      </c>
      <c r="I46" s="10" t="s">
        <v>11</v>
      </c>
    </row>
    <row r="47" spans="1:9" ht="15" hidden="1" customHeight="1" x14ac:dyDescent="0.3">
      <c r="A47" s="7" t="s">
        <v>148</v>
      </c>
      <c r="B47" s="47" t="str">
        <f t="shared" si="0"/>
        <v>ENTITY_WTCH_LST</v>
      </c>
      <c r="C47" s="8" t="s">
        <v>10</v>
      </c>
      <c r="D47" s="9" t="s">
        <v>149</v>
      </c>
      <c r="E47" s="14" t="s">
        <v>150</v>
      </c>
      <c r="F47" s="10" t="s">
        <v>13</v>
      </c>
      <c r="G47" s="10" t="s">
        <v>11</v>
      </c>
      <c r="H47" s="10" t="s">
        <v>11</v>
      </c>
      <c r="I47" s="10" t="s">
        <v>11</v>
      </c>
    </row>
    <row r="48" spans="1:9" ht="15" hidden="1" customHeight="1" x14ac:dyDescent="0.3">
      <c r="A48" s="7" t="s">
        <v>151</v>
      </c>
      <c r="B48" s="47" t="str">
        <f t="shared" si="0"/>
        <v>ENTITY_SNGL_PRPS_VHCL</v>
      </c>
      <c r="C48" s="8" t="s">
        <v>10</v>
      </c>
      <c r="D48" s="9" t="s">
        <v>152</v>
      </c>
      <c r="E48" s="14" t="s">
        <v>153</v>
      </c>
      <c r="F48" s="10" t="s">
        <v>13</v>
      </c>
      <c r="G48" s="10" t="s">
        <v>11</v>
      </c>
      <c r="H48" s="10" t="s">
        <v>11</v>
      </c>
      <c r="I48" s="10" t="s">
        <v>11</v>
      </c>
    </row>
    <row r="49" spans="1:9" ht="15" hidden="1" customHeight="1" x14ac:dyDescent="0.3">
      <c r="A49" s="7" t="s">
        <v>154</v>
      </c>
      <c r="B49" s="47" t="str">
        <f t="shared" si="0"/>
        <v>ENTITY_GRP_EBITDA</v>
      </c>
      <c r="C49" s="8" t="s">
        <v>10</v>
      </c>
      <c r="D49" s="9" t="s">
        <v>155</v>
      </c>
      <c r="E49" s="14" t="s">
        <v>156</v>
      </c>
      <c r="F49" s="10" t="s">
        <v>13</v>
      </c>
      <c r="G49" s="10" t="s">
        <v>11</v>
      </c>
      <c r="H49" s="10" t="s">
        <v>11</v>
      </c>
      <c r="I49" s="10" t="s">
        <v>11</v>
      </c>
    </row>
    <row r="50" spans="1:9" ht="15" hidden="1" customHeight="1" x14ac:dyDescent="0.3">
      <c r="A50" s="7" t="s">
        <v>157</v>
      </c>
      <c r="B50" s="47" t="str">
        <f t="shared" si="0"/>
        <v>ENTITY_GRP_EQTY</v>
      </c>
      <c r="C50" s="8" t="s">
        <v>10</v>
      </c>
      <c r="D50" s="9" t="s">
        <v>158</v>
      </c>
      <c r="E50" s="14" t="s">
        <v>159</v>
      </c>
      <c r="F50" s="10" t="s">
        <v>13</v>
      </c>
      <c r="G50" s="10" t="s">
        <v>11</v>
      </c>
      <c r="H50" s="10" t="s">
        <v>13</v>
      </c>
      <c r="I50" s="10" t="s">
        <v>11</v>
      </c>
    </row>
    <row r="51" spans="1:9" ht="15" hidden="1" customHeight="1" x14ac:dyDescent="0.3">
      <c r="A51" s="7" t="s">
        <v>160</v>
      </c>
      <c r="B51" s="47" t="str">
        <f t="shared" si="0"/>
        <v>ENTITY_GRP_NT_DBT</v>
      </c>
      <c r="C51" s="8" t="s">
        <v>10</v>
      </c>
      <c r="D51" s="9" t="s">
        <v>161</v>
      </c>
      <c r="E51" s="14" t="s">
        <v>162</v>
      </c>
      <c r="F51" s="10" t="s">
        <v>13</v>
      </c>
      <c r="G51" s="10" t="s">
        <v>11</v>
      </c>
      <c r="H51" s="10" t="s">
        <v>11</v>
      </c>
      <c r="I51" s="10" t="s">
        <v>11</v>
      </c>
    </row>
    <row r="52" spans="1:9" ht="15" hidden="1" customHeight="1" x14ac:dyDescent="0.3">
      <c r="A52" s="7" t="s">
        <v>163</v>
      </c>
      <c r="B52" s="47" t="str">
        <f t="shared" si="0"/>
        <v>ENTITY_ANNL_TRNVR_LE</v>
      </c>
      <c r="C52" s="8" t="s">
        <v>10</v>
      </c>
      <c r="D52" s="9" t="s">
        <v>164</v>
      </c>
      <c r="E52" s="14" t="s">
        <v>165</v>
      </c>
      <c r="F52" s="10" t="s">
        <v>13</v>
      </c>
      <c r="G52" s="10" t="s">
        <v>11</v>
      </c>
      <c r="H52" s="10" t="s">
        <v>13</v>
      </c>
      <c r="I52" s="10" t="s">
        <v>11</v>
      </c>
    </row>
    <row r="53" spans="1:9" ht="15" hidden="1" customHeight="1" x14ac:dyDescent="0.3">
      <c r="A53" s="7" t="s">
        <v>166</v>
      </c>
      <c r="B53" s="47" t="str">
        <f t="shared" si="0"/>
        <v>ENTITY_ANNL_TRNVR_PRVS</v>
      </c>
      <c r="C53" s="8" t="s">
        <v>10</v>
      </c>
      <c r="D53" s="9" t="s">
        <v>167</v>
      </c>
      <c r="E53" s="14" t="s">
        <v>168</v>
      </c>
      <c r="F53" s="10" t="s">
        <v>13</v>
      </c>
      <c r="G53" s="10" t="s">
        <v>11</v>
      </c>
      <c r="H53" s="10" t="s">
        <v>11</v>
      </c>
      <c r="I53" s="10" t="s">
        <v>11</v>
      </c>
    </row>
    <row r="54" spans="1:9" ht="15" hidden="1" customHeight="1" x14ac:dyDescent="0.3">
      <c r="A54" s="7" t="s">
        <v>169</v>
      </c>
      <c r="B54" s="47" t="str">
        <f t="shared" si="0"/>
        <v>ENTITY_CAPEX</v>
      </c>
      <c r="C54" s="8" t="s">
        <v>10</v>
      </c>
      <c r="D54" s="9" t="s">
        <v>170</v>
      </c>
      <c r="E54" s="14" t="s">
        <v>171</v>
      </c>
      <c r="F54" s="10" t="s">
        <v>13</v>
      </c>
      <c r="G54" s="10" t="s">
        <v>11</v>
      </c>
      <c r="H54" s="10" t="s">
        <v>11</v>
      </c>
      <c r="I54" s="10" t="s">
        <v>11</v>
      </c>
    </row>
    <row r="55" spans="1:9" ht="15" hidden="1" customHeight="1" x14ac:dyDescent="0.3">
      <c r="A55" s="7" t="s">
        <v>172</v>
      </c>
      <c r="B55" s="47" t="str">
        <f t="shared" si="0"/>
        <v>ENTITY_CAPEX_PRVS</v>
      </c>
      <c r="C55" s="8" t="s">
        <v>10</v>
      </c>
      <c r="D55" s="9" t="s">
        <v>173</v>
      </c>
      <c r="E55" s="14" t="s">
        <v>174</v>
      </c>
      <c r="F55" s="10" t="s">
        <v>13</v>
      </c>
      <c r="G55" s="10" t="s">
        <v>11</v>
      </c>
      <c r="H55" s="10" t="s">
        <v>11</v>
      </c>
      <c r="I55" s="10" t="s">
        <v>11</v>
      </c>
    </row>
    <row r="56" spans="1:9" ht="15" hidden="1" customHeight="1" x14ac:dyDescent="0.3">
      <c r="A56" s="7" t="s">
        <v>175</v>
      </c>
      <c r="B56" s="47" t="str">
        <f t="shared" si="0"/>
        <v>ENTITY_CLLCTN_MD</v>
      </c>
      <c r="C56" s="8" t="s">
        <v>10</v>
      </c>
      <c r="D56" s="9" t="s">
        <v>176</v>
      </c>
      <c r="E56" s="14" t="s">
        <v>177</v>
      </c>
      <c r="F56" s="10" t="s">
        <v>13</v>
      </c>
      <c r="G56" s="10" t="s">
        <v>11</v>
      </c>
      <c r="H56" s="10" t="s">
        <v>11</v>
      </c>
      <c r="I56" s="10" t="s">
        <v>11</v>
      </c>
    </row>
    <row r="57" spans="1:9" ht="15" hidden="1" customHeight="1" x14ac:dyDescent="0.3">
      <c r="A57" s="7" t="s">
        <v>178</v>
      </c>
      <c r="B57" s="47" t="str">
        <f t="shared" si="0"/>
        <v>ENTITY_CSH</v>
      </c>
      <c r="C57" s="8" t="s">
        <v>10</v>
      </c>
      <c r="D57" s="9" t="s">
        <v>179</v>
      </c>
      <c r="E57" s="14" t="s">
        <v>180</v>
      </c>
      <c r="F57" s="10" t="s">
        <v>13</v>
      </c>
      <c r="G57" s="10" t="s">
        <v>11</v>
      </c>
      <c r="H57" s="10" t="s">
        <v>11</v>
      </c>
      <c r="I57" s="10" t="s">
        <v>11</v>
      </c>
    </row>
    <row r="58" spans="1:9" ht="15" hidden="1" customHeight="1" x14ac:dyDescent="0.3">
      <c r="A58" s="7" t="s">
        <v>181</v>
      </c>
      <c r="B58" s="47" t="str">
        <f t="shared" si="0"/>
        <v>ENTITY_CSH_PRVS</v>
      </c>
      <c r="C58" s="8" t="s">
        <v>10</v>
      </c>
      <c r="D58" s="9" t="s">
        <v>182</v>
      </c>
      <c r="E58" s="14" t="s">
        <v>183</v>
      </c>
      <c r="F58" s="10" t="s">
        <v>13</v>
      </c>
      <c r="G58" s="10" t="s">
        <v>11</v>
      </c>
      <c r="H58" s="10" t="s">
        <v>11</v>
      </c>
      <c r="I58" s="10" t="s">
        <v>11</v>
      </c>
    </row>
    <row r="59" spans="1:9" ht="15" hidden="1" customHeight="1" x14ac:dyDescent="0.3">
      <c r="A59" s="7" t="s">
        <v>184</v>
      </c>
      <c r="B59" s="47" t="str">
        <f t="shared" si="0"/>
        <v>ENTITY_EBITDA</v>
      </c>
      <c r="C59" s="8" t="s">
        <v>10</v>
      </c>
      <c r="D59" s="9" t="s">
        <v>185</v>
      </c>
      <c r="E59" s="14" t="s">
        <v>186</v>
      </c>
      <c r="F59" s="10" t="s">
        <v>13</v>
      </c>
      <c r="G59" s="10" t="s">
        <v>11</v>
      </c>
      <c r="H59" s="10" t="s">
        <v>11</v>
      </c>
      <c r="I59" s="10" t="s">
        <v>11</v>
      </c>
    </row>
    <row r="60" spans="1:9" ht="15" hidden="1" customHeight="1" x14ac:dyDescent="0.3">
      <c r="A60" s="7" t="s">
        <v>187</v>
      </c>
      <c r="B60" s="47" t="str">
        <f t="shared" si="0"/>
        <v>ENTITY_EBITDA_PRVS</v>
      </c>
      <c r="C60" s="8" t="s">
        <v>10</v>
      </c>
      <c r="D60" s="9" t="s">
        <v>188</v>
      </c>
      <c r="E60" s="14" t="s">
        <v>189</v>
      </c>
      <c r="F60" s="10" t="s">
        <v>13</v>
      </c>
      <c r="G60" s="10" t="s">
        <v>11</v>
      </c>
      <c r="H60" s="10" t="s">
        <v>11</v>
      </c>
      <c r="I60" s="10" t="s">
        <v>11</v>
      </c>
    </row>
    <row r="61" spans="1:9" ht="15" hidden="1" customHeight="1" x14ac:dyDescent="0.3">
      <c r="A61" s="7" t="s">
        <v>190</v>
      </c>
      <c r="B61" s="47" t="str">
        <f t="shared" si="0"/>
        <v>ENTITY_EQTY</v>
      </c>
      <c r="C61" s="8" t="s">
        <v>10</v>
      </c>
      <c r="D61" s="9" t="s">
        <v>191</v>
      </c>
      <c r="E61" s="14" t="s">
        <v>192</v>
      </c>
      <c r="F61" s="10" t="s">
        <v>13</v>
      </c>
      <c r="G61" s="10" t="s">
        <v>11</v>
      </c>
      <c r="H61" s="10" t="s">
        <v>13</v>
      </c>
      <c r="I61" s="10" t="s">
        <v>11</v>
      </c>
    </row>
    <row r="62" spans="1:9" ht="15" hidden="1" customHeight="1" x14ac:dyDescent="0.3">
      <c r="A62" s="7" t="s">
        <v>193</v>
      </c>
      <c r="B62" s="47" t="str">
        <f t="shared" si="0"/>
        <v>ENTITY_EQTY_PRVS</v>
      </c>
      <c r="C62" s="8" t="s">
        <v>10</v>
      </c>
      <c r="D62" s="9" t="s">
        <v>194</v>
      </c>
      <c r="E62" s="14" t="s">
        <v>195</v>
      </c>
      <c r="F62" s="10" t="s">
        <v>13</v>
      </c>
      <c r="G62" s="10" t="s">
        <v>11</v>
      </c>
      <c r="H62" s="10" t="s">
        <v>11</v>
      </c>
      <c r="I62" s="10" t="s">
        <v>11</v>
      </c>
    </row>
    <row r="63" spans="1:9" ht="15" hidden="1" customHeight="1" x14ac:dyDescent="0.3">
      <c r="A63" s="7" t="s">
        <v>196</v>
      </c>
      <c r="B63" s="47" t="str">
        <f t="shared" si="0"/>
        <v>ENTITY_GRP_TTL_DBT</v>
      </c>
      <c r="C63" s="8" t="s">
        <v>10</v>
      </c>
      <c r="D63" s="9" t="s">
        <v>197</v>
      </c>
      <c r="E63" s="14" t="s">
        <v>198</v>
      </c>
      <c r="F63" s="10" t="s">
        <v>13</v>
      </c>
      <c r="G63" s="10" t="s">
        <v>11</v>
      </c>
      <c r="H63" s="10" t="s">
        <v>13</v>
      </c>
      <c r="I63" s="10" t="s">
        <v>11</v>
      </c>
    </row>
    <row r="64" spans="1:9" ht="15" hidden="1" customHeight="1" x14ac:dyDescent="0.3">
      <c r="A64" s="7" t="s">
        <v>199</v>
      </c>
      <c r="B64" s="47" t="str">
        <f t="shared" si="0"/>
        <v>ENTITY_GDWILL</v>
      </c>
      <c r="C64" s="8" t="s">
        <v>10</v>
      </c>
      <c r="D64" s="9" t="s">
        <v>200</v>
      </c>
      <c r="E64" s="14" t="s">
        <v>201</v>
      </c>
      <c r="F64" s="10" t="s">
        <v>13</v>
      </c>
      <c r="G64" s="10" t="s">
        <v>11</v>
      </c>
      <c r="H64" s="10" t="s">
        <v>11</v>
      </c>
      <c r="I64" s="10" t="s">
        <v>11</v>
      </c>
    </row>
    <row r="65" spans="1:9" ht="15" hidden="1" customHeight="1" x14ac:dyDescent="0.3">
      <c r="A65" s="7" t="s">
        <v>202</v>
      </c>
      <c r="B65" s="47" t="str">
        <f t="shared" si="0"/>
        <v>ENTITY_GDWILL_PRVS</v>
      </c>
      <c r="C65" s="8" t="s">
        <v>10</v>
      </c>
      <c r="D65" s="9" t="s">
        <v>203</v>
      </c>
      <c r="E65" s="14" t="s">
        <v>204</v>
      </c>
      <c r="F65" s="10" t="s">
        <v>13</v>
      </c>
      <c r="G65" s="10" t="s">
        <v>11</v>
      </c>
      <c r="H65" s="10" t="s">
        <v>11</v>
      </c>
      <c r="I65" s="10" t="s">
        <v>11</v>
      </c>
    </row>
    <row r="66" spans="1:9" ht="15" hidden="1" customHeight="1" x14ac:dyDescent="0.3">
      <c r="A66" s="7" t="s">
        <v>205</v>
      </c>
      <c r="B66" s="47" t="str">
        <f t="shared" si="0"/>
        <v>ENTITY_LTI</v>
      </c>
      <c r="C66" s="8" t="s">
        <v>10</v>
      </c>
      <c r="D66" s="9" t="s">
        <v>206</v>
      </c>
      <c r="E66" s="14" t="s">
        <v>207</v>
      </c>
      <c r="F66" s="10" t="s">
        <v>13</v>
      </c>
      <c r="G66" s="10" t="s">
        <v>11</v>
      </c>
      <c r="H66" s="10" t="s">
        <v>11</v>
      </c>
      <c r="I66" s="10" t="s">
        <v>11</v>
      </c>
    </row>
    <row r="67" spans="1:9" ht="15" hidden="1" customHeight="1" x14ac:dyDescent="0.3">
      <c r="A67" s="7" t="s">
        <v>208</v>
      </c>
      <c r="B67" s="47" t="str">
        <f t="shared" ref="B67:B130" si="1">C67&amp;"_"&amp;D67</f>
        <v>ENTITY_LVRG</v>
      </c>
      <c r="C67" s="8" t="s">
        <v>10</v>
      </c>
      <c r="D67" s="9" t="s">
        <v>209</v>
      </c>
      <c r="E67" s="14" t="s">
        <v>210</v>
      </c>
      <c r="F67" s="10" t="s">
        <v>13</v>
      </c>
      <c r="G67" s="10" t="s">
        <v>11</v>
      </c>
      <c r="H67" s="10" t="s">
        <v>11</v>
      </c>
      <c r="I67" s="10" t="s">
        <v>11</v>
      </c>
    </row>
    <row r="68" spans="1:9" ht="15" hidden="1" customHeight="1" x14ac:dyDescent="0.3">
      <c r="A68" s="7" t="s">
        <v>211</v>
      </c>
      <c r="B68" s="47" t="str">
        <f t="shared" si="1"/>
        <v>ENTITY_LVRG_PRVS</v>
      </c>
      <c r="C68" s="8" t="s">
        <v>10</v>
      </c>
      <c r="D68" s="9" t="s">
        <v>212</v>
      </c>
      <c r="E68" s="14" t="s">
        <v>213</v>
      </c>
      <c r="F68" s="10" t="s">
        <v>13</v>
      </c>
      <c r="G68" s="10" t="s">
        <v>11</v>
      </c>
      <c r="H68" s="10" t="s">
        <v>11</v>
      </c>
      <c r="I68" s="10" t="s">
        <v>11</v>
      </c>
    </row>
    <row r="69" spans="1:9" ht="15" hidden="1" customHeight="1" x14ac:dyDescent="0.3">
      <c r="A69" s="7" t="s">
        <v>214</v>
      </c>
      <c r="B69" s="47" t="str">
        <f t="shared" si="1"/>
        <v>ENTITY_MNTHL_INCM</v>
      </c>
      <c r="C69" s="8" t="s">
        <v>10</v>
      </c>
      <c r="D69" s="9" t="s">
        <v>215</v>
      </c>
      <c r="E69" s="14" t="s">
        <v>216</v>
      </c>
      <c r="F69" s="10" t="s">
        <v>13</v>
      </c>
      <c r="G69" s="10" t="s">
        <v>11</v>
      </c>
      <c r="H69" s="10" t="s">
        <v>11</v>
      </c>
      <c r="I69" s="10" t="s">
        <v>11</v>
      </c>
    </row>
    <row r="70" spans="1:9" ht="15" hidden="1" customHeight="1" x14ac:dyDescent="0.3">
      <c r="A70" s="7" t="s">
        <v>217</v>
      </c>
      <c r="B70" s="47" t="str">
        <f t="shared" si="1"/>
        <v>ENTITY_MNTHL_INCM_SLR</v>
      </c>
      <c r="C70" s="8" t="s">
        <v>10</v>
      </c>
      <c r="D70" s="9" t="s">
        <v>218</v>
      </c>
      <c r="E70" s="14" t="s">
        <v>219</v>
      </c>
      <c r="F70" s="10" t="s">
        <v>13</v>
      </c>
      <c r="G70" s="10" t="s">
        <v>11</v>
      </c>
      <c r="H70" s="10" t="s">
        <v>11</v>
      </c>
      <c r="I70" s="10" t="s">
        <v>11</v>
      </c>
    </row>
    <row r="71" spans="1:9" ht="15" hidden="1" customHeight="1" x14ac:dyDescent="0.3">
      <c r="A71" s="7" t="s">
        <v>220</v>
      </c>
      <c r="B71" s="47" t="str">
        <f t="shared" si="1"/>
        <v>ENTITY_MNTHL_TRNVR</v>
      </c>
      <c r="C71" s="8" t="s">
        <v>10</v>
      </c>
      <c r="D71" s="9" t="s">
        <v>221</v>
      </c>
      <c r="E71" s="14" t="s">
        <v>222</v>
      </c>
      <c r="F71" s="10" t="s">
        <v>13</v>
      </c>
      <c r="G71" s="10" t="s">
        <v>11</v>
      </c>
      <c r="H71" s="10" t="s">
        <v>11</v>
      </c>
      <c r="I71" s="10" t="s">
        <v>11</v>
      </c>
    </row>
    <row r="72" spans="1:9" ht="15" hidden="1" customHeight="1" x14ac:dyDescent="0.3">
      <c r="A72" s="7" t="s">
        <v>223</v>
      </c>
      <c r="B72" s="47" t="str">
        <f t="shared" si="1"/>
        <v>ENTITY_NT_INCM</v>
      </c>
      <c r="C72" s="8" t="s">
        <v>10</v>
      </c>
      <c r="D72" s="9" t="s">
        <v>224</v>
      </c>
      <c r="E72" s="14" t="s">
        <v>225</v>
      </c>
      <c r="F72" s="10" t="s">
        <v>13</v>
      </c>
      <c r="G72" s="10" t="s">
        <v>11</v>
      </c>
      <c r="H72" s="10" t="s">
        <v>11</v>
      </c>
      <c r="I72" s="10" t="s">
        <v>11</v>
      </c>
    </row>
    <row r="73" spans="1:9" ht="15" hidden="1" customHeight="1" x14ac:dyDescent="0.3">
      <c r="A73" s="7" t="s">
        <v>226</v>
      </c>
      <c r="B73" s="47" t="str">
        <f t="shared" si="1"/>
        <v>ENTITY_NT_INCM_PRVS</v>
      </c>
      <c r="C73" s="8" t="s">
        <v>10</v>
      </c>
      <c r="D73" s="9" t="s">
        <v>227</v>
      </c>
      <c r="E73" s="14" t="s">
        <v>228</v>
      </c>
      <c r="F73" s="10" t="s">
        <v>13</v>
      </c>
      <c r="G73" s="10" t="s">
        <v>11</v>
      </c>
      <c r="H73" s="10" t="s">
        <v>11</v>
      </c>
      <c r="I73" s="10" t="s">
        <v>11</v>
      </c>
    </row>
    <row r="74" spans="1:9" ht="15" hidden="1" customHeight="1" x14ac:dyDescent="0.3">
      <c r="A74" s="7" t="s">
        <v>229</v>
      </c>
      <c r="B74" s="47" t="str">
        <f t="shared" si="1"/>
        <v>ENTITY_TTL_DBT</v>
      </c>
      <c r="C74" s="8" t="s">
        <v>10</v>
      </c>
      <c r="D74" s="9" t="s">
        <v>230</v>
      </c>
      <c r="E74" s="14" t="s">
        <v>231</v>
      </c>
      <c r="F74" s="10" t="s">
        <v>13</v>
      </c>
      <c r="G74" s="10" t="s">
        <v>11</v>
      </c>
      <c r="H74" s="10" t="s">
        <v>13</v>
      </c>
      <c r="I74" s="10" t="s">
        <v>11</v>
      </c>
    </row>
    <row r="75" spans="1:9" ht="15" hidden="1" customHeight="1" x14ac:dyDescent="0.3">
      <c r="A75" s="7" t="s">
        <v>232</v>
      </c>
      <c r="B75" s="47" t="str">
        <f t="shared" si="1"/>
        <v>ENTITY_TTL_DBT_PRVS</v>
      </c>
      <c r="C75" s="8" t="s">
        <v>10</v>
      </c>
      <c r="D75" s="9" t="s">
        <v>233</v>
      </c>
      <c r="E75" s="14" t="s">
        <v>234</v>
      </c>
      <c r="F75" s="10" t="s">
        <v>13</v>
      </c>
      <c r="G75" s="10" t="s">
        <v>11</v>
      </c>
      <c r="H75" s="10" t="s">
        <v>11</v>
      </c>
      <c r="I75" s="10" t="s">
        <v>11</v>
      </c>
    </row>
    <row r="76" spans="1:9" ht="15" hidden="1" customHeight="1" x14ac:dyDescent="0.3">
      <c r="A76" s="7" t="s">
        <v>235</v>
      </c>
      <c r="B76" s="47" t="str">
        <f t="shared" si="1"/>
        <v>ENTITY_TTL_INTRST_PD</v>
      </c>
      <c r="C76" s="8" t="s">
        <v>10</v>
      </c>
      <c r="D76" s="9" t="s">
        <v>236</v>
      </c>
      <c r="E76" s="14" t="s">
        <v>237</v>
      </c>
      <c r="F76" s="10" t="s">
        <v>13</v>
      </c>
      <c r="G76" s="10" t="s">
        <v>11</v>
      </c>
      <c r="H76" s="10" t="s">
        <v>11</v>
      </c>
      <c r="I76" s="10" t="s">
        <v>11</v>
      </c>
    </row>
    <row r="77" spans="1:9" ht="15" hidden="1" customHeight="1" x14ac:dyDescent="0.3">
      <c r="A77" s="7" t="s">
        <v>238</v>
      </c>
      <c r="B77" s="47" t="str">
        <f t="shared" si="1"/>
        <v>ENTITY_TTL_LVRG_RT</v>
      </c>
      <c r="C77" s="8" t="s">
        <v>10</v>
      </c>
      <c r="D77" s="9" t="s">
        <v>239</v>
      </c>
      <c r="E77" s="14" t="s">
        <v>240</v>
      </c>
      <c r="F77" s="10" t="s">
        <v>13</v>
      </c>
      <c r="G77" s="10" t="s">
        <v>11</v>
      </c>
      <c r="H77" s="10" t="s">
        <v>11</v>
      </c>
      <c r="I77" s="10" t="s">
        <v>11</v>
      </c>
    </row>
    <row r="78" spans="1:9" ht="15" hidden="1" customHeight="1" x14ac:dyDescent="0.3">
      <c r="A78" s="7" t="s">
        <v>241</v>
      </c>
      <c r="B78" s="47" t="str">
        <f t="shared" si="1"/>
        <v>ENTITY_TTL_LVRG_RT_PRVS</v>
      </c>
      <c r="C78" s="8" t="s">
        <v>10</v>
      </c>
      <c r="D78" s="9" t="s">
        <v>242</v>
      </c>
      <c r="E78" s="14" t="s">
        <v>243</v>
      </c>
      <c r="F78" s="10" t="s">
        <v>13</v>
      </c>
      <c r="G78" s="10" t="s">
        <v>11</v>
      </c>
      <c r="H78" s="10" t="s">
        <v>11</v>
      </c>
      <c r="I78" s="10" t="s">
        <v>11</v>
      </c>
    </row>
    <row r="79" spans="1:9" ht="15" hidden="1" customHeight="1" x14ac:dyDescent="0.3">
      <c r="A79" s="7" t="s">
        <v>244</v>
      </c>
      <c r="B79" s="47" t="str">
        <f t="shared" si="1"/>
        <v>ENTITY_DBT_RPYMNT_CPCTY_SNR_DBT</v>
      </c>
      <c r="C79" s="8" t="s">
        <v>10</v>
      </c>
      <c r="D79" s="9" t="s">
        <v>245</v>
      </c>
      <c r="E79" s="14" t="s">
        <v>246</v>
      </c>
      <c r="F79" s="10" t="s">
        <v>13</v>
      </c>
      <c r="G79" s="10" t="s">
        <v>11</v>
      </c>
      <c r="H79" s="10" t="s">
        <v>11</v>
      </c>
      <c r="I79" s="10" t="s">
        <v>11</v>
      </c>
    </row>
    <row r="80" spans="1:9" ht="15" hidden="1" customHeight="1" x14ac:dyDescent="0.3">
      <c r="A80" s="7" t="s">
        <v>247</v>
      </c>
      <c r="B80" s="47" t="str">
        <f t="shared" si="1"/>
        <v>ENTITY_DBT_RPYMNT_CPCTY_TTL</v>
      </c>
      <c r="C80" s="8" t="s">
        <v>10</v>
      </c>
      <c r="D80" s="9" t="s">
        <v>248</v>
      </c>
      <c r="E80" s="14" t="s">
        <v>249</v>
      </c>
      <c r="F80" s="10" t="s">
        <v>13</v>
      </c>
      <c r="G80" s="10" t="s">
        <v>11</v>
      </c>
      <c r="H80" s="10" t="s">
        <v>11</v>
      </c>
      <c r="I80" s="10" t="s">
        <v>11</v>
      </c>
    </row>
    <row r="81" spans="1:9" ht="15" hidden="1" customHeight="1" x14ac:dyDescent="0.3">
      <c r="A81" s="7" t="s">
        <v>250</v>
      </c>
      <c r="B81" s="47" t="str">
        <f t="shared" si="1"/>
        <v>ENTITY_DBT_SRVC_RT</v>
      </c>
      <c r="C81" s="8" t="s">
        <v>10</v>
      </c>
      <c r="D81" s="9" t="s">
        <v>251</v>
      </c>
      <c r="E81" s="14" t="s">
        <v>252</v>
      </c>
      <c r="F81" s="10" t="s">
        <v>13</v>
      </c>
      <c r="G81" s="10" t="s">
        <v>11</v>
      </c>
      <c r="H81" s="10" t="s">
        <v>11</v>
      </c>
      <c r="I81" s="10" t="s">
        <v>11</v>
      </c>
    </row>
    <row r="82" spans="1:9" ht="15" hidden="1" customHeight="1" x14ac:dyDescent="0.3">
      <c r="A82" s="7" t="s">
        <v>253</v>
      </c>
      <c r="B82" s="47" t="str">
        <f t="shared" si="1"/>
        <v>ENTITY_DBT_SRVC_RT_12M</v>
      </c>
      <c r="C82" s="8" t="s">
        <v>10</v>
      </c>
      <c r="D82" s="9" t="s">
        <v>254</v>
      </c>
      <c r="E82" s="14" t="s">
        <v>255</v>
      </c>
      <c r="F82" s="10" t="s">
        <v>13</v>
      </c>
      <c r="G82" s="10" t="s">
        <v>11</v>
      </c>
      <c r="H82" s="10" t="s">
        <v>11</v>
      </c>
      <c r="I82" s="10" t="s">
        <v>11</v>
      </c>
    </row>
    <row r="83" spans="1:9" ht="15" hidden="1" customHeight="1" x14ac:dyDescent="0.3">
      <c r="A83" s="7" t="s">
        <v>256</v>
      </c>
      <c r="B83" s="47" t="str">
        <f t="shared" si="1"/>
        <v>ENTITY_PD_CRR_RD</v>
      </c>
      <c r="C83" s="8" t="s">
        <v>10</v>
      </c>
      <c r="D83" s="9" t="s">
        <v>257</v>
      </c>
      <c r="E83" s="14" t="s">
        <v>258</v>
      </c>
      <c r="F83" s="10" t="s">
        <v>13</v>
      </c>
      <c r="G83" s="10" t="s">
        <v>11</v>
      </c>
      <c r="H83" s="10" t="s">
        <v>11</v>
      </c>
      <c r="I83" s="10" t="s">
        <v>11</v>
      </c>
    </row>
    <row r="84" spans="1:9" ht="15" hidden="1" customHeight="1" x14ac:dyDescent="0.3">
      <c r="A84" s="7" t="s">
        <v>259</v>
      </c>
      <c r="B84" s="47" t="str">
        <f t="shared" si="1"/>
        <v>ENTITY_PD_IFRS9_12M_RD</v>
      </c>
      <c r="C84" s="8" t="s">
        <v>10</v>
      </c>
      <c r="D84" s="9" t="s">
        <v>260</v>
      </c>
      <c r="E84" s="14" t="s">
        <v>261</v>
      </c>
      <c r="F84" s="10" t="s">
        <v>13</v>
      </c>
      <c r="G84" s="10" t="s">
        <v>11</v>
      </c>
      <c r="H84" s="10" t="s">
        <v>11</v>
      </c>
      <c r="I84" s="10" t="s">
        <v>11</v>
      </c>
    </row>
    <row r="85" spans="1:9" ht="15" hidden="1" customHeight="1" x14ac:dyDescent="0.3">
      <c r="A85" s="7" t="s">
        <v>262</v>
      </c>
      <c r="B85" s="47" t="str">
        <f t="shared" si="1"/>
        <v>ENTITY_PD_IFRS9_12M_RD_T1</v>
      </c>
      <c r="C85" s="8" t="s">
        <v>10</v>
      </c>
      <c r="D85" s="9" t="s">
        <v>263</v>
      </c>
      <c r="E85" s="14" t="s">
        <v>264</v>
      </c>
      <c r="F85" s="10" t="s">
        <v>13</v>
      </c>
      <c r="G85" s="10" t="s">
        <v>11</v>
      </c>
      <c r="H85" s="10" t="s">
        <v>11</v>
      </c>
      <c r="I85" s="10" t="s">
        <v>11</v>
      </c>
    </row>
    <row r="86" spans="1:9" ht="15" hidden="1" customHeight="1" x14ac:dyDescent="0.3">
      <c r="A86" s="7" t="s">
        <v>265</v>
      </c>
      <c r="B86" s="47" t="str">
        <f t="shared" si="1"/>
        <v>ENTITY_TAX_ID</v>
      </c>
      <c r="C86" s="8" t="s">
        <v>10</v>
      </c>
      <c r="D86" s="9" t="s">
        <v>266</v>
      </c>
      <c r="E86" s="14" t="s">
        <v>267</v>
      </c>
      <c r="F86" s="10" t="s">
        <v>13</v>
      </c>
      <c r="G86" s="10" t="s">
        <v>11</v>
      </c>
      <c r="H86" s="10" t="s">
        <v>11</v>
      </c>
      <c r="I86" s="10" t="s">
        <v>11</v>
      </c>
    </row>
    <row r="87" spans="1:9" ht="15" hidden="1" customHeight="1" x14ac:dyDescent="0.3">
      <c r="A87" s="7" t="s">
        <v>268</v>
      </c>
      <c r="B87" s="47" t="str">
        <f t="shared" si="1"/>
        <v>ENTITY_ANNL_TRNVR_LE_BDR</v>
      </c>
      <c r="C87" s="8" t="s">
        <v>10</v>
      </c>
      <c r="D87" s="9" t="s">
        <v>269</v>
      </c>
      <c r="E87" s="14" t="s">
        <v>270</v>
      </c>
      <c r="F87" s="10" t="s">
        <v>13</v>
      </c>
      <c r="G87" s="10" t="s">
        <v>11</v>
      </c>
      <c r="H87" s="10" t="s">
        <v>11</v>
      </c>
      <c r="I87" s="10" t="s">
        <v>11</v>
      </c>
    </row>
    <row r="88" spans="1:9" ht="15" hidden="1" customHeight="1" x14ac:dyDescent="0.3">
      <c r="A88" s="7" t="s">
        <v>271</v>
      </c>
      <c r="B88" s="47" t="str">
        <f t="shared" si="1"/>
        <v>ENTITY_ANNL_TRNVR_PRVS_BDR</v>
      </c>
      <c r="C88" s="8" t="s">
        <v>10</v>
      </c>
      <c r="D88" s="9" t="s">
        <v>272</v>
      </c>
      <c r="E88" s="14" t="s">
        <v>273</v>
      </c>
      <c r="F88" s="10" t="s">
        <v>13</v>
      </c>
      <c r="G88" s="10" t="s">
        <v>11</v>
      </c>
      <c r="H88" s="10" t="s">
        <v>11</v>
      </c>
      <c r="I88" s="10" t="s">
        <v>11</v>
      </c>
    </row>
    <row r="89" spans="1:9" ht="15" hidden="1" customHeight="1" x14ac:dyDescent="0.3">
      <c r="A89" s="7" t="s">
        <v>274</v>
      </c>
      <c r="B89" s="47" t="str">
        <f t="shared" si="1"/>
        <v>ENTITY_OSI_ID</v>
      </c>
      <c r="C89" s="8" t="s">
        <v>10</v>
      </c>
      <c r="D89" s="9" t="s">
        <v>275</v>
      </c>
      <c r="E89" s="14" t="s">
        <v>276</v>
      </c>
      <c r="F89" s="10" t="s">
        <v>13</v>
      </c>
      <c r="G89" s="10" t="s">
        <v>11</v>
      </c>
      <c r="H89" s="10" t="s">
        <v>11</v>
      </c>
      <c r="I89" s="10" t="s">
        <v>11</v>
      </c>
    </row>
    <row r="90" spans="1:9" ht="15" hidden="1" customHeight="1" x14ac:dyDescent="0.3">
      <c r="A90" s="7" t="s">
        <v>277</v>
      </c>
      <c r="B90" s="47" t="str">
        <f t="shared" si="1"/>
        <v>ENTITY_PD_CRR_RD_T1</v>
      </c>
      <c r="C90" s="8" t="s">
        <v>10</v>
      </c>
      <c r="D90" s="9" t="s">
        <v>278</v>
      </c>
      <c r="E90" s="14" t="s">
        <v>279</v>
      </c>
      <c r="F90" s="10" t="s">
        <v>13</v>
      </c>
      <c r="G90" s="10" t="s">
        <v>11</v>
      </c>
      <c r="H90" s="10" t="s">
        <v>11</v>
      </c>
      <c r="I90" s="10" t="s">
        <v>11</v>
      </c>
    </row>
    <row r="91" spans="1:9" ht="15" hidden="1" customHeight="1" x14ac:dyDescent="0.3">
      <c r="A91" s="7" t="s">
        <v>280</v>
      </c>
      <c r="B91" s="47" t="str">
        <f t="shared" si="1"/>
        <v>ENTITY_EC_GRP_ID</v>
      </c>
      <c r="C91" s="8" t="s">
        <v>10</v>
      </c>
      <c r="D91" s="9" t="s">
        <v>281</v>
      </c>
      <c r="E91" s="14" t="s">
        <v>282</v>
      </c>
      <c r="F91" s="10" t="s">
        <v>13</v>
      </c>
      <c r="G91" s="10" t="s">
        <v>11</v>
      </c>
      <c r="H91" s="10" t="s">
        <v>11</v>
      </c>
      <c r="I91" s="10" t="s">
        <v>11</v>
      </c>
    </row>
    <row r="92" spans="1:9" ht="15" hidden="1" customHeight="1" x14ac:dyDescent="0.3">
      <c r="A92" s="7" t="s">
        <v>283</v>
      </c>
      <c r="B92" s="47" t="str">
        <f t="shared" si="1"/>
        <v>ENTITY_EC_GRP_NM</v>
      </c>
      <c r="C92" s="8" t="s">
        <v>10</v>
      </c>
      <c r="D92" s="9" t="s">
        <v>284</v>
      </c>
      <c r="E92" s="14" t="s">
        <v>285</v>
      </c>
      <c r="F92" s="10" t="s">
        <v>13</v>
      </c>
      <c r="G92" s="10" t="s">
        <v>11</v>
      </c>
      <c r="H92" s="10" t="s">
        <v>11</v>
      </c>
      <c r="I92" s="10" t="s">
        <v>11</v>
      </c>
    </row>
    <row r="93" spans="1:9" ht="15" hidden="1" customHeight="1" x14ac:dyDescent="0.3">
      <c r="A93" s="7" t="s">
        <v>286</v>
      </c>
      <c r="B93" s="47" t="str">
        <f t="shared" si="1"/>
        <v>ENTITY_PST_CD</v>
      </c>
      <c r="C93" s="8" t="s">
        <v>10</v>
      </c>
      <c r="D93" s="9" t="s">
        <v>287</v>
      </c>
      <c r="E93" s="14" t="s">
        <v>288</v>
      </c>
      <c r="F93" s="10" t="s">
        <v>11</v>
      </c>
      <c r="G93" s="10" t="s">
        <v>11</v>
      </c>
      <c r="H93" s="10" t="s">
        <v>13</v>
      </c>
      <c r="I93" s="10" t="s">
        <v>13</v>
      </c>
    </row>
    <row r="94" spans="1:9" ht="15" hidden="1" customHeight="1" x14ac:dyDescent="0.3">
      <c r="A94" s="7" t="s">
        <v>289</v>
      </c>
      <c r="B94" s="47" t="str">
        <f t="shared" si="1"/>
        <v>ENTITY_ESG_SBSCTR</v>
      </c>
      <c r="C94" s="8" t="s">
        <v>10</v>
      </c>
      <c r="D94" s="9" t="s">
        <v>290</v>
      </c>
      <c r="E94" s="14" t="s">
        <v>291</v>
      </c>
      <c r="F94" s="10" t="s">
        <v>11</v>
      </c>
      <c r="G94" s="10" t="s">
        <v>11</v>
      </c>
      <c r="H94" s="10" t="s">
        <v>13</v>
      </c>
      <c r="I94" s="10" t="s">
        <v>11</v>
      </c>
    </row>
    <row r="95" spans="1:9" ht="14" hidden="1" x14ac:dyDescent="0.3">
      <c r="A95" s="7" t="s">
        <v>292</v>
      </c>
      <c r="B95" s="47" t="str">
        <f t="shared" si="1"/>
        <v>ENTITY_NACE_ESG</v>
      </c>
      <c r="C95" s="8" t="s">
        <v>10</v>
      </c>
      <c r="D95" s="9" t="s">
        <v>293</v>
      </c>
      <c r="E95" s="14" t="s">
        <v>294</v>
      </c>
      <c r="F95" s="10" t="s">
        <v>11</v>
      </c>
      <c r="G95" s="10" t="s">
        <v>11</v>
      </c>
      <c r="H95" s="10" t="s">
        <v>13</v>
      </c>
      <c r="I95" s="10" t="s">
        <v>13</v>
      </c>
    </row>
    <row r="96" spans="1:9" ht="15" hidden="1" customHeight="1" x14ac:dyDescent="0.3">
      <c r="A96" s="7" t="s">
        <v>295</v>
      </c>
      <c r="B96" s="47" t="str">
        <f t="shared" si="1"/>
        <v>ENTITY_TTL_LBLTY</v>
      </c>
      <c r="C96" s="8" t="s">
        <v>10</v>
      </c>
      <c r="D96" s="9" t="s">
        <v>296</v>
      </c>
      <c r="E96" s="14" t="s">
        <v>297</v>
      </c>
      <c r="F96" s="10" t="s">
        <v>11</v>
      </c>
      <c r="G96" s="10" t="s">
        <v>11</v>
      </c>
      <c r="H96" s="10" t="s">
        <v>13</v>
      </c>
      <c r="I96" s="10" t="s">
        <v>11</v>
      </c>
    </row>
    <row r="97" spans="1:9" ht="15" hidden="1" customHeight="1" x14ac:dyDescent="0.3">
      <c r="A97" s="7" t="s">
        <v>298</v>
      </c>
      <c r="B97" s="47" t="str">
        <f t="shared" si="1"/>
        <v>ENTITY_TXNMY_ELGBL_CAPEX_CCM</v>
      </c>
      <c r="C97" s="8" t="s">
        <v>10</v>
      </c>
      <c r="D97" s="9" t="s">
        <v>299</v>
      </c>
      <c r="E97" s="14" t="s">
        <v>300</v>
      </c>
      <c r="F97" s="10" t="s">
        <v>11</v>
      </c>
      <c r="G97" s="10" t="s">
        <v>11</v>
      </c>
      <c r="H97" s="10" t="s">
        <v>13</v>
      </c>
      <c r="I97" s="10" t="s">
        <v>11</v>
      </c>
    </row>
    <row r="98" spans="1:9" ht="15" hidden="1" customHeight="1" x14ac:dyDescent="0.3">
      <c r="A98" s="7" t="s">
        <v>301</v>
      </c>
      <c r="B98" s="47" t="str">
        <f t="shared" si="1"/>
        <v>ENTITY_TXNMY_ELGBL_TRNVR_CCM</v>
      </c>
      <c r="C98" s="8" t="s">
        <v>10</v>
      </c>
      <c r="D98" s="9" t="s">
        <v>302</v>
      </c>
      <c r="E98" s="14" t="s">
        <v>303</v>
      </c>
      <c r="F98" s="10" t="s">
        <v>11</v>
      </c>
      <c r="G98" s="10" t="s">
        <v>11</v>
      </c>
      <c r="H98" s="10" t="s">
        <v>13</v>
      </c>
      <c r="I98" s="10" t="s">
        <v>11</v>
      </c>
    </row>
    <row r="99" spans="1:9" ht="15" hidden="1" customHeight="1" x14ac:dyDescent="0.3">
      <c r="A99" s="7" t="s">
        <v>304</v>
      </c>
      <c r="B99" s="47" t="str">
        <f t="shared" si="1"/>
        <v>ENTITY_TXNMY_ELGBL_CAPEX_CCA</v>
      </c>
      <c r="C99" s="8" t="s">
        <v>10</v>
      </c>
      <c r="D99" s="9" t="s">
        <v>305</v>
      </c>
      <c r="E99" s="14" t="s">
        <v>306</v>
      </c>
      <c r="F99" s="10" t="s">
        <v>11</v>
      </c>
      <c r="G99" s="10" t="s">
        <v>11</v>
      </c>
      <c r="H99" s="10" t="s">
        <v>13</v>
      </c>
      <c r="I99" s="10" t="s">
        <v>11</v>
      </c>
    </row>
    <row r="100" spans="1:9" ht="15" hidden="1" customHeight="1" x14ac:dyDescent="0.3">
      <c r="A100" s="7" t="s">
        <v>307</v>
      </c>
      <c r="B100" s="47" t="str">
        <f t="shared" si="1"/>
        <v>ENTITY_TXNMY_ELGBL_TRNVR_CCA</v>
      </c>
      <c r="C100" s="8" t="s">
        <v>10</v>
      </c>
      <c r="D100" s="9" t="s">
        <v>308</v>
      </c>
      <c r="E100" s="14" t="s">
        <v>309</v>
      </c>
      <c r="F100" s="10" t="s">
        <v>11</v>
      </c>
      <c r="G100" s="10" t="s">
        <v>11</v>
      </c>
      <c r="H100" s="10" t="s">
        <v>13</v>
      </c>
      <c r="I100" s="10" t="s">
        <v>11</v>
      </c>
    </row>
    <row r="101" spans="1:9" ht="15" hidden="1" customHeight="1" x14ac:dyDescent="0.3">
      <c r="A101" s="7" t="s">
        <v>310</v>
      </c>
      <c r="B101" s="47" t="str">
        <f t="shared" si="1"/>
        <v>ENTITY_ENBLNG_CAPEX_CCM</v>
      </c>
      <c r="C101" s="8" t="s">
        <v>10</v>
      </c>
      <c r="D101" s="9" t="s">
        <v>311</v>
      </c>
      <c r="E101" s="14" t="s">
        <v>312</v>
      </c>
      <c r="F101" s="10" t="s">
        <v>11</v>
      </c>
      <c r="G101" s="10" t="s">
        <v>11</v>
      </c>
      <c r="H101" s="10" t="s">
        <v>13</v>
      </c>
      <c r="I101" s="10" t="s">
        <v>11</v>
      </c>
    </row>
    <row r="102" spans="1:9" ht="15" hidden="1" customHeight="1" x14ac:dyDescent="0.3">
      <c r="A102" s="7" t="s">
        <v>313</v>
      </c>
      <c r="B102" s="47" t="str">
        <f t="shared" si="1"/>
        <v>ENTITY_ENBLNG_CAPEX_CCA</v>
      </c>
      <c r="C102" s="8" t="s">
        <v>10</v>
      </c>
      <c r="D102" s="9" t="s">
        <v>314</v>
      </c>
      <c r="E102" s="14" t="s">
        <v>315</v>
      </c>
      <c r="F102" s="10" t="s">
        <v>11</v>
      </c>
      <c r="G102" s="10" t="s">
        <v>11</v>
      </c>
      <c r="H102" s="10" t="s">
        <v>13</v>
      </c>
      <c r="I102" s="10" t="s">
        <v>11</v>
      </c>
    </row>
    <row r="103" spans="1:9" ht="15" hidden="1" customHeight="1" x14ac:dyDescent="0.3">
      <c r="A103" s="7" t="s">
        <v>316</v>
      </c>
      <c r="B103" s="47" t="str">
        <f t="shared" si="1"/>
        <v>ENTITY_TRNSTNL_CAPEX</v>
      </c>
      <c r="C103" s="8" t="s">
        <v>10</v>
      </c>
      <c r="D103" s="9" t="s">
        <v>317</v>
      </c>
      <c r="E103" s="14" t="s">
        <v>318</v>
      </c>
      <c r="F103" s="10" t="s">
        <v>11</v>
      </c>
      <c r="G103" s="10" t="s">
        <v>11</v>
      </c>
      <c r="H103" s="10" t="s">
        <v>13</v>
      </c>
      <c r="I103" s="10" t="s">
        <v>11</v>
      </c>
    </row>
    <row r="104" spans="1:9" ht="15" hidden="1" customHeight="1" x14ac:dyDescent="0.3">
      <c r="A104" s="7" t="s">
        <v>319</v>
      </c>
      <c r="B104" s="47" t="str">
        <f t="shared" si="1"/>
        <v>ENTITY_PURE_CAPEX_CCM</v>
      </c>
      <c r="C104" s="8" t="s">
        <v>10</v>
      </c>
      <c r="D104" s="9" t="s">
        <v>320</v>
      </c>
      <c r="E104" s="14" t="s">
        <v>321</v>
      </c>
      <c r="F104" s="10" t="s">
        <v>11</v>
      </c>
      <c r="G104" s="10" t="s">
        <v>11</v>
      </c>
      <c r="H104" s="10" t="s">
        <v>13</v>
      </c>
      <c r="I104" s="10" t="s">
        <v>11</v>
      </c>
    </row>
    <row r="105" spans="1:9" ht="15" hidden="1" customHeight="1" x14ac:dyDescent="0.3">
      <c r="A105" s="7" t="s">
        <v>322</v>
      </c>
      <c r="B105" s="47" t="str">
        <f t="shared" si="1"/>
        <v>ENTITY_PURE_CAPEX_CCA</v>
      </c>
      <c r="C105" s="8" t="s">
        <v>10</v>
      </c>
      <c r="D105" s="9" t="s">
        <v>323</v>
      </c>
      <c r="E105" s="14" t="s">
        <v>324</v>
      </c>
      <c r="F105" s="10" t="s">
        <v>11</v>
      </c>
      <c r="G105" s="10" t="s">
        <v>11</v>
      </c>
      <c r="H105" s="10" t="s">
        <v>13</v>
      </c>
      <c r="I105" s="10" t="s">
        <v>11</v>
      </c>
    </row>
    <row r="106" spans="1:9" ht="15" hidden="1" customHeight="1" x14ac:dyDescent="0.3">
      <c r="A106" s="7" t="s">
        <v>325</v>
      </c>
      <c r="B106" s="47" t="str">
        <f t="shared" si="1"/>
        <v>ENTITY_ENBLNG_TRNVR_CCM</v>
      </c>
      <c r="C106" s="8" t="s">
        <v>10</v>
      </c>
      <c r="D106" s="9" t="s">
        <v>326</v>
      </c>
      <c r="E106" s="14" t="s">
        <v>327</v>
      </c>
      <c r="F106" s="10" t="s">
        <v>11</v>
      </c>
      <c r="G106" s="10" t="s">
        <v>11</v>
      </c>
      <c r="H106" s="10" t="s">
        <v>13</v>
      </c>
      <c r="I106" s="10" t="s">
        <v>11</v>
      </c>
    </row>
    <row r="107" spans="1:9" ht="15" hidden="1" customHeight="1" x14ac:dyDescent="0.3">
      <c r="A107" s="7" t="s">
        <v>328</v>
      </c>
      <c r="B107" s="47" t="str">
        <f t="shared" si="1"/>
        <v>ENTITY_ENBLNG_TRNVR_CCA</v>
      </c>
      <c r="C107" s="8" t="s">
        <v>10</v>
      </c>
      <c r="D107" s="9" t="s">
        <v>329</v>
      </c>
      <c r="E107" s="14" t="s">
        <v>330</v>
      </c>
      <c r="F107" s="10" t="s">
        <v>11</v>
      </c>
      <c r="G107" s="10" t="s">
        <v>11</v>
      </c>
      <c r="H107" s="10" t="s">
        <v>13</v>
      </c>
      <c r="I107" s="10" t="s">
        <v>11</v>
      </c>
    </row>
    <row r="108" spans="1:9" ht="15" hidden="1" customHeight="1" x14ac:dyDescent="0.3">
      <c r="A108" s="7" t="s">
        <v>331</v>
      </c>
      <c r="B108" s="47" t="str">
        <f t="shared" si="1"/>
        <v>ENTITY_TRNSTNL_TRNVR</v>
      </c>
      <c r="C108" s="8" t="s">
        <v>10</v>
      </c>
      <c r="D108" s="9" t="s">
        <v>332</v>
      </c>
      <c r="E108" s="14" t="s">
        <v>333</v>
      </c>
      <c r="F108" s="10" t="s">
        <v>11</v>
      </c>
      <c r="G108" s="10" t="s">
        <v>11</v>
      </c>
      <c r="H108" s="10" t="s">
        <v>13</v>
      </c>
      <c r="I108" s="10" t="s">
        <v>11</v>
      </c>
    </row>
    <row r="109" spans="1:9" ht="15" hidden="1" customHeight="1" x14ac:dyDescent="0.3">
      <c r="A109" s="7" t="s">
        <v>334</v>
      </c>
      <c r="B109" s="47" t="str">
        <f t="shared" si="1"/>
        <v>ENTITY_PURE_TRNVR_CCM</v>
      </c>
      <c r="C109" s="8" t="s">
        <v>10</v>
      </c>
      <c r="D109" s="9" t="s">
        <v>335</v>
      </c>
      <c r="E109" s="14" t="s">
        <v>336</v>
      </c>
      <c r="F109" s="10" t="s">
        <v>11</v>
      </c>
      <c r="G109" s="10" t="s">
        <v>11</v>
      </c>
      <c r="H109" s="10" t="s">
        <v>13</v>
      </c>
      <c r="I109" s="10" t="s">
        <v>11</v>
      </c>
    </row>
    <row r="110" spans="1:9" ht="15" hidden="1" customHeight="1" x14ac:dyDescent="0.3">
      <c r="A110" s="7" t="s">
        <v>337</v>
      </c>
      <c r="B110" s="47" t="str">
        <f t="shared" si="1"/>
        <v>ENTITY_PURE_TRNVR_CCA</v>
      </c>
      <c r="C110" s="8" t="s">
        <v>10</v>
      </c>
      <c r="D110" s="9" t="s">
        <v>338</v>
      </c>
      <c r="E110" s="14" t="s">
        <v>339</v>
      </c>
      <c r="F110" s="10" t="s">
        <v>11</v>
      </c>
      <c r="G110" s="10" t="s">
        <v>11</v>
      </c>
      <c r="H110" s="10" t="s">
        <v>13</v>
      </c>
      <c r="I110" s="10" t="s">
        <v>11</v>
      </c>
    </row>
    <row r="111" spans="1:9" ht="15" hidden="1" customHeight="1" x14ac:dyDescent="0.3">
      <c r="A111" s="7" t="s">
        <v>340</v>
      </c>
      <c r="B111" s="47" t="str">
        <f t="shared" si="1"/>
        <v>ENTITY_FLG_NFRD_APPLCBLTY</v>
      </c>
      <c r="C111" s="8" t="s">
        <v>10</v>
      </c>
      <c r="D111" s="9" t="s">
        <v>341</v>
      </c>
      <c r="E111" s="14" t="s">
        <v>342</v>
      </c>
      <c r="F111" s="10" t="s">
        <v>11</v>
      </c>
      <c r="G111" s="10" t="s">
        <v>11</v>
      </c>
      <c r="H111" s="10" t="s">
        <v>13</v>
      </c>
      <c r="I111" s="10" t="s">
        <v>13</v>
      </c>
    </row>
    <row r="112" spans="1:9" ht="15" hidden="1" customHeight="1" x14ac:dyDescent="0.3">
      <c r="A112" s="7" t="s">
        <v>343</v>
      </c>
      <c r="B112" s="47" t="str">
        <f t="shared" si="1"/>
        <v>ENTITY_FLG_GRP_NFRD_APPLCBLTY</v>
      </c>
      <c r="C112" s="8" t="s">
        <v>10</v>
      </c>
      <c r="D112" s="9" t="s">
        <v>344</v>
      </c>
      <c r="E112" s="14" t="s">
        <v>345</v>
      </c>
      <c r="F112" s="10" t="s">
        <v>11</v>
      </c>
      <c r="G112" s="10" t="s">
        <v>11</v>
      </c>
      <c r="H112" s="10" t="s">
        <v>13</v>
      </c>
      <c r="I112" s="10" t="s">
        <v>13</v>
      </c>
    </row>
    <row r="113" spans="1:9" ht="15" hidden="1" customHeight="1" x14ac:dyDescent="0.3">
      <c r="A113" s="7" t="s">
        <v>346</v>
      </c>
      <c r="B113" s="47" t="str">
        <f t="shared" si="1"/>
        <v>ENTITY_ISIN</v>
      </c>
      <c r="C113" s="8" t="s">
        <v>10</v>
      </c>
      <c r="D113" s="9" t="s">
        <v>347</v>
      </c>
      <c r="E113" s="14" t="s">
        <v>347</v>
      </c>
      <c r="F113" s="10" t="s">
        <v>11</v>
      </c>
      <c r="G113" s="10" t="s">
        <v>11</v>
      </c>
      <c r="H113" s="10" t="s">
        <v>13</v>
      </c>
      <c r="I113" s="10" t="s">
        <v>11</v>
      </c>
    </row>
    <row r="114" spans="1:9" ht="15" hidden="1" customHeight="1" x14ac:dyDescent="0.3">
      <c r="A114" s="7" t="s">
        <v>348</v>
      </c>
      <c r="B114" s="47" t="str">
        <f t="shared" si="1"/>
        <v>ENTITY_GRP_ANNL_TRNVR_LE</v>
      </c>
      <c r="C114" s="8" t="s">
        <v>10</v>
      </c>
      <c r="D114" s="9" t="s">
        <v>349</v>
      </c>
      <c r="E114" s="14" t="s">
        <v>350</v>
      </c>
      <c r="F114" s="10" t="s">
        <v>11</v>
      </c>
      <c r="G114" s="10" t="s">
        <v>11</v>
      </c>
      <c r="H114" s="10" t="s">
        <v>13</v>
      </c>
      <c r="I114" s="10" t="s">
        <v>11</v>
      </c>
    </row>
    <row r="115" spans="1:9" ht="15" hidden="1" customHeight="1" x14ac:dyDescent="0.3">
      <c r="A115" s="7" t="s">
        <v>351</v>
      </c>
      <c r="B115" s="47" t="str">
        <f t="shared" si="1"/>
        <v>ENTITY_GRP_TTL_LBLTY</v>
      </c>
      <c r="C115" s="8" t="s">
        <v>10</v>
      </c>
      <c r="D115" s="9" t="s">
        <v>352</v>
      </c>
      <c r="E115" s="14" t="s">
        <v>353</v>
      </c>
      <c r="F115" s="10" t="s">
        <v>11</v>
      </c>
      <c r="G115" s="10" t="s">
        <v>11</v>
      </c>
      <c r="H115" s="10" t="s">
        <v>13</v>
      </c>
      <c r="I115" s="10" t="s">
        <v>11</v>
      </c>
    </row>
    <row r="116" spans="1:9" ht="15" hidden="1" customHeight="1" x14ac:dyDescent="0.3">
      <c r="A116" s="7" t="s">
        <v>354</v>
      </c>
      <c r="B116" s="47" t="str">
        <f t="shared" si="1"/>
        <v>ENTITY_CNTRPRTY_EMSSNS_SCP1</v>
      </c>
      <c r="C116" s="8" t="s">
        <v>10</v>
      </c>
      <c r="D116" s="9" t="s">
        <v>355</v>
      </c>
      <c r="E116" s="14" t="s">
        <v>356</v>
      </c>
      <c r="F116" s="10" t="s">
        <v>11</v>
      </c>
      <c r="G116" s="10" t="s">
        <v>11</v>
      </c>
      <c r="H116" s="10" t="s">
        <v>13</v>
      </c>
      <c r="I116" s="10" t="s">
        <v>13</v>
      </c>
    </row>
    <row r="117" spans="1:9" ht="15" hidden="1" customHeight="1" x14ac:dyDescent="0.3">
      <c r="A117" s="7" t="s">
        <v>357</v>
      </c>
      <c r="B117" s="47" t="str">
        <f t="shared" si="1"/>
        <v>ENTITY_CNTRPRTY_EMSSNS_SCP2</v>
      </c>
      <c r="C117" s="8" t="s">
        <v>10</v>
      </c>
      <c r="D117" s="9" t="s">
        <v>358</v>
      </c>
      <c r="E117" s="14" t="s">
        <v>359</v>
      </c>
      <c r="F117" s="10" t="s">
        <v>11</v>
      </c>
      <c r="G117" s="10" t="s">
        <v>11</v>
      </c>
      <c r="H117" s="10" t="s">
        <v>13</v>
      </c>
      <c r="I117" s="10" t="s">
        <v>13</v>
      </c>
    </row>
    <row r="118" spans="1:9" ht="15" hidden="1" customHeight="1" x14ac:dyDescent="0.3">
      <c r="A118" s="7" t="s">
        <v>360</v>
      </c>
      <c r="B118" s="47" t="str">
        <f t="shared" si="1"/>
        <v>ENTITY_CNTRPRTY_EMSSNS_SCP3</v>
      </c>
      <c r="C118" s="8" t="s">
        <v>10</v>
      </c>
      <c r="D118" s="9" t="s">
        <v>361</v>
      </c>
      <c r="E118" s="14" t="s">
        <v>362</v>
      </c>
      <c r="F118" s="10" t="s">
        <v>11</v>
      </c>
      <c r="G118" s="10" t="s">
        <v>11</v>
      </c>
      <c r="H118" s="10" t="s">
        <v>13</v>
      </c>
      <c r="I118" s="10" t="s">
        <v>13</v>
      </c>
    </row>
    <row r="119" spans="1:9" ht="15" hidden="1" customHeight="1" x14ac:dyDescent="0.3">
      <c r="A119" s="7" t="s">
        <v>363</v>
      </c>
      <c r="B119" s="47" t="str">
        <f t="shared" si="1"/>
        <v>ENTITY_FLG_EXCLDD_EU_PRS_ALGND_BNCHMRK</v>
      </c>
      <c r="C119" s="8" t="s">
        <v>10</v>
      </c>
      <c r="D119" s="9" t="s">
        <v>364</v>
      </c>
      <c r="E119" s="14" t="s">
        <v>365</v>
      </c>
      <c r="F119" s="10" t="s">
        <v>11</v>
      </c>
      <c r="G119" s="10" t="s">
        <v>11</v>
      </c>
      <c r="H119" s="10" t="s">
        <v>13</v>
      </c>
      <c r="I119" s="10" t="s">
        <v>11</v>
      </c>
    </row>
    <row r="120" spans="1:9" ht="15" hidden="1" customHeight="1" x14ac:dyDescent="0.3">
      <c r="A120" s="7" t="s">
        <v>366</v>
      </c>
      <c r="B120" s="47" t="str">
        <f t="shared" si="1"/>
        <v>ENTITY_GRP_EMSSNS_SCP1</v>
      </c>
      <c r="C120" s="8" t="s">
        <v>10</v>
      </c>
      <c r="D120" s="9" t="s">
        <v>367</v>
      </c>
      <c r="E120" s="14" t="s">
        <v>368</v>
      </c>
      <c r="F120" s="10" t="s">
        <v>11</v>
      </c>
      <c r="G120" s="10" t="s">
        <v>11</v>
      </c>
      <c r="H120" s="10" t="s">
        <v>13</v>
      </c>
      <c r="I120" s="10" t="s">
        <v>13</v>
      </c>
    </row>
    <row r="121" spans="1:9" ht="15" hidden="1" customHeight="1" x14ac:dyDescent="0.3">
      <c r="A121" s="7" t="s">
        <v>369</v>
      </c>
      <c r="B121" s="47" t="str">
        <f t="shared" si="1"/>
        <v>ENTITY_GRP_EMSSNS_SCP2</v>
      </c>
      <c r="C121" s="8" t="s">
        <v>10</v>
      </c>
      <c r="D121" s="9" t="s">
        <v>370</v>
      </c>
      <c r="E121" s="14" t="s">
        <v>371</v>
      </c>
      <c r="F121" s="10" t="s">
        <v>11</v>
      </c>
      <c r="G121" s="10" t="s">
        <v>11</v>
      </c>
      <c r="H121" s="10" t="s">
        <v>13</v>
      </c>
      <c r="I121" s="10" t="s">
        <v>13</v>
      </c>
    </row>
    <row r="122" spans="1:9" ht="15" hidden="1" customHeight="1" x14ac:dyDescent="0.3">
      <c r="A122" s="7" t="s">
        <v>372</v>
      </c>
      <c r="B122" s="47" t="str">
        <f t="shared" si="1"/>
        <v>ENTITY_GRP_EMSSNS_SCP3</v>
      </c>
      <c r="C122" s="8" t="s">
        <v>10</v>
      </c>
      <c r="D122" s="9" t="s">
        <v>373</v>
      </c>
      <c r="E122" s="14" t="s">
        <v>374</v>
      </c>
      <c r="F122" s="10" t="s">
        <v>11</v>
      </c>
      <c r="G122" s="10" t="s">
        <v>11</v>
      </c>
      <c r="H122" s="10" t="s">
        <v>13</v>
      </c>
      <c r="I122" s="10" t="s">
        <v>13</v>
      </c>
    </row>
    <row r="123" spans="1:9" ht="15" hidden="1" customHeight="1" x14ac:dyDescent="0.3">
      <c r="A123" s="7" t="s">
        <v>375</v>
      </c>
      <c r="B123" s="47" t="str">
        <f t="shared" si="1"/>
        <v>ENTITY_FLG_ACT_PHYSCL_RSK</v>
      </c>
      <c r="C123" s="8" t="s">
        <v>10</v>
      </c>
      <c r="D123" s="9" t="s">
        <v>376</v>
      </c>
      <c r="E123" s="32" t="s">
        <v>377</v>
      </c>
      <c r="F123" s="10" t="s">
        <v>11</v>
      </c>
      <c r="G123" s="10" t="s">
        <v>11</v>
      </c>
      <c r="H123" s="10" t="s">
        <v>13</v>
      </c>
      <c r="I123" s="10" t="s">
        <v>11</v>
      </c>
    </row>
    <row r="124" spans="1:9" ht="15" hidden="1" customHeight="1" x14ac:dyDescent="0.3">
      <c r="A124" s="7" t="s">
        <v>378</v>
      </c>
      <c r="B124" s="47" t="str">
        <f t="shared" si="1"/>
        <v>ENTITY_FLG_CHRNC_PHYSCL_RSK</v>
      </c>
      <c r="C124" s="8" t="s">
        <v>10</v>
      </c>
      <c r="D124" s="9" t="s">
        <v>379</v>
      </c>
      <c r="E124" s="32" t="s">
        <v>380</v>
      </c>
      <c r="F124" s="10" t="s">
        <v>11</v>
      </c>
      <c r="G124" s="10" t="s">
        <v>11</v>
      </c>
      <c r="H124" s="10" t="s">
        <v>13</v>
      </c>
      <c r="I124" s="10" t="s">
        <v>11</v>
      </c>
    </row>
    <row r="125" spans="1:9" ht="15" hidden="1" customHeight="1" x14ac:dyDescent="0.3">
      <c r="A125" s="7" t="s">
        <v>381</v>
      </c>
      <c r="B125" s="47" t="str">
        <f t="shared" si="1"/>
        <v>ENTITY_GRP_ECNMC_ACTVTY</v>
      </c>
      <c r="C125" s="8" t="s">
        <v>10</v>
      </c>
      <c r="D125" s="9" t="s">
        <v>382</v>
      </c>
      <c r="E125" s="32" t="s">
        <v>383</v>
      </c>
      <c r="F125" s="10" t="s">
        <v>11</v>
      </c>
      <c r="G125" s="10" t="s">
        <v>11</v>
      </c>
      <c r="H125" s="10" t="s">
        <v>11</v>
      </c>
      <c r="I125" s="10" t="s">
        <v>13</v>
      </c>
    </row>
    <row r="126" spans="1:9" ht="15" hidden="1" customHeight="1" x14ac:dyDescent="0.3">
      <c r="A126" s="7" t="s">
        <v>384</v>
      </c>
      <c r="B126" s="47" t="str">
        <f t="shared" si="1"/>
        <v>ENTITY_PRSN_TYP</v>
      </c>
      <c r="C126" s="8" t="s">
        <v>10</v>
      </c>
      <c r="D126" s="9" t="s">
        <v>385</v>
      </c>
      <c r="E126" s="32" t="s">
        <v>386</v>
      </c>
      <c r="F126" s="10" t="s">
        <v>13</v>
      </c>
      <c r="G126" s="10" t="s">
        <v>11</v>
      </c>
      <c r="H126" s="10" t="s">
        <v>11</v>
      </c>
      <c r="I126" s="10" t="s">
        <v>11</v>
      </c>
    </row>
    <row r="127" spans="1:9" ht="15" hidden="1" customHeight="1" x14ac:dyDescent="0.3">
      <c r="A127" s="7" t="s">
        <v>387</v>
      </c>
      <c r="B127" s="47" t="str">
        <f t="shared" si="1"/>
        <v>ENTITY_FR_CSH_FLW</v>
      </c>
      <c r="C127" s="8" t="s">
        <v>10</v>
      </c>
      <c r="D127" s="9" t="s">
        <v>388</v>
      </c>
      <c r="E127" s="33" t="s">
        <v>389</v>
      </c>
      <c r="F127" s="10" t="s">
        <v>13</v>
      </c>
      <c r="G127" s="10" t="s">
        <v>11</v>
      </c>
      <c r="H127" s="10" t="s">
        <v>11</v>
      </c>
      <c r="I127" s="10" t="s">
        <v>11</v>
      </c>
    </row>
    <row r="128" spans="1:9" ht="15" hidden="1" customHeight="1" x14ac:dyDescent="0.3">
      <c r="A128" s="7" t="s">
        <v>390</v>
      </c>
      <c r="B128" s="47" t="str">
        <f t="shared" si="1"/>
        <v>ENTITY_FR_CSH_FLW_T1</v>
      </c>
      <c r="C128" s="8" t="s">
        <v>10</v>
      </c>
      <c r="D128" s="9" t="s">
        <v>391</v>
      </c>
      <c r="E128" s="33" t="s">
        <v>392</v>
      </c>
      <c r="F128" s="10" t="s">
        <v>13</v>
      </c>
      <c r="G128" s="10" t="s">
        <v>11</v>
      </c>
      <c r="H128" s="10" t="s">
        <v>11</v>
      </c>
      <c r="I128" s="10" t="s">
        <v>11</v>
      </c>
    </row>
    <row r="129" spans="1:9" ht="15" hidden="1" customHeight="1" x14ac:dyDescent="0.3">
      <c r="A129" s="7" t="s">
        <v>393</v>
      </c>
      <c r="B129" s="47" t="str">
        <f t="shared" si="1"/>
        <v>ENTITY_FR_CSH_FLW_T2</v>
      </c>
      <c r="C129" s="8" t="s">
        <v>10</v>
      </c>
      <c r="D129" s="9" t="s">
        <v>394</v>
      </c>
      <c r="E129" s="33" t="s">
        <v>395</v>
      </c>
      <c r="F129" s="10" t="s">
        <v>13</v>
      </c>
      <c r="G129" s="10" t="s">
        <v>11</v>
      </c>
      <c r="H129" s="10" t="s">
        <v>11</v>
      </c>
      <c r="I129" s="10" t="s">
        <v>11</v>
      </c>
    </row>
    <row r="130" spans="1:9" ht="15" hidden="1" customHeight="1" x14ac:dyDescent="0.3">
      <c r="A130" s="7" t="s">
        <v>396</v>
      </c>
      <c r="B130" s="47" t="str">
        <f t="shared" si="1"/>
        <v>ENTITY_FR_CSH_FLW_T3</v>
      </c>
      <c r="C130" s="8" t="s">
        <v>10</v>
      </c>
      <c r="D130" s="9" t="s">
        <v>397</v>
      </c>
      <c r="E130" s="32" t="s">
        <v>398</v>
      </c>
      <c r="F130" s="10" t="s">
        <v>13</v>
      </c>
      <c r="G130" s="10" t="s">
        <v>11</v>
      </c>
      <c r="H130" s="10" t="s">
        <v>11</v>
      </c>
      <c r="I130" s="10" t="s">
        <v>11</v>
      </c>
    </row>
    <row r="131" spans="1:9" ht="15" hidden="1" customHeight="1" x14ac:dyDescent="0.3">
      <c r="A131" s="40" t="s">
        <v>1292</v>
      </c>
      <c r="B131" s="47" t="str">
        <f t="shared" ref="B131:B194" si="2">C131&amp;"_"&amp;D131</f>
        <v>ENTITY_ADDRSS_CTY</v>
      </c>
      <c r="C131" s="8" t="s">
        <v>10</v>
      </c>
      <c r="D131" s="41" t="s">
        <v>1293</v>
      </c>
      <c r="E131" s="33" t="s">
        <v>1294</v>
      </c>
      <c r="F131" s="10" t="s">
        <v>13</v>
      </c>
      <c r="G131" s="10" t="s">
        <v>11</v>
      </c>
      <c r="H131" s="10" t="s">
        <v>11</v>
      </c>
      <c r="I131" s="10" t="s">
        <v>11</v>
      </c>
    </row>
    <row r="132" spans="1:9" ht="15" hidden="1" customHeight="1" x14ac:dyDescent="0.3">
      <c r="A132" s="40" t="s">
        <v>1295</v>
      </c>
      <c r="B132" s="47" t="str">
        <f t="shared" si="2"/>
        <v>ENTITY_ADDRSS_STRT</v>
      </c>
      <c r="C132" s="8" t="s">
        <v>10</v>
      </c>
      <c r="D132" s="41" t="s">
        <v>1296</v>
      </c>
      <c r="E132" s="33" t="s">
        <v>1297</v>
      </c>
      <c r="F132" s="10" t="s">
        <v>13</v>
      </c>
      <c r="G132" s="10" t="s">
        <v>11</v>
      </c>
      <c r="H132" s="10" t="s">
        <v>11</v>
      </c>
      <c r="I132" s="10" t="s">
        <v>11</v>
      </c>
    </row>
    <row r="133" spans="1:9" ht="15" hidden="1" customHeight="1" x14ac:dyDescent="0.3">
      <c r="A133" s="40" t="s">
        <v>1298</v>
      </c>
      <c r="B133" s="47" t="str">
        <f t="shared" si="2"/>
        <v>ENTITY_DT_ENTRPRS_SZ</v>
      </c>
      <c r="C133" s="8" t="s">
        <v>10</v>
      </c>
      <c r="D133" s="41" t="s">
        <v>1299</v>
      </c>
      <c r="E133" s="32" t="s">
        <v>1300</v>
      </c>
      <c r="F133" s="10" t="s">
        <v>13</v>
      </c>
      <c r="G133" s="10" t="s">
        <v>11</v>
      </c>
      <c r="H133" s="10" t="s">
        <v>11</v>
      </c>
      <c r="I133" s="10" t="s">
        <v>11</v>
      </c>
    </row>
    <row r="134" spans="1:9" ht="15" hidden="1" customHeight="1" x14ac:dyDescent="0.3">
      <c r="A134" s="40" t="s">
        <v>1301</v>
      </c>
      <c r="B134" s="47" t="str">
        <f t="shared" si="2"/>
        <v>ENTITY_NMBR_EMPLYS</v>
      </c>
      <c r="C134" s="8" t="s">
        <v>10</v>
      </c>
      <c r="D134" s="41" t="s">
        <v>1302</v>
      </c>
      <c r="E134" s="33" t="s">
        <v>1303</v>
      </c>
      <c r="F134" s="10" t="s">
        <v>13</v>
      </c>
      <c r="G134" s="10" t="s">
        <v>11</v>
      </c>
      <c r="H134" s="10" t="s">
        <v>11</v>
      </c>
      <c r="I134" s="10" t="s">
        <v>11</v>
      </c>
    </row>
    <row r="135" spans="1:9" ht="15" hidden="1" customHeight="1" x14ac:dyDescent="0.3">
      <c r="A135" s="40" t="s">
        <v>1304</v>
      </c>
      <c r="B135" s="47" t="str">
        <f t="shared" si="2"/>
        <v>ENTITY_LGL_FRM</v>
      </c>
      <c r="C135" s="8" t="s">
        <v>10</v>
      </c>
      <c r="D135" s="41" t="s">
        <v>1305</v>
      </c>
      <c r="E135" s="33" t="s">
        <v>1306</v>
      </c>
      <c r="F135" s="10" t="s">
        <v>13</v>
      </c>
      <c r="G135" s="10" t="s">
        <v>11</v>
      </c>
      <c r="H135" s="10" t="s">
        <v>11</v>
      </c>
      <c r="I135" s="10" t="s">
        <v>11</v>
      </c>
    </row>
    <row r="136" spans="1:9" ht="15" hidden="1" customHeight="1" x14ac:dyDescent="0.3">
      <c r="A136" s="40" t="s">
        <v>1307</v>
      </c>
      <c r="B136" s="47" t="str">
        <f t="shared" si="2"/>
        <v>ENTITY_HD_OFFC_UNDRTKNG_ID</v>
      </c>
      <c r="C136" s="8" t="s">
        <v>10</v>
      </c>
      <c r="D136" s="41" t="s">
        <v>1308</v>
      </c>
      <c r="E136" s="32" t="s">
        <v>1309</v>
      </c>
      <c r="F136" s="10" t="s">
        <v>13</v>
      </c>
      <c r="G136" s="10" t="s">
        <v>11</v>
      </c>
      <c r="H136" s="10" t="s">
        <v>11</v>
      </c>
      <c r="I136" s="10" t="s">
        <v>11</v>
      </c>
    </row>
    <row r="137" spans="1:9" ht="15" hidden="1" customHeight="1" x14ac:dyDescent="0.3">
      <c r="A137" s="40" t="s">
        <v>1310</v>
      </c>
      <c r="B137" s="47" t="str">
        <f t="shared" si="2"/>
        <v>ENTITY_IMMDT_PRNT_UNDRTKNG_ID</v>
      </c>
      <c r="C137" s="8" t="s">
        <v>10</v>
      </c>
      <c r="D137" s="41" t="s">
        <v>1311</v>
      </c>
      <c r="E137" s="33" t="s">
        <v>1312</v>
      </c>
      <c r="F137" s="10" t="s">
        <v>13</v>
      </c>
      <c r="G137" s="10" t="s">
        <v>11</v>
      </c>
      <c r="H137" s="10" t="s">
        <v>11</v>
      </c>
      <c r="I137" s="10" t="s">
        <v>11</v>
      </c>
    </row>
    <row r="138" spans="1:9" ht="15" hidden="1" customHeight="1" x14ac:dyDescent="0.3">
      <c r="A138" s="40" t="s">
        <v>1313</v>
      </c>
      <c r="B138" s="47" t="str">
        <f t="shared" si="2"/>
        <v>ENTITY_ULTMT_PRNT_UNDRTKNG_ID</v>
      </c>
      <c r="C138" s="8" t="s">
        <v>10</v>
      </c>
      <c r="D138" s="41" t="s">
        <v>1314</v>
      </c>
      <c r="E138" s="33" t="s">
        <v>1315</v>
      </c>
      <c r="F138" s="10" t="s">
        <v>13</v>
      </c>
      <c r="G138" s="10" t="s">
        <v>11</v>
      </c>
      <c r="H138" s="10" t="s">
        <v>11</v>
      </c>
      <c r="I138" s="10" t="s">
        <v>11</v>
      </c>
    </row>
    <row r="139" spans="1:9" ht="15" hidden="1" customHeight="1" x14ac:dyDescent="0.3">
      <c r="A139" s="40" t="s">
        <v>1316</v>
      </c>
      <c r="B139" s="47" t="str">
        <f t="shared" si="2"/>
        <v>ENTITY_TTL_ASSTS</v>
      </c>
      <c r="C139" s="8" t="s">
        <v>10</v>
      </c>
      <c r="D139" s="41" t="s">
        <v>1317</v>
      </c>
      <c r="E139" s="32" t="s">
        <v>1318</v>
      </c>
      <c r="F139" s="10" t="s">
        <v>13</v>
      </c>
      <c r="G139" s="10" t="s">
        <v>11</v>
      </c>
      <c r="H139" s="10" t="s">
        <v>11</v>
      </c>
      <c r="I139" s="10" t="s">
        <v>11</v>
      </c>
    </row>
    <row r="140" spans="1:9" ht="15" hidden="1" customHeight="1" x14ac:dyDescent="0.3">
      <c r="A140" s="40" t="s">
        <v>1319</v>
      </c>
      <c r="B140" s="47" t="str">
        <f t="shared" si="2"/>
        <v>ENTITY_FLLN_ANGL_NRRW_DFNTN</v>
      </c>
      <c r="C140" s="8" t="s">
        <v>10</v>
      </c>
      <c r="D140" s="41" t="s">
        <v>1320</v>
      </c>
      <c r="E140" s="33" t="s">
        <v>1321</v>
      </c>
      <c r="F140" s="10" t="s">
        <v>13</v>
      </c>
      <c r="G140" s="10" t="s">
        <v>11</v>
      </c>
      <c r="H140" s="10" t="s">
        <v>11</v>
      </c>
      <c r="I140" s="10" t="s">
        <v>11</v>
      </c>
    </row>
    <row r="141" spans="1:9" ht="15" hidden="1" customHeight="1" x14ac:dyDescent="0.3">
      <c r="A141" s="40" t="s">
        <v>1322</v>
      </c>
      <c r="B141" s="47" t="str">
        <f t="shared" si="2"/>
        <v>ENTITY_FLLN_ANGL_EXTNDD_DFNTN</v>
      </c>
      <c r="C141" s="8" t="s">
        <v>10</v>
      </c>
      <c r="D141" s="41" t="s">
        <v>1323</v>
      </c>
      <c r="E141" s="32" t="s">
        <v>1324</v>
      </c>
      <c r="F141" s="10" t="s">
        <v>13</v>
      </c>
      <c r="G141" s="10" t="s">
        <v>11</v>
      </c>
      <c r="H141" s="10" t="s">
        <v>11</v>
      </c>
      <c r="I141" s="10" t="s">
        <v>11</v>
      </c>
    </row>
    <row r="142" spans="1:9" ht="15" hidden="1" customHeight="1" x14ac:dyDescent="0.3">
      <c r="A142" s="40" t="s">
        <v>1325</v>
      </c>
      <c r="B142" s="47" t="str">
        <f t="shared" si="2"/>
        <v>ENTITY_ENTTY_ID_BDR</v>
      </c>
      <c r="C142" s="8" t="s">
        <v>10</v>
      </c>
      <c r="D142" s="41" t="s">
        <v>1326</v>
      </c>
      <c r="E142" s="30" t="s">
        <v>1327</v>
      </c>
      <c r="F142" s="10" t="s">
        <v>13</v>
      </c>
      <c r="G142" s="10" t="s">
        <v>11</v>
      </c>
      <c r="H142" s="10" t="s">
        <v>11</v>
      </c>
      <c r="I142" s="10" t="s">
        <v>11</v>
      </c>
    </row>
    <row r="143" spans="1:9" ht="15" hidden="1" customHeight="1" x14ac:dyDescent="0.3">
      <c r="A143" s="7" t="s">
        <v>399</v>
      </c>
      <c r="B143" s="47" t="str">
        <f t="shared" si="2"/>
        <v>INSTR_ENTITY_COD_SOC</v>
      </c>
      <c r="C143" s="8" t="s">
        <v>400</v>
      </c>
      <c r="D143" s="9" t="s">
        <v>12</v>
      </c>
      <c r="E143" s="14" t="s">
        <v>14</v>
      </c>
      <c r="F143" s="10" t="s">
        <v>13</v>
      </c>
      <c r="G143" s="10" t="s">
        <v>11</v>
      </c>
      <c r="H143" s="10" t="s">
        <v>13</v>
      </c>
      <c r="I143" s="10" t="s">
        <v>11</v>
      </c>
    </row>
    <row r="144" spans="1:9" ht="15" hidden="1" customHeight="1" x14ac:dyDescent="0.3">
      <c r="A144" s="7" t="s">
        <v>401</v>
      </c>
      <c r="B144" s="47" t="str">
        <f t="shared" si="2"/>
        <v>INSTR_ENTITY_DT_RFRNC</v>
      </c>
      <c r="C144" s="8" t="s">
        <v>400</v>
      </c>
      <c r="D144" s="9" t="s">
        <v>38</v>
      </c>
      <c r="E144" s="14" t="s">
        <v>402</v>
      </c>
      <c r="F144" s="10" t="s">
        <v>13</v>
      </c>
      <c r="G144" s="10" t="s">
        <v>11</v>
      </c>
      <c r="H144" s="10" t="s">
        <v>13</v>
      </c>
      <c r="I144" s="10" t="s">
        <v>11</v>
      </c>
    </row>
    <row r="145" spans="1:9" ht="15" hidden="1" customHeight="1" x14ac:dyDescent="0.3">
      <c r="A145" s="7" t="s">
        <v>403</v>
      </c>
      <c r="B145" s="47" t="str">
        <f t="shared" si="2"/>
        <v>INSTR_ENTITY_ENTTY_ID</v>
      </c>
      <c r="C145" s="8" t="s">
        <v>400</v>
      </c>
      <c r="D145" s="9" t="s">
        <v>41</v>
      </c>
      <c r="E145" s="14" t="s">
        <v>42</v>
      </c>
      <c r="F145" s="10" t="s">
        <v>13</v>
      </c>
      <c r="G145" s="10" t="s">
        <v>11</v>
      </c>
      <c r="H145" s="10" t="s">
        <v>13</v>
      </c>
      <c r="I145" s="10" t="s">
        <v>11</v>
      </c>
    </row>
    <row r="146" spans="1:9" ht="15" hidden="1" customHeight="1" x14ac:dyDescent="0.3">
      <c r="A146" s="7" t="s">
        <v>404</v>
      </c>
      <c r="B146" s="47" t="str">
        <f t="shared" si="2"/>
        <v>INSTR_ENTITY_INSTRMNT_ID</v>
      </c>
      <c r="C146" s="8" t="s">
        <v>400</v>
      </c>
      <c r="D146" s="9" t="s">
        <v>405</v>
      </c>
      <c r="E146" s="14" t="s">
        <v>406</v>
      </c>
      <c r="F146" s="10" t="s">
        <v>13</v>
      </c>
      <c r="G146" s="10" t="s">
        <v>11</v>
      </c>
      <c r="H146" s="10" t="s">
        <v>13</v>
      </c>
      <c r="I146" s="10" t="s">
        <v>11</v>
      </c>
    </row>
    <row r="147" spans="1:9" ht="15" hidden="1" customHeight="1" x14ac:dyDescent="0.3">
      <c r="A147" s="7" t="s">
        <v>407</v>
      </c>
      <c r="B147" s="47" t="str">
        <f t="shared" si="2"/>
        <v>INSTR_ENTITY_JNT_LBLTY_AMNT</v>
      </c>
      <c r="C147" s="8" t="s">
        <v>400</v>
      </c>
      <c r="D147" s="9" t="s">
        <v>408</v>
      </c>
      <c r="E147" s="14" t="s">
        <v>409</v>
      </c>
      <c r="F147" s="10" t="s">
        <v>13</v>
      </c>
      <c r="G147" s="10" t="s">
        <v>11</v>
      </c>
      <c r="H147" s="10" t="s">
        <v>11</v>
      </c>
      <c r="I147" s="10" t="s">
        <v>11</v>
      </c>
    </row>
    <row r="148" spans="1:9" ht="15" hidden="1" customHeight="1" x14ac:dyDescent="0.3">
      <c r="A148" s="7" t="s">
        <v>410</v>
      </c>
      <c r="B148" s="47" t="str">
        <f t="shared" si="2"/>
        <v>INSTR_ENTITY_MN_ENTTY_ID</v>
      </c>
      <c r="C148" s="8" t="s">
        <v>400</v>
      </c>
      <c r="D148" s="9" t="s">
        <v>411</v>
      </c>
      <c r="E148" s="14" t="s">
        <v>412</v>
      </c>
      <c r="F148" s="10" t="s">
        <v>13</v>
      </c>
      <c r="G148" s="10" t="s">
        <v>11</v>
      </c>
      <c r="H148" s="10" t="s">
        <v>13</v>
      </c>
      <c r="I148" s="10" t="s">
        <v>11</v>
      </c>
    </row>
    <row r="149" spans="1:9" ht="15" hidden="1" customHeight="1" x14ac:dyDescent="0.3">
      <c r="A149" s="7" t="s">
        <v>413</v>
      </c>
      <c r="B149" s="47" t="str">
        <f t="shared" si="2"/>
        <v>INSTRUMENT_COD_SOC</v>
      </c>
      <c r="C149" s="8" t="s">
        <v>414</v>
      </c>
      <c r="D149" s="9" t="s">
        <v>12</v>
      </c>
      <c r="E149" s="14" t="s">
        <v>14</v>
      </c>
      <c r="F149" s="10" t="s">
        <v>13</v>
      </c>
      <c r="G149" s="10" t="s">
        <v>13</v>
      </c>
      <c r="H149" s="10" t="s">
        <v>13</v>
      </c>
      <c r="I149" s="10" t="s">
        <v>13</v>
      </c>
    </row>
    <row r="150" spans="1:9" ht="15" hidden="1" customHeight="1" x14ac:dyDescent="0.3">
      <c r="A150" s="7" t="s">
        <v>415</v>
      </c>
      <c r="B150" s="47" t="str">
        <f t="shared" si="2"/>
        <v>INSTRUMENT_SUBPORTFOLIO_ID</v>
      </c>
      <c r="C150" s="8" t="s">
        <v>414</v>
      </c>
      <c r="D150" s="9" t="s">
        <v>416</v>
      </c>
      <c r="E150" s="14" t="s">
        <v>417</v>
      </c>
      <c r="F150" s="10" t="s">
        <v>13</v>
      </c>
      <c r="G150" s="10" t="s">
        <v>13</v>
      </c>
      <c r="H150" s="10" t="s">
        <v>13</v>
      </c>
      <c r="I150" s="10" t="s">
        <v>13</v>
      </c>
    </row>
    <row r="151" spans="1:9" ht="15" hidden="1" customHeight="1" x14ac:dyDescent="0.3">
      <c r="A151" s="7" t="s">
        <v>418</v>
      </c>
      <c r="B151" s="47" t="str">
        <f t="shared" si="2"/>
        <v>INSTRUMENT_CRE_FNRP18</v>
      </c>
      <c r="C151" s="8" t="s">
        <v>414</v>
      </c>
      <c r="D151" s="9" t="s">
        <v>419</v>
      </c>
      <c r="E151" s="14" t="s">
        <v>420</v>
      </c>
      <c r="F151" s="10" t="s">
        <v>13</v>
      </c>
      <c r="G151" s="10" t="s">
        <v>11</v>
      </c>
      <c r="H151" s="10" t="s">
        <v>11</v>
      </c>
      <c r="I151" s="10" t="s">
        <v>11</v>
      </c>
    </row>
    <row r="152" spans="1:9" ht="15" hidden="1" customHeight="1" x14ac:dyDescent="0.3">
      <c r="A152" s="7" t="s">
        <v>421</v>
      </c>
      <c r="B152" s="47" t="str">
        <f t="shared" si="2"/>
        <v>INSTRUMENT_SME_FNRP18</v>
      </c>
      <c r="C152" s="8" t="s">
        <v>414</v>
      </c>
      <c r="D152" s="9" t="s">
        <v>422</v>
      </c>
      <c r="E152" s="14" t="s">
        <v>423</v>
      </c>
      <c r="F152" s="10" t="s">
        <v>13</v>
      </c>
      <c r="G152" s="10" t="s">
        <v>11</v>
      </c>
      <c r="H152" s="10" t="s">
        <v>11</v>
      </c>
      <c r="I152" s="10" t="s">
        <v>11</v>
      </c>
    </row>
    <row r="153" spans="1:9" ht="15" hidden="1" customHeight="1" x14ac:dyDescent="0.3">
      <c r="A153" s="7" t="s">
        <v>424</v>
      </c>
      <c r="B153" s="47" t="str">
        <f t="shared" si="2"/>
        <v>INSTRUMENT_RRE_FNRP18</v>
      </c>
      <c r="C153" s="8" t="s">
        <v>414</v>
      </c>
      <c r="D153" s="9" t="s">
        <v>425</v>
      </c>
      <c r="E153" s="14" t="s">
        <v>426</v>
      </c>
      <c r="F153" s="10" t="s">
        <v>13</v>
      </c>
      <c r="G153" s="10" t="s">
        <v>11</v>
      </c>
      <c r="H153" s="10" t="s">
        <v>11</v>
      </c>
      <c r="I153" s="10" t="s">
        <v>11</v>
      </c>
    </row>
    <row r="154" spans="1:9" ht="15" hidden="1" customHeight="1" x14ac:dyDescent="0.3">
      <c r="A154" s="7" t="s">
        <v>427</v>
      </c>
      <c r="B154" s="47" t="str">
        <f t="shared" si="2"/>
        <v>INSTRUMENT_CNSMPTN_FNRP18</v>
      </c>
      <c r="C154" s="8" t="s">
        <v>414</v>
      </c>
      <c r="D154" s="9" t="s">
        <v>428</v>
      </c>
      <c r="E154" s="14" t="s">
        <v>429</v>
      </c>
      <c r="F154" s="10" t="s">
        <v>13</v>
      </c>
      <c r="G154" s="10" t="s">
        <v>11</v>
      </c>
      <c r="H154" s="10" t="s">
        <v>11</v>
      </c>
      <c r="I154" s="10" t="s">
        <v>11</v>
      </c>
    </row>
    <row r="155" spans="1:9" ht="15" hidden="1" customHeight="1" x14ac:dyDescent="0.3">
      <c r="A155" s="7" t="s">
        <v>430</v>
      </c>
      <c r="B155" s="47" t="str">
        <f t="shared" si="2"/>
        <v>INSTRUMENT_DT_RFRNC</v>
      </c>
      <c r="C155" s="8" t="s">
        <v>414</v>
      </c>
      <c r="D155" s="9" t="s">
        <v>38</v>
      </c>
      <c r="E155" s="14" t="s">
        <v>402</v>
      </c>
      <c r="F155" s="10" t="s">
        <v>13</v>
      </c>
      <c r="G155" s="10" t="s">
        <v>13</v>
      </c>
      <c r="H155" s="10" t="s">
        <v>13</v>
      </c>
      <c r="I155" s="10" t="s">
        <v>13</v>
      </c>
    </row>
    <row r="156" spans="1:9" ht="15" hidden="1" customHeight="1" x14ac:dyDescent="0.3">
      <c r="A156" s="7" t="s">
        <v>431</v>
      </c>
      <c r="B156" s="47" t="str">
        <f t="shared" si="2"/>
        <v>INSTRUMENT_INSTRMNT_ID</v>
      </c>
      <c r="C156" s="8" t="s">
        <v>414</v>
      </c>
      <c r="D156" s="9" t="s">
        <v>405</v>
      </c>
      <c r="E156" s="14" t="s">
        <v>406</v>
      </c>
      <c r="F156" s="10" t="s">
        <v>13</v>
      </c>
      <c r="G156" s="10" t="s">
        <v>13</v>
      </c>
      <c r="H156" s="10" t="s">
        <v>13</v>
      </c>
      <c r="I156" s="10" t="s">
        <v>13</v>
      </c>
    </row>
    <row r="157" spans="1:9" ht="15" hidden="1" customHeight="1" x14ac:dyDescent="0.3">
      <c r="A157" s="7" t="s">
        <v>432</v>
      </c>
      <c r="B157" s="47" t="str">
        <f t="shared" si="2"/>
        <v>INSTRUMENT_CNTRCT_ID</v>
      </c>
      <c r="C157" s="8" t="s">
        <v>414</v>
      </c>
      <c r="D157" s="9" t="s">
        <v>433</v>
      </c>
      <c r="E157" s="14" t="s">
        <v>434</v>
      </c>
      <c r="F157" s="10" t="s">
        <v>13</v>
      </c>
      <c r="G157" s="10" t="s">
        <v>11</v>
      </c>
      <c r="H157" s="10" t="s">
        <v>11</v>
      </c>
      <c r="I157" s="10" t="s">
        <v>11</v>
      </c>
    </row>
    <row r="158" spans="1:9" ht="15" hidden="1" customHeight="1" x14ac:dyDescent="0.3">
      <c r="A158" s="7" t="s">
        <v>435</v>
      </c>
      <c r="B158" s="47" t="str">
        <f t="shared" si="2"/>
        <v>INSTRUMENT_CRRNCY_DNMNTN</v>
      </c>
      <c r="C158" s="8" t="s">
        <v>414</v>
      </c>
      <c r="D158" s="9" t="s">
        <v>436</v>
      </c>
      <c r="E158" s="14" t="s">
        <v>437</v>
      </c>
      <c r="F158" s="10" t="s">
        <v>13</v>
      </c>
      <c r="G158" s="10" t="s">
        <v>11</v>
      </c>
      <c r="H158" s="10" t="s">
        <v>11</v>
      </c>
      <c r="I158" s="10" t="s">
        <v>11</v>
      </c>
    </row>
    <row r="159" spans="1:9" ht="15" hidden="1" customHeight="1" x14ac:dyDescent="0.3">
      <c r="A159" s="7" t="s">
        <v>438</v>
      </c>
      <c r="B159" s="47" t="str">
        <f t="shared" si="2"/>
        <v>INSTRUMENT_DT_INCPTN</v>
      </c>
      <c r="C159" s="8" t="s">
        <v>414</v>
      </c>
      <c r="D159" s="9" t="s">
        <v>439</v>
      </c>
      <c r="E159" s="14" t="s">
        <v>440</v>
      </c>
      <c r="F159" s="10" t="s">
        <v>13</v>
      </c>
      <c r="G159" s="10" t="s">
        <v>11</v>
      </c>
      <c r="H159" s="10" t="s">
        <v>13</v>
      </c>
      <c r="I159" s="10" t="s">
        <v>11</v>
      </c>
    </row>
    <row r="160" spans="1:9" ht="15" hidden="1" customHeight="1" x14ac:dyDescent="0.3">
      <c r="A160" s="7" t="s">
        <v>441</v>
      </c>
      <c r="B160" s="47" t="str">
        <f t="shared" si="2"/>
        <v>INSTRUMENT_OBSRVD_AGNT_ID</v>
      </c>
      <c r="C160" s="8" t="s">
        <v>414</v>
      </c>
      <c r="D160" s="9" t="s">
        <v>442</v>
      </c>
      <c r="E160" s="14" t="s">
        <v>443</v>
      </c>
      <c r="F160" s="10" t="s">
        <v>13</v>
      </c>
      <c r="G160" s="10" t="s">
        <v>11</v>
      </c>
      <c r="H160" s="10" t="s">
        <v>11</v>
      </c>
      <c r="I160" s="10" t="s">
        <v>11</v>
      </c>
    </row>
    <row r="161" spans="1:9" ht="15" hidden="1" customHeight="1" x14ac:dyDescent="0.3">
      <c r="A161" s="7" t="s">
        <v>444</v>
      </c>
      <c r="B161" s="47" t="str">
        <f t="shared" si="2"/>
        <v>INSTRUMENT_OBSRVD_AGNT_NM</v>
      </c>
      <c r="C161" s="8" t="s">
        <v>414</v>
      </c>
      <c r="D161" s="9" t="s">
        <v>445</v>
      </c>
      <c r="E161" s="14" t="s">
        <v>446</v>
      </c>
      <c r="F161" s="10" t="s">
        <v>13</v>
      </c>
      <c r="G161" s="10" t="s">
        <v>11</v>
      </c>
      <c r="H161" s="10" t="s">
        <v>11</v>
      </c>
      <c r="I161" s="10" t="s">
        <v>11</v>
      </c>
    </row>
    <row r="162" spans="1:9" ht="15" hidden="1" customHeight="1" x14ac:dyDescent="0.3">
      <c r="A162" s="7" t="s">
        <v>447</v>
      </c>
      <c r="B162" s="47" t="str">
        <f t="shared" si="2"/>
        <v>INSTRUMENT_PRDCT</v>
      </c>
      <c r="C162" s="8" t="s">
        <v>414</v>
      </c>
      <c r="D162" s="9" t="s">
        <v>448</v>
      </c>
      <c r="E162" s="14" t="s">
        <v>449</v>
      </c>
      <c r="F162" s="10" t="s">
        <v>13</v>
      </c>
      <c r="G162" s="10" t="s">
        <v>11</v>
      </c>
      <c r="H162" s="10" t="s">
        <v>11</v>
      </c>
      <c r="I162" s="10" t="s">
        <v>11</v>
      </c>
    </row>
    <row r="163" spans="1:9" ht="15" hidden="1" customHeight="1" x14ac:dyDescent="0.3">
      <c r="A163" s="7" t="s">
        <v>450</v>
      </c>
      <c r="B163" s="47" t="str">
        <f t="shared" si="2"/>
        <v>INSTRUMENT_BRCHD_CVNNTS</v>
      </c>
      <c r="C163" s="8" t="s">
        <v>414</v>
      </c>
      <c r="D163" s="9" t="s">
        <v>451</v>
      </c>
      <c r="E163" s="14" t="s">
        <v>452</v>
      </c>
      <c r="F163" s="10" t="s">
        <v>13</v>
      </c>
      <c r="G163" s="10" t="s">
        <v>11</v>
      </c>
      <c r="H163" s="10" t="s">
        <v>11</v>
      </c>
      <c r="I163" s="10" t="s">
        <v>11</v>
      </c>
    </row>
    <row r="164" spans="1:9" ht="15" hidden="1" customHeight="1" x14ac:dyDescent="0.3">
      <c r="A164" s="7" t="s">
        <v>453</v>
      </c>
      <c r="B164" s="47" t="str">
        <f t="shared" si="2"/>
        <v>INSTRUMENT_CHNNL_ORGNTN</v>
      </c>
      <c r="C164" s="8" t="s">
        <v>414</v>
      </c>
      <c r="D164" s="9" t="s">
        <v>454</v>
      </c>
      <c r="E164" s="14" t="s">
        <v>455</v>
      </c>
      <c r="F164" s="10" t="s">
        <v>13</v>
      </c>
      <c r="G164" s="10" t="s">
        <v>11</v>
      </c>
      <c r="H164" s="10" t="s">
        <v>11</v>
      </c>
      <c r="I164" s="10" t="s">
        <v>11</v>
      </c>
    </row>
    <row r="165" spans="1:9" ht="15" hidden="1" customHeight="1" x14ac:dyDescent="0.3">
      <c r="A165" s="7" t="s">
        <v>456</v>
      </c>
      <c r="B165" s="47" t="str">
        <f t="shared" si="2"/>
        <v>INSTRUMENT_CSH_SWP_TRP</v>
      </c>
      <c r="C165" s="8" t="s">
        <v>414</v>
      </c>
      <c r="D165" s="19" t="s">
        <v>457</v>
      </c>
      <c r="E165" s="14" t="s">
        <v>458</v>
      </c>
      <c r="F165" s="10" t="s">
        <v>13</v>
      </c>
      <c r="G165" s="10" t="s">
        <v>11</v>
      </c>
      <c r="H165" s="10" t="s">
        <v>11</v>
      </c>
      <c r="I165" s="10" t="s">
        <v>11</v>
      </c>
    </row>
    <row r="166" spans="1:9" ht="15" hidden="1" customHeight="1" x14ac:dyDescent="0.3">
      <c r="A166" s="7" t="s">
        <v>459</v>
      </c>
      <c r="B166" s="47" t="str">
        <f t="shared" si="2"/>
        <v>INSTRUMENT_CVNNT_STTS</v>
      </c>
      <c r="C166" s="8" t="s">
        <v>414</v>
      </c>
      <c r="D166" s="9" t="s">
        <v>460</v>
      </c>
      <c r="E166" s="14" t="s">
        <v>461</v>
      </c>
      <c r="F166" s="10" t="s">
        <v>13</v>
      </c>
      <c r="G166" s="10" t="s">
        <v>11</v>
      </c>
      <c r="H166" s="10" t="s">
        <v>11</v>
      </c>
      <c r="I166" s="10" t="s">
        <v>11</v>
      </c>
    </row>
    <row r="167" spans="1:9" s="20" customFormat="1" ht="15" hidden="1" customHeight="1" x14ac:dyDescent="0.3">
      <c r="A167" s="7" t="s">
        <v>462</v>
      </c>
      <c r="B167" s="47" t="str">
        <f t="shared" si="2"/>
        <v>INSTRUMENT_CVNNT_TYP</v>
      </c>
      <c r="C167" s="8" t="s">
        <v>414</v>
      </c>
      <c r="D167" s="9" t="s">
        <v>463</v>
      </c>
      <c r="E167" s="14" t="s">
        <v>464</v>
      </c>
      <c r="F167" s="10" t="s">
        <v>13</v>
      </c>
      <c r="G167" s="10" t="s">
        <v>11</v>
      </c>
      <c r="H167" s="10" t="s">
        <v>11</v>
      </c>
      <c r="I167" s="10" t="s">
        <v>11</v>
      </c>
    </row>
    <row r="168" spans="1:9" ht="15" hidden="1" customHeight="1" x14ac:dyDescent="0.3">
      <c r="A168" s="21" t="s">
        <v>465</v>
      </c>
      <c r="B168" s="47" t="str">
        <f t="shared" si="2"/>
        <v>INSTRUMENT_DFLT_STTS_INSTRMNT</v>
      </c>
      <c r="C168" s="8" t="s">
        <v>414</v>
      </c>
      <c r="D168" s="22" t="s">
        <v>466</v>
      </c>
      <c r="E168" s="28" t="s">
        <v>467</v>
      </c>
      <c r="F168" s="10" t="s">
        <v>13</v>
      </c>
      <c r="G168" s="10" t="s">
        <v>13</v>
      </c>
      <c r="H168" s="10" t="s">
        <v>13</v>
      </c>
      <c r="I168" s="10" t="s">
        <v>11</v>
      </c>
    </row>
    <row r="169" spans="1:9" ht="15" hidden="1" customHeight="1" x14ac:dyDescent="0.3">
      <c r="A169" s="7" t="s">
        <v>468</v>
      </c>
      <c r="B169" s="47" t="str">
        <f t="shared" si="2"/>
        <v>INSTRUMENT_DT_DFLT_STTS_INSTRMNT</v>
      </c>
      <c r="C169" s="8" t="s">
        <v>414</v>
      </c>
      <c r="D169" s="9" t="s">
        <v>469</v>
      </c>
      <c r="E169" s="14" t="s">
        <v>24</v>
      </c>
      <c r="F169" s="10" t="s">
        <v>13</v>
      </c>
      <c r="G169" s="10" t="s">
        <v>11</v>
      </c>
      <c r="H169" s="10" t="s">
        <v>11</v>
      </c>
      <c r="I169" s="10" t="s">
        <v>11</v>
      </c>
    </row>
    <row r="170" spans="1:9" ht="15" hidden="1" customHeight="1" x14ac:dyDescent="0.3">
      <c r="A170" s="7" t="s">
        <v>470</v>
      </c>
      <c r="B170" s="47" t="str">
        <f t="shared" si="2"/>
        <v>INSTRUMENT_DT_END_GP_PPAL</v>
      </c>
      <c r="C170" s="8" t="s">
        <v>414</v>
      </c>
      <c r="D170" s="9" t="s">
        <v>471</v>
      </c>
      <c r="E170" s="14" t="s">
        <v>472</v>
      </c>
      <c r="F170" s="10" t="s">
        <v>13</v>
      </c>
      <c r="G170" s="10" t="s">
        <v>11</v>
      </c>
      <c r="H170" s="10" t="s">
        <v>11</v>
      </c>
      <c r="I170" s="10" t="s">
        <v>11</v>
      </c>
    </row>
    <row r="171" spans="1:9" ht="15" hidden="1" customHeight="1" x14ac:dyDescent="0.3">
      <c r="A171" s="7" t="s">
        <v>473</v>
      </c>
      <c r="B171" s="47" t="str">
        <f t="shared" si="2"/>
        <v>INSTRUMENT_DT_END_INTRST_ONLY</v>
      </c>
      <c r="C171" s="8" t="s">
        <v>414</v>
      </c>
      <c r="D171" s="9" t="s">
        <v>474</v>
      </c>
      <c r="E171" s="14" t="s">
        <v>475</v>
      </c>
      <c r="F171" s="10" t="s">
        <v>13</v>
      </c>
      <c r="G171" s="10" t="s">
        <v>11</v>
      </c>
      <c r="H171" s="10" t="s">
        <v>11</v>
      </c>
      <c r="I171" s="10" t="s">
        <v>11</v>
      </c>
    </row>
    <row r="172" spans="1:9" ht="15" hidden="1" customHeight="1" x14ac:dyDescent="0.3">
      <c r="A172" s="7" t="s">
        <v>476</v>
      </c>
      <c r="B172" s="47" t="str">
        <f t="shared" si="2"/>
        <v>INSTRUMENT_DT_FRBRNC_STTS</v>
      </c>
      <c r="C172" s="8" t="s">
        <v>414</v>
      </c>
      <c r="D172" s="9" t="s">
        <v>477</v>
      </c>
      <c r="E172" s="14" t="s">
        <v>478</v>
      </c>
      <c r="F172" s="10" t="s">
        <v>13</v>
      </c>
      <c r="G172" s="10" t="s">
        <v>11</v>
      </c>
      <c r="H172" s="10" t="s">
        <v>11</v>
      </c>
      <c r="I172" s="10" t="s">
        <v>11</v>
      </c>
    </row>
    <row r="173" spans="1:9" ht="15" hidden="1" customHeight="1" x14ac:dyDescent="0.3">
      <c r="A173" s="7" t="s">
        <v>479</v>
      </c>
      <c r="B173" s="47" t="str">
        <f t="shared" si="2"/>
        <v>INSTRUMENT_DT_FRBRNC_STTS_PRVS</v>
      </c>
      <c r="C173" s="8" t="s">
        <v>414</v>
      </c>
      <c r="D173" s="9" t="s">
        <v>480</v>
      </c>
      <c r="E173" s="14" t="s">
        <v>481</v>
      </c>
      <c r="F173" s="10" t="s">
        <v>13</v>
      </c>
      <c r="G173" s="10" t="s">
        <v>11</v>
      </c>
      <c r="H173" s="10" t="s">
        <v>11</v>
      </c>
      <c r="I173" s="10" t="s">
        <v>11</v>
      </c>
    </row>
    <row r="174" spans="1:9" ht="15" hidden="1" customHeight="1" x14ac:dyDescent="0.3">
      <c r="A174" s="7" t="s">
        <v>482</v>
      </c>
      <c r="B174" s="47" t="str">
        <f t="shared" si="2"/>
        <v>INSTRUMENT_DT_INTRNL_RTNG</v>
      </c>
      <c r="C174" s="8" t="s">
        <v>414</v>
      </c>
      <c r="D174" s="9" t="s">
        <v>80</v>
      </c>
      <c r="E174" s="14" t="s">
        <v>81</v>
      </c>
      <c r="F174" s="10" t="s">
        <v>13</v>
      </c>
      <c r="G174" s="10" t="s">
        <v>11</v>
      </c>
      <c r="H174" s="10" t="s">
        <v>11</v>
      </c>
      <c r="I174" s="10" t="s">
        <v>11</v>
      </c>
    </row>
    <row r="175" spans="1:9" ht="15" hidden="1" customHeight="1" x14ac:dyDescent="0.3">
      <c r="A175" s="7" t="s">
        <v>483</v>
      </c>
      <c r="B175" s="47" t="str">
        <f t="shared" si="2"/>
        <v>INSTRUMENT_DT_PRFRMNG_STTS</v>
      </c>
      <c r="C175" s="8" t="s">
        <v>414</v>
      </c>
      <c r="D175" s="9" t="s">
        <v>484</v>
      </c>
      <c r="E175" s="14" t="s">
        <v>36</v>
      </c>
      <c r="F175" s="10" t="s">
        <v>13</v>
      </c>
      <c r="G175" s="10" t="s">
        <v>11</v>
      </c>
      <c r="H175" s="10" t="s">
        <v>11</v>
      </c>
      <c r="I175" s="10" t="s">
        <v>11</v>
      </c>
    </row>
    <row r="176" spans="1:9" ht="15" hidden="1" customHeight="1" x14ac:dyDescent="0.3">
      <c r="A176" s="7" t="s">
        <v>485</v>
      </c>
      <c r="B176" s="47" t="str">
        <f t="shared" si="2"/>
        <v>INSTRUMENT_DT_PRFRMNG_STTS_PRVS</v>
      </c>
      <c r="C176" s="8" t="s">
        <v>414</v>
      </c>
      <c r="D176" s="9" t="s">
        <v>486</v>
      </c>
      <c r="E176" s="14" t="s">
        <v>487</v>
      </c>
      <c r="F176" s="10" t="s">
        <v>13</v>
      </c>
      <c r="G176" s="10" t="s">
        <v>11</v>
      </c>
      <c r="H176" s="10" t="s">
        <v>11</v>
      </c>
      <c r="I176" s="10" t="s">
        <v>11</v>
      </c>
    </row>
    <row r="177" spans="1:9" ht="15" hidden="1" customHeight="1" x14ac:dyDescent="0.3">
      <c r="A177" s="7" t="s">
        <v>488</v>
      </c>
      <c r="B177" s="47" t="str">
        <f t="shared" si="2"/>
        <v>INSTRUMENT_DT_STRT_INTRST_ONLY</v>
      </c>
      <c r="C177" s="8" t="s">
        <v>414</v>
      </c>
      <c r="D177" s="9" t="s">
        <v>489</v>
      </c>
      <c r="E177" s="14" t="s">
        <v>490</v>
      </c>
      <c r="F177" s="10" t="s">
        <v>13</v>
      </c>
      <c r="G177" s="10" t="s">
        <v>11</v>
      </c>
      <c r="H177" s="10" t="s">
        <v>11</v>
      </c>
      <c r="I177" s="10" t="s">
        <v>11</v>
      </c>
    </row>
    <row r="178" spans="1:9" ht="15" hidden="1" customHeight="1" x14ac:dyDescent="0.3">
      <c r="A178" s="7" t="s">
        <v>491</v>
      </c>
      <c r="B178" s="47" t="str">
        <f t="shared" si="2"/>
        <v>INSTRUMENT_EXPSR_IN_SCP</v>
      </c>
      <c r="C178" s="8" t="s">
        <v>414</v>
      </c>
      <c r="D178" s="9" t="s">
        <v>492</v>
      </c>
      <c r="E178" s="14" t="s">
        <v>493</v>
      </c>
      <c r="F178" s="10" t="s">
        <v>13</v>
      </c>
      <c r="G178" s="10" t="s">
        <v>11</v>
      </c>
      <c r="H178" s="10" t="s">
        <v>11</v>
      </c>
      <c r="I178" s="10" t="s">
        <v>11</v>
      </c>
    </row>
    <row r="179" spans="1:9" ht="15" hidden="1" customHeight="1" x14ac:dyDescent="0.3">
      <c r="A179" s="7" t="s">
        <v>494</v>
      </c>
      <c r="B179" s="47" t="str">
        <f t="shared" si="2"/>
        <v>INSTRUMENT_FLD_SYNDCTN</v>
      </c>
      <c r="C179" s="8" t="s">
        <v>414</v>
      </c>
      <c r="D179" s="9" t="s">
        <v>495</v>
      </c>
      <c r="E179" s="14" t="s">
        <v>496</v>
      </c>
      <c r="F179" s="10" t="s">
        <v>13</v>
      </c>
      <c r="G179" s="10" t="s">
        <v>11</v>
      </c>
      <c r="H179" s="10" t="s">
        <v>11</v>
      </c>
      <c r="I179" s="10" t="s">
        <v>11</v>
      </c>
    </row>
    <row r="180" spans="1:9" ht="15" hidden="1" customHeight="1" x14ac:dyDescent="0.3">
      <c r="A180" s="7" t="s">
        <v>497</v>
      </c>
      <c r="B180" s="47" t="str">
        <f t="shared" si="2"/>
        <v>INSTRUMENT_FLG_LBO</v>
      </c>
      <c r="C180" s="8" t="s">
        <v>414</v>
      </c>
      <c r="D180" s="9" t="s">
        <v>498</v>
      </c>
      <c r="E180" s="14" t="s">
        <v>499</v>
      </c>
      <c r="F180" s="10" t="s">
        <v>13</v>
      </c>
      <c r="G180" s="10" t="s">
        <v>11</v>
      </c>
      <c r="H180" s="10" t="s">
        <v>11</v>
      </c>
      <c r="I180" s="10" t="s">
        <v>11</v>
      </c>
    </row>
    <row r="181" spans="1:9" ht="15" hidden="1" customHeight="1" x14ac:dyDescent="0.3">
      <c r="A181" s="7" t="s">
        <v>500</v>
      </c>
      <c r="B181" s="47" t="str">
        <f t="shared" si="2"/>
        <v>INSTRUMENT_FRBRNC_STTS_INSTRMNT</v>
      </c>
      <c r="C181" s="8" t="s">
        <v>414</v>
      </c>
      <c r="D181" s="9" t="s">
        <v>501</v>
      </c>
      <c r="E181" s="14" t="s">
        <v>502</v>
      </c>
      <c r="F181" s="10" t="s">
        <v>13</v>
      </c>
      <c r="G181" s="10" t="s">
        <v>11</v>
      </c>
      <c r="H181" s="10" t="s">
        <v>11</v>
      </c>
      <c r="I181" s="10" t="s">
        <v>11</v>
      </c>
    </row>
    <row r="182" spans="1:9" ht="15" hidden="1" customHeight="1" x14ac:dyDescent="0.3">
      <c r="A182" s="7" t="s">
        <v>503</v>
      </c>
      <c r="B182" s="47" t="str">
        <f t="shared" si="2"/>
        <v>INSTRUMENT_IMPRMNT_STTS</v>
      </c>
      <c r="C182" s="8" t="s">
        <v>414</v>
      </c>
      <c r="D182" s="9" t="s">
        <v>504</v>
      </c>
      <c r="E182" s="14" t="s">
        <v>505</v>
      </c>
      <c r="F182" s="10" t="s">
        <v>13</v>
      </c>
      <c r="G182" s="10" t="s">
        <v>13</v>
      </c>
      <c r="H182" s="10" t="s">
        <v>13</v>
      </c>
      <c r="I182" s="10" t="s">
        <v>11</v>
      </c>
    </row>
    <row r="183" spans="1:9" ht="15" hidden="1" customHeight="1" x14ac:dyDescent="0.3">
      <c r="A183" s="7" t="s">
        <v>506</v>
      </c>
      <c r="B183" s="47" t="str">
        <f t="shared" si="2"/>
        <v>INSTRUMENT_IMPRMNT_STTS_PRVS</v>
      </c>
      <c r="C183" s="8" t="s">
        <v>414</v>
      </c>
      <c r="D183" s="9" t="s">
        <v>507</v>
      </c>
      <c r="E183" s="14" t="s">
        <v>508</v>
      </c>
      <c r="F183" s="10" t="s">
        <v>13</v>
      </c>
      <c r="G183" s="10" t="s">
        <v>11</v>
      </c>
      <c r="H183" s="10" t="s">
        <v>11</v>
      </c>
      <c r="I183" s="10" t="s">
        <v>11</v>
      </c>
    </row>
    <row r="184" spans="1:9" ht="15" hidden="1" customHeight="1" x14ac:dyDescent="0.3">
      <c r="A184" s="7" t="s">
        <v>509</v>
      </c>
      <c r="B184" s="47" t="str">
        <f t="shared" si="2"/>
        <v>INSTRUMENT_INTRNL_RTNG</v>
      </c>
      <c r="C184" s="8" t="s">
        <v>414</v>
      </c>
      <c r="D184" s="9" t="s">
        <v>128</v>
      </c>
      <c r="E184" s="14" t="s">
        <v>129</v>
      </c>
      <c r="F184" s="10" t="s">
        <v>13</v>
      </c>
      <c r="G184" s="10" t="s">
        <v>11</v>
      </c>
      <c r="H184" s="10" t="s">
        <v>11</v>
      </c>
      <c r="I184" s="10" t="s">
        <v>11</v>
      </c>
    </row>
    <row r="185" spans="1:9" ht="15" hidden="1" customHeight="1" x14ac:dyDescent="0.3">
      <c r="A185" s="7" t="s">
        <v>510</v>
      </c>
      <c r="B185" s="47" t="str">
        <f t="shared" si="2"/>
        <v>INSTRUMENT_INTRNL_RTNG_INCPTN</v>
      </c>
      <c r="C185" s="8" t="s">
        <v>414</v>
      </c>
      <c r="D185" s="9" t="s">
        <v>511</v>
      </c>
      <c r="E185" s="14" t="s">
        <v>512</v>
      </c>
      <c r="F185" s="10" t="s">
        <v>13</v>
      </c>
      <c r="G185" s="10" t="s">
        <v>11</v>
      </c>
      <c r="H185" s="10" t="s">
        <v>11</v>
      </c>
      <c r="I185" s="10" t="s">
        <v>11</v>
      </c>
    </row>
    <row r="186" spans="1:9" ht="15" hidden="1" customHeight="1" x14ac:dyDescent="0.3">
      <c r="A186" s="7" t="s">
        <v>513</v>
      </c>
      <c r="B186" s="47" t="str">
        <f t="shared" si="2"/>
        <v>INSTRUMENT_INTRNL_SGMNT</v>
      </c>
      <c r="C186" s="8" t="s">
        <v>414</v>
      </c>
      <c r="D186" s="9" t="s">
        <v>50</v>
      </c>
      <c r="E186" s="14" t="s">
        <v>51</v>
      </c>
      <c r="F186" s="10" t="s">
        <v>13</v>
      </c>
      <c r="G186" s="10" t="s">
        <v>11</v>
      </c>
      <c r="H186" s="10" t="s">
        <v>11</v>
      </c>
      <c r="I186" s="10" t="s">
        <v>13</v>
      </c>
    </row>
    <row r="187" spans="1:9" ht="15" hidden="1" customHeight="1" x14ac:dyDescent="0.3">
      <c r="A187" s="7" t="s">
        <v>514</v>
      </c>
      <c r="B187" s="47" t="str">
        <f t="shared" si="2"/>
        <v>INSTRUMENT_INTRNL_UNT</v>
      </c>
      <c r="C187" s="8" t="s">
        <v>414</v>
      </c>
      <c r="D187" s="9" t="s">
        <v>53</v>
      </c>
      <c r="E187" s="14" t="s">
        <v>54</v>
      </c>
      <c r="F187" s="10" t="s">
        <v>13</v>
      </c>
      <c r="G187" s="10" t="s">
        <v>11</v>
      </c>
      <c r="H187" s="10" t="s">
        <v>11</v>
      </c>
      <c r="I187" s="10" t="s">
        <v>11</v>
      </c>
    </row>
    <row r="188" spans="1:9" ht="15" hidden="1" customHeight="1" x14ac:dyDescent="0.3">
      <c r="A188" s="7" t="s">
        <v>515</v>
      </c>
      <c r="B188" s="47" t="str">
        <f t="shared" si="2"/>
        <v>INSTRUMENT_LCRE</v>
      </c>
      <c r="C188" s="8" t="s">
        <v>414</v>
      </c>
      <c r="D188" s="9" t="s">
        <v>516</v>
      </c>
      <c r="E188" s="14" t="s">
        <v>517</v>
      </c>
      <c r="F188" s="10" t="s">
        <v>13</v>
      </c>
      <c r="G188" s="10" t="s">
        <v>11</v>
      </c>
      <c r="H188" s="10" t="s">
        <v>11</v>
      </c>
      <c r="I188" s="10" t="s">
        <v>11</v>
      </c>
    </row>
    <row r="189" spans="1:9" ht="15" hidden="1" customHeight="1" x14ac:dyDescent="0.3">
      <c r="A189" s="7" t="s">
        <v>518</v>
      </c>
      <c r="B189" s="47" t="str">
        <f t="shared" si="2"/>
        <v>INSTRUMENT_LGL_PRCDNG_STTS</v>
      </c>
      <c r="C189" s="8" t="s">
        <v>414</v>
      </c>
      <c r="D189" s="9" t="s">
        <v>519</v>
      </c>
      <c r="E189" s="14" t="s">
        <v>520</v>
      </c>
      <c r="F189" s="10" t="s">
        <v>13</v>
      </c>
      <c r="G189" s="10" t="s">
        <v>11</v>
      </c>
      <c r="H189" s="10" t="s">
        <v>11</v>
      </c>
      <c r="I189" s="10" t="s">
        <v>11</v>
      </c>
    </row>
    <row r="190" spans="1:9" ht="15" hidden="1" customHeight="1" x14ac:dyDescent="0.3">
      <c r="A190" s="7" t="s">
        <v>521</v>
      </c>
      <c r="B190" s="47" t="str">
        <f t="shared" si="2"/>
        <v>INSTRUMENT_LND_DRGTN</v>
      </c>
      <c r="C190" s="8" t="s">
        <v>414</v>
      </c>
      <c r="D190" s="9" t="s">
        <v>522</v>
      </c>
      <c r="E190" s="14" t="s">
        <v>523</v>
      </c>
      <c r="F190" s="10" t="s">
        <v>13</v>
      </c>
      <c r="G190" s="10" t="s">
        <v>11</v>
      </c>
      <c r="H190" s="10" t="s">
        <v>11</v>
      </c>
      <c r="I190" s="10" t="s">
        <v>11</v>
      </c>
    </row>
    <row r="191" spans="1:9" ht="15" hidden="1" customHeight="1" x14ac:dyDescent="0.3">
      <c r="A191" s="7" t="s">
        <v>524</v>
      </c>
      <c r="B191" s="47" t="str">
        <f t="shared" si="2"/>
        <v>INSTRUMENT_POCI</v>
      </c>
      <c r="C191" s="8" t="s">
        <v>414</v>
      </c>
      <c r="D191" s="9" t="s">
        <v>525</v>
      </c>
      <c r="E191" s="14" t="s">
        <v>526</v>
      </c>
      <c r="F191" s="10" t="s">
        <v>13</v>
      </c>
      <c r="G191" s="10" t="s">
        <v>11</v>
      </c>
      <c r="H191" s="10" t="s">
        <v>11</v>
      </c>
      <c r="I191" s="10" t="s">
        <v>11</v>
      </c>
    </row>
    <row r="192" spans="1:9" ht="15" hidden="1" customHeight="1" x14ac:dyDescent="0.3">
      <c r="A192" s="7" t="s">
        <v>527</v>
      </c>
      <c r="B192" s="47" t="str">
        <f t="shared" si="2"/>
        <v>INSTRUMENT_PRFRMNG_STTS</v>
      </c>
      <c r="C192" s="8" t="s">
        <v>414</v>
      </c>
      <c r="D192" s="9" t="s">
        <v>528</v>
      </c>
      <c r="E192" s="14" t="s">
        <v>141</v>
      </c>
      <c r="F192" s="10" t="s">
        <v>13</v>
      </c>
      <c r="G192" s="10" t="s">
        <v>13</v>
      </c>
      <c r="H192" s="10" t="s">
        <v>13</v>
      </c>
      <c r="I192" s="10" t="s">
        <v>11</v>
      </c>
    </row>
    <row r="193" spans="1:9" ht="15" hidden="1" customHeight="1" x14ac:dyDescent="0.3">
      <c r="A193" s="7" t="s">
        <v>529</v>
      </c>
      <c r="B193" s="47" t="str">
        <f t="shared" si="2"/>
        <v>INSTRUMENT_PRFRMNG_STTS_PRVS</v>
      </c>
      <c r="C193" s="8" t="s">
        <v>414</v>
      </c>
      <c r="D193" s="9" t="s">
        <v>530</v>
      </c>
      <c r="E193" s="14" t="s">
        <v>531</v>
      </c>
      <c r="F193" s="10" t="s">
        <v>13</v>
      </c>
      <c r="G193" s="10" t="s">
        <v>11</v>
      </c>
      <c r="H193" s="10" t="s">
        <v>11</v>
      </c>
      <c r="I193" s="10" t="s">
        <v>11</v>
      </c>
    </row>
    <row r="194" spans="1:9" ht="15" hidden="1" customHeight="1" x14ac:dyDescent="0.3">
      <c r="A194" s="7" t="s">
        <v>532</v>
      </c>
      <c r="B194" s="47" t="str">
        <f t="shared" si="2"/>
        <v>INSTRUMENT_PRJCT_FNNC_LN</v>
      </c>
      <c r="C194" s="8" t="s">
        <v>414</v>
      </c>
      <c r="D194" s="9" t="s">
        <v>533</v>
      </c>
      <c r="E194" s="14" t="s">
        <v>534</v>
      </c>
      <c r="F194" s="10" t="s">
        <v>13</v>
      </c>
      <c r="G194" s="10" t="s">
        <v>11</v>
      </c>
      <c r="H194" s="10" t="s">
        <v>13</v>
      </c>
      <c r="I194" s="10" t="s">
        <v>11</v>
      </c>
    </row>
    <row r="195" spans="1:9" ht="15" hidden="1" customHeight="1" x14ac:dyDescent="0.3">
      <c r="A195" s="7" t="s">
        <v>535</v>
      </c>
      <c r="B195" s="47" t="str">
        <f t="shared" ref="B195:B258" si="3">C195&amp;"_"&amp;D195</f>
        <v>INSTRUMENT_PRPS</v>
      </c>
      <c r="C195" s="8" t="s">
        <v>414</v>
      </c>
      <c r="D195" s="9" t="s">
        <v>536</v>
      </c>
      <c r="E195" s="14" t="s">
        <v>537</v>
      </c>
      <c r="F195" s="10" t="s">
        <v>13</v>
      </c>
      <c r="G195" s="10" t="s">
        <v>11</v>
      </c>
      <c r="H195" s="10" t="s">
        <v>11</v>
      </c>
      <c r="I195" s="10" t="s">
        <v>11</v>
      </c>
    </row>
    <row r="196" spans="1:9" ht="15" hidden="1" customHeight="1" x14ac:dyDescent="0.3">
      <c r="A196" s="7" t="s">
        <v>538</v>
      </c>
      <c r="B196" s="47" t="str">
        <f t="shared" si="3"/>
        <v>INSTRUMENT_PYMNT_INTRST_ONLY</v>
      </c>
      <c r="C196" s="8" t="s">
        <v>414</v>
      </c>
      <c r="D196" s="9" t="s">
        <v>539</v>
      </c>
      <c r="E196" s="14" t="s">
        <v>540</v>
      </c>
      <c r="F196" s="10" t="s">
        <v>13</v>
      </c>
      <c r="G196" s="10" t="s">
        <v>11</v>
      </c>
      <c r="H196" s="10" t="s">
        <v>11</v>
      </c>
      <c r="I196" s="10" t="s">
        <v>11</v>
      </c>
    </row>
    <row r="197" spans="1:9" ht="15" hidden="1" customHeight="1" x14ac:dyDescent="0.3">
      <c r="A197" s="7" t="s">
        <v>541</v>
      </c>
      <c r="B197" s="47" t="str">
        <f t="shared" si="3"/>
        <v>INSTRUMENT_RCRS</v>
      </c>
      <c r="C197" s="8" t="s">
        <v>414</v>
      </c>
      <c r="D197" s="9" t="s">
        <v>542</v>
      </c>
      <c r="E197" s="14" t="s">
        <v>543</v>
      </c>
      <c r="F197" s="10" t="s">
        <v>13</v>
      </c>
      <c r="G197" s="10" t="s">
        <v>11</v>
      </c>
      <c r="H197" s="10" t="s">
        <v>11</v>
      </c>
      <c r="I197" s="10" t="s">
        <v>11</v>
      </c>
    </row>
    <row r="198" spans="1:9" ht="15" hidden="1" customHeight="1" x14ac:dyDescent="0.3">
      <c r="A198" s="7" t="s">
        <v>544</v>
      </c>
      <c r="B198" s="47" t="str">
        <f t="shared" si="3"/>
        <v>INSTRUMENT_RFNNC_PRPS</v>
      </c>
      <c r="C198" s="8" t="s">
        <v>414</v>
      </c>
      <c r="D198" s="9" t="s">
        <v>545</v>
      </c>
      <c r="E198" s="14" t="s">
        <v>546</v>
      </c>
      <c r="F198" s="10" t="s">
        <v>13</v>
      </c>
      <c r="G198" s="10" t="s">
        <v>11</v>
      </c>
      <c r="H198" s="10" t="s">
        <v>11</v>
      </c>
      <c r="I198" s="10" t="s">
        <v>11</v>
      </c>
    </row>
    <row r="199" spans="1:9" ht="15" hidden="1" customHeight="1" x14ac:dyDescent="0.3">
      <c r="A199" s="7" t="s">
        <v>547</v>
      </c>
      <c r="B199" s="47" t="str">
        <f t="shared" si="3"/>
        <v>INSTRUMENT_SPCLTV_LNDNG</v>
      </c>
      <c r="C199" s="8" t="s">
        <v>414</v>
      </c>
      <c r="D199" s="9" t="s">
        <v>548</v>
      </c>
      <c r="E199" s="14" t="s">
        <v>549</v>
      </c>
      <c r="F199" s="10" t="s">
        <v>13</v>
      </c>
      <c r="G199" s="10" t="s">
        <v>11</v>
      </c>
      <c r="H199" s="10" t="s">
        <v>11</v>
      </c>
      <c r="I199" s="10" t="s">
        <v>11</v>
      </c>
    </row>
    <row r="200" spans="1:9" ht="15" hidden="1" customHeight="1" x14ac:dyDescent="0.3">
      <c r="A200" s="7" t="s">
        <v>550</v>
      </c>
      <c r="B200" s="47" t="str">
        <f t="shared" si="3"/>
        <v>INSTRUMENT_STTS_UNDRWRTTN_TRNSCTN</v>
      </c>
      <c r="C200" s="8" t="s">
        <v>414</v>
      </c>
      <c r="D200" s="9" t="s">
        <v>551</v>
      </c>
      <c r="E200" s="14" t="s">
        <v>552</v>
      </c>
      <c r="F200" s="10" t="s">
        <v>13</v>
      </c>
      <c r="G200" s="10" t="s">
        <v>11</v>
      </c>
      <c r="H200" s="10" t="s">
        <v>11</v>
      </c>
      <c r="I200" s="10" t="s">
        <v>11</v>
      </c>
    </row>
    <row r="201" spans="1:9" ht="15" hidden="1" customHeight="1" x14ac:dyDescent="0.3">
      <c r="A201" s="7" t="s">
        <v>553</v>
      </c>
      <c r="B201" s="47" t="str">
        <f t="shared" si="3"/>
        <v>INSTRUMENT_TRNCH</v>
      </c>
      <c r="C201" s="8" t="s">
        <v>414</v>
      </c>
      <c r="D201" s="9" t="s">
        <v>554</v>
      </c>
      <c r="E201" s="14" t="s">
        <v>555</v>
      </c>
      <c r="F201" s="10" t="s">
        <v>13</v>
      </c>
      <c r="G201" s="10" t="s">
        <v>11</v>
      </c>
      <c r="H201" s="10" t="s">
        <v>11</v>
      </c>
      <c r="I201" s="10" t="s">
        <v>11</v>
      </c>
    </row>
    <row r="202" spans="1:9" s="20" customFormat="1" ht="15" hidden="1" customHeight="1" x14ac:dyDescent="0.3">
      <c r="A202" s="7" t="s">
        <v>556</v>
      </c>
      <c r="B202" s="47" t="str">
        <f t="shared" si="3"/>
        <v>INSTRUMENT_TYP_AMRTSTN</v>
      </c>
      <c r="C202" s="8" t="s">
        <v>414</v>
      </c>
      <c r="D202" s="9" t="s">
        <v>557</v>
      </c>
      <c r="E202" s="14" t="s">
        <v>558</v>
      </c>
      <c r="F202" s="10" t="s">
        <v>13</v>
      </c>
      <c r="G202" s="10" t="s">
        <v>11</v>
      </c>
      <c r="H202" s="10" t="s">
        <v>11</v>
      </c>
      <c r="I202" s="10" t="s">
        <v>11</v>
      </c>
    </row>
    <row r="203" spans="1:9" ht="15" hidden="1" customHeight="1" x14ac:dyDescent="0.3">
      <c r="A203" s="21" t="s">
        <v>559</v>
      </c>
      <c r="B203" s="47" t="str">
        <f t="shared" si="3"/>
        <v>INSTRUMENT_TYP_INSTRMNT</v>
      </c>
      <c r="C203" s="8" t="s">
        <v>414</v>
      </c>
      <c r="D203" s="22" t="s">
        <v>560</v>
      </c>
      <c r="E203" s="28" t="s">
        <v>561</v>
      </c>
      <c r="F203" s="10" t="s">
        <v>13</v>
      </c>
      <c r="G203" s="10" t="s">
        <v>13</v>
      </c>
      <c r="H203" s="10" t="s">
        <v>13</v>
      </c>
      <c r="I203" s="10" t="s">
        <v>11</v>
      </c>
    </row>
    <row r="204" spans="1:9" ht="15" hidden="1" customHeight="1" x14ac:dyDescent="0.3">
      <c r="A204" s="7" t="s">
        <v>562</v>
      </c>
      <c r="B204" s="47" t="str">
        <f t="shared" si="3"/>
        <v>INSTRUMENT_TYP_INTRST_RT</v>
      </c>
      <c r="C204" s="8" t="s">
        <v>414</v>
      </c>
      <c r="D204" s="9" t="s">
        <v>563</v>
      </c>
      <c r="E204" s="14" t="s">
        <v>564</v>
      </c>
      <c r="F204" s="10" t="s">
        <v>13</v>
      </c>
      <c r="G204" s="10" t="s">
        <v>11</v>
      </c>
      <c r="H204" s="10" t="s">
        <v>11</v>
      </c>
      <c r="I204" s="10" t="s">
        <v>11</v>
      </c>
    </row>
    <row r="205" spans="1:9" ht="15" hidden="1" customHeight="1" x14ac:dyDescent="0.3">
      <c r="A205" s="7" t="s">
        <v>565</v>
      </c>
      <c r="B205" s="47" t="str">
        <f t="shared" si="3"/>
        <v>INSTRUMENT_TYP_MRTGG</v>
      </c>
      <c r="C205" s="8" t="s">
        <v>414</v>
      </c>
      <c r="D205" s="9" t="s">
        <v>566</v>
      </c>
      <c r="E205" s="14" t="s">
        <v>567</v>
      </c>
      <c r="F205" s="10" t="s">
        <v>13</v>
      </c>
      <c r="G205" s="10" t="s">
        <v>11</v>
      </c>
      <c r="H205" s="10" t="s">
        <v>11</v>
      </c>
      <c r="I205" s="10" t="s">
        <v>11</v>
      </c>
    </row>
    <row r="206" spans="1:9" ht="15" hidden="1" customHeight="1" x14ac:dyDescent="0.3">
      <c r="A206" s="7" t="s">
        <v>568</v>
      </c>
      <c r="B206" s="47" t="str">
        <f t="shared" si="3"/>
        <v>INSTRUMENT_TYP_CRE_OPRTN</v>
      </c>
      <c r="C206" s="8" t="s">
        <v>414</v>
      </c>
      <c r="D206" s="9" t="s">
        <v>569</v>
      </c>
      <c r="E206" s="14" t="s">
        <v>570</v>
      </c>
      <c r="F206" s="10" t="s">
        <v>13</v>
      </c>
      <c r="G206" s="10" t="s">
        <v>11</v>
      </c>
      <c r="H206" s="10" t="s">
        <v>11</v>
      </c>
      <c r="I206" s="10" t="s">
        <v>11</v>
      </c>
    </row>
    <row r="207" spans="1:9" ht="15" hidden="1" customHeight="1" x14ac:dyDescent="0.3">
      <c r="A207" s="7" t="s">
        <v>571</v>
      </c>
      <c r="B207" s="47" t="str">
        <f t="shared" si="3"/>
        <v>INSTRUMENT_DT_STRT_GP_PPAL</v>
      </c>
      <c r="C207" s="8" t="s">
        <v>414</v>
      </c>
      <c r="D207" s="9" t="s">
        <v>572</v>
      </c>
      <c r="E207" s="14" t="s">
        <v>573</v>
      </c>
      <c r="F207" s="10" t="s">
        <v>13</v>
      </c>
      <c r="G207" s="10" t="s">
        <v>11</v>
      </c>
      <c r="H207" s="10" t="s">
        <v>11</v>
      </c>
      <c r="I207" s="10" t="s">
        <v>11</v>
      </c>
    </row>
    <row r="208" spans="1:9" ht="15" hidden="1" customHeight="1" x14ac:dyDescent="0.3">
      <c r="A208" s="7" t="s">
        <v>574</v>
      </c>
      <c r="B208" s="47" t="str">
        <f t="shared" si="3"/>
        <v>INSTRUMENT_GRSS_CRRYNG_AMNT_INSTRMNT</v>
      </c>
      <c r="C208" s="8" t="s">
        <v>414</v>
      </c>
      <c r="D208" s="9" t="s">
        <v>575</v>
      </c>
      <c r="E208" s="14" t="s">
        <v>576</v>
      </c>
      <c r="F208" s="10" t="s">
        <v>13</v>
      </c>
      <c r="G208" s="10" t="s">
        <v>13</v>
      </c>
      <c r="H208" s="10" t="s">
        <v>13</v>
      </c>
      <c r="I208" s="10" t="s">
        <v>13</v>
      </c>
    </row>
    <row r="209" spans="1:9" s="20" customFormat="1" ht="15" hidden="1" customHeight="1" x14ac:dyDescent="0.3">
      <c r="A209" s="7" t="s">
        <v>577</v>
      </c>
      <c r="B209" s="47" t="str">
        <f t="shared" si="3"/>
        <v>INSTRUMENT_ACCMLTD_CHNGS_FV_CR_INSTRMNT</v>
      </c>
      <c r="C209" s="8" t="s">
        <v>414</v>
      </c>
      <c r="D209" s="9" t="s">
        <v>578</v>
      </c>
      <c r="E209" s="14" t="s">
        <v>579</v>
      </c>
      <c r="F209" s="10" t="s">
        <v>13</v>
      </c>
      <c r="G209" s="10" t="s">
        <v>13</v>
      </c>
      <c r="H209" s="10" t="s">
        <v>13</v>
      </c>
      <c r="I209" s="10" t="s">
        <v>11</v>
      </c>
    </row>
    <row r="210" spans="1:9" ht="15" hidden="1" customHeight="1" x14ac:dyDescent="0.3">
      <c r="A210" s="21" t="s">
        <v>580</v>
      </c>
      <c r="B210" s="47" t="str">
        <f t="shared" si="3"/>
        <v>INSTRUMENT_ACCNTNG_CLSSFCTN</v>
      </c>
      <c r="C210" s="8" t="s">
        <v>414</v>
      </c>
      <c r="D210" s="22" t="s">
        <v>581</v>
      </c>
      <c r="E210" s="28" t="s">
        <v>582</v>
      </c>
      <c r="F210" s="10" t="s">
        <v>13</v>
      </c>
      <c r="G210" s="10" t="s">
        <v>13</v>
      </c>
      <c r="H210" s="10" t="s">
        <v>13</v>
      </c>
      <c r="I210" s="10" t="s">
        <v>11</v>
      </c>
    </row>
    <row r="211" spans="1:9" ht="15" hidden="1" customHeight="1" x14ac:dyDescent="0.3">
      <c r="A211" s="7" t="s">
        <v>583</v>
      </c>
      <c r="B211" s="47" t="str">
        <f t="shared" si="3"/>
        <v>INSTRUMENT_ACCRD_INTRST_INSTRMNT</v>
      </c>
      <c r="C211" s="8" t="s">
        <v>414</v>
      </c>
      <c r="D211" s="9" t="s">
        <v>584</v>
      </c>
      <c r="E211" s="14" t="s">
        <v>585</v>
      </c>
      <c r="F211" s="10" t="s">
        <v>13</v>
      </c>
      <c r="G211" s="10" t="s">
        <v>11</v>
      </c>
      <c r="H211" s="10" t="s">
        <v>11</v>
      </c>
      <c r="I211" s="10" t="s">
        <v>11</v>
      </c>
    </row>
    <row r="212" spans="1:9" ht="15" hidden="1" customHeight="1" x14ac:dyDescent="0.3">
      <c r="A212" s="7" t="s">
        <v>586</v>
      </c>
      <c r="B212" s="47" t="str">
        <f t="shared" si="3"/>
        <v>INSTRUMENT_AMNT_D_AT_MTRTY</v>
      </c>
      <c r="C212" s="8" t="s">
        <v>414</v>
      </c>
      <c r="D212" s="9" t="s">
        <v>587</v>
      </c>
      <c r="E212" s="14" t="s">
        <v>588</v>
      </c>
      <c r="F212" s="10" t="s">
        <v>13</v>
      </c>
      <c r="G212" s="10" t="s">
        <v>11</v>
      </c>
      <c r="H212" s="10" t="s">
        <v>11</v>
      </c>
      <c r="I212" s="10" t="s">
        <v>11</v>
      </c>
    </row>
    <row r="213" spans="1:9" ht="15" hidden="1" customHeight="1" x14ac:dyDescent="0.3">
      <c r="A213" s="7" t="s">
        <v>589</v>
      </c>
      <c r="B213" s="47" t="str">
        <f t="shared" si="3"/>
        <v>INSTRUMENT_CCF</v>
      </c>
      <c r="C213" s="8" t="s">
        <v>414</v>
      </c>
      <c r="D213" s="9" t="s">
        <v>590</v>
      </c>
      <c r="E213" s="14" t="s">
        <v>591</v>
      </c>
      <c r="F213" s="10" t="s">
        <v>13</v>
      </c>
      <c r="G213" s="13" t="s">
        <v>13</v>
      </c>
      <c r="H213" s="10" t="s">
        <v>11</v>
      </c>
      <c r="I213" s="10" t="s">
        <v>11</v>
      </c>
    </row>
    <row r="214" spans="1:9" ht="15" hidden="1" customHeight="1" x14ac:dyDescent="0.3">
      <c r="A214" s="7" t="s">
        <v>592</v>
      </c>
      <c r="B214" s="47" t="str">
        <f t="shared" si="3"/>
        <v>INSTRUMENT_CMMTMNT_INCPTN_INSTRMNT</v>
      </c>
      <c r="C214" s="8" t="s">
        <v>414</v>
      </c>
      <c r="D214" s="9" t="s">
        <v>593</v>
      </c>
      <c r="E214" s="14" t="s">
        <v>594</v>
      </c>
      <c r="F214" s="10" t="s">
        <v>13</v>
      </c>
      <c r="G214" s="10" t="s">
        <v>11</v>
      </c>
      <c r="H214" s="10" t="s">
        <v>11</v>
      </c>
      <c r="I214" s="10" t="s">
        <v>11</v>
      </c>
    </row>
    <row r="215" spans="1:9" ht="15" hidden="1" customHeight="1" x14ac:dyDescent="0.3">
      <c r="A215" s="7" t="s">
        <v>595</v>
      </c>
      <c r="B215" s="47" t="str">
        <f t="shared" si="3"/>
        <v>INSTRUMENT_CMMTMNT_INSTRMNT</v>
      </c>
      <c r="C215" s="8" t="s">
        <v>414</v>
      </c>
      <c r="D215" s="9" t="s">
        <v>596</v>
      </c>
      <c r="E215" s="14" t="s">
        <v>597</v>
      </c>
      <c r="F215" s="10" t="s">
        <v>13</v>
      </c>
      <c r="G215" s="10" t="s">
        <v>11</v>
      </c>
      <c r="H215" s="10" t="s">
        <v>11</v>
      </c>
      <c r="I215" s="10" t="s">
        <v>11</v>
      </c>
    </row>
    <row r="216" spans="1:9" ht="15" hidden="1" customHeight="1" x14ac:dyDescent="0.3">
      <c r="A216" s="7" t="s">
        <v>598</v>
      </c>
      <c r="B216" s="47" t="str">
        <f t="shared" si="3"/>
        <v>INSTRUMENT_CRRYNG_AMNT_INSTRMNT</v>
      </c>
      <c r="C216" s="8" t="s">
        <v>414</v>
      </c>
      <c r="D216" s="9" t="s">
        <v>599</v>
      </c>
      <c r="E216" s="14" t="s">
        <v>600</v>
      </c>
      <c r="F216" s="10" t="s">
        <v>13</v>
      </c>
      <c r="G216" s="10" t="s">
        <v>11</v>
      </c>
      <c r="H216" s="10" t="s">
        <v>11</v>
      </c>
      <c r="I216" s="10" t="s">
        <v>11</v>
      </c>
    </row>
    <row r="217" spans="1:9" ht="15" hidden="1" customHeight="1" x14ac:dyDescent="0.3">
      <c r="A217" s="7" t="s">
        <v>601</v>
      </c>
      <c r="B217" s="47" t="str">
        <f t="shared" si="3"/>
        <v>INSTRUMENT_DBT_YLD</v>
      </c>
      <c r="C217" s="8" t="s">
        <v>414</v>
      </c>
      <c r="D217" s="9" t="s">
        <v>602</v>
      </c>
      <c r="E217" s="14" t="s">
        <v>603</v>
      </c>
      <c r="F217" s="10" t="s">
        <v>13</v>
      </c>
      <c r="G217" s="10" t="s">
        <v>11</v>
      </c>
      <c r="H217" s="10" t="s">
        <v>11</v>
      </c>
      <c r="I217" s="10" t="s">
        <v>11</v>
      </c>
    </row>
    <row r="218" spans="1:9" ht="15" hidden="1" customHeight="1" x14ac:dyDescent="0.3">
      <c r="A218" s="7" t="s">
        <v>604</v>
      </c>
      <c r="B218" s="47" t="str">
        <f t="shared" si="3"/>
        <v>INSTRUMENT_DT_LGL_FNL_MTRTY</v>
      </c>
      <c r="C218" s="8" t="s">
        <v>414</v>
      </c>
      <c r="D218" s="9" t="s">
        <v>605</v>
      </c>
      <c r="E218" s="14" t="s">
        <v>606</v>
      </c>
      <c r="F218" s="10" t="s">
        <v>13</v>
      </c>
      <c r="G218" s="10" t="s">
        <v>11</v>
      </c>
      <c r="H218" s="10" t="s">
        <v>13</v>
      </c>
      <c r="I218" s="10" t="s">
        <v>11</v>
      </c>
    </row>
    <row r="219" spans="1:9" ht="15" hidden="1" customHeight="1" x14ac:dyDescent="0.3">
      <c r="A219" s="7" t="s">
        <v>607</v>
      </c>
      <c r="B219" s="47" t="str">
        <f t="shared" si="3"/>
        <v>INSTRUMENT_DT_NXT_INTRST_RT_RST</v>
      </c>
      <c r="C219" s="8" t="s">
        <v>414</v>
      </c>
      <c r="D219" s="9" t="s">
        <v>608</v>
      </c>
      <c r="E219" s="14" t="s">
        <v>609</v>
      </c>
      <c r="F219" s="10" t="s">
        <v>13</v>
      </c>
      <c r="G219" s="10" t="s">
        <v>11</v>
      </c>
      <c r="H219" s="10" t="s">
        <v>11</v>
      </c>
      <c r="I219" s="10" t="s">
        <v>11</v>
      </c>
    </row>
    <row r="220" spans="1:9" ht="15" hidden="1" customHeight="1" x14ac:dyDescent="0.3">
      <c r="A220" s="7" t="s">
        <v>610</v>
      </c>
      <c r="B220" s="47" t="str">
        <f t="shared" si="3"/>
        <v>INSTRUMENT_DT_ORGNL_MTRTY</v>
      </c>
      <c r="C220" s="8" t="s">
        <v>414</v>
      </c>
      <c r="D220" s="9" t="s">
        <v>611</v>
      </c>
      <c r="E220" s="14" t="s">
        <v>612</v>
      </c>
      <c r="F220" s="10" t="s">
        <v>13</v>
      </c>
      <c r="G220" s="10" t="s">
        <v>11</v>
      </c>
      <c r="H220" s="10" t="s">
        <v>11</v>
      </c>
      <c r="I220" s="10" t="s">
        <v>11</v>
      </c>
    </row>
    <row r="221" spans="1:9" ht="15" hidden="1" customHeight="1" x14ac:dyDescent="0.3">
      <c r="A221" s="7" t="s">
        <v>613</v>
      </c>
      <c r="B221" s="47" t="str">
        <f t="shared" si="3"/>
        <v>INSTRUMENT_IFRS9_BHVRL_MTRTY</v>
      </c>
      <c r="C221" s="8" t="s">
        <v>414</v>
      </c>
      <c r="D221" s="9" t="s">
        <v>614</v>
      </c>
      <c r="E221" s="14" t="s">
        <v>615</v>
      </c>
      <c r="F221" s="10" t="s">
        <v>13</v>
      </c>
      <c r="G221" s="10" t="s">
        <v>11</v>
      </c>
      <c r="H221" s="10" t="s">
        <v>11</v>
      </c>
      <c r="I221" s="10" t="s">
        <v>11</v>
      </c>
    </row>
    <row r="222" spans="1:9" ht="15" hidden="1" customHeight="1" x14ac:dyDescent="0.3">
      <c r="A222" s="7" t="s">
        <v>616</v>
      </c>
      <c r="B222" s="47" t="str">
        <f t="shared" si="3"/>
        <v>INSTRUMENT_EAD</v>
      </c>
      <c r="C222" s="8" t="s">
        <v>414</v>
      </c>
      <c r="D222" s="9" t="s">
        <v>617</v>
      </c>
      <c r="E222" s="14" t="s">
        <v>618</v>
      </c>
      <c r="F222" s="10" t="s">
        <v>13</v>
      </c>
      <c r="G222" s="13" t="s">
        <v>13</v>
      </c>
      <c r="H222" s="10" t="s">
        <v>11</v>
      </c>
      <c r="I222" s="10" t="s">
        <v>13</v>
      </c>
    </row>
    <row r="223" spans="1:9" ht="15" hidden="1" customHeight="1" x14ac:dyDescent="0.3">
      <c r="A223" s="7" t="s">
        <v>619</v>
      </c>
      <c r="B223" s="47" t="str">
        <f t="shared" si="3"/>
        <v>INSTRUMENT_IFRS9_CCF</v>
      </c>
      <c r="C223" s="8" t="s">
        <v>414</v>
      </c>
      <c r="D223" s="9" t="s">
        <v>620</v>
      </c>
      <c r="E223" s="14" t="s">
        <v>621</v>
      </c>
      <c r="F223" s="10" t="s">
        <v>13</v>
      </c>
      <c r="G223" s="10" t="s">
        <v>11</v>
      </c>
      <c r="H223" s="10" t="s">
        <v>11</v>
      </c>
      <c r="I223" s="10" t="s">
        <v>11</v>
      </c>
    </row>
    <row r="224" spans="1:9" ht="15" hidden="1" customHeight="1" x14ac:dyDescent="0.3">
      <c r="A224" s="7" t="s">
        <v>622</v>
      </c>
      <c r="B224" s="47" t="str">
        <f t="shared" si="3"/>
        <v>INSTRUMENT_IFRS9_EAD</v>
      </c>
      <c r="C224" s="8" t="s">
        <v>414</v>
      </c>
      <c r="D224" s="9" t="s">
        <v>623</v>
      </c>
      <c r="E224" s="14" t="s">
        <v>624</v>
      </c>
      <c r="F224" s="10" t="s">
        <v>13</v>
      </c>
      <c r="G224" s="10" t="s">
        <v>11</v>
      </c>
      <c r="H224" s="10" t="s">
        <v>11</v>
      </c>
      <c r="I224" s="10" t="s">
        <v>11</v>
      </c>
    </row>
    <row r="225" spans="1:9" ht="15" hidden="1" customHeight="1" x14ac:dyDescent="0.3">
      <c r="A225" s="7" t="s">
        <v>625</v>
      </c>
      <c r="B225" s="47" t="str">
        <f t="shared" si="3"/>
        <v>INSTRUMENT_INSTLMNT_PAY</v>
      </c>
      <c r="C225" s="8" t="s">
        <v>414</v>
      </c>
      <c r="D225" s="9" t="s">
        <v>626</v>
      </c>
      <c r="E225" s="14" t="s">
        <v>627</v>
      </c>
      <c r="F225" s="10" t="s">
        <v>13</v>
      </c>
      <c r="G225" s="10" t="s">
        <v>11</v>
      </c>
      <c r="H225" s="10" t="s">
        <v>11</v>
      </c>
      <c r="I225" s="10" t="s">
        <v>11</v>
      </c>
    </row>
    <row r="226" spans="1:9" ht="15" hidden="1" customHeight="1" x14ac:dyDescent="0.3">
      <c r="A226" s="7" t="s">
        <v>628</v>
      </c>
      <c r="B226" s="47" t="str">
        <f t="shared" si="3"/>
        <v>INSTRUMENT_OFF_BLNC_SHT_AMNT_INSTRMNT</v>
      </c>
      <c r="C226" s="8" t="s">
        <v>414</v>
      </c>
      <c r="D226" s="9" t="s">
        <v>629</v>
      </c>
      <c r="E226" s="14" t="s">
        <v>630</v>
      </c>
      <c r="F226" s="10" t="s">
        <v>13</v>
      </c>
      <c r="G226" s="10" t="s">
        <v>13</v>
      </c>
      <c r="H226" s="10" t="s">
        <v>11</v>
      </c>
      <c r="I226" s="10" t="s">
        <v>13</v>
      </c>
    </row>
    <row r="227" spans="1:9" ht="15" hidden="1" customHeight="1" x14ac:dyDescent="0.3">
      <c r="A227" s="7" t="s">
        <v>631</v>
      </c>
      <c r="B227" s="47" t="str">
        <f t="shared" si="3"/>
        <v>INSTRUMENT_OFF_BLNC_SHT_AMNT_INSTRMNT_PRVS</v>
      </c>
      <c r="C227" s="8" t="s">
        <v>414</v>
      </c>
      <c r="D227" s="9" t="s">
        <v>632</v>
      </c>
      <c r="E227" s="14" t="s">
        <v>633</v>
      </c>
      <c r="F227" s="10" t="s">
        <v>13</v>
      </c>
      <c r="G227" s="10" t="s">
        <v>11</v>
      </c>
      <c r="H227" s="10" t="s">
        <v>11</v>
      </c>
      <c r="I227" s="10" t="s">
        <v>11</v>
      </c>
    </row>
    <row r="228" spans="1:9" ht="15" hidden="1" customHeight="1" x14ac:dyDescent="0.3">
      <c r="A228" s="7" t="s">
        <v>634</v>
      </c>
      <c r="B228" s="47" t="str">
        <f t="shared" si="3"/>
        <v>INSTRUMENT_OTSTNDNG_NMNL_AMNT_INSTRMNT</v>
      </c>
      <c r="C228" s="8" t="s">
        <v>414</v>
      </c>
      <c r="D228" s="9" t="s">
        <v>635</v>
      </c>
      <c r="E228" s="14" t="s">
        <v>636</v>
      </c>
      <c r="F228" s="10" t="s">
        <v>13</v>
      </c>
      <c r="G228" s="10" t="s">
        <v>11</v>
      </c>
      <c r="H228" s="10" t="s">
        <v>11</v>
      </c>
      <c r="I228" s="10" t="s">
        <v>11</v>
      </c>
    </row>
    <row r="229" spans="1:9" ht="15" hidden="1" customHeight="1" x14ac:dyDescent="0.3">
      <c r="A229" s="7" t="s">
        <v>637</v>
      </c>
      <c r="B229" s="47" t="str">
        <f t="shared" si="3"/>
        <v>INSTRUMENT_OTSTNDNG_NMNL_AMNT_INSTRMNT_PRVS</v>
      </c>
      <c r="C229" s="8" t="s">
        <v>414</v>
      </c>
      <c r="D229" s="9" t="s">
        <v>638</v>
      </c>
      <c r="E229" s="14" t="s">
        <v>639</v>
      </c>
      <c r="F229" s="10" t="s">
        <v>13</v>
      </c>
      <c r="G229" s="10" t="s">
        <v>11</v>
      </c>
      <c r="H229" s="10" t="s">
        <v>11</v>
      </c>
      <c r="I229" s="10" t="s">
        <v>11</v>
      </c>
    </row>
    <row r="230" spans="1:9" ht="15" hidden="1" customHeight="1" x14ac:dyDescent="0.3">
      <c r="A230" s="7" t="s">
        <v>640</v>
      </c>
      <c r="B230" s="47" t="str">
        <f t="shared" si="3"/>
        <v>INSTRUMENT_PRVSNS_OFF_BLNC_SHT</v>
      </c>
      <c r="C230" s="8" t="s">
        <v>414</v>
      </c>
      <c r="D230" s="9" t="s">
        <v>641</v>
      </c>
      <c r="E230" s="14" t="s">
        <v>642</v>
      </c>
      <c r="F230" s="10" t="s">
        <v>13</v>
      </c>
      <c r="G230" s="10" t="s">
        <v>13</v>
      </c>
      <c r="H230" s="10" t="s">
        <v>11</v>
      </c>
      <c r="I230" s="10" t="s">
        <v>11</v>
      </c>
    </row>
    <row r="231" spans="1:9" ht="15" hidden="1" customHeight="1" x14ac:dyDescent="0.3">
      <c r="A231" s="7" t="s">
        <v>643</v>
      </c>
      <c r="B231" s="47" t="str">
        <f t="shared" si="3"/>
        <v>INSTRUMENT_PYMNT_FRQNCY</v>
      </c>
      <c r="C231" s="8" t="s">
        <v>414</v>
      </c>
      <c r="D231" s="9" t="s">
        <v>644</v>
      </c>
      <c r="E231" s="14" t="s">
        <v>645</v>
      </c>
      <c r="F231" s="10" t="s">
        <v>13</v>
      </c>
      <c r="G231" s="10" t="s">
        <v>11</v>
      </c>
      <c r="H231" s="10" t="s">
        <v>11</v>
      </c>
      <c r="I231" s="10" t="s">
        <v>11</v>
      </c>
    </row>
    <row r="232" spans="1:9" ht="15" hidden="1" customHeight="1" x14ac:dyDescent="0.3">
      <c r="A232" s="7" t="s">
        <v>646</v>
      </c>
      <c r="B232" s="47" t="str">
        <f t="shared" si="3"/>
        <v>INSTRUMENT_RTNTN_SHR</v>
      </c>
      <c r="C232" s="8" t="s">
        <v>414</v>
      </c>
      <c r="D232" s="9" t="s">
        <v>647</v>
      </c>
      <c r="E232" s="14" t="s">
        <v>648</v>
      </c>
      <c r="F232" s="10" t="s">
        <v>13</v>
      </c>
      <c r="G232" s="10" t="s">
        <v>11</v>
      </c>
      <c r="H232" s="10" t="s">
        <v>11</v>
      </c>
      <c r="I232" s="10" t="s">
        <v>11</v>
      </c>
    </row>
    <row r="233" spans="1:9" ht="15" hidden="1" customHeight="1" x14ac:dyDescent="0.3">
      <c r="A233" s="7" t="s">
        <v>649</v>
      </c>
      <c r="B233" s="47" t="str">
        <f t="shared" si="3"/>
        <v>INSTRUMENT_RWA</v>
      </c>
      <c r="C233" s="8" t="s">
        <v>414</v>
      </c>
      <c r="D233" s="9" t="s">
        <v>650</v>
      </c>
      <c r="E233" s="14" t="s">
        <v>650</v>
      </c>
      <c r="F233" s="10" t="s">
        <v>13</v>
      </c>
      <c r="G233" s="10" t="s">
        <v>13</v>
      </c>
      <c r="H233" s="10" t="s">
        <v>11</v>
      </c>
      <c r="I233" s="10" t="s">
        <v>11</v>
      </c>
    </row>
    <row r="234" spans="1:9" ht="15" hidden="1" customHeight="1" x14ac:dyDescent="0.3">
      <c r="A234" s="7" t="s">
        <v>651</v>
      </c>
      <c r="B234" s="47" t="str">
        <f t="shared" si="3"/>
        <v>INSTRUMENT_RWA_MTHD</v>
      </c>
      <c r="C234" s="8" t="s">
        <v>414</v>
      </c>
      <c r="D234" s="9" t="s">
        <v>652</v>
      </c>
      <c r="E234" s="14" t="s">
        <v>653</v>
      </c>
      <c r="F234" s="10" t="s">
        <v>13</v>
      </c>
      <c r="G234" s="10" t="s">
        <v>11</v>
      </c>
      <c r="H234" s="10" t="s">
        <v>11</v>
      </c>
      <c r="I234" s="10" t="s">
        <v>11</v>
      </c>
    </row>
    <row r="235" spans="1:9" ht="15" hidden="1" customHeight="1" x14ac:dyDescent="0.3">
      <c r="A235" s="7" t="s">
        <v>654</v>
      </c>
      <c r="B235" s="47" t="str">
        <f t="shared" si="3"/>
        <v>INSTRUMENT_SPNSR_NM</v>
      </c>
      <c r="C235" s="8" t="s">
        <v>414</v>
      </c>
      <c r="D235" s="9" t="s">
        <v>655</v>
      </c>
      <c r="E235" s="14" t="s">
        <v>656</v>
      </c>
      <c r="F235" s="10" t="s">
        <v>13</v>
      </c>
      <c r="G235" s="10" t="s">
        <v>11</v>
      </c>
      <c r="H235" s="10" t="s">
        <v>11</v>
      </c>
      <c r="I235" s="10" t="s">
        <v>11</v>
      </c>
    </row>
    <row r="236" spans="1:9" ht="15" hidden="1" customHeight="1" x14ac:dyDescent="0.3">
      <c r="A236" s="7" t="s">
        <v>657</v>
      </c>
      <c r="B236" s="47" t="str">
        <f t="shared" si="3"/>
        <v>INSTRUMENT_ACCMLTD_IMPRMNT_INSTRMNT</v>
      </c>
      <c r="C236" s="8" t="s">
        <v>414</v>
      </c>
      <c r="D236" s="9" t="s">
        <v>658</v>
      </c>
      <c r="E236" s="14" t="s">
        <v>659</v>
      </c>
      <c r="F236" s="10" t="s">
        <v>13</v>
      </c>
      <c r="G236" s="10" t="s">
        <v>13</v>
      </c>
      <c r="H236" s="10" t="s">
        <v>13</v>
      </c>
      <c r="I236" s="10" t="s">
        <v>11</v>
      </c>
    </row>
    <row r="237" spans="1:9" ht="15" hidden="1" customHeight="1" x14ac:dyDescent="0.3">
      <c r="A237" s="7" t="s">
        <v>660</v>
      </c>
      <c r="B237" s="47" t="str">
        <f t="shared" si="3"/>
        <v>INSTRUMENT_ACCMLTD_IMPRMNT_INSTRMNT_PRVS</v>
      </c>
      <c r="C237" s="8" t="s">
        <v>414</v>
      </c>
      <c r="D237" s="9" t="s">
        <v>661</v>
      </c>
      <c r="E237" s="14" t="s">
        <v>662</v>
      </c>
      <c r="F237" s="10" t="s">
        <v>13</v>
      </c>
      <c r="G237" s="10" t="s">
        <v>11</v>
      </c>
      <c r="H237" s="10" t="s">
        <v>11</v>
      </c>
      <c r="I237" s="10" t="s">
        <v>11</v>
      </c>
    </row>
    <row r="238" spans="1:9" ht="15" hidden="1" customHeight="1" x14ac:dyDescent="0.3">
      <c r="A238" s="7" t="s">
        <v>663</v>
      </c>
      <c r="B238" s="47" t="str">
        <f t="shared" si="3"/>
        <v>INSTRUMENT_ACCMLTD_WRTFFS_INSTRMNT</v>
      </c>
      <c r="C238" s="8" t="s">
        <v>414</v>
      </c>
      <c r="D238" s="9" t="s">
        <v>664</v>
      </c>
      <c r="E238" s="14" t="s">
        <v>665</v>
      </c>
      <c r="F238" s="10" t="s">
        <v>13</v>
      </c>
      <c r="G238" s="10" t="s">
        <v>11</v>
      </c>
      <c r="H238" s="10" t="s">
        <v>11</v>
      </c>
      <c r="I238" s="10" t="s">
        <v>11</v>
      </c>
    </row>
    <row r="239" spans="1:9" ht="15" hidden="1" customHeight="1" x14ac:dyDescent="0.3">
      <c r="A239" s="7" t="s">
        <v>666</v>
      </c>
      <c r="B239" s="47" t="str">
        <f t="shared" si="3"/>
        <v>INSTRUMENT_ARRRS_INSTRMNT</v>
      </c>
      <c r="C239" s="8" t="s">
        <v>414</v>
      </c>
      <c r="D239" s="9" t="s">
        <v>667</v>
      </c>
      <c r="E239" s="14" t="s">
        <v>668</v>
      </c>
      <c r="F239" s="10" t="s">
        <v>13</v>
      </c>
      <c r="G239" s="10" t="s">
        <v>11</v>
      </c>
      <c r="H239" s="10" t="s">
        <v>11</v>
      </c>
      <c r="I239" s="10" t="s">
        <v>11</v>
      </c>
    </row>
    <row r="240" spans="1:9" ht="15" hidden="1" customHeight="1" x14ac:dyDescent="0.3">
      <c r="A240" s="7" t="s">
        <v>669</v>
      </c>
      <c r="B240" s="47" t="str">
        <f t="shared" si="3"/>
        <v>INSTRUMENT_ARRRS_INSTRMNT_12M</v>
      </c>
      <c r="C240" s="8" t="s">
        <v>414</v>
      </c>
      <c r="D240" s="9" t="s">
        <v>670</v>
      </c>
      <c r="E240" s="14" t="s">
        <v>671</v>
      </c>
      <c r="F240" s="10" t="s">
        <v>13</v>
      </c>
      <c r="G240" s="10" t="s">
        <v>11</v>
      </c>
      <c r="H240" s="10" t="s">
        <v>11</v>
      </c>
      <c r="I240" s="10" t="s">
        <v>11</v>
      </c>
    </row>
    <row r="241" spans="1:9" ht="15" hidden="1" customHeight="1" x14ac:dyDescent="0.3">
      <c r="A241" s="7" t="s">
        <v>672</v>
      </c>
      <c r="B241" s="47" t="str">
        <f t="shared" si="3"/>
        <v>INSTRUMENT_CMLTV_RCVRS_SNC_DFLT_INSTRMNT</v>
      </c>
      <c r="C241" s="8" t="s">
        <v>414</v>
      </c>
      <c r="D241" s="9" t="s">
        <v>673</v>
      </c>
      <c r="E241" s="14" t="s">
        <v>674</v>
      </c>
      <c r="F241" s="10" t="s">
        <v>13</v>
      </c>
      <c r="G241" s="10" t="s">
        <v>11</v>
      </c>
      <c r="H241" s="10" t="s">
        <v>11</v>
      </c>
      <c r="I241" s="10" t="s">
        <v>11</v>
      </c>
    </row>
    <row r="242" spans="1:9" ht="15" hidden="1" customHeight="1" x14ac:dyDescent="0.3">
      <c r="A242" s="7" t="s">
        <v>675</v>
      </c>
      <c r="B242" s="47" t="str">
        <f t="shared" si="3"/>
        <v>INSTRUMENT_DPD</v>
      </c>
      <c r="C242" s="8" t="s">
        <v>414</v>
      </c>
      <c r="D242" s="9" t="s">
        <v>676</v>
      </c>
      <c r="E242" s="14" t="s">
        <v>677</v>
      </c>
      <c r="F242" s="10" t="s">
        <v>13</v>
      </c>
      <c r="G242" s="10" t="s">
        <v>11</v>
      </c>
      <c r="H242" s="10" t="s">
        <v>11</v>
      </c>
      <c r="I242" s="10" t="s">
        <v>11</v>
      </c>
    </row>
    <row r="243" spans="1:9" ht="15" hidden="1" customHeight="1" x14ac:dyDescent="0.3">
      <c r="A243" s="7" t="s">
        <v>678</v>
      </c>
      <c r="B243" s="47" t="str">
        <f t="shared" si="3"/>
        <v>INSTRUMENT_DPD_12M</v>
      </c>
      <c r="C243" s="8" t="s">
        <v>414</v>
      </c>
      <c r="D243" s="9" t="s">
        <v>679</v>
      </c>
      <c r="E243" s="14" t="s">
        <v>680</v>
      </c>
      <c r="F243" s="10" t="s">
        <v>13</v>
      </c>
      <c r="G243" s="10" t="s">
        <v>11</v>
      </c>
      <c r="H243" s="10" t="s">
        <v>11</v>
      </c>
      <c r="I243" s="10" t="s">
        <v>11</v>
      </c>
    </row>
    <row r="244" spans="1:9" ht="15" hidden="1" customHeight="1" x14ac:dyDescent="0.3">
      <c r="A244" s="7" t="s">
        <v>681</v>
      </c>
      <c r="B244" s="47" t="str">
        <f t="shared" si="3"/>
        <v>INSTRUMENT_DPD_12M_FRBRNC_STTS</v>
      </c>
      <c r="C244" s="8" t="s">
        <v>414</v>
      </c>
      <c r="D244" s="9" t="s">
        <v>682</v>
      </c>
      <c r="E244" s="14" t="s">
        <v>683</v>
      </c>
      <c r="F244" s="10" t="s">
        <v>13</v>
      </c>
      <c r="G244" s="10" t="s">
        <v>11</v>
      </c>
      <c r="H244" s="10" t="s">
        <v>11</v>
      </c>
      <c r="I244" s="10" t="s">
        <v>11</v>
      </c>
    </row>
    <row r="245" spans="1:9" ht="15" hidden="1" customHeight="1" x14ac:dyDescent="0.3">
      <c r="A245" s="7" t="s">
        <v>684</v>
      </c>
      <c r="B245" s="47" t="str">
        <f t="shared" si="3"/>
        <v>INSTRUMENT_DPD_12M_PRFRMNG_STTS</v>
      </c>
      <c r="C245" s="8" t="s">
        <v>414</v>
      </c>
      <c r="D245" s="9" t="s">
        <v>685</v>
      </c>
      <c r="E245" s="14" t="s">
        <v>686</v>
      </c>
      <c r="F245" s="10" t="s">
        <v>13</v>
      </c>
      <c r="G245" s="10" t="s">
        <v>11</v>
      </c>
      <c r="H245" s="10" t="s">
        <v>11</v>
      </c>
      <c r="I245" s="10" t="s">
        <v>11</v>
      </c>
    </row>
    <row r="246" spans="1:9" ht="15" hidden="1" customHeight="1" x14ac:dyDescent="0.3">
      <c r="A246" s="7" t="s">
        <v>687</v>
      </c>
      <c r="B246" s="47" t="str">
        <f t="shared" si="3"/>
        <v>INSTRUMENT_DPD_24M_FRBRNC_STTS</v>
      </c>
      <c r="C246" s="8" t="s">
        <v>414</v>
      </c>
      <c r="D246" s="9" t="s">
        <v>688</v>
      </c>
      <c r="E246" s="14" t="s">
        <v>689</v>
      </c>
      <c r="F246" s="10" t="s">
        <v>13</v>
      </c>
      <c r="G246" s="10" t="s">
        <v>11</v>
      </c>
      <c r="H246" s="10" t="s">
        <v>11</v>
      </c>
      <c r="I246" s="10" t="s">
        <v>11</v>
      </c>
    </row>
    <row r="247" spans="1:9" ht="15" hidden="1" customHeight="1" x14ac:dyDescent="0.3">
      <c r="A247" s="7" t="s">
        <v>690</v>
      </c>
      <c r="B247" s="47" t="str">
        <f t="shared" si="3"/>
        <v>INSTRUMENT_DPD_24M_PRFRMNG_STTS</v>
      </c>
      <c r="C247" s="8" t="s">
        <v>414</v>
      </c>
      <c r="D247" s="9" t="s">
        <v>691</v>
      </c>
      <c r="E247" s="14" t="s">
        <v>692</v>
      </c>
      <c r="F247" s="10" t="s">
        <v>13</v>
      </c>
      <c r="G247" s="10" t="s">
        <v>11</v>
      </c>
      <c r="H247" s="10" t="s">
        <v>11</v>
      </c>
      <c r="I247" s="10" t="s">
        <v>11</v>
      </c>
    </row>
    <row r="248" spans="1:9" ht="15" hidden="1" customHeight="1" x14ac:dyDescent="0.3">
      <c r="A248" s="7" t="s">
        <v>693</v>
      </c>
      <c r="B248" s="47" t="str">
        <f t="shared" si="3"/>
        <v>INSTRUMENT_DPD_FRBRNC_STTS</v>
      </c>
      <c r="C248" s="8" t="s">
        <v>414</v>
      </c>
      <c r="D248" s="9" t="s">
        <v>694</v>
      </c>
      <c r="E248" s="14" t="s">
        <v>695</v>
      </c>
      <c r="F248" s="10" t="s">
        <v>13</v>
      </c>
      <c r="G248" s="10" t="s">
        <v>11</v>
      </c>
      <c r="H248" s="10" t="s">
        <v>11</v>
      </c>
      <c r="I248" s="10" t="s">
        <v>11</v>
      </c>
    </row>
    <row r="249" spans="1:9" ht="15" hidden="1" customHeight="1" x14ac:dyDescent="0.3">
      <c r="A249" s="7" t="s">
        <v>696</v>
      </c>
      <c r="B249" s="47" t="str">
        <f t="shared" si="3"/>
        <v>INSTRUMENT_DPD_PRFRMNG_STTS</v>
      </c>
      <c r="C249" s="8" t="s">
        <v>414</v>
      </c>
      <c r="D249" s="9" t="s">
        <v>697</v>
      </c>
      <c r="E249" s="14" t="s">
        <v>698</v>
      </c>
      <c r="F249" s="10" t="s">
        <v>13</v>
      </c>
      <c r="G249" s="10" t="s">
        <v>11</v>
      </c>
      <c r="H249" s="10" t="s">
        <v>11</v>
      </c>
      <c r="I249" s="10" t="s">
        <v>11</v>
      </c>
    </row>
    <row r="250" spans="1:9" ht="15" hidden="1" customHeight="1" x14ac:dyDescent="0.3">
      <c r="A250" s="7" t="s">
        <v>699</v>
      </c>
      <c r="B250" s="47" t="str">
        <f t="shared" si="3"/>
        <v>INSTRUMENT_DT_IMPRMNT_STTS</v>
      </c>
      <c r="C250" s="8" t="s">
        <v>414</v>
      </c>
      <c r="D250" s="9" t="s">
        <v>700</v>
      </c>
      <c r="E250" s="14" t="s">
        <v>701</v>
      </c>
      <c r="F250" s="10" t="s">
        <v>13</v>
      </c>
      <c r="G250" s="10" t="s">
        <v>11</v>
      </c>
      <c r="H250" s="10" t="s">
        <v>11</v>
      </c>
      <c r="I250" s="10" t="s">
        <v>11</v>
      </c>
    </row>
    <row r="251" spans="1:9" ht="15" hidden="1" customHeight="1" x14ac:dyDescent="0.3">
      <c r="A251" s="7" t="s">
        <v>702</v>
      </c>
      <c r="B251" s="47" t="str">
        <f t="shared" si="3"/>
        <v>INSTRUMENT_DT_IMPRMNT_STTS_PRVS</v>
      </c>
      <c r="C251" s="8" t="s">
        <v>414</v>
      </c>
      <c r="D251" s="9" t="s">
        <v>703</v>
      </c>
      <c r="E251" s="14" t="s">
        <v>704</v>
      </c>
      <c r="F251" s="10" t="s">
        <v>13</v>
      </c>
      <c r="G251" s="10" t="s">
        <v>11</v>
      </c>
      <c r="H251" s="10" t="s">
        <v>11</v>
      </c>
      <c r="I251" s="10" t="s">
        <v>11</v>
      </c>
    </row>
    <row r="252" spans="1:9" ht="15" hidden="1" customHeight="1" x14ac:dyDescent="0.3">
      <c r="A252" s="7" t="s">
        <v>705</v>
      </c>
      <c r="B252" s="47" t="str">
        <f t="shared" si="3"/>
        <v>INSTRUMENT_DT_PST_D</v>
      </c>
      <c r="C252" s="8" t="s">
        <v>414</v>
      </c>
      <c r="D252" s="9" t="s">
        <v>706</v>
      </c>
      <c r="E252" s="14" t="s">
        <v>707</v>
      </c>
      <c r="F252" s="10" t="s">
        <v>13</v>
      </c>
      <c r="G252" s="10" t="s">
        <v>11</v>
      </c>
      <c r="H252" s="10" t="s">
        <v>11</v>
      </c>
      <c r="I252" s="10" t="s">
        <v>11</v>
      </c>
    </row>
    <row r="253" spans="1:9" ht="15" hidden="1" customHeight="1" x14ac:dyDescent="0.3">
      <c r="A253" s="7" t="s">
        <v>708</v>
      </c>
      <c r="B253" s="47" t="str">
        <f t="shared" si="3"/>
        <v>INSTRUMENT_IMPRMNT_ASSSSMNT_MTHD</v>
      </c>
      <c r="C253" s="8" t="s">
        <v>414</v>
      </c>
      <c r="D253" s="9" t="s">
        <v>709</v>
      </c>
      <c r="E253" s="14" t="s">
        <v>710</v>
      </c>
      <c r="F253" s="10" t="s">
        <v>13</v>
      </c>
      <c r="G253" s="10" t="s">
        <v>11</v>
      </c>
      <c r="H253" s="10" t="s">
        <v>11</v>
      </c>
      <c r="I253" s="10" t="s">
        <v>11</v>
      </c>
    </row>
    <row r="254" spans="1:9" ht="15" hidden="1" customHeight="1" x14ac:dyDescent="0.3">
      <c r="A254" s="7" t="s">
        <v>711</v>
      </c>
      <c r="B254" s="47" t="str">
        <f t="shared" si="3"/>
        <v>INSTRUMENT_IMPRMNT_CLCLTN_MTHD</v>
      </c>
      <c r="C254" s="8" t="s">
        <v>414</v>
      </c>
      <c r="D254" s="9" t="s">
        <v>712</v>
      </c>
      <c r="E254" s="14" t="s">
        <v>713</v>
      </c>
      <c r="F254" s="10" t="s">
        <v>13</v>
      </c>
      <c r="G254" s="10" t="s">
        <v>11</v>
      </c>
      <c r="H254" s="10" t="s">
        <v>11</v>
      </c>
      <c r="I254" s="10" t="s">
        <v>11</v>
      </c>
    </row>
    <row r="255" spans="1:9" ht="15" hidden="1" customHeight="1" x14ac:dyDescent="0.3">
      <c r="A255" s="7" t="s">
        <v>714</v>
      </c>
      <c r="B255" s="47" t="str">
        <f t="shared" si="3"/>
        <v>INSTRUMENT_NMBR_FRBRNC_MSRS</v>
      </c>
      <c r="C255" s="8" t="s">
        <v>414</v>
      </c>
      <c r="D255" s="9" t="s">
        <v>715</v>
      </c>
      <c r="E255" s="14" t="s">
        <v>716</v>
      </c>
      <c r="F255" s="10" t="s">
        <v>13</v>
      </c>
      <c r="G255" s="10" t="s">
        <v>11</v>
      </c>
      <c r="H255" s="10" t="s">
        <v>11</v>
      </c>
      <c r="I255" s="10" t="s">
        <v>11</v>
      </c>
    </row>
    <row r="256" spans="1:9" ht="15" hidden="1" customHeight="1" x14ac:dyDescent="0.3">
      <c r="A256" s="7" t="s">
        <v>717</v>
      </c>
      <c r="B256" s="47" t="str">
        <f t="shared" si="3"/>
        <v>INSTRUMENT_IFRS9_LGD</v>
      </c>
      <c r="C256" s="8" t="s">
        <v>414</v>
      </c>
      <c r="D256" s="9" t="s">
        <v>718</v>
      </c>
      <c r="E256" s="14" t="s">
        <v>719</v>
      </c>
      <c r="F256" s="10" t="s">
        <v>13</v>
      </c>
      <c r="G256" s="10" t="s">
        <v>11</v>
      </c>
      <c r="H256" s="10" t="s">
        <v>11</v>
      </c>
      <c r="I256" s="10" t="s">
        <v>11</v>
      </c>
    </row>
    <row r="257" spans="1:9" ht="15" hidden="1" customHeight="1" x14ac:dyDescent="0.3">
      <c r="A257" s="7" t="s">
        <v>720</v>
      </c>
      <c r="B257" s="47" t="str">
        <f t="shared" si="3"/>
        <v>INSTRUMENT_LGD</v>
      </c>
      <c r="C257" s="8" t="s">
        <v>414</v>
      </c>
      <c r="D257" s="9" t="s">
        <v>721</v>
      </c>
      <c r="E257" s="14" t="s">
        <v>722</v>
      </c>
      <c r="F257" s="10" t="s">
        <v>13</v>
      </c>
      <c r="G257" s="10" t="s">
        <v>11</v>
      </c>
      <c r="H257" s="10" t="s">
        <v>11</v>
      </c>
      <c r="I257" s="10" t="s">
        <v>11</v>
      </c>
    </row>
    <row r="258" spans="1:9" ht="15" hidden="1" customHeight="1" x14ac:dyDescent="0.3">
      <c r="A258" s="7" t="s">
        <v>723</v>
      </c>
      <c r="B258" s="47" t="str">
        <f t="shared" si="3"/>
        <v>INSTRUMENT_LTV</v>
      </c>
      <c r="C258" s="8" t="s">
        <v>414</v>
      </c>
      <c r="D258" s="9" t="s">
        <v>724</v>
      </c>
      <c r="E258" s="14" t="s">
        <v>725</v>
      </c>
      <c r="F258" s="10" t="s">
        <v>13</v>
      </c>
      <c r="G258" s="10" t="s">
        <v>11</v>
      </c>
      <c r="H258" s="10" t="s">
        <v>11</v>
      </c>
      <c r="I258" s="10" t="s">
        <v>11</v>
      </c>
    </row>
    <row r="259" spans="1:9" ht="15" hidden="1" customHeight="1" x14ac:dyDescent="0.3">
      <c r="A259" s="7" t="s">
        <v>726</v>
      </c>
      <c r="B259" s="47" t="str">
        <f t="shared" ref="B259:B322" si="4">C259&amp;"_"&amp;D259</f>
        <v>INSTRUMENT_LTV_INCPTN</v>
      </c>
      <c r="C259" s="8" t="s">
        <v>414</v>
      </c>
      <c r="D259" s="9" t="s">
        <v>727</v>
      </c>
      <c r="E259" s="14" t="s">
        <v>728</v>
      </c>
      <c r="F259" s="10" t="s">
        <v>13</v>
      </c>
      <c r="G259" s="10" t="s">
        <v>11</v>
      </c>
      <c r="H259" s="10" t="s">
        <v>11</v>
      </c>
      <c r="I259" s="10" t="s">
        <v>11</v>
      </c>
    </row>
    <row r="260" spans="1:9" ht="15" hidden="1" customHeight="1" x14ac:dyDescent="0.3">
      <c r="A260" s="7" t="s">
        <v>729</v>
      </c>
      <c r="B260" s="47" t="str">
        <f t="shared" si="4"/>
        <v>INSTRUMENT_LTV_NPE</v>
      </c>
      <c r="C260" s="8" t="s">
        <v>414</v>
      </c>
      <c r="D260" s="9" t="s">
        <v>730</v>
      </c>
      <c r="E260" s="14" t="s">
        <v>731</v>
      </c>
      <c r="F260" s="10" t="s">
        <v>13</v>
      </c>
      <c r="G260" s="10" t="s">
        <v>11</v>
      </c>
      <c r="H260" s="10" t="s">
        <v>11</v>
      </c>
      <c r="I260" s="10" t="s">
        <v>11</v>
      </c>
    </row>
    <row r="261" spans="1:9" ht="15" hidden="1" customHeight="1" x14ac:dyDescent="0.3">
      <c r="A261" s="7" t="s">
        <v>732</v>
      </c>
      <c r="B261" s="47" t="str">
        <f t="shared" si="4"/>
        <v>INSTRUMENT_PD_CRR_INCPTN</v>
      </c>
      <c r="C261" s="8" t="s">
        <v>414</v>
      </c>
      <c r="D261" s="9" t="s">
        <v>733</v>
      </c>
      <c r="E261" s="14" t="s">
        <v>734</v>
      </c>
      <c r="F261" s="10" t="s">
        <v>13</v>
      </c>
      <c r="G261" s="10" t="s">
        <v>11</v>
      </c>
      <c r="H261" s="10" t="s">
        <v>11</v>
      </c>
      <c r="I261" s="10" t="s">
        <v>11</v>
      </c>
    </row>
    <row r="262" spans="1:9" ht="15" hidden="1" customHeight="1" x14ac:dyDescent="0.3">
      <c r="A262" s="7" t="s">
        <v>735</v>
      </c>
      <c r="B262" s="47" t="str">
        <f t="shared" si="4"/>
        <v>INSTRUMENT_PD_CRR_RD</v>
      </c>
      <c r="C262" s="8" t="s">
        <v>414</v>
      </c>
      <c r="D262" s="9" t="s">
        <v>257</v>
      </c>
      <c r="E262" s="14" t="s">
        <v>258</v>
      </c>
      <c r="F262" s="10" t="s">
        <v>13</v>
      </c>
      <c r="G262" s="10" t="s">
        <v>11</v>
      </c>
      <c r="H262" s="10" t="s">
        <v>11</v>
      </c>
      <c r="I262" s="10" t="s">
        <v>11</v>
      </c>
    </row>
    <row r="263" spans="1:9" ht="15" hidden="1" customHeight="1" x14ac:dyDescent="0.3">
      <c r="A263" s="7" t="s">
        <v>736</v>
      </c>
      <c r="B263" s="47" t="str">
        <f t="shared" si="4"/>
        <v>INSTRUMENT_PD_CRR_RD_T1</v>
      </c>
      <c r="C263" s="8" t="s">
        <v>414</v>
      </c>
      <c r="D263" s="9" t="s">
        <v>278</v>
      </c>
      <c r="E263" s="14" t="s">
        <v>279</v>
      </c>
      <c r="F263" s="10" t="s">
        <v>13</v>
      </c>
      <c r="G263" s="10" t="s">
        <v>11</v>
      </c>
      <c r="H263" s="10" t="s">
        <v>11</v>
      </c>
      <c r="I263" s="10" t="s">
        <v>11</v>
      </c>
    </row>
    <row r="264" spans="1:9" ht="15" hidden="1" customHeight="1" x14ac:dyDescent="0.3">
      <c r="A264" s="7" t="s">
        <v>737</v>
      </c>
      <c r="B264" s="47" t="str">
        <f t="shared" si="4"/>
        <v>INSTRUMENT_PD_IFRS9_12M_INCPTN</v>
      </c>
      <c r="C264" s="8" t="s">
        <v>414</v>
      </c>
      <c r="D264" s="9" t="s">
        <v>738</v>
      </c>
      <c r="E264" s="14" t="s">
        <v>739</v>
      </c>
      <c r="F264" s="10" t="s">
        <v>13</v>
      </c>
      <c r="G264" s="10" t="s">
        <v>11</v>
      </c>
      <c r="H264" s="10" t="s">
        <v>11</v>
      </c>
      <c r="I264" s="10" t="s">
        <v>11</v>
      </c>
    </row>
    <row r="265" spans="1:9" ht="15" hidden="1" customHeight="1" x14ac:dyDescent="0.3">
      <c r="A265" s="7" t="s">
        <v>740</v>
      </c>
      <c r="B265" s="47" t="str">
        <f t="shared" si="4"/>
        <v>INSTRUMENT_PD_IFRS9_12M_RD</v>
      </c>
      <c r="C265" s="8" t="s">
        <v>414</v>
      </c>
      <c r="D265" s="9" t="s">
        <v>260</v>
      </c>
      <c r="E265" s="14" t="s">
        <v>261</v>
      </c>
      <c r="F265" s="10" t="s">
        <v>13</v>
      </c>
      <c r="G265" s="10" t="s">
        <v>11</v>
      </c>
      <c r="H265" s="10" t="s">
        <v>11</v>
      </c>
      <c r="I265" s="10" t="s">
        <v>11</v>
      </c>
    </row>
    <row r="266" spans="1:9" ht="15" hidden="1" customHeight="1" x14ac:dyDescent="0.3">
      <c r="A266" s="7" t="s">
        <v>741</v>
      </c>
      <c r="B266" s="47" t="str">
        <f t="shared" si="4"/>
        <v>INSTRUMENT_PD_IFRS9_12M_RD_T1</v>
      </c>
      <c r="C266" s="8" t="s">
        <v>414</v>
      </c>
      <c r="D266" s="9" t="s">
        <v>263</v>
      </c>
      <c r="E266" s="14" t="s">
        <v>264</v>
      </c>
      <c r="F266" s="10" t="s">
        <v>13</v>
      </c>
      <c r="G266" s="10" t="s">
        <v>11</v>
      </c>
      <c r="H266" s="10" t="s">
        <v>11</v>
      </c>
      <c r="I266" s="10" t="s">
        <v>11</v>
      </c>
    </row>
    <row r="267" spans="1:9" ht="15" hidden="1" customHeight="1" x14ac:dyDescent="0.3">
      <c r="A267" s="7" t="s">
        <v>742</v>
      </c>
      <c r="B267" s="47" t="str">
        <f t="shared" si="4"/>
        <v>INSTRUMENT_PD_IFRS9_LFTM_INCPTN</v>
      </c>
      <c r="C267" s="8" t="s">
        <v>414</v>
      </c>
      <c r="D267" s="9" t="s">
        <v>743</v>
      </c>
      <c r="E267" s="14" t="s">
        <v>744</v>
      </c>
      <c r="F267" s="10" t="s">
        <v>13</v>
      </c>
      <c r="G267" s="10" t="s">
        <v>11</v>
      </c>
      <c r="H267" s="10" t="s">
        <v>11</v>
      </c>
      <c r="I267" s="10" t="s">
        <v>11</v>
      </c>
    </row>
    <row r="268" spans="1:9" ht="15" hidden="1" customHeight="1" x14ac:dyDescent="0.3">
      <c r="A268" s="7" t="s">
        <v>745</v>
      </c>
      <c r="B268" s="47" t="str">
        <f t="shared" si="4"/>
        <v>INSTRUMENT_PD_IFRS9_RMNNG_LFTM_INCPTN</v>
      </c>
      <c r="C268" s="8" t="s">
        <v>414</v>
      </c>
      <c r="D268" s="9" t="s">
        <v>746</v>
      </c>
      <c r="E268" s="14" t="s">
        <v>747</v>
      </c>
      <c r="F268" s="10" t="s">
        <v>13</v>
      </c>
      <c r="G268" s="10" t="s">
        <v>11</v>
      </c>
      <c r="H268" s="10" t="s">
        <v>11</v>
      </c>
      <c r="I268" s="10" t="s">
        <v>11</v>
      </c>
    </row>
    <row r="269" spans="1:9" ht="15" hidden="1" customHeight="1" x14ac:dyDescent="0.3">
      <c r="A269" s="7" t="s">
        <v>748</v>
      </c>
      <c r="B269" s="47" t="str">
        <f t="shared" si="4"/>
        <v>INSTRUMENT_PD_IFRS9_RMNNG_LFTM_RD</v>
      </c>
      <c r="C269" s="8" t="s">
        <v>414</v>
      </c>
      <c r="D269" s="9" t="s">
        <v>749</v>
      </c>
      <c r="E269" s="14" t="s">
        <v>750</v>
      </c>
      <c r="F269" s="10" t="s">
        <v>13</v>
      </c>
      <c r="G269" s="10" t="s">
        <v>11</v>
      </c>
      <c r="H269" s="10" t="s">
        <v>11</v>
      </c>
      <c r="I269" s="10" t="s">
        <v>11</v>
      </c>
    </row>
    <row r="270" spans="1:9" ht="15" hidden="1" customHeight="1" x14ac:dyDescent="0.3">
      <c r="A270" s="7" t="s">
        <v>751</v>
      </c>
      <c r="B270" s="47" t="str">
        <f t="shared" si="4"/>
        <v>INSTRUMENT_RTNG_MTHD</v>
      </c>
      <c r="C270" s="8" t="s">
        <v>414</v>
      </c>
      <c r="D270" s="9" t="s">
        <v>143</v>
      </c>
      <c r="E270" s="14" t="s">
        <v>144</v>
      </c>
      <c r="F270" s="10" t="s">
        <v>13</v>
      </c>
      <c r="G270" s="10" t="s">
        <v>11</v>
      </c>
      <c r="H270" s="10" t="s">
        <v>11</v>
      </c>
      <c r="I270" s="10" t="s">
        <v>11</v>
      </c>
    </row>
    <row r="271" spans="1:9" ht="15" hidden="1" customHeight="1" x14ac:dyDescent="0.3">
      <c r="A271" s="7" t="s">
        <v>752</v>
      </c>
      <c r="B271" s="47" t="str">
        <f t="shared" si="4"/>
        <v>INSTRUMENT_RTNG_SCL</v>
      </c>
      <c r="C271" s="8" t="s">
        <v>414</v>
      </c>
      <c r="D271" s="9" t="s">
        <v>146</v>
      </c>
      <c r="E271" s="14" t="s">
        <v>147</v>
      </c>
      <c r="F271" s="10" t="s">
        <v>13</v>
      </c>
      <c r="G271" s="10" t="s">
        <v>11</v>
      </c>
      <c r="H271" s="10" t="s">
        <v>11</v>
      </c>
      <c r="I271" s="10" t="s">
        <v>11</v>
      </c>
    </row>
    <row r="272" spans="1:9" ht="15" hidden="1" customHeight="1" x14ac:dyDescent="0.3">
      <c r="A272" s="7" t="s">
        <v>753</v>
      </c>
      <c r="B272" s="47" t="str">
        <f t="shared" si="4"/>
        <v>INSTRUMENT_SICR_ASSSSMNT_MTHD</v>
      </c>
      <c r="C272" s="8" t="s">
        <v>414</v>
      </c>
      <c r="D272" s="9" t="s">
        <v>754</v>
      </c>
      <c r="E272" s="14" t="s">
        <v>755</v>
      </c>
      <c r="F272" s="10" t="s">
        <v>13</v>
      </c>
      <c r="G272" s="10" t="s">
        <v>11</v>
      </c>
      <c r="H272" s="10" t="s">
        <v>11</v>
      </c>
      <c r="I272" s="10" t="s">
        <v>11</v>
      </c>
    </row>
    <row r="273" spans="1:9" ht="15" hidden="1" customHeight="1" x14ac:dyDescent="0.3">
      <c r="A273" s="7" t="s">
        <v>756</v>
      </c>
      <c r="B273" s="47" t="str">
        <f t="shared" si="4"/>
        <v>INSTRUMENT_ANNLSD_AGRD_RT</v>
      </c>
      <c r="C273" s="8" t="s">
        <v>414</v>
      </c>
      <c r="D273" s="9" t="s">
        <v>757</v>
      </c>
      <c r="E273" s="14" t="s">
        <v>758</v>
      </c>
      <c r="F273" s="10" t="s">
        <v>13</v>
      </c>
      <c r="G273" s="10" t="s">
        <v>11</v>
      </c>
      <c r="H273" s="10" t="s">
        <v>11</v>
      </c>
      <c r="I273" s="10" t="s">
        <v>11</v>
      </c>
    </row>
    <row r="274" spans="1:9" ht="15" hidden="1" customHeight="1" x14ac:dyDescent="0.3">
      <c r="A274" s="7" t="s">
        <v>759</v>
      </c>
      <c r="B274" s="47" t="str">
        <f t="shared" si="4"/>
        <v>INSTRUMENT_EIR</v>
      </c>
      <c r="C274" s="8" t="s">
        <v>414</v>
      </c>
      <c r="D274" s="9" t="s">
        <v>760</v>
      </c>
      <c r="E274" s="14" t="s">
        <v>761</v>
      </c>
      <c r="F274" s="10" t="s">
        <v>13</v>
      </c>
      <c r="G274" s="10" t="s">
        <v>11</v>
      </c>
      <c r="H274" s="10" t="s">
        <v>11</v>
      </c>
      <c r="I274" s="10" t="s">
        <v>11</v>
      </c>
    </row>
    <row r="275" spans="1:9" ht="15" hidden="1" customHeight="1" x14ac:dyDescent="0.3">
      <c r="A275" s="7" t="s">
        <v>762</v>
      </c>
      <c r="B275" s="47" t="str">
        <f t="shared" si="4"/>
        <v>INSTRUMENT_EIR_INCPTN</v>
      </c>
      <c r="C275" s="8" t="s">
        <v>414</v>
      </c>
      <c r="D275" s="9" t="s">
        <v>763</v>
      </c>
      <c r="E275" s="14" t="s">
        <v>764</v>
      </c>
      <c r="F275" s="10" t="s">
        <v>13</v>
      </c>
      <c r="G275" s="10" t="s">
        <v>11</v>
      </c>
      <c r="H275" s="10" t="s">
        <v>11</v>
      </c>
      <c r="I275" s="10" t="s">
        <v>11</v>
      </c>
    </row>
    <row r="276" spans="1:9" ht="15" hidden="1" customHeight="1" x14ac:dyDescent="0.3">
      <c r="A276" s="7" t="s">
        <v>765</v>
      </c>
      <c r="B276" s="47" t="str">
        <f t="shared" si="4"/>
        <v>INSTRUMENT_INTRST_RT_RST_FRQNCY</v>
      </c>
      <c r="C276" s="8" t="s">
        <v>414</v>
      </c>
      <c r="D276" s="9" t="s">
        <v>766</v>
      </c>
      <c r="E276" s="14" t="s">
        <v>767</v>
      </c>
      <c r="F276" s="10" t="s">
        <v>13</v>
      </c>
      <c r="G276" s="10" t="s">
        <v>11</v>
      </c>
      <c r="H276" s="10" t="s">
        <v>11</v>
      </c>
      <c r="I276" s="10" t="s">
        <v>11</v>
      </c>
    </row>
    <row r="277" spans="1:9" ht="15" hidden="1" customHeight="1" x14ac:dyDescent="0.3">
      <c r="A277" s="7" t="s">
        <v>768</v>
      </c>
      <c r="B277" s="47" t="str">
        <f t="shared" si="4"/>
        <v>INSTRUMENT_RCVD_AMRTSTN_12M</v>
      </c>
      <c r="C277" s="8" t="s">
        <v>414</v>
      </c>
      <c r="D277" s="9" t="s">
        <v>769</v>
      </c>
      <c r="E277" s="14" t="s">
        <v>770</v>
      </c>
      <c r="F277" s="10" t="s">
        <v>13</v>
      </c>
      <c r="G277" s="10" t="s">
        <v>11</v>
      </c>
      <c r="H277" s="10" t="s">
        <v>11</v>
      </c>
      <c r="I277" s="10" t="s">
        <v>11</v>
      </c>
    </row>
    <row r="278" spans="1:9" ht="15" hidden="1" customHeight="1" x14ac:dyDescent="0.3">
      <c r="A278" s="7" t="s">
        <v>771</v>
      </c>
      <c r="B278" s="47" t="str">
        <f t="shared" si="4"/>
        <v>INSTRUMENT_RCVD_AMRTSTN_24M</v>
      </c>
      <c r="C278" s="8" t="s">
        <v>414</v>
      </c>
      <c r="D278" s="9" t="s">
        <v>772</v>
      </c>
      <c r="E278" s="14" t="s">
        <v>773</v>
      </c>
      <c r="F278" s="10" t="s">
        <v>13</v>
      </c>
      <c r="G278" s="10" t="s">
        <v>11</v>
      </c>
      <c r="H278" s="10" t="s">
        <v>11</v>
      </c>
      <c r="I278" s="10" t="s">
        <v>11</v>
      </c>
    </row>
    <row r="279" spans="1:9" ht="15" hidden="1" customHeight="1" x14ac:dyDescent="0.3">
      <c r="A279" s="7" t="s">
        <v>774</v>
      </c>
      <c r="B279" s="47" t="str">
        <f t="shared" si="4"/>
        <v>INSTRUMENT_RCVD_INTRST_12M</v>
      </c>
      <c r="C279" s="8" t="s">
        <v>414</v>
      </c>
      <c r="D279" s="9" t="s">
        <v>775</v>
      </c>
      <c r="E279" s="14" t="s">
        <v>776</v>
      </c>
      <c r="F279" s="10" t="s">
        <v>13</v>
      </c>
      <c r="G279" s="10" t="s">
        <v>11</v>
      </c>
      <c r="H279" s="10" t="s">
        <v>11</v>
      </c>
      <c r="I279" s="10" t="s">
        <v>11</v>
      </c>
    </row>
    <row r="280" spans="1:9" ht="15" hidden="1" customHeight="1" x14ac:dyDescent="0.3">
      <c r="A280" s="7" t="s">
        <v>777</v>
      </c>
      <c r="B280" s="47" t="str">
        <f t="shared" si="4"/>
        <v>INSTRUMENT_RCVD_INTRST_24M</v>
      </c>
      <c r="C280" s="8" t="s">
        <v>414</v>
      </c>
      <c r="D280" s="9" t="s">
        <v>778</v>
      </c>
      <c r="E280" s="14" t="s">
        <v>779</v>
      </c>
      <c r="F280" s="10" t="s">
        <v>13</v>
      </c>
      <c r="G280" s="10" t="s">
        <v>11</v>
      </c>
      <c r="H280" s="10" t="s">
        <v>11</v>
      </c>
      <c r="I280" s="10" t="s">
        <v>11</v>
      </c>
    </row>
    <row r="281" spans="1:9" ht="15" hidden="1" customHeight="1" x14ac:dyDescent="0.3">
      <c r="A281" s="7" t="s">
        <v>780</v>
      </c>
      <c r="B281" s="47" t="str">
        <f t="shared" si="4"/>
        <v>INSTRUMENT_SYNDCT_RL</v>
      </c>
      <c r="C281" s="8" t="s">
        <v>414</v>
      </c>
      <c r="D281" s="9" t="s">
        <v>781</v>
      </c>
      <c r="E281" s="14" t="s">
        <v>782</v>
      </c>
      <c r="F281" s="10" t="s">
        <v>13</v>
      </c>
      <c r="G281" s="10" t="s">
        <v>11</v>
      </c>
      <c r="H281" s="10" t="s">
        <v>11</v>
      </c>
      <c r="I281" s="10" t="s">
        <v>11</v>
      </c>
    </row>
    <row r="282" spans="1:9" ht="15" hidden="1" customHeight="1" x14ac:dyDescent="0.3">
      <c r="A282" s="7" t="s">
        <v>783</v>
      </c>
      <c r="B282" s="47" t="str">
        <f t="shared" si="4"/>
        <v>INSTRUMENT_SYNDCTD_AGNT</v>
      </c>
      <c r="C282" s="8" t="s">
        <v>414</v>
      </c>
      <c r="D282" s="9" t="s">
        <v>784</v>
      </c>
      <c r="E282" s="14" t="s">
        <v>785</v>
      </c>
      <c r="F282" s="10" t="s">
        <v>13</v>
      </c>
      <c r="G282" s="10" t="s">
        <v>11</v>
      </c>
      <c r="H282" s="10" t="s">
        <v>11</v>
      </c>
      <c r="I282" s="10" t="s">
        <v>11</v>
      </c>
    </row>
    <row r="283" spans="1:9" ht="15" hidden="1" customHeight="1" x14ac:dyDescent="0.3">
      <c r="A283" s="7" t="s">
        <v>786</v>
      </c>
      <c r="B283" s="47" t="str">
        <f t="shared" si="4"/>
        <v>INSTRUMENT_SYNDCTD_CNTRCT_ID</v>
      </c>
      <c r="C283" s="8" t="s">
        <v>414</v>
      </c>
      <c r="D283" s="9" t="s">
        <v>787</v>
      </c>
      <c r="E283" s="14" t="s">
        <v>788</v>
      </c>
      <c r="F283" s="10" t="s">
        <v>13</v>
      </c>
      <c r="G283" s="10" t="s">
        <v>11</v>
      </c>
      <c r="H283" s="10" t="s">
        <v>11</v>
      </c>
      <c r="I283" s="10" t="s">
        <v>11</v>
      </c>
    </row>
    <row r="284" spans="1:9" ht="15" hidden="1" customHeight="1" x14ac:dyDescent="0.3">
      <c r="A284" s="7" t="s">
        <v>789</v>
      </c>
      <c r="B284" s="47" t="str">
        <f t="shared" si="4"/>
        <v>INSTRUMENT_SYNDCTD_LNDRS</v>
      </c>
      <c r="C284" s="8" t="s">
        <v>414</v>
      </c>
      <c r="D284" s="9" t="s">
        <v>790</v>
      </c>
      <c r="E284" s="14" t="s">
        <v>791</v>
      </c>
      <c r="F284" s="10" t="s">
        <v>13</v>
      </c>
      <c r="G284" s="10" t="s">
        <v>11</v>
      </c>
      <c r="H284" s="10" t="s">
        <v>11</v>
      </c>
      <c r="I284" s="10" t="s">
        <v>11</v>
      </c>
    </row>
    <row r="285" spans="1:9" ht="15" hidden="1" customHeight="1" x14ac:dyDescent="0.3">
      <c r="A285" s="7" t="s">
        <v>792</v>
      </c>
      <c r="B285" s="47" t="str">
        <f t="shared" si="4"/>
        <v>INSTRUMENT_SYNDCTD_SHR</v>
      </c>
      <c r="C285" s="8" t="s">
        <v>414</v>
      </c>
      <c r="D285" s="9" t="s">
        <v>793</v>
      </c>
      <c r="E285" s="14" t="s">
        <v>794</v>
      </c>
      <c r="F285" s="10" t="s">
        <v>13</v>
      </c>
      <c r="G285" s="10" t="s">
        <v>11</v>
      </c>
      <c r="H285" s="10" t="s">
        <v>11</v>
      </c>
      <c r="I285" s="10" t="s">
        <v>11</v>
      </c>
    </row>
    <row r="286" spans="1:9" ht="15" hidden="1" customHeight="1" x14ac:dyDescent="0.3">
      <c r="A286" s="7" t="s">
        <v>795</v>
      </c>
      <c r="B286" s="47" t="str">
        <f t="shared" si="4"/>
        <v>INSTRUMENT_SYNDCTN_TYP</v>
      </c>
      <c r="C286" s="8" t="s">
        <v>414</v>
      </c>
      <c r="D286" s="9" t="s">
        <v>796</v>
      </c>
      <c r="E286" s="14" t="s">
        <v>797</v>
      </c>
      <c r="F286" s="10" t="s">
        <v>13</v>
      </c>
      <c r="G286" s="10" t="s">
        <v>11</v>
      </c>
      <c r="H286" s="10" t="s">
        <v>11</v>
      </c>
      <c r="I286" s="10" t="s">
        <v>11</v>
      </c>
    </row>
    <row r="287" spans="1:9" ht="15" hidden="1" customHeight="1" x14ac:dyDescent="0.3">
      <c r="A287" s="7" t="s">
        <v>798</v>
      </c>
      <c r="B287" s="47" t="str">
        <f t="shared" si="4"/>
        <v>INSTRUMENT_EBA_CMPLNT_MRTR_ST_C19</v>
      </c>
      <c r="C287" s="8" t="s">
        <v>414</v>
      </c>
      <c r="D287" s="42" t="s">
        <v>799</v>
      </c>
      <c r="E287" s="44" t="s">
        <v>800</v>
      </c>
      <c r="F287" s="43" t="s">
        <v>13</v>
      </c>
      <c r="G287" s="43" t="s">
        <v>11</v>
      </c>
      <c r="H287" s="43" t="s">
        <v>11</v>
      </c>
      <c r="I287" s="43" t="s">
        <v>11</v>
      </c>
    </row>
    <row r="288" spans="1:9" ht="15" hidden="1" customHeight="1" x14ac:dyDescent="0.3">
      <c r="A288" s="7" t="s">
        <v>801</v>
      </c>
      <c r="B288" s="47" t="str">
        <f t="shared" si="4"/>
        <v>INSTRUMENT_DT_CMPLNT_MRTR_STTS_C19</v>
      </c>
      <c r="C288" s="8" t="s">
        <v>414</v>
      </c>
      <c r="D288" s="42" t="s">
        <v>802</v>
      </c>
      <c r="E288" s="44" t="s">
        <v>803</v>
      </c>
      <c r="F288" s="43" t="s">
        <v>13</v>
      </c>
      <c r="G288" s="43" t="s">
        <v>11</v>
      </c>
      <c r="H288" s="43" t="s">
        <v>11</v>
      </c>
      <c r="I288" s="43" t="s">
        <v>11</v>
      </c>
    </row>
    <row r="289" spans="1:9" ht="15" hidden="1" customHeight="1" x14ac:dyDescent="0.3">
      <c r="A289" s="7" t="s">
        <v>804</v>
      </c>
      <c r="B289" s="47" t="str">
        <f t="shared" si="4"/>
        <v>INSTRUMENT_DT_CMPLNT_MRTR_STTS_PRVS_C19</v>
      </c>
      <c r="C289" s="8" t="s">
        <v>414</v>
      </c>
      <c r="D289" s="42" t="s">
        <v>805</v>
      </c>
      <c r="E289" s="44" t="s">
        <v>806</v>
      </c>
      <c r="F289" s="43" t="s">
        <v>13</v>
      </c>
      <c r="G289" s="43" t="s">
        <v>11</v>
      </c>
      <c r="H289" s="43" t="s">
        <v>11</v>
      </c>
      <c r="I289" s="43" t="s">
        <v>11</v>
      </c>
    </row>
    <row r="290" spans="1:9" ht="15" hidden="1" customHeight="1" x14ac:dyDescent="0.3">
      <c r="A290" s="7" t="s">
        <v>807</v>
      </c>
      <c r="B290" s="47" t="str">
        <f t="shared" si="4"/>
        <v>INSTRUMENT_MTRTY_LTST_MRTR_C19</v>
      </c>
      <c r="C290" s="8" t="s">
        <v>414</v>
      </c>
      <c r="D290" s="42" t="s">
        <v>808</v>
      </c>
      <c r="E290" s="44" t="s">
        <v>809</v>
      </c>
      <c r="F290" s="43" t="s">
        <v>13</v>
      </c>
      <c r="G290" s="43" t="s">
        <v>11</v>
      </c>
      <c r="H290" s="43" t="s">
        <v>11</v>
      </c>
      <c r="I290" s="43" t="s">
        <v>11</v>
      </c>
    </row>
    <row r="291" spans="1:9" ht="15" hidden="1" customHeight="1" x14ac:dyDescent="0.3">
      <c r="A291" s="7" t="s">
        <v>810</v>
      </c>
      <c r="B291" s="47" t="str">
        <f t="shared" si="4"/>
        <v>INSTRUMENT_TYP_CMPLNT_MRTR_C19</v>
      </c>
      <c r="C291" s="8" t="s">
        <v>414</v>
      </c>
      <c r="D291" s="42" t="s">
        <v>811</v>
      </c>
      <c r="E291" s="44" t="s">
        <v>812</v>
      </c>
      <c r="F291" s="43" t="s">
        <v>13</v>
      </c>
      <c r="G291" s="43" t="s">
        <v>11</v>
      </c>
      <c r="H291" s="43" t="s">
        <v>11</v>
      </c>
      <c r="I291" s="43" t="s">
        <v>11</v>
      </c>
    </row>
    <row r="292" spans="1:9" ht="15" hidden="1" customHeight="1" x14ac:dyDescent="0.3">
      <c r="A292" s="7" t="s">
        <v>813</v>
      </c>
      <c r="B292" s="47" t="str">
        <f t="shared" si="4"/>
        <v>INSTRUMENT_GRC_PRD_CPTL_INTRST_C19</v>
      </c>
      <c r="C292" s="8" t="s">
        <v>414</v>
      </c>
      <c r="D292" s="42" t="s">
        <v>814</v>
      </c>
      <c r="E292" s="44" t="s">
        <v>815</v>
      </c>
      <c r="F292" s="43" t="s">
        <v>13</v>
      </c>
      <c r="G292" s="43" t="s">
        <v>11</v>
      </c>
      <c r="H292" s="43" t="s">
        <v>11</v>
      </c>
      <c r="I292" s="43" t="s">
        <v>11</v>
      </c>
    </row>
    <row r="293" spans="1:9" ht="15" hidden="1" customHeight="1" x14ac:dyDescent="0.3">
      <c r="A293" s="7" t="s">
        <v>816</v>
      </c>
      <c r="B293" s="47" t="str">
        <f t="shared" si="4"/>
        <v>INSTRUMENT_CMPLNT_MRTR_C19_NM</v>
      </c>
      <c r="C293" s="8" t="s">
        <v>414</v>
      </c>
      <c r="D293" s="42" t="s">
        <v>817</v>
      </c>
      <c r="E293" s="44" t="s">
        <v>818</v>
      </c>
      <c r="F293" s="43" t="s">
        <v>13</v>
      </c>
      <c r="G293" s="43" t="s">
        <v>11</v>
      </c>
      <c r="H293" s="43" t="s">
        <v>11</v>
      </c>
      <c r="I293" s="43" t="s">
        <v>11</v>
      </c>
    </row>
    <row r="294" spans="1:9" ht="15" hidden="1" customHeight="1" x14ac:dyDescent="0.3">
      <c r="A294" s="7" t="s">
        <v>819</v>
      </c>
      <c r="B294" s="47" t="str">
        <f t="shared" si="4"/>
        <v>INSTRUMENT_FRBRNC_STTS_C19</v>
      </c>
      <c r="C294" s="8" t="s">
        <v>414</v>
      </c>
      <c r="D294" s="42" t="s">
        <v>820</v>
      </c>
      <c r="E294" s="44" t="s">
        <v>821</v>
      </c>
      <c r="F294" s="43" t="s">
        <v>13</v>
      </c>
      <c r="G294" s="43" t="s">
        <v>11</v>
      </c>
      <c r="H294" s="43" t="s">
        <v>11</v>
      </c>
      <c r="I294" s="43" t="s">
        <v>11</v>
      </c>
    </row>
    <row r="295" spans="1:9" ht="15" hidden="1" customHeight="1" x14ac:dyDescent="0.3">
      <c r="A295" s="7" t="s">
        <v>822</v>
      </c>
      <c r="B295" s="47" t="str">
        <f t="shared" si="4"/>
        <v>INSTRUMENT_DT_FRBRNC_STTS_C19</v>
      </c>
      <c r="C295" s="8" t="s">
        <v>414</v>
      </c>
      <c r="D295" s="42" t="s">
        <v>823</v>
      </c>
      <c r="E295" s="44" t="s">
        <v>824</v>
      </c>
      <c r="F295" s="43" t="s">
        <v>13</v>
      </c>
      <c r="G295" s="43" t="s">
        <v>11</v>
      </c>
      <c r="H295" s="43" t="s">
        <v>11</v>
      </c>
      <c r="I295" s="43" t="s">
        <v>11</v>
      </c>
    </row>
    <row r="296" spans="1:9" ht="15" hidden="1" customHeight="1" x14ac:dyDescent="0.3">
      <c r="A296" s="7" t="s">
        <v>825</v>
      </c>
      <c r="B296" s="47" t="str">
        <f t="shared" si="4"/>
        <v>INSTRUMENT_DT_FRBRNC_STTS_PRVS_C19</v>
      </c>
      <c r="C296" s="8" t="s">
        <v>414</v>
      </c>
      <c r="D296" s="42" t="s">
        <v>826</v>
      </c>
      <c r="E296" s="44" t="s">
        <v>827</v>
      </c>
      <c r="F296" s="43" t="s">
        <v>13</v>
      </c>
      <c r="G296" s="43" t="s">
        <v>11</v>
      </c>
      <c r="H296" s="43" t="s">
        <v>11</v>
      </c>
      <c r="I296" s="43" t="s">
        <v>11</v>
      </c>
    </row>
    <row r="297" spans="1:9" ht="15" hidden="1" customHeight="1" x14ac:dyDescent="0.3">
      <c r="A297" s="7" t="s">
        <v>828</v>
      </c>
      <c r="B297" s="47" t="str">
        <f t="shared" si="4"/>
        <v>INSTRUMENT_MTRTY_LTST_FRBRNC_MSR_C19</v>
      </c>
      <c r="C297" s="8" t="s">
        <v>414</v>
      </c>
      <c r="D297" s="42" t="s">
        <v>829</v>
      </c>
      <c r="E297" s="44" t="s">
        <v>830</v>
      </c>
      <c r="F297" s="43" t="s">
        <v>13</v>
      </c>
      <c r="G297" s="43" t="s">
        <v>11</v>
      </c>
      <c r="H297" s="43" t="s">
        <v>11</v>
      </c>
      <c r="I297" s="43" t="s">
        <v>11</v>
      </c>
    </row>
    <row r="298" spans="1:9" ht="15" hidden="1" customHeight="1" x14ac:dyDescent="0.3">
      <c r="A298" s="7" t="s">
        <v>831</v>
      </c>
      <c r="B298" s="47" t="str">
        <f t="shared" si="4"/>
        <v>INSTRUMENT_DT_END_GP_PPAL_C19</v>
      </c>
      <c r="C298" s="8" t="s">
        <v>414</v>
      </c>
      <c r="D298" s="42" t="s">
        <v>832</v>
      </c>
      <c r="E298" s="44" t="s">
        <v>833</v>
      </c>
      <c r="F298" s="43" t="s">
        <v>13</v>
      </c>
      <c r="G298" s="43" t="s">
        <v>11</v>
      </c>
      <c r="H298" s="43" t="s">
        <v>11</v>
      </c>
      <c r="I298" s="43" t="s">
        <v>11</v>
      </c>
    </row>
    <row r="299" spans="1:9" ht="15" hidden="1" customHeight="1" x14ac:dyDescent="0.3">
      <c r="A299" s="7" t="s">
        <v>834</v>
      </c>
      <c r="B299" s="47" t="str">
        <f t="shared" si="4"/>
        <v>INSTRUMENT_DT_END_INTRST_ONLY_C19</v>
      </c>
      <c r="C299" s="8" t="s">
        <v>414</v>
      </c>
      <c r="D299" s="42" t="s">
        <v>835</v>
      </c>
      <c r="E299" s="44" t="s">
        <v>836</v>
      </c>
      <c r="F299" s="43" t="s">
        <v>13</v>
      </c>
      <c r="G299" s="43" t="s">
        <v>11</v>
      </c>
      <c r="H299" s="43" t="s">
        <v>11</v>
      </c>
      <c r="I299" s="43" t="s">
        <v>11</v>
      </c>
    </row>
    <row r="300" spans="1:9" ht="15" hidden="1" customHeight="1" x14ac:dyDescent="0.3">
      <c r="A300" s="7" t="s">
        <v>837</v>
      </c>
      <c r="B300" s="47" t="str">
        <f t="shared" si="4"/>
        <v>INSTRUMENT_SBJCT_PBLC_GRNT_SCHM_C19</v>
      </c>
      <c r="C300" s="8" t="s">
        <v>414</v>
      </c>
      <c r="D300" s="42" t="s">
        <v>838</v>
      </c>
      <c r="E300" s="44" t="s">
        <v>839</v>
      </c>
      <c r="F300" s="43" t="s">
        <v>13</v>
      </c>
      <c r="G300" s="43" t="s">
        <v>11</v>
      </c>
      <c r="H300" s="43" t="s">
        <v>11</v>
      </c>
      <c r="I300" s="43" t="s">
        <v>11</v>
      </c>
    </row>
    <row r="301" spans="1:9" ht="15" hidden="1" customHeight="1" x14ac:dyDescent="0.3">
      <c r="A301" s="7" t="s">
        <v>840</v>
      </c>
      <c r="B301" s="47" t="str">
        <f t="shared" si="4"/>
        <v>INSTRUMENT_PBLC_GRNT_SCHM_C19_NM</v>
      </c>
      <c r="C301" s="8" t="s">
        <v>414</v>
      </c>
      <c r="D301" s="42" t="s">
        <v>841</v>
      </c>
      <c r="E301" s="44" t="s">
        <v>842</v>
      </c>
      <c r="F301" s="43" t="s">
        <v>13</v>
      </c>
      <c r="G301" s="43" t="s">
        <v>11</v>
      </c>
      <c r="H301" s="43" t="s">
        <v>11</v>
      </c>
      <c r="I301" s="43" t="s">
        <v>11</v>
      </c>
    </row>
    <row r="302" spans="1:9" ht="15" hidden="1" customHeight="1" x14ac:dyDescent="0.3">
      <c r="A302" s="7" t="s">
        <v>843</v>
      </c>
      <c r="B302" s="47" t="str">
        <f t="shared" si="4"/>
        <v>INSTRUMENT_PMNT_PBLC_GRNT_SCHM_C19</v>
      </c>
      <c r="C302" s="8" t="s">
        <v>414</v>
      </c>
      <c r="D302" s="42" t="s">
        <v>844</v>
      </c>
      <c r="E302" s="44" t="s">
        <v>845</v>
      </c>
      <c r="F302" s="43" t="s">
        <v>13</v>
      </c>
      <c r="G302" s="43" t="s">
        <v>11</v>
      </c>
      <c r="H302" s="43" t="s">
        <v>11</v>
      </c>
      <c r="I302" s="43" t="s">
        <v>11</v>
      </c>
    </row>
    <row r="303" spans="1:9" ht="15" hidden="1" customHeight="1" x14ac:dyDescent="0.3">
      <c r="A303" s="7" t="s">
        <v>846</v>
      </c>
      <c r="B303" s="47" t="str">
        <f t="shared" si="4"/>
        <v>INSTRUMENT_ASST_SCRT_CLSS</v>
      </c>
      <c r="C303" s="8" t="s">
        <v>414</v>
      </c>
      <c r="D303" s="9" t="s">
        <v>847</v>
      </c>
      <c r="E303" s="14" t="s">
        <v>848</v>
      </c>
      <c r="F303" s="10" t="s">
        <v>13</v>
      </c>
      <c r="G303" s="10" t="s">
        <v>11</v>
      </c>
      <c r="H303" s="10" t="s">
        <v>11</v>
      </c>
      <c r="I303" s="10" t="s">
        <v>11</v>
      </c>
    </row>
    <row r="304" spans="1:9" ht="15" hidden="1" customHeight="1" x14ac:dyDescent="0.3">
      <c r="A304" s="7" t="s">
        <v>849</v>
      </c>
      <c r="B304" s="47" t="str">
        <f t="shared" si="4"/>
        <v>INSTRUMENT_CPN_CRRNCY</v>
      </c>
      <c r="C304" s="8" t="s">
        <v>414</v>
      </c>
      <c r="D304" s="9" t="s">
        <v>850</v>
      </c>
      <c r="E304" s="14" t="s">
        <v>851</v>
      </c>
      <c r="F304" s="10" t="s">
        <v>13</v>
      </c>
      <c r="G304" s="10" t="s">
        <v>11</v>
      </c>
      <c r="H304" s="10" t="s">
        <v>11</v>
      </c>
      <c r="I304" s="10" t="s">
        <v>11</v>
      </c>
    </row>
    <row r="305" spans="1:9" ht="15" hidden="1" customHeight="1" x14ac:dyDescent="0.3">
      <c r="A305" s="7" t="s">
        <v>852</v>
      </c>
      <c r="B305" s="47" t="str">
        <f t="shared" si="4"/>
        <v>INSTRUMENT_CPN_RT_FXD</v>
      </c>
      <c r="C305" s="8" t="s">
        <v>414</v>
      </c>
      <c r="D305" s="17" t="s">
        <v>1328</v>
      </c>
      <c r="E305" s="12" t="s">
        <v>855</v>
      </c>
      <c r="F305" s="10" t="s">
        <v>13</v>
      </c>
      <c r="G305" s="10" t="s">
        <v>11</v>
      </c>
      <c r="H305" s="10" t="s">
        <v>11</v>
      </c>
      <c r="I305" s="10" t="s">
        <v>11</v>
      </c>
    </row>
    <row r="306" spans="1:9" ht="15" hidden="1" customHeight="1" x14ac:dyDescent="0.3">
      <c r="A306" s="7" t="s">
        <v>856</v>
      </c>
      <c r="B306" s="47" t="str">
        <f t="shared" si="4"/>
        <v>INSTRUMENT_DT_VLTN</v>
      </c>
      <c r="C306" s="8" t="s">
        <v>414</v>
      </c>
      <c r="D306" s="9" t="s">
        <v>857</v>
      </c>
      <c r="E306" s="14" t="s">
        <v>858</v>
      </c>
      <c r="F306" s="10" t="s">
        <v>13</v>
      </c>
      <c r="G306" s="10" t="s">
        <v>11</v>
      </c>
      <c r="H306" s="10" t="s">
        <v>11</v>
      </c>
      <c r="I306" s="10" t="s">
        <v>11</v>
      </c>
    </row>
    <row r="307" spans="1:9" ht="15" hidden="1" customHeight="1" x14ac:dyDescent="0.3">
      <c r="A307" s="7" t="s">
        <v>859</v>
      </c>
      <c r="B307" s="47" t="str">
        <f t="shared" si="4"/>
        <v>INSTRUMENT_ELGBLTY_ECB</v>
      </c>
      <c r="C307" s="8" t="s">
        <v>414</v>
      </c>
      <c r="D307" s="9" t="s">
        <v>860</v>
      </c>
      <c r="E307" s="14" t="s">
        <v>861</v>
      </c>
      <c r="F307" s="10" t="s">
        <v>13</v>
      </c>
      <c r="G307" s="10" t="s">
        <v>11</v>
      </c>
      <c r="H307" s="10" t="s">
        <v>11</v>
      </c>
      <c r="I307" s="10" t="s">
        <v>11</v>
      </c>
    </row>
    <row r="308" spans="1:9" ht="15" hidden="1" customHeight="1" x14ac:dyDescent="0.3">
      <c r="A308" s="7" t="s">
        <v>862</v>
      </c>
      <c r="B308" s="47" t="str">
        <f t="shared" si="4"/>
        <v>INSTRUMENT_GRNTR_ID</v>
      </c>
      <c r="C308" s="8" t="s">
        <v>414</v>
      </c>
      <c r="D308" s="9" t="s">
        <v>863</v>
      </c>
      <c r="E308" s="14" t="s">
        <v>864</v>
      </c>
      <c r="F308" s="10" t="s">
        <v>13</v>
      </c>
      <c r="G308" s="10" t="s">
        <v>11</v>
      </c>
      <c r="H308" s="10" t="s">
        <v>11</v>
      </c>
      <c r="I308" s="10" t="s">
        <v>11</v>
      </c>
    </row>
    <row r="309" spans="1:9" ht="15" hidden="1" customHeight="1" x14ac:dyDescent="0.3">
      <c r="A309" s="7" t="s">
        <v>865</v>
      </c>
      <c r="B309" s="47" t="str">
        <f t="shared" si="4"/>
        <v>INSTRUMENT_GRNTR_ID_TYP</v>
      </c>
      <c r="C309" s="8" t="s">
        <v>414</v>
      </c>
      <c r="D309" s="9" t="s">
        <v>866</v>
      </c>
      <c r="E309" s="14" t="s">
        <v>867</v>
      </c>
      <c r="F309" s="10" t="s">
        <v>13</v>
      </c>
      <c r="G309" s="10" t="s">
        <v>11</v>
      </c>
      <c r="H309" s="10" t="s">
        <v>11</v>
      </c>
      <c r="I309" s="10" t="s">
        <v>11</v>
      </c>
    </row>
    <row r="310" spans="1:9" ht="15" hidden="1" customHeight="1" x14ac:dyDescent="0.3">
      <c r="A310" s="7" t="s">
        <v>868</v>
      </c>
      <c r="B310" s="47" t="str">
        <f t="shared" si="4"/>
        <v>INSTRUMENT_HEDGE_ID</v>
      </c>
      <c r="C310" s="8" t="s">
        <v>414</v>
      </c>
      <c r="D310" s="9" t="s">
        <v>869</v>
      </c>
      <c r="E310" s="14" t="s">
        <v>870</v>
      </c>
      <c r="F310" s="10" t="s">
        <v>13</v>
      </c>
      <c r="G310" s="10" t="s">
        <v>11</v>
      </c>
      <c r="H310" s="10" t="s">
        <v>11</v>
      </c>
      <c r="I310" s="10" t="s">
        <v>11</v>
      </c>
    </row>
    <row r="311" spans="1:9" ht="15" hidden="1" customHeight="1" x14ac:dyDescent="0.3">
      <c r="A311" s="7" t="s">
        <v>871</v>
      </c>
      <c r="B311" s="47" t="str">
        <f t="shared" si="4"/>
        <v>INSTRUMENT_INSTR_SNRTY_CLSS</v>
      </c>
      <c r="C311" s="8" t="s">
        <v>414</v>
      </c>
      <c r="D311" s="9" t="s">
        <v>872</v>
      </c>
      <c r="E311" s="14" t="s">
        <v>873</v>
      </c>
      <c r="F311" s="10" t="s">
        <v>13</v>
      </c>
      <c r="G311" s="10" t="s">
        <v>11</v>
      </c>
      <c r="H311" s="10" t="s">
        <v>11</v>
      </c>
      <c r="I311" s="10" t="s">
        <v>11</v>
      </c>
    </row>
    <row r="312" spans="1:9" ht="15" hidden="1" customHeight="1" x14ac:dyDescent="0.3">
      <c r="A312" s="7" t="s">
        <v>874</v>
      </c>
      <c r="B312" s="47" t="str">
        <f t="shared" si="4"/>
        <v>INSTRUMENT_INSTRMNT_CLSS</v>
      </c>
      <c r="C312" s="8" t="s">
        <v>414</v>
      </c>
      <c r="D312" s="9" t="s">
        <v>875</v>
      </c>
      <c r="E312" s="14" t="s">
        <v>876</v>
      </c>
      <c r="F312" s="10" t="s">
        <v>13</v>
      </c>
      <c r="G312" s="10" t="s">
        <v>11</v>
      </c>
      <c r="H312" s="10" t="s">
        <v>11</v>
      </c>
      <c r="I312" s="10" t="s">
        <v>11</v>
      </c>
    </row>
    <row r="313" spans="1:9" ht="15" hidden="1" customHeight="1" x14ac:dyDescent="0.3">
      <c r="A313" s="7" t="s">
        <v>877</v>
      </c>
      <c r="B313" s="47" t="str">
        <f t="shared" si="4"/>
        <v>INSTRUMENT_ISIN</v>
      </c>
      <c r="C313" s="8" t="s">
        <v>414</v>
      </c>
      <c r="D313" s="9" t="s">
        <v>347</v>
      </c>
      <c r="E313" s="14" t="s">
        <v>347</v>
      </c>
      <c r="F313" s="10" t="s">
        <v>13</v>
      </c>
      <c r="G313" s="10" t="s">
        <v>11</v>
      </c>
      <c r="H313" s="10" t="s">
        <v>11</v>
      </c>
      <c r="I313" s="10" t="s">
        <v>11</v>
      </c>
    </row>
    <row r="314" spans="1:9" ht="15" hidden="1" customHeight="1" x14ac:dyDescent="0.3">
      <c r="A314" s="7" t="s">
        <v>878</v>
      </c>
      <c r="B314" s="47" t="str">
        <f t="shared" si="4"/>
        <v>INSTRUMENT_ISSR_CNTRY</v>
      </c>
      <c r="C314" s="8" t="s">
        <v>414</v>
      </c>
      <c r="D314" s="9" t="s">
        <v>879</v>
      </c>
      <c r="E314" s="14" t="s">
        <v>880</v>
      </c>
      <c r="F314" s="10" t="s">
        <v>13</v>
      </c>
      <c r="G314" s="10" t="s">
        <v>11</v>
      </c>
      <c r="H314" s="10" t="s">
        <v>13</v>
      </c>
      <c r="I314" s="10" t="s">
        <v>11</v>
      </c>
    </row>
    <row r="315" spans="1:9" ht="15" hidden="1" customHeight="1" x14ac:dyDescent="0.3">
      <c r="A315" s="7" t="s">
        <v>881</v>
      </c>
      <c r="B315" s="47" t="str">
        <f t="shared" si="4"/>
        <v>INSTRUMENT_ISSR_ESA_2010</v>
      </c>
      <c r="C315" s="8" t="s">
        <v>414</v>
      </c>
      <c r="D315" s="9" t="s">
        <v>882</v>
      </c>
      <c r="E315" s="14" t="s">
        <v>883</v>
      </c>
      <c r="F315" s="10" t="s">
        <v>13</v>
      </c>
      <c r="G315" s="10" t="s">
        <v>11</v>
      </c>
      <c r="H315" s="10" t="s">
        <v>11</v>
      </c>
      <c r="I315" s="10" t="s">
        <v>11</v>
      </c>
    </row>
    <row r="316" spans="1:9" ht="15" hidden="1" customHeight="1" x14ac:dyDescent="0.3">
      <c r="A316" s="7" t="s">
        <v>884</v>
      </c>
      <c r="B316" s="47" t="str">
        <f t="shared" si="4"/>
        <v>INSTRUMENT_ISSR_ID</v>
      </c>
      <c r="C316" s="8" t="s">
        <v>414</v>
      </c>
      <c r="D316" s="9" t="s">
        <v>885</v>
      </c>
      <c r="E316" s="14" t="s">
        <v>886</v>
      </c>
      <c r="F316" s="10" t="s">
        <v>13</v>
      </c>
      <c r="G316" s="10" t="s">
        <v>11</v>
      </c>
      <c r="H316" s="10" t="s">
        <v>11</v>
      </c>
      <c r="I316" s="10" t="s">
        <v>11</v>
      </c>
    </row>
    <row r="317" spans="1:9" ht="15" hidden="1" customHeight="1" x14ac:dyDescent="0.3">
      <c r="A317" s="7" t="s">
        <v>887</v>
      </c>
      <c r="B317" s="47" t="str">
        <f t="shared" si="4"/>
        <v>INSTRUMENT_ISSR_ID_TYP</v>
      </c>
      <c r="C317" s="8" t="s">
        <v>414</v>
      </c>
      <c r="D317" s="9" t="s">
        <v>888</v>
      </c>
      <c r="E317" s="14" t="s">
        <v>889</v>
      </c>
      <c r="F317" s="10" t="s">
        <v>13</v>
      </c>
      <c r="G317" s="10" t="s">
        <v>11</v>
      </c>
      <c r="H317" s="10" t="s">
        <v>11</v>
      </c>
      <c r="I317" s="10" t="s">
        <v>11</v>
      </c>
    </row>
    <row r="318" spans="1:9" ht="15" hidden="1" customHeight="1" x14ac:dyDescent="0.3">
      <c r="A318" s="7" t="s">
        <v>890</v>
      </c>
      <c r="B318" s="47" t="str">
        <f t="shared" si="4"/>
        <v>INSTRUMENT_ISSR_NACE_SCTR</v>
      </c>
      <c r="C318" s="8" t="s">
        <v>414</v>
      </c>
      <c r="D318" s="9" t="s">
        <v>891</v>
      </c>
      <c r="E318" s="14" t="s">
        <v>892</v>
      </c>
      <c r="F318" s="10" t="s">
        <v>13</v>
      </c>
      <c r="G318" s="10" t="s">
        <v>11</v>
      </c>
      <c r="H318" s="10" t="s">
        <v>13</v>
      </c>
      <c r="I318" s="10" t="s">
        <v>11</v>
      </c>
    </row>
    <row r="319" spans="1:9" ht="15" hidden="1" customHeight="1" x14ac:dyDescent="0.3">
      <c r="A319" s="7" t="s">
        <v>893</v>
      </c>
      <c r="B319" s="47" t="str">
        <f t="shared" si="4"/>
        <v>INSTRUMENT_ISSR_RTNG</v>
      </c>
      <c r="C319" s="8" t="s">
        <v>414</v>
      </c>
      <c r="D319" s="9" t="s">
        <v>894</v>
      </c>
      <c r="E319" s="14" t="s">
        <v>895</v>
      </c>
      <c r="F319" s="10" t="s">
        <v>13</v>
      </c>
      <c r="G319" s="10" t="s">
        <v>11</v>
      </c>
      <c r="H319" s="10" t="s">
        <v>11</v>
      </c>
      <c r="I319" s="10" t="s">
        <v>11</v>
      </c>
    </row>
    <row r="320" spans="1:9" ht="15" hidden="1" customHeight="1" x14ac:dyDescent="0.3">
      <c r="A320" s="7" t="s">
        <v>896</v>
      </c>
      <c r="B320" s="47" t="str">
        <f t="shared" si="4"/>
        <v>INSTRUMENT_ISSR_RTNG_SRC</v>
      </c>
      <c r="C320" s="8" t="s">
        <v>414</v>
      </c>
      <c r="D320" s="9" t="s">
        <v>897</v>
      </c>
      <c r="E320" s="14" t="s">
        <v>898</v>
      </c>
      <c r="F320" s="10" t="s">
        <v>13</v>
      </c>
      <c r="G320" s="10" t="s">
        <v>11</v>
      </c>
      <c r="H320" s="10" t="s">
        <v>11</v>
      </c>
      <c r="I320" s="10" t="s">
        <v>11</v>
      </c>
    </row>
    <row r="321" spans="1:9" ht="15" hidden="1" customHeight="1" x14ac:dyDescent="0.3">
      <c r="A321" s="7" t="s">
        <v>899</v>
      </c>
      <c r="B321" s="47" t="str">
        <f t="shared" si="4"/>
        <v>INSTRUMENT_ISSR_TYP</v>
      </c>
      <c r="C321" s="8" t="s">
        <v>414</v>
      </c>
      <c r="D321" s="9" t="s">
        <v>900</v>
      </c>
      <c r="E321" s="14" t="s">
        <v>901</v>
      </c>
      <c r="F321" s="10" t="s">
        <v>13</v>
      </c>
      <c r="G321" s="10" t="s">
        <v>11</v>
      </c>
      <c r="H321" s="10" t="s">
        <v>11</v>
      </c>
      <c r="I321" s="10" t="s">
        <v>11</v>
      </c>
    </row>
    <row r="322" spans="1:9" ht="15" hidden="1" customHeight="1" x14ac:dyDescent="0.3">
      <c r="A322" s="7" t="s">
        <v>902</v>
      </c>
      <c r="B322" s="47" t="str">
        <f t="shared" si="4"/>
        <v>INSTRUMENT_LCR_BFFR_CTGRY</v>
      </c>
      <c r="C322" s="8" t="s">
        <v>414</v>
      </c>
      <c r="D322" s="9" t="s">
        <v>903</v>
      </c>
      <c r="E322" s="14" t="s">
        <v>904</v>
      </c>
      <c r="F322" s="10" t="s">
        <v>13</v>
      </c>
      <c r="G322" s="10" t="s">
        <v>11</v>
      </c>
      <c r="H322" s="10" t="s">
        <v>11</v>
      </c>
      <c r="I322" s="10" t="s">
        <v>11</v>
      </c>
    </row>
    <row r="323" spans="1:9" ht="15" hidden="1" customHeight="1" x14ac:dyDescent="0.3">
      <c r="A323" s="7" t="s">
        <v>905</v>
      </c>
      <c r="B323" s="47" t="str">
        <f t="shared" ref="B323:B386" si="5">C323&amp;"_"&amp;D323</f>
        <v>INSTRUMENT_PRCH_UNDR_RSL_AGR</v>
      </c>
      <c r="C323" s="8" t="s">
        <v>414</v>
      </c>
      <c r="D323" s="9" t="s">
        <v>906</v>
      </c>
      <c r="E323" s="14" t="s">
        <v>907</v>
      </c>
      <c r="F323" s="10" t="s">
        <v>13</v>
      </c>
      <c r="G323" s="10" t="s">
        <v>11</v>
      </c>
      <c r="H323" s="10" t="s">
        <v>11</v>
      </c>
      <c r="I323" s="10" t="s">
        <v>11</v>
      </c>
    </row>
    <row r="324" spans="1:9" ht="15" hidden="1" customHeight="1" x14ac:dyDescent="0.3">
      <c r="A324" s="7" t="s">
        <v>908</v>
      </c>
      <c r="B324" s="47" t="str">
        <f t="shared" si="5"/>
        <v>INSTRUMENT_PRDNTL_PRTFL</v>
      </c>
      <c r="C324" s="8" t="s">
        <v>414</v>
      </c>
      <c r="D324" s="9" t="s">
        <v>909</v>
      </c>
      <c r="E324" s="14" t="s">
        <v>910</v>
      </c>
      <c r="F324" s="10" t="s">
        <v>13</v>
      </c>
      <c r="G324" s="10" t="s">
        <v>11</v>
      </c>
      <c r="H324" s="10" t="s">
        <v>11</v>
      </c>
      <c r="I324" s="10" t="s">
        <v>11</v>
      </c>
    </row>
    <row r="325" spans="1:9" ht="15" hidden="1" customHeight="1" x14ac:dyDescent="0.3">
      <c r="A325" s="7" t="s">
        <v>911</v>
      </c>
      <c r="B325" s="47" t="str">
        <f t="shared" si="5"/>
        <v>INSTRUMENT_PRMRY_ASST_CLSSF</v>
      </c>
      <c r="C325" s="8" t="s">
        <v>414</v>
      </c>
      <c r="D325" s="9" t="s">
        <v>912</v>
      </c>
      <c r="E325" s="14" t="s">
        <v>913</v>
      </c>
      <c r="F325" s="10" t="s">
        <v>13</v>
      </c>
      <c r="G325" s="10" t="s">
        <v>11</v>
      </c>
      <c r="H325" s="10" t="s">
        <v>13</v>
      </c>
      <c r="I325" s="10" t="s">
        <v>11</v>
      </c>
    </row>
    <row r="326" spans="1:9" ht="15" hidden="1" customHeight="1" x14ac:dyDescent="0.3">
      <c r="A326" s="7" t="s">
        <v>914</v>
      </c>
      <c r="B326" s="47" t="str">
        <f t="shared" si="5"/>
        <v>INSTRUMENT_PRT_LCR_BFFR</v>
      </c>
      <c r="C326" s="8" t="s">
        <v>414</v>
      </c>
      <c r="D326" s="9" t="s">
        <v>915</v>
      </c>
      <c r="E326" s="14" t="s">
        <v>916</v>
      </c>
      <c r="F326" s="10" t="s">
        <v>13</v>
      </c>
      <c r="G326" s="10" t="s">
        <v>11</v>
      </c>
      <c r="H326" s="10" t="s">
        <v>11</v>
      </c>
      <c r="I326" s="10" t="s">
        <v>11</v>
      </c>
    </row>
    <row r="327" spans="1:9" ht="15" hidden="1" customHeight="1" x14ac:dyDescent="0.3">
      <c r="A327" s="7" t="s">
        <v>917</v>
      </c>
      <c r="B327" s="47" t="str">
        <f t="shared" si="5"/>
        <v>INSTRUMENT_CPN_RT_FLTNG</v>
      </c>
      <c r="C327" s="8" t="s">
        <v>414</v>
      </c>
      <c r="D327" s="17" t="s">
        <v>1329</v>
      </c>
      <c r="E327" s="12" t="s">
        <v>920</v>
      </c>
      <c r="F327" s="10" t="s">
        <v>13</v>
      </c>
      <c r="G327" s="10" t="s">
        <v>11</v>
      </c>
      <c r="H327" s="10" t="s">
        <v>11</v>
      </c>
      <c r="I327" s="10" t="s">
        <v>11</v>
      </c>
    </row>
    <row r="328" spans="1:9" ht="15" hidden="1" customHeight="1" x14ac:dyDescent="0.3">
      <c r="A328" s="7" t="s">
        <v>921</v>
      </c>
      <c r="B328" s="47" t="str">
        <f t="shared" si="5"/>
        <v>INSTRUMENT_SPRD</v>
      </c>
      <c r="C328" s="8" t="s">
        <v>414</v>
      </c>
      <c r="D328" s="9" t="s">
        <v>922</v>
      </c>
      <c r="E328" s="14" t="s">
        <v>923</v>
      </c>
      <c r="F328" s="10" t="s">
        <v>13</v>
      </c>
      <c r="G328" s="10" t="s">
        <v>11</v>
      </c>
      <c r="H328" s="10" t="s">
        <v>11</v>
      </c>
      <c r="I328" s="10" t="s">
        <v>11</v>
      </c>
    </row>
    <row r="329" spans="1:9" ht="15" hidden="1" customHeight="1" x14ac:dyDescent="0.3">
      <c r="A329" s="7" t="s">
        <v>924</v>
      </c>
      <c r="B329" s="47" t="str">
        <f t="shared" si="5"/>
        <v>INSTRUMENT_SRCS_ENCMBRNC</v>
      </c>
      <c r="C329" s="8" t="s">
        <v>414</v>
      </c>
      <c r="D329" s="9" t="s">
        <v>925</v>
      </c>
      <c r="E329" s="14" t="s">
        <v>926</v>
      </c>
      <c r="F329" s="10" t="s">
        <v>13</v>
      </c>
      <c r="G329" s="10" t="s">
        <v>11</v>
      </c>
      <c r="H329" s="10" t="s">
        <v>11</v>
      </c>
      <c r="I329" s="10" t="s">
        <v>11</v>
      </c>
    </row>
    <row r="330" spans="1:9" ht="15" hidden="1" customHeight="1" x14ac:dyDescent="0.3">
      <c r="A330" s="7" t="s">
        <v>927</v>
      </c>
      <c r="B330" s="47" t="str">
        <f t="shared" si="5"/>
        <v>INSTRUMENT_TYPE_OF_PLCMNT</v>
      </c>
      <c r="C330" s="8" t="s">
        <v>414</v>
      </c>
      <c r="D330" s="9" t="s">
        <v>928</v>
      </c>
      <c r="E330" s="14" t="s">
        <v>929</v>
      </c>
      <c r="F330" s="10" t="s">
        <v>13</v>
      </c>
      <c r="G330" s="10" t="s">
        <v>11</v>
      </c>
      <c r="H330" s="10" t="s">
        <v>11</v>
      </c>
      <c r="I330" s="10" t="s">
        <v>11</v>
      </c>
    </row>
    <row r="331" spans="1:9" ht="15" hidden="1" customHeight="1" x14ac:dyDescent="0.3">
      <c r="A331" s="7" t="s">
        <v>930</v>
      </c>
      <c r="B331" s="47" t="str">
        <f t="shared" si="5"/>
        <v>INSTRUMENT_VLTN_CRRNCY</v>
      </c>
      <c r="C331" s="8" t="s">
        <v>414</v>
      </c>
      <c r="D331" s="9" t="s">
        <v>931</v>
      </c>
      <c r="E331" s="14" t="s">
        <v>932</v>
      </c>
      <c r="F331" s="10" t="s">
        <v>13</v>
      </c>
      <c r="G331" s="10" t="s">
        <v>11</v>
      </c>
      <c r="H331" s="10" t="s">
        <v>11</v>
      </c>
      <c r="I331" s="10" t="s">
        <v>11</v>
      </c>
    </row>
    <row r="332" spans="1:9" ht="15" hidden="1" customHeight="1" x14ac:dyDescent="0.3">
      <c r="A332" s="7" t="s">
        <v>933</v>
      </c>
      <c r="B332" s="47" t="str">
        <f t="shared" si="5"/>
        <v>INSTRUMENT_VLTN_TYP</v>
      </c>
      <c r="C332" s="8" t="s">
        <v>414</v>
      </c>
      <c r="D332" s="9" t="s">
        <v>934</v>
      </c>
      <c r="E332" s="14" t="s">
        <v>935</v>
      </c>
      <c r="F332" s="10" t="s">
        <v>13</v>
      </c>
      <c r="G332" s="10" t="s">
        <v>11</v>
      </c>
      <c r="H332" s="10" t="s">
        <v>11</v>
      </c>
      <c r="I332" s="10" t="s">
        <v>11</v>
      </c>
    </row>
    <row r="333" spans="1:9" ht="15" hidden="1" customHeight="1" x14ac:dyDescent="0.3">
      <c r="A333" s="7" t="s">
        <v>936</v>
      </c>
      <c r="B333" s="47" t="str">
        <f t="shared" si="5"/>
        <v>INSTRUMENT_LVRG_FNNC_FLG</v>
      </c>
      <c r="C333" s="8" t="s">
        <v>414</v>
      </c>
      <c r="D333" s="9" t="s">
        <v>937</v>
      </c>
      <c r="E333" s="14" t="s">
        <v>938</v>
      </c>
      <c r="F333" s="10" t="s">
        <v>13</v>
      </c>
      <c r="G333" s="10" t="s">
        <v>11</v>
      </c>
      <c r="H333" s="10" t="s">
        <v>11</v>
      </c>
      <c r="I333" s="10" t="s">
        <v>11</v>
      </c>
    </row>
    <row r="334" spans="1:9" ht="15" hidden="1" customHeight="1" x14ac:dyDescent="0.3">
      <c r="A334" s="7" t="s">
        <v>939</v>
      </c>
      <c r="B334" s="47" t="str">
        <f t="shared" si="5"/>
        <v>INSTRUMENT_INTRNL_SGMNT_IFRS9</v>
      </c>
      <c r="C334" s="8" t="s">
        <v>414</v>
      </c>
      <c r="D334" s="9" t="s">
        <v>940</v>
      </c>
      <c r="E334" s="14" t="s">
        <v>941</v>
      </c>
      <c r="F334" s="10" t="s">
        <v>13</v>
      </c>
      <c r="G334" s="10" t="s">
        <v>11</v>
      </c>
      <c r="H334" s="10" t="s">
        <v>11</v>
      </c>
      <c r="I334" s="10" t="s">
        <v>11</v>
      </c>
    </row>
    <row r="335" spans="1:9" ht="15" hidden="1" customHeight="1" x14ac:dyDescent="0.3">
      <c r="A335" s="7" t="s">
        <v>942</v>
      </c>
      <c r="B335" s="47" t="str">
        <f t="shared" si="5"/>
        <v>INSTRUMENT_INTRNL_SGMNT_CAT_MSTA</v>
      </c>
      <c r="C335" s="8" t="s">
        <v>414</v>
      </c>
      <c r="D335" s="9" t="s">
        <v>943</v>
      </c>
      <c r="E335" s="14" t="s">
        <v>944</v>
      </c>
      <c r="F335" s="10" t="s">
        <v>13</v>
      </c>
      <c r="G335" s="10" t="s">
        <v>11</v>
      </c>
      <c r="H335" s="10" t="s">
        <v>11</v>
      </c>
      <c r="I335" s="10" t="s">
        <v>13</v>
      </c>
    </row>
    <row r="336" spans="1:9" ht="15" hidden="1" customHeight="1" x14ac:dyDescent="0.3">
      <c r="A336" s="7" t="s">
        <v>945</v>
      </c>
      <c r="B336" s="47" t="str">
        <f t="shared" si="5"/>
        <v>INSTRUMENT_INTRNL_SGMNT_CATGSUB</v>
      </c>
      <c r="C336" s="8" t="s">
        <v>414</v>
      </c>
      <c r="D336" s="9" t="s">
        <v>946</v>
      </c>
      <c r="E336" s="14" t="s">
        <v>947</v>
      </c>
      <c r="F336" s="10" t="s">
        <v>13</v>
      </c>
      <c r="G336" s="10" t="s">
        <v>11</v>
      </c>
      <c r="H336" s="10" t="s">
        <v>11</v>
      </c>
      <c r="I336" s="10" t="s">
        <v>13</v>
      </c>
    </row>
    <row r="337" spans="1:9" ht="15" hidden="1" customHeight="1" x14ac:dyDescent="0.3">
      <c r="A337" s="7" t="s">
        <v>948</v>
      </c>
      <c r="B337" s="47" t="str">
        <f t="shared" si="5"/>
        <v>INSTRUMENT_CRRLTN_CFFCNT</v>
      </c>
      <c r="C337" s="8" t="s">
        <v>414</v>
      </c>
      <c r="D337" s="9" t="s">
        <v>949</v>
      </c>
      <c r="E337" s="14" t="s">
        <v>950</v>
      </c>
      <c r="F337" s="10" t="s">
        <v>13</v>
      </c>
      <c r="G337" s="10" t="s">
        <v>11</v>
      </c>
      <c r="H337" s="10" t="s">
        <v>11</v>
      </c>
      <c r="I337" s="10" t="s">
        <v>11</v>
      </c>
    </row>
    <row r="338" spans="1:9" ht="15" hidden="1" customHeight="1" x14ac:dyDescent="0.3">
      <c r="A338" s="7" t="s">
        <v>951</v>
      </c>
      <c r="B338" s="47" t="str">
        <f t="shared" si="5"/>
        <v>INSTRUMENT_ISIN_SCRTSTN</v>
      </c>
      <c r="C338" s="8" t="s">
        <v>414</v>
      </c>
      <c r="D338" s="9" t="s">
        <v>952</v>
      </c>
      <c r="E338" s="14" t="s">
        <v>953</v>
      </c>
      <c r="F338" s="10" t="s">
        <v>13</v>
      </c>
      <c r="G338" s="10" t="s">
        <v>11</v>
      </c>
      <c r="H338" s="10" t="s">
        <v>11</v>
      </c>
      <c r="I338" s="10" t="s">
        <v>11</v>
      </c>
    </row>
    <row r="339" spans="1:9" ht="14.9" hidden="1" customHeight="1" x14ac:dyDescent="0.3">
      <c r="A339" s="7" t="s">
        <v>954</v>
      </c>
      <c r="B339" s="47" t="str">
        <f t="shared" si="5"/>
        <v>INSTRUMENT_CNTRCT_ID_BDR</v>
      </c>
      <c r="C339" s="8" t="s">
        <v>414</v>
      </c>
      <c r="D339" s="9" t="s">
        <v>955</v>
      </c>
      <c r="E339" s="30" t="s">
        <v>956</v>
      </c>
      <c r="F339" s="10" t="s">
        <v>13</v>
      </c>
      <c r="G339" s="10" t="s">
        <v>11</v>
      </c>
      <c r="H339" s="10" t="s">
        <v>11</v>
      </c>
      <c r="I339" s="10" t="s">
        <v>11</v>
      </c>
    </row>
    <row r="340" spans="1:9" ht="15" hidden="1" customHeight="1" x14ac:dyDescent="0.3">
      <c r="A340" s="7" t="s">
        <v>957</v>
      </c>
      <c r="B340" s="47" t="str">
        <f t="shared" si="5"/>
        <v>INSTRUMENT_COD_SOC_INTRGRP</v>
      </c>
      <c r="C340" s="8" t="s">
        <v>414</v>
      </c>
      <c r="D340" s="9" t="s">
        <v>958</v>
      </c>
      <c r="E340" s="28" t="s">
        <v>959</v>
      </c>
      <c r="F340" s="10" t="s">
        <v>13</v>
      </c>
      <c r="G340" s="10" t="s">
        <v>13</v>
      </c>
      <c r="H340" s="10" t="s">
        <v>11</v>
      </c>
      <c r="I340" s="10" t="s">
        <v>11</v>
      </c>
    </row>
    <row r="341" spans="1:9" ht="15" hidden="1" customHeight="1" x14ac:dyDescent="0.3">
      <c r="A341" s="7" t="s">
        <v>960</v>
      </c>
      <c r="B341" s="47" t="str">
        <f t="shared" si="5"/>
        <v>INSTRUMENT_LCL_INSTMRNT_ID</v>
      </c>
      <c r="C341" s="8" t="s">
        <v>414</v>
      </c>
      <c r="D341" s="9" t="s">
        <v>961</v>
      </c>
      <c r="E341" s="28" t="s">
        <v>962</v>
      </c>
      <c r="F341" s="10" t="s">
        <v>13</v>
      </c>
      <c r="G341" s="10" t="s">
        <v>13</v>
      </c>
      <c r="H341" s="10" t="s">
        <v>13</v>
      </c>
      <c r="I341" s="10" t="s">
        <v>11</v>
      </c>
    </row>
    <row r="342" spans="1:9" ht="14.9" hidden="1" customHeight="1" x14ac:dyDescent="0.3">
      <c r="A342" s="7" t="s">
        <v>963</v>
      </c>
      <c r="B342" s="47" t="str">
        <f t="shared" si="5"/>
        <v>INSTRUMENT_SSTNBL_INDCTR</v>
      </c>
      <c r="C342" s="8" t="s">
        <v>414</v>
      </c>
      <c r="D342" s="9" t="s">
        <v>964</v>
      </c>
      <c r="E342" s="30" t="s">
        <v>965</v>
      </c>
      <c r="F342" s="10" t="s">
        <v>11</v>
      </c>
      <c r="G342" s="10" t="s">
        <v>13</v>
      </c>
      <c r="H342" s="10" t="s">
        <v>13</v>
      </c>
      <c r="I342" s="10" t="s">
        <v>11</v>
      </c>
    </row>
    <row r="343" spans="1:9" ht="15" hidden="1" customHeight="1" x14ac:dyDescent="0.3">
      <c r="A343" s="7" t="s">
        <v>966</v>
      </c>
      <c r="B343" s="47" t="str">
        <f t="shared" si="5"/>
        <v>INSTRUMENT_SSTNBL_CTGRY</v>
      </c>
      <c r="C343" s="8" t="s">
        <v>414</v>
      </c>
      <c r="D343" s="9" t="s">
        <v>967</v>
      </c>
      <c r="E343" s="14" t="s">
        <v>968</v>
      </c>
      <c r="F343" s="10" t="s">
        <v>11</v>
      </c>
      <c r="G343" s="10" t="s">
        <v>13</v>
      </c>
      <c r="H343" s="10" t="s">
        <v>13</v>
      </c>
      <c r="I343" s="10" t="s">
        <v>11</v>
      </c>
    </row>
    <row r="344" spans="1:9" ht="15" hidden="1" customHeight="1" x14ac:dyDescent="0.3">
      <c r="A344" s="7" t="s">
        <v>969</v>
      </c>
      <c r="B344" s="47" t="str">
        <f t="shared" si="5"/>
        <v>INSTRUMENT_AVRG_BLNC</v>
      </c>
      <c r="C344" s="8" t="s">
        <v>414</v>
      </c>
      <c r="D344" s="9" t="s">
        <v>970</v>
      </c>
      <c r="E344" s="14" t="s">
        <v>971</v>
      </c>
      <c r="F344" s="10" t="s">
        <v>11</v>
      </c>
      <c r="G344" s="10" t="s">
        <v>13</v>
      </c>
      <c r="H344" s="10" t="s">
        <v>11</v>
      </c>
      <c r="I344" s="10" t="s">
        <v>11</v>
      </c>
    </row>
    <row r="345" spans="1:9" ht="15" hidden="1" customHeight="1" x14ac:dyDescent="0.3">
      <c r="A345" s="7" t="s">
        <v>972</v>
      </c>
      <c r="B345" s="47" t="str">
        <f t="shared" si="5"/>
        <v>INSTRUMENT_NW_BSNSS</v>
      </c>
      <c r="C345" s="8" t="s">
        <v>414</v>
      </c>
      <c r="D345" s="9" t="s">
        <v>973</v>
      </c>
      <c r="E345" s="14" t="s">
        <v>974</v>
      </c>
      <c r="F345" s="10" t="s">
        <v>11</v>
      </c>
      <c r="G345" s="10" t="s">
        <v>13</v>
      </c>
      <c r="H345" s="10" t="s">
        <v>11</v>
      </c>
      <c r="I345" s="10" t="s">
        <v>11</v>
      </c>
    </row>
    <row r="346" spans="1:9" ht="15" hidden="1" customHeight="1" x14ac:dyDescent="0.3">
      <c r="A346" s="7" t="s">
        <v>975</v>
      </c>
      <c r="B346" s="47" t="str">
        <f t="shared" si="5"/>
        <v>INSTRUMENT_GRSS_INTRST_INCM</v>
      </c>
      <c r="C346" s="8" t="s">
        <v>414</v>
      </c>
      <c r="D346" s="9" t="s">
        <v>976</v>
      </c>
      <c r="E346" s="14" t="s">
        <v>977</v>
      </c>
      <c r="F346" s="10" t="s">
        <v>11</v>
      </c>
      <c r="G346" s="10" t="s">
        <v>13</v>
      </c>
      <c r="H346" s="10" t="s">
        <v>13</v>
      </c>
      <c r="I346" s="10" t="s">
        <v>11</v>
      </c>
    </row>
    <row r="347" spans="1:9" ht="15" hidden="1" customHeight="1" x14ac:dyDescent="0.3">
      <c r="A347" s="7" t="s">
        <v>978</v>
      </c>
      <c r="B347" s="47" t="str">
        <f t="shared" si="5"/>
        <v>INSTRUMENT_GRSS_CMMSSN_INCM</v>
      </c>
      <c r="C347" s="8" t="s">
        <v>414</v>
      </c>
      <c r="D347" s="9" t="s">
        <v>979</v>
      </c>
      <c r="E347" s="14" t="s">
        <v>980</v>
      </c>
      <c r="F347" s="10" t="s">
        <v>11</v>
      </c>
      <c r="G347" s="10" t="s">
        <v>13</v>
      </c>
      <c r="H347" s="10" t="s">
        <v>13</v>
      </c>
      <c r="I347" s="10" t="s">
        <v>11</v>
      </c>
    </row>
    <row r="348" spans="1:9" ht="15" hidden="1" customHeight="1" x14ac:dyDescent="0.3">
      <c r="A348" s="7" t="s">
        <v>981</v>
      </c>
      <c r="B348" s="47" t="str">
        <f t="shared" si="5"/>
        <v>INSTRUMENT_INTRNL_TRNSFR_RT</v>
      </c>
      <c r="C348" s="8" t="s">
        <v>414</v>
      </c>
      <c r="D348" s="9" t="s">
        <v>982</v>
      </c>
      <c r="E348" s="14" t="s">
        <v>983</v>
      </c>
      <c r="F348" s="10" t="s">
        <v>11</v>
      </c>
      <c r="G348" s="10" t="s">
        <v>13</v>
      </c>
      <c r="H348" s="10" t="s">
        <v>11</v>
      </c>
      <c r="I348" s="10" t="s">
        <v>11</v>
      </c>
    </row>
    <row r="349" spans="1:9" ht="15" hidden="1" customHeight="1" x14ac:dyDescent="0.3">
      <c r="A349" s="7" t="s">
        <v>984</v>
      </c>
      <c r="B349" s="47" t="str">
        <f t="shared" si="5"/>
        <v>INSTRUMENT_NT_LN_LSS_PRVSN</v>
      </c>
      <c r="C349" s="8" t="s">
        <v>414</v>
      </c>
      <c r="D349" s="9" t="s">
        <v>985</v>
      </c>
      <c r="E349" s="14" t="s">
        <v>986</v>
      </c>
      <c r="F349" s="10" t="s">
        <v>11</v>
      </c>
      <c r="G349" s="10" t="s">
        <v>13</v>
      </c>
      <c r="H349" s="10" t="s">
        <v>11</v>
      </c>
      <c r="I349" s="10" t="s">
        <v>11</v>
      </c>
    </row>
    <row r="350" spans="1:9" s="20" customFormat="1" ht="15" hidden="1" customHeight="1" x14ac:dyDescent="0.3">
      <c r="A350" s="7" t="s">
        <v>987</v>
      </c>
      <c r="B350" s="47" t="str">
        <f t="shared" si="5"/>
        <v>INSTRUMENT_BSNSS_AREA</v>
      </c>
      <c r="C350" s="8" t="s">
        <v>414</v>
      </c>
      <c r="D350" s="9" t="s">
        <v>988</v>
      </c>
      <c r="E350" s="14" t="s">
        <v>989</v>
      </c>
      <c r="F350" s="10" t="s">
        <v>11</v>
      </c>
      <c r="G350" s="10" t="s">
        <v>13</v>
      </c>
      <c r="H350" s="10" t="s">
        <v>11</v>
      </c>
      <c r="I350" s="10" t="s">
        <v>11</v>
      </c>
    </row>
    <row r="351" spans="1:9" s="31" customFormat="1" ht="15" hidden="1" customHeight="1" x14ac:dyDescent="0.3">
      <c r="A351" s="7" t="s">
        <v>990</v>
      </c>
      <c r="B351" s="47" t="str">
        <f t="shared" si="5"/>
        <v>INSTRUMENT_MNGMNT_PRDCT</v>
      </c>
      <c r="C351" s="8" t="s">
        <v>414</v>
      </c>
      <c r="D351" s="22" t="s">
        <v>991</v>
      </c>
      <c r="E351" s="28" t="s">
        <v>992</v>
      </c>
      <c r="F351" s="10" t="s">
        <v>11</v>
      </c>
      <c r="G351" s="10" t="s">
        <v>13</v>
      </c>
      <c r="H351" s="10" t="s">
        <v>11</v>
      </c>
      <c r="I351" s="10" t="s">
        <v>11</v>
      </c>
    </row>
    <row r="352" spans="1:9" ht="14.9" hidden="1" customHeight="1" x14ac:dyDescent="0.3">
      <c r="A352" s="7" t="s">
        <v>993</v>
      </c>
      <c r="B352" s="47" t="str">
        <f t="shared" si="5"/>
        <v>INSTRUMENT_GRSS_CMMSSN_EXPNS</v>
      </c>
      <c r="C352" s="8" t="s">
        <v>414</v>
      </c>
      <c r="D352" s="9" t="s">
        <v>994</v>
      </c>
      <c r="E352" s="14" t="s">
        <v>995</v>
      </c>
      <c r="F352" s="10" t="s">
        <v>11</v>
      </c>
      <c r="G352" s="10" t="s">
        <v>13</v>
      </c>
      <c r="H352" s="10" t="s">
        <v>11</v>
      </c>
      <c r="I352" s="10" t="s">
        <v>11</v>
      </c>
    </row>
    <row r="353" spans="1:9" ht="14.9" hidden="1" customHeight="1" x14ac:dyDescent="0.3">
      <c r="A353" s="7" t="s">
        <v>996</v>
      </c>
      <c r="B353" s="47" t="str">
        <f t="shared" si="5"/>
        <v>INSTRUMENT_GNS_FNNCL_TRNSCTN_EXCHNG_DFFRNCS</v>
      </c>
      <c r="C353" s="8" t="s">
        <v>414</v>
      </c>
      <c r="D353" s="9" t="s">
        <v>997</v>
      </c>
      <c r="E353" s="14" t="s">
        <v>998</v>
      </c>
      <c r="F353" s="10" t="s">
        <v>11</v>
      </c>
      <c r="G353" s="10" t="s">
        <v>13</v>
      </c>
      <c r="H353" s="10" t="s">
        <v>11</v>
      </c>
      <c r="I353" s="10" t="s">
        <v>11</v>
      </c>
    </row>
    <row r="354" spans="1:9" ht="14.9" hidden="1" customHeight="1" x14ac:dyDescent="0.3">
      <c r="A354" s="7" t="s">
        <v>999</v>
      </c>
      <c r="B354" s="47" t="str">
        <f t="shared" si="5"/>
        <v>INSTRUMENT_FLG_INTRBSNSS</v>
      </c>
      <c r="C354" s="8" t="s">
        <v>414</v>
      </c>
      <c r="D354" s="9" t="s">
        <v>1000</v>
      </c>
      <c r="E354" s="14" t="s">
        <v>1001</v>
      </c>
      <c r="F354" s="10" t="s">
        <v>11</v>
      </c>
      <c r="G354" s="10" t="s">
        <v>13</v>
      </c>
      <c r="H354" s="10" t="s">
        <v>11</v>
      </c>
      <c r="I354" s="10" t="s">
        <v>11</v>
      </c>
    </row>
    <row r="355" spans="1:9" ht="14.9" hidden="1" customHeight="1" x14ac:dyDescent="0.3">
      <c r="A355" s="7" t="s">
        <v>1002</v>
      </c>
      <c r="B355" s="47" t="str">
        <f t="shared" si="5"/>
        <v>INSTRUMENT_INTRBSNSS_ADJ_COD</v>
      </c>
      <c r="C355" s="8" t="s">
        <v>414</v>
      </c>
      <c r="D355" s="9" t="s">
        <v>1003</v>
      </c>
      <c r="E355" s="14" t="s">
        <v>1004</v>
      </c>
      <c r="F355" s="10" t="s">
        <v>11</v>
      </c>
      <c r="G355" s="10" t="s">
        <v>13</v>
      </c>
      <c r="H355" s="10" t="s">
        <v>11</v>
      </c>
      <c r="I355" s="10" t="s">
        <v>11</v>
      </c>
    </row>
    <row r="356" spans="1:9" ht="14.9" hidden="1" customHeight="1" x14ac:dyDescent="0.3">
      <c r="A356" s="7" t="s">
        <v>1005</v>
      </c>
      <c r="B356" s="47" t="str">
        <f t="shared" si="5"/>
        <v>INSTRUMENT_COD_SOC_DSTNTN</v>
      </c>
      <c r="C356" s="8" t="s">
        <v>414</v>
      </c>
      <c r="D356" s="9" t="s">
        <v>1006</v>
      </c>
      <c r="E356" s="14" t="s">
        <v>1007</v>
      </c>
      <c r="F356" s="10" t="s">
        <v>11</v>
      </c>
      <c r="G356" s="10" t="s">
        <v>13</v>
      </c>
      <c r="H356" s="10" t="s">
        <v>11</v>
      </c>
      <c r="I356" s="10" t="s">
        <v>11</v>
      </c>
    </row>
    <row r="357" spans="1:9" ht="14.9" hidden="1" customHeight="1" x14ac:dyDescent="0.3">
      <c r="A357" s="7" t="s">
        <v>1008</v>
      </c>
      <c r="B357" s="47" t="str">
        <f t="shared" si="5"/>
        <v>INSTRUMENT_BSNSS_AREA_DSTNTN</v>
      </c>
      <c r="C357" s="8" t="s">
        <v>414</v>
      </c>
      <c r="D357" s="9" t="s">
        <v>1009</v>
      </c>
      <c r="E357" s="14" t="s">
        <v>1010</v>
      </c>
      <c r="F357" s="10" t="s">
        <v>11</v>
      </c>
      <c r="G357" s="10" t="s">
        <v>13</v>
      </c>
      <c r="H357" s="10" t="s">
        <v>11</v>
      </c>
      <c r="I357" s="10" t="s">
        <v>11</v>
      </c>
    </row>
    <row r="358" spans="1:9" ht="15" hidden="1" customHeight="1" x14ac:dyDescent="0.3">
      <c r="A358" s="7" t="s">
        <v>1011</v>
      </c>
      <c r="B358" s="47" t="str">
        <f t="shared" si="5"/>
        <v>INSTRUMENT_AVRG_BLNC_OFF_BLNC</v>
      </c>
      <c r="C358" s="8" t="s">
        <v>414</v>
      </c>
      <c r="D358" s="9" t="s">
        <v>1012</v>
      </c>
      <c r="E358" s="14" t="s">
        <v>1013</v>
      </c>
      <c r="F358" s="10" t="s">
        <v>11</v>
      </c>
      <c r="G358" s="10" t="s">
        <v>13</v>
      </c>
      <c r="H358" s="10" t="s">
        <v>11</v>
      </c>
      <c r="I358" s="10" t="s">
        <v>11</v>
      </c>
    </row>
    <row r="359" spans="1:9" ht="15" hidden="1" customHeight="1" x14ac:dyDescent="0.3">
      <c r="A359" s="7" t="s">
        <v>1014</v>
      </c>
      <c r="B359" s="47" t="str">
        <f t="shared" si="5"/>
        <v>INSTRUMENT_INTRNL_TRNSFR_RT_OFF_BLNC</v>
      </c>
      <c r="C359" s="8" t="s">
        <v>414</v>
      </c>
      <c r="D359" s="9" t="s">
        <v>1015</v>
      </c>
      <c r="E359" s="14" t="s">
        <v>1016</v>
      </c>
      <c r="F359" s="10" t="s">
        <v>11</v>
      </c>
      <c r="G359" s="10" t="s">
        <v>13</v>
      </c>
      <c r="H359" s="10" t="s">
        <v>11</v>
      </c>
      <c r="I359" s="10" t="s">
        <v>11</v>
      </c>
    </row>
    <row r="360" spans="1:9" ht="15" hidden="1" customHeight="1" x14ac:dyDescent="0.3">
      <c r="A360" s="7" t="s">
        <v>1017</v>
      </c>
      <c r="B360" s="47" t="str">
        <f t="shared" si="5"/>
        <v>INSTRUMENT_GRSS_CMMSSN_INCM_OFF_BLNC</v>
      </c>
      <c r="C360" s="8" t="s">
        <v>414</v>
      </c>
      <c r="D360" s="9" t="s">
        <v>1018</v>
      </c>
      <c r="E360" s="14" t="s">
        <v>1019</v>
      </c>
      <c r="F360" s="10" t="s">
        <v>11</v>
      </c>
      <c r="G360" s="10" t="s">
        <v>13</v>
      </c>
      <c r="H360" s="10" t="s">
        <v>13</v>
      </c>
      <c r="I360" s="10" t="s">
        <v>11</v>
      </c>
    </row>
    <row r="361" spans="1:9" ht="15" hidden="1" customHeight="1" x14ac:dyDescent="0.3">
      <c r="A361" s="7" t="s">
        <v>1020</v>
      </c>
      <c r="B361" s="47" t="str">
        <f t="shared" si="5"/>
        <v>INSTRUMENT_GRSS_CMMSSN_EXPNS_OFF_BLNC</v>
      </c>
      <c r="C361" s="8" t="s">
        <v>414</v>
      </c>
      <c r="D361" s="9" t="s">
        <v>1021</v>
      </c>
      <c r="E361" s="14" t="s">
        <v>1022</v>
      </c>
      <c r="F361" s="10" t="s">
        <v>11</v>
      </c>
      <c r="G361" s="10" t="s">
        <v>13</v>
      </c>
      <c r="H361" s="10" t="s">
        <v>11</v>
      </c>
      <c r="I361" s="10" t="s">
        <v>11</v>
      </c>
    </row>
    <row r="362" spans="1:9" ht="15" hidden="1" customHeight="1" x14ac:dyDescent="0.3">
      <c r="A362" s="7" t="s">
        <v>1023</v>
      </c>
      <c r="B362" s="47" t="str">
        <f t="shared" si="5"/>
        <v>INSTRUMENT_RWA_OFF_BLNC</v>
      </c>
      <c r="C362" s="8" t="s">
        <v>414</v>
      </c>
      <c r="D362" s="9" t="s">
        <v>1024</v>
      </c>
      <c r="E362" s="14" t="s">
        <v>1025</v>
      </c>
      <c r="F362" s="10" t="s">
        <v>11</v>
      </c>
      <c r="G362" s="10" t="s">
        <v>13</v>
      </c>
      <c r="H362" s="10" t="s">
        <v>11</v>
      </c>
      <c r="I362" s="10" t="s">
        <v>11</v>
      </c>
    </row>
    <row r="363" spans="1:9" ht="15" hidden="1" customHeight="1" x14ac:dyDescent="0.3">
      <c r="A363" s="7" t="s">
        <v>1026</v>
      </c>
      <c r="B363" s="47" t="str">
        <f t="shared" si="5"/>
        <v>INSTRUMENT_GRSS_INTRST_EXPNS</v>
      </c>
      <c r="C363" s="8" t="s">
        <v>414</v>
      </c>
      <c r="D363" s="9" t="s">
        <v>1027</v>
      </c>
      <c r="E363" s="14" t="s">
        <v>1028</v>
      </c>
      <c r="F363" s="10" t="s">
        <v>11</v>
      </c>
      <c r="G363" s="10" t="s">
        <v>13</v>
      </c>
      <c r="H363" s="10" t="s">
        <v>11</v>
      </c>
      <c r="I363" s="10" t="s">
        <v>11</v>
      </c>
    </row>
    <row r="364" spans="1:9" ht="15" hidden="1" customHeight="1" x14ac:dyDescent="0.3">
      <c r="A364" s="7" t="s">
        <v>1029</v>
      </c>
      <c r="B364" s="47" t="str">
        <f t="shared" si="5"/>
        <v>INSTRUMENT_NT_LN_LSS_PRVSN_OFF_BLNC</v>
      </c>
      <c r="C364" s="8" t="s">
        <v>414</v>
      </c>
      <c r="D364" s="9" t="s">
        <v>1030</v>
      </c>
      <c r="E364" s="14" t="s">
        <v>1031</v>
      </c>
      <c r="F364" s="10" t="s">
        <v>11</v>
      </c>
      <c r="G364" s="10" t="s">
        <v>13</v>
      </c>
      <c r="H364" s="10" t="s">
        <v>11</v>
      </c>
      <c r="I364" s="10" t="s">
        <v>11</v>
      </c>
    </row>
    <row r="365" spans="1:9" ht="15" hidden="1" customHeight="1" x14ac:dyDescent="0.3">
      <c r="A365" s="7" t="s">
        <v>1032</v>
      </c>
      <c r="B365" s="47" t="str">
        <f t="shared" si="5"/>
        <v>INSTRUMENT_GRSS_INTRST_INCM_CCRR</v>
      </c>
      <c r="C365" s="8" t="s">
        <v>414</v>
      </c>
      <c r="D365" s="9" t="s">
        <v>1033</v>
      </c>
      <c r="E365" s="14" t="s">
        <v>1034</v>
      </c>
      <c r="F365" s="10" t="s">
        <v>11</v>
      </c>
      <c r="G365" s="10" t="s">
        <v>13</v>
      </c>
      <c r="H365" s="10" t="s">
        <v>11</v>
      </c>
      <c r="I365" s="10" t="s">
        <v>11</v>
      </c>
    </row>
    <row r="366" spans="1:9" ht="15" hidden="1" customHeight="1" x14ac:dyDescent="0.3">
      <c r="A366" s="7" t="s">
        <v>1035</v>
      </c>
      <c r="B366" s="47" t="str">
        <f t="shared" si="5"/>
        <v>INSTRUMENT_GRSS_INTRST_EXPNS_CCRR</v>
      </c>
      <c r="C366" s="8" t="s">
        <v>414</v>
      </c>
      <c r="D366" s="9" t="s">
        <v>1036</v>
      </c>
      <c r="E366" s="14" t="s">
        <v>1037</v>
      </c>
      <c r="F366" s="10" t="s">
        <v>11</v>
      </c>
      <c r="G366" s="10" t="s">
        <v>13</v>
      </c>
      <c r="H366" s="10" t="s">
        <v>11</v>
      </c>
      <c r="I366" s="10" t="s">
        <v>11</v>
      </c>
    </row>
    <row r="367" spans="1:9" ht="15" hidden="1" customHeight="1" x14ac:dyDescent="0.3">
      <c r="A367" s="7" t="s">
        <v>1038</v>
      </c>
      <c r="B367" s="47" t="str">
        <f t="shared" si="5"/>
        <v>INSTRUMENT_GRSS_CMMSSN_INCM_CCRR</v>
      </c>
      <c r="C367" s="8" t="s">
        <v>414</v>
      </c>
      <c r="D367" s="9" t="s">
        <v>1039</v>
      </c>
      <c r="E367" s="14" t="s">
        <v>1040</v>
      </c>
      <c r="F367" s="10" t="s">
        <v>11</v>
      </c>
      <c r="G367" s="10" t="s">
        <v>13</v>
      </c>
      <c r="H367" s="10" t="s">
        <v>11</v>
      </c>
      <c r="I367" s="10" t="s">
        <v>11</v>
      </c>
    </row>
    <row r="368" spans="1:9" ht="15" hidden="1" customHeight="1" x14ac:dyDescent="0.3">
      <c r="A368" s="7" t="s">
        <v>1041</v>
      </c>
      <c r="B368" s="47" t="str">
        <f t="shared" si="5"/>
        <v>INSTRUMENT_GRSS_CMMSSN_EXPNS_CCRR</v>
      </c>
      <c r="C368" s="8" t="s">
        <v>414</v>
      </c>
      <c r="D368" s="9" t="s">
        <v>1042</v>
      </c>
      <c r="E368" s="14" t="s">
        <v>1043</v>
      </c>
      <c r="F368" s="10" t="s">
        <v>11</v>
      </c>
      <c r="G368" s="10" t="s">
        <v>13</v>
      </c>
      <c r="H368" s="10" t="s">
        <v>11</v>
      </c>
      <c r="I368" s="10" t="s">
        <v>11</v>
      </c>
    </row>
    <row r="369" spans="1:9" ht="15" hidden="1" customHeight="1" x14ac:dyDescent="0.3">
      <c r="A369" s="7" t="s">
        <v>1044</v>
      </c>
      <c r="B369" s="47" t="str">
        <f t="shared" si="5"/>
        <v>INSTRUMENT_GNS_FNNCL_TRNSCTN_EXCHNG_CCRR</v>
      </c>
      <c r="C369" s="8" t="s">
        <v>414</v>
      </c>
      <c r="D369" s="9" t="s">
        <v>1045</v>
      </c>
      <c r="E369" s="14" t="s">
        <v>1046</v>
      </c>
      <c r="F369" s="10" t="s">
        <v>11</v>
      </c>
      <c r="G369" s="10" t="s">
        <v>13</v>
      </c>
      <c r="H369" s="10" t="s">
        <v>11</v>
      </c>
      <c r="I369" s="10" t="s">
        <v>11</v>
      </c>
    </row>
    <row r="370" spans="1:9" s="20" customFormat="1" ht="15" hidden="1" customHeight="1" x14ac:dyDescent="0.3">
      <c r="A370" s="7" t="s">
        <v>1047</v>
      </c>
      <c r="B370" s="47" t="str">
        <f t="shared" si="5"/>
        <v>INSTRUMENT_BSNSS_AREA_CCRR</v>
      </c>
      <c r="C370" s="8" t="s">
        <v>414</v>
      </c>
      <c r="D370" s="9" t="s">
        <v>1048</v>
      </c>
      <c r="E370" s="14" t="s">
        <v>1049</v>
      </c>
      <c r="F370" s="10" t="s">
        <v>11</v>
      </c>
      <c r="G370" s="10" t="s">
        <v>13</v>
      </c>
      <c r="H370" s="10" t="s">
        <v>11</v>
      </c>
      <c r="I370" s="10" t="s">
        <v>11</v>
      </c>
    </row>
    <row r="371" spans="1:9" ht="15" hidden="1" customHeight="1" x14ac:dyDescent="0.3">
      <c r="A371" s="7" t="s">
        <v>1050</v>
      </c>
      <c r="B371" s="47" t="str">
        <f t="shared" si="5"/>
        <v>INSTRUMENT_GRSS_CMMSSN_INCM_OFF_BLNC_CCRR</v>
      </c>
      <c r="C371" s="8" t="s">
        <v>414</v>
      </c>
      <c r="D371" s="9" t="s">
        <v>1051</v>
      </c>
      <c r="E371" s="32" t="s">
        <v>1052</v>
      </c>
      <c r="F371" s="10" t="s">
        <v>11</v>
      </c>
      <c r="G371" s="10" t="s">
        <v>13</v>
      </c>
      <c r="H371" s="10" t="s">
        <v>11</v>
      </c>
      <c r="I371" s="10" t="s">
        <v>11</v>
      </c>
    </row>
    <row r="372" spans="1:9" ht="15" hidden="1" customHeight="1" x14ac:dyDescent="0.3">
      <c r="A372" s="7" t="s">
        <v>1053</v>
      </c>
      <c r="B372" s="47" t="str">
        <f t="shared" si="5"/>
        <v>INSTRUMENT_GRSS_CMMSSN_EXPNS_OFF_BLNC_CCRR</v>
      </c>
      <c r="C372" s="8" t="s">
        <v>414</v>
      </c>
      <c r="D372" s="9" t="s">
        <v>1054</v>
      </c>
      <c r="E372" s="32" t="s">
        <v>1055</v>
      </c>
      <c r="F372" s="10" t="s">
        <v>11</v>
      </c>
      <c r="G372" s="10" t="s">
        <v>13</v>
      </c>
      <c r="H372" s="10" t="s">
        <v>11</v>
      </c>
      <c r="I372" s="10" t="s">
        <v>11</v>
      </c>
    </row>
    <row r="373" spans="1:9" ht="15" hidden="1" customHeight="1" x14ac:dyDescent="0.3">
      <c r="A373" s="7" t="s">
        <v>1056</v>
      </c>
      <c r="B373" s="47" t="str">
        <f t="shared" si="5"/>
        <v>INSTRUMENT_ENVRNMNTL_OBJCTV</v>
      </c>
      <c r="C373" s="8" t="s">
        <v>414</v>
      </c>
      <c r="D373" s="9" t="s">
        <v>1057</v>
      </c>
      <c r="E373" s="14" t="s">
        <v>1058</v>
      </c>
      <c r="F373" s="10" t="s">
        <v>11</v>
      </c>
      <c r="G373" s="10" t="s">
        <v>11</v>
      </c>
      <c r="H373" s="10" t="s">
        <v>13</v>
      </c>
      <c r="I373" s="10" t="s">
        <v>11</v>
      </c>
    </row>
    <row r="374" spans="1:9" ht="15" hidden="1" customHeight="1" x14ac:dyDescent="0.3">
      <c r="A374" s="7" t="s">
        <v>1059</v>
      </c>
      <c r="B374" s="47" t="str">
        <f t="shared" si="5"/>
        <v>INSTRUMENT_RSK_MTGTD_CCT</v>
      </c>
      <c r="C374" s="8" t="s">
        <v>414</v>
      </c>
      <c r="D374" s="9" t="s">
        <v>1060</v>
      </c>
      <c r="E374" s="14" t="s">
        <v>1061</v>
      </c>
      <c r="F374" s="10" t="s">
        <v>11</v>
      </c>
      <c r="G374" s="10" t="s">
        <v>11</v>
      </c>
      <c r="H374" s="10" t="s">
        <v>13</v>
      </c>
      <c r="I374" s="10" t="s">
        <v>11</v>
      </c>
    </row>
    <row r="375" spans="1:9" ht="14.9" hidden="1" customHeight="1" x14ac:dyDescent="0.3">
      <c r="A375" s="7" t="s">
        <v>1062</v>
      </c>
      <c r="B375" s="47" t="str">
        <f t="shared" si="5"/>
        <v>INSTRUMENT_RSK_MTGTD_CCP</v>
      </c>
      <c r="C375" s="8" t="s">
        <v>414</v>
      </c>
      <c r="D375" s="9" t="s">
        <v>1063</v>
      </c>
      <c r="E375" s="30" t="s">
        <v>1064</v>
      </c>
      <c r="F375" s="10" t="s">
        <v>11</v>
      </c>
      <c r="G375" s="10" t="s">
        <v>11</v>
      </c>
      <c r="H375" s="10" t="s">
        <v>13</v>
      </c>
      <c r="I375" s="10" t="s">
        <v>11</v>
      </c>
    </row>
    <row r="376" spans="1:9" ht="14.9" hidden="1" customHeight="1" x14ac:dyDescent="0.3">
      <c r="A376" s="7" t="s">
        <v>1065</v>
      </c>
      <c r="B376" s="47" t="str">
        <f t="shared" si="5"/>
        <v>INSTRUMENT_TYP_ACTVTY</v>
      </c>
      <c r="C376" s="8" t="s">
        <v>414</v>
      </c>
      <c r="D376" s="9" t="s">
        <v>1066</v>
      </c>
      <c r="E376" s="30" t="s">
        <v>1067</v>
      </c>
      <c r="F376" s="10" t="s">
        <v>11</v>
      </c>
      <c r="G376" s="10" t="s">
        <v>11</v>
      </c>
      <c r="H376" s="10" t="s">
        <v>13</v>
      </c>
      <c r="I376" s="10" t="s">
        <v>11</v>
      </c>
    </row>
    <row r="377" spans="1:9" ht="15" hidden="1" customHeight="1" x14ac:dyDescent="0.3">
      <c r="A377" s="7" t="s">
        <v>1068</v>
      </c>
      <c r="B377" s="47" t="str">
        <f t="shared" si="5"/>
        <v>INSTRUMENT_LNS_CLLTRLZD_CLSSFCTN</v>
      </c>
      <c r="C377" s="8" t="s">
        <v>414</v>
      </c>
      <c r="D377" s="9" t="s">
        <v>1069</v>
      </c>
      <c r="E377" s="34" t="s">
        <v>1070</v>
      </c>
      <c r="F377" s="10" t="s">
        <v>11</v>
      </c>
      <c r="G377" s="10" t="s">
        <v>11</v>
      </c>
      <c r="H377" s="10" t="s">
        <v>13</v>
      </c>
      <c r="I377" s="10" t="s">
        <v>11</v>
      </c>
    </row>
    <row r="378" spans="1:9" ht="15" hidden="1" customHeight="1" x14ac:dyDescent="0.3">
      <c r="A378" s="7" t="s">
        <v>1071</v>
      </c>
      <c r="B378" s="47" t="str">
        <f t="shared" si="5"/>
        <v>INSTRUMENT_MTHD_USD_INSTRMNT_SCP_1</v>
      </c>
      <c r="C378" s="8" t="s">
        <v>414</v>
      </c>
      <c r="D378" s="9" t="s">
        <v>1072</v>
      </c>
      <c r="E378" s="32" t="s">
        <v>1073</v>
      </c>
      <c r="F378" s="10" t="s">
        <v>11</v>
      </c>
      <c r="G378" s="10" t="s">
        <v>11</v>
      </c>
      <c r="H378" s="10" t="s">
        <v>13</v>
      </c>
      <c r="I378" s="10" t="s">
        <v>11</v>
      </c>
    </row>
    <row r="379" spans="1:9" ht="15" hidden="1" customHeight="1" x14ac:dyDescent="0.3">
      <c r="A379" s="7" t="s">
        <v>1074</v>
      </c>
      <c r="B379" s="47" t="str">
        <f t="shared" si="5"/>
        <v>INSTRUMENT_MTHD_USD_INSTRMNT_SCP_2</v>
      </c>
      <c r="C379" s="8" t="s">
        <v>414</v>
      </c>
      <c r="D379" s="9" t="s">
        <v>1075</v>
      </c>
      <c r="E379" s="32" t="s">
        <v>1076</v>
      </c>
      <c r="F379" s="10" t="s">
        <v>11</v>
      </c>
      <c r="G379" s="10" t="s">
        <v>11</v>
      </c>
      <c r="H379" s="10" t="s">
        <v>13</v>
      </c>
      <c r="I379" s="10" t="s">
        <v>11</v>
      </c>
    </row>
    <row r="380" spans="1:9" ht="15" hidden="1" customHeight="1" x14ac:dyDescent="0.3">
      <c r="A380" s="7" t="s">
        <v>1077</v>
      </c>
      <c r="B380" s="47" t="str">
        <f t="shared" si="5"/>
        <v>INSTRUMENT_MTHD_USD_INSTRMNT_SCP_3</v>
      </c>
      <c r="C380" s="8" t="s">
        <v>414</v>
      </c>
      <c r="D380" s="9" t="s">
        <v>1078</v>
      </c>
      <c r="E380" s="32" t="s">
        <v>1079</v>
      </c>
      <c r="F380" s="10" t="s">
        <v>11</v>
      </c>
      <c r="G380" s="10" t="s">
        <v>11</v>
      </c>
      <c r="H380" s="10" t="s">
        <v>13</v>
      </c>
      <c r="I380" s="10" t="s">
        <v>11</v>
      </c>
    </row>
    <row r="381" spans="1:9" ht="15" hidden="1" customHeight="1" x14ac:dyDescent="0.3">
      <c r="A381" s="7" t="s">
        <v>1080</v>
      </c>
      <c r="B381" s="47" t="str">
        <f t="shared" si="5"/>
        <v>INSTRUMENT_CNCLLD_INSTRMNT_STTS</v>
      </c>
      <c r="C381" s="8" t="s">
        <v>414</v>
      </c>
      <c r="D381" s="9" t="s">
        <v>1081</v>
      </c>
      <c r="E381" s="32" t="s">
        <v>1082</v>
      </c>
      <c r="F381" s="10" t="s">
        <v>11</v>
      </c>
      <c r="G381" s="10" t="s">
        <v>13</v>
      </c>
      <c r="H381" s="10" t="s">
        <v>11</v>
      </c>
      <c r="I381" s="10" t="s">
        <v>11</v>
      </c>
    </row>
    <row r="382" spans="1:9" ht="15" hidden="1" customHeight="1" x14ac:dyDescent="0.3">
      <c r="A382" s="7" t="s">
        <v>1083</v>
      </c>
      <c r="B382" s="47" t="str">
        <f t="shared" si="5"/>
        <v>INSTRUMENT_IDCMB</v>
      </c>
      <c r="C382" s="8" t="s">
        <v>414</v>
      </c>
      <c r="D382" s="9" t="s">
        <v>1084</v>
      </c>
      <c r="E382" s="32" t="s">
        <v>1085</v>
      </c>
      <c r="F382" s="10" t="s">
        <v>13</v>
      </c>
      <c r="G382" s="10" t="s">
        <v>13</v>
      </c>
      <c r="H382" s="10" t="s">
        <v>13</v>
      </c>
      <c r="I382" s="10" t="s">
        <v>13</v>
      </c>
    </row>
    <row r="383" spans="1:9" ht="15" hidden="1" customHeight="1" x14ac:dyDescent="0.3">
      <c r="A383" s="7" t="s">
        <v>1086</v>
      </c>
      <c r="B383" s="47" t="str">
        <f t="shared" si="5"/>
        <v>INSTRUMENT_EXPCTD_LSS_CRR</v>
      </c>
      <c r="C383" s="8" t="s">
        <v>414</v>
      </c>
      <c r="D383" s="9" t="s">
        <v>1087</v>
      </c>
      <c r="E383" s="33" t="s">
        <v>1088</v>
      </c>
      <c r="F383" s="10" t="s">
        <v>13</v>
      </c>
      <c r="G383" s="10" t="s">
        <v>11</v>
      </c>
      <c r="H383" s="10" t="s">
        <v>11</v>
      </c>
      <c r="I383" s="10" t="s">
        <v>11</v>
      </c>
    </row>
    <row r="384" spans="1:9" ht="15" hidden="1" customHeight="1" x14ac:dyDescent="0.3">
      <c r="A384" s="7" t="s">
        <v>1089</v>
      </c>
      <c r="B384" s="47" t="str">
        <f t="shared" si="5"/>
        <v>INSTRUMENT_LSTI</v>
      </c>
      <c r="C384" s="8" t="s">
        <v>414</v>
      </c>
      <c r="D384" s="9" t="s">
        <v>1090</v>
      </c>
      <c r="E384" s="32" t="s">
        <v>1091</v>
      </c>
      <c r="F384" s="10" t="s">
        <v>13</v>
      </c>
      <c r="G384" s="10" t="s">
        <v>11</v>
      </c>
      <c r="H384" s="10" t="s">
        <v>11</v>
      </c>
      <c r="I384" s="10" t="s">
        <v>11</v>
      </c>
    </row>
    <row r="385" spans="1:9" ht="15" hidden="1" customHeight="1" x14ac:dyDescent="0.3">
      <c r="A385" s="7" t="s">
        <v>1092</v>
      </c>
      <c r="B385" s="47" t="str">
        <f t="shared" si="5"/>
        <v>INSTRUMENT_DSTI</v>
      </c>
      <c r="C385" s="8" t="s">
        <v>414</v>
      </c>
      <c r="D385" s="9" t="s">
        <v>1093</v>
      </c>
      <c r="E385" s="33" t="s">
        <v>1094</v>
      </c>
      <c r="F385" s="10" t="s">
        <v>13</v>
      </c>
      <c r="G385" s="10" t="s">
        <v>11</v>
      </c>
      <c r="H385" s="10" t="s">
        <v>11</v>
      </c>
      <c r="I385" s="10" t="s">
        <v>11</v>
      </c>
    </row>
    <row r="386" spans="1:9" ht="15" hidden="1" customHeight="1" x14ac:dyDescent="0.3">
      <c r="A386" s="7" t="s">
        <v>1095</v>
      </c>
      <c r="B386" s="47" t="str">
        <f t="shared" si="5"/>
        <v>INSTRUMENT_LTI_INSTRMNT</v>
      </c>
      <c r="C386" s="8" t="s">
        <v>414</v>
      </c>
      <c r="D386" s="9" t="s">
        <v>1096</v>
      </c>
      <c r="E386" s="14" t="s">
        <v>207</v>
      </c>
      <c r="F386" s="10" t="s">
        <v>13</v>
      </c>
      <c r="G386" s="10" t="s">
        <v>11</v>
      </c>
      <c r="H386" s="10" t="s">
        <v>11</v>
      </c>
      <c r="I386" s="10" t="s">
        <v>11</v>
      </c>
    </row>
    <row r="387" spans="1:9" ht="15" hidden="1" customHeight="1" x14ac:dyDescent="0.3">
      <c r="A387" s="7" t="s">
        <v>1097</v>
      </c>
      <c r="B387" s="47" t="str">
        <f t="shared" ref="B387:B450" si="6">C387&amp;"_"&amp;D387</f>
        <v>INSTRUMENT_SSTNBL_CTGRY_TXNMY</v>
      </c>
      <c r="C387" s="8" t="s">
        <v>414</v>
      </c>
      <c r="D387" s="9" t="s">
        <v>1098</v>
      </c>
      <c r="E387" s="32" t="s">
        <v>1099</v>
      </c>
      <c r="F387" s="10" t="s">
        <v>11</v>
      </c>
      <c r="G387" s="10" t="s">
        <v>11</v>
      </c>
      <c r="H387" s="10" t="s">
        <v>13</v>
      </c>
      <c r="I387" s="10" t="s">
        <v>11</v>
      </c>
    </row>
    <row r="388" spans="1:9" ht="15" hidden="1" customHeight="1" x14ac:dyDescent="0.3">
      <c r="A388" s="40" t="s">
        <v>1330</v>
      </c>
      <c r="B388" s="47" t="str">
        <f t="shared" si="6"/>
        <v>INSTRUMENT_INTRST_RT_CP</v>
      </c>
      <c r="C388" s="8" t="s">
        <v>414</v>
      </c>
      <c r="D388" s="41" t="s">
        <v>1331</v>
      </c>
      <c r="E388" s="32" t="s">
        <v>1332</v>
      </c>
      <c r="F388" s="10" t="s">
        <v>13</v>
      </c>
      <c r="G388" s="10" t="s">
        <v>11</v>
      </c>
      <c r="H388" s="10" t="s">
        <v>11</v>
      </c>
      <c r="I388" s="10" t="s">
        <v>11</v>
      </c>
    </row>
    <row r="389" spans="1:9" ht="15" hidden="1" customHeight="1" x14ac:dyDescent="0.3">
      <c r="A389" s="40" t="s">
        <v>1333</v>
      </c>
      <c r="B389" s="47" t="str">
        <f t="shared" si="6"/>
        <v>INSTRUMENT_INTRST_RT_FLR</v>
      </c>
      <c r="C389" s="8" t="s">
        <v>414</v>
      </c>
      <c r="D389" s="41" t="s">
        <v>1334</v>
      </c>
      <c r="E389" s="33" t="s">
        <v>1335</v>
      </c>
      <c r="F389" s="10" t="s">
        <v>13</v>
      </c>
      <c r="G389" s="10" t="s">
        <v>11</v>
      </c>
      <c r="H389" s="10" t="s">
        <v>11</v>
      </c>
      <c r="I389" s="10" t="s">
        <v>11</v>
      </c>
    </row>
    <row r="390" spans="1:9" ht="15" hidden="1" customHeight="1" x14ac:dyDescent="0.3">
      <c r="A390" s="40" t="s">
        <v>1336</v>
      </c>
      <c r="B390" s="47" t="str">
        <f t="shared" si="6"/>
        <v>INSTRUMENT_NMNL_INTRST_RT_FEE</v>
      </c>
      <c r="C390" s="8" t="s">
        <v>414</v>
      </c>
      <c r="D390" s="41" t="s">
        <v>1337</v>
      </c>
      <c r="E390" s="32" t="s">
        <v>1338</v>
      </c>
      <c r="F390" s="10" t="s">
        <v>13</v>
      </c>
      <c r="G390" s="10" t="s">
        <v>11</v>
      </c>
      <c r="H390" s="10" t="s">
        <v>11</v>
      </c>
      <c r="I390" s="10" t="s">
        <v>11</v>
      </c>
    </row>
    <row r="391" spans="1:9" ht="15" hidden="1" customHeight="1" x14ac:dyDescent="0.3">
      <c r="A391" s="40" t="s">
        <v>1339</v>
      </c>
      <c r="B391" s="47" t="str">
        <f t="shared" si="6"/>
        <v>INSTRUMENT_RFRNC_RT</v>
      </c>
      <c r="C391" s="8" t="s">
        <v>414</v>
      </c>
      <c r="D391" s="41" t="s">
        <v>918</v>
      </c>
      <c r="E391" s="33" t="s">
        <v>1340</v>
      </c>
      <c r="F391" s="10" t="s">
        <v>13</v>
      </c>
      <c r="G391" s="10" t="s">
        <v>11</v>
      </c>
      <c r="H391" s="10" t="s">
        <v>11</v>
      </c>
      <c r="I391" s="10" t="s">
        <v>11</v>
      </c>
    </row>
    <row r="392" spans="1:9" ht="15" hidden="1" customHeight="1" x14ac:dyDescent="0.3">
      <c r="A392" s="40" t="s">
        <v>1341</v>
      </c>
      <c r="B392" s="47" t="str">
        <f t="shared" si="6"/>
        <v>INSTRUMENT_DT_STTLMNT</v>
      </c>
      <c r="C392" s="8" t="s">
        <v>414</v>
      </c>
      <c r="D392" s="41" t="s">
        <v>1342</v>
      </c>
      <c r="E392" s="32" t="s">
        <v>1343</v>
      </c>
      <c r="F392" s="10" t="s">
        <v>13</v>
      </c>
      <c r="G392" s="10" t="s">
        <v>11</v>
      </c>
      <c r="H392" s="10" t="s">
        <v>11</v>
      </c>
      <c r="I392" s="10" t="s">
        <v>11</v>
      </c>
    </row>
    <row r="393" spans="1:9" ht="15" hidden="1" customHeight="1" x14ac:dyDescent="0.3">
      <c r="A393" s="40" t="s">
        <v>1344</v>
      </c>
      <c r="B393" s="47" t="str">
        <f t="shared" si="6"/>
        <v>INSTRUMENT_TRNSFRRD_AMNT</v>
      </c>
      <c r="C393" s="8" t="s">
        <v>414</v>
      </c>
      <c r="D393" s="41" t="s">
        <v>1345</v>
      </c>
      <c r="E393" s="32" t="s">
        <v>1346</v>
      </c>
      <c r="F393" s="10" t="s">
        <v>13</v>
      </c>
      <c r="G393" s="10" t="s">
        <v>11</v>
      </c>
      <c r="H393" s="10" t="s">
        <v>11</v>
      </c>
      <c r="I393" s="10" t="s">
        <v>11</v>
      </c>
    </row>
    <row r="394" spans="1:9" ht="15" hidden="1" customHeight="1" x14ac:dyDescent="0.3">
      <c r="A394" s="40" t="s">
        <v>1347</v>
      </c>
      <c r="B394" s="47" t="str">
        <f t="shared" si="6"/>
        <v>INSTRUMENT_TYP_SCRTZTN</v>
      </c>
      <c r="C394" s="8" t="s">
        <v>414</v>
      </c>
      <c r="D394" s="41" t="s">
        <v>1348</v>
      </c>
      <c r="E394" s="33" t="s">
        <v>1349</v>
      </c>
      <c r="F394" s="10" t="s">
        <v>13</v>
      </c>
      <c r="G394" s="10" t="s">
        <v>11</v>
      </c>
      <c r="H394" s="10" t="s">
        <v>11</v>
      </c>
      <c r="I394" s="10" t="s">
        <v>11</v>
      </c>
    </row>
    <row r="395" spans="1:9" ht="15" hidden="1" customHeight="1" x14ac:dyDescent="0.3">
      <c r="A395" s="40" t="s">
        <v>1350</v>
      </c>
      <c r="B395" s="47" t="str">
        <f t="shared" si="6"/>
        <v>INSTRUMENT_TYP_OFF_BLNC_PRDCT</v>
      </c>
      <c r="C395" s="8" t="s">
        <v>414</v>
      </c>
      <c r="D395" s="41" t="s">
        <v>1351</v>
      </c>
      <c r="E395" s="32" t="s">
        <v>1352</v>
      </c>
      <c r="F395" s="10" t="s">
        <v>13</v>
      </c>
      <c r="G395" s="10" t="s">
        <v>11</v>
      </c>
      <c r="H395" s="10" t="s">
        <v>11</v>
      </c>
      <c r="I395" s="10" t="s">
        <v>11</v>
      </c>
    </row>
    <row r="396" spans="1:9" ht="15" hidden="1" customHeight="1" x14ac:dyDescent="0.3">
      <c r="A396" s="40" t="s">
        <v>1353</v>
      </c>
      <c r="B396" s="47" t="str">
        <f t="shared" si="6"/>
        <v>INSTRUMENT_BLNC_SHT_RCGNTN</v>
      </c>
      <c r="C396" s="8" t="s">
        <v>414</v>
      </c>
      <c r="D396" s="41" t="s">
        <v>1354</v>
      </c>
      <c r="E396" s="33" t="s">
        <v>1355</v>
      </c>
      <c r="F396" s="10" t="s">
        <v>13</v>
      </c>
      <c r="G396" s="10" t="s">
        <v>11</v>
      </c>
      <c r="H396" s="10" t="s">
        <v>11</v>
      </c>
      <c r="I396" s="10" t="s">
        <v>11</v>
      </c>
    </row>
    <row r="397" spans="1:9" ht="15" hidden="1" customHeight="1" x14ac:dyDescent="0.3">
      <c r="A397" s="40" t="s">
        <v>1356</v>
      </c>
      <c r="B397" s="47" t="str">
        <f t="shared" si="6"/>
        <v>INSTRUMENT_FLG_DFLT</v>
      </c>
      <c r="C397" s="8" t="s">
        <v>414</v>
      </c>
      <c r="D397" s="41" t="s">
        <v>1357</v>
      </c>
      <c r="E397" s="32" t="s">
        <v>1358</v>
      </c>
      <c r="F397" s="10" t="s">
        <v>13</v>
      </c>
      <c r="G397" s="10" t="s">
        <v>11</v>
      </c>
      <c r="H397" s="10" t="s">
        <v>11</v>
      </c>
      <c r="I397" s="10" t="s">
        <v>11</v>
      </c>
    </row>
    <row r="398" spans="1:9" ht="15" hidden="1" customHeight="1" x14ac:dyDescent="0.3">
      <c r="A398" s="40" t="s">
        <v>1359</v>
      </c>
      <c r="B398" s="47" t="str">
        <f t="shared" si="6"/>
        <v>INSTRUMENT_FLG_HGH_RSK</v>
      </c>
      <c r="C398" s="8" t="s">
        <v>414</v>
      </c>
      <c r="D398" s="41" t="s">
        <v>1360</v>
      </c>
      <c r="E398" s="32" t="s">
        <v>1361</v>
      </c>
      <c r="F398" s="10" t="s">
        <v>13</v>
      </c>
      <c r="G398" s="10" t="s">
        <v>11</v>
      </c>
      <c r="H398" s="10" t="s">
        <v>11</v>
      </c>
      <c r="I398" s="10" t="s">
        <v>11</v>
      </c>
    </row>
    <row r="399" spans="1:9" ht="15" hidden="1" customHeight="1" x14ac:dyDescent="0.3">
      <c r="A399" s="40" t="s">
        <v>1362</v>
      </c>
      <c r="B399" s="47" t="str">
        <f t="shared" si="6"/>
        <v>INSTRUMENT_EXCLDD_LF</v>
      </c>
      <c r="C399" s="8" t="s">
        <v>414</v>
      </c>
      <c r="D399" s="41" t="s">
        <v>1363</v>
      </c>
      <c r="E399" s="32" t="s">
        <v>1364</v>
      </c>
      <c r="F399" s="10" t="s">
        <v>13</v>
      </c>
      <c r="G399" s="10" t="s">
        <v>11</v>
      </c>
      <c r="H399" s="10" t="s">
        <v>11</v>
      </c>
      <c r="I399" s="10" t="s">
        <v>11</v>
      </c>
    </row>
    <row r="400" spans="1:9" ht="15" hidden="1" customHeight="1" x14ac:dyDescent="0.3">
      <c r="A400" s="40" t="s">
        <v>1365</v>
      </c>
      <c r="B400" s="47" t="str">
        <f t="shared" si="6"/>
        <v>INSTRUMENT_RWA_MTGTN</v>
      </c>
      <c r="C400" s="8" t="s">
        <v>414</v>
      </c>
      <c r="D400" s="41" t="s">
        <v>1366</v>
      </c>
      <c r="E400" s="32" t="s">
        <v>1367</v>
      </c>
      <c r="F400" s="10" t="s">
        <v>13</v>
      </c>
      <c r="G400" s="10" t="s">
        <v>11</v>
      </c>
      <c r="H400" s="10" t="s">
        <v>11</v>
      </c>
      <c r="I400" s="10" t="s">
        <v>11</v>
      </c>
    </row>
    <row r="401" spans="1:9" ht="15" hidden="1" customHeight="1" x14ac:dyDescent="0.3">
      <c r="A401" s="40" t="s">
        <v>1368</v>
      </c>
      <c r="B401" s="47" t="str">
        <f t="shared" si="6"/>
        <v>INSTRUMENT_RWA_PRMTGTN</v>
      </c>
      <c r="C401" s="8" t="s">
        <v>414</v>
      </c>
      <c r="D401" s="41" t="s">
        <v>1369</v>
      </c>
      <c r="E401" s="32" t="s">
        <v>1370</v>
      </c>
      <c r="F401" s="10" t="s">
        <v>13</v>
      </c>
      <c r="G401" s="10" t="s">
        <v>11</v>
      </c>
      <c r="H401" s="10" t="s">
        <v>11</v>
      </c>
      <c r="I401" s="10" t="s">
        <v>11</v>
      </c>
    </row>
    <row r="402" spans="1:9" ht="15" hidden="1" customHeight="1" x14ac:dyDescent="0.3">
      <c r="A402" s="40" t="s">
        <v>1371</v>
      </c>
      <c r="B402" s="47" t="str">
        <f t="shared" si="6"/>
        <v>INSTRUMENT_US_PRCDS</v>
      </c>
      <c r="C402" s="8" t="s">
        <v>414</v>
      </c>
      <c r="D402" s="41" t="s">
        <v>1372</v>
      </c>
      <c r="E402" s="32" t="s">
        <v>1373</v>
      </c>
      <c r="F402" s="10" t="s">
        <v>13</v>
      </c>
      <c r="G402" s="10" t="s">
        <v>11</v>
      </c>
      <c r="H402" s="10" t="s">
        <v>11</v>
      </c>
      <c r="I402" s="10" t="s">
        <v>11</v>
      </c>
    </row>
    <row r="403" spans="1:9" ht="15" hidden="1" customHeight="1" x14ac:dyDescent="0.3">
      <c r="A403" s="40" t="s">
        <v>1374</v>
      </c>
      <c r="B403" s="47" t="str">
        <f t="shared" si="6"/>
        <v>INSTRUMENT_TTL_LVRG_RT_INCPTN</v>
      </c>
      <c r="C403" s="8" t="s">
        <v>414</v>
      </c>
      <c r="D403" s="41" t="s">
        <v>1375</v>
      </c>
      <c r="E403" s="32" t="s">
        <v>1376</v>
      </c>
      <c r="F403" s="10" t="s">
        <v>13</v>
      </c>
      <c r="G403" s="10" t="s">
        <v>11</v>
      </c>
      <c r="H403" s="10" t="s">
        <v>11</v>
      </c>
      <c r="I403" s="10" t="s">
        <v>11</v>
      </c>
    </row>
    <row r="404" spans="1:9" ht="15" hidden="1" customHeight="1" x14ac:dyDescent="0.3">
      <c r="A404" s="40" t="s">
        <v>1377</v>
      </c>
      <c r="B404" s="47" t="str">
        <f t="shared" si="6"/>
        <v>INSTRUMENT_TYP_FCLTY</v>
      </c>
      <c r="C404" s="8" t="s">
        <v>414</v>
      </c>
      <c r="D404" s="41" t="s">
        <v>1378</v>
      </c>
      <c r="E404" s="32" t="s">
        <v>1379</v>
      </c>
      <c r="F404" s="10" t="s">
        <v>13</v>
      </c>
      <c r="G404" s="10" t="s">
        <v>11</v>
      </c>
      <c r="H404" s="10" t="s">
        <v>11</v>
      </c>
      <c r="I404" s="10" t="s">
        <v>11</v>
      </c>
    </row>
    <row r="405" spans="1:9" ht="15" hidden="1" customHeight="1" x14ac:dyDescent="0.3">
      <c r="A405" s="40" t="s">
        <v>1380</v>
      </c>
      <c r="B405" s="47" t="str">
        <f t="shared" si="6"/>
        <v>INSTRUMENT_TYP_CL</v>
      </c>
      <c r="C405" s="8" t="s">
        <v>414</v>
      </c>
      <c r="D405" s="41" t="s">
        <v>1381</v>
      </c>
      <c r="E405" s="32" t="s">
        <v>1382</v>
      </c>
      <c r="F405" s="10" t="s">
        <v>13</v>
      </c>
      <c r="G405" s="10" t="s">
        <v>11</v>
      </c>
      <c r="H405" s="10" t="s">
        <v>11</v>
      </c>
      <c r="I405" s="10" t="s">
        <v>11</v>
      </c>
    </row>
    <row r="406" spans="1:9" ht="15" hidden="1" customHeight="1" x14ac:dyDescent="0.3">
      <c r="A406" s="7" t="s">
        <v>1100</v>
      </c>
      <c r="B406" s="47" t="str">
        <f t="shared" si="6"/>
        <v>INSTR_PROTECTION_COD_SOC</v>
      </c>
      <c r="C406" s="8" t="s">
        <v>1101</v>
      </c>
      <c r="D406" s="9" t="s">
        <v>12</v>
      </c>
      <c r="E406" s="14" t="s">
        <v>14</v>
      </c>
      <c r="F406" s="10" t="s">
        <v>13</v>
      </c>
      <c r="G406" s="10" t="s">
        <v>11</v>
      </c>
      <c r="H406" s="10" t="s">
        <v>13</v>
      </c>
      <c r="I406" s="10" t="s">
        <v>11</v>
      </c>
    </row>
    <row r="407" spans="1:9" ht="15" hidden="1" customHeight="1" x14ac:dyDescent="0.3">
      <c r="A407" s="7" t="s">
        <v>1102</v>
      </c>
      <c r="B407" s="47" t="str">
        <f t="shared" si="6"/>
        <v>INSTR_PROTECTION_DT_RFRNC</v>
      </c>
      <c r="C407" s="8" t="s">
        <v>1101</v>
      </c>
      <c r="D407" s="9" t="s">
        <v>38</v>
      </c>
      <c r="E407" s="14" t="s">
        <v>402</v>
      </c>
      <c r="F407" s="10" t="s">
        <v>13</v>
      </c>
      <c r="G407" s="10" t="s">
        <v>11</v>
      </c>
      <c r="H407" s="10" t="s">
        <v>13</v>
      </c>
      <c r="I407" s="10" t="s">
        <v>11</v>
      </c>
    </row>
    <row r="408" spans="1:9" ht="15" hidden="1" customHeight="1" x14ac:dyDescent="0.3">
      <c r="A408" s="7" t="s">
        <v>1103</v>
      </c>
      <c r="B408" s="47" t="str">
        <f t="shared" si="6"/>
        <v>INSTR_PROTECTION_INSTRMNT_ID</v>
      </c>
      <c r="C408" s="8" t="s">
        <v>1101</v>
      </c>
      <c r="D408" s="9" t="s">
        <v>405</v>
      </c>
      <c r="E408" s="14" t="s">
        <v>406</v>
      </c>
      <c r="F408" s="10" t="s">
        <v>13</v>
      </c>
      <c r="G408" s="10" t="s">
        <v>11</v>
      </c>
      <c r="H408" s="10" t="s">
        <v>13</v>
      </c>
      <c r="I408" s="10" t="s">
        <v>11</v>
      </c>
    </row>
    <row r="409" spans="1:9" ht="15" hidden="1" customHeight="1" x14ac:dyDescent="0.3">
      <c r="A409" s="7" t="s">
        <v>1104</v>
      </c>
      <c r="B409" s="47" t="str">
        <f t="shared" si="6"/>
        <v>INSTR_PROTECTION_PRTCTN_ID</v>
      </c>
      <c r="C409" s="8" t="s">
        <v>1101</v>
      </c>
      <c r="D409" s="9" t="s">
        <v>1105</v>
      </c>
      <c r="E409" s="14" t="s">
        <v>1106</v>
      </c>
      <c r="F409" s="10" t="s">
        <v>13</v>
      </c>
      <c r="G409" s="10" t="s">
        <v>11</v>
      </c>
      <c r="H409" s="10" t="s">
        <v>13</v>
      </c>
      <c r="I409" s="10" t="s">
        <v>11</v>
      </c>
    </row>
    <row r="410" spans="1:9" ht="15" hidden="1" customHeight="1" x14ac:dyDescent="0.3">
      <c r="A410" s="7" t="s">
        <v>1107</v>
      </c>
      <c r="B410" s="47" t="str">
        <f t="shared" si="6"/>
        <v>INSTR_PROTECTION_PRTCTN_ALLCTD_VL</v>
      </c>
      <c r="C410" s="8" t="s">
        <v>1101</v>
      </c>
      <c r="D410" s="9" t="s">
        <v>1108</v>
      </c>
      <c r="E410" s="14" t="s">
        <v>1109</v>
      </c>
      <c r="F410" s="10" t="s">
        <v>13</v>
      </c>
      <c r="G410" s="10" t="s">
        <v>11</v>
      </c>
      <c r="H410" s="10" t="s">
        <v>13</v>
      </c>
      <c r="I410" s="10" t="s">
        <v>11</v>
      </c>
    </row>
    <row r="411" spans="1:9" ht="15" hidden="1" customHeight="1" x14ac:dyDescent="0.3">
      <c r="A411" s="7" t="s">
        <v>1110</v>
      </c>
      <c r="B411" s="47" t="str">
        <f t="shared" si="6"/>
        <v>INSTR_PROTECTION_THRD_PRTY_PRRTY_CLMS</v>
      </c>
      <c r="C411" s="8" t="s">
        <v>1101</v>
      </c>
      <c r="D411" s="9" t="s">
        <v>1111</v>
      </c>
      <c r="E411" s="14" t="s">
        <v>1112</v>
      </c>
      <c r="F411" s="10" t="s">
        <v>13</v>
      </c>
      <c r="G411" s="10" t="s">
        <v>11</v>
      </c>
      <c r="H411" s="10" t="s">
        <v>11</v>
      </c>
      <c r="I411" s="10" t="s">
        <v>11</v>
      </c>
    </row>
    <row r="412" spans="1:9" ht="15" hidden="1" customHeight="1" x14ac:dyDescent="0.3">
      <c r="A412" s="40" t="s">
        <v>1383</v>
      </c>
      <c r="B412" s="47" t="str">
        <f t="shared" si="6"/>
        <v>INSTR_PROTECTION_TYP_RLTN</v>
      </c>
      <c r="C412" s="8" t="s">
        <v>1101</v>
      </c>
      <c r="D412" s="45" t="s">
        <v>1384</v>
      </c>
      <c r="E412" s="14" t="s">
        <v>1385</v>
      </c>
      <c r="F412" s="10" t="s">
        <v>11</v>
      </c>
      <c r="G412" s="10" t="s">
        <v>11</v>
      </c>
      <c r="H412" s="10" t="s">
        <v>13</v>
      </c>
      <c r="I412" s="10" t="s">
        <v>11</v>
      </c>
    </row>
    <row r="413" spans="1:9" ht="15" hidden="1" customHeight="1" x14ac:dyDescent="0.3">
      <c r="A413" s="7" t="s">
        <v>1113</v>
      </c>
      <c r="B413" s="47" t="str">
        <f t="shared" si="6"/>
        <v>PROTECTION_COD_SOC</v>
      </c>
      <c r="C413" s="8" t="s">
        <v>1114</v>
      </c>
      <c r="D413" s="19" t="s">
        <v>12</v>
      </c>
      <c r="E413" s="14" t="s">
        <v>14</v>
      </c>
      <c r="F413" s="10" t="s">
        <v>13</v>
      </c>
      <c r="G413" s="10" t="s">
        <v>11</v>
      </c>
      <c r="H413" s="10" t="s">
        <v>13</v>
      </c>
      <c r="I413" s="10" t="s">
        <v>13</v>
      </c>
    </row>
    <row r="414" spans="1:9" ht="15" hidden="1" customHeight="1" x14ac:dyDescent="0.3">
      <c r="A414" s="7" t="s">
        <v>1115</v>
      </c>
      <c r="B414" s="47" t="str">
        <f t="shared" si="6"/>
        <v>PROTECTION_DT_MTRTY_PRTCTN</v>
      </c>
      <c r="C414" s="8" t="s">
        <v>1114</v>
      </c>
      <c r="D414" s="9" t="s">
        <v>1116</v>
      </c>
      <c r="E414" s="14" t="s">
        <v>1117</v>
      </c>
      <c r="F414" s="10" t="s">
        <v>13</v>
      </c>
      <c r="G414" s="10" t="s">
        <v>11</v>
      </c>
      <c r="H414" s="10" t="s">
        <v>11</v>
      </c>
      <c r="I414" s="10" t="s">
        <v>11</v>
      </c>
    </row>
    <row r="415" spans="1:9" ht="15" hidden="1" customHeight="1" x14ac:dyDescent="0.3">
      <c r="A415" s="7" t="s">
        <v>1118</v>
      </c>
      <c r="B415" s="47" t="str">
        <f t="shared" si="6"/>
        <v>PROTECTION_DT_RFRNC</v>
      </c>
      <c r="C415" s="8" t="s">
        <v>1114</v>
      </c>
      <c r="D415" s="9" t="s">
        <v>38</v>
      </c>
      <c r="E415" s="14" t="s">
        <v>402</v>
      </c>
      <c r="F415" s="10" t="s">
        <v>13</v>
      </c>
      <c r="G415" s="10" t="s">
        <v>11</v>
      </c>
      <c r="H415" s="10" t="s">
        <v>13</v>
      </c>
      <c r="I415" s="10" t="s">
        <v>13</v>
      </c>
    </row>
    <row r="416" spans="1:9" ht="15" hidden="1" customHeight="1" x14ac:dyDescent="0.3">
      <c r="A416" s="7" t="s">
        <v>1119</v>
      </c>
      <c r="B416" s="47" t="str">
        <f t="shared" si="6"/>
        <v>PROTECTION_NTNL_ID</v>
      </c>
      <c r="C416" s="8" t="s">
        <v>1114</v>
      </c>
      <c r="D416" s="9" t="s">
        <v>1120</v>
      </c>
      <c r="E416" s="14" t="s">
        <v>1121</v>
      </c>
      <c r="F416" s="10" t="s">
        <v>13</v>
      </c>
      <c r="G416" s="10" t="s">
        <v>11</v>
      </c>
      <c r="H416" s="10" t="s">
        <v>11</v>
      </c>
      <c r="I416" s="10" t="s">
        <v>11</v>
      </c>
    </row>
    <row r="417" spans="1:9" ht="15" hidden="1" customHeight="1" x14ac:dyDescent="0.3">
      <c r="A417" s="7" t="s">
        <v>1122</v>
      </c>
      <c r="B417" s="47" t="str">
        <f t="shared" si="6"/>
        <v>PROTECTION_PRTCTN_ID</v>
      </c>
      <c r="C417" s="8" t="s">
        <v>1114</v>
      </c>
      <c r="D417" s="9" t="s">
        <v>1105</v>
      </c>
      <c r="E417" s="14" t="s">
        <v>1106</v>
      </c>
      <c r="F417" s="10" t="s">
        <v>13</v>
      </c>
      <c r="G417" s="10" t="s">
        <v>11</v>
      </c>
      <c r="H417" s="10" t="s">
        <v>13</v>
      </c>
      <c r="I417" s="10" t="s">
        <v>13</v>
      </c>
    </row>
    <row r="418" spans="1:9" ht="15" hidden="1" customHeight="1" x14ac:dyDescent="0.3">
      <c r="A418" s="7" t="s">
        <v>1123</v>
      </c>
      <c r="B418" s="47" t="str">
        <f t="shared" si="6"/>
        <v>PROTECTION_PRTCTN_PRVDR_ID</v>
      </c>
      <c r="C418" s="8" t="s">
        <v>1114</v>
      </c>
      <c r="D418" s="9" t="s">
        <v>1124</v>
      </c>
      <c r="E418" s="14" t="s">
        <v>1125</v>
      </c>
      <c r="F418" s="10" t="s">
        <v>13</v>
      </c>
      <c r="G418" s="10" t="s">
        <v>11</v>
      </c>
      <c r="H418" s="10" t="s">
        <v>11</v>
      </c>
      <c r="I418" s="10" t="s">
        <v>11</v>
      </c>
    </row>
    <row r="419" spans="1:9" ht="14" hidden="1" x14ac:dyDescent="0.3">
      <c r="A419" s="7" t="s">
        <v>1126</v>
      </c>
      <c r="B419" s="47" t="str">
        <f t="shared" si="6"/>
        <v>PROTECTION_RL_ESTT_ADDRSS</v>
      </c>
      <c r="C419" s="8" t="s">
        <v>1114</v>
      </c>
      <c r="D419" s="9" t="s">
        <v>1127</v>
      </c>
      <c r="E419" s="14" t="s">
        <v>1128</v>
      </c>
      <c r="F419" s="10" t="s">
        <v>13</v>
      </c>
      <c r="G419" s="10" t="s">
        <v>11</v>
      </c>
      <c r="H419" s="10" t="s">
        <v>11</v>
      </c>
      <c r="I419" s="10" t="s">
        <v>13</v>
      </c>
    </row>
    <row r="420" spans="1:9" ht="15" hidden="1" customHeight="1" x14ac:dyDescent="0.3">
      <c r="A420" s="7" t="s">
        <v>1129</v>
      </c>
      <c r="B420" s="47" t="str">
        <f t="shared" si="6"/>
        <v>PROTECTION_RL_ESTT_CLLTRL_LCTN</v>
      </c>
      <c r="C420" s="8" t="s">
        <v>1114</v>
      </c>
      <c r="D420" s="9" t="s">
        <v>1130</v>
      </c>
      <c r="E420" s="14" t="s">
        <v>1131</v>
      </c>
      <c r="F420" s="10" t="s">
        <v>13</v>
      </c>
      <c r="G420" s="10" t="s">
        <v>11</v>
      </c>
      <c r="H420" s="10" t="s">
        <v>13</v>
      </c>
      <c r="I420" s="10" t="s">
        <v>13</v>
      </c>
    </row>
    <row r="421" spans="1:9" ht="15" hidden="1" customHeight="1" x14ac:dyDescent="0.3">
      <c r="A421" s="7" t="s">
        <v>1132</v>
      </c>
      <c r="B421" s="47" t="str">
        <f t="shared" si="6"/>
        <v>PROTECTION_RL_ESTT_CLLTRL_LCTN_INT</v>
      </c>
      <c r="C421" s="8" t="s">
        <v>1114</v>
      </c>
      <c r="D421" s="9" t="s">
        <v>1133</v>
      </c>
      <c r="E421" s="14" t="s">
        <v>1134</v>
      </c>
      <c r="F421" s="10" t="s">
        <v>13</v>
      </c>
      <c r="G421" s="10" t="s">
        <v>11</v>
      </c>
      <c r="H421" s="10" t="s">
        <v>11</v>
      </c>
      <c r="I421" s="10" t="s">
        <v>13</v>
      </c>
    </row>
    <row r="422" spans="1:9" ht="15" hidden="1" customHeight="1" x14ac:dyDescent="0.3">
      <c r="A422" s="7" t="s">
        <v>1135</v>
      </c>
      <c r="B422" s="47" t="str">
        <f t="shared" si="6"/>
        <v>PROTECTION_RL_ESTT_CTY</v>
      </c>
      <c r="C422" s="8" t="s">
        <v>1114</v>
      </c>
      <c r="D422" s="9" t="s">
        <v>1136</v>
      </c>
      <c r="E422" s="14" t="s">
        <v>1137</v>
      </c>
      <c r="F422" s="10" t="s">
        <v>13</v>
      </c>
      <c r="G422" s="10" t="s">
        <v>11</v>
      </c>
      <c r="H422" s="10" t="s">
        <v>11</v>
      </c>
      <c r="I422" s="10" t="s">
        <v>13</v>
      </c>
    </row>
    <row r="423" spans="1:9" ht="15" hidden="1" customHeight="1" x14ac:dyDescent="0.3">
      <c r="A423" s="7" t="s">
        <v>1138</v>
      </c>
      <c r="B423" s="47" t="str">
        <f t="shared" si="6"/>
        <v>PROTECTION_RL_ESTT_PST_CD</v>
      </c>
      <c r="C423" s="8" t="s">
        <v>1114</v>
      </c>
      <c r="D423" s="9" t="s">
        <v>1139</v>
      </c>
      <c r="E423" s="14" t="s">
        <v>288</v>
      </c>
      <c r="F423" s="10" t="s">
        <v>13</v>
      </c>
      <c r="G423" s="10" t="s">
        <v>11</v>
      </c>
      <c r="H423" s="10" t="s">
        <v>13</v>
      </c>
      <c r="I423" s="10" t="s">
        <v>13</v>
      </c>
    </row>
    <row r="424" spans="1:9" ht="15" hidden="1" customHeight="1" x14ac:dyDescent="0.3">
      <c r="A424" s="7" t="s">
        <v>1140</v>
      </c>
      <c r="B424" s="47" t="str">
        <f t="shared" si="6"/>
        <v>PROTECTION_HRCT_MV</v>
      </c>
      <c r="C424" s="8" t="s">
        <v>1114</v>
      </c>
      <c r="D424" s="9" t="s">
        <v>1141</v>
      </c>
      <c r="E424" s="14" t="s">
        <v>1142</v>
      </c>
      <c r="F424" s="10" t="s">
        <v>13</v>
      </c>
      <c r="G424" s="10" t="s">
        <v>11</v>
      </c>
      <c r="H424" s="10" t="s">
        <v>11</v>
      </c>
      <c r="I424" s="10" t="s">
        <v>11</v>
      </c>
    </row>
    <row r="425" spans="1:9" s="20" customFormat="1" ht="15" hidden="1" customHeight="1" x14ac:dyDescent="0.3">
      <c r="A425" s="7" t="s">
        <v>1143</v>
      </c>
      <c r="B425" s="47" t="str">
        <f t="shared" si="6"/>
        <v>PROTECTION_PRTCTN_CLLD</v>
      </c>
      <c r="C425" s="8" t="s">
        <v>1114</v>
      </c>
      <c r="D425" s="9" t="s">
        <v>1144</v>
      </c>
      <c r="E425" s="14" t="s">
        <v>1145</v>
      </c>
      <c r="F425" s="10" t="s">
        <v>13</v>
      </c>
      <c r="G425" s="10" t="s">
        <v>11</v>
      </c>
      <c r="H425" s="10" t="s">
        <v>11</v>
      </c>
      <c r="I425" s="10" t="s">
        <v>11</v>
      </c>
    </row>
    <row r="426" spans="1:9" ht="15" hidden="1" customHeight="1" x14ac:dyDescent="0.3">
      <c r="A426" s="21" t="s">
        <v>1146</v>
      </c>
      <c r="B426" s="47" t="str">
        <f t="shared" si="6"/>
        <v>PROTECTION_TYP_PRTCTN</v>
      </c>
      <c r="C426" s="8" t="s">
        <v>1114</v>
      </c>
      <c r="D426" s="22" t="s">
        <v>1147</v>
      </c>
      <c r="E426" s="28" t="s">
        <v>1148</v>
      </c>
      <c r="F426" s="10" t="s">
        <v>13</v>
      </c>
      <c r="G426" s="10" t="s">
        <v>11</v>
      </c>
      <c r="H426" s="10" t="s">
        <v>13</v>
      </c>
      <c r="I426" s="10" t="s">
        <v>13</v>
      </c>
    </row>
    <row r="427" spans="1:9" ht="15" hidden="1" customHeight="1" x14ac:dyDescent="0.3">
      <c r="A427" s="7" t="s">
        <v>1149</v>
      </c>
      <c r="B427" s="47" t="str">
        <f t="shared" si="6"/>
        <v>PROTECTION_TYP_PRTCTN_INTRNL</v>
      </c>
      <c r="C427" s="8" t="s">
        <v>1114</v>
      </c>
      <c r="D427" s="9" t="s">
        <v>1150</v>
      </c>
      <c r="E427" s="14" t="s">
        <v>1151</v>
      </c>
      <c r="F427" s="10" t="s">
        <v>13</v>
      </c>
      <c r="G427" s="10" t="s">
        <v>11</v>
      </c>
      <c r="H427" s="10" t="s">
        <v>11</v>
      </c>
      <c r="I427" s="10" t="s">
        <v>11</v>
      </c>
    </row>
    <row r="428" spans="1:9" ht="15" hidden="1" customHeight="1" x14ac:dyDescent="0.3">
      <c r="A428" s="7" t="s">
        <v>1152</v>
      </c>
      <c r="B428" s="47" t="str">
        <f t="shared" si="6"/>
        <v>PROTECTION_TYP_PRTCTN_VL</v>
      </c>
      <c r="C428" s="8" t="s">
        <v>1114</v>
      </c>
      <c r="D428" s="9" t="s">
        <v>1153</v>
      </c>
      <c r="E428" s="14" t="s">
        <v>1154</v>
      </c>
      <c r="F428" s="10" t="s">
        <v>13</v>
      </c>
      <c r="G428" s="10" t="s">
        <v>11</v>
      </c>
      <c r="H428" s="10" t="s">
        <v>11</v>
      </c>
      <c r="I428" s="10" t="s">
        <v>11</v>
      </c>
    </row>
    <row r="429" spans="1:9" ht="15" hidden="1" customHeight="1" x14ac:dyDescent="0.3">
      <c r="A429" s="7" t="s">
        <v>1155</v>
      </c>
      <c r="B429" s="47" t="str">
        <f t="shared" si="6"/>
        <v>PROTECTION_APPRSL_CRRNCY</v>
      </c>
      <c r="C429" s="8" t="s">
        <v>1114</v>
      </c>
      <c r="D429" s="9" t="s">
        <v>1156</v>
      </c>
      <c r="E429" s="14" t="s">
        <v>1157</v>
      </c>
      <c r="F429" s="10" t="s">
        <v>13</v>
      </c>
      <c r="G429" s="10" t="s">
        <v>11</v>
      </c>
      <c r="H429" s="10" t="s">
        <v>11</v>
      </c>
      <c r="I429" s="10" t="s">
        <v>11</v>
      </c>
    </row>
    <row r="430" spans="1:9" ht="15" hidden="1" customHeight="1" x14ac:dyDescent="0.3">
      <c r="A430" s="7" t="s">
        <v>1158</v>
      </c>
      <c r="B430" s="47" t="str">
        <f t="shared" si="6"/>
        <v>PROTECTION_APPRSR</v>
      </c>
      <c r="C430" s="8" t="s">
        <v>1114</v>
      </c>
      <c r="D430" s="9" t="s">
        <v>1159</v>
      </c>
      <c r="E430" s="14" t="s">
        <v>1160</v>
      </c>
      <c r="F430" s="10" t="s">
        <v>13</v>
      </c>
      <c r="G430" s="10" t="s">
        <v>11</v>
      </c>
      <c r="H430" s="10" t="s">
        <v>11</v>
      </c>
      <c r="I430" s="10" t="s">
        <v>11</v>
      </c>
    </row>
    <row r="431" spans="1:9" ht="15" hidden="1" customHeight="1" x14ac:dyDescent="0.3">
      <c r="A431" s="7" t="s">
        <v>1161</v>
      </c>
      <c r="B431" s="47" t="str">
        <f t="shared" si="6"/>
        <v>PROTECTION_DT_LST_FLL_APPRSL</v>
      </c>
      <c r="C431" s="8" t="s">
        <v>1114</v>
      </c>
      <c r="D431" s="9" t="s">
        <v>1162</v>
      </c>
      <c r="E431" s="14" t="s">
        <v>1163</v>
      </c>
      <c r="F431" s="10" t="s">
        <v>13</v>
      </c>
      <c r="G431" s="10" t="s">
        <v>11</v>
      </c>
      <c r="H431" s="10" t="s">
        <v>11</v>
      </c>
      <c r="I431" s="10" t="s">
        <v>11</v>
      </c>
    </row>
    <row r="432" spans="1:9" ht="15" hidden="1" customHeight="1" x14ac:dyDescent="0.3">
      <c r="A432" s="7" t="s">
        <v>1164</v>
      </c>
      <c r="B432" s="47" t="str">
        <f t="shared" si="6"/>
        <v>PROTECTION_DT_ORGNL_PRTCTN_VL</v>
      </c>
      <c r="C432" s="8" t="s">
        <v>1114</v>
      </c>
      <c r="D432" s="9" t="s">
        <v>1165</v>
      </c>
      <c r="E432" s="14" t="s">
        <v>1166</v>
      </c>
      <c r="F432" s="10" t="s">
        <v>13</v>
      </c>
      <c r="G432" s="10" t="s">
        <v>11</v>
      </c>
      <c r="H432" s="10" t="s">
        <v>11</v>
      </c>
      <c r="I432" s="10" t="s">
        <v>11</v>
      </c>
    </row>
    <row r="433" spans="1:9" ht="15" hidden="1" customHeight="1" x14ac:dyDescent="0.3">
      <c r="A433" s="7" t="s">
        <v>1167</v>
      </c>
      <c r="B433" s="47" t="str">
        <f t="shared" si="6"/>
        <v>PROTECTION_DT_PRTCTN_VL</v>
      </c>
      <c r="C433" s="8" t="s">
        <v>1114</v>
      </c>
      <c r="D433" s="9" t="s">
        <v>1168</v>
      </c>
      <c r="E433" s="14" t="s">
        <v>1169</v>
      </c>
      <c r="F433" s="10" t="s">
        <v>13</v>
      </c>
      <c r="G433" s="10" t="s">
        <v>11</v>
      </c>
      <c r="H433" s="10" t="s">
        <v>11</v>
      </c>
      <c r="I433" s="10" t="s">
        <v>11</v>
      </c>
    </row>
    <row r="434" spans="1:9" ht="15" hidden="1" customHeight="1" x14ac:dyDescent="0.3">
      <c r="A434" s="7" t="s">
        <v>1170</v>
      </c>
      <c r="B434" s="47" t="str">
        <f t="shared" si="6"/>
        <v>PROTECTION_ORGNL_PRTCTN_VL</v>
      </c>
      <c r="C434" s="8" t="s">
        <v>1114</v>
      </c>
      <c r="D434" s="9" t="s">
        <v>1171</v>
      </c>
      <c r="E434" s="14" t="s">
        <v>1172</v>
      </c>
      <c r="F434" s="10" t="s">
        <v>13</v>
      </c>
      <c r="G434" s="10" t="s">
        <v>11</v>
      </c>
      <c r="H434" s="10" t="s">
        <v>13</v>
      </c>
      <c r="I434" s="10" t="s">
        <v>11</v>
      </c>
    </row>
    <row r="435" spans="1:9" ht="15" hidden="1" customHeight="1" x14ac:dyDescent="0.3">
      <c r="A435" s="7" t="s">
        <v>1173</v>
      </c>
      <c r="B435" s="47" t="str">
        <f t="shared" si="6"/>
        <v>PROTECTION_PRTCTN_FRCD_SL_VL</v>
      </c>
      <c r="C435" s="8" t="s">
        <v>1114</v>
      </c>
      <c r="D435" s="9" t="s">
        <v>1174</v>
      </c>
      <c r="E435" s="14" t="s">
        <v>1175</v>
      </c>
      <c r="F435" s="10" t="s">
        <v>13</v>
      </c>
      <c r="G435" s="10" t="s">
        <v>11</v>
      </c>
      <c r="H435" s="10" t="s">
        <v>11</v>
      </c>
      <c r="I435" s="10" t="s">
        <v>11</v>
      </c>
    </row>
    <row r="436" spans="1:9" ht="15" hidden="1" customHeight="1" x14ac:dyDescent="0.3">
      <c r="A436" s="7" t="s">
        <v>1176</v>
      </c>
      <c r="B436" s="47" t="str">
        <f t="shared" si="6"/>
        <v>PROTECTION_PRTCTN_VL</v>
      </c>
      <c r="C436" s="8" t="s">
        <v>1114</v>
      </c>
      <c r="D436" s="9" t="s">
        <v>1177</v>
      </c>
      <c r="E436" s="14" t="s">
        <v>1178</v>
      </c>
      <c r="F436" s="10" t="s">
        <v>13</v>
      </c>
      <c r="G436" s="10" t="s">
        <v>11</v>
      </c>
      <c r="H436" s="10" t="s">
        <v>13</v>
      </c>
      <c r="I436" s="10" t="s">
        <v>11</v>
      </c>
    </row>
    <row r="437" spans="1:9" ht="15" hidden="1" customHeight="1" x14ac:dyDescent="0.3">
      <c r="A437" s="7" t="s">
        <v>1179</v>
      </c>
      <c r="B437" s="47" t="str">
        <f t="shared" si="6"/>
        <v>PROTECTION_PRTCTN_VL_NPE</v>
      </c>
      <c r="C437" s="8" t="s">
        <v>1114</v>
      </c>
      <c r="D437" s="9" t="s">
        <v>1180</v>
      </c>
      <c r="E437" s="14" t="s">
        <v>1181</v>
      </c>
      <c r="F437" s="10" t="s">
        <v>13</v>
      </c>
      <c r="G437" s="10" t="s">
        <v>11</v>
      </c>
      <c r="H437" s="10" t="s">
        <v>11</v>
      </c>
      <c r="I437" s="10" t="s">
        <v>11</v>
      </c>
    </row>
    <row r="438" spans="1:9" ht="15" hidden="1" customHeight="1" x14ac:dyDescent="0.3">
      <c r="A438" s="7" t="s">
        <v>1182</v>
      </c>
      <c r="B438" s="47" t="str">
        <f t="shared" si="6"/>
        <v>PROTECTION_PRTCTN_VLTN_APPRCH</v>
      </c>
      <c r="C438" s="8" t="s">
        <v>1114</v>
      </c>
      <c r="D438" s="9" t="s">
        <v>1183</v>
      </c>
      <c r="E438" s="14" t="s">
        <v>1184</v>
      </c>
      <c r="F438" s="10" t="s">
        <v>13</v>
      </c>
      <c r="G438" s="10" t="s">
        <v>11</v>
      </c>
      <c r="H438" s="10" t="s">
        <v>11</v>
      </c>
      <c r="I438" s="10" t="s">
        <v>11</v>
      </c>
    </row>
    <row r="439" spans="1:9" ht="15" hidden="1" customHeight="1" x14ac:dyDescent="0.3">
      <c r="A439" s="7" t="s">
        <v>1185</v>
      </c>
      <c r="B439" s="47" t="str">
        <f t="shared" si="6"/>
        <v>PROTECTION_DT_APPRSL_PRVS</v>
      </c>
      <c r="C439" s="8" t="s">
        <v>1114</v>
      </c>
      <c r="D439" s="9" t="s">
        <v>1186</v>
      </c>
      <c r="E439" s="14" t="s">
        <v>1187</v>
      </c>
      <c r="F439" s="10" t="s">
        <v>13</v>
      </c>
      <c r="G439" s="10" t="s">
        <v>11</v>
      </c>
      <c r="H439" s="10" t="s">
        <v>11</v>
      </c>
      <c r="I439" s="10" t="s">
        <v>11</v>
      </c>
    </row>
    <row r="440" spans="1:9" ht="15" hidden="1" customHeight="1" x14ac:dyDescent="0.3">
      <c r="A440" s="7" t="s">
        <v>1188</v>
      </c>
      <c r="B440" s="47" t="str">
        <f t="shared" si="6"/>
        <v>PROTECTION_PRTCTN_VL_PRVS</v>
      </c>
      <c r="C440" s="8" t="s">
        <v>1114</v>
      </c>
      <c r="D440" s="9" t="s">
        <v>1189</v>
      </c>
      <c r="E440" s="14" t="s">
        <v>1190</v>
      </c>
      <c r="F440" s="10" t="s">
        <v>13</v>
      </c>
      <c r="G440" s="10" t="s">
        <v>11</v>
      </c>
      <c r="H440" s="10" t="s">
        <v>11</v>
      </c>
      <c r="I440" s="10" t="s">
        <v>11</v>
      </c>
    </row>
    <row r="441" spans="1:9" ht="15" hidden="1" customHeight="1" x14ac:dyDescent="0.3">
      <c r="A441" s="7" t="s">
        <v>1191</v>
      </c>
      <c r="B441" s="47" t="str">
        <f t="shared" si="6"/>
        <v>PROTECTION_CNSTRCTN_STTS</v>
      </c>
      <c r="C441" s="8" t="s">
        <v>1114</v>
      </c>
      <c r="D441" s="9" t="s">
        <v>1192</v>
      </c>
      <c r="E441" s="14" t="s">
        <v>1193</v>
      </c>
      <c r="F441" s="10" t="s">
        <v>13</v>
      </c>
      <c r="G441" s="10" t="s">
        <v>11</v>
      </c>
      <c r="H441" s="10" t="s">
        <v>11</v>
      </c>
      <c r="I441" s="10" t="s">
        <v>11</v>
      </c>
    </row>
    <row r="442" spans="1:9" ht="14.9" hidden="1" customHeight="1" x14ac:dyDescent="0.3">
      <c r="A442" s="7" t="s">
        <v>1194</v>
      </c>
      <c r="B442" s="47" t="str">
        <f t="shared" si="6"/>
        <v>PROTECTION_DT_CNSTRCTN_STTS</v>
      </c>
      <c r="C442" s="8" t="s">
        <v>1114</v>
      </c>
      <c r="D442" s="9" t="s">
        <v>1195</v>
      </c>
      <c r="E442" s="30" t="s">
        <v>1196</v>
      </c>
      <c r="F442" s="10" t="s">
        <v>13</v>
      </c>
      <c r="G442" s="10" t="s">
        <v>11</v>
      </c>
      <c r="H442" s="10" t="s">
        <v>11</v>
      </c>
      <c r="I442" s="10" t="s">
        <v>11</v>
      </c>
    </row>
    <row r="443" spans="1:9" ht="14.9" hidden="1" customHeight="1" x14ac:dyDescent="0.3">
      <c r="A443" s="7" t="s">
        <v>1197</v>
      </c>
      <c r="B443" s="47" t="str">
        <f t="shared" si="6"/>
        <v>PROTECTION_DT_FRST_USG</v>
      </c>
      <c r="C443" s="8" t="s">
        <v>1114</v>
      </c>
      <c r="D443" s="9" t="s">
        <v>1198</v>
      </c>
      <c r="E443" s="30" t="s">
        <v>1199</v>
      </c>
      <c r="F443" s="10" t="s">
        <v>13</v>
      </c>
      <c r="G443" s="10" t="s">
        <v>11</v>
      </c>
      <c r="H443" s="10" t="s">
        <v>11</v>
      </c>
      <c r="I443" s="10" t="s">
        <v>11</v>
      </c>
    </row>
    <row r="444" spans="1:9" ht="14.9" hidden="1" customHeight="1" x14ac:dyDescent="0.3">
      <c r="A444" s="7" t="s">
        <v>1200</v>
      </c>
      <c r="B444" s="47" t="str">
        <f t="shared" si="6"/>
        <v>PROTECTION_DVLPMNT_STTS</v>
      </c>
      <c r="C444" s="8" t="s">
        <v>1114</v>
      </c>
      <c r="D444" s="9" t="s">
        <v>1201</v>
      </c>
      <c r="E444" s="30" t="s">
        <v>1202</v>
      </c>
      <c r="F444" s="10" t="s">
        <v>13</v>
      </c>
      <c r="G444" s="10" t="s">
        <v>11</v>
      </c>
      <c r="H444" s="10" t="s">
        <v>11</v>
      </c>
      <c r="I444" s="10" t="s">
        <v>11</v>
      </c>
    </row>
    <row r="445" spans="1:9" ht="14.9" hidden="1" customHeight="1" x14ac:dyDescent="0.3">
      <c r="A445" s="7" t="s">
        <v>1203</v>
      </c>
      <c r="B445" s="47" t="str">
        <f t="shared" si="6"/>
        <v>PROTECTION_MN_PRPS</v>
      </c>
      <c r="C445" s="8" t="s">
        <v>1114</v>
      </c>
      <c r="D445" s="9" t="s">
        <v>1204</v>
      </c>
      <c r="E445" s="30" t="s">
        <v>1205</v>
      </c>
      <c r="F445" s="10" t="s">
        <v>13</v>
      </c>
      <c r="G445" s="10" t="s">
        <v>11</v>
      </c>
      <c r="H445" s="10" t="s">
        <v>11</v>
      </c>
      <c r="I445" s="10" t="s">
        <v>11</v>
      </c>
    </row>
    <row r="446" spans="1:9" ht="14.9" hidden="1" customHeight="1" x14ac:dyDescent="0.3">
      <c r="A446" s="7" t="s">
        <v>1206</v>
      </c>
      <c r="B446" s="47" t="str">
        <f t="shared" si="6"/>
        <v>PROTECTION_PRM_LCTN</v>
      </c>
      <c r="C446" s="8" t="s">
        <v>1114</v>
      </c>
      <c r="D446" s="9" t="s">
        <v>1207</v>
      </c>
      <c r="E446" s="30" t="s">
        <v>1208</v>
      </c>
      <c r="F446" s="10" t="s">
        <v>13</v>
      </c>
      <c r="G446" s="10" t="s">
        <v>11</v>
      </c>
      <c r="H446" s="10" t="s">
        <v>11</v>
      </c>
      <c r="I446" s="10" t="s">
        <v>11</v>
      </c>
    </row>
    <row r="447" spans="1:9" ht="14.9" hidden="1" customHeight="1" x14ac:dyDescent="0.3">
      <c r="A447" s="7" t="s">
        <v>1209</v>
      </c>
      <c r="B447" s="47" t="str">
        <f t="shared" si="6"/>
        <v>PROTECTION_CRE_INCM_CRRNCY</v>
      </c>
      <c r="C447" s="8" t="s">
        <v>1114</v>
      </c>
      <c r="D447" s="9" t="s">
        <v>1210</v>
      </c>
      <c r="E447" s="30" t="s">
        <v>1211</v>
      </c>
      <c r="F447" s="10" t="s">
        <v>13</v>
      </c>
      <c r="G447" s="10" t="s">
        <v>11</v>
      </c>
      <c r="H447" s="10" t="s">
        <v>11</v>
      </c>
      <c r="I447" s="10" t="s">
        <v>11</v>
      </c>
    </row>
    <row r="448" spans="1:9" ht="14.9" hidden="1" customHeight="1" x14ac:dyDescent="0.3">
      <c r="A448" s="7" t="s">
        <v>1212</v>
      </c>
      <c r="B448" s="47" t="str">
        <f t="shared" si="6"/>
        <v>PROTECTION_CRE_YRLY_EXPNSS</v>
      </c>
      <c r="C448" s="8" t="s">
        <v>1114</v>
      </c>
      <c r="D448" s="9" t="s">
        <v>1213</v>
      </c>
      <c r="E448" s="30" t="s">
        <v>1214</v>
      </c>
      <c r="F448" s="10" t="s">
        <v>13</v>
      </c>
      <c r="G448" s="10" t="s">
        <v>11</v>
      </c>
      <c r="H448" s="10" t="s">
        <v>11</v>
      </c>
      <c r="I448" s="10" t="s">
        <v>11</v>
      </c>
    </row>
    <row r="449" spans="1:9" ht="14.9" hidden="1" customHeight="1" x14ac:dyDescent="0.3">
      <c r="A449" s="7" t="s">
        <v>1215</v>
      </c>
      <c r="B449" s="47" t="str">
        <f t="shared" si="6"/>
        <v>PROTECTION_CRE_YRLY_INCM</v>
      </c>
      <c r="C449" s="8" t="s">
        <v>1114</v>
      </c>
      <c r="D449" s="9" t="s">
        <v>1216</v>
      </c>
      <c r="E449" s="30" t="s">
        <v>1217</v>
      </c>
      <c r="F449" s="10" t="s">
        <v>13</v>
      </c>
      <c r="G449" s="10" t="s">
        <v>11</v>
      </c>
      <c r="H449" s="10" t="s">
        <v>11</v>
      </c>
      <c r="I449" s="10" t="s">
        <v>11</v>
      </c>
    </row>
    <row r="450" spans="1:9" ht="14.9" hidden="1" customHeight="1" x14ac:dyDescent="0.3">
      <c r="A450" s="7" t="s">
        <v>1218</v>
      </c>
      <c r="B450" s="47" t="str">
        <f t="shared" si="6"/>
        <v>PROTECTION_PRTCTN_TYP_PBLC_GRNT_SCHM_C19</v>
      </c>
      <c r="C450" s="8" t="s">
        <v>1114</v>
      </c>
      <c r="D450" s="42" t="s">
        <v>1219</v>
      </c>
      <c r="E450" s="46" t="s">
        <v>1220</v>
      </c>
      <c r="F450" s="43" t="s">
        <v>13</v>
      </c>
      <c r="G450" s="43" t="s">
        <v>11</v>
      </c>
      <c r="H450" s="43" t="s">
        <v>11</v>
      </c>
      <c r="I450" s="43" t="s">
        <v>11</v>
      </c>
    </row>
    <row r="451" spans="1:9" ht="15" hidden="1" customHeight="1" x14ac:dyDescent="0.3">
      <c r="A451" s="7" t="s">
        <v>1221</v>
      </c>
      <c r="B451" s="47" t="str">
        <f t="shared" ref="B451:B478" si="7">C451&amp;"_"&amp;D451</f>
        <v>PROTECTION_TAX_ID</v>
      </c>
      <c r="C451" s="8" t="s">
        <v>1114</v>
      </c>
      <c r="D451" s="9" t="s">
        <v>266</v>
      </c>
      <c r="E451" s="14" t="s">
        <v>267</v>
      </c>
      <c r="F451" s="10" t="s">
        <v>13</v>
      </c>
      <c r="G451" s="10" t="s">
        <v>11</v>
      </c>
      <c r="H451" s="10" t="s">
        <v>11</v>
      </c>
      <c r="I451" s="10" t="s">
        <v>11</v>
      </c>
    </row>
    <row r="452" spans="1:9" ht="15" hidden="1" customHeight="1" x14ac:dyDescent="0.3">
      <c r="A452" s="7" t="s">
        <v>1222</v>
      </c>
      <c r="B452" s="47" t="str">
        <f t="shared" si="7"/>
        <v>PROTECTION_TYP_EP_SCR</v>
      </c>
      <c r="C452" s="8" t="s">
        <v>1114</v>
      </c>
      <c r="D452" s="9" t="s">
        <v>1223</v>
      </c>
      <c r="E452" s="14" t="s">
        <v>1224</v>
      </c>
      <c r="F452" s="10" t="s">
        <v>11</v>
      </c>
      <c r="G452" s="10" t="s">
        <v>11</v>
      </c>
      <c r="H452" s="10" t="s">
        <v>13</v>
      </c>
      <c r="I452" s="10" t="s">
        <v>13</v>
      </c>
    </row>
    <row r="453" spans="1:9" ht="15" hidden="1" customHeight="1" x14ac:dyDescent="0.3">
      <c r="A453" s="7" t="s">
        <v>1225</v>
      </c>
      <c r="B453" s="47" t="str">
        <f t="shared" si="7"/>
        <v>PROTECTION_EP_SCR</v>
      </c>
      <c r="C453" s="8" t="s">
        <v>1114</v>
      </c>
      <c r="D453" s="9" t="s">
        <v>1226</v>
      </c>
      <c r="E453" s="14" t="s">
        <v>1227</v>
      </c>
      <c r="F453" s="10" t="s">
        <v>11</v>
      </c>
      <c r="G453" s="10" t="s">
        <v>11</v>
      </c>
      <c r="H453" s="10" t="s">
        <v>13</v>
      </c>
      <c r="I453" s="10" t="s">
        <v>13</v>
      </c>
    </row>
    <row r="454" spans="1:9" ht="15" hidden="1" customHeight="1" x14ac:dyDescent="0.3">
      <c r="A454" s="7" t="s">
        <v>1228</v>
      </c>
      <c r="B454" s="47" t="str">
        <f t="shared" si="7"/>
        <v>PROTECTION_TYP_EPC_LBL</v>
      </c>
      <c r="C454" s="8" t="s">
        <v>1114</v>
      </c>
      <c r="D454" s="9" t="s">
        <v>1229</v>
      </c>
      <c r="E454" s="14" t="s">
        <v>1230</v>
      </c>
      <c r="F454" s="10" t="s">
        <v>11</v>
      </c>
      <c r="G454" s="10" t="s">
        <v>11</v>
      </c>
      <c r="H454" s="10" t="s">
        <v>13</v>
      </c>
      <c r="I454" s="10" t="s">
        <v>13</v>
      </c>
    </row>
    <row r="455" spans="1:9" ht="15" hidden="1" customHeight="1" x14ac:dyDescent="0.3">
      <c r="A455" s="7" t="s">
        <v>1231</v>
      </c>
      <c r="B455" s="47" t="str">
        <f t="shared" si="7"/>
        <v>PROTECTION_EPC_LBL</v>
      </c>
      <c r="C455" s="8" t="s">
        <v>1114</v>
      </c>
      <c r="D455" s="9" t="s">
        <v>1232</v>
      </c>
      <c r="E455" s="30" t="s">
        <v>1233</v>
      </c>
      <c r="F455" s="10" t="s">
        <v>11</v>
      </c>
      <c r="G455" s="10" t="s">
        <v>11</v>
      </c>
      <c r="H455" s="10" t="s">
        <v>13</v>
      </c>
      <c r="I455" s="10" t="s">
        <v>13</v>
      </c>
    </row>
    <row r="456" spans="1:9" ht="15" hidden="1" customHeight="1" x14ac:dyDescent="0.3">
      <c r="A456" s="7" t="s">
        <v>1234</v>
      </c>
      <c r="B456" s="47" t="str">
        <f t="shared" si="7"/>
        <v>PROTECTION_TYP_EMSSNS_LBL</v>
      </c>
      <c r="C456" s="8" t="s">
        <v>1114</v>
      </c>
      <c r="D456" s="9" t="s">
        <v>1235</v>
      </c>
      <c r="E456" s="14" t="s">
        <v>1236</v>
      </c>
      <c r="F456" s="10" t="s">
        <v>11</v>
      </c>
      <c r="G456" s="10" t="s">
        <v>11</v>
      </c>
      <c r="H456" s="10" t="s">
        <v>11</v>
      </c>
      <c r="I456" s="10" t="s">
        <v>13</v>
      </c>
    </row>
    <row r="457" spans="1:9" ht="15" hidden="1" customHeight="1" x14ac:dyDescent="0.3">
      <c r="A457" s="7" t="s">
        <v>1237</v>
      </c>
      <c r="B457" s="47" t="str">
        <f t="shared" si="7"/>
        <v>PROTECTION_EPC_EMSSNS_LBL</v>
      </c>
      <c r="C457" s="8" t="s">
        <v>1114</v>
      </c>
      <c r="D457" s="9" t="s">
        <v>1238</v>
      </c>
      <c r="E457" s="32" t="s">
        <v>1239</v>
      </c>
      <c r="F457" s="10" t="s">
        <v>11</v>
      </c>
      <c r="G457" s="10" t="s">
        <v>11</v>
      </c>
      <c r="H457" s="10" t="s">
        <v>11</v>
      </c>
      <c r="I457" s="10" t="s">
        <v>13</v>
      </c>
    </row>
    <row r="458" spans="1:9" ht="15" hidden="1" customHeight="1" x14ac:dyDescent="0.3">
      <c r="A458" s="7" t="s">
        <v>1240</v>
      </c>
      <c r="B458" s="47" t="str">
        <f t="shared" si="7"/>
        <v>PROTECTION_VHCL_EMSSNS_LBL</v>
      </c>
      <c r="C458" s="8" t="s">
        <v>1114</v>
      </c>
      <c r="D458" s="9" t="s">
        <v>1241</v>
      </c>
      <c r="E458" s="30" t="s">
        <v>1242</v>
      </c>
      <c r="F458" s="10" t="s">
        <v>11</v>
      </c>
      <c r="G458" s="10" t="s">
        <v>11</v>
      </c>
      <c r="H458" s="10" t="s">
        <v>11</v>
      </c>
      <c r="I458" s="10" t="s">
        <v>13</v>
      </c>
    </row>
    <row r="459" spans="1:9" ht="15" hidden="1" customHeight="1" x14ac:dyDescent="0.3">
      <c r="A459" s="7" t="s">
        <v>1243</v>
      </c>
      <c r="B459" s="47" t="str">
        <f t="shared" si="7"/>
        <v>PROTECTION_TYP_EMSSNS_SCR</v>
      </c>
      <c r="C459" s="8" t="s">
        <v>1114</v>
      </c>
      <c r="D459" s="9" t="s">
        <v>1244</v>
      </c>
      <c r="E459" s="14" t="s">
        <v>1245</v>
      </c>
      <c r="F459" s="10" t="s">
        <v>11</v>
      </c>
      <c r="G459" s="10" t="s">
        <v>11</v>
      </c>
      <c r="H459" s="10" t="s">
        <v>11</v>
      </c>
      <c r="I459" s="10" t="s">
        <v>13</v>
      </c>
    </row>
    <row r="460" spans="1:9" ht="15" hidden="1" customHeight="1" x14ac:dyDescent="0.3">
      <c r="A460" s="7" t="s">
        <v>1246</v>
      </c>
      <c r="B460" s="47" t="str">
        <f t="shared" si="7"/>
        <v>PROTECTION_EPC_EMSSNS_SCR</v>
      </c>
      <c r="C460" s="8" t="s">
        <v>1114</v>
      </c>
      <c r="D460" s="9" t="s">
        <v>1247</v>
      </c>
      <c r="E460" s="32" t="s">
        <v>1248</v>
      </c>
      <c r="F460" s="10" t="s">
        <v>11</v>
      </c>
      <c r="G460" s="10" t="s">
        <v>11</v>
      </c>
      <c r="H460" s="10" t="s">
        <v>11</v>
      </c>
      <c r="I460" s="10" t="s">
        <v>13</v>
      </c>
    </row>
    <row r="461" spans="1:9" ht="15" hidden="1" customHeight="1" x14ac:dyDescent="0.3">
      <c r="A461" s="7" t="s">
        <v>1249</v>
      </c>
      <c r="B461" s="47" t="str">
        <f t="shared" si="7"/>
        <v>PROTECTION_VHCL_EMSSNS_SCR</v>
      </c>
      <c r="C461" s="8" t="s">
        <v>1114</v>
      </c>
      <c r="D461" s="9" t="s">
        <v>1250</v>
      </c>
      <c r="E461" s="32" t="s">
        <v>1251</v>
      </c>
      <c r="F461" s="10" t="s">
        <v>11</v>
      </c>
      <c r="G461" s="10" t="s">
        <v>11</v>
      </c>
      <c r="H461" s="10" t="s">
        <v>11</v>
      </c>
      <c r="I461" s="10" t="s">
        <v>13</v>
      </c>
    </row>
    <row r="462" spans="1:9" ht="15" hidden="1" customHeight="1" x14ac:dyDescent="0.3">
      <c r="A462" s="7" t="s">
        <v>1252</v>
      </c>
      <c r="B462" s="47" t="str">
        <f t="shared" si="7"/>
        <v>PROTECTION_EMSSNS_SCP1_PRTCTN</v>
      </c>
      <c r="C462" s="8" t="s">
        <v>1114</v>
      </c>
      <c r="D462" s="9" t="s">
        <v>1253</v>
      </c>
      <c r="E462" s="14" t="s">
        <v>1254</v>
      </c>
      <c r="F462" s="10" t="s">
        <v>11</v>
      </c>
      <c r="G462" s="10" t="s">
        <v>11</v>
      </c>
      <c r="H462" s="10" t="s">
        <v>13</v>
      </c>
      <c r="I462" s="10" t="s">
        <v>13</v>
      </c>
    </row>
    <row r="463" spans="1:9" ht="15" hidden="1" customHeight="1" x14ac:dyDescent="0.3">
      <c r="A463" s="7" t="s">
        <v>1255</v>
      </c>
      <c r="B463" s="47" t="str">
        <f t="shared" si="7"/>
        <v>PROTECTION_EMSSNS_SCP2_PRTCTN</v>
      </c>
      <c r="C463" s="8" t="s">
        <v>1114</v>
      </c>
      <c r="D463" s="9" t="s">
        <v>1256</v>
      </c>
      <c r="E463" s="14" t="s">
        <v>1257</v>
      </c>
      <c r="F463" s="10" t="s">
        <v>11</v>
      </c>
      <c r="G463" s="10" t="s">
        <v>11</v>
      </c>
      <c r="H463" s="10" t="s">
        <v>13</v>
      </c>
      <c r="I463" s="10" t="s">
        <v>13</v>
      </c>
    </row>
    <row r="464" spans="1:9" ht="15" hidden="1" customHeight="1" x14ac:dyDescent="0.3">
      <c r="A464" s="7" t="s">
        <v>1258</v>
      </c>
      <c r="B464" s="47" t="str">
        <f t="shared" si="7"/>
        <v>PROTECTION_EMSSNS_SCP3_PRTCTN</v>
      </c>
      <c r="C464" s="8" t="s">
        <v>1114</v>
      </c>
      <c r="D464" s="9" t="s">
        <v>1259</v>
      </c>
      <c r="E464" s="14" t="s">
        <v>1260</v>
      </c>
      <c r="F464" s="10" t="s">
        <v>11</v>
      </c>
      <c r="G464" s="10" t="s">
        <v>11</v>
      </c>
      <c r="H464" s="10" t="s">
        <v>13</v>
      </c>
      <c r="I464" s="10" t="s">
        <v>13</v>
      </c>
    </row>
    <row r="465" spans="1:9" ht="15" hidden="1" customHeight="1" x14ac:dyDescent="0.3">
      <c r="A465" s="7" t="s">
        <v>1261</v>
      </c>
      <c r="B465" s="47" t="str">
        <f t="shared" si="7"/>
        <v>PROTECTION_MTHD_USD_PRTCTN_SCP_1</v>
      </c>
      <c r="C465" s="8" t="s">
        <v>1114</v>
      </c>
      <c r="D465" s="9" t="s">
        <v>1262</v>
      </c>
      <c r="E465" s="32" t="s">
        <v>1263</v>
      </c>
      <c r="F465" s="10" t="s">
        <v>11</v>
      </c>
      <c r="G465" s="10" t="s">
        <v>11</v>
      </c>
      <c r="H465" s="10" t="s">
        <v>13</v>
      </c>
      <c r="I465" s="10" t="s">
        <v>13</v>
      </c>
    </row>
    <row r="466" spans="1:9" ht="15" hidden="1" customHeight="1" x14ac:dyDescent="0.3">
      <c r="A466" s="7" t="s">
        <v>1264</v>
      </c>
      <c r="B466" s="47" t="str">
        <f t="shared" si="7"/>
        <v>PROTECTION_MTHD_USD_PRTCTN_SCP_2</v>
      </c>
      <c r="C466" s="8" t="s">
        <v>1114</v>
      </c>
      <c r="D466" s="9" t="s">
        <v>1265</v>
      </c>
      <c r="E466" s="32" t="s">
        <v>1266</v>
      </c>
      <c r="F466" s="10" t="s">
        <v>11</v>
      </c>
      <c r="G466" s="10" t="s">
        <v>11</v>
      </c>
      <c r="H466" s="10" t="s">
        <v>13</v>
      </c>
      <c r="I466" s="10" t="s">
        <v>13</v>
      </c>
    </row>
    <row r="467" spans="1:9" ht="15" hidden="1" customHeight="1" x14ac:dyDescent="0.3">
      <c r="A467" s="7" t="s">
        <v>1267</v>
      </c>
      <c r="B467" s="47" t="str">
        <f t="shared" si="7"/>
        <v>PROTECTION_MTHD_USD_PRTCTN_SCP_3</v>
      </c>
      <c r="C467" s="8" t="s">
        <v>1114</v>
      </c>
      <c r="D467" s="9" t="s">
        <v>1268</v>
      </c>
      <c r="E467" s="32" t="s">
        <v>1269</v>
      </c>
      <c r="F467" s="10" t="s">
        <v>11</v>
      </c>
      <c r="G467" s="10" t="s">
        <v>11</v>
      </c>
      <c r="H467" s="10" t="s">
        <v>13</v>
      </c>
      <c r="I467" s="10" t="s">
        <v>13</v>
      </c>
    </row>
    <row r="468" spans="1:9" ht="15" hidden="1" customHeight="1" x14ac:dyDescent="0.3">
      <c r="A468" s="7" t="s">
        <v>1270</v>
      </c>
      <c r="B468" s="47" t="str">
        <f t="shared" si="7"/>
        <v>PROTECTION_FLG_ACT_PHYSCL_RSK</v>
      </c>
      <c r="C468" s="8" t="s">
        <v>1114</v>
      </c>
      <c r="D468" s="9" t="s">
        <v>376</v>
      </c>
      <c r="E468" s="32" t="s">
        <v>1271</v>
      </c>
      <c r="F468" s="10" t="s">
        <v>11</v>
      </c>
      <c r="G468" s="10" t="s">
        <v>11</v>
      </c>
      <c r="H468" s="10" t="s">
        <v>13</v>
      </c>
      <c r="I468" s="10" t="s">
        <v>11</v>
      </c>
    </row>
    <row r="469" spans="1:9" ht="15" hidden="1" customHeight="1" x14ac:dyDescent="0.3">
      <c r="A469" s="7" t="s">
        <v>1272</v>
      </c>
      <c r="B469" s="47" t="str">
        <f t="shared" si="7"/>
        <v>PROTECTION_FLG_CHRNC_PHYSCL_RSK</v>
      </c>
      <c r="C469" s="8" t="s">
        <v>1114</v>
      </c>
      <c r="D469" s="9" t="s">
        <v>379</v>
      </c>
      <c r="E469" s="32" t="s">
        <v>1273</v>
      </c>
      <c r="F469" s="10" t="s">
        <v>11</v>
      </c>
      <c r="G469" s="10" t="s">
        <v>11</v>
      </c>
      <c r="H469" s="10" t="s">
        <v>13</v>
      </c>
      <c r="I469" s="10" t="s">
        <v>11</v>
      </c>
    </row>
    <row r="470" spans="1:9" ht="15" hidden="1" customHeight="1" x14ac:dyDescent="0.3">
      <c r="A470" s="7" t="s">
        <v>1274</v>
      </c>
      <c r="B470" s="47" t="str">
        <f t="shared" si="7"/>
        <v>PROTECTION_INSRNC_ID</v>
      </c>
      <c r="C470" s="8" t="s">
        <v>1114</v>
      </c>
      <c r="D470" s="9" t="s">
        <v>1275</v>
      </c>
      <c r="E470" s="32" t="s">
        <v>1276</v>
      </c>
      <c r="F470" s="10" t="s">
        <v>11</v>
      </c>
      <c r="G470" s="10" t="s">
        <v>11</v>
      </c>
      <c r="H470" s="10" t="s">
        <v>11</v>
      </c>
      <c r="I470" s="10" t="s">
        <v>13</v>
      </c>
    </row>
    <row r="471" spans="1:9" ht="15" hidden="1" customHeight="1" x14ac:dyDescent="0.3">
      <c r="A471" s="7" t="s">
        <v>1277</v>
      </c>
      <c r="B471" s="47" t="str">
        <f t="shared" si="7"/>
        <v>PROTECTION_TYP_HZRDS_INSRD</v>
      </c>
      <c r="C471" s="8" t="s">
        <v>1114</v>
      </c>
      <c r="D471" s="9" t="s">
        <v>1278</v>
      </c>
      <c r="E471" s="32" t="s">
        <v>1279</v>
      </c>
      <c r="F471" s="10" t="s">
        <v>11</v>
      </c>
      <c r="G471" s="10" t="s">
        <v>11</v>
      </c>
      <c r="H471" s="10" t="s">
        <v>11</v>
      </c>
      <c r="I471" s="10" t="s">
        <v>13</v>
      </c>
    </row>
    <row r="472" spans="1:9" ht="15" hidden="1" customHeight="1" x14ac:dyDescent="0.3">
      <c r="A472" s="7" t="s">
        <v>1280</v>
      </c>
      <c r="B472" s="47" t="str">
        <f t="shared" si="7"/>
        <v>PROTECTION_AMNT_CVRD_INSRNC</v>
      </c>
      <c r="C472" s="8" t="s">
        <v>1114</v>
      </c>
      <c r="D472" s="9" t="s">
        <v>1281</v>
      </c>
      <c r="E472" s="32" t="s">
        <v>1282</v>
      </c>
      <c r="F472" s="10" t="s">
        <v>11</v>
      </c>
      <c r="G472" s="10" t="s">
        <v>11</v>
      </c>
      <c r="H472" s="10" t="s">
        <v>11</v>
      </c>
      <c r="I472" s="10" t="s">
        <v>13</v>
      </c>
    </row>
    <row r="473" spans="1:9" ht="15" hidden="1" customHeight="1" x14ac:dyDescent="0.3">
      <c r="A473" s="7" t="s">
        <v>1283</v>
      </c>
      <c r="B473" s="47" t="str">
        <f t="shared" si="7"/>
        <v>PROTECTION_DT_MTRTY_INSRNC</v>
      </c>
      <c r="C473" s="8" t="s">
        <v>1114</v>
      </c>
      <c r="D473" s="9" t="s">
        <v>1284</v>
      </c>
      <c r="E473" s="32" t="s">
        <v>1285</v>
      </c>
      <c r="F473" s="10" t="s">
        <v>11</v>
      </c>
      <c r="G473" s="10" t="s">
        <v>11</v>
      </c>
      <c r="H473" s="10" t="s">
        <v>11</v>
      </c>
      <c r="I473" s="10" t="s">
        <v>13</v>
      </c>
    </row>
    <row r="474" spans="1:9" ht="15" hidden="1" customHeight="1" x14ac:dyDescent="0.3">
      <c r="A474" s="7" t="s">
        <v>1286</v>
      </c>
      <c r="B474" s="47" t="str">
        <f t="shared" si="7"/>
        <v>PROTECTION_FLG_FRST_HM</v>
      </c>
      <c r="C474" s="8" t="s">
        <v>1114</v>
      </c>
      <c r="D474" s="9" t="s">
        <v>1287</v>
      </c>
      <c r="E474" s="32" t="s">
        <v>1288</v>
      </c>
      <c r="F474" s="10" t="s">
        <v>11</v>
      </c>
      <c r="G474" s="10" t="s">
        <v>11</v>
      </c>
      <c r="H474" s="10" t="s">
        <v>11</v>
      </c>
      <c r="I474" s="10" t="s">
        <v>13</v>
      </c>
    </row>
    <row r="475" spans="1:9" ht="14.9" hidden="1" customHeight="1" x14ac:dyDescent="0.3">
      <c r="A475" s="7" t="s">
        <v>1289</v>
      </c>
      <c r="B475" s="47" t="str">
        <f t="shared" si="7"/>
        <v>PROTECTION_YR_CNSTRCTN</v>
      </c>
      <c r="C475" s="8" t="s">
        <v>1114</v>
      </c>
      <c r="D475" s="9" t="s">
        <v>1290</v>
      </c>
      <c r="E475" s="32" t="s">
        <v>1291</v>
      </c>
      <c r="F475" s="10" t="s">
        <v>13</v>
      </c>
      <c r="G475" s="10" t="s">
        <v>11</v>
      </c>
      <c r="H475" s="10" t="s">
        <v>11</v>
      </c>
      <c r="I475" s="10" t="s">
        <v>11</v>
      </c>
    </row>
    <row r="476" spans="1:9" ht="14.9" hidden="1" customHeight="1" x14ac:dyDescent="0.3">
      <c r="A476" s="40" t="s">
        <v>1386</v>
      </c>
      <c r="B476" s="47" t="str">
        <f t="shared" si="7"/>
        <v>PROTECTION_BLDNG_AR</v>
      </c>
      <c r="C476" s="8" t="s">
        <v>1114</v>
      </c>
      <c r="D476" s="41" t="s">
        <v>1387</v>
      </c>
      <c r="E476" s="32" t="s">
        <v>1388</v>
      </c>
      <c r="F476" s="10" t="s">
        <v>13</v>
      </c>
      <c r="G476" s="10" t="s">
        <v>11</v>
      </c>
      <c r="H476" s="10" t="s">
        <v>11</v>
      </c>
      <c r="I476" s="10" t="s">
        <v>11</v>
      </c>
    </row>
    <row r="477" spans="1:9" ht="14.9" hidden="1" customHeight="1" x14ac:dyDescent="0.3">
      <c r="A477" s="40" t="s">
        <v>1389</v>
      </c>
      <c r="B477" s="47" t="str">
        <f t="shared" si="7"/>
        <v>PROTECTION_LND_AR</v>
      </c>
      <c r="C477" s="8" t="s">
        <v>1114</v>
      </c>
      <c r="D477" s="41" t="s">
        <v>1390</v>
      </c>
      <c r="E477" s="32" t="s">
        <v>1391</v>
      </c>
      <c r="F477" s="10" t="s">
        <v>13</v>
      </c>
      <c r="G477" s="10" t="s">
        <v>11</v>
      </c>
      <c r="H477" s="10" t="s">
        <v>11</v>
      </c>
      <c r="I477" s="10" t="s">
        <v>11</v>
      </c>
    </row>
    <row r="478" spans="1:9" ht="14.9" hidden="1" customHeight="1" x14ac:dyDescent="0.3">
      <c r="A478" s="40" t="s">
        <v>1392</v>
      </c>
      <c r="B478" s="47" t="str">
        <f t="shared" si="7"/>
        <v>PROTECTION_LN_PSTN</v>
      </c>
      <c r="C478" s="8" t="s">
        <v>1114</v>
      </c>
      <c r="D478" s="41" t="s">
        <v>1393</v>
      </c>
      <c r="E478" s="32" t="s">
        <v>1394</v>
      </c>
      <c r="F478" s="10" t="s">
        <v>13</v>
      </c>
      <c r="G478" s="10" t="s">
        <v>11</v>
      </c>
      <c r="H478" s="10" t="s">
        <v>11</v>
      </c>
      <c r="I478" s="10" t="s">
        <v>11</v>
      </c>
    </row>
    <row r="479" spans="1:9" ht="14.9" customHeight="1" x14ac:dyDescent="0.3">
      <c r="B479" s="47"/>
    </row>
    <row r="480" spans="1:9" ht="14.9" customHeight="1" x14ac:dyDescent="0.3">
      <c r="B480" s="47"/>
    </row>
    <row r="481" spans="2:2" ht="14.9" customHeight="1" x14ac:dyDescent="0.3">
      <c r="B481" s="47"/>
    </row>
    <row r="482" spans="2:2" ht="14.9" customHeight="1" x14ac:dyDescent="0.3">
      <c r="B482" s="47"/>
    </row>
    <row r="483" spans="2:2" ht="14.9" customHeight="1" x14ac:dyDescent="0.3">
      <c r="B483" s="47"/>
    </row>
    <row r="484" spans="2:2" ht="14.9" customHeight="1" x14ac:dyDescent="0.3">
      <c r="B484" s="47"/>
    </row>
    <row r="485" spans="2:2" ht="14.9" customHeight="1" x14ac:dyDescent="0.3">
      <c r="B485" s="47"/>
    </row>
    <row r="486" spans="2:2" ht="14.9" customHeight="1" x14ac:dyDescent="0.3">
      <c r="B486" s="47"/>
    </row>
    <row r="487" spans="2:2" ht="7.5" customHeight="1" x14ac:dyDescent="0.3">
      <c r="B487" s="47"/>
    </row>
    <row r="488" spans="2:2" ht="14.4" hidden="1" customHeight="1" x14ac:dyDescent="0.3">
      <c r="B488" s="47"/>
    </row>
    <row r="489" spans="2:2" ht="14.9" customHeight="1" x14ac:dyDescent="0.3">
      <c r="B489" s="47"/>
    </row>
    <row r="490" spans="2:2" ht="14.9" customHeight="1" x14ac:dyDescent="0.3">
      <c r="B490" s="47"/>
    </row>
    <row r="491" spans="2:2" ht="14.9" customHeight="1" x14ac:dyDescent="0.3">
      <c r="B491" s="47"/>
    </row>
    <row r="492" spans="2:2" ht="14.9" customHeight="1" x14ac:dyDescent="0.3">
      <c r="B492" s="47"/>
    </row>
    <row r="493" spans="2:2" ht="14" x14ac:dyDescent="0.3">
      <c r="B493" s="47"/>
    </row>
    <row r="494" spans="2:2" ht="14.9" customHeight="1" x14ac:dyDescent="0.3">
      <c r="B494" s="47"/>
    </row>
    <row r="495" spans="2:2" ht="14.9" customHeight="1" x14ac:dyDescent="0.3">
      <c r="B495" s="47"/>
    </row>
    <row r="496" spans="2:2" ht="14.9" customHeight="1" x14ac:dyDescent="0.3">
      <c r="B496" s="47"/>
    </row>
    <row r="497" spans="2:2" ht="14.9" customHeight="1" x14ac:dyDescent="0.3">
      <c r="B497" s="47"/>
    </row>
    <row r="498" spans="2:2" ht="14.9" customHeight="1" x14ac:dyDescent="0.3">
      <c r="B498" s="47"/>
    </row>
    <row r="499" spans="2:2" ht="14.9" customHeight="1" x14ac:dyDescent="0.3">
      <c r="B499" s="47"/>
    </row>
    <row r="500" spans="2:2" ht="14.9" customHeight="1" x14ac:dyDescent="0.3">
      <c r="B500" s="47"/>
    </row>
    <row r="501" spans="2:2" ht="14.9" customHeight="1" x14ac:dyDescent="0.3">
      <c r="B501" s="47"/>
    </row>
    <row r="502" spans="2:2" ht="14.9" customHeight="1" x14ac:dyDescent="0.3">
      <c r="B502" s="47"/>
    </row>
    <row r="503" spans="2:2" ht="14.9" customHeight="1" x14ac:dyDescent="0.3">
      <c r="B503" s="47"/>
    </row>
    <row r="504" spans="2:2" ht="14.9" customHeight="1" x14ac:dyDescent="0.3">
      <c r="B504" s="47"/>
    </row>
    <row r="505" spans="2:2" ht="14.9" customHeight="1" x14ac:dyDescent="0.3">
      <c r="B505" s="47"/>
    </row>
    <row r="506" spans="2:2" ht="14.9" customHeight="1" x14ac:dyDescent="0.3">
      <c r="B506" s="47"/>
    </row>
    <row r="507" spans="2:2" ht="14.9" customHeight="1" x14ac:dyDescent="0.3">
      <c r="B507" s="47"/>
    </row>
    <row r="508" spans="2:2" ht="14.9" customHeight="1" x14ac:dyDescent="0.3">
      <c r="B508" s="47"/>
    </row>
    <row r="509" spans="2:2" ht="14.9" customHeight="1" x14ac:dyDescent="0.3">
      <c r="B509" s="47"/>
    </row>
    <row r="510" spans="2:2" ht="14.9" customHeight="1" x14ac:dyDescent="0.3">
      <c r="B510" s="47"/>
    </row>
    <row r="511" spans="2:2" ht="14.9" customHeight="1" x14ac:dyDescent="0.3">
      <c r="B511" s="47"/>
    </row>
    <row r="512" spans="2:2" ht="14.9" customHeight="1" x14ac:dyDescent="0.3">
      <c r="B512" s="47"/>
    </row>
    <row r="513" spans="2:2" ht="14.9" customHeight="1" x14ac:dyDescent="0.3">
      <c r="B513" s="47"/>
    </row>
    <row r="514" spans="2:2" ht="14.9" customHeight="1" x14ac:dyDescent="0.3">
      <c r="B514" s="47"/>
    </row>
    <row r="515" spans="2:2" ht="14.9" customHeight="1" x14ac:dyDescent="0.3">
      <c r="B515" s="47"/>
    </row>
    <row r="516" spans="2:2" ht="14.9" customHeight="1" x14ac:dyDescent="0.3">
      <c r="B516" s="47"/>
    </row>
    <row r="517" spans="2:2" ht="14.9" customHeight="1" x14ac:dyDescent="0.3">
      <c r="B517" s="47"/>
    </row>
    <row r="518" spans="2:2" ht="14.9" customHeight="1" x14ac:dyDescent="0.3">
      <c r="B518" s="47"/>
    </row>
    <row r="519" spans="2:2" ht="14.9" customHeight="1" x14ac:dyDescent="0.3">
      <c r="B519" s="47"/>
    </row>
    <row r="520" spans="2:2" ht="14.9" customHeight="1" x14ac:dyDescent="0.3">
      <c r="B520" s="47"/>
    </row>
    <row r="521" spans="2:2" ht="14.9" customHeight="1" x14ac:dyDescent="0.3">
      <c r="B521" s="47"/>
    </row>
    <row r="522" spans="2:2" ht="14.9" customHeight="1" x14ac:dyDescent="0.3">
      <c r="B522" s="47"/>
    </row>
    <row r="523" spans="2:2" ht="14.9" customHeight="1" x14ac:dyDescent="0.3">
      <c r="B523" s="47"/>
    </row>
    <row r="524" spans="2:2" ht="14.9" customHeight="1" x14ac:dyDescent="0.3">
      <c r="B524" s="47"/>
    </row>
    <row r="525" spans="2:2" ht="14.9" customHeight="1" x14ac:dyDescent="0.3">
      <c r="B525" s="47"/>
    </row>
    <row r="526" spans="2:2" ht="14.9" customHeight="1" x14ac:dyDescent="0.3">
      <c r="B526" s="47"/>
    </row>
    <row r="527" spans="2:2" ht="14.9" customHeight="1" x14ac:dyDescent="0.3">
      <c r="B527" s="47"/>
    </row>
    <row r="528" spans="2:2" ht="14.9" customHeight="1" x14ac:dyDescent="0.3">
      <c r="B528" s="47"/>
    </row>
    <row r="529" spans="2:2" ht="14.9" customHeight="1" x14ac:dyDescent="0.3">
      <c r="B529" s="47"/>
    </row>
    <row r="530" spans="2:2" ht="14.9" customHeight="1" x14ac:dyDescent="0.3">
      <c r="B530" s="47"/>
    </row>
    <row r="531" spans="2:2" ht="14.9" customHeight="1" x14ac:dyDescent="0.3">
      <c r="B531" s="47"/>
    </row>
    <row r="532" spans="2:2" ht="14.9" customHeight="1" x14ac:dyDescent="0.3">
      <c r="B532" s="47"/>
    </row>
    <row r="533" spans="2:2" ht="14.9" customHeight="1" x14ac:dyDescent="0.3">
      <c r="B533" s="47"/>
    </row>
    <row r="534" spans="2:2" ht="14.9" customHeight="1" x14ac:dyDescent="0.3">
      <c r="B534" s="47"/>
    </row>
    <row r="535" spans="2:2" ht="14.9" customHeight="1" x14ac:dyDescent="0.3">
      <c r="B535" s="47"/>
    </row>
    <row r="536" spans="2:2" ht="14.9" customHeight="1" x14ac:dyDescent="0.3">
      <c r="B536" s="47"/>
    </row>
    <row r="537" spans="2:2" ht="14.9" customHeight="1" x14ac:dyDescent="0.3">
      <c r="B537" s="47"/>
    </row>
    <row r="539" spans="2:2" ht="14.9" customHeight="1" x14ac:dyDescent="0.3">
      <c r="B539" s="37"/>
    </row>
    <row r="540" spans="2:2" ht="14.9" customHeight="1" x14ac:dyDescent="0.3">
      <c r="B540" s="37"/>
    </row>
    <row r="541" spans="2:2" ht="14.9" customHeight="1" x14ac:dyDescent="0.3">
      <c r="B541" s="37"/>
    </row>
    <row r="542" spans="2:2" ht="14.9" customHeight="1" x14ac:dyDescent="0.3">
      <c r="B542" s="37"/>
    </row>
    <row r="543" spans="2:2" ht="14.9" customHeight="1" x14ac:dyDescent="0.3">
      <c r="B543" s="37"/>
    </row>
    <row r="544" spans="2:2" ht="14.9" customHeight="1" x14ac:dyDescent="0.3">
      <c r="B544" s="37"/>
    </row>
    <row r="545" spans="2:2" ht="14.9" customHeight="1" x14ac:dyDescent="0.3">
      <c r="B545" s="37"/>
    </row>
    <row r="546" spans="2:2" ht="14.9" customHeight="1" x14ac:dyDescent="0.3">
      <c r="B546" s="37"/>
    </row>
    <row r="547" spans="2:2" ht="14.9" customHeight="1" x14ac:dyDescent="0.3">
      <c r="B547" s="37"/>
    </row>
  </sheetData>
  <autoFilter ref="A1:J478" xr:uid="{00000000-0001-0000-0200-000000000000}">
    <filterColumn colId="3">
      <filters>
        <filter val="ENTTY_NM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2F3F-F06E-4DDD-A081-FFA6438D94B2}">
  <sheetPr filterMode="1">
    <pageSetUpPr autoPageBreaks="0"/>
  </sheetPr>
  <dimension ref="A1:U547"/>
  <sheetViews>
    <sheetView showGridLines="0" zoomScale="85" zoomScaleNormal="85" workbookViewId="0">
      <pane xSplit="4" ySplit="1" topLeftCell="E2" activePane="bottomRight" state="frozen"/>
      <selection pane="topRight" activeCell="EP15" sqref="EP15"/>
      <selection pane="bottomLeft" activeCell="EP15" sqref="EP15"/>
      <selection pane="bottomRight" activeCell="D111" sqref="D111"/>
    </sheetView>
  </sheetViews>
  <sheetFormatPr defaultColWidth="9.08203125" defaultRowHeight="14.9" customHeight="1" outlineLevelCol="1" x14ac:dyDescent="0.3"/>
  <cols>
    <col min="1" max="1" width="14.6640625" style="36" customWidth="1"/>
    <col min="2" max="2" width="14.6640625" style="36" hidden="1" customWidth="1"/>
    <col min="3" max="3" width="17.5" style="37" customWidth="1"/>
    <col min="4" max="4" width="47.08203125" style="38" customWidth="1"/>
    <col min="5" max="5" width="85.9140625" style="6" customWidth="1"/>
    <col min="6" max="6" width="21.4140625" style="39" customWidth="1" outlineLevel="1"/>
    <col min="7" max="9" width="18.6640625" style="38" customWidth="1" outlineLevel="1"/>
    <col min="10" max="10" width="23.08203125" style="38" customWidth="1"/>
    <col min="11" max="20" width="9.08203125" style="6"/>
    <col min="21" max="21" width="49.1640625" style="6" customWidth="1"/>
    <col min="22" max="16384" width="9.08203125" style="6"/>
  </cols>
  <sheetData>
    <row r="1" spans="1:21" ht="29" customHeight="1" x14ac:dyDescent="0.3">
      <c r="A1" s="1" t="s">
        <v>0</v>
      </c>
      <c r="B1" s="1"/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 t="s">
        <v>8</v>
      </c>
      <c r="L1" s="5" t="s">
        <v>4</v>
      </c>
      <c r="M1" s="5" t="s">
        <v>1474</v>
      </c>
      <c r="N1" s="5" t="s">
        <v>5</v>
      </c>
      <c r="O1" s="5" t="s">
        <v>1474</v>
      </c>
      <c r="P1" s="5" t="s">
        <v>6</v>
      </c>
      <c r="Q1" s="5" t="s">
        <v>1474</v>
      </c>
      <c r="R1" s="5" t="s">
        <v>7</v>
      </c>
      <c r="S1" s="5" t="s">
        <v>1474</v>
      </c>
      <c r="U1" s="6" t="s">
        <v>1479</v>
      </c>
    </row>
    <row r="2" spans="1:21" ht="15" hidden="1" customHeight="1" x14ac:dyDescent="0.3">
      <c r="A2" s="7" t="s">
        <v>9</v>
      </c>
      <c r="B2" s="47" t="str">
        <f>C2&amp;"_"&amp;D2</f>
        <v>ENTITY_COD_SOC</v>
      </c>
      <c r="C2" s="8" t="s">
        <v>10</v>
      </c>
      <c r="D2" s="9" t="s">
        <v>12</v>
      </c>
      <c r="E2" s="11" t="s">
        <v>14</v>
      </c>
      <c r="F2" s="10" t="s">
        <v>13</v>
      </c>
      <c r="G2" s="10" t="s">
        <v>11</v>
      </c>
      <c r="H2" s="10" t="s">
        <v>13</v>
      </c>
      <c r="I2" s="10" t="s">
        <v>13</v>
      </c>
      <c r="J2" s="10" t="s">
        <v>11</v>
      </c>
      <c r="L2" s="6" t="str">
        <f>IFERROR(VLOOKUP($B2,'Lista - Âmbito Projeto GD'!$B$3:$F$71,5,0),"Campo eliminado")</f>
        <v>Campo eliminado</v>
      </c>
      <c r="M2" s="6" t="str">
        <f>IF(L2="Campo eliminado","Campo eliminado",IF(L2=F2,"Igual","Diferente"))</f>
        <v>Campo eliminado</v>
      </c>
      <c r="N2" s="6" t="str">
        <f>IFERROR(VLOOKUP($B2,'Lista - Âmbito Projeto GD'!$B$3:$K$71,6,0),"Campo eliminado")</f>
        <v>Campo eliminado</v>
      </c>
      <c r="O2" s="6" t="str">
        <f>IF(N2="Campo eliminado","Campo eliminado",IF(N2=G2,"Igual","Diferente"))</f>
        <v>Campo eliminado</v>
      </c>
      <c r="P2" s="6" t="str">
        <f>IFERROR(VLOOKUP($B2,'Lista - Âmbito Projeto GD'!$B$3:$K$71,7,0),"Campo eliminado")</f>
        <v>Campo eliminado</v>
      </c>
      <c r="Q2" s="6" t="str">
        <f>IF(P2="Campo eliminado","Campo eliminado",IF(P2=H2,"Igual","Diferente"))</f>
        <v>Campo eliminado</v>
      </c>
      <c r="R2" s="6" t="str">
        <f>IFERROR(VLOOKUP($B2,'Lista - Âmbito Projeto GD'!$B$3:$K$71,9,0),"Campo eliminado")</f>
        <v>Campo eliminado</v>
      </c>
      <c r="S2" s="6" t="str">
        <f>IF(R2="Campo eliminado","Campo eliminado",IF(R2=I2,"Igual","Diferente"))</f>
        <v>Campo eliminado</v>
      </c>
      <c r="U2" s="6" t="str">
        <f>VLOOKUP(B2,DataLake!$A$4:$A$429,1,0)</f>
        <v>ENTITY_COD_SOC</v>
      </c>
    </row>
    <row r="3" spans="1:21" ht="15" hidden="1" customHeight="1" x14ac:dyDescent="0.3">
      <c r="A3" s="7" t="s">
        <v>16</v>
      </c>
      <c r="B3" s="47" t="str">
        <f t="shared" ref="B3:B66" si="0">C3&amp;"_"&amp;D3</f>
        <v>ENTITY_CNTRY</v>
      </c>
      <c r="C3" s="8" t="s">
        <v>10</v>
      </c>
      <c r="D3" s="9" t="s">
        <v>17</v>
      </c>
      <c r="E3" s="11" t="s">
        <v>18</v>
      </c>
      <c r="F3" s="10" t="s">
        <v>13</v>
      </c>
      <c r="G3" s="10" t="s">
        <v>11</v>
      </c>
      <c r="H3" s="10" t="s">
        <v>13</v>
      </c>
      <c r="I3" s="10" t="s">
        <v>13</v>
      </c>
      <c r="J3" s="10" t="s">
        <v>11</v>
      </c>
      <c r="L3" s="6" t="str">
        <f>IFERROR(VLOOKUP($B3,'Lista - Âmbito Projeto GD'!$B$3:$F$71,5,0),"Campo eliminado")</f>
        <v>Campo eliminado</v>
      </c>
      <c r="M3" s="6" t="str">
        <f t="shared" ref="M3:M66" si="1">IF(L3="Campo eliminado","Campo eliminado",IF(L3=F3,"Igual","Diferente"))</f>
        <v>Campo eliminado</v>
      </c>
      <c r="N3" s="6" t="str">
        <f>IFERROR(VLOOKUP($B3,'Lista - Âmbito Projeto GD'!$B$3:$K$71,6,0),"Campo eliminado")</f>
        <v>Campo eliminado</v>
      </c>
      <c r="O3" s="6" t="str">
        <f t="shared" ref="O3:O66" si="2">IF(N3="Campo eliminado","Campo eliminado",IF(N3=G3,"Igual","Diferente"))</f>
        <v>Campo eliminado</v>
      </c>
      <c r="P3" s="6" t="str">
        <f>IFERROR(VLOOKUP($B3,'Lista - Âmbito Projeto GD'!$B$3:$K$71,7,0),"Campo eliminado")</f>
        <v>Campo eliminado</v>
      </c>
      <c r="Q3" s="6" t="str">
        <f t="shared" ref="Q3:Q66" si="3">IF(P3="Campo eliminado","Campo eliminado",IF(P3=H3,"Igual","Diferente"))</f>
        <v>Campo eliminado</v>
      </c>
      <c r="R3" s="6" t="str">
        <f>IFERROR(VLOOKUP($B3,'Lista - Âmbito Projeto GD'!$B$3:$K$71,9,0),"Campo eliminado")</f>
        <v>Campo eliminado</v>
      </c>
      <c r="S3" s="6" t="str">
        <f t="shared" ref="S3:S66" si="4">IF(R3="Campo eliminado","Campo eliminado",IF(R3=I3,"Igual","Diferente"))</f>
        <v>Campo eliminado</v>
      </c>
      <c r="U3" s="6" t="str">
        <f>VLOOKUP(B3,DataLake!$A$4:$A$429,1,0)</f>
        <v>ENTITY_CNTRY</v>
      </c>
    </row>
    <row r="4" spans="1:21" ht="15" hidden="1" customHeight="1" x14ac:dyDescent="0.3">
      <c r="A4" s="7" t="s">
        <v>19</v>
      </c>
      <c r="B4" s="47" t="str">
        <f t="shared" si="0"/>
        <v>ENTITY_DT_BRTH</v>
      </c>
      <c r="C4" s="8" t="s">
        <v>10</v>
      </c>
      <c r="D4" s="9" t="s">
        <v>20</v>
      </c>
      <c r="E4" s="11" t="s">
        <v>21</v>
      </c>
      <c r="F4" s="10" t="s">
        <v>13</v>
      </c>
      <c r="G4" s="10" t="s">
        <v>11</v>
      </c>
      <c r="H4" s="10" t="s">
        <v>11</v>
      </c>
      <c r="I4" s="10" t="s">
        <v>11</v>
      </c>
      <c r="J4" s="10" t="s">
        <v>11</v>
      </c>
      <c r="L4" s="6" t="str">
        <f>IFERROR(VLOOKUP($B4,'Lista - Âmbito Projeto GD'!$B$3:$F$71,5,0),"Campo eliminado")</f>
        <v>Campo eliminado</v>
      </c>
      <c r="M4" s="6" t="str">
        <f t="shared" si="1"/>
        <v>Campo eliminado</v>
      </c>
      <c r="N4" s="6" t="str">
        <f>IFERROR(VLOOKUP($B4,'Lista - Âmbito Projeto GD'!$B$3:$K$71,6,0),"Campo eliminado")</f>
        <v>Campo eliminado</v>
      </c>
      <c r="O4" s="6" t="str">
        <f t="shared" si="2"/>
        <v>Campo eliminado</v>
      </c>
      <c r="P4" s="6" t="str">
        <f>IFERROR(VLOOKUP($B4,'Lista - Âmbito Projeto GD'!$B$3:$K$71,7,0),"Campo eliminado")</f>
        <v>Campo eliminado</v>
      </c>
      <c r="Q4" s="6" t="str">
        <f t="shared" si="3"/>
        <v>Campo eliminado</v>
      </c>
      <c r="R4" s="6" t="str">
        <f>IFERROR(VLOOKUP($B4,'Lista - Âmbito Projeto GD'!$B$3:$K$71,9,0),"Campo eliminado")</f>
        <v>Campo eliminado</v>
      </c>
      <c r="S4" s="6" t="str">
        <f t="shared" si="4"/>
        <v>Campo eliminado</v>
      </c>
      <c r="U4" s="6" t="str">
        <f>VLOOKUP(B4,DataLake!$A$4:$A$429,1,0)</f>
        <v>ENTITY_DT_BRTH</v>
      </c>
    </row>
    <row r="5" spans="1:21" ht="15" hidden="1" customHeight="1" x14ac:dyDescent="0.3">
      <c r="A5" s="7" t="s">
        <v>22</v>
      </c>
      <c r="B5" s="47" t="str">
        <f t="shared" si="0"/>
        <v>ENTITY_DT_DFLT_STTS</v>
      </c>
      <c r="C5" s="8" t="s">
        <v>10</v>
      </c>
      <c r="D5" s="9" t="s">
        <v>23</v>
      </c>
      <c r="E5" s="11" t="s">
        <v>24</v>
      </c>
      <c r="F5" s="10" t="s">
        <v>13</v>
      </c>
      <c r="G5" s="10" t="s">
        <v>11</v>
      </c>
      <c r="H5" s="10" t="s">
        <v>11</v>
      </c>
      <c r="I5" s="10" t="s">
        <v>11</v>
      </c>
      <c r="J5" s="10" t="s">
        <v>23</v>
      </c>
      <c r="L5" s="6" t="str">
        <f>IFERROR(VLOOKUP($B5,'Lista - Âmbito Projeto GD'!$B$3:$F$71,5,0),"Campo eliminado")</f>
        <v>Campo eliminado</v>
      </c>
      <c r="M5" s="6" t="str">
        <f t="shared" si="1"/>
        <v>Campo eliminado</v>
      </c>
      <c r="N5" s="6" t="str">
        <f>IFERROR(VLOOKUP($B5,'Lista - Âmbito Projeto GD'!$B$3:$K$71,6,0),"Campo eliminado")</f>
        <v>Campo eliminado</v>
      </c>
      <c r="O5" s="6" t="str">
        <f t="shared" si="2"/>
        <v>Campo eliminado</v>
      </c>
      <c r="P5" s="6" t="str">
        <f>IFERROR(VLOOKUP($B5,'Lista - Âmbito Projeto GD'!$B$3:$K$71,7,0),"Campo eliminado")</f>
        <v>Campo eliminado</v>
      </c>
      <c r="Q5" s="6" t="str">
        <f t="shared" si="3"/>
        <v>Campo eliminado</v>
      </c>
      <c r="R5" s="6" t="str">
        <f>IFERROR(VLOOKUP($B5,'Lista - Âmbito Projeto GD'!$B$3:$K$71,9,0),"Campo eliminado")</f>
        <v>Campo eliminado</v>
      </c>
      <c r="S5" s="6" t="str">
        <f t="shared" si="4"/>
        <v>Campo eliminado</v>
      </c>
      <c r="U5" s="6" t="str">
        <f>VLOOKUP(B5,DataLake!$A$4:$A$429,1,0)</f>
        <v>ENTITY_DT_DFLT_STTS</v>
      </c>
    </row>
    <row r="6" spans="1:21" ht="15" hidden="1" customHeight="1" x14ac:dyDescent="0.3">
      <c r="A6" s="7" t="s">
        <v>25</v>
      </c>
      <c r="B6" s="47" t="str">
        <f t="shared" si="0"/>
        <v>ENTITY_DT_FNNCL_STTMTS</v>
      </c>
      <c r="C6" s="8" t="s">
        <v>10</v>
      </c>
      <c r="D6" s="9" t="s">
        <v>26</v>
      </c>
      <c r="E6" s="12" t="s">
        <v>27</v>
      </c>
      <c r="F6" s="10" t="s">
        <v>13</v>
      </c>
      <c r="G6" s="10" t="s">
        <v>11</v>
      </c>
      <c r="H6" s="10" t="s">
        <v>11</v>
      </c>
      <c r="I6" s="10" t="s">
        <v>11</v>
      </c>
      <c r="J6" s="10" t="s">
        <v>26</v>
      </c>
      <c r="L6" s="6" t="str">
        <f>IFERROR(VLOOKUP($B6,'Lista - Âmbito Projeto GD'!$B$3:$F$71,5,0),"Campo eliminado")</f>
        <v>Campo eliminado</v>
      </c>
      <c r="M6" s="6" t="str">
        <f t="shared" si="1"/>
        <v>Campo eliminado</v>
      </c>
      <c r="N6" s="6" t="str">
        <f>IFERROR(VLOOKUP($B6,'Lista - Âmbito Projeto GD'!$B$3:$K$71,6,0),"Campo eliminado")</f>
        <v>Campo eliminado</v>
      </c>
      <c r="O6" s="6" t="str">
        <f t="shared" si="2"/>
        <v>Campo eliminado</v>
      </c>
      <c r="P6" s="6" t="str">
        <f>IFERROR(VLOOKUP($B6,'Lista - Âmbito Projeto GD'!$B$3:$K$71,7,0),"Campo eliminado")</f>
        <v>Campo eliminado</v>
      </c>
      <c r="Q6" s="6" t="str">
        <f t="shared" si="3"/>
        <v>Campo eliminado</v>
      </c>
      <c r="R6" s="6" t="str">
        <f>IFERROR(VLOOKUP($B6,'Lista - Âmbito Projeto GD'!$B$3:$K$71,9,0),"Campo eliminado")</f>
        <v>Campo eliminado</v>
      </c>
      <c r="S6" s="6" t="str">
        <f t="shared" si="4"/>
        <v>Campo eliminado</v>
      </c>
      <c r="U6" s="6" t="str">
        <f>VLOOKUP(B6,DataLake!$A$4:$A$429,1,0)</f>
        <v>ENTITY_DT_FNNCL_STTMTS</v>
      </c>
    </row>
    <row r="7" spans="1:21" ht="15" hidden="1" customHeight="1" x14ac:dyDescent="0.3">
      <c r="A7" s="7" t="s">
        <v>28</v>
      </c>
      <c r="B7" s="47" t="str">
        <f t="shared" si="0"/>
        <v>ENTITY_DT_FNNCL_STTMTS_PRVS</v>
      </c>
      <c r="C7" s="8" t="s">
        <v>10</v>
      </c>
      <c r="D7" s="9" t="s">
        <v>29</v>
      </c>
      <c r="E7" s="12" t="s">
        <v>30</v>
      </c>
      <c r="F7" s="10" t="s">
        <v>13</v>
      </c>
      <c r="G7" s="10" t="s">
        <v>11</v>
      </c>
      <c r="H7" s="10" t="s">
        <v>11</v>
      </c>
      <c r="I7" s="10" t="s">
        <v>11</v>
      </c>
      <c r="J7" s="10" t="s">
        <v>29</v>
      </c>
      <c r="L7" s="6" t="str">
        <f>IFERROR(VLOOKUP($B7,'Lista - Âmbito Projeto GD'!$B$3:$F$71,5,0),"Campo eliminado")</f>
        <v>Campo eliminado</v>
      </c>
      <c r="M7" s="6" t="str">
        <f t="shared" si="1"/>
        <v>Campo eliminado</v>
      </c>
      <c r="N7" s="6" t="str">
        <f>IFERROR(VLOOKUP($B7,'Lista - Âmbito Projeto GD'!$B$3:$K$71,6,0),"Campo eliminado")</f>
        <v>Campo eliminado</v>
      </c>
      <c r="O7" s="6" t="str">
        <f t="shared" si="2"/>
        <v>Campo eliminado</v>
      </c>
      <c r="P7" s="6" t="str">
        <f>IFERROR(VLOOKUP($B7,'Lista - Âmbito Projeto GD'!$B$3:$K$71,7,0),"Campo eliminado")</f>
        <v>Campo eliminado</v>
      </c>
      <c r="Q7" s="6" t="str">
        <f t="shared" si="3"/>
        <v>Campo eliminado</v>
      </c>
      <c r="R7" s="6" t="str">
        <f>IFERROR(VLOOKUP($B7,'Lista - Âmbito Projeto GD'!$B$3:$K$71,9,0),"Campo eliminado")</f>
        <v>Campo eliminado</v>
      </c>
      <c r="S7" s="6" t="str">
        <f t="shared" si="4"/>
        <v>Campo eliminado</v>
      </c>
      <c r="U7" s="6" t="str">
        <f>VLOOKUP(B7,DataLake!$A$4:$A$429,1,0)</f>
        <v>ENTITY_DT_FNNCL_STTMTS_PRVS</v>
      </c>
    </row>
    <row r="8" spans="1:21" ht="15" hidden="1" customHeight="1" x14ac:dyDescent="0.3">
      <c r="A8" s="7" t="s">
        <v>31</v>
      </c>
      <c r="B8" s="47" t="str">
        <f t="shared" si="0"/>
        <v>ENTITY_DT_INTTN_LGL_PRCDNGS_LE</v>
      </c>
      <c r="C8" s="8" t="s">
        <v>10</v>
      </c>
      <c r="D8" s="9" t="s">
        <v>32</v>
      </c>
      <c r="E8" s="11" t="s">
        <v>33</v>
      </c>
      <c r="F8" s="10" t="s">
        <v>13</v>
      </c>
      <c r="G8" s="10" t="s">
        <v>11</v>
      </c>
      <c r="H8" s="10" t="s">
        <v>11</v>
      </c>
      <c r="I8" s="10" t="s">
        <v>11</v>
      </c>
      <c r="J8" s="10" t="s">
        <v>11</v>
      </c>
      <c r="L8" s="6" t="str">
        <f>IFERROR(VLOOKUP($B8,'Lista - Âmbito Projeto GD'!$B$3:$F$71,5,0),"Campo eliminado")</f>
        <v>Campo eliminado</v>
      </c>
      <c r="M8" s="6" t="str">
        <f t="shared" si="1"/>
        <v>Campo eliminado</v>
      </c>
      <c r="N8" s="6" t="str">
        <f>IFERROR(VLOOKUP($B8,'Lista - Âmbito Projeto GD'!$B$3:$K$71,6,0),"Campo eliminado")</f>
        <v>Campo eliminado</v>
      </c>
      <c r="O8" s="6" t="str">
        <f t="shared" si="2"/>
        <v>Campo eliminado</v>
      </c>
      <c r="P8" s="6" t="str">
        <f>IFERROR(VLOOKUP($B8,'Lista - Âmbito Projeto GD'!$B$3:$K$71,7,0),"Campo eliminado")</f>
        <v>Campo eliminado</v>
      </c>
      <c r="Q8" s="6" t="str">
        <f t="shared" si="3"/>
        <v>Campo eliminado</v>
      </c>
      <c r="R8" s="6" t="str">
        <f>IFERROR(VLOOKUP($B8,'Lista - Âmbito Projeto GD'!$B$3:$K$71,9,0),"Campo eliminado")</f>
        <v>Campo eliminado</v>
      </c>
      <c r="S8" s="6" t="str">
        <f t="shared" si="4"/>
        <v>Campo eliminado</v>
      </c>
      <c r="U8" s="6" t="str">
        <f>VLOOKUP(B8,DataLake!$A$4:$A$429,1,0)</f>
        <v>ENTITY_DT_INTTN_LGL_PRCDNGS_LE</v>
      </c>
    </row>
    <row r="9" spans="1:21" ht="15" hidden="1" customHeight="1" x14ac:dyDescent="0.3">
      <c r="A9" s="7" t="s">
        <v>34</v>
      </c>
      <c r="B9" s="47" t="str">
        <f t="shared" si="0"/>
        <v>ENTITY_DT_PRFRMNG_STTS_LE</v>
      </c>
      <c r="C9" s="8" t="s">
        <v>10</v>
      </c>
      <c r="D9" s="9" t="s">
        <v>35</v>
      </c>
      <c r="E9" s="11" t="s">
        <v>36</v>
      </c>
      <c r="F9" s="10" t="s">
        <v>13</v>
      </c>
      <c r="G9" s="10" t="s">
        <v>11</v>
      </c>
      <c r="H9" s="10" t="s">
        <v>11</v>
      </c>
      <c r="I9" s="10" t="s">
        <v>11</v>
      </c>
      <c r="J9" s="10" t="s">
        <v>11</v>
      </c>
      <c r="L9" s="6" t="str">
        <f>IFERROR(VLOOKUP($B9,'Lista - Âmbito Projeto GD'!$B$3:$F$71,5,0),"Campo eliminado")</f>
        <v>Campo eliminado</v>
      </c>
      <c r="M9" s="6" t="str">
        <f t="shared" si="1"/>
        <v>Campo eliminado</v>
      </c>
      <c r="N9" s="6" t="str">
        <f>IFERROR(VLOOKUP($B9,'Lista - Âmbito Projeto GD'!$B$3:$K$71,6,0),"Campo eliminado")</f>
        <v>Campo eliminado</v>
      </c>
      <c r="O9" s="6" t="str">
        <f t="shared" si="2"/>
        <v>Campo eliminado</v>
      </c>
      <c r="P9" s="6" t="str">
        <f>IFERROR(VLOOKUP($B9,'Lista - Âmbito Projeto GD'!$B$3:$K$71,7,0),"Campo eliminado")</f>
        <v>Campo eliminado</v>
      </c>
      <c r="Q9" s="6" t="str">
        <f t="shared" si="3"/>
        <v>Campo eliminado</v>
      </c>
      <c r="R9" s="6" t="str">
        <f>IFERROR(VLOOKUP($B9,'Lista - Âmbito Projeto GD'!$B$3:$K$71,9,0),"Campo eliminado")</f>
        <v>Campo eliminado</v>
      </c>
      <c r="S9" s="6" t="str">
        <f t="shared" si="4"/>
        <v>Campo eliminado</v>
      </c>
      <c r="U9" s="6" t="str">
        <f>VLOOKUP(B9,DataLake!$A$4:$A$429,1,0)</f>
        <v>ENTITY_DT_PRFRMNG_STTS_LE</v>
      </c>
    </row>
    <row r="10" spans="1:21" ht="15" hidden="1" customHeight="1" x14ac:dyDescent="0.3">
      <c r="A10" s="7" t="s">
        <v>37</v>
      </c>
      <c r="B10" s="47" t="str">
        <f t="shared" si="0"/>
        <v>ENTITY_DT_RFRNC</v>
      </c>
      <c r="C10" s="8" t="s">
        <v>10</v>
      </c>
      <c r="D10" s="9" t="s">
        <v>38</v>
      </c>
      <c r="E10" s="11" t="s">
        <v>39</v>
      </c>
      <c r="F10" s="10" t="s">
        <v>13</v>
      </c>
      <c r="G10" s="10" t="s">
        <v>11</v>
      </c>
      <c r="H10" s="10" t="s">
        <v>13</v>
      </c>
      <c r="I10" s="10" t="s">
        <v>11</v>
      </c>
      <c r="J10" s="10" t="s">
        <v>11</v>
      </c>
      <c r="L10" s="6" t="str">
        <f>IFERROR(VLOOKUP($B10,'Lista - Âmbito Projeto GD'!$B$3:$F$71,5,0),"Campo eliminado")</f>
        <v>Campo eliminado</v>
      </c>
      <c r="M10" s="6" t="str">
        <f t="shared" si="1"/>
        <v>Campo eliminado</v>
      </c>
      <c r="N10" s="6" t="str">
        <f>IFERROR(VLOOKUP($B10,'Lista - Âmbito Projeto GD'!$B$3:$K$71,6,0),"Campo eliminado")</f>
        <v>Campo eliminado</v>
      </c>
      <c r="O10" s="6" t="str">
        <f t="shared" si="2"/>
        <v>Campo eliminado</v>
      </c>
      <c r="P10" s="6" t="str">
        <f>IFERROR(VLOOKUP($B10,'Lista - Âmbito Projeto GD'!$B$3:$K$71,7,0),"Campo eliminado")</f>
        <v>Campo eliminado</v>
      </c>
      <c r="Q10" s="6" t="str">
        <f t="shared" si="3"/>
        <v>Campo eliminado</v>
      </c>
      <c r="R10" s="6" t="str">
        <f>IFERROR(VLOOKUP($B10,'Lista - Âmbito Projeto GD'!$B$3:$K$71,9,0),"Campo eliminado")</f>
        <v>Campo eliminado</v>
      </c>
      <c r="S10" s="6" t="str">
        <f t="shared" si="4"/>
        <v>Campo eliminado</v>
      </c>
      <c r="U10" s="6" t="e">
        <f>VLOOKUP(B10,DataLake!$A$4:$A$429,1,0)</f>
        <v>#N/A</v>
      </c>
    </row>
    <row r="11" spans="1:21" ht="15" hidden="1" customHeight="1" x14ac:dyDescent="0.3">
      <c r="A11" s="7" t="s">
        <v>40</v>
      </c>
      <c r="B11" s="47" t="str">
        <f t="shared" si="0"/>
        <v>ENTITY_ENTTY_ID</v>
      </c>
      <c r="C11" s="8" t="s">
        <v>10</v>
      </c>
      <c r="D11" s="9" t="s">
        <v>41</v>
      </c>
      <c r="E11" s="11" t="s">
        <v>42</v>
      </c>
      <c r="F11" s="10" t="s">
        <v>13</v>
      </c>
      <c r="G11" s="10" t="s">
        <v>11</v>
      </c>
      <c r="H11" s="10" t="s">
        <v>13</v>
      </c>
      <c r="I11" s="10" t="s">
        <v>13</v>
      </c>
      <c r="J11" s="10" t="s">
        <v>11</v>
      </c>
      <c r="L11" s="6" t="str">
        <f>IFERROR(VLOOKUP($B11,'Lista - Âmbito Projeto GD'!$B$3:$F$71,5,0),"Campo eliminado")</f>
        <v>Campo eliminado</v>
      </c>
      <c r="M11" s="6" t="str">
        <f t="shared" si="1"/>
        <v>Campo eliminado</v>
      </c>
      <c r="N11" s="6" t="str">
        <f>IFERROR(VLOOKUP($B11,'Lista - Âmbito Projeto GD'!$B$3:$K$71,6,0),"Campo eliminado")</f>
        <v>Campo eliminado</v>
      </c>
      <c r="O11" s="6" t="str">
        <f t="shared" si="2"/>
        <v>Campo eliminado</v>
      </c>
      <c r="P11" s="6" t="str">
        <f>IFERROR(VLOOKUP($B11,'Lista - Âmbito Projeto GD'!$B$3:$K$71,7,0),"Campo eliminado")</f>
        <v>Campo eliminado</v>
      </c>
      <c r="Q11" s="6" t="str">
        <f t="shared" si="3"/>
        <v>Campo eliminado</v>
      </c>
      <c r="R11" s="6" t="str">
        <f>IFERROR(VLOOKUP($B11,'Lista - Âmbito Projeto GD'!$B$3:$K$71,9,0),"Campo eliminado")</f>
        <v>Campo eliminado</v>
      </c>
      <c r="S11" s="6" t="str">
        <f t="shared" si="4"/>
        <v>Campo eliminado</v>
      </c>
      <c r="U11" s="6" t="str">
        <f>VLOOKUP(B11,DataLake!$A$4:$A$429,1,0)</f>
        <v>ENTITY_ENTTY_ID</v>
      </c>
    </row>
    <row r="12" spans="1:21" ht="15" hidden="1" customHeight="1" x14ac:dyDescent="0.3">
      <c r="A12" s="7" t="s">
        <v>43</v>
      </c>
      <c r="B12" s="47" t="str">
        <f t="shared" si="0"/>
        <v>ENTITY_GCC_PRNT_ID</v>
      </c>
      <c r="C12" s="8" t="s">
        <v>10</v>
      </c>
      <c r="D12" s="9" t="s">
        <v>44</v>
      </c>
      <c r="E12" s="11" t="s">
        <v>45</v>
      </c>
      <c r="F12" s="10" t="s">
        <v>13</v>
      </c>
      <c r="G12" s="10" t="s">
        <v>11</v>
      </c>
      <c r="H12" s="10" t="s">
        <v>11</v>
      </c>
      <c r="I12" s="10" t="s">
        <v>11</v>
      </c>
      <c r="J12" s="10" t="s">
        <v>44</v>
      </c>
      <c r="L12" s="6" t="str">
        <f>IFERROR(VLOOKUP($B12,'Lista - Âmbito Projeto GD'!$B$3:$F$71,5,0),"Campo eliminado")</f>
        <v>Campo eliminado</v>
      </c>
      <c r="M12" s="6" t="str">
        <f t="shared" si="1"/>
        <v>Campo eliminado</v>
      </c>
      <c r="N12" s="6" t="str">
        <f>IFERROR(VLOOKUP($B12,'Lista - Âmbito Projeto GD'!$B$3:$K$71,6,0),"Campo eliminado")</f>
        <v>Campo eliminado</v>
      </c>
      <c r="O12" s="6" t="str">
        <f t="shared" si="2"/>
        <v>Campo eliminado</v>
      </c>
      <c r="P12" s="6" t="str">
        <f>IFERROR(VLOOKUP($B12,'Lista - Âmbito Projeto GD'!$B$3:$K$71,7,0),"Campo eliminado")</f>
        <v>Campo eliminado</v>
      </c>
      <c r="Q12" s="6" t="str">
        <f t="shared" si="3"/>
        <v>Campo eliminado</v>
      </c>
      <c r="R12" s="6" t="str">
        <f>IFERROR(VLOOKUP($B12,'Lista - Âmbito Projeto GD'!$B$3:$K$71,9,0),"Campo eliminado")</f>
        <v>Campo eliminado</v>
      </c>
      <c r="S12" s="6" t="str">
        <f t="shared" si="4"/>
        <v>Campo eliminado</v>
      </c>
      <c r="U12" s="6" t="str">
        <f>VLOOKUP(B12,DataLake!$A$4:$A$429,1,0)</f>
        <v>ENTITY_GCC_PRNT_ID</v>
      </c>
    </row>
    <row r="13" spans="1:21" ht="15" hidden="1" customHeight="1" x14ac:dyDescent="0.3">
      <c r="A13" s="7" t="s">
        <v>46</v>
      </c>
      <c r="B13" s="47" t="str">
        <f t="shared" si="0"/>
        <v>ENTITY_GCC_PRNT_NM</v>
      </c>
      <c r="C13" s="8" t="s">
        <v>10</v>
      </c>
      <c r="D13" s="9" t="s">
        <v>47</v>
      </c>
      <c r="E13" s="11" t="s">
        <v>48</v>
      </c>
      <c r="F13" s="10" t="s">
        <v>13</v>
      </c>
      <c r="G13" s="10" t="s">
        <v>11</v>
      </c>
      <c r="H13" s="10" t="s">
        <v>11</v>
      </c>
      <c r="I13" s="10" t="s">
        <v>11</v>
      </c>
      <c r="J13" s="10" t="s">
        <v>47</v>
      </c>
      <c r="L13" s="6" t="str">
        <f>IFERROR(VLOOKUP($B13,'Lista - Âmbito Projeto GD'!$B$3:$F$71,5,0),"Campo eliminado")</f>
        <v>Campo eliminado</v>
      </c>
      <c r="M13" s="6" t="str">
        <f t="shared" si="1"/>
        <v>Campo eliminado</v>
      </c>
      <c r="N13" s="6" t="str">
        <f>IFERROR(VLOOKUP($B13,'Lista - Âmbito Projeto GD'!$B$3:$K$71,6,0),"Campo eliminado")</f>
        <v>Campo eliminado</v>
      </c>
      <c r="O13" s="6" t="str">
        <f t="shared" si="2"/>
        <v>Campo eliminado</v>
      </c>
      <c r="P13" s="6" t="str">
        <f>IFERROR(VLOOKUP($B13,'Lista - Âmbito Projeto GD'!$B$3:$K$71,7,0),"Campo eliminado")</f>
        <v>Campo eliminado</v>
      </c>
      <c r="Q13" s="6" t="str">
        <f t="shared" si="3"/>
        <v>Campo eliminado</v>
      </c>
      <c r="R13" s="6" t="str">
        <f>IFERROR(VLOOKUP($B13,'Lista - Âmbito Projeto GD'!$B$3:$K$71,9,0),"Campo eliminado")</f>
        <v>Campo eliminado</v>
      </c>
      <c r="S13" s="6" t="str">
        <f t="shared" si="4"/>
        <v>Campo eliminado</v>
      </c>
      <c r="U13" s="6" t="str">
        <f>VLOOKUP(B13,DataLake!$A$4:$A$429,1,0)</f>
        <v>ENTITY_GCC_PRNT_NM</v>
      </c>
    </row>
    <row r="14" spans="1:21" ht="15" hidden="1" customHeight="1" x14ac:dyDescent="0.3">
      <c r="A14" s="7" t="s">
        <v>49</v>
      </c>
      <c r="B14" s="47" t="str">
        <f t="shared" si="0"/>
        <v>ENTITY_INTRNL_SGMNT</v>
      </c>
      <c r="C14" s="8" t="s">
        <v>10</v>
      </c>
      <c r="D14" s="9" t="s">
        <v>50</v>
      </c>
      <c r="E14" s="11" t="s">
        <v>51</v>
      </c>
      <c r="F14" s="10" t="s">
        <v>13</v>
      </c>
      <c r="G14" s="10" t="s">
        <v>11</v>
      </c>
      <c r="H14" s="10" t="s">
        <v>11</v>
      </c>
      <c r="I14" s="10" t="s">
        <v>11</v>
      </c>
      <c r="J14" s="10" t="s">
        <v>50</v>
      </c>
      <c r="L14" s="6" t="str">
        <f>IFERROR(VLOOKUP($B14,'Lista - Âmbito Projeto GD'!$B$3:$F$71,5,0),"Campo eliminado")</f>
        <v>Campo eliminado</v>
      </c>
      <c r="M14" s="6" t="str">
        <f t="shared" si="1"/>
        <v>Campo eliminado</v>
      </c>
      <c r="N14" s="6" t="str">
        <f>IFERROR(VLOOKUP($B14,'Lista - Âmbito Projeto GD'!$B$3:$K$71,6,0),"Campo eliminado")</f>
        <v>Campo eliminado</v>
      </c>
      <c r="O14" s="6" t="str">
        <f t="shared" si="2"/>
        <v>Campo eliminado</v>
      </c>
      <c r="P14" s="6" t="str">
        <f>IFERROR(VLOOKUP($B14,'Lista - Âmbito Projeto GD'!$B$3:$K$71,7,0),"Campo eliminado")</f>
        <v>Campo eliminado</v>
      </c>
      <c r="Q14" s="6" t="str">
        <f t="shared" si="3"/>
        <v>Campo eliminado</v>
      </c>
      <c r="R14" s="6" t="str">
        <f>IFERROR(VLOOKUP($B14,'Lista - Âmbito Projeto GD'!$B$3:$K$71,9,0),"Campo eliminado")</f>
        <v>Campo eliminado</v>
      </c>
      <c r="S14" s="6" t="str">
        <f t="shared" si="4"/>
        <v>Campo eliminado</v>
      </c>
      <c r="U14" s="6" t="str">
        <f>VLOOKUP(B14,DataLake!$A$4:$A$429,1,0)</f>
        <v>ENTITY_INTRNL_SGMNT</v>
      </c>
    </row>
    <row r="15" spans="1:21" ht="15" hidden="1" customHeight="1" x14ac:dyDescent="0.3">
      <c r="A15" s="7" t="s">
        <v>52</v>
      </c>
      <c r="B15" s="47" t="str">
        <f t="shared" si="0"/>
        <v>ENTITY_INTRNL_UNT</v>
      </c>
      <c r="C15" s="8" t="s">
        <v>10</v>
      </c>
      <c r="D15" s="9" t="s">
        <v>53</v>
      </c>
      <c r="E15" s="11" t="s">
        <v>54</v>
      </c>
      <c r="F15" s="10" t="s">
        <v>13</v>
      </c>
      <c r="G15" s="10" t="s">
        <v>11</v>
      </c>
      <c r="H15" s="10" t="s">
        <v>11</v>
      </c>
      <c r="I15" s="10" t="s">
        <v>11</v>
      </c>
      <c r="J15" s="10" t="s">
        <v>53</v>
      </c>
      <c r="L15" s="6" t="str">
        <f>IFERROR(VLOOKUP($B15,'Lista - Âmbito Projeto GD'!$B$3:$F$71,5,0),"Campo eliminado")</f>
        <v>Campo eliminado</v>
      </c>
      <c r="M15" s="6" t="str">
        <f t="shared" si="1"/>
        <v>Campo eliminado</v>
      </c>
      <c r="N15" s="6" t="str">
        <f>IFERROR(VLOOKUP($B15,'Lista - Âmbito Projeto GD'!$B$3:$K$71,6,0),"Campo eliminado")</f>
        <v>Campo eliminado</v>
      </c>
      <c r="O15" s="6" t="str">
        <f t="shared" si="2"/>
        <v>Campo eliminado</v>
      </c>
      <c r="P15" s="6" t="str">
        <f>IFERROR(VLOOKUP($B15,'Lista - Âmbito Projeto GD'!$B$3:$K$71,7,0),"Campo eliminado")</f>
        <v>Campo eliminado</v>
      </c>
      <c r="Q15" s="6" t="str">
        <f t="shared" si="3"/>
        <v>Campo eliminado</v>
      </c>
      <c r="R15" s="6" t="str">
        <f>IFERROR(VLOOKUP($B15,'Lista - Âmbito Projeto GD'!$B$3:$K$71,9,0),"Campo eliminado")</f>
        <v>Campo eliminado</v>
      </c>
      <c r="S15" s="6" t="str">
        <f t="shared" si="4"/>
        <v>Campo eliminado</v>
      </c>
      <c r="U15" s="6" t="str">
        <f>VLOOKUP(B15,DataLake!$A$4:$A$429,1,0)</f>
        <v>ENTITY_INTRNL_UNT</v>
      </c>
    </row>
    <row r="16" spans="1:21" ht="15" hidden="1" customHeight="1" x14ac:dyDescent="0.3">
      <c r="A16" s="7" t="s">
        <v>55</v>
      </c>
      <c r="B16" s="47" t="str">
        <f t="shared" si="0"/>
        <v>ENTITY_LEI</v>
      </c>
      <c r="C16" s="8" t="s">
        <v>10</v>
      </c>
      <c r="D16" s="9" t="s">
        <v>56</v>
      </c>
      <c r="E16" s="11" t="s">
        <v>57</v>
      </c>
      <c r="F16" s="10" t="s">
        <v>13</v>
      </c>
      <c r="G16" s="10" t="s">
        <v>11</v>
      </c>
      <c r="H16" s="10" t="s">
        <v>13</v>
      </c>
      <c r="I16" s="10" t="s">
        <v>11</v>
      </c>
      <c r="J16" s="10" t="s">
        <v>11</v>
      </c>
      <c r="L16" s="6" t="str">
        <f>IFERROR(VLOOKUP($B16,'Lista - Âmbito Projeto GD'!$B$3:$F$71,5,0),"Campo eliminado")</f>
        <v>Campo eliminado</v>
      </c>
      <c r="M16" s="6" t="str">
        <f t="shared" si="1"/>
        <v>Campo eliminado</v>
      </c>
      <c r="N16" s="6" t="str">
        <f>IFERROR(VLOOKUP($B16,'Lista - Âmbito Projeto GD'!$B$3:$K$71,6,0),"Campo eliminado")</f>
        <v>Campo eliminado</v>
      </c>
      <c r="O16" s="6" t="str">
        <f t="shared" si="2"/>
        <v>Campo eliminado</v>
      </c>
      <c r="P16" s="6" t="str">
        <f>IFERROR(VLOOKUP($B16,'Lista - Âmbito Projeto GD'!$B$3:$K$71,7,0),"Campo eliminado")</f>
        <v>Campo eliminado</v>
      </c>
      <c r="Q16" s="6" t="str">
        <f t="shared" si="3"/>
        <v>Campo eliminado</v>
      </c>
      <c r="R16" s="6" t="str">
        <f>IFERROR(VLOOKUP($B16,'Lista - Âmbito Projeto GD'!$B$3:$K$71,9,0),"Campo eliminado")</f>
        <v>Campo eliminado</v>
      </c>
      <c r="S16" s="6" t="str">
        <f t="shared" si="4"/>
        <v>Campo eliminado</v>
      </c>
      <c r="U16" s="6" t="str">
        <f>VLOOKUP(B16,DataLake!$A$4:$A$429,1,0)</f>
        <v>ENTITY_LEI</v>
      </c>
    </row>
    <row r="17" spans="1:21" ht="15" hidden="1" customHeight="1" x14ac:dyDescent="0.3">
      <c r="A17" s="7" t="s">
        <v>58</v>
      </c>
      <c r="B17" s="47" t="str">
        <f t="shared" si="0"/>
        <v>ENTITY_ENTTY_NM</v>
      </c>
      <c r="C17" s="8" t="s">
        <v>10</v>
      </c>
      <c r="D17" s="9" t="s">
        <v>59</v>
      </c>
      <c r="E17" s="11" t="s">
        <v>60</v>
      </c>
      <c r="F17" s="10" t="s">
        <v>13</v>
      </c>
      <c r="G17" s="10" t="s">
        <v>11</v>
      </c>
      <c r="H17" s="10" t="s">
        <v>11</v>
      </c>
      <c r="I17" s="10" t="s">
        <v>11</v>
      </c>
      <c r="J17" s="10" t="s">
        <v>11</v>
      </c>
      <c r="L17" s="6" t="str">
        <f>IFERROR(VLOOKUP($B17,'Lista - Âmbito Projeto GD'!$B$3:$F$71,5,0),"Campo eliminado")</f>
        <v>Campo eliminado</v>
      </c>
      <c r="M17" s="6" t="str">
        <f t="shared" si="1"/>
        <v>Campo eliminado</v>
      </c>
      <c r="N17" s="6" t="str">
        <f>IFERROR(VLOOKUP($B17,'Lista - Âmbito Projeto GD'!$B$3:$K$71,6,0),"Campo eliminado")</f>
        <v>Campo eliminado</v>
      </c>
      <c r="O17" s="6" t="str">
        <f t="shared" si="2"/>
        <v>Campo eliminado</v>
      </c>
      <c r="P17" s="6" t="str">
        <f>IFERROR(VLOOKUP($B17,'Lista - Âmbito Projeto GD'!$B$3:$K$71,7,0),"Campo eliminado")</f>
        <v>Campo eliminado</v>
      </c>
      <c r="Q17" s="6" t="str">
        <f t="shared" si="3"/>
        <v>Campo eliminado</v>
      </c>
      <c r="R17" s="6" t="str">
        <f>IFERROR(VLOOKUP($B17,'Lista - Âmbito Projeto GD'!$B$3:$K$71,9,0),"Campo eliminado")</f>
        <v>Campo eliminado</v>
      </c>
      <c r="S17" s="6" t="str">
        <f t="shared" si="4"/>
        <v>Campo eliminado</v>
      </c>
      <c r="U17" s="6" t="str">
        <f>VLOOKUP(B17,DataLake!$A$4:$A$429,1,0)</f>
        <v>ENTITY_ENTTY_NM</v>
      </c>
    </row>
    <row r="18" spans="1:21" ht="15" hidden="1" customHeight="1" x14ac:dyDescent="0.3">
      <c r="A18" s="7" t="s">
        <v>61</v>
      </c>
      <c r="B18" s="47" t="str">
        <f t="shared" si="0"/>
        <v>ENTITY_EXTRNL_RTNG_NM</v>
      </c>
      <c r="C18" s="8" t="s">
        <v>10</v>
      </c>
      <c r="D18" s="9" t="s">
        <v>62</v>
      </c>
      <c r="E18" s="11" t="s">
        <v>63</v>
      </c>
      <c r="F18" s="10" t="s">
        <v>13</v>
      </c>
      <c r="G18" s="10" t="s">
        <v>11</v>
      </c>
      <c r="H18" s="10" t="s">
        <v>11</v>
      </c>
      <c r="I18" s="10" t="s">
        <v>11</v>
      </c>
      <c r="J18" s="10" t="s">
        <v>62</v>
      </c>
      <c r="L18" s="6" t="str">
        <f>IFERROR(VLOOKUP($B18,'Lista - Âmbito Projeto GD'!$B$3:$F$71,5,0),"Campo eliminado")</f>
        <v>Campo eliminado</v>
      </c>
      <c r="M18" s="6" t="str">
        <f t="shared" si="1"/>
        <v>Campo eliminado</v>
      </c>
      <c r="N18" s="6" t="str">
        <f>IFERROR(VLOOKUP($B18,'Lista - Âmbito Projeto GD'!$B$3:$K$71,6,0),"Campo eliminado")</f>
        <v>Campo eliminado</v>
      </c>
      <c r="O18" s="6" t="str">
        <f t="shared" si="2"/>
        <v>Campo eliminado</v>
      </c>
      <c r="P18" s="6" t="str">
        <f>IFERROR(VLOOKUP($B18,'Lista - Âmbito Projeto GD'!$B$3:$K$71,7,0),"Campo eliminado")</f>
        <v>Campo eliminado</v>
      </c>
      <c r="Q18" s="6" t="str">
        <f t="shared" si="3"/>
        <v>Campo eliminado</v>
      </c>
      <c r="R18" s="6" t="str">
        <f>IFERROR(VLOOKUP($B18,'Lista - Âmbito Projeto GD'!$B$3:$K$71,9,0),"Campo eliminado")</f>
        <v>Campo eliminado</v>
      </c>
      <c r="S18" s="6" t="str">
        <f t="shared" si="4"/>
        <v>Campo eliminado</v>
      </c>
      <c r="U18" s="6" t="str">
        <f>VLOOKUP(B18,DataLake!$A$4:$A$429,1,0)</f>
        <v>ENTITY_EXTRNL_RTNG_NM</v>
      </c>
    </row>
    <row r="19" spans="1:21" ht="15" hidden="1" customHeight="1" x14ac:dyDescent="0.3">
      <c r="A19" s="7" t="s">
        <v>64</v>
      </c>
      <c r="B19" s="47" t="str">
        <f t="shared" si="0"/>
        <v>ENTITY_ACCNTNG_FRMWRK_SL</v>
      </c>
      <c r="C19" s="8" t="s">
        <v>10</v>
      </c>
      <c r="D19" s="9" t="s">
        <v>65</v>
      </c>
      <c r="E19" s="11" t="s">
        <v>66</v>
      </c>
      <c r="F19" s="10" t="s">
        <v>13</v>
      </c>
      <c r="G19" s="10" t="s">
        <v>11</v>
      </c>
      <c r="H19" s="10" t="s">
        <v>11</v>
      </c>
      <c r="I19" s="10" t="s">
        <v>11</v>
      </c>
      <c r="J19" s="10" t="s">
        <v>65</v>
      </c>
      <c r="L19" s="6" t="str">
        <f>IFERROR(VLOOKUP($B19,'Lista - Âmbito Projeto GD'!$B$3:$F$71,5,0),"Campo eliminado")</f>
        <v>Campo eliminado</v>
      </c>
      <c r="M19" s="6" t="str">
        <f t="shared" si="1"/>
        <v>Campo eliminado</v>
      </c>
      <c r="N19" s="6" t="str">
        <f>IFERROR(VLOOKUP($B19,'Lista - Âmbito Projeto GD'!$B$3:$K$71,6,0),"Campo eliminado")</f>
        <v>Campo eliminado</v>
      </c>
      <c r="O19" s="6" t="str">
        <f t="shared" si="2"/>
        <v>Campo eliminado</v>
      </c>
      <c r="P19" s="6" t="str">
        <f>IFERROR(VLOOKUP($B19,'Lista - Âmbito Projeto GD'!$B$3:$K$71,7,0),"Campo eliminado")</f>
        <v>Campo eliminado</v>
      </c>
      <c r="Q19" s="6" t="str">
        <f t="shared" si="3"/>
        <v>Campo eliminado</v>
      </c>
      <c r="R19" s="6" t="str">
        <f>IFERROR(VLOOKUP($B19,'Lista - Âmbito Projeto GD'!$B$3:$K$71,9,0),"Campo eliminado")</f>
        <v>Campo eliminado</v>
      </c>
      <c r="S19" s="6" t="str">
        <f t="shared" si="4"/>
        <v>Campo eliminado</v>
      </c>
      <c r="U19" s="6" t="str">
        <f>VLOOKUP(B19,DataLake!$A$4:$A$429,1,0)</f>
        <v>ENTITY_ACCNTNG_FRMWRK_SL</v>
      </c>
    </row>
    <row r="20" spans="1:21" ht="15" hidden="1" customHeight="1" x14ac:dyDescent="0.3">
      <c r="A20" s="7" t="s">
        <v>67</v>
      </c>
      <c r="B20" s="47" t="str">
        <f t="shared" si="0"/>
        <v>ENTITY_CR_FLG</v>
      </c>
      <c r="C20" s="8" t="s">
        <v>10</v>
      </c>
      <c r="D20" s="9" t="s">
        <v>68</v>
      </c>
      <c r="E20" s="11" t="s">
        <v>69</v>
      </c>
      <c r="F20" s="10" t="s">
        <v>13</v>
      </c>
      <c r="G20" s="10" t="s">
        <v>11</v>
      </c>
      <c r="H20" s="10" t="s">
        <v>11</v>
      </c>
      <c r="I20" s="10" t="s">
        <v>11</v>
      </c>
      <c r="J20" s="10" t="s">
        <v>11</v>
      </c>
      <c r="L20" s="6" t="str">
        <f>IFERROR(VLOOKUP($B20,'Lista - Âmbito Projeto GD'!$B$3:$F$71,5,0),"Campo eliminado")</f>
        <v>Campo eliminado</v>
      </c>
      <c r="M20" s="6" t="str">
        <f t="shared" si="1"/>
        <v>Campo eliminado</v>
      </c>
      <c r="N20" s="6" t="str">
        <f>IFERROR(VLOOKUP($B20,'Lista - Âmbito Projeto GD'!$B$3:$K$71,6,0),"Campo eliminado")</f>
        <v>Campo eliminado</v>
      </c>
      <c r="O20" s="6" t="str">
        <f t="shared" si="2"/>
        <v>Campo eliminado</v>
      </c>
      <c r="P20" s="6" t="str">
        <f>IFERROR(VLOOKUP($B20,'Lista - Âmbito Projeto GD'!$B$3:$K$71,7,0),"Campo eliminado")</f>
        <v>Campo eliminado</v>
      </c>
      <c r="Q20" s="6" t="str">
        <f t="shared" si="3"/>
        <v>Campo eliminado</v>
      </c>
      <c r="R20" s="6" t="str">
        <f>IFERROR(VLOOKUP($B20,'Lista - Âmbito Projeto GD'!$B$3:$K$71,9,0),"Campo eliminado")</f>
        <v>Campo eliminado</v>
      </c>
      <c r="S20" s="6" t="str">
        <f t="shared" si="4"/>
        <v>Campo eliminado</v>
      </c>
      <c r="U20" s="6" t="str">
        <f>VLOOKUP(B20,DataLake!$A$4:$A$429,1,0)</f>
        <v>ENTITY_CR_FLG</v>
      </c>
    </row>
    <row r="21" spans="1:21" ht="15" hidden="1" customHeight="1" x14ac:dyDescent="0.3">
      <c r="A21" s="7" t="s">
        <v>70</v>
      </c>
      <c r="B21" s="47" t="str">
        <f t="shared" si="0"/>
        <v>ENTITY_DCSD</v>
      </c>
      <c r="C21" s="8" t="s">
        <v>10</v>
      </c>
      <c r="D21" s="9" t="s">
        <v>71</v>
      </c>
      <c r="E21" s="11" t="s">
        <v>72</v>
      </c>
      <c r="F21" s="10" t="s">
        <v>13</v>
      </c>
      <c r="G21" s="10" t="s">
        <v>11</v>
      </c>
      <c r="H21" s="10" t="s">
        <v>11</v>
      </c>
      <c r="I21" s="10" t="s">
        <v>11</v>
      </c>
      <c r="J21" s="10" t="s">
        <v>11</v>
      </c>
      <c r="L21" s="6" t="str">
        <f>IFERROR(VLOOKUP($B21,'Lista - Âmbito Projeto GD'!$B$3:$F$71,5,0),"Campo eliminado")</f>
        <v>Campo eliminado</v>
      </c>
      <c r="M21" s="6" t="str">
        <f t="shared" si="1"/>
        <v>Campo eliminado</v>
      </c>
      <c r="N21" s="6" t="str">
        <f>IFERROR(VLOOKUP($B21,'Lista - Âmbito Projeto GD'!$B$3:$K$71,6,0),"Campo eliminado")</f>
        <v>Campo eliminado</v>
      </c>
      <c r="O21" s="6" t="str">
        <f t="shared" si="2"/>
        <v>Campo eliminado</v>
      </c>
      <c r="P21" s="6" t="str">
        <f>IFERROR(VLOOKUP($B21,'Lista - Âmbito Projeto GD'!$B$3:$K$71,7,0),"Campo eliminado")</f>
        <v>Campo eliminado</v>
      </c>
      <c r="Q21" s="6" t="str">
        <f t="shared" si="3"/>
        <v>Campo eliminado</v>
      </c>
      <c r="R21" s="6" t="str">
        <f>IFERROR(VLOOKUP($B21,'Lista - Âmbito Projeto GD'!$B$3:$K$71,9,0),"Campo eliminado")</f>
        <v>Campo eliminado</v>
      </c>
      <c r="S21" s="6" t="str">
        <f t="shared" si="4"/>
        <v>Campo eliminado</v>
      </c>
      <c r="U21" s="6" t="str">
        <f>VLOOKUP(B21,DataLake!$A$4:$A$429,1,0)</f>
        <v>ENTITY_DCSD</v>
      </c>
    </row>
    <row r="22" spans="1:21" ht="15" hidden="1" customHeight="1" x14ac:dyDescent="0.3">
      <c r="A22" s="7" t="s">
        <v>73</v>
      </c>
      <c r="B22" s="47" t="str">
        <f t="shared" si="0"/>
        <v>ENTITY_DFLT_STTS</v>
      </c>
      <c r="C22" s="8" t="s">
        <v>10</v>
      </c>
      <c r="D22" s="9" t="s">
        <v>74</v>
      </c>
      <c r="E22" s="11" t="s">
        <v>75</v>
      </c>
      <c r="F22" s="10" t="s">
        <v>13</v>
      </c>
      <c r="G22" s="10" t="s">
        <v>11</v>
      </c>
      <c r="H22" s="10" t="s">
        <v>11</v>
      </c>
      <c r="I22" s="10" t="s">
        <v>11</v>
      </c>
      <c r="J22" s="10" t="s">
        <v>74</v>
      </c>
      <c r="L22" s="6" t="str">
        <f>IFERROR(VLOOKUP($B22,'Lista - Âmbito Projeto GD'!$B$3:$F$71,5,0),"Campo eliminado")</f>
        <v>Campo eliminado</v>
      </c>
      <c r="M22" s="6" t="str">
        <f t="shared" si="1"/>
        <v>Campo eliminado</v>
      </c>
      <c r="N22" s="6" t="str">
        <f>IFERROR(VLOOKUP($B22,'Lista - Âmbito Projeto GD'!$B$3:$K$71,6,0),"Campo eliminado")</f>
        <v>Campo eliminado</v>
      </c>
      <c r="O22" s="6" t="str">
        <f t="shared" si="2"/>
        <v>Campo eliminado</v>
      </c>
      <c r="P22" s="6" t="str">
        <f>IFERROR(VLOOKUP($B22,'Lista - Âmbito Projeto GD'!$B$3:$K$71,7,0),"Campo eliminado")</f>
        <v>Campo eliminado</v>
      </c>
      <c r="Q22" s="6" t="str">
        <f t="shared" si="3"/>
        <v>Campo eliminado</v>
      </c>
      <c r="R22" s="6" t="str">
        <f>IFERROR(VLOOKUP($B22,'Lista - Âmbito Projeto GD'!$B$3:$K$71,9,0),"Campo eliminado")</f>
        <v>Campo eliminado</v>
      </c>
      <c r="S22" s="6" t="str">
        <f t="shared" si="4"/>
        <v>Campo eliminado</v>
      </c>
      <c r="U22" s="6" t="str">
        <f>VLOOKUP(B22,DataLake!$A$4:$A$429,1,0)</f>
        <v>ENTITY_DFLT_STTS</v>
      </c>
    </row>
    <row r="23" spans="1:21" ht="15" hidden="1" customHeight="1" x14ac:dyDescent="0.3">
      <c r="A23" s="7" t="s">
        <v>76</v>
      </c>
      <c r="B23" s="47" t="str">
        <f t="shared" si="0"/>
        <v>ENTITY_DT_EXTRNL_RTNG</v>
      </c>
      <c r="C23" s="8" t="s">
        <v>10</v>
      </c>
      <c r="D23" s="9" t="s">
        <v>77</v>
      </c>
      <c r="E23" s="11" t="s">
        <v>78</v>
      </c>
      <c r="F23" s="10" t="s">
        <v>13</v>
      </c>
      <c r="G23" s="10" t="s">
        <v>11</v>
      </c>
      <c r="H23" s="10" t="s">
        <v>11</v>
      </c>
      <c r="I23" s="10" t="s">
        <v>11</v>
      </c>
      <c r="J23" s="10" t="s">
        <v>77</v>
      </c>
      <c r="L23" s="6" t="str">
        <f>IFERROR(VLOOKUP($B23,'Lista - Âmbito Projeto GD'!$B$3:$F$71,5,0),"Campo eliminado")</f>
        <v>Campo eliminado</v>
      </c>
      <c r="M23" s="6" t="str">
        <f t="shared" si="1"/>
        <v>Campo eliminado</v>
      </c>
      <c r="N23" s="6" t="str">
        <f>IFERROR(VLOOKUP($B23,'Lista - Âmbito Projeto GD'!$B$3:$K$71,6,0),"Campo eliminado")</f>
        <v>Campo eliminado</v>
      </c>
      <c r="O23" s="6" t="str">
        <f t="shared" si="2"/>
        <v>Campo eliminado</v>
      </c>
      <c r="P23" s="6" t="str">
        <f>IFERROR(VLOOKUP($B23,'Lista - Âmbito Projeto GD'!$B$3:$K$71,7,0),"Campo eliminado")</f>
        <v>Campo eliminado</v>
      </c>
      <c r="Q23" s="6" t="str">
        <f t="shared" si="3"/>
        <v>Campo eliminado</v>
      </c>
      <c r="R23" s="6" t="str">
        <f>IFERROR(VLOOKUP($B23,'Lista - Âmbito Projeto GD'!$B$3:$K$71,9,0),"Campo eliminado")</f>
        <v>Campo eliminado</v>
      </c>
      <c r="S23" s="6" t="str">
        <f t="shared" si="4"/>
        <v>Campo eliminado</v>
      </c>
      <c r="U23" s="6" t="str">
        <f>VLOOKUP(B23,DataLake!$A$4:$A$429,1,0)</f>
        <v>ENTITY_DT_EXTRNL_RTNG</v>
      </c>
    </row>
    <row r="24" spans="1:21" ht="15" hidden="1" customHeight="1" x14ac:dyDescent="0.3">
      <c r="A24" s="7" t="s">
        <v>79</v>
      </c>
      <c r="B24" s="47" t="str">
        <f t="shared" si="0"/>
        <v>ENTITY_DT_INTRNL_RTNG</v>
      </c>
      <c r="C24" s="8" t="s">
        <v>10</v>
      </c>
      <c r="D24" s="9" t="s">
        <v>80</v>
      </c>
      <c r="E24" s="11" t="s">
        <v>81</v>
      </c>
      <c r="F24" s="10" t="s">
        <v>13</v>
      </c>
      <c r="G24" s="10" t="s">
        <v>11</v>
      </c>
      <c r="H24" s="10" t="s">
        <v>11</v>
      </c>
      <c r="I24" s="10" t="s">
        <v>11</v>
      </c>
      <c r="J24" s="10" t="s">
        <v>80</v>
      </c>
      <c r="L24" s="6" t="str">
        <f>IFERROR(VLOOKUP($B24,'Lista - Âmbito Projeto GD'!$B$3:$F$71,5,0),"Campo eliminado")</f>
        <v>Campo eliminado</v>
      </c>
      <c r="M24" s="6" t="str">
        <f t="shared" si="1"/>
        <v>Campo eliminado</v>
      </c>
      <c r="N24" s="6" t="str">
        <f>IFERROR(VLOOKUP($B24,'Lista - Âmbito Projeto GD'!$B$3:$K$71,6,0),"Campo eliminado")</f>
        <v>Campo eliminado</v>
      </c>
      <c r="O24" s="6" t="str">
        <f t="shared" si="2"/>
        <v>Campo eliminado</v>
      </c>
      <c r="P24" s="6" t="str">
        <f>IFERROR(VLOOKUP($B24,'Lista - Âmbito Projeto GD'!$B$3:$K$71,7,0),"Campo eliminado")</f>
        <v>Campo eliminado</v>
      </c>
      <c r="Q24" s="6" t="str">
        <f t="shared" si="3"/>
        <v>Campo eliminado</v>
      </c>
      <c r="R24" s="6" t="str">
        <f>IFERROR(VLOOKUP($B24,'Lista - Âmbito Projeto GD'!$B$3:$K$71,9,0),"Campo eliminado")</f>
        <v>Campo eliminado</v>
      </c>
      <c r="S24" s="6" t="str">
        <f t="shared" si="4"/>
        <v>Campo eliminado</v>
      </c>
      <c r="U24" s="6" t="str">
        <f>VLOOKUP(B24,DataLake!$A$4:$A$429,1,0)</f>
        <v>ENTITY_DT_INTRNL_RTNG</v>
      </c>
    </row>
    <row r="25" spans="1:21" ht="15" hidden="1" customHeight="1" x14ac:dyDescent="0.3">
      <c r="A25" s="7" t="s">
        <v>82</v>
      </c>
      <c r="B25" s="47" t="str">
        <f t="shared" si="0"/>
        <v>ENTITY_ECNMC_ACTVTY</v>
      </c>
      <c r="C25" s="8" t="s">
        <v>10</v>
      </c>
      <c r="D25" s="9" t="s">
        <v>83</v>
      </c>
      <c r="E25" s="11" t="s">
        <v>84</v>
      </c>
      <c r="F25" s="10" t="s">
        <v>13</v>
      </c>
      <c r="G25" s="10" t="s">
        <v>11</v>
      </c>
      <c r="H25" s="10" t="s">
        <v>13</v>
      </c>
      <c r="I25" s="10" t="s">
        <v>13</v>
      </c>
      <c r="J25" s="10" t="s">
        <v>11</v>
      </c>
      <c r="L25" s="6" t="str">
        <f>IFERROR(VLOOKUP($B25,'Lista - Âmbito Projeto GD'!$B$3:$F$71,5,0),"Campo eliminado")</f>
        <v>Campo eliminado</v>
      </c>
      <c r="M25" s="6" t="str">
        <f t="shared" si="1"/>
        <v>Campo eliminado</v>
      </c>
      <c r="N25" s="6" t="str">
        <f>IFERROR(VLOOKUP($B25,'Lista - Âmbito Projeto GD'!$B$3:$K$71,6,0),"Campo eliminado")</f>
        <v>Campo eliminado</v>
      </c>
      <c r="O25" s="6" t="str">
        <f t="shared" si="2"/>
        <v>Campo eliminado</v>
      </c>
      <c r="P25" s="6" t="str">
        <f>IFERROR(VLOOKUP($B25,'Lista - Âmbito Projeto GD'!$B$3:$K$71,7,0),"Campo eliminado")</f>
        <v>Campo eliminado</v>
      </c>
      <c r="Q25" s="6" t="str">
        <f t="shared" si="3"/>
        <v>Campo eliminado</v>
      </c>
      <c r="R25" s="6" t="str">
        <f>IFERROR(VLOOKUP($B25,'Lista - Âmbito Projeto GD'!$B$3:$K$71,9,0),"Campo eliminado")</f>
        <v>Campo eliminado</v>
      </c>
      <c r="S25" s="6" t="str">
        <f t="shared" si="4"/>
        <v>Campo eliminado</v>
      </c>
      <c r="U25" s="6" t="str">
        <f>VLOOKUP(B25,DataLake!$A$4:$A$429,1,0)</f>
        <v>ENTITY_ECNMC_ACTVTY</v>
      </c>
    </row>
    <row r="26" spans="1:21" ht="15" hidden="1" customHeight="1" x14ac:dyDescent="0.3">
      <c r="A26" s="7" t="s">
        <v>85</v>
      </c>
      <c r="B26" s="47" t="str">
        <f t="shared" si="0"/>
        <v>ENTITY_EMPLYMNT_STTS_INTRNL</v>
      </c>
      <c r="C26" s="8" t="s">
        <v>10</v>
      </c>
      <c r="D26" s="9" t="s">
        <v>86</v>
      </c>
      <c r="E26" s="11" t="s">
        <v>87</v>
      </c>
      <c r="F26" s="10" t="s">
        <v>13</v>
      </c>
      <c r="G26" s="10" t="s">
        <v>11</v>
      </c>
      <c r="H26" s="10" t="s">
        <v>11</v>
      </c>
      <c r="I26" s="10" t="s">
        <v>11</v>
      </c>
      <c r="J26" s="10" t="s">
        <v>11</v>
      </c>
      <c r="L26" s="6" t="str">
        <f>IFERROR(VLOOKUP($B26,'Lista - Âmbito Projeto GD'!$B$3:$F$71,5,0),"Campo eliminado")</f>
        <v>Campo eliminado</v>
      </c>
      <c r="M26" s="6" t="str">
        <f t="shared" si="1"/>
        <v>Campo eliminado</v>
      </c>
      <c r="N26" s="6" t="str">
        <f>IFERROR(VLOOKUP($B26,'Lista - Âmbito Projeto GD'!$B$3:$K$71,6,0),"Campo eliminado")</f>
        <v>Campo eliminado</v>
      </c>
      <c r="O26" s="6" t="str">
        <f t="shared" si="2"/>
        <v>Campo eliminado</v>
      </c>
      <c r="P26" s="6" t="str">
        <f>IFERROR(VLOOKUP($B26,'Lista - Âmbito Projeto GD'!$B$3:$K$71,7,0),"Campo eliminado")</f>
        <v>Campo eliminado</v>
      </c>
      <c r="Q26" s="6" t="str">
        <f t="shared" si="3"/>
        <v>Campo eliminado</v>
      </c>
      <c r="R26" s="6" t="str">
        <f>IFERROR(VLOOKUP($B26,'Lista - Âmbito Projeto GD'!$B$3:$K$71,9,0),"Campo eliminado")</f>
        <v>Campo eliminado</v>
      </c>
      <c r="S26" s="6" t="str">
        <f t="shared" si="4"/>
        <v>Campo eliminado</v>
      </c>
      <c r="U26" s="6" t="str">
        <f>VLOOKUP(B26,DataLake!$A$4:$A$429,1,0)</f>
        <v>ENTITY_EMPLYMNT_STTS_INTRNL</v>
      </c>
    </row>
    <row r="27" spans="1:21" ht="15" hidden="1" customHeight="1" x14ac:dyDescent="0.3">
      <c r="A27" s="7" t="s">
        <v>88</v>
      </c>
      <c r="B27" s="47" t="str">
        <f t="shared" si="0"/>
        <v>ENTITY_EMPLYMNT_STTS</v>
      </c>
      <c r="C27" s="8" t="s">
        <v>10</v>
      </c>
      <c r="D27" s="9" t="s">
        <v>89</v>
      </c>
      <c r="E27" s="11" t="s">
        <v>90</v>
      </c>
      <c r="F27" s="10" t="s">
        <v>13</v>
      </c>
      <c r="G27" s="10" t="s">
        <v>11</v>
      </c>
      <c r="H27" s="10" t="s">
        <v>11</v>
      </c>
      <c r="I27" s="10" t="s">
        <v>11</v>
      </c>
      <c r="J27" s="10" t="s">
        <v>11</v>
      </c>
      <c r="L27" s="6" t="str">
        <f>IFERROR(VLOOKUP($B27,'Lista - Âmbito Projeto GD'!$B$3:$F$71,5,0),"Campo eliminado")</f>
        <v>Campo eliminado</v>
      </c>
      <c r="M27" s="6" t="str">
        <f t="shared" si="1"/>
        <v>Campo eliminado</v>
      </c>
      <c r="N27" s="6" t="str">
        <f>IFERROR(VLOOKUP($B27,'Lista - Âmbito Projeto GD'!$B$3:$K$71,6,0),"Campo eliminado")</f>
        <v>Campo eliminado</v>
      </c>
      <c r="O27" s="6" t="str">
        <f t="shared" si="2"/>
        <v>Campo eliminado</v>
      </c>
      <c r="P27" s="6" t="str">
        <f>IFERROR(VLOOKUP($B27,'Lista - Âmbito Projeto GD'!$B$3:$K$71,7,0),"Campo eliminado")</f>
        <v>Campo eliminado</v>
      </c>
      <c r="Q27" s="6" t="str">
        <f t="shared" si="3"/>
        <v>Campo eliminado</v>
      </c>
      <c r="R27" s="6" t="str">
        <f>IFERROR(VLOOKUP($B27,'Lista - Âmbito Projeto GD'!$B$3:$K$71,9,0),"Campo eliminado")</f>
        <v>Campo eliminado</v>
      </c>
      <c r="S27" s="6" t="str">
        <f t="shared" si="4"/>
        <v>Campo eliminado</v>
      </c>
      <c r="U27" s="6" t="str">
        <f>VLOOKUP(B27,DataLake!$A$4:$A$429,1,0)</f>
        <v>ENTITY_EMPLYMNT_STTS</v>
      </c>
    </row>
    <row r="28" spans="1:21" ht="15" hidden="1" customHeight="1" x14ac:dyDescent="0.3">
      <c r="A28" s="7" t="s">
        <v>91</v>
      </c>
      <c r="B28" s="47" t="str">
        <f t="shared" si="0"/>
        <v>ENTITY_ENTRPRS_SZ_LE</v>
      </c>
      <c r="C28" s="8" t="s">
        <v>10</v>
      </c>
      <c r="D28" s="9" t="s">
        <v>92</v>
      </c>
      <c r="E28" s="11" t="s">
        <v>93</v>
      </c>
      <c r="F28" s="10" t="s">
        <v>13</v>
      </c>
      <c r="G28" s="10" t="s">
        <v>11</v>
      </c>
      <c r="H28" s="10" t="s">
        <v>11</v>
      </c>
      <c r="I28" s="10" t="s">
        <v>11</v>
      </c>
      <c r="J28" s="10" t="s">
        <v>11</v>
      </c>
      <c r="L28" s="6" t="str">
        <f>IFERROR(VLOOKUP($B28,'Lista - Âmbito Projeto GD'!$B$3:$F$71,5,0),"Campo eliminado")</f>
        <v>Campo eliminado</v>
      </c>
      <c r="M28" s="6" t="str">
        <f t="shared" si="1"/>
        <v>Campo eliminado</v>
      </c>
      <c r="N28" s="6" t="str">
        <f>IFERROR(VLOOKUP($B28,'Lista - Âmbito Projeto GD'!$B$3:$K$71,6,0),"Campo eliminado")</f>
        <v>Campo eliminado</v>
      </c>
      <c r="O28" s="6" t="str">
        <f t="shared" si="2"/>
        <v>Campo eliminado</v>
      </c>
      <c r="P28" s="6" t="str">
        <f>IFERROR(VLOOKUP($B28,'Lista - Âmbito Projeto GD'!$B$3:$K$71,7,0),"Campo eliminado")</f>
        <v>Campo eliminado</v>
      </c>
      <c r="Q28" s="6" t="str">
        <f t="shared" si="3"/>
        <v>Campo eliminado</v>
      </c>
      <c r="R28" s="6" t="str">
        <f>IFERROR(VLOOKUP($B28,'Lista - Âmbito Projeto GD'!$B$3:$K$71,9,0),"Campo eliminado")</f>
        <v>Campo eliminado</v>
      </c>
      <c r="S28" s="6" t="str">
        <f t="shared" si="4"/>
        <v>Campo eliminado</v>
      </c>
      <c r="U28" s="6" t="str">
        <f>VLOOKUP(B28,DataLake!$A$4:$A$429,1,0)</f>
        <v>ENTITY_ENTRPRS_SZ_LE</v>
      </c>
    </row>
    <row r="29" spans="1:21" ht="15" hidden="1" customHeight="1" x14ac:dyDescent="0.3">
      <c r="A29" s="7" t="s">
        <v>94</v>
      </c>
      <c r="B29" s="47" t="str">
        <f t="shared" si="0"/>
        <v>ENTITY_EXTRNL_RTNG</v>
      </c>
      <c r="C29" s="8" t="s">
        <v>10</v>
      </c>
      <c r="D29" s="9" t="s">
        <v>95</v>
      </c>
      <c r="E29" s="11" t="s">
        <v>96</v>
      </c>
      <c r="F29" s="10" t="s">
        <v>13</v>
      </c>
      <c r="G29" s="10" t="s">
        <v>11</v>
      </c>
      <c r="H29" s="10" t="s">
        <v>11</v>
      </c>
      <c r="I29" s="10" t="s">
        <v>11</v>
      </c>
      <c r="J29" s="10" t="s">
        <v>95</v>
      </c>
      <c r="L29" s="6" t="str">
        <f>IFERROR(VLOOKUP($B29,'Lista - Âmbito Projeto GD'!$B$3:$F$71,5,0),"Campo eliminado")</f>
        <v>Campo eliminado</v>
      </c>
      <c r="M29" s="6" t="str">
        <f t="shared" si="1"/>
        <v>Campo eliminado</v>
      </c>
      <c r="N29" s="6" t="str">
        <f>IFERROR(VLOOKUP($B29,'Lista - Âmbito Projeto GD'!$B$3:$K$71,6,0),"Campo eliminado")</f>
        <v>Campo eliminado</v>
      </c>
      <c r="O29" s="6" t="str">
        <f t="shared" si="2"/>
        <v>Campo eliminado</v>
      </c>
      <c r="P29" s="6" t="str">
        <f>IFERROR(VLOOKUP($B29,'Lista - Âmbito Projeto GD'!$B$3:$K$71,7,0),"Campo eliminado")</f>
        <v>Campo eliminado</v>
      </c>
      <c r="Q29" s="6" t="str">
        <f t="shared" si="3"/>
        <v>Campo eliminado</v>
      </c>
      <c r="R29" s="6" t="str">
        <f>IFERROR(VLOOKUP($B29,'Lista - Âmbito Projeto GD'!$B$3:$K$71,9,0),"Campo eliminado")</f>
        <v>Campo eliminado</v>
      </c>
      <c r="S29" s="6" t="str">
        <f t="shared" si="4"/>
        <v>Campo eliminado</v>
      </c>
      <c r="U29" s="6" t="str">
        <f>VLOOKUP(B29,DataLake!$A$4:$A$429,1,0)</f>
        <v>ENTITY_EXTRNL_RTNG</v>
      </c>
    </row>
    <row r="30" spans="1:21" ht="15" hidden="1" customHeight="1" x14ac:dyDescent="0.3">
      <c r="A30" s="7" t="s">
        <v>97</v>
      </c>
      <c r="B30" s="47" t="str">
        <f t="shared" si="0"/>
        <v>ENTITY_EXTRNL_RTNG_PRVS</v>
      </c>
      <c r="C30" s="8" t="s">
        <v>10</v>
      </c>
      <c r="D30" s="9" t="s">
        <v>98</v>
      </c>
      <c r="E30" s="11" t="s">
        <v>99</v>
      </c>
      <c r="F30" s="10" t="s">
        <v>13</v>
      </c>
      <c r="G30" s="10" t="s">
        <v>11</v>
      </c>
      <c r="H30" s="10" t="s">
        <v>11</v>
      </c>
      <c r="I30" s="10" t="s">
        <v>11</v>
      </c>
      <c r="J30" s="10" t="s">
        <v>98</v>
      </c>
      <c r="L30" s="6" t="str">
        <f>IFERROR(VLOOKUP($B30,'Lista - Âmbito Projeto GD'!$B$3:$F$71,5,0),"Campo eliminado")</f>
        <v>Campo eliminado</v>
      </c>
      <c r="M30" s="6" t="str">
        <f t="shared" si="1"/>
        <v>Campo eliminado</v>
      </c>
      <c r="N30" s="6" t="str">
        <f>IFERROR(VLOOKUP($B30,'Lista - Âmbito Projeto GD'!$B$3:$K$71,6,0),"Campo eliminado")</f>
        <v>Campo eliminado</v>
      </c>
      <c r="O30" s="6" t="str">
        <f t="shared" si="2"/>
        <v>Campo eliminado</v>
      </c>
      <c r="P30" s="6" t="str">
        <f>IFERROR(VLOOKUP($B30,'Lista - Âmbito Projeto GD'!$B$3:$K$71,7,0),"Campo eliminado")</f>
        <v>Campo eliminado</v>
      </c>
      <c r="Q30" s="6" t="str">
        <f t="shared" si="3"/>
        <v>Campo eliminado</v>
      </c>
      <c r="R30" s="6" t="str">
        <f>IFERROR(VLOOKUP($B30,'Lista - Âmbito Projeto GD'!$B$3:$K$71,9,0),"Campo eliminado")</f>
        <v>Campo eliminado</v>
      </c>
      <c r="S30" s="6" t="str">
        <f t="shared" si="4"/>
        <v>Campo eliminado</v>
      </c>
      <c r="U30" s="6" t="str">
        <f>VLOOKUP(B30,DataLake!$A$4:$A$429,1,0)</f>
        <v>ENTITY_EXTRNL_RTNG_PRVS</v>
      </c>
    </row>
    <row r="31" spans="1:21" ht="15" hidden="1" customHeight="1" x14ac:dyDescent="0.3">
      <c r="A31" s="7" t="s">
        <v>100</v>
      </c>
      <c r="B31" s="47" t="str">
        <f t="shared" si="0"/>
        <v>ENTITY_FLG_BNKRPTCY_IN_GRP</v>
      </c>
      <c r="C31" s="8" t="s">
        <v>10</v>
      </c>
      <c r="D31" s="9" t="s">
        <v>101</v>
      </c>
      <c r="E31" s="11" t="s">
        <v>102</v>
      </c>
      <c r="F31" s="10" t="s">
        <v>13</v>
      </c>
      <c r="G31" s="10" t="s">
        <v>11</v>
      </c>
      <c r="H31" s="10" t="s">
        <v>11</v>
      </c>
      <c r="I31" s="10" t="s">
        <v>11</v>
      </c>
      <c r="J31" s="10" t="s">
        <v>101</v>
      </c>
      <c r="L31" s="6" t="str">
        <f>IFERROR(VLOOKUP($B31,'Lista - Âmbito Projeto GD'!$B$3:$F$71,5,0),"Campo eliminado")</f>
        <v>Campo eliminado</v>
      </c>
      <c r="M31" s="6" t="str">
        <f t="shared" si="1"/>
        <v>Campo eliminado</v>
      </c>
      <c r="N31" s="6" t="str">
        <f>IFERROR(VLOOKUP($B31,'Lista - Âmbito Projeto GD'!$B$3:$K$71,6,0),"Campo eliminado")</f>
        <v>Campo eliminado</v>
      </c>
      <c r="O31" s="6" t="str">
        <f t="shared" si="2"/>
        <v>Campo eliminado</v>
      </c>
      <c r="P31" s="6" t="str">
        <f>IFERROR(VLOOKUP($B31,'Lista - Âmbito Projeto GD'!$B$3:$K$71,7,0),"Campo eliminado")</f>
        <v>Campo eliminado</v>
      </c>
      <c r="Q31" s="6" t="str">
        <f t="shared" si="3"/>
        <v>Campo eliminado</v>
      </c>
      <c r="R31" s="6" t="str">
        <f>IFERROR(VLOOKUP($B31,'Lista - Âmbito Projeto GD'!$B$3:$K$71,9,0),"Campo eliminado")</f>
        <v>Campo eliminado</v>
      </c>
      <c r="S31" s="6" t="str">
        <f t="shared" si="4"/>
        <v>Campo eliminado</v>
      </c>
      <c r="U31" s="6" t="str">
        <f>VLOOKUP(B31,DataLake!$A$4:$A$429,1,0)</f>
        <v>ENTITY_FLG_BNKRPTCY_IN_GRP</v>
      </c>
    </row>
    <row r="32" spans="1:21" ht="15" hidden="1" customHeight="1" x14ac:dyDescent="0.3">
      <c r="A32" s="7" t="s">
        <v>103</v>
      </c>
      <c r="B32" s="47" t="str">
        <f t="shared" si="0"/>
        <v>ENTITY_FLG_HGH_CDS</v>
      </c>
      <c r="C32" s="8" t="s">
        <v>10</v>
      </c>
      <c r="D32" s="9" t="s">
        <v>104</v>
      </c>
      <c r="E32" s="11" t="s">
        <v>105</v>
      </c>
      <c r="F32" s="10" t="s">
        <v>13</v>
      </c>
      <c r="G32" s="10" t="s">
        <v>11</v>
      </c>
      <c r="H32" s="10" t="s">
        <v>11</v>
      </c>
      <c r="I32" s="10" t="s">
        <v>11</v>
      </c>
      <c r="J32" s="10" t="s">
        <v>104</v>
      </c>
      <c r="L32" s="6" t="str">
        <f>IFERROR(VLOOKUP($B32,'Lista - Âmbito Projeto GD'!$B$3:$F$71,5,0),"Campo eliminado")</f>
        <v>Campo eliminado</v>
      </c>
      <c r="M32" s="6" t="str">
        <f t="shared" si="1"/>
        <v>Campo eliminado</v>
      </c>
      <c r="N32" s="6" t="str">
        <f>IFERROR(VLOOKUP($B32,'Lista - Âmbito Projeto GD'!$B$3:$K$71,6,0),"Campo eliminado")</f>
        <v>Campo eliminado</v>
      </c>
      <c r="O32" s="6" t="str">
        <f t="shared" si="2"/>
        <v>Campo eliminado</v>
      </c>
      <c r="P32" s="6" t="str">
        <f>IFERROR(VLOOKUP($B32,'Lista - Âmbito Projeto GD'!$B$3:$K$71,7,0),"Campo eliminado")</f>
        <v>Campo eliminado</v>
      </c>
      <c r="Q32" s="6" t="str">
        <f t="shared" si="3"/>
        <v>Campo eliminado</v>
      </c>
      <c r="R32" s="6" t="str">
        <f>IFERROR(VLOOKUP($B32,'Lista - Âmbito Projeto GD'!$B$3:$K$71,9,0),"Campo eliminado")</f>
        <v>Campo eliminado</v>
      </c>
      <c r="S32" s="6" t="str">
        <f t="shared" si="4"/>
        <v>Campo eliminado</v>
      </c>
      <c r="U32" s="6" t="str">
        <f>VLOOKUP(B32,DataLake!$A$4:$A$429,1,0)</f>
        <v>ENTITY_FLG_HGH_CDS</v>
      </c>
    </row>
    <row r="33" spans="1:21" ht="15" hidden="1" customHeight="1" x14ac:dyDescent="0.3">
      <c r="A33" s="7" t="s">
        <v>106</v>
      </c>
      <c r="B33" s="47" t="str">
        <f t="shared" si="0"/>
        <v>ENTITY_FLG_ISDA_CRDT_EVNT</v>
      </c>
      <c r="C33" s="8" t="s">
        <v>10</v>
      </c>
      <c r="D33" s="9" t="s">
        <v>107</v>
      </c>
      <c r="E33" s="11" t="s">
        <v>108</v>
      </c>
      <c r="F33" s="10" t="s">
        <v>13</v>
      </c>
      <c r="G33" s="10" t="s">
        <v>11</v>
      </c>
      <c r="H33" s="10" t="s">
        <v>11</v>
      </c>
      <c r="I33" s="10" t="s">
        <v>11</v>
      </c>
      <c r="J33" s="10" t="s">
        <v>107</v>
      </c>
      <c r="L33" s="6" t="str">
        <f>IFERROR(VLOOKUP($B33,'Lista - Âmbito Projeto GD'!$B$3:$F$71,5,0),"Campo eliminado")</f>
        <v>Campo eliminado</v>
      </c>
      <c r="M33" s="6" t="str">
        <f t="shared" si="1"/>
        <v>Campo eliminado</v>
      </c>
      <c r="N33" s="6" t="str">
        <f>IFERROR(VLOOKUP($B33,'Lista - Âmbito Projeto GD'!$B$3:$K$71,6,0),"Campo eliminado")</f>
        <v>Campo eliminado</v>
      </c>
      <c r="O33" s="6" t="str">
        <f t="shared" si="2"/>
        <v>Campo eliminado</v>
      </c>
      <c r="P33" s="6" t="str">
        <f>IFERROR(VLOOKUP($B33,'Lista - Âmbito Projeto GD'!$B$3:$K$71,7,0),"Campo eliminado")</f>
        <v>Campo eliminado</v>
      </c>
      <c r="Q33" s="6" t="str">
        <f t="shared" si="3"/>
        <v>Campo eliminado</v>
      </c>
      <c r="R33" s="6" t="str">
        <f>IFERROR(VLOOKUP($B33,'Lista - Âmbito Projeto GD'!$B$3:$K$71,9,0),"Campo eliminado")</f>
        <v>Campo eliminado</v>
      </c>
      <c r="S33" s="6" t="str">
        <f t="shared" si="4"/>
        <v>Campo eliminado</v>
      </c>
      <c r="U33" s="6" t="str">
        <f>VLOOKUP(B33,DataLake!$A$4:$A$429,1,0)</f>
        <v>ENTITY_FLG_ISDA_CRDT_EVNT</v>
      </c>
    </row>
    <row r="34" spans="1:21" ht="15" hidden="1" customHeight="1" x14ac:dyDescent="0.3">
      <c r="A34" s="7" t="s">
        <v>109</v>
      </c>
      <c r="B34" s="47" t="str">
        <f t="shared" si="0"/>
        <v>ENTITY_FLG_NN_ACCRL</v>
      </c>
      <c r="C34" s="8" t="s">
        <v>10</v>
      </c>
      <c r="D34" s="9" t="s">
        <v>110</v>
      </c>
      <c r="E34" s="11" t="s">
        <v>111</v>
      </c>
      <c r="F34" s="10" t="s">
        <v>13</v>
      </c>
      <c r="G34" s="10" t="s">
        <v>11</v>
      </c>
      <c r="H34" s="10" t="s">
        <v>11</v>
      </c>
      <c r="I34" s="10" t="s">
        <v>11</v>
      </c>
      <c r="J34" s="10" t="s">
        <v>110</v>
      </c>
      <c r="L34" s="6" t="str">
        <f>IFERROR(VLOOKUP($B34,'Lista - Âmbito Projeto GD'!$B$3:$F$71,5,0),"Campo eliminado")</f>
        <v>Campo eliminado</v>
      </c>
      <c r="M34" s="6" t="str">
        <f t="shared" si="1"/>
        <v>Campo eliminado</v>
      </c>
      <c r="N34" s="6" t="str">
        <f>IFERROR(VLOOKUP($B34,'Lista - Âmbito Projeto GD'!$B$3:$K$71,6,0),"Campo eliminado")</f>
        <v>Campo eliminado</v>
      </c>
      <c r="O34" s="6" t="str">
        <f t="shared" si="2"/>
        <v>Campo eliminado</v>
      </c>
      <c r="P34" s="6" t="str">
        <f>IFERROR(VLOOKUP($B34,'Lista - Âmbito Projeto GD'!$B$3:$K$71,7,0),"Campo eliminado")</f>
        <v>Campo eliminado</v>
      </c>
      <c r="Q34" s="6" t="str">
        <f t="shared" si="3"/>
        <v>Campo eliminado</v>
      </c>
      <c r="R34" s="6" t="str">
        <f>IFERROR(VLOOKUP($B34,'Lista - Âmbito Projeto GD'!$B$3:$K$71,9,0),"Campo eliminado")</f>
        <v>Campo eliminado</v>
      </c>
      <c r="S34" s="6" t="str">
        <f t="shared" si="4"/>
        <v>Campo eliminado</v>
      </c>
      <c r="U34" s="6" t="str">
        <f>VLOOKUP(B34,DataLake!$A$4:$A$429,1,0)</f>
        <v>ENTITY_FLG_NN_ACCRL</v>
      </c>
    </row>
    <row r="35" spans="1:21" ht="15" hidden="1" customHeight="1" x14ac:dyDescent="0.3">
      <c r="A35" s="7" t="s">
        <v>112</v>
      </c>
      <c r="B35" s="47" t="str">
        <f t="shared" si="0"/>
        <v>ENTITY_FLG_RQST_BNKRPTCY</v>
      </c>
      <c r="C35" s="8" t="s">
        <v>10</v>
      </c>
      <c r="D35" s="9" t="s">
        <v>113</v>
      </c>
      <c r="E35" s="11" t="s">
        <v>114</v>
      </c>
      <c r="F35" s="10" t="s">
        <v>13</v>
      </c>
      <c r="G35" s="10" t="s">
        <v>11</v>
      </c>
      <c r="H35" s="10" t="s">
        <v>11</v>
      </c>
      <c r="I35" s="10" t="s">
        <v>11</v>
      </c>
      <c r="J35" s="10" t="s">
        <v>113</v>
      </c>
      <c r="L35" s="6" t="str">
        <f>IFERROR(VLOOKUP($B35,'Lista - Âmbito Projeto GD'!$B$3:$F$71,5,0),"Campo eliminado")</f>
        <v>Campo eliminado</v>
      </c>
      <c r="M35" s="6" t="str">
        <f t="shared" si="1"/>
        <v>Campo eliminado</v>
      </c>
      <c r="N35" s="6" t="str">
        <f>IFERROR(VLOOKUP($B35,'Lista - Âmbito Projeto GD'!$B$3:$K$71,6,0),"Campo eliminado")</f>
        <v>Campo eliminado</v>
      </c>
      <c r="O35" s="6" t="str">
        <f t="shared" si="2"/>
        <v>Campo eliminado</v>
      </c>
      <c r="P35" s="6" t="str">
        <f>IFERROR(VLOOKUP($B35,'Lista - Âmbito Projeto GD'!$B$3:$K$71,7,0),"Campo eliminado")</f>
        <v>Campo eliminado</v>
      </c>
      <c r="Q35" s="6" t="str">
        <f t="shared" si="3"/>
        <v>Campo eliminado</v>
      </c>
      <c r="R35" s="6" t="str">
        <f>IFERROR(VLOOKUP($B35,'Lista - Âmbito Projeto GD'!$B$3:$K$71,9,0),"Campo eliminado")</f>
        <v>Campo eliminado</v>
      </c>
      <c r="S35" s="6" t="str">
        <f t="shared" si="4"/>
        <v>Campo eliminado</v>
      </c>
      <c r="U35" s="6" t="str">
        <f>VLOOKUP(B35,DataLake!$A$4:$A$429,1,0)</f>
        <v>ENTITY_FLG_RQST_BNKRPTCY</v>
      </c>
    </row>
    <row r="36" spans="1:21" ht="15" hidden="1" customHeight="1" x14ac:dyDescent="0.3">
      <c r="A36" s="7" t="s">
        <v>115</v>
      </c>
      <c r="B36" s="47" t="str">
        <f t="shared" si="0"/>
        <v>ENTITY_FLG_RQST_DSTRSSD_RSTRCTRNG</v>
      </c>
      <c r="C36" s="8" t="s">
        <v>10</v>
      </c>
      <c r="D36" s="9" t="s">
        <v>116</v>
      </c>
      <c r="E36" s="11" t="s">
        <v>117</v>
      </c>
      <c r="F36" s="10" t="s">
        <v>13</v>
      </c>
      <c r="G36" s="10" t="s">
        <v>11</v>
      </c>
      <c r="H36" s="10" t="s">
        <v>11</v>
      </c>
      <c r="I36" s="10" t="s">
        <v>11</v>
      </c>
      <c r="J36" s="10" t="s">
        <v>11</v>
      </c>
      <c r="L36" s="6" t="str">
        <f>IFERROR(VLOOKUP($B36,'Lista - Âmbito Projeto GD'!$B$3:$F$71,5,0),"Campo eliminado")</f>
        <v>Campo eliminado</v>
      </c>
      <c r="M36" s="6" t="str">
        <f t="shared" si="1"/>
        <v>Campo eliminado</v>
      </c>
      <c r="N36" s="6" t="str">
        <f>IFERROR(VLOOKUP($B36,'Lista - Âmbito Projeto GD'!$B$3:$K$71,6,0),"Campo eliminado")</f>
        <v>Campo eliminado</v>
      </c>
      <c r="O36" s="6" t="str">
        <f t="shared" si="2"/>
        <v>Campo eliminado</v>
      </c>
      <c r="P36" s="6" t="str">
        <f>IFERROR(VLOOKUP($B36,'Lista - Âmbito Projeto GD'!$B$3:$K$71,7,0),"Campo eliminado")</f>
        <v>Campo eliminado</v>
      </c>
      <c r="Q36" s="6" t="str">
        <f t="shared" si="3"/>
        <v>Campo eliminado</v>
      </c>
      <c r="R36" s="6" t="str">
        <f>IFERROR(VLOOKUP($B36,'Lista - Âmbito Projeto GD'!$B$3:$K$71,9,0),"Campo eliminado")</f>
        <v>Campo eliminado</v>
      </c>
      <c r="S36" s="6" t="str">
        <f t="shared" si="4"/>
        <v>Campo eliminado</v>
      </c>
      <c r="U36" s="6" t="str">
        <f>VLOOKUP(B36,DataLake!$A$4:$A$429,1,0)</f>
        <v>ENTITY_FLG_RQST_DSTRSSD_RSTRCTRNG</v>
      </c>
    </row>
    <row r="37" spans="1:21" ht="15" hidden="1" customHeight="1" x14ac:dyDescent="0.3">
      <c r="A37" s="7" t="s">
        <v>118</v>
      </c>
      <c r="B37" s="47" t="str">
        <f t="shared" si="0"/>
        <v>ENTITY_FLG_RQST_EMRGNCY_FNDNG</v>
      </c>
      <c r="C37" s="8" t="s">
        <v>10</v>
      </c>
      <c r="D37" s="9" t="s">
        <v>119</v>
      </c>
      <c r="E37" s="11" t="s">
        <v>120</v>
      </c>
      <c r="F37" s="10" t="s">
        <v>13</v>
      </c>
      <c r="G37" s="10" t="s">
        <v>11</v>
      </c>
      <c r="H37" s="10" t="s">
        <v>11</v>
      </c>
      <c r="I37" s="10" t="s">
        <v>11</v>
      </c>
      <c r="J37" s="10" t="s">
        <v>119</v>
      </c>
      <c r="L37" s="6" t="str">
        <f>IFERROR(VLOOKUP($B37,'Lista - Âmbito Projeto GD'!$B$3:$F$71,5,0),"Campo eliminado")</f>
        <v>Campo eliminado</v>
      </c>
      <c r="M37" s="6" t="str">
        <f t="shared" si="1"/>
        <v>Campo eliminado</v>
      </c>
      <c r="N37" s="6" t="str">
        <f>IFERROR(VLOOKUP($B37,'Lista - Âmbito Projeto GD'!$B$3:$K$71,6,0),"Campo eliminado")</f>
        <v>Campo eliminado</v>
      </c>
      <c r="O37" s="6" t="str">
        <f t="shared" si="2"/>
        <v>Campo eliminado</v>
      </c>
      <c r="P37" s="6" t="str">
        <f>IFERROR(VLOOKUP($B37,'Lista - Âmbito Projeto GD'!$B$3:$K$71,7,0),"Campo eliminado")</f>
        <v>Campo eliminado</v>
      </c>
      <c r="Q37" s="6" t="str">
        <f t="shared" si="3"/>
        <v>Campo eliminado</v>
      </c>
      <c r="R37" s="6" t="str">
        <f>IFERROR(VLOOKUP($B37,'Lista - Âmbito Projeto GD'!$B$3:$K$71,9,0),"Campo eliminado")</f>
        <v>Campo eliminado</v>
      </c>
      <c r="S37" s="6" t="str">
        <f t="shared" si="4"/>
        <v>Campo eliminado</v>
      </c>
      <c r="U37" s="6" t="str">
        <f>VLOOKUP(B37,DataLake!$A$4:$A$429,1,0)</f>
        <v>ENTITY_FLG_RQST_EMRGNCY_FNDNG</v>
      </c>
    </row>
    <row r="38" spans="1:21" ht="15" hidden="1" customHeight="1" x14ac:dyDescent="0.3">
      <c r="A38" s="7" t="s">
        <v>121</v>
      </c>
      <c r="B38" s="47" t="str">
        <f t="shared" si="0"/>
        <v>ENTITY_FLG_SLL_WTH_LSS</v>
      </c>
      <c r="C38" s="8" t="s">
        <v>10</v>
      </c>
      <c r="D38" s="9" t="s">
        <v>122</v>
      </c>
      <c r="E38" s="11" t="s">
        <v>123</v>
      </c>
      <c r="F38" s="10" t="s">
        <v>13</v>
      </c>
      <c r="G38" s="10" t="s">
        <v>11</v>
      </c>
      <c r="H38" s="10" t="s">
        <v>11</v>
      </c>
      <c r="I38" s="10" t="s">
        <v>11</v>
      </c>
      <c r="J38" s="10" t="s">
        <v>11</v>
      </c>
      <c r="L38" s="6" t="str">
        <f>IFERROR(VLOOKUP($B38,'Lista - Âmbito Projeto GD'!$B$3:$F$71,5,0),"Campo eliminado")</f>
        <v>Campo eliminado</v>
      </c>
      <c r="M38" s="6" t="str">
        <f t="shared" si="1"/>
        <v>Campo eliminado</v>
      </c>
      <c r="N38" s="6" t="str">
        <f>IFERROR(VLOOKUP($B38,'Lista - Âmbito Projeto GD'!$B$3:$K$71,6,0),"Campo eliminado")</f>
        <v>Campo eliminado</v>
      </c>
      <c r="O38" s="6" t="str">
        <f t="shared" si="2"/>
        <v>Campo eliminado</v>
      </c>
      <c r="P38" s="6" t="str">
        <f>IFERROR(VLOOKUP($B38,'Lista - Âmbito Projeto GD'!$B$3:$K$71,7,0),"Campo eliminado")</f>
        <v>Campo eliminado</v>
      </c>
      <c r="Q38" s="6" t="str">
        <f t="shared" si="3"/>
        <v>Campo eliminado</v>
      </c>
      <c r="R38" s="6" t="str">
        <f>IFERROR(VLOOKUP($B38,'Lista - Âmbito Projeto GD'!$B$3:$K$71,9,0),"Campo eliminado")</f>
        <v>Campo eliminado</v>
      </c>
      <c r="S38" s="6" t="str">
        <f t="shared" si="4"/>
        <v>Campo eliminado</v>
      </c>
      <c r="U38" s="6" t="str">
        <f>VLOOKUP(B38,DataLake!$A$4:$A$429,1,0)</f>
        <v>ENTITY_FLG_SLL_WTH_LSS</v>
      </c>
    </row>
    <row r="39" spans="1:21" ht="15" hidden="1" customHeight="1" x14ac:dyDescent="0.3">
      <c r="A39" s="7" t="s">
        <v>124</v>
      </c>
      <c r="B39" s="47" t="str">
        <f t="shared" si="0"/>
        <v>ENTITY_INCM_SC</v>
      </c>
      <c r="C39" s="8" t="s">
        <v>10</v>
      </c>
      <c r="D39" s="9" t="s">
        <v>125</v>
      </c>
      <c r="E39" s="11" t="s">
        <v>126</v>
      </c>
      <c r="F39" s="10" t="s">
        <v>13</v>
      </c>
      <c r="G39" s="10" t="s">
        <v>11</v>
      </c>
      <c r="H39" s="10" t="s">
        <v>11</v>
      </c>
      <c r="I39" s="10" t="s">
        <v>11</v>
      </c>
      <c r="J39" s="10" t="s">
        <v>11</v>
      </c>
      <c r="L39" s="6" t="str">
        <f>IFERROR(VLOOKUP($B39,'Lista - Âmbito Projeto GD'!$B$3:$F$71,5,0),"Campo eliminado")</f>
        <v>Campo eliminado</v>
      </c>
      <c r="M39" s="6" t="str">
        <f t="shared" si="1"/>
        <v>Campo eliminado</v>
      </c>
      <c r="N39" s="6" t="str">
        <f>IFERROR(VLOOKUP($B39,'Lista - Âmbito Projeto GD'!$B$3:$K$71,6,0),"Campo eliminado")</f>
        <v>Campo eliminado</v>
      </c>
      <c r="O39" s="6" t="str">
        <f t="shared" si="2"/>
        <v>Campo eliminado</v>
      </c>
      <c r="P39" s="6" t="str">
        <f>IFERROR(VLOOKUP($B39,'Lista - Âmbito Projeto GD'!$B$3:$K$71,7,0),"Campo eliminado")</f>
        <v>Campo eliminado</v>
      </c>
      <c r="Q39" s="6" t="str">
        <f t="shared" si="3"/>
        <v>Campo eliminado</v>
      </c>
      <c r="R39" s="6" t="str">
        <f>IFERROR(VLOOKUP($B39,'Lista - Âmbito Projeto GD'!$B$3:$K$71,9,0),"Campo eliminado")</f>
        <v>Campo eliminado</v>
      </c>
      <c r="S39" s="6" t="str">
        <f t="shared" si="4"/>
        <v>Campo eliminado</v>
      </c>
      <c r="U39" s="6" t="str">
        <f>VLOOKUP(B39,DataLake!$A$4:$A$429,1,0)</f>
        <v>ENTITY_INCM_SC</v>
      </c>
    </row>
    <row r="40" spans="1:21" ht="15" hidden="1" customHeight="1" x14ac:dyDescent="0.3">
      <c r="A40" s="7" t="s">
        <v>127</v>
      </c>
      <c r="B40" s="47" t="str">
        <f t="shared" si="0"/>
        <v>ENTITY_INTRNL_RTNG</v>
      </c>
      <c r="C40" s="8" t="s">
        <v>10</v>
      </c>
      <c r="D40" s="9" t="s">
        <v>128</v>
      </c>
      <c r="E40" s="11" t="s">
        <v>129</v>
      </c>
      <c r="F40" s="10" t="s">
        <v>13</v>
      </c>
      <c r="G40" s="10" t="s">
        <v>11</v>
      </c>
      <c r="H40" s="10" t="s">
        <v>11</v>
      </c>
      <c r="I40" s="10" t="s">
        <v>11</v>
      </c>
      <c r="J40" s="10" t="s">
        <v>128</v>
      </c>
      <c r="L40" s="6" t="str">
        <f>IFERROR(VLOOKUP($B40,'Lista - Âmbito Projeto GD'!$B$3:$F$71,5,0),"Campo eliminado")</f>
        <v>Campo eliminado</v>
      </c>
      <c r="M40" s="6" t="str">
        <f t="shared" si="1"/>
        <v>Campo eliminado</v>
      </c>
      <c r="N40" s="6" t="str">
        <f>IFERROR(VLOOKUP($B40,'Lista - Âmbito Projeto GD'!$B$3:$K$71,6,0),"Campo eliminado")</f>
        <v>Campo eliminado</v>
      </c>
      <c r="O40" s="6" t="str">
        <f t="shared" si="2"/>
        <v>Campo eliminado</v>
      </c>
      <c r="P40" s="6" t="str">
        <f>IFERROR(VLOOKUP($B40,'Lista - Âmbito Projeto GD'!$B$3:$K$71,7,0),"Campo eliminado")</f>
        <v>Campo eliminado</v>
      </c>
      <c r="Q40" s="6" t="str">
        <f t="shared" si="3"/>
        <v>Campo eliminado</v>
      </c>
      <c r="R40" s="6" t="str">
        <f>IFERROR(VLOOKUP($B40,'Lista - Âmbito Projeto GD'!$B$3:$K$71,9,0),"Campo eliminado")</f>
        <v>Campo eliminado</v>
      </c>
      <c r="S40" s="6" t="str">
        <f t="shared" si="4"/>
        <v>Campo eliminado</v>
      </c>
      <c r="U40" s="6" t="str">
        <f>VLOOKUP(B40,DataLake!$A$4:$A$429,1,0)</f>
        <v>ENTITY_INTRNL_RTNG</v>
      </c>
    </row>
    <row r="41" spans="1:21" ht="15" hidden="1" customHeight="1" x14ac:dyDescent="0.3">
      <c r="A41" s="7" t="s">
        <v>130</v>
      </c>
      <c r="B41" s="47" t="str">
        <f t="shared" si="0"/>
        <v>ENTITY_INTRNL_RTNG_PRVS</v>
      </c>
      <c r="C41" s="8" t="s">
        <v>10</v>
      </c>
      <c r="D41" s="9" t="s">
        <v>131</v>
      </c>
      <c r="E41" s="11" t="s">
        <v>132</v>
      </c>
      <c r="F41" s="10" t="s">
        <v>13</v>
      </c>
      <c r="G41" s="10" t="s">
        <v>11</v>
      </c>
      <c r="H41" s="10" t="s">
        <v>11</v>
      </c>
      <c r="I41" s="10" t="s">
        <v>11</v>
      </c>
      <c r="J41" s="10" t="s">
        <v>131</v>
      </c>
      <c r="L41" s="6" t="str">
        <f>IFERROR(VLOOKUP($B41,'Lista - Âmbito Projeto GD'!$B$3:$F$71,5,0),"Campo eliminado")</f>
        <v>Campo eliminado</v>
      </c>
      <c r="M41" s="6" t="str">
        <f t="shared" si="1"/>
        <v>Campo eliminado</v>
      </c>
      <c r="N41" s="6" t="str">
        <f>IFERROR(VLOOKUP($B41,'Lista - Âmbito Projeto GD'!$B$3:$K$71,6,0),"Campo eliminado")</f>
        <v>Campo eliminado</v>
      </c>
      <c r="O41" s="6" t="str">
        <f t="shared" si="2"/>
        <v>Campo eliminado</v>
      </c>
      <c r="P41" s="6" t="str">
        <f>IFERROR(VLOOKUP($B41,'Lista - Âmbito Projeto GD'!$B$3:$K$71,7,0),"Campo eliminado")</f>
        <v>Campo eliminado</v>
      </c>
      <c r="Q41" s="6" t="str">
        <f t="shared" si="3"/>
        <v>Campo eliminado</v>
      </c>
      <c r="R41" s="6" t="str">
        <f>IFERROR(VLOOKUP($B41,'Lista - Âmbito Projeto GD'!$B$3:$K$71,9,0),"Campo eliminado")</f>
        <v>Campo eliminado</v>
      </c>
      <c r="S41" s="6" t="str">
        <f t="shared" si="4"/>
        <v>Campo eliminado</v>
      </c>
      <c r="U41" s="6" t="str">
        <f>VLOOKUP(B41,DataLake!$A$4:$A$429,1,0)</f>
        <v>ENTITY_INTRNL_RTNG_PRVS</v>
      </c>
    </row>
    <row r="42" spans="1:21" ht="15" hidden="1" customHeight="1" x14ac:dyDescent="0.3">
      <c r="A42" s="7" t="s">
        <v>133</v>
      </c>
      <c r="B42" s="47" t="str">
        <f t="shared" si="0"/>
        <v>ENTITY_LGL_PRCDNG_STTS_LE</v>
      </c>
      <c r="C42" s="8" t="s">
        <v>10</v>
      </c>
      <c r="D42" s="9" t="s">
        <v>134</v>
      </c>
      <c r="E42" s="11" t="s">
        <v>135</v>
      </c>
      <c r="F42" s="10" t="s">
        <v>13</v>
      </c>
      <c r="G42" s="10" t="s">
        <v>11</v>
      </c>
      <c r="H42" s="10" t="s">
        <v>11</v>
      </c>
      <c r="I42" s="10" t="s">
        <v>11</v>
      </c>
      <c r="J42" s="10" t="s">
        <v>11</v>
      </c>
      <c r="L42" s="6" t="str">
        <f>IFERROR(VLOOKUP($B42,'Lista - Âmbito Projeto GD'!$B$3:$F$71,5,0),"Campo eliminado")</f>
        <v>Campo eliminado</v>
      </c>
      <c r="M42" s="6" t="str">
        <f t="shared" si="1"/>
        <v>Campo eliminado</v>
      </c>
      <c r="N42" s="6" t="str">
        <f>IFERROR(VLOOKUP($B42,'Lista - Âmbito Projeto GD'!$B$3:$K$71,6,0),"Campo eliminado")</f>
        <v>Campo eliminado</v>
      </c>
      <c r="O42" s="6" t="str">
        <f t="shared" si="2"/>
        <v>Campo eliminado</v>
      </c>
      <c r="P42" s="6" t="str">
        <f>IFERROR(VLOOKUP($B42,'Lista - Âmbito Projeto GD'!$B$3:$K$71,7,0),"Campo eliminado")</f>
        <v>Campo eliminado</v>
      </c>
      <c r="Q42" s="6" t="str">
        <f t="shared" si="3"/>
        <v>Campo eliminado</v>
      </c>
      <c r="R42" s="6" t="str">
        <f>IFERROR(VLOOKUP($B42,'Lista - Âmbito Projeto GD'!$B$3:$K$71,9,0),"Campo eliminado")</f>
        <v>Campo eliminado</v>
      </c>
      <c r="S42" s="6" t="str">
        <f t="shared" si="4"/>
        <v>Campo eliminado</v>
      </c>
      <c r="U42" s="6" t="str">
        <f>VLOOKUP(B42,DataLake!$A$4:$A$429,1,0)</f>
        <v>ENTITY_LGL_PRCDNG_STTS_LE</v>
      </c>
    </row>
    <row r="43" spans="1:21" ht="15" hidden="1" customHeight="1" x14ac:dyDescent="0.3">
      <c r="A43" s="7" t="s">
        <v>136</v>
      </c>
      <c r="B43" s="47" t="str">
        <f t="shared" si="0"/>
        <v>ENTITY_OWND_BY_SPNSR</v>
      </c>
      <c r="C43" s="8" t="s">
        <v>10</v>
      </c>
      <c r="D43" s="9" t="s">
        <v>137</v>
      </c>
      <c r="E43" s="11" t="s">
        <v>138</v>
      </c>
      <c r="F43" s="10" t="s">
        <v>13</v>
      </c>
      <c r="G43" s="10" t="s">
        <v>11</v>
      </c>
      <c r="H43" s="10" t="s">
        <v>11</v>
      </c>
      <c r="I43" s="10" t="s">
        <v>11</v>
      </c>
      <c r="J43" s="10" t="s">
        <v>137</v>
      </c>
      <c r="L43" s="6" t="str">
        <f>IFERROR(VLOOKUP($B43,'Lista - Âmbito Projeto GD'!$B$3:$F$71,5,0),"Campo eliminado")</f>
        <v>Campo eliminado</v>
      </c>
      <c r="M43" s="6" t="str">
        <f t="shared" si="1"/>
        <v>Campo eliminado</v>
      </c>
      <c r="N43" s="6" t="str">
        <f>IFERROR(VLOOKUP($B43,'Lista - Âmbito Projeto GD'!$B$3:$K$71,6,0),"Campo eliminado")</f>
        <v>Campo eliminado</v>
      </c>
      <c r="O43" s="6" t="str">
        <f t="shared" si="2"/>
        <v>Campo eliminado</v>
      </c>
      <c r="P43" s="6" t="str">
        <f>IFERROR(VLOOKUP($B43,'Lista - Âmbito Projeto GD'!$B$3:$K$71,7,0),"Campo eliminado")</f>
        <v>Campo eliminado</v>
      </c>
      <c r="Q43" s="6" t="str">
        <f t="shared" si="3"/>
        <v>Campo eliminado</v>
      </c>
      <c r="R43" s="6" t="str">
        <f>IFERROR(VLOOKUP($B43,'Lista - Âmbito Projeto GD'!$B$3:$K$71,9,0),"Campo eliminado")</f>
        <v>Campo eliminado</v>
      </c>
      <c r="S43" s="6" t="str">
        <f t="shared" si="4"/>
        <v>Campo eliminado</v>
      </c>
      <c r="U43" s="6" t="str">
        <f>VLOOKUP(B43,DataLake!$A$4:$A$429,1,0)</f>
        <v>ENTITY_OWND_BY_SPNSR</v>
      </c>
    </row>
    <row r="44" spans="1:21" ht="15" hidden="1" customHeight="1" x14ac:dyDescent="0.3">
      <c r="A44" s="7" t="s">
        <v>139</v>
      </c>
      <c r="B44" s="47" t="str">
        <f t="shared" si="0"/>
        <v>ENTITY_PRFRMNG_STTS_LE</v>
      </c>
      <c r="C44" s="8" t="s">
        <v>10</v>
      </c>
      <c r="D44" s="9" t="s">
        <v>140</v>
      </c>
      <c r="E44" s="11" t="s">
        <v>141</v>
      </c>
      <c r="F44" s="10" t="s">
        <v>13</v>
      </c>
      <c r="G44" s="10" t="s">
        <v>11</v>
      </c>
      <c r="H44" s="10" t="s">
        <v>11</v>
      </c>
      <c r="I44" s="10" t="s">
        <v>11</v>
      </c>
      <c r="J44" s="10" t="s">
        <v>11</v>
      </c>
      <c r="L44" s="6" t="str">
        <f>IFERROR(VLOOKUP($B44,'Lista - Âmbito Projeto GD'!$B$3:$F$71,5,0),"Campo eliminado")</f>
        <v>Campo eliminado</v>
      </c>
      <c r="M44" s="6" t="str">
        <f t="shared" si="1"/>
        <v>Campo eliminado</v>
      </c>
      <c r="N44" s="6" t="str">
        <f>IFERROR(VLOOKUP($B44,'Lista - Âmbito Projeto GD'!$B$3:$K$71,6,0),"Campo eliminado")</f>
        <v>Campo eliminado</v>
      </c>
      <c r="O44" s="6" t="str">
        <f t="shared" si="2"/>
        <v>Campo eliminado</v>
      </c>
      <c r="P44" s="6" t="str">
        <f>IFERROR(VLOOKUP($B44,'Lista - Âmbito Projeto GD'!$B$3:$K$71,7,0),"Campo eliminado")</f>
        <v>Campo eliminado</v>
      </c>
      <c r="Q44" s="6" t="str">
        <f t="shared" si="3"/>
        <v>Campo eliminado</v>
      </c>
      <c r="R44" s="6" t="str">
        <f>IFERROR(VLOOKUP($B44,'Lista - Âmbito Projeto GD'!$B$3:$K$71,9,0),"Campo eliminado")</f>
        <v>Campo eliminado</v>
      </c>
      <c r="S44" s="6" t="str">
        <f t="shared" si="4"/>
        <v>Campo eliminado</v>
      </c>
      <c r="U44" s="6" t="str">
        <f>VLOOKUP(B44,DataLake!$A$4:$A$429,1,0)</f>
        <v>ENTITY_PRFRMNG_STTS_LE</v>
      </c>
    </row>
    <row r="45" spans="1:21" ht="15" hidden="1" customHeight="1" x14ac:dyDescent="0.3">
      <c r="A45" s="7" t="s">
        <v>142</v>
      </c>
      <c r="B45" s="47" t="str">
        <f t="shared" si="0"/>
        <v>ENTITY_RTNG_MTHD</v>
      </c>
      <c r="C45" s="8" t="s">
        <v>10</v>
      </c>
      <c r="D45" s="9" t="s">
        <v>143</v>
      </c>
      <c r="E45" s="11" t="s">
        <v>144</v>
      </c>
      <c r="F45" s="10" t="s">
        <v>13</v>
      </c>
      <c r="G45" s="10" t="s">
        <v>11</v>
      </c>
      <c r="H45" s="10" t="s">
        <v>11</v>
      </c>
      <c r="I45" s="10" t="s">
        <v>11</v>
      </c>
      <c r="J45" s="10" t="s">
        <v>143</v>
      </c>
      <c r="L45" s="6" t="str">
        <f>IFERROR(VLOOKUP($B45,'Lista - Âmbito Projeto GD'!$B$3:$F$71,5,0),"Campo eliminado")</f>
        <v>Campo eliminado</v>
      </c>
      <c r="M45" s="6" t="str">
        <f t="shared" si="1"/>
        <v>Campo eliminado</v>
      </c>
      <c r="N45" s="6" t="str">
        <f>IFERROR(VLOOKUP($B45,'Lista - Âmbito Projeto GD'!$B$3:$K$71,6,0),"Campo eliminado")</f>
        <v>Campo eliminado</v>
      </c>
      <c r="O45" s="6" t="str">
        <f t="shared" si="2"/>
        <v>Campo eliminado</v>
      </c>
      <c r="P45" s="6" t="str">
        <f>IFERROR(VLOOKUP($B45,'Lista - Âmbito Projeto GD'!$B$3:$K$71,7,0),"Campo eliminado")</f>
        <v>Campo eliminado</v>
      </c>
      <c r="Q45" s="6" t="str">
        <f t="shared" si="3"/>
        <v>Campo eliminado</v>
      </c>
      <c r="R45" s="6" t="str">
        <f>IFERROR(VLOOKUP($B45,'Lista - Âmbito Projeto GD'!$B$3:$K$71,9,0),"Campo eliminado")</f>
        <v>Campo eliminado</v>
      </c>
      <c r="S45" s="6" t="str">
        <f t="shared" si="4"/>
        <v>Campo eliminado</v>
      </c>
      <c r="U45" s="6" t="str">
        <f>VLOOKUP(B45,DataLake!$A$4:$A$429,1,0)</f>
        <v>ENTITY_RTNG_MTHD</v>
      </c>
    </row>
    <row r="46" spans="1:21" ht="15" hidden="1" customHeight="1" x14ac:dyDescent="0.3">
      <c r="A46" s="7" t="s">
        <v>145</v>
      </c>
      <c r="B46" s="47" t="str">
        <f t="shared" si="0"/>
        <v>ENTITY_RTNG_SCL</v>
      </c>
      <c r="C46" s="8" t="s">
        <v>10</v>
      </c>
      <c r="D46" s="9" t="s">
        <v>146</v>
      </c>
      <c r="E46" s="11" t="s">
        <v>147</v>
      </c>
      <c r="F46" s="10" t="s">
        <v>13</v>
      </c>
      <c r="G46" s="10" t="s">
        <v>11</v>
      </c>
      <c r="H46" s="10" t="s">
        <v>11</v>
      </c>
      <c r="I46" s="10" t="s">
        <v>11</v>
      </c>
      <c r="J46" s="10" t="s">
        <v>11</v>
      </c>
      <c r="L46" s="6" t="str">
        <f>IFERROR(VLOOKUP($B46,'Lista - Âmbito Projeto GD'!$B$3:$F$71,5,0),"Campo eliminado")</f>
        <v>Campo eliminado</v>
      </c>
      <c r="M46" s="6" t="str">
        <f t="shared" si="1"/>
        <v>Campo eliminado</v>
      </c>
      <c r="N46" s="6" t="str">
        <f>IFERROR(VLOOKUP($B46,'Lista - Âmbito Projeto GD'!$B$3:$K$71,6,0),"Campo eliminado")</f>
        <v>Campo eliminado</v>
      </c>
      <c r="O46" s="6" t="str">
        <f t="shared" si="2"/>
        <v>Campo eliminado</v>
      </c>
      <c r="P46" s="6" t="str">
        <f>IFERROR(VLOOKUP($B46,'Lista - Âmbito Projeto GD'!$B$3:$K$71,7,0),"Campo eliminado")</f>
        <v>Campo eliminado</v>
      </c>
      <c r="Q46" s="6" t="str">
        <f t="shared" si="3"/>
        <v>Campo eliminado</v>
      </c>
      <c r="R46" s="6" t="str">
        <f>IFERROR(VLOOKUP($B46,'Lista - Âmbito Projeto GD'!$B$3:$K$71,9,0),"Campo eliminado")</f>
        <v>Campo eliminado</v>
      </c>
      <c r="S46" s="6" t="str">
        <f t="shared" si="4"/>
        <v>Campo eliminado</v>
      </c>
      <c r="U46" s="6" t="str">
        <f>VLOOKUP(B46,DataLake!$A$4:$A$429,1,0)</f>
        <v>ENTITY_RTNG_SCL</v>
      </c>
    </row>
    <row r="47" spans="1:21" ht="15" hidden="1" customHeight="1" x14ac:dyDescent="0.3">
      <c r="A47" s="7" t="s">
        <v>148</v>
      </c>
      <c r="B47" s="47" t="str">
        <f t="shared" si="0"/>
        <v>ENTITY_WTCH_LST</v>
      </c>
      <c r="C47" s="8" t="s">
        <v>10</v>
      </c>
      <c r="D47" s="9" t="s">
        <v>149</v>
      </c>
      <c r="E47" s="11" t="s">
        <v>150</v>
      </c>
      <c r="F47" s="10" t="s">
        <v>13</v>
      </c>
      <c r="G47" s="10" t="s">
        <v>11</v>
      </c>
      <c r="H47" s="10" t="s">
        <v>11</v>
      </c>
      <c r="I47" s="10" t="s">
        <v>11</v>
      </c>
      <c r="J47" s="10" t="s">
        <v>149</v>
      </c>
      <c r="L47" s="6" t="str">
        <f>IFERROR(VLOOKUP($B47,'Lista - Âmbito Projeto GD'!$B$3:$F$71,5,0),"Campo eliminado")</f>
        <v>Campo eliminado</v>
      </c>
      <c r="M47" s="6" t="str">
        <f t="shared" si="1"/>
        <v>Campo eliminado</v>
      </c>
      <c r="N47" s="6" t="str">
        <f>IFERROR(VLOOKUP($B47,'Lista - Âmbito Projeto GD'!$B$3:$K$71,6,0),"Campo eliminado")</f>
        <v>Campo eliminado</v>
      </c>
      <c r="O47" s="6" t="str">
        <f t="shared" si="2"/>
        <v>Campo eliminado</v>
      </c>
      <c r="P47" s="6" t="str">
        <f>IFERROR(VLOOKUP($B47,'Lista - Âmbito Projeto GD'!$B$3:$K$71,7,0),"Campo eliminado")</f>
        <v>Campo eliminado</v>
      </c>
      <c r="Q47" s="6" t="str">
        <f t="shared" si="3"/>
        <v>Campo eliminado</v>
      </c>
      <c r="R47" s="6" t="str">
        <f>IFERROR(VLOOKUP($B47,'Lista - Âmbito Projeto GD'!$B$3:$K$71,9,0),"Campo eliminado")</f>
        <v>Campo eliminado</v>
      </c>
      <c r="S47" s="6" t="str">
        <f t="shared" si="4"/>
        <v>Campo eliminado</v>
      </c>
      <c r="U47" s="6" t="str">
        <f>VLOOKUP(B47,DataLake!$A$4:$A$429,1,0)</f>
        <v>ENTITY_WTCH_LST</v>
      </c>
    </row>
    <row r="48" spans="1:21" ht="15" hidden="1" customHeight="1" x14ac:dyDescent="0.3">
      <c r="A48" s="7" t="s">
        <v>151</v>
      </c>
      <c r="B48" s="47" t="str">
        <f t="shared" si="0"/>
        <v>ENTITY_SNGL_PRPS_VHCL</v>
      </c>
      <c r="C48" s="8" t="s">
        <v>10</v>
      </c>
      <c r="D48" s="9" t="s">
        <v>152</v>
      </c>
      <c r="E48" s="11" t="s">
        <v>153</v>
      </c>
      <c r="F48" s="10" t="s">
        <v>13</v>
      </c>
      <c r="G48" s="10" t="s">
        <v>11</v>
      </c>
      <c r="H48" s="10" t="s">
        <v>11</v>
      </c>
      <c r="I48" s="10" t="s">
        <v>11</v>
      </c>
      <c r="J48" s="10" t="s">
        <v>152</v>
      </c>
      <c r="L48" s="6" t="str">
        <f>IFERROR(VLOOKUP($B48,'Lista - Âmbito Projeto GD'!$B$3:$F$71,5,0),"Campo eliminado")</f>
        <v>Campo eliminado</v>
      </c>
      <c r="M48" s="6" t="str">
        <f t="shared" si="1"/>
        <v>Campo eliminado</v>
      </c>
      <c r="N48" s="6" t="str">
        <f>IFERROR(VLOOKUP($B48,'Lista - Âmbito Projeto GD'!$B$3:$K$71,6,0),"Campo eliminado")</f>
        <v>Campo eliminado</v>
      </c>
      <c r="O48" s="6" t="str">
        <f t="shared" si="2"/>
        <v>Campo eliminado</v>
      </c>
      <c r="P48" s="6" t="str">
        <f>IFERROR(VLOOKUP($B48,'Lista - Âmbito Projeto GD'!$B$3:$K$71,7,0),"Campo eliminado")</f>
        <v>Campo eliminado</v>
      </c>
      <c r="Q48" s="6" t="str">
        <f t="shared" si="3"/>
        <v>Campo eliminado</v>
      </c>
      <c r="R48" s="6" t="str">
        <f>IFERROR(VLOOKUP($B48,'Lista - Âmbito Projeto GD'!$B$3:$K$71,9,0),"Campo eliminado")</f>
        <v>Campo eliminado</v>
      </c>
      <c r="S48" s="6" t="str">
        <f t="shared" si="4"/>
        <v>Campo eliminado</v>
      </c>
      <c r="U48" s="6" t="str">
        <f>VLOOKUP(B48,DataLake!$A$4:$A$429,1,0)</f>
        <v>ENTITY_SNGL_PRPS_VHCL</v>
      </c>
    </row>
    <row r="49" spans="1:21" ht="15" hidden="1" customHeight="1" x14ac:dyDescent="0.3">
      <c r="A49" s="7" t="s">
        <v>154</v>
      </c>
      <c r="B49" s="47" t="str">
        <f t="shared" si="0"/>
        <v>ENTITY_GRP_EBITDA</v>
      </c>
      <c r="C49" s="8" t="s">
        <v>10</v>
      </c>
      <c r="D49" s="9" t="s">
        <v>155</v>
      </c>
      <c r="E49" s="14" t="s">
        <v>156</v>
      </c>
      <c r="F49" s="10" t="s">
        <v>13</v>
      </c>
      <c r="G49" s="10" t="s">
        <v>11</v>
      </c>
      <c r="H49" s="10" t="s">
        <v>11</v>
      </c>
      <c r="I49" s="10" t="s">
        <v>11</v>
      </c>
      <c r="J49" s="10" t="s">
        <v>155</v>
      </c>
      <c r="L49" s="6" t="str">
        <f>IFERROR(VLOOKUP($B49,'Lista - Âmbito Projeto GD'!$B$3:$F$71,5,0),"Campo eliminado")</f>
        <v>Campo eliminado</v>
      </c>
      <c r="M49" s="6" t="str">
        <f t="shared" si="1"/>
        <v>Campo eliminado</v>
      </c>
      <c r="N49" s="6" t="str">
        <f>IFERROR(VLOOKUP($B49,'Lista - Âmbito Projeto GD'!$B$3:$K$71,6,0),"Campo eliminado")</f>
        <v>Campo eliminado</v>
      </c>
      <c r="O49" s="6" t="str">
        <f t="shared" si="2"/>
        <v>Campo eliminado</v>
      </c>
      <c r="P49" s="6" t="str">
        <f>IFERROR(VLOOKUP($B49,'Lista - Âmbito Projeto GD'!$B$3:$K$71,7,0),"Campo eliminado")</f>
        <v>Campo eliminado</v>
      </c>
      <c r="Q49" s="6" t="str">
        <f t="shared" si="3"/>
        <v>Campo eliminado</v>
      </c>
      <c r="R49" s="6" t="str">
        <f>IFERROR(VLOOKUP($B49,'Lista - Âmbito Projeto GD'!$B$3:$K$71,9,0),"Campo eliminado")</f>
        <v>Campo eliminado</v>
      </c>
      <c r="S49" s="6" t="str">
        <f t="shared" si="4"/>
        <v>Campo eliminado</v>
      </c>
      <c r="U49" s="6" t="str">
        <f>VLOOKUP(B49,DataLake!$A$4:$A$429,1,0)</f>
        <v>ENTITY_GRP_EBITDA</v>
      </c>
    </row>
    <row r="50" spans="1:21" ht="15" hidden="1" customHeight="1" x14ac:dyDescent="0.3">
      <c r="A50" s="7" t="s">
        <v>157</v>
      </c>
      <c r="B50" s="47" t="str">
        <f t="shared" si="0"/>
        <v>ENTITY_GRP_EQTY</v>
      </c>
      <c r="C50" s="8" t="s">
        <v>10</v>
      </c>
      <c r="D50" s="9" t="s">
        <v>158</v>
      </c>
      <c r="E50" s="14" t="s">
        <v>159</v>
      </c>
      <c r="F50" s="10" t="s">
        <v>13</v>
      </c>
      <c r="G50" s="10" t="s">
        <v>11</v>
      </c>
      <c r="H50" s="10" t="s">
        <v>13</v>
      </c>
      <c r="I50" s="10" t="s">
        <v>11</v>
      </c>
      <c r="J50" s="10" t="s">
        <v>158</v>
      </c>
      <c r="L50" s="6" t="str">
        <f>IFERROR(VLOOKUP($B50,'Lista - Âmbito Projeto GD'!$B$3:$F$71,5,0),"Campo eliminado")</f>
        <v>Campo eliminado</v>
      </c>
      <c r="M50" s="6" t="str">
        <f t="shared" si="1"/>
        <v>Campo eliminado</v>
      </c>
      <c r="N50" s="6" t="str">
        <f>IFERROR(VLOOKUP($B50,'Lista - Âmbito Projeto GD'!$B$3:$K$71,6,0),"Campo eliminado")</f>
        <v>Campo eliminado</v>
      </c>
      <c r="O50" s="6" t="str">
        <f t="shared" si="2"/>
        <v>Campo eliminado</v>
      </c>
      <c r="P50" s="6" t="str">
        <f>IFERROR(VLOOKUP($B50,'Lista - Âmbito Projeto GD'!$B$3:$K$71,7,0),"Campo eliminado")</f>
        <v>Campo eliminado</v>
      </c>
      <c r="Q50" s="6" t="str">
        <f t="shared" si="3"/>
        <v>Campo eliminado</v>
      </c>
      <c r="R50" s="6" t="str">
        <f>IFERROR(VLOOKUP($B50,'Lista - Âmbito Projeto GD'!$B$3:$K$71,9,0),"Campo eliminado")</f>
        <v>Campo eliminado</v>
      </c>
      <c r="S50" s="6" t="str">
        <f t="shared" si="4"/>
        <v>Campo eliminado</v>
      </c>
      <c r="U50" s="6" t="str">
        <f>VLOOKUP(B50,DataLake!$A$4:$A$429,1,0)</f>
        <v>ENTITY_GRP_EQTY</v>
      </c>
    </row>
    <row r="51" spans="1:21" ht="15" hidden="1" customHeight="1" x14ac:dyDescent="0.3">
      <c r="A51" s="7" t="s">
        <v>160</v>
      </c>
      <c r="B51" s="47" t="str">
        <f t="shared" si="0"/>
        <v>ENTITY_GRP_NT_DBT</v>
      </c>
      <c r="C51" s="8" t="s">
        <v>10</v>
      </c>
      <c r="D51" s="9" t="s">
        <v>161</v>
      </c>
      <c r="E51" s="11" t="s">
        <v>162</v>
      </c>
      <c r="F51" s="10" t="s">
        <v>13</v>
      </c>
      <c r="G51" s="10" t="s">
        <v>11</v>
      </c>
      <c r="H51" s="10" t="s">
        <v>11</v>
      </c>
      <c r="I51" s="10" t="s">
        <v>11</v>
      </c>
      <c r="J51" s="10" t="s">
        <v>161</v>
      </c>
      <c r="L51" s="6" t="str">
        <f>IFERROR(VLOOKUP($B51,'Lista - Âmbito Projeto GD'!$B$3:$F$71,5,0),"Campo eliminado")</f>
        <v>Campo eliminado</v>
      </c>
      <c r="M51" s="6" t="str">
        <f t="shared" si="1"/>
        <v>Campo eliminado</v>
      </c>
      <c r="N51" s="6" t="str">
        <f>IFERROR(VLOOKUP($B51,'Lista - Âmbito Projeto GD'!$B$3:$K$71,6,0),"Campo eliminado")</f>
        <v>Campo eliminado</v>
      </c>
      <c r="O51" s="6" t="str">
        <f t="shared" si="2"/>
        <v>Campo eliminado</v>
      </c>
      <c r="P51" s="6" t="str">
        <f>IFERROR(VLOOKUP($B51,'Lista - Âmbito Projeto GD'!$B$3:$K$71,7,0),"Campo eliminado")</f>
        <v>Campo eliminado</v>
      </c>
      <c r="Q51" s="6" t="str">
        <f t="shared" si="3"/>
        <v>Campo eliminado</v>
      </c>
      <c r="R51" s="6" t="str">
        <f>IFERROR(VLOOKUP($B51,'Lista - Âmbito Projeto GD'!$B$3:$K$71,9,0),"Campo eliminado")</f>
        <v>Campo eliminado</v>
      </c>
      <c r="S51" s="6" t="str">
        <f t="shared" si="4"/>
        <v>Campo eliminado</v>
      </c>
      <c r="U51" s="6" t="str">
        <f>VLOOKUP(B51,DataLake!$A$4:$A$429,1,0)</f>
        <v>ENTITY_GRP_NT_DBT</v>
      </c>
    </row>
    <row r="52" spans="1:21" ht="15" hidden="1" customHeight="1" x14ac:dyDescent="0.3">
      <c r="A52" s="7" t="s">
        <v>163</v>
      </c>
      <c r="B52" s="47" t="str">
        <f t="shared" si="0"/>
        <v>ENTITY_ANNL_TRNVR_LE</v>
      </c>
      <c r="C52" s="8" t="s">
        <v>10</v>
      </c>
      <c r="D52" s="9" t="s">
        <v>164</v>
      </c>
      <c r="E52" s="11" t="s">
        <v>165</v>
      </c>
      <c r="F52" s="10" t="s">
        <v>13</v>
      </c>
      <c r="G52" s="10" t="s">
        <v>11</v>
      </c>
      <c r="H52" s="10" t="s">
        <v>13</v>
      </c>
      <c r="I52" s="10" t="s">
        <v>11</v>
      </c>
      <c r="J52" s="10" t="s">
        <v>164</v>
      </c>
      <c r="L52" s="6" t="str">
        <f>IFERROR(VLOOKUP($B52,'Lista - Âmbito Projeto GD'!$B$3:$F$71,5,0),"Campo eliminado")</f>
        <v>Campo eliminado</v>
      </c>
      <c r="M52" s="6" t="str">
        <f t="shared" si="1"/>
        <v>Campo eliminado</v>
      </c>
      <c r="N52" s="6" t="str">
        <f>IFERROR(VLOOKUP($B52,'Lista - Âmbito Projeto GD'!$B$3:$K$71,6,0),"Campo eliminado")</f>
        <v>Campo eliminado</v>
      </c>
      <c r="O52" s="6" t="str">
        <f t="shared" si="2"/>
        <v>Campo eliminado</v>
      </c>
      <c r="P52" s="6" t="str">
        <f>IFERROR(VLOOKUP($B52,'Lista - Âmbito Projeto GD'!$B$3:$K$71,7,0),"Campo eliminado")</f>
        <v>Campo eliminado</v>
      </c>
      <c r="Q52" s="6" t="str">
        <f t="shared" si="3"/>
        <v>Campo eliminado</v>
      </c>
      <c r="R52" s="6" t="str">
        <f>IFERROR(VLOOKUP($B52,'Lista - Âmbito Projeto GD'!$B$3:$K$71,9,0),"Campo eliminado")</f>
        <v>Campo eliminado</v>
      </c>
      <c r="S52" s="6" t="str">
        <f t="shared" si="4"/>
        <v>Campo eliminado</v>
      </c>
      <c r="U52" s="6" t="str">
        <f>VLOOKUP(B52,DataLake!$A$4:$A$429,1,0)</f>
        <v>ENTITY_ANNL_TRNVR_LE</v>
      </c>
    </row>
    <row r="53" spans="1:21" ht="15" hidden="1" customHeight="1" x14ac:dyDescent="0.3">
      <c r="A53" s="7" t="s">
        <v>166</v>
      </c>
      <c r="B53" s="47" t="str">
        <f t="shared" si="0"/>
        <v>ENTITY_ANNL_TRNVR_PRVS</v>
      </c>
      <c r="C53" s="8" t="s">
        <v>10</v>
      </c>
      <c r="D53" s="9" t="s">
        <v>167</v>
      </c>
      <c r="E53" s="11" t="s">
        <v>168</v>
      </c>
      <c r="F53" s="10" t="s">
        <v>13</v>
      </c>
      <c r="G53" s="10" t="s">
        <v>11</v>
      </c>
      <c r="H53" s="10" t="s">
        <v>11</v>
      </c>
      <c r="I53" s="10" t="s">
        <v>11</v>
      </c>
      <c r="J53" s="10" t="s">
        <v>167</v>
      </c>
      <c r="L53" s="6" t="str">
        <f>IFERROR(VLOOKUP($B53,'Lista - Âmbito Projeto GD'!$B$3:$F$71,5,0),"Campo eliminado")</f>
        <v>Campo eliminado</v>
      </c>
      <c r="M53" s="6" t="str">
        <f t="shared" si="1"/>
        <v>Campo eliminado</v>
      </c>
      <c r="N53" s="6" t="str">
        <f>IFERROR(VLOOKUP($B53,'Lista - Âmbito Projeto GD'!$B$3:$K$71,6,0),"Campo eliminado")</f>
        <v>Campo eliminado</v>
      </c>
      <c r="O53" s="6" t="str">
        <f t="shared" si="2"/>
        <v>Campo eliminado</v>
      </c>
      <c r="P53" s="6" t="str">
        <f>IFERROR(VLOOKUP($B53,'Lista - Âmbito Projeto GD'!$B$3:$K$71,7,0),"Campo eliminado")</f>
        <v>Campo eliminado</v>
      </c>
      <c r="Q53" s="6" t="str">
        <f t="shared" si="3"/>
        <v>Campo eliminado</v>
      </c>
      <c r="R53" s="6" t="str">
        <f>IFERROR(VLOOKUP($B53,'Lista - Âmbito Projeto GD'!$B$3:$K$71,9,0),"Campo eliminado")</f>
        <v>Campo eliminado</v>
      </c>
      <c r="S53" s="6" t="str">
        <f t="shared" si="4"/>
        <v>Campo eliminado</v>
      </c>
      <c r="U53" s="6" t="str">
        <f>VLOOKUP(B53,DataLake!$A$4:$A$429,1,0)</f>
        <v>ENTITY_ANNL_TRNVR_PRVS</v>
      </c>
    </row>
    <row r="54" spans="1:21" ht="15" hidden="1" customHeight="1" x14ac:dyDescent="0.3">
      <c r="A54" s="7" t="s">
        <v>169</v>
      </c>
      <c r="B54" s="47" t="str">
        <f t="shared" si="0"/>
        <v>ENTITY_CAPEX</v>
      </c>
      <c r="C54" s="8" t="s">
        <v>10</v>
      </c>
      <c r="D54" s="9" t="s">
        <v>170</v>
      </c>
      <c r="E54" s="11" t="s">
        <v>171</v>
      </c>
      <c r="F54" s="10" t="s">
        <v>13</v>
      </c>
      <c r="G54" s="10" t="s">
        <v>11</v>
      </c>
      <c r="H54" s="10" t="s">
        <v>11</v>
      </c>
      <c r="I54" s="10" t="s">
        <v>11</v>
      </c>
      <c r="J54" s="10" t="s">
        <v>170</v>
      </c>
      <c r="L54" s="6" t="str">
        <f>IFERROR(VLOOKUP($B54,'Lista - Âmbito Projeto GD'!$B$3:$F$71,5,0),"Campo eliminado")</f>
        <v>Campo eliminado</v>
      </c>
      <c r="M54" s="6" t="str">
        <f t="shared" si="1"/>
        <v>Campo eliminado</v>
      </c>
      <c r="N54" s="6" t="str">
        <f>IFERROR(VLOOKUP($B54,'Lista - Âmbito Projeto GD'!$B$3:$K$71,6,0),"Campo eliminado")</f>
        <v>Campo eliminado</v>
      </c>
      <c r="O54" s="6" t="str">
        <f t="shared" si="2"/>
        <v>Campo eliminado</v>
      </c>
      <c r="P54" s="6" t="str">
        <f>IFERROR(VLOOKUP($B54,'Lista - Âmbito Projeto GD'!$B$3:$K$71,7,0),"Campo eliminado")</f>
        <v>Campo eliminado</v>
      </c>
      <c r="Q54" s="6" t="str">
        <f t="shared" si="3"/>
        <v>Campo eliminado</v>
      </c>
      <c r="R54" s="6" t="str">
        <f>IFERROR(VLOOKUP($B54,'Lista - Âmbito Projeto GD'!$B$3:$K$71,9,0),"Campo eliminado")</f>
        <v>Campo eliminado</v>
      </c>
      <c r="S54" s="6" t="str">
        <f t="shared" si="4"/>
        <v>Campo eliminado</v>
      </c>
      <c r="U54" s="6" t="str">
        <f>VLOOKUP(B54,DataLake!$A$4:$A$429,1,0)</f>
        <v>ENTITY_CAPEX</v>
      </c>
    </row>
    <row r="55" spans="1:21" ht="15" hidden="1" customHeight="1" x14ac:dyDescent="0.3">
      <c r="A55" s="7" t="s">
        <v>172</v>
      </c>
      <c r="B55" s="47" t="str">
        <f t="shared" si="0"/>
        <v>ENTITY_CAPEX_PRVS</v>
      </c>
      <c r="C55" s="8" t="s">
        <v>10</v>
      </c>
      <c r="D55" s="9" t="s">
        <v>173</v>
      </c>
      <c r="E55" s="11" t="s">
        <v>174</v>
      </c>
      <c r="F55" s="10" t="s">
        <v>13</v>
      </c>
      <c r="G55" s="10" t="s">
        <v>11</v>
      </c>
      <c r="H55" s="10" t="s">
        <v>11</v>
      </c>
      <c r="I55" s="10" t="s">
        <v>11</v>
      </c>
      <c r="J55" s="10" t="s">
        <v>173</v>
      </c>
      <c r="L55" s="6" t="str">
        <f>IFERROR(VLOOKUP($B55,'Lista - Âmbito Projeto GD'!$B$3:$F$71,5,0),"Campo eliminado")</f>
        <v>Campo eliminado</v>
      </c>
      <c r="M55" s="6" t="str">
        <f t="shared" si="1"/>
        <v>Campo eliminado</v>
      </c>
      <c r="N55" s="6" t="str">
        <f>IFERROR(VLOOKUP($B55,'Lista - Âmbito Projeto GD'!$B$3:$K$71,6,0),"Campo eliminado")</f>
        <v>Campo eliminado</v>
      </c>
      <c r="O55" s="6" t="str">
        <f t="shared" si="2"/>
        <v>Campo eliminado</v>
      </c>
      <c r="P55" s="6" t="str">
        <f>IFERROR(VLOOKUP($B55,'Lista - Âmbito Projeto GD'!$B$3:$K$71,7,0),"Campo eliminado")</f>
        <v>Campo eliminado</v>
      </c>
      <c r="Q55" s="6" t="str">
        <f t="shared" si="3"/>
        <v>Campo eliminado</v>
      </c>
      <c r="R55" s="6" t="str">
        <f>IFERROR(VLOOKUP($B55,'Lista - Âmbito Projeto GD'!$B$3:$K$71,9,0),"Campo eliminado")</f>
        <v>Campo eliminado</v>
      </c>
      <c r="S55" s="6" t="str">
        <f t="shared" si="4"/>
        <v>Campo eliminado</v>
      </c>
      <c r="U55" s="6" t="str">
        <f>VLOOKUP(B55,DataLake!$A$4:$A$429,1,0)</f>
        <v>ENTITY_CAPEX_PRVS</v>
      </c>
    </row>
    <row r="56" spans="1:21" ht="15" hidden="1" customHeight="1" x14ac:dyDescent="0.3">
      <c r="A56" s="7" t="s">
        <v>175</v>
      </c>
      <c r="B56" s="47" t="str">
        <f t="shared" si="0"/>
        <v>ENTITY_CLLCTN_MD</v>
      </c>
      <c r="C56" s="8" t="s">
        <v>10</v>
      </c>
      <c r="D56" s="9" t="s">
        <v>176</v>
      </c>
      <c r="E56" s="11" t="s">
        <v>177</v>
      </c>
      <c r="F56" s="10" t="s">
        <v>13</v>
      </c>
      <c r="G56" s="10" t="s">
        <v>11</v>
      </c>
      <c r="H56" s="10" t="s">
        <v>11</v>
      </c>
      <c r="I56" s="10" t="s">
        <v>11</v>
      </c>
      <c r="J56" s="10" t="s">
        <v>176</v>
      </c>
      <c r="L56" s="6" t="str">
        <f>IFERROR(VLOOKUP($B56,'Lista - Âmbito Projeto GD'!$B$3:$F$71,5,0),"Campo eliminado")</f>
        <v>Campo eliminado</v>
      </c>
      <c r="M56" s="6" t="str">
        <f t="shared" si="1"/>
        <v>Campo eliminado</v>
      </c>
      <c r="N56" s="6" t="str">
        <f>IFERROR(VLOOKUP($B56,'Lista - Âmbito Projeto GD'!$B$3:$K$71,6,0),"Campo eliminado")</f>
        <v>Campo eliminado</v>
      </c>
      <c r="O56" s="6" t="str">
        <f t="shared" si="2"/>
        <v>Campo eliminado</v>
      </c>
      <c r="P56" s="6" t="str">
        <f>IFERROR(VLOOKUP($B56,'Lista - Âmbito Projeto GD'!$B$3:$K$71,7,0),"Campo eliminado")</f>
        <v>Campo eliminado</v>
      </c>
      <c r="Q56" s="6" t="str">
        <f t="shared" si="3"/>
        <v>Campo eliminado</v>
      </c>
      <c r="R56" s="6" t="str">
        <f>IFERROR(VLOOKUP($B56,'Lista - Âmbito Projeto GD'!$B$3:$K$71,9,0),"Campo eliminado")</f>
        <v>Campo eliminado</v>
      </c>
      <c r="S56" s="6" t="str">
        <f t="shared" si="4"/>
        <v>Campo eliminado</v>
      </c>
      <c r="U56" s="6" t="str">
        <f>VLOOKUP(B56,DataLake!$A$4:$A$429,1,0)</f>
        <v>ENTITY_CLLCTN_MD</v>
      </c>
    </row>
    <row r="57" spans="1:21" ht="15" hidden="1" customHeight="1" x14ac:dyDescent="0.3">
      <c r="A57" s="7" t="s">
        <v>178</v>
      </c>
      <c r="B57" s="47" t="str">
        <f t="shared" si="0"/>
        <v>ENTITY_CSH</v>
      </c>
      <c r="C57" s="8" t="s">
        <v>10</v>
      </c>
      <c r="D57" s="9" t="s">
        <v>179</v>
      </c>
      <c r="E57" s="11" t="s">
        <v>180</v>
      </c>
      <c r="F57" s="10" t="s">
        <v>13</v>
      </c>
      <c r="G57" s="10" t="s">
        <v>11</v>
      </c>
      <c r="H57" s="10" t="s">
        <v>11</v>
      </c>
      <c r="I57" s="10" t="s">
        <v>11</v>
      </c>
      <c r="J57" s="10" t="s">
        <v>179</v>
      </c>
      <c r="L57" s="6" t="str">
        <f>IFERROR(VLOOKUP($B57,'Lista - Âmbito Projeto GD'!$B$3:$F$71,5,0),"Campo eliminado")</f>
        <v>Campo eliminado</v>
      </c>
      <c r="M57" s="6" t="str">
        <f t="shared" si="1"/>
        <v>Campo eliminado</v>
      </c>
      <c r="N57" s="6" t="str">
        <f>IFERROR(VLOOKUP($B57,'Lista - Âmbito Projeto GD'!$B$3:$K$71,6,0),"Campo eliminado")</f>
        <v>Campo eliminado</v>
      </c>
      <c r="O57" s="6" t="str">
        <f t="shared" si="2"/>
        <v>Campo eliminado</v>
      </c>
      <c r="P57" s="6" t="str">
        <f>IFERROR(VLOOKUP($B57,'Lista - Âmbito Projeto GD'!$B$3:$K$71,7,0),"Campo eliminado")</f>
        <v>Campo eliminado</v>
      </c>
      <c r="Q57" s="6" t="str">
        <f t="shared" si="3"/>
        <v>Campo eliminado</v>
      </c>
      <c r="R57" s="6" t="str">
        <f>IFERROR(VLOOKUP($B57,'Lista - Âmbito Projeto GD'!$B$3:$K$71,9,0),"Campo eliminado")</f>
        <v>Campo eliminado</v>
      </c>
      <c r="S57" s="6" t="str">
        <f t="shared" si="4"/>
        <v>Campo eliminado</v>
      </c>
      <c r="U57" s="6" t="str">
        <f>VLOOKUP(B57,DataLake!$A$4:$A$429,1,0)</f>
        <v>ENTITY_CSH</v>
      </c>
    </row>
    <row r="58" spans="1:21" ht="15" hidden="1" customHeight="1" x14ac:dyDescent="0.3">
      <c r="A58" s="7" t="s">
        <v>181</v>
      </c>
      <c r="B58" s="47" t="str">
        <f t="shared" si="0"/>
        <v>ENTITY_CSH_PRVS</v>
      </c>
      <c r="C58" s="8" t="s">
        <v>10</v>
      </c>
      <c r="D58" s="9" t="s">
        <v>182</v>
      </c>
      <c r="E58" s="11" t="s">
        <v>183</v>
      </c>
      <c r="F58" s="10" t="s">
        <v>13</v>
      </c>
      <c r="G58" s="10" t="s">
        <v>11</v>
      </c>
      <c r="H58" s="10" t="s">
        <v>11</v>
      </c>
      <c r="I58" s="10" t="s">
        <v>11</v>
      </c>
      <c r="J58" s="10" t="s">
        <v>182</v>
      </c>
      <c r="L58" s="6" t="str">
        <f>IFERROR(VLOOKUP($B58,'Lista - Âmbito Projeto GD'!$B$3:$F$71,5,0),"Campo eliminado")</f>
        <v>Campo eliminado</v>
      </c>
      <c r="M58" s="6" t="str">
        <f t="shared" si="1"/>
        <v>Campo eliminado</v>
      </c>
      <c r="N58" s="6" t="str">
        <f>IFERROR(VLOOKUP($B58,'Lista - Âmbito Projeto GD'!$B$3:$K$71,6,0),"Campo eliminado")</f>
        <v>Campo eliminado</v>
      </c>
      <c r="O58" s="6" t="str">
        <f t="shared" si="2"/>
        <v>Campo eliminado</v>
      </c>
      <c r="P58" s="6" t="str">
        <f>IFERROR(VLOOKUP($B58,'Lista - Âmbito Projeto GD'!$B$3:$K$71,7,0),"Campo eliminado")</f>
        <v>Campo eliminado</v>
      </c>
      <c r="Q58" s="6" t="str">
        <f t="shared" si="3"/>
        <v>Campo eliminado</v>
      </c>
      <c r="R58" s="6" t="str">
        <f>IFERROR(VLOOKUP($B58,'Lista - Âmbito Projeto GD'!$B$3:$K$71,9,0),"Campo eliminado")</f>
        <v>Campo eliminado</v>
      </c>
      <c r="S58" s="6" t="str">
        <f t="shared" si="4"/>
        <v>Campo eliminado</v>
      </c>
      <c r="U58" s="6" t="str">
        <f>VLOOKUP(B58,DataLake!$A$4:$A$429,1,0)</f>
        <v>ENTITY_CSH_PRVS</v>
      </c>
    </row>
    <row r="59" spans="1:21" ht="15" hidden="1" customHeight="1" x14ac:dyDescent="0.3">
      <c r="A59" s="7" t="s">
        <v>184</v>
      </c>
      <c r="B59" s="47" t="str">
        <f t="shared" si="0"/>
        <v>ENTITY_EBITDA</v>
      </c>
      <c r="C59" s="8" t="s">
        <v>10</v>
      </c>
      <c r="D59" s="9" t="s">
        <v>185</v>
      </c>
      <c r="E59" s="11" t="s">
        <v>186</v>
      </c>
      <c r="F59" s="10" t="s">
        <v>13</v>
      </c>
      <c r="G59" s="10" t="s">
        <v>11</v>
      </c>
      <c r="H59" s="10" t="s">
        <v>11</v>
      </c>
      <c r="I59" s="10" t="s">
        <v>11</v>
      </c>
      <c r="J59" s="10" t="s">
        <v>185</v>
      </c>
      <c r="L59" s="6" t="str">
        <f>IFERROR(VLOOKUP($B59,'Lista - Âmbito Projeto GD'!$B$3:$F$71,5,0),"Campo eliminado")</f>
        <v>Campo eliminado</v>
      </c>
      <c r="M59" s="6" t="str">
        <f t="shared" si="1"/>
        <v>Campo eliminado</v>
      </c>
      <c r="N59" s="6" t="str">
        <f>IFERROR(VLOOKUP($B59,'Lista - Âmbito Projeto GD'!$B$3:$K$71,6,0),"Campo eliminado")</f>
        <v>Campo eliminado</v>
      </c>
      <c r="O59" s="6" t="str">
        <f t="shared" si="2"/>
        <v>Campo eliminado</v>
      </c>
      <c r="P59" s="6" t="str">
        <f>IFERROR(VLOOKUP($B59,'Lista - Âmbito Projeto GD'!$B$3:$K$71,7,0),"Campo eliminado")</f>
        <v>Campo eliminado</v>
      </c>
      <c r="Q59" s="6" t="str">
        <f t="shared" si="3"/>
        <v>Campo eliminado</v>
      </c>
      <c r="R59" s="6" t="str">
        <f>IFERROR(VLOOKUP($B59,'Lista - Âmbito Projeto GD'!$B$3:$K$71,9,0),"Campo eliminado")</f>
        <v>Campo eliminado</v>
      </c>
      <c r="S59" s="6" t="str">
        <f t="shared" si="4"/>
        <v>Campo eliminado</v>
      </c>
      <c r="U59" s="6" t="str">
        <f>VLOOKUP(B59,DataLake!$A$4:$A$429,1,0)</f>
        <v>ENTITY_EBITDA</v>
      </c>
    </row>
    <row r="60" spans="1:21" ht="15" hidden="1" customHeight="1" x14ac:dyDescent="0.3">
      <c r="A60" s="7" t="s">
        <v>187</v>
      </c>
      <c r="B60" s="47" t="str">
        <f t="shared" si="0"/>
        <v>ENTITY_EBITDA_PRVS</v>
      </c>
      <c r="C60" s="8" t="s">
        <v>10</v>
      </c>
      <c r="D60" s="9" t="s">
        <v>188</v>
      </c>
      <c r="E60" s="11" t="s">
        <v>189</v>
      </c>
      <c r="F60" s="10" t="s">
        <v>13</v>
      </c>
      <c r="G60" s="10" t="s">
        <v>11</v>
      </c>
      <c r="H60" s="10" t="s">
        <v>11</v>
      </c>
      <c r="I60" s="10" t="s">
        <v>11</v>
      </c>
      <c r="J60" s="10" t="s">
        <v>188</v>
      </c>
      <c r="L60" s="6" t="str">
        <f>IFERROR(VLOOKUP($B60,'Lista - Âmbito Projeto GD'!$B$3:$F$71,5,0),"Campo eliminado")</f>
        <v>Campo eliminado</v>
      </c>
      <c r="M60" s="6" t="str">
        <f t="shared" si="1"/>
        <v>Campo eliminado</v>
      </c>
      <c r="N60" s="6" t="str">
        <f>IFERROR(VLOOKUP($B60,'Lista - Âmbito Projeto GD'!$B$3:$K$71,6,0),"Campo eliminado")</f>
        <v>Campo eliminado</v>
      </c>
      <c r="O60" s="6" t="str">
        <f t="shared" si="2"/>
        <v>Campo eliminado</v>
      </c>
      <c r="P60" s="6" t="str">
        <f>IFERROR(VLOOKUP($B60,'Lista - Âmbito Projeto GD'!$B$3:$K$71,7,0),"Campo eliminado")</f>
        <v>Campo eliminado</v>
      </c>
      <c r="Q60" s="6" t="str">
        <f t="shared" si="3"/>
        <v>Campo eliminado</v>
      </c>
      <c r="R60" s="6" t="str">
        <f>IFERROR(VLOOKUP($B60,'Lista - Âmbito Projeto GD'!$B$3:$K$71,9,0),"Campo eliminado")</f>
        <v>Campo eliminado</v>
      </c>
      <c r="S60" s="6" t="str">
        <f t="shared" si="4"/>
        <v>Campo eliminado</v>
      </c>
      <c r="U60" s="6" t="str">
        <f>VLOOKUP(B60,DataLake!$A$4:$A$429,1,0)</f>
        <v>ENTITY_EBITDA_PRVS</v>
      </c>
    </row>
    <row r="61" spans="1:21" ht="15" hidden="1" customHeight="1" x14ac:dyDescent="0.3">
      <c r="A61" s="7" t="s">
        <v>190</v>
      </c>
      <c r="B61" s="47" t="str">
        <f t="shared" si="0"/>
        <v>ENTITY_EQTY</v>
      </c>
      <c r="C61" s="8" t="s">
        <v>10</v>
      </c>
      <c r="D61" s="9" t="s">
        <v>191</v>
      </c>
      <c r="E61" s="11" t="s">
        <v>192</v>
      </c>
      <c r="F61" s="10" t="s">
        <v>13</v>
      </c>
      <c r="G61" s="10" t="s">
        <v>11</v>
      </c>
      <c r="H61" s="10" t="s">
        <v>13</v>
      </c>
      <c r="I61" s="10" t="s">
        <v>11</v>
      </c>
      <c r="J61" s="10" t="s">
        <v>191</v>
      </c>
      <c r="L61" s="6" t="str">
        <f>IFERROR(VLOOKUP($B61,'Lista - Âmbito Projeto GD'!$B$3:$F$71,5,0),"Campo eliminado")</f>
        <v>Campo eliminado</v>
      </c>
      <c r="M61" s="6" t="str">
        <f t="shared" si="1"/>
        <v>Campo eliminado</v>
      </c>
      <c r="N61" s="6" t="str">
        <f>IFERROR(VLOOKUP($B61,'Lista - Âmbito Projeto GD'!$B$3:$K$71,6,0),"Campo eliminado")</f>
        <v>Campo eliminado</v>
      </c>
      <c r="O61" s="6" t="str">
        <f t="shared" si="2"/>
        <v>Campo eliminado</v>
      </c>
      <c r="P61" s="6" t="str">
        <f>IFERROR(VLOOKUP($B61,'Lista - Âmbito Projeto GD'!$B$3:$K$71,7,0),"Campo eliminado")</f>
        <v>Campo eliminado</v>
      </c>
      <c r="Q61" s="6" t="str">
        <f t="shared" si="3"/>
        <v>Campo eliminado</v>
      </c>
      <c r="R61" s="6" t="str">
        <f>IFERROR(VLOOKUP($B61,'Lista - Âmbito Projeto GD'!$B$3:$K$71,9,0),"Campo eliminado")</f>
        <v>Campo eliminado</v>
      </c>
      <c r="S61" s="6" t="str">
        <f t="shared" si="4"/>
        <v>Campo eliminado</v>
      </c>
      <c r="U61" s="6" t="str">
        <f>VLOOKUP(B61,DataLake!$A$4:$A$429,1,0)</f>
        <v>ENTITY_EQTY</v>
      </c>
    </row>
    <row r="62" spans="1:21" ht="15" hidden="1" customHeight="1" x14ac:dyDescent="0.3">
      <c r="A62" s="7" t="s">
        <v>193</v>
      </c>
      <c r="B62" s="47" t="str">
        <f t="shared" si="0"/>
        <v>ENTITY_EQTY_PRVS</v>
      </c>
      <c r="C62" s="8" t="s">
        <v>10</v>
      </c>
      <c r="D62" s="9" t="s">
        <v>194</v>
      </c>
      <c r="E62" s="11" t="s">
        <v>195</v>
      </c>
      <c r="F62" s="10" t="s">
        <v>13</v>
      </c>
      <c r="G62" s="10" t="s">
        <v>11</v>
      </c>
      <c r="H62" s="10" t="s">
        <v>11</v>
      </c>
      <c r="I62" s="10" t="s">
        <v>11</v>
      </c>
      <c r="J62" s="10" t="s">
        <v>194</v>
      </c>
      <c r="L62" s="6" t="str">
        <f>IFERROR(VLOOKUP($B62,'Lista - Âmbito Projeto GD'!$B$3:$F$71,5,0),"Campo eliminado")</f>
        <v>Campo eliminado</v>
      </c>
      <c r="M62" s="6" t="str">
        <f t="shared" si="1"/>
        <v>Campo eliminado</v>
      </c>
      <c r="N62" s="6" t="str">
        <f>IFERROR(VLOOKUP($B62,'Lista - Âmbito Projeto GD'!$B$3:$K$71,6,0),"Campo eliminado")</f>
        <v>Campo eliminado</v>
      </c>
      <c r="O62" s="6" t="str">
        <f t="shared" si="2"/>
        <v>Campo eliminado</v>
      </c>
      <c r="P62" s="6" t="str">
        <f>IFERROR(VLOOKUP($B62,'Lista - Âmbito Projeto GD'!$B$3:$K$71,7,0),"Campo eliminado")</f>
        <v>Campo eliminado</v>
      </c>
      <c r="Q62" s="6" t="str">
        <f t="shared" si="3"/>
        <v>Campo eliminado</v>
      </c>
      <c r="R62" s="6" t="str">
        <f>IFERROR(VLOOKUP($B62,'Lista - Âmbito Projeto GD'!$B$3:$K$71,9,0),"Campo eliminado")</f>
        <v>Campo eliminado</v>
      </c>
      <c r="S62" s="6" t="str">
        <f t="shared" si="4"/>
        <v>Campo eliminado</v>
      </c>
      <c r="U62" s="6" t="str">
        <f>VLOOKUP(B62,DataLake!$A$4:$A$429,1,0)</f>
        <v>ENTITY_EQTY_PRVS</v>
      </c>
    </row>
    <row r="63" spans="1:21" ht="15" hidden="1" customHeight="1" x14ac:dyDescent="0.3">
      <c r="A63" s="7" t="s">
        <v>196</v>
      </c>
      <c r="B63" s="47" t="str">
        <f t="shared" si="0"/>
        <v>ENTITY_GRP_TTL_DBT</v>
      </c>
      <c r="C63" s="8" t="s">
        <v>10</v>
      </c>
      <c r="D63" s="9" t="s">
        <v>197</v>
      </c>
      <c r="E63" s="14" t="s">
        <v>198</v>
      </c>
      <c r="F63" s="10" t="s">
        <v>13</v>
      </c>
      <c r="G63" s="10" t="s">
        <v>11</v>
      </c>
      <c r="H63" s="10" t="s">
        <v>13</v>
      </c>
      <c r="I63" s="10" t="s">
        <v>11</v>
      </c>
      <c r="J63" s="10" t="s">
        <v>197</v>
      </c>
      <c r="L63" s="6" t="str">
        <f>IFERROR(VLOOKUP($B63,'Lista - Âmbito Projeto GD'!$B$3:$F$71,5,0),"Campo eliminado")</f>
        <v>Campo eliminado</v>
      </c>
      <c r="M63" s="6" t="str">
        <f t="shared" si="1"/>
        <v>Campo eliminado</v>
      </c>
      <c r="N63" s="6" t="str">
        <f>IFERROR(VLOOKUP($B63,'Lista - Âmbito Projeto GD'!$B$3:$K$71,6,0),"Campo eliminado")</f>
        <v>Campo eliminado</v>
      </c>
      <c r="O63" s="6" t="str">
        <f t="shared" si="2"/>
        <v>Campo eliminado</v>
      </c>
      <c r="P63" s="6" t="str">
        <f>IFERROR(VLOOKUP($B63,'Lista - Âmbito Projeto GD'!$B$3:$K$71,7,0),"Campo eliminado")</f>
        <v>Campo eliminado</v>
      </c>
      <c r="Q63" s="6" t="str">
        <f t="shared" si="3"/>
        <v>Campo eliminado</v>
      </c>
      <c r="R63" s="6" t="str">
        <f>IFERROR(VLOOKUP($B63,'Lista - Âmbito Projeto GD'!$B$3:$K$71,9,0),"Campo eliminado")</f>
        <v>Campo eliminado</v>
      </c>
      <c r="S63" s="6" t="str">
        <f t="shared" si="4"/>
        <v>Campo eliminado</v>
      </c>
      <c r="U63" s="6" t="str">
        <f>VLOOKUP(B63,DataLake!$A$4:$A$429,1,0)</f>
        <v>ENTITY_GRP_TTL_DBT</v>
      </c>
    </row>
    <row r="64" spans="1:21" ht="15" hidden="1" customHeight="1" x14ac:dyDescent="0.3">
      <c r="A64" s="7" t="s">
        <v>199</v>
      </c>
      <c r="B64" s="47" t="str">
        <f t="shared" si="0"/>
        <v>ENTITY_GDWILL</v>
      </c>
      <c r="C64" s="8" t="s">
        <v>10</v>
      </c>
      <c r="D64" s="9" t="s">
        <v>200</v>
      </c>
      <c r="E64" s="11" t="s">
        <v>201</v>
      </c>
      <c r="F64" s="10" t="s">
        <v>13</v>
      </c>
      <c r="G64" s="10" t="s">
        <v>11</v>
      </c>
      <c r="H64" s="10" t="s">
        <v>11</v>
      </c>
      <c r="I64" s="10" t="s">
        <v>11</v>
      </c>
      <c r="J64" s="10" t="s">
        <v>200</v>
      </c>
      <c r="L64" s="6" t="str">
        <f>IFERROR(VLOOKUP($B64,'Lista - Âmbito Projeto GD'!$B$3:$F$71,5,0),"Campo eliminado")</f>
        <v>Campo eliminado</v>
      </c>
      <c r="M64" s="6" t="str">
        <f t="shared" si="1"/>
        <v>Campo eliminado</v>
      </c>
      <c r="N64" s="6" t="str">
        <f>IFERROR(VLOOKUP($B64,'Lista - Âmbito Projeto GD'!$B$3:$K$71,6,0),"Campo eliminado")</f>
        <v>Campo eliminado</v>
      </c>
      <c r="O64" s="6" t="str">
        <f t="shared" si="2"/>
        <v>Campo eliminado</v>
      </c>
      <c r="P64" s="6" t="str">
        <f>IFERROR(VLOOKUP($B64,'Lista - Âmbito Projeto GD'!$B$3:$K$71,7,0),"Campo eliminado")</f>
        <v>Campo eliminado</v>
      </c>
      <c r="Q64" s="6" t="str">
        <f t="shared" si="3"/>
        <v>Campo eliminado</v>
      </c>
      <c r="R64" s="6" t="str">
        <f>IFERROR(VLOOKUP($B64,'Lista - Âmbito Projeto GD'!$B$3:$K$71,9,0),"Campo eliminado")</f>
        <v>Campo eliminado</v>
      </c>
      <c r="S64" s="6" t="str">
        <f t="shared" si="4"/>
        <v>Campo eliminado</v>
      </c>
      <c r="U64" s="6" t="str">
        <f>VLOOKUP(B64,DataLake!$A$4:$A$429,1,0)</f>
        <v>ENTITY_GDWILL</v>
      </c>
    </row>
    <row r="65" spans="1:21" ht="15" hidden="1" customHeight="1" x14ac:dyDescent="0.3">
      <c r="A65" s="7" t="s">
        <v>202</v>
      </c>
      <c r="B65" s="47" t="str">
        <f t="shared" si="0"/>
        <v>ENTITY_GDWILL_PRVS</v>
      </c>
      <c r="C65" s="8" t="s">
        <v>10</v>
      </c>
      <c r="D65" s="9" t="s">
        <v>203</v>
      </c>
      <c r="E65" s="11" t="s">
        <v>204</v>
      </c>
      <c r="F65" s="10" t="s">
        <v>13</v>
      </c>
      <c r="G65" s="10" t="s">
        <v>11</v>
      </c>
      <c r="H65" s="10" t="s">
        <v>11</v>
      </c>
      <c r="I65" s="10" t="s">
        <v>11</v>
      </c>
      <c r="J65" s="10" t="s">
        <v>203</v>
      </c>
      <c r="L65" s="6" t="str">
        <f>IFERROR(VLOOKUP($B65,'Lista - Âmbito Projeto GD'!$B$3:$F$71,5,0),"Campo eliminado")</f>
        <v>Campo eliminado</v>
      </c>
      <c r="M65" s="6" t="str">
        <f t="shared" si="1"/>
        <v>Campo eliminado</v>
      </c>
      <c r="N65" s="6" t="str">
        <f>IFERROR(VLOOKUP($B65,'Lista - Âmbito Projeto GD'!$B$3:$K$71,6,0),"Campo eliminado")</f>
        <v>Campo eliminado</v>
      </c>
      <c r="O65" s="6" t="str">
        <f t="shared" si="2"/>
        <v>Campo eliminado</v>
      </c>
      <c r="P65" s="6" t="str">
        <f>IFERROR(VLOOKUP($B65,'Lista - Âmbito Projeto GD'!$B$3:$K$71,7,0),"Campo eliminado")</f>
        <v>Campo eliminado</v>
      </c>
      <c r="Q65" s="6" t="str">
        <f t="shared" si="3"/>
        <v>Campo eliminado</v>
      </c>
      <c r="R65" s="6" t="str">
        <f>IFERROR(VLOOKUP($B65,'Lista - Âmbito Projeto GD'!$B$3:$K$71,9,0),"Campo eliminado")</f>
        <v>Campo eliminado</v>
      </c>
      <c r="S65" s="6" t="str">
        <f t="shared" si="4"/>
        <v>Campo eliminado</v>
      </c>
      <c r="U65" s="6" t="str">
        <f>VLOOKUP(B65,DataLake!$A$4:$A$429,1,0)</f>
        <v>ENTITY_GDWILL_PRVS</v>
      </c>
    </row>
    <row r="66" spans="1:21" ht="15" hidden="1" customHeight="1" x14ac:dyDescent="0.3">
      <c r="A66" s="7" t="s">
        <v>205</v>
      </c>
      <c r="B66" s="47" t="str">
        <f t="shared" si="0"/>
        <v>ENTITY_LTI</v>
      </c>
      <c r="C66" s="8" t="s">
        <v>10</v>
      </c>
      <c r="D66" s="9" t="s">
        <v>206</v>
      </c>
      <c r="E66" s="11" t="s">
        <v>207</v>
      </c>
      <c r="F66" s="10" t="s">
        <v>13</v>
      </c>
      <c r="G66" s="10" t="s">
        <v>11</v>
      </c>
      <c r="H66" s="10" t="s">
        <v>11</v>
      </c>
      <c r="I66" s="10" t="s">
        <v>11</v>
      </c>
      <c r="J66" s="10" t="s">
        <v>206</v>
      </c>
      <c r="L66" s="6" t="str">
        <f>IFERROR(VLOOKUP($B66,'Lista - Âmbito Projeto GD'!$B$3:$F$71,5,0),"Campo eliminado")</f>
        <v>Campo eliminado</v>
      </c>
      <c r="M66" s="6" t="str">
        <f t="shared" si="1"/>
        <v>Campo eliminado</v>
      </c>
      <c r="N66" s="6" t="str">
        <f>IFERROR(VLOOKUP($B66,'Lista - Âmbito Projeto GD'!$B$3:$K$71,6,0),"Campo eliminado")</f>
        <v>Campo eliminado</v>
      </c>
      <c r="O66" s="6" t="str">
        <f t="shared" si="2"/>
        <v>Campo eliminado</v>
      </c>
      <c r="P66" s="6" t="str">
        <f>IFERROR(VLOOKUP($B66,'Lista - Âmbito Projeto GD'!$B$3:$K$71,7,0),"Campo eliminado")</f>
        <v>Campo eliminado</v>
      </c>
      <c r="Q66" s="6" t="str">
        <f t="shared" si="3"/>
        <v>Campo eliminado</v>
      </c>
      <c r="R66" s="6" t="str">
        <f>IFERROR(VLOOKUP($B66,'Lista - Âmbito Projeto GD'!$B$3:$K$71,9,0),"Campo eliminado")</f>
        <v>Campo eliminado</v>
      </c>
      <c r="S66" s="6" t="str">
        <f t="shared" si="4"/>
        <v>Campo eliminado</v>
      </c>
      <c r="U66" s="6" t="str">
        <f>VLOOKUP(B66,DataLake!$A$4:$A$429,1,0)</f>
        <v>ENTITY_LTI</v>
      </c>
    </row>
    <row r="67" spans="1:21" ht="15" hidden="1" customHeight="1" x14ac:dyDescent="0.3">
      <c r="A67" s="7" t="s">
        <v>208</v>
      </c>
      <c r="B67" s="47" t="str">
        <f t="shared" ref="B67:B130" si="5">C67&amp;"_"&amp;D67</f>
        <v>ENTITY_LVRG</v>
      </c>
      <c r="C67" s="8" t="s">
        <v>10</v>
      </c>
      <c r="D67" s="9" t="s">
        <v>209</v>
      </c>
      <c r="E67" s="11" t="s">
        <v>210</v>
      </c>
      <c r="F67" s="10" t="s">
        <v>13</v>
      </c>
      <c r="G67" s="10" t="s">
        <v>11</v>
      </c>
      <c r="H67" s="10" t="s">
        <v>11</v>
      </c>
      <c r="I67" s="10" t="s">
        <v>11</v>
      </c>
      <c r="J67" s="10" t="s">
        <v>209</v>
      </c>
      <c r="L67" s="6" t="str">
        <f>IFERROR(VLOOKUP($B67,'Lista - Âmbito Projeto GD'!$B$3:$F$71,5,0),"Campo eliminado")</f>
        <v>Campo eliminado</v>
      </c>
      <c r="M67" s="6" t="str">
        <f t="shared" ref="M67:M130" si="6">IF(L67="Campo eliminado","Campo eliminado",IF(L67=F67,"Igual","Diferente"))</f>
        <v>Campo eliminado</v>
      </c>
      <c r="N67" s="6" t="str">
        <f>IFERROR(VLOOKUP($B67,'Lista - Âmbito Projeto GD'!$B$3:$K$71,6,0),"Campo eliminado")</f>
        <v>Campo eliminado</v>
      </c>
      <c r="O67" s="6" t="str">
        <f t="shared" ref="O67:O130" si="7">IF(N67="Campo eliminado","Campo eliminado",IF(N67=G67,"Igual","Diferente"))</f>
        <v>Campo eliminado</v>
      </c>
      <c r="P67" s="6" t="str">
        <f>IFERROR(VLOOKUP($B67,'Lista - Âmbito Projeto GD'!$B$3:$K$71,7,0),"Campo eliminado")</f>
        <v>Campo eliminado</v>
      </c>
      <c r="Q67" s="6" t="str">
        <f t="shared" ref="Q67:Q130" si="8">IF(P67="Campo eliminado","Campo eliminado",IF(P67=H67,"Igual","Diferente"))</f>
        <v>Campo eliminado</v>
      </c>
      <c r="R67" s="6" t="str">
        <f>IFERROR(VLOOKUP($B67,'Lista - Âmbito Projeto GD'!$B$3:$K$71,9,0),"Campo eliminado")</f>
        <v>Campo eliminado</v>
      </c>
      <c r="S67" s="6" t="str">
        <f t="shared" ref="S67:S130" si="9">IF(R67="Campo eliminado","Campo eliminado",IF(R67=I67,"Igual","Diferente"))</f>
        <v>Campo eliminado</v>
      </c>
      <c r="U67" s="6" t="str">
        <f>VLOOKUP(B67,DataLake!$A$4:$A$429,1,0)</f>
        <v>ENTITY_LVRG</v>
      </c>
    </row>
    <row r="68" spans="1:21" ht="15" hidden="1" customHeight="1" x14ac:dyDescent="0.3">
      <c r="A68" s="7" t="s">
        <v>211</v>
      </c>
      <c r="B68" s="47" t="str">
        <f t="shared" si="5"/>
        <v>ENTITY_LVRG_PRVS</v>
      </c>
      <c r="C68" s="8" t="s">
        <v>10</v>
      </c>
      <c r="D68" s="9" t="s">
        <v>212</v>
      </c>
      <c r="E68" s="11" t="s">
        <v>213</v>
      </c>
      <c r="F68" s="10" t="s">
        <v>13</v>
      </c>
      <c r="G68" s="10" t="s">
        <v>11</v>
      </c>
      <c r="H68" s="10" t="s">
        <v>11</v>
      </c>
      <c r="I68" s="10" t="s">
        <v>11</v>
      </c>
      <c r="J68" s="10" t="s">
        <v>212</v>
      </c>
      <c r="L68" s="6" t="str">
        <f>IFERROR(VLOOKUP($B68,'Lista - Âmbito Projeto GD'!$B$3:$F$71,5,0),"Campo eliminado")</f>
        <v>Campo eliminado</v>
      </c>
      <c r="M68" s="6" t="str">
        <f t="shared" si="6"/>
        <v>Campo eliminado</v>
      </c>
      <c r="N68" s="6" t="str">
        <f>IFERROR(VLOOKUP($B68,'Lista - Âmbito Projeto GD'!$B$3:$K$71,6,0),"Campo eliminado")</f>
        <v>Campo eliminado</v>
      </c>
      <c r="O68" s="6" t="str">
        <f t="shared" si="7"/>
        <v>Campo eliminado</v>
      </c>
      <c r="P68" s="6" t="str">
        <f>IFERROR(VLOOKUP($B68,'Lista - Âmbito Projeto GD'!$B$3:$K$71,7,0),"Campo eliminado")</f>
        <v>Campo eliminado</v>
      </c>
      <c r="Q68" s="6" t="str">
        <f t="shared" si="8"/>
        <v>Campo eliminado</v>
      </c>
      <c r="R68" s="6" t="str">
        <f>IFERROR(VLOOKUP($B68,'Lista - Âmbito Projeto GD'!$B$3:$K$71,9,0),"Campo eliminado")</f>
        <v>Campo eliminado</v>
      </c>
      <c r="S68" s="6" t="str">
        <f t="shared" si="9"/>
        <v>Campo eliminado</v>
      </c>
      <c r="U68" s="6" t="str">
        <f>VLOOKUP(B68,DataLake!$A$4:$A$429,1,0)</f>
        <v>ENTITY_LVRG_PRVS</v>
      </c>
    </row>
    <row r="69" spans="1:21" ht="15" hidden="1" customHeight="1" x14ac:dyDescent="0.3">
      <c r="A69" s="7" t="s">
        <v>214</v>
      </c>
      <c r="B69" s="47" t="str">
        <f t="shared" si="5"/>
        <v>ENTITY_MNTHL_INCM</v>
      </c>
      <c r="C69" s="8" t="s">
        <v>10</v>
      </c>
      <c r="D69" s="9" t="s">
        <v>215</v>
      </c>
      <c r="E69" s="11" t="s">
        <v>216</v>
      </c>
      <c r="F69" s="10" t="s">
        <v>13</v>
      </c>
      <c r="G69" s="10" t="s">
        <v>11</v>
      </c>
      <c r="H69" s="10" t="s">
        <v>11</v>
      </c>
      <c r="I69" s="10" t="s">
        <v>11</v>
      </c>
      <c r="J69" s="10" t="s">
        <v>215</v>
      </c>
      <c r="L69" s="6" t="str">
        <f>IFERROR(VLOOKUP($B69,'Lista - Âmbito Projeto GD'!$B$3:$F$71,5,0),"Campo eliminado")</f>
        <v>Campo eliminado</v>
      </c>
      <c r="M69" s="6" t="str">
        <f t="shared" si="6"/>
        <v>Campo eliminado</v>
      </c>
      <c r="N69" s="6" t="str">
        <f>IFERROR(VLOOKUP($B69,'Lista - Âmbito Projeto GD'!$B$3:$K$71,6,0),"Campo eliminado")</f>
        <v>Campo eliminado</v>
      </c>
      <c r="O69" s="6" t="str">
        <f t="shared" si="7"/>
        <v>Campo eliminado</v>
      </c>
      <c r="P69" s="6" t="str">
        <f>IFERROR(VLOOKUP($B69,'Lista - Âmbito Projeto GD'!$B$3:$K$71,7,0),"Campo eliminado")</f>
        <v>Campo eliminado</v>
      </c>
      <c r="Q69" s="6" t="str">
        <f t="shared" si="8"/>
        <v>Campo eliminado</v>
      </c>
      <c r="R69" s="6" t="str">
        <f>IFERROR(VLOOKUP($B69,'Lista - Âmbito Projeto GD'!$B$3:$K$71,9,0),"Campo eliminado")</f>
        <v>Campo eliminado</v>
      </c>
      <c r="S69" s="6" t="str">
        <f t="shared" si="9"/>
        <v>Campo eliminado</v>
      </c>
      <c r="U69" s="6" t="str">
        <f>VLOOKUP(B69,DataLake!$A$4:$A$429,1,0)</f>
        <v>ENTITY_MNTHL_INCM</v>
      </c>
    </row>
    <row r="70" spans="1:21" ht="15" hidden="1" customHeight="1" x14ac:dyDescent="0.3">
      <c r="A70" s="7" t="s">
        <v>217</v>
      </c>
      <c r="B70" s="47" t="str">
        <f t="shared" si="5"/>
        <v>ENTITY_MNTHL_INCM_SLR</v>
      </c>
      <c r="C70" s="8" t="s">
        <v>10</v>
      </c>
      <c r="D70" s="9" t="s">
        <v>218</v>
      </c>
      <c r="E70" s="11" t="s">
        <v>219</v>
      </c>
      <c r="F70" s="10" t="s">
        <v>13</v>
      </c>
      <c r="G70" s="10" t="s">
        <v>11</v>
      </c>
      <c r="H70" s="10" t="s">
        <v>11</v>
      </c>
      <c r="I70" s="10" t="s">
        <v>11</v>
      </c>
      <c r="J70" s="10" t="s">
        <v>218</v>
      </c>
      <c r="L70" s="6" t="str">
        <f>IFERROR(VLOOKUP($B70,'Lista - Âmbito Projeto GD'!$B$3:$F$71,5,0),"Campo eliminado")</f>
        <v>Campo eliminado</v>
      </c>
      <c r="M70" s="6" t="str">
        <f t="shared" si="6"/>
        <v>Campo eliminado</v>
      </c>
      <c r="N70" s="6" t="str">
        <f>IFERROR(VLOOKUP($B70,'Lista - Âmbito Projeto GD'!$B$3:$K$71,6,0),"Campo eliminado")</f>
        <v>Campo eliminado</v>
      </c>
      <c r="O70" s="6" t="str">
        <f t="shared" si="7"/>
        <v>Campo eliminado</v>
      </c>
      <c r="P70" s="6" t="str">
        <f>IFERROR(VLOOKUP($B70,'Lista - Âmbito Projeto GD'!$B$3:$K$71,7,0),"Campo eliminado")</f>
        <v>Campo eliminado</v>
      </c>
      <c r="Q70" s="6" t="str">
        <f t="shared" si="8"/>
        <v>Campo eliminado</v>
      </c>
      <c r="R70" s="6" t="str">
        <f>IFERROR(VLOOKUP($B70,'Lista - Âmbito Projeto GD'!$B$3:$K$71,9,0),"Campo eliminado")</f>
        <v>Campo eliminado</v>
      </c>
      <c r="S70" s="6" t="str">
        <f t="shared" si="9"/>
        <v>Campo eliminado</v>
      </c>
      <c r="U70" s="6" t="str">
        <f>VLOOKUP(B70,DataLake!$A$4:$A$429,1,0)</f>
        <v>ENTITY_MNTHL_INCM_SLR</v>
      </c>
    </row>
    <row r="71" spans="1:21" ht="15" hidden="1" customHeight="1" x14ac:dyDescent="0.3">
      <c r="A71" s="7" t="s">
        <v>220</v>
      </c>
      <c r="B71" s="47" t="str">
        <f t="shared" si="5"/>
        <v>ENTITY_MNTHL_TRNVR</v>
      </c>
      <c r="C71" s="8" t="s">
        <v>10</v>
      </c>
      <c r="D71" s="9" t="s">
        <v>221</v>
      </c>
      <c r="E71" s="11" t="s">
        <v>222</v>
      </c>
      <c r="F71" s="10" t="s">
        <v>13</v>
      </c>
      <c r="G71" s="10" t="s">
        <v>11</v>
      </c>
      <c r="H71" s="10" t="s">
        <v>11</v>
      </c>
      <c r="I71" s="10" t="s">
        <v>11</v>
      </c>
      <c r="J71" s="10" t="s">
        <v>221</v>
      </c>
      <c r="L71" s="6" t="str">
        <f>IFERROR(VLOOKUP($B71,'Lista - Âmbito Projeto GD'!$B$3:$F$71,5,0),"Campo eliminado")</f>
        <v>Campo eliminado</v>
      </c>
      <c r="M71" s="6" t="str">
        <f t="shared" si="6"/>
        <v>Campo eliminado</v>
      </c>
      <c r="N71" s="6" t="str">
        <f>IFERROR(VLOOKUP($B71,'Lista - Âmbito Projeto GD'!$B$3:$K$71,6,0),"Campo eliminado")</f>
        <v>Campo eliminado</v>
      </c>
      <c r="O71" s="6" t="str">
        <f t="shared" si="7"/>
        <v>Campo eliminado</v>
      </c>
      <c r="P71" s="6" t="str">
        <f>IFERROR(VLOOKUP($B71,'Lista - Âmbito Projeto GD'!$B$3:$K$71,7,0),"Campo eliminado")</f>
        <v>Campo eliminado</v>
      </c>
      <c r="Q71" s="6" t="str">
        <f t="shared" si="8"/>
        <v>Campo eliminado</v>
      </c>
      <c r="R71" s="6" t="str">
        <f>IFERROR(VLOOKUP($B71,'Lista - Âmbito Projeto GD'!$B$3:$K$71,9,0),"Campo eliminado")</f>
        <v>Campo eliminado</v>
      </c>
      <c r="S71" s="6" t="str">
        <f t="shared" si="9"/>
        <v>Campo eliminado</v>
      </c>
      <c r="U71" s="6" t="str">
        <f>VLOOKUP(B71,DataLake!$A$4:$A$429,1,0)</f>
        <v>ENTITY_MNTHL_TRNVR</v>
      </c>
    </row>
    <row r="72" spans="1:21" ht="15" hidden="1" customHeight="1" x14ac:dyDescent="0.3">
      <c r="A72" s="7" t="s">
        <v>223</v>
      </c>
      <c r="B72" s="47" t="str">
        <f t="shared" si="5"/>
        <v>ENTITY_NT_INCM</v>
      </c>
      <c r="C72" s="8" t="s">
        <v>10</v>
      </c>
      <c r="D72" s="9" t="s">
        <v>224</v>
      </c>
      <c r="E72" s="11" t="s">
        <v>225</v>
      </c>
      <c r="F72" s="10" t="s">
        <v>13</v>
      </c>
      <c r="G72" s="10" t="s">
        <v>11</v>
      </c>
      <c r="H72" s="10" t="s">
        <v>11</v>
      </c>
      <c r="I72" s="10" t="s">
        <v>11</v>
      </c>
      <c r="J72" s="10" t="s">
        <v>224</v>
      </c>
      <c r="L72" s="6" t="str">
        <f>IFERROR(VLOOKUP($B72,'Lista - Âmbito Projeto GD'!$B$3:$F$71,5,0),"Campo eliminado")</f>
        <v>Campo eliminado</v>
      </c>
      <c r="M72" s="6" t="str">
        <f t="shared" si="6"/>
        <v>Campo eliminado</v>
      </c>
      <c r="N72" s="6" t="str">
        <f>IFERROR(VLOOKUP($B72,'Lista - Âmbito Projeto GD'!$B$3:$K$71,6,0),"Campo eliminado")</f>
        <v>Campo eliminado</v>
      </c>
      <c r="O72" s="6" t="str">
        <f t="shared" si="7"/>
        <v>Campo eliminado</v>
      </c>
      <c r="P72" s="6" t="str">
        <f>IFERROR(VLOOKUP($B72,'Lista - Âmbito Projeto GD'!$B$3:$K$71,7,0),"Campo eliminado")</f>
        <v>Campo eliminado</v>
      </c>
      <c r="Q72" s="6" t="str">
        <f t="shared" si="8"/>
        <v>Campo eliminado</v>
      </c>
      <c r="R72" s="6" t="str">
        <f>IFERROR(VLOOKUP($B72,'Lista - Âmbito Projeto GD'!$B$3:$K$71,9,0),"Campo eliminado")</f>
        <v>Campo eliminado</v>
      </c>
      <c r="S72" s="6" t="str">
        <f t="shared" si="9"/>
        <v>Campo eliminado</v>
      </c>
      <c r="U72" s="6" t="str">
        <f>VLOOKUP(B72,DataLake!$A$4:$A$429,1,0)</f>
        <v>ENTITY_NT_INCM</v>
      </c>
    </row>
    <row r="73" spans="1:21" ht="15" hidden="1" customHeight="1" x14ac:dyDescent="0.3">
      <c r="A73" s="7" t="s">
        <v>226</v>
      </c>
      <c r="B73" s="47" t="str">
        <f t="shared" si="5"/>
        <v>ENTITY_NT_INCM_PRVS</v>
      </c>
      <c r="C73" s="8" t="s">
        <v>10</v>
      </c>
      <c r="D73" s="9" t="s">
        <v>227</v>
      </c>
      <c r="E73" s="11" t="s">
        <v>228</v>
      </c>
      <c r="F73" s="10" t="s">
        <v>13</v>
      </c>
      <c r="G73" s="10" t="s">
        <v>11</v>
      </c>
      <c r="H73" s="10" t="s">
        <v>11</v>
      </c>
      <c r="I73" s="10" t="s">
        <v>11</v>
      </c>
      <c r="J73" s="10" t="s">
        <v>227</v>
      </c>
      <c r="L73" s="6" t="str">
        <f>IFERROR(VLOOKUP($B73,'Lista - Âmbito Projeto GD'!$B$3:$F$71,5,0),"Campo eliminado")</f>
        <v>Campo eliminado</v>
      </c>
      <c r="M73" s="6" t="str">
        <f t="shared" si="6"/>
        <v>Campo eliminado</v>
      </c>
      <c r="N73" s="6" t="str">
        <f>IFERROR(VLOOKUP($B73,'Lista - Âmbito Projeto GD'!$B$3:$K$71,6,0),"Campo eliminado")</f>
        <v>Campo eliminado</v>
      </c>
      <c r="O73" s="6" t="str">
        <f t="shared" si="7"/>
        <v>Campo eliminado</v>
      </c>
      <c r="P73" s="6" t="str">
        <f>IFERROR(VLOOKUP($B73,'Lista - Âmbito Projeto GD'!$B$3:$K$71,7,0),"Campo eliminado")</f>
        <v>Campo eliminado</v>
      </c>
      <c r="Q73" s="6" t="str">
        <f t="shared" si="8"/>
        <v>Campo eliminado</v>
      </c>
      <c r="R73" s="6" t="str">
        <f>IFERROR(VLOOKUP($B73,'Lista - Âmbito Projeto GD'!$B$3:$K$71,9,0),"Campo eliminado")</f>
        <v>Campo eliminado</v>
      </c>
      <c r="S73" s="6" t="str">
        <f t="shared" si="9"/>
        <v>Campo eliminado</v>
      </c>
      <c r="U73" s="6" t="str">
        <f>VLOOKUP(B73,DataLake!$A$4:$A$429,1,0)</f>
        <v>ENTITY_NT_INCM_PRVS</v>
      </c>
    </row>
    <row r="74" spans="1:21" ht="15" hidden="1" customHeight="1" x14ac:dyDescent="0.3">
      <c r="A74" s="7" t="s">
        <v>229</v>
      </c>
      <c r="B74" s="47" t="str">
        <f t="shared" si="5"/>
        <v>ENTITY_TTL_DBT</v>
      </c>
      <c r="C74" s="8" t="s">
        <v>10</v>
      </c>
      <c r="D74" s="9" t="s">
        <v>230</v>
      </c>
      <c r="E74" s="11" t="s">
        <v>231</v>
      </c>
      <c r="F74" s="10" t="s">
        <v>13</v>
      </c>
      <c r="G74" s="10" t="s">
        <v>11</v>
      </c>
      <c r="H74" s="10" t="s">
        <v>13</v>
      </c>
      <c r="I74" s="10" t="s">
        <v>11</v>
      </c>
      <c r="J74" s="10" t="s">
        <v>230</v>
      </c>
      <c r="L74" s="6" t="str">
        <f>IFERROR(VLOOKUP($B74,'Lista - Âmbito Projeto GD'!$B$3:$F$71,5,0),"Campo eliminado")</f>
        <v>Campo eliminado</v>
      </c>
      <c r="M74" s="6" t="str">
        <f t="shared" si="6"/>
        <v>Campo eliminado</v>
      </c>
      <c r="N74" s="6" t="str">
        <f>IFERROR(VLOOKUP($B74,'Lista - Âmbito Projeto GD'!$B$3:$K$71,6,0),"Campo eliminado")</f>
        <v>Campo eliminado</v>
      </c>
      <c r="O74" s="6" t="str">
        <f t="shared" si="7"/>
        <v>Campo eliminado</v>
      </c>
      <c r="P74" s="6" t="str">
        <f>IFERROR(VLOOKUP($B74,'Lista - Âmbito Projeto GD'!$B$3:$K$71,7,0),"Campo eliminado")</f>
        <v>Campo eliminado</v>
      </c>
      <c r="Q74" s="6" t="str">
        <f t="shared" si="8"/>
        <v>Campo eliminado</v>
      </c>
      <c r="R74" s="6" t="str">
        <f>IFERROR(VLOOKUP($B74,'Lista - Âmbito Projeto GD'!$B$3:$K$71,9,0),"Campo eliminado")</f>
        <v>Campo eliminado</v>
      </c>
      <c r="S74" s="6" t="str">
        <f t="shared" si="9"/>
        <v>Campo eliminado</v>
      </c>
      <c r="U74" s="6" t="str">
        <f>VLOOKUP(B74,DataLake!$A$4:$A$429,1,0)</f>
        <v>ENTITY_TTL_DBT</v>
      </c>
    </row>
    <row r="75" spans="1:21" ht="15" hidden="1" customHeight="1" x14ac:dyDescent="0.3">
      <c r="A75" s="7" t="s">
        <v>232</v>
      </c>
      <c r="B75" s="47" t="str">
        <f t="shared" si="5"/>
        <v>ENTITY_TTL_DBT_PRVS</v>
      </c>
      <c r="C75" s="8" t="s">
        <v>10</v>
      </c>
      <c r="D75" s="9" t="s">
        <v>233</v>
      </c>
      <c r="E75" s="11" t="s">
        <v>234</v>
      </c>
      <c r="F75" s="10" t="s">
        <v>13</v>
      </c>
      <c r="G75" s="10" t="s">
        <v>11</v>
      </c>
      <c r="H75" s="10" t="s">
        <v>11</v>
      </c>
      <c r="I75" s="10" t="s">
        <v>11</v>
      </c>
      <c r="J75" s="10" t="s">
        <v>233</v>
      </c>
      <c r="L75" s="6" t="str">
        <f>IFERROR(VLOOKUP($B75,'Lista - Âmbito Projeto GD'!$B$3:$F$71,5,0),"Campo eliminado")</f>
        <v>Campo eliminado</v>
      </c>
      <c r="M75" s="6" t="str">
        <f t="shared" si="6"/>
        <v>Campo eliminado</v>
      </c>
      <c r="N75" s="6" t="str">
        <f>IFERROR(VLOOKUP($B75,'Lista - Âmbito Projeto GD'!$B$3:$K$71,6,0),"Campo eliminado")</f>
        <v>Campo eliminado</v>
      </c>
      <c r="O75" s="6" t="str">
        <f t="shared" si="7"/>
        <v>Campo eliminado</v>
      </c>
      <c r="P75" s="6" t="str">
        <f>IFERROR(VLOOKUP($B75,'Lista - Âmbito Projeto GD'!$B$3:$K$71,7,0),"Campo eliminado")</f>
        <v>Campo eliminado</v>
      </c>
      <c r="Q75" s="6" t="str">
        <f t="shared" si="8"/>
        <v>Campo eliminado</v>
      </c>
      <c r="R75" s="6" t="str">
        <f>IFERROR(VLOOKUP($B75,'Lista - Âmbito Projeto GD'!$B$3:$K$71,9,0),"Campo eliminado")</f>
        <v>Campo eliminado</v>
      </c>
      <c r="S75" s="6" t="str">
        <f t="shared" si="9"/>
        <v>Campo eliminado</v>
      </c>
      <c r="U75" s="6" t="str">
        <f>VLOOKUP(B75,DataLake!$A$4:$A$429,1,0)</f>
        <v>ENTITY_TTL_DBT_PRVS</v>
      </c>
    </row>
    <row r="76" spans="1:21" ht="15" hidden="1" customHeight="1" x14ac:dyDescent="0.3">
      <c r="A76" s="7" t="s">
        <v>235</v>
      </c>
      <c r="B76" s="47" t="str">
        <f t="shared" si="5"/>
        <v>ENTITY_TTL_INTRST_PD</v>
      </c>
      <c r="C76" s="8" t="s">
        <v>10</v>
      </c>
      <c r="D76" s="9" t="s">
        <v>236</v>
      </c>
      <c r="E76" s="11" t="s">
        <v>237</v>
      </c>
      <c r="F76" s="10" t="s">
        <v>13</v>
      </c>
      <c r="G76" s="10" t="s">
        <v>11</v>
      </c>
      <c r="H76" s="10" t="s">
        <v>11</v>
      </c>
      <c r="I76" s="10" t="s">
        <v>11</v>
      </c>
      <c r="J76" s="10" t="s">
        <v>236</v>
      </c>
      <c r="L76" s="6" t="str">
        <f>IFERROR(VLOOKUP($B76,'Lista - Âmbito Projeto GD'!$B$3:$F$71,5,0),"Campo eliminado")</f>
        <v>Campo eliminado</v>
      </c>
      <c r="M76" s="6" t="str">
        <f t="shared" si="6"/>
        <v>Campo eliminado</v>
      </c>
      <c r="N76" s="6" t="str">
        <f>IFERROR(VLOOKUP($B76,'Lista - Âmbito Projeto GD'!$B$3:$K$71,6,0),"Campo eliminado")</f>
        <v>Campo eliminado</v>
      </c>
      <c r="O76" s="6" t="str">
        <f t="shared" si="7"/>
        <v>Campo eliminado</v>
      </c>
      <c r="P76" s="6" t="str">
        <f>IFERROR(VLOOKUP($B76,'Lista - Âmbito Projeto GD'!$B$3:$K$71,7,0),"Campo eliminado")</f>
        <v>Campo eliminado</v>
      </c>
      <c r="Q76" s="6" t="str">
        <f t="shared" si="8"/>
        <v>Campo eliminado</v>
      </c>
      <c r="R76" s="6" t="str">
        <f>IFERROR(VLOOKUP($B76,'Lista - Âmbito Projeto GD'!$B$3:$K$71,9,0),"Campo eliminado")</f>
        <v>Campo eliminado</v>
      </c>
      <c r="S76" s="6" t="str">
        <f t="shared" si="9"/>
        <v>Campo eliminado</v>
      </c>
      <c r="U76" s="6" t="str">
        <f>VLOOKUP(B76,DataLake!$A$4:$A$429,1,0)</f>
        <v>ENTITY_TTL_INTRST_PD</v>
      </c>
    </row>
    <row r="77" spans="1:21" ht="15" hidden="1" customHeight="1" x14ac:dyDescent="0.3">
      <c r="A77" s="7" t="s">
        <v>238</v>
      </c>
      <c r="B77" s="47" t="str">
        <f t="shared" si="5"/>
        <v>ENTITY_TTL_LVRG_RT</v>
      </c>
      <c r="C77" s="8" t="s">
        <v>10</v>
      </c>
      <c r="D77" s="9" t="s">
        <v>239</v>
      </c>
      <c r="E77" s="11" t="s">
        <v>240</v>
      </c>
      <c r="F77" s="10" t="s">
        <v>13</v>
      </c>
      <c r="G77" s="10" t="s">
        <v>11</v>
      </c>
      <c r="H77" s="10" t="s">
        <v>11</v>
      </c>
      <c r="I77" s="10" t="s">
        <v>11</v>
      </c>
      <c r="J77" s="10" t="s">
        <v>239</v>
      </c>
      <c r="L77" s="6" t="str">
        <f>IFERROR(VLOOKUP($B77,'Lista - Âmbito Projeto GD'!$B$3:$F$71,5,0),"Campo eliminado")</f>
        <v>Campo eliminado</v>
      </c>
      <c r="M77" s="6" t="str">
        <f t="shared" si="6"/>
        <v>Campo eliminado</v>
      </c>
      <c r="N77" s="6" t="str">
        <f>IFERROR(VLOOKUP($B77,'Lista - Âmbito Projeto GD'!$B$3:$K$71,6,0),"Campo eliminado")</f>
        <v>Campo eliminado</v>
      </c>
      <c r="O77" s="6" t="str">
        <f t="shared" si="7"/>
        <v>Campo eliminado</v>
      </c>
      <c r="P77" s="6" t="str">
        <f>IFERROR(VLOOKUP($B77,'Lista - Âmbito Projeto GD'!$B$3:$K$71,7,0),"Campo eliminado")</f>
        <v>Campo eliminado</v>
      </c>
      <c r="Q77" s="6" t="str">
        <f t="shared" si="8"/>
        <v>Campo eliminado</v>
      </c>
      <c r="R77" s="6" t="str">
        <f>IFERROR(VLOOKUP($B77,'Lista - Âmbito Projeto GD'!$B$3:$K$71,9,0),"Campo eliminado")</f>
        <v>Campo eliminado</v>
      </c>
      <c r="S77" s="6" t="str">
        <f t="shared" si="9"/>
        <v>Campo eliminado</v>
      </c>
      <c r="U77" s="6" t="str">
        <f>VLOOKUP(B77,DataLake!$A$4:$A$429,1,0)</f>
        <v>ENTITY_TTL_LVRG_RT</v>
      </c>
    </row>
    <row r="78" spans="1:21" ht="15" hidden="1" customHeight="1" x14ac:dyDescent="0.3">
      <c r="A78" s="7" t="s">
        <v>241</v>
      </c>
      <c r="B78" s="47" t="str">
        <f t="shared" si="5"/>
        <v>ENTITY_TTL_LVRG_RT_PRVS</v>
      </c>
      <c r="C78" s="8" t="s">
        <v>10</v>
      </c>
      <c r="D78" s="9" t="s">
        <v>242</v>
      </c>
      <c r="E78" s="11" t="s">
        <v>243</v>
      </c>
      <c r="F78" s="10" t="s">
        <v>13</v>
      </c>
      <c r="G78" s="10" t="s">
        <v>11</v>
      </c>
      <c r="H78" s="10" t="s">
        <v>11</v>
      </c>
      <c r="I78" s="10" t="s">
        <v>11</v>
      </c>
      <c r="J78" s="10" t="s">
        <v>242</v>
      </c>
      <c r="L78" s="6" t="str">
        <f>IFERROR(VLOOKUP($B78,'Lista - Âmbito Projeto GD'!$B$3:$F$71,5,0),"Campo eliminado")</f>
        <v>Campo eliminado</v>
      </c>
      <c r="M78" s="6" t="str">
        <f t="shared" si="6"/>
        <v>Campo eliminado</v>
      </c>
      <c r="N78" s="6" t="str">
        <f>IFERROR(VLOOKUP($B78,'Lista - Âmbito Projeto GD'!$B$3:$K$71,6,0),"Campo eliminado")</f>
        <v>Campo eliminado</v>
      </c>
      <c r="O78" s="6" t="str">
        <f t="shared" si="7"/>
        <v>Campo eliminado</v>
      </c>
      <c r="P78" s="6" t="str">
        <f>IFERROR(VLOOKUP($B78,'Lista - Âmbito Projeto GD'!$B$3:$K$71,7,0),"Campo eliminado")</f>
        <v>Campo eliminado</v>
      </c>
      <c r="Q78" s="6" t="str">
        <f t="shared" si="8"/>
        <v>Campo eliminado</v>
      </c>
      <c r="R78" s="6" t="str">
        <f>IFERROR(VLOOKUP($B78,'Lista - Âmbito Projeto GD'!$B$3:$K$71,9,0),"Campo eliminado")</f>
        <v>Campo eliminado</v>
      </c>
      <c r="S78" s="6" t="str">
        <f t="shared" si="9"/>
        <v>Campo eliminado</v>
      </c>
      <c r="U78" s="6" t="str">
        <f>VLOOKUP(B78,DataLake!$A$4:$A$429,1,0)</f>
        <v>ENTITY_TTL_LVRG_RT_PRVS</v>
      </c>
    </row>
    <row r="79" spans="1:21" ht="15" hidden="1" customHeight="1" x14ac:dyDescent="0.3">
      <c r="A79" s="7" t="s">
        <v>244</v>
      </c>
      <c r="B79" s="47" t="str">
        <f t="shared" si="5"/>
        <v>ENTITY_DBT_RPYMNT_CPCTY_SNR_DBT</v>
      </c>
      <c r="C79" s="8" t="s">
        <v>10</v>
      </c>
      <c r="D79" s="9" t="s">
        <v>245</v>
      </c>
      <c r="E79" s="11" t="s">
        <v>246</v>
      </c>
      <c r="F79" s="10" t="s">
        <v>13</v>
      </c>
      <c r="G79" s="10" t="s">
        <v>11</v>
      </c>
      <c r="H79" s="10" t="s">
        <v>11</v>
      </c>
      <c r="I79" s="10" t="s">
        <v>11</v>
      </c>
      <c r="J79" s="10" t="s">
        <v>245</v>
      </c>
      <c r="L79" s="6" t="str">
        <f>IFERROR(VLOOKUP($B79,'Lista - Âmbito Projeto GD'!$B$3:$F$71,5,0),"Campo eliminado")</f>
        <v>Campo eliminado</v>
      </c>
      <c r="M79" s="6" t="str">
        <f t="shared" si="6"/>
        <v>Campo eliminado</v>
      </c>
      <c r="N79" s="6" t="str">
        <f>IFERROR(VLOOKUP($B79,'Lista - Âmbito Projeto GD'!$B$3:$K$71,6,0),"Campo eliminado")</f>
        <v>Campo eliminado</v>
      </c>
      <c r="O79" s="6" t="str">
        <f t="shared" si="7"/>
        <v>Campo eliminado</v>
      </c>
      <c r="P79" s="6" t="str">
        <f>IFERROR(VLOOKUP($B79,'Lista - Âmbito Projeto GD'!$B$3:$K$71,7,0),"Campo eliminado")</f>
        <v>Campo eliminado</v>
      </c>
      <c r="Q79" s="6" t="str">
        <f t="shared" si="8"/>
        <v>Campo eliminado</v>
      </c>
      <c r="R79" s="6" t="str">
        <f>IFERROR(VLOOKUP($B79,'Lista - Âmbito Projeto GD'!$B$3:$K$71,9,0),"Campo eliminado")</f>
        <v>Campo eliminado</v>
      </c>
      <c r="S79" s="6" t="str">
        <f t="shared" si="9"/>
        <v>Campo eliminado</v>
      </c>
      <c r="U79" s="6" t="str">
        <f>VLOOKUP(B79,DataLake!$A$4:$A$429,1,0)</f>
        <v>ENTITY_DBT_RPYMNT_CPCTY_SNR_DBT</v>
      </c>
    </row>
    <row r="80" spans="1:21" ht="15" hidden="1" customHeight="1" x14ac:dyDescent="0.3">
      <c r="A80" s="7" t="s">
        <v>247</v>
      </c>
      <c r="B80" s="47" t="str">
        <f t="shared" si="5"/>
        <v>ENTITY_DBT_RPYMNT_CPCTY_TTL</v>
      </c>
      <c r="C80" s="8" t="s">
        <v>10</v>
      </c>
      <c r="D80" s="9" t="s">
        <v>248</v>
      </c>
      <c r="E80" s="11" t="s">
        <v>249</v>
      </c>
      <c r="F80" s="10" t="s">
        <v>13</v>
      </c>
      <c r="G80" s="10" t="s">
        <v>11</v>
      </c>
      <c r="H80" s="10" t="s">
        <v>11</v>
      </c>
      <c r="I80" s="10" t="s">
        <v>11</v>
      </c>
      <c r="J80" s="10" t="s">
        <v>248</v>
      </c>
      <c r="L80" s="6" t="str">
        <f>IFERROR(VLOOKUP($B80,'Lista - Âmbito Projeto GD'!$B$3:$F$71,5,0),"Campo eliminado")</f>
        <v>Campo eliminado</v>
      </c>
      <c r="M80" s="6" t="str">
        <f t="shared" si="6"/>
        <v>Campo eliminado</v>
      </c>
      <c r="N80" s="6" t="str">
        <f>IFERROR(VLOOKUP($B80,'Lista - Âmbito Projeto GD'!$B$3:$K$71,6,0),"Campo eliminado")</f>
        <v>Campo eliminado</v>
      </c>
      <c r="O80" s="6" t="str">
        <f t="shared" si="7"/>
        <v>Campo eliminado</v>
      </c>
      <c r="P80" s="6" t="str">
        <f>IFERROR(VLOOKUP($B80,'Lista - Âmbito Projeto GD'!$B$3:$K$71,7,0),"Campo eliminado")</f>
        <v>Campo eliminado</v>
      </c>
      <c r="Q80" s="6" t="str">
        <f t="shared" si="8"/>
        <v>Campo eliminado</v>
      </c>
      <c r="R80" s="6" t="str">
        <f>IFERROR(VLOOKUP($B80,'Lista - Âmbito Projeto GD'!$B$3:$K$71,9,0),"Campo eliminado")</f>
        <v>Campo eliminado</v>
      </c>
      <c r="S80" s="6" t="str">
        <f t="shared" si="9"/>
        <v>Campo eliminado</v>
      </c>
      <c r="U80" s="6" t="str">
        <f>VLOOKUP(B80,DataLake!$A$4:$A$429,1,0)</f>
        <v>ENTITY_DBT_RPYMNT_CPCTY_TTL</v>
      </c>
    </row>
    <row r="81" spans="1:21" ht="15" hidden="1" customHeight="1" x14ac:dyDescent="0.3">
      <c r="A81" s="7" t="s">
        <v>250</v>
      </c>
      <c r="B81" s="47" t="str">
        <f t="shared" si="5"/>
        <v>ENTITY_DBT_SRVC_RT</v>
      </c>
      <c r="C81" s="8" t="s">
        <v>10</v>
      </c>
      <c r="D81" s="9" t="s">
        <v>251</v>
      </c>
      <c r="E81" s="11" t="s">
        <v>252</v>
      </c>
      <c r="F81" s="10" t="s">
        <v>13</v>
      </c>
      <c r="G81" s="10" t="s">
        <v>11</v>
      </c>
      <c r="H81" s="10" t="s">
        <v>11</v>
      </c>
      <c r="I81" s="10" t="s">
        <v>11</v>
      </c>
      <c r="J81" s="10" t="s">
        <v>251</v>
      </c>
      <c r="L81" s="6" t="str">
        <f>IFERROR(VLOOKUP($B81,'Lista - Âmbito Projeto GD'!$B$3:$F$71,5,0),"Campo eliminado")</f>
        <v>Campo eliminado</v>
      </c>
      <c r="M81" s="6" t="str">
        <f t="shared" si="6"/>
        <v>Campo eliminado</v>
      </c>
      <c r="N81" s="6" t="str">
        <f>IFERROR(VLOOKUP($B81,'Lista - Âmbito Projeto GD'!$B$3:$K$71,6,0),"Campo eliminado")</f>
        <v>Campo eliminado</v>
      </c>
      <c r="O81" s="6" t="str">
        <f t="shared" si="7"/>
        <v>Campo eliminado</v>
      </c>
      <c r="P81" s="6" t="str">
        <f>IFERROR(VLOOKUP($B81,'Lista - Âmbito Projeto GD'!$B$3:$K$71,7,0),"Campo eliminado")</f>
        <v>Campo eliminado</v>
      </c>
      <c r="Q81" s="6" t="str">
        <f t="shared" si="8"/>
        <v>Campo eliminado</v>
      </c>
      <c r="R81" s="6" t="str">
        <f>IFERROR(VLOOKUP($B81,'Lista - Âmbito Projeto GD'!$B$3:$K$71,9,0),"Campo eliminado")</f>
        <v>Campo eliminado</v>
      </c>
      <c r="S81" s="6" t="str">
        <f t="shared" si="9"/>
        <v>Campo eliminado</v>
      </c>
      <c r="U81" s="6" t="str">
        <f>VLOOKUP(B81,DataLake!$A$4:$A$429,1,0)</f>
        <v>ENTITY_DBT_SRVC_RT</v>
      </c>
    </row>
    <row r="82" spans="1:21" ht="15" hidden="1" customHeight="1" x14ac:dyDescent="0.3">
      <c r="A82" s="7" t="s">
        <v>253</v>
      </c>
      <c r="B82" s="47" t="str">
        <f t="shared" si="5"/>
        <v>ENTITY_DBT_SRVC_RT_12M</v>
      </c>
      <c r="C82" s="8" t="s">
        <v>10</v>
      </c>
      <c r="D82" s="9" t="s">
        <v>254</v>
      </c>
      <c r="E82" s="11" t="s">
        <v>255</v>
      </c>
      <c r="F82" s="10" t="s">
        <v>13</v>
      </c>
      <c r="G82" s="10" t="s">
        <v>11</v>
      </c>
      <c r="H82" s="10" t="s">
        <v>11</v>
      </c>
      <c r="I82" s="10" t="s">
        <v>11</v>
      </c>
      <c r="J82" s="10" t="s">
        <v>254</v>
      </c>
      <c r="L82" s="6" t="str">
        <f>IFERROR(VLOOKUP($B82,'Lista - Âmbito Projeto GD'!$B$3:$F$71,5,0),"Campo eliminado")</f>
        <v>Campo eliminado</v>
      </c>
      <c r="M82" s="6" t="str">
        <f t="shared" si="6"/>
        <v>Campo eliminado</v>
      </c>
      <c r="N82" s="6" t="str">
        <f>IFERROR(VLOOKUP($B82,'Lista - Âmbito Projeto GD'!$B$3:$K$71,6,0),"Campo eliminado")</f>
        <v>Campo eliminado</v>
      </c>
      <c r="O82" s="6" t="str">
        <f t="shared" si="7"/>
        <v>Campo eliminado</v>
      </c>
      <c r="P82" s="6" t="str">
        <f>IFERROR(VLOOKUP($B82,'Lista - Âmbito Projeto GD'!$B$3:$K$71,7,0),"Campo eliminado")</f>
        <v>Campo eliminado</v>
      </c>
      <c r="Q82" s="6" t="str">
        <f t="shared" si="8"/>
        <v>Campo eliminado</v>
      </c>
      <c r="R82" s="6" t="str">
        <f>IFERROR(VLOOKUP($B82,'Lista - Âmbito Projeto GD'!$B$3:$K$71,9,0),"Campo eliminado")</f>
        <v>Campo eliminado</v>
      </c>
      <c r="S82" s="6" t="str">
        <f t="shared" si="9"/>
        <v>Campo eliminado</v>
      </c>
      <c r="U82" s="6" t="str">
        <f>VLOOKUP(B82,DataLake!$A$4:$A$429,1,0)</f>
        <v>ENTITY_DBT_SRVC_RT_12M</v>
      </c>
    </row>
    <row r="83" spans="1:21" ht="15" hidden="1" customHeight="1" x14ac:dyDescent="0.3">
      <c r="A83" s="7" t="s">
        <v>256</v>
      </c>
      <c r="B83" s="47" t="str">
        <f t="shared" si="5"/>
        <v>ENTITY_PD_CRR_RD</v>
      </c>
      <c r="C83" s="8" t="s">
        <v>10</v>
      </c>
      <c r="D83" s="9" t="s">
        <v>257</v>
      </c>
      <c r="E83" s="11" t="s">
        <v>258</v>
      </c>
      <c r="F83" s="10" t="s">
        <v>13</v>
      </c>
      <c r="G83" s="10" t="s">
        <v>11</v>
      </c>
      <c r="H83" s="10" t="s">
        <v>11</v>
      </c>
      <c r="I83" s="10" t="s">
        <v>11</v>
      </c>
      <c r="J83" s="10" t="s">
        <v>11</v>
      </c>
      <c r="L83" s="6" t="str">
        <f>IFERROR(VLOOKUP($B83,'Lista - Âmbito Projeto GD'!$B$3:$F$71,5,0),"Campo eliminado")</f>
        <v>Campo eliminado</v>
      </c>
      <c r="M83" s="6" t="str">
        <f t="shared" si="6"/>
        <v>Campo eliminado</v>
      </c>
      <c r="N83" s="6" t="str">
        <f>IFERROR(VLOOKUP($B83,'Lista - Âmbito Projeto GD'!$B$3:$K$71,6,0),"Campo eliminado")</f>
        <v>Campo eliminado</v>
      </c>
      <c r="O83" s="6" t="str">
        <f t="shared" si="7"/>
        <v>Campo eliminado</v>
      </c>
      <c r="P83" s="6" t="str">
        <f>IFERROR(VLOOKUP($B83,'Lista - Âmbito Projeto GD'!$B$3:$K$71,7,0),"Campo eliminado")</f>
        <v>Campo eliminado</v>
      </c>
      <c r="Q83" s="6" t="str">
        <f t="shared" si="8"/>
        <v>Campo eliminado</v>
      </c>
      <c r="R83" s="6" t="str">
        <f>IFERROR(VLOOKUP($B83,'Lista - Âmbito Projeto GD'!$B$3:$K$71,9,0),"Campo eliminado")</f>
        <v>Campo eliminado</v>
      </c>
      <c r="S83" s="6" t="str">
        <f t="shared" si="9"/>
        <v>Campo eliminado</v>
      </c>
      <c r="U83" s="6" t="str">
        <f>VLOOKUP(B83,DataLake!$A$4:$A$429,1,0)</f>
        <v>ENTITY_PD_CRR_RD</v>
      </c>
    </row>
    <row r="84" spans="1:21" ht="15" hidden="1" customHeight="1" x14ac:dyDescent="0.3">
      <c r="A84" s="7" t="s">
        <v>259</v>
      </c>
      <c r="B84" s="47" t="str">
        <f t="shared" si="5"/>
        <v>ENTITY_PD_IFRS9_12M_RD</v>
      </c>
      <c r="C84" s="8" t="s">
        <v>10</v>
      </c>
      <c r="D84" s="9" t="s">
        <v>260</v>
      </c>
      <c r="E84" s="11" t="s">
        <v>261</v>
      </c>
      <c r="F84" s="10" t="s">
        <v>13</v>
      </c>
      <c r="G84" s="10" t="s">
        <v>11</v>
      </c>
      <c r="H84" s="10" t="s">
        <v>11</v>
      </c>
      <c r="I84" s="10" t="s">
        <v>11</v>
      </c>
      <c r="J84" s="10" t="s">
        <v>11</v>
      </c>
      <c r="L84" s="6" t="str">
        <f>IFERROR(VLOOKUP($B84,'Lista - Âmbito Projeto GD'!$B$3:$F$71,5,0),"Campo eliminado")</f>
        <v>Campo eliminado</v>
      </c>
      <c r="M84" s="6" t="str">
        <f t="shared" si="6"/>
        <v>Campo eliminado</v>
      </c>
      <c r="N84" s="6" t="str">
        <f>IFERROR(VLOOKUP($B84,'Lista - Âmbito Projeto GD'!$B$3:$K$71,6,0),"Campo eliminado")</f>
        <v>Campo eliminado</v>
      </c>
      <c r="O84" s="6" t="str">
        <f t="shared" si="7"/>
        <v>Campo eliminado</v>
      </c>
      <c r="P84" s="6" t="str">
        <f>IFERROR(VLOOKUP($B84,'Lista - Âmbito Projeto GD'!$B$3:$K$71,7,0),"Campo eliminado")</f>
        <v>Campo eliminado</v>
      </c>
      <c r="Q84" s="6" t="str">
        <f t="shared" si="8"/>
        <v>Campo eliminado</v>
      </c>
      <c r="R84" s="6" t="str">
        <f>IFERROR(VLOOKUP($B84,'Lista - Âmbito Projeto GD'!$B$3:$K$71,9,0),"Campo eliminado")</f>
        <v>Campo eliminado</v>
      </c>
      <c r="S84" s="6" t="str">
        <f t="shared" si="9"/>
        <v>Campo eliminado</v>
      </c>
      <c r="U84" s="6" t="str">
        <f>VLOOKUP(B84,DataLake!$A$4:$A$429,1,0)</f>
        <v>ENTITY_PD_IFRS9_12M_RD</v>
      </c>
    </row>
    <row r="85" spans="1:21" ht="15" hidden="1" customHeight="1" x14ac:dyDescent="0.3">
      <c r="A85" s="7" t="s">
        <v>262</v>
      </c>
      <c r="B85" s="47" t="str">
        <f t="shared" si="5"/>
        <v>ENTITY_PD_IFRS9_12M_RD_T1</v>
      </c>
      <c r="C85" s="8" t="s">
        <v>10</v>
      </c>
      <c r="D85" s="9" t="s">
        <v>263</v>
      </c>
      <c r="E85" s="11" t="s">
        <v>264</v>
      </c>
      <c r="F85" s="10" t="s">
        <v>13</v>
      </c>
      <c r="G85" s="10" t="s">
        <v>11</v>
      </c>
      <c r="H85" s="10" t="s">
        <v>11</v>
      </c>
      <c r="I85" s="10" t="s">
        <v>11</v>
      </c>
      <c r="J85" s="10" t="s">
        <v>11</v>
      </c>
      <c r="L85" s="6" t="str">
        <f>IFERROR(VLOOKUP($B85,'Lista - Âmbito Projeto GD'!$B$3:$F$71,5,0),"Campo eliminado")</f>
        <v>Campo eliminado</v>
      </c>
      <c r="M85" s="6" t="str">
        <f t="shared" si="6"/>
        <v>Campo eliminado</v>
      </c>
      <c r="N85" s="6" t="str">
        <f>IFERROR(VLOOKUP($B85,'Lista - Âmbito Projeto GD'!$B$3:$K$71,6,0),"Campo eliminado")</f>
        <v>Campo eliminado</v>
      </c>
      <c r="O85" s="6" t="str">
        <f t="shared" si="7"/>
        <v>Campo eliminado</v>
      </c>
      <c r="P85" s="6" t="str">
        <f>IFERROR(VLOOKUP($B85,'Lista - Âmbito Projeto GD'!$B$3:$K$71,7,0),"Campo eliminado")</f>
        <v>Campo eliminado</v>
      </c>
      <c r="Q85" s="6" t="str">
        <f t="shared" si="8"/>
        <v>Campo eliminado</v>
      </c>
      <c r="R85" s="6" t="str">
        <f>IFERROR(VLOOKUP($B85,'Lista - Âmbito Projeto GD'!$B$3:$K$71,9,0),"Campo eliminado")</f>
        <v>Campo eliminado</v>
      </c>
      <c r="S85" s="6" t="str">
        <f t="shared" si="9"/>
        <v>Campo eliminado</v>
      </c>
      <c r="U85" s="6" t="str">
        <f>VLOOKUP(B85,DataLake!$A$4:$A$429,1,0)</f>
        <v>ENTITY_PD_IFRS9_12M_RD_T1</v>
      </c>
    </row>
    <row r="86" spans="1:21" ht="15" hidden="1" customHeight="1" x14ac:dyDescent="0.3">
      <c r="A86" s="7" t="s">
        <v>265</v>
      </c>
      <c r="B86" s="47" t="str">
        <f t="shared" si="5"/>
        <v>ENTITY_TAX_ID</v>
      </c>
      <c r="C86" s="8" t="s">
        <v>10</v>
      </c>
      <c r="D86" s="9" t="s">
        <v>266</v>
      </c>
      <c r="E86" s="11" t="s">
        <v>267</v>
      </c>
      <c r="F86" s="10" t="s">
        <v>13</v>
      </c>
      <c r="G86" s="10" t="s">
        <v>11</v>
      </c>
      <c r="H86" s="10" t="s">
        <v>11</v>
      </c>
      <c r="I86" s="10" t="s">
        <v>11</v>
      </c>
      <c r="J86" s="10" t="s">
        <v>11</v>
      </c>
      <c r="L86" s="6" t="str">
        <f>IFERROR(VLOOKUP($B86,'Lista - Âmbito Projeto GD'!$B$3:$F$71,5,0),"Campo eliminado")</f>
        <v>Campo eliminado</v>
      </c>
      <c r="M86" s="6" t="str">
        <f t="shared" si="6"/>
        <v>Campo eliminado</v>
      </c>
      <c r="N86" s="6" t="str">
        <f>IFERROR(VLOOKUP($B86,'Lista - Âmbito Projeto GD'!$B$3:$K$71,6,0),"Campo eliminado")</f>
        <v>Campo eliminado</v>
      </c>
      <c r="O86" s="6" t="str">
        <f t="shared" si="7"/>
        <v>Campo eliminado</v>
      </c>
      <c r="P86" s="6" t="str">
        <f>IFERROR(VLOOKUP($B86,'Lista - Âmbito Projeto GD'!$B$3:$K$71,7,0),"Campo eliminado")</f>
        <v>Campo eliminado</v>
      </c>
      <c r="Q86" s="6" t="str">
        <f t="shared" si="8"/>
        <v>Campo eliminado</v>
      </c>
      <c r="R86" s="6" t="str">
        <f>IFERROR(VLOOKUP($B86,'Lista - Âmbito Projeto GD'!$B$3:$K$71,9,0),"Campo eliminado")</f>
        <v>Campo eliminado</v>
      </c>
      <c r="S86" s="6" t="str">
        <f t="shared" si="9"/>
        <v>Campo eliminado</v>
      </c>
      <c r="U86" s="6" t="str">
        <f>VLOOKUP(B86,DataLake!$A$4:$A$429,1,0)</f>
        <v>ENTITY_TAX_ID</v>
      </c>
    </row>
    <row r="87" spans="1:21" ht="15" hidden="1" customHeight="1" x14ac:dyDescent="0.3">
      <c r="A87" s="7" t="s">
        <v>268</v>
      </c>
      <c r="B87" s="47" t="str">
        <f t="shared" si="5"/>
        <v>ENTITY_ANNL_TRNVR_LE_BDR</v>
      </c>
      <c r="C87" s="8" t="s">
        <v>10</v>
      </c>
      <c r="D87" s="9" t="s">
        <v>269</v>
      </c>
      <c r="E87" s="11" t="s">
        <v>270</v>
      </c>
      <c r="F87" s="10" t="s">
        <v>13</v>
      </c>
      <c r="G87" s="10" t="s">
        <v>11</v>
      </c>
      <c r="H87" s="10" t="s">
        <v>11</v>
      </c>
      <c r="I87" s="10" t="s">
        <v>11</v>
      </c>
      <c r="J87" s="10" t="s">
        <v>11</v>
      </c>
      <c r="L87" s="6" t="str">
        <f>IFERROR(VLOOKUP($B87,'Lista - Âmbito Projeto GD'!$B$3:$F$71,5,0),"Campo eliminado")</f>
        <v>Campo eliminado</v>
      </c>
      <c r="M87" s="6" t="str">
        <f t="shared" si="6"/>
        <v>Campo eliminado</v>
      </c>
      <c r="N87" s="6" t="str">
        <f>IFERROR(VLOOKUP($B87,'Lista - Âmbito Projeto GD'!$B$3:$K$71,6,0),"Campo eliminado")</f>
        <v>Campo eliminado</v>
      </c>
      <c r="O87" s="6" t="str">
        <f t="shared" si="7"/>
        <v>Campo eliminado</v>
      </c>
      <c r="P87" s="6" t="str">
        <f>IFERROR(VLOOKUP($B87,'Lista - Âmbito Projeto GD'!$B$3:$K$71,7,0),"Campo eliminado")</f>
        <v>Campo eliminado</v>
      </c>
      <c r="Q87" s="6" t="str">
        <f t="shared" si="8"/>
        <v>Campo eliminado</v>
      </c>
      <c r="R87" s="6" t="str">
        <f>IFERROR(VLOOKUP($B87,'Lista - Âmbito Projeto GD'!$B$3:$K$71,9,0),"Campo eliminado")</f>
        <v>Campo eliminado</v>
      </c>
      <c r="S87" s="6" t="str">
        <f t="shared" si="9"/>
        <v>Campo eliminado</v>
      </c>
      <c r="U87" s="6" t="str">
        <f>VLOOKUP(B87,DataLake!$A$4:$A$429,1,0)</f>
        <v>ENTITY_ANNL_TRNVR_LE_BDR</v>
      </c>
    </row>
    <row r="88" spans="1:21" ht="15" hidden="1" customHeight="1" x14ac:dyDescent="0.3">
      <c r="A88" s="7" t="s">
        <v>271</v>
      </c>
      <c r="B88" s="47" t="str">
        <f t="shared" si="5"/>
        <v>ENTITY_ANNL_TRNVR_PRVS_BDR</v>
      </c>
      <c r="C88" s="8" t="s">
        <v>10</v>
      </c>
      <c r="D88" s="9" t="s">
        <v>272</v>
      </c>
      <c r="E88" s="11" t="s">
        <v>273</v>
      </c>
      <c r="F88" s="10" t="s">
        <v>13</v>
      </c>
      <c r="G88" s="10" t="s">
        <v>11</v>
      </c>
      <c r="H88" s="10" t="s">
        <v>11</v>
      </c>
      <c r="I88" s="10" t="s">
        <v>11</v>
      </c>
      <c r="J88" s="10" t="s">
        <v>11</v>
      </c>
      <c r="L88" s="6" t="str">
        <f>IFERROR(VLOOKUP($B88,'Lista - Âmbito Projeto GD'!$B$3:$F$71,5,0),"Campo eliminado")</f>
        <v>Campo eliminado</v>
      </c>
      <c r="M88" s="6" t="str">
        <f t="shared" si="6"/>
        <v>Campo eliminado</v>
      </c>
      <c r="N88" s="6" t="str">
        <f>IFERROR(VLOOKUP($B88,'Lista - Âmbito Projeto GD'!$B$3:$K$71,6,0),"Campo eliminado")</f>
        <v>Campo eliminado</v>
      </c>
      <c r="O88" s="6" t="str">
        <f t="shared" si="7"/>
        <v>Campo eliminado</v>
      </c>
      <c r="P88" s="6" t="str">
        <f>IFERROR(VLOOKUP($B88,'Lista - Âmbito Projeto GD'!$B$3:$K$71,7,0),"Campo eliminado")</f>
        <v>Campo eliminado</v>
      </c>
      <c r="Q88" s="6" t="str">
        <f t="shared" si="8"/>
        <v>Campo eliminado</v>
      </c>
      <c r="R88" s="6" t="str">
        <f>IFERROR(VLOOKUP($B88,'Lista - Âmbito Projeto GD'!$B$3:$K$71,9,0),"Campo eliminado")</f>
        <v>Campo eliminado</v>
      </c>
      <c r="S88" s="6" t="str">
        <f t="shared" si="9"/>
        <v>Campo eliminado</v>
      </c>
      <c r="U88" s="6" t="str">
        <f>VLOOKUP(B88,DataLake!$A$4:$A$429,1,0)</f>
        <v>ENTITY_ANNL_TRNVR_PRVS_BDR</v>
      </c>
    </row>
    <row r="89" spans="1:21" ht="15" hidden="1" customHeight="1" x14ac:dyDescent="0.3">
      <c r="A89" s="7" t="s">
        <v>274</v>
      </c>
      <c r="B89" s="47" t="str">
        <f t="shared" si="5"/>
        <v>ENTITY_OSI_ID</v>
      </c>
      <c r="C89" s="8" t="s">
        <v>10</v>
      </c>
      <c r="D89" s="9" t="s">
        <v>275</v>
      </c>
      <c r="E89" s="11" t="s">
        <v>276</v>
      </c>
      <c r="F89" s="10" t="s">
        <v>13</v>
      </c>
      <c r="G89" s="10" t="s">
        <v>11</v>
      </c>
      <c r="H89" s="10" t="s">
        <v>11</v>
      </c>
      <c r="I89" s="10" t="s">
        <v>11</v>
      </c>
      <c r="J89" s="10" t="s">
        <v>11</v>
      </c>
      <c r="L89" s="6" t="str">
        <f>IFERROR(VLOOKUP($B89,'Lista - Âmbito Projeto GD'!$B$3:$F$71,5,0),"Campo eliminado")</f>
        <v>Campo eliminado</v>
      </c>
      <c r="M89" s="6" t="str">
        <f t="shared" si="6"/>
        <v>Campo eliminado</v>
      </c>
      <c r="N89" s="6" t="str">
        <f>IFERROR(VLOOKUP($B89,'Lista - Âmbito Projeto GD'!$B$3:$K$71,6,0),"Campo eliminado")</f>
        <v>Campo eliminado</v>
      </c>
      <c r="O89" s="6" t="str">
        <f t="shared" si="7"/>
        <v>Campo eliminado</v>
      </c>
      <c r="P89" s="6" t="str">
        <f>IFERROR(VLOOKUP($B89,'Lista - Âmbito Projeto GD'!$B$3:$K$71,7,0),"Campo eliminado")</f>
        <v>Campo eliminado</v>
      </c>
      <c r="Q89" s="6" t="str">
        <f t="shared" si="8"/>
        <v>Campo eliminado</v>
      </c>
      <c r="R89" s="6" t="str">
        <f>IFERROR(VLOOKUP($B89,'Lista - Âmbito Projeto GD'!$B$3:$K$71,9,0),"Campo eliminado")</f>
        <v>Campo eliminado</v>
      </c>
      <c r="S89" s="6" t="str">
        <f t="shared" si="9"/>
        <v>Campo eliminado</v>
      </c>
      <c r="U89" s="6" t="str">
        <f>VLOOKUP(B89,DataLake!$A$4:$A$429,1,0)</f>
        <v>ENTITY_OSI_ID</v>
      </c>
    </row>
    <row r="90" spans="1:21" ht="15" hidden="1" customHeight="1" x14ac:dyDescent="0.3">
      <c r="A90" s="7" t="s">
        <v>277</v>
      </c>
      <c r="B90" s="47" t="str">
        <f t="shared" si="5"/>
        <v>ENTITY_PD_CRR_RD_T1</v>
      </c>
      <c r="C90" s="8" t="s">
        <v>10</v>
      </c>
      <c r="D90" s="9" t="s">
        <v>278</v>
      </c>
      <c r="E90" s="11" t="s">
        <v>279</v>
      </c>
      <c r="F90" s="10" t="s">
        <v>13</v>
      </c>
      <c r="G90" s="10" t="s">
        <v>11</v>
      </c>
      <c r="H90" s="10" t="s">
        <v>11</v>
      </c>
      <c r="I90" s="10" t="s">
        <v>11</v>
      </c>
      <c r="J90" s="10" t="s">
        <v>11</v>
      </c>
      <c r="L90" s="6" t="str">
        <f>IFERROR(VLOOKUP($B90,'Lista - Âmbito Projeto GD'!$B$3:$F$71,5,0),"Campo eliminado")</f>
        <v>Campo eliminado</v>
      </c>
      <c r="M90" s="6" t="str">
        <f t="shared" si="6"/>
        <v>Campo eliminado</v>
      </c>
      <c r="N90" s="6" t="str">
        <f>IFERROR(VLOOKUP($B90,'Lista - Âmbito Projeto GD'!$B$3:$K$71,6,0),"Campo eliminado")</f>
        <v>Campo eliminado</v>
      </c>
      <c r="O90" s="6" t="str">
        <f t="shared" si="7"/>
        <v>Campo eliminado</v>
      </c>
      <c r="P90" s="6" t="str">
        <f>IFERROR(VLOOKUP($B90,'Lista - Âmbito Projeto GD'!$B$3:$K$71,7,0),"Campo eliminado")</f>
        <v>Campo eliminado</v>
      </c>
      <c r="Q90" s="6" t="str">
        <f t="shared" si="8"/>
        <v>Campo eliminado</v>
      </c>
      <c r="R90" s="6" t="str">
        <f>IFERROR(VLOOKUP($B90,'Lista - Âmbito Projeto GD'!$B$3:$K$71,9,0),"Campo eliminado")</f>
        <v>Campo eliminado</v>
      </c>
      <c r="S90" s="6" t="str">
        <f t="shared" si="9"/>
        <v>Campo eliminado</v>
      </c>
      <c r="U90" s="6" t="str">
        <f>VLOOKUP(B90,DataLake!$A$4:$A$429,1,0)</f>
        <v>ENTITY_PD_CRR_RD_T1</v>
      </c>
    </row>
    <row r="91" spans="1:21" ht="15" hidden="1" customHeight="1" x14ac:dyDescent="0.3">
      <c r="A91" s="7" t="s">
        <v>280</v>
      </c>
      <c r="B91" s="47" t="str">
        <f t="shared" si="5"/>
        <v>ENTITY_EC_GRP_ID</v>
      </c>
      <c r="C91" s="8" t="s">
        <v>10</v>
      </c>
      <c r="D91" s="9" t="s">
        <v>281</v>
      </c>
      <c r="E91" s="11" t="s">
        <v>282</v>
      </c>
      <c r="F91" s="10" t="s">
        <v>13</v>
      </c>
      <c r="G91" s="10" t="s">
        <v>11</v>
      </c>
      <c r="H91" s="10" t="s">
        <v>11</v>
      </c>
      <c r="I91" s="10" t="s">
        <v>11</v>
      </c>
      <c r="J91" s="10" t="s">
        <v>11</v>
      </c>
      <c r="L91" s="6" t="str">
        <f>IFERROR(VLOOKUP($B91,'Lista - Âmbito Projeto GD'!$B$3:$F$71,5,0),"Campo eliminado")</f>
        <v>Campo eliminado</v>
      </c>
      <c r="M91" s="6" t="str">
        <f t="shared" si="6"/>
        <v>Campo eliminado</v>
      </c>
      <c r="N91" s="6" t="str">
        <f>IFERROR(VLOOKUP($B91,'Lista - Âmbito Projeto GD'!$B$3:$K$71,6,0),"Campo eliminado")</f>
        <v>Campo eliminado</v>
      </c>
      <c r="O91" s="6" t="str">
        <f t="shared" si="7"/>
        <v>Campo eliminado</v>
      </c>
      <c r="P91" s="6" t="str">
        <f>IFERROR(VLOOKUP($B91,'Lista - Âmbito Projeto GD'!$B$3:$K$71,7,0),"Campo eliminado")</f>
        <v>Campo eliminado</v>
      </c>
      <c r="Q91" s="6" t="str">
        <f t="shared" si="8"/>
        <v>Campo eliminado</v>
      </c>
      <c r="R91" s="6" t="str">
        <f>IFERROR(VLOOKUP($B91,'Lista - Âmbito Projeto GD'!$B$3:$K$71,9,0),"Campo eliminado")</f>
        <v>Campo eliminado</v>
      </c>
      <c r="S91" s="6" t="str">
        <f t="shared" si="9"/>
        <v>Campo eliminado</v>
      </c>
      <c r="U91" s="6" t="str">
        <f>VLOOKUP(B91,DataLake!$A$4:$A$429,1,0)</f>
        <v>ENTITY_EC_GRP_ID</v>
      </c>
    </row>
    <row r="92" spans="1:21" ht="15" hidden="1" customHeight="1" x14ac:dyDescent="0.3">
      <c r="A92" s="7" t="s">
        <v>283</v>
      </c>
      <c r="B92" s="47" t="str">
        <f t="shared" si="5"/>
        <v>ENTITY_EC_GRP_NM</v>
      </c>
      <c r="C92" s="8" t="s">
        <v>10</v>
      </c>
      <c r="D92" s="9" t="s">
        <v>284</v>
      </c>
      <c r="E92" s="11" t="s">
        <v>285</v>
      </c>
      <c r="F92" s="10" t="s">
        <v>13</v>
      </c>
      <c r="G92" s="10" t="s">
        <v>11</v>
      </c>
      <c r="H92" s="10" t="s">
        <v>11</v>
      </c>
      <c r="I92" s="10" t="s">
        <v>11</v>
      </c>
      <c r="J92" s="10" t="s">
        <v>11</v>
      </c>
      <c r="L92" s="6" t="str">
        <f>IFERROR(VLOOKUP($B92,'Lista - Âmbito Projeto GD'!$B$3:$F$71,5,0),"Campo eliminado")</f>
        <v>Campo eliminado</v>
      </c>
      <c r="M92" s="6" t="str">
        <f t="shared" si="6"/>
        <v>Campo eliminado</v>
      </c>
      <c r="N92" s="6" t="str">
        <f>IFERROR(VLOOKUP($B92,'Lista - Âmbito Projeto GD'!$B$3:$K$71,6,0),"Campo eliminado")</f>
        <v>Campo eliminado</v>
      </c>
      <c r="O92" s="6" t="str">
        <f t="shared" si="7"/>
        <v>Campo eliminado</v>
      </c>
      <c r="P92" s="6" t="str">
        <f>IFERROR(VLOOKUP($B92,'Lista - Âmbito Projeto GD'!$B$3:$K$71,7,0),"Campo eliminado")</f>
        <v>Campo eliminado</v>
      </c>
      <c r="Q92" s="6" t="str">
        <f t="shared" si="8"/>
        <v>Campo eliminado</v>
      </c>
      <c r="R92" s="6" t="str">
        <f>IFERROR(VLOOKUP($B92,'Lista - Âmbito Projeto GD'!$B$3:$K$71,9,0),"Campo eliminado")</f>
        <v>Campo eliminado</v>
      </c>
      <c r="S92" s="6" t="str">
        <f t="shared" si="9"/>
        <v>Campo eliminado</v>
      </c>
      <c r="U92" s="6" t="str">
        <f>VLOOKUP(B92,DataLake!$A$4:$A$429,1,0)</f>
        <v>ENTITY_EC_GRP_NM</v>
      </c>
    </row>
    <row r="93" spans="1:21" ht="15" hidden="1" customHeight="1" x14ac:dyDescent="0.3">
      <c r="A93" s="16" t="s">
        <v>286</v>
      </c>
      <c r="B93" s="47" t="str">
        <f t="shared" si="5"/>
        <v>ENTITY_PST_CD</v>
      </c>
      <c r="C93" s="8" t="s">
        <v>10</v>
      </c>
      <c r="D93" s="9" t="s">
        <v>287</v>
      </c>
      <c r="E93" s="11" t="s">
        <v>288</v>
      </c>
      <c r="F93" s="10" t="s">
        <v>11</v>
      </c>
      <c r="G93" s="10" t="s">
        <v>11</v>
      </c>
      <c r="H93" s="10" t="s">
        <v>13</v>
      </c>
      <c r="I93" s="10" t="s">
        <v>13</v>
      </c>
      <c r="J93" s="10" t="s">
        <v>11</v>
      </c>
      <c r="L93" s="6" t="str">
        <f>IFERROR(VLOOKUP($B93,'Lista - Âmbito Projeto GD'!$B$3:$F$71,5,0),"Campo eliminado")</f>
        <v>Campo eliminado</v>
      </c>
      <c r="M93" s="6" t="str">
        <f t="shared" si="6"/>
        <v>Campo eliminado</v>
      </c>
      <c r="N93" s="6" t="str">
        <f>IFERROR(VLOOKUP($B93,'Lista - Âmbito Projeto GD'!$B$3:$K$71,6,0),"Campo eliminado")</f>
        <v>Campo eliminado</v>
      </c>
      <c r="O93" s="6" t="str">
        <f t="shared" si="7"/>
        <v>Campo eliminado</v>
      </c>
      <c r="P93" s="6" t="str">
        <f>IFERROR(VLOOKUP($B93,'Lista - Âmbito Projeto GD'!$B$3:$K$71,7,0),"Campo eliminado")</f>
        <v>Campo eliminado</v>
      </c>
      <c r="Q93" s="6" t="str">
        <f t="shared" si="8"/>
        <v>Campo eliminado</v>
      </c>
      <c r="R93" s="6" t="str">
        <f>IFERROR(VLOOKUP($B93,'Lista - Âmbito Projeto GD'!$B$3:$K$71,9,0),"Campo eliminado")</f>
        <v>Campo eliminado</v>
      </c>
      <c r="S93" s="6" t="str">
        <f t="shared" si="9"/>
        <v>Campo eliminado</v>
      </c>
      <c r="U93" s="6" t="str">
        <f>VLOOKUP(B93,DataLake!$A$4:$A$429,1,0)</f>
        <v>ENTITY_PST_CD</v>
      </c>
    </row>
    <row r="94" spans="1:21" ht="15" hidden="1" customHeight="1" x14ac:dyDescent="0.3">
      <c r="A94" s="16" t="s">
        <v>289</v>
      </c>
      <c r="B94" s="47" t="str">
        <f t="shared" si="5"/>
        <v>ENTITY_ESG_SBSCTR</v>
      </c>
      <c r="C94" s="8" t="s">
        <v>10</v>
      </c>
      <c r="D94" s="9" t="s">
        <v>290</v>
      </c>
      <c r="E94" s="11" t="s">
        <v>291</v>
      </c>
      <c r="F94" s="10" t="s">
        <v>11</v>
      </c>
      <c r="G94" s="10" t="s">
        <v>11</v>
      </c>
      <c r="H94" s="10" t="s">
        <v>13</v>
      </c>
      <c r="I94" s="10" t="s">
        <v>11</v>
      </c>
      <c r="J94" s="10" t="s">
        <v>11</v>
      </c>
      <c r="L94" s="6" t="str">
        <f>IFERROR(VLOOKUP($B94,'Lista - Âmbito Projeto GD'!$B$3:$F$71,5,0),"Campo eliminado")</f>
        <v>Campo eliminado</v>
      </c>
      <c r="M94" s="6" t="str">
        <f t="shared" si="6"/>
        <v>Campo eliminado</v>
      </c>
      <c r="N94" s="6" t="str">
        <f>IFERROR(VLOOKUP($B94,'Lista - Âmbito Projeto GD'!$B$3:$K$71,6,0),"Campo eliminado")</f>
        <v>Campo eliminado</v>
      </c>
      <c r="O94" s="6" t="str">
        <f t="shared" si="7"/>
        <v>Campo eliminado</v>
      </c>
      <c r="P94" s="6" t="str">
        <f>IFERROR(VLOOKUP($B94,'Lista - Âmbito Projeto GD'!$B$3:$K$71,7,0),"Campo eliminado")</f>
        <v>Campo eliminado</v>
      </c>
      <c r="Q94" s="6" t="str">
        <f t="shared" si="8"/>
        <v>Campo eliminado</v>
      </c>
      <c r="R94" s="6" t="str">
        <f>IFERROR(VLOOKUP($B94,'Lista - Âmbito Projeto GD'!$B$3:$K$71,9,0),"Campo eliminado")</f>
        <v>Campo eliminado</v>
      </c>
      <c r="S94" s="6" t="str">
        <f t="shared" si="9"/>
        <v>Campo eliminado</v>
      </c>
      <c r="U94" s="6" t="str">
        <f>VLOOKUP(B94,DataLake!$A$4:$A$429,1,0)</f>
        <v>ENTITY_ESG_SBSCTR</v>
      </c>
    </row>
    <row r="95" spans="1:21" ht="14" hidden="1" x14ac:dyDescent="0.3">
      <c r="A95" s="16" t="s">
        <v>292</v>
      </c>
      <c r="B95" s="47" t="str">
        <f t="shared" si="5"/>
        <v>ENTITY_NACE_ESG</v>
      </c>
      <c r="C95" s="8" t="s">
        <v>10</v>
      </c>
      <c r="D95" s="9" t="s">
        <v>293</v>
      </c>
      <c r="E95" s="11" t="s">
        <v>294</v>
      </c>
      <c r="F95" s="10" t="s">
        <v>11</v>
      </c>
      <c r="G95" s="10" t="s">
        <v>11</v>
      </c>
      <c r="H95" s="10" t="s">
        <v>13</v>
      </c>
      <c r="I95" s="10" t="s">
        <v>13</v>
      </c>
      <c r="J95" s="10" t="s">
        <v>11</v>
      </c>
      <c r="L95" s="6" t="str">
        <f>IFERROR(VLOOKUP($B95,'Lista - Âmbito Projeto GD'!$B$3:$F$71,5,0),"Campo eliminado")</f>
        <v>Campo eliminado</v>
      </c>
      <c r="M95" s="6" t="str">
        <f t="shared" si="6"/>
        <v>Campo eliminado</v>
      </c>
      <c r="N95" s="6" t="str">
        <f>IFERROR(VLOOKUP($B95,'Lista - Âmbito Projeto GD'!$B$3:$K$71,6,0),"Campo eliminado")</f>
        <v>Campo eliminado</v>
      </c>
      <c r="O95" s="6" t="str">
        <f t="shared" si="7"/>
        <v>Campo eliminado</v>
      </c>
      <c r="P95" s="6" t="str">
        <f>IFERROR(VLOOKUP($B95,'Lista - Âmbito Projeto GD'!$B$3:$K$71,7,0),"Campo eliminado")</f>
        <v>Campo eliminado</v>
      </c>
      <c r="Q95" s="6" t="str">
        <f t="shared" si="8"/>
        <v>Campo eliminado</v>
      </c>
      <c r="R95" s="6" t="str">
        <f>IFERROR(VLOOKUP($B95,'Lista - Âmbito Projeto GD'!$B$3:$K$71,9,0),"Campo eliminado")</f>
        <v>Campo eliminado</v>
      </c>
      <c r="S95" s="6" t="str">
        <f t="shared" si="9"/>
        <v>Campo eliminado</v>
      </c>
      <c r="U95" s="6" t="str">
        <f>VLOOKUP(B95,DataLake!$A$4:$A$429,1,0)</f>
        <v>ENTITY_NACE_ESG</v>
      </c>
    </row>
    <row r="96" spans="1:21" ht="15" hidden="1" customHeight="1" x14ac:dyDescent="0.3">
      <c r="A96" s="16" t="s">
        <v>295</v>
      </c>
      <c r="B96" s="47" t="str">
        <f t="shared" si="5"/>
        <v>ENTITY_TTL_LBLTY</v>
      </c>
      <c r="C96" s="8" t="s">
        <v>10</v>
      </c>
      <c r="D96" s="9" t="s">
        <v>296</v>
      </c>
      <c r="E96" s="11" t="s">
        <v>297</v>
      </c>
      <c r="F96" s="10" t="s">
        <v>11</v>
      </c>
      <c r="G96" s="10" t="s">
        <v>11</v>
      </c>
      <c r="H96" s="10" t="s">
        <v>13</v>
      </c>
      <c r="I96" s="10" t="s">
        <v>11</v>
      </c>
      <c r="J96" s="10" t="s">
        <v>11</v>
      </c>
      <c r="L96" s="6" t="str">
        <f>IFERROR(VLOOKUP($B96,'Lista - Âmbito Projeto GD'!$B$3:$F$71,5,0),"Campo eliminado")</f>
        <v>Campo eliminado</v>
      </c>
      <c r="M96" s="6" t="str">
        <f t="shared" si="6"/>
        <v>Campo eliminado</v>
      </c>
      <c r="N96" s="6" t="str">
        <f>IFERROR(VLOOKUP($B96,'Lista - Âmbito Projeto GD'!$B$3:$K$71,6,0),"Campo eliminado")</f>
        <v>Campo eliminado</v>
      </c>
      <c r="O96" s="6" t="str">
        <f t="shared" si="7"/>
        <v>Campo eliminado</v>
      </c>
      <c r="P96" s="6" t="str">
        <f>IFERROR(VLOOKUP($B96,'Lista - Âmbito Projeto GD'!$B$3:$K$71,7,0),"Campo eliminado")</f>
        <v>Campo eliminado</v>
      </c>
      <c r="Q96" s="6" t="str">
        <f t="shared" si="8"/>
        <v>Campo eliminado</v>
      </c>
      <c r="R96" s="6" t="str">
        <f>IFERROR(VLOOKUP($B96,'Lista - Âmbito Projeto GD'!$B$3:$K$71,9,0),"Campo eliminado")</f>
        <v>Campo eliminado</v>
      </c>
      <c r="S96" s="6" t="str">
        <f t="shared" si="9"/>
        <v>Campo eliminado</v>
      </c>
      <c r="U96" s="6" t="str">
        <f>VLOOKUP(B96,DataLake!$A$4:$A$429,1,0)</f>
        <v>ENTITY_TTL_LBLTY</v>
      </c>
    </row>
    <row r="97" spans="1:21" ht="15" hidden="1" customHeight="1" x14ac:dyDescent="0.3">
      <c r="A97" s="16" t="s">
        <v>298</v>
      </c>
      <c r="B97" s="47" t="str">
        <f t="shared" si="5"/>
        <v>ENTITY_TXNMY_ELGBL_CAPEX_CCM</v>
      </c>
      <c r="C97" s="8" t="s">
        <v>10</v>
      </c>
      <c r="D97" s="9" t="s">
        <v>299</v>
      </c>
      <c r="E97" s="11" t="s">
        <v>300</v>
      </c>
      <c r="F97" s="10" t="s">
        <v>11</v>
      </c>
      <c r="G97" s="10" t="s">
        <v>11</v>
      </c>
      <c r="H97" s="10" t="s">
        <v>13</v>
      </c>
      <c r="I97" s="10" t="s">
        <v>11</v>
      </c>
      <c r="J97" s="10" t="s">
        <v>11</v>
      </c>
      <c r="L97" s="6" t="str">
        <f>IFERROR(VLOOKUP($B97,'Lista - Âmbito Projeto GD'!$B$3:$F$71,5,0),"Campo eliminado")</f>
        <v>Campo eliminado</v>
      </c>
      <c r="M97" s="6" t="str">
        <f t="shared" si="6"/>
        <v>Campo eliminado</v>
      </c>
      <c r="N97" s="6" t="str">
        <f>IFERROR(VLOOKUP($B97,'Lista - Âmbito Projeto GD'!$B$3:$K$71,6,0),"Campo eliminado")</f>
        <v>Campo eliminado</v>
      </c>
      <c r="O97" s="6" t="str">
        <f t="shared" si="7"/>
        <v>Campo eliminado</v>
      </c>
      <c r="P97" s="6" t="str">
        <f>IFERROR(VLOOKUP($B97,'Lista - Âmbito Projeto GD'!$B$3:$K$71,7,0),"Campo eliminado")</f>
        <v>Campo eliminado</v>
      </c>
      <c r="Q97" s="6" t="str">
        <f t="shared" si="8"/>
        <v>Campo eliminado</v>
      </c>
      <c r="R97" s="6" t="str">
        <f>IFERROR(VLOOKUP($B97,'Lista - Âmbito Projeto GD'!$B$3:$K$71,9,0),"Campo eliminado")</f>
        <v>Campo eliminado</v>
      </c>
      <c r="S97" s="6" t="str">
        <f t="shared" si="9"/>
        <v>Campo eliminado</v>
      </c>
      <c r="U97" s="6" t="str">
        <f>VLOOKUP(B97,DataLake!$A$4:$A$429,1,0)</f>
        <v>ENTITY_TXNMY_ELGBL_CAPEX_CCM</v>
      </c>
    </row>
    <row r="98" spans="1:21" ht="15" hidden="1" customHeight="1" x14ac:dyDescent="0.3">
      <c r="A98" s="16" t="s">
        <v>301</v>
      </c>
      <c r="B98" s="47" t="str">
        <f t="shared" si="5"/>
        <v>ENTITY_TXNMY_ELGBL_TRNVR_CCM</v>
      </c>
      <c r="C98" s="8" t="s">
        <v>10</v>
      </c>
      <c r="D98" s="9" t="s">
        <v>302</v>
      </c>
      <c r="E98" s="11" t="s">
        <v>303</v>
      </c>
      <c r="F98" s="10" t="s">
        <v>11</v>
      </c>
      <c r="G98" s="10" t="s">
        <v>11</v>
      </c>
      <c r="H98" s="10" t="s">
        <v>13</v>
      </c>
      <c r="I98" s="10" t="s">
        <v>11</v>
      </c>
      <c r="J98" s="10" t="s">
        <v>11</v>
      </c>
      <c r="L98" s="6" t="str">
        <f>IFERROR(VLOOKUP($B98,'Lista - Âmbito Projeto GD'!$B$3:$F$71,5,0),"Campo eliminado")</f>
        <v>Campo eliminado</v>
      </c>
      <c r="M98" s="6" t="str">
        <f t="shared" si="6"/>
        <v>Campo eliminado</v>
      </c>
      <c r="N98" s="6" t="str">
        <f>IFERROR(VLOOKUP($B98,'Lista - Âmbito Projeto GD'!$B$3:$K$71,6,0),"Campo eliminado")</f>
        <v>Campo eliminado</v>
      </c>
      <c r="O98" s="6" t="str">
        <f t="shared" si="7"/>
        <v>Campo eliminado</v>
      </c>
      <c r="P98" s="6" t="str">
        <f>IFERROR(VLOOKUP($B98,'Lista - Âmbito Projeto GD'!$B$3:$K$71,7,0),"Campo eliminado")</f>
        <v>Campo eliminado</v>
      </c>
      <c r="Q98" s="6" t="str">
        <f t="shared" si="8"/>
        <v>Campo eliminado</v>
      </c>
      <c r="R98" s="6" t="str">
        <f>IFERROR(VLOOKUP($B98,'Lista - Âmbito Projeto GD'!$B$3:$K$71,9,0),"Campo eliminado")</f>
        <v>Campo eliminado</v>
      </c>
      <c r="S98" s="6" t="str">
        <f t="shared" si="9"/>
        <v>Campo eliminado</v>
      </c>
      <c r="U98" s="6" t="str">
        <f>VLOOKUP(B98,DataLake!$A$4:$A$429,1,0)</f>
        <v>ENTITY_TXNMY_ELGBL_TRNVR_CCM</v>
      </c>
    </row>
    <row r="99" spans="1:21" ht="15" hidden="1" customHeight="1" x14ac:dyDescent="0.3">
      <c r="A99" s="16" t="s">
        <v>304</v>
      </c>
      <c r="B99" s="47" t="str">
        <f t="shared" si="5"/>
        <v>ENTITY_TXNMY_ELGBL_CAPEX_CCA</v>
      </c>
      <c r="C99" s="8" t="s">
        <v>10</v>
      </c>
      <c r="D99" s="9" t="s">
        <v>305</v>
      </c>
      <c r="E99" s="11" t="s">
        <v>306</v>
      </c>
      <c r="F99" s="10" t="s">
        <v>11</v>
      </c>
      <c r="G99" s="10" t="s">
        <v>11</v>
      </c>
      <c r="H99" s="10" t="s">
        <v>13</v>
      </c>
      <c r="I99" s="10" t="s">
        <v>11</v>
      </c>
      <c r="J99" s="10" t="s">
        <v>11</v>
      </c>
      <c r="L99" s="6" t="str">
        <f>IFERROR(VLOOKUP($B99,'Lista - Âmbito Projeto GD'!$B$3:$F$71,5,0),"Campo eliminado")</f>
        <v>Campo eliminado</v>
      </c>
      <c r="M99" s="6" t="str">
        <f t="shared" si="6"/>
        <v>Campo eliminado</v>
      </c>
      <c r="N99" s="6" t="str">
        <f>IFERROR(VLOOKUP($B99,'Lista - Âmbito Projeto GD'!$B$3:$K$71,6,0),"Campo eliminado")</f>
        <v>Campo eliminado</v>
      </c>
      <c r="O99" s="6" t="str">
        <f t="shared" si="7"/>
        <v>Campo eliminado</v>
      </c>
      <c r="P99" s="6" t="str">
        <f>IFERROR(VLOOKUP($B99,'Lista - Âmbito Projeto GD'!$B$3:$K$71,7,0),"Campo eliminado")</f>
        <v>Campo eliminado</v>
      </c>
      <c r="Q99" s="6" t="str">
        <f t="shared" si="8"/>
        <v>Campo eliminado</v>
      </c>
      <c r="R99" s="6" t="str">
        <f>IFERROR(VLOOKUP($B99,'Lista - Âmbito Projeto GD'!$B$3:$K$71,9,0),"Campo eliminado")</f>
        <v>Campo eliminado</v>
      </c>
      <c r="S99" s="6" t="str">
        <f t="shared" si="9"/>
        <v>Campo eliminado</v>
      </c>
      <c r="U99" s="6" t="str">
        <f>VLOOKUP(B99,DataLake!$A$4:$A$429,1,0)</f>
        <v>ENTITY_TXNMY_ELGBL_CAPEX_CCA</v>
      </c>
    </row>
    <row r="100" spans="1:21" ht="15" hidden="1" customHeight="1" x14ac:dyDescent="0.3">
      <c r="A100" s="16" t="s">
        <v>307</v>
      </c>
      <c r="B100" s="47" t="str">
        <f t="shared" si="5"/>
        <v>ENTITY_TXNMY_ELGBL_TRNVR_CCA</v>
      </c>
      <c r="C100" s="8" t="s">
        <v>10</v>
      </c>
      <c r="D100" s="9" t="s">
        <v>308</v>
      </c>
      <c r="E100" s="11" t="s">
        <v>309</v>
      </c>
      <c r="F100" s="10" t="s">
        <v>11</v>
      </c>
      <c r="G100" s="10" t="s">
        <v>11</v>
      </c>
      <c r="H100" s="10" t="s">
        <v>13</v>
      </c>
      <c r="I100" s="10" t="s">
        <v>11</v>
      </c>
      <c r="J100" s="10" t="s">
        <v>11</v>
      </c>
      <c r="L100" s="6" t="str">
        <f>IFERROR(VLOOKUP($B100,'Lista - Âmbito Projeto GD'!$B$3:$F$71,5,0),"Campo eliminado")</f>
        <v>Campo eliminado</v>
      </c>
      <c r="M100" s="6" t="str">
        <f t="shared" si="6"/>
        <v>Campo eliminado</v>
      </c>
      <c r="N100" s="6" t="str">
        <f>IFERROR(VLOOKUP($B100,'Lista - Âmbito Projeto GD'!$B$3:$K$71,6,0),"Campo eliminado")</f>
        <v>Campo eliminado</v>
      </c>
      <c r="O100" s="6" t="str">
        <f t="shared" si="7"/>
        <v>Campo eliminado</v>
      </c>
      <c r="P100" s="6" t="str">
        <f>IFERROR(VLOOKUP($B100,'Lista - Âmbito Projeto GD'!$B$3:$K$71,7,0),"Campo eliminado")</f>
        <v>Campo eliminado</v>
      </c>
      <c r="Q100" s="6" t="str">
        <f t="shared" si="8"/>
        <v>Campo eliminado</v>
      </c>
      <c r="R100" s="6" t="str">
        <f>IFERROR(VLOOKUP($B100,'Lista - Âmbito Projeto GD'!$B$3:$K$71,9,0),"Campo eliminado")</f>
        <v>Campo eliminado</v>
      </c>
      <c r="S100" s="6" t="str">
        <f t="shared" si="9"/>
        <v>Campo eliminado</v>
      </c>
      <c r="U100" s="6" t="str">
        <f>VLOOKUP(B100,DataLake!$A$4:$A$429,1,0)</f>
        <v>ENTITY_TXNMY_ELGBL_TRNVR_CCA</v>
      </c>
    </row>
    <row r="101" spans="1:21" ht="15" hidden="1" customHeight="1" x14ac:dyDescent="0.3">
      <c r="A101" s="16" t="s">
        <v>310</v>
      </c>
      <c r="B101" s="47" t="str">
        <f t="shared" si="5"/>
        <v>ENTITY_ENBLNG_CAPEX_CCM</v>
      </c>
      <c r="C101" s="8" t="s">
        <v>10</v>
      </c>
      <c r="D101" s="9" t="s">
        <v>311</v>
      </c>
      <c r="E101" s="11" t="s">
        <v>312</v>
      </c>
      <c r="F101" s="10" t="s">
        <v>11</v>
      </c>
      <c r="G101" s="10" t="s">
        <v>11</v>
      </c>
      <c r="H101" s="10" t="s">
        <v>13</v>
      </c>
      <c r="I101" s="10" t="s">
        <v>11</v>
      </c>
      <c r="J101" s="10" t="s">
        <v>11</v>
      </c>
      <c r="L101" s="6" t="str">
        <f>IFERROR(VLOOKUP($B101,'Lista - Âmbito Projeto GD'!$B$3:$F$71,5,0),"Campo eliminado")</f>
        <v>Campo eliminado</v>
      </c>
      <c r="M101" s="6" t="str">
        <f t="shared" si="6"/>
        <v>Campo eliminado</v>
      </c>
      <c r="N101" s="6" t="str">
        <f>IFERROR(VLOOKUP($B101,'Lista - Âmbito Projeto GD'!$B$3:$K$71,6,0),"Campo eliminado")</f>
        <v>Campo eliminado</v>
      </c>
      <c r="O101" s="6" t="str">
        <f t="shared" si="7"/>
        <v>Campo eliminado</v>
      </c>
      <c r="P101" s="6" t="str">
        <f>IFERROR(VLOOKUP($B101,'Lista - Âmbito Projeto GD'!$B$3:$K$71,7,0),"Campo eliminado")</f>
        <v>Campo eliminado</v>
      </c>
      <c r="Q101" s="6" t="str">
        <f t="shared" si="8"/>
        <v>Campo eliminado</v>
      </c>
      <c r="R101" s="6" t="str">
        <f>IFERROR(VLOOKUP($B101,'Lista - Âmbito Projeto GD'!$B$3:$K$71,9,0),"Campo eliminado")</f>
        <v>Campo eliminado</v>
      </c>
      <c r="S101" s="6" t="str">
        <f t="shared" si="9"/>
        <v>Campo eliminado</v>
      </c>
      <c r="U101" s="6" t="str">
        <f>VLOOKUP(B101,DataLake!$A$4:$A$429,1,0)</f>
        <v>ENTITY_ENBLNG_CAPEX_CCM</v>
      </c>
    </row>
    <row r="102" spans="1:21" ht="15" hidden="1" customHeight="1" x14ac:dyDescent="0.3">
      <c r="A102" s="16" t="s">
        <v>313</v>
      </c>
      <c r="B102" s="47" t="str">
        <f t="shared" si="5"/>
        <v>ENTITY_ENBLNG_CAPEX_CCA</v>
      </c>
      <c r="C102" s="8" t="s">
        <v>10</v>
      </c>
      <c r="D102" s="9" t="s">
        <v>314</v>
      </c>
      <c r="E102" s="11" t="s">
        <v>315</v>
      </c>
      <c r="F102" s="10" t="s">
        <v>11</v>
      </c>
      <c r="G102" s="10" t="s">
        <v>11</v>
      </c>
      <c r="H102" s="10" t="s">
        <v>13</v>
      </c>
      <c r="I102" s="10" t="s">
        <v>11</v>
      </c>
      <c r="J102" s="10" t="s">
        <v>11</v>
      </c>
      <c r="L102" s="6" t="str">
        <f>IFERROR(VLOOKUP($B102,'Lista - Âmbito Projeto GD'!$B$3:$F$71,5,0),"Campo eliminado")</f>
        <v>Campo eliminado</v>
      </c>
      <c r="M102" s="6" t="str">
        <f t="shared" si="6"/>
        <v>Campo eliminado</v>
      </c>
      <c r="N102" s="6" t="str">
        <f>IFERROR(VLOOKUP($B102,'Lista - Âmbito Projeto GD'!$B$3:$K$71,6,0),"Campo eliminado")</f>
        <v>Campo eliminado</v>
      </c>
      <c r="O102" s="6" t="str">
        <f t="shared" si="7"/>
        <v>Campo eliminado</v>
      </c>
      <c r="P102" s="6" t="str">
        <f>IFERROR(VLOOKUP($B102,'Lista - Âmbito Projeto GD'!$B$3:$K$71,7,0),"Campo eliminado")</f>
        <v>Campo eliminado</v>
      </c>
      <c r="Q102" s="6" t="str">
        <f t="shared" si="8"/>
        <v>Campo eliminado</v>
      </c>
      <c r="R102" s="6" t="str">
        <f>IFERROR(VLOOKUP($B102,'Lista - Âmbito Projeto GD'!$B$3:$K$71,9,0),"Campo eliminado")</f>
        <v>Campo eliminado</v>
      </c>
      <c r="S102" s="6" t="str">
        <f t="shared" si="9"/>
        <v>Campo eliminado</v>
      </c>
      <c r="U102" s="6" t="str">
        <f>VLOOKUP(B102,DataLake!$A$4:$A$429,1,0)</f>
        <v>ENTITY_ENBLNG_CAPEX_CCA</v>
      </c>
    </row>
    <row r="103" spans="1:21" ht="15" hidden="1" customHeight="1" x14ac:dyDescent="0.3">
      <c r="A103" s="16" t="s">
        <v>316</v>
      </c>
      <c r="B103" s="47" t="str">
        <f t="shared" si="5"/>
        <v>ENTITY_TRNSTNL_CAPEX</v>
      </c>
      <c r="C103" s="8" t="s">
        <v>10</v>
      </c>
      <c r="D103" s="9" t="s">
        <v>317</v>
      </c>
      <c r="E103" s="11" t="s">
        <v>318</v>
      </c>
      <c r="F103" s="10" t="s">
        <v>11</v>
      </c>
      <c r="G103" s="10" t="s">
        <v>11</v>
      </c>
      <c r="H103" s="10" t="s">
        <v>13</v>
      </c>
      <c r="I103" s="10" t="s">
        <v>11</v>
      </c>
      <c r="J103" s="10" t="s">
        <v>11</v>
      </c>
      <c r="L103" s="6" t="str">
        <f>IFERROR(VLOOKUP($B103,'Lista - Âmbito Projeto GD'!$B$3:$F$71,5,0),"Campo eliminado")</f>
        <v>Campo eliminado</v>
      </c>
      <c r="M103" s="6" t="str">
        <f t="shared" si="6"/>
        <v>Campo eliminado</v>
      </c>
      <c r="N103" s="6" t="str">
        <f>IFERROR(VLOOKUP($B103,'Lista - Âmbito Projeto GD'!$B$3:$K$71,6,0),"Campo eliminado")</f>
        <v>Campo eliminado</v>
      </c>
      <c r="O103" s="6" t="str">
        <f t="shared" si="7"/>
        <v>Campo eliminado</v>
      </c>
      <c r="P103" s="6" t="str">
        <f>IFERROR(VLOOKUP($B103,'Lista - Âmbito Projeto GD'!$B$3:$K$71,7,0),"Campo eliminado")</f>
        <v>Campo eliminado</v>
      </c>
      <c r="Q103" s="6" t="str">
        <f t="shared" si="8"/>
        <v>Campo eliminado</v>
      </c>
      <c r="R103" s="6" t="str">
        <f>IFERROR(VLOOKUP($B103,'Lista - Âmbito Projeto GD'!$B$3:$K$71,9,0),"Campo eliminado")</f>
        <v>Campo eliminado</v>
      </c>
      <c r="S103" s="6" t="str">
        <f t="shared" si="9"/>
        <v>Campo eliminado</v>
      </c>
      <c r="U103" s="6" t="str">
        <f>VLOOKUP(B103,DataLake!$A$4:$A$429,1,0)</f>
        <v>ENTITY_TRNSTNL_CAPEX</v>
      </c>
    </row>
    <row r="104" spans="1:21" ht="15" hidden="1" customHeight="1" x14ac:dyDescent="0.3">
      <c r="A104" s="16" t="s">
        <v>319</v>
      </c>
      <c r="B104" s="47" t="str">
        <f t="shared" si="5"/>
        <v>ENTITY_PURE_CAPEX_CCM</v>
      </c>
      <c r="C104" s="8" t="s">
        <v>10</v>
      </c>
      <c r="D104" s="17" t="s">
        <v>320</v>
      </c>
      <c r="E104" s="12" t="s">
        <v>321</v>
      </c>
      <c r="F104" s="10" t="s">
        <v>11</v>
      </c>
      <c r="G104" s="10" t="s">
        <v>11</v>
      </c>
      <c r="H104" s="10" t="s">
        <v>13</v>
      </c>
      <c r="I104" s="10" t="s">
        <v>11</v>
      </c>
      <c r="J104" s="10" t="s">
        <v>11</v>
      </c>
      <c r="L104" s="6" t="str">
        <f>IFERROR(VLOOKUP($B104,'Lista - Âmbito Projeto GD'!$B$3:$F$71,5,0),"Campo eliminado")</f>
        <v>Campo eliminado</v>
      </c>
      <c r="M104" s="6" t="str">
        <f t="shared" si="6"/>
        <v>Campo eliminado</v>
      </c>
      <c r="N104" s="6" t="str">
        <f>IFERROR(VLOOKUP($B104,'Lista - Âmbito Projeto GD'!$B$3:$K$71,6,0),"Campo eliminado")</f>
        <v>Campo eliminado</v>
      </c>
      <c r="O104" s="6" t="str">
        <f t="shared" si="7"/>
        <v>Campo eliminado</v>
      </c>
      <c r="P104" s="6" t="str">
        <f>IFERROR(VLOOKUP($B104,'Lista - Âmbito Projeto GD'!$B$3:$K$71,7,0),"Campo eliminado")</f>
        <v>Campo eliminado</v>
      </c>
      <c r="Q104" s="6" t="str">
        <f t="shared" si="8"/>
        <v>Campo eliminado</v>
      </c>
      <c r="R104" s="6" t="str">
        <f>IFERROR(VLOOKUP($B104,'Lista - Âmbito Projeto GD'!$B$3:$K$71,9,0),"Campo eliminado")</f>
        <v>Campo eliminado</v>
      </c>
      <c r="S104" s="6" t="str">
        <f t="shared" si="9"/>
        <v>Campo eliminado</v>
      </c>
      <c r="U104" s="6" t="str">
        <f>VLOOKUP(B104,DataLake!$A$4:$A$429,1,0)</f>
        <v>ENTITY_PURE_CAPEX_CCM</v>
      </c>
    </row>
    <row r="105" spans="1:21" ht="15" hidden="1" customHeight="1" x14ac:dyDescent="0.3">
      <c r="A105" s="16" t="s">
        <v>322</v>
      </c>
      <c r="B105" s="47" t="str">
        <f t="shared" si="5"/>
        <v>ENTITY_PURE_CAPEX_CCA</v>
      </c>
      <c r="C105" s="8" t="s">
        <v>10</v>
      </c>
      <c r="D105" s="17" t="s">
        <v>323</v>
      </c>
      <c r="E105" s="12" t="s">
        <v>324</v>
      </c>
      <c r="F105" s="10" t="s">
        <v>11</v>
      </c>
      <c r="G105" s="10" t="s">
        <v>11</v>
      </c>
      <c r="H105" s="10" t="s">
        <v>13</v>
      </c>
      <c r="I105" s="10" t="s">
        <v>11</v>
      </c>
      <c r="J105" s="10" t="s">
        <v>11</v>
      </c>
      <c r="L105" s="6" t="str">
        <f>IFERROR(VLOOKUP($B105,'Lista - Âmbito Projeto GD'!$B$3:$F$71,5,0),"Campo eliminado")</f>
        <v>Campo eliminado</v>
      </c>
      <c r="M105" s="6" t="str">
        <f t="shared" si="6"/>
        <v>Campo eliminado</v>
      </c>
      <c r="N105" s="6" t="str">
        <f>IFERROR(VLOOKUP($B105,'Lista - Âmbito Projeto GD'!$B$3:$K$71,6,0),"Campo eliminado")</f>
        <v>Campo eliminado</v>
      </c>
      <c r="O105" s="6" t="str">
        <f t="shared" si="7"/>
        <v>Campo eliminado</v>
      </c>
      <c r="P105" s="6" t="str">
        <f>IFERROR(VLOOKUP($B105,'Lista - Âmbito Projeto GD'!$B$3:$K$71,7,0),"Campo eliminado")</f>
        <v>Campo eliminado</v>
      </c>
      <c r="Q105" s="6" t="str">
        <f t="shared" si="8"/>
        <v>Campo eliminado</v>
      </c>
      <c r="R105" s="6" t="str">
        <f>IFERROR(VLOOKUP($B105,'Lista - Âmbito Projeto GD'!$B$3:$K$71,9,0),"Campo eliminado")</f>
        <v>Campo eliminado</v>
      </c>
      <c r="S105" s="6" t="str">
        <f t="shared" si="9"/>
        <v>Campo eliminado</v>
      </c>
      <c r="U105" s="6" t="str">
        <f>VLOOKUP(B105,DataLake!$A$4:$A$429,1,0)</f>
        <v>ENTITY_PURE_CAPEX_CCA</v>
      </c>
    </row>
    <row r="106" spans="1:21" ht="15" hidden="1" customHeight="1" x14ac:dyDescent="0.3">
      <c r="A106" s="16" t="s">
        <v>325</v>
      </c>
      <c r="B106" s="47" t="str">
        <f t="shared" si="5"/>
        <v>ENTITY_ENBLNG_TRNVR_CCM</v>
      </c>
      <c r="C106" s="8" t="s">
        <v>10</v>
      </c>
      <c r="D106" s="9" t="s">
        <v>326</v>
      </c>
      <c r="E106" s="11" t="s">
        <v>327</v>
      </c>
      <c r="F106" s="10" t="s">
        <v>11</v>
      </c>
      <c r="G106" s="10" t="s">
        <v>11</v>
      </c>
      <c r="H106" s="10" t="s">
        <v>13</v>
      </c>
      <c r="I106" s="10" t="s">
        <v>11</v>
      </c>
      <c r="J106" s="10" t="s">
        <v>11</v>
      </c>
      <c r="L106" s="6" t="str">
        <f>IFERROR(VLOOKUP($B106,'Lista - Âmbito Projeto GD'!$B$3:$F$71,5,0),"Campo eliminado")</f>
        <v>Campo eliminado</v>
      </c>
      <c r="M106" s="6" t="str">
        <f t="shared" si="6"/>
        <v>Campo eliminado</v>
      </c>
      <c r="N106" s="6" t="str">
        <f>IFERROR(VLOOKUP($B106,'Lista - Âmbito Projeto GD'!$B$3:$K$71,6,0),"Campo eliminado")</f>
        <v>Campo eliminado</v>
      </c>
      <c r="O106" s="6" t="str">
        <f t="shared" si="7"/>
        <v>Campo eliminado</v>
      </c>
      <c r="P106" s="6" t="str">
        <f>IFERROR(VLOOKUP($B106,'Lista - Âmbito Projeto GD'!$B$3:$K$71,7,0),"Campo eliminado")</f>
        <v>Campo eliminado</v>
      </c>
      <c r="Q106" s="6" t="str">
        <f t="shared" si="8"/>
        <v>Campo eliminado</v>
      </c>
      <c r="R106" s="6" t="str">
        <f>IFERROR(VLOOKUP($B106,'Lista - Âmbito Projeto GD'!$B$3:$K$71,9,0),"Campo eliminado")</f>
        <v>Campo eliminado</v>
      </c>
      <c r="S106" s="6" t="str">
        <f t="shared" si="9"/>
        <v>Campo eliminado</v>
      </c>
      <c r="U106" s="6" t="str">
        <f>VLOOKUP(B106,DataLake!$A$4:$A$429,1,0)</f>
        <v>ENTITY_ENBLNG_TRNVR_CCM</v>
      </c>
    </row>
    <row r="107" spans="1:21" ht="15" hidden="1" customHeight="1" x14ac:dyDescent="0.3">
      <c r="A107" s="16" t="s">
        <v>328</v>
      </c>
      <c r="B107" s="47" t="str">
        <f t="shared" si="5"/>
        <v>ENTITY_ENBLNG_TRNVR_CCA</v>
      </c>
      <c r="C107" s="8" t="s">
        <v>10</v>
      </c>
      <c r="D107" s="9" t="s">
        <v>329</v>
      </c>
      <c r="E107" s="11" t="s">
        <v>330</v>
      </c>
      <c r="F107" s="10" t="s">
        <v>11</v>
      </c>
      <c r="G107" s="10" t="s">
        <v>11</v>
      </c>
      <c r="H107" s="10" t="s">
        <v>13</v>
      </c>
      <c r="I107" s="10" t="s">
        <v>11</v>
      </c>
      <c r="J107" s="10" t="s">
        <v>11</v>
      </c>
      <c r="L107" s="6" t="str">
        <f>IFERROR(VLOOKUP($B107,'Lista - Âmbito Projeto GD'!$B$3:$F$71,5,0),"Campo eliminado")</f>
        <v>Campo eliminado</v>
      </c>
      <c r="M107" s="6" t="str">
        <f t="shared" si="6"/>
        <v>Campo eliminado</v>
      </c>
      <c r="N107" s="6" t="str">
        <f>IFERROR(VLOOKUP($B107,'Lista - Âmbito Projeto GD'!$B$3:$K$71,6,0),"Campo eliminado")</f>
        <v>Campo eliminado</v>
      </c>
      <c r="O107" s="6" t="str">
        <f t="shared" si="7"/>
        <v>Campo eliminado</v>
      </c>
      <c r="P107" s="6" t="str">
        <f>IFERROR(VLOOKUP($B107,'Lista - Âmbito Projeto GD'!$B$3:$K$71,7,0),"Campo eliminado")</f>
        <v>Campo eliminado</v>
      </c>
      <c r="Q107" s="6" t="str">
        <f t="shared" si="8"/>
        <v>Campo eliminado</v>
      </c>
      <c r="R107" s="6" t="str">
        <f>IFERROR(VLOOKUP($B107,'Lista - Âmbito Projeto GD'!$B$3:$K$71,9,0),"Campo eliminado")</f>
        <v>Campo eliminado</v>
      </c>
      <c r="S107" s="6" t="str">
        <f t="shared" si="9"/>
        <v>Campo eliminado</v>
      </c>
      <c r="U107" s="6" t="str">
        <f>VLOOKUP(B107,DataLake!$A$4:$A$429,1,0)</f>
        <v>ENTITY_ENBLNG_TRNVR_CCA</v>
      </c>
    </row>
    <row r="108" spans="1:21" ht="15" hidden="1" customHeight="1" x14ac:dyDescent="0.3">
      <c r="A108" s="16" t="s">
        <v>331</v>
      </c>
      <c r="B108" s="47" t="str">
        <f t="shared" si="5"/>
        <v>ENTITY_TRNSTNL_TRNVR</v>
      </c>
      <c r="C108" s="8" t="s">
        <v>10</v>
      </c>
      <c r="D108" s="9" t="s">
        <v>332</v>
      </c>
      <c r="E108" s="11" t="s">
        <v>333</v>
      </c>
      <c r="F108" s="10" t="s">
        <v>11</v>
      </c>
      <c r="G108" s="10" t="s">
        <v>11</v>
      </c>
      <c r="H108" s="10" t="s">
        <v>13</v>
      </c>
      <c r="I108" s="10" t="s">
        <v>11</v>
      </c>
      <c r="J108" s="10" t="s">
        <v>11</v>
      </c>
      <c r="L108" s="6" t="str">
        <f>IFERROR(VLOOKUP($B108,'Lista - Âmbito Projeto GD'!$B$3:$F$71,5,0),"Campo eliminado")</f>
        <v>Campo eliminado</v>
      </c>
      <c r="M108" s="6" t="str">
        <f t="shared" si="6"/>
        <v>Campo eliminado</v>
      </c>
      <c r="N108" s="6" t="str">
        <f>IFERROR(VLOOKUP($B108,'Lista - Âmbito Projeto GD'!$B$3:$K$71,6,0),"Campo eliminado")</f>
        <v>Campo eliminado</v>
      </c>
      <c r="O108" s="6" t="str">
        <f t="shared" si="7"/>
        <v>Campo eliminado</v>
      </c>
      <c r="P108" s="6" t="str">
        <f>IFERROR(VLOOKUP($B108,'Lista - Âmbito Projeto GD'!$B$3:$K$71,7,0),"Campo eliminado")</f>
        <v>Campo eliminado</v>
      </c>
      <c r="Q108" s="6" t="str">
        <f t="shared" si="8"/>
        <v>Campo eliminado</v>
      </c>
      <c r="R108" s="6" t="str">
        <f>IFERROR(VLOOKUP($B108,'Lista - Âmbito Projeto GD'!$B$3:$K$71,9,0),"Campo eliminado")</f>
        <v>Campo eliminado</v>
      </c>
      <c r="S108" s="6" t="str">
        <f t="shared" si="9"/>
        <v>Campo eliminado</v>
      </c>
      <c r="U108" s="6" t="str">
        <f>VLOOKUP(B108,DataLake!$A$4:$A$429,1,0)</f>
        <v>ENTITY_TRNSTNL_TRNVR</v>
      </c>
    </row>
    <row r="109" spans="1:21" ht="15" hidden="1" customHeight="1" x14ac:dyDescent="0.3">
      <c r="A109" s="16" t="s">
        <v>334</v>
      </c>
      <c r="B109" s="47" t="str">
        <f t="shared" si="5"/>
        <v>ENTITY_PURE_TRNVR_CCM</v>
      </c>
      <c r="C109" s="8" t="s">
        <v>10</v>
      </c>
      <c r="D109" s="17" t="s">
        <v>335</v>
      </c>
      <c r="E109" s="12" t="s">
        <v>336</v>
      </c>
      <c r="F109" s="10" t="s">
        <v>11</v>
      </c>
      <c r="G109" s="10" t="s">
        <v>11</v>
      </c>
      <c r="H109" s="10" t="s">
        <v>13</v>
      </c>
      <c r="I109" s="10" t="s">
        <v>11</v>
      </c>
      <c r="J109" s="10" t="s">
        <v>11</v>
      </c>
      <c r="L109" s="6" t="str">
        <f>IFERROR(VLOOKUP($B109,'Lista - Âmbito Projeto GD'!$B$3:$F$71,5,0),"Campo eliminado")</f>
        <v>Campo eliminado</v>
      </c>
      <c r="M109" s="6" t="str">
        <f t="shared" si="6"/>
        <v>Campo eliminado</v>
      </c>
      <c r="N109" s="6" t="str">
        <f>IFERROR(VLOOKUP($B109,'Lista - Âmbito Projeto GD'!$B$3:$K$71,6,0),"Campo eliminado")</f>
        <v>Campo eliminado</v>
      </c>
      <c r="O109" s="6" t="str">
        <f t="shared" si="7"/>
        <v>Campo eliminado</v>
      </c>
      <c r="P109" s="6" t="str">
        <f>IFERROR(VLOOKUP($B109,'Lista - Âmbito Projeto GD'!$B$3:$K$71,7,0),"Campo eliminado")</f>
        <v>Campo eliminado</v>
      </c>
      <c r="Q109" s="6" t="str">
        <f t="shared" si="8"/>
        <v>Campo eliminado</v>
      </c>
      <c r="R109" s="6" t="str">
        <f>IFERROR(VLOOKUP($B109,'Lista - Âmbito Projeto GD'!$B$3:$K$71,9,0),"Campo eliminado")</f>
        <v>Campo eliminado</v>
      </c>
      <c r="S109" s="6" t="str">
        <f t="shared" si="9"/>
        <v>Campo eliminado</v>
      </c>
      <c r="U109" s="6" t="str">
        <f>VLOOKUP(B109,DataLake!$A$4:$A$429,1,0)</f>
        <v>ENTITY_PURE_TRNVR_CCM</v>
      </c>
    </row>
    <row r="110" spans="1:21" ht="15" hidden="1" customHeight="1" x14ac:dyDescent="0.3">
      <c r="A110" s="16" t="s">
        <v>337</v>
      </c>
      <c r="B110" s="47" t="str">
        <f t="shared" si="5"/>
        <v>ENTITY_PURE_TRNVR_CCA</v>
      </c>
      <c r="C110" s="8" t="s">
        <v>10</v>
      </c>
      <c r="D110" s="17" t="s">
        <v>338</v>
      </c>
      <c r="E110" s="12" t="s">
        <v>339</v>
      </c>
      <c r="F110" s="10" t="s">
        <v>11</v>
      </c>
      <c r="G110" s="10" t="s">
        <v>11</v>
      </c>
      <c r="H110" s="10" t="s">
        <v>13</v>
      </c>
      <c r="I110" s="10" t="s">
        <v>11</v>
      </c>
      <c r="J110" s="10" t="s">
        <v>11</v>
      </c>
      <c r="L110" s="6" t="str">
        <f>IFERROR(VLOOKUP($B110,'Lista - Âmbito Projeto GD'!$B$3:$F$71,5,0),"Campo eliminado")</f>
        <v>Campo eliminado</v>
      </c>
      <c r="M110" s="6" t="str">
        <f t="shared" si="6"/>
        <v>Campo eliminado</v>
      </c>
      <c r="N110" s="6" t="str">
        <f>IFERROR(VLOOKUP($B110,'Lista - Âmbito Projeto GD'!$B$3:$K$71,6,0),"Campo eliminado")</f>
        <v>Campo eliminado</v>
      </c>
      <c r="O110" s="6" t="str">
        <f t="shared" si="7"/>
        <v>Campo eliminado</v>
      </c>
      <c r="P110" s="6" t="str">
        <f>IFERROR(VLOOKUP($B110,'Lista - Âmbito Projeto GD'!$B$3:$K$71,7,0),"Campo eliminado")</f>
        <v>Campo eliminado</v>
      </c>
      <c r="Q110" s="6" t="str">
        <f t="shared" si="8"/>
        <v>Campo eliminado</v>
      </c>
      <c r="R110" s="6" t="str">
        <f>IFERROR(VLOOKUP($B110,'Lista - Âmbito Projeto GD'!$B$3:$K$71,9,0),"Campo eliminado")</f>
        <v>Campo eliminado</v>
      </c>
      <c r="S110" s="6" t="str">
        <f t="shared" si="9"/>
        <v>Campo eliminado</v>
      </c>
      <c r="U110" s="6" t="str">
        <f>VLOOKUP(B110,DataLake!$A$4:$A$429,1,0)</f>
        <v>ENTITY_PURE_TRNVR_CCA</v>
      </c>
    </row>
    <row r="111" spans="1:21" ht="15" customHeight="1" x14ac:dyDescent="0.3">
      <c r="A111" s="16" t="s">
        <v>340</v>
      </c>
      <c r="B111" s="47" t="str">
        <f t="shared" si="5"/>
        <v>ENTITY_FLG_NFRD_APPLCBLTY</v>
      </c>
      <c r="C111" s="8" t="s">
        <v>10</v>
      </c>
      <c r="D111" s="9" t="s">
        <v>341</v>
      </c>
      <c r="E111" s="14" t="s">
        <v>342</v>
      </c>
      <c r="F111" s="10" t="s">
        <v>11</v>
      </c>
      <c r="G111" s="10" t="s">
        <v>11</v>
      </c>
      <c r="H111" s="10" t="s">
        <v>13</v>
      </c>
      <c r="I111" s="10" t="s">
        <v>13</v>
      </c>
      <c r="J111" s="10" t="s">
        <v>11</v>
      </c>
      <c r="L111" s="6" t="str">
        <f>IFERROR(VLOOKUP($B111,'Lista - Âmbito Projeto GD'!$B$3:$F$71,5,0),"Campo eliminado")</f>
        <v>Campo eliminado</v>
      </c>
      <c r="M111" s="6" t="str">
        <f t="shared" si="6"/>
        <v>Campo eliminado</v>
      </c>
      <c r="N111" s="6" t="str">
        <f>IFERROR(VLOOKUP($B111,'Lista - Âmbito Projeto GD'!$B$3:$K$71,6,0),"Campo eliminado")</f>
        <v>Campo eliminado</v>
      </c>
      <c r="O111" s="6" t="str">
        <f t="shared" si="7"/>
        <v>Campo eliminado</v>
      </c>
      <c r="P111" s="6" t="str">
        <f>IFERROR(VLOOKUP($B111,'Lista - Âmbito Projeto GD'!$B$3:$K$71,7,0),"Campo eliminado")</f>
        <v>Campo eliminado</v>
      </c>
      <c r="Q111" s="6" t="str">
        <f t="shared" si="8"/>
        <v>Campo eliminado</v>
      </c>
      <c r="R111" s="6" t="str">
        <f>IFERROR(VLOOKUP($B111,'Lista - Âmbito Projeto GD'!$B$3:$K$71,9,0),"Campo eliminado")</f>
        <v>Campo eliminado</v>
      </c>
      <c r="S111" s="6" t="str">
        <f t="shared" si="9"/>
        <v>Campo eliminado</v>
      </c>
      <c r="U111" s="6" t="str">
        <f>VLOOKUP(B111,DataLake!$A$4:$A$429,1,0)</f>
        <v>ENTITY_FLG_NFRD_APPLCBLTY</v>
      </c>
    </row>
    <row r="112" spans="1:21" ht="15" hidden="1" customHeight="1" x14ac:dyDescent="0.3">
      <c r="A112" s="16" t="s">
        <v>343</v>
      </c>
      <c r="B112" s="47" t="str">
        <f t="shared" si="5"/>
        <v>ENTITY_FLG_GRP_NFRD_APPLCBLTY</v>
      </c>
      <c r="C112" s="8" t="s">
        <v>10</v>
      </c>
      <c r="D112" s="9" t="s">
        <v>344</v>
      </c>
      <c r="E112" s="14" t="s">
        <v>345</v>
      </c>
      <c r="F112" s="10" t="s">
        <v>11</v>
      </c>
      <c r="G112" s="10" t="s">
        <v>11</v>
      </c>
      <c r="H112" s="10" t="s">
        <v>13</v>
      </c>
      <c r="I112" s="10" t="s">
        <v>13</v>
      </c>
      <c r="J112" s="10" t="s">
        <v>11</v>
      </c>
      <c r="L112" s="6" t="str">
        <f>IFERROR(VLOOKUP($B112,'Lista - Âmbito Projeto GD'!$B$3:$F$71,5,0),"Campo eliminado")</f>
        <v>Campo eliminado</v>
      </c>
      <c r="M112" s="6" t="str">
        <f t="shared" si="6"/>
        <v>Campo eliminado</v>
      </c>
      <c r="N112" s="6" t="str">
        <f>IFERROR(VLOOKUP($B112,'Lista - Âmbito Projeto GD'!$B$3:$K$71,6,0),"Campo eliminado")</f>
        <v>Campo eliminado</v>
      </c>
      <c r="O112" s="6" t="str">
        <f t="shared" si="7"/>
        <v>Campo eliminado</v>
      </c>
      <c r="P112" s="6" t="str">
        <f>IFERROR(VLOOKUP($B112,'Lista - Âmbito Projeto GD'!$B$3:$K$71,7,0),"Campo eliminado")</f>
        <v>Campo eliminado</v>
      </c>
      <c r="Q112" s="6" t="str">
        <f t="shared" si="8"/>
        <v>Campo eliminado</v>
      </c>
      <c r="R112" s="6" t="str">
        <f>IFERROR(VLOOKUP($B112,'Lista - Âmbito Projeto GD'!$B$3:$K$71,9,0),"Campo eliminado")</f>
        <v>Campo eliminado</v>
      </c>
      <c r="S112" s="6" t="str">
        <f t="shared" si="9"/>
        <v>Campo eliminado</v>
      </c>
      <c r="U112" s="6" t="str">
        <f>VLOOKUP(B112,DataLake!$A$4:$A$429,1,0)</f>
        <v>ENTITY_FLG_GRP_NFRD_APPLCBLTY</v>
      </c>
    </row>
    <row r="113" spans="1:21" ht="15" hidden="1" customHeight="1" x14ac:dyDescent="0.3">
      <c r="A113" s="16" t="s">
        <v>346</v>
      </c>
      <c r="B113" s="47" t="str">
        <f t="shared" si="5"/>
        <v>ENTITY_ISIN</v>
      </c>
      <c r="C113" s="8" t="s">
        <v>10</v>
      </c>
      <c r="D113" s="9" t="s">
        <v>347</v>
      </c>
      <c r="E113" s="11" t="s">
        <v>347</v>
      </c>
      <c r="F113" s="10" t="s">
        <v>11</v>
      </c>
      <c r="G113" s="10" t="s">
        <v>11</v>
      </c>
      <c r="H113" s="10" t="s">
        <v>13</v>
      </c>
      <c r="I113" s="10" t="s">
        <v>11</v>
      </c>
      <c r="J113" s="10" t="s">
        <v>347</v>
      </c>
      <c r="L113" s="6" t="str">
        <f>IFERROR(VLOOKUP($B113,'Lista - Âmbito Projeto GD'!$B$3:$F$71,5,0),"Campo eliminado")</f>
        <v>Campo eliminado</v>
      </c>
      <c r="M113" s="6" t="str">
        <f t="shared" si="6"/>
        <v>Campo eliminado</v>
      </c>
      <c r="N113" s="6" t="str">
        <f>IFERROR(VLOOKUP($B113,'Lista - Âmbito Projeto GD'!$B$3:$K$71,6,0),"Campo eliminado")</f>
        <v>Campo eliminado</v>
      </c>
      <c r="O113" s="6" t="str">
        <f t="shared" si="7"/>
        <v>Campo eliminado</v>
      </c>
      <c r="P113" s="6" t="str">
        <f>IFERROR(VLOOKUP($B113,'Lista - Âmbito Projeto GD'!$B$3:$K$71,7,0),"Campo eliminado")</f>
        <v>Campo eliminado</v>
      </c>
      <c r="Q113" s="6" t="str">
        <f t="shared" si="8"/>
        <v>Campo eliminado</v>
      </c>
      <c r="R113" s="6" t="str">
        <f>IFERROR(VLOOKUP($B113,'Lista - Âmbito Projeto GD'!$B$3:$K$71,9,0),"Campo eliminado")</f>
        <v>Campo eliminado</v>
      </c>
      <c r="S113" s="6" t="str">
        <f t="shared" si="9"/>
        <v>Campo eliminado</v>
      </c>
      <c r="U113" s="6" t="str">
        <f>VLOOKUP(B113,DataLake!$A$4:$A$429,1,0)</f>
        <v>ENTITY_ISIN</v>
      </c>
    </row>
    <row r="114" spans="1:21" ht="15" hidden="1" customHeight="1" x14ac:dyDescent="0.3">
      <c r="A114" s="16" t="s">
        <v>348</v>
      </c>
      <c r="B114" s="47" t="str">
        <f t="shared" si="5"/>
        <v>ENTITY_GRP_ANNL_TRNVR_LE</v>
      </c>
      <c r="C114" s="8" t="s">
        <v>10</v>
      </c>
      <c r="D114" s="9" t="s">
        <v>349</v>
      </c>
      <c r="E114" s="11" t="s">
        <v>350</v>
      </c>
      <c r="F114" s="10" t="s">
        <v>11</v>
      </c>
      <c r="G114" s="10" t="s">
        <v>11</v>
      </c>
      <c r="H114" s="10" t="s">
        <v>13</v>
      </c>
      <c r="I114" s="10" t="s">
        <v>11</v>
      </c>
      <c r="J114" s="10" t="s">
        <v>11</v>
      </c>
      <c r="L114" s="6" t="str">
        <f>IFERROR(VLOOKUP($B114,'Lista - Âmbito Projeto GD'!$B$3:$F$71,5,0),"Campo eliminado")</f>
        <v>Campo eliminado</v>
      </c>
      <c r="M114" s="6" t="str">
        <f t="shared" si="6"/>
        <v>Campo eliminado</v>
      </c>
      <c r="N114" s="6" t="str">
        <f>IFERROR(VLOOKUP($B114,'Lista - Âmbito Projeto GD'!$B$3:$K$71,6,0),"Campo eliminado")</f>
        <v>Campo eliminado</v>
      </c>
      <c r="O114" s="6" t="str">
        <f t="shared" si="7"/>
        <v>Campo eliminado</v>
      </c>
      <c r="P114" s="6" t="str">
        <f>IFERROR(VLOOKUP($B114,'Lista - Âmbito Projeto GD'!$B$3:$K$71,7,0),"Campo eliminado")</f>
        <v>Campo eliminado</v>
      </c>
      <c r="Q114" s="6" t="str">
        <f t="shared" si="8"/>
        <v>Campo eliminado</v>
      </c>
      <c r="R114" s="6" t="str">
        <f>IFERROR(VLOOKUP($B114,'Lista - Âmbito Projeto GD'!$B$3:$K$71,9,0),"Campo eliminado")</f>
        <v>Campo eliminado</v>
      </c>
      <c r="S114" s="6" t="str">
        <f t="shared" si="9"/>
        <v>Campo eliminado</v>
      </c>
      <c r="U114" s="6" t="str">
        <f>VLOOKUP(B114,DataLake!$A$4:$A$429,1,0)</f>
        <v>ENTITY_GRP_ANNL_TRNVR_LE</v>
      </c>
    </row>
    <row r="115" spans="1:21" ht="15" hidden="1" customHeight="1" x14ac:dyDescent="0.3">
      <c r="A115" s="16" t="s">
        <v>351</v>
      </c>
      <c r="B115" s="47" t="str">
        <f t="shared" si="5"/>
        <v>ENTITY_GRP_TTL_LBLTY</v>
      </c>
      <c r="C115" s="8" t="s">
        <v>10</v>
      </c>
      <c r="D115" s="9" t="s">
        <v>352</v>
      </c>
      <c r="E115" s="14" t="s">
        <v>353</v>
      </c>
      <c r="F115" s="10" t="s">
        <v>11</v>
      </c>
      <c r="G115" s="10" t="s">
        <v>11</v>
      </c>
      <c r="H115" s="10" t="s">
        <v>13</v>
      </c>
      <c r="I115" s="10" t="s">
        <v>11</v>
      </c>
      <c r="J115" s="10" t="s">
        <v>11</v>
      </c>
      <c r="L115" s="6" t="str">
        <f>IFERROR(VLOOKUP($B115,'Lista - Âmbito Projeto GD'!$B$3:$F$71,5,0),"Campo eliminado")</f>
        <v>Campo eliminado</v>
      </c>
      <c r="M115" s="6" t="str">
        <f t="shared" si="6"/>
        <v>Campo eliminado</v>
      </c>
      <c r="N115" s="6" t="str">
        <f>IFERROR(VLOOKUP($B115,'Lista - Âmbito Projeto GD'!$B$3:$K$71,6,0),"Campo eliminado")</f>
        <v>Campo eliminado</v>
      </c>
      <c r="O115" s="6" t="str">
        <f t="shared" si="7"/>
        <v>Campo eliminado</v>
      </c>
      <c r="P115" s="6" t="str">
        <f>IFERROR(VLOOKUP($B115,'Lista - Âmbito Projeto GD'!$B$3:$K$71,7,0),"Campo eliminado")</f>
        <v>Campo eliminado</v>
      </c>
      <c r="Q115" s="6" t="str">
        <f t="shared" si="8"/>
        <v>Campo eliminado</v>
      </c>
      <c r="R115" s="6" t="str">
        <f>IFERROR(VLOOKUP($B115,'Lista - Âmbito Projeto GD'!$B$3:$K$71,9,0),"Campo eliminado")</f>
        <v>Campo eliminado</v>
      </c>
      <c r="S115" s="6" t="str">
        <f t="shared" si="9"/>
        <v>Campo eliminado</v>
      </c>
      <c r="U115" s="6" t="str">
        <f>VLOOKUP(B115,DataLake!$A$4:$A$429,1,0)</f>
        <v>ENTITY_GRP_TTL_LBLTY</v>
      </c>
    </row>
    <row r="116" spans="1:21" ht="15" hidden="1" customHeight="1" x14ac:dyDescent="0.3">
      <c r="A116" s="16" t="s">
        <v>354</v>
      </c>
      <c r="B116" s="47" t="str">
        <f t="shared" si="5"/>
        <v>ENTITY_CNTRPRTY_EMSSNS_SCP1</v>
      </c>
      <c r="C116" s="8" t="s">
        <v>10</v>
      </c>
      <c r="D116" s="9" t="s">
        <v>355</v>
      </c>
      <c r="E116" s="11" t="s">
        <v>356</v>
      </c>
      <c r="F116" s="10" t="s">
        <v>11</v>
      </c>
      <c r="G116" s="10" t="s">
        <v>11</v>
      </c>
      <c r="H116" s="10" t="s">
        <v>13</v>
      </c>
      <c r="I116" s="10" t="s">
        <v>13</v>
      </c>
      <c r="J116" s="10" t="s">
        <v>11</v>
      </c>
      <c r="L116" s="6" t="str">
        <f>IFERROR(VLOOKUP($B116,'Lista - Âmbito Projeto GD'!$B$3:$F$71,5,0),"Campo eliminado")</f>
        <v>Campo eliminado</v>
      </c>
      <c r="M116" s="6" t="str">
        <f t="shared" si="6"/>
        <v>Campo eliminado</v>
      </c>
      <c r="N116" s="6" t="str">
        <f>IFERROR(VLOOKUP($B116,'Lista - Âmbito Projeto GD'!$B$3:$K$71,6,0),"Campo eliminado")</f>
        <v>Campo eliminado</v>
      </c>
      <c r="O116" s="6" t="str">
        <f t="shared" si="7"/>
        <v>Campo eliminado</v>
      </c>
      <c r="P116" s="6" t="str">
        <f>IFERROR(VLOOKUP($B116,'Lista - Âmbito Projeto GD'!$B$3:$K$71,7,0),"Campo eliminado")</f>
        <v>Campo eliminado</v>
      </c>
      <c r="Q116" s="6" t="str">
        <f t="shared" si="8"/>
        <v>Campo eliminado</v>
      </c>
      <c r="R116" s="6" t="str">
        <f>IFERROR(VLOOKUP($B116,'Lista - Âmbito Projeto GD'!$B$3:$K$71,9,0),"Campo eliminado")</f>
        <v>Campo eliminado</v>
      </c>
      <c r="S116" s="6" t="str">
        <f t="shared" si="9"/>
        <v>Campo eliminado</v>
      </c>
      <c r="U116" s="6" t="str">
        <f>VLOOKUP(B116,DataLake!$A$4:$A$429,1,0)</f>
        <v>ENTITY_CNTRPRTY_EMSSNS_SCP1</v>
      </c>
    </row>
    <row r="117" spans="1:21" ht="15" hidden="1" customHeight="1" x14ac:dyDescent="0.3">
      <c r="A117" s="16" t="s">
        <v>357</v>
      </c>
      <c r="B117" s="47" t="str">
        <f t="shared" si="5"/>
        <v>ENTITY_CNTRPRTY_EMSSNS_SCP2</v>
      </c>
      <c r="C117" s="8" t="s">
        <v>10</v>
      </c>
      <c r="D117" s="9" t="s">
        <v>358</v>
      </c>
      <c r="E117" s="11" t="s">
        <v>359</v>
      </c>
      <c r="F117" s="10" t="s">
        <v>11</v>
      </c>
      <c r="G117" s="10" t="s">
        <v>11</v>
      </c>
      <c r="H117" s="10" t="s">
        <v>13</v>
      </c>
      <c r="I117" s="10" t="s">
        <v>13</v>
      </c>
      <c r="J117" s="10" t="s">
        <v>11</v>
      </c>
      <c r="L117" s="6" t="str">
        <f>IFERROR(VLOOKUP($B117,'Lista - Âmbito Projeto GD'!$B$3:$F$71,5,0),"Campo eliminado")</f>
        <v>Campo eliminado</v>
      </c>
      <c r="M117" s="6" t="str">
        <f t="shared" si="6"/>
        <v>Campo eliminado</v>
      </c>
      <c r="N117" s="6" t="str">
        <f>IFERROR(VLOOKUP($B117,'Lista - Âmbito Projeto GD'!$B$3:$K$71,6,0),"Campo eliminado")</f>
        <v>Campo eliminado</v>
      </c>
      <c r="O117" s="6" t="str">
        <f t="shared" si="7"/>
        <v>Campo eliminado</v>
      </c>
      <c r="P117" s="6" t="str">
        <f>IFERROR(VLOOKUP($B117,'Lista - Âmbito Projeto GD'!$B$3:$K$71,7,0),"Campo eliminado")</f>
        <v>Campo eliminado</v>
      </c>
      <c r="Q117" s="6" t="str">
        <f t="shared" si="8"/>
        <v>Campo eliminado</v>
      </c>
      <c r="R117" s="6" t="str">
        <f>IFERROR(VLOOKUP($B117,'Lista - Âmbito Projeto GD'!$B$3:$K$71,9,0),"Campo eliminado")</f>
        <v>Campo eliminado</v>
      </c>
      <c r="S117" s="6" t="str">
        <f t="shared" si="9"/>
        <v>Campo eliminado</v>
      </c>
      <c r="U117" s="6" t="str">
        <f>VLOOKUP(B117,DataLake!$A$4:$A$429,1,0)</f>
        <v>ENTITY_CNTRPRTY_EMSSNS_SCP2</v>
      </c>
    </row>
    <row r="118" spans="1:21" ht="15" hidden="1" customHeight="1" x14ac:dyDescent="0.3">
      <c r="A118" s="16" t="s">
        <v>360</v>
      </c>
      <c r="B118" s="47" t="str">
        <f t="shared" si="5"/>
        <v>ENTITY_CNTRPRTY_EMSSNS_SCP3</v>
      </c>
      <c r="C118" s="8" t="s">
        <v>10</v>
      </c>
      <c r="D118" s="9" t="s">
        <v>361</v>
      </c>
      <c r="E118" s="11" t="s">
        <v>362</v>
      </c>
      <c r="F118" s="10" t="s">
        <v>11</v>
      </c>
      <c r="G118" s="10" t="s">
        <v>11</v>
      </c>
      <c r="H118" s="10" t="s">
        <v>13</v>
      </c>
      <c r="I118" s="10" t="s">
        <v>13</v>
      </c>
      <c r="J118" s="10" t="s">
        <v>11</v>
      </c>
      <c r="L118" s="6" t="str">
        <f>IFERROR(VLOOKUP($B118,'Lista - Âmbito Projeto GD'!$B$3:$F$71,5,0),"Campo eliminado")</f>
        <v>Campo eliminado</v>
      </c>
      <c r="M118" s="6" t="str">
        <f t="shared" si="6"/>
        <v>Campo eliminado</v>
      </c>
      <c r="N118" s="6" t="str">
        <f>IFERROR(VLOOKUP($B118,'Lista - Âmbito Projeto GD'!$B$3:$K$71,6,0),"Campo eliminado")</f>
        <v>Campo eliminado</v>
      </c>
      <c r="O118" s="6" t="str">
        <f t="shared" si="7"/>
        <v>Campo eliminado</v>
      </c>
      <c r="P118" s="6" t="str">
        <f>IFERROR(VLOOKUP($B118,'Lista - Âmbito Projeto GD'!$B$3:$K$71,7,0),"Campo eliminado")</f>
        <v>Campo eliminado</v>
      </c>
      <c r="Q118" s="6" t="str">
        <f t="shared" si="8"/>
        <v>Campo eliminado</v>
      </c>
      <c r="R118" s="6" t="str">
        <f>IFERROR(VLOOKUP($B118,'Lista - Âmbito Projeto GD'!$B$3:$K$71,9,0),"Campo eliminado")</f>
        <v>Campo eliminado</v>
      </c>
      <c r="S118" s="6" t="str">
        <f t="shared" si="9"/>
        <v>Campo eliminado</v>
      </c>
      <c r="U118" s="6" t="str">
        <f>VLOOKUP(B118,DataLake!$A$4:$A$429,1,0)</f>
        <v>ENTITY_CNTRPRTY_EMSSNS_SCP3</v>
      </c>
    </row>
    <row r="119" spans="1:21" ht="15" hidden="1" customHeight="1" x14ac:dyDescent="0.3">
      <c r="A119" s="16" t="s">
        <v>363</v>
      </c>
      <c r="B119" s="47" t="str">
        <f t="shared" si="5"/>
        <v>ENTITY_FLG_EXCLDD_EU_PRS_ALGND_BNCHMRK</v>
      </c>
      <c r="C119" s="8" t="s">
        <v>10</v>
      </c>
      <c r="D119" s="9" t="s">
        <v>364</v>
      </c>
      <c r="E119" s="11" t="s">
        <v>365</v>
      </c>
      <c r="F119" s="10" t="s">
        <v>11</v>
      </c>
      <c r="G119" s="10" t="s">
        <v>11</v>
      </c>
      <c r="H119" s="10" t="s">
        <v>13</v>
      </c>
      <c r="I119" s="10" t="s">
        <v>11</v>
      </c>
      <c r="J119" s="10" t="s">
        <v>11</v>
      </c>
      <c r="L119" s="6" t="str">
        <f>IFERROR(VLOOKUP($B119,'Lista - Âmbito Projeto GD'!$B$3:$F$71,5,0),"Campo eliminado")</f>
        <v>Campo eliminado</v>
      </c>
      <c r="M119" s="6" t="str">
        <f t="shared" si="6"/>
        <v>Campo eliminado</v>
      </c>
      <c r="N119" s="6" t="str">
        <f>IFERROR(VLOOKUP($B119,'Lista - Âmbito Projeto GD'!$B$3:$K$71,6,0),"Campo eliminado")</f>
        <v>Campo eliminado</v>
      </c>
      <c r="O119" s="6" t="str">
        <f t="shared" si="7"/>
        <v>Campo eliminado</v>
      </c>
      <c r="P119" s="6" t="str">
        <f>IFERROR(VLOOKUP($B119,'Lista - Âmbito Projeto GD'!$B$3:$K$71,7,0),"Campo eliminado")</f>
        <v>Campo eliminado</v>
      </c>
      <c r="Q119" s="6" t="str">
        <f t="shared" si="8"/>
        <v>Campo eliminado</v>
      </c>
      <c r="R119" s="6" t="str">
        <f>IFERROR(VLOOKUP($B119,'Lista - Âmbito Projeto GD'!$B$3:$K$71,9,0),"Campo eliminado")</f>
        <v>Campo eliminado</v>
      </c>
      <c r="S119" s="6" t="str">
        <f t="shared" si="9"/>
        <v>Campo eliminado</v>
      </c>
      <c r="U119" s="6" t="str">
        <f>VLOOKUP(B119,DataLake!$A$4:$A$429,1,0)</f>
        <v>ENTITY_FLG_EXCLDD_EU_PRS_ALGND_BNCHMRK</v>
      </c>
    </row>
    <row r="120" spans="1:21" ht="15" hidden="1" customHeight="1" x14ac:dyDescent="0.3">
      <c r="A120" s="16" t="s">
        <v>366</v>
      </c>
      <c r="B120" s="47" t="str">
        <f t="shared" si="5"/>
        <v>ENTITY_GRP_EMSSNS_SCP1</v>
      </c>
      <c r="C120" s="8" t="s">
        <v>10</v>
      </c>
      <c r="D120" s="9" t="s">
        <v>367</v>
      </c>
      <c r="E120" s="11" t="s">
        <v>368</v>
      </c>
      <c r="F120" s="10" t="s">
        <v>11</v>
      </c>
      <c r="G120" s="10" t="s">
        <v>11</v>
      </c>
      <c r="H120" s="10" t="s">
        <v>13</v>
      </c>
      <c r="I120" s="10" t="s">
        <v>13</v>
      </c>
      <c r="J120" s="10" t="s">
        <v>11</v>
      </c>
      <c r="L120" s="6" t="str">
        <f>IFERROR(VLOOKUP($B120,'Lista - Âmbito Projeto GD'!$B$3:$F$71,5,0),"Campo eliminado")</f>
        <v>Campo eliminado</v>
      </c>
      <c r="M120" s="6" t="str">
        <f t="shared" si="6"/>
        <v>Campo eliminado</v>
      </c>
      <c r="N120" s="6" t="str">
        <f>IFERROR(VLOOKUP($B120,'Lista - Âmbito Projeto GD'!$B$3:$K$71,6,0),"Campo eliminado")</f>
        <v>Campo eliminado</v>
      </c>
      <c r="O120" s="6" t="str">
        <f t="shared" si="7"/>
        <v>Campo eliminado</v>
      </c>
      <c r="P120" s="6" t="str">
        <f>IFERROR(VLOOKUP($B120,'Lista - Âmbito Projeto GD'!$B$3:$K$71,7,0),"Campo eliminado")</f>
        <v>Campo eliminado</v>
      </c>
      <c r="Q120" s="6" t="str">
        <f t="shared" si="8"/>
        <v>Campo eliminado</v>
      </c>
      <c r="R120" s="6" t="str">
        <f>IFERROR(VLOOKUP($B120,'Lista - Âmbito Projeto GD'!$B$3:$K$71,9,0),"Campo eliminado")</f>
        <v>Campo eliminado</v>
      </c>
      <c r="S120" s="6" t="str">
        <f t="shared" si="9"/>
        <v>Campo eliminado</v>
      </c>
      <c r="U120" s="6" t="str">
        <f>VLOOKUP(B120,DataLake!$A$4:$A$429,1,0)</f>
        <v>ENTITY_GRP_EMSSNS_SCP1</v>
      </c>
    </row>
    <row r="121" spans="1:21" ht="15" hidden="1" customHeight="1" x14ac:dyDescent="0.3">
      <c r="A121" s="16" t="s">
        <v>369</v>
      </c>
      <c r="B121" s="47" t="str">
        <f t="shared" si="5"/>
        <v>ENTITY_GRP_EMSSNS_SCP2</v>
      </c>
      <c r="C121" s="8" t="s">
        <v>10</v>
      </c>
      <c r="D121" s="9" t="s">
        <v>370</v>
      </c>
      <c r="E121" s="11" t="s">
        <v>371</v>
      </c>
      <c r="F121" s="10" t="s">
        <v>11</v>
      </c>
      <c r="G121" s="10" t="s">
        <v>11</v>
      </c>
      <c r="H121" s="10" t="s">
        <v>13</v>
      </c>
      <c r="I121" s="10" t="s">
        <v>13</v>
      </c>
      <c r="J121" s="10" t="s">
        <v>11</v>
      </c>
      <c r="L121" s="6" t="str">
        <f>IFERROR(VLOOKUP($B121,'Lista - Âmbito Projeto GD'!$B$3:$F$71,5,0),"Campo eliminado")</f>
        <v>Campo eliminado</v>
      </c>
      <c r="M121" s="6" t="str">
        <f t="shared" si="6"/>
        <v>Campo eliminado</v>
      </c>
      <c r="N121" s="6" t="str">
        <f>IFERROR(VLOOKUP($B121,'Lista - Âmbito Projeto GD'!$B$3:$K$71,6,0),"Campo eliminado")</f>
        <v>Campo eliminado</v>
      </c>
      <c r="O121" s="6" t="str">
        <f t="shared" si="7"/>
        <v>Campo eliminado</v>
      </c>
      <c r="P121" s="6" t="str">
        <f>IFERROR(VLOOKUP($B121,'Lista - Âmbito Projeto GD'!$B$3:$K$71,7,0),"Campo eliminado")</f>
        <v>Campo eliminado</v>
      </c>
      <c r="Q121" s="6" t="str">
        <f t="shared" si="8"/>
        <v>Campo eliminado</v>
      </c>
      <c r="R121" s="6" t="str">
        <f>IFERROR(VLOOKUP($B121,'Lista - Âmbito Projeto GD'!$B$3:$K$71,9,0),"Campo eliminado")</f>
        <v>Campo eliminado</v>
      </c>
      <c r="S121" s="6" t="str">
        <f t="shared" si="9"/>
        <v>Campo eliminado</v>
      </c>
      <c r="U121" s="6" t="str">
        <f>VLOOKUP(B121,DataLake!$A$4:$A$429,1,0)</f>
        <v>ENTITY_GRP_EMSSNS_SCP2</v>
      </c>
    </row>
    <row r="122" spans="1:21" ht="15" hidden="1" customHeight="1" x14ac:dyDescent="0.3">
      <c r="A122" s="16" t="s">
        <v>372</v>
      </c>
      <c r="B122" s="47" t="str">
        <f t="shared" si="5"/>
        <v>ENTITY_GRP_EMSSNS_SCP3</v>
      </c>
      <c r="C122" s="8" t="s">
        <v>10</v>
      </c>
      <c r="D122" s="9" t="s">
        <v>373</v>
      </c>
      <c r="E122" s="11" t="s">
        <v>374</v>
      </c>
      <c r="F122" s="10" t="s">
        <v>11</v>
      </c>
      <c r="G122" s="10" t="s">
        <v>11</v>
      </c>
      <c r="H122" s="10" t="s">
        <v>13</v>
      </c>
      <c r="I122" s="10" t="s">
        <v>13</v>
      </c>
      <c r="J122" s="10" t="s">
        <v>11</v>
      </c>
      <c r="L122" s="6" t="str">
        <f>IFERROR(VLOOKUP($B122,'Lista - Âmbito Projeto GD'!$B$3:$F$71,5,0),"Campo eliminado")</f>
        <v>Campo eliminado</v>
      </c>
      <c r="M122" s="6" t="str">
        <f t="shared" si="6"/>
        <v>Campo eliminado</v>
      </c>
      <c r="N122" s="6" t="str">
        <f>IFERROR(VLOOKUP($B122,'Lista - Âmbito Projeto GD'!$B$3:$K$71,6,0),"Campo eliminado")</f>
        <v>Campo eliminado</v>
      </c>
      <c r="O122" s="6" t="str">
        <f t="shared" si="7"/>
        <v>Campo eliminado</v>
      </c>
      <c r="P122" s="6" t="str">
        <f>IFERROR(VLOOKUP($B122,'Lista - Âmbito Projeto GD'!$B$3:$K$71,7,0),"Campo eliminado")</f>
        <v>Campo eliminado</v>
      </c>
      <c r="Q122" s="6" t="str">
        <f t="shared" si="8"/>
        <v>Campo eliminado</v>
      </c>
      <c r="R122" s="6" t="str">
        <f>IFERROR(VLOOKUP($B122,'Lista - Âmbito Projeto GD'!$B$3:$K$71,9,0),"Campo eliminado")</f>
        <v>Campo eliminado</v>
      </c>
      <c r="S122" s="6" t="str">
        <f t="shared" si="9"/>
        <v>Campo eliminado</v>
      </c>
      <c r="U122" s="6" t="str">
        <f>VLOOKUP(B122,DataLake!$A$4:$A$429,1,0)</f>
        <v>ENTITY_GRP_EMSSNS_SCP3</v>
      </c>
    </row>
    <row r="123" spans="1:21" ht="15" hidden="1" customHeight="1" x14ac:dyDescent="0.3">
      <c r="A123" s="16" t="s">
        <v>375</v>
      </c>
      <c r="B123" s="47" t="str">
        <f t="shared" si="5"/>
        <v>ENTITY_FLG_ACT_PHYSCL_RSK</v>
      </c>
      <c r="C123" s="8" t="s">
        <v>10</v>
      </c>
      <c r="D123" s="9" t="s">
        <v>376</v>
      </c>
      <c r="E123" s="18" t="s">
        <v>377</v>
      </c>
      <c r="F123" s="10" t="s">
        <v>11</v>
      </c>
      <c r="G123" s="10" t="s">
        <v>11</v>
      </c>
      <c r="H123" s="10" t="s">
        <v>13</v>
      </c>
      <c r="I123" s="10" t="s">
        <v>11</v>
      </c>
      <c r="J123" s="10" t="s">
        <v>11</v>
      </c>
      <c r="L123" s="6" t="str">
        <f>IFERROR(VLOOKUP($B123,'Lista - Âmbito Projeto GD'!$B$3:$F$71,5,0),"Campo eliminado")</f>
        <v>Campo eliminado</v>
      </c>
      <c r="M123" s="6" t="str">
        <f t="shared" si="6"/>
        <v>Campo eliminado</v>
      </c>
      <c r="N123" s="6" t="str">
        <f>IFERROR(VLOOKUP($B123,'Lista - Âmbito Projeto GD'!$B$3:$K$71,6,0),"Campo eliminado")</f>
        <v>Campo eliminado</v>
      </c>
      <c r="O123" s="6" t="str">
        <f t="shared" si="7"/>
        <v>Campo eliminado</v>
      </c>
      <c r="P123" s="6" t="str">
        <f>IFERROR(VLOOKUP($B123,'Lista - Âmbito Projeto GD'!$B$3:$K$71,7,0),"Campo eliminado")</f>
        <v>Campo eliminado</v>
      </c>
      <c r="Q123" s="6" t="str">
        <f t="shared" si="8"/>
        <v>Campo eliminado</v>
      </c>
      <c r="R123" s="6" t="str">
        <f>IFERROR(VLOOKUP($B123,'Lista - Âmbito Projeto GD'!$B$3:$K$71,9,0),"Campo eliminado")</f>
        <v>Campo eliminado</v>
      </c>
      <c r="S123" s="6" t="str">
        <f t="shared" si="9"/>
        <v>Campo eliminado</v>
      </c>
      <c r="U123" s="6" t="str">
        <f>VLOOKUP(B123,DataLake!$A$4:$A$429,1,0)</f>
        <v>ENTITY_FLG_ACT_PHYSCL_RSK</v>
      </c>
    </row>
    <row r="124" spans="1:21" ht="15" hidden="1" customHeight="1" x14ac:dyDescent="0.3">
      <c r="A124" s="16" t="s">
        <v>378</v>
      </c>
      <c r="B124" s="47" t="str">
        <f t="shared" si="5"/>
        <v>ENTITY_FLG_CHRNC_PHYSCL_RSK</v>
      </c>
      <c r="C124" s="8" t="s">
        <v>10</v>
      </c>
      <c r="D124" s="9" t="s">
        <v>379</v>
      </c>
      <c r="E124" s="18" t="s">
        <v>380</v>
      </c>
      <c r="F124" s="10" t="s">
        <v>11</v>
      </c>
      <c r="G124" s="10" t="s">
        <v>11</v>
      </c>
      <c r="H124" s="10" t="s">
        <v>13</v>
      </c>
      <c r="I124" s="10" t="s">
        <v>11</v>
      </c>
      <c r="J124" s="10" t="s">
        <v>11</v>
      </c>
      <c r="L124" s="6" t="str">
        <f>IFERROR(VLOOKUP($B124,'Lista - Âmbito Projeto GD'!$B$3:$F$71,5,0),"Campo eliminado")</f>
        <v>Campo eliminado</v>
      </c>
      <c r="M124" s="6" t="str">
        <f t="shared" si="6"/>
        <v>Campo eliminado</v>
      </c>
      <c r="N124" s="6" t="str">
        <f>IFERROR(VLOOKUP($B124,'Lista - Âmbito Projeto GD'!$B$3:$K$71,6,0),"Campo eliminado")</f>
        <v>Campo eliminado</v>
      </c>
      <c r="O124" s="6" t="str">
        <f t="shared" si="7"/>
        <v>Campo eliminado</v>
      </c>
      <c r="P124" s="6" t="str">
        <f>IFERROR(VLOOKUP($B124,'Lista - Âmbito Projeto GD'!$B$3:$K$71,7,0),"Campo eliminado")</f>
        <v>Campo eliminado</v>
      </c>
      <c r="Q124" s="6" t="str">
        <f t="shared" si="8"/>
        <v>Campo eliminado</v>
      </c>
      <c r="R124" s="6" t="str">
        <f>IFERROR(VLOOKUP($B124,'Lista - Âmbito Projeto GD'!$B$3:$K$71,9,0),"Campo eliminado")</f>
        <v>Campo eliminado</v>
      </c>
      <c r="S124" s="6" t="str">
        <f t="shared" si="9"/>
        <v>Campo eliminado</v>
      </c>
      <c r="U124" s="6" t="str">
        <f>VLOOKUP(B124,DataLake!$A$4:$A$429,1,0)</f>
        <v>ENTITY_FLG_CHRNC_PHYSCL_RSK</v>
      </c>
    </row>
    <row r="125" spans="1:21" ht="15" hidden="1" customHeight="1" x14ac:dyDescent="0.3">
      <c r="A125" s="16" t="s">
        <v>381</v>
      </c>
      <c r="B125" s="47" t="str">
        <f t="shared" si="5"/>
        <v>ENTITY_GRP_ECNMC_ACTVTY</v>
      </c>
      <c r="C125" s="8" t="s">
        <v>10</v>
      </c>
      <c r="D125" s="17" t="s">
        <v>382</v>
      </c>
      <c r="E125" s="18" t="s">
        <v>383</v>
      </c>
      <c r="F125" s="10" t="s">
        <v>11</v>
      </c>
      <c r="G125" s="10" t="s">
        <v>11</v>
      </c>
      <c r="H125" s="10" t="s">
        <v>11</v>
      </c>
      <c r="I125" s="10" t="s">
        <v>13</v>
      </c>
      <c r="J125" s="10" t="s">
        <v>11</v>
      </c>
      <c r="L125" s="6" t="str">
        <f>IFERROR(VLOOKUP($B125,'Lista - Âmbito Projeto GD'!$B$3:$F$71,5,0),"Campo eliminado")</f>
        <v>Campo eliminado</v>
      </c>
      <c r="M125" s="6" t="str">
        <f t="shared" si="6"/>
        <v>Campo eliminado</v>
      </c>
      <c r="N125" s="6" t="str">
        <f>IFERROR(VLOOKUP($B125,'Lista - Âmbito Projeto GD'!$B$3:$K$71,6,0),"Campo eliminado")</f>
        <v>Campo eliminado</v>
      </c>
      <c r="O125" s="6" t="str">
        <f t="shared" si="7"/>
        <v>Campo eliminado</v>
      </c>
      <c r="P125" s="6" t="str">
        <f>IFERROR(VLOOKUP($B125,'Lista - Âmbito Projeto GD'!$B$3:$K$71,7,0),"Campo eliminado")</f>
        <v>Campo eliminado</v>
      </c>
      <c r="Q125" s="6" t="str">
        <f t="shared" si="8"/>
        <v>Campo eliminado</v>
      </c>
      <c r="R125" s="6" t="str">
        <f>IFERROR(VLOOKUP($B125,'Lista - Âmbito Projeto GD'!$B$3:$K$71,9,0),"Campo eliminado")</f>
        <v>Campo eliminado</v>
      </c>
      <c r="S125" s="6" t="str">
        <f t="shared" si="9"/>
        <v>Campo eliminado</v>
      </c>
      <c r="U125" s="6" t="e">
        <f>VLOOKUP(B125,DataLake!$A$4:$A$429,1,0)</f>
        <v>#N/A</v>
      </c>
    </row>
    <row r="126" spans="1:21" ht="15" hidden="1" customHeight="1" x14ac:dyDescent="0.3">
      <c r="A126" s="7" t="s">
        <v>384</v>
      </c>
      <c r="B126" s="47" t="str">
        <f t="shared" si="5"/>
        <v>ENTITY_PRSN_TYP</v>
      </c>
      <c r="C126" s="8" t="s">
        <v>10</v>
      </c>
      <c r="D126" s="49" t="s">
        <v>385</v>
      </c>
      <c r="E126" s="50" t="s">
        <v>386</v>
      </c>
      <c r="F126" s="51" t="s">
        <v>13</v>
      </c>
      <c r="G126" s="10" t="s">
        <v>11</v>
      </c>
      <c r="H126" s="10" t="s">
        <v>11</v>
      </c>
      <c r="I126" s="10" t="s">
        <v>11</v>
      </c>
      <c r="J126" s="10" t="s">
        <v>11</v>
      </c>
      <c r="L126" s="6" t="str">
        <f>IFERROR(VLOOKUP($B126,'Lista - Âmbito Projeto GD'!$B$3:$F$71,5,0),"Campo eliminado")</f>
        <v>Campo eliminado</v>
      </c>
      <c r="M126" s="6" t="str">
        <f t="shared" si="6"/>
        <v>Campo eliminado</v>
      </c>
      <c r="N126" s="6" t="str">
        <f>IFERROR(VLOOKUP($B126,'Lista - Âmbito Projeto GD'!$B$3:$K$71,6,0),"Campo eliminado")</f>
        <v>Campo eliminado</v>
      </c>
      <c r="O126" s="6" t="str">
        <f t="shared" si="7"/>
        <v>Campo eliminado</v>
      </c>
      <c r="P126" s="6" t="str">
        <f>IFERROR(VLOOKUP($B126,'Lista - Âmbito Projeto GD'!$B$3:$K$71,7,0),"Campo eliminado")</f>
        <v>Campo eliminado</v>
      </c>
      <c r="Q126" s="6" t="str">
        <f t="shared" si="8"/>
        <v>Campo eliminado</v>
      </c>
      <c r="R126" s="6" t="str">
        <f>IFERROR(VLOOKUP($B126,'Lista - Âmbito Projeto GD'!$B$3:$K$71,9,0),"Campo eliminado")</f>
        <v>Campo eliminado</v>
      </c>
      <c r="S126" s="6" t="str">
        <f t="shared" si="9"/>
        <v>Campo eliminado</v>
      </c>
      <c r="U126" s="6" t="str">
        <f>VLOOKUP(B126,DataLake!$A$4:$A$429,1,0)</f>
        <v>ENTITY_PRSN_TYP</v>
      </c>
    </row>
    <row r="127" spans="1:21" ht="15" hidden="1" customHeight="1" x14ac:dyDescent="0.3">
      <c r="A127" s="7" t="s">
        <v>387</v>
      </c>
      <c r="B127" s="47" t="str">
        <f t="shared" si="5"/>
        <v>ENTITY_FR_CSH_FLW</v>
      </c>
      <c r="C127" s="8" t="s">
        <v>10</v>
      </c>
      <c r="D127" s="49" t="s">
        <v>388</v>
      </c>
      <c r="E127" s="52" t="s">
        <v>389</v>
      </c>
      <c r="F127" s="51" t="s">
        <v>13</v>
      </c>
      <c r="G127" s="10" t="s">
        <v>11</v>
      </c>
      <c r="H127" s="10" t="s">
        <v>11</v>
      </c>
      <c r="I127" s="10" t="s">
        <v>11</v>
      </c>
      <c r="J127" s="10" t="s">
        <v>11</v>
      </c>
      <c r="L127" s="6" t="str">
        <f>IFERROR(VLOOKUP($B127,'Lista - Âmbito Projeto GD'!$B$3:$F$71,5,0),"Campo eliminado")</f>
        <v>Campo eliminado</v>
      </c>
      <c r="M127" s="6" t="str">
        <f t="shared" si="6"/>
        <v>Campo eliminado</v>
      </c>
      <c r="N127" s="6" t="str">
        <f>IFERROR(VLOOKUP($B127,'Lista - Âmbito Projeto GD'!$B$3:$K$71,6,0),"Campo eliminado")</f>
        <v>Campo eliminado</v>
      </c>
      <c r="O127" s="6" t="str">
        <f t="shared" si="7"/>
        <v>Campo eliminado</v>
      </c>
      <c r="P127" s="6" t="str">
        <f>IFERROR(VLOOKUP($B127,'Lista - Âmbito Projeto GD'!$B$3:$K$71,7,0),"Campo eliminado")</f>
        <v>Campo eliminado</v>
      </c>
      <c r="Q127" s="6" t="str">
        <f t="shared" si="8"/>
        <v>Campo eliminado</v>
      </c>
      <c r="R127" s="6" t="str">
        <f>IFERROR(VLOOKUP($B127,'Lista - Âmbito Projeto GD'!$B$3:$K$71,9,0),"Campo eliminado")</f>
        <v>Campo eliminado</v>
      </c>
      <c r="S127" s="6" t="str">
        <f t="shared" si="9"/>
        <v>Campo eliminado</v>
      </c>
      <c r="U127" s="6" t="str">
        <f>VLOOKUP(B127,DataLake!$A$4:$A$429,1,0)</f>
        <v>ENTITY_FR_CSH_FLW</v>
      </c>
    </row>
    <row r="128" spans="1:21" ht="15" hidden="1" customHeight="1" x14ac:dyDescent="0.3">
      <c r="A128" s="7" t="s">
        <v>390</v>
      </c>
      <c r="B128" s="47" t="str">
        <f t="shared" si="5"/>
        <v>ENTITY_FR_CSH_FLW_T1</v>
      </c>
      <c r="C128" s="8" t="s">
        <v>10</v>
      </c>
      <c r="D128" s="49" t="s">
        <v>391</v>
      </c>
      <c r="E128" s="52" t="s">
        <v>392</v>
      </c>
      <c r="F128" s="51" t="s">
        <v>13</v>
      </c>
      <c r="G128" s="10" t="s">
        <v>11</v>
      </c>
      <c r="H128" s="10" t="s">
        <v>11</v>
      </c>
      <c r="I128" s="10" t="s">
        <v>11</v>
      </c>
      <c r="J128" s="10" t="s">
        <v>11</v>
      </c>
      <c r="L128" s="6" t="str">
        <f>IFERROR(VLOOKUP($B128,'Lista - Âmbito Projeto GD'!$B$3:$F$71,5,0),"Campo eliminado")</f>
        <v>Campo eliminado</v>
      </c>
      <c r="M128" s="6" t="str">
        <f t="shared" si="6"/>
        <v>Campo eliminado</v>
      </c>
      <c r="N128" s="6" t="str">
        <f>IFERROR(VLOOKUP($B128,'Lista - Âmbito Projeto GD'!$B$3:$K$71,6,0),"Campo eliminado")</f>
        <v>Campo eliminado</v>
      </c>
      <c r="O128" s="6" t="str">
        <f t="shared" si="7"/>
        <v>Campo eliminado</v>
      </c>
      <c r="P128" s="6" t="str">
        <f>IFERROR(VLOOKUP($B128,'Lista - Âmbito Projeto GD'!$B$3:$K$71,7,0),"Campo eliminado")</f>
        <v>Campo eliminado</v>
      </c>
      <c r="Q128" s="6" t="str">
        <f t="shared" si="8"/>
        <v>Campo eliminado</v>
      </c>
      <c r="R128" s="6" t="str">
        <f>IFERROR(VLOOKUP($B128,'Lista - Âmbito Projeto GD'!$B$3:$K$71,9,0),"Campo eliminado")</f>
        <v>Campo eliminado</v>
      </c>
      <c r="S128" s="6" t="str">
        <f t="shared" si="9"/>
        <v>Campo eliminado</v>
      </c>
      <c r="U128" s="6" t="str">
        <f>VLOOKUP(B128,DataLake!$A$4:$A$429,1,0)</f>
        <v>ENTITY_FR_CSH_FLW_T1</v>
      </c>
    </row>
    <row r="129" spans="1:21" ht="15" hidden="1" customHeight="1" x14ac:dyDescent="0.3">
      <c r="A129" s="7" t="s">
        <v>393</v>
      </c>
      <c r="B129" s="47" t="str">
        <f t="shared" si="5"/>
        <v>ENTITY_FR_CSH_FLW_T2</v>
      </c>
      <c r="C129" s="8" t="s">
        <v>10</v>
      </c>
      <c r="D129" s="49" t="s">
        <v>394</v>
      </c>
      <c r="E129" s="52" t="s">
        <v>395</v>
      </c>
      <c r="F129" s="51" t="s">
        <v>13</v>
      </c>
      <c r="G129" s="10" t="s">
        <v>11</v>
      </c>
      <c r="H129" s="10" t="s">
        <v>11</v>
      </c>
      <c r="I129" s="10" t="s">
        <v>11</v>
      </c>
      <c r="J129" s="10" t="s">
        <v>11</v>
      </c>
      <c r="L129" s="6" t="str">
        <f>IFERROR(VLOOKUP($B129,'Lista - Âmbito Projeto GD'!$B$3:$F$71,5,0),"Campo eliminado")</f>
        <v>Campo eliminado</v>
      </c>
      <c r="M129" s="6" t="str">
        <f t="shared" si="6"/>
        <v>Campo eliminado</v>
      </c>
      <c r="N129" s="6" t="str">
        <f>IFERROR(VLOOKUP($B129,'Lista - Âmbito Projeto GD'!$B$3:$K$71,6,0),"Campo eliminado")</f>
        <v>Campo eliminado</v>
      </c>
      <c r="O129" s="6" t="str">
        <f t="shared" si="7"/>
        <v>Campo eliminado</v>
      </c>
      <c r="P129" s="6" t="str">
        <f>IFERROR(VLOOKUP($B129,'Lista - Âmbito Projeto GD'!$B$3:$K$71,7,0),"Campo eliminado")</f>
        <v>Campo eliminado</v>
      </c>
      <c r="Q129" s="6" t="str">
        <f t="shared" si="8"/>
        <v>Campo eliminado</v>
      </c>
      <c r="R129" s="6" t="str">
        <f>IFERROR(VLOOKUP($B129,'Lista - Âmbito Projeto GD'!$B$3:$K$71,9,0),"Campo eliminado")</f>
        <v>Campo eliminado</v>
      </c>
      <c r="S129" s="6" t="str">
        <f t="shared" si="9"/>
        <v>Campo eliminado</v>
      </c>
      <c r="U129" s="6" t="str">
        <f>VLOOKUP(B129,DataLake!$A$4:$A$429,1,0)</f>
        <v>ENTITY_FR_CSH_FLW_T2</v>
      </c>
    </row>
    <row r="130" spans="1:21" ht="15" hidden="1" customHeight="1" x14ac:dyDescent="0.3">
      <c r="A130" s="7" t="s">
        <v>396</v>
      </c>
      <c r="B130" s="47" t="str">
        <f t="shared" si="5"/>
        <v>ENTITY_FR_CSH_FLW_T3</v>
      </c>
      <c r="C130" s="8" t="s">
        <v>10</v>
      </c>
      <c r="D130" s="49" t="s">
        <v>397</v>
      </c>
      <c r="E130" s="52" t="s">
        <v>398</v>
      </c>
      <c r="F130" s="51" t="s">
        <v>13</v>
      </c>
      <c r="G130" s="10" t="s">
        <v>11</v>
      </c>
      <c r="H130" s="10" t="s">
        <v>11</v>
      </c>
      <c r="I130" s="10" t="s">
        <v>11</v>
      </c>
      <c r="J130" s="10" t="s">
        <v>11</v>
      </c>
      <c r="L130" s="6" t="str">
        <f>IFERROR(VLOOKUP($B130,'Lista - Âmbito Projeto GD'!$B$3:$F$71,5,0),"Campo eliminado")</f>
        <v>Campo eliminado</v>
      </c>
      <c r="M130" s="6" t="str">
        <f t="shared" si="6"/>
        <v>Campo eliminado</v>
      </c>
      <c r="N130" s="6" t="str">
        <f>IFERROR(VLOOKUP($B130,'Lista - Âmbito Projeto GD'!$B$3:$K$71,6,0),"Campo eliminado")</f>
        <v>Campo eliminado</v>
      </c>
      <c r="O130" s="6" t="str">
        <f t="shared" si="7"/>
        <v>Campo eliminado</v>
      </c>
      <c r="P130" s="6" t="str">
        <f>IFERROR(VLOOKUP($B130,'Lista - Âmbito Projeto GD'!$B$3:$K$71,7,0),"Campo eliminado")</f>
        <v>Campo eliminado</v>
      </c>
      <c r="Q130" s="6" t="str">
        <f t="shared" si="8"/>
        <v>Campo eliminado</v>
      </c>
      <c r="R130" s="6" t="str">
        <f>IFERROR(VLOOKUP($B130,'Lista - Âmbito Projeto GD'!$B$3:$K$71,9,0),"Campo eliminado")</f>
        <v>Campo eliminado</v>
      </c>
      <c r="S130" s="6" t="str">
        <f t="shared" si="9"/>
        <v>Campo eliminado</v>
      </c>
      <c r="U130" s="6" t="str">
        <f>VLOOKUP(B130,DataLake!$A$4:$A$429,1,0)</f>
        <v>ENTITY_FR_CSH_FLW_T3</v>
      </c>
    </row>
    <row r="131" spans="1:21" ht="15" hidden="1" customHeight="1" x14ac:dyDescent="0.3">
      <c r="A131" s="7" t="s">
        <v>399</v>
      </c>
      <c r="B131" s="47" t="str">
        <f t="shared" ref="B131:B194" si="10">C131&amp;"_"&amp;D131</f>
        <v>INSTR_ENTITY_COD_SOC</v>
      </c>
      <c r="C131" s="8" t="s">
        <v>400</v>
      </c>
      <c r="D131" s="9" t="s">
        <v>12</v>
      </c>
      <c r="E131" s="11" t="s">
        <v>14</v>
      </c>
      <c r="F131" s="10" t="s">
        <v>13</v>
      </c>
      <c r="G131" s="10" t="s">
        <v>11</v>
      </c>
      <c r="H131" s="10" t="s">
        <v>13</v>
      </c>
      <c r="I131" s="10" t="s">
        <v>11</v>
      </c>
      <c r="J131" s="10" t="s">
        <v>11</v>
      </c>
      <c r="L131" s="6" t="str">
        <f>IFERROR(VLOOKUP($B131,'Lista - Âmbito Projeto GD'!$B$3:$F$71,5,0),"Campo eliminado")</f>
        <v>Campo eliminado</v>
      </c>
      <c r="M131" s="6" t="str">
        <f t="shared" ref="M131:M194" si="11">IF(L131="Campo eliminado","Campo eliminado",IF(L131=F131,"Igual","Diferente"))</f>
        <v>Campo eliminado</v>
      </c>
      <c r="N131" s="6" t="str">
        <f>IFERROR(VLOOKUP($B131,'Lista - Âmbito Projeto GD'!$B$3:$K$71,6,0),"Campo eliminado")</f>
        <v>Campo eliminado</v>
      </c>
      <c r="O131" s="6" t="str">
        <f t="shared" ref="O131:O194" si="12">IF(N131="Campo eliminado","Campo eliminado",IF(N131=G131,"Igual","Diferente"))</f>
        <v>Campo eliminado</v>
      </c>
      <c r="P131" s="6" t="str">
        <f>IFERROR(VLOOKUP($B131,'Lista - Âmbito Projeto GD'!$B$3:$K$71,7,0),"Campo eliminado")</f>
        <v>Campo eliminado</v>
      </c>
      <c r="Q131" s="6" t="str">
        <f t="shared" ref="Q131:Q194" si="13">IF(P131="Campo eliminado","Campo eliminado",IF(P131=H131,"Igual","Diferente"))</f>
        <v>Campo eliminado</v>
      </c>
      <c r="R131" s="6" t="str">
        <f>IFERROR(VLOOKUP($B131,'Lista - Âmbito Projeto GD'!$B$3:$K$71,9,0),"Campo eliminado")</f>
        <v>Campo eliminado</v>
      </c>
      <c r="S131" s="6" t="str">
        <f t="shared" ref="S131:S194" si="14">IF(R131="Campo eliminado","Campo eliminado",IF(R131=I131,"Igual","Diferente"))</f>
        <v>Campo eliminado</v>
      </c>
      <c r="U131" s="6" t="str">
        <f>VLOOKUP(B131,DataLake!$A$4:$A$429,1,0)</f>
        <v>INSTR_ENTITY_COD_SOC</v>
      </c>
    </row>
    <row r="132" spans="1:21" ht="15" hidden="1" customHeight="1" x14ac:dyDescent="0.3">
      <c r="A132" s="7" t="s">
        <v>401</v>
      </c>
      <c r="B132" s="47" t="str">
        <f t="shared" si="10"/>
        <v>INSTR_ENTITY_DT_RFRNC</v>
      </c>
      <c r="C132" s="8" t="s">
        <v>400</v>
      </c>
      <c r="D132" s="9" t="s">
        <v>38</v>
      </c>
      <c r="E132" s="11" t="s">
        <v>402</v>
      </c>
      <c r="F132" s="10" t="s">
        <v>13</v>
      </c>
      <c r="G132" s="10" t="s">
        <v>11</v>
      </c>
      <c r="H132" s="10" t="s">
        <v>13</v>
      </c>
      <c r="I132" s="10" t="s">
        <v>11</v>
      </c>
      <c r="J132" s="10" t="s">
        <v>11</v>
      </c>
      <c r="L132" s="6" t="str">
        <f>IFERROR(VLOOKUP($B132,'Lista - Âmbito Projeto GD'!$B$3:$F$71,5,0),"Campo eliminado")</f>
        <v>Campo eliminado</v>
      </c>
      <c r="M132" s="6" t="str">
        <f t="shared" si="11"/>
        <v>Campo eliminado</v>
      </c>
      <c r="N132" s="6" t="str">
        <f>IFERROR(VLOOKUP($B132,'Lista - Âmbito Projeto GD'!$B$3:$K$71,6,0),"Campo eliminado")</f>
        <v>Campo eliminado</v>
      </c>
      <c r="O132" s="6" t="str">
        <f t="shared" si="12"/>
        <v>Campo eliminado</v>
      </c>
      <c r="P132" s="6" t="str">
        <f>IFERROR(VLOOKUP($B132,'Lista - Âmbito Projeto GD'!$B$3:$K$71,7,0),"Campo eliminado")</f>
        <v>Campo eliminado</v>
      </c>
      <c r="Q132" s="6" t="str">
        <f t="shared" si="13"/>
        <v>Campo eliminado</v>
      </c>
      <c r="R132" s="6" t="str">
        <f>IFERROR(VLOOKUP($B132,'Lista - Âmbito Projeto GD'!$B$3:$K$71,9,0),"Campo eliminado")</f>
        <v>Campo eliminado</v>
      </c>
      <c r="S132" s="6" t="str">
        <f t="shared" si="14"/>
        <v>Campo eliminado</v>
      </c>
      <c r="U132" s="6" t="e">
        <f>VLOOKUP(B132,DataLake!$A$4:$A$429,1,0)</f>
        <v>#N/A</v>
      </c>
    </row>
    <row r="133" spans="1:21" ht="15" hidden="1" customHeight="1" x14ac:dyDescent="0.3">
      <c r="A133" s="7" t="s">
        <v>403</v>
      </c>
      <c r="B133" s="47" t="str">
        <f t="shared" si="10"/>
        <v>INSTR_ENTITY_ENTTY_ID</v>
      </c>
      <c r="C133" s="8" t="s">
        <v>400</v>
      </c>
      <c r="D133" s="9" t="s">
        <v>41</v>
      </c>
      <c r="E133" s="11" t="s">
        <v>42</v>
      </c>
      <c r="F133" s="10" t="s">
        <v>13</v>
      </c>
      <c r="G133" s="10" t="s">
        <v>11</v>
      </c>
      <c r="H133" s="10" t="s">
        <v>13</v>
      </c>
      <c r="I133" s="10" t="s">
        <v>11</v>
      </c>
      <c r="J133" s="10" t="s">
        <v>11</v>
      </c>
      <c r="L133" s="6" t="str">
        <f>IFERROR(VLOOKUP($B133,'Lista - Âmbito Projeto GD'!$B$3:$F$71,5,0),"Campo eliminado")</f>
        <v>Campo eliminado</v>
      </c>
      <c r="M133" s="6" t="str">
        <f t="shared" si="11"/>
        <v>Campo eliminado</v>
      </c>
      <c r="N133" s="6" t="str">
        <f>IFERROR(VLOOKUP($B133,'Lista - Âmbito Projeto GD'!$B$3:$K$71,6,0),"Campo eliminado")</f>
        <v>Campo eliminado</v>
      </c>
      <c r="O133" s="6" t="str">
        <f t="shared" si="12"/>
        <v>Campo eliminado</v>
      </c>
      <c r="P133" s="6" t="str">
        <f>IFERROR(VLOOKUP($B133,'Lista - Âmbito Projeto GD'!$B$3:$K$71,7,0),"Campo eliminado")</f>
        <v>Campo eliminado</v>
      </c>
      <c r="Q133" s="6" t="str">
        <f t="shared" si="13"/>
        <v>Campo eliminado</v>
      </c>
      <c r="R133" s="6" t="str">
        <f>IFERROR(VLOOKUP($B133,'Lista - Âmbito Projeto GD'!$B$3:$K$71,9,0),"Campo eliminado")</f>
        <v>Campo eliminado</v>
      </c>
      <c r="S133" s="6" t="str">
        <f t="shared" si="14"/>
        <v>Campo eliminado</v>
      </c>
      <c r="U133" s="6" t="str">
        <f>VLOOKUP(B133,DataLake!$A$4:$A$429,1,0)</f>
        <v>INSTR_ENTITY_ENTTY_ID</v>
      </c>
    </row>
    <row r="134" spans="1:21" ht="15" hidden="1" customHeight="1" x14ac:dyDescent="0.3">
      <c r="A134" s="7" t="s">
        <v>404</v>
      </c>
      <c r="B134" s="47" t="str">
        <f t="shared" si="10"/>
        <v>INSTR_ENTITY_INSTRMNT_ID</v>
      </c>
      <c r="C134" s="8" t="s">
        <v>400</v>
      </c>
      <c r="D134" s="9" t="s">
        <v>405</v>
      </c>
      <c r="E134" s="11" t="s">
        <v>406</v>
      </c>
      <c r="F134" s="10" t="s">
        <v>13</v>
      </c>
      <c r="G134" s="10" t="s">
        <v>11</v>
      </c>
      <c r="H134" s="10" t="s">
        <v>13</v>
      </c>
      <c r="I134" s="10" t="s">
        <v>11</v>
      </c>
      <c r="J134" s="10" t="s">
        <v>11</v>
      </c>
      <c r="L134" s="6" t="str">
        <f>IFERROR(VLOOKUP($B134,'Lista - Âmbito Projeto GD'!$B$3:$F$71,5,0),"Campo eliminado")</f>
        <v>Campo eliminado</v>
      </c>
      <c r="M134" s="6" t="str">
        <f t="shared" si="11"/>
        <v>Campo eliminado</v>
      </c>
      <c r="N134" s="6" t="str">
        <f>IFERROR(VLOOKUP($B134,'Lista - Âmbito Projeto GD'!$B$3:$K$71,6,0),"Campo eliminado")</f>
        <v>Campo eliminado</v>
      </c>
      <c r="O134" s="6" t="str">
        <f t="shared" si="12"/>
        <v>Campo eliminado</v>
      </c>
      <c r="P134" s="6" t="str">
        <f>IFERROR(VLOOKUP($B134,'Lista - Âmbito Projeto GD'!$B$3:$K$71,7,0),"Campo eliminado")</f>
        <v>Campo eliminado</v>
      </c>
      <c r="Q134" s="6" t="str">
        <f t="shared" si="13"/>
        <v>Campo eliminado</v>
      </c>
      <c r="R134" s="6" t="str">
        <f>IFERROR(VLOOKUP($B134,'Lista - Âmbito Projeto GD'!$B$3:$K$71,9,0),"Campo eliminado")</f>
        <v>Campo eliminado</v>
      </c>
      <c r="S134" s="6" t="str">
        <f t="shared" si="14"/>
        <v>Campo eliminado</v>
      </c>
      <c r="U134" s="6" t="str">
        <f>VLOOKUP(B134,DataLake!$A$4:$A$429,1,0)</f>
        <v>INSTR_ENTITY_INSTRMNT_ID</v>
      </c>
    </row>
    <row r="135" spans="1:21" ht="15" hidden="1" customHeight="1" x14ac:dyDescent="0.3">
      <c r="A135" s="7" t="s">
        <v>407</v>
      </c>
      <c r="B135" s="47" t="str">
        <f t="shared" si="10"/>
        <v>INSTR_ENTITY_JNT_LBLTY_AMNT</v>
      </c>
      <c r="C135" s="8" t="s">
        <v>400</v>
      </c>
      <c r="D135" s="9" t="s">
        <v>408</v>
      </c>
      <c r="E135" s="11" t="s">
        <v>409</v>
      </c>
      <c r="F135" s="10" t="s">
        <v>13</v>
      </c>
      <c r="G135" s="10" t="s">
        <v>11</v>
      </c>
      <c r="H135" s="10" t="s">
        <v>11</v>
      </c>
      <c r="I135" s="10" t="s">
        <v>11</v>
      </c>
      <c r="J135" s="10" t="s">
        <v>11</v>
      </c>
      <c r="L135" s="6" t="str">
        <f>IFERROR(VLOOKUP($B135,'Lista - Âmbito Projeto GD'!$B$3:$F$71,5,0),"Campo eliminado")</f>
        <v>Campo eliminado</v>
      </c>
      <c r="M135" s="6" t="str">
        <f t="shared" si="11"/>
        <v>Campo eliminado</v>
      </c>
      <c r="N135" s="6" t="str">
        <f>IFERROR(VLOOKUP($B135,'Lista - Âmbito Projeto GD'!$B$3:$K$71,6,0),"Campo eliminado")</f>
        <v>Campo eliminado</v>
      </c>
      <c r="O135" s="6" t="str">
        <f t="shared" si="12"/>
        <v>Campo eliminado</v>
      </c>
      <c r="P135" s="6" t="str">
        <f>IFERROR(VLOOKUP($B135,'Lista - Âmbito Projeto GD'!$B$3:$K$71,7,0),"Campo eliminado")</f>
        <v>Campo eliminado</v>
      </c>
      <c r="Q135" s="6" t="str">
        <f t="shared" si="13"/>
        <v>Campo eliminado</v>
      </c>
      <c r="R135" s="6" t="str">
        <f>IFERROR(VLOOKUP($B135,'Lista - Âmbito Projeto GD'!$B$3:$K$71,9,0),"Campo eliminado")</f>
        <v>Campo eliminado</v>
      </c>
      <c r="S135" s="6" t="str">
        <f t="shared" si="14"/>
        <v>Campo eliminado</v>
      </c>
      <c r="U135" s="6" t="str">
        <f>VLOOKUP(B135,DataLake!$A$4:$A$429,1,0)</f>
        <v>INSTR_ENTITY_JNT_LBLTY_AMNT</v>
      </c>
    </row>
    <row r="136" spans="1:21" ht="15" hidden="1" customHeight="1" x14ac:dyDescent="0.3">
      <c r="A136" s="7" t="s">
        <v>410</v>
      </c>
      <c r="B136" s="47" t="str">
        <f t="shared" si="10"/>
        <v>INSTR_ENTITY_MN_ENTTY_ID</v>
      </c>
      <c r="C136" s="8" t="s">
        <v>400</v>
      </c>
      <c r="D136" s="9" t="s">
        <v>411</v>
      </c>
      <c r="E136" s="11" t="s">
        <v>412</v>
      </c>
      <c r="F136" s="10" t="s">
        <v>13</v>
      </c>
      <c r="G136" s="10" t="s">
        <v>11</v>
      </c>
      <c r="H136" s="10" t="s">
        <v>13</v>
      </c>
      <c r="I136" s="10" t="s">
        <v>11</v>
      </c>
      <c r="J136" s="10" t="s">
        <v>11</v>
      </c>
      <c r="L136" s="6" t="str">
        <f>IFERROR(VLOOKUP($B136,'Lista - Âmbito Projeto GD'!$B$3:$F$71,5,0),"Campo eliminado")</f>
        <v>Campo eliminado</v>
      </c>
      <c r="M136" s="6" t="str">
        <f t="shared" si="11"/>
        <v>Campo eliminado</v>
      </c>
      <c r="N136" s="6" t="str">
        <f>IFERROR(VLOOKUP($B136,'Lista - Âmbito Projeto GD'!$B$3:$K$71,6,0),"Campo eliminado")</f>
        <v>Campo eliminado</v>
      </c>
      <c r="O136" s="6" t="str">
        <f t="shared" si="12"/>
        <v>Campo eliminado</v>
      </c>
      <c r="P136" s="6" t="str">
        <f>IFERROR(VLOOKUP($B136,'Lista - Âmbito Projeto GD'!$B$3:$K$71,7,0),"Campo eliminado")</f>
        <v>Campo eliminado</v>
      </c>
      <c r="Q136" s="6" t="str">
        <f t="shared" si="13"/>
        <v>Campo eliminado</v>
      </c>
      <c r="R136" s="6" t="str">
        <f>IFERROR(VLOOKUP($B136,'Lista - Âmbito Projeto GD'!$B$3:$K$71,9,0),"Campo eliminado")</f>
        <v>Campo eliminado</v>
      </c>
      <c r="S136" s="6" t="str">
        <f t="shared" si="14"/>
        <v>Campo eliminado</v>
      </c>
      <c r="U136" s="6" t="str">
        <f>VLOOKUP(B136,DataLake!$A$4:$A$429,1,0)</f>
        <v>INSTR_ENTITY_MN_ENTTY_ID</v>
      </c>
    </row>
    <row r="137" spans="1:21" ht="15" hidden="1" customHeight="1" x14ac:dyDescent="0.3">
      <c r="A137" s="7" t="s">
        <v>413</v>
      </c>
      <c r="B137" s="47" t="str">
        <f t="shared" si="10"/>
        <v>INSTRUMENT_COD_SOC</v>
      </c>
      <c r="C137" s="8" t="s">
        <v>414</v>
      </c>
      <c r="D137" s="9" t="s">
        <v>12</v>
      </c>
      <c r="E137" s="11" t="s">
        <v>14</v>
      </c>
      <c r="F137" s="10" t="s">
        <v>13</v>
      </c>
      <c r="G137" s="10" t="s">
        <v>13</v>
      </c>
      <c r="H137" s="10" t="s">
        <v>13</v>
      </c>
      <c r="I137" s="10" t="s">
        <v>13</v>
      </c>
      <c r="J137" s="10" t="s">
        <v>11</v>
      </c>
      <c r="L137" s="6" t="str">
        <f>IFERROR(VLOOKUP($B137,'Lista - Âmbito Projeto GD'!$B$3:$F$71,5,0),"Campo eliminado")</f>
        <v>Y</v>
      </c>
      <c r="M137" s="6" t="str">
        <f t="shared" si="11"/>
        <v>Igual</v>
      </c>
      <c r="N137" s="6" t="str">
        <f>IFERROR(VLOOKUP($B137,'Lista - Âmbito Projeto GD'!$B$3:$K$71,6,0),"Campo eliminado")</f>
        <v>Y</v>
      </c>
      <c r="O137" s="6" t="str">
        <f t="shared" si="12"/>
        <v>Igual</v>
      </c>
      <c r="P137" s="6" t="str">
        <f>IFERROR(VLOOKUP($B137,'Lista - Âmbito Projeto GD'!$B$3:$K$71,7,0),"Campo eliminado")</f>
        <v>Y</v>
      </c>
      <c r="Q137" s="6" t="str">
        <f t="shared" si="13"/>
        <v>Igual</v>
      </c>
      <c r="R137" s="6" t="str">
        <f>IFERROR(VLOOKUP($B137,'Lista - Âmbito Projeto GD'!$B$3:$K$71,9,0),"Campo eliminado")</f>
        <v>Y</v>
      </c>
      <c r="S137" s="6" t="str">
        <f t="shared" si="14"/>
        <v>Igual</v>
      </c>
      <c r="U137" s="6" t="str">
        <f>VLOOKUP(B137,DataLake!$A$4:$A$429,1,0)</f>
        <v>INSTRUMENT_COD_SOC</v>
      </c>
    </row>
    <row r="138" spans="1:21" ht="15" hidden="1" customHeight="1" x14ac:dyDescent="0.3">
      <c r="A138" s="7" t="s">
        <v>415</v>
      </c>
      <c r="B138" s="47" t="str">
        <f t="shared" si="10"/>
        <v>INSTRUMENT_SUBPORTFOLIO_ID</v>
      </c>
      <c r="C138" s="8" t="s">
        <v>414</v>
      </c>
      <c r="D138" s="9" t="s">
        <v>416</v>
      </c>
      <c r="E138" s="11" t="s">
        <v>417</v>
      </c>
      <c r="F138" s="10" t="s">
        <v>13</v>
      </c>
      <c r="G138" s="10" t="s">
        <v>13</v>
      </c>
      <c r="H138" s="10" t="s">
        <v>13</v>
      </c>
      <c r="I138" s="10" t="s">
        <v>13</v>
      </c>
      <c r="J138" s="10" t="s">
        <v>11</v>
      </c>
      <c r="L138" s="6" t="str">
        <f>IFERROR(VLOOKUP($B138,'Lista - Âmbito Projeto GD'!$B$3:$F$71,5,0),"Campo eliminado")</f>
        <v>Y</v>
      </c>
      <c r="M138" s="6" t="str">
        <f t="shared" si="11"/>
        <v>Igual</v>
      </c>
      <c r="N138" s="6" t="str">
        <f>IFERROR(VLOOKUP($B138,'Lista - Âmbito Projeto GD'!$B$3:$K$71,6,0),"Campo eliminado")</f>
        <v>Y</v>
      </c>
      <c r="O138" s="6" t="str">
        <f t="shared" si="12"/>
        <v>Igual</v>
      </c>
      <c r="P138" s="6" t="str">
        <f>IFERROR(VLOOKUP($B138,'Lista - Âmbito Projeto GD'!$B$3:$K$71,7,0),"Campo eliminado")</f>
        <v>Y</v>
      </c>
      <c r="Q138" s="6" t="str">
        <f t="shared" si="13"/>
        <v>Igual</v>
      </c>
      <c r="R138" s="6" t="str">
        <f>IFERROR(VLOOKUP($B138,'Lista - Âmbito Projeto GD'!$B$3:$K$71,9,0),"Campo eliminado")</f>
        <v>Y</v>
      </c>
      <c r="S138" s="6" t="str">
        <f t="shared" si="14"/>
        <v>Igual</v>
      </c>
      <c r="U138" s="6" t="str">
        <f>VLOOKUP(B138,DataLake!$A$4:$A$429,1,0)</f>
        <v>INSTRUMENT_SUBPORTFOLIO_ID</v>
      </c>
    </row>
    <row r="139" spans="1:21" ht="15" hidden="1" customHeight="1" x14ac:dyDescent="0.3">
      <c r="A139" s="7" t="s">
        <v>418</v>
      </c>
      <c r="B139" s="47" t="str">
        <f t="shared" si="10"/>
        <v>INSTRUMENT_CRE_FNRP18</v>
      </c>
      <c r="C139" s="8" t="s">
        <v>414</v>
      </c>
      <c r="D139" s="9" t="s">
        <v>419</v>
      </c>
      <c r="E139" s="11" t="s">
        <v>420</v>
      </c>
      <c r="F139" s="10" t="s">
        <v>13</v>
      </c>
      <c r="G139" s="10" t="s">
        <v>11</v>
      </c>
      <c r="H139" s="10" t="s">
        <v>11</v>
      </c>
      <c r="I139" s="10" t="s">
        <v>11</v>
      </c>
      <c r="J139" s="10" t="s">
        <v>11</v>
      </c>
      <c r="L139" s="6" t="str">
        <f>IFERROR(VLOOKUP($B139,'Lista - Âmbito Projeto GD'!$B$3:$F$71,5,0),"Campo eliminado")</f>
        <v>Campo eliminado</v>
      </c>
      <c r="M139" s="6" t="str">
        <f t="shared" si="11"/>
        <v>Campo eliminado</v>
      </c>
      <c r="N139" s="6" t="str">
        <f>IFERROR(VLOOKUP($B139,'Lista - Âmbito Projeto GD'!$B$3:$K$71,6,0),"Campo eliminado")</f>
        <v>Campo eliminado</v>
      </c>
      <c r="O139" s="6" t="str">
        <f t="shared" si="12"/>
        <v>Campo eliminado</v>
      </c>
      <c r="P139" s="6" t="str">
        <f>IFERROR(VLOOKUP($B139,'Lista - Âmbito Projeto GD'!$B$3:$K$71,7,0),"Campo eliminado")</f>
        <v>Campo eliminado</v>
      </c>
      <c r="Q139" s="6" t="str">
        <f t="shared" si="13"/>
        <v>Campo eliminado</v>
      </c>
      <c r="R139" s="6" t="str">
        <f>IFERROR(VLOOKUP($B139,'Lista - Âmbito Projeto GD'!$B$3:$K$71,9,0),"Campo eliminado")</f>
        <v>Campo eliminado</v>
      </c>
      <c r="S139" s="6" t="str">
        <f t="shared" si="14"/>
        <v>Campo eliminado</v>
      </c>
      <c r="U139" s="6" t="str">
        <f>VLOOKUP(B139,DataLake!$A$4:$A$429,1,0)</f>
        <v>INSTRUMENT_CRE_FNRP18</v>
      </c>
    </row>
    <row r="140" spans="1:21" ht="15" hidden="1" customHeight="1" x14ac:dyDescent="0.3">
      <c r="A140" s="7" t="s">
        <v>421</v>
      </c>
      <c r="B140" s="47" t="str">
        <f t="shared" si="10"/>
        <v>INSTRUMENT_SME_FNRP18</v>
      </c>
      <c r="C140" s="8" t="s">
        <v>414</v>
      </c>
      <c r="D140" s="9" t="s">
        <v>422</v>
      </c>
      <c r="E140" s="11" t="s">
        <v>423</v>
      </c>
      <c r="F140" s="10" t="s">
        <v>13</v>
      </c>
      <c r="G140" s="10" t="s">
        <v>11</v>
      </c>
      <c r="H140" s="10" t="s">
        <v>11</v>
      </c>
      <c r="I140" s="10" t="s">
        <v>11</v>
      </c>
      <c r="J140" s="10" t="s">
        <v>11</v>
      </c>
      <c r="L140" s="6" t="str">
        <f>IFERROR(VLOOKUP($B140,'Lista - Âmbito Projeto GD'!$B$3:$F$71,5,0),"Campo eliminado")</f>
        <v>Campo eliminado</v>
      </c>
      <c r="M140" s="6" t="str">
        <f t="shared" si="11"/>
        <v>Campo eliminado</v>
      </c>
      <c r="N140" s="6" t="str">
        <f>IFERROR(VLOOKUP($B140,'Lista - Âmbito Projeto GD'!$B$3:$K$71,6,0),"Campo eliminado")</f>
        <v>Campo eliminado</v>
      </c>
      <c r="O140" s="6" t="str">
        <f t="shared" si="12"/>
        <v>Campo eliminado</v>
      </c>
      <c r="P140" s="6" t="str">
        <f>IFERROR(VLOOKUP($B140,'Lista - Âmbito Projeto GD'!$B$3:$K$71,7,0),"Campo eliminado")</f>
        <v>Campo eliminado</v>
      </c>
      <c r="Q140" s="6" t="str">
        <f t="shared" si="13"/>
        <v>Campo eliminado</v>
      </c>
      <c r="R140" s="6" t="str">
        <f>IFERROR(VLOOKUP($B140,'Lista - Âmbito Projeto GD'!$B$3:$K$71,9,0),"Campo eliminado")</f>
        <v>Campo eliminado</v>
      </c>
      <c r="S140" s="6" t="str">
        <f t="shared" si="14"/>
        <v>Campo eliminado</v>
      </c>
      <c r="U140" s="6" t="str">
        <f>VLOOKUP(B140,DataLake!$A$4:$A$429,1,0)</f>
        <v>INSTRUMENT_SME_FNRP18</v>
      </c>
    </row>
    <row r="141" spans="1:21" ht="15" hidden="1" customHeight="1" x14ac:dyDescent="0.3">
      <c r="A141" s="7" t="s">
        <v>424</v>
      </c>
      <c r="B141" s="47" t="str">
        <f t="shared" si="10"/>
        <v>INSTRUMENT_RRE_FNRP18</v>
      </c>
      <c r="C141" s="8" t="s">
        <v>414</v>
      </c>
      <c r="D141" s="9" t="s">
        <v>425</v>
      </c>
      <c r="E141" s="11" t="s">
        <v>426</v>
      </c>
      <c r="F141" s="10" t="s">
        <v>13</v>
      </c>
      <c r="G141" s="10" t="s">
        <v>11</v>
      </c>
      <c r="H141" s="10" t="s">
        <v>11</v>
      </c>
      <c r="I141" s="10" t="s">
        <v>11</v>
      </c>
      <c r="J141" s="10" t="s">
        <v>11</v>
      </c>
      <c r="L141" s="6" t="str">
        <f>IFERROR(VLOOKUP($B141,'Lista - Âmbito Projeto GD'!$B$3:$F$71,5,0),"Campo eliminado")</f>
        <v>Campo eliminado</v>
      </c>
      <c r="M141" s="6" t="str">
        <f t="shared" si="11"/>
        <v>Campo eliminado</v>
      </c>
      <c r="N141" s="6" t="str">
        <f>IFERROR(VLOOKUP($B141,'Lista - Âmbito Projeto GD'!$B$3:$K$71,6,0),"Campo eliminado")</f>
        <v>Campo eliminado</v>
      </c>
      <c r="O141" s="6" t="str">
        <f t="shared" si="12"/>
        <v>Campo eliminado</v>
      </c>
      <c r="P141" s="6" t="str">
        <f>IFERROR(VLOOKUP($B141,'Lista - Âmbito Projeto GD'!$B$3:$K$71,7,0),"Campo eliminado")</f>
        <v>Campo eliminado</v>
      </c>
      <c r="Q141" s="6" t="str">
        <f t="shared" si="13"/>
        <v>Campo eliminado</v>
      </c>
      <c r="R141" s="6" t="str">
        <f>IFERROR(VLOOKUP($B141,'Lista - Âmbito Projeto GD'!$B$3:$K$71,9,0),"Campo eliminado")</f>
        <v>Campo eliminado</v>
      </c>
      <c r="S141" s="6" t="str">
        <f t="shared" si="14"/>
        <v>Campo eliminado</v>
      </c>
      <c r="U141" s="6" t="str">
        <f>VLOOKUP(B141,DataLake!$A$4:$A$429,1,0)</f>
        <v>INSTRUMENT_RRE_FNRP18</v>
      </c>
    </row>
    <row r="142" spans="1:21" ht="15" hidden="1" customHeight="1" x14ac:dyDescent="0.3">
      <c r="A142" s="7" t="s">
        <v>427</v>
      </c>
      <c r="B142" s="47" t="str">
        <f t="shared" si="10"/>
        <v>INSTRUMENT_CNSMPTN_FNRP18</v>
      </c>
      <c r="C142" s="8" t="s">
        <v>414</v>
      </c>
      <c r="D142" s="9" t="s">
        <v>428</v>
      </c>
      <c r="E142" s="11" t="s">
        <v>429</v>
      </c>
      <c r="F142" s="10" t="s">
        <v>13</v>
      </c>
      <c r="G142" s="10" t="s">
        <v>11</v>
      </c>
      <c r="H142" s="10" t="s">
        <v>11</v>
      </c>
      <c r="I142" s="10" t="s">
        <v>11</v>
      </c>
      <c r="J142" s="10" t="s">
        <v>11</v>
      </c>
      <c r="L142" s="6" t="str">
        <f>IFERROR(VLOOKUP($B142,'Lista - Âmbito Projeto GD'!$B$3:$F$71,5,0),"Campo eliminado")</f>
        <v>Campo eliminado</v>
      </c>
      <c r="M142" s="6" t="str">
        <f t="shared" si="11"/>
        <v>Campo eliminado</v>
      </c>
      <c r="N142" s="6" t="str">
        <f>IFERROR(VLOOKUP($B142,'Lista - Âmbito Projeto GD'!$B$3:$K$71,6,0),"Campo eliminado")</f>
        <v>Campo eliminado</v>
      </c>
      <c r="O142" s="6" t="str">
        <f t="shared" si="12"/>
        <v>Campo eliminado</v>
      </c>
      <c r="P142" s="6" t="str">
        <f>IFERROR(VLOOKUP($B142,'Lista - Âmbito Projeto GD'!$B$3:$K$71,7,0),"Campo eliminado")</f>
        <v>Campo eliminado</v>
      </c>
      <c r="Q142" s="6" t="str">
        <f t="shared" si="13"/>
        <v>Campo eliminado</v>
      </c>
      <c r="R142" s="6" t="str">
        <f>IFERROR(VLOOKUP($B142,'Lista - Âmbito Projeto GD'!$B$3:$K$71,9,0),"Campo eliminado")</f>
        <v>Campo eliminado</v>
      </c>
      <c r="S142" s="6" t="str">
        <f t="shared" si="14"/>
        <v>Campo eliminado</v>
      </c>
      <c r="U142" s="6" t="str">
        <f>VLOOKUP(B142,DataLake!$A$4:$A$429,1,0)</f>
        <v>INSTRUMENT_CNSMPTN_FNRP18</v>
      </c>
    </row>
    <row r="143" spans="1:21" ht="15" hidden="1" customHeight="1" x14ac:dyDescent="0.3">
      <c r="A143" s="7" t="s">
        <v>430</v>
      </c>
      <c r="B143" s="47" t="str">
        <f t="shared" si="10"/>
        <v>INSTRUMENT_DT_RFRNC</v>
      </c>
      <c r="C143" s="8" t="s">
        <v>414</v>
      </c>
      <c r="D143" s="9" t="s">
        <v>38</v>
      </c>
      <c r="E143" s="11" t="s">
        <v>402</v>
      </c>
      <c r="F143" s="10" t="s">
        <v>13</v>
      </c>
      <c r="G143" s="10" t="s">
        <v>13</v>
      </c>
      <c r="H143" s="10" t="s">
        <v>13</v>
      </c>
      <c r="I143" s="10" t="s">
        <v>13</v>
      </c>
      <c r="J143" s="10" t="s">
        <v>11</v>
      </c>
      <c r="L143" s="6" t="str">
        <f>IFERROR(VLOOKUP($B143,'Lista - Âmbito Projeto GD'!$B$3:$F$71,5,0),"Campo eliminado")</f>
        <v>Y</v>
      </c>
      <c r="M143" s="6" t="str">
        <f t="shared" si="11"/>
        <v>Igual</v>
      </c>
      <c r="N143" s="6" t="str">
        <f>IFERROR(VLOOKUP($B143,'Lista - Âmbito Projeto GD'!$B$3:$K$71,6,0),"Campo eliminado")</f>
        <v>Y</v>
      </c>
      <c r="O143" s="6" t="str">
        <f t="shared" si="12"/>
        <v>Igual</v>
      </c>
      <c r="P143" s="6" t="str">
        <f>IFERROR(VLOOKUP($B143,'Lista - Âmbito Projeto GD'!$B$3:$K$71,7,0),"Campo eliminado")</f>
        <v>Y</v>
      </c>
      <c r="Q143" s="6" t="str">
        <f t="shared" si="13"/>
        <v>Igual</v>
      </c>
      <c r="R143" s="6" t="str">
        <f>IFERROR(VLOOKUP($B143,'Lista - Âmbito Projeto GD'!$B$3:$K$71,9,0),"Campo eliminado")</f>
        <v>Y</v>
      </c>
      <c r="S143" s="6" t="str">
        <f t="shared" si="14"/>
        <v>Igual</v>
      </c>
      <c r="U143" s="6" t="e">
        <f>VLOOKUP(B143,DataLake!$A$4:$A$429,1,0)</f>
        <v>#N/A</v>
      </c>
    </row>
    <row r="144" spans="1:21" ht="15" hidden="1" customHeight="1" x14ac:dyDescent="0.3">
      <c r="A144" s="7" t="s">
        <v>431</v>
      </c>
      <c r="B144" s="47" t="str">
        <f t="shared" si="10"/>
        <v>INSTRUMENT_INSTRMNT_ID</v>
      </c>
      <c r="C144" s="8" t="s">
        <v>414</v>
      </c>
      <c r="D144" s="9" t="s">
        <v>405</v>
      </c>
      <c r="E144" s="11" t="s">
        <v>406</v>
      </c>
      <c r="F144" s="10" t="s">
        <v>13</v>
      </c>
      <c r="G144" s="10" t="s">
        <v>13</v>
      </c>
      <c r="H144" s="10" t="s">
        <v>13</v>
      </c>
      <c r="I144" s="10" t="s">
        <v>13</v>
      </c>
      <c r="J144" s="10" t="s">
        <v>11</v>
      </c>
      <c r="L144" s="6" t="str">
        <f>IFERROR(VLOOKUP($B144,'Lista - Âmbito Projeto GD'!$B$3:$F$71,5,0),"Campo eliminado")</f>
        <v>Y</v>
      </c>
      <c r="M144" s="6" t="str">
        <f t="shared" si="11"/>
        <v>Igual</v>
      </c>
      <c r="N144" s="6" t="str">
        <f>IFERROR(VLOOKUP($B144,'Lista - Âmbito Projeto GD'!$B$3:$K$71,6,0),"Campo eliminado")</f>
        <v>Y</v>
      </c>
      <c r="O144" s="6" t="str">
        <f t="shared" si="12"/>
        <v>Igual</v>
      </c>
      <c r="P144" s="6" t="str">
        <f>IFERROR(VLOOKUP($B144,'Lista - Âmbito Projeto GD'!$B$3:$K$71,7,0),"Campo eliminado")</f>
        <v>Y</v>
      </c>
      <c r="Q144" s="6" t="str">
        <f t="shared" si="13"/>
        <v>Igual</v>
      </c>
      <c r="R144" s="6" t="str">
        <f>IFERROR(VLOOKUP($B144,'Lista - Âmbito Projeto GD'!$B$3:$K$71,9,0),"Campo eliminado")</f>
        <v>Y</v>
      </c>
      <c r="S144" s="6" t="str">
        <f t="shared" si="14"/>
        <v>Igual</v>
      </c>
      <c r="U144" s="6" t="str">
        <f>VLOOKUP(B144,DataLake!$A$4:$A$429,1,0)</f>
        <v>INSTRUMENT_INSTRMNT_ID</v>
      </c>
    </row>
    <row r="145" spans="1:21" ht="15" hidden="1" customHeight="1" x14ac:dyDescent="0.3">
      <c r="A145" s="7" t="s">
        <v>432</v>
      </c>
      <c r="B145" s="47" t="str">
        <f t="shared" si="10"/>
        <v>INSTRUMENT_CNTRCT_ID</v>
      </c>
      <c r="C145" s="8" t="s">
        <v>414</v>
      </c>
      <c r="D145" s="9" t="s">
        <v>433</v>
      </c>
      <c r="E145" s="11" t="s">
        <v>434</v>
      </c>
      <c r="F145" s="10" t="s">
        <v>13</v>
      </c>
      <c r="G145" s="10" t="s">
        <v>11</v>
      </c>
      <c r="H145" s="10" t="s">
        <v>11</v>
      </c>
      <c r="I145" s="10" t="s">
        <v>11</v>
      </c>
      <c r="J145" s="10" t="s">
        <v>11</v>
      </c>
      <c r="L145" s="6" t="str">
        <f>IFERROR(VLOOKUP($B145,'Lista - Âmbito Projeto GD'!$B$3:$F$71,5,0),"Campo eliminado")</f>
        <v>Campo eliminado</v>
      </c>
      <c r="M145" s="6" t="str">
        <f t="shared" si="11"/>
        <v>Campo eliminado</v>
      </c>
      <c r="N145" s="6" t="str">
        <f>IFERROR(VLOOKUP($B145,'Lista - Âmbito Projeto GD'!$B$3:$K$71,6,0),"Campo eliminado")</f>
        <v>Campo eliminado</v>
      </c>
      <c r="O145" s="6" t="str">
        <f t="shared" si="12"/>
        <v>Campo eliminado</v>
      </c>
      <c r="P145" s="6" t="str">
        <f>IFERROR(VLOOKUP($B145,'Lista - Âmbito Projeto GD'!$B$3:$K$71,7,0),"Campo eliminado")</f>
        <v>Campo eliminado</v>
      </c>
      <c r="Q145" s="6" t="str">
        <f t="shared" si="13"/>
        <v>Campo eliminado</v>
      </c>
      <c r="R145" s="6" t="str">
        <f>IFERROR(VLOOKUP($B145,'Lista - Âmbito Projeto GD'!$B$3:$K$71,9,0),"Campo eliminado")</f>
        <v>Campo eliminado</v>
      </c>
      <c r="S145" s="6" t="str">
        <f t="shared" si="14"/>
        <v>Campo eliminado</v>
      </c>
      <c r="U145" s="6" t="str">
        <f>VLOOKUP(B145,DataLake!$A$4:$A$429,1,0)</f>
        <v>INSTRUMENT_CNTRCT_ID</v>
      </c>
    </row>
    <row r="146" spans="1:21" ht="15" hidden="1" customHeight="1" x14ac:dyDescent="0.3">
      <c r="A146" s="7" t="s">
        <v>435</v>
      </c>
      <c r="B146" s="47" t="str">
        <f t="shared" si="10"/>
        <v>INSTRUMENT_CRRNCY_DNMNTN</v>
      </c>
      <c r="C146" s="8" t="s">
        <v>414</v>
      </c>
      <c r="D146" s="9" t="s">
        <v>436</v>
      </c>
      <c r="E146" s="11" t="s">
        <v>437</v>
      </c>
      <c r="F146" s="10" t="s">
        <v>13</v>
      </c>
      <c r="G146" s="10" t="s">
        <v>11</v>
      </c>
      <c r="H146" s="10" t="s">
        <v>11</v>
      </c>
      <c r="I146" s="10" t="s">
        <v>11</v>
      </c>
      <c r="J146" s="10" t="s">
        <v>11</v>
      </c>
      <c r="L146" s="6" t="str">
        <f>IFERROR(VLOOKUP($B146,'Lista - Âmbito Projeto GD'!$B$3:$F$71,5,0),"Campo eliminado")</f>
        <v>Campo eliminado</v>
      </c>
      <c r="M146" s="6" t="str">
        <f t="shared" si="11"/>
        <v>Campo eliminado</v>
      </c>
      <c r="N146" s="6" t="str">
        <f>IFERROR(VLOOKUP($B146,'Lista - Âmbito Projeto GD'!$B$3:$K$71,6,0),"Campo eliminado")</f>
        <v>Campo eliminado</v>
      </c>
      <c r="O146" s="6" t="str">
        <f t="shared" si="12"/>
        <v>Campo eliminado</v>
      </c>
      <c r="P146" s="6" t="str">
        <f>IFERROR(VLOOKUP($B146,'Lista - Âmbito Projeto GD'!$B$3:$K$71,7,0),"Campo eliminado")</f>
        <v>Campo eliminado</v>
      </c>
      <c r="Q146" s="6" t="str">
        <f t="shared" si="13"/>
        <v>Campo eliminado</v>
      </c>
      <c r="R146" s="6" t="str">
        <f>IFERROR(VLOOKUP($B146,'Lista - Âmbito Projeto GD'!$B$3:$K$71,9,0),"Campo eliminado")</f>
        <v>Campo eliminado</v>
      </c>
      <c r="S146" s="6" t="str">
        <f t="shared" si="14"/>
        <v>Campo eliminado</v>
      </c>
      <c r="U146" s="6" t="str">
        <f>VLOOKUP(B146,DataLake!$A$4:$A$429,1,0)</f>
        <v>INSTRUMENT_CRRNCY_DNMNTN</v>
      </c>
    </row>
    <row r="147" spans="1:21" ht="15" hidden="1" customHeight="1" x14ac:dyDescent="0.3">
      <c r="A147" s="7" t="s">
        <v>438</v>
      </c>
      <c r="B147" s="47" t="str">
        <f t="shared" si="10"/>
        <v>INSTRUMENT_DT_INCPTN</v>
      </c>
      <c r="C147" s="8" t="s">
        <v>414</v>
      </c>
      <c r="D147" s="9" t="s">
        <v>439</v>
      </c>
      <c r="E147" s="11" t="s">
        <v>440</v>
      </c>
      <c r="F147" s="10" t="s">
        <v>13</v>
      </c>
      <c r="G147" s="10" t="s">
        <v>11</v>
      </c>
      <c r="H147" s="10" t="s">
        <v>13</v>
      </c>
      <c r="I147" s="10" t="s">
        <v>11</v>
      </c>
      <c r="J147" s="10" t="s">
        <v>11</v>
      </c>
      <c r="L147" s="6" t="str">
        <f>IFERROR(VLOOKUP($B147,'Lista - Âmbito Projeto GD'!$B$3:$F$71,5,0),"Campo eliminado")</f>
        <v>Campo eliminado</v>
      </c>
      <c r="M147" s="6" t="str">
        <f t="shared" si="11"/>
        <v>Campo eliminado</v>
      </c>
      <c r="N147" s="6" t="str">
        <f>IFERROR(VLOOKUP($B147,'Lista - Âmbito Projeto GD'!$B$3:$K$71,6,0),"Campo eliminado")</f>
        <v>Campo eliminado</v>
      </c>
      <c r="O147" s="6" t="str">
        <f t="shared" si="12"/>
        <v>Campo eliminado</v>
      </c>
      <c r="P147" s="6" t="str">
        <f>IFERROR(VLOOKUP($B147,'Lista - Âmbito Projeto GD'!$B$3:$K$71,7,0),"Campo eliminado")</f>
        <v>Campo eliminado</v>
      </c>
      <c r="Q147" s="6" t="str">
        <f t="shared" si="13"/>
        <v>Campo eliminado</v>
      </c>
      <c r="R147" s="6" t="str">
        <f>IFERROR(VLOOKUP($B147,'Lista - Âmbito Projeto GD'!$B$3:$K$71,9,0),"Campo eliminado")</f>
        <v>Campo eliminado</v>
      </c>
      <c r="S147" s="6" t="str">
        <f t="shared" si="14"/>
        <v>Campo eliminado</v>
      </c>
      <c r="U147" s="6" t="str">
        <f>VLOOKUP(B147,DataLake!$A$4:$A$429,1,0)</f>
        <v>INSTRUMENT_DT_INCPTN</v>
      </c>
    </row>
    <row r="148" spans="1:21" ht="15" hidden="1" customHeight="1" x14ac:dyDescent="0.3">
      <c r="A148" s="7" t="s">
        <v>441</v>
      </c>
      <c r="B148" s="47" t="str">
        <f t="shared" si="10"/>
        <v>INSTRUMENT_OBSRVD_AGNT_ID</v>
      </c>
      <c r="C148" s="8" t="s">
        <v>414</v>
      </c>
      <c r="D148" s="9" t="s">
        <v>442</v>
      </c>
      <c r="E148" s="11" t="s">
        <v>443</v>
      </c>
      <c r="F148" s="10" t="s">
        <v>13</v>
      </c>
      <c r="G148" s="10" t="s">
        <v>11</v>
      </c>
      <c r="H148" s="10" t="s">
        <v>11</v>
      </c>
      <c r="I148" s="10" t="s">
        <v>11</v>
      </c>
      <c r="J148" s="10" t="s">
        <v>11</v>
      </c>
      <c r="L148" s="6" t="str">
        <f>IFERROR(VLOOKUP($B148,'Lista - Âmbito Projeto GD'!$B$3:$F$71,5,0),"Campo eliminado")</f>
        <v>Campo eliminado</v>
      </c>
      <c r="M148" s="6" t="str">
        <f t="shared" si="11"/>
        <v>Campo eliminado</v>
      </c>
      <c r="N148" s="6" t="str">
        <f>IFERROR(VLOOKUP($B148,'Lista - Âmbito Projeto GD'!$B$3:$K$71,6,0),"Campo eliminado")</f>
        <v>Campo eliminado</v>
      </c>
      <c r="O148" s="6" t="str">
        <f t="shared" si="12"/>
        <v>Campo eliminado</v>
      </c>
      <c r="P148" s="6" t="str">
        <f>IFERROR(VLOOKUP($B148,'Lista - Âmbito Projeto GD'!$B$3:$K$71,7,0),"Campo eliminado")</f>
        <v>Campo eliminado</v>
      </c>
      <c r="Q148" s="6" t="str">
        <f t="shared" si="13"/>
        <v>Campo eliminado</v>
      </c>
      <c r="R148" s="6" t="str">
        <f>IFERROR(VLOOKUP($B148,'Lista - Âmbito Projeto GD'!$B$3:$K$71,9,0),"Campo eliminado")</f>
        <v>Campo eliminado</v>
      </c>
      <c r="S148" s="6" t="str">
        <f t="shared" si="14"/>
        <v>Campo eliminado</v>
      </c>
      <c r="U148" s="6" t="str">
        <f>VLOOKUP(B148,DataLake!$A$4:$A$429,1,0)</f>
        <v>INSTRUMENT_OBSRVD_AGNT_ID</v>
      </c>
    </row>
    <row r="149" spans="1:21" ht="15" hidden="1" customHeight="1" x14ac:dyDescent="0.3">
      <c r="A149" s="7" t="s">
        <v>444</v>
      </c>
      <c r="B149" s="47" t="str">
        <f t="shared" si="10"/>
        <v>INSTRUMENT_OBSRVD_AGNT_NM</v>
      </c>
      <c r="C149" s="8" t="s">
        <v>414</v>
      </c>
      <c r="D149" s="9" t="s">
        <v>445</v>
      </c>
      <c r="E149" s="11" t="s">
        <v>446</v>
      </c>
      <c r="F149" s="10" t="s">
        <v>13</v>
      </c>
      <c r="G149" s="10" t="s">
        <v>11</v>
      </c>
      <c r="H149" s="10" t="s">
        <v>11</v>
      </c>
      <c r="I149" s="10" t="s">
        <v>11</v>
      </c>
      <c r="J149" s="10" t="s">
        <v>11</v>
      </c>
      <c r="L149" s="6" t="str">
        <f>IFERROR(VLOOKUP($B149,'Lista - Âmbito Projeto GD'!$B$3:$F$71,5,0),"Campo eliminado")</f>
        <v>Campo eliminado</v>
      </c>
      <c r="M149" s="6" t="str">
        <f t="shared" si="11"/>
        <v>Campo eliminado</v>
      </c>
      <c r="N149" s="6" t="str">
        <f>IFERROR(VLOOKUP($B149,'Lista - Âmbito Projeto GD'!$B$3:$K$71,6,0),"Campo eliminado")</f>
        <v>Campo eliminado</v>
      </c>
      <c r="O149" s="6" t="str">
        <f t="shared" si="12"/>
        <v>Campo eliminado</v>
      </c>
      <c r="P149" s="6" t="str">
        <f>IFERROR(VLOOKUP($B149,'Lista - Âmbito Projeto GD'!$B$3:$K$71,7,0),"Campo eliminado")</f>
        <v>Campo eliminado</v>
      </c>
      <c r="Q149" s="6" t="str">
        <f t="shared" si="13"/>
        <v>Campo eliminado</v>
      </c>
      <c r="R149" s="6" t="str">
        <f>IFERROR(VLOOKUP($B149,'Lista - Âmbito Projeto GD'!$B$3:$K$71,9,0),"Campo eliminado")</f>
        <v>Campo eliminado</v>
      </c>
      <c r="S149" s="6" t="str">
        <f t="shared" si="14"/>
        <v>Campo eliminado</v>
      </c>
      <c r="U149" s="6" t="str">
        <f>VLOOKUP(B149,DataLake!$A$4:$A$429,1,0)</f>
        <v>INSTRUMENT_OBSRVD_AGNT_NM</v>
      </c>
    </row>
    <row r="150" spans="1:21" ht="15" hidden="1" customHeight="1" x14ac:dyDescent="0.3">
      <c r="A150" s="7" t="s">
        <v>447</v>
      </c>
      <c r="B150" s="47" t="str">
        <f t="shared" si="10"/>
        <v>INSTRUMENT_PRDCT</v>
      </c>
      <c r="C150" s="8" t="s">
        <v>414</v>
      </c>
      <c r="D150" s="9" t="s">
        <v>448</v>
      </c>
      <c r="E150" s="11" t="s">
        <v>449</v>
      </c>
      <c r="F150" s="10" t="s">
        <v>13</v>
      </c>
      <c r="G150" s="10" t="s">
        <v>11</v>
      </c>
      <c r="H150" s="10" t="s">
        <v>11</v>
      </c>
      <c r="I150" s="10" t="s">
        <v>11</v>
      </c>
      <c r="J150" s="10" t="s">
        <v>11</v>
      </c>
      <c r="L150" s="6" t="str">
        <f>IFERROR(VLOOKUP($B150,'Lista - Âmbito Projeto GD'!$B$3:$F$71,5,0),"Campo eliminado")</f>
        <v>Campo eliminado</v>
      </c>
      <c r="M150" s="6" t="str">
        <f t="shared" si="11"/>
        <v>Campo eliminado</v>
      </c>
      <c r="N150" s="6" t="str">
        <f>IFERROR(VLOOKUP($B150,'Lista - Âmbito Projeto GD'!$B$3:$K$71,6,0),"Campo eliminado")</f>
        <v>Campo eliminado</v>
      </c>
      <c r="O150" s="6" t="str">
        <f t="shared" si="12"/>
        <v>Campo eliminado</v>
      </c>
      <c r="P150" s="6" t="str">
        <f>IFERROR(VLOOKUP($B150,'Lista - Âmbito Projeto GD'!$B$3:$K$71,7,0),"Campo eliminado")</f>
        <v>Campo eliminado</v>
      </c>
      <c r="Q150" s="6" t="str">
        <f t="shared" si="13"/>
        <v>Campo eliminado</v>
      </c>
      <c r="R150" s="6" t="str">
        <f>IFERROR(VLOOKUP($B150,'Lista - Âmbito Projeto GD'!$B$3:$K$71,9,0),"Campo eliminado")</f>
        <v>Campo eliminado</v>
      </c>
      <c r="S150" s="6" t="str">
        <f t="shared" si="14"/>
        <v>Campo eliminado</v>
      </c>
      <c r="U150" s="6" t="str">
        <f>VLOOKUP(B150,DataLake!$A$4:$A$429,1,0)</f>
        <v>INSTRUMENT_PRDCT</v>
      </c>
    </row>
    <row r="151" spans="1:21" ht="15" hidden="1" customHeight="1" x14ac:dyDescent="0.3">
      <c r="A151" s="7" t="s">
        <v>450</v>
      </c>
      <c r="B151" s="47" t="str">
        <f t="shared" si="10"/>
        <v>INSTRUMENT_BRCHD_CVNNTS</v>
      </c>
      <c r="C151" s="8" t="s">
        <v>414</v>
      </c>
      <c r="D151" s="9" t="s">
        <v>451</v>
      </c>
      <c r="E151" s="11" t="s">
        <v>452</v>
      </c>
      <c r="F151" s="10" t="s">
        <v>13</v>
      </c>
      <c r="G151" s="10" t="s">
        <v>11</v>
      </c>
      <c r="H151" s="10" t="s">
        <v>11</v>
      </c>
      <c r="I151" s="10" t="s">
        <v>11</v>
      </c>
      <c r="J151" s="10" t="s">
        <v>11</v>
      </c>
      <c r="L151" s="6" t="str">
        <f>IFERROR(VLOOKUP($B151,'Lista - Âmbito Projeto GD'!$B$3:$F$71,5,0),"Campo eliminado")</f>
        <v>Campo eliminado</v>
      </c>
      <c r="M151" s="6" t="str">
        <f t="shared" si="11"/>
        <v>Campo eliminado</v>
      </c>
      <c r="N151" s="6" t="str">
        <f>IFERROR(VLOOKUP($B151,'Lista - Âmbito Projeto GD'!$B$3:$K$71,6,0),"Campo eliminado")</f>
        <v>Campo eliminado</v>
      </c>
      <c r="O151" s="6" t="str">
        <f t="shared" si="12"/>
        <v>Campo eliminado</v>
      </c>
      <c r="P151" s="6" t="str">
        <f>IFERROR(VLOOKUP($B151,'Lista - Âmbito Projeto GD'!$B$3:$K$71,7,0),"Campo eliminado")</f>
        <v>Campo eliminado</v>
      </c>
      <c r="Q151" s="6" t="str">
        <f t="shared" si="13"/>
        <v>Campo eliminado</v>
      </c>
      <c r="R151" s="6" t="str">
        <f>IFERROR(VLOOKUP($B151,'Lista - Âmbito Projeto GD'!$B$3:$K$71,9,0),"Campo eliminado")</f>
        <v>Campo eliminado</v>
      </c>
      <c r="S151" s="6" t="str">
        <f t="shared" si="14"/>
        <v>Campo eliminado</v>
      </c>
      <c r="U151" s="6" t="str">
        <f>VLOOKUP(B151,DataLake!$A$4:$A$429,1,0)</f>
        <v>INSTRUMENT_BRCHD_CVNNTS</v>
      </c>
    </row>
    <row r="152" spans="1:21" ht="15" hidden="1" customHeight="1" x14ac:dyDescent="0.3">
      <c r="A152" s="7" t="s">
        <v>453</v>
      </c>
      <c r="B152" s="47" t="str">
        <f t="shared" si="10"/>
        <v>INSTRUMENT_CHNNL_ORGNTN</v>
      </c>
      <c r="C152" s="8" t="s">
        <v>414</v>
      </c>
      <c r="D152" s="9" t="s">
        <v>454</v>
      </c>
      <c r="E152" s="11" t="s">
        <v>455</v>
      </c>
      <c r="F152" s="10" t="s">
        <v>13</v>
      </c>
      <c r="G152" s="10" t="s">
        <v>11</v>
      </c>
      <c r="H152" s="10" t="s">
        <v>11</v>
      </c>
      <c r="I152" s="10" t="s">
        <v>11</v>
      </c>
      <c r="J152" s="10" t="s">
        <v>11</v>
      </c>
      <c r="L152" s="6" t="str">
        <f>IFERROR(VLOOKUP($B152,'Lista - Âmbito Projeto GD'!$B$3:$F$71,5,0),"Campo eliminado")</f>
        <v>Campo eliminado</v>
      </c>
      <c r="M152" s="6" t="str">
        <f t="shared" si="11"/>
        <v>Campo eliminado</v>
      </c>
      <c r="N152" s="6" t="str">
        <f>IFERROR(VLOOKUP($B152,'Lista - Âmbito Projeto GD'!$B$3:$K$71,6,0),"Campo eliminado")</f>
        <v>Campo eliminado</v>
      </c>
      <c r="O152" s="6" t="str">
        <f t="shared" si="12"/>
        <v>Campo eliminado</v>
      </c>
      <c r="P152" s="6" t="str">
        <f>IFERROR(VLOOKUP($B152,'Lista - Âmbito Projeto GD'!$B$3:$K$71,7,0),"Campo eliminado")</f>
        <v>Campo eliminado</v>
      </c>
      <c r="Q152" s="6" t="str">
        <f t="shared" si="13"/>
        <v>Campo eliminado</v>
      </c>
      <c r="R152" s="6" t="str">
        <f>IFERROR(VLOOKUP($B152,'Lista - Âmbito Projeto GD'!$B$3:$K$71,9,0),"Campo eliminado")</f>
        <v>Campo eliminado</v>
      </c>
      <c r="S152" s="6" t="str">
        <f t="shared" si="14"/>
        <v>Campo eliminado</v>
      </c>
      <c r="U152" s="6" t="str">
        <f>VLOOKUP(B152,DataLake!$A$4:$A$429,1,0)</f>
        <v>INSTRUMENT_CHNNL_ORGNTN</v>
      </c>
    </row>
    <row r="153" spans="1:21" ht="15" hidden="1" customHeight="1" x14ac:dyDescent="0.3">
      <c r="A153" s="7" t="s">
        <v>456</v>
      </c>
      <c r="B153" s="47" t="str">
        <f t="shared" si="10"/>
        <v>INSTRUMENT_CSH_SWP_TRP</v>
      </c>
      <c r="C153" s="8" t="s">
        <v>414</v>
      </c>
      <c r="D153" s="19" t="s">
        <v>457</v>
      </c>
      <c r="E153" s="11" t="s">
        <v>458</v>
      </c>
      <c r="F153" s="10" t="s">
        <v>13</v>
      </c>
      <c r="G153" s="10" t="s">
        <v>11</v>
      </c>
      <c r="H153" s="10" t="s">
        <v>11</v>
      </c>
      <c r="I153" s="10" t="s">
        <v>11</v>
      </c>
      <c r="J153" s="10" t="s">
        <v>11</v>
      </c>
      <c r="L153" s="6" t="str">
        <f>IFERROR(VLOOKUP($B153,'Lista - Âmbito Projeto GD'!$B$3:$F$71,5,0),"Campo eliminado")</f>
        <v>Campo eliminado</v>
      </c>
      <c r="M153" s="6" t="str">
        <f t="shared" si="11"/>
        <v>Campo eliminado</v>
      </c>
      <c r="N153" s="6" t="str">
        <f>IFERROR(VLOOKUP($B153,'Lista - Âmbito Projeto GD'!$B$3:$K$71,6,0),"Campo eliminado")</f>
        <v>Campo eliminado</v>
      </c>
      <c r="O153" s="6" t="str">
        <f t="shared" si="12"/>
        <v>Campo eliminado</v>
      </c>
      <c r="P153" s="6" t="str">
        <f>IFERROR(VLOOKUP($B153,'Lista - Âmbito Projeto GD'!$B$3:$K$71,7,0),"Campo eliminado")</f>
        <v>Campo eliminado</v>
      </c>
      <c r="Q153" s="6" t="str">
        <f t="shared" si="13"/>
        <v>Campo eliminado</v>
      </c>
      <c r="R153" s="6" t="str">
        <f>IFERROR(VLOOKUP($B153,'Lista - Âmbito Projeto GD'!$B$3:$K$71,9,0),"Campo eliminado")</f>
        <v>Campo eliminado</v>
      </c>
      <c r="S153" s="6" t="str">
        <f t="shared" si="14"/>
        <v>Campo eliminado</v>
      </c>
      <c r="U153" s="6" t="str">
        <f>VLOOKUP(B153,DataLake!$A$4:$A$429,1,0)</f>
        <v>INSTRUMENT_CSH_SWP_TRP</v>
      </c>
    </row>
    <row r="154" spans="1:21" ht="15" hidden="1" customHeight="1" x14ac:dyDescent="0.3">
      <c r="A154" s="7" t="s">
        <v>459</v>
      </c>
      <c r="B154" s="47" t="str">
        <f t="shared" si="10"/>
        <v>INSTRUMENT_CVNNT_STTS</v>
      </c>
      <c r="C154" s="8" t="s">
        <v>414</v>
      </c>
      <c r="D154" s="9" t="s">
        <v>460</v>
      </c>
      <c r="E154" s="11" t="s">
        <v>461</v>
      </c>
      <c r="F154" s="10" t="s">
        <v>13</v>
      </c>
      <c r="G154" s="10" t="s">
        <v>11</v>
      </c>
      <c r="H154" s="10" t="s">
        <v>11</v>
      </c>
      <c r="I154" s="10" t="s">
        <v>11</v>
      </c>
      <c r="J154" s="10" t="s">
        <v>11</v>
      </c>
      <c r="L154" s="6" t="str">
        <f>IFERROR(VLOOKUP($B154,'Lista - Âmbito Projeto GD'!$B$3:$F$71,5,0),"Campo eliminado")</f>
        <v>Campo eliminado</v>
      </c>
      <c r="M154" s="6" t="str">
        <f t="shared" si="11"/>
        <v>Campo eliminado</v>
      </c>
      <c r="N154" s="6" t="str">
        <f>IFERROR(VLOOKUP($B154,'Lista - Âmbito Projeto GD'!$B$3:$K$71,6,0),"Campo eliminado")</f>
        <v>Campo eliminado</v>
      </c>
      <c r="O154" s="6" t="str">
        <f t="shared" si="12"/>
        <v>Campo eliminado</v>
      </c>
      <c r="P154" s="6" t="str">
        <f>IFERROR(VLOOKUP($B154,'Lista - Âmbito Projeto GD'!$B$3:$K$71,7,0),"Campo eliminado")</f>
        <v>Campo eliminado</v>
      </c>
      <c r="Q154" s="6" t="str">
        <f t="shared" si="13"/>
        <v>Campo eliminado</v>
      </c>
      <c r="R154" s="6" t="str">
        <f>IFERROR(VLOOKUP($B154,'Lista - Âmbito Projeto GD'!$B$3:$K$71,9,0),"Campo eliminado")</f>
        <v>Campo eliminado</v>
      </c>
      <c r="S154" s="6" t="str">
        <f t="shared" si="14"/>
        <v>Campo eliminado</v>
      </c>
      <c r="U154" s="6" t="str">
        <f>VLOOKUP(B154,DataLake!$A$4:$A$429,1,0)</f>
        <v>INSTRUMENT_CVNNT_STTS</v>
      </c>
    </row>
    <row r="155" spans="1:21" s="20" customFormat="1" ht="15" hidden="1" customHeight="1" x14ac:dyDescent="0.3">
      <c r="A155" s="7" t="s">
        <v>462</v>
      </c>
      <c r="B155" s="47" t="str">
        <f t="shared" si="10"/>
        <v>INSTRUMENT_CVNNT_TYP</v>
      </c>
      <c r="C155" s="8" t="s">
        <v>414</v>
      </c>
      <c r="D155" s="9" t="s">
        <v>463</v>
      </c>
      <c r="E155" s="11" t="s">
        <v>464</v>
      </c>
      <c r="F155" s="10" t="s">
        <v>13</v>
      </c>
      <c r="G155" s="10" t="s">
        <v>11</v>
      </c>
      <c r="H155" s="10" t="s">
        <v>11</v>
      </c>
      <c r="I155" s="10" t="s">
        <v>11</v>
      </c>
      <c r="J155" s="10" t="s">
        <v>11</v>
      </c>
      <c r="L155" s="6" t="str">
        <f>IFERROR(VLOOKUP($B155,'Lista - Âmbito Projeto GD'!$B$3:$F$71,5,0),"Campo eliminado")</f>
        <v>Campo eliminado</v>
      </c>
      <c r="M155" s="6" t="str">
        <f t="shared" si="11"/>
        <v>Campo eliminado</v>
      </c>
      <c r="N155" s="6" t="str">
        <f>IFERROR(VLOOKUP($B155,'Lista - Âmbito Projeto GD'!$B$3:$K$71,6,0),"Campo eliminado")</f>
        <v>Campo eliminado</v>
      </c>
      <c r="O155" s="6" t="str">
        <f t="shared" si="12"/>
        <v>Campo eliminado</v>
      </c>
      <c r="P155" s="6" t="str">
        <f>IFERROR(VLOOKUP($B155,'Lista - Âmbito Projeto GD'!$B$3:$K$71,7,0),"Campo eliminado")</f>
        <v>Campo eliminado</v>
      </c>
      <c r="Q155" s="6" t="str">
        <f t="shared" si="13"/>
        <v>Campo eliminado</v>
      </c>
      <c r="R155" s="6" t="str">
        <f>IFERROR(VLOOKUP($B155,'Lista - Âmbito Projeto GD'!$B$3:$K$71,9,0),"Campo eliminado")</f>
        <v>Campo eliminado</v>
      </c>
      <c r="S155" s="6" t="str">
        <f t="shared" si="14"/>
        <v>Campo eliminado</v>
      </c>
      <c r="U155" s="6" t="str">
        <f>VLOOKUP(B155,DataLake!$A$4:$A$429,1,0)</f>
        <v>INSTRUMENT_CVNNT_TYP</v>
      </c>
    </row>
    <row r="156" spans="1:21" ht="15" hidden="1" customHeight="1" x14ac:dyDescent="0.3">
      <c r="A156" s="21" t="s">
        <v>465</v>
      </c>
      <c r="B156" s="47" t="str">
        <f t="shared" si="10"/>
        <v>INSTRUMENT_DFLT_STTS_INSTRMNT</v>
      </c>
      <c r="C156" s="8" t="s">
        <v>414</v>
      </c>
      <c r="D156" s="22" t="s">
        <v>466</v>
      </c>
      <c r="E156" s="23" t="s">
        <v>467</v>
      </c>
      <c r="F156" s="10" t="s">
        <v>13</v>
      </c>
      <c r="G156" s="10" t="s">
        <v>13</v>
      </c>
      <c r="H156" s="10" t="s">
        <v>13</v>
      </c>
      <c r="I156" s="10" t="s">
        <v>11</v>
      </c>
      <c r="J156" s="10" t="s">
        <v>11</v>
      </c>
      <c r="L156" s="6" t="str">
        <f>IFERROR(VLOOKUP($B156,'Lista - Âmbito Projeto GD'!$B$3:$F$71,5,0),"Campo eliminado")</f>
        <v>Y</v>
      </c>
      <c r="M156" s="6" t="str">
        <f t="shared" si="11"/>
        <v>Igual</v>
      </c>
      <c r="N156" s="6" t="str">
        <f>IFERROR(VLOOKUP($B156,'Lista - Âmbito Projeto GD'!$B$3:$K$71,6,0),"Campo eliminado")</f>
        <v>Y</v>
      </c>
      <c r="O156" s="6" t="str">
        <f t="shared" si="12"/>
        <v>Igual</v>
      </c>
      <c r="P156" s="6" t="str">
        <f>IFERROR(VLOOKUP($B156,'Lista - Âmbito Projeto GD'!$B$3:$K$71,7,0),"Campo eliminado")</f>
        <v>Y</v>
      </c>
      <c r="Q156" s="6" t="str">
        <f t="shared" si="13"/>
        <v>Igual</v>
      </c>
      <c r="R156" s="6" t="str">
        <f>IFERROR(VLOOKUP($B156,'Lista - Âmbito Projeto GD'!$B$3:$K$71,9,0),"Campo eliminado")</f>
        <v>N</v>
      </c>
      <c r="S156" s="6" t="str">
        <f t="shared" si="14"/>
        <v>Igual</v>
      </c>
      <c r="U156" s="6" t="str">
        <f>VLOOKUP(B156,DataLake!$A$4:$A$429,1,0)</f>
        <v>INSTRUMENT_DFLT_STTS_INSTRMNT</v>
      </c>
    </row>
    <row r="157" spans="1:21" ht="15" hidden="1" customHeight="1" x14ac:dyDescent="0.3">
      <c r="A157" s="7" t="s">
        <v>468</v>
      </c>
      <c r="B157" s="47" t="str">
        <f t="shared" si="10"/>
        <v>INSTRUMENT_DT_DFLT_STTS_INSTRMNT</v>
      </c>
      <c r="C157" s="8" t="s">
        <v>414</v>
      </c>
      <c r="D157" s="9" t="s">
        <v>469</v>
      </c>
      <c r="E157" s="11" t="s">
        <v>24</v>
      </c>
      <c r="F157" s="10" t="s">
        <v>13</v>
      </c>
      <c r="G157" s="10" t="s">
        <v>11</v>
      </c>
      <c r="H157" s="10" t="s">
        <v>11</v>
      </c>
      <c r="I157" s="10" t="s">
        <v>11</v>
      </c>
      <c r="J157" s="10" t="s">
        <v>11</v>
      </c>
      <c r="L157" s="6" t="str">
        <f>IFERROR(VLOOKUP($B157,'Lista - Âmbito Projeto GD'!$B$3:$F$71,5,0),"Campo eliminado")</f>
        <v>Campo eliminado</v>
      </c>
      <c r="M157" s="6" t="str">
        <f t="shared" si="11"/>
        <v>Campo eliminado</v>
      </c>
      <c r="N157" s="6" t="str">
        <f>IFERROR(VLOOKUP($B157,'Lista - Âmbito Projeto GD'!$B$3:$K$71,6,0),"Campo eliminado")</f>
        <v>Campo eliminado</v>
      </c>
      <c r="O157" s="6" t="str">
        <f t="shared" si="12"/>
        <v>Campo eliminado</v>
      </c>
      <c r="P157" s="6" t="str">
        <f>IFERROR(VLOOKUP($B157,'Lista - Âmbito Projeto GD'!$B$3:$K$71,7,0),"Campo eliminado")</f>
        <v>Campo eliminado</v>
      </c>
      <c r="Q157" s="6" t="str">
        <f t="shared" si="13"/>
        <v>Campo eliminado</v>
      </c>
      <c r="R157" s="6" t="str">
        <f>IFERROR(VLOOKUP($B157,'Lista - Âmbito Projeto GD'!$B$3:$K$71,9,0),"Campo eliminado")</f>
        <v>Campo eliminado</v>
      </c>
      <c r="S157" s="6" t="str">
        <f t="shared" si="14"/>
        <v>Campo eliminado</v>
      </c>
      <c r="U157" s="6" t="str">
        <f>VLOOKUP(B157,DataLake!$A$4:$A$429,1,0)</f>
        <v>INSTRUMENT_DT_DFLT_STTS_INSTRMNT</v>
      </c>
    </row>
    <row r="158" spans="1:21" ht="15" hidden="1" customHeight="1" x14ac:dyDescent="0.3">
      <c r="A158" s="7" t="s">
        <v>470</v>
      </c>
      <c r="B158" s="47" t="str">
        <f t="shared" si="10"/>
        <v>INSTRUMENT_DT_END_GP_PPAL</v>
      </c>
      <c r="C158" s="8" t="s">
        <v>414</v>
      </c>
      <c r="D158" s="9" t="s">
        <v>471</v>
      </c>
      <c r="E158" s="11" t="s">
        <v>472</v>
      </c>
      <c r="F158" s="10" t="s">
        <v>13</v>
      </c>
      <c r="G158" s="10" t="s">
        <v>11</v>
      </c>
      <c r="H158" s="10" t="s">
        <v>11</v>
      </c>
      <c r="I158" s="10" t="s">
        <v>11</v>
      </c>
      <c r="J158" s="10" t="s">
        <v>11</v>
      </c>
      <c r="L158" s="6" t="str">
        <f>IFERROR(VLOOKUP($B158,'Lista - Âmbito Projeto GD'!$B$3:$F$71,5,0),"Campo eliminado")</f>
        <v>Campo eliminado</v>
      </c>
      <c r="M158" s="6" t="str">
        <f t="shared" si="11"/>
        <v>Campo eliminado</v>
      </c>
      <c r="N158" s="6" t="str">
        <f>IFERROR(VLOOKUP($B158,'Lista - Âmbito Projeto GD'!$B$3:$K$71,6,0),"Campo eliminado")</f>
        <v>Campo eliminado</v>
      </c>
      <c r="O158" s="6" t="str">
        <f t="shared" si="12"/>
        <v>Campo eliminado</v>
      </c>
      <c r="P158" s="6" t="str">
        <f>IFERROR(VLOOKUP($B158,'Lista - Âmbito Projeto GD'!$B$3:$K$71,7,0),"Campo eliminado")</f>
        <v>Campo eliminado</v>
      </c>
      <c r="Q158" s="6" t="str">
        <f t="shared" si="13"/>
        <v>Campo eliminado</v>
      </c>
      <c r="R158" s="6" t="str">
        <f>IFERROR(VLOOKUP($B158,'Lista - Âmbito Projeto GD'!$B$3:$K$71,9,0),"Campo eliminado")</f>
        <v>Campo eliminado</v>
      </c>
      <c r="S158" s="6" t="str">
        <f t="shared" si="14"/>
        <v>Campo eliminado</v>
      </c>
      <c r="U158" s="6" t="str">
        <f>VLOOKUP(B158,DataLake!$A$4:$A$429,1,0)</f>
        <v>INSTRUMENT_DT_END_GP_PPAL</v>
      </c>
    </row>
    <row r="159" spans="1:21" ht="15" hidden="1" customHeight="1" x14ac:dyDescent="0.3">
      <c r="A159" s="7" t="s">
        <v>473</v>
      </c>
      <c r="B159" s="47" t="str">
        <f t="shared" si="10"/>
        <v>INSTRUMENT_DT_END_INTRST_ONLY</v>
      </c>
      <c r="C159" s="8" t="s">
        <v>414</v>
      </c>
      <c r="D159" s="9" t="s">
        <v>474</v>
      </c>
      <c r="E159" s="11" t="s">
        <v>475</v>
      </c>
      <c r="F159" s="10" t="s">
        <v>13</v>
      </c>
      <c r="G159" s="10" t="s">
        <v>11</v>
      </c>
      <c r="H159" s="10" t="s">
        <v>11</v>
      </c>
      <c r="I159" s="10" t="s">
        <v>11</v>
      </c>
      <c r="J159" s="10" t="s">
        <v>11</v>
      </c>
      <c r="L159" s="6" t="str">
        <f>IFERROR(VLOOKUP($B159,'Lista - Âmbito Projeto GD'!$B$3:$F$71,5,0),"Campo eliminado")</f>
        <v>Campo eliminado</v>
      </c>
      <c r="M159" s="6" t="str">
        <f t="shared" si="11"/>
        <v>Campo eliminado</v>
      </c>
      <c r="N159" s="6" t="str">
        <f>IFERROR(VLOOKUP($B159,'Lista - Âmbito Projeto GD'!$B$3:$K$71,6,0),"Campo eliminado")</f>
        <v>Campo eliminado</v>
      </c>
      <c r="O159" s="6" t="str">
        <f t="shared" si="12"/>
        <v>Campo eliminado</v>
      </c>
      <c r="P159" s="6" t="str">
        <f>IFERROR(VLOOKUP($B159,'Lista - Âmbito Projeto GD'!$B$3:$K$71,7,0),"Campo eliminado")</f>
        <v>Campo eliminado</v>
      </c>
      <c r="Q159" s="6" t="str">
        <f t="shared" si="13"/>
        <v>Campo eliminado</v>
      </c>
      <c r="R159" s="6" t="str">
        <f>IFERROR(VLOOKUP($B159,'Lista - Âmbito Projeto GD'!$B$3:$K$71,9,0),"Campo eliminado")</f>
        <v>Campo eliminado</v>
      </c>
      <c r="S159" s="6" t="str">
        <f t="shared" si="14"/>
        <v>Campo eliminado</v>
      </c>
      <c r="U159" s="6" t="str">
        <f>VLOOKUP(B159,DataLake!$A$4:$A$429,1,0)</f>
        <v>INSTRUMENT_DT_END_INTRST_ONLY</v>
      </c>
    </row>
    <row r="160" spans="1:21" ht="15" hidden="1" customHeight="1" x14ac:dyDescent="0.3">
      <c r="A160" s="7" t="s">
        <v>476</v>
      </c>
      <c r="B160" s="47" t="str">
        <f t="shared" si="10"/>
        <v>INSTRUMENT_DT_FRBRNC_STTS</v>
      </c>
      <c r="C160" s="8" t="s">
        <v>414</v>
      </c>
      <c r="D160" s="9" t="s">
        <v>477</v>
      </c>
      <c r="E160" s="11" t="s">
        <v>478</v>
      </c>
      <c r="F160" s="10" t="s">
        <v>13</v>
      </c>
      <c r="G160" s="10" t="s">
        <v>11</v>
      </c>
      <c r="H160" s="10" t="s">
        <v>11</v>
      </c>
      <c r="I160" s="10" t="s">
        <v>11</v>
      </c>
      <c r="J160" s="10" t="s">
        <v>11</v>
      </c>
      <c r="L160" s="6" t="str">
        <f>IFERROR(VLOOKUP($B160,'Lista - Âmbito Projeto GD'!$B$3:$F$71,5,0),"Campo eliminado")</f>
        <v>Campo eliminado</v>
      </c>
      <c r="M160" s="6" t="str">
        <f t="shared" si="11"/>
        <v>Campo eliminado</v>
      </c>
      <c r="N160" s="6" t="str">
        <f>IFERROR(VLOOKUP($B160,'Lista - Âmbito Projeto GD'!$B$3:$K$71,6,0),"Campo eliminado")</f>
        <v>Campo eliminado</v>
      </c>
      <c r="O160" s="6" t="str">
        <f t="shared" si="12"/>
        <v>Campo eliminado</v>
      </c>
      <c r="P160" s="6" t="str">
        <f>IFERROR(VLOOKUP($B160,'Lista - Âmbito Projeto GD'!$B$3:$K$71,7,0),"Campo eliminado")</f>
        <v>Campo eliminado</v>
      </c>
      <c r="Q160" s="6" t="str">
        <f t="shared" si="13"/>
        <v>Campo eliminado</v>
      </c>
      <c r="R160" s="6" t="str">
        <f>IFERROR(VLOOKUP($B160,'Lista - Âmbito Projeto GD'!$B$3:$K$71,9,0),"Campo eliminado")</f>
        <v>Campo eliminado</v>
      </c>
      <c r="S160" s="6" t="str">
        <f t="shared" si="14"/>
        <v>Campo eliminado</v>
      </c>
      <c r="U160" s="6" t="str">
        <f>VLOOKUP(B160,DataLake!$A$4:$A$429,1,0)</f>
        <v>INSTRUMENT_DT_FRBRNC_STTS</v>
      </c>
    </row>
    <row r="161" spans="1:21" ht="15" hidden="1" customHeight="1" x14ac:dyDescent="0.3">
      <c r="A161" s="7" t="s">
        <v>479</v>
      </c>
      <c r="B161" s="47" t="str">
        <f t="shared" si="10"/>
        <v>INSTRUMENT_DT_FRBRNC_STTS_PRVS</v>
      </c>
      <c r="C161" s="8" t="s">
        <v>414</v>
      </c>
      <c r="D161" s="9" t="s">
        <v>480</v>
      </c>
      <c r="E161" s="11" t="s">
        <v>481</v>
      </c>
      <c r="F161" s="10" t="s">
        <v>13</v>
      </c>
      <c r="G161" s="10" t="s">
        <v>11</v>
      </c>
      <c r="H161" s="10" t="s">
        <v>11</v>
      </c>
      <c r="I161" s="10" t="s">
        <v>11</v>
      </c>
      <c r="J161" s="10" t="s">
        <v>11</v>
      </c>
      <c r="L161" s="6" t="str">
        <f>IFERROR(VLOOKUP($B161,'Lista - Âmbito Projeto GD'!$B$3:$F$71,5,0),"Campo eliminado")</f>
        <v>Campo eliminado</v>
      </c>
      <c r="M161" s="6" t="str">
        <f t="shared" si="11"/>
        <v>Campo eliminado</v>
      </c>
      <c r="N161" s="6" t="str">
        <f>IFERROR(VLOOKUP($B161,'Lista - Âmbito Projeto GD'!$B$3:$K$71,6,0),"Campo eliminado")</f>
        <v>Campo eliminado</v>
      </c>
      <c r="O161" s="6" t="str">
        <f t="shared" si="12"/>
        <v>Campo eliminado</v>
      </c>
      <c r="P161" s="6" t="str">
        <f>IFERROR(VLOOKUP($B161,'Lista - Âmbito Projeto GD'!$B$3:$K$71,7,0),"Campo eliminado")</f>
        <v>Campo eliminado</v>
      </c>
      <c r="Q161" s="6" t="str">
        <f t="shared" si="13"/>
        <v>Campo eliminado</v>
      </c>
      <c r="R161" s="6" t="str">
        <f>IFERROR(VLOOKUP($B161,'Lista - Âmbito Projeto GD'!$B$3:$K$71,9,0),"Campo eliminado")</f>
        <v>Campo eliminado</v>
      </c>
      <c r="S161" s="6" t="str">
        <f t="shared" si="14"/>
        <v>Campo eliminado</v>
      </c>
      <c r="U161" s="6" t="str">
        <f>VLOOKUP(B161,DataLake!$A$4:$A$429,1,0)</f>
        <v>INSTRUMENT_DT_FRBRNC_STTS_PRVS</v>
      </c>
    </row>
    <row r="162" spans="1:21" ht="15" hidden="1" customHeight="1" x14ac:dyDescent="0.3">
      <c r="A162" s="7" t="s">
        <v>482</v>
      </c>
      <c r="B162" s="47" t="str">
        <f t="shared" si="10"/>
        <v>INSTRUMENT_DT_INTRNL_RTNG</v>
      </c>
      <c r="C162" s="8" t="s">
        <v>414</v>
      </c>
      <c r="D162" s="9" t="s">
        <v>80</v>
      </c>
      <c r="E162" s="11" t="s">
        <v>81</v>
      </c>
      <c r="F162" s="10" t="s">
        <v>13</v>
      </c>
      <c r="G162" s="10" t="s">
        <v>11</v>
      </c>
      <c r="H162" s="10" t="s">
        <v>11</v>
      </c>
      <c r="I162" s="10" t="s">
        <v>11</v>
      </c>
      <c r="J162" s="10" t="s">
        <v>11</v>
      </c>
      <c r="L162" s="6" t="str">
        <f>IFERROR(VLOOKUP($B162,'Lista - Âmbito Projeto GD'!$B$3:$F$71,5,0),"Campo eliminado")</f>
        <v>Campo eliminado</v>
      </c>
      <c r="M162" s="6" t="str">
        <f t="shared" si="11"/>
        <v>Campo eliminado</v>
      </c>
      <c r="N162" s="6" t="str">
        <f>IFERROR(VLOOKUP($B162,'Lista - Âmbito Projeto GD'!$B$3:$K$71,6,0),"Campo eliminado")</f>
        <v>Campo eliminado</v>
      </c>
      <c r="O162" s="6" t="str">
        <f t="shared" si="12"/>
        <v>Campo eliminado</v>
      </c>
      <c r="P162" s="6" t="str">
        <f>IFERROR(VLOOKUP($B162,'Lista - Âmbito Projeto GD'!$B$3:$K$71,7,0),"Campo eliminado")</f>
        <v>Campo eliminado</v>
      </c>
      <c r="Q162" s="6" t="str">
        <f t="shared" si="13"/>
        <v>Campo eliminado</v>
      </c>
      <c r="R162" s="6" t="str">
        <f>IFERROR(VLOOKUP($B162,'Lista - Âmbito Projeto GD'!$B$3:$K$71,9,0),"Campo eliminado")</f>
        <v>Campo eliminado</v>
      </c>
      <c r="S162" s="6" t="str">
        <f t="shared" si="14"/>
        <v>Campo eliminado</v>
      </c>
      <c r="U162" s="6" t="str">
        <f>VLOOKUP(B162,DataLake!$A$4:$A$429,1,0)</f>
        <v>INSTRUMENT_DT_INTRNL_RTNG</v>
      </c>
    </row>
    <row r="163" spans="1:21" ht="15" hidden="1" customHeight="1" x14ac:dyDescent="0.3">
      <c r="A163" s="7" t="s">
        <v>483</v>
      </c>
      <c r="B163" s="47" t="str">
        <f t="shared" si="10"/>
        <v>INSTRUMENT_DT_PRFRMNG_STTS</v>
      </c>
      <c r="C163" s="8" t="s">
        <v>414</v>
      </c>
      <c r="D163" s="9" t="s">
        <v>484</v>
      </c>
      <c r="E163" s="11" t="s">
        <v>36</v>
      </c>
      <c r="F163" s="10" t="s">
        <v>13</v>
      </c>
      <c r="G163" s="10" t="s">
        <v>11</v>
      </c>
      <c r="H163" s="10" t="s">
        <v>11</v>
      </c>
      <c r="I163" s="10" t="s">
        <v>11</v>
      </c>
      <c r="J163" s="10" t="s">
        <v>11</v>
      </c>
      <c r="L163" s="6" t="str">
        <f>IFERROR(VLOOKUP($B163,'Lista - Âmbito Projeto GD'!$B$3:$F$71,5,0),"Campo eliminado")</f>
        <v>Campo eliminado</v>
      </c>
      <c r="M163" s="6" t="str">
        <f t="shared" si="11"/>
        <v>Campo eliminado</v>
      </c>
      <c r="N163" s="6" t="str">
        <f>IFERROR(VLOOKUP($B163,'Lista - Âmbito Projeto GD'!$B$3:$K$71,6,0),"Campo eliminado")</f>
        <v>Campo eliminado</v>
      </c>
      <c r="O163" s="6" t="str">
        <f t="shared" si="12"/>
        <v>Campo eliminado</v>
      </c>
      <c r="P163" s="6" t="str">
        <f>IFERROR(VLOOKUP($B163,'Lista - Âmbito Projeto GD'!$B$3:$K$71,7,0),"Campo eliminado")</f>
        <v>Campo eliminado</v>
      </c>
      <c r="Q163" s="6" t="str">
        <f t="shared" si="13"/>
        <v>Campo eliminado</v>
      </c>
      <c r="R163" s="6" t="str">
        <f>IFERROR(VLOOKUP($B163,'Lista - Âmbito Projeto GD'!$B$3:$K$71,9,0),"Campo eliminado")</f>
        <v>Campo eliminado</v>
      </c>
      <c r="S163" s="6" t="str">
        <f t="shared" si="14"/>
        <v>Campo eliminado</v>
      </c>
      <c r="U163" s="6" t="str">
        <f>VLOOKUP(B163,DataLake!$A$4:$A$429,1,0)</f>
        <v>INSTRUMENT_DT_PRFRMNG_STTS</v>
      </c>
    </row>
    <row r="164" spans="1:21" ht="15" hidden="1" customHeight="1" x14ac:dyDescent="0.3">
      <c r="A164" s="7" t="s">
        <v>485</v>
      </c>
      <c r="B164" s="47" t="str">
        <f t="shared" si="10"/>
        <v>INSTRUMENT_DT_PRFRMNG_STTS_PRVS</v>
      </c>
      <c r="C164" s="8" t="s">
        <v>414</v>
      </c>
      <c r="D164" s="9" t="s">
        <v>486</v>
      </c>
      <c r="E164" s="11" t="s">
        <v>487</v>
      </c>
      <c r="F164" s="10" t="s">
        <v>13</v>
      </c>
      <c r="G164" s="10" t="s">
        <v>11</v>
      </c>
      <c r="H164" s="10" t="s">
        <v>11</v>
      </c>
      <c r="I164" s="10" t="s">
        <v>11</v>
      </c>
      <c r="J164" s="10" t="s">
        <v>11</v>
      </c>
      <c r="L164" s="6" t="str">
        <f>IFERROR(VLOOKUP($B164,'Lista - Âmbito Projeto GD'!$B$3:$F$71,5,0),"Campo eliminado")</f>
        <v>Campo eliminado</v>
      </c>
      <c r="M164" s="6" t="str">
        <f t="shared" si="11"/>
        <v>Campo eliminado</v>
      </c>
      <c r="N164" s="6" t="str">
        <f>IFERROR(VLOOKUP($B164,'Lista - Âmbito Projeto GD'!$B$3:$K$71,6,0),"Campo eliminado")</f>
        <v>Campo eliminado</v>
      </c>
      <c r="O164" s="6" t="str">
        <f t="shared" si="12"/>
        <v>Campo eliminado</v>
      </c>
      <c r="P164" s="6" t="str">
        <f>IFERROR(VLOOKUP($B164,'Lista - Âmbito Projeto GD'!$B$3:$K$71,7,0),"Campo eliminado")</f>
        <v>Campo eliminado</v>
      </c>
      <c r="Q164" s="6" t="str">
        <f t="shared" si="13"/>
        <v>Campo eliminado</v>
      </c>
      <c r="R164" s="6" t="str">
        <f>IFERROR(VLOOKUP($B164,'Lista - Âmbito Projeto GD'!$B$3:$K$71,9,0),"Campo eliminado")</f>
        <v>Campo eliminado</v>
      </c>
      <c r="S164" s="6" t="str">
        <f t="shared" si="14"/>
        <v>Campo eliminado</v>
      </c>
      <c r="U164" s="6" t="str">
        <f>VLOOKUP(B164,DataLake!$A$4:$A$429,1,0)</f>
        <v>INSTRUMENT_DT_PRFRMNG_STTS_PRVS</v>
      </c>
    </row>
    <row r="165" spans="1:21" ht="15" hidden="1" customHeight="1" x14ac:dyDescent="0.3">
      <c r="A165" s="7" t="s">
        <v>488</v>
      </c>
      <c r="B165" s="47" t="str">
        <f t="shared" si="10"/>
        <v>INSTRUMENT_DT_STRT_INTRST_ONLY</v>
      </c>
      <c r="C165" s="8" t="s">
        <v>414</v>
      </c>
      <c r="D165" s="9" t="s">
        <v>489</v>
      </c>
      <c r="E165" s="11" t="s">
        <v>490</v>
      </c>
      <c r="F165" s="10" t="s">
        <v>13</v>
      </c>
      <c r="G165" s="10" t="s">
        <v>11</v>
      </c>
      <c r="H165" s="10" t="s">
        <v>11</v>
      </c>
      <c r="I165" s="10" t="s">
        <v>11</v>
      </c>
      <c r="J165" s="10" t="s">
        <v>11</v>
      </c>
      <c r="L165" s="6" t="str">
        <f>IFERROR(VLOOKUP($B165,'Lista - Âmbito Projeto GD'!$B$3:$F$71,5,0),"Campo eliminado")</f>
        <v>Campo eliminado</v>
      </c>
      <c r="M165" s="6" t="str">
        <f t="shared" si="11"/>
        <v>Campo eliminado</v>
      </c>
      <c r="N165" s="6" t="str">
        <f>IFERROR(VLOOKUP($B165,'Lista - Âmbito Projeto GD'!$B$3:$K$71,6,0),"Campo eliminado")</f>
        <v>Campo eliminado</v>
      </c>
      <c r="O165" s="6" t="str">
        <f t="shared" si="12"/>
        <v>Campo eliminado</v>
      </c>
      <c r="P165" s="6" t="str">
        <f>IFERROR(VLOOKUP($B165,'Lista - Âmbito Projeto GD'!$B$3:$K$71,7,0),"Campo eliminado")</f>
        <v>Campo eliminado</v>
      </c>
      <c r="Q165" s="6" t="str">
        <f t="shared" si="13"/>
        <v>Campo eliminado</v>
      </c>
      <c r="R165" s="6" t="str">
        <f>IFERROR(VLOOKUP($B165,'Lista - Âmbito Projeto GD'!$B$3:$K$71,9,0),"Campo eliminado")</f>
        <v>Campo eliminado</v>
      </c>
      <c r="S165" s="6" t="str">
        <f t="shared" si="14"/>
        <v>Campo eliminado</v>
      </c>
      <c r="U165" s="6" t="str">
        <f>VLOOKUP(B165,DataLake!$A$4:$A$429,1,0)</f>
        <v>INSTRUMENT_DT_STRT_INTRST_ONLY</v>
      </c>
    </row>
    <row r="166" spans="1:21" ht="15" hidden="1" customHeight="1" x14ac:dyDescent="0.3">
      <c r="A166" s="7" t="s">
        <v>491</v>
      </c>
      <c r="B166" s="47" t="str">
        <f t="shared" si="10"/>
        <v>INSTRUMENT_EXPSR_IN_SCP</v>
      </c>
      <c r="C166" s="8" t="s">
        <v>414</v>
      </c>
      <c r="D166" s="9" t="s">
        <v>492</v>
      </c>
      <c r="E166" s="11" t="s">
        <v>493</v>
      </c>
      <c r="F166" s="10" t="s">
        <v>13</v>
      </c>
      <c r="G166" s="10" t="s">
        <v>11</v>
      </c>
      <c r="H166" s="10" t="s">
        <v>11</v>
      </c>
      <c r="I166" s="10" t="s">
        <v>11</v>
      </c>
      <c r="J166" s="10" t="s">
        <v>11</v>
      </c>
      <c r="L166" s="6" t="str">
        <f>IFERROR(VLOOKUP($B166,'Lista - Âmbito Projeto GD'!$B$3:$F$71,5,0),"Campo eliminado")</f>
        <v>Campo eliminado</v>
      </c>
      <c r="M166" s="6" t="str">
        <f t="shared" si="11"/>
        <v>Campo eliminado</v>
      </c>
      <c r="N166" s="6" t="str">
        <f>IFERROR(VLOOKUP($B166,'Lista - Âmbito Projeto GD'!$B$3:$K$71,6,0),"Campo eliminado")</f>
        <v>Campo eliminado</v>
      </c>
      <c r="O166" s="6" t="str">
        <f t="shared" si="12"/>
        <v>Campo eliminado</v>
      </c>
      <c r="P166" s="6" t="str">
        <f>IFERROR(VLOOKUP($B166,'Lista - Âmbito Projeto GD'!$B$3:$K$71,7,0),"Campo eliminado")</f>
        <v>Campo eliminado</v>
      </c>
      <c r="Q166" s="6" t="str">
        <f t="shared" si="13"/>
        <v>Campo eliminado</v>
      </c>
      <c r="R166" s="6" t="str">
        <f>IFERROR(VLOOKUP($B166,'Lista - Âmbito Projeto GD'!$B$3:$K$71,9,0),"Campo eliminado")</f>
        <v>Campo eliminado</v>
      </c>
      <c r="S166" s="6" t="str">
        <f t="shared" si="14"/>
        <v>Campo eliminado</v>
      </c>
      <c r="U166" s="6" t="str">
        <f>VLOOKUP(B166,DataLake!$A$4:$A$429,1,0)</f>
        <v>INSTRUMENT_EXPSR_IN_SCP</v>
      </c>
    </row>
    <row r="167" spans="1:21" ht="15" hidden="1" customHeight="1" x14ac:dyDescent="0.3">
      <c r="A167" s="7" t="s">
        <v>494</v>
      </c>
      <c r="B167" s="47" t="str">
        <f t="shared" si="10"/>
        <v>INSTRUMENT_FLD_SYNDCTN</v>
      </c>
      <c r="C167" s="8" t="s">
        <v>414</v>
      </c>
      <c r="D167" s="9" t="s">
        <v>495</v>
      </c>
      <c r="E167" s="11" t="s">
        <v>496</v>
      </c>
      <c r="F167" s="10" t="s">
        <v>13</v>
      </c>
      <c r="G167" s="10" t="s">
        <v>11</v>
      </c>
      <c r="H167" s="10" t="s">
        <v>11</v>
      </c>
      <c r="I167" s="10" t="s">
        <v>11</v>
      </c>
      <c r="J167" s="10" t="s">
        <v>11</v>
      </c>
      <c r="L167" s="6" t="str">
        <f>IFERROR(VLOOKUP($B167,'Lista - Âmbito Projeto GD'!$B$3:$F$71,5,0),"Campo eliminado")</f>
        <v>Campo eliminado</v>
      </c>
      <c r="M167" s="6" t="str">
        <f t="shared" si="11"/>
        <v>Campo eliminado</v>
      </c>
      <c r="N167" s="6" t="str">
        <f>IFERROR(VLOOKUP($B167,'Lista - Âmbito Projeto GD'!$B$3:$K$71,6,0),"Campo eliminado")</f>
        <v>Campo eliminado</v>
      </c>
      <c r="O167" s="6" t="str">
        <f t="shared" si="12"/>
        <v>Campo eliminado</v>
      </c>
      <c r="P167" s="6" t="str">
        <f>IFERROR(VLOOKUP($B167,'Lista - Âmbito Projeto GD'!$B$3:$K$71,7,0),"Campo eliminado")</f>
        <v>Campo eliminado</v>
      </c>
      <c r="Q167" s="6" t="str">
        <f t="shared" si="13"/>
        <v>Campo eliminado</v>
      </c>
      <c r="R167" s="6" t="str">
        <f>IFERROR(VLOOKUP($B167,'Lista - Âmbito Projeto GD'!$B$3:$K$71,9,0),"Campo eliminado")</f>
        <v>Campo eliminado</v>
      </c>
      <c r="S167" s="6" t="str">
        <f t="shared" si="14"/>
        <v>Campo eliminado</v>
      </c>
      <c r="U167" s="6" t="str">
        <f>VLOOKUP(B167,DataLake!$A$4:$A$429,1,0)</f>
        <v>INSTRUMENT_FLD_SYNDCTN</v>
      </c>
    </row>
    <row r="168" spans="1:21" ht="15" hidden="1" customHeight="1" x14ac:dyDescent="0.3">
      <c r="A168" s="7" t="s">
        <v>497</v>
      </c>
      <c r="B168" s="47" t="str">
        <f t="shared" si="10"/>
        <v>INSTRUMENT_FLG_LBO</v>
      </c>
      <c r="C168" s="8" t="s">
        <v>414</v>
      </c>
      <c r="D168" s="9" t="s">
        <v>498</v>
      </c>
      <c r="E168" s="11" t="s">
        <v>499</v>
      </c>
      <c r="F168" s="10" t="s">
        <v>13</v>
      </c>
      <c r="G168" s="10" t="s">
        <v>11</v>
      </c>
      <c r="H168" s="10" t="s">
        <v>11</v>
      </c>
      <c r="I168" s="10" t="s">
        <v>11</v>
      </c>
      <c r="J168" s="10" t="s">
        <v>11</v>
      </c>
      <c r="L168" s="6" t="str">
        <f>IFERROR(VLOOKUP($B168,'Lista - Âmbito Projeto GD'!$B$3:$F$71,5,0),"Campo eliminado")</f>
        <v>Campo eliminado</v>
      </c>
      <c r="M168" s="6" t="str">
        <f t="shared" si="11"/>
        <v>Campo eliminado</v>
      </c>
      <c r="N168" s="6" t="str">
        <f>IFERROR(VLOOKUP($B168,'Lista - Âmbito Projeto GD'!$B$3:$K$71,6,0),"Campo eliminado")</f>
        <v>Campo eliminado</v>
      </c>
      <c r="O168" s="6" t="str">
        <f t="shared" si="12"/>
        <v>Campo eliminado</v>
      </c>
      <c r="P168" s="6" t="str">
        <f>IFERROR(VLOOKUP($B168,'Lista - Âmbito Projeto GD'!$B$3:$K$71,7,0),"Campo eliminado")</f>
        <v>Campo eliminado</v>
      </c>
      <c r="Q168" s="6" t="str">
        <f t="shared" si="13"/>
        <v>Campo eliminado</v>
      </c>
      <c r="R168" s="6" t="str">
        <f>IFERROR(VLOOKUP($B168,'Lista - Âmbito Projeto GD'!$B$3:$K$71,9,0),"Campo eliminado")</f>
        <v>Campo eliminado</v>
      </c>
      <c r="S168" s="6" t="str">
        <f t="shared" si="14"/>
        <v>Campo eliminado</v>
      </c>
      <c r="U168" s="6" t="str">
        <f>VLOOKUP(B168,DataLake!$A$4:$A$429,1,0)</f>
        <v>INSTRUMENT_FLG_LBO</v>
      </c>
    </row>
    <row r="169" spans="1:21" ht="15" hidden="1" customHeight="1" x14ac:dyDescent="0.3">
      <c r="A169" s="7" t="s">
        <v>500</v>
      </c>
      <c r="B169" s="47" t="str">
        <f t="shared" si="10"/>
        <v>INSTRUMENT_FRBRNC_STTS_INSTRMNT</v>
      </c>
      <c r="C169" s="8" t="s">
        <v>414</v>
      </c>
      <c r="D169" s="9" t="s">
        <v>501</v>
      </c>
      <c r="E169" s="11" t="s">
        <v>502</v>
      </c>
      <c r="F169" s="10" t="s">
        <v>13</v>
      </c>
      <c r="G169" s="10" t="s">
        <v>11</v>
      </c>
      <c r="H169" s="10" t="s">
        <v>11</v>
      </c>
      <c r="I169" s="10" t="s">
        <v>11</v>
      </c>
      <c r="J169" s="10" t="s">
        <v>11</v>
      </c>
      <c r="L169" s="6" t="str">
        <f>IFERROR(VLOOKUP($B169,'Lista - Âmbito Projeto GD'!$B$3:$F$71,5,0),"Campo eliminado")</f>
        <v>Campo eliminado</v>
      </c>
      <c r="M169" s="6" t="str">
        <f t="shared" si="11"/>
        <v>Campo eliminado</v>
      </c>
      <c r="N169" s="6" t="str">
        <f>IFERROR(VLOOKUP($B169,'Lista - Âmbito Projeto GD'!$B$3:$K$71,6,0),"Campo eliminado")</f>
        <v>Campo eliminado</v>
      </c>
      <c r="O169" s="6" t="str">
        <f t="shared" si="12"/>
        <v>Campo eliminado</v>
      </c>
      <c r="P169" s="6" t="str">
        <f>IFERROR(VLOOKUP($B169,'Lista - Âmbito Projeto GD'!$B$3:$K$71,7,0),"Campo eliminado")</f>
        <v>Campo eliminado</v>
      </c>
      <c r="Q169" s="6" t="str">
        <f t="shared" si="13"/>
        <v>Campo eliminado</v>
      </c>
      <c r="R169" s="6" t="str">
        <f>IFERROR(VLOOKUP($B169,'Lista - Âmbito Projeto GD'!$B$3:$K$71,9,0),"Campo eliminado")</f>
        <v>Campo eliminado</v>
      </c>
      <c r="S169" s="6" t="str">
        <f t="shared" si="14"/>
        <v>Campo eliminado</v>
      </c>
      <c r="U169" s="6" t="str">
        <f>VLOOKUP(B169,DataLake!$A$4:$A$429,1,0)</f>
        <v>INSTRUMENT_FRBRNC_STTS_INSTRMNT</v>
      </c>
    </row>
    <row r="170" spans="1:21" ht="15" hidden="1" customHeight="1" x14ac:dyDescent="0.3">
      <c r="A170" s="7" t="s">
        <v>503</v>
      </c>
      <c r="B170" s="47" t="str">
        <f t="shared" si="10"/>
        <v>INSTRUMENT_IMPRMNT_STTS</v>
      </c>
      <c r="C170" s="8" t="s">
        <v>414</v>
      </c>
      <c r="D170" s="9" t="s">
        <v>504</v>
      </c>
      <c r="E170" s="11" t="s">
        <v>505</v>
      </c>
      <c r="F170" s="10" t="s">
        <v>13</v>
      </c>
      <c r="G170" s="10" t="s">
        <v>13</v>
      </c>
      <c r="H170" s="10" t="s">
        <v>13</v>
      </c>
      <c r="I170" s="10" t="s">
        <v>11</v>
      </c>
      <c r="J170" s="10" t="s">
        <v>11</v>
      </c>
      <c r="L170" s="6" t="str">
        <f>IFERROR(VLOOKUP($B170,'Lista - Âmbito Projeto GD'!$B$3:$F$71,5,0),"Campo eliminado")</f>
        <v>Y</v>
      </c>
      <c r="M170" s="6" t="str">
        <f t="shared" si="11"/>
        <v>Igual</v>
      </c>
      <c r="N170" s="6" t="str">
        <f>IFERROR(VLOOKUP($B170,'Lista - Âmbito Projeto GD'!$B$3:$K$71,6,0),"Campo eliminado")</f>
        <v>Y</v>
      </c>
      <c r="O170" s="6" t="str">
        <f t="shared" si="12"/>
        <v>Igual</v>
      </c>
      <c r="P170" s="6" t="str">
        <f>IFERROR(VLOOKUP($B170,'Lista - Âmbito Projeto GD'!$B$3:$K$71,7,0),"Campo eliminado")</f>
        <v>Y</v>
      </c>
      <c r="Q170" s="6" t="str">
        <f t="shared" si="13"/>
        <v>Igual</v>
      </c>
      <c r="R170" s="6" t="str">
        <f>IFERROR(VLOOKUP($B170,'Lista - Âmbito Projeto GD'!$B$3:$K$71,9,0),"Campo eliminado")</f>
        <v>N</v>
      </c>
      <c r="S170" s="6" t="str">
        <f t="shared" si="14"/>
        <v>Igual</v>
      </c>
      <c r="U170" s="6" t="str">
        <f>VLOOKUP(B170,DataLake!$A$4:$A$429,1,0)</f>
        <v>INSTRUMENT_IMPRMNT_STTS</v>
      </c>
    </row>
    <row r="171" spans="1:21" ht="15" hidden="1" customHeight="1" x14ac:dyDescent="0.3">
      <c r="A171" s="7" t="s">
        <v>506</v>
      </c>
      <c r="B171" s="47" t="str">
        <f t="shared" si="10"/>
        <v>INSTRUMENT_IMPRMNT_STTS_PRVS</v>
      </c>
      <c r="C171" s="8" t="s">
        <v>414</v>
      </c>
      <c r="D171" s="9" t="s">
        <v>507</v>
      </c>
      <c r="E171" s="11" t="s">
        <v>508</v>
      </c>
      <c r="F171" s="10" t="s">
        <v>13</v>
      </c>
      <c r="G171" s="10" t="s">
        <v>11</v>
      </c>
      <c r="H171" s="10" t="s">
        <v>11</v>
      </c>
      <c r="I171" s="10" t="s">
        <v>11</v>
      </c>
      <c r="J171" s="10" t="s">
        <v>11</v>
      </c>
      <c r="L171" s="6" t="str">
        <f>IFERROR(VLOOKUP($B171,'Lista - Âmbito Projeto GD'!$B$3:$F$71,5,0),"Campo eliminado")</f>
        <v>Campo eliminado</v>
      </c>
      <c r="M171" s="6" t="str">
        <f t="shared" si="11"/>
        <v>Campo eliminado</v>
      </c>
      <c r="N171" s="6" t="str">
        <f>IFERROR(VLOOKUP($B171,'Lista - Âmbito Projeto GD'!$B$3:$K$71,6,0),"Campo eliminado")</f>
        <v>Campo eliminado</v>
      </c>
      <c r="O171" s="6" t="str">
        <f t="shared" si="12"/>
        <v>Campo eliminado</v>
      </c>
      <c r="P171" s="6" t="str">
        <f>IFERROR(VLOOKUP($B171,'Lista - Âmbito Projeto GD'!$B$3:$K$71,7,0),"Campo eliminado")</f>
        <v>Campo eliminado</v>
      </c>
      <c r="Q171" s="6" t="str">
        <f t="shared" si="13"/>
        <v>Campo eliminado</v>
      </c>
      <c r="R171" s="6" t="str">
        <f>IFERROR(VLOOKUP($B171,'Lista - Âmbito Projeto GD'!$B$3:$K$71,9,0),"Campo eliminado")</f>
        <v>Campo eliminado</v>
      </c>
      <c r="S171" s="6" t="str">
        <f t="shared" si="14"/>
        <v>Campo eliminado</v>
      </c>
      <c r="U171" s="6" t="str">
        <f>VLOOKUP(B171,DataLake!$A$4:$A$429,1,0)</f>
        <v>INSTRUMENT_IMPRMNT_STTS_PRVS</v>
      </c>
    </row>
    <row r="172" spans="1:21" ht="15" hidden="1" customHeight="1" x14ac:dyDescent="0.3">
      <c r="A172" s="7" t="s">
        <v>509</v>
      </c>
      <c r="B172" s="47" t="str">
        <f t="shared" si="10"/>
        <v>INSTRUMENT_INTRNL_RTNG</v>
      </c>
      <c r="C172" s="8" t="s">
        <v>414</v>
      </c>
      <c r="D172" s="9" t="s">
        <v>128</v>
      </c>
      <c r="E172" s="11" t="s">
        <v>129</v>
      </c>
      <c r="F172" s="10" t="s">
        <v>13</v>
      </c>
      <c r="G172" s="10" t="s">
        <v>11</v>
      </c>
      <c r="H172" s="10" t="s">
        <v>11</v>
      </c>
      <c r="I172" s="10" t="s">
        <v>11</v>
      </c>
      <c r="J172" s="10" t="s">
        <v>11</v>
      </c>
      <c r="L172" s="6" t="str">
        <f>IFERROR(VLOOKUP($B172,'Lista - Âmbito Projeto GD'!$B$3:$F$71,5,0),"Campo eliminado")</f>
        <v>Campo eliminado</v>
      </c>
      <c r="M172" s="6" t="str">
        <f t="shared" si="11"/>
        <v>Campo eliminado</v>
      </c>
      <c r="N172" s="6" t="str">
        <f>IFERROR(VLOOKUP($B172,'Lista - Âmbito Projeto GD'!$B$3:$K$71,6,0),"Campo eliminado")</f>
        <v>Campo eliminado</v>
      </c>
      <c r="O172" s="6" t="str">
        <f t="shared" si="12"/>
        <v>Campo eliminado</v>
      </c>
      <c r="P172" s="6" t="str">
        <f>IFERROR(VLOOKUP($B172,'Lista - Âmbito Projeto GD'!$B$3:$K$71,7,0),"Campo eliminado")</f>
        <v>Campo eliminado</v>
      </c>
      <c r="Q172" s="6" t="str">
        <f t="shared" si="13"/>
        <v>Campo eliminado</v>
      </c>
      <c r="R172" s="6" t="str">
        <f>IFERROR(VLOOKUP($B172,'Lista - Âmbito Projeto GD'!$B$3:$K$71,9,0),"Campo eliminado")</f>
        <v>Campo eliminado</v>
      </c>
      <c r="S172" s="6" t="str">
        <f t="shared" si="14"/>
        <v>Campo eliminado</v>
      </c>
      <c r="U172" s="6" t="str">
        <f>VLOOKUP(B172,DataLake!$A$4:$A$429,1,0)</f>
        <v>INSTRUMENT_INTRNL_RTNG</v>
      </c>
    </row>
    <row r="173" spans="1:21" ht="15" hidden="1" customHeight="1" x14ac:dyDescent="0.3">
      <c r="A173" s="7" t="s">
        <v>510</v>
      </c>
      <c r="B173" s="47" t="str">
        <f t="shared" si="10"/>
        <v>INSTRUMENT_INTRNL_RTNG_INCPTN</v>
      </c>
      <c r="C173" s="8" t="s">
        <v>414</v>
      </c>
      <c r="D173" s="9" t="s">
        <v>511</v>
      </c>
      <c r="E173" s="11" t="s">
        <v>512</v>
      </c>
      <c r="F173" s="10" t="s">
        <v>13</v>
      </c>
      <c r="G173" s="10" t="s">
        <v>11</v>
      </c>
      <c r="H173" s="10" t="s">
        <v>11</v>
      </c>
      <c r="I173" s="10" t="s">
        <v>11</v>
      </c>
      <c r="J173" s="10" t="s">
        <v>11</v>
      </c>
      <c r="L173" s="6" t="str">
        <f>IFERROR(VLOOKUP($B173,'Lista - Âmbito Projeto GD'!$B$3:$F$71,5,0),"Campo eliminado")</f>
        <v>Campo eliminado</v>
      </c>
      <c r="M173" s="6" t="str">
        <f t="shared" si="11"/>
        <v>Campo eliminado</v>
      </c>
      <c r="N173" s="6" t="str">
        <f>IFERROR(VLOOKUP($B173,'Lista - Âmbito Projeto GD'!$B$3:$K$71,6,0),"Campo eliminado")</f>
        <v>Campo eliminado</v>
      </c>
      <c r="O173" s="6" t="str">
        <f t="shared" si="12"/>
        <v>Campo eliminado</v>
      </c>
      <c r="P173" s="6" t="str">
        <f>IFERROR(VLOOKUP($B173,'Lista - Âmbito Projeto GD'!$B$3:$K$71,7,0),"Campo eliminado")</f>
        <v>Campo eliminado</v>
      </c>
      <c r="Q173" s="6" t="str">
        <f t="shared" si="13"/>
        <v>Campo eliminado</v>
      </c>
      <c r="R173" s="6" t="str">
        <f>IFERROR(VLOOKUP($B173,'Lista - Âmbito Projeto GD'!$B$3:$K$71,9,0),"Campo eliminado")</f>
        <v>Campo eliminado</v>
      </c>
      <c r="S173" s="6" t="str">
        <f t="shared" si="14"/>
        <v>Campo eliminado</v>
      </c>
      <c r="U173" s="6" t="str">
        <f>VLOOKUP(B173,DataLake!$A$4:$A$429,1,0)</f>
        <v>INSTRUMENT_INTRNL_RTNG_INCPTN</v>
      </c>
    </row>
    <row r="174" spans="1:21" ht="15" hidden="1" customHeight="1" x14ac:dyDescent="0.3">
      <c r="A174" s="7" t="s">
        <v>513</v>
      </c>
      <c r="B174" s="47" t="str">
        <f t="shared" si="10"/>
        <v>INSTRUMENT_INTRNL_SGMNT</v>
      </c>
      <c r="C174" s="8" t="s">
        <v>414</v>
      </c>
      <c r="D174" s="9" t="s">
        <v>50</v>
      </c>
      <c r="E174" s="11" t="s">
        <v>51</v>
      </c>
      <c r="F174" s="10" t="s">
        <v>13</v>
      </c>
      <c r="G174" s="10" t="s">
        <v>11</v>
      </c>
      <c r="H174" s="10" t="s">
        <v>11</v>
      </c>
      <c r="I174" s="10" t="s">
        <v>13</v>
      </c>
      <c r="J174" s="10" t="s">
        <v>11</v>
      </c>
      <c r="L174" s="6" t="str">
        <f>IFERROR(VLOOKUP($B174,'Lista - Âmbito Projeto GD'!$B$3:$F$71,5,0),"Campo eliminado")</f>
        <v>Campo eliminado</v>
      </c>
      <c r="M174" s="6" t="str">
        <f t="shared" si="11"/>
        <v>Campo eliminado</v>
      </c>
      <c r="N174" s="6" t="str">
        <f>IFERROR(VLOOKUP($B174,'Lista - Âmbito Projeto GD'!$B$3:$K$71,6,0),"Campo eliminado")</f>
        <v>Campo eliminado</v>
      </c>
      <c r="O174" s="6" t="str">
        <f t="shared" si="12"/>
        <v>Campo eliminado</v>
      </c>
      <c r="P174" s="6" t="str">
        <f>IFERROR(VLOOKUP($B174,'Lista - Âmbito Projeto GD'!$B$3:$K$71,7,0),"Campo eliminado")</f>
        <v>Campo eliminado</v>
      </c>
      <c r="Q174" s="6" t="str">
        <f t="shared" si="13"/>
        <v>Campo eliminado</v>
      </c>
      <c r="R174" s="6" t="str">
        <f>IFERROR(VLOOKUP($B174,'Lista - Âmbito Projeto GD'!$B$3:$K$71,9,0),"Campo eliminado")</f>
        <v>Campo eliminado</v>
      </c>
      <c r="S174" s="6" t="str">
        <f t="shared" si="14"/>
        <v>Campo eliminado</v>
      </c>
      <c r="U174" s="6" t="str">
        <f>VLOOKUP(B174,DataLake!$A$4:$A$429,1,0)</f>
        <v>INSTRUMENT_INTRNL_SGMNT</v>
      </c>
    </row>
    <row r="175" spans="1:21" ht="15" hidden="1" customHeight="1" x14ac:dyDescent="0.3">
      <c r="A175" s="7" t="s">
        <v>514</v>
      </c>
      <c r="B175" s="47" t="str">
        <f t="shared" si="10"/>
        <v>INSTRUMENT_INTRNL_UNT</v>
      </c>
      <c r="C175" s="8" t="s">
        <v>414</v>
      </c>
      <c r="D175" s="9" t="s">
        <v>53</v>
      </c>
      <c r="E175" s="11" t="s">
        <v>54</v>
      </c>
      <c r="F175" s="10" t="s">
        <v>13</v>
      </c>
      <c r="G175" s="10" t="s">
        <v>11</v>
      </c>
      <c r="H175" s="10" t="s">
        <v>11</v>
      </c>
      <c r="I175" s="10" t="s">
        <v>11</v>
      </c>
      <c r="J175" s="10" t="s">
        <v>11</v>
      </c>
      <c r="L175" s="6" t="str">
        <f>IFERROR(VLOOKUP($B175,'Lista - Âmbito Projeto GD'!$B$3:$F$71,5,0),"Campo eliminado")</f>
        <v>Campo eliminado</v>
      </c>
      <c r="M175" s="6" t="str">
        <f t="shared" si="11"/>
        <v>Campo eliminado</v>
      </c>
      <c r="N175" s="6" t="str">
        <f>IFERROR(VLOOKUP($B175,'Lista - Âmbito Projeto GD'!$B$3:$K$71,6,0),"Campo eliminado")</f>
        <v>Campo eliminado</v>
      </c>
      <c r="O175" s="6" t="str">
        <f t="shared" si="12"/>
        <v>Campo eliminado</v>
      </c>
      <c r="P175" s="6" t="str">
        <f>IFERROR(VLOOKUP($B175,'Lista - Âmbito Projeto GD'!$B$3:$K$71,7,0),"Campo eliminado")</f>
        <v>Campo eliminado</v>
      </c>
      <c r="Q175" s="6" t="str">
        <f t="shared" si="13"/>
        <v>Campo eliminado</v>
      </c>
      <c r="R175" s="6" t="str">
        <f>IFERROR(VLOOKUP($B175,'Lista - Âmbito Projeto GD'!$B$3:$K$71,9,0),"Campo eliminado")</f>
        <v>Campo eliminado</v>
      </c>
      <c r="S175" s="6" t="str">
        <f t="shared" si="14"/>
        <v>Campo eliminado</v>
      </c>
      <c r="U175" s="6" t="str">
        <f>VLOOKUP(B175,DataLake!$A$4:$A$429,1,0)</f>
        <v>INSTRUMENT_INTRNL_UNT</v>
      </c>
    </row>
    <row r="176" spans="1:21" ht="15" hidden="1" customHeight="1" x14ac:dyDescent="0.3">
      <c r="A176" s="7" t="s">
        <v>515</v>
      </c>
      <c r="B176" s="47" t="str">
        <f t="shared" si="10"/>
        <v>INSTRUMENT_LCRE</v>
      </c>
      <c r="C176" s="8" t="s">
        <v>414</v>
      </c>
      <c r="D176" s="9" t="s">
        <v>516</v>
      </c>
      <c r="E176" s="11" t="s">
        <v>517</v>
      </c>
      <c r="F176" s="10" t="s">
        <v>13</v>
      </c>
      <c r="G176" s="10" t="s">
        <v>11</v>
      </c>
      <c r="H176" s="10" t="s">
        <v>11</v>
      </c>
      <c r="I176" s="10" t="s">
        <v>11</v>
      </c>
      <c r="J176" s="10" t="s">
        <v>11</v>
      </c>
      <c r="L176" s="6" t="str">
        <f>IFERROR(VLOOKUP($B176,'Lista - Âmbito Projeto GD'!$B$3:$F$71,5,0),"Campo eliminado")</f>
        <v>Campo eliminado</v>
      </c>
      <c r="M176" s="6" t="str">
        <f t="shared" si="11"/>
        <v>Campo eliminado</v>
      </c>
      <c r="N176" s="6" t="str">
        <f>IFERROR(VLOOKUP($B176,'Lista - Âmbito Projeto GD'!$B$3:$K$71,6,0),"Campo eliminado")</f>
        <v>Campo eliminado</v>
      </c>
      <c r="O176" s="6" t="str">
        <f t="shared" si="12"/>
        <v>Campo eliminado</v>
      </c>
      <c r="P176" s="6" t="str">
        <f>IFERROR(VLOOKUP($B176,'Lista - Âmbito Projeto GD'!$B$3:$K$71,7,0),"Campo eliminado")</f>
        <v>Campo eliminado</v>
      </c>
      <c r="Q176" s="6" t="str">
        <f t="shared" si="13"/>
        <v>Campo eliminado</v>
      </c>
      <c r="R176" s="6" t="str">
        <f>IFERROR(VLOOKUP($B176,'Lista - Âmbito Projeto GD'!$B$3:$K$71,9,0),"Campo eliminado")</f>
        <v>Campo eliminado</v>
      </c>
      <c r="S176" s="6" t="str">
        <f t="shared" si="14"/>
        <v>Campo eliminado</v>
      </c>
      <c r="U176" s="6" t="str">
        <f>VLOOKUP(B176,DataLake!$A$4:$A$429,1,0)</f>
        <v>INSTRUMENT_LCRE</v>
      </c>
    </row>
    <row r="177" spans="1:21" ht="15" hidden="1" customHeight="1" x14ac:dyDescent="0.3">
      <c r="A177" s="7" t="s">
        <v>518</v>
      </c>
      <c r="B177" s="47" t="str">
        <f t="shared" si="10"/>
        <v>INSTRUMENT_LGL_PRCDNG_STTS</v>
      </c>
      <c r="C177" s="8" t="s">
        <v>414</v>
      </c>
      <c r="D177" s="9" t="s">
        <v>519</v>
      </c>
      <c r="E177" s="11" t="s">
        <v>520</v>
      </c>
      <c r="F177" s="10" t="s">
        <v>13</v>
      </c>
      <c r="G177" s="10" t="s">
        <v>11</v>
      </c>
      <c r="H177" s="10" t="s">
        <v>11</v>
      </c>
      <c r="I177" s="10" t="s">
        <v>11</v>
      </c>
      <c r="J177" s="10" t="s">
        <v>11</v>
      </c>
      <c r="L177" s="6" t="str">
        <f>IFERROR(VLOOKUP($B177,'Lista - Âmbito Projeto GD'!$B$3:$F$71,5,0),"Campo eliminado")</f>
        <v>Campo eliminado</v>
      </c>
      <c r="M177" s="6" t="str">
        <f t="shared" si="11"/>
        <v>Campo eliminado</v>
      </c>
      <c r="N177" s="6" t="str">
        <f>IFERROR(VLOOKUP($B177,'Lista - Âmbito Projeto GD'!$B$3:$K$71,6,0),"Campo eliminado")</f>
        <v>Campo eliminado</v>
      </c>
      <c r="O177" s="6" t="str">
        <f t="shared" si="12"/>
        <v>Campo eliminado</v>
      </c>
      <c r="P177" s="6" t="str">
        <f>IFERROR(VLOOKUP($B177,'Lista - Âmbito Projeto GD'!$B$3:$K$71,7,0),"Campo eliminado")</f>
        <v>Campo eliminado</v>
      </c>
      <c r="Q177" s="6" t="str">
        <f t="shared" si="13"/>
        <v>Campo eliminado</v>
      </c>
      <c r="R177" s="6" t="str">
        <f>IFERROR(VLOOKUP($B177,'Lista - Âmbito Projeto GD'!$B$3:$K$71,9,0),"Campo eliminado")</f>
        <v>Campo eliminado</v>
      </c>
      <c r="S177" s="6" t="str">
        <f t="shared" si="14"/>
        <v>Campo eliminado</v>
      </c>
      <c r="U177" s="6" t="str">
        <f>VLOOKUP(B177,DataLake!$A$4:$A$429,1,0)</f>
        <v>INSTRUMENT_LGL_PRCDNG_STTS</v>
      </c>
    </row>
    <row r="178" spans="1:21" ht="15" hidden="1" customHeight="1" x14ac:dyDescent="0.3">
      <c r="A178" s="7" t="s">
        <v>521</v>
      </c>
      <c r="B178" s="47" t="str">
        <f t="shared" si="10"/>
        <v>INSTRUMENT_LND_DRGTN</v>
      </c>
      <c r="C178" s="8" t="s">
        <v>414</v>
      </c>
      <c r="D178" s="9" t="s">
        <v>522</v>
      </c>
      <c r="E178" s="11" t="s">
        <v>523</v>
      </c>
      <c r="F178" s="10" t="s">
        <v>13</v>
      </c>
      <c r="G178" s="10" t="s">
        <v>11</v>
      </c>
      <c r="H178" s="10" t="s">
        <v>11</v>
      </c>
      <c r="I178" s="10" t="s">
        <v>11</v>
      </c>
      <c r="J178" s="10" t="s">
        <v>11</v>
      </c>
      <c r="L178" s="6" t="str">
        <f>IFERROR(VLOOKUP($B178,'Lista - Âmbito Projeto GD'!$B$3:$F$71,5,0),"Campo eliminado")</f>
        <v>Campo eliminado</v>
      </c>
      <c r="M178" s="6" t="str">
        <f t="shared" si="11"/>
        <v>Campo eliminado</v>
      </c>
      <c r="N178" s="6" t="str">
        <f>IFERROR(VLOOKUP($B178,'Lista - Âmbito Projeto GD'!$B$3:$K$71,6,0),"Campo eliminado")</f>
        <v>Campo eliminado</v>
      </c>
      <c r="O178" s="6" t="str">
        <f t="shared" si="12"/>
        <v>Campo eliminado</v>
      </c>
      <c r="P178" s="6" t="str">
        <f>IFERROR(VLOOKUP($B178,'Lista - Âmbito Projeto GD'!$B$3:$K$71,7,0),"Campo eliminado")</f>
        <v>Campo eliminado</v>
      </c>
      <c r="Q178" s="6" t="str">
        <f t="shared" si="13"/>
        <v>Campo eliminado</v>
      </c>
      <c r="R178" s="6" t="str">
        <f>IFERROR(VLOOKUP($B178,'Lista - Âmbito Projeto GD'!$B$3:$K$71,9,0),"Campo eliminado")</f>
        <v>Campo eliminado</v>
      </c>
      <c r="S178" s="6" t="str">
        <f t="shared" si="14"/>
        <v>Campo eliminado</v>
      </c>
      <c r="U178" s="6" t="str">
        <f>VLOOKUP(B178,DataLake!$A$4:$A$429,1,0)</f>
        <v>INSTRUMENT_LND_DRGTN</v>
      </c>
    </row>
    <row r="179" spans="1:21" ht="15" hidden="1" customHeight="1" x14ac:dyDescent="0.3">
      <c r="A179" s="7" t="s">
        <v>524</v>
      </c>
      <c r="B179" s="47" t="str">
        <f t="shared" si="10"/>
        <v>INSTRUMENT_POCI</v>
      </c>
      <c r="C179" s="8" t="s">
        <v>414</v>
      </c>
      <c r="D179" s="9" t="s">
        <v>525</v>
      </c>
      <c r="E179" s="11" t="s">
        <v>526</v>
      </c>
      <c r="F179" s="10" t="s">
        <v>13</v>
      </c>
      <c r="G179" s="10" t="s">
        <v>11</v>
      </c>
      <c r="H179" s="10" t="s">
        <v>11</v>
      </c>
      <c r="I179" s="10" t="s">
        <v>11</v>
      </c>
      <c r="J179" s="10" t="s">
        <v>11</v>
      </c>
      <c r="L179" s="6" t="str">
        <f>IFERROR(VLOOKUP($B179,'Lista - Âmbito Projeto GD'!$B$3:$F$71,5,0),"Campo eliminado")</f>
        <v>Campo eliminado</v>
      </c>
      <c r="M179" s="6" t="str">
        <f t="shared" si="11"/>
        <v>Campo eliminado</v>
      </c>
      <c r="N179" s="6" t="str">
        <f>IFERROR(VLOOKUP($B179,'Lista - Âmbito Projeto GD'!$B$3:$K$71,6,0),"Campo eliminado")</f>
        <v>Campo eliminado</v>
      </c>
      <c r="O179" s="6" t="str">
        <f t="shared" si="12"/>
        <v>Campo eliminado</v>
      </c>
      <c r="P179" s="6" t="str">
        <f>IFERROR(VLOOKUP($B179,'Lista - Âmbito Projeto GD'!$B$3:$K$71,7,0),"Campo eliminado")</f>
        <v>Campo eliminado</v>
      </c>
      <c r="Q179" s="6" t="str">
        <f t="shared" si="13"/>
        <v>Campo eliminado</v>
      </c>
      <c r="R179" s="6" t="str">
        <f>IFERROR(VLOOKUP($B179,'Lista - Âmbito Projeto GD'!$B$3:$K$71,9,0),"Campo eliminado")</f>
        <v>Campo eliminado</v>
      </c>
      <c r="S179" s="6" t="str">
        <f t="shared" si="14"/>
        <v>Campo eliminado</v>
      </c>
      <c r="U179" s="6" t="str">
        <f>VLOOKUP(B179,DataLake!$A$4:$A$429,1,0)</f>
        <v>INSTRUMENT_POCI</v>
      </c>
    </row>
    <row r="180" spans="1:21" ht="15" hidden="1" customHeight="1" x14ac:dyDescent="0.3">
      <c r="A180" s="7" t="s">
        <v>527</v>
      </c>
      <c r="B180" s="47" t="str">
        <f t="shared" si="10"/>
        <v>INSTRUMENT_PRFRMNG_STTS</v>
      </c>
      <c r="C180" s="8" t="s">
        <v>414</v>
      </c>
      <c r="D180" s="9" t="s">
        <v>528</v>
      </c>
      <c r="E180" s="11" t="s">
        <v>141</v>
      </c>
      <c r="F180" s="10" t="s">
        <v>13</v>
      </c>
      <c r="G180" s="10" t="s">
        <v>13</v>
      </c>
      <c r="H180" s="10" t="s">
        <v>13</v>
      </c>
      <c r="I180" s="10" t="s">
        <v>11</v>
      </c>
      <c r="J180" s="10" t="s">
        <v>11</v>
      </c>
      <c r="L180" s="6" t="str">
        <f>IFERROR(VLOOKUP($B180,'Lista - Âmbito Projeto GD'!$B$3:$F$71,5,0),"Campo eliminado")</f>
        <v>Y</v>
      </c>
      <c r="M180" s="6" t="str">
        <f t="shared" si="11"/>
        <v>Igual</v>
      </c>
      <c r="N180" s="6" t="str">
        <f>IFERROR(VLOOKUP($B180,'Lista - Âmbito Projeto GD'!$B$3:$K$71,6,0),"Campo eliminado")</f>
        <v>Y</v>
      </c>
      <c r="O180" s="6" t="str">
        <f t="shared" si="12"/>
        <v>Igual</v>
      </c>
      <c r="P180" s="6" t="str">
        <f>IFERROR(VLOOKUP($B180,'Lista - Âmbito Projeto GD'!$B$3:$K$71,7,0),"Campo eliminado")</f>
        <v>Y</v>
      </c>
      <c r="Q180" s="6" t="str">
        <f t="shared" si="13"/>
        <v>Igual</v>
      </c>
      <c r="R180" s="6" t="str">
        <f>IFERROR(VLOOKUP($B180,'Lista - Âmbito Projeto GD'!$B$3:$K$71,9,0),"Campo eliminado")</f>
        <v>N</v>
      </c>
      <c r="S180" s="6" t="str">
        <f t="shared" si="14"/>
        <v>Igual</v>
      </c>
      <c r="U180" s="6" t="str">
        <f>VLOOKUP(B180,DataLake!$A$4:$A$429,1,0)</f>
        <v>INSTRUMENT_PRFRMNG_STTS</v>
      </c>
    </row>
    <row r="181" spans="1:21" ht="15" hidden="1" customHeight="1" x14ac:dyDescent="0.3">
      <c r="A181" s="7" t="s">
        <v>529</v>
      </c>
      <c r="B181" s="47" t="str">
        <f t="shared" si="10"/>
        <v>INSTRUMENT_PRFRMNG_STTS_PRVS</v>
      </c>
      <c r="C181" s="8" t="s">
        <v>414</v>
      </c>
      <c r="D181" s="9" t="s">
        <v>530</v>
      </c>
      <c r="E181" s="11" t="s">
        <v>531</v>
      </c>
      <c r="F181" s="10" t="s">
        <v>13</v>
      </c>
      <c r="G181" s="10" t="s">
        <v>11</v>
      </c>
      <c r="H181" s="10" t="s">
        <v>11</v>
      </c>
      <c r="I181" s="10" t="s">
        <v>11</v>
      </c>
      <c r="J181" s="10" t="s">
        <v>11</v>
      </c>
      <c r="L181" s="6" t="str">
        <f>IFERROR(VLOOKUP($B181,'Lista - Âmbito Projeto GD'!$B$3:$F$71,5,0),"Campo eliminado")</f>
        <v>Campo eliminado</v>
      </c>
      <c r="M181" s="6" t="str">
        <f t="shared" si="11"/>
        <v>Campo eliminado</v>
      </c>
      <c r="N181" s="6" t="str">
        <f>IFERROR(VLOOKUP($B181,'Lista - Âmbito Projeto GD'!$B$3:$K$71,6,0),"Campo eliminado")</f>
        <v>Campo eliminado</v>
      </c>
      <c r="O181" s="6" t="str">
        <f t="shared" si="12"/>
        <v>Campo eliminado</v>
      </c>
      <c r="P181" s="6" t="str">
        <f>IFERROR(VLOOKUP($B181,'Lista - Âmbito Projeto GD'!$B$3:$K$71,7,0),"Campo eliminado")</f>
        <v>Campo eliminado</v>
      </c>
      <c r="Q181" s="6" t="str">
        <f t="shared" si="13"/>
        <v>Campo eliminado</v>
      </c>
      <c r="R181" s="6" t="str">
        <f>IFERROR(VLOOKUP($B181,'Lista - Âmbito Projeto GD'!$B$3:$K$71,9,0),"Campo eliminado")</f>
        <v>Campo eliminado</v>
      </c>
      <c r="S181" s="6" t="str">
        <f t="shared" si="14"/>
        <v>Campo eliminado</v>
      </c>
      <c r="U181" s="6" t="str">
        <f>VLOOKUP(B181,DataLake!$A$4:$A$429,1,0)</f>
        <v>INSTRUMENT_PRFRMNG_STTS_PRVS</v>
      </c>
    </row>
    <row r="182" spans="1:21" ht="15" hidden="1" customHeight="1" x14ac:dyDescent="0.3">
      <c r="A182" s="7" t="s">
        <v>532</v>
      </c>
      <c r="B182" s="47" t="str">
        <f t="shared" si="10"/>
        <v>INSTRUMENT_PRJCT_FNNC_LN</v>
      </c>
      <c r="C182" s="8" t="s">
        <v>414</v>
      </c>
      <c r="D182" s="9" t="s">
        <v>533</v>
      </c>
      <c r="E182" s="11" t="s">
        <v>534</v>
      </c>
      <c r="F182" s="10" t="s">
        <v>13</v>
      </c>
      <c r="G182" s="10" t="s">
        <v>11</v>
      </c>
      <c r="H182" s="10" t="s">
        <v>13</v>
      </c>
      <c r="I182" s="10" t="s">
        <v>11</v>
      </c>
      <c r="J182" s="10" t="s">
        <v>11</v>
      </c>
      <c r="L182" s="6" t="str">
        <f>IFERROR(VLOOKUP($B182,'Lista - Âmbito Projeto GD'!$B$3:$F$71,5,0),"Campo eliminado")</f>
        <v>Campo eliminado</v>
      </c>
      <c r="M182" s="6" t="str">
        <f t="shared" si="11"/>
        <v>Campo eliminado</v>
      </c>
      <c r="N182" s="6" t="str">
        <f>IFERROR(VLOOKUP($B182,'Lista - Âmbito Projeto GD'!$B$3:$K$71,6,0),"Campo eliminado")</f>
        <v>Campo eliminado</v>
      </c>
      <c r="O182" s="6" t="str">
        <f t="shared" si="12"/>
        <v>Campo eliminado</v>
      </c>
      <c r="P182" s="6" t="str">
        <f>IFERROR(VLOOKUP($B182,'Lista - Âmbito Projeto GD'!$B$3:$K$71,7,0),"Campo eliminado")</f>
        <v>Campo eliminado</v>
      </c>
      <c r="Q182" s="6" t="str">
        <f t="shared" si="13"/>
        <v>Campo eliminado</v>
      </c>
      <c r="R182" s="6" t="str">
        <f>IFERROR(VLOOKUP($B182,'Lista - Âmbito Projeto GD'!$B$3:$K$71,9,0),"Campo eliminado")</f>
        <v>Campo eliminado</v>
      </c>
      <c r="S182" s="6" t="str">
        <f t="shared" si="14"/>
        <v>Campo eliminado</v>
      </c>
      <c r="U182" s="6" t="str">
        <f>VLOOKUP(B182,DataLake!$A$4:$A$429,1,0)</f>
        <v>INSTRUMENT_PRJCT_FNNC_LN</v>
      </c>
    </row>
    <row r="183" spans="1:21" ht="15" hidden="1" customHeight="1" x14ac:dyDescent="0.3">
      <c r="A183" s="7" t="s">
        <v>535</v>
      </c>
      <c r="B183" s="47" t="str">
        <f t="shared" si="10"/>
        <v>INSTRUMENT_PRPS</v>
      </c>
      <c r="C183" s="8" t="s">
        <v>414</v>
      </c>
      <c r="D183" s="9" t="s">
        <v>536</v>
      </c>
      <c r="E183" s="11" t="s">
        <v>537</v>
      </c>
      <c r="F183" s="10" t="s">
        <v>13</v>
      </c>
      <c r="G183" s="10" t="s">
        <v>11</v>
      </c>
      <c r="H183" s="10" t="s">
        <v>11</v>
      </c>
      <c r="I183" s="10" t="s">
        <v>11</v>
      </c>
      <c r="J183" s="10" t="s">
        <v>11</v>
      </c>
      <c r="L183" s="6" t="str">
        <f>IFERROR(VLOOKUP($B183,'Lista - Âmbito Projeto GD'!$B$3:$F$71,5,0),"Campo eliminado")</f>
        <v>Campo eliminado</v>
      </c>
      <c r="M183" s="6" t="str">
        <f t="shared" si="11"/>
        <v>Campo eliminado</v>
      </c>
      <c r="N183" s="6" t="str">
        <f>IFERROR(VLOOKUP($B183,'Lista - Âmbito Projeto GD'!$B$3:$K$71,6,0),"Campo eliminado")</f>
        <v>Campo eliminado</v>
      </c>
      <c r="O183" s="6" t="str">
        <f t="shared" si="12"/>
        <v>Campo eliminado</v>
      </c>
      <c r="P183" s="6" t="str">
        <f>IFERROR(VLOOKUP($B183,'Lista - Âmbito Projeto GD'!$B$3:$K$71,7,0),"Campo eliminado")</f>
        <v>Campo eliminado</v>
      </c>
      <c r="Q183" s="6" t="str">
        <f t="shared" si="13"/>
        <v>Campo eliminado</v>
      </c>
      <c r="R183" s="6" t="str">
        <f>IFERROR(VLOOKUP($B183,'Lista - Âmbito Projeto GD'!$B$3:$K$71,9,0),"Campo eliminado")</f>
        <v>Campo eliminado</v>
      </c>
      <c r="S183" s="6" t="str">
        <f t="shared" si="14"/>
        <v>Campo eliminado</v>
      </c>
      <c r="U183" s="6" t="str">
        <f>VLOOKUP(B183,DataLake!$A$4:$A$429,1,0)</f>
        <v>INSTRUMENT_PRPS</v>
      </c>
    </row>
    <row r="184" spans="1:21" ht="15" hidden="1" customHeight="1" x14ac:dyDescent="0.3">
      <c r="A184" s="7" t="s">
        <v>538</v>
      </c>
      <c r="B184" s="47" t="str">
        <f t="shared" si="10"/>
        <v>INSTRUMENT_PYMNT_INTRST_ONLY</v>
      </c>
      <c r="C184" s="8" t="s">
        <v>414</v>
      </c>
      <c r="D184" s="9" t="s">
        <v>539</v>
      </c>
      <c r="E184" s="11" t="s">
        <v>540</v>
      </c>
      <c r="F184" s="10" t="s">
        <v>13</v>
      </c>
      <c r="G184" s="10" t="s">
        <v>11</v>
      </c>
      <c r="H184" s="10" t="s">
        <v>11</v>
      </c>
      <c r="I184" s="10" t="s">
        <v>11</v>
      </c>
      <c r="J184" s="10" t="s">
        <v>11</v>
      </c>
      <c r="L184" s="6" t="str">
        <f>IFERROR(VLOOKUP($B184,'Lista - Âmbito Projeto GD'!$B$3:$F$71,5,0),"Campo eliminado")</f>
        <v>Campo eliminado</v>
      </c>
      <c r="M184" s="6" t="str">
        <f t="shared" si="11"/>
        <v>Campo eliminado</v>
      </c>
      <c r="N184" s="6" t="str">
        <f>IFERROR(VLOOKUP($B184,'Lista - Âmbito Projeto GD'!$B$3:$K$71,6,0),"Campo eliminado")</f>
        <v>Campo eliminado</v>
      </c>
      <c r="O184" s="6" t="str">
        <f t="shared" si="12"/>
        <v>Campo eliminado</v>
      </c>
      <c r="P184" s="6" t="str">
        <f>IFERROR(VLOOKUP($B184,'Lista - Âmbito Projeto GD'!$B$3:$K$71,7,0),"Campo eliminado")</f>
        <v>Campo eliminado</v>
      </c>
      <c r="Q184" s="6" t="str">
        <f t="shared" si="13"/>
        <v>Campo eliminado</v>
      </c>
      <c r="R184" s="6" t="str">
        <f>IFERROR(VLOOKUP($B184,'Lista - Âmbito Projeto GD'!$B$3:$K$71,9,0),"Campo eliminado")</f>
        <v>Campo eliminado</v>
      </c>
      <c r="S184" s="6" t="str">
        <f t="shared" si="14"/>
        <v>Campo eliminado</v>
      </c>
      <c r="U184" s="6" t="str">
        <f>VLOOKUP(B184,DataLake!$A$4:$A$429,1,0)</f>
        <v>INSTRUMENT_PYMNT_INTRST_ONLY</v>
      </c>
    </row>
    <row r="185" spans="1:21" ht="15" hidden="1" customHeight="1" x14ac:dyDescent="0.3">
      <c r="A185" s="7" t="s">
        <v>541</v>
      </c>
      <c r="B185" s="47" t="str">
        <f t="shared" si="10"/>
        <v>INSTRUMENT_RCRS</v>
      </c>
      <c r="C185" s="8" t="s">
        <v>414</v>
      </c>
      <c r="D185" s="9" t="s">
        <v>542</v>
      </c>
      <c r="E185" s="11" t="s">
        <v>543</v>
      </c>
      <c r="F185" s="10" t="s">
        <v>13</v>
      </c>
      <c r="G185" s="10" t="s">
        <v>11</v>
      </c>
      <c r="H185" s="10" t="s">
        <v>11</v>
      </c>
      <c r="I185" s="10" t="s">
        <v>11</v>
      </c>
      <c r="J185" s="10" t="s">
        <v>11</v>
      </c>
      <c r="L185" s="6" t="str">
        <f>IFERROR(VLOOKUP($B185,'Lista - Âmbito Projeto GD'!$B$3:$F$71,5,0),"Campo eliminado")</f>
        <v>Campo eliminado</v>
      </c>
      <c r="M185" s="6" t="str">
        <f t="shared" si="11"/>
        <v>Campo eliminado</v>
      </c>
      <c r="N185" s="6" t="str">
        <f>IFERROR(VLOOKUP($B185,'Lista - Âmbito Projeto GD'!$B$3:$K$71,6,0),"Campo eliminado")</f>
        <v>Campo eliminado</v>
      </c>
      <c r="O185" s="6" t="str">
        <f t="shared" si="12"/>
        <v>Campo eliminado</v>
      </c>
      <c r="P185" s="6" t="str">
        <f>IFERROR(VLOOKUP($B185,'Lista - Âmbito Projeto GD'!$B$3:$K$71,7,0),"Campo eliminado")</f>
        <v>Campo eliminado</v>
      </c>
      <c r="Q185" s="6" t="str">
        <f t="shared" si="13"/>
        <v>Campo eliminado</v>
      </c>
      <c r="R185" s="6" t="str">
        <f>IFERROR(VLOOKUP($B185,'Lista - Âmbito Projeto GD'!$B$3:$K$71,9,0),"Campo eliminado")</f>
        <v>Campo eliminado</v>
      </c>
      <c r="S185" s="6" t="str">
        <f t="shared" si="14"/>
        <v>Campo eliminado</v>
      </c>
      <c r="U185" s="6" t="str">
        <f>VLOOKUP(B185,DataLake!$A$4:$A$429,1,0)</f>
        <v>INSTRUMENT_RCRS</v>
      </c>
    </row>
    <row r="186" spans="1:21" ht="15" hidden="1" customHeight="1" x14ac:dyDescent="0.3">
      <c r="A186" s="7" t="s">
        <v>544</v>
      </c>
      <c r="B186" s="47" t="str">
        <f t="shared" si="10"/>
        <v>INSTRUMENT_RFNNC_PRPS</v>
      </c>
      <c r="C186" s="8" t="s">
        <v>414</v>
      </c>
      <c r="D186" s="9" t="s">
        <v>545</v>
      </c>
      <c r="E186" s="11" t="s">
        <v>546</v>
      </c>
      <c r="F186" s="10" t="s">
        <v>13</v>
      </c>
      <c r="G186" s="10" t="s">
        <v>11</v>
      </c>
      <c r="H186" s="10" t="s">
        <v>11</v>
      </c>
      <c r="I186" s="10" t="s">
        <v>11</v>
      </c>
      <c r="J186" s="10" t="s">
        <v>11</v>
      </c>
      <c r="L186" s="6" t="str">
        <f>IFERROR(VLOOKUP($B186,'Lista - Âmbito Projeto GD'!$B$3:$F$71,5,0),"Campo eliminado")</f>
        <v>Campo eliminado</v>
      </c>
      <c r="M186" s="6" t="str">
        <f t="shared" si="11"/>
        <v>Campo eliminado</v>
      </c>
      <c r="N186" s="6" t="str">
        <f>IFERROR(VLOOKUP($B186,'Lista - Âmbito Projeto GD'!$B$3:$K$71,6,0),"Campo eliminado")</f>
        <v>Campo eliminado</v>
      </c>
      <c r="O186" s="6" t="str">
        <f t="shared" si="12"/>
        <v>Campo eliminado</v>
      </c>
      <c r="P186" s="6" t="str">
        <f>IFERROR(VLOOKUP($B186,'Lista - Âmbito Projeto GD'!$B$3:$K$71,7,0),"Campo eliminado")</f>
        <v>Campo eliminado</v>
      </c>
      <c r="Q186" s="6" t="str">
        <f t="shared" si="13"/>
        <v>Campo eliminado</v>
      </c>
      <c r="R186" s="6" t="str">
        <f>IFERROR(VLOOKUP($B186,'Lista - Âmbito Projeto GD'!$B$3:$K$71,9,0),"Campo eliminado")</f>
        <v>Campo eliminado</v>
      </c>
      <c r="S186" s="6" t="str">
        <f t="shared" si="14"/>
        <v>Campo eliminado</v>
      </c>
      <c r="U186" s="6" t="str">
        <f>VLOOKUP(B186,DataLake!$A$4:$A$429,1,0)</f>
        <v>INSTRUMENT_RFNNC_PRPS</v>
      </c>
    </row>
    <row r="187" spans="1:21" ht="15" hidden="1" customHeight="1" x14ac:dyDescent="0.3">
      <c r="A187" s="7" t="s">
        <v>547</v>
      </c>
      <c r="B187" s="47" t="str">
        <f t="shared" si="10"/>
        <v>INSTRUMENT_SPCLTV_LNDNG</v>
      </c>
      <c r="C187" s="8" t="s">
        <v>414</v>
      </c>
      <c r="D187" s="9" t="s">
        <v>548</v>
      </c>
      <c r="E187" s="11" t="s">
        <v>549</v>
      </c>
      <c r="F187" s="10" t="s">
        <v>13</v>
      </c>
      <c r="G187" s="10" t="s">
        <v>11</v>
      </c>
      <c r="H187" s="10" t="s">
        <v>11</v>
      </c>
      <c r="I187" s="10" t="s">
        <v>11</v>
      </c>
      <c r="J187" s="10" t="s">
        <v>11</v>
      </c>
      <c r="L187" s="6" t="str">
        <f>IFERROR(VLOOKUP($B187,'Lista - Âmbito Projeto GD'!$B$3:$F$71,5,0),"Campo eliminado")</f>
        <v>Campo eliminado</v>
      </c>
      <c r="M187" s="6" t="str">
        <f t="shared" si="11"/>
        <v>Campo eliminado</v>
      </c>
      <c r="N187" s="6" t="str">
        <f>IFERROR(VLOOKUP($B187,'Lista - Âmbito Projeto GD'!$B$3:$K$71,6,0),"Campo eliminado")</f>
        <v>Campo eliminado</v>
      </c>
      <c r="O187" s="6" t="str">
        <f t="shared" si="12"/>
        <v>Campo eliminado</v>
      </c>
      <c r="P187" s="6" t="str">
        <f>IFERROR(VLOOKUP($B187,'Lista - Âmbito Projeto GD'!$B$3:$K$71,7,0),"Campo eliminado")</f>
        <v>Campo eliminado</v>
      </c>
      <c r="Q187" s="6" t="str">
        <f t="shared" si="13"/>
        <v>Campo eliminado</v>
      </c>
      <c r="R187" s="6" t="str">
        <f>IFERROR(VLOOKUP($B187,'Lista - Âmbito Projeto GD'!$B$3:$K$71,9,0),"Campo eliminado")</f>
        <v>Campo eliminado</v>
      </c>
      <c r="S187" s="6" t="str">
        <f t="shared" si="14"/>
        <v>Campo eliminado</v>
      </c>
      <c r="U187" s="6" t="str">
        <f>VLOOKUP(B187,DataLake!$A$4:$A$429,1,0)</f>
        <v>INSTRUMENT_SPCLTV_LNDNG</v>
      </c>
    </row>
    <row r="188" spans="1:21" ht="15" hidden="1" customHeight="1" x14ac:dyDescent="0.3">
      <c r="A188" s="7" t="s">
        <v>550</v>
      </c>
      <c r="B188" s="47" t="str">
        <f t="shared" si="10"/>
        <v>INSTRUMENT_STTS_UNDRWRTTN_TRNSCTN</v>
      </c>
      <c r="C188" s="8" t="s">
        <v>414</v>
      </c>
      <c r="D188" s="9" t="s">
        <v>551</v>
      </c>
      <c r="E188" s="11" t="s">
        <v>552</v>
      </c>
      <c r="F188" s="10" t="s">
        <v>13</v>
      </c>
      <c r="G188" s="10" t="s">
        <v>11</v>
      </c>
      <c r="H188" s="10" t="s">
        <v>11</v>
      </c>
      <c r="I188" s="10" t="s">
        <v>11</v>
      </c>
      <c r="J188" s="10" t="s">
        <v>11</v>
      </c>
      <c r="L188" s="6" t="str">
        <f>IFERROR(VLOOKUP($B188,'Lista - Âmbito Projeto GD'!$B$3:$F$71,5,0),"Campo eliminado")</f>
        <v>Campo eliminado</v>
      </c>
      <c r="M188" s="6" t="str">
        <f t="shared" si="11"/>
        <v>Campo eliminado</v>
      </c>
      <c r="N188" s="6" t="str">
        <f>IFERROR(VLOOKUP($B188,'Lista - Âmbito Projeto GD'!$B$3:$K$71,6,0),"Campo eliminado")</f>
        <v>Campo eliminado</v>
      </c>
      <c r="O188" s="6" t="str">
        <f t="shared" si="12"/>
        <v>Campo eliminado</v>
      </c>
      <c r="P188" s="6" t="str">
        <f>IFERROR(VLOOKUP($B188,'Lista - Âmbito Projeto GD'!$B$3:$K$71,7,0),"Campo eliminado")</f>
        <v>Campo eliminado</v>
      </c>
      <c r="Q188" s="6" t="str">
        <f t="shared" si="13"/>
        <v>Campo eliminado</v>
      </c>
      <c r="R188" s="6" t="str">
        <f>IFERROR(VLOOKUP($B188,'Lista - Âmbito Projeto GD'!$B$3:$K$71,9,0),"Campo eliminado")</f>
        <v>Campo eliminado</v>
      </c>
      <c r="S188" s="6" t="str">
        <f t="shared" si="14"/>
        <v>Campo eliminado</v>
      </c>
      <c r="U188" s="6" t="str">
        <f>VLOOKUP(B188,DataLake!$A$4:$A$429,1,0)</f>
        <v>INSTRUMENT_STTS_UNDRWRTTN_TRNSCTN</v>
      </c>
    </row>
    <row r="189" spans="1:21" ht="15" hidden="1" customHeight="1" x14ac:dyDescent="0.3">
      <c r="A189" s="7" t="s">
        <v>553</v>
      </c>
      <c r="B189" s="47" t="str">
        <f t="shared" si="10"/>
        <v>INSTRUMENT_TRNCH</v>
      </c>
      <c r="C189" s="8" t="s">
        <v>414</v>
      </c>
      <c r="D189" s="9" t="s">
        <v>554</v>
      </c>
      <c r="E189" s="11" t="s">
        <v>555</v>
      </c>
      <c r="F189" s="10" t="s">
        <v>13</v>
      </c>
      <c r="G189" s="10" t="s">
        <v>11</v>
      </c>
      <c r="H189" s="10" t="s">
        <v>11</v>
      </c>
      <c r="I189" s="10" t="s">
        <v>11</v>
      </c>
      <c r="J189" s="10" t="s">
        <v>11</v>
      </c>
      <c r="L189" s="6" t="str">
        <f>IFERROR(VLOOKUP($B189,'Lista - Âmbito Projeto GD'!$B$3:$F$71,5,0),"Campo eliminado")</f>
        <v>Campo eliminado</v>
      </c>
      <c r="M189" s="6" t="str">
        <f t="shared" si="11"/>
        <v>Campo eliminado</v>
      </c>
      <c r="N189" s="6" t="str">
        <f>IFERROR(VLOOKUP($B189,'Lista - Âmbito Projeto GD'!$B$3:$K$71,6,0),"Campo eliminado")</f>
        <v>Campo eliminado</v>
      </c>
      <c r="O189" s="6" t="str">
        <f t="shared" si="12"/>
        <v>Campo eliminado</v>
      </c>
      <c r="P189" s="6" t="str">
        <f>IFERROR(VLOOKUP($B189,'Lista - Âmbito Projeto GD'!$B$3:$K$71,7,0),"Campo eliminado")</f>
        <v>Campo eliminado</v>
      </c>
      <c r="Q189" s="6" t="str">
        <f t="shared" si="13"/>
        <v>Campo eliminado</v>
      </c>
      <c r="R189" s="6" t="str">
        <f>IFERROR(VLOOKUP($B189,'Lista - Âmbito Projeto GD'!$B$3:$K$71,9,0),"Campo eliminado")</f>
        <v>Campo eliminado</v>
      </c>
      <c r="S189" s="6" t="str">
        <f t="shared" si="14"/>
        <v>Campo eliminado</v>
      </c>
      <c r="U189" s="6" t="str">
        <f>VLOOKUP(B189,DataLake!$A$4:$A$429,1,0)</f>
        <v>INSTRUMENT_TRNCH</v>
      </c>
    </row>
    <row r="190" spans="1:21" s="20" customFormat="1" ht="15" hidden="1" customHeight="1" x14ac:dyDescent="0.3">
      <c r="A190" s="7" t="s">
        <v>556</v>
      </c>
      <c r="B190" s="47" t="str">
        <f t="shared" si="10"/>
        <v>INSTRUMENT_TYP_AMRTSTN</v>
      </c>
      <c r="C190" s="8" t="s">
        <v>414</v>
      </c>
      <c r="D190" s="9" t="s">
        <v>557</v>
      </c>
      <c r="E190" s="11" t="s">
        <v>558</v>
      </c>
      <c r="F190" s="10" t="s">
        <v>13</v>
      </c>
      <c r="G190" s="10" t="s">
        <v>11</v>
      </c>
      <c r="H190" s="10" t="s">
        <v>11</v>
      </c>
      <c r="I190" s="10" t="s">
        <v>11</v>
      </c>
      <c r="J190" s="10" t="s">
        <v>11</v>
      </c>
      <c r="L190" s="6" t="str">
        <f>IFERROR(VLOOKUP($B190,'Lista - Âmbito Projeto GD'!$B$3:$F$71,5,0),"Campo eliminado")</f>
        <v>Campo eliminado</v>
      </c>
      <c r="M190" s="6" t="str">
        <f t="shared" si="11"/>
        <v>Campo eliminado</v>
      </c>
      <c r="N190" s="6" t="str">
        <f>IFERROR(VLOOKUP($B190,'Lista - Âmbito Projeto GD'!$B$3:$K$71,6,0),"Campo eliminado")</f>
        <v>Campo eliminado</v>
      </c>
      <c r="O190" s="6" t="str">
        <f t="shared" si="12"/>
        <v>Campo eliminado</v>
      </c>
      <c r="P190" s="6" t="str">
        <f>IFERROR(VLOOKUP($B190,'Lista - Âmbito Projeto GD'!$B$3:$K$71,7,0),"Campo eliminado")</f>
        <v>Campo eliminado</v>
      </c>
      <c r="Q190" s="6" t="str">
        <f t="shared" si="13"/>
        <v>Campo eliminado</v>
      </c>
      <c r="R190" s="6" t="str">
        <f>IFERROR(VLOOKUP($B190,'Lista - Âmbito Projeto GD'!$B$3:$K$71,9,0),"Campo eliminado")</f>
        <v>Campo eliminado</v>
      </c>
      <c r="S190" s="6" t="str">
        <f t="shared" si="14"/>
        <v>Campo eliminado</v>
      </c>
      <c r="U190" s="6" t="str">
        <f>VLOOKUP(B190,DataLake!$A$4:$A$429,1,0)</f>
        <v>INSTRUMENT_TYP_AMRTSTN</v>
      </c>
    </row>
    <row r="191" spans="1:21" ht="15" hidden="1" customHeight="1" x14ac:dyDescent="0.3">
      <c r="A191" s="21" t="s">
        <v>559</v>
      </c>
      <c r="B191" s="47" t="str">
        <f t="shared" si="10"/>
        <v>INSTRUMENT_TYP_INSTRMNT</v>
      </c>
      <c r="C191" s="8" t="s">
        <v>414</v>
      </c>
      <c r="D191" s="22" t="s">
        <v>560</v>
      </c>
      <c r="E191" s="23" t="s">
        <v>561</v>
      </c>
      <c r="F191" s="10" t="s">
        <v>13</v>
      </c>
      <c r="G191" s="10" t="s">
        <v>13</v>
      </c>
      <c r="H191" s="10" t="s">
        <v>13</v>
      </c>
      <c r="I191" s="10" t="s">
        <v>11</v>
      </c>
      <c r="J191" s="10" t="s">
        <v>11</v>
      </c>
      <c r="L191" s="6" t="str">
        <f>IFERROR(VLOOKUP($B191,'Lista - Âmbito Projeto GD'!$B$3:$F$71,5,0),"Campo eliminado")</f>
        <v>Y</v>
      </c>
      <c r="M191" s="6" t="str">
        <f t="shared" si="11"/>
        <v>Igual</v>
      </c>
      <c r="N191" s="6" t="str">
        <f>IFERROR(VLOOKUP($B191,'Lista - Âmbito Projeto GD'!$B$3:$K$71,6,0),"Campo eliminado")</f>
        <v>Y</v>
      </c>
      <c r="O191" s="6" t="str">
        <f t="shared" si="12"/>
        <v>Igual</v>
      </c>
      <c r="P191" s="6" t="str">
        <f>IFERROR(VLOOKUP($B191,'Lista - Âmbito Projeto GD'!$B$3:$K$71,7,0),"Campo eliminado")</f>
        <v>Y</v>
      </c>
      <c r="Q191" s="6" t="str">
        <f t="shared" si="13"/>
        <v>Igual</v>
      </c>
      <c r="R191" s="6" t="str">
        <f>IFERROR(VLOOKUP($B191,'Lista - Âmbito Projeto GD'!$B$3:$K$71,9,0),"Campo eliminado")</f>
        <v>N</v>
      </c>
      <c r="S191" s="6" t="str">
        <f t="shared" si="14"/>
        <v>Igual</v>
      </c>
      <c r="U191" s="6" t="str">
        <f>VLOOKUP(B191,DataLake!$A$4:$A$429,1,0)</f>
        <v>INSTRUMENT_TYP_INSTRMNT</v>
      </c>
    </row>
    <row r="192" spans="1:21" ht="15" hidden="1" customHeight="1" x14ac:dyDescent="0.3">
      <c r="A192" s="7" t="s">
        <v>562</v>
      </c>
      <c r="B192" s="47" t="str">
        <f t="shared" si="10"/>
        <v>INSTRUMENT_TYP_INTRST_RT</v>
      </c>
      <c r="C192" s="8" t="s">
        <v>414</v>
      </c>
      <c r="D192" s="9" t="s">
        <v>563</v>
      </c>
      <c r="E192" s="11" t="s">
        <v>564</v>
      </c>
      <c r="F192" s="10" t="s">
        <v>13</v>
      </c>
      <c r="G192" s="10" t="s">
        <v>11</v>
      </c>
      <c r="H192" s="10" t="s">
        <v>11</v>
      </c>
      <c r="I192" s="10" t="s">
        <v>11</v>
      </c>
      <c r="J192" s="10" t="s">
        <v>11</v>
      </c>
      <c r="L192" s="6" t="str">
        <f>IFERROR(VLOOKUP($B192,'Lista - Âmbito Projeto GD'!$B$3:$F$71,5,0),"Campo eliminado")</f>
        <v>Campo eliminado</v>
      </c>
      <c r="M192" s="6" t="str">
        <f t="shared" si="11"/>
        <v>Campo eliminado</v>
      </c>
      <c r="N192" s="6" t="str">
        <f>IFERROR(VLOOKUP($B192,'Lista - Âmbito Projeto GD'!$B$3:$K$71,6,0),"Campo eliminado")</f>
        <v>Campo eliminado</v>
      </c>
      <c r="O192" s="6" t="str">
        <f t="shared" si="12"/>
        <v>Campo eliminado</v>
      </c>
      <c r="P192" s="6" t="str">
        <f>IFERROR(VLOOKUP($B192,'Lista - Âmbito Projeto GD'!$B$3:$K$71,7,0),"Campo eliminado")</f>
        <v>Campo eliminado</v>
      </c>
      <c r="Q192" s="6" t="str">
        <f t="shared" si="13"/>
        <v>Campo eliminado</v>
      </c>
      <c r="R192" s="6" t="str">
        <f>IFERROR(VLOOKUP($B192,'Lista - Âmbito Projeto GD'!$B$3:$K$71,9,0),"Campo eliminado")</f>
        <v>Campo eliminado</v>
      </c>
      <c r="S192" s="6" t="str">
        <f t="shared" si="14"/>
        <v>Campo eliminado</v>
      </c>
      <c r="U192" s="6" t="str">
        <f>VLOOKUP(B192,DataLake!$A$4:$A$429,1,0)</f>
        <v>INSTRUMENT_TYP_INTRST_RT</v>
      </c>
    </row>
    <row r="193" spans="1:21" ht="15" hidden="1" customHeight="1" x14ac:dyDescent="0.3">
      <c r="A193" s="7" t="s">
        <v>565</v>
      </c>
      <c r="B193" s="47" t="str">
        <f t="shared" si="10"/>
        <v>INSTRUMENT_TYP_MRTGG</v>
      </c>
      <c r="C193" s="8" t="s">
        <v>414</v>
      </c>
      <c r="D193" s="9" t="s">
        <v>566</v>
      </c>
      <c r="E193" s="11" t="s">
        <v>567</v>
      </c>
      <c r="F193" s="10" t="s">
        <v>13</v>
      </c>
      <c r="G193" s="10" t="s">
        <v>11</v>
      </c>
      <c r="H193" s="10" t="s">
        <v>11</v>
      </c>
      <c r="I193" s="10" t="s">
        <v>11</v>
      </c>
      <c r="J193" s="10" t="s">
        <v>11</v>
      </c>
      <c r="L193" s="6" t="str">
        <f>IFERROR(VLOOKUP($B193,'Lista - Âmbito Projeto GD'!$B$3:$F$71,5,0),"Campo eliminado")</f>
        <v>Campo eliminado</v>
      </c>
      <c r="M193" s="6" t="str">
        <f t="shared" si="11"/>
        <v>Campo eliminado</v>
      </c>
      <c r="N193" s="6" t="str">
        <f>IFERROR(VLOOKUP($B193,'Lista - Âmbito Projeto GD'!$B$3:$K$71,6,0),"Campo eliminado")</f>
        <v>Campo eliminado</v>
      </c>
      <c r="O193" s="6" t="str">
        <f t="shared" si="12"/>
        <v>Campo eliminado</v>
      </c>
      <c r="P193" s="6" t="str">
        <f>IFERROR(VLOOKUP($B193,'Lista - Âmbito Projeto GD'!$B$3:$K$71,7,0),"Campo eliminado")</f>
        <v>Campo eliminado</v>
      </c>
      <c r="Q193" s="6" t="str">
        <f t="shared" si="13"/>
        <v>Campo eliminado</v>
      </c>
      <c r="R193" s="6" t="str">
        <f>IFERROR(VLOOKUP($B193,'Lista - Âmbito Projeto GD'!$B$3:$K$71,9,0),"Campo eliminado")</f>
        <v>Campo eliminado</v>
      </c>
      <c r="S193" s="6" t="str">
        <f t="shared" si="14"/>
        <v>Campo eliminado</v>
      </c>
      <c r="U193" s="6" t="str">
        <f>VLOOKUP(B193,DataLake!$A$4:$A$429,1,0)</f>
        <v>INSTRUMENT_TYP_MRTGG</v>
      </c>
    </row>
    <row r="194" spans="1:21" ht="15" hidden="1" customHeight="1" x14ac:dyDescent="0.3">
      <c r="A194" s="7" t="s">
        <v>568</v>
      </c>
      <c r="B194" s="47" t="str">
        <f t="shared" si="10"/>
        <v>INSTRUMENT_TYP_CRE_OPRTN</v>
      </c>
      <c r="C194" s="8" t="s">
        <v>414</v>
      </c>
      <c r="D194" s="9" t="s">
        <v>569</v>
      </c>
      <c r="E194" s="11" t="s">
        <v>570</v>
      </c>
      <c r="F194" s="10" t="s">
        <v>13</v>
      </c>
      <c r="G194" s="10" t="s">
        <v>11</v>
      </c>
      <c r="H194" s="10" t="s">
        <v>11</v>
      </c>
      <c r="I194" s="10" t="s">
        <v>11</v>
      </c>
      <c r="J194" s="10" t="s">
        <v>11</v>
      </c>
      <c r="L194" s="6" t="str">
        <f>IFERROR(VLOOKUP($B194,'Lista - Âmbito Projeto GD'!$B$3:$F$71,5,0),"Campo eliminado")</f>
        <v>Campo eliminado</v>
      </c>
      <c r="M194" s="6" t="str">
        <f t="shared" si="11"/>
        <v>Campo eliminado</v>
      </c>
      <c r="N194" s="6" t="str">
        <f>IFERROR(VLOOKUP($B194,'Lista - Âmbito Projeto GD'!$B$3:$K$71,6,0),"Campo eliminado")</f>
        <v>Campo eliminado</v>
      </c>
      <c r="O194" s="6" t="str">
        <f t="shared" si="12"/>
        <v>Campo eliminado</v>
      </c>
      <c r="P194" s="6" t="str">
        <f>IFERROR(VLOOKUP($B194,'Lista - Âmbito Projeto GD'!$B$3:$K$71,7,0),"Campo eliminado")</f>
        <v>Campo eliminado</v>
      </c>
      <c r="Q194" s="6" t="str">
        <f t="shared" si="13"/>
        <v>Campo eliminado</v>
      </c>
      <c r="R194" s="6" t="str">
        <f>IFERROR(VLOOKUP($B194,'Lista - Âmbito Projeto GD'!$B$3:$K$71,9,0),"Campo eliminado")</f>
        <v>Campo eliminado</v>
      </c>
      <c r="S194" s="6" t="str">
        <f t="shared" si="14"/>
        <v>Campo eliminado</v>
      </c>
      <c r="U194" s="6" t="str">
        <f>VLOOKUP(B194,DataLake!$A$4:$A$429,1,0)</f>
        <v>INSTRUMENT_TYP_CRE_OPRTN</v>
      </c>
    </row>
    <row r="195" spans="1:21" ht="15" hidden="1" customHeight="1" x14ac:dyDescent="0.3">
      <c r="A195" s="7" t="s">
        <v>571</v>
      </c>
      <c r="B195" s="47" t="str">
        <f t="shared" ref="B195:B258" si="15">C195&amp;"_"&amp;D195</f>
        <v>INSTRUMENT_DT_STRT_GP_PPAL</v>
      </c>
      <c r="C195" s="8" t="s">
        <v>414</v>
      </c>
      <c r="D195" s="9" t="s">
        <v>572</v>
      </c>
      <c r="E195" s="11" t="s">
        <v>573</v>
      </c>
      <c r="F195" s="10" t="s">
        <v>13</v>
      </c>
      <c r="G195" s="10" t="s">
        <v>11</v>
      </c>
      <c r="H195" s="10" t="s">
        <v>11</v>
      </c>
      <c r="I195" s="10" t="s">
        <v>11</v>
      </c>
      <c r="J195" s="10" t="s">
        <v>11</v>
      </c>
      <c r="L195" s="6" t="str">
        <f>IFERROR(VLOOKUP($B195,'Lista - Âmbito Projeto GD'!$B$3:$F$71,5,0),"Campo eliminado")</f>
        <v>Campo eliminado</v>
      </c>
      <c r="M195" s="6" t="str">
        <f t="shared" ref="M195:M258" si="16">IF(L195="Campo eliminado","Campo eliminado",IF(L195=F195,"Igual","Diferente"))</f>
        <v>Campo eliminado</v>
      </c>
      <c r="N195" s="6" t="str">
        <f>IFERROR(VLOOKUP($B195,'Lista - Âmbito Projeto GD'!$B$3:$K$71,6,0),"Campo eliminado")</f>
        <v>Campo eliminado</v>
      </c>
      <c r="O195" s="6" t="str">
        <f t="shared" ref="O195:O258" si="17">IF(N195="Campo eliminado","Campo eliminado",IF(N195=G195,"Igual","Diferente"))</f>
        <v>Campo eliminado</v>
      </c>
      <c r="P195" s="6" t="str">
        <f>IFERROR(VLOOKUP($B195,'Lista - Âmbito Projeto GD'!$B$3:$K$71,7,0),"Campo eliminado")</f>
        <v>Campo eliminado</v>
      </c>
      <c r="Q195" s="6" t="str">
        <f t="shared" ref="Q195:Q258" si="18">IF(P195="Campo eliminado","Campo eliminado",IF(P195=H195,"Igual","Diferente"))</f>
        <v>Campo eliminado</v>
      </c>
      <c r="R195" s="6" t="str">
        <f>IFERROR(VLOOKUP($B195,'Lista - Âmbito Projeto GD'!$B$3:$K$71,9,0),"Campo eliminado")</f>
        <v>Campo eliminado</v>
      </c>
      <c r="S195" s="6" t="str">
        <f t="shared" ref="S195:S258" si="19">IF(R195="Campo eliminado","Campo eliminado",IF(R195=I195,"Igual","Diferente"))</f>
        <v>Campo eliminado</v>
      </c>
      <c r="U195" s="6" t="str">
        <f>VLOOKUP(B195,DataLake!$A$4:$A$429,1,0)</f>
        <v>INSTRUMENT_DT_STRT_GP_PPAL</v>
      </c>
    </row>
    <row r="196" spans="1:21" ht="15" hidden="1" customHeight="1" x14ac:dyDescent="0.3">
      <c r="A196" s="7" t="s">
        <v>574</v>
      </c>
      <c r="B196" s="47" t="str">
        <f t="shared" si="15"/>
        <v>INSTRUMENT_GRSS_CRRYNG_AMNT_INSTRMNT</v>
      </c>
      <c r="C196" s="8" t="s">
        <v>414</v>
      </c>
      <c r="D196" s="9" t="s">
        <v>575</v>
      </c>
      <c r="E196" s="11" t="s">
        <v>576</v>
      </c>
      <c r="F196" s="10" t="s">
        <v>13</v>
      </c>
      <c r="G196" s="10" t="s">
        <v>13</v>
      </c>
      <c r="H196" s="10" t="s">
        <v>13</v>
      </c>
      <c r="I196" s="10" t="s">
        <v>13</v>
      </c>
      <c r="J196" s="10" t="s">
        <v>11</v>
      </c>
      <c r="L196" s="6" t="str">
        <f>IFERROR(VLOOKUP($B196,'Lista - Âmbito Projeto GD'!$B$3:$F$71,5,0),"Campo eliminado")</f>
        <v>Y</v>
      </c>
      <c r="M196" s="6" t="str">
        <f t="shared" si="16"/>
        <v>Igual</v>
      </c>
      <c r="N196" s="6" t="str">
        <f>IFERROR(VLOOKUP($B196,'Lista - Âmbito Projeto GD'!$B$3:$K$71,6,0),"Campo eliminado")</f>
        <v>Y</v>
      </c>
      <c r="O196" s="6" t="str">
        <f t="shared" si="17"/>
        <v>Igual</v>
      </c>
      <c r="P196" s="6" t="str">
        <f>IFERROR(VLOOKUP($B196,'Lista - Âmbito Projeto GD'!$B$3:$K$71,7,0),"Campo eliminado")</f>
        <v>Y</v>
      </c>
      <c r="Q196" s="6" t="str">
        <f t="shared" si="18"/>
        <v>Igual</v>
      </c>
      <c r="R196" s="6" t="str">
        <f>IFERROR(VLOOKUP($B196,'Lista - Âmbito Projeto GD'!$B$3:$K$71,9,0),"Campo eliminado")</f>
        <v>Y</v>
      </c>
      <c r="S196" s="6" t="str">
        <f t="shared" si="19"/>
        <v>Igual</v>
      </c>
      <c r="U196" s="6" t="str">
        <f>VLOOKUP(B196,DataLake!$A$4:$A$429,1,0)</f>
        <v>INSTRUMENT_GRSS_CRRYNG_AMNT_INSTRMNT</v>
      </c>
    </row>
    <row r="197" spans="1:21" s="20" customFormat="1" ht="15" hidden="1" customHeight="1" x14ac:dyDescent="0.3">
      <c r="A197" s="7" t="s">
        <v>577</v>
      </c>
      <c r="B197" s="47" t="str">
        <f t="shared" si="15"/>
        <v>INSTRUMENT_ACCMLTD_CHNGS_FV_CR_INSTRMNT</v>
      </c>
      <c r="C197" s="8" t="s">
        <v>414</v>
      </c>
      <c r="D197" s="9" t="s">
        <v>578</v>
      </c>
      <c r="E197" s="11" t="s">
        <v>579</v>
      </c>
      <c r="F197" s="10" t="s">
        <v>13</v>
      </c>
      <c r="G197" s="10" t="s">
        <v>13</v>
      </c>
      <c r="H197" s="10" t="s">
        <v>13</v>
      </c>
      <c r="I197" s="10" t="s">
        <v>11</v>
      </c>
      <c r="J197" s="10" t="s">
        <v>11</v>
      </c>
      <c r="L197" s="6" t="str">
        <f>IFERROR(VLOOKUP($B197,'Lista - Âmbito Projeto GD'!$B$3:$F$71,5,0),"Campo eliminado")</f>
        <v>Y</v>
      </c>
      <c r="M197" s="6" t="str">
        <f t="shared" si="16"/>
        <v>Igual</v>
      </c>
      <c r="N197" s="6" t="str">
        <f>IFERROR(VLOOKUP($B197,'Lista - Âmbito Projeto GD'!$B$3:$K$71,6,0),"Campo eliminado")</f>
        <v>Y</v>
      </c>
      <c r="O197" s="6" t="str">
        <f t="shared" si="17"/>
        <v>Igual</v>
      </c>
      <c r="P197" s="6" t="str">
        <f>IFERROR(VLOOKUP($B197,'Lista - Âmbito Projeto GD'!$B$3:$K$71,7,0),"Campo eliminado")</f>
        <v>Y</v>
      </c>
      <c r="Q197" s="6" t="str">
        <f t="shared" si="18"/>
        <v>Igual</v>
      </c>
      <c r="R197" s="6" t="str">
        <f>IFERROR(VLOOKUP($B197,'Lista - Âmbito Projeto GD'!$B$3:$K$71,9,0),"Campo eliminado")</f>
        <v>N</v>
      </c>
      <c r="S197" s="6" t="str">
        <f t="shared" si="19"/>
        <v>Igual</v>
      </c>
      <c r="U197" s="6" t="str">
        <f>VLOOKUP(B197,DataLake!$A$4:$A$429,1,0)</f>
        <v>INSTRUMENT_ACCMLTD_CHNGS_FV_CR_INSTRMNT</v>
      </c>
    </row>
    <row r="198" spans="1:21" ht="15" hidden="1" customHeight="1" x14ac:dyDescent="0.3">
      <c r="A198" s="21" t="s">
        <v>580</v>
      </c>
      <c r="B198" s="47" t="str">
        <f t="shared" si="15"/>
        <v>INSTRUMENT_ACCNTNG_CLSSFCTN</v>
      </c>
      <c r="C198" s="8" t="s">
        <v>414</v>
      </c>
      <c r="D198" s="22" t="s">
        <v>581</v>
      </c>
      <c r="E198" s="23" t="s">
        <v>582</v>
      </c>
      <c r="F198" s="10" t="s">
        <v>13</v>
      </c>
      <c r="G198" s="10" t="s">
        <v>13</v>
      </c>
      <c r="H198" s="10" t="s">
        <v>13</v>
      </c>
      <c r="I198" s="10" t="s">
        <v>11</v>
      </c>
      <c r="J198" s="10" t="s">
        <v>11</v>
      </c>
      <c r="L198" s="6" t="str">
        <f>IFERROR(VLOOKUP($B198,'Lista - Âmbito Projeto GD'!$B$3:$F$71,5,0),"Campo eliminado")</f>
        <v>Y</v>
      </c>
      <c r="M198" s="6" t="str">
        <f t="shared" si="16"/>
        <v>Igual</v>
      </c>
      <c r="N198" s="6" t="str">
        <f>IFERROR(VLOOKUP($B198,'Lista - Âmbito Projeto GD'!$B$3:$K$71,6,0),"Campo eliminado")</f>
        <v>Y</v>
      </c>
      <c r="O198" s="6" t="str">
        <f t="shared" si="17"/>
        <v>Igual</v>
      </c>
      <c r="P198" s="6" t="str">
        <f>IFERROR(VLOOKUP($B198,'Lista - Âmbito Projeto GD'!$B$3:$K$71,7,0),"Campo eliminado")</f>
        <v>Y</v>
      </c>
      <c r="Q198" s="6" t="str">
        <f t="shared" si="18"/>
        <v>Igual</v>
      </c>
      <c r="R198" s="6" t="str">
        <f>IFERROR(VLOOKUP($B198,'Lista - Âmbito Projeto GD'!$B$3:$K$71,9,0),"Campo eliminado")</f>
        <v>N</v>
      </c>
      <c r="S198" s="6" t="str">
        <f t="shared" si="19"/>
        <v>Igual</v>
      </c>
      <c r="U198" s="6" t="str">
        <f>VLOOKUP(B198,DataLake!$A$4:$A$429,1,0)</f>
        <v>INSTRUMENT_ACCNTNG_CLSSFCTN</v>
      </c>
    </row>
    <row r="199" spans="1:21" ht="15" hidden="1" customHeight="1" x14ac:dyDescent="0.3">
      <c r="A199" s="7" t="s">
        <v>583</v>
      </c>
      <c r="B199" s="47" t="str">
        <f t="shared" si="15"/>
        <v>INSTRUMENT_ACCRD_INTRST_INSTRMNT</v>
      </c>
      <c r="C199" s="8" t="s">
        <v>414</v>
      </c>
      <c r="D199" s="9" t="s">
        <v>584</v>
      </c>
      <c r="E199" s="11" t="s">
        <v>585</v>
      </c>
      <c r="F199" s="10" t="s">
        <v>13</v>
      </c>
      <c r="G199" s="10" t="s">
        <v>11</v>
      </c>
      <c r="H199" s="10" t="s">
        <v>11</v>
      </c>
      <c r="I199" s="10" t="s">
        <v>11</v>
      </c>
      <c r="J199" s="10" t="s">
        <v>11</v>
      </c>
      <c r="L199" s="6" t="str">
        <f>IFERROR(VLOOKUP($B199,'Lista - Âmbito Projeto GD'!$B$3:$F$71,5,0),"Campo eliminado")</f>
        <v>Campo eliminado</v>
      </c>
      <c r="M199" s="6" t="str">
        <f t="shared" si="16"/>
        <v>Campo eliminado</v>
      </c>
      <c r="N199" s="6" t="str">
        <f>IFERROR(VLOOKUP($B199,'Lista - Âmbito Projeto GD'!$B$3:$K$71,6,0),"Campo eliminado")</f>
        <v>Campo eliminado</v>
      </c>
      <c r="O199" s="6" t="str">
        <f t="shared" si="17"/>
        <v>Campo eliminado</v>
      </c>
      <c r="P199" s="6" t="str">
        <f>IFERROR(VLOOKUP($B199,'Lista - Âmbito Projeto GD'!$B$3:$K$71,7,0),"Campo eliminado")</f>
        <v>Campo eliminado</v>
      </c>
      <c r="Q199" s="6" t="str">
        <f t="shared" si="18"/>
        <v>Campo eliminado</v>
      </c>
      <c r="R199" s="6" t="str">
        <f>IFERROR(VLOOKUP($B199,'Lista - Âmbito Projeto GD'!$B$3:$K$71,9,0),"Campo eliminado")</f>
        <v>Campo eliminado</v>
      </c>
      <c r="S199" s="6" t="str">
        <f t="shared" si="19"/>
        <v>Campo eliminado</v>
      </c>
      <c r="U199" s="6" t="str">
        <f>VLOOKUP(B199,DataLake!$A$4:$A$429,1,0)</f>
        <v>INSTRUMENT_ACCRD_INTRST_INSTRMNT</v>
      </c>
    </row>
    <row r="200" spans="1:21" ht="15" hidden="1" customHeight="1" x14ac:dyDescent="0.3">
      <c r="A200" s="7" t="s">
        <v>586</v>
      </c>
      <c r="B200" s="47" t="str">
        <f t="shared" si="15"/>
        <v>INSTRUMENT_AMNT_D_AT_MTRTY</v>
      </c>
      <c r="C200" s="8" t="s">
        <v>414</v>
      </c>
      <c r="D200" s="9" t="s">
        <v>587</v>
      </c>
      <c r="E200" s="11" t="s">
        <v>588</v>
      </c>
      <c r="F200" s="10" t="s">
        <v>13</v>
      </c>
      <c r="G200" s="10" t="s">
        <v>11</v>
      </c>
      <c r="H200" s="10" t="s">
        <v>11</v>
      </c>
      <c r="I200" s="10" t="s">
        <v>11</v>
      </c>
      <c r="J200" s="10" t="s">
        <v>11</v>
      </c>
      <c r="L200" s="6" t="str">
        <f>IFERROR(VLOOKUP($B200,'Lista - Âmbito Projeto GD'!$B$3:$F$71,5,0),"Campo eliminado")</f>
        <v>Campo eliminado</v>
      </c>
      <c r="M200" s="6" t="str">
        <f t="shared" si="16"/>
        <v>Campo eliminado</v>
      </c>
      <c r="N200" s="6" t="str">
        <f>IFERROR(VLOOKUP($B200,'Lista - Âmbito Projeto GD'!$B$3:$K$71,6,0),"Campo eliminado")</f>
        <v>Campo eliminado</v>
      </c>
      <c r="O200" s="6" t="str">
        <f t="shared" si="17"/>
        <v>Campo eliminado</v>
      </c>
      <c r="P200" s="6" t="str">
        <f>IFERROR(VLOOKUP($B200,'Lista - Âmbito Projeto GD'!$B$3:$K$71,7,0),"Campo eliminado")</f>
        <v>Campo eliminado</v>
      </c>
      <c r="Q200" s="6" t="str">
        <f t="shared" si="18"/>
        <v>Campo eliminado</v>
      </c>
      <c r="R200" s="6" t="str">
        <f>IFERROR(VLOOKUP($B200,'Lista - Âmbito Projeto GD'!$B$3:$K$71,9,0),"Campo eliminado")</f>
        <v>Campo eliminado</v>
      </c>
      <c r="S200" s="6" t="str">
        <f t="shared" si="19"/>
        <v>Campo eliminado</v>
      </c>
      <c r="U200" s="6" t="str">
        <f>VLOOKUP(B200,DataLake!$A$4:$A$429,1,0)</f>
        <v>INSTRUMENT_AMNT_D_AT_MTRTY</v>
      </c>
    </row>
    <row r="201" spans="1:21" ht="15" hidden="1" customHeight="1" x14ac:dyDescent="0.3">
      <c r="A201" s="7" t="s">
        <v>589</v>
      </c>
      <c r="B201" s="47" t="str">
        <f t="shared" si="15"/>
        <v>INSTRUMENT_CCF</v>
      </c>
      <c r="C201" s="8" t="s">
        <v>414</v>
      </c>
      <c r="D201" s="9" t="s">
        <v>590</v>
      </c>
      <c r="E201" s="11" t="s">
        <v>591</v>
      </c>
      <c r="F201" s="10" t="s">
        <v>13</v>
      </c>
      <c r="G201" s="10" t="s">
        <v>11</v>
      </c>
      <c r="H201" s="10" t="s">
        <v>11</v>
      </c>
      <c r="I201" s="10" t="s">
        <v>11</v>
      </c>
      <c r="J201" s="10" t="s">
        <v>11</v>
      </c>
      <c r="L201" s="6" t="str">
        <f>IFERROR(VLOOKUP($B201,'Lista - Âmbito Projeto GD'!$B$3:$F$71,5,0),"Campo eliminado")</f>
        <v>Y</v>
      </c>
      <c r="M201" s="6" t="str">
        <f t="shared" si="16"/>
        <v>Igual</v>
      </c>
      <c r="N201" s="6" t="str">
        <f>IFERROR(VLOOKUP($B201,'Lista - Âmbito Projeto GD'!$B$3:$K$71,6,0),"Campo eliminado")</f>
        <v>Y</v>
      </c>
      <c r="O201" s="6" t="str">
        <f t="shared" si="17"/>
        <v>Diferente</v>
      </c>
      <c r="P201" s="6" t="str">
        <f>IFERROR(VLOOKUP($B201,'Lista - Âmbito Projeto GD'!$B$3:$K$71,7,0),"Campo eliminado")</f>
        <v>N</v>
      </c>
      <c r="Q201" s="6" t="str">
        <f t="shared" si="18"/>
        <v>Igual</v>
      </c>
      <c r="R201" s="6" t="str">
        <f>IFERROR(VLOOKUP($B201,'Lista - Âmbito Projeto GD'!$B$3:$K$71,9,0),"Campo eliminado")</f>
        <v>N</v>
      </c>
      <c r="S201" s="6" t="str">
        <f t="shared" si="19"/>
        <v>Igual</v>
      </c>
      <c r="U201" s="6" t="str">
        <f>VLOOKUP(B201,DataLake!$A$4:$A$429,1,0)</f>
        <v>INSTRUMENT_CCF</v>
      </c>
    </row>
    <row r="202" spans="1:21" ht="15" hidden="1" customHeight="1" x14ac:dyDescent="0.3">
      <c r="A202" s="7" t="s">
        <v>592</v>
      </c>
      <c r="B202" s="47" t="str">
        <f t="shared" si="15"/>
        <v>INSTRUMENT_CMMTMNT_INCPTN_INSTRMNT</v>
      </c>
      <c r="C202" s="8" t="s">
        <v>414</v>
      </c>
      <c r="D202" s="9" t="s">
        <v>593</v>
      </c>
      <c r="E202" s="11" t="s">
        <v>594</v>
      </c>
      <c r="F202" s="10" t="s">
        <v>13</v>
      </c>
      <c r="G202" s="10" t="s">
        <v>11</v>
      </c>
      <c r="H202" s="10" t="s">
        <v>11</v>
      </c>
      <c r="I202" s="10" t="s">
        <v>11</v>
      </c>
      <c r="J202" s="10" t="s">
        <v>11</v>
      </c>
      <c r="L202" s="6" t="str">
        <f>IFERROR(VLOOKUP($B202,'Lista - Âmbito Projeto GD'!$B$3:$F$71,5,0),"Campo eliminado")</f>
        <v>Campo eliminado</v>
      </c>
      <c r="M202" s="6" t="str">
        <f t="shared" si="16"/>
        <v>Campo eliminado</v>
      </c>
      <c r="N202" s="6" t="str">
        <f>IFERROR(VLOOKUP($B202,'Lista - Âmbito Projeto GD'!$B$3:$K$71,6,0),"Campo eliminado")</f>
        <v>Campo eliminado</v>
      </c>
      <c r="O202" s="6" t="str">
        <f t="shared" si="17"/>
        <v>Campo eliminado</v>
      </c>
      <c r="P202" s="6" t="str">
        <f>IFERROR(VLOOKUP($B202,'Lista - Âmbito Projeto GD'!$B$3:$K$71,7,0),"Campo eliminado")</f>
        <v>Campo eliminado</v>
      </c>
      <c r="Q202" s="6" t="str">
        <f t="shared" si="18"/>
        <v>Campo eliminado</v>
      </c>
      <c r="R202" s="6" t="str">
        <f>IFERROR(VLOOKUP($B202,'Lista - Âmbito Projeto GD'!$B$3:$K$71,9,0),"Campo eliminado")</f>
        <v>Campo eliminado</v>
      </c>
      <c r="S202" s="6" t="str">
        <f t="shared" si="19"/>
        <v>Campo eliminado</v>
      </c>
      <c r="U202" s="6" t="str">
        <f>VLOOKUP(B202,DataLake!$A$4:$A$429,1,0)</f>
        <v>INSTRUMENT_CMMTMNT_INCPTN_INSTRMNT</v>
      </c>
    </row>
    <row r="203" spans="1:21" ht="15" hidden="1" customHeight="1" x14ac:dyDescent="0.3">
      <c r="A203" s="7" t="s">
        <v>595</v>
      </c>
      <c r="B203" s="47" t="str">
        <f t="shared" si="15"/>
        <v>INSTRUMENT_CMMTMNT_INSTRMNT</v>
      </c>
      <c r="C203" s="8" t="s">
        <v>414</v>
      </c>
      <c r="D203" s="9" t="s">
        <v>596</v>
      </c>
      <c r="E203" s="11" t="s">
        <v>597</v>
      </c>
      <c r="F203" s="10" t="s">
        <v>13</v>
      </c>
      <c r="G203" s="10" t="s">
        <v>11</v>
      </c>
      <c r="H203" s="10" t="s">
        <v>11</v>
      </c>
      <c r="I203" s="10" t="s">
        <v>11</v>
      </c>
      <c r="J203" s="10" t="s">
        <v>11</v>
      </c>
      <c r="L203" s="6" t="str">
        <f>IFERROR(VLOOKUP($B203,'Lista - Âmbito Projeto GD'!$B$3:$F$71,5,0),"Campo eliminado")</f>
        <v>Campo eliminado</v>
      </c>
      <c r="M203" s="6" t="str">
        <f t="shared" si="16"/>
        <v>Campo eliminado</v>
      </c>
      <c r="N203" s="6" t="str">
        <f>IFERROR(VLOOKUP($B203,'Lista - Âmbito Projeto GD'!$B$3:$K$71,6,0),"Campo eliminado")</f>
        <v>Campo eliminado</v>
      </c>
      <c r="O203" s="6" t="str">
        <f t="shared" si="17"/>
        <v>Campo eliminado</v>
      </c>
      <c r="P203" s="6" t="str">
        <f>IFERROR(VLOOKUP($B203,'Lista - Âmbito Projeto GD'!$B$3:$K$71,7,0),"Campo eliminado")</f>
        <v>Campo eliminado</v>
      </c>
      <c r="Q203" s="6" t="str">
        <f t="shared" si="18"/>
        <v>Campo eliminado</v>
      </c>
      <c r="R203" s="6" t="str">
        <f>IFERROR(VLOOKUP($B203,'Lista - Âmbito Projeto GD'!$B$3:$K$71,9,0),"Campo eliminado")</f>
        <v>Campo eliminado</v>
      </c>
      <c r="S203" s="6" t="str">
        <f t="shared" si="19"/>
        <v>Campo eliminado</v>
      </c>
      <c r="U203" s="6" t="str">
        <f>VLOOKUP(B203,DataLake!$A$4:$A$429,1,0)</f>
        <v>INSTRUMENT_CMMTMNT_INSTRMNT</v>
      </c>
    </row>
    <row r="204" spans="1:21" ht="15" hidden="1" customHeight="1" x14ac:dyDescent="0.3">
      <c r="A204" s="7" t="s">
        <v>598</v>
      </c>
      <c r="B204" s="47" t="str">
        <f t="shared" si="15"/>
        <v>INSTRUMENT_CRRYNG_AMNT_INSTRMNT</v>
      </c>
      <c r="C204" s="8" t="s">
        <v>414</v>
      </c>
      <c r="D204" s="9" t="s">
        <v>599</v>
      </c>
      <c r="E204" s="11" t="s">
        <v>600</v>
      </c>
      <c r="F204" s="10" t="s">
        <v>13</v>
      </c>
      <c r="G204" s="10" t="s">
        <v>11</v>
      </c>
      <c r="H204" s="10" t="s">
        <v>11</v>
      </c>
      <c r="I204" s="10" t="s">
        <v>11</v>
      </c>
      <c r="J204" s="10" t="s">
        <v>11</v>
      </c>
      <c r="L204" s="6" t="str">
        <f>IFERROR(VLOOKUP($B204,'Lista - Âmbito Projeto GD'!$B$3:$F$71,5,0),"Campo eliminado")</f>
        <v>Campo eliminado</v>
      </c>
      <c r="M204" s="6" t="str">
        <f t="shared" si="16"/>
        <v>Campo eliminado</v>
      </c>
      <c r="N204" s="6" t="str">
        <f>IFERROR(VLOOKUP($B204,'Lista - Âmbito Projeto GD'!$B$3:$K$71,6,0),"Campo eliminado")</f>
        <v>Campo eliminado</v>
      </c>
      <c r="O204" s="6" t="str">
        <f t="shared" si="17"/>
        <v>Campo eliminado</v>
      </c>
      <c r="P204" s="6" t="str">
        <f>IFERROR(VLOOKUP($B204,'Lista - Âmbito Projeto GD'!$B$3:$K$71,7,0),"Campo eliminado")</f>
        <v>Campo eliminado</v>
      </c>
      <c r="Q204" s="6" t="str">
        <f t="shared" si="18"/>
        <v>Campo eliminado</v>
      </c>
      <c r="R204" s="6" t="str">
        <f>IFERROR(VLOOKUP($B204,'Lista - Âmbito Projeto GD'!$B$3:$K$71,9,0),"Campo eliminado")</f>
        <v>Campo eliminado</v>
      </c>
      <c r="S204" s="6" t="str">
        <f t="shared" si="19"/>
        <v>Campo eliminado</v>
      </c>
      <c r="U204" s="6" t="str">
        <f>VLOOKUP(B204,DataLake!$A$4:$A$429,1,0)</f>
        <v>INSTRUMENT_CRRYNG_AMNT_INSTRMNT</v>
      </c>
    </row>
    <row r="205" spans="1:21" ht="15" hidden="1" customHeight="1" x14ac:dyDescent="0.3">
      <c r="A205" s="7" t="s">
        <v>601</v>
      </c>
      <c r="B205" s="47" t="str">
        <f t="shared" si="15"/>
        <v>INSTRUMENT_DBT_YLD</v>
      </c>
      <c r="C205" s="8" t="s">
        <v>414</v>
      </c>
      <c r="D205" s="9" t="s">
        <v>602</v>
      </c>
      <c r="E205" s="11" t="s">
        <v>603</v>
      </c>
      <c r="F205" s="10" t="s">
        <v>13</v>
      </c>
      <c r="G205" s="10" t="s">
        <v>11</v>
      </c>
      <c r="H205" s="10" t="s">
        <v>11</v>
      </c>
      <c r="I205" s="10" t="s">
        <v>11</v>
      </c>
      <c r="J205" s="10" t="s">
        <v>11</v>
      </c>
      <c r="L205" s="6" t="str">
        <f>IFERROR(VLOOKUP($B205,'Lista - Âmbito Projeto GD'!$B$3:$F$71,5,0),"Campo eliminado")</f>
        <v>Campo eliminado</v>
      </c>
      <c r="M205" s="6" t="str">
        <f t="shared" si="16"/>
        <v>Campo eliminado</v>
      </c>
      <c r="N205" s="6" t="str">
        <f>IFERROR(VLOOKUP($B205,'Lista - Âmbito Projeto GD'!$B$3:$K$71,6,0),"Campo eliminado")</f>
        <v>Campo eliminado</v>
      </c>
      <c r="O205" s="6" t="str">
        <f t="shared" si="17"/>
        <v>Campo eliminado</v>
      </c>
      <c r="P205" s="6" t="str">
        <f>IFERROR(VLOOKUP($B205,'Lista - Âmbito Projeto GD'!$B$3:$K$71,7,0),"Campo eliminado")</f>
        <v>Campo eliminado</v>
      </c>
      <c r="Q205" s="6" t="str">
        <f t="shared" si="18"/>
        <v>Campo eliminado</v>
      </c>
      <c r="R205" s="6" t="str">
        <f>IFERROR(VLOOKUP($B205,'Lista - Âmbito Projeto GD'!$B$3:$K$71,9,0),"Campo eliminado")</f>
        <v>Campo eliminado</v>
      </c>
      <c r="S205" s="6" t="str">
        <f t="shared" si="19"/>
        <v>Campo eliminado</v>
      </c>
      <c r="U205" s="6" t="str">
        <f>VLOOKUP(B205,DataLake!$A$4:$A$429,1,0)</f>
        <v>INSTRUMENT_DBT_YLD</v>
      </c>
    </row>
    <row r="206" spans="1:21" ht="15" hidden="1" customHeight="1" x14ac:dyDescent="0.3">
      <c r="A206" s="7" t="s">
        <v>604</v>
      </c>
      <c r="B206" s="47" t="str">
        <f t="shared" si="15"/>
        <v>INSTRUMENT_DT_LGL_FNL_MTRTY</v>
      </c>
      <c r="C206" s="8" t="s">
        <v>414</v>
      </c>
      <c r="D206" s="9" t="s">
        <v>605</v>
      </c>
      <c r="E206" s="11" t="s">
        <v>606</v>
      </c>
      <c r="F206" s="10" t="s">
        <v>13</v>
      </c>
      <c r="G206" s="10" t="s">
        <v>11</v>
      </c>
      <c r="H206" s="10" t="s">
        <v>13</v>
      </c>
      <c r="I206" s="10" t="s">
        <v>11</v>
      </c>
      <c r="J206" s="10" t="s">
        <v>11</v>
      </c>
      <c r="L206" s="6" t="str">
        <f>IFERROR(VLOOKUP($B206,'Lista - Âmbito Projeto GD'!$B$3:$F$71,5,0),"Campo eliminado")</f>
        <v>Campo eliminado</v>
      </c>
      <c r="M206" s="6" t="str">
        <f t="shared" si="16"/>
        <v>Campo eliminado</v>
      </c>
      <c r="N206" s="6" t="str">
        <f>IFERROR(VLOOKUP($B206,'Lista - Âmbito Projeto GD'!$B$3:$K$71,6,0),"Campo eliminado")</f>
        <v>Campo eliminado</v>
      </c>
      <c r="O206" s="6" t="str">
        <f t="shared" si="17"/>
        <v>Campo eliminado</v>
      </c>
      <c r="P206" s="6" t="str">
        <f>IFERROR(VLOOKUP($B206,'Lista - Âmbito Projeto GD'!$B$3:$K$71,7,0),"Campo eliminado")</f>
        <v>Campo eliminado</v>
      </c>
      <c r="Q206" s="6" t="str">
        <f t="shared" si="18"/>
        <v>Campo eliminado</v>
      </c>
      <c r="R206" s="6" t="str">
        <f>IFERROR(VLOOKUP($B206,'Lista - Âmbito Projeto GD'!$B$3:$K$71,9,0),"Campo eliminado")</f>
        <v>Campo eliminado</v>
      </c>
      <c r="S206" s="6" t="str">
        <f t="shared" si="19"/>
        <v>Campo eliminado</v>
      </c>
      <c r="U206" s="6" t="str">
        <f>VLOOKUP(B206,DataLake!$A$4:$A$429,1,0)</f>
        <v>INSTRUMENT_DT_LGL_FNL_MTRTY</v>
      </c>
    </row>
    <row r="207" spans="1:21" ht="15" hidden="1" customHeight="1" x14ac:dyDescent="0.3">
      <c r="A207" s="7" t="s">
        <v>607</v>
      </c>
      <c r="B207" s="47" t="str">
        <f t="shared" si="15"/>
        <v>INSTRUMENT_DT_NXT_INTRST_RT_RST</v>
      </c>
      <c r="C207" s="8" t="s">
        <v>414</v>
      </c>
      <c r="D207" s="9" t="s">
        <v>608</v>
      </c>
      <c r="E207" s="11" t="s">
        <v>609</v>
      </c>
      <c r="F207" s="10" t="s">
        <v>13</v>
      </c>
      <c r="G207" s="10" t="s">
        <v>11</v>
      </c>
      <c r="H207" s="10" t="s">
        <v>11</v>
      </c>
      <c r="I207" s="10" t="s">
        <v>11</v>
      </c>
      <c r="J207" s="10" t="s">
        <v>11</v>
      </c>
      <c r="L207" s="6" t="str">
        <f>IFERROR(VLOOKUP($B207,'Lista - Âmbito Projeto GD'!$B$3:$F$71,5,0),"Campo eliminado")</f>
        <v>Campo eliminado</v>
      </c>
      <c r="M207" s="6" t="str">
        <f t="shared" si="16"/>
        <v>Campo eliminado</v>
      </c>
      <c r="N207" s="6" t="str">
        <f>IFERROR(VLOOKUP($B207,'Lista - Âmbito Projeto GD'!$B$3:$K$71,6,0),"Campo eliminado")</f>
        <v>Campo eliminado</v>
      </c>
      <c r="O207" s="6" t="str">
        <f t="shared" si="17"/>
        <v>Campo eliminado</v>
      </c>
      <c r="P207" s="6" t="str">
        <f>IFERROR(VLOOKUP($B207,'Lista - Âmbito Projeto GD'!$B$3:$K$71,7,0),"Campo eliminado")</f>
        <v>Campo eliminado</v>
      </c>
      <c r="Q207" s="6" t="str">
        <f t="shared" si="18"/>
        <v>Campo eliminado</v>
      </c>
      <c r="R207" s="6" t="str">
        <f>IFERROR(VLOOKUP($B207,'Lista - Âmbito Projeto GD'!$B$3:$K$71,9,0),"Campo eliminado")</f>
        <v>Campo eliminado</v>
      </c>
      <c r="S207" s="6" t="str">
        <f t="shared" si="19"/>
        <v>Campo eliminado</v>
      </c>
      <c r="U207" s="6" t="str">
        <f>VLOOKUP(B207,DataLake!$A$4:$A$429,1,0)</f>
        <v>INSTRUMENT_DT_NXT_INTRST_RT_RST</v>
      </c>
    </row>
    <row r="208" spans="1:21" ht="15" hidden="1" customHeight="1" x14ac:dyDescent="0.3">
      <c r="A208" s="7" t="s">
        <v>610</v>
      </c>
      <c r="B208" s="47" t="str">
        <f t="shared" si="15"/>
        <v>INSTRUMENT_DT_ORGNL_MTRTY</v>
      </c>
      <c r="C208" s="8" t="s">
        <v>414</v>
      </c>
      <c r="D208" s="9" t="s">
        <v>611</v>
      </c>
      <c r="E208" s="11" t="s">
        <v>612</v>
      </c>
      <c r="F208" s="10" t="s">
        <v>13</v>
      </c>
      <c r="G208" s="10" t="s">
        <v>11</v>
      </c>
      <c r="H208" s="10" t="s">
        <v>11</v>
      </c>
      <c r="I208" s="10" t="s">
        <v>11</v>
      </c>
      <c r="J208" s="10" t="s">
        <v>11</v>
      </c>
      <c r="L208" s="6" t="str">
        <f>IFERROR(VLOOKUP($B208,'Lista - Âmbito Projeto GD'!$B$3:$F$71,5,0),"Campo eliminado")</f>
        <v>Campo eliminado</v>
      </c>
      <c r="M208" s="6" t="str">
        <f t="shared" si="16"/>
        <v>Campo eliminado</v>
      </c>
      <c r="N208" s="6" t="str">
        <f>IFERROR(VLOOKUP($B208,'Lista - Âmbito Projeto GD'!$B$3:$K$71,6,0),"Campo eliminado")</f>
        <v>Campo eliminado</v>
      </c>
      <c r="O208" s="6" t="str">
        <f t="shared" si="17"/>
        <v>Campo eliminado</v>
      </c>
      <c r="P208" s="6" t="str">
        <f>IFERROR(VLOOKUP($B208,'Lista - Âmbito Projeto GD'!$B$3:$K$71,7,0),"Campo eliminado")</f>
        <v>Campo eliminado</v>
      </c>
      <c r="Q208" s="6" t="str">
        <f t="shared" si="18"/>
        <v>Campo eliminado</v>
      </c>
      <c r="R208" s="6" t="str">
        <f>IFERROR(VLOOKUP($B208,'Lista - Âmbito Projeto GD'!$B$3:$K$71,9,0),"Campo eliminado")</f>
        <v>Campo eliminado</v>
      </c>
      <c r="S208" s="6" t="str">
        <f t="shared" si="19"/>
        <v>Campo eliminado</v>
      </c>
      <c r="U208" s="6" t="str">
        <f>VLOOKUP(B208,DataLake!$A$4:$A$429,1,0)</f>
        <v>INSTRUMENT_DT_ORGNL_MTRTY</v>
      </c>
    </row>
    <row r="209" spans="1:21" ht="15" hidden="1" customHeight="1" x14ac:dyDescent="0.3">
      <c r="A209" s="7" t="s">
        <v>613</v>
      </c>
      <c r="B209" s="47" t="str">
        <f t="shared" si="15"/>
        <v>INSTRUMENT_IFRS9_BHVRL_MTRTY</v>
      </c>
      <c r="C209" s="8" t="s">
        <v>414</v>
      </c>
      <c r="D209" s="9" t="s">
        <v>614</v>
      </c>
      <c r="E209" s="11" t="s">
        <v>615</v>
      </c>
      <c r="F209" s="10" t="s">
        <v>13</v>
      </c>
      <c r="G209" s="10" t="s">
        <v>11</v>
      </c>
      <c r="H209" s="10" t="s">
        <v>11</v>
      </c>
      <c r="I209" s="10" t="s">
        <v>11</v>
      </c>
      <c r="J209" s="10" t="s">
        <v>11</v>
      </c>
      <c r="L209" s="6" t="str">
        <f>IFERROR(VLOOKUP($B209,'Lista - Âmbito Projeto GD'!$B$3:$F$71,5,0),"Campo eliminado")</f>
        <v>Campo eliminado</v>
      </c>
      <c r="M209" s="6" t="str">
        <f t="shared" si="16"/>
        <v>Campo eliminado</v>
      </c>
      <c r="N209" s="6" t="str">
        <f>IFERROR(VLOOKUP($B209,'Lista - Âmbito Projeto GD'!$B$3:$K$71,6,0),"Campo eliminado")</f>
        <v>Campo eliminado</v>
      </c>
      <c r="O209" s="6" t="str">
        <f t="shared" si="17"/>
        <v>Campo eliminado</v>
      </c>
      <c r="P209" s="6" t="str">
        <f>IFERROR(VLOOKUP($B209,'Lista - Âmbito Projeto GD'!$B$3:$K$71,7,0),"Campo eliminado")</f>
        <v>Campo eliminado</v>
      </c>
      <c r="Q209" s="6" t="str">
        <f t="shared" si="18"/>
        <v>Campo eliminado</v>
      </c>
      <c r="R209" s="6" t="str">
        <f>IFERROR(VLOOKUP($B209,'Lista - Âmbito Projeto GD'!$B$3:$K$71,9,0),"Campo eliminado")</f>
        <v>Campo eliminado</v>
      </c>
      <c r="S209" s="6" t="str">
        <f t="shared" si="19"/>
        <v>Campo eliminado</v>
      </c>
      <c r="U209" s="6" t="str">
        <f>VLOOKUP(B209,DataLake!$A$4:$A$429,1,0)</f>
        <v>INSTRUMENT_IFRS9_BHVRL_MTRTY</v>
      </c>
    </row>
    <row r="210" spans="1:21" ht="15" hidden="1" customHeight="1" x14ac:dyDescent="0.3">
      <c r="A210" s="7" t="s">
        <v>616</v>
      </c>
      <c r="B210" s="47" t="str">
        <f t="shared" si="15"/>
        <v>INSTRUMENT_EAD</v>
      </c>
      <c r="C210" s="8" t="s">
        <v>414</v>
      </c>
      <c r="D210" s="9" t="s">
        <v>617</v>
      </c>
      <c r="E210" s="11" t="s">
        <v>618</v>
      </c>
      <c r="F210" s="10" t="s">
        <v>13</v>
      </c>
      <c r="G210" s="10" t="s">
        <v>11</v>
      </c>
      <c r="H210" s="10" t="s">
        <v>11</v>
      </c>
      <c r="I210" s="10" t="s">
        <v>13</v>
      </c>
      <c r="J210" s="10" t="s">
        <v>11</v>
      </c>
      <c r="L210" s="6" t="str">
        <f>IFERROR(VLOOKUP($B210,'Lista - Âmbito Projeto GD'!$B$3:$F$71,5,0),"Campo eliminado")</f>
        <v>Y</v>
      </c>
      <c r="M210" s="6" t="str">
        <f t="shared" si="16"/>
        <v>Igual</v>
      </c>
      <c r="N210" s="6" t="str">
        <f>IFERROR(VLOOKUP($B210,'Lista - Âmbito Projeto GD'!$B$3:$K$71,6,0),"Campo eliminado")</f>
        <v>Y</v>
      </c>
      <c r="O210" s="6" t="str">
        <f t="shared" si="17"/>
        <v>Diferente</v>
      </c>
      <c r="P210" s="6" t="str">
        <f>IFERROR(VLOOKUP($B210,'Lista - Âmbito Projeto GD'!$B$3:$K$71,7,0),"Campo eliminado")</f>
        <v>N</v>
      </c>
      <c r="Q210" s="6" t="str">
        <f t="shared" si="18"/>
        <v>Igual</v>
      </c>
      <c r="R210" s="6" t="str">
        <f>IFERROR(VLOOKUP($B210,'Lista - Âmbito Projeto GD'!$B$3:$K$71,9,0),"Campo eliminado")</f>
        <v>Y</v>
      </c>
      <c r="S210" s="6" t="str">
        <f t="shared" si="19"/>
        <v>Igual</v>
      </c>
      <c r="U210" s="6" t="str">
        <f>VLOOKUP(B210,DataLake!$A$4:$A$429,1,0)</f>
        <v>INSTRUMENT_EAD</v>
      </c>
    </row>
    <row r="211" spans="1:21" ht="15" hidden="1" customHeight="1" x14ac:dyDescent="0.3">
      <c r="A211" s="7" t="s">
        <v>619</v>
      </c>
      <c r="B211" s="47" t="str">
        <f t="shared" si="15"/>
        <v>INSTRUMENT_IFRS9_CCF</v>
      </c>
      <c r="C211" s="8" t="s">
        <v>414</v>
      </c>
      <c r="D211" s="9" t="s">
        <v>620</v>
      </c>
      <c r="E211" s="11" t="s">
        <v>621</v>
      </c>
      <c r="F211" s="10" t="s">
        <v>13</v>
      </c>
      <c r="G211" s="10" t="s">
        <v>11</v>
      </c>
      <c r="H211" s="10" t="s">
        <v>11</v>
      </c>
      <c r="I211" s="10" t="s">
        <v>11</v>
      </c>
      <c r="J211" s="10" t="s">
        <v>11</v>
      </c>
      <c r="L211" s="6" t="str">
        <f>IFERROR(VLOOKUP($B211,'Lista - Âmbito Projeto GD'!$B$3:$F$71,5,0),"Campo eliminado")</f>
        <v>Campo eliminado</v>
      </c>
      <c r="M211" s="6" t="str">
        <f t="shared" si="16"/>
        <v>Campo eliminado</v>
      </c>
      <c r="N211" s="6" t="str">
        <f>IFERROR(VLOOKUP($B211,'Lista - Âmbito Projeto GD'!$B$3:$K$71,6,0),"Campo eliminado")</f>
        <v>Campo eliminado</v>
      </c>
      <c r="O211" s="6" t="str">
        <f t="shared" si="17"/>
        <v>Campo eliminado</v>
      </c>
      <c r="P211" s="6" t="str">
        <f>IFERROR(VLOOKUP($B211,'Lista - Âmbito Projeto GD'!$B$3:$K$71,7,0),"Campo eliminado")</f>
        <v>Campo eliminado</v>
      </c>
      <c r="Q211" s="6" t="str">
        <f t="shared" si="18"/>
        <v>Campo eliminado</v>
      </c>
      <c r="R211" s="6" t="str">
        <f>IFERROR(VLOOKUP($B211,'Lista - Âmbito Projeto GD'!$B$3:$K$71,9,0),"Campo eliminado")</f>
        <v>Campo eliminado</v>
      </c>
      <c r="S211" s="6" t="str">
        <f t="shared" si="19"/>
        <v>Campo eliminado</v>
      </c>
      <c r="U211" s="6" t="str">
        <f>VLOOKUP(B211,DataLake!$A$4:$A$429,1,0)</f>
        <v>INSTRUMENT_IFRS9_CCF</v>
      </c>
    </row>
    <row r="212" spans="1:21" ht="15" hidden="1" customHeight="1" x14ac:dyDescent="0.3">
      <c r="A212" s="7" t="s">
        <v>622</v>
      </c>
      <c r="B212" s="47" t="str">
        <f t="shared" si="15"/>
        <v>INSTRUMENT_IFRS9_EAD</v>
      </c>
      <c r="C212" s="8" t="s">
        <v>414</v>
      </c>
      <c r="D212" s="9" t="s">
        <v>623</v>
      </c>
      <c r="E212" s="11" t="s">
        <v>624</v>
      </c>
      <c r="F212" s="10" t="s">
        <v>13</v>
      </c>
      <c r="G212" s="10" t="s">
        <v>11</v>
      </c>
      <c r="H212" s="10" t="s">
        <v>11</v>
      </c>
      <c r="I212" s="10" t="s">
        <v>11</v>
      </c>
      <c r="J212" s="10" t="s">
        <v>11</v>
      </c>
      <c r="L212" s="6" t="str">
        <f>IFERROR(VLOOKUP($B212,'Lista - Âmbito Projeto GD'!$B$3:$F$71,5,0),"Campo eliminado")</f>
        <v>Campo eliminado</v>
      </c>
      <c r="M212" s="6" t="str">
        <f t="shared" si="16"/>
        <v>Campo eliminado</v>
      </c>
      <c r="N212" s="6" t="str">
        <f>IFERROR(VLOOKUP($B212,'Lista - Âmbito Projeto GD'!$B$3:$K$71,6,0),"Campo eliminado")</f>
        <v>Campo eliminado</v>
      </c>
      <c r="O212" s="6" t="str">
        <f t="shared" si="17"/>
        <v>Campo eliminado</v>
      </c>
      <c r="P212" s="6" t="str">
        <f>IFERROR(VLOOKUP($B212,'Lista - Âmbito Projeto GD'!$B$3:$K$71,7,0),"Campo eliminado")</f>
        <v>Campo eliminado</v>
      </c>
      <c r="Q212" s="6" t="str">
        <f t="shared" si="18"/>
        <v>Campo eliminado</v>
      </c>
      <c r="R212" s="6" t="str">
        <f>IFERROR(VLOOKUP($B212,'Lista - Âmbito Projeto GD'!$B$3:$K$71,9,0),"Campo eliminado")</f>
        <v>Campo eliminado</v>
      </c>
      <c r="S212" s="6" t="str">
        <f t="shared" si="19"/>
        <v>Campo eliminado</v>
      </c>
      <c r="U212" s="6" t="str">
        <f>VLOOKUP(B212,DataLake!$A$4:$A$429,1,0)</f>
        <v>INSTRUMENT_IFRS9_EAD</v>
      </c>
    </row>
    <row r="213" spans="1:21" ht="15" hidden="1" customHeight="1" x14ac:dyDescent="0.3">
      <c r="A213" s="7" t="s">
        <v>625</v>
      </c>
      <c r="B213" s="47" t="str">
        <f t="shared" si="15"/>
        <v>INSTRUMENT_INSTLMNT_PAY</v>
      </c>
      <c r="C213" s="8" t="s">
        <v>414</v>
      </c>
      <c r="D213" s="9" t="s">
        <v>626</v>
      </c>
      <c r="E213" s="11" t="s">
        <v>627</v>
      </c>
      <c r="F213" s="10" t="s">
        <v>13</v>
      </c>
      <c r="G213" s="10" t="s">
        <v>11</v>
      </c>
      <c r="H213" s="10" t="s">
        <v>11</v>
      </c>
      <c r="I213" s="10" t="s">
        <v>11</v>
      </c>
      <c r="J213" s="10" t="s">
        <v>11</v>
      </c>
      <c r="L213" s="6" t="str">
        <f>IFERROR(VLOOKUP($B213,'Lista - Âmbito Projeto GD'!$B$3:$F$71,5,0),"Campo eliminado")</f>
        <v>Campo eliminado</v>
      </c>
      <c r="M213" s="6" t="str">
        <f t="shared" si="16"/>
        <v>Campo eliminado</v>
      </c>
      <c r="N213" s="6" t="str">
        <f>IFERROR(VLOOKUP($B213,'Lista - Âmbito Projeto GD'!$B$3:$K$71,6,0),"Campo eliminado")</f>
        <v>Campo eliminado</v>
      </c>
      <c r="O213" s="6" t="str">
        <f t="shared" si="17"/>
        <v>Campo eliminado</v>
      </c>
      <c r="P213" s="6" t="str">
        <f>IFERROR(VLOOKUP($B213,'Lista - Âmbito Projeto GD'!$B$3:$K$71,7,0),"Campo eliminado")</f>
        <v>Campo eliminado</v>
      </c>
      <c r="Q213" s="6" t="str">
        <f t="shared" si="18"/>
        <v>Campo eliminado</v>
      </c>
      <c r="R213" s="6" t="str">
        <f>IFERROR(VLOOKUP($B213,'Lista - Âmbito Projeto GD'!$B$3:$K$71,9,0),"Campo eliminado")</f>
        <v>Campo eliminado</v>
      </c>
      <c r="S213" s="6" t="str">
        <f t="shared" si="19"/>
        <v>Campo eliminado</v>
      </c>
      <c r="U213" s="6" t="str">
        <f>VLOOKUP(B213,DataLake!$A$4:$A$429,1,0)</f>
        <v>INSTRUMENT_INSTLMNT_PAY</v>
      </c>
    </row>
    <row r="214" spans="1:21" ht="15" hidden="1" customHeight="1" x14ac:dyDescent="0.3">
      <c r="A214" s="7" t="s">
        <v>628</v>
      </c>
      <c r="B214" s="47" t="str">
        <f t="shared" si="15"/>
        <v>INSTRUMENT_OFF_BLNC_SHT_AMNT_INSTRMNT</v>
      </c>
      <c r="C214" s="8" t="s">
        <v>414</v>
      </c>
      <c r="D214" s="9" t="s">
        <v>629</v>
      </c>
      <c r="E214" s="11" t="s">
        <v>630</v>
      </c>
      <c r="F214" s="10" t="s">
        <v>13</v>
      </c>
      <c r="G214" s="10" t="s">
        <v>13</v>
      </c>
      <c r="H214" s="10" t="s">
        <v>11</v>
      </c>
      <c r="I214" s="10" t="s">
        <v>13</v>
      </c>
      <c r="J214" s="10" t="s">
        <v>11</v>
      </c>
      <c r="L214" s="6" t="str">
        <f>IFERROR(VLOOKUP($B214,'Lista - Âmbito Projeto GD'!$B$3:$F$71,5,0),"Campo eliminado")</f>
        <v>Y</v>
      </c>
      <c r="M214" s="6" t="str">
        <f t="shared" si="16"/>
        <v>Igual</v>
      </c>
      <c r="N214" s="6" t="str">
        <f>IFERROR(VLOOKUP($B214,'Lista - Âmbito Projeto GD'!$B$3:$K$71,6,0),"Campo eliminado")</f>
        <v>Y</v>
      </c>
      <c r="O214" s="6" t="str">
        <f t="shared" si="17"/>
        <v>Igual</v>
      </c>
      <c r="P214" s="6" t="str">
        <f>IFERROR(VLOOKUP($B214,'Lista - Âmbito Projeto GD'!$B$3:$K$71,7,0),"Campo eliminado")</f>
        <v>N</v>
      </c>
      <c r="Q214" s="6" t="str">
        <f t="shared" si="18"/>
        <v>Igual</v>
      </c>
      <c r="R214" s="6" t="str">
        <f>IFERROR(VLOOKUP($B214,'Lista - Âmbito Projeto GD'!$B$3:$K$71,9,0),"Campo eliminado")</f>
        <v>Y</v>
      </c>
      <c r="S214" s="6" t="str">
        <f t="shared" si="19"/>
        <v>Igual</v>
      </c>
      <c r="U214" s="6" t="str">
        <f>VLOOKUP(B214,DataLake!$A$4:$A$429,1,0)</f>
        <v>INSTRUMENT_OFF_BLNC_SHT_AMNT_INSTRMNT</v>
      </c>
    </row>
    <row r="215" spans="1:21" ht="15" hidden="1" customHeight="1" x14ac:dyDescent="0.3">
      <c r="A215" s="7" t="s">
        <v>631</v>
      </c>
      <c r="B215" s="47" t="str">
        <f t="shared" si="15"/>
        <v>INSTRUMENT_OFF_BLNC_SHT_AMNT_INSTRMNT_PRVS</v>
      </c>
      <c r="C215" s="8" t="s">
        <v>414</v>
      </c>
      <c r="D215" s="9" t="s">
        <v>632</v>
      </c>
      <c r="E215" s="11" t="s">
        <v>633</v>
      </c>
      <c r="F215" s="10" t="s">
        <v>13</v>
      </c>
      <c r="G215" s="10" t="s">
        <v>11</v>
      </c>
      <c r="H215" s="10" t="s">
        <v>11</v>
      </c>
      <c r="I215" s="10" t="s">
        <v>11</v>
      </c>
      <c r="J215" s="10" t="s">
        <v>11</v>
      </c>
      <c r="L215" s="6" t="str">
        <f>IFERROR(VLOOKUP($B215,'Lista - Âmbito Projeto GD'!$B$3:$F$71,5,0),"Campo eliminado")</f>
        <v>Campo eliminado</v>
      </c>
      <c r="M215" s="6" t="str">
        <f t="shared" si="16"/>
        <v>Campo eliminado</v>
      </c>
      <c r="N215" s="6" t="str">
        <f>IFERROR(VLOOKUP($B215,'Lista - Âmbito Projeto GD'!$B$3:$K$71,6,0),"Campo eliminado")</f>
        <v>Campo eliminado</v>
      </c>
      <c r="O215" s="6" t="str">
        <f t="shared" si="17"/>
        <v>Campo eliminado</v>
      </c>
      <c r="P215" s="6" t="str">
        <f>IFERROR(VLOOKUP($B215,'Lista - Âmbito Projeto GD'!$B$3:$K$71,7,0),"Campo eliminado")</f>
        <v>Campo eliminado</v>
      </c>
      <c r="Q215" s="6" t="str">
        <f t="shared" si="18"/>
        <v>Campo eliminado</v>
      </c>
      <c r="R215" s="6" t="str">
        <f>IFERROR(VLOOKUP($B215,'Lista - Âmbito Projeto GD'!$B$3:$K$71,9,0),"Campo eliminado")</f>
        <v>Campo eliminado</v>
      </c>
      <c r="S215" s="6" t="str">
        <f t="shared" si="19"/>
        <v>Campo eliminado</v>
      </c>
      <c r="U215" s="6" t="str">
        <f>VLOOKUP(B215,DataLake!$A$4:$A$429,1,0)</f>
        <v>INSTRUMENT_OFF_BLNC_SHT_AMNT_INSTRMNT_PRVS</v>
      </c>
    </row>
    <row r="216" spans="1:21" ht="15" hidden="1" customHeight="1" x14ac:dyDescent="0.3">
      <c r="A216" s="7" t="s">
        <v>634</v>
      </c>
      <c r="B216" s="47" t="str">
        <f t="shared" si="15"/>
        <v>INSTRUMENT_OTSTNDNG_NMNL_AMNT_INSTRMNT</v>
      </c>
      <c r="C216" s="8" t="s">
        <v>414</v>
      </c>
      <c r="D216" s="9" t="s">
        <v>635</v>
      </c>
      <c r="E216" s="11" t="s">
        <v>636</v>
      </c>
      <c r="F216" s="10" t="s">
        <v>13</v>
      </c>
      <c r="G216" s="10" t="s">
        <v>11</v>
      </c>
      <c r="H216" s="10" t="s">
        <v>11</v>
      </c>
      <c r="I216" s="10" t="s">
        <v>11</v>
      </c>
      <c r="J216" s="10" t="s">
        <v>11</v>
      </c>
      <c r="L216" s="6" t="str">
        <f>IFERROR(VLOOKUP($B216,'Lista - Âmbito Projeto GD'!$B$3:$F$71,5,0),"Campo eliminado")</f>
        <v>Campo eliminado</v>
      </c>
      <c r="M216" s="6" t="str">
        <f t="shared" si="16"/>
        <v>Campo eliminado</v>
      </c>
      <c r="N216" s="6" t="str">
        <f>IFERROR(VLOOKUP($B216,'Lista - Âmbito Projeto GD'!$B$3:$K$71,6,0),"Campo eliminado")</f>
        <v>Campo eliminado</v>
      </c>
      <c r="O216" s="6" t="str">
        <f t="shared" si="17"/>
        <v>Campo eliminado</v>
      </c>
      <c r="P216" s="6" t="str">
        <f>IFERROR(VLOOKUP($B216,'Lista - Âmbito Projeto GD'!$B$3:$K$71,7,0),"Campo eliminado")</f>
        <v>Campo eliminado</v>
      </c>
      <c r="Q216" s="6" t="str">
        <f t="shared" si="18"/>
        <v>Campo eliminado</v>
      </c>
      <c r="R216" s="6" t="str">
        <f>IFERROR(VLOOKUP($B216,'Lista - Âmbito Projeto GD'!$B$3:$K$71,9,0),"Campo eliminado")</f>
        <v>Campo eliminado</v>
      </c>
      <c r="S216" s="6" t="str">
        <f t="shared" si="19"/>
        <v>Campo eliminado</v>
      </c>
      <c r="U216" s="6" t="str">
        <f>VLOOKUP(B216,DataLake!$A$4:$A$429,1,0)</f>
        <v>INSTRUMENT_OTSTNDNG_NMNL_AMNT_INSTRMNT</v>
      </c>
    </row>
    <row r="217" spans="1:21" ht="15" hidden="1" customHeight="1" x14ac:dyDescent="0.3">
      <c r="A217" s="7" t="s">
        <v>637</v>
      </c>
      <c r="B217" s="47" t="str">
        <f t="shared" si="15"/>
        <v>INSTRUMENT_OTSTNDNG_NMNL_AMNT_INSTRMNT_PRVS</v>
      </c>
      <c r="C217" s="8" t="s">
        <v>414</v>
      </c>
      <c r="D217" s="9" t="s">
        <v>638</v>
      </c>
      <c r="E217" s="11" t="s">
        <v>639</v>
      </c>
      <c r="F217" s="10" t="s">
        <v>13</v>
      </c>
      <c r="G217" s="10" t="s">
        <v>11</v>
      </c>
      <c r="H217" s="10" t="s">
        <v>11</v>
      </c>
      <c r="I217" s="10" t="s">
        <v>11</v>
      </c>
      <c r="J217" s="10" t="s">
        <v>11</v>
      </c>
      <c r="L217" s="6" t="str">
        <f>IFERROR(VLOOKUP($B217,'Lista - Âmbito Projeto GD'!$B$3:$F$71,5,0),"Campo eliminado")</f>
        <v>Campo eliminado</v>
      </c>
      <c r="M217" s="6" t="str">
        <f t="shared" si="16"/>
        <v>Campo eliminado</v>
      </c>
      <c r="N217" s="6" t="str">
        <f>IFERROR(VLOOKUP($B217,'Lista - Âmbito Projeto GD'!$B$3:$K$71,6,0),"Campo eliminado")</f>
        <v>Campo eliminado</v>
      </c>
      <c r="O217" s="6" t="str">
        <f t="shared" si="17"/>
        <v>Campo eliminado</v>
      </c>
      <c r="P217" s="6" t="str">
        <f>IFERROR(VLOOKUP($B217,'Lista - Âmbito Projeto GD'!$B$3:$K$71,7,0),"Campo eliminado")</f>
        <v>Campo eliminado</v>
      </c>
      <c r="Q217" s="6" t="str">
        <f t="shared" si="18"/>
        <v>Campo eliminado</v>
      </c>
      <c r="R217" s="6" t="str">
        <f>IFERROR(VLOOKUP($B217,'Lista - Âmbito Projeto GD'!$B$3:$K$71,9,0),"Campo eliminado")</f>
        <v>Campo eliminado</v>
      </c>
      <c r="S217" s="6" t="str">
        <f t="shared" si="19"/>
        <v>Campo eliminado</v>
      </c>
      <c r="U217" s="6" t="str">
        <f>VLOOKUP(B217,DataLake!$A$4:$A$429,1,0)</f>
        <v>INSTRUMENT_OTSTNDNG_NMNL_AMNT_INSTRMNT_PRVS</v>
      </c>
    </row>
    <row r="218" spans="1:21" ht="15" hidden="1" customHeight="1" x14ac:dyDescent="0.3">
      <c r="A218" s="7" t="s">
        <v>640</v>
      </c>
      <c r="B218" s="47" t="str">
        <f t="shared" si="15"/>
        <v>INSTRUMENT_PRVSNS_OFF_BLNC_SHT</v>
      </c>
      <c r="C218" s="8" t="s">
        <v>414</v>
      </c>
      <c r="D218" s="9" t="s">
        <v>641</v>
      </c>
      <c r="E218" s="11" t="s">
        <v>642</v>
      </c>
      <c r="F218" s="10" t="s">
        <v>13</v>
      </c>
      <c r="G218" s="10" t="s">
        <v>13</v>
      </c>
      <c r="H218" s="10" t="s">
        <v>11</v>
      </c>
      <c r="I218" s="10" t="s">
        <v>11</v>
      </c>
      <c r="J218" s="10" t="s">
        <v>11</v>
      </c>
      <c r="L218" s="6" t="str">
        <f>IFERROR(VLOOKUP($B218,'Lista - Âmbito Projeto GD'!$B$3:$F$71,5,0),"Campo eliminado")</f>
        <v>Y</v>
      </c>
      <c r="M218" s="6" t="str">
        <f t="shared" si="16"/>
        <v>Igual</v>
      </c>
      <c r="N218" s="6" t="str">
        <f>IFERROR(VLOOKUP($B218,'Lista - Âmbito Projeto GD'!$B$3:$K$71,6,0),"Campo eliminado")</f>
        <v>Y</v>
      </c>
      <c r="O218" s="6" t="str">
        <f t="shared" si="17"/>
        <v>Igual</v>
      </c>
      <c r="P218" s="6" t="str">
        <f>IFERROR(VLOOKUP($B218,'Lista - Âmbito Projeto GD'!$B$3:$K$71,7,0),"Campo eliminado")</f>
        <v>N</v>
      </c>
      <c r="Q218" s="6" t="str">
        <f t="shared" si="18"/>
        <v>Igual</v>
      </c>
      <c r="R218" s="6" t="str">
        <f>IFERROR(VLOOKUP($B218,'Lista - Âmbito Projeto GD'!$B$3:$K$71,9,0),"Campo eliminado")</f>
        <v>N</v>
      </c>
      <c r="S218" s="6" t="str">
        <f t="shared" si="19"/>
        <v>Igual</v>
      </c>
      <c r="U218" s="6" t="str">
        <f>VLOOKUP(B218,DataLake!$A$4:$A$429,1,0)</f>
        <v>INSTRUMENT_PRVSNS_OFF_BLNC_SHT</v>
      </c>
    </row>
    <row r="219" spans="1:21" ht="15" hidden="1" customHeight="1" x14ac:dyDescent="0.3">
      <c r="A219" s="7" t="s">
        <v>643</v>
      </c>
      <c r="B219" s="47" t="str">
        <f t="shared" si="15"/>
        <v>INSTRUMENT_PYMNT_FRQNCY</v>
      </c>
      <c r="C219" s="8" t="s">
        <v>414</v>
      </c>
      <c r="D219" s="9" t="s">
        <v>644</v>
      </c>
      <c r="E219" s="11" t="s">
        <v>645</v>
      </c>
      <c r="F219" s="10" t="s">
        <v>13</v>
      </c>
      <c r="G219" s="10" t="s">
        <v>11</v>
      </c>
      <c r="H219" s="10" t="s">
        <v>11</v>
      </c>
      <c r="I219" s="10" t="s">
        <v>11</v>
      </c>
      <c r="J219" s="10" t="s">
        <v>11</v>
      </c>
      <c r="L219" s="6" t="str">
        <f>IFERROR(VLOOKUP($B219,'Lista - Âmbito Projeto GD'!$B$3:$F$71,5,0),"Campo eliminado")</f>
        <v>Campo eliminado</v>
      </c>
      <c r="M219" s="6" t="str">
        <f t="shared" si="16"/>
        <v>Campo eliminado</v>
      </c>
      <c r="N219" s="6" t="str">
        <f>IFERROR(VLOOKUP($B219,'Lista - Âmbito Projeto GD'!$B$3:$K$71,6,0),"Campo eliminado")</f>
        <v>Campo eliminado</v>
      </c>
      <c r="O219" s="6" t="str">
        <f t="shared" si="17"/>
        <v>Campo eliminado</v>
      </c>
      <c r="P219" s="6" t="str">
        <f>IFERROR(VLOOKUP($B219,'Lista - Âmbito Projeto GD'!$B$3:$K$71,7,0),"Campo eliminado")</f>
        <v>Campo eliminado</v>
      </c>
      <c r="Q219" s="6" t="str">
        <f t="shared" si="18"/>
        <v>Campo eliminado</v>
      </c>
      <c r="R219" s="6" t="str">
        <f>IFERROR(VLOOKUP($B219,'Lista - Âmbito Projeto GD'!$B$3:$K$71,9,0),"Campo eliminado")</f>
        <v>Campo eliminado</v>
      </c>
      <c r="S219" s="6" t="str">
        <f t="shared" si="19"/>
        <v>Campo eliminado</v>
      </c>
      <c r="U219" s="6" t="str">
        <f>VLOOKUP(B219,DataLake!$A$4:$A$429,1,0)</f>
        <v>INSTRUMENT_PYMNT_FRQNCY</v>
      </c>
    </row>
    <row r="220" spans="1:21" ht="15" hidden="1" customHeight="1" x14ac:dyDescent="0.3">
      <c r="A220" s="7" t="s">
        <v>646</v>
      </c>
      <c r="B220" s="47" t="str">
        <f t="shared" si="15"/>
        <v>INSTRUMENT_RTNTN_SHR</v>
      </c>
      <c r="C220" s="8" t="s">
        <v>414</v>
      </c>
      <c r="D220" s="9" t="s">
        <v>647</v>
      </c>
      <c r="E220" s="11" t="s">
        <v>648</v>
      </c>
      <c r="F220" s="10" t="s">
        <v>13</v>
      </c>
      <c r="G220" s="10" t="s">
        <v>11</v>
      </c>
      <c r="H220" s="10" t="s">
        <v>11</v>
      </c>
      <c r="I220" s="10" t="s">
        <v>11</v>
      </c>
      <c r="J220" s="10" t="s">
        <v>11</v>
      </c>
      <c r="L220" s="6" t="str">
        <f>IFERROR(VLOOKUP($B220,'Lista - Âmbito Projeto GD'!$B$3:$F$71,5,0),"Campo eliminado")</f>
        <v>Campo eliminado</v>
      </c>
      <c r="M220" s="6" t="str">
        <f t="shared" si="16"/>
        <v>Campo eliminado</v>
      </c>
      <c r="N220" s="6" t="str">
        <f>IFERROR(VLOOKUP($B220,'Lista - Âmbito Projeto GD'!$B$3:$K$71,6,0),"Campo eliminado")</f>
        <v>Campo eliminado</v>
      </c>
      <c r="O220" s="6" t="str">
        <f t="shared" si="17"/>
        <v>Campo eliminado</v>
      </c>
      <c r="P220" s="6" t="str">
        <f>IFERROR(VLOOKUP($B220,'Lista - Âmbito Projeto GD'!$B$3:$K$71,7,0),"Campo eliminado")</f>
        <v>Campo eliminado</v>
      </c>
      <c r="Q220" s="6" t="str">
        <f t="shared" si="18"/>
        <v>Campo eliminado</v>
      </c>
      <c r="R220" s="6" t="str">
        <f>IFERROR(VLOOKUP($B220,'Lista - Âmbito Projeto GD'!$B$3:$K$71,9,0),"Campo eliminado")</f>
        <v>Campo eliminado</v>
      </c>
      <c r="S220" s="6" t="str">
        <f t="shared" si="19"/>
        <v>Campo eliminado</v>
      </c>
      <c r="U220" s="6" t="str">
        <f>VLOOKUP(B220,DataLake!$A$4:$A$429,1,0)</f>
        <v>INSTRUMENT_RTNTN_SHR</v>
      </c>
    </row>
    <row r="221" spans="1:21" ht="15" hidden="1" customHeight="1" x14ac:dyDescent="0.3">
      <c r="A221" s="7" t="s">
        <v>649</v>
      </c>
      <c r="B221" s="47" t="str">
        <f t="shared" si="15"/>
        <v>INSTRUMENT_RWA</v>
      </c>
      <c r="C221" s="8" t="s">
        <v>414</v>
      </c>
      <c r="D221" s="9" t="s">
        <v>650</v>
      </c>
      <c r="E221" s="11" t="s">
        <v>650</v>
      </c>
      <c r="F221" s="10" t="s">
        <v>13</v>
      </c>
      <c r="G221" s="10" t="s">
        <v>13</v>
      </c>
      <c r="H221" s="10" t="s">
        <v>11</v>
      </c>
      <c r="I221" s="10" t="s">
        <v>11</v>
      </c>
      <c r="J221" s="10" t="s">
        <v>11</v>
      </c>
      <c r="L221" s="6" t="str">
        <f>IFERROR(VLOOKUP($B221,'Lista - Âmbito Projeto GD'!$B$3:$F$71,5,0),"Campo eliminado")</f>
        <v>Y</v>
      </c>
      <c r="M221" s="6" t="str">
        <f t="shared" si="16"/>
        <v>Igual</v>
      </c>
      <c r="N221" s="6" t="str">
        <f>IFERROR(VLOOKUP($B221,'Lista - Âmbito Projeto GD'!$B$3:$K$71,6,0),"Campo eliminado")</f>
        <v>Y</v>
      </c>
      <c r="O221" s="6" t="str">
        <f t="shared" si="17"/>
        <v>Igual</v>
      </c>
      <c r="P221" s="6" t="str">
        <f>IFERROR(VLOOKUP($B221,'Lista - Âmbito Projeto GD'!$B$3:$K$71,7,0),"Campo eliminado")</f>
        <v>N</v>
      </c>
      <c r="Q221" s="6" t="str">
        <f t="shared" si="18"/>
        <v>Igual</v>
      </c>
      <c r="R221" s="6" t="str">
        <f>IFERROR(VLOOKUP($B221,'Lista - Âmbito Projeto GD'!$B$3:$K$71,9,0),"Campo eliminado")</f>
        <v>N</v>
      </c>
      <c r="S221" s="6" t="str">
        <f t="shared" si="19"/>
        <v>Igual</v>
      </c>
      <c r="U221" s="6" t="str">
        <f>VLOOKUP(B221,DataLake!$A$4:$A$429,1,0)</f>
        <v>INSTRUMENT_RWA</v>
      </c>
    </row>
    <row r="222" spans="1:21" ht="15" hidden="1" customHeight="1" x14ac:dyDescent="0.3">
      <c r="A222" s="7" t="s">
        <v>651</v>
      </c>
      <c r="B222" s="47" t="str">
        <f t="shared" si="15"/>
        <v>INSTRUMENT_RWA_MTHD</v>
      </c>
      <c r="C222" s="8" t="s">
        <v>414</v>
      </c>
      <c r="D222" s="9" t="s">
        <v>652</v>
      </c>
      <c r="E222" s="11" t="s">
        <v>653</v>
      </c>
      <c r="F222" s="10" t="s">
        <v>13</v>
      </c>
      <c r="G222" s="10" t="s">
        <v>11</v>
      </c>
      <c r="H222" s="10" t="s">
        <v>11</v>
      </c>
      <c r="I222" s="10" t="s">
        <v>11</v>
      </c>
      <c r="J222" s="10" t="s">
        <v>11</v>
      </c>
      <c r="L222" s="6" t="str">
        <f>IFERROR(VLOOKUP($B222,'Lista - Âmbito Projeto GD'!$B$3:$F$71,5,0),"Campo eliminado")</f>
        <v>Campo eliminado</v>
      </c>
      <c r="M222" s="6" t="str">
        <f t="shared" si="16"/>
        <v>Campo eliminado</v>
      </c>
      <c r="N222" s="6" t="str">
        <f>IFERROR(VLOOKUP($B222,'Lista - Âmbito Projeto GD'!$B$3:$K$71,6,0),"Campo eliminado")</f>
        <v>Campo eliminado</v>
      </c>
      <c r="O222" s="6" t="str">
        <f t="shared" si="17"/>
        <v>Campo eliminado</v>
      </c>
      <c r="P222" s="6" t="str">
        <f>IFERROR(VLOOKUP($B222,'Lista - Âmbito Projeto GD'!$B$3:$K$71,7,0),"Campo eliminado")</f>
        <v>Campo eliminado</v>
      </c>
      <c r="Q222" s="6" t="str">
        <f t="shared" si="18"/>
        <v>Campo eliminado</v>
      </c>
      <c r="R222" s="6" t="str">
        <f>IFERROR(VLOOKUP($B222,'Lista - Âmbito Projeto GD'!$B$3:$K$71,9,0),"Campo eliminado")</f>
        <v>Campo eliminado</v>
      </c>
      <c r="S222" s="6" t="str">
        <f t="shared" si="19"/>
        <v>Campo eliminado</v>
      </c>
      <c r="U222" s="6" t="str">
        <f>VLOOKUP(B222,DataLake!$A$4:$A$429,1,0)</f>
        <v>INSTRUMENT_RWA_MTHD</v>
      </c>
    </row>
    <row r="223" spans="1:21" ht="15" hidden="1" customHeight="1" x14ac:dyDescent="0.3">
      <c r="A223" s="7" t="s">
        <v>654</v>
      </c>
      <c r="B223" s="47" t="str">
        <f t="shared" si="15"/>
        <v>INSTRUMENT_SPNSR_NM</v>
      </c>
      <c r="C223" s="8" t="s">
        <v>414</v>
      </c>
      <c r="D223" s="9" t="s">
        <v>655</v>
      </c>
      <c r="E223" s="11" t="s">
        <v>656</v>
      </c>
      <c r="F223" s="10" t="s">
        <v>13</v>
      </c>
      <c r="G223" s="10" t="s">
        <v>11</v>
      </c>
      <c r="H223" s="10" t="s">
        <v>11</v>
      </c>
      <c r="I223" s="10" t="s">
        <v>11</v>
      </c>
      <c r="J223" s="10" t="s">
        <v>11</v>
      </c>
      <c r="L223" s="6" t="str">
        <f>IFERROR(VLOOKUP($B223,'Lista - Âmbito Projeto GD'!$B$3:$F$71,5,0),"Campo eliminado")</f>
        <v>Campo eliminado</v>
      </c>
      <c r="M223" s="6" t="str">
        <f t="shared" si="16"/>
        <v>Campo eliminado</v>
      </c>
      <c r="N223" s="6" t="str">
        <f>IFERROR(VLOOKUP($B223,'Lista - Âmbito Projeto GD'!$B$3:$K$71,6,0),"Campo eliminado")</f>
        <v>Campo eliminado</v>
      </c>
      <c r="O223" s="6" t="str">
        <f t="shared" si="17"/>
        <v>Campo eliminado</v>
      </c>
      <c r="P223" s="6" t="str">
        <f>IFERROR(VLOOKUP($B223,'Lista - Âmbito Projeto GD'!$B$3:$K$71,7,0),"Campo eliminado")</f>
        <v>Campo eliminado</v>
      </c>
      <c r="Q223" s="6" t="str">
        <f t="shared" si="18"/>
        <v>Campo eliminado</v>
      </c>
      <c r="R223" s="6" t="str">
        <f>IFERROR(VLOOKUP($B223,'Lista - Âmbito Projeto GD'!$B$3:$K$71,9,0),"Campo eliminado")</f>
        <v>Campo eliminado</v>
      </c>
      <c r="S223" s="6" t="str">
        <f t="shared" si="19"/>
        <v>Campo eliminado</v>
      </c>
      <c r="U223" s="6" t="str">
        <f>VLOOKUP(B223,DataLake!$A$4:$A$429,1,0)</f>
        <v>INSTRUMENT_SPNSR_NM</v>
      </c>
    </row>
    <row r="224" spans="1:21" ht="15" hidden="1" customHeight="1" x14ac:dyDescent="0.3">
      <c r="A224" s="7" t="s">
        <v>657</v>
      </c>
      <c r="B224" s="47" t="str">
        <f t="shared" si="15"/>
        <v>INSTRUMENT_ACCMLTD_IMPRMNT_INSTRMNT</v>
      </c>
      <c r="C224" s="8" t="s">
        <v>414</v>
      </c>
      <c r="D224" s="9" t="s">
        <v>658</v>
      </c>
      <c r="E224" s="11" t="s">
        <v>659</v>
      </c>
      <c r="F224" s="10" t="s">
        <v>13</v>
      </c>
      <c r="G224" s="10" t="s">
        <v>13</v>
      </c>
      <c r="H224" s="10" t="s">
        <v>13</v>
      </c>
      <c r="I224" s="10" t="s">
        <v>11</v>
      </c>
      <c r="J224" s="10" t="s">
        <v>11</v>
      </c>
      <c r="L224" s="6" t="str">
        <f>IFERROR(VLOOKUP($B224,'Lista - Âmbito Projeto GD'!$B$3:$F$71,5,0),"Campo eliminado")</f>
        <v>Y</v>
      </c>
      <c r="M224" s="6" t="str">
        <f t="shared" si="16"/>
        <v>Igual</v>
      </c>
      <c r="N224" s="6" t="str">
        <f>IFERROR(VLOOKUP($B224,'Lista - Âmbito Projeto GD'!$B$3:$K$71,6,0),"Campo eliminado")</f>
        <v>Y</v>
      </c>
      <c r="O224" s="6" t="str">
        <f t="shared" si="17"/>
        <v>Igual</v>
      </c>
      <c r="P224" s="6" t="str">
        <f>IFERROR(VLOOKUP($B224,'Lista - Âmbito Projeto GD'!$B$3:$K$71,7,0),"Campo eliminado")</f>
        <v>Y</v>
      </c>
      <c r="Q224" s="6" t="str">
        <f t="shared" si="18"/>
        <v>Igual</v>
      </c>
      <c r="R224" s="6" t="str">
        <f>IFERROR(VLOOKUP($B224,'Lista - Âmbito Projeto GD'!$B$3:$K$71,9,0),"Campo eliminado")</f>
        <v>N</v>
      </c>
      <c r="S224" s="6" t="str">
        <f t="shared" si="19"/>
        <v>Igual</v>
      </c>
      <c r="U224" s="6" t="str">
        <f>VLOOKUP(B224,DataLake!$A$4:$A$429,1,0)</f>
        <v>INSTRUMENT_ACCMLTD_IMPRMNT_INSTRMNT</v>
      </c>
    </row>
    <row r="225" spans="1:21" ht="15" hidden="1" customHeight="1" x14ac:dyDescent="0.3">
      <c r="A225" s="7" t="s">
        <v>660</v>
      </c>
      <c r="B225" s="47" t="str">
        <f t="shared" si="15"/>
        <v>INSTRUMENT_ACCMLTD_IMPRMNT_INSTRMNT_PRVS</v>
      </c>
      <c r="C225" s="8" t="s">
        <v>414</v>
      </c>
      <c r="D225" s="9" t="s">
        <v>661</v>
      </c>
      <c r="E225" s="11" t="s">
        <v>662</v>
      </c>
      <c r="F225" s="10" t="s">
        <v>13</v>
      </c>
      <c r="G225" s="10" t="s">
        <v>11</v>
      </c>
      <c r="H225" s="10" t="s">
        <v>11</v>
      </c>
      <c r="I225" s="10" t="s">
        <v>11</v>
      </c>
      <c r="J225" s="10" t="s">
        <v>11</v>
      </c>
      <c r="L225" s="6" t="str">
        <f>IFERROR(VLOOKUP($B225,'Lista - Âmbito Projeto GD'!$B$3:$F$71,5,0),"Campo eliminado")</f>
        <v>Campo eliminado</v>
      </c>
      <c r="M225" s="6" t="str">
        <f t="shared" si="16"/>
        <v>Campo eliminado</v>
      </c>
      <c r="N225" s="6" t="str">
        <f>IFERROR(VLOOKUP($B225,'Lista - Âmbito Projeto GD'!$B$3:$K$71,6,0),"Campo eliminado")</f>
        <v>Campo eliminado</v>
      </c>
      <c r="O225" s="6" t="str">
        <f t="shared" si="17"/>
        <v>Campo eliminado</v>
      </c>
      <c r="P225" s="6" t="str">
        <f>IFERROR(VLOOKUP($B225,'Lista - Âmbito Projeto GD'!$B$3:$K$71,7,0),"Campo eliminado")</f>
        <v>Campo eliminado</v>
      </c>
      <c r="Q225" s="6" t="str">
        <f t="shared" si="18"/>
        <v>Campo eliminado</v>
      </c>
      <c r="R225" s="6" t="str">
        <f>IFERROR(VLOOKUP($B225,'Lista - Âmbito Projeto GD'!$B$3:$K$71,9,0),"Campo eliminado")</f>
        <v>Campo eliminado</v>
      </c>
      <c r="S225" s="6" t="str">
        <f t="shared" si="19"/>
        <v>Campo eliminado</v>
      </c>
      <c r="U225" s="6" t="str">
        <f>VLOOKUP(B225,DataLake!$A$4:$A$429,1,0)</f>
        <v>INSTRUMENT_ACCMLTD_IMPRMNT_INSTRMNT_PRVS</v>
      </c>
    </row>
    <row r="226" spans="1:21" ht="15" hidden="1" customHeight="1" x14ac:dyDescent="0.3">
      <c r="A226" s="7" t="s">
        <v>663</v>
      </c>
      <c r="B226" s="47" t="str">
        <f t="shared" si="15"/>
        <v>INSTRUMENT_ACCMLTD_WRTFFS_INSTRMNT</v>
      </c>
      <c r="C226" s="8" t="s">
        <v>414</v>
      </c>
      <c r="D226" s="9" t="s">
        <v>664</v>
      </c>
      <c r="E226" s="11" t="s">
        <v>665</v>
      </c>
      <c r="F226" s="10" t="s">
        <v>13</v>
      </c>
      <c r="G226" s="10" t="s">
        <v>11</v>
      </c>
      <c r="H226" s="10" t="s">
        <v>11</v>
      </c>
      <c r="I226" s="10" t="s">
        <v>11</v>
      </c>
      <c r="J226" s="10" t="s">
        <v>11</v>
      </c>
      <c r="L226" s="6" t="str">
        <f>IFERROR(VLOOKUP($B226,'Lista - Âmbito Projeto GD'!$B$3:$F$71,5,0),"Campo eliminado")</f>
        <v>Campo eliminado</v>
      </c>
      <c r="M226" s="6" t="str">
        <f t="shared" si="16"/>
        <v>Campo eliminado</v>
      </c>
      <c r="N226" s="6" t="str">
        <f>IFERROR(VLOOKUP($B226,'Lista - Âmbito Projeto GD'!$B$3:$K$71,6,0),"Campo eliminado")</f>
        <v>Campo eliminado</v>
      </c>
      <c r="O226" s="6" t="str">
        <f t="shared" si="17"/>
        <v>Campo eliminado</v>
      </c>
      <c r="P226" s="6" t="str">
        <f>IFERROR(VLOOKUP($B226,'Lista - Âmbito Projeto GD'!$B$3:$K$71,7,0),"Campo eliminado")</f>
        <v>Campo eliminado</v>
      </c>
      <c r="Q226" s="6" t="str">
        <f t="shared" si="18"/>
        <v>Campo eliminado</v>
      </c>
      <c r="R226" s="6" t="str">
        <f>IFERROR(VLOOKUP($B226,'Lista - Âmbito Projeto GD'!$B$3:$K$71,9,0),"Campo eliminado")</f>
        <v>Campo eliminado</v>
      </c>
      <c r="S226" s="6" t="str">
        <f t="shared" si="19"/>
        <v>Campo eliminado</v>
      </c>
      <c r="U226" s="6" t="str">
        <f>VLOOKUP(B226,DataLake!$A$4:$A$429,1,0)</f>
        <v>INSTRUMENT_ACCMLTD_WRTFFS_INSTRMNT</v>
      </c>
    </row>
    <row r="227" spans="1:21" ht="15" hidden="1" customHeight="1" x14ac:dyDescent="0.3">
      <c r="A227" s="7" t="s">
        <v>666</v>
      </c>
      <c r="B227" s="47" t="str">
        <f t="shared" si="15"/>
        <v>INSTRUMENT_ARRRS_INSTRMNT</v>
      </c>
      <c r="C227" s="8" t="s">
        <v>414</v>
      </c>
      <c r="D227" s="9" t="s">
        <v>667</v>
      </c>
      <c r="E227" s="11" t="s">
        <v>668</v>
      </c>
      <c r="F227" s="10" t="s">
        <v>13</v>
      </c>
      <c r="G227" s="10" t="s">
        <v>11</v>
      </c>
      <c r="H227" s="10" t="s">
        <v>11</v>
      </c>
      <c r="I227" s="10" t="s">
        <v>11</v>
      </c>
      <c r="J227" s="10" t="s">
        <v>11</v>
      </c>
      <c r="L227" s="6" t="str">
        <f>IFERROR(VLOOKUP($B227,'Lista - Âmbito Projeto GD'!$B$3:$F$71,5,0),"Campo eliminado")</f>
        <v>Campo eliminado</v>
      </c>
      <c r="M227" s="6" t="str">
        <f t="shared" si="16"/>
        <v>Campo eliminado</v>
      </c>
      <c r="N227" s="6" t="str">
        <f>IFERROR(VLOOKUP($B227,'Lista - Âmbito Projeto GD'!$B$3:$K$71,6,0),"Campo eliminado")</f>
        <v>Campo eliminado</v>
      </c>
      <c r="O227" s="6" t="str">
        <f t="shared" si="17"/>
        <v>Campo eliminado</v>
      </c>
      <c r="P227" s="6" t="str">
        <f>IFERROR(VLOOKUP($B227,'Lista - Âmbito Projeto GD'!$B$3:$K$71,7,0),"Campo eliminado")</f>
        <v>Campo eliminado</v>
      </c>
      <c r="Q227" s="6" t="str">
        <f t="shared" si="18"/>
        <v>Campo eliminado</v>
      </c>
      <c r="R227" s="6" t="str">
        <f>IFERROR(VLOOKUP($B227,'Lista - Âmbito Projeto GD'!$B$3:$K$71,9,0),"Campo eliminado")</f>
        <v>Campo eliminado</v>
      </c>
      <c r="S227" s="6" t="str">
        <f t="shared" si="19"/>
        <v>Campo eliminado</v>
      </c>
      <c r="U227" s="6" t="str">
        <f>VLOOKUP(B227,DataLake!$A$4:$A$429,1,0)</f>
        <v>INSTRUMENT_ARRRS_INSTRMNT</v>
      </c>
    </row>
    <row r="228" spans="1:21" ht="15" hidden="1" customHeight="1" x14ac:dyDescent="0.3">
      <c r="A228" s="7" t="s">
        <v>669</v>
      </c>
      <c r="B228" s="47" t="str">
        <f t="shared" si="15"/>
        <v>INSTRUMENT_ARRRS_INSTRMNT_12M</v>
      </c>
      <c r="C228" s="8" t="s">
        <v>414</v>
      </c>
      <c r="D228" s="9" t="s">
        <v>670</v>
      </c>
      <c r="E228" s="11" t="s">
        <v>671</v>
      </c>
      <c r="F228" s="10" t="s">
        <v>13</v>
      </c>
      <c r="G228" s="10" t="s">
        <v>11</v>
      </c>
      <c r="H228" s="10" t="s">
        <v>11</v>
      </c>
      <c r="I228" s="10" t="s">
        <v>11</v>
      </c>
      <c r="J228" s="10" t="s">
        <v>11</v>
      </c>
      <c r="L228" s="6" t="str">
        <f>IFERROR(VLOOKUP($B228,'Lista - Âmbito Projeto GD'!$B$3:$F$71,5,0),"Campo eliminado")</f>
        <v>Campo eliminado</v>
      </c>
      <c r="M228" s="6" t="str">
        <f t="shared" si="16"/>
        <v>Campo eliminado</v>
      </c>
      <c r="N228" s="6" t="str">
        <f>IFERROR(VLOOKUP($B228,'Lista - Âmbito Projeto GD'!$B$3:$K$71,6,0),"Campo eliminado")</f>
        <v>Campo eliminado</v>
      </c>
      <c r="O228" s="6" t="str">
        <f t="shared" si="17"/>
        <v>Campo eliminado</v>
      </c>
      <c r="P228" s="6" t="str">
        <f>IFERROR(VLOOKUP($B228,'Lista - Âmbito Projeto GD'!$B$3:$K$71,7,0),"Campo eliminado")</f>
        <v>Campo eliminado</v>
      </c>
      <c r="Q228" s="6" t="str">
        <f t="shared" si="18"/>
        <v>Campo eliminado</v>
      </c>
      <c r="R228" s="6" t="str">
        <f>IFERROR(VLOOKUP($B228,'Lista - Âmbito Projeto GD'!$B$3:$K$71,9,0),"Campo eliminado")</f>
        <v>Campo eliminado</v>
      </c>
      <c r="S228" s="6" t="str">
        <f t="shared" si="19"/>
        <v>Campo eliminado</v>
      </c>
      <c r="U228" s="6" t="str">
        <f>VLOOKUP(B228,DataLake!$A$4:$A$429,1,0)</f>
        <v>INSTRUMENT_ARRRS_INSTRMNT_12M</v>
      </c>
    </row>
    <row r="229" spans="1:21" ht="15" hidden="1" customHeight="1" x14ac:dyDescent="0.3">
      <c r="A229" s="7" t="s">
        <v>672</v>
      </c>
      <c r="B229" s="47" t="str">
        <f t="shared" si="15"/>
        <v>INSTRUMENT_CMLTV_RCVRS_SNC_DFLT_INSTRMNT</v>
      </c>
      <c r="C229" s="8" t="s">
        <v>414</v>
      </c>
      <c r="D229" s="9" t="s">
        <v>673</v>
      </c>
      <c r="E229" s="11" t="s">
        <v>674</v>
      </c>
      <c r="F229" s="10" t="s">
        <v>13</v>
      </c>
      <c r="G229" s="10" t="s">
        <v>11</v>
      </c>
      <c r="H229" s="10" t="s">
        <v>11</v>
      </c>
      <c r="I229" s="10" t="s">
        <v>11</v>
      </c>
      <c r="J229" s="10" t="s">
        <v>11</v>
      </c>
      <c r="L229" s="6" t="str">
        <f>IFERROR(VLOOKUP($B229,'Lista - Âmbito Projeto GD'!$B$3:$F$71,5,0),"Campo eliminado")</f>
        <v>Campo eliminado</v>
      </c>
      <c r="M229" s="6" t="str">
        <f t="shared" si="16"/>
        <v>Campo eliminado</v>
      </c>
      <c r="N229" s="6" t="str">
        <f>IFERROR(VLOOKUP($B229,'Lista - Âmbito Projeto GD'!$B$3:$K$71,6,0),"Campo eliminado")</f>
        <v>Campo eliminado</v>
      </c>
      <c r="O229" s="6" t="str">
        <f t="shared" si="17"/>
        <v>Campo eliminado</v>
      </c>
      <c r="P229" s="6" t="str">
        <f>IFERROR(VLOOKUP($B229,'Lista - Âmbito Projeto GD'!$B$3:$K$71,7,0),"Campo eliminado")</f>
        <v>Campo eliminado</v>
      </c>
      <c r="Q229" s="6" t="str">
        <f t="shared" si="18"/>
        <v>Campo eliminado</v>
      </c>
      <c r="R229" s="6" t="str">
        <f>IFERROR(VLOOKUP($B229,'Lista - Âmbito Projeto GD'!$B$3:$K$71,9,0),"Campo eliminado")</f>
        <v>Campo eliminado</v>
      </c>
      <c r="S229" s="6" t="str">
        <f t="shared" si="19"/>
        <v>Campo eliminado</v>
      </c>
      <c r="U229" s="6" t="str">
        <f>VLOOKUP(B229,DataLake!$A$4:$A$429,1,0)</f>
        <v>INSTRUMENT_CMLTV_RCVRS_SNC_DFLT_INSTRMNT</v>
      </c>
    </row>
    <row r="230" spans="1:21" ht="15" hidden="1" customHeight="1" x14ac:dyDescent="0.3">
      <c r="A230" s="7" t="s">
        <v>675</v>
      </c>
      <c r="B230" s="47" t="str">
        <f t="shared" si="15"/>
        <v>INSTRUMENT_DPD</v>
      </c>
      <c r="C230" s="8" t="s">
        <v>414</v>
      </c>
      <c r="D230" s="9" t="s">
        <v>676</v>
      </c>
      <c r="E230" s="11" t="s">
        <v>677</v>
      </c>
      <c r="F230" s="10" t="s">
        <v>13</v>
      </c>
      <c r="G230" s="10" t="s">
        <v>11</v>
      </c>
      <c r="H230" s="10" t="s">
        <v>11</v>
      </c>
      <c r="I230" s="10" t="s">
        <v>11</v>
      </c>
      <c r="J230" s="10" t="s">
        <v>11</v>
      </c>
      <c r="L230" s="6" t="str">
        <f>IFERROR(VLOOKUP($B230,'Lista - Âmbito Projeto GD'!$B$3:$F$71,5,0),"Campo eliminado")</f>
        <v>Campo eliminado</v>
      </c>
      <c r="M230" s="6" t="str">
        <f t="shared" si="16"/>
        <v>Campo eliminado</v>
      </c>
      <c r="N230" s="6" t="str">
        <f>IFERROR(VLOOKUP($B230,'Lista - Âmbito Projeto GD'!$B$3:$K$71,6,0),"Campo eliminado")</f>
        <v>Campo eliminado</v>
      </c>
      <c r="O230" s="6" t="str">
        <f t="shared" si="17"/>
        <v>Campo eliminado</v>
      </c>
      <c r="P230" s="6" t="str">
        <f>IFERROR(VLOOKUP($B230,'Lista - Âmbito Projeto GD'!$B$3:$K$71,7,0),"Campo eliminado")</f>
        <v>Campo eliminado</v>
      </c>
      <c r="Q230" s="6" t="str">
        <f t="shared" si="18"/>
        <v>Campo eliminado</v>
      </c>
      <c r="R230" s="6" t="str">
        <f>IFERROR(VLOOKUP($B230,'Lista - Âmbito Projeto GD'!$B$3:$K$71,9,0),"Campo eliminado")</f>
        <v>Campo eliminado</v>
      </c>
      <c r="S230" s="6" t="str">
        <f t="shared" si="19"/>
        <v>Campo eliminado</v>
      </c>
      <c r="U230" s="6" t="str">
        <f>VLOOKUP(B230,DataLake!$A$4:$A$429,1,0)</f>
        <v>INSTRUMENT_DPD</v>
      </c>
    </row>
    <row r="231" spans="1:21" ht="15" hidden="1" customHeight="1" x14ac:dyDescent="0.3">
      <c r="A231" s="7" t="s">
        <v>678</v>
      </c>
      <c r="B231" s="47" t="str">
        <f t="shared" si="15"/>
        <v>INSTRUMENT_DPD_12M</v>
      </c>
      <c r="C231" s="8" t="s">
        <v>414</v>
      </c>
      <c r="D231" s="9" t="s">
        <v>679</v>
      </c>
      <c r="E231" s="11" t="s">
        <v>680</v>
      </c>
      <c r="F231" s="10" t="s">
        <v>13</v>
      </c>
      <c r="G231" s="10" t="s">
        <v>11</v>
      </c>
      <c r="H231" s="10" t="s">
        <v>11</v>
      </c>
      <c r="I231" s="10" t="s">
        <v>11</v>
      </c>
      <c r="J231" s="10" t="s">
        <v>11</v>
      </c>
      <c r="L231" s="6" t="str">
        <f>IFERROR(VLOOKUP($B231,'Lista - Âmbito Projeto GD'!$B$3:$F$71,5,0),"Campo eliminado")</f>
        <v>Campo eliminado</v>
      </c>
      <c r="M231" s="6" t="str">
        <f t="shared" si="16"/>
        <v>Campo eliminado</v>
      </c>
      <c r="N231" s="6" t="str">
        <f>IFERROR(VLOOKUP($B231,'Lista - Âmbito Projeto GD'!$B$3:$K$71,6,0),"Campo eliminado")</f>
        <v>Campo eliminado</v>
      </c>
      <c r="O231" s="6" t="str">
        <f t="shared" si="17"/>
        <v>Campo eliminado</v>
      </c>
      <c r="P231" s="6" t="str">
        <f>IFERROR(VLOOKUP($B231,'Lista - Âmbito Projeto GD'!$B$3:$K$71,7,0),"Campo eliminado")</f>
        <v>Campo eliminado</v>
      </c>
      <c r="Q231" s="6" t="str">
        <f t="shared" si="18"/>
        <v>Campo eliminado</v>
      </c>
      <c r="R231" s="6" t="str">
        <f>IFERROR(VLOOKUP($B231,'Lista - Âmbito Projeto GD'!$B$3:$K$71,9,0),"Campo eliminado")</f>
        <v>Campo eliminado</v>
      </c>
      <c r="S231" s="6" t="str">
        <f t="shared" si="19"/>
        <v>Campo eliminado</v>
      </c>
      <c r="U231" s="6" t="str">
        <f>VLOOKUP(B231,DataLake!$A$4:$A$429,1,0)</f>
        <v>INSTRUMENT_DPD_12M</v>
      </c>
    </row>
    <row r="232" spans="1:21" ht="15" hidden="1" customHeight="1" x14ac:dyDescent="0.3">
      <c r="A232" s="7" t="s">
        <v>681</v>
      </c>
      <c r="B232" s="47" t="str">
        <f t="shared" si="15"/>
        <v>INSTRUMENT_DPD_12M_FRBRNC_STTS</v>
      </c>
      <c r="C232" s="8" t="s">
        <v>414</v>
      </c>
      <c r="D232" s="9" t="s">
        <v>682</v>
      </c>
      <c r="E232" s="11" t="s">
        <v>683</v>
      </c>
      <c r="F232" s="10" t="s">
        <v>13</v>
      </c>
      <c r="G232" s="10" t="s">
        <v>11</v>
      </c>
      <c r="H232" s="10" t="s">
        <v>11</v>
      </c>
      <c r="I232" s="10" t="s">
        <v>11</v>
      </c>
      <c r="J232" s="10" t="s">
        <v>11</v>
      </c>
      <c r="L232" s="6" t="str">
        <f>IFERROR(VLOOKUP($B232,'Lista - Âmbito Projeto GD'!$B$3:$F$71,5,0),"Campo eliminado")</f>
        <v>Campo eliminado</v>
      </c>
      <c r="M232" s="6" t="str">
        <f t="shared" si="16"/>
        <v>Campo eliminado</v>
      </c>
      <c r="N232" s="6" t="str">
        <f>IFERROR(VLOOKUP($B232,'Lista - Âmbito Projeto GD'!$B$3:$K$71,6,0),"Campo eliminado")</f>
        <v>Campo eliminado</v>
      </c>
      <c r="O232" s="6" t="str">
        <f t="shared" si="17"/>
        <v>Campo eliminado</v>
      </c>
      <c r="P232" s="6" t="str">
        <f>IFERROR(VLOOKUP($B232,'Lista - Âmbito Projeto GD'!$B$3:$K$71,7,0),"Campo eliminado")</f>
        <v>Campo eliminado</v>
      </c>
      <c r="Q232" s="6" t="str">
        <f t="shared" si="18"/>
        <v>Campo eliminado</v>
      </c>
      <c r="R232" s="6" t="str">
        <f>IFERROR(VLOOKUP($B232,'Lista - Âmbito Projeto GD'!$B$3:$K$71,9,0),"Campo eliminado")</f>
        <v>Campo eliminado</v>
      </c>
      <c r="S232" s="6" t="str">
        <f t="shared" si="19"/>
        <v>Campo eliminado</v>
      </c>
      <c r="U232" s="6" t="str">
        <f>VLOOKUP(B232,DataLake!$A$4:$A$429,1,0)</f>
        <v>INSTRUMENT_DPD_12M_FRBRNC_STTS</v>
      </c>
    </row>
    <row r="233" spans="1:21" ht="15" hidden="1" customHeight="1" x14ac:dyDescent="0.3">
      <c r="A233" s="7" t="s">
        <v>684</v>
      </c>
      <c r="B233" s="47" t="str">
        <f t="shared" si="15"/>
        <v>INSTRUMENT_DPD_12M_PRFRMNG_STTS</v>
      </c>
      <c r="C233" s="8" t="s">
        <v>414</v>
      </c>
      <c r="D233" s="9" t="s">
        <v>685</v>
      </c>
      <c r="E233" s="11" t="s">
        <v>686</v>
      </c>
      <c r="F233" s="10" t="s">
        <v>13</v>
      </c>
      <c r="G233" s="10" t="s">
        <v>11</v>
      </c>
      <c r="H233" s="10" t="s">
        <v>11</v>
      </c>
      <c r="I233" s="10" t="s">
        <v>11</v>
      </c>
      <c r="J233" s="10" t="s">
        <v>11</v>
      </c>
      <c r="L233" s="6" t="str">
        <f>IFERROR(VLOOKUP($B233,'Lista - Âmbito Projeto GD'!$B$3:$F$71,5,0),"Campo eliminado")</f>
        <v>Campo eliminado</v>
      </c>
      <c r="M233" s="6" t="str">
        <f t="shared" si="16"/>
        <v>Campo eliminado</v>
      </c>
      <c r="N233" s="6" t="str">
        <f>IFERROR(VLOOKUP($B233,'Lista - Âmbito Projeto GD'!$B$3:$K$71,6,0),"Campo eliminado")</f>
        <v>Campo eliminado</v>
      </c>
      <c r="O233" s="6" t="str">
        <f t="shared" si="17"/>
        <v>Campo eliminado</v>
      </c>
      <c r="P233" s="6" t="str">
        <f>IFERROR(VLOOKUP($B233,'Lista - Âmbito Projeto GD'!$B$3:$K$71,7,0),"Campo eliminado")</f>
        <v>Campo eliminado</v>
      </c>
      <c r="Q233" s="6" t="str">
        <f t="shared" si="18"/>
        <v>Campo eliminado</v>
      </c>
      <c r="R233" s="6" t="str">
        <f>IFERROR(VLOOKUP($B233,'Lista - Âmbito Projeto GD'!$B$3:$K$71,9,0),"Campo eliminado")</f>
        <v>Campo eliminado</v>
      </c>
      <c r="S233" s="6" t="str">
        <f t="shared" si="19"/>
        <v>Campo eliminado</v>
      </c>
      <c r="U233" s="6" t="str">
        <f>VLOOKUP(B233,DataLake!$A$4:$A$429,1,0)</f>
        <v>INSTRUMENT_DPD_12M_PRFRMNG_STTS</v>
      </c>
    </row>
    <row r="234" spans="1:21" ht="15" hidden="1" customHeight="1" x14ac:dyDescent="0.3">
      <c r="A234" s="7" t="s">
        <v>687</v>
      </c>
      <c r="B234" s="47" t="str">
        <f t="shared" si="15"/>
        <v>INSTRUMENT_DPD_24M_FRBRNC_STTS</v>
      </c>
      <c r="C234" s="8" t="s">
        <v>414</v>
      </c>
      <c r="D234" s="9" t="s">
        <v>688</v>
      </c>
      <c r="E234" s="11" t="s">
        <v>689</v>
      </c>
      <c r="F234" s="10" t="s">
        <v>13</v>
      </c>
      <c r="G234" s="10" t="s">
        <v>11</v>
      </c>
      <c r="H234" s="10" t="s">
        <v>11</v>
      </c>
      <c r="I234" s="10" t="s">
        <v>11</v>
      </c>
      <c r="J234" s="10" t="s">
        <v>11</v>
      </c>
      <c r="L234" s="6" t="str">
        <f>IFERROR(VLOOKUP($B234,'Lista - Âmbito Projeto GD'!$B$3:$F$71,5,0),"Campo eliminado")</f>
        <v>Campo eliminado</v>
      </c>
      <c r="M234" s="6" t="str">
        <f t="shared" si="16"/>
        <v>Campo eliminado</v>
      </c>
      <c r="N234" s="6" t="str">
        <f>IFERROR(VLOOKUP($B234,'Lista - Âmbito Projeto GD'!$B$3:$K$71,6,0),"Campo eliminado")</f>
        <v>Campo eliminado</v>
      </c>
      <c r="O234" s="6" t="str">
        <f t="shared" si="17"/>
        <v>Campo eliminado</v>
      </c>
      <c r="P234" s="6" t="str">
        <f>IFERROR(VLOOKUP($B234,'Lista - Âmbito Projeto GD'!$B$3:$K$71,7,0),"Campo eliminado")</f>
        <v>Campo eliminado</v>
      </c>
      <c r="Q234" s="6" t="str">
        <f t="shared" si="18"/>
        <v>Campo eliminado</v>
      </c>
      <c r="R234" s="6" t="str">
        <f>IFERROR(VLOOKUP($B234,'Lista - Âmbito Projeto GD'!$B$3:$K$71,9,0),"Campo eliminado")</f>
        <v>Campo eliminado</v>
      </c>
      <c r="S234" s="6" t="str">
        <f t="shared" si="19"/>
        <v>Campo eliminado</v>
      </c>
      <c r="U234" s="6" t="str">
        <f>VLOOKUP(B234,DataLake!$A$4:$A$429,1,0)</f>
        <v>INSTRUMENT_DPD_24M_FRBRNC_STTS</v>
      </c>
    </row>
    <row r="235" spans="1:21" ht="15" hidden="1" customHeight="1" x14ac:dyDescent="0.3">
      <c r="A235" s="7" t="s">
        <v>690</v>
      </c>
      <c r="B235" s="47" t="str">
        <f t="shared" si="15"/>
        <v>INSTRUMENT_DPD_24M_PRFRMNG_STTS</v>
      </c>
      <c r="C235" s="8" t="s">
        <v>414</v>
      </c>
      <c r="D235" s="9" t="s">
        <v>691</v>
      </c>
      <c r="E235" s="11" t="s">
        <v>692</v>
      </c>
      <c r="F235" s="10" t="s">
        <v>13</v>
      </c>
      <c r="G235" s="10" t="s">
        <v>11</v>
      </c>
      <c r="H235" s="10" t="s">
        <v>11</v>
      </c>
      <c r="I235" s="10" t="s">
        <v>11</v>
      </c>
      <c r="J235" s="10" t="s">
        <v>11</v>
      </c>
      <c r="L235" s="6" t="str">
        <f>IFERROR(VLOOKUP($B235,'Lista - Âmbito Projeto GD'!$B$3:$F$71,5,0),"Campo eliminado")</f>
        <v>Campo eliminado</v>
      </c>
      <c r="M235" s="6" t="str">
        <f t="shared" si="16"/>
        <v>Campo eliminado</v>
      </c>
      <c r="N235" s="6" t="str">
        <f>IFERROR(VLOOKUP($B235,'Lista - Âmbito Projeto GD'!$B$3:$K$71,6,0),"Campo eliminado")</f>
        <v>Campo eliminado</v>
      </c>
      <c r="O235" s="6" t="str">
        <f t="shared" si="17"/>
        <v>Campo eliminado</v>
      </c>
      <c r="P235" s="6" t="str">
        <f>IFERROR(VLOOKUP($B235,'Lista - Âmbito Projeto GD'!$B$3:$K$71,7,0),"Campo eliminado")</f>
        <v>Campo eliminado</v>
      </c>
      <c r="Q235" s="6" t="str">
        <f t="shared" si="18"/>
        <v>Campo eliminado</v>
      </c>
      <c r="R235" s="6" t="str">
        <f>IFERROR(VLOOKUP($B235,'Lista - Âmbito Projeto GD'!$B$3:$K$71,9,0),"Campo eliminado")</f>
        <v>Campo eliminado</v>
      </c>
      <c r="S235" s="6" t="str">
        <f t="shared" si="19"/>
        <v>Campo eliminado</v>
      </c>
      <c r="U235" s="6" t="str">
        <f>VLOOKUP(B235,DataLake!$A$4:$A$429,1,0)</f>
        <v>INSTRUMENT_DPD_24M_PRFRMNG_STTS</v>
      </c>
    </row>
    <row r="236" spans="1:21" ht="15" hidden="1" customHeight="1" x14ac:dyDescent="0.3">
      <c r="A236" s="7" t="s">
        <v>693</v>
      </c>
      <c r="B236" s="47" t="str">
        <f t="shared" si="15"/>
        <v>INSTRUMENT_DPD_FRBRNC_STTS</v>
      </c>
      <c r="C236" s="8" t="s">
        <v>414</v>
      </c>
      <c r="D236" s="9" t="s">
        <v>694</v>
      </c>
      <c r="E236" s="11" t="s">
        <v>695</v>
      </c>
      <c r="F236" s="10" t="s">
        <v>13</v>
      </c>
      <c r="G236" s="10" t="s">
        <v>11</v>
      </c>
      <c r="H236" s="10" t="s">
        <v>11</v>
      </c>
      <c r="I236" s="10" t="s">
        <v>11</v>
      </c>
      <c r="J236" s="10" t="s">
        <v>11</v>
      </c>
      <c r="L236" s="6" t="str">
        <f>IFERROR(VLOOKUP($B236,'Lista - Âmbito Projeto GD'!$B$3:$F$71,5,0),"Campo eliminado")</f>
        <v>Campo eliminado</v>
      </c>
      <c r="M236" s="6" t="str">
        <f t="shared" si="16"/>
        <v>Campo eliminado</v>
      </c>
      <c r="N236" s="6" t="str">
        <f>IFERROR(VLOOKUP($B236,'Lista - Âmbito Projeto GD'!$B$3:$K$71,6,0),"Campo eliminado")</f>
        <v>Campo eliminado</v>
      </c>
      <c r="O236" s="6" t="str">
        <f t="shared" si="17"/>
        <v>Campo eliminado</v>
      </c>
      <c r="P236" s="6" t="str">
        <f>IFERROR(VLOOKUP($B236,'Lista - Âmbito Projeto GD'!$B$3:$K$71,7,0),"Campo eliminado")</f>
        <v>Campo eliminado</v>
      </c>
      <c r="Q236" s="6" t="str">
        <f t="shared" si="18"/>
        <v>Campo eliminado</v>
      </c>
      <c r="R236" s="6" t="str">
        <f>IFERROR(VLOOKUP($B236,'Lista - Âmbito Projeto GD'!$B$3:$K$71,9,0),"Campo eliminado")</f>
        <v>Campo eliminado</v>
      </c>
      <c r="S236" s="6" t="str">
        <f t="shared" si="19"/>
        <v>Campo eliminado</v>
      </c>
      <c r="U236" s="6" t="str">
        <f>VLOOKUP(B236,DataLake!$A$4:$A$429,1,0)</f>
        <v>INSTRUMENT_DPD_FRBRNC_STTS</v>
      </c>
    </row>
    <row r="237" spans="1:21" ht="15" hidden="1" customHeight="1" x14ac:dyDescent="0.3">
      <c r="A237" s="7" t="s">
        <v>696</v>
      </c>
      <c r="B237" s="47" t="str">
        <f t="shared" si="15"/>
        <v>INSTRUMENT_DPD_PRFRMNG_STTS</v>
      </c>
      <c r="C237" s="8" t="s">
        <v>414</v>
      </c>
      <c r="D237" s="9" t="s">
        <v>697</v>
      </c>
      <c r="E237" s="11" t="s">
        <v>698</v>
      </c>
      <c r="F237" s="10" t="s">
        <v>13</v>
      </c>
      <c r="G237" s="10" t="s">
        <v>11</v>
      </c>
      <c r="H237" s="10" t="s">
        <v>11</v>
      </c>
      <c r="I237" s="10" t="s">
        <v>11</v>
      </c>
      <c r="J237" s="10" t="s">
        <v>11</v>
      </c>
      <c r="L237" s="6" t="str">
        <f>IFERROR(VLOOKUP($B237,'Lista - Âmbito Projeto GD'!$B$3:$F$71,5,0),"Campo eliminado")</f>
        <v>Campo eliminado</v>
      </c>
      <c r="M237" s="6" t="str">
        <f t="shared" si="16"/>
        <v>Campo eliminado</v>
      </c>
      <c r="N237" s="6" t="str">
        <f>IFERROR(VLOOKUP($B237,'Lista - Âmbito Projeto GD'!$B$3:$K$71,6,0),"Campo eliminado")</f>
        <v>Campo eliminado</v>
      </c>
      <c r="O237" s="6" t="str">
        <f t="shared" si="17"/>
        <v>Campo eliminado</v>
      </c>
      <c r="P237" s="6" t="str">
        <f>IFERROR(VLOOKUP($B237,'Lista - Âmbito Projeto GD'!$B$3:$K$71,7,0),"Campo eliminado")</f>
        <v>Campo eliminado</v>
      </c>
      <c r="Q237" s="6" t="str">
        <f t="shared" si="18"/>
        <v>Campo eliminado</v>
      </c>
      <c r="R237" s="6" t="str">
        <f>IFERROR(VLOOKUP($B237,'Lista - Âmbito Projeto GD'!$B$3:$K$71,9,0),"Campo eliminado")</f>
        <v>Campo eliminado</v>
      </c>
      <c r="S237" s="6" t="str">
        <f t="shared" si="19"/>
        <v>Campo eliminado</v>
      </c>
      <c r="U237" s="6" t="str">
        <f>VLOOKUP(B237,DataLake!$A$4:$A$429,1,0)</f>
        <v>INSTRUMENT_DPD_PRFRMNG_STTS</v>
      </c>
    </row>
    <row r="238" spans="1:21" ht="15" hidden="1" customHeight="1" x14ac:dyDescent="0.3">
      <c r="A238" s="7" t="s">
        <v>699</v>
      </c>
      <c r="B238" s="47" t="str">
        <f t="shared" si="15"/>
        <v>INSTRUMENT_DT_IMPRMNT_STTS</v>
      </c>
      <c r="C238" s="8" t="s">
        <v>414</v>
      </c>
      <c r="D238" s="9" t="s">
        <v>700</v>
      </c>
      <c r="E238" s="11" t="s">
        <v>701</v>
      </c>
      <c r="F238" s="10" t="s">
        <v>13</v>
      </c>
      <c r="G238" s="10" t="s">
        <v>11</v>
      </c>
      <c r="H238" s="10" t="s">
        <v>11</v>
      </c>
      <c r="I238" s="10" t="s">
        <v>11</v>
      </c>
      <c r="J238" s="10" t="s">
        <v>11</v>
      </c>
      <c r="L238" s="6" t="str">
        <f>IFERROR(VLOOKUP($B238,'Lista - Âmbito Projeto GD'!$B$3:$F$71,5,0),"Campo eliminado")</f>
        <v>Campo eliminado</v>
      </c>
      <c r="M238" s="6" t="str">
        <f t="shared" si="16"/>
        <v>Campo eliminado</v>
      </c>
      <c r="N238" s="6" t="str">
        <f>IFERROR(VLOOKUP($B238,'Lista - Âmbito Projeto GD'!$B$3:$K$71,6,0),"Campo eliminado")</f>
        <v>Campo eliminado</v>
      </c>
      <c r="O238" s="6" t="str">
        <f t="shared" si="17"/>
        <v>Campo eliminado</v>
      </c>
      <c r="P238" s="6" t="str">
        <f>IFERROR(VLOOKUP($B238,'Lista - Âmbito Projeto GD'!$B$3:$K$71,7,0),"Campo eliminado")</f>
        <v>Campo eliminado</v>
      </c>
      <c r="Q238" s="6" t="str">
        <f t="shared" si="18"/>
        <v>Campo eliminado</v>
      </c>
      <c r="R238" s="6" t="str">
        <f>IFERROR(VLOOKUP($B238,'Lista - Âmbito Projeto GD'!$B$3:$K$71,9,0),"Campo eliminado")</f>
        <v>Campo eliminado</v>
      </c>
      <c r="S238" s="6" t="str">
        <f t="shared" si="19"/>
        <v>Campo eliminado</v>
      </c>
      <c r="U238" s="6" t="str">
        <f>VLOOKUP(B238,DataLake!$A$4:$A$429,1,0)</f>
        <v>INSTRUMENT_DT_IMPRMNT_STTS</v>
      </c>
    </row>
    <row r="239" spans="1:21" ht="15" hidden="1" customHeight="1" x14ac:dyDescent="0.3">
      <c r="A239" s="7" t="s">
        <v>702</v>
      </c>
      <c r="B239" s="47" t="str">
        <f t="shared" si="15"/>
        <v>INSTRUMENT_DT_IMPRMNT_STTS_PRVS</v>
      </c>
      <c r="C239" s="8" t="s">
        <v>414</v>
      </c>
      <c r="D239" s="9" t="s">
        <v>703</v>
      </c>
      <c r="E239" s="11" t="s">
        <v>704</v>
      </c>
      <c r="F239" s="10" t="s">
        <v>13</v>
      </c>
      <c r="G239" s="10" t="s">
        <v>11</v>
      </c>
      <c r="H239" s="10" t="s">
        <v>11</v>
      </c>
      <c r="I239" s="10" t="s">
        <v>11</v>
      </c>
      <c r="J239" s="10" t="s">
        <v>11</v>
      </c>
      <c r="L239" s="6" t="str">
        <f>IFERROR(VLOOKUP($B239,'Lista - Âmbito Projeto GD'!$B$3:$F$71,5,0),"Campo eliminado")</f>
        <v>Campo eliminado</v>
      </c>
      <c r="M239" s="6" t="str">
        <f t="shared" si="16"/>
        <v>Campo eliminado</v>
      </c>
      <c r="N239" s="6" t="str">
        <f>IFERROR(VLOOKUP($B239,'Lista - Âmbito Projeto GD'!$B$3:$K$71,6,0),"Campo eliminado")</f>
        <v>Campo eliminado</v>
      </c>
      <c r="O239" s="6" t="str">
        <f t="shared" si="17"/>
        <v>Campo eliminado</v>
      </c>
      <c r="P239" s="6" t="str">
        <f>IFERROR(VLOOKUP($B239,'Lista - Âmbito Projeto GD'!$B$3:$K$71,7,0),"Campo eliminado")</f>
        <v>Campo eliminado</v>
      </c>
      <c r="Q239" s="6" t="str">
        <f t="shared" si="18"/>
        <v>Campo eliminado</v>
      </c>
      <c r="R239" s="6" t="str">
        <f>IFERROR(VLOOKUP($B239,'Lista - Âmbito Projeto GD'!$B$3:$K$71,9,0),"Campo eliminado")</f>
        <v>Campo eliminado</v>
      </c>
      <c r="S239" s="6" t="str">
        <f t="shared" si="19"/>
        <v>Campo eliminado</v>
      </c>
      <c r="U239" s="6" t="str">
        <f>VLOOKUP(B239,DataLake!$A$4:$A$429,1,0)</f>
        <v>INSTRUMENT_DT_IMPRMNT_STTS_PRVS</v>
      </c>
    </row>
    <row r="240" spans="1:21" ht="15" hidden="1" customHeight="1" x14ac:dyDescent="0.3">
      <c r="A240" s="7" t="s">
        <v>705</v>
      </c>
      <c r="B240" s="47" t="str">
        <f t="shared" si="15"/>
        <v>INSTRUMENT_DT_PST_D</v>
      </c>
      <c r="C240" s="8" t="s">
        <v>414</v>
      </c>
      <c r="D240" s="9" t="s">
        <v>706</v>
      </c>
      <c r="E240" s="11" t="s">
        <v>707</v>
      </c>
      <c r="F240" s="10" t="s">
        <v>13</v>
      </c>
      <c r="G240" s="10" t="s">
        <v>11</v>
      </c>
      <c r="H240" s="10" t="s">
        <v>11</v>
      </c>
      <c r="I240" s="10" t="s">
        <v>11</v>
      </c>
      <c r="J240" s="10" t="s">
        <v>11</v>
      </c>
      <c r="L240" s="6" t="str">
        <f>IFERROR(VLOOKUP($B240,'Lista - Âmbito Projeto GD'!$B$3:$F$71,5,0),"Campo eliminado")</f>
        <v>Campo eliminado</v>
      </c>
      <c r="M240" s="6" t="str">
        <f t="shared" si="16"/>
        <v>Campo eliminado</v>
      </c>
      <c r="N240" s="6" t="str">
        <f>IFERROR(VLOOKUP($B240,'Lista - Âmbito Projeto GD'!$B$3:$K$71,6,0),"Campo eliminado")</f>
        <v>Campo eliminado</v>
      </c>
      <c r="O240" s="6" t="str">
        <f t="shared" si="17"/>
        <v>Campo eliminado</v>
      </c>
      <c r="P240" s="6" t="str">
        <f>IFERROR(VLOOKUP($B240,'Lista - Âmbito Projeto GD'!$B$3:$K$71,7,0),"Campo eliminado")</f>
        <v>Campo eliminado</v>
      </c>
      <c r="Q240" s="6" t="str">
        <f t="shared" si="18"/>
        <v>Campo eliminado</v>
      </c>
      <c r="R240" s="6" t="str">
        <f>IFERROR(VLOOKUP($B240,'Lista - Âmbito Projeto GD'!$B$3:$K$71,9,0),"Campo eliminado")</f>
        <v>Campo eliminado</v>
      </c>
      <c r="S240" s="6" t="str">
        <f t="shared" si="19"/>
        <v>Campo eliminado</v>
      </c>
      <c r="U240" s="6" t="str">
        <f>VLOOKUP(B240,DataLake!$A$4:$A$429,1,0)</f>
        <v>INSTRUMENT_DT_PST_D</v>
      </c>
    </row>
    <row r="241" spans="1:21" ht="15" hidden="1" customHeight="1" x14ac:dyDescent="0.3">
      <c r="A241" s="7" t="s">
        <v>708</v>
      </c>
      <c r="B241" s="47" t="str">
        <f t="shared" si="15"/>
        <v>INSTRUMENT_IMPRMNT_ASSSSMNT_MTHD</v>
      </c>
      <c r="C241" s="8" t="s">
        <v>414</v>
      </c>
      <c r="D241" s="9" t="s">
        <v>709</v>
      </c>
      <c r="E241" s="11" t="s">
        <v>710</v>
      </c>
      <c r="F241" s="10" t="s">
        <v>13</v>
      </c>
      <c r="G241" s="10" t="s">
        <v>11</v>
      </c>
      <c r="H241" s="10" t="s">
        <v>11</v>
      </c>
      <c r="I241" s="10" t="s">
        <v>11</v>
      </c>
      <c r="J241" s="10" t="s">
        <v>11</v>
      </c>
      <c r="L241" s="6" t="str">
        <f>IFERROR(VLOOKUP($B241,'Lista - Âmbito Projeto GD'!$B$3:$F$71,5,0),"Campo eliminado")</f>
        <v>Campo eliminado</v>
      </c>
      <c r="M241" s="6" t="str">
        <f t="shared" si="16"/>
        <v>Campo eliminado</v>
      </c>
      <c r="N241" s="6" t="str">
        <f>IFERROR(VLOOKUP($B241,'Lista - Âmbito Projeto GD'!$B$3:$K$71,6,0),"Campo eliminado")</f>
        <v>Campo eliminado</v>
      </c>
      <c r="O241" s="6" t="str">
        <f t="shared" si="17"/>
        <v>Campo eliminado</v>
      </c>
      <c r="P241" s="6" t="str">
        <f>IFERROR(VLOOKUP($B241,'Lista - Âmbito Projeto GD'!$B$3:$K$71,7,0),"Campo eliminado")</f>
        <v>Campo eliminado</v>
      </c>
      <c r="Q241" s="6" t="str">
        <f t="shared" si="18"/>
        <v>Campo eliminado</v>
      </c>
      <c r="R241" s="6" t="str">
        <f>IFERROR(VLOOKUP($B241,'Lista - Âmbito Projeto GD'!$B$3:$K$71,9,0),"Campo eliminado")</f>
        <v>Campo eliminado</v>
      </c>
      <c r="S241" s="6" t="str">
        <f t="shared" si="19"/>
        <v>Campo eliminado</v>
      </c>
      <c r="U241" s="6" t="str">
        <f>VLOOKUP(B241,DataLake!$A$4:$A$429,1,0)</f>
        <v>INSTRUMENT_IMPRMNT_ASSSSMNT_MTHD</v>
      </c>
    </row>
    <row r="242" spans="1:21" ht="15" hidden="1" customHeight="1" x14ac:dyDescent="0.3">
      <c r="A242" s="7" t="s">
        <v>711</v>
      </c>
      <c r="B242" s="47" t="str">
        <f t="shared" si="15"/>
        <v>INSTRUMENT_IMPRMNT_CLCLTN_MTHD</v>
      </c>
      <c r="C242" s="8" t="s">
        <v>414</v>
      </c>
      <c r="D242" s="9" t="s">
        <v>712</v>
      </c>
      <c r="E242" s="11" t="s">
        <v>713</v>
      </c>
      <c r="F242" s="10" t="s">
        <v>13</v>
      </c>
      <c r="G242" s="10" t="s">
        <v>11</v>
      </c>
      <c r="H242" s="10" t="s">
        <v>11</v>
      </c>
      <c r="I242" s="10" t="s">
        <v>11</v>
      </c>
      <c r="J242" s="10" t="s">
        <v>11</v>
      </c>
      <c r="L242" s="6" t="str">
        <f>IFERROR(VLOOKUP($B242,'Lista - Âmbito Projeto GD'!$B$3:$F$71,5,0),"Campo eliminado")</f>
        <v>Campo eliminado</v>
      </c>
      <c r="M242" s="6" t="str">
        <f t="shared" si="16"/>
        <v>Campo eliminado</v>
      </c>
      <c r="N242" s="6" t="str">
        <f>IFERROR(VLOOKUP($B242,'Lista - Âmbito Projeto GD'!$B$3:$K$71,6,0),"Campo eliminado")</f>
        <v>Campo eliminado</v>
      </c>
      <c r="O242" s="6" t="str">
        <f t="shared" si="17"/>
        <v>Campo eliminado</v>
      </c>
      <c r="P242" s="6" t="str">
        <f>IFERROR(VLOOKUP($B242,'Lista - Âmbito Projeto GD'!$B$3:$K$71,7,0),"Campo eliminado")</f>
        <v>Campo eliminado</v>
      </c>
      <c r="Q242" s="6" t="str">
        <f t="shared" si="18"/>
        <v>Campo eliminado</v>
      </c>
      <c r="R242" s="6" t="str">
        <f>IFERROR(VLOOKUP($B242,'Lista - Âmbito Projeto GD'!$B$3:$K$71,9,0),"Campo eliminado")</f>
        <v>Campo eliminado</v>
      </c>
      <c r="S242" s="6" t="str">
        <f t="shared" si="19"/>
        <v>Campo eliminado</v>
      </c>
      <c r="U242" s="6" t="str">
        <f>VLOOKUP(B242,DataLake!$A$4:$A$429,1,0)</f>
        <v>INSTRUMENT_IMPRMNT_CLCLTN_MTHD</v>
      </c>
    </row>
    <row r="243" spans="1:21" ht="15" hidden="1" customHeight="1" x14ac:dyDescent="0.3">
      <c r="A243" s="7" t="s">
        <v>714</v>
      </c>
      <c r="B243" s="47" t="str">
        <f t="shared" si="15"/>
        <v>INSTRUMENT_NMBR_FRBRNC_MSRS</v>
      </c>
      <c r="C243" s="8" t="s">
        <v>414</v>
      </c>
      <c r="D243" s="9" t="s">
        <v>715</v>
      </c>
      <c r="E243" s="11" t="s">
        <v>716</v>
      </c>
      <c r="F243" s="10" t="s">
        <v>13</v>
      </c>
      <c r="G243" s="10" t="s">
        <v>11</v>
      </c>
      <c r="H243" s="10" t="s">
        <v>11</v>
      </c>
      <c r="I243" s="10" t="s">
        <v>11</v>
      </c>
      <c r="J243" s="10" t="s">
        <v>11</v>
      </c>
      <c r="L243" s="6" t="str">
        <f>IFERROR(VLOOKUP($B243,'Lista - Âmbito Projeto GD'!$B$3:$F$71,5,0),"Campo eliminado")</f>
        <v>Campo eliminado</v>
      </c>
      <c r="M243" s="6" t="str">
        <f t="shared" si="16"/>
        <v>Campo eliminado</v>
      </c>
      <c r="N243" s="6" t="str">
        <f>IFERROR(VLOOKUP($B243,'Lista - Âmbito Projeto GD'!$B$3:$K$71,6,0),"Campo eliminado")</f>
        <v>Campo eliminado</v>
      </c>
      <c r="O243" s="6" t="str">
        <f t="shared" si="17"/>
        <v>Campo eliminado</v>
      </c>
      <c r="P243" s="6" t="str">
        <f>IFERROR(VLOOKUP($B243,'Lista - Âmbito Projeto GD'!$B$3:$K$71,7,0),"Campo eliminado")</f>
        <v>Campo eliminado</v>
      </c>
      <c r="Q243" s="6" t="str">
        <f t="shared" si="18"/>
        <v>Campo eliminado</v>
      </c>
      <c r="R243" s="6" t="str">
        <f>IFERROR(VLOOKUP($B243,'Lista - Âmbito Projeto GD'!$B$3:$K$71,9,0),"Campo eliminado")</f>
        <v>Campo eliminado</v>
      </c>
      <c r="S243" s="6" t="str">
        <f t="shared" si="19"/>
        <v>Campo eliminado</v>
      </c>
      <c r="U243" s="6" t="str">
        <f>VLOOKUP(B243,DataLake!$A$4:$A$429,1,0)</f>
        <v>INSTRUMENT_NMBR_FRBRNC_MSRS</v>
      </c>
    </row>
    <row r="244" spans="1:21" ht="15" hidden="1" customHeight="1" x14ac:dyDescent="0.3">
      <c r="A244" s="7" t="s">
        <v>717</v>
      </c>
      <c r="B244" s="47" t="str">
        <f t="shared" si="15"/>
        <v>INSTRUMENT_IFRS9_LGD</v>
      </c>
      <c r="C244" s="8" t="s">
        <v>414</v>
      </c>
      <c r="D244" s="9" t="s">
        <v>718</v>
      </c>
      <c r="E244" s="11" t="s">
        <v>719</v>
      </c>
      <c r="F244" s="10" t="s">
        <v>13</v>
      </c>
      <c r="G244" s="10" t="s">
        <v>11</v>
      </c>
      <c r="H244" s="10" t="s">
        <v>11</v>
      </c>
      <c r="I244" s="10" t="s">
        <v>11</v>
      </c>
      <c r="J244" s="10" t="s">
        <v>11</v>
      </c>
      <c r="L244" s="6" t="str">
        <f>IFERROR(VLOOKUP($B244,'Lista - Âmbito Projeto GD'!$B$3:$F$71,5,0),"Campo eliminado")</f>
        <v>Campo eliminado</v>
      </c>
      <c r="M244" s="6" t="str">
        <f t="shared" si="16"/>
        <v>Campo eliminado</v>
      </c>
      <c r="N244" s="6" t="str">
        <f>IFERROR(VLOOKUP($B244,'Lista - Âmbito Projeto GD'!$B$3:$K$71,6,0),"Campo eliminado")</f>
        <v>Campo eliminado</v>
      </c>
      <c r="O244" s="6" t="str">
        <f t="shared" si="17"/>
        <v>Campo eliminado</v>
      </c>
      <c r="P244" s="6" t="str">
        <f>IFERROR(VLOOKUP($B244,'Lista - Âmbito Projeto GD'!$B$3:$K$71,7,0),"Campo eliminado")</f>
        <v>Campo eliminado</v>
      </c>
      <c r="Q244" s="6" t="str">
        <f t="shared" si="18"/>
        <v>Campo eliminado</v>
      </c>
      <c r="R244" s="6" t="str">
        <f>IFERROR(VLOOKUP($B244,'Lista - Âmbito Projeto GD'!$B$3:$K$71,9,0),"Campo eliminado")</f>
        <v>Campo eliminado</v>
      </c>
      <c r="S244" s="6" t="str">
        <f t="shared" si="19"/>
        <v>Campo eliminado</v>
      </c>
      <c r="U244" s="6" t="str">
        <f>VLOOKUP(B244,DataLake!$A$4:$A$429,1,0)</f>
        <v>INSTRUMENT_IFRS9_LGD</v>
      </c>
    </row>
    <row r="245" spans="1:21" ht="15" hidden="1" customHeight="1" x14ac:dyDescent="0.3">
      <c r="A245" s="7" t="s">
        <v>720</v>
      </c>
      <c r="B245" s="47" t="str">
        <f t="shared" si="15"/>
        <v>INSTRUMENT_LGD</v>
      </c>
      <c r="C245" s="8" t="s">
        <v>414</v>
      </c>
      <c r="D245" s="9" t="s">
        <v>721</v>
      </c>
      <c r="E245" s="11" t="s">
        <v>722</v>
      </c>
      <c r="F245" s="10" t="s">
        <v>13</v>
      </c>
      <c r="G245" s="10" t="s">
        <v>11</v>
      </c>
      <c r="H245" s="10" t="s">
        <v>11</v>
      </c>
      <c r="I245" s="10" t="s">
        <v>11</v>
      </c>
      <c r="J245" s="10" t="s">
        <v>11</v>
      </c>
      <c r="L245" s="6" t="str">
        <f>IFERROR(VLOOKUP($B245,'Lista - Âmbito Projeto GD'!$B$3:$F$71,5,0),"Campo eliminado")</f>
        <v>Campo eliminado</v>
      </c>
      <c r="M245" s="6" t="str">
        <f t="shared" si="16"/>
        <v>Campo eliminado</v>
      </c>
      <c r="N245" s="6" t="str">
        <f>IFERROR(VLOOKUP($B245,'Lista - Âmbito Projeto GD'!$B$3:$K$71,6,0),"Campo eliminado")</f>
        <v>Campo eliminado</v>
      </c>
      <c r="O245" s="6" t="str">
        <f t="shared" si="17"/>
        <v>Campo eliminado</v>
      </c>
      <c r="P245" s="6" t="str">
        <f>IFERROR(VLOOKUP($B245,'Lista - Âmbito Projeto GD'!$B$3:$K$71,7,0),"Campo eliminado")</f>
        <v>Campo eliminado</v>
      </c>
      <c r="Q245" s="6" t="str">
        <f t="shared" si="18"/>
        <v>Campo eliminado</v>
      </c>
      <c r="R245" s="6" t="str">
        <f>IFERROR(VLOOKUP($B245,'Lista - Âmbito Projeto GD'!$B$3:$K$71,9,0),"Campo eliminado")</f>
        <v>Campo eliminado</v>
      </c>
      <c r="S245" s="6" t="str">
        <f t="shared" si="19"/>
        <v>Campo eliminado</v>
      </c>
      <c r="U245" s="6" t="str">
        <f>VLOOKUP(B245,DataLake!$A$4:$A$429,1,0)</f>
        <v>INSTRUMENT_LGD</v>
      </c>
    </row>
    <row r="246" spans="1:21" ht="15" hidden="1" customHeight="1" x14ac:dyDescent="0.3">
      <c r="A246" s="7" t="s">
        <v>723</v>
      </c>
      <c r="B246" s="47" t="str">
        <f t="shared" si="15"/>
        <v>INSTRUMENT_LTV</v>
      </c>
      <c r="C246" s="8" t="s">
        <v>414</v>
      </c>
      <c r="D246" s="9" t="s">
        <v>724</v>
      </c>
      <c r="E246" s="11" t="s">
        <v>725</v>
      </c>
      <c r="F246" s="10" t="s">
        <v>13</v>
      </c>
      <c r="G246" s="10" t="s">
        <v>11</v>
      </c>
      <c r="H246" s="10" t="s">
        <v>11</v>
      </c>
      <c r="I246" s="10" t="s">
        <v>11</v>
      </c>
      <c r="J246" s="10" t="s">
        <v>11</v>
      </c>
      <c r="L246" s="6" t="str">
        <f>IFERROR(VLOOKUP($B246,'Lista - Âmbito Projeto GD'!$B$3:$F$71,5,0),"Campo eliminado")</f>
        <v>Campo eliminado</v>
      </c>
      <c r="M246" s="6" t="str">
        <f t="shared" si="16"/>
        <v>Campo eliminado</v>
      </c>
      <c r="N246" s="6" t="str">
        <f>IFERROR(VLOOKUP($B246,'Lista - Âmbito Projeto GD'!$B$3:$K$71,6,0),"Campo eliminado")</f>
        <v>Campo eliminado</v>
      </c>
      <c r="O246" s="6" t="str">
        <f t="shared" si="17"/>
        <v>Campo eliminado</v>
      </c>
      <c r="P246" s="6" t="str">
        <f>IFERROR(VLOOKUP($B246,'Lista - Âmbito Projeto GD'!$B$3:$K$71,7,0),"Campo eliminado")</f>
        <v>Campo eliminado</v>
      </c>
      <c r="Q246" s="6" t="str">
        <f t="shared" si="18"/>
        <v>Campo eliminado</v>
      </c>
      <c r="R246" s="6" t="str">
        <f>IFERROR(VLOOKUP($B246,'Lista - Âmbito Projeto GD'!$B$3:$K$71,9,0),"Campo eliminado")</f>
        <v>Campo eliminado</v>
      </c>
      <c r="S246" s="6" t="str">
        <f t="shared" si="19"/>
        <v>Campo eliminado</v>
      </c>
      <c r="U246" s="6" t="str">
        <f>VLOOKUP(B246,DataLake!$A$4:$A$429,1,0)</f>
        <v>INSTRUMENT_LTV</v>
      </c>
    </row>
    <row r="247" spans="1:21" ht="15" hidden="1" customHeight="1" x14ac:dyDescent="0.3">
      <c r="A247" s="7" t="s">
        <v>726</v>
      </c>
      <c r="B247" s="47" t="str">
        <f t="shared" si="15"/>
        <v>INSTRUMENT_LTV_INCPTN</v>
      </c>
      <c r="C247" s="8" t="s">
        <v>414</v>
      </c>
      <c r="D247" s="9" t="s">
        <v>727</v>
      </c>
      <c r="E247" s="11" t="s">
        <v>728</v>
      </c>
      <c r="F247" s="10" t="s">
        <v>13</v>
      </c>
      <c r="G247" s="10" t="s">
        <v>11</v>
      </c>
      <c r="H247" s="10" t="s">
        <v>11</v>
      </c>
      <c r="I247" s="10" t="s">
        <v>11</v>
      </c>
      <c r="J247" s="10" t="s">
        <v>11</v>
      </c>
      <c r="L247" s="6" t="str">
        <f>IFERROR(VLOOKUP($B247,'Lista - Âmbito Projeto GD'!$B$3:$F$71,5,0),"Campo eliminado")</f>
        <v>Campo eliminado</v>
      </c>
      <c r="M247" s="6" t="str">
        <f t="shared" si="16"/>
        <v>Campo eliminado</v>
      </c>
      <c r="N247" s="6" t="str">
        <f>IFERROR(VLOOKUP($B247,'Lista - Âmbito Projeto GD'!$B$3:$K$71,6,0),"Campo eliminado")</f>
        <v>Campo eliminado</v>
      </c>
      <c r="O247" s="6" t="str">
        <f t="shared" si="17"/>
        <v>Campo eliminado</v>
      </c>
      <c r="P247" s="6" t="str">
        <f>IFERROR(VLOOKUP($B247,'Lista - Âmbito Projeto GD'!$B$3:$K$71,7,0),"Campo eliminado")</f>
        <v>Campo eliminado</v>
      </c>
      <c r="Q247" s="6" t="str">
        <f t="shared" si="18"/>
        <v>Campo eliminado</v>
      </c>
      <c r="R247" s="6" t="str">
        <f>IFERROR(VLOOKUP($B247,'Lista - Âmbito Projeto GD'!$B$3:$K$71,9,0),"Campo eliminado")</f>
        <v>Campo eliminado</v>
      </c>
      <c r="S247" s="6" t="str">
        <f t="shared" si="19"/>
        <v>Campo eliminado</v>
      </c>
      <c r="U247" s="6" t="str">
        <f>VLOOKUP(B247,DataLake!$A$4:$A$429,1,0)</f>
        <v>INSTRUMENT_LTV_INCPTN</v>
      </c>
    </row>
    <row r="248" spans="1:21" ht="15" hidden="1" customHeight="1" x14ac:dyDescent="0.3">
      <c r="A248" s="7" t="s">
        <v>729</v>
      </c>
      <c r="B248" s="47" t="str">
        <f t="shared" si="15"/>
        <v>INSTRUMENT_LTV_NPE</v>
      </c>
      <c r="C248" s="8" t="s">
        <v>414</v>
      </c>
      <c r="D248" s="9" t="s">
        <v>730</v>
      </c>
      <c r="E248" s="11" t="s">
        <v>731</v>
      </c>
      <c r="F248" s="10" t="s">
        <v>13</v>
      </c>
      <c r="G248" s="10" t="s">
        <v>11</v>
      </c>
      <c r="H248" s="10" t="s">
        <v>11</v>
      </c>
      <c r="I248" s="10" t="s">
        <v>11</v>
      </c>
      <c r="J248" s="10" t="s">
        <v>11</v>
      </c>
      <c r="L248" s="6" t="str">
        <f>IFERROR(VLOOKUP($B248,'Lista - Âmbito Projeto GD'!$B$3:$F$71,5,0),"Campo eliminado")</f>
        <v>Campo eliminado</v>
      </c>
      <c r="M248" s="6" t="str">
        <f t="shared" si="16"/>
        <v>Campo eliminado</v>
      </c>
      <c r="N248" s="6" t="str">
        <f>IFERROR(VLOOKUP($B248,'Lista - Âmbito Projeto GD'!$B$3:$K$71,6,0),"Campo eliminado")</f>
        <v>Campo eliminado</v>
      </c>
      <c r="O248" s="6" t="str">
        <f t="shared" si="17"/>
        <v>Campo eliminado</v>
      </c>
      <c r="P248" s="6" t="str">
        <f>IFERROR(VLOOKUP($B248,'Lista - Âmbito Projeto GD'!$B$3:$K$71,7,0),"Campo eliminado")</f>
        <v>Campo eliminado</v>
      </c>
      <c r="Q248" s="6" t="str">
        <f t="shared" si="18"/>
        <v>Campo eliminado</v>
      </c>
      <c r="R248" s="6" t="str">
        <f>IFERROR(VLOOKUP($B248,'Lista - Âmbito Projeto GD'!$B$3:$K$71,9,0),"Campo eliminado")</f>
        <v>Campo eliminado</v>
      </c>
      <c r="S248" s="6" t="str">
        <f t="shared" si="19"/>
        <v>Campo eliminado</v>
      </c>
      <c r="U248" s="6" t="str">
        <f>VLOOKUP(B248,DataLake!$A$4:$A$429,1,0)</f>
        <v>INSTRUMENT_LTV_NPE</v>
      </c>
    </row>
    <row r="249" spans="1:21" ht="15" hidden="1" customHeight="1" x14ac:dyDescent="0.3">
      <c r="A249" s="7" t="s">
        <v>732</v>
      </c>
      <c r="B249" s="47" t="str">
        <f t="shared" si="15"/>
        <v>INSTRUMENT_PD_CRR_INCPTN</v>
      </c>
      <c r="C249" s="8" t="s">
        <v>414</v>
      </c>
      <c r="D249" s="9" t="s">
        <v>733</v>
      </c>
      <c r="E249" s="11" t="s">
        <v>734</v>
      </c>
      <c r="F249" s="10" t="s">
        <v>13</v>
      </c>
      <c r="G249" s="10" t="s">
        <v>11</v>
      </c>
      <c r="H249" s="10" t="s">
        <v>11</v>
      </c>
      <c r="I249" s="10" t="s">
        <v>11</v>
      </c>
      <c r="J249" s="10" t="s">
        <v>11</v>
      </c>
      <c r="L249" s="6" t="str">
        <f>IFERROR(VLOOKUP($B249,'Lista - Âmbito Projeto GD'!$B$3:$F$71,5,0),"Campo eliminado")</f>
        <v>Campo eliminado</v>
      </c>
      <c r="M249" s="6" t="str">
        <f t="shared" si="16"/>
        <v>Campo eliminado</v>
      </c>
      <c r="N249" s="6" t="str">
        <f>IFERROR(VLOOKUP($B249,'Lista - Âmbito Projeto GD'!$B$3:$K$71,6,0),"Campo eliminado")</f>
        <v>Campo eliminado</v>
      </c>
      <c r="O249" s="6" t="str">
        <f t="shared" si="17"/>
        <v>Campo eliminado</v>
      </c>
      <c r="P249" s="6" t="str">
        <f>IFERROR(VLOOKUP($B249,'Lista - Âmbito Projeto GD'!$B$3:$K$71,7,0),"Campo eliminado")</f>
        <v>Campo eliminado</v>
      </c>
      <c r="Q249" s="6" t="str">
        <f t="shared" si="18"/>
        <v>Campo eliminado</v>
      </c>
      <c r="R249" s="6" t="str">
        <f>IFERROR(VLOOKUP($B249,'Lista - Âmbito Projeto GD'!$B$3:$K$71,9,0),"Campo eliminado")</f>
        <v>Campo eliminado</v>
      </c>
      <c r="S249" s="6" t="str">
        <f t="shared" si="19"/>
        <v>Campo eliminado</v>
      </c>
      <c r="U249" s="6" t="str">
        <f>VLOOKUP(B249,DataLake!$A$4:$A$429,1,0)</f>
        <v>INSTRUMENT_PD_CRR_INCPTN</v>
      </c>
    </row>
    <row r="250" spans="1:21" ht="15" hidden="1" customHeight="1" x14ac:dyDescent="0.3">
      <c r="A250" s="7" t="s">
        <v>735</v>
      </c>
      <c r="B250" s="47" t="str">
        <f t="shared" si="15"/>
        <v>INSTRUMENT_PD_CRR_RD</v>
      </c>
      <c r="C250" s="8" t="s">
        <v>414</v>
      </c>
      <c r="D250" s="9" t="s">
        <v>257</v>
      </c>
      <c r="E250" s="11" t="s">
        <v>258</v>
      </c>
      <c r="F250" s="10" t="s">
        <v>13</v>
      </c>
      <c r="G250" s="10" t="s">
        <v>11</v>
      </c>
      <c r="H250" s="10" t="s">
        <v>11</v>
      </c>
      <c r="I250" s="10" t="s">
        <v>11</v>
      </c>
      <c r="J250" s="10" t="s">
        <v>11</v>
      </c>
      <c r="L250" s="6" t="str">
        <f>IFERROR(VLOOKUP($B250,'Lista - Âmbito Projeto GD'!$B$3:$F$71,5,0),"Campo eliminado")</f>
        <v>Campo eliminado</v>
      </c>
      <c r="M250" s="6" t="str">
        <f t="shared" si="16"/>
        <v>Campo eliminado</v>
      </c>
      <c r="N250" s="6" t="str">
        <f>IFERROR(VLOOKUP($B250,'Lista - Âmbito Projeto GD'!$B$3:$K$71,6,0),"Campo eliminado")</f>
        <v>Campo eliminado</v>
      </c>
      <c r="O250" s="6" t="str">
        <f t="shared" si="17"/>
        <v>Campo eliminado</v>
      </c>
      <c r="P250" s="6" t="str">
        <f>IFERROR(VLOOKUP($B250,'Lista - Âmbito Projeto GD'!$B$3:$K$71,7,0),"Campo eliminado")</f>
        <v>Campo eliminado</v>
      </c>
      <c r="Q250" s="6" t="str">
        <f t="shared" si="18"/>
        <v>Campo eliminado</v>
      </c>
      <c r="R250" s="6" t="str">
        <f>IFERROR(VLOOKUP($B250,'Lista - Âmbito Projeto GD'!$B$3:$K$71,9,0),"Campo eliminado")</f>
        <v>Campo eliminado</v>
      </c>
      <c r="S250" s="6" t="str">
        <f t="shared" si="19"/>
        <v>Campo eliminado</v>
      </c>
      <c r="U250" s="6" t="str">
        <f>VLOOKUP(B250,DataLake!$A$4:$A$429,1,0)</f>
        <v>INSTRUMENT_PD_CRR_RD</v>
      </c>
    </row>
    <row r="251" spans="1:21" ht="15" hidden="1" customHeight="1" x14ac:dyDescent="0.3">
      <c r="A251" s="7" t="s">
        <v>736</v>
      </c>
      <c r="B251" s="47" t="str">
        <f t="shared" si="15"/>
        <v>INSTRUMENT_PD_CRR_RD_T1</v>
      </c>
      <c r="C251" s="8" t="s">
        <v>414</v>
      </c>
      <c r="D251" s="9" t="s">
        <v>278</v>
      </c>
      <c r="E251" s="11" t="s">
        <v>279</v>
      </c>
      <c r="F251" s="10" t="s">
        <v>13</v>
      </c>
      <c r="G251" s="10" t="s">
        <v>11</v>
      </c>
      <c r="H251" s="10" t="s">
        <v>11</v>
      </c>
      <c r="I251" s="10" t="s">
        <v>11</v>
      </c>
      <c r="J251" s="10" t="s">
        <v>11</v>
      </c>
      <c r="L251" s="6" t="str">
        <f>IFERROR(VLOOKUP($B251,'Lista - Âmbito Projeto GD'!$B$3:$F$71,5,0),"Campo eliminado")</f>
        <v>Campo eliminado</v>
      </c>
      <c r="M251" s="6" t="str">
        <f t="shared" si="16"/>
        <v>Campo eliminado</v>
      </c>
      <c r="N251" s="6" t="str">
        <f>IFERROR(VLOOKUP($B251,'Lista - Âmbito Projeto GD'!$B$3:$K$71,6,0),"Campo eliminado")</f>
        <v>Campo eliminado</v>
      </c>
      <c r="O251" s="6" t="str">
        <f t="shared" si="17"/>
        <v>Campo eliminado</v>
      </c>
      <c r="P251" s="6" t="str">
        <f>IFERROR(VLOOKUP($B251,'Lista - Âmbito Projeto GD'!$B$3:$K$71,7,0),"Campo eliminado")</f>
        <v>Campo eliminado</v>
      </c>
      <c r="Q251" s="6" t="str">
        <f t="shared" si="18"/>
        <v>Campo eliminado</v>
      </c>
      <c r="R251" s="6" t="str">
        <f>IFERROR(VLOOKUP($B251,'Lista - Âmbito Projeto GD'!$B$3:$K$71,9,0),"Campo eliminado")</f>
        <v>Campo eliminado</v>
      </c>
      <c r="S251" s="6" t="str">
        <f t="shared" si="19"/>
        <v>Campo eliminado</v>
      </c>
      <c r="U251" s="6" t="str">
        <f>VLOOKUP(B251,DataLake!$A$4:$A$429,1,0)</f>
        <v>INSTRUMENT_PD_CRR_RD_T1</v>
      </c>
    </row>
    <row r="252" spans="1:21" ht="15" hidden="1" customHeight="1" x14ac:dyDescent="0.3">
      <c r="A252" s="7" t="s">
        <v>737</v>
      </c>
      <c r="B252" s="47" t="str">
        <f t="shared" si="15"/>
        <v>INSTRUMENT_PD_IFRS9_12M_INCPTN</v>
      </c>
      <c r="C252" s="8" t="s">
        <v>414</v>
      </c>
      <c r="D252" s="9" t="s">
        <v>738</v>
      </c>
      <c r="E252" s="11" t="s">
        <v>739</v>
      </c>
      <c r="F252" s="10" t="s">
        <v>13</v>
      </c>
      <c r="G252" s="10" t="s">
        <v>11</v>
      </c>
      <c r="H252" s="10" t="s">
        <v>11</v>
      </c>
      <c r="I252" s="10" t="s">
        <v>11</v>
      </c>
      <c r="J252" s="10" t="s">
        <v>11</v>
      </c>
      <c r="L252" s="6" t="str">
        <f>IFERROR(VLOOKUP($B252,'Lista - Âmbito Projeto GD'!$B$3:$F$71,5,0),"Campo eliminado")</f>
        <v>Campo eliminado</v>
      </c>
      <c r="M252" s="6" t="str">
        <f t="shared" si="16"/>
        <v>Campo eliminado</v>
      </c>
      <c r="N252" s="6" t="str">
        <f>IFERROR(VLOOKUP($B252,'Lista - Âmbito Projeto GD'!$B$3:$K$71,6,0),"Campo eliminado")</f>
        <v>Campo eliminado</v>
      </c>
      <c r="O252" s="6" t="str">
        <f t="shared" si="17"/>
        <v>Campo eliminado</v>
      </c>
      <c r="P252" s="6" t="str">
        <f>IFERROR(VLOOKUP($B252,'Lista - Âmbito Projeto GD'!$B$3:$K$71,7,0),"Campo eliminado")</f>
        <v>Campo eliminado</v>
      </c>
      <c r="Q252" s="6" t="str">
        <f t="shared" si="18"/>
        <v>Campo eliminado</v>
      </c>
      <c r="R252" s="6" t="str">
        <f>IFERROR(VLOOKUP($B252,'Lista - Âmbito Projeto GD'!$B$3:$K$71,9,0),"Campo eliminado")</f>
        <v>Campo eliminado</v>
      </c>
      <c r="S252" s="6" t="str">
        <f t="shared" si="19"/>
        <v>Campo eliminado</v>
      </c>
      <c r="U252" s="6" t="str">
        <f>VLOOKUP(B252,DataLake!$A$4:$A$429,1,0)</f>
        <v>INSTRUMENT_PD_IFRS9_12M_INCPTN</v>
      </c>
    </row>
    <row r="253" spans="1:21" ht="15" hidden="1" customHeight="1" x14ac:dyDescent="0.3">
      <c r="A253" s="7" t="s">
        <v>740</v>
      </c>
      <c r="B253" s="47" t="str">
        <f t="shared" si="15"/>
        <v>INSTRUMENT_PD_IFRS9_12M_RD</v>
      </c>
      <c r="C253" s="8" t="s">
        <v>414</v>
      </c>
      <c r="D253" s="9" t="s">
        <v>260</v>
      </c>
      <c r="E253" s="11" t="s">
        <v>261</v>
      </c>
      <c r="F253" s="10" t="s">
        <v>13</v>
      </c>
      <c r="G253" s="10" t="s">
        <v>11</v>
      </c>
      <c r="H253" s="10" t="s">
        <v>11</v>
      </c>
      <c r="I253" s="10" t="s">
        <v>11</v>
      </c>
      <c r="J253" s="10" t="s">
        <v>11</v>
      </c>
      <c r="L253" s="6" t="str">
        <f>IFERROR(VLOOKUP($B253,'Lista - Âmbito Projeto GD'!$B$3:$F$71,5,0),"Campo eliminado")</f>
        <v>Campo eliminado</v>
      </c>
      <c r="M253" s="6" t="str">
        <f t="shared" si="16"/>
        <v>Campo eliminado</v>
      </c>
      <c r="N253" s="6" t="str">
        <f>IFERROR(VLOOKUP($B253,'Lista - Âmbito Projeto GD'!$B$3:$K$71,6,0),"Campo eliminado")</f>
        <v>Campo eliminado</v>
      </c>
      <c r="O253" s="6" t="str">
        <f t="shared" si="17"/>
        <v>Campo eliminado</v>
      </c>
      <c r="P253" s="6" t="str">
        <f>IFERROR(VLOOKUP($B253,'Lista - Âmbito Projeto GD'!$B$3:$K$71,7,0),"Campo eliminado")</f>
        <v>Campo eliminado</v>
      </c>
      <c r="Q253" s="6" t="str">
        <f t="shared" si="18"/>
        <v>Campo eliminado</v>
      </c>
      <c r="R253" s="6" t="str">
        <f>IFERROR(VLOOKUP($B253,'Lista - Âmbito Projeto GD'!$B$3:$K$71,9,0),"Campo eliminado")</f>
        <v>Campo eliminado</v>
      </c>
      <c r="S253" s="6" t="str">
        <f t="shared" si="19"/>
        <v>Campo eliminado</v>
      </c>
      <c r="U253" s="6" t="str">
        <f>VLOOKUP(B253,DataLake!$A$4:$A$429,1,0)</f>
        <v>INSTRUMENT_PD_IFRS9_12M_RD</v>
      </c>
    </row>
    <row r="254" spans="1:21" ht="15" hidden="1" customHeight="1" x14ac:dyDescent="0.3">
      <c r="A254" s="7" t="s">
        <v>741</v>
      </c>
      <c r="B254" s="47" t="str">
        <f t="shared" si="15"/>
        <v>INSTRUMENT_PD_IFRS9_12M_RD_T1</v>
      </c>
      <c r="C254" s="8" t="s">
        <v>414</v>
      </c>
      <c r="D254" s="9" t="s">
        <v>263</v>
      </c>
      <c r="E254" s="11" t="s">
        <v>264</v>
      </c>
      <c r="F254" s="10" t="s">
        <v>13</v>
      </c>
      <c r="G254" s="10" t="s">
        <v>11</v>
      </c>
      <c r="H254" s="10" t="s">
        <v>11</v>
      </c>
      <c r="I254" s="10" t="s">
        <v>11</v>
      </c>
      <c r="J254" s="10" t="s">
        <v>11</v>
      </c>
      <c r="L254" s="6" t="str">
        <f>IFERROR(VLOOKUP($B254,'Lista - Âmbito Projeto GD'!$B$3:$F$71,5,0),"Campo eliminado")</f>
        <v>Campo eliminado</v>
      </c>
      <c r="M254" s="6" t="str">
        <f t="shared" si="16"/>
        <v>Campo eliminado</v>
      </c>
      <c r="N254" s="6" t="str">
        <f>IFERROR(VLOOKUP($B254,'Lista - Âmbito Projeto GD'!$B$3:$K$71,6,0),"Campo eliminado")</f>
        <v>Campo eliminado</v>
      </c>
      <c r="O254" s="6" t="str">
        <f t="shared" si="17"/>
        <v>Campo eliminado</v>
      </c>
      <c r="P254" s="6" t="str">
        <f>IFERROR(VLOOKUP($B254,'Lista - Âmbito Projeto GD'!$B$3:$K$71,7,0),"Campo eliminado")</f>
        <v>Campo eliminado</v>
      </c>
      <c r="Q254" s="6" t="str">
        <f t="shared" si="18"/>
        <v>Campo eliminado</v>
      </c>
      <c r="R254" s="6" t="str">
        <f>IFERROR(VLOOKUP($B254,'Lista - Âmbito Projeto GD'!$B$3:$K$71,9,0),"Campo eliminado")</f>
        <v>Campo eliminado</v>
      </c>
      <c r="S254" s="6" t="str">
        <f t="shared" si="19"/>
        <v>Campo eliminado</v>
      </c>
      <c r="U254" s="6" t="str">
        <f>VLOOKUP(B254,DataLake!$A$4:$A$429,1,0)</f>
        <v>INSTRUMENT_PD_IFRS9_12M_RD_T1</v>
      </c>
    </row>
    <row r="255" spans="1:21" ht="15" hidden="1" customHeight="1" x14ac:dyDescent="0.3">
      <c r="A255" s="7" t="s">
        <v>742</v>
      </c>
      <c r="B255" s="47" t="str">
        <f t="shared" si="15"/>
        <v>INSTRUMENT_PD_IFRS9_LFTM_INCPTN</v>
      </c>
      <c r="C255" s="8" t="s">
        <v>414</v>
      </c>
      <c r="D255" s="9" t="s">
        <v>743</v>
      </c>
      <c r="E255" s="11" t="s">
        <v>744</v>
      </c>
      <c r="F255" s="10" t="s">
        <v>13</v>
      </c>
      <c r="G255" s="10" t="s">
        <v>11</v>
      </c>
      <c r="H255" s="10" t="s">
        <v>11</v>
      </c>
      <c r="I255" s="10" t="s">
        <v>11</v>
      </c>
      <c r="J255" s="10" t="s">
        <v>11</v>
      </c>
      <c r="L255" s="6" t="str">
        <f>IFERROR(VLOOKUP($B255,'Lista - Âmbito Projeto GD'!$B$3:$F$71,5,0),"Campo eliminado")</f>
        <v>Campo eliminado</v>
      </c>
      <c r="M255" s="6" t="str">
        <f t="shared" si="16"/>
        <v>Campo eliminado</v>
      </c>
      <c r="N255" s="6" t="str">
        <f>IFERROR(VLOOKUP($B255,'Lista - Âmbito Projeto GD'!$B$3:$K$71,6,0),"Campo eliminado")</f>
        <v>Campo eliminado</v>
      </c>
      <c r="O255" s="6" t="str">
        <f t="shared" si="17"/>
        <v>Campo eliminado</v>
      </c>
      <c r="P255" s="6" t="str">
        <f>IFERROR(VLOOKUP($B255,'Lista - Âmbito Projeto GD'!$B$3:$K$71,7,0),"Campo eliminado")</f>
        <v>Campo eliminado</v>
      </c>
      <c r="Q255" s="6" t="str">
        <f t="shared" si="18"/>
        <v>Campo eliminado</v>
      </c>
      <c r="R255" s="6" t="str">
        <f>IFERROR(VLOOKUP($B255,'Lista - Âmbito Projeto GD'!$B$3:$K$71,9,0),"Campo eliminado")</f>
        <v>Campo eliminado</v>
      </c>
      <c r="S255" s="6" t="str">
        <f t="shared" si="19"/>
        <v>Campo eliminado</v>
      </c>
      <c r="U255" s="6" t="str">
        <f>VLOOKUP(B255,DataLake!$A$4:$A$429,1,0)</f>
        <v>INSTRUMENT_PD_IFRS9_LFTM_INCPTN</v>
      </c>
    </row>
    <row r="256" spans="1:21" ht="15" hidden="1" customHeight="1" x14ac:dyDescent="0.3">
      <c r="A256" s="7" t="s">
        <v>745</v>
      </c>
      <c r="B256" s="47" t="str">
        <f t="shared" si="15"/>
        <v>INSTRUMENT_PD_IFRS9_RMNNG_LFTM_INCPTN</v>
      </c>
      <c r="C256" s="8" t="s">
        <v>414</v>
      </c>
      <c r="D256" s="9" t="s">
        <v>746</v>
      </c>
      <c r="E256" s="11" t="s">
        <v>747</v>
      </c>
      <c r="F256" s="10" t="s">
        <v>13</v>
      </c>
      <c r="G256" s="10" t="s">
        <v>11</v>
      </c>
      <c r="H256" s="10" t="s">
        <v>11</v>
      </c>
      <c r="I256" s="10" t="s">
        <v>11</v>
      </c>
      <c r="J256" s="10" t="s">
        <v>11</v>
      </c>
      <c r="L256" s="6" t="str">
        <f>IFERROR(VLOOKUP($B256,'Lista - Âmbito Projeto GD'!$B$3:$F$71,5,0),"Campo eliminado")</f>
        <v>Campo eliminado</v>
      </c>
      <c r="M256" s="6" t="str">
        <f t="shared" si="16"/>
        <v>Campo eliminado</v>
      </c>
      <c r="N256" s="6" t="str">
        <f>IFERROR(VLOOKUP($B256,'Lista - Âmbito Projeto GD'!$B$3:$K$71,6,0),"Campo eliminado")</f>
        <v>Campo eliminado</v>
      </c>
      <c r="O256" s="6" t="str">
        <f t="shared" si="17"/>
        <v>Campo eliminado</v>
      </c>
      <c r="P256" s="6" t="str">
        <f>IFERROR(VLOOKUP($B256,'Lista - Âmbito Projeto GD'!$B$3:$K$71,7,0),"Campo eliminado")</f>
        <v>Campo eliminado</v>
      </c>
      <c r="Q256" s="6" t="str">
        <f t="shared" si="18"/>
        <v>Campo eliminado</v>
      </c>
      <c r="R256" s="6" t="str">
        <f>IFERROR(VLOOKUP($B256,'Lista - Âmbito Projeto GD'!$B$3:$K$71,9,0),"Campo eliminado")</f>
        <v>Campo eliminado</v>
      </c>
      <c r="S256" s="6" t="str">
        <f t="shared" si="19"/>
        <v>Campo eliminado</v>
      </c>
      <c r="U256" s="6" t="str">
        <f>VLOOKUP(B256,DataLake!$A$4:$A$429,1,0)</f>
        <v>INSTRUMENT_PD_IFRS9_RMNNG_LFTM_INCPTN</v>
      </c>
    </row>
    <row r="257" spans="1:21" ht="15" hidden="1" customHeight="1" x14ac:dyDescent="0.3">
      <c r="A257" s="7" t="s">
        <v>748</v>
      </c>
      <c r="B257" s="47" t="str">
        <f t="shared" si="15"/>
        <v>INSTRUMENT_PD_IFRS9_RMNNG_LFTM_RD</v>
      </c>
      <c r="C257" s="8" t="s">
        <v>414</v>
      </c>
      <c r="D257" s="9" t="s">
        <v>749</v>
      </c>
      <c r="E257" s="11" t="s">
        <v>750</v>
      </c>
      <c r="F257" s="10" t="s">
        <v>13</v>
      </c>
      <c r="G257" s="10" t="s">
        <v>11</v>
      </c>
      <c r="H257" s="10" t="s">
        <v>11</v>
      </c>
      <c r="I257" s="10" t="s">
        <v>11</v>
      </c>
      <c r="J257" s="10" t="s">
        <v>11</v>
      </c>
      <c r="L257" s="6" t="str">
        <f>IFERROR(VLOOKUP($B257,'Lista - Âmbito Projeto GD'!$B$3:$F$71,5,0),"Campo eliminado")</f>
        <v>Campo eliminado</v>
      </c>
      <c r="M257" s="6" t="str">
        <f t="shared" si="16"/>
        <v>Campo eliminado</v>
      </c>
      <c r="N257" s="6" t="str">
        <f>IFERROR(VLOOKUP($B257,'Lista - Âmbito Projeto GD'!$B$3:$K$71,6,0),"Campo eliminado")</f>
        <v>Campo eliminado</v>
      </c>
      <c r="O257" s="6" t="str">
        <f t="shared" si="17"/>
        <v>Campo eliminado</v>
      </c>
      <c r="P257" s="6" t="str">
        <f>IFERROR(VLOOKUP($B257,'Lista - Âmbito Projeto GD'!$B$3:$K$71,7,0),"Campo eliminado")</f>
        <v>Campo eliminado</v>
      </c>
      <c r="Q257" s="6" t="str">
        <f t="shared" si="18"/>
        <v>Campo eliminado</v>
      </c>
      <c r="R257" s="6" t="str">
        <f>IFERROR(VLOOKUP($B257,'Lista - Âmbito Projeto GD'!$B$3:$K$71,9,0),"Campo eliminado")</f>
        <v>Campo eliminado</v>
      </c>
      <c r="S257" s="6" t="str">
        <f t="shared" si="19"/>
        <v>Campo eliminado</v>
      </c>
      <c r="U257" s="6" t="str">
        <f>VLOOKUP(B257,DataLake!$A$4:$A$429,1,0)</f>
        <v>INSTRUMENT_PD_IFRS9_RMNNG_LFTM_RD</v>
      </c>
    </row>
    <row r="258" spans="1:21" ht="15" hidden="1" customHeight="1" x14ac:dyDescent="0.3">
      <c r="A258" s="7" t="s">
        <v>751</v>
      </c>
      <c r="B258" s="47" t="str">
        <f t="shared" si="15"/>
        <v>INSTRUMENT_RTNG_MTHD</v>
      </c>
      <c r="C258" s="8" t="s">
        <v>414</v>
      </c>
      <c r="D258" s="9" t="s">
        <v>143</v>
      </c>
      <c r="E258" s="11" t="s">
        <v>144</v>
      </c>
      <c r="F258" s="10" t="s">
        <v>13</v>
      </c>
      <c r="G258" s="10" t="s">
        <v>11</v>
      </c>
      <c r="H258" s="10" t="s">
        <v>11</v>
      </c>
      <c r="I258" s="10" t="s">
        <v>11</v>
      </c>
      <c r="J258" s="10" t="s">
        <v>11</v>
      </c>
      <c r="L258" s="6" t="str">
        <f>IFERROR(VLOOKUP($B258,'Lista - Âmbito Projeto GD'!$B$3:$F$71,5,0),"Campo eliminado")</f>
        <v>Campo eliminado</v>
      </c>
      <c r="M258" s="6" t="str">
        <f t="shared" si="16"/>
        <v>Campo eliminado</v>
      </c>
      <c r="N258" s="6" t="str">
        <f>IFERROR(VLOOKUP($B258,'Lista - Âmbito Projeto GD'!$B$3:$K$71,6,0),"Campo eliminado")</f>
        <v>Campo eliminado</v>
      </c>
      <c r="O258" s="6" t="str">
        <f t="shared" si="17"/>
        <v>Campo eliminado</v>
      </c>
      <c r="P258" s="6" t="str">
        <f>IFERROR(VLOOKUP($B258,'Lista - Âmbito Projeto GD'!$B$3:$K$71,7,0),"Campo eliminado")</f>
        <v>Campo eliminado</v>
      </c>
      <c r="Q258" s="6" t="str">
        <f t="shared" si="18"/>
        <v>Campo eliminado</v>
      </c>
      <c r="R258" s="6" t="str">
        <f>IFERROR(VLOOKUP($B258,'Lista - Âmbito Projeto GD'!$B$3:$K$71,9,0),"Campo eliminado")</f>
        <v>Campo eliminado</v>
      </c>
      <c r="S258" s="6" t="str">
        <f t="shared" si="19"/>
        <v>Campo eliminado</v>
      </c>
      <c r="U258" s="6" t="str">
        <f>VLOOKUP(B258,DataLake!$A$4:$A$429,1,0)</f>
        <v>INSTRUMENT_RTNG_MTHD</v>
      </c>
    </row>
    <row r="259" spans="1:21" ht="15" hidden="1" customHeight="1" x14ac:dyDescent="0.3">
      <c r="A259" s="7" t="s">
        <v>752</v>
      </c>
      <c r="B259" s="47" t="str">
        <f t="shared" ref="B259:B322" si="20">C259&amp;"_"&amp;D259</f>
        <v>INSTRUMENT_RTNG_SCL</v>
      </c>
      <c r="C259" s="8" t="s">
        <v>414</v>
      </c>
      <c r="D259" s="9" t="s">
        <v>146</v>
      </c>
      <c r="E259" s="11" t="s">
        <v>147</v>
      </c>
      <c r="F259" s="10" t="s">
        <v>13</v>
      </c>
      <c r="G259" s="10" t="s">
        <v>11</v>
      </c>
      <c r="H259" s="10" t="s">
        <v>11</v>
      </c>
      <c r="I259" s="10" t="s">
        <v>11</v>
      </c>
      <c r="J259" s="10" t="s">
        <v>11</v>
      </c>
      <c r="L259" s="6" t="str">
        <f>IFERROR(VLOOKUP($B259,'Lista - Âmbito Projeto GD'!$B$3:$F$71,5,0),"Campo eliminado")</f>
        <v>Campo eliminado</v>
      </c>
      <c r="M259" s="6" t="str">
        <f t="shared" ref="M259:M322" si="21">IF(L259="Campo eliminado","Campo eliminado",IF(L259=F259,"Igual","Diferente"))</f>
        <v>Campo eliminado</v>
      </c>
      <c r="N259" s="6" t="str">
        <f>IFERROR(VLOOKUP($B259,'Lista - Âmbito Projeto GD'!$B$3:$K$71,6,0),"Campo eliminado")</f>
        <v>Campo eliminado</v>
      </c>
      <c r="O259" s="6" t="str">
        <f t="shared" ref="O259:O322" si="22">IF(N259="Campo eliminado","Campo eliminado",IF(N259=G259,"Igual","Diferente"))</f>
        <v>Campo eliminado</v>
      </c>
      <c r="P259" s="6" t="str">
        <f>IFERROR(VLOOKUP($B259,'Lista - Âmbito Projeto GD'!$B$3:$K$71,7,0),"Campo eliminado")</f>
        <v>Campo eliminado</v>
      </c>
      <c r="Q259" s="6" t="str">
        <f t="shared" ref="Q259:Q322" si="23">IF(P259="Campo eliminado","Campo eliminado",IF(P259=H259,"Igual","Diferente"))</f>
        <v>Campo eliminado</v>
      </c>
      <c r="R259" s="6" t="str">
        <f>IFERROR(VLOOKUP($B259,'Lista - Âmbito Projeto GD'!$B$3:$K$71,9,0),"Campo eliminado")</f>
        <v>Campo eliminado</v>
      </c>
      <c r="S259" s="6" t="str">
        <f t="shared" ref="S259:S322" si="24">IF(R259="Campo eliminado","Campo eliminado",IF(R259=I259,"Igual","Diferente"))</f>
        <v>Campo eliminado</v>
      </c>
      <c r="U259" s="6" t="str">
        <f>VLOOKUP(B259,DataLake!$A$4:$A$429,1,0)</f>
        <v>INSTRUMENT_RTNG_SCL</v>
      </c>
    </row>
    <row r="260" spans="1:21" ht="15" hidden="1" customHeight="1" x14ac:dyDescent="0.3">
      <c r="A260" s="7" t="s">
        <v>753</v>
      </c>
      <c r="B260" s="47" t="str">
        <f t="shared" si="20"/>
        <v>INSTRUMENT_SICR_ASSSSMNT_MTHD</v>
      </c>
      <c r="C260" s="8" t="s">
        <v>414</v>
      </c>
      <c r="D260" s="9" t="s">
        <v>754</v>
      </c>
      <c r="E260" s="11" t="s">
        <v>755</v>
      </c>
      <c r="F260" s="10" t="s">
        <v>13</v>
      </c>
      <c r="G260" s="10" t="s">
        <v>11</v>
      </c>
      <c r="H260" s="10" t="s">
        <v>11</v>
      </c>
      <c r="I260" s="10" t="s">
        <v>11</v>
      </c>
      <c r="J260" s="10" t="s">
        <v>11</v>
      </c>
      <c r="L260" s="6" t="str">
        <f>IFERROR(VLOOKUP($B260,'Lista - Âmbito Projeto GD'!$B$3:$F$71,5,0),"Campo eliminado")</f>
        <v>Campo eliminado</v>
      </c>
      <c r="M260" s="6" t="str">
        <f t="shared" si="21"/>
        <v>Campo eliminado</v>
      </c>
      <c r="N260" s="6" t="str">
        <f>IFERROR(VLOOKUP($B260,'Lista - Âmbito Projeto GD'!$B$3:$K$71,6,0),"Campo eliminado")</f>
        <v>Campo eliminado</v>
      </c>
      <c r="O260" s="6" t="str">
        <f t="shared" si="22"/>
        <v>Campo eliminado</v>
      </c>
      <c r="P260" s="6" t="str">
        <f>IFERROR(VLOOKUP($B260,'Lista - Âmbito Projeto GD'!$B$3:$K$71,7,0),"Campo eliminado")</f>
        <v>Campo eliminado</v>
      </c>
      <c r="Q260" s="6" t="str">
        <f t="shared" si="23"/>
        <v>Campo eliminado</v>
      </c>
      <c r="R260" s="6" t="str">
        <f>IFERROR(VLOOKUP($B260,'Lista - Âmbito Projeto GD'!$B$3:$K$71,9,0),"Campo eliminado")</f>
        <v>Campo eliminado</v>
      </c>
      <c r="S260" s="6" t="str">
        <f t="shared" si="24"/>
        <v>Campo eliminado</v>
      </c>
      <c r="U260" s="6" t="str">
        <f>VLOOKUP(B260,DataLake!$A$4:$A$429,1,0)</f>
        <v>INSTRUMENT_SICR_ASSSSMNT_MTHD</v>
      </c>
    </row>
    <row r="261" spans="1:21" ht="15" hidden="1" customHeight="1" x14ac:dyDescent="0.3">
      <c r="A261" s="7" t="s">
        <v>756</v>
      </c>
      <c r="B261" s="47" t="str">
        <f t="shared" si="20"/>
        <v>INSTRUMENT_ANNLSD_AGRD_RT</v>
      </c>
      <c r="C261" s="8" t="s">
        <v>414</v>
      </c>
      <c r="D261" s="9" t="s">
        <v>757</v>
      </c>
      <c r="E261" s="11" t="s">
        <v>758</v>
      </c>
      <c r="F261" s="10" t="s">
        <v>13</v>
      </c>
      <c r="G261" s="10" t="s">
        <v>11</v>
      </c>
      <c r="H261" s="10" t="s">
        <v>11</v>
      </c>
      <c r="I261" s="10" t="s">
        <v>11</v>
      </c>
      <c r="J261" s="10" t="s">
        <v>11</v>
      </c>
      <c r="L261" s="6" t="str">
        <f>IFERROR(VLOOKUP($B261,'Lista - Âmbito Projeto GD'!$B$3:$F$71,5,0),"Campo eliminado")</f>
        <v>Campo eliminado</v>
      </c>
      <c r="M261" s="6" t="str">
        <f t="shared" si="21"/>
        <v>Campo eliminado</v>
      </c>
      <c r="N261" s="6" t="str">
        <f>IFERROR(VLOOKUP($B261,'Lista - Âmbito Projeto GD'!$B$3:$K$71,6,0),"Campo eliminado")</f>
        <v>Campo eliminado</v>
      </c>
      <c r="O261" s="6" t="str">
        <f t="shared" si="22"/>
        <v>Campo eliminado</v>
      </c>
      <c r="P261" s="6" t="str">
        <f>IFERROR(VLOOKUP($B261,'Lista - Âmbito Projeto GD'!$B$3:$K$71,7,0),"Campo eliminado")</f>
        <v>Campo eliminado</v>
      </c>
      <c r="Q261" s="6" t="str">
        <f t="shared" si="23"/>
        <v>Campo eliminado</v>
      </c>
      <c r="R261" s="6" t="str">
        <f>IFERROR(VLOOKUP($B261,'Lista - Âmbito Projeto GD'!$B$3:$K$71,9,0),"Campo eliminado")</f>
        <v>Campo eliminado</v>
      </c>
      <c r="S261" s="6" t="str">
        <f t="shared" si="24"/>
        <v>Campo eliminado</v>
      </c>
      <c r="U261" s="6" t="str">
        <f>VLOOKUP(B261,DataLake!$A$4:$A$429,1,0)</f>
        <v>INSTRUMENT_ANNLSD_AGRD_RT</v>
      </c>
    </row>
    <row r="262" spans="1:21" ht="15" hidden="1" customHeight="1" x14ac:dyDescent="0.3">
      <c r="A262" s="7" t="s">
        <v>759</v>
      </c>
      <c r="B262" s="47" t="str">
        <f t="shared" si="20"/>
        <v>INSTRUMENT_EIR</v>
      </c>
      <c r="C262" s="8" t="s">
        <v>414</v>
      </c>
      <c r="D262" s="9" t="s">
        <v>760</v>
      </c>
      <c r="E262" s="11" t="s">
        <v>761</v>
      </c>
      <c r="F262" s="10" t="s">
        <v>13</v>
      </c>
      <c r="G262" s="10" t="s">
        <v>11</v>
      </c>
      <c r="H262" s="10" t="s">
        <v>11</v>
      </c>
      <c r="I262" s="10" t="s">
        <v>11</v>
      </c>
      <c r="J262" s="10" t="s">
        <v>11</v>
      </c>
      <c r="L262" s="6" t="str">
        <f>IFERROR(VLOOKUP($B262,'Lista - Âmbito Projeto GD'!$B$3:$F$71,5,0),"Campo eliminado")</f>
        <v>Campo eliminado</v>
      </c>
      <c r="M262" s="6" t="str">
        <f t="shared" si="21"/>
        <v>Campo eliminado</v>
      </c>
      <c r="N262" s="6" t="str">
        <f>IFERROR(VLOOKUP($B262,'Lista - Âmbito Projeto GD'!$B$3:$K$71,6,0),"Campo eliminado")</f>
        <v>Campo eliminado</v>
      </c>
      <c r="O262" s="6" t="str">
        <f t="shared" si="22"/>
        <v>Campo eliminado</v>
      </c>
      <c r="P262" s="6" t="str">
        <f>IFERROR(VLOOKUP($B262,'Lista - Âmbito Projeto GD'!$B$3:$K$71,7,0),"Campo eliminado")</f>
        <v>Campo eliminado</v>
      </c>
      <c r="Q262" s="6" t="str">
        <f t="shared" si="23"/>
        <v>Campo eliminado</v>
      </c>
      <c r="R262" s="6" t="str">
        <f>IFERROR(VLOOKUP($B262,'Lista - Âmbito Projeto GD'!$B$3:$K$71,9,0),"Campo eliminado")</f>
        <v>Campo eliminado</v>
      </c>
      <c r="S262" s="6" t="str">
        <f t="shared" si="24"/>
        <v>Campo eliminado</v>
      </c>
      <c r="U262" s="6" t="str">
        <f>VLOOKUP(B262,DataLake!$A$4:$A$429,1,0)</f>
        <v>INSTRUMENT_EIR</v>
      </c>
    </row>
    <row r="263" spans="1:21" ht="15" hidden="1" customHeight="1" x14ac:dyDescent="0.3">
      <c r="A263" s="7" t="s">
        <v>762</v>
      </c>
      <c r="B263" s="47" t="str">
        <f t="shared" si="20"/>
        <v>INSTRUMENT_EIR_INCPTN</v>
      </c>
      <c r="C263" s="8" t="s">
        <v>414</v>
      </c>
      <c r="D263" s="9" t="s">
        <v>763</v>
      </c>
      <c r="E263" s="11" t="s">
        <v>764</v>
      </c>
      <c r="F263" s="10" t="s">
        <v>13</v>
      </c>
      <c r="G263" s="10" t="s">
        <v>11</v>
      </c>
      <c r="H263" s="10" t="s">
        <v>11</v>
      </c>
      <c r="I263" s="10" t="s">
        <v>11</v>
      </c>
      <c r="J263" s="10" t="s">
        <v>11</v>
      </c>
      <c r="L263" s="6" t="str">
        <f>IFERROR(VLOOKUP($B263,'Lista - Âmbito Projeto GD'!$B$3:$F$71,5,0),"Campo eliminado")</f>
        <v>Campo eliminado</v>
      </c>
      <c r="M263" s="6" t="str">
        <f t="shared" si="21"/>
        <v>Campo eliminado</v>
      </c>
      <c r="N263" s="6" t="str">
        <f>IFERROR(VLOOKUP($B263,'Lista - Âmbito Projeto GD'!$B$3:$K$71,6,0),"Campo eliminado")</f>
        <v>Campo eliminado</v>
      </c>
      <c r="O263" s="6" t="str">
        <f t="shared" si="22"/>
        <v>Campo eliminado</v>
      </c>
      <c r="P263" s="6" t="str">
        <f>IFERROR(VLOOKUP($B263,'Lista - Âmbito Projeto GD'!$B$3:$K$71,7,0),"Campo eliminado")</f>
        <v>Campo eliminado</v>
      </c>
      <c r="Q263" s="6" t="str">
        <f t="shared" si="23"/>
        <v>Campo eliminado</v>
      </c>
      <c r="R263" s="6" t="str">
        <f>IFERROR(VLOOKUP($B263,'Lista - Âmbito Projeto GD'!$B$3:$K$71,9,0),"Campo eliminado")</f>
        <v>Campo eliminado</v>
      </c>
      <c r="S263" s="6" t="str">
        <f t="shared" si="24"/>
        <v>Campo eliminado</v>
      </c>
      <c r="U263" s="6" t="str">
        <f>VLOOKUP(B263,DataLake!$A$4:$A$429,1,0)</f>
        <v>INSTRUMENT_EIR_INCPTN</v>
      </c>
    </row>
    <row r="264" spans="1:21" ht="15" hidden="1" customHeight="1" x14ac:dyDescent="0.3">
      <c r="A264" s="7" t="s">
        <v>765</v>
      </c>
      <c r="B264" s="47" t="str">
        <f t="shared" si="20"/>
        <v>INSTRUMENT_INTRST_RT_RST_FRQNCY</v>
      </c>
      <c r="C264" s="8" t="s">
        <v>414</v>
      </c>
      <c r="D264" s="9" t="s">
        <v>766</v>
      </c>
      <c r="E264" s="11" t="s">
        <v>767</v>
      </c>
      <c r="F264" s="10" t="s">
        <v>13</v>
      </c>
      <c r="G264" s="10" t="s">
        <v>11</v>
      </c>
      <c r="H264" s="10" t="s">
        <v>11</v>
      </c>
      <c r="I264" s="10" t="s">
        <v>11</v>
      </c>
      <c r="J264" s="10" t="s">
        <v>11</v>
      </c>
      <c r="L264" s="6" t="str">
        <f>IFERROR(VLOOKUP($B264,'Lista - Âmbito Projeto GD'!$B$3:$F$71,5,0),"Campo eliminado")</f>
        <v>Campo eliminado</v>
      </c>
      <c r="M264" s="6" t="str">
        <f t="shared" si="21"/>
        <v>Campo eliminado</v>
      </c>
      <c r="N264" s="6" t="str">
        <f>IFERROR(VLOOKUP($B264,'Lista - Âmbito Projeto GD'!$B$3:$K$71,6,0),"Campo eliminado")</f>
        <v>Campo eliminado</v>
      </c>
      <c r="O264" s="6" t="str">
        <f t="shared" si="22"/>
        <v>Campo eliminado</v>
      </c>
      <c r="P264" s="6" t="str">
        <f>IFERROR(VLOOKUP($B264,'Lista - Âmbito Projeto GD'!$B$3:$K$71,7,0),"Campo eliminado")</f>
        <v>Campo eliminado</v>
      </c>
      <c r="Q264" s="6" t="str">
        <f t="shared" si="23"/>
        <v>Campo eliminado</v>
      </c>
      <c r="R264" s="6" t="str">
        <f>IFERROR(VLOOKUP($B264,'Lista - Âmbito Projeto GD'!$B$3:$K$71,9,0),"Campo eliminado")</f>
        <v>Campo eliminado</v>
      </c>
      <c r="S264" s="6" t="str">
        <f t="shared" si="24"/>
        <v>Campo eliminado</v>
      </c>
      <c r="U264" s="6" t="str">
        <f>VLOOKUP(B264,DataLake!$A$4:$A$429,1,0)</f>
        <v>INSTRUMENT_INTRST_RT_RST_FRQNCY</v>
      </c>
    </row>
    <row r="265" spans="1:21" ht="15" hidden="1" customHeight="1" x14ac:dyDescent="0.3">
      <c r="A265" s="7" t="s">
        <v>768</v>
      </c>
      <c r="B265" s="47" t="str">
        <f t="shared" si="20"/>
        <v>INSTRUMENT_RCVD_AMRTSTN_12M</v>
      </c>
      <c r="C265" s="8" t="s">
        <v>414</v>
      </c>
      <c r="D265" s="9" t="s">
        <v>769</v>
      </c>
      <c r="E265" s="11" t="s">
        <v>770</v>
      </c>
      <c r="F265" s="10" t="s">
        <v>13</v>
      </c>
      <c r="G265" s="10" t="s">
        <v>11</v>
      </c>
      <c r="H265" s="10" t="s">
        <v>11</v>
      </c>
      <c r="I265" s="10" t="s">
        <v>11</v>
      </c>
      <c r="J265" s="10" t="s">
        <v>11</v>
      </c>
      <c r="L265" s="6" t="str">
        <f>IFERROR(VLOOKUP($B265,'Lista - Âmbito Projeto GD'!$B$3:$F$71,5,0),"Campo eliminado")</f>
        <v>Campo eliminado</v>
      </c>
      <c r="M265" s="6" t="str">
        <f t="shared" si="21"/>
        <v>Campo eliminado</v>
      </c>
      <c r="N265" s="6" t="str">
        <f>IFERROR(VLOOKUP($B265,'Lista - Âmbito Projeto GD'!$B$3:$K$71,6,0),"Campo eliminado")</f>
        <v>Campo eliminado</v>
      </c>
      <c r="O265" s="6" t="str">
        <f t="shared" si="22"/>
        <v>Campo eliminado</v>
      </c>
      <c r="P265" s="6" t="str">
        <f>IFERROR(VLOOKUP($B265,'Lista - Âmbito Projeto GD'!$B$3:$K$71,7,0),"Campo eliminado")</f>
        <v>Campo eliminado</v>
      </c>
      <c r="Q265" s="6" t="str">
        <f t="shared" si="23"/>
        <v>Campo eliminado</v>
      </c>
      <c r="R265" s="6" t="str">
        <f>IFERROR(VLOOKUP($B265,'Lista - Âmbito Projeto GD'!$B$3:$K$71,9,0),"Campo eliminado")</f>
        <v>Campo eliminado</v>
      </c>
      <c r="S265" s="6" t="str">
        <f t="shared" si="24"/>
        <v>Campo eliminado</v>
      </c>
      <c r="U265" s="6" t="str">
        <f>VLOOKUP(B265,DataLake!$A$4:$A$429,1,0)</f>
        <v>INSTRUMENT_RCVD_AMRTSTN_12M</v>
      </c>
    </row>
    <row r="266" spans="1:21" ht="15" hidden="1" customHeight="1" x14ac:dyDescent="0.3">
      <c r="A266" s="7" t="s">
        <v>771</v>
      </c>
      <c r="B266" s="47" t="str">
        <f t="shared" si="20"/>
        <v>INSTRUMENT_RCVD_AMRTSTN_24M</v>
      </c>
      <c r="C266" s="8" t="s">
        <v>414</v>
      </c>
      <c r="D266" s="9" t="s">
        <v>772</v>
      </c>
      <c r="E266" s="11" t="s">
        <v>773</v>
      </c>
      <c r="F266" s="10" t="s">
        <v>13</v>
      </c>
      <c r="G266" s="10" t="s">
        <v>11</v>
      </c>
      <c r="H266" s="10" t="s">
        <v>11</v>
      </c>
      <c r="I266" s="10" t="s">
        <v>11</v>
      </c>
      <c r="J266" s="10" t="s">
        <v>11</v>
      </c>
      <c r="L266" s="6" t="str">
        <f>IFERROR(VLOOKUP($B266,'Lista - Âmbito Projeto GD'!$B$3:$F$71,5,0),"Campo eliminado")</f>
        <v>Campo eliminado</v>
      </c>
      <c r="M266" s="6" t="str">
        <f t="shared" si="21"/>
        <v>Campo eliminado</v>
      </c>
      <c r="N266" s="6" t="str">
        <f>IFERROR(VLOOKUP($B266,'Lista - Âmbito Projeto GD'!$B$3:$K$71,6,0),"Campo eliminado")</f>
        <v>Campo eliminado</v>
      </c>
      <c r="O266" s="6" t="str">
        <f t="shared" si="22"/>
        <v>Campo eliminado</v>
      </c>
      <c r="P266" s="6" t="str">
        <f>IFERROR(VLOOKUP($B266,'Lista - Âmbito Projeto GD'!$B$3:$K$71,7,0),"Campo eliminado")</f>
        <v>Campo eliminado</v>
      </c>
      <c r="Q266" s="6" t="str">
        <f t="shared" si="23"/>
        <v>Campo eliminado</v>
      </c>
      <c r="R266" s="6" t="str">
        <f>IFERROR(VLOOKUP($B266,'Lista - Âmbito Projeto GD'!$B$3:$K$71,9,0),"Campo eliminado")</f>
        <v>Campo eliminado</v>
      </c>
      <c r="S266" s="6" t="str">
        <f t="shared" si="24"/>
        <v>Campo eliminado</v>
      </c>
      <c r="U266" s="6" t="str">
        <f>VLOOKUP(B266,DataLake!$A$4:$A$429,1,0)</f>
        <v>INSTRUMENT_RCVD_AMRTSTN_24M</v>
      </c>
    </row>
    <row r="267" spans="1:21" ht="15" hidden="1" customHeight="1" x14ac:dyDescent="0.3">
      <c r="A267" s="7" t="s">
        <v>774</v>
      </c>
      <c r="B267" s="47" t="str">
        <f t="shared" si="20"/>
        <v>INSTRUMENT_RCVD_INTRST_12M</v>
      </c>
      <c r="C267" s="8" t="s">
        <v>414</v>
      </c>
      <c r="D267" s="9" t="s">
        <v>775</v>
      </c>
      <c r="E267" s="11" t="s">
        <v>776</v>
      </c>
      <c r="F267" s="10" t="s">
        <v>13</v>
      </c>
      <c r="G267" s="10" t="s">
        <v>11</v>
      </c>
      <c r="H267" s="10" t="s">
        <v>11</v>
      </c>
      <c r="I267" s="10" t="s">
        <v>11</v>
      </c>
      <c r="J267" s="10" t="s">
        <v>11</v>
      </c>
      <c r="L267" s="6" t="str">
        <f>IFERROR(VLOOKUP($B267,'Lista - Âmbito Projeto GD'!$B$3:$F$71,5,0),"Campo eliminado")</f>
        <v>Campo eliminado</v>
      </c>
      <c r="M267" s="6" t="str">
        <f t="shared" si="21"/>
        <v>Campo eliminado</v>
      </c>
      <c r="N267" s="6" t="str">
        <f>IFERROR(VLOOKUP($B267,'Lista - Âmbito Projeto GD'!$B$3:$K$71,6,0),"Campo eliminado")</f>
        <v>Campo eliminado</v>
      </c>
      <c r="O267" s="6" t="str">
        <f t="shared" si="22"/>
        <v>Campo eliminado</v>
      </c>
      <c r="P267" s="6" t="str">
        <f>IFERROR(VLOOKUP($B267,'Lista - Âmbito Projeto GD'!$B$3:$K$71,7,0),"Campo eliminado")</f>
        <v>Campo eliminado</v>
      </c>
      <c r="Q267" s="6" t="str">
        <f t="shared" si="23"/>
        <v>Campo eliminado</v>
      </c>
      <c r="R267" s="6" t="str">
        <f>IFERROR(VLOOKUP($B267,'Lista - Âmbito Projeto GD'!$B$3:$K$71,9,0),"Campo eliminado")</f>
        <v>Campo eliminado</v>
      </c>
      <c r="S267" s="6" t="str">
        <f t="shared" si="24"/>
        <v>Campo eliminado</v>
      </c>
      <c r="U267" s="6" t="str">
        <f>VLOOKUP(B267,DataLake!$A$4:$A$429,1,0)</f>
        <v>INSTRUMENT_RCVD_INTRST_12M</v>
      </c>
    </row>
    <row r="268" spans="1:21" ht="15" hidden="1" customHeight="1" x14ac:dyDescent="0.3">
      <c r="A268" s="7" t="s">
        <v>777</v>
      </c>
      <c r="B268" s="47" t="str">
        <f t="shared" si="20"/>
        <v>INSTRUMENT_RCVD_INTRST_24M</v>
      </c>
      <c r="C268" s="8" t="s">
        <v>414</v>
      </c>
      <c r="D268" s="9" t="s">
        <v>778</v>
      </c>
      <c r="E268" s="11" t="s">
        <v>779</v>
      </c>
      <c r="F268" s="10" t="s">
        <v>13</v>
      </c>
      <c r="G268" s="10" t="s">
        <v>11</v>
      </c>
      <c r="H268" s="10" t="s">
        <v>11</v>
      </c>
      <c r="I268" s="10" t="s">
        <v>11</v>
      </c>
      <c r="J268" s="10" t="s">
        <v>11</v>
      </c>
      <c r="L268" s="6" t="str">
        <f>IFERROR(VLOOKUP($B268,'Lista - Âmbito Projeto GD'!$B$3:$F$71,5,0),"Campo eliminado")</f>
        <v>Campo eliminado</v>
      </c>
      <c r="M268" s="6" t="str">
        <f t="shared" si="21"/>
        <v>Campo eliminado</v>
      </c>
      <c r="N268" s="6" t="str">
        <f>IFERROR(VLOOKUP($B268,'Lista - Âmbito Projeto GD'!$B$3:$K$71,6,0),"Campo eliminado")</f>
        <v>Campo eliminado</v>
      </c>
      <c r="O268" s="6" t="str">
        <f t="shared" si="22"/>
        <v>Campo eliminado</v>
      </c>
      <c r="P268" s="6" t="str">
        <f>IFERROR(VLOOKUP($B268,'Lista - Âmbito Projeto GD'!$B$3:$K$71,7,0),"Campo eliminado")</f>
        <v>Campo eliminado</v>
      </c>
      <c r="Q268" s="6" t="str">
        <f t="shared" si="23"/>
        <v>Campo eliminado</v>
      </c>
      <c r="R268" s="6" t="str">
        <f>IFERROR(VLOOKUP($B268,'Lista - Âmbito Projeto GD'!$B$3:$K$71,9,0),"Campo eliminado")</f>
        <v>Campo eliminado</v>
      </c>
      <c r="S268" s="6" t="str">
        <f t="shared" si="24"/>
        <v>Campo eliminado</v>
      </c>
      <c r="U268" s="6" t="str">
        <f>VLOOKUP(B268,DataLake!$A$4:$A$429,1,0)</f>
        <v>INSTRUMENT_RCVD_INTRST_24M</v>
      </c>
    </row>
    <row r="269" spans="1:21" ht="15" hidden="1" customHeight="1" x14ac:dyDescent="0.3">
      <c r="A269" s="7" t="s">
        <v>780</v>
      </c>
      <c r="B269" s="47" t="str">
        <f t="shared" si="20"/>
        <v>INSTRUMENT_SYNDCT_RL</v>
      </c>
      <c r="C269" s="8" t="s">
        <v>414</v>
      </c>
      <c r="D269" s="9" t="s">
        <v>781</v>
      </c>
      <c r="E269" s="11" t="s">
        <v>782</v>
      </c>
      <c r="F269" s="10" t="s">
        <v>13</v>
      </c>
      <c r="G269" s="10" t="s">
        <v>11</v>
      </c>
      <c r="H269" s="10" t="s">
        <v>11</v>
      </c>
      <c r="I269" s="10" t="s">
        <v>11</v>
      </c>
      <c r="J269" s="10" t="s">
        <v>11</v>
      </c>
      <c r="L269" s="6" t="str">
        <f>IFERROR(VLOOKUP($B269,'Lista - Âmbito Projeto GD'!$B$3:$F$71,5,0),"Campo eliminado")</f>
        <v>Campo eliminado</v>
      </c>
      <c r="M269" s="6" t="str">
        <f t="shared" si="21"/>
        <v>Campo eliminado</v>
      </c>
      <c r="N269" s="6" t="str">
        <f>IFERROR(VLOOKUP($B269,'Lista - Âmbito Projeto GD'!$B$3:$K$71,6,0),"Campo eliminado")</f>
        <v>Campo eliminado</v>
      </c>
      <c r="O269" s="6" t="str">
        <f t="shared" si="22"/>
        <v>Campo eliminado</v>
      </c>
      <c r="P269" s="6" t="str">
        <f>IFERROR(VLOOKUP($B269,'Lista - Âmbito Projeto GD'!$B$3:$K$71,7,0),"Campo eliminado")</f>
        <v>Campo eliminado</v>
      </c>
      <c r="Q269" s="6" t="str">
        <f t="shared" si="23"/>
        <v>Campo eliminado</v>
      </c>
      <c r="R269" s="6" t="str">
        <f>IFERROR(VLOOKUP($B269,'Lista - Âmbito Projeto GD'!$B$3:$K$71,9,0),"Campo eliminado")</f>
        <v>Campo eliminado</v>
      </c>
      <c r="S269" s="6" t="str">
        <f t="shared" si="24"/>
        <v>Campo eliminado</v>
      </c>
      <c r="U269" s="6" t="str">
        <f>VLOOKUP(B269,DataLake!$A$4:$A$429,1,0)</f>
        <v>INSTRUMENT_SYNDCT_RL</v>
      </c>
    </row>
    <row r="270" spans="1:21" ht="15" hidden="1" customHeight="1" x14ac:dyDescent="0.3">
      <c r="A270" s="7" t="s">
        <v>783</v>
      </c>
      <c r="B270" s="47" t="str">
        <f t="shared" si="20"/>
        <v>INSTRUMENT_SYNDCTD_AGNT</v>
      </c>
      <c r="C270" s="8" t="s">
        <v>414</v>
      </c>
      <c r="D270" s="9" t="s">
        <v>784</v>
      </c>
      <c r="E270" s="11" t="s">
        <v>785</v>
      </c>
      <c r="F270" s="10" t="s">
        <v>13</v>
      </c>
      <c r="G270" s="10" t="s">
        <v>11</v>
      </c>
      <c r="H270" s="10" t="s">
        <v>11</v>
      </c>
      <c r="I270" s="10" t="s">
        <v>11</v>
      </c>
      <c r="J270" s="10" t="s">
        <v>11</v>
      </c>
      <c r="L270" s="6" t="str">
        <f>IFERROR(VLOOKUP($B270,'Lista - Âmbito Projeto GD'!$B$3:$F$71,5,0),"Campo eliminado")</f>
        <v>Campo eliminado</v>
      </c>
      <c r="M270" s="6" t="str">
        <f t="shared" si="21"/>
        <v>Campo eliminado</v>
      </c>
      <c r="N270" s="6" t="str">
        <f>IFERROR(VLOOKUP($B270,'Lista - Âmbito Projeto GD'!$B$3:$K$71,6,0),"Campo eliminado")</f>
        <v>Campo eliminado</v>
      </c>
      <c r="O270" s="6" t="str">
        <f t="shared" si="22"/>
        <v>Campo eliminado</v>
      </c>
      <c r="P270" s="6" t="str">
        <f>IFERROR(VLOOKUP($B270,'Lista - Âmbito Projeto GD'!$B$3:$K$71,7,0),"Campo eliminado")</f>
        <v>Campo eliminado</v>
      </c>
      <c r="Q270" s="6" t="str">
        <f t="shared" si="23"/>
        <v>Campo eliminado</v>
      </c>
      <c r="R270" s="6" t="str">
        <f>IFERROR(VLOOKUP($B270,'Lista - Âmbito Projeto GD'!$B$3:$K$71,9,0),"Campo eliminado")</f>
        <v>Campo eliminado</v>
      </c>
      <c r="S270" s="6" t="str">
        <f t="shared" si="24"/>
        <v>Campo eliminado</v>
      </c>
      <c r="U270" s="6" t="str">
        <f>VLOOKUP(B270,DataLake!$A$4:$A$429,1,0)</f>
        <v>INSTRUMENT_SYNDCTD_AGNT</v>
      </c>
    </row>
    <row r="271" spans="1:21" ht="15" hidden="1" customHeight="1" x14ac:dyDescent="0.3">
      <c r="A271" s="7" t="s">
        <v>786</v>
      </c>
      <c r="B271" s="47" t="str">
        <f t="shared" si="20"/>
        <v>INSTRUMENT_SYNDCTD_CNTRCT_ID</v>
      </c>
      <c r="C271" s="8" t="s">
        <v>414</v>
      </c>
      <c r="D271" s="9" t="s">
        <v>787</v>
      </c>
      <c r="E271" s="11" t="s">
        <v>788</v>
      </c>
      <c r="F271" s="10" t="s">
        <v>13</v>
      </c>
      <c r="G271" s="10" t="s">
        <v>11</v>
      </c>
      <c r="H271" s="10" t="s">
        <v>11</v>
      </c>
      <c r="I271" s="10" t="s">
        <v>11</v>
      </c>
      <c r="J271" s="10" t="s">
        <v>11</v>
      </c>
      <c r="L271" s="6" t="str">
        <f>IFERROR(VLOOKUP($B271,'Lista - Âmbito Projeto GD'!$B$3:$F$71,5,0),"Campo eliminado")</f>
        <v>Campo eliminado</v>
      </c>
      <c r="M271" s="6" t="str">
        <f t="shared" si="21"/>
        <v>Campo eliminado</v>
      </c>
      <c r="N271" s="6" t="str">
        <f>IFERROR(VLOOKUP($B271,'Lista - Âmbito Projeto GD'!$B$3:$K$71,6,0),"Campo eliminado")</f>
        <v>Campo eliminado</v>
      </c>
      <c r="O271" s="6" t="str">
        <f t="shared" si="22"/>
        <v>Campo eliminado</v>
      </c>
      <c r="P271" s="6" t="str">
        <f>IFERROR(VLOOKUP($B271,'Lista - Âmbito Projeto GD'!$B$3:$K$71,7,0),"Campo eliminado")</f>
        <v>Campo eliminado</v>
      </c>
      <c r="Q271" s="6" t="str">
        <f t="shared" si="23"/>
        <v>Campo eliminado</v>
      </c>
      <c r="R271" s="6" t="str">
        <f>IFERROR(VLOOKUP($B271,'Lista - Âmbito Projeto GD'!$B$3:$K$71,9,0),"Campo eliminado")</f>
        <v>Campo eliminado</v>
      </c>
      <c r="S271" s="6" t="str">
        <f t="shared" si="24"/>
        <v>Campo eliminado</v>
      </c>
      <c r="U271" s="6" t="str">
        <f>VLOOKUP(B271,DataLake!$A$4:$A$429,1,0)</f>
        <v>INSTRUMENT_SYNDCTD_CNTRCT_ID</v>
      </c>
    </row>
    <row r="272" spans="1:21" ht="15" hidden="1" customHeight="1" x14ac:dyDescent="0.3">
      <c r="A272" s="7" t="s">
        <v>789</v>
      </c>
      <c r="B272" s="47" t="str">
        <f t="shared" si="20"/>
        <v>INSTRUMENT_SYNDCTD_LNDRS</v>
      </c>
      <c r="C272" s="8" t="s">
        <v>414</v>
      </c>
      <c r="D272" s="9" t="s">
        <v>790</v>
      </c>
      <c r="E272" s="11" t="s">
        <v>791</v>
      </c>
      <c r="F272" s="10" t="s">
        <v>13</v>
      </c>
      <c r="G272" s="10" t="s">
        <v>11</v>
      </c>
      <c r="H272" s="10" t="s">
        <v>11</v>
      </c>
      <c r="I272" s="10" t="s">
        <v>11</v>
      </c>
      <c r="J272" s="10" t="s">
        <v>11</v>
      </c>
      <c r="L272" s="6" t="str">
        <f>IFERROR(VLOOKUP($B272,'Lista - Âmbito Projeto GD'!$B$3:$F$71,5,0),"Campo eliminado")</f>
        <v>Campo eliminado</v>
      </c>
      <c r="M272" s="6" t="str">
        <f t="shared" si="21"/>
        <v>Campo eliminado</v>
      </c>
      <c r="N272" s="6" t="str">
        <f>IFERROR(VLOOKUP($B272,'Lista - Âmbito Projeto GD'!$B$3:$K$71,6,0),"Campo eliminado")</f>
        <v>Campo eliminado</v>
      </c>
      <c r="O272" s="6" t="str">
        <f t="shared" si="22"/>
        <v>Campo eliminado</v>
      </c>
      <c r="P272" s="6" t="str">
        <f>IFERROR(VLOOKUP($B272,'Lista - Âmbito Projeto GD'!$B$3:$K$71,7,0),"Campo eliminado")</f>
        <v>Campo eliminado</v>
      </c>
      <c r="Q272" s="6" t="str">
        <f t="shared" si="23"/>
        <v>Campo eliminado</v>
      </c>
      <c r="R272" s="6" t="str">
        <f>IFERROR(VLOOKUP($B272,'Lista - Âmbito Projeto GD'!$B$3:$K$71,9,0),"Campo eliminado")</f>
        <v>Campo eliminado</v>
      </c>
      <c r="S272" s="6" t="str">
        <f t="shared" si="24"/>
        <v>Campo eliminado</v>
      </c>
      <c r="U272" s="6" t="str">
        <f>VLOOKUP(B272,DataLake!$A$4:$A$429,1,0)</f>
        <v>INSTRUMENT_SYNDCTD_LNDRS</v>
      </c>
    </row>
    <row r="273" spans="1:21" ht="15" hidden="1" customHeight="1" x14ac:dyDescent="0.3">
      <c r="A273" s="7" t="s">
        <v>792</v>
      </c>
      <c r="B273" s="47" t="str">
        <f t="shared" si="20"/>
        <v>INSTRUMENT_SYNDCTD_SHR</v>
      </c>
      <c r="C273" s="8" t="s">
        <v>414</v>
      </c>
      <c r="D273" s="9" t="s">
        <v>793</v>
      </c>
      <c r="E273" s="11" t="s">
        <v>794</v>
      </c>
      <c r="F273" s="10" t="s">
        <v>13</v>
      </c>
      <c r="G273" s="10" t="s">
        <v>11</v>
      </c>
      <c r="H273" s="10" t="s">
        <v>11</v>
      </c>
      <c r="I273" s="10" t="s">
        <v>11</v>
      </c>
      <c r="J273" s="10" t="s">
        <v>11</v>
      </c>
      <c r="L273" s="6" t="str">
        <f>IFERROR(VLOOKUP($B273,'Lista - Âmbito Projeto GD'!$B$3:$F$71,5,0),"Campo eliminado")</f>
        <v>Campo eliminado</v>
      </c>
      <c r="M273" s="6" t="str">
        <f t="shared" si="21"/>
        <v>Campo eliminado</v>
      </c>
      <c r="N273" s="6" t="str">
        <f>IFERROR(VLOOKUP($B273,'Lista - Âmbito Projeto GD'!$B$3:$K$71,6,0),"Campo eliminado")</f>
        <v>Campo eliminado</v>
      </c>
      <c r="O273" s="6" t="str">
        <f t="shared" si="22"/>
        <v>Campo eliminado</v>
      </c>
      <c r="P273" s="6" t="str">
        <f>IFERROR(VLOOKUP($B273,'Lista - Âmbito Projeto GD'!$B$3:$K$71,7,0),"Campo eliminado")</f>
        <v>Campo eliminado</v>
      </c>
      <c r="Q273" s="6" t="str">
        <f t="shared" si="23"/>
        <v>Campo eliminado</v>
      </c>
      <c r="R273" s="6" t="str">
        <f>IFERROR(VLOOKUP($B273,'Lista - Âmbito Projeto GD'!$B$3:$K$71,9,0),"Campo eliminado")</f>
        <v>Campo eliminado</v>
      </c>
      <c r="S273" s="6" t="str">
        <f t="shared" si="24"/>
        <v>Campo eliminado</v>
      </c>
      <c r="U273" s="6" t="str">
        <f>VLOOKUP(B273,DataLake!$A$4:$A$429,1,0)</f>
        <v>INSTRUMENT_SYNDCTD_SHR</v>
      </c>
    </row>
    <row r="274" spans="1:21" ht="15" hidden="1" customHeight="1" x14ac:dyDescent="0.3">
      <c r="A274" s="7" t="s">
        <v>795</v>
      </c>
      <c r="B274" s="47" t="str">
        <f t="shared" si="20"/>
        <v>INSTRUMENT_SYNDCTN_TYP</v>
      </c>
      <c r="C274" s="8" t="s">
        <v>414</v>
      </c>
      <c r="D274" s="9" t="s">
        <v>796</v>
      </c>
      <c r="E274" s="11" t="s">
        <v>797</v>
      </c>
      <c r="F274" s="10" t="s">
        <v>13</v>
      </c>
      <c r="G274" s="10" t="s">
        <v>11</v>
      </c>
      <c r="H274" s="10" t="s">
        <v>11</v>
      </c>
      <c r="I274" s="10" t="s">
        <v>11</v>
      </c>
      <c r="J274" s="10" t="s">
        <v>11</v>
      </c>
      <c r="L274" s="6" t="str">
        <f>IFERROR(VLOOKUP($B274,'Lista - Âmbito Projeto GD'!$B$3:$F$71,5,0),"Campo eliminado")</f>
        <v>Campo eliminado</v>
      </c>
      <c r="M274" s="6" t="str">
        <f t="shared" si="21"/>
        <v>Campo eliminado</v>
      </c>
      <c r="N274" s="6" t="str">
        <f>IFERROR(VLOOKUP($B274,'Lista - Âmbito Projeto GD'!$B$3:$K$71,6,0),"Campo eliminado")</f>
        <v>Campo eliminado</v>
      </c>
      <c r="O274" s="6" t="str">
        <f t="shared" si="22"/>
        <v>Campo eliminado</v>
      </c>
      <c r="P274" s="6" t="str">
        <f>IFERROR(VLOOKUP($B274,'Lista - Âmbito Projeto GD'!$B$3:$K$71,7,0),"Campo eliminado")</f>
        <v>Campo eliminado</v>
      </c>
      <c r="Q274" s="6" t="str">
        <f t="shared" si="23"/>
        <v>Campo eliminado</v>
      </c>
      <c r="R274" s="6" t="str">
        <f>IFERROR(VLOOKUP($B274,'Lista - Âmbito Projeto GD'!$B$3:$K$71,9,0),"Campo eliminado")</f>
        <v>Campo eliminado</v>
      </c>
      <c r="S274" s="6" t="str">
        <f t="shared" si="24"/>
        <v>Campo eliminado</v>
      </c>
      <c r="U274" s="6" t="str">
        <f>VLOOKUP(B274,DataLake!$A$4:$A$429,1,0)</f>
        <v>INSTRUMENT_SYNDCTN_TYP</v>
      </c>
    </row>
    <row r="275" spans="1:21" ht="15" hidden="1" customHeight="1" x14ac:dyDescent="0.3">
      <c r="A275" s="7" t="s">
        <v>798</v>
      </c>
      <c r="B275" s="47" t="str">
        <f t="shared" si="20"/>
        <v>INSTRUMENT_EBA_CMPLNT_MRTR_ST_C19</v>
      </c>
      <c r="C275" s="8" t="s">
        <v>414</v>
      </c>
      <c r="D275" s="24" t="s">
        <v>799</v>
      </c>
      <c r="E275" s="26" t="s">
        <v>800</v>
      </c>
      <c r="F275" s="25" t="s">
        <v>13</v>
      </c>
      <c r="G275" s="25" t="s">
        <v>11</v>
      </c>
      <c r="H275" s="25" t="s">
        <v>11</v>
      </c>
      <c r="I275" s="25" t="s">
        <v>11</v>
      </c>
      <c r="J275" s="10" t="s">
        <v>11</v>
      </c>
      <c r="L275" s="6" t="str">
        <f>IFERROR(VLOOKUP($B275,'Lista - Âmbito Projeto GD'!$B$3:$F$71,5,0),"Campo eliminado")</f>
        <v>Campo eliminado</v>
      </c>
      <c r="M275" s="6" t="str">
        <f t="shared" si="21"/>
        <v>Campo eliminado</v>
      </c>
      <c r="N275" s="6" t="str">
        <f>IFERROR(VLOOKUP($B275,'Lista - Âmbito Projeto GD'!$B$3:$K$71,6,0),"Campo eliminado")</f>
        <v>Campo eliminado</v>
      </c>
      <c r="O275" s="6" t="str">
        <f t="shared" si="22"/>
        <v>Campo eliminado</v>
      </c>
      <c r="P275" s="6" t="str">
        <f>IFERROR(VLOOKUP($B275,'Lista - Âmbito Projeto GD'!$B$3:$K$71,7,0),"Campo eliminado")</f>
        <v>Campo eliminado</v>
      </c>
      <c r="Q275" s="6" t="str">
        <f t="shared" si="23"/>
        <v>Campo eliminado</v>
      </c>
      <c r="R275" s="6" t="str">
        <f>IFERROR(VLOOKUP($B275,'Lista - Âmbito Projeto GD'!$B$3:$K$71,9,0),"Campo eliminado")</f>
        <v>Campo eliminado</v>
      </c>
      <c r="S275" s="6" t="str">
        <f t="shared" si="24"/>
        <v>Campo eliminado</v>
      </c>
      <c r="U275" s="6" t="str">
        <f>VLOOKUP(B275,DataLake!$A$4:$A$429,1,0)</f>
        <v>INSTRUMENT_EBA_CMPLNT_MRTR_ST_C19</v>
      </c>
    </row>
    <row r="276" spans="1:21" ht="15" hidden="1" customHeight="1" x14ac:dyDescent="0.3">
      <c r="A276" s="7" t="s">
        <v>801</v>
      </c>
      <c r="B276" s="47" t="str">
        <f t="shared" si="20"/>
        <v>INSTRUMENT_DT_CMPLNT_MRTR_STTS_C19</v>
      </c>
      <c r="C276" s="8" t="s">
        <v>414</v>
      </c>
      <c r="D276" s="24" t="s">
        <v>802</v>
      </c>
      <c r="E276" s="26" t="s">
        <v>803</v>
      </c>
      <c r="F276" s="25" t="s">
        <v>13</v>
      </c>
      <c r="G276" s="25" t="s">
        <v>11</v>
      </c>
      <c r="H276" s="25" t="s">
        <v>11</v>
      </c>
      <c r="I276" s="25" t="s">
        <v>11</v>
      </c>
      <c r="J276" s="10" t="s">
        <v>11</v>
      </c>
      <c r="L276" s="6" t="str">
        <f>IFERROR(VLOOKUP($B276,'Lista - Âmbito Projeto GD'!$B$3:$F$71,5,0),"Campo eliminado")</f>
        <v>Campo eliminado</v>
      </c>
      <c r="M276" s="6" t="str">
        <f t="shared" si="21"/>
        <v>Campo eliminado</v>
      </c>
      <c r="N276" s="6" t="str">
        <f>IFERROR(VLOOKUP($B276,'Lista - Âmbito Projeto GD'!$B$3:$K$71,6,0),"Campo eliminado")</f>
        <v>Campo eliminado</v>
      </c>
      <c r="O276" s="6" t="str">
        <f t="shared" si="22"/>
        <v>Campo eliminado</v>
      </c>
      <c r="P276" s="6" t="str">
        <f>IFERROR(VLOOKUP($B276,'Lista - Âmbito Projeto GD'!$B$3:$K$71,7,0),"Campo eliminado")</f>
        <v>Campo eliminado</v>
      </c>
      <c r="Q276" s="6" t="str">
        <f t="shared" si="23"/>
        <v>Campo eliminado</v>
      </c>
      <c r="R276" s="6" t="str">
        <f>IFERROR(VLOOKUP($B276,'Lista - Âmbito Projeto GD'!$B$3:$K$71,9,0),"Campo eliminado")</f>
        <v>Campo eliminado</v>
      </c>
      <c r="S276" s="6" t="str">
        <f t="shared" si="24"/>
        <v>Campo eliminado</v>
      </c>
      <c r="U276" s="6" t="str">
        <f>VLOOKUP(B276,DataLake!$A$4:$A$429,1,0)</f>
        <v>INSTRUMENT_DT_CMPLNT_MRTR_STTS_C19</v>
      </c>
    </row>
    <row r="277" spans="1:21" ht="15" hidden="1" customHeight="1" x14ac:dyDescent="0.3">
      <c r="A277" s="7" t="s">
        <v>804</v>
      </c>
      <c r="B277" s="47" t="str">
        <f t="shared" si="20"/>
        <v>INSTRUMENT_DT_CMPLNT_MRTR_STTS_PRVS_C19</v>
      </c>
      <c r="C277" s="8" t="s">
        <v>414</v>
      </c>
      <c r="D277" s="24" t="s">
        <v>805</v>
      </c>
      <c r="E277" s="26" t="s">
        <v>806</v>
      </c>
      <c r="F277" s="25" t="s">
        <v>13</v>
      </c>
      <c r="G277" s="25" t="s">
        <v>11</v>
      </c>
      <c r="H277" s="25" t="s">
        <v>11</v>
      </c>
      <c r="I277" s="25" t="s">
        <v>11</v>
      </c>
      <c r="J277" s="10" t="s">
        <v>11</v>
      </c>
      <c r="L277" s="6" t="str">
        <f>IFERROR(VLOOKUP($B277,'Lista - Âmbito Projeto GD'!$B$3:$F$71,5,0),"Campo eliminado")</f>
        <v>Campo eliminado</v>
      </c>
      <c r="M277" s="6" t="str">
        <f t="shared" si="21"/>
        <v>Campo eliminado</v>
      </c>
      <c r="N277" s="6" t="str">
        <f>IFERROR(VLOOKUP($B277,'Lista - Âmbito Projeto GD'!$B$3:$K$71,6,0),"Campo eliminado")</f>
        <v>Campo eliminado</v>
      </c>
      <c r="O277" s="6" t="str">
        <f t="shared" si="22"/>
        <v>Campo eliminado</v>
      </c>
      <c r="P277" s="6" t="str">
        <f>IFERROR(VLOOKUP($B277,'Lista - Âmbito Projeto GD'!$B$3:$K$71,7,0),"Campo eliminado")</f>
        <v>Campo eliminado</v>
      </c>
      <c r="Q277" s="6" t="str">
        <f t="shared" si="23"/>
        <v>Campo eliminado</v>
      </c>
      <c r="R277" s="6" t="str">
        <f>IFERROR(VLOOKUP($B277,'Lista - Âmbito Projeto GD'!$B$3:$K$71,9,0),"Campo eliminado")</f>
        <v>Campo eliminado</v>
      </c>
      <c r="S277" s="6" t="str">
        <f t="shared" si="24"/>
        <v>Campo eliminado</v>
      </c>
      <c r="U277" s="6" t="str">
        <f>VLOOKUP(B277,DataLake!$A$4:$A$429,1,0)</f>
        <v>INSTRUMENT_DT_CMPLNT_MRTR_STTS_PRVS_C19</v>
      </c>
    </row>
    <row r="278" spans="1:21" ht="15" hidden="1" customHeight="1" x14ac:dyDescent="0.3">
      <c r="A278" s="7" t="s">
        <v>807</v>
      </c>
      <c r="B278" s="47" t="str">
        <f t="shared" si="20"/>
        <v>INSTRUMENT_MTRTY_LTST_MRTR_C19</v>
      </c>
      <c r="C278" s="8" t="s">
        <v>414</v>
      </c>
      <c r="D278" s="24" t="s">
        <v>808</v>
      </c>
      <c r="E278" s="26" t="s">
        <v>809</v>
      </c>
      <c r="F278" s="25" t="s">
        <v>13</v>
      </c>
      <c r="G278" s="25" t="s">
        <v>11</v>
      </c>
      <c r="H278" s="25" t="s">
        <v>11</v>
      </c>
      <c r="I278" s="25" t="s">
        <v>11</v>
      </c>
      <c r="J278" s="10" t="s">
        <v>11</v>
      </c>
      <c r="L278" s="6" t="str">
        <f>IFERROR(VLOOKUP($B278,'Lista - Âmbito Projeto GD'!$B$3:$F$71,5,0),"Campo eliminado")</f>
        <v>Campo eliminado</v>
      </c>
      <c r="M278" s="6" t="str">
        <f t="shared" si="21"/>
        <v>Campo eliminado</v>
      </c>
      <c r="N278" s="6" t="str">
        <f>IFERROR(VLOOKUP($B278,'Lista - Âmbito Projeto GD'!$B$3:$K$71,6,0),"Campo eliminado")</f>
        <v>Campo eliminado</v>
      </c>
      <c r="O278" s="6" t="str">
        <f t="shared" si="22"/>
        <v>Campo eliminado</v>
      </c>
      <c r="P278" s="6" t="str">
        <f>IFERROR(VLOOKUP($B278,'Lista - Âmbito Projeto GD'!$B$3:$K$71,7,0),"Campo eliminado")</f>
        <v>Campo eliminado</v>
      </c>
      <c r="Q278" s="6" t="str">
        <f t="shared" si="23"/>
        <v>Campo eliminado</v>
      </c>
      <c r="R278" s="6" t="str">
        <f>IFERROR(VLOOKUP($B278,'Lista - Âmbito Projeto GD'!$B$3:$K$71,9,0),"Campo eliminado")</f>
        <v>Campo eliminado</v>
      </c>
      <c r="S278" s="6" t="str">
        <f t="shared" si="24"/>
        <v>Campo eliminado</v>
      </c>
      <c r="U278" s="6" t="str">
        <f>VLOOKUP(B278,DataLake!$A$4:$A$429,1,0)</f>
        <v>INSTRUMENT_MTRTY_LTST_MRTR_C19</v>
      </c>
    </row>
    <row r="279" spans="1:21" ht="15" hidden="1" customHeight="1" x14ac:dyDescent="0.3">
      <c r="A279" s="7" t="s">
        <v>810</v>
      </c>
      <c r="B279" s="47" t="str">
        <f t="shared" si="20"/>
        <v>INSTRUMENT_TYP_CMPLNT_MRTR_C19</v>
      </c>
      <c r="C279" s="8" t="s">
        <v>414</v>
      </c>
      <c r="D279" s="24" t="s">
        <v>811</v>
      </c>
      <c r="E279" s="26" t="s">
        <v>812</v>
      </c>
      <c r="F279" s="25" t="s">
        <v>13</v>
      </c>
      <c r="G279" s="25" t="s">
        <v>11</v>
      </c>
      <c r="H279" s="25" t="s">
        <v>11</v>
      </c>
      <c r="I279" s="25" t="s">
        <v>11</v>
      </c>
      <c r="J279" s="10" t="s">
        <v>11</v>
      </c>
      <c r="L279" s="6" t="str">
        <f>IFERROR(VLOOKUP($B279,'Lista - Âmbito Projeto GD'!$B$3:$F$71,5,0),"Campo eliminado")</f>
        <v>Campo eliminado</v>
      </c>
      <c r="M279" s="6" t="str">
        <f t="shared" si="21"/>
        <v>Campo eliminado</v>
      </c>
      <c r="N279" s="6" t="str">
        <f>IFERROR(VLOOKUP($B279,'Lista - Âmbito Projeto GD'!$B$3:$K$71,6,0),"Campo eliminado")</f>
        <v>Campo eliminado</v>
      </c>
      <c r="O279" s="6" t="str">
        <f t="shared" si="22"/>
        <v>Campo eliminado</v>
      </c>
      <c r="P279" s="6" t="str">
        <f>IFERROR(VLOOKUP($B279,'Lista - Âmbito Projeto GD'!$B$3:$K$71,7,0),"Campo eliminado")</f>
        <v>Campo eliminado</v>
      </c>
      <c r="Q279" s="6" t="str">
        <f t="shared" si="23"/>
        <v>Campo eliminado</v>
      </c>
      <c r="R279" s="6" t="str">
        <f>IFERROR(VLOOKUP($B279,'Lista - Âmbito Projeto GD'!$B$3:$K$71,9,0),"Campo eliminado")</f>
        <v>Campo eliminado</v>
      </c>
      <c r="S279" s="6" t="str">
        <f t="shared" si="24"/>
        <v>Campo eliminado</v>
      </c>
      <c r="U279" s="6" t="str">
        <f>VLOOKUP(B279,DataLake!$A$4:$A$429,1,0)</f>
        <v>INSTRUMENT_TYP_CMPLNT_MRTR_C19</v>
      </c>
    </row>
    <row r="280" spans="1:21" ht="15" hidden="1" customHeight="1" x14ac:dyDescent="0.3">
      <c r="A280" s="7" t="s">
        <v>813</v>
      </c>
      <c r="B280" s="47" t="str">
        <f t="shared" si="20"/>
        <v>INSTRUMENT_GRC_PRD_CPTL_INTRST_C19</v>
      </c>
      <c r="C280" s="8" t="s">
        <v>414</v>
      </c>
      <c r="D280" s="24" t="s">
        <v>814</v>
      </c>
      <c r="E280" s="26" t="s">
        <v>815</v>
      </c>
      <c r="F280" s="25" t="s">
        <v>13</v>
      </c>
      <c r="G280" s="25" t="s">
        <v>11</v>
      </c>
      <c r="H280" s="25" t="s">
        <v>11</v>
      </c>
      <c r="I280" s="25" t="s">
        <v>11</v>
      </c>
      <c r="J280" s="10" t="s">
        <v>11</v>
      </c>
      <c r="L280" s="6" t="str">
        <f>IFERROR(VLOOKUP($B280,'Lista - Âmbito Projeto GD'!$B$3:$F$71,5,0),"Campo eliminado")</f>
        <v>Campo eliminado</v>
      </c>
      <c r="M280" s="6" t="str">
        <f t="shared" si="21"/>
        <v>Campo eliminado</v>
      </c>
      <c r="N280" s="6" t="str">
        <f>IFERROR(VLOOKUP($B280,'Lista - Âmbito Projeto GD'!$B$3:$K$71,6,0),"Campo eliminado")</f>
        <v>Campo eliminado</v>
      </c>
      <c r="O280" s="6" t="str">
        <f t="shared" si="22"/>
        <v>Campo eliminado</v>
      </c>
      <c r="P280" s="6" t="str">
        <f>IFERROR(VLOOKUP($B280,'Lista - Âmbito Projeto GD'!$B$3:$K$71,7,0),"Campo eliminado")</f>
        <v>Campo eliminado</v>
      </c>
      <c r="Q280" s="6" t="str">
        <f t="shared" si="23"/>
        <v>Campo eliminado</v>
      </c>
      <c r="R280" s="6" t="str">
        <f>IFERROR(VLOOKUP($B280,'Lista - Âmbito Projeto GD'!$B$3:$K$71,9,0),"Campo eliminado")</f>
        <v>Campo eliminado</v>
      </c>
      <c r="S280" s="6" t="str">
        <f t="shared" si="24"/>
        <v>Campo eliminado</v>
      </c>
      <c r="U280" s="6" t="str">
        <f>VLOOKUP(B280,DataLake!$A$4:$A$429,1,0)</f>
        <v>INSTRUMENT_GRC_PRD_CPTL_INTRST_C19</v>
      </c>
    </row>
    <row r="281" spans="1:21" ht="15" hidden="1" customHeight="1" x14ac:dyDescent="0.3">
      <c r="A281" s="7" t="s">
        <v>816</v>
      </c>
      <c r="B281" s="47" t="str">
        <f t="shared" si="20"/>
        <v>INSTRUMENT_CMPLNT_MRTR_C19_NM</v>
      </c>
      <c r="C281" s="8" t="s">
        <v>414</v>
      </c>
      <c r="D281" s="24" t="s">
        <v>817</v>
      </c>
      <c r="E281" s="26" t="s">
        <v>818</v>
      </c>
      <c r="F281" s="25" t="s">
        <v>13</v>
      </c>
      <c r="G281" s="25" t="s">
        <v>11</v>
      </c>
      <c r="H281" s="25" t="s">
        <v>11</v>
      </c>
      <c r="I281" s="25" t="s">
        <v>11</v>
      </c>
      <c r="J281" s="10" t="s">
        <v>11</v>
      </c>
      <c r="L281" s="6" t="str">
        <f>IFERROR(VLOOKUP($B281,'Lista - Âmbito Projeto GD'!$B$3:$F$71,5,0),"Campo eliminado")</f>
        <v>Campo eliminado</v>
      </c>
      <c r="M281" s="6" t="str">
        <f t="shared" si="21"/>
        <v>Campo eliminado</v>
      </c>
      <c r="N281" s="6" t="str">
        <f>IFERROR(VLOOKUP($B281,'Lista - Âmbito Projeto GD'!$B$3:$K$71,6,0),"Campo eliminado")</f>
        <v>Campo eliminado</v>
      </c>
      <c r="O281" s="6" t="str">
        <f t="shared" si="22"/>
        <v>Campo eliminado</v>
      </c>
      <c r="P281" s="6" t="str">
        <f>IFERROR(VLOOKUP($B281,'Lista - Âmbito Projeto GD'!$B$3:$K$71,7,0),"Campo eliminado")</f>
        <v>Campo eliminado</v>
      </c>
      <c r="Q281" s="6" t="str">
        <f t="shared" si="23"/>
        <v>Campo eliminado</v>
      </c>
      <c r="R281" s="6" t="str">
        <f>IFERROR(VLOOKUP($B281,'Lista - Âmbito Projeto GD'!$B$3:$K$71,9,0),"Campo eliminado")</f>
        <v>Campo eliminado</v>
      </c>
      <c r="S281" s="6" t="str">
        <f t="shared" si="24"/>
        <v>Campo eliminado</v>
      </c>
      <c r="U281" s="6" t="str">
        <f>VLOOKUP(B281,DataLake!$A$4:$A$429,1,0)</f>
        <v>INSTRUMENT_CMPLNT_MRTR_C19_NM</v>
      </c>
    </row>
    <row r="282" spans="1:21" ht="15" hidden="1" customHeight="1" x14ac:dyDescent="0.3">
      <c r="A282" s="7" t="s">
        <v>819</v>
      </c>
      <c r="B282" s="47" t="str">
        <f t="shared" si="20"/>
        <v>INSTRUMENT_FRBRNC_STTS_C19</v>
      </c>
      <c r="C282" s="8" t="s">
        <v>414</v>
      </c>
      <c r="D282" s="24" t="s">
        <v>820</v>
      </c>
      <c r="E282" s="26" t="s">
        <v>821</v>
      </c>
      <c r="F282" s="25" t="s">
        <v>13</v>
      </c>
      <c r="G282" s="25" t="s">
        <v>11</v>
      </c>
      <c r="H282" s="25" t="s">
        <v>11</v>
      </c>
      <c r="I282" s="25" t="s">
        <v>11</v>
      </c>
      <c r="J282" s="10" t="s">
        <v>11</v>
      </c>
      <c r="L282" s="6" t="str">
        <f>IFERROR(VLOOKUP($B282,'Lista - Âmbito Projeto GD'!$B$3:$F$71,5,0),"Campo eliminado")</f>
        <v>Campo eliminado</v>
      </c>
      <c r="M282" s="6" t="str">
        <f t="shared" si="21"/>
        <v>Campo eliminado</v>
      </c>
      <c r="N282" s="6" t="str">
        <f>IFERROR(VLOOKUP($B282,'Lista - Âmbito Projeto GD'!$B$3:$K$71,6,0),"Campo eliminado")</f>
        <v>Campo eliminado</v>
      </c>
      <c r="O282" s="6" t="str">
        <f t="shared" si="22"/>
        <v>Campo eliminado</v>
      </c>
      <c r="P282" s="6" t="str">
        <f>IFERROR(VLOOKUP($B282,'Lista - Âmbito Projeto GD'!$B$3:$K$71,7,0),"Campo eliminado")</f>
        <v>Campo eliminado</v>
      </c>
      <c r="Q282" s="6" t="str">
        <f t="shared" si="23"/>
        <v>Campo eliminado</v>
      </c>
      <c r="R282" s="6" t="str">
        <f>IFERROR(VLOOKUP($B282,'Lista - Âmbito Projeto GD'!$B$3:$K$71,9,0),"Campo eliminado")</f>
        <v>Campo eliminado</v>
      </c>
      <c r="S282" s="6" t="str">
        <f t="shared" si="24"/>
        <v>Campo eliminado</v>
      </c>
      <c r="U282" s="6" t="str">
        <f>VLOOKUP(B282,DataLake!$A$4:$A$429,1,0)</f>
        <v>INSTRUMENT_FRBRNC_STTS_C19</v>
      </c>
    </row>
    <row r="283" spans="1:21" ht="15" hidden="1" customHeight="1" x14ac:dyDescent="0.3">
      <c r="A283" s="7" t="s">
        <v>822</v>
      </c>
      <c r="B283" s="47" t="str">
        <f t="shared" si="20"/>
        <v>INSTRUMENT_DT_FRBRNC_STTS_C19</v>
      </c>
      <c r="C283" s="8" t="s">
        <v>414</v>
      </c>
      <c r="D283" s="24" t="s">
        <v>823</v>
      </c>
      <c r="E283" s="26" t="s">
        <v>824</v>
      </c>
      <c r="F283" s="25" t="s">
        <v>13</v>
      </c>
      <c r="G283" s="25" t="s">
        <v>11</v>
      </c>
      <c r="H283" s="25" t="s">
        <v>11</v>
      </c>
      <c r="I283" s="25" t="s">
        <v>11</v>
      </c>
      <c r="J283" s="10" t="s">
        <v>11</v>
      </c>
      <c r="L283" s="6" t="str">
        <f>IFERROR(VLOOKUP($B283,'Lista - Âmbito Projeto GD'!$B$3:$F$71,5,0),"Campo eliminado")</f>
        <v>Campo eliminado</v>
      </c>
      <c r="M283" s="6" t="str">
        <f t="shared" si="21"/>
        <v>Campo eliminado</v>
      </c>
      <c r="N283" s="6" t="str">
        <f>IFERROR(VLOOKUP($B283,'Lista - Âmbito Projeto GD'!$B$3:$K$71,6,0),"Campo eliminado")</f>
        <v>Campo eliminado</v>
      </c>
      <c r="O283" s="6" t="str">
        <f t="shared" si="22"/>
        <v>Campo eliminado</v>
      </c>
      <c r="P283" s="6" t="str">
        <f>IFERROR(VLOOKUP($B283,'Lista - Âmbito Projeto GD'!$B$3:$K$71,7,0),"Campo eliminado")</f>
        <v>Campo eliminado</v>
      </c>
      <c r="Q283" s="6" t="str">
        <f t="shared" si="23"/>
        <v>Campo eliminado</v>
      </c>
      <c r="R283" s="6" t="str">
        <f>IFERROR(VLOOKUP($B283,'Lista - Âmbito Projeto GD'!$B$3:$K$71,9,0),"Campo eliminado")</f>
        <v>Campo eliminado</v>
      </c>
      <c r="S283" s="6" t="str">
        <f t="shared" si="24"/>
        <v>Campo eliminado</v>
      </c>
      <c r="U283" s="6" t="str">
        <f>VLOOKUP(B283,DataLake!$A$4:$A$429,1,0)</f>
        <v>INSTRUMENT_DT_FRBRNC_STTS_C19</v>
      </c>
    </row>
    <row r="284" spans="1:21" ht="15" hidden="1" customHeight="1" x14ac:dyDescent="0.3">
      <c r="A284" s="7" t="s">
        <v>825</v>
      </c>
      <c r="B284" s="47" t="str">
        <f t="shared" si="20"/>
        <v>INSTRUMENT_DT_FRBRNC_STTS_PRVS_C19</v>
      </c>
      <c r="C284" s="8" t="s">
        <v>414</v>
      </c>
      <c r="D284" s="24" t="s">
        <v>826</v>
      </c>
      <c r="E284" s="26" t="s">
        <v>827</v>
      </c>
      <c r="F284" s="25" t="s">
        <v>13</v>
      </c>
      <c r="G284" s="25" t="s">
        <v>11</v>
      </c>
      <c r="H284" s="25" t="s">
        <v>11</v>
      </c>
      <c r="I284" s="25" t="s">
        <v>11</v>
      </c>
      <c r="J284" s="10" t="s">
        <v>11</v>
      </c>
      <c r="L284" s="6" t="str">
        <f>IFERROR(VLOOKUP($B284,'Lista - Âmbito Projeto GD'!$B$3:$F$71,5,0),"Campo eliminado")</f>
        <v>Campo eliminado</v>
      </c>
      <c r="M284" s="6" t="str">
        <f t="shared" si="21"/>
        <v>Campo eliminado</v>
      </c>
      <c r="N284" s="6" t="str">
        <f>IFERROR(VLOOKUP($B284,'Lista - Âmbito Projeto GD'!$B$3:$K$71,6,0),"Campo eliminado")</f>
        <v>Campo eliminado</v>
      </c>
      <c r="O284" s="6" t="str">
        <f t="shared" si="22"/>
        <v>Campo eliminado</v>
      </c>
      <c r="P284" s="6" t="str">
        <f>IFERROR(VLOOKUP($B284,'Lista - Âmbito Projeto GD'!$B$3:$K$71,7,0),"Campo eliminado")</f>
        <v>Campo eliminado</v>
      </c>
      <c r="Q284" s="6" t="str">
        <f t="shared" si="23"/>
        <v>Campo eliminado</v>
      </c>
      <c r="R284" s="6" t="str">
        <f>IFERROR(VLOOKUP($B284,'Lista - Âmbito Projeto GD'!$B$3:$K$71,9,0),"Campo eliminado")</f>
        <v>Campo eliminado</v>
      </c>
      <c r="S284" s="6" t="str">
        <f t="shared" si="24"/>
        <v>Campo eliminado</v>
      </c>
      <c r="U284" s="6" t="str">
        <f>VLOOKUP(B284,DataLake!$A$4:$A$429,1,0)</f>
        <v>INSTRUMENT_DT_FRBRNC_STTS_PRVS_C19</v>
      </c>
    </row>
    <row r="285" spans="1:21" ht="15" hidden="1" customHeight="1" x14ac:dyDescent="0.3">
      <c r="A285" s="7" t="s">
        <v>828</v>
      </c>
      <c r="B285" s="47" t="str">
        <f t="shared" si="20"/>
        <v>INSTRUMENT_MTRTY_LTST_FRBRNC_MSR_C19</v>
      </c>
      <c r="C285" s="8" t="s">
        <v>414</v>
      </c>
      <c r="D285" s="24" t="s">
        <v>829</v>
      </c>
      <c r="E285" s="26" t="s">
        <v>830</v>
      </c>
      <c r="F285" s="25" t="s">
        <v>13</v>
      </c>
      <c r="G285" s="25" t="s">
        <v>11</v>
      </c>
      <c r="H285" s="25" t="s">
        <v>11</v>
      </c>
      <c r="I285" s="25" t="s">
        <v>11</v>
      </c>
      <c r="J285" s="10" t="s">
        <v>11</v>
      </c>
      <c r="L285" s="6" t="str">
        <f>IFERROR(VLOOKUP($B285,'Lista - Âmbito Projeto GD'!$B$3:$F$71,5,0),"Campo eliminado")</f>
        <v>Campo eliminado</v>
      </c>
      <c r="M285" s="6" t="str">
        <f t="shared" si="21"/>
        <v>Campo eliminado</v>
      </c>
      <c r="N285" s="6" t="str">
        <f>IFERROR(VLOOKUP($B285,'Lista - Âmbito Projeto GD'!$B$3:$K$71,6,0),"Campo eliminado")</f>
        <v>Campo eliminado</v>
      </c>
      <c r="O285" s="6" t="str">
        <f t="shared" si="22"/>
        <v>Campo eliminado</v>
      </c>
      <c r="P285" s="6" t="str">
        <f>IFERROR(VLOOKUP($B285,'Lista - Âmbito Projeto GD'!$B$3:$K$71,7,0),"Campo eliminado")</f>
        <v>Campo eliminado</v>
      </c>
      <c r="Q285" s="6" t="str">
        <f t="shared" si="23"/>
        <v>Campo eliminado</v>
      </c>
      <c r="R285" s="6" t="str">
        <f>IFERROR(VLOOKUP($B285,'Lista - Âmbito Projeto GD'!$B$3:$K$71,9,0),"Campo eliminado")</f>
        <v>Campo eliminado</v>
      </c>
      <c r="S285" s="6" t="str">
        <f t="shared" si="24"/>
        <v>Campo eliminado</v>
      </c>
      <c r="U285" s="6" t="str">
        <f>VLOOKUP(B285,DataLake!$A$4:$A$429,1,0)</f>
        <v>INSTRUMENT_MTRTY_LTST_FRBRNC_MSR_C19</v>
      </c>
    </row>
    <row r="286" spans="1:21" ht="15" hidden="1" customHeight="1" x14ac:dyDescent="0.3">
      <c r="A286" s="7" t="s">
        <v>831</v>
      </c>
      <c r="B286" s="47" t="str">
        <f t="shared" si="20"/>
        <v>INSTRUMENT_DT_END_GP_PPAL_C19</v>
      </c>
      <c r="C286" s="8" t="s">
        <v>414</v>
      </c>
      <c r="D286" s="24" t="s">
        <v>832</v>
      </c>
      <c r="E286" s="26" t="s">
        <v>833</v>
      </c>
      <c r="F286" s="25" t="s">
        <v>13</v>
      </c>
      <c r="G286" s="25" t="s">
        <v>11</v>
      </c>
      <c r="H286" s="25" t="s">
        <v>11</v>
      </c>
      <c r="I286" s="25" t="s">
        <v>11</v>
      </c>
      <c r="J286" s="10" t="s">
        <v>11</v>
      </c>
      <c r="L286" s="6" t="str">
        <f>IFERROR(VLOOKUP($B286,'Lista - Âmbito Projeto GD'!$B$3:$F$71,5,0),"Campo eliminado")</f>
        <v>Campo eliminado</v>
      </c>
      <c r="M286" s="6" t="str">
        <f t="shared" si="21"/>
        <v>Campo eliminado</v>
      </c>
      <c r="N286" s="6" t="str">
        <f>IFERROR(VLOOKUP($B286,'Lista - Âmbito Projeto GD'!$B$3:$K$71,6,0),"Campo eliminado")</f>
        <v>Campo eliminado</v>
      </c>
      <c r="O286" s="6" t="str">
        <f t="shared" si="22"/>
        <v>Campo eliminado</v>
      </c>
      <c r="P286" s="6" t="str">
        <f>IFERROR(VLOOKUP($B286,'Lista - Âmbito Projeto GD'!$B$3:$K$71,7,0),"Campo eliminado")</f>
        <v>Campo eliminado</v>
      </c>
      <c r="Q286" s="6" t="str">
        <f t="shared" si="23"/>
        <v>Campo eliminado</v>
      </c>
      <c r="R286" s="6" t="str">
        <f>IFERROR(VLOOKUP($B286,'Lista - Âmbito Projeto GD'!$B$3:$K$71,9,0),"Campo eliminado")</f>
        <v>Campo eliminado</v>
      </c>
      <c r="S286" s="6" t="str">
        <f t="shared" si="24"/>
        <v>Campo eliminado</v>
      </c>
      <c r="U286" s="6" t="str">
        <f>VLOOKUP(B286,DataLake!$A$4:$A$429,1,0)</f>
        <v>INSTRUMENT_DT_END_GP_PPAL_C19</v>
      </c>
    </row>
    <row r="287" spans="1:21" ht="15" hidden="1" customHeight="1" x14ac:dyDescent="0.3">
      <c r="A287" s="7" t="s">
        <v>834</v>
      </c>
      <c r="B287" s="47" t="str">
        <f t="shared" si="20"/>
        <v>INSTRUMENT_DT_END_INTRST_ONLY_C19</v>
      </c>
      <c r="C287" s="8" t="s">
        <v>414</v>
      </c>
      <c r="D287" s="24" t="s">
        <v>835</v>
      </c>
      <c r="E287" s="26" t="s">
        <v>836</v>
      </c>
      <c r="F287" s="25" t="s">
        <v>13</v>
      </c>
      <c r="G287" s="25" t="s">
        <v>11</v>
      </c>
      <c r="H287" s="25" t="s">
        <v>11</v>
      </c>
      <c r="I287" s="25" t="s">
        <v>11</v>
      </c>
      <c r="J287" s="10" t="s">
        <v>11</v>
      </c>
      <c r="L287" s="6" t="str">
        <f>IFERROR(VLOOKUP($B287,'Lista - Âmbito Projeto GD'!$B$3:$F$71,5,0),"Campo eliminado")</f>
        <v>Campo eliminado</v>
      </c>
      <c r="M287" s="6" t="str">
        <f t="shared" si="21"/>
        <v>Campo eliminado</v>
      </c>
      <c r="N287" s="6" t="str">
        <f>IFERROR(VLOOKUP($B287,'Lista - Âmbito Projeto GD'!$B$3:$K$71,6,0),"Campo eliminado")</f>
        <v>Campo eliminado</v>
      </c>
      <c r="O287" s="6" t="str">
        <f t="shared" si="22"/>
        <v>Campo eliminado</v>
      </c>
      <c r="P287" s="6" t="str">
        <f>IFERROR(VLOOKUP($B287,'Lista - Âmbito Projeto GD'!$B$3:$K$71,7,0),"Campo eliminado")</f>
        <v>Campo eliminado</v>
      </c>
      <c r="Q287" s="6" t="str">
        <f t="shared" si="23"/>
        <v>Campo eliminado</v>
      </c>
      <c r="R287" s="6" t="str">
        <f>IFERROR(VLOOKUP($B287,'Lista - Âmbito Projeto GD'!$B$3:$K$71,9,0),"Campo eliminado")</f>
        <v>Campo eliminado</v>
      </c>
      <c r="S287" s="6" t="str">
        <f t="shared" si="24"/>
        <v>Campo eliminado</v>
      </c>
      <c r="U287" s="6" t="str">
        <f>VLOOKUP(B287,DataLake!$A$4:$A$429,1,0)</f>
        <v>INSTRUMENT_DT_END_INTRST_ONLY_C19</v>
      </c>
    </row>
    <row r="288" spans="1:21" ht="15" hidden="1" customHeight="1" x14ac:dyDescent="0.3">
      <c r="A288" s="7" t="s">
        <v>837</v>
      </c>
      <c r="B288" s="47" t="str">
        <f t="shared" si="20"/>
        <v>INSTRUMENT_SBJCT_PBLC_GRNT_SCHM_C19</v>
      </c>
      <c r="C288" s="8" t="s">
        <v>414</v>
      </c>
      <c r="D288" s="24" t="s">
        <v>838</v>
      </c>
      <c r="E288" s="26" t="s">
        <v>839</v>
      </c>
      <c r="F288" s="25" t="s">
        <v>13</v>
      </c>
      <c r="G288" s="25" t="s">
        <v>11</v>
      </c>
      <c r="H288" s="25" t="s">
        <v>11</v>
      </c>
      <c r="I288" s="25" t="s">
        <v>11</v>
      </c>
      <c r="J288" s="10" t="s">
        <v>11</v>
      </c>
      <c r="L288" s="6" t="str">
        <f>IFERROR(VLOOKUP($B288,'Lista - Âmbito Projeto GD'!$B$3:$F$71,5,0),"Campo eliminado")</f>
        <v>Campo eliminado</v>
      </c>
      <c r="M288" s="6" t="str">
        <f t="shared" si="21"/>
        <v>Campo eliminado</v>
      </c>
      <c r="N288" s="6" t="str">
        <f>IFERROR(VLOOKUP($B288,'Lista - Âmbito Projeto GD'!$B$3:$K$71,6,0),"Campo eliminado")</f>
        <v>Campo eliminado</v>
      </c>
      <c r="O288" s="6" t="str">
        <f t="shared" si="22"/>
        <v>Campo eliminado</v>
      </c>
      <c r="P288" s="6" t="str">
        <f>IFERROR(VLOOKUP($B288,'Lista - Âmbito Projeto GD'!$B$3:$K$71,7,0),"Campo eliminado")</f>
        <v>Campo eliminado</v>
      </c>
      <c r="Q288" s="6" t="str">
        <f t="shared" si="23"/>
        <v>Campo eliminado</v>
      </c>
      <c r="R288" s="6" t="str">
        <f>IFERROR(VLOOKUP($B288,'Lista - Âmbito Projeto GD'!$B$3:$K$71,9,0),"Campo eliminado")</f>
        <v>Campo eliminado</v>
      </c>
      <c r="S288" s="6" t="str">
        <f t="shared" si="24"/>
        <v>Campo eliminado</v>
      </c>
      <c r="U288" s="6" t="str">
        <f>VLOOKUP(B288,DataLake!$A$4:$A$429,1,0)</f>
        <v>INSTRUMENT_SBJCT_PBLC_GRNT_SCHM_C19</v>
      </c>
    </row>
    <row r="289" spans="1:21" ht="15" hidden="1" customHeight="1" x14ac:dyDescent="0.3">
      <c r="A289" s="7" t="s">
        <v>840</v>
      </c>
      <c r="B289" s="47" t="str">
        <f t="shared" si="20"/>
        <v>INSTRUMENT_PBLC_GRNT_SCHM_C19_NM</v>
      </c>
      <c r="C289" s="8" t="s">
        <v>414</v>
      </c>
      <c r="D289" s="24" t="s">
        <v>841</v>
      </c>
      <c r="E289" s="26" t="s">
        <v>842</v>
      </c>
      <c r="F289" s="25" t="s">
        <v>13</v>
      </c>
      <c r="G289" s="25" t="s">
        <v>11</v>
      </c>
      <c r="H289" s="25" t="s">
        <v>11</v>
      </c>
      <c r="I289" s="25" t="s">
        <v>11</v>
      </c>
      <c r="J289" s="10" t="s">
        <v>11</v>
      </c>
      <c r="L289" s="6" t="str">
        <f>IFERROR(VLOOKUP($B289,'Lista - Âmbito Projeto GD'!$B$3:$F$71,5,0),"Campo eliminado")</f>
        <v>Campo eliminado</v>
      </c>
      <c r="M289" s="6" t="str">
        <f t="shared" si="21"/>
        <v>Campo eliminado</v>
      </c>
      <c r="N289" s="6" t="str">
        <f>IFERROR(VLOOKUP($B289,'Lista - Âmbito Projeto GD'!$B$3:$K$71,6,0),"Campo eliminado")</f>
        <v>Campo eliminado</v>
      </c>
      <c r="O289" s="6" t="str">
        <f t="shared" si="22"/>
        <v>Campo eliminado</v>
      </c>
      <c r="P289" s="6" t="str">
        <f>IFERROR(VLOOKUP($B289,'Lista - Âmbito Projeto GD'!$B$3:$K$71,7,0),"Campo eliminado")</f>
        <v>Campo eliminado</v>
      </c>
      <c r="Q289" s="6" t="str">
        <f t="shared" si="23"/>
        <v>Campo eliminado</v>
      </c>
      <c r="R289" s="6" t="str">
        <f>IFERROR(VLOOKUP($B289,'Lista - Âmbito Projeto GD'!$B$3:$K$71,9,0),"Campo eliminado")</f>
        <v>Campo eliminado</v>
      </c>
      <c r="S289" s="6" t="str">
        <f t="shared" si="24"/>
        <v>Campo eliminado</v>
      </c>
      <c r="U289" s="6" t="str">
        <f>VLOOKUP(B289,DataLake!$A$4:$A$429,1,0)</f>
        <v>INSTRUMENT_PBLC_GRNT_SCHM_C19_NM</v>
      </c>
    </row>
    <row r="290" spans="1:21" ht="15" hidden="1" customHeight="1" x14ac:dyDescent="0.3">
      <c r="A290" s="7" t="s">
        <v>843</v>
      </c>
      <c r="B290" s="47" t="str">
        <f t="shared" si="20"/>
        <v>INSTRUMENT_PMNT_PBLC_GRNT_SCHM_C19</v>
      </c>
      <c r="C290" s="8" t="s">
        <v>414</v>
      </c>
      <c r="D290" s="24" t="s">
        <v>844</v>
      </c>
      <c r="E290" s="26" t="s">
        <v>845</v>
      </c>
      <c r="F290" s="25" t="s">
        <v>13</v>
      </c>
      <c r="G290" s="25" t="s">
        <v>11</v>
      </c>
      <c r="H290" s="25" t="s">
        <v>11</v>
      </c>
      <c r="I290" s="25" t="s">
        <v>11</v>
      </c>
      <c r="J290" s="10" t="s">
        <v>11</v>
      </c>
      <c r="L290" s="6" t="str">
        <f>IFERROR(VLOOKUP($B290,'Lista - Âmbito Projeto GD'!$B$3:$F$71,5,0),"Campo eliminado")</f>
        <v>Campo eliminado</v>
      </c>
      <c r="M290" s="6" t="str">
        <f t="shared" si="21"/>
        <v>Campo eliminado</v>
      </c>
      <c r="N290" s="6" t="str">
        <f>IFERROR(VLOOKUP($B290,'Lista - Âmbito Projeto GD'!$B$3:$K$71,6,0),"Campo eliminado")</f>
        <v>Campo eliminado</v>
      </c>
      <c r="O290" s="6" t="str">
        <f t="shared" si="22"/>
        <v>Campo eliminado</v>
      </c>
      <c r="P290" s="6" t="str">
        <f>IFERROR(VLOOKUP($B290,'Lista - Âmbito Projeto GD'!$B$3:$K$71,7,0),"Campo eliminado")</f>
        <v>Campo eliminado</v>
      </c>
      <c r="Q290" s="6" t="str">
        <f t="shared" si="23"/>
        <v>Campo eliminado</v>
      </c>
      <c r="R290" s="6" t="str">
        <f>IFERROR(VLOOKUP($B290,'Lista - Âmbito Projeto GD'!$B$3:$K$71,9,0),"Campo eliminado")</f>
        <v>Campo eliminado</v>
      </c>
      <c r="S290" s="6" t="str">
        <f t="shared" si="24"/>
        <v>Campo eliminado</v>
      </c>
      <c r="U290" s="6" t="str">
        <f>VLOOKUP(B290,DataLake!$A$4:$A$429,1,0)</f>
        <v>INSTRUMENT_PMNT_PBLC_GRNT_SCHM_C19</v>
      </c>
    </row>
    <row r="291" spans="1:21" ht="15" hidden="1" customHeight="1" x14ac:dyDescent="0.3">
      <c r="A291" s="7" t="s">
        <v>846</v>
      </c>
      <c r="B291" s="47" t="str">
        <f t="shared" si="20"/>
        <v>INSTRUMENT_ASST_SCRT_CLSS</v>
      </c>
      <c r="C291" s="8" t="s">
        <v>414</v>
      </c>
      <c r="D291" s="9" t="s">
        <v>847</v>
      </c>
      <c r="E291" s="11" t="s">
        <v>848</v>
      </c>
      <c r="F291" s="10" t="s">
        <v>13</v>
      </c>
      <c r="G291" s="10" t="s">
        <v>11</v>
      </c>
      <c r="H291" s="10" t="s">
        <v>11</v>
      </c>
      <c r="I291" s="10" t="s">
        <v>11</v>
      </c>
      <c r="J291" s="10" t="s">
        <v>11</v>
      </c>
      <c r="L291" s="6" t="str">
        <f>IFERROR(VLOOKUP($B291,'Lista - Âmbito Projeto GD'!$B$3:$F$71,5,0),"Campo eliminado")</f>
        <v>Campo eliminado</v>
      </c>
      <c r="M291" s="6" t="str">
        <f t="shared" si="21"/>
        <v>Campo eliminado</v>
      </c>
      <c r="N291" s="6" t="str">
        <f>IFERROR(VLOOKUP($B291,'Lista - Âmbito Projeto GD'!$B$3:$K$71,6,0),"Campo eliminado")</f>
        <v>Campo eliminado</v>
      </c>
      <c r="O291" s="6" t="str">
        <f t="shared" si="22"/>
        <v>Campo eliminado</v>
      </c>
      <c r="P291" s="6" t="str">
        <f>IFERROR(VLOOKUP($B291,'Lista - Âmbito Projeto GD'!$B$3:$K$71,7,0),"Campo eliminado")</f>
        <v>Campo eliminado</v>
      </c>
      <c r="Q291" s="6" t="str">
        <f t="shared" si="23"/>
        <v>Campo eliminado</v>
      </c>
      <c r="R291" s="6" t="str">
        <f>IFERROR(VLOOKUP($B291,'Lista - Âmbito Projeto GD'!$B$3:$K$71,9,0),"Campo eliminado")</f>
        <v>Campo eliminado</v>
      </c>
      <c r="S291" s="6" t="str">
        <f t="shared" si="24"/>
        <v>Campo eliminado</v>
      </c>
      <c r="U291" s="6" t="str">
        <f>VLOOKUP(B291,DataLake!$A$4:$A$429,1,0)</f>
        <v>INSTRUMENT_ASST_SCRT_CLSS</v>
      </c>
    </row>
    <row r="292" spans="1:21" ht="15" hidden="1" customHeight="1" x14ac:dyDescent="0.3">
      <c r="A292" s="7" t="s">
        <v>849</v>
      </c>
      <c r="B292" s="47" t="str">
        <f t="shared" si="20"/>
        <v>INSTRUMENT_CPN_CRRNCY</v>
      </c>
      <c r="C292" s="8" t="s">
        <v>414</v>
      </c>
      <c r="D292" s="9" t="s">
        <v>850</v>
      </c>
      <c r="E292" s="11" t="s">
        <v>851</v>
      </c>
      <c r="F292" s="10" t="s">
        <v>13</v>
      </c>
      <c r="G292" s="10" t="s">
        <v>11</v>
      </c>
      <c r="H292" s="10" t="s">
        <v>11</v>
      </c>
      <c r="I292" s="10" t="s">
        <v>11</v>
      </c>
      <c r="J292" s="10" t="s">
        <v>11</v>
      </c>
      <c r="L292" s="6" t="str">
        <f>IFERROR(VLOOKUP($B292,'Lista - Âmbito Projeto GD'!$B$3:$F$71,5,0),"Campo eliminado")</f>
        <v>Campo eliminado</v>
      </c>
      <c r="M292" s="6" t="str">
        <f t="shared" si="21"/>
        <v>Campo eliminado</v>
      </c>
      <c r="N292" s="6" t="str">
        <f>IFERROR(VLOOKUP($B292,'Lista - Âmbito Projeto GD'!$B$3:$K$71,6,0),"Campo eliminado")</f>
        <v>Campo eliminado</v>
      </c>
      <c r="O292" s="6" t="str">
        <f t="shared" si="22"/>
        <v>Campo eliminado</v>
      </c>
      <c r="P292" s="6" t="str">
        <f>IFERROR(VLOOKUP($B292,'Lista - Âmbito Projeto GD'!$B$3:$K$71,7,0),"Campo eliminado")</f>
        <v>Campo eliminado</v>
      </c>
      <c r="Q292" s="6" t="str">
        <f t="shared" si="23"/>
        <v>Campo eliminado</v>
      </c>
      <c r="R292" s="6" t="str">
        <f>IFERROR(VLOOKUP($B292,'Lista - Âmbito Projeto GD'!$B$3:$K$71,9,0),"Campo eliminado")</f>
        <v>Campo eliminado</v>
      </c>
      <c r="S292" s="6" t="str">
        <f t="shared" si="24"/>
        <v>Campo eliminado</v>
      </c>
      <c r="U292" s="6" t="str">
        <f>VLOOKUP(B292,DataLake!$A$4:$A$429,1,0)</f>
        <v>INSTRUMENT_CPN_CRRNCY</v>
      </c>
    </row>
    <row r="293" spans="1:21" ht="15" hidden="1" customHeight="1" x14ac:dyDescent="0.3">
      <c r="A293" s="7" t="s">
        <v>852</v>
      </c>
      <c r="B293" s="47" t="str">
        <f t="shared" si="20"/>
        <v>INSTRUMENT_CPN_RT</v>
      </c>
      <c r="C293" s="8" t="s">
        <v>414</v>
      </c>
      <c r="D293" s="9" t="s">
        <v>853</v>
      </c>
      <c r="E293" s="11" t="s">
        <v>854</v>
      </c>
      <c r="F293" s="10" t="s">
        <v>13</v>
      </c>
      <c r="G293" s="10" t="s">
        <v>11</v>
      </c>
      <c r="H293" s="10" t="s">
        <v>11</v>
      </c>
      <c r="I293" s="10" t="s">
        <v>11</v>
      </c>
      <c r="J293" s="10" t="s">
        <v>11</v>
      </c>
      <c r="L293" s="6" t="str">
        <f>IFERROR(VLOOKUP($B293,'Lista - Âmbito Projeto GD'!$B$3:$F$71,5,0),"Campo eliminado")</f>
        <v>Campo eliminado</v>
      </c>
      <c r="M293" s="6" t="str">
        <f t="shared" si="21"/>
        <v>Campo eliminado</v>
      </c>
      <c r="N293" s="6" t="str">
        <f>IFERROR(VLOOKUP($B293,'Lista - Âmbito Projeto GD'!$B$3:$K$71,6,0),"Campo eliminado")</f>
        <v>Campo eliminado</v>
      </c>
      <c r="O293" s="6" t="str">
        <f t="shared" si="22"/>
        <v>Campo eliminado</v>
      </c>
      <c r="P293" s="6" t="str">
        <f>IFERROR(VLOOKUP($B293,'Lista - Âmbito Projeto GD'!$B$3:$K$71,7,0),"Campo eliminado")</f>
        <v>Campo eliminado</v>
      </c>
      <c r="Q293" s="6" t="str">
        <f t="shared" si="23"/>
        <v>Campo eliminado</v>
      </c>
      <c r="R293" s="6" t="str">
        <f>IFERROR(VLOOKUP($B293,'Lista - Âmbito Projeto GD'!$B$3:$K$71,9,0),"Campo eliminado")</f>
        <v>Campo eliminado</v>
      </c>
      <c r="S293" s="6" t="str">
        <f t="shared" si="24"/>
        <v>Campo eliminado</v>
      </c>
      <c r="U293" s="6" t="str">
        <f>VLOOKUP(B293,DataLake!$A$4:$A$429,1,0)</f>
        <v>INSTRUMENT_CPN_RT</v>
      </c>
    </row>
    <row r="294" spans="1:21" ht="15" hidden="1" customHeight="1" x14ac:dyDescent="0.3">
      <c r="A294" s="7" t="s">
        <v>856</v>
      </c>
      <c r="B294" s="47" t="str">
        <f t="shared" si="20"/>
        <v>INSTRUMENT_DT_VLTN</v>
      </c>
      <c r="C294" s="8" t="s">
        <v>414</v>
      </c>
      <c r="D294" s="9" t="s">
        <v>857</v>
      </c>
      <c r="E294" s="11" t="s">
        <v>858</v>
      </c>
      <c r="F294" s="10" t="s">
        <v>13</v>
      </c>
      <c r="G294" s="10" t="s">
        <v>11</v>
      </c>
      <c r="H294" s="10" t="s">
        <v>11</v>
      </c>
      <c r="I294" s="10" t="s">
        <v>11</v>
      </c>
      <c r="J294" s="10" t="s">
        <v>11</v>
      </c>
      <c r="L294" s="6" t="str">
        <f>IFERROR(VLOOKUP($B294,'Lista - Âmbito Projeto GD'!$B$3:$F$71,5,0),"Campo eliminado")</f>
        <v>Campo eliminado</v>
      </c>
      <c r="M294" s="6" t="str">
        <f t="shared" si="21"/>
        <v>Campo eliminado</v>
      </c>
      <c r="N294" s="6" t="str">
        <f>IFERROR(VLOOKUP($B294,'Lista - Âmbito Projeto GD'!$B$3:$K$71,6,0),"Campo eliminado")</f>
        <v>Campo eliminado</v>
      </c>
      <c r="O294" s="6" t="str">
        <f t="shared" si="22"/>
        <v>Campo eliminado</v>
      </c>
      <c r="P294" s="6" t="str">
        <f>IFERROR(VLOOKUP($B294,'Lista - Âmbito Projeto GD'!$B$3:$K$71,7,0),"Campo eliminado")</f>
        <v>Campo eliminado</v>
      </c>
      <c r="Q294" s="6" t="str">
        <f t="shared" si="23"/>
        <v>Campo eliminado</v>
      </c>
      <c r="R294" s="6" t="str">
        <f>IFERROR(VLOOKUP($B294,'Lista - Âmbito Projeto GD'!$B$3:$K$71,9,0),"Campo eliminado")</f>
        <v>Campo eliminado</v>
      </c>
      <c r="S294" s="6" t="str">
        <f t="shared" si="24"/>
        <v>Campo eliminado</v>
      </c>
      <c r="U294" s="6" t="str">
        <f>VLOOKUP(B294,DataLake!$A$4:$A$429,1,0)</f>
        <v>INSTRUMENT_DT_VLTN</v>
      </c>
    </row>
    <row r="295" spans="1:21" ht="15" hidden="1" customHeight="1" x14ac:dyDescent="0.3">
      <c r="A295" s="7" t="s">
        <v>859</v>
      </c>
      <c r="B295" s="47" t="str">
        <f t="shared" si="20"/>
        <v>INSTRUMENT_ELGBLTY_ECB</v>
      </c>
      <c r="C295" s="8" t="s">
        <v>414</v>
      </c>
      <c r="D295" s="9" t="s">
        <v>860</v>
      </c>
      <c r="E295" s="11" t="s">
        <v>861</v>
      </c>
      <c r="F295" s="10" t="s">
        <v>13</v>
      </c>
      <c r="G295" s="10" t="s">
        <v>11</v>
      </c>
      <c r="H295" s="10" t="s">
        <v>11</v>
      </c>
      <c r="I295" s="10" t="s">
        <v>11</v>
      </c>
      <c r="J295" s="10" t="s">
        <v>11</v>
      </c>
      <c r="L295" s="6" t="str">
        <f>IFERROR(VLOOKUP($B295,'Lista - Âmbito Projeto GD'!$B$3:$F$71,5,0),"Campo eliminado")</f>
        <v>Campo eliminado</v>
      </c>
      <c r="M295" s="6" t="str">
        <f t="shared" si="21"/>
        <v>Campo eliminado</v>
      </c>
      <c r="N295" s="6" t="str">
        <f>IFERROR(VLOOKUP($B295,'Lista - Âmbito Projeto GD'!$B$3:$K$71,6,0),"Campo eliminado")</f>
        <v>Campo eliminado</v>
      </c>
      <c r="O295" s="6" t="str">
        <f t="shared" si="22"/>
        <v>Campo eliminado</v>
      </c>
      <c r="P295" s="6" t="str">
        <f>IFERROR(VLOOKUP($B295,'Lista - Âmbito Projeto GD'!$B$3:$K$71,7,0),"Campo eliminado")</f>
        <v>Campo eliminado</v>
      </c>
      <c r="Q295" s="6" t="str">
        <f t="shared" si="23"/>
        <v>Campo eliminado</v>
      </c>
      <c r="R295" s="6" t="str">
        <f>IFERROR(VLOOKUP($B295,'Lista - Âmbito Projeto GD'!$B$3:$K$71,9,0),"Campo eliminado")</f>
        <v>Campo eliminado</v>
      </c>
      <c r="S295" s="6" t="str">
        <f t="shared" si="24"/>
        <v>Campo eliminado</v>
      </c>
      <c r="U295" s="6" t="str">
        <f>VLOOKUP(B295,DataLake!$A$4:$A$429,1,0)</f>
        <v>INSTRUMENT_ELGBLTY_ECB</v>
      </c>
    </row>
    <row r="296" spans="1:21" ht="15" hidden="1" customHeight="1" x14ac:dyDescent="0.3">
      <c r="A296" s="7" t="s">
        <v>862</v>
      </c>
      <c r="B296" s="47" t="str">
        <f t="shared" si="20"/>
        <v>INSTRUMENT_GRNTR_ID</v>
      </c>
      <c r="C296" s="8" t="s">
        <v>414</v>
      </c>
      <c r="D296" s="9" t="s">
        <v>863</v>
      </c>
      <c r="E296" s="11" t="s">
        <v>864</v>
      </c>
      <c r="F296" s="10" t="s">
        <v>13</v>
      </c>
      <c r="G296" s="10" t="s">
        <v>11</v>
      </c>
      <c r="H296" s="10" t="s">
        <v>11</v>
      </c>
      <c r="I296" s="10" t="s">
        <v>11</v>
      </c>
      <c r="J296" s="10" t="s">
        <v>11</v>
      </c>
      <c r="L296" s="6" t="str">
        <f>IFERROR(VLOOKUP($B296,'Lista - Âmbito Projeto GD'!$B$3:$F$71,5,0),"Campo eliminado")</f>
        <v>Campo eliminado</v>
      </c>
      <c r="M296" s="6" t="str">
        <f t="shared" si="21"/>
        <v>Campo eliminado</v>
      </c>
      <c r="N296" s="6" t="str">
        <f>IFERROR(VLOOKUP($B296,'Lista - Âmbito Projeto GD'!$B$3:$K$71,6,0),"Campo eliminado")</f>
        <v>Campo eliminado</v>
      </c>
      <c r="O296" s="6" t="str">
        <f t="shared" si="22"/>
        <v>Campo eliminado</v>
      </c>
      <c r="P296" s="6" t="str">
        <f>IFERROR(VLOOKUP($B296,'Lista - Âmbito Projeto GD'!$B$3:$K$71,7,0),"Campo eliminado")</f>
        <v>Campo eliminado</v>
      </c>
      <c r="Q296" s="6" t="str">
        <f t="shared" si="23"/>
        <v>Campo eliminado</v>
      </c>
      <c r="R296" s="6" t="str">
        <f>IFERROR(VLOOKUP($B296,'Lista - Âmbito Projeto GD'!$B$3:$K$71,9,0),"Campo eliminado")</f>
        <v>Campo eliminado</v>
      </c>
      <c r="S296" s="6" t="str">
        <f t="shared" si="24"/>
        <v>Campo eliminado</v>
      </c>
      <c r="U296" s="6" t="str">
        <f>VLOOKUP(B296,DataLake!$A$4:$A$429,1,0)</f>
        <v>INSTRUMENT_GRNTR_ID</v>
      </c>
    </row>
    <row r="297" spans="1:21" ht="15" hidden="1" customHeight="1" x14ac:dyDescent="0.3">
      <c r="A297" s="7" t="s">
        <v>865</v>
      </c>
      <c r="B297" s="47" t="str">
        <f t="shared" si="20"/>
        <v>INSTRUMENT_GRNTR_ID_TYP</v>
      </c>
      <c r="C297" s="8" t="s">
        <v>414</v>
      </c>
      <c r="D297" s="9" t="s">
        <v>866</v>
      </c>
      <c r="E297" s="11" t="s">
        <v>867</v>
      </c>
      <c r="F297" s="10" t="s">
        <v>13</v>
      </c>
      <c r="G297" s="10" t="s">
        <v>11</v>
      </c>
      <c r="H297" s="10" t="s">
        <v>11</v>
      </c>
      <c r="I297" s="10" t="s">
        <v>11</v>
      </c>
      <c r="J297" s="10" t="s">
        <v>11</v>
      </c>
      <c r="L297" s="6" t="str">
        <f>IFERROR(VLOOKUP($B297,'Lista - Âmbito Projeto GD'!$B$3:$F$71,5,0),"Campo eliminado")</f>
        <v>Campo eliminado</v>
      </c>
      <c r="M297" s="6" t="str">
        <f t="shared" si="21"/>
        <v>Campo eliminado</v>
      </c>
      <c r="N297" s="6" t="str">
        <f>IFERROR(VLOOKUP($B297,'Lista - Âmbito Projeto GD'!$B$3:$K$71,6,0),"Campo eliminado")</f>
        <v>Campo eliminado</v>
      </c>
      <c r="O297" s="6" t="str">
        <f t="shared" si="22"/>
        <v>Campo eliminado</v>
      </c>
      <c r="P297" s="6" t="str">
        <f>IFERROR(VLOOKUP($B297,'Lista - Âmbito Projeto GD'!$B$3:$K$71,7,0),"Campo eliminado")</f>
        <v>Campo eliminado</v>
      </c>
      <c r="Q297" s="6" t="str">
        <f t="shared" si="23"/>
        <v>Campo eliminado</v>
      </c>
      <c r="R297" s="6" t="str">
        <f>IFERROR(VLOOKUP($B297,'Lista - Âmbito Projeto GD'!$B$3:$K$71,9,0),"Campo eliminado")</f>
        <v>Campo eliminado</v>
      </c>
      <c r="S297" s="6" t="str">
        <f t="shared" si="24"/>
        <v>Campo eliminado</v>
      </c>
      <c r="U297" s="6" t="str">
        <f>VLOOKUP(B297,DataLake!$A$4:$A$429,1,0)</f>
        <v>INSTRUMENT_GRNTR_ID_TYP</v>
      </c>
    </row>
    <row r="298" spans="1:21" ht="15" hidden="1" customHeight="1" x14ac:dyDescent="0.3">
      <c r="A298" s="7" t="s">
        <v>868</v>
      </c>
      <c r="B298" s="47" t="str">
        <f t="shared" si="20"/>
        <v>INSTRUMENT_HEDGE_ID</v>
      </c>
      <c r="C298" s="8" t="s">
        <v>414</v>
      </c>
      <c r="D298" s="9" t="s">
        <v>869</v>
      </c>
      <c r="E298" s="11" t="s">
        <v>870</v>
      </c>
      <c r="F298" s="10" t="s">
        <v>13</v>
      </c>
      <c r="G298" s="10" t="s">
        <v>11</v>
      </c>
      <c r="H298" s="10" t="s">
        <v>11</v>
      </c>
      <c r="I298" s="10" t="s">
        <v>11</v>
      </c>
      <c r="J298" s="10" t="s">
        <v>11</v>
      </c>
      <c r="L298" s="6" t="str">
        <f>IFERROR(VLOOKUP($B298,'Lista - Âmbito Projeto GD'!$B$3:$F$71,5,0),"Campo eliminado")</f>
        <v>Campo eliminado</v>
      </c>
      <c r="M298" s="6" t="str">
        <f t="shared" si="21"/>
        <v>Campo eliminado</v>
      </c>
      <c r="N298" s="6" t="str">
        <f>IFERROR(VLOOKUP($B298,'Lista - Âmbito Projeto GD'!$B$3:$K$71,6,0),"Campo eliminado")</f>
        <v>Campo eliminado</v>
      </c>
      <c r="O298" s="6" t="str">
        <f t="shared" si="22"/>
        <v>Campo eliminado</v>
      </c>
      <c r="P298" s="6" t="str">
        <f>IFERROR(VLOOKUP($B298,'Lista - Âmbito Projeto GD'!$B$3:$K$71,7,0),"Campo eliminado")</f>
        <v>Campo eliminado</v>
      </c>
      <c r="Q298" s="6" t="str">
        <f t="shared" si="23"/>
        <v>Campo eliminado</v>
      </c>
      <c r="R298" s="6" t="str">
        <f>IFERROR(VLOOKUP($B298,'Lista - Âmbito Projeto GD'!$B$3:$K$71,9,0),"Campo eliminado")</f>
        <v>Campo eliminado</v>
      </c>
      <c r="S298" s="6" t="str">
        <f t="shared" si="24"/>
        <v>Campo eliminado</v>
      </c>
      <c r="U298" s="6" t="str">
        <f>VLOOKUP(B298,DataLake!$A$4:$A$429,1,0)</f>
        <v>INSTRUMENT_HEDGE_ID</v>
      </c>
    </row>
    <row r="299" spans="1:21" ht="15" hidden="1" customHeight="1" x14ac:dyDescent="0.3">
      <c r="A299" s="7" t="s">
        <v>871</v>
      </c>
      <c r="B299" s="47" t="str">
        <f t="shared" si="20"/>
        <v>INSTRUMENT_INSTR_SNRTY_CLSS</v>
      </c>
      <c r="C299" s="8" t="s">
        <v>414</v>
      </c>
      <c r="D299" s="9" t="s">
        <v>872</v>
      </c>
      <c r="E299" s="11" t="s">
        <v>873</v>
      </c>
      <c r="F299" s="10" t="s">
        <v>13</v>
      </c>
      <c r="G299" s="10" t="s">
        <v>11</v>
      </c>
      <c r="H299" s="10" t="s">
        <v>11</v>
      </c>
      <c r="I299" s="10" t="s">
        <v>11</v>
      </c>
      <c r="J299" s="10" t="s">
        <v>11</v>
      </c>
      <c r="L299" s="6" t="str">
        <f>IFERROR(VLOOKUP($B299,'Lista - Âmbito Projeto GD'!$B$3:$F$71,5,0),"Campo eliminado")</f>
        <v>Campo eliminado</v>
      </c>
      <c r="M299" s="6" t="str">
        <f t="shared" si="21"/>
        <v>Campo eliminado</v>
      </c>
      <c r="N299" s="6" t="str">
        <f>IFERROR(VLOOKUP($B299,'Lista - Âmbito Projeto GD'!$B$3:$K$71,6,0),"Campo eliminado")</f>
        <v>Campo eliminado</v>
      </c>
      <c r="O299" s="6" t="str">
        <f t="shared" si="22"/>
        <v>Campo eliminado</v>
      </c>
      <c r="P299" s="6" t="str">
        <f>IFERROR(VLOOKUP($B299,'Lista - Âmbito Projeto GD'!$B$3:$K$71,7,0),"Campo eliminado")</f>
        <v>Campo eliminado</v>
      </c>
      <c r="Q299" s="6" t="str">
        <f t="shared" si="23"/>
        <v>Campo eliminado</v>
      </c>
      <c r="R299" s="6" t="str">
        <f>IFERROR(VLOOKUP($B299,'Lista - Âmbito Projeto GD'!$B$3:$K$71,9,0),"Campo eliminado")</f>
        <v>Campo eliminado</v>
      </c>
      <c r="S299" s="6" t="str">
        <f t="shared" si="24"/>
        <v>Campo eliminado</v>
      </c>
      <c r="U299" s="6" t="str">
        <f>VLOOKUP(B299,DataLake!$A$4:$A$429,1,0)</f>
        <v>INSTRUMENT_INSTR_SNRTY_CLSS</v>
      </c>
    </row>
    <row r="300" spans="1:21" ht="15" hidden="1" customHeight="1" x14ac:dyDescent="0.3">
      <c r="A300" s="7" t="s">
        <v>874</v>
      </c>
      <c r="B300" s="47" t="str">
        <f t="shared" si="20"/>
        <v>INSTRUMENT_INSTRMNT_CLSS</v>
      </c>
      <c r="C300" s="8" t="s">
        <v>414</v>
      </c>
      <c r="D300" s="9" t="s">
        <v>875</v>
      </c>
      <c r="E300" s="11" t="s">
        <v>876</v>
      </c>
      <c r="F300" s="10" t="s">
        <v>13</v>
      </c>
      <c r="G300" s="10" t="s">
        <v>11</v>
      </c>
      <c r="H300" s="10" t="s">
        <v>11</v>
      </c>
      <c r="I300" s="10" t="s">
        <v>11</v>
      </c>
      <c r="J300" s="10" t="s">
        <v>11</v>
      </c>
      <c r="L300" s="6" t="str">
        <f>IFERROR(VLOOKUP($B300,'Lista - Âmbito Projeto GD'!$B$3:$F$71,5,0),"Campo eliminado")</f>
        <v>Campo eliminado</v>
      </c>
      <c r="M300" s="6" t="str">
        <f t="shared" si="21"/>
        <v>Campo eliminado</v>
      </c>
      <c r="N300" s="6" t="str">
        <f>IFERROR(VLOOKUP($B300,'Lista - Âmbito Projeto GD'!$B$3:$K$71,6,0),"Campo eliminado")</f>
        <v>Campo eliminado</v>
      </c>
      <c r="O300" s="6" t="str">
        <f t="shared" si="22"/>
        <v>Campo eliminado</v>
      </c>
      <c r="P300" s="6" t="str">
        <f>IFERROR(VLOOKUP($B300,'Lista - Âmbito Projeto GD'!$B$3:$K$71,7,0),"Campo eliminado")</f>
        <v>Campo eliminado</v>
      </c>
      <c r="Q300" s="6" t="str">
        <f t="shared" si="23"/>
        <v>Campo eliminado</v>
      </c>
      <c r="R300" s="6" t="str">
        <f>IFERROR(VLOOKUP($B300,'Lista - Âmbito Projeto GD'!$B$3:$K$71,9,0),"Campo eliminado")</f>
        <v>Campo eliminado</v>
      </c>
      <c r="S300" s="6" t="str">
        <f t="shared" si="24"/>
        <v>Campo eliminado</v>
      </c>
      <c r="U300" s="6" t="str">
        <f>VLOOKUP(B300,DataLake!$A$4:$A$429,1,0)</f>
        <v>INSTRUMENT_INSTRMNT_CLSS</v>
      </c>
    </row>
    <row r="301" spans="1:21" ht="15" hidden="1" customHeight="1" x14ac:dyDescent="0.3">
      <c r="A301" s="7" t="s">
        <v>877</v>
      </c>
      <c r="B301" s="47" t="str">
        <f t="shared" si="20"/>
        <v>INSTRUMENT_ISIN</v>
      </c>
      <c r="C301" s="8" t="s">
        <v>414</v>
      </c>
      <c r="D301" s="9" t="s">
        <v>347</v>
      </c>
      <c r="E301" s="11" t="s">
        <v>347</v>
      </c>
      <c r="F301" s="10" t="s">
        <v>13</v>
      </c>
      <c r="G301" s="10" t="s">
        <v>11</v>
      </c>
      <c r="H301" s="10" t="s">
        <v>11</v>
      </c>
      <c r="I301" s="10" t="s">
        <v>11</v>
      </c>
      <c r="J301" s="10" t="s">
        <v>11</v>
      </c>
      <c r="L301" s="6" t="str">
        <f>IFERROR(VLOOKUP($B301,'Lista - Âmbito Projeto GD'!$B$3:$F$71,5,0),"Campo eliminado")</f>
        <v>Campo eliminado</v>
      </c>
      <c r="M301" s="6" t="str">
        <f t="shared" si="21"/>
        <v>Campo eliminado</v>
      </c>
      <c r="N301" s="6" t="str">
        <f>IFERROR(VLOOKUP($B301,'Lista - Âmbito Projeto GD'!$B$3:$K$71,6,0),"Campo eliminado")</f>
        <v>Campo eliminado</v>
      </c>
      <c r="O301" s="6" t="str">
        <f t="shared" si="22"/>
        <v>Campo eliminado</v>
      </c>
      <c r="P301" s="6" t="str">
        <f>IFERROR(VLOOKUP($B301,'Lista - Âmbito Projeto GD'!$B$3:$K$71,7,0),"Campo eliminado")</f>
        <v>Campo eliminado</v>
      </c>
      <c r="Q301" s="6" t="str">
        <f t="shared" si="23"/>
        <v>Campo eliminado</v>
      </c>
      <c r="R301" s="6" t="str">
        <f>IFERROR(VLOOKUP($B301,'Lista - Âmbito Projeto GD'!$B$3:$K$71,9,0),"Campo eliminado")</f>
        <v>Campo eliminado</v>
      </c>
      <c r="S301" s="6" t="str">
        <f t="shared" si="24"/>
        <v>Campo eliminado</v>
      </c>
      <c r="U301" s="6" t="str">
        <f>VLOOKUP(B301,DataLake!$A$4:$A$429,1,0)</f>
        <v>INSTRUMENT_ISIN</v>
      </c>
    </row>
    <row r="302" spans="1:21" ht="15" hidden="1" customHeight="1" x14ac:dyDescent="0.3">
      <c r="A302" s="7" t="s">
        <v>878</v>
      </c>
      <c r="B302" s="47" t="str">
        <f t="shared" si="20"/>
        <v>INSTRUMENT_ISSR_CNTRY</v>
      </c>
      <c r="C302" s="8" t="s">
        <v>414</v>
      </c>
      <c r="D302" s="9" t="s">
        <v>879</v>
      </c>
      <c r="E302" s="11" t="s">
        <v>880</v>
      </c>
      <c r="F302" s="10" t="s">
        <v>13</v>
      </c>
      <c r="G302" s="10" t="s">
        <v>11</v>
      </c>
      <c r="H302" s="10" t="s">
        <v>13</v>
      </c>
      <c r="I302" s="10" t="s">
        <v>11</v>
      </c>
      <c r="J302" s="10" t="s">
        <v>11</v>
      </c>
      <c r="L302" s="6" t="str">
        <f>IFERROR(VLOOKUP($B302,'Lista - Âmbito Projeto GD'!$B$3:$F$71,5,0),"Campo eliminado")</f>
        <v>Campo eliminado</v>
      </c>
      <c r="M302" s="6" t="str">
        <f t="shared" si="21"/>
        <v>Campo eliminado</v>
      </c>
      <c r="N302" s="6" t="str">
        <f>IFERROR(VLOOKUP($B302,'Lista - Âmbito Projeto GD'!$B$3:$K$71,6,0),"Campo eliminado")</f>
        <v>Campo eliminado</v>
      </c>
      <c r="O302" s="6" t="str">
        <f t="shared" si="22"/>
        <v>Campo eliminado</v>
      </c>
      <c r="P302" s="6" t="str">
        <f>IFERROR(VLOOKUP($B302,'Lista - Âmbito Projeto GD'!$B$3:$K$71,7,0),"Campo eliminado")</f>
        <v>Campo eliminado</v>
      </c>
      <c r="Q302" s="6" t="str">
        <f t="shared" si="23"/>
        <v>Campo eliminado</v>
      </c>
      <c r="R302" s="6" t="str">
        <f>IFERROR(VLOOKUP($B302,'Lista - Âmbito Projeto GD'!$B$3:$K$71,9,0),"Campo eliminado")</f>
        <v>Campo eliminado</v>
      </c>
      <c r="S302" s="6" t="str">
        <f t="shared" si="24"/>
        <v>Campo eliminado</v>
      </c>
      <c r="U302" s="6" t="str">
        <f>VLOOKUP(B302,DataLake!$A$4:$A$429,1,0)</f>
        <v>INSTRUMENT_ISSR_CNTRY</v>
      </c>
    </row>
    <row r="303" spans="1:21" ht="15" hidden="1" customHeight="1" x14ac:dyDescent="0.3">
      <c r="A303" s="7" t="s">
        <v>881</v>
      </c>
      <c r="B303" s="47" t="str">
        <f t="shared" si="20"/>
        <v>INSTRUMENT_ISSR_ESA_2010</v>
      </c>
      <c r="C303" s="8" t="s">
        <v>414</v>
      </c>
      <c r="D303" s="9" t="s">
        <v>882</v>
      </c>
      <c r="E303" s="11" t="s">
        <v>883</v>
      </c>
      <c r="F303" s="10" t="s">
        <v>13</v>
      </c>
      <c r="G303" s="10" t="s">
        <v>11</v>
      </c>
      <c r="H303" s="10" t="s">
        <v>11</v>
      </c>
      <c r="I303" s="10" t="s">
        <v>11</v>
      </c>
      <c r="J303" s="10" t="s">
        <v>11</v>
      </c>
      <c r="L303" s="6" t="str">
        <f>IFERROR(VLOOKUP($B303,'Lista - Âmbito Projeto GD'!$B$3:$F$71,5,0),"Campo eliminado")</f>
        <v>Campo eliminado</v>
      </c>
      <c r="M303" s="6" t="str">
        <f t="shared" si="21"/>
        <v>Campo eliminado</v>
      </c>
      <c r="N303" s="6" t="str">
        <f>IFERROR(VLOOKUP($B303,'Lista - Âmbito Projeto GD'!$B$3:$K$71,6,0),"Campo eliminado")</f>
        <v>Campo eliminado</v>
      </c>
      <c r="O303" s="6" t="str">
        <f t="shared" si="22"/>
        <v>Campo eliminado</v>
      </c>
      <c r="P303" s="6" t="str">
        <f>IFERROR(VLOOKUP($B303,'Lista - Âmbito Projeto GD'!$B$3:$K$71,7,0),"Campo eliminado")</f>
        <v>Campo eliminado</v>
      </c>
      <c r="Q303" s="6" t="str">
        <f t="shared" si="23"/>
        <v>Campo eliminado</v>
      </c>
      <c r="R303" s="6" t="str">
        <f>IFERROR(VLOOKUP($B303,'Lista - Âmbito Projeto GD'!$B$3:$K$71,9,0),"Campo eliminado")</f>
        <v>Campo eliminado</v>
      </c>
      <c r="S303" s="6" t="str">
        <f t="shared" si="24"/>
        <v>Campo eliminado</v>
      </c>
      <c r="U303" s="6" t="str">
        <f>VLOOKUP(B303,DataLake!$A$4:$A$429,1,0)</f>
        <v>INSTRUMENT_ISSR_ESA_2010</v>
      </c>
    </row>
    <row r="304" spans="1:21" ht="15" hidden="1" customHeight="1" x14ac:dyDescent="0.3">
      <c r="A304" s="7" t="s">
        <v>884</v>
      </c>
      <c r="B304" s="47" t="str">
        <f t="shared" si="20"/>
        <v>INSTRUMENT_ISSR_ID</v>
      </c>
      <c r="C304" s="8" t="s">
        <v>414</v>
      </c>
      <c r="D304" s="9" t="s">
        <v>885</v>
      </c>
      <c r="E304" s="11" t="s">
        <v>886</v>
      </c>
      <c r="F304" s="10" t="s">
        <v>13</v>
      </c>
      <c r="G304" s="10" t="s">
        <v>11</v>
      </c>
      <c r="H304" s="10" t="s">
        <v>11</v>
      </c>
      <c r="I304" s="10" t="s">
        <v>11</v>
      </c>
      <c r="J304" s="10" t="s">
        <v>11</v>
      </c>
      <c r="L304" s="6" t="str">
        <f>IFERROR(VLOOKUP($B304,'Lista - Âmbito Projeto GD'!$B$3:$F$71,5,0),"Campo eliminado")</f>
        <v>Campo eliminado</v>
      </c>
      <c r="M304" s="6" t="str">
        <f t="shared" si="21"/>
        <v>Campo eliminado</v>
      </c>
      <c r="N304" s="6" t="str">
        <f>IFERROR(VLOOKUP($B304,'Lista - Âmbito Projeto GD'!$B$3:$K$71,6,0),"Campo eliminado")</f>
        <v>Campo eliminado</v>
      </c>
      <c r="O304" s="6" t="str">
        <f t="shared" si="22"/>
        <v>Campo eliminado</v>
      </c>
      <c r="P304" s="6" t="str">
        <f>IFERROR(VLOOKUP($B304,'Lista - Âmbito Projeto GD'!$B$3:$K$71,7,0),"Campo eliminado")</f>
        <v>Campo eliminado</v>
      </c>
      <c r="Q304" s="6" t="str">
        <f t="shared" si="23"/>
        <v>Campo eliminado</v>
      </c>
      <c r="R304" s="6" t="str">
        <f>IFERROR(VLOOKUP($B304,'Lista - Âmbito Projeto GD'!$B$3:$K$71,9,0),"Campo eliminado")</f>
        <v>Campo eliminado</v>
      </c>
      <c r="S304" s="6" t="str">
        <f t="shared" si="24"/>
        <v>Campo eliminado</v>
      </c>
      <c r="U304" s="6" t="str">
        <f>VLOOKUP(B304,DataLake!$A$4:$A$429,1,0)</f>
        <v>INSTRUMENT_ISSR_ID</v>
      </c>
    </row>
    <row r="305" spans="1:21" ht="15" hidden="1" customHeight="1" x14ac:dyDescent="0.3">
      <c r="A305" s="7" t="s">
        <v>887</v>
      </c>
      <c r="B305" s="47" t="str">
        <f t="shared" si="20"/>
        <v>INSTRUMENT_ISSR_ID_TYP</v>
      </c>
      <c r="C305" s="8" t="s">
        <v>414</v>
      </c>
      <c r="D305" s="9" t="s">
        <v>888</v>
      </c>
      <c r="E305" s="11" t="s">
        <v>889</v>
      </c>
      <c r="F305" s="10" t="s">
        <v>13</v>
      </c>
      <c r="G305" s="10" t="s">
        <v>11</v>
      </c>
      <c r="H305" s="10" t="s">
        <v>11</v>
      </c>
      <c r="I305" s="10" t="s">
        <v>11</v>
      </c>
      <c r="J305" s="10" t="s">
        <v>11</v>
      </c>
      <c r="L305" s="6" t="str">
        <f>IFERROR(VLOOKUP($B305,'Lista - Âmbito Projeto GD'!$B$3:$F$71,5,0),"Campo eliminado")</f>
        <v>Campo eliminado</v>
      </c>
      <c r="M305" s="6" t="str">
        <f t="shared" si="21"/>
        <v>Campo eliminado</v>
      </c>
      <c r="N305" s="6" t="str">
        <f>IFERROR(VLOOKUP($B305,'Lista - Âmbito Projeto GD'!$B$3:$K$71,6,0),"Campo eliminado")</f>
        <v>Campo eliminado</v>
      </c>
      <c r="O305" s="6" t="str">
        <f t="shared" si="22"/>
        <v>Campo eliminado</v>
      </c>
      <c r="P305" s="6" t="str">
        <f>IFERROR(VLOOKUP($B305,'Lista - Âmbito Projeto GD'!$B$3:$K$71,7,0),"Campo eliminado")</f>
        <v>Campo eliminado</v>
      </c>
      <c r="Q305" s="6" t="str">
        <f t="shared" si="23"/>
        <v>Campo eliminado</v>
      </c>
      <c r="R305" s="6" t="str">
        <f>IFERROR(VLOOKUP($B305,'Lista - Âmbito Projeto GD'!$B$3:$K$71,9,0),"Campo eliminado")</f>
        <v>Campo eliminado</v>
      </c>
      <c r="S305" s="6" t="str">
        <f t="shared" si="24"/>
        <v>Campo eliminado</v>
      </c>
      <c r="U305" s="6" t="str">
        <f>VLOOKUP(B305,DataLake!$A$4:$A$429,1,0)</f>
        <v>INSTRUMENT_ISSR_ID_TYP</v>
      </c>
    </row>
    <row r="306" spans="1:21" ht="15" hidden="1" customHeight="1" x14ac:dyDescent="0.3">
      <c r="A306" s="7" t="s">
        <v>890</v>
      </c>
      <c r="B306" s="47" t="str">
        <f t="shared" si="20"/>
        <v>INSTRUMENT_ISSR_NACE_SCTR</v>
      </c>
      <c r="C306" s="8" t="s">
        <v>414</v>
      </c>
      <c r="D306" s="9" t="s">
        <v>891</v>
      </c>
      <c r="E306" s="11" t="s">
        <v>892</v>
      </c>
      <c r="F306" s="10" t="s">
        <v>13</v>
      </c>
      <c r="G306" s="10" t="s">
        <v>11</v>
      </c>
      <c r="H306" s="10" t="s">
        <v>13</v>
      </c>
      <c r="I306" s="10" t="s">
        <v>11</v>
      </c>
      <c r="J306" s="10" t="s">
        <v>11</v>
      </c>
      <c r="L306" s="6" t="str">
        <f>IFERROR(VLOOKUP($B306,'Lista - Âmbito Projeto GD'!$B$3:$F$71,5,0),"Campo eliminado")</f>
        <v>Campo eliminado</v>
      </c>
      <c r="M306" s="6" t="str">
        <f t="shared" si="21"/>
        <v>Campo eliminado</v>
      </c>
      <c r="N306" s="6" t="str">
        <f>IFERROR(VLOOKUP($B306,'Lista - Âmbito Projeto GD'!$B$3:$K$71,6,0),"Campo eliminado")</f>
        <v>Campo eliminado</v>
      </c>
      <c r="O306" s="6" t="str">
        <f t="shared" si="22"/>
        <v>Campo eliminado</v>
      </c>
      <c r="P306" s="6" t="str">
        <f>IFERROR(VLOOKUP($B306,'Lista - Âmbito Projeto GD'!$B$3:$K$71,7,0),"Campo eliminado")</f>
        <v>Campo eliminado</v>
      </c>
      <c r="Q306" s="6" t="str">
        <f t="shared" si="23"/>
        <v>Campo eliminado</v>
      </c>
      <c r="R306" s="6" t="str">
        <f>IFERROR(VLOOKUP($B306,'Lista - Âmbito Projeto GD'!$B$3:$K$71,9,0),"Campo eliminado")</f>
        <v>Campo eliminado</v>
      </c>
      <c r="S306" s="6" t="str">
        <f t="shared" si="24"/>
        <v>Campo eliminado</v>
      </c>
      <c r="U306" s="6" t="str">
        <f>VLOOKUP(B306,DataLake!$A$4:$A$429,1,0)</f>
        <v>INSTRUMENT_ISSR_NACE_SCTR</v>
      </c>
    </row>
    <row r="307" spans="1:21" ht="15" hidden="1" customHeight="1" x14ac:dyDescent="0.3">
      <c r="A307" s="7" t="s">
        <v>893</v>
      </c>
      <c r="B307" s="47" t="str">
        <f t="shared" si="20"/>
        <v>INSTRUMENT_ISSR_RTNG</v>
      </c>
      <c r="C307" s="8" t="s">
        <v>414</v>
      </c>
      <c r="D307" s="9" t="s">
        <v>894</v>
      </c>
      <c r="E307" s="11" t="s">
        <v>895</v>
      </c>
      <c r="F307" s="10" t="s">
        <v>13</v>
      </c>
      <c r="G307" s="10" t="s">
        <v>11</v>
      </c>
      <c r="H307" s="10" t="s">
        <v>11</v>
      </c>
      <c r="I307" s="10" t="s">
        <v>11</v>
      </c>
      <c r="J307" s="10" t="s">
        <v>11</v>
      </c>
      <c r="L307" s="6" t="str">
        <f>IFERROR(VLOOKUP($B307,'Lista - Âmbito Projeto GD'!$B$3:$F$71,5,0),"Campo eliminado")</f>
        <v>Campo eliminado</v>
      </c>
      <c r="M307" s="6" t="str">
        <f t="shared" si="21"/>
        <v>Campo eliminado</v>
      </c>
      <c r="N307" s="6" t="str">
        <f>IFERROR(VLOOKUP($B307,'Lista - Âmbito Projeto GD'!$B$3:$K$71,6,0),"Campo eliminado")</f>
        <v>Campo eliminado</v>
      </c>
      <c r="O307" s="6" t="str">
        <f t="shared" si="22"/>
        <v>Campo eliminado</v>
      </c>
      <c r="P307" s="6" t="str">
        <f>IFERROR(VLOOKUP($B307,'Lista - Âmbito Projeto GD'!$B$3:$K$71,7,0),"Campo eliminado")</f>
        <v>Campo eliminado</v>
      </c>
      <c r="Q307" s="6" t="str">
        <f t="shared" si="23"/>
        <v>Campo eliminado</v>
      </c>
      <c r="R307" s="6" t="str">
        <f>IFERROR(VLOOKUP($B307,'Lista - Âmbito Projeto GD'!$B$3:$K$71,9,0),"Campo eliminado")</f>
        <v>Campo eliminado</v>
      </c>
      <c r="S307" s="6" t="str">
        <f t="shared" si="24"/>
        <v>Campo eliminado</v>
      </c>
      <c r="U307" s="6" t="str">
        <f>VLOOKUP(B307,DataLake!$A$4:$A$429,1,0)</f>
        <v>INSTRUMENT_ISSR_RTNG</v>
      </c>
    </row>
    <row r="308" spans="1:21" ht="15" hidden="1" customHeight="1" x14ac:dyDescent="0.3">
      <c r="A308" s="7" t="s">
        <v>896</v>
      </c>
      <c r="B308" s="47" t="str">
        <f t="shared" si="20"/>
        <v>INSTRUMENT_ISSR_RTNG_SRC</v>
      </c>
      <c r="C308" s="8" t="s">
        <v>414</v>
      </c>
      <c r="D308" s="9" t="s">
        <v>897</v>
      </c>
      <c r="E308" s="11" t="s">
        <v>898</v>
      </c>
      <c r="F308" s="10" t="s">
        <v>13</v>
      </c>
      <c r="G308" s="10" t="s">
        <v>11</v>
      </c>
      <c r="H308" s="10" t="s">
        <v>11</v>
      </c>
      <c r="I308" s="10" t="s">
        <v>11</v>
      </c>
      <c r="J308" s="10" t="s">
        <v>11</v>
      </c>
      <c r="L308" s="6" t="str">
        <f>IFERROR(VLOOKUP($B308,'Lista - Âmbito Projeto GD'!$B$3:$F$71,5,0),"Campo eliminado")</f>
        <v>Campo eliminado</v>
      </c>
      <c r="M308" s="6" t="str">
        <f t="shared" si="21"/>
        <v>Campo eliminado</v>
      </c>
      <c r="N308" s="6" t="str">
        <f>IFERROR(VLOOKUP($B308,'Lista - Âmbito Projeto GD'!$B$3:$K$71,6,0),"Campo eliminado")</f>
        <v>Campo eliminado</v>
      </c>
      <c r="O308" s="6" t="str">
        <f t="shared" si="22"/>
        <v>Campo eliminado</v>
      </c>
      <c r="P308" s="6" t="str">
        <f>IFERROR(VLOOKUP($B308,'Lista - Âmbito Projeto GD'!$B$3:$K$71,7,0),"Campo eliminado")</f>
        <v>Campo eliminado</v>
      </c>
      <c r="Q308" s="6" t="str">
        <f t="shared" si="23"/>
        <v>Campo eliminado</v>
      </c>
      <c r="R308" s="6" t="str">
        <f>IFERROR(VLOOKUP($B308,'Lista - Âmbito Projeto GD'!$B$3:$K$71,9,0),"Campo eliminado")</f>
        <v>Campo eliminado</v>
      </c>
      <c r="S308" s="6" t="str">
        <f t="shared" si="24"/>
        <v>Campo eliminado</v>
      </c>
      <c r="U308" s="6" t="str">
        <f>VLOOKUP(B308,DataLake!$A$4:$A$429,1,0)</f>
        <v>INSTRUMENT_ISSR_RTNG_SRC</v>
      </c>
    </row>
    <row r="309" spans="1:21" ht="15" hidden="1" customHeight="1" x14ac:dyDescent="0.3">
      <c r="A309" s="7" t="s">
        <v>899</v>
      </c>
      <c r="B309" s="47" t="str">
        <f t="shared" si="20"/>
        <v>INSTRUMENT_ISSR_TYP</v>
      </c>
      <c r="C309" s="8" t="s">
        <v>414</v>
      </c>
      <c r="D309" s="9" t="s">
        <v>900</v>
      </c>
      <c r="E309" s="11" t="s">
        <v>901</v>
      </c>
      <c r="F309" s="10" t="s">
        <v>13</v>
      </c>
      <c r="G309" s="10" t="s">
        <v>11</v>
      </c>
      <c r="H309" s="10" t="s">
        <v>11</v>
      </c>
      <c r="I309" s="10" t="s">
        <v>11</v>
      </c>
      <c r="J309" s="10" t="s">
        <v>11</v>
      </c>
      <c r="L309" s="6" t="str">
        <f>IFERROR(VLOOKUP($B309,'Lista - Âmbito Projeto GD'!$B$3:$F$71,5,0),"Campo eliminado")</f>
        <v>Campo eliminado</v>
      </c>
      <c r="M309" s="6" t="str">
        <f t="shared" si="21"/>
        <v>Campo eliminado</v>
      </c>
      <c r="N309" s="6" t="str">
        <f>IFERROR(VLOOKUP($B309,'Lista - Âmbito Projeto GD'!$B$3:$K$71,6,0),"Campo eliminado")</f>
        <v>Campo eliminado</v>
      </c>
      <c r="O309" s="6" t="str">
        <f t="shared" si="22"/>
        <v>Campo eliminado</v>
      </c>
      <c r="P309" s="6" t="str">
        <f>IFERROR(VLOOKUP($B309,'Lista - Âmbito Projeto GD'!$B$3:$K$71,7,0),"Campo eliminado")</f>
        <v>Campo eliminado</v>
      </c>
      <c r="Q309" s="6" t="str">
        <f t="shared" si="23"/>
        <v>Campo eliminado</v>
      </c>
      <c r="R309" s="6" t="str">
        <f>IFERROR(VLOOKUP($B309,'Lista - Âmbito Projeto GD'!$B$3:$K$71,9,0),"Campo eliminado")</f>
        <v>Campo eliminado</v>
      </c>
      <c r="S309" s="6" t="str">
        <f t="shared" si="24"/>
        <v>Campo eliminado</v>
      </c>
      <c r="U309" s="6" t="str">
        <f>VLOOKUP(B309,DataLake!$A$4:$A$429,1,0)</f>
        <v>INSTRUMENT_ISSR_TYP</v>
      </c>
    </row>
    <row r="310" spans="1:21" ht="15" hidden="1" customHeight="1" x14ac:dyDescent="0.3">
      <c r="A310" s="7" t="s">
        <v>902</v>
      </c>
      <c r="B310" s="47" t="str">
        <f t="shared" si="20"/>
        <v>INSTRUMENT_LCR_BFFR_CTGRY</v>
      </c>
      <c r="C310" s="8" t="s">
        <v>414</v>
      </c>
      <c r="D310" s="9" t="s">
        <v>903</v>
      </c>
      <c r="E310" s="11" t="s">
        <v>904</v>
      </c>
      <c r="F310" s="10" t="s">
        <v>13</v>
      </c>
      <c r="G310" s="10" t="s">
        <v>11</v>
      </c>
      <c r="H310" s="10" t="s">
        <v>11</v>
      </c>
      <c r="I310" s="10" t="s">
        <v>11</v>
      </c>
      <c r="J310" s="10" t="s">
        <v>11</v>
      </c>
      <c r="L310" s="6" t="str">
        <f>IFERROR(VLOOKUP($B310,'Lista - Âmbito Projeto GD'!$B$3:$F$71,5,0),"Campo eliminado")</f>
        <v>Campo eliminado</v>
      </c>
      <c r="M310" s="6" t="str">
        <f t="shared" si="21"/>
        <v>Campo eliminado</v>
      </c>
      <c r="N310" s="6" t="str">
        <f>IFERROR(VLOOKUP($B310,'Lista - Âmbito Projeto GD'!$B$3:$K$71,6,0),"Campo eliminado")</f>
        <v>Campo eliminado</v>
      </c>
      <c r="O310" s="6" t="str">
        <f t="shared" si="22"/>
        <v>Campo eliminado</v>
      </c>
      <c r="P310" s="6" t="str">
        <f>IFERROR(VLOOKUP($B310,'Lista - Âmbito Projeto GD'!$B$3:$K$71,7,0),"Campo eliminado")</f>
        <v>Campo eliminado</v>
      </c>
      <c r="Q310" s="6" t="str">
        <f t="shared" si="23"/>
        <v>Campo eliminado</v>
      </c>
      <c r="R310" s="6" t="str">
        <f>IFERROR(VLOOKUP($B310,'Lista - Âmbito Projeto GD'!$B$3:$K$71,9,0),"Campo eliminado")</f>
        <v>Campo eliminado</v>
      </c>
      <c r="S310" s="6" t="str">
        <f t="shared" si="24"/>
        <v>Campo eliminado</v>
      </c>
      <c r="U310" s="6" t="str">
        <f>VLOOKUP(B310,DataLake!$A$4:$A$429,1,0)</f>
        <v>INSTRUMENT_LCR_BFFR_CTGRY</v>
      </c>
    </row>
    <row r="311" spans="1:21" ht="15" hidden="1" customHeight="1" x14ac:dyDescent="0.3">
      <c r="A311" s="7" t="s">
        <v>905</v>
      </c>
      <c r="B311" s="47" t="str">
        <f t="shared" si="20"/>
        <v>INSTRUMENT_PRCH_UNDR_RSL_AGR</v>
      </c>
      <c r="C311" s="8" t="s">
        <v>414</v>
      </c>
      <c r="D311" s="9" t="s">
        <v>906</v>
      </c>
      <c r="E311" s="11" t="s">
        <v>907</v>
      </c>
      <c r="F311" s="10" t="s">
        <v>13</v>
      </c>
      <c r="G311" s="10" t="s">
        <v>11</v>
      </c>
      <c r="H311" s="10" t="s">
        <v>11</v>
      </c>
      <c r="I311" s="10" t="s">
        <v>11</v>
      </c>
      <c r="J311" s="10" t="s">
        <v>11</v>
      </c>
      <c r="L311" s="6" t="str">
        <f>IFERROR(VLOOKUP($B311,'Lista - Âmbito Projeto GD'!$B$3:$F$71,5,0),"Campo eliminado")</f>
        <v>Campo eliminado</v>
      </c>
      <c r="M311" s="6" t="str">
        <f t="shared" si="21"/>
        <v>Campo eliminado</v>
      </c>
      <c r="N311" s="6" t="str">
        <f>IFERROR(VLOOKUP($B311,'Lista - Âmbito Projeto GD'!$B$3:$K$71,6,0),"Campo eliminado")</f>
        <v>Campo eliminado</v>
      </c>
      <c r="O311" s="6" t="str">
        <f t="shared" si="22"/>
        <v>Campo eliminado</v>
      </c>
      <c r="P311" s="6" t="str">
        <f>IFERROR(VLOOKUP($B311,'Lista - Âmbito Projeto GD'!$B$3:$K$71,7,0),"Campo eliminado")</f>
        <v>Campo eliminado</v>
      </c>
      <c r="Q311" s="6" t="str">
        <f t="shared" si="23"/>
        <v>Campo eliminado</v>
      </c>
      <c r="R311" s="6" t="str">
        <f>IFERROR(VLOOKUP($B311,'Lista - Âmbito Projeto GD'!$B$3:$K$71,9,0),"Campo eliminado")</f>
        <v>Campo eliminado</v>
      </c>
      <c r="S311" s="6" t="str">
        <f t="shared" si="24"/>
        <v>Campo eliminado</v>
      </c>
      <c r="U311" s="6" t="str">
        <f>VLOOKUP(B311,DataLake!$A$4:$A$429,1,0)</f>
        <v>INSTRUMENT_PRCH_UNDR_RSL_AGR</v>
      </c>
    </row>
    <row r="312" spans="1:21" ht="15" hidden="1" customHeight="1" x14ac:dyDescent="0.3">
      <c r="A312" s="7" t="s">
        <v>908</v>
      </c>
      <c r="B312" s="47" t="str">
        <f t="shared" si="20"/>
        <v>INSTRUMENT_PRDNTL_PRTFL</v>
      </c>
      <c r="C312" s="8" t="s">
        <v>414</v>
      </c>
      <c r="D312" s="9" t="s">
        <v>909</v>
      </c>
      <c r="E312" s="11" t="s">
        <v>910</v>
      </c>
      <c r="F312" s="10" t="s">
        <v>13</v>
      </c>
      <c r="G312" s="10" t="s">
        <v>11</v>
      </c>
      <c r="H312" s="10" t="s">
        <v>11</v>
      </c>
      <c r="I312" s="10" t="s">
        <v>11</v>
      </c>
      <c r="J312" s="10" t="s">
        <v>11</v>
      </c>
      <c r="L312" s="6" t="str">
        <f>IFERROR(VLOOKUP($B312,'Lista - Âmbito Projeto GD'!$B$3:$F$71,5,0),"Campo eliminado")</f>
        <v>Campo eliminado</v>
      </c>
      <c r="M312" s="6" t="str">
        <f t="shared" si="21"/>
        <v>Campo eliminado</v>
      </c>
      <c r="N312" s="6" t="str">
        <f>IFERROR(VLOOKUP($B312,'Lista - Âmbito Projeto GD'!$B$3:$K$71,6,0),"Campo eliminado")</f>
        <v>Campo eliminado</v>
      </c>
      <c r="O312" s="6" t="str">
        <f t="shared" si="22"/>
        <v>Campo eliminado</v>
      </c>
      <c r="P312" s="6" t="str">
        <f>IFERROR(VLOOKUP($B312,'Lista - Âmbito Projeto GD'!$B$3:$K$71,7,0),"Campo eliminado")</f>
        <v>Campo eliminado</v>
      </c>
      <c r="Q312" s="6" t="str">
        <f t="shared" si="23"/>
        <v>Campo eliminado</v>
      </c>
      <c r="R312" s="6" t="str">
        <f>IFERROR(VLOOKUP($B312,'Lista - Âmbito Projeto GD'!$B$3:$K$71,9,0),"Campo eliminado")</f>
        <v>Campo eliminado</v>
      </c>
      <c r="S312" s="6" t="str">
        <f t="shared" si="24"/>
        <v>Campo eliminado</v>
      </c>
      <c r="U312" s="6" t="str">
        <f>VLOOKUP(B312,DataLake!$A$4:$A$429,1,0)</f>
        <v>INSTRUMENT_PRDNTL_PRTFL</v>
      </c>
    </row>
    <row r="313" spans="1:21" ht="15" hidden="1" customHeight="1" x14ac:dyDescent="0.3">
      <c r="A313" s="7" t="s">
        <v>911</v>
      </c>
      <c r="B313" s="47" t="str">
        <f t="shared" si="20"/>
        <v>INSTRUMENT_PRMRY_ASST_CLSSF</v>
      </c>
      <c r="C313" s="8" t="s">
        <v>414</v>
      </c>
      <c r="D313" s="9" t="s">
        <v>912</v>
      </c>
      <c r="E313" s="11" t="s">
        <v>913</v>
      </c>
      <c r="F313" s="10" t="s">
        <v>13</v>
      </c>
      <c r="G313" s="10" t="s">
        <v>11</v>
      </c>
      <c r="H313" s="10" t="s">
        <v>13</v>
      </c>
      <c r="I313" s="10" t="s">
        <v>11</v>
      </c>
      <c r="J313" s="10" t="s">
        <v>11</v>
      </c>
      <c r="L313" s="6" t="str">
        <f>IFERROR(VLOOKUP($B313,'Lista - Âmbito Projeto GD'!$B$3:$F$71,5,0),"Campo eliminado")</f>
        <v>Campo eliminado</v>
      </c>
      <c r="M313" s="6" t="str">
        <f t="shared" si="21"/>
        <v>Campo eliminado</v>
      </c>
      <c r="N313" s="6" t="str">
        <f>IFERROR(VLOOKUP($B313,'Lista - Âmbito Projeto GD'!$B$3:$K$71,6,0),"Campo eliminado")</f>
        <v>Campo eliminado</v>
      </c>
      <c r="O313" s="6" t="str">
        <f t="shared" si="22"/>
        <v>Campo eliminado</v>
      </c>
      <c r="P313" s="6" t="str">
        <f>IFERROR(VLOOKUP($B313,'Lista - Âmbito Projeto GD'!$B$3:$K$71,7,0),"Campo eliminado")</f>
        <v>Campo eliminado</v>
      </c>
      <c r="Q313" s="6" t="str">
        <f t="shared" si="23"/>
        <v>Campo eliminado</v>
      </c>
      <c r="R313" s="6" t="str">
        <f>IFERROR(VLOOKUP($B313,'Lista - Âmbito Projeto GD'!$B$3:$K$71,9,0),"Campo eliminado")</f>
        <v>Campo eliminado</v>
      </c>
      <c r="S313" s="6" t="str">
        <f t="shared" si="24"/>
        <v>Campo eliminado</v>
      </c>
      <c r="U313" s="6" t="str">
        <f>VLOOKUP(B313,DataLake!$A$4:$A$429,1,0)</f>
        <v>INSTRUMENT_PRMRY_ASST_CLSSF</v>
      </c>
    </row>
    <row r="314" spans="1:21" ht="15" hidden="1" customHeight="1" x14ac:dyDescent="0.3">
      <c r="A314" s="7" t="s">
        <v>914</v>
      </c>
      <c r="B314" s="47" t="str">
        <f t="shared" si="20"/>
        <v>INSTRUMENT_PRT_LCR_BFFR</v>
      </c>
      <c r="C314" s="8" t="s">
        <v>414</v>
      </c>
      <c r="D314" s="9" t="s">
        <v>915</v>
      </c>
      <c r="E314" s="11" t="s">
        <v>916</v>
      </c>
      <c r="F314" s="10" t="s">
        <v>13</v>
      </c>
      <c r="G314" s="10" t="s">
        <v>11</v>
      </c>
      <c r="H314" s="10" t="s">
        <v>11</v>
      </c>
      <c r="I314" s="10" t="s">
        <v>11</v>
      </c>
      <c r="J314" s="10" t="s">
        <v>11</v>
      </c>
      <c r="L314" s="6" t="str">
        <f>IFERROR(VLOOKUP($B314,'Lista - Âmbito Projeto GD'!$B$3:$F$71,5,0),"Campo eliminado")</f>
        <v>Campo eliminado</v>
      </c>
      <c r="M314" s="6" t="str">
        <f t="shared" si="21"/>
        <v>Campo eliminado</v>
      </c>
      <c r="N314" s="6" t="str">
        <f>IFERROR(VLOOKUP($B314,'Lista - Âmbito Projeto GD'!$B$3:$K$71,6,0),"Campo eliminado")</f>
        <v>Campo eliminado</v>
      </c>
      <c r="O314" s="6" t="str">
        <f t="shared" si="22"/>
        <v>Campo eliminado</v>
      </c>
      <c r="P314" s="6" t="str">
        <f>IFERROR(VLOOKUP($B314,'Lista - Âmbito Projeto GD'!$B$3:$K$71,7,0),"Campo eliminado")</f>
        <v>Campo eliminado</v>
      </c>
      <c r="Q314" s="6" t="str">
        <f t="shared" si="23"/>
        <v>Campo eliminado</v>
      </c>
      <c r="R314" s="6" t="str">
        <f>IFERROR(VLOOKUP($B314,'Lista - Âmbito Projeto GD'!$B$3:$K$71,9,0),"Campo eliminado")</f>
        <v>Campo eliminado</v>
      </c>
      <c r="S314" s="6" t="str">
        <f t="shared" si="24"/>
        <v>Campo eliminado</v>
      </c>
      <c r="U314" s="6" t="str">
        <f>VLOOKUP(B314,DataLake!$A$4:$A$429,1,0)</f>
        <v>INSTRUMENT_PRT_LCR_BFFR</v>
      </c>
    </row>
    <row r="315" spans="1:21" ht="15" hidden="1" customHeight="1" x14ac:dyDescent="0.3">
      <c r="A315" s="7" t="s">
        <v>917</v>
      </c>
      <c r="B315" s="47" t="str">
        <f t="shared" si="20"/>
        <v>INSTRUMENT_RFRNC_RT</v>
      </c>
      <c r="C315" s="8" t="s">
        <v>414</v>
      </c>
      <c r="D315" s="9" t="s">
        <v>918</v>
      </c>
      <c r="E315" s="11" t="s">
        <v>919</v>
      </c>
      <c r="F315" s="10" t="s">
        <v>13</v>
      </c>
      <c r="G315" s="10" t="s">
        <v>11</v>
      </c>
      <c r="H315" s="10" t="s">
        <v>11</v>
      </c>
      <c r="I315" s="10" t="s">
        <v>11</v>
      </c>
      <c r="J315" s="10" t="s">
        <v>11</v>
      </c>
      <c r="L315" s="6" t="str">
        <f>IFERROR(VLOOKUP($B315,'Lista - Âmbito Projeto GD'!$B$3:$F$71,5,0),"Campo eliminado")</f>
        <v>Campo eliminado</v>
      </c>
      <c r="M315" s="6" t="str">
        <f t="shared" si="21"/>
        <v>Campo eliminado</v>
      </c>
      <c r="N315" s="6" t="str">
        <f>IFERROR(VLOOKUP($B315,'Lista - Âmbito Projeto GD'!$B$3:$K$71,6,0),"Campo eliminado")</f>
        <v>Campo eliminado</v>
      </c>
      <c r="O315" s="6" t="str">
        <f t="shared" si="22"/>
        <v>Campo eliminado</v>
      </c>
      <c r="P315" s="6" t="str">
        <f>IFERROR(VLOOKUP($B315,'Lista - Âmbito Projeto GD'!$B$3:$K$71,7,0),"Campo eliminado")</f>
        <v>Campo eliminado</v>
      </c>
      <c r="Q315" s="6" t="str">
        <f t="shared" si="23"/>
        <v>Campo eliminado</v>
      </c>
      <c r="R315" s="6" t="str">
        <f>IFERROR(VLOOKUP($B315,'Lista - Âmbito Projeto GD'!$B$3:$K$71,9,0),"Campo eliminado")</f>
        <v>Campo eliminado</v>
      </c>
      <c r="S315" s="6" t="str">
        <f t="shared" si="24"/>
        <v>Campo eliminado</v>
      </c>
      <c r="U315" s="6" t="str">
        <f>VLOOKUP(B315,DataLake!$A$4:$A$429,1,0)</f>
        <v>INSTRUMENT_RFRNC_RT</v>
      </c>
    </row>
    <row r="316" spans="1:21" ht="15" hidden="1" customHeight="1" x14ac:dyDescent="0.3">
      <c r="A316" s="7" t="s">
        <v>921</v>
      </c>
      <c r="B316" s="47" t="str">
        <f t="shared" si="20"/>
        <v>INSTRUMENT_SPRD</v>
      </c>
      <c r="C316" s="8" t="s">
        <v>414</v>
      </c>
      <c r="D316" s="9" t="s">
        <v>922</v>
      </c>
      <c r="E316" s="11" t="s">
        <v>923</v>
      </c>
      <c r="F316" s="10" t="s">
        <v>13</v>
      </c>
      <c r="G316" s="10" t="s">
        <v>11</v>
      </c>
      <c r="H316" s="10" t="s">
        <v>11</v>
      </c>
      <c r="I316" s="10" t="s">
        <v>11</v>
      </c>
      <c r="J316" s="10" t="s">
        <v>11</v>
      </c>
      <c r="L316" s="6" t="str">
        <f>IFERROR(VLOOKUP($B316,'Lista - Âmbito Projeto GD'!$B$3:$F$71,5,0),"Campo eliminado")</f>
        <v>Campo eliminado</v>
      </c>
      <c r="M316" s="6" t="str">
        <f t="shared" si="21"/>
        <v>Campo eliminado</v>
      </c>
      <c r="N316" s="6" t="str">
        <f>IFERROR(VLOOKUP($B316,'Lista - Âmbito Projeto GD'!$B$3:$K$71,6,0),"Campo eliminado")</f>
        <v>Campo eliminado</v>
      </c>
      <c r="O316" s="6" t="str">
        <f t="shared" si="22"/>
        <v>Campo eliminado</v>
      </c>
      <c r="P316" s="6" t="str">
        <f>IFERROR(VLOOKUP($B316,'Lista - Âmbito Projeto GD'!$B$3:$K$71,7,0),"Campo eliminado")</f>
        <v>Campo eliminado</v>
      </c>
      <c r="Q316" s="6" t="str">
        <f t="shared" si="23"/>
        <v>Campo eliminado</v>
      </c>
      <c r="R316" s="6" t="str">
        <f>IFERROR(VLOOKUP($B316,'Lista - Âmbito Projeto GD'!$B$3:$K$71,9,0),"Campo eliminado")</f>
        <v>Campo eliminado</v>
      </c>
      <c r="S316" s="6" t="str">
        <f t="shared" si="24"/>
        <v>Campo eliminado</v>
      </c>
      <c r="U316" s="6" t="str">
        <f>VLOOKUP(B316,DataLake!$A$4:$A$429,1,0)</f>
        <v>INSTRUMENT_SPRD</v>
      </c>
    </row>
    <row r="317" spans="1:21" ht="15" hidden="1" customHeight="1" x14ac:dyDescent="0.3">
      <c r="A317" s="7" t="s">
        <v>924</v>
      </c>
      <c r="B317" s="47" t="str">
        <f t="shared" si="20"/>
        <v>INSTRUMENT_SRCS_ENCMBRNC</v>
      </c>
      <c r="C317" s="8" t="s">
        <v>414</v>
      </c>
      <c r="D317" s="9" t="s">
        <v>925</v>
      </c>
      <c r="E317" s="11" t="s">
        <v>926</v>
      </c>
      <c r="F317" s="10" t="s">
        <v>13</v>
      </c>
      <c r="G317" s="10" t="s">
        <v>11</v>
      </c>
      <c r="H317" s="10" t="s">
        <v>11</v>
      </c>
      <c r="I317" s="10" t="s">
        <v>11</v>
      </c>
      <c r="J317" s="10" t="s">
        <v>11</v>
      </c>
      <c r="L317" s="6" t="str">
        <f>IFERROR(VLOOKUP($B317,'Lista - Âmbito Projeto GD'!$B$3:$F$71,5,0),"Campo eliminado")</f>
        <v>Campo eliminado</v>
      </c>
      <c r="M317" s="6" t="str">
        <f t="shared" si="21"/>
        <v>Campo eliminado</v>
      </c>
      <c r="N317" s="6" t="str">
        <f>IFERROR(VLOOKUP($B317,'Lista - Âmbito Projeto GD'!$B$3:$K$71,6,0),"Campo eliminado")</f>
        <v>Campo eliminado</v>
      </c>
      <c r="O317" s="6" t="str">
        <f t="shared" si="22"/>
        <v>Campo eliminado</v>
      </c>
      <c r="P317" s="6" t="str">
        <f>IFERROR(VLOOKUP($B317,'Lista - Âmbito Projeto GD'!$B$3:$K$71,7,0),"Campo eliminado")</f>
        <v>Campo eliminado</v>
      </c>
      <c r="Q317" s="6" t="str">
        <f t="shared" si="23"/>
        <v>Campo eliminado</v>
      </c>
      <c r="R317" s="6" t="str">
        <f>IFERROR(VLOOKUP($B317,'Lista - Âmbito Projeto GD'!$B$3:$K$71,9,0),"Campo eliminado")</f>
        <v>Campo eliminado</v>
      </c>
      <c r="S317" s="6" t="str">
        <f t="shared" si="24"/>
        <v>Campo eliminado</v>
      </c>
      <c r="U317" s="6" t="str">
        <f>VLOOKUP(B317,DataLake!$A$4:$A$429,1,0)</f>
        <v>INSTRUMENT_SRCS_ENCMBRNC</v>
      </c>
    </row>
    <row r="318" spans="1:21" ht="15" hidden="1" customHeight="1" x14ac:dyDescent="0.3">
      <c r="A318" s="7" t="s">
        <v>927</v>
      </c>
      <c r="B318" s="47" t="str">
        <f t="shared" si="20"/>
        <v>INSTRUMENT_TYPE_OF_PLCMNT</v>
      </c>
      <c r="C318" s="8" t="s">
        <v>414</v>
      </c>
      <c r="D318" s="9" t="s">
        <v>928</v>
      </c>
      <c r="E318" s="11" t="s">
        <v>929</v>
      </c>
      <c r="F318" s="10" t="s">
        <v>13</v>
      </c>
      <c r="G318" s="10" t="s">
        <v>11</v>
      </c>
      <c r="H318" s="10" t="s">
        <v>11</v>
      </c>
      <c r="I318" s="10" t="s">
        <v>11</v>
      </c>
      <c r="J318" s="10" t="s">
        <v>11</v>
      </c>
      <c r="L318" s="6" t="str">
        <f>IFERROR(VLOOKUP($B318,'Lista - Âmbito Projeto GD'!$B$3:$F$71,5,0),"Campo eliminado")</f>
        <v>Campo eliminado</v>
      </c>
      <c r="M318" s="6" t="str">
        <f t="shared" si="21"/>
        <v>Campo eliminado</v>
      </c>
      <c r="N318" s="6" t="str">
        <f>IFERROR(VLOOKUP($B318,'Lista - Âmbito Projeto GD'!$B$3:$K$71,6,0),"Campo eliminado")</f>
        <v>Campo eliminado</v>
      </c>
      <c r="O318" s="6" t="str">
        <f t="shared" si="22"/>
        <v>Campo eliminado</v>
      </c>
      <c r="P318" s="6" t="str">
        <f>IFERROR(VLOOKUP($B318,'Lista - Âmbito Projeto GD'!$B$3:$K$71,7,0),"Campo eliminado")</f>
        <v>Campo eliminado</v>
      </c>
      <c r="Q318" s="6" t="str">
        <f t="shared" si="23"/>
        <v>Campo eliminado</v>
      </c>
      <c r="R318" s="6" t="str">
        <f>IFERROR(VLOOKUP($B318,'Lista - Âmbito Projeto GD'!$B$3:$K$71,9,0),"Campo eliminado")</f>
        <v>Campo eliminado</v>
      </c>
      <c r="S318" s="6" t="str">
        <f t="shared" si="24"/>
        <v>Campo eliminado</v>
      </c>
      <c r="U318" s="6" t="str">
        <f>VLOOKUP(B318,DataLake!$A$4:$A$429,1,0)</f>
        <v>INSTRUMENT_TYPE_OF_PLCMNT</v>
      </c>
    </row>
    <row r="319" spans="1:21" ht="15" hidden="1" customHeight="1" x14ac:dyDescent="0.3">
      <c r="A319" s="7" t="s">
        <v>930</v>
      </c>
      <c r="B319" s="47" t="str">
        <f t="shared" si="20"/>
        <v>INSTRUMENT_VLTN_CRRNCY</v>
      </c>
      <c r="C319" s="8" t="s">
        <v>414</v>
      </c>
      <c r="D319" s="9" t="s">
        <v>931</v>
      </c>
      <c r="E319" s="11" t="s">
        <v>932</v>
      </c>
      <c r="F319" s="10" t="s">
        <v>13</v>
      </c>
      <c r="G319" s="10" t="s">
        <v>11</v>
      </c>
      <c r="H319" s="10" t="s">
        <v>11</v>
      </c>
      <c r="I319" s="10" t="s">
        <v>11</v>
      </c>
      <c r="J319" s="10" t="s">
        <v>11</v>
      </c>
      <c r="L319" s="6" t="str">
        <f>IFERROR(VLOOKUP($B319,'Lista - Âmbito Projeto GD'!$B$3:$F$71,5,0),"Campo eliminado")</f>
        <v>Campo eliminado</v>
      </c>
      <c r="M319" s="6" t="str">
        <f t="shared" si="21"/>
        <v>Campo eliminado</v>
      </c>
      <c r="N319" s="6" t="str">
        <f>IFERROR(VLOOKUP($B319,'Lista - Âmbito Projeto GD'!$B$3:$K$71,6,0),"Campo eliminado")</f>
        <v>Campo eliminado</v>
      </c>
      <c r="O319" s="6" t="str">
        <f t="shared" si="22"/>
        <v>Campo eliminado</v>
      </c>
      <c r="P319" s="6" t="str">
        <f>IFERROR(VLOOKUP($B319,'Lista - Âmbito Projeto GD'!$B$3:$K$71,7,0),"Campo eliminado")</f>
        <v>Campo eliminado</v>
      </c>
      <c r="Q319" s="6" t="str">
        <f t="shared" si="23"/>
        <v>Campo eliminado</v>
      </c>
      <c r="R319" s="6" t="str">
        <f>IFERROR(VLOOKUP($B319,'Lista - Âmbito Projeto GD'!$B$3:$K$71,9,0),"Campo eliminado")</f>
        <v>Campo eliminado</v>
      </c>
      <c r="S319" s="6" t="str">
        <f t="shared" si="24"/>
        <v>Campo eliminado</v>
      </c>
      <c r="U319" s="6" t="str">
        <f>VLOOKUP(B319,DataLake!$A$4:$A$429,1,0)</f>
        <v>INSTRUMENT_VLTN_CRRNCY</v>
      </c>
    </row>
    <row r="320" spans="1:21" ht="15" hidden="1" customHeight="1" x14ac:dyDescent="0.3">
      <c r="A320" s="7" t="s">
        <v>933</v>
      </c>
      <c r="B320" s="47" t="str">
        <f t="shared" si="20"/>
        <v>INSTRUMENT_VLTN_TYP</v>
      </c>
      <c r="C320" s="8" t="s">
        <v>414</v>
      </c>
      <c r="D320" s="9" t="s">
        <v>934</v>
      </c>
      <c r="E320" s="11" t="s">
        <v>935</v>
      </c>
      <c r="F320" s="10" t="s">
        <v>13</v>
      </c>
      <c r="G320" s="10" t="s">
        <v>11</v>
      </c>
      <c r="H320" s="10" t="s">
        <v>11</v>
      </c>
      <c r="I320" s="10" t="s">
        <v>11</v>
      </c>
      <c r="J320" s="10" t="s">
        <v>11</v>
      </c>
      <c r="L320" s="6" t="str">
        <f>IFERROR(VLOOKUP($B320,'Lista - Âmbito Projeto GD'!$B$3:$F$71,5,0),"Campo eliminado")</f>
        <v>Campo eliminado</v>
      </c>
      <c r="M320" s="6" t="str">
        <f t="shared" si="21"/>
        <v>Campo eliminado</v>
      </c>
      <c r="N320" s="6" t="str">
        <f>IFERROR(VLOOKUP($B320,'Lista - Âmbito Projeto GD'!$B$3:$K$71,6,0),"Campo eliminado")</f>
        <v>Campo eliminado</v>
      </c>
      <c r="O320" s="6" t="str">
        <f t="shared" si="22"/>
        <v>Campo eliminado</v>
      </c>
      <c r="P320" s="6" t="str">
        <f>IFERROR(VLOOKUP($B320,'Lista - Âmbito Projeto GD'!$B$3:$K$71,7,0),"Campo eliminado")</f>
        <v>Campo eliminado</v>
      </c>
      <c r="Q320" s="6" t="str">
        <f t="shared" si="23"/>
        <v>Campo eliminado</v>
      </c>
      <c r="R320" s="6" t="str">
        <f>IFERROR(VLOOKUP($B320,'Lista - Âmbito Projeto GD'!$B$3:$K$71,9,0),"Campo eliminado")</f>
        <v>Campo eliminado</v>
      </c>
      <c r="S320" s="6" t="str">
        <f t="shared" si="24"/>
        <v>Campo eliminado</v>
      </c>
      <c r="U320" s="6" t="str">
        <f>VLOOKUP(B320,DataLake!$A$4:$A$429,1,0)</f>
        <v>INSTRUMENT_VLTN_TYP</v>
      </c>
    </row>
    <row r="321" spans="1:21" ht="15" hidden="1" customHeight="1" x14ac:dyDescent="0.3">
      <c r="A321" s="7" t="s">
        <v>936</v>
      </c>
      <c r="B321" s="47" t="str">
        <f t="shared" si="20"/>
        <v>INSTRUMENT_LVRG_FNNC_FLG</v>
      </c>
      <c r="C321" s="8" t="s">
        <v>414</v>
      </c>
      <c r="D321" s="9" t="s">
        <v>937</v>
      </c>
      <c r="E321" s="11" t="s">
        <v>938</v>
      </c>
      <c r="F321" s="10" t="s">
        <v>13</v>
      </c>
      <c r="G321" s="10" t="s">
        <v>11</v>
      </c>
      <c r="H321" s="10" t="s">
        <v>11</v>
      </c>
      <c r="I321" s="10" t="s">
        <v>11</v>
      </c>
      <c r="J321" s="10" t="s">
        <v>11</v>
      </c>
      <c r="L321" s="6" t="str">
        <f>IFERROR(VLOOKUP($B321,'Lista - Âmbito Projeto GD'!$B$3:$F$71,5,0),"Campo eliminado")</f>
        <v>Campo eliminado</v>
      </c>
      <c r="M321" s="6" t="str">
        <f t="shared" si="21"/>
        <v>Campo eliminado</v>
      </c>
      <c r="N321" s="6" t="str">
        <f>IFERROR(VLOOKUP($B321,'Lista - Âmbito Projeto GD'!$B$3:$K$71,6,0),"Campo eliminado")</f>
        <v>Campo eliminado</v>
      </c>
      <c r="O321" s="6" t="str">
        <f t="shared" si="22"/>
        <v>Campo eliminado</v>
      </c>
      <c r="P321" s="6" t="str">
        <f>IFERROR(VLOOKUP($B321,'Lista - Âmbito Projeto GD'!$B$3:$K$71,7,0),"Campo eliminado")</f>
        <v>Campo eliminado</v>
      </c>
      <c r="Q321" s="6" t="str">
        <f t="shared" si="23"/>
        <v>Campo eliminado</v>
      </c>
      <c r="R321" s="6" t="str">
        <f>IFERROR(VLOOKUP($B321,'Lista - Âmbito Projeto GD'!$B$3:$K$71,9,0),"Campo eliminado")</f>
        <v>Campo eliminado</v>
      </c>
      <c r="S321" s="6" t="str">
        <f t="shared" si="24"/>
        <v>Campo eliminado</v>
      </c>
      <c r="U321" s="6" t="str">
        <f>VLOOKUP(B321,DataLake!$A$4:$A$429,1,0)</f>
        <v>INSTRUMENT_LVRG_FNNC_FLG</v>
      </c>
    </row>
    <row r="322" spans="1:21" ht="15" hidden="1" customHeight="1" x14ac:dyDescent="0.3">
      <c r="A322" s="7" t="s">
        <v>939</v>
      </c>
      <c r="B322" s="47" t="str">
        <f t="shared" si="20"/>
        <v>INSTRUMENT_INTRNL_SGMNT_IFRS9</v>
      </c>
      <c r="C322" s="8" t="s">
        <v>414</v>
      </c>
      <c r="D322" s="9" t="s">
        <v>940</v>
      </c>
      <c r="E322" s="11" t="s">
        <v>941</v>
      </c>
      <c r="F322" s="10" t="s">
        <v>13</v>
      </c>
      <c r="G322" s="10" t="s">
        <v>11</v>
      </c>
      <c r="H322" s="10" t="s">
        <v>11</v>
      </c>
      <c r="I322" s="10" t="s">
        <v>11</v>
      </c>
      <c r="J322" s="10" t="s">
        <v>11</v>
      </c>
      <c r="L322" s="6" t="str">
        <f>IFERROR(VLOOKUP($B322,'Lista - Âmbito Projeto GD'!$B$3:$F$71,5,0),"Campo eliminado")</f>
        <v>Campo eliminado</v>
      </c>
      <c r="M322" s="6" t="str">
        <f t="shared" si="21"/>
        <v>Campo eliminado</v>
      </c>
      <c r="N322" s="6" t="str">
        <f>IFERROR(VLOOKUP($B322,'Lista - Âmbito Projeto GD'!$B$3:$K$71,6,0),"Campo eliminado")</f>
        <v>Campo eliminado</v>
      </c>
      <c r="O322" s="6" t="str">
        <f t="shared" si="22"/>
        <v>Campo eliminado</v>
      </c>
      <c r="P322" s="6" t="str">
        <f>IFERROR(VLOOKUP($B322,'Lista - Âmbito Projeto GD'!$B$3:$K$71,7,0),"Campo eliminado")</f>
        <v>Campo eliminado</v>
      </c>
      <c r="Q322" s="6" t="str">
        <f t="shared" si="23"/>
        <v>Campo eliminado</v>
      </c>
      <c r="R322" s="6" t="str">
        <f>IFERROR(VLOOKUP($B322,'Lista - Âmbito Projeto GD'!$B$3:$K$71,9,0),"Campo eliminado")</f>
        <v>Campo eliminado</v>
      </c>
      <c r="S322" s="6" t="str">
        <f t="shared" si="24"/>
        <v>Campo eliminado</v>
      </c>
      <c r="U322" s="6" t="str">
        <f>VLOOKUP(B322,DataLake!$A$4:$A$429,1,0)</f>
        <v>INSTRUMENT_INTRNL_SGMNT_IFRS9</v>
      </c>
    </row>
    <row r="323" spans="1:21" ht="15" hidden="1" customHeight="1" x14ac:dyDescent="0.3">
      <c r="A323" s="7" t="s">
        <v>942</v>
      </c>
      <c r="B323" s="47" t="str">
        <f t="shared" ref="B323:B386" si="25">C323&amp;"_"&amp;D323</f>
        <v>INSTRUMENT_INTRNL_SGMNT_CAT_MSTA</v>
      </c>
      <c r="C323" s="8" t="s">
        <v>414</v>
      </c>
      <c r="D323" s="9" t="s">
        <v>943</v>
      </c>
      <c r="E323" s="14" t="s">
        <v>944</v>
      </c>
      <c r="F323" s="10" t="s">
        <v>13</v>
      </c>
      <c r="G323" s="10" t="s">
        <v>11</v>
      </c>
      <c r="H323" s="10" t="s">
        <v>11</v>
      </c>
      <c r="I323" s="10" t="s">
        <v>13</v>
      </c>
      <c r="J323" s="10" t="s">
        <v>11</v>
      </c>
      <c r="L323" s="6" t="str">
        <f>IFERROR(VLOOKUP($B323,'Lista - Âmbito Projeto GD'!$B$3:$F$71,5,0),"Campo eliminado")</f>
        <v>Campo eliminado</v>
      </c>
      <c r="M323" s="6" t="str">
        <f t="shared" ref="M323:M386" si="26">IF(L323="Campo eliminado","Campo eliminado",IF(L323=F323,"Igual","Diferente"))</f>
        <v>Campo eliminado</v>
      </c>
      <c r="N323" s="6" t="str">
        <f>IFERROR(VLOOKUP($B323,'Lista - Âmbito Projeto GD'!$B$3:$K$71,6,0),"Campo eliminado")</f>
        <v>Campo eliminado</v>
      </c>
      <c r="O323" s="6" t="str">
        <f t="shared" ref="O323:O386" si="27">IF(N323="Campo eliminado","Campo eliminado",IF(N323=G323,"Igual","Diferente"))</f>
        <v>Campo eliminado</v>
      </c>
      <c r="P323" s="6" t="str">
        <f>IFERROR(VLOOKUP($B323,'Lista - Âmbito Projeto GD'!$B$3:$K$71,7,0),"Campo eliminado")</f>
        <v>Campo eliminado</v>
      </c>
      <c r="Q323" s="6" t="str">
        <f t="shared" ref="Q323:Q386" si="28">IF(P323="Campo eliminado","Campo eliminado",IF(P323=H323,"Igual","Diferente"))</f>
        <v>Campo eliminado</v>
      </c>
      <c r="R323" s="6" t="str">
        <f>IFERROR(VLOOKUP($B323,'Lista - Âmbito Projeto GD'!$B$3:$K$71,9,0),"Campo eliminado")</f>
        <v>Campo eliminado</v>
      </c>
      <c r="S323" s="6" t="str">
        <f t="shared" ref="S323:S386" si="29">IF(R323="Campo eliminado","Campo eliminado",IF(R323=I323,"Igual","Diferente"))</f>
        <v>Campo eliminado</v>
      </c>
      <c r="U323" s="6" t="str">
        <f>VLOOKUP(B323,DataLake!$A$4:$A$429,1,0)</f>
        <v>INSTRUMENT_INTRNL_SGMNT_CAT_MSTA</v>
      </c>
    </row>
    <row r="324" spans="1:21" ht="15" hidden="1" customHeight="1" x14ac:dyDescent="0.3">
      <c r="A324" s="7" t="s">
        <v>945</v>
      </c>
      <c r="B324" s="47" t="str">
        <f t="shared" si="25"/>
        <v>INSTRUMENT_INTRNL_SGMNT_CATGSUB</v>
      </c>
      <c r="C324" s="8" t="s">
        <v>414</v>
      </c>
      <c r="D324" s="9" t="s">
        <v>946</v>
      </c>
      <c r="E324" s="11" t="s">
        <v>947</v>
      </c>
      <c r="F324" s="10" t="s">
        <v>13</v>
      </c>
      <c r="G324" s="10" t="s">
        <v>11</v>
      </c>
      <c r="H324" s="10" t="s">
        <v>11</v>
      </c>
      <c r="I324" s="10" t="s">
        <v>13</v>
      </c>
      <c r="J324" s="10" t="s">
        <v>11</v>
      </c>
      <c r="L324" s="6" t="str">
        <f>IFERROR(VLOOKUP($B324,'Lista - Âmbito Projeto GD'!$B$3:$F$71,5,0),"Campo eliminado")</f>
        <v>Campo eliminado</v>
      </c>
      <c r="M324" s="6" t="str">
        <f t="shared" si="26"/>
        <v>Campo eliminado</v>
      </c>
      <c r="N324" s="6" t="str">
        <f>IFERROR(VLOOKUP($B324,'Lista - Âmbito Projeto GD'!$B$3:$K$71,6,0),"Campo eliminado")</f>
        <v>Campo eliminado</v>
      </c>
      <c r="O324" s="6" t="str">
        <f t="shared" si="27"/>
        <v>Campo eliminado</v>
      </c>
      <c r="P324" s="6" t="str">
        <f>IFERROR(VLOOKUP($B324,'Lista - Âmbito Projeto GD'!$B$3:$K$71,7,0),"Campo eliminado")</f>
        <v>Campo eliminado</v>
      </c>
      <c r="Q324" s="6" t="str">
        <f t="shared" si="28"/>
        <v>Campo eliminado</v>
      </c>
      <c r="R324" s="6" t="str">
        <f>IFERROR(VLOOKUP($B324,'Lista - Âmbito Projeto GD'!$B$3:$K$71,9,0),"Campo eliminado")</f>
        <v>Campo eliminado</v>
      </c>
      <c r="S324" s="6" t="str">
        <f t="shared" si="29"/>
        <v>Campo eliminado</v>
      </c>
      <c r="U324" s="6" t="str">
        <f>VLOOKUP(B324,DataLake!$A$4:$A$429,1,0)</f>
        <v>INSTRUMENT_INTRNL_SGMNT_CATGSUB</v>
      </c>
    </row>
    <row r="325" spans="1:21" ht="15" hidden="1" customHeight="1" x14ac:dyDescent="0.3">
      <c r="A325" s="7" t="s">
        <v>948</v>
      </c>
      <c r="B325" s="47" t="str">
        <f t="shared" si="25"/>
        <v>INSTRUMENT_CRRLTN_CFFCNT</v>
      </c>
      <c r="C325" s="8" t="s">
        <v>414</v>
      </c>
      <c r="D325" s="9" t="s">
        <v>949</v>
      </c>
      <c r="E325" s="11" t="s">
        <v>950</v>
      </c>
      <c r="F325" s="10" t="s">
        <v>13</v>
      </c>
      <c r="G325" s="10" t="s">
        <v>11</v>
      </c>
      <c r="H325" s="10" t="s">
        <v>11</v>
      </c>
      <c r="I325" s="10" t="s">
        <v>11</v>
      </c>
      <c r="J325" s="10" t="s">
        <v>11</v>
      </c>
      <c r="L325" s="6" t="str">
        <f>IFERROR(VLOOKUP($B325,'Lista - Âmbito Projeto GD'!$B$3:$F$71,5,0),"Campo eliminado")</f>
        <v>Campo eliminado</v>
      </c>
      <c r="M325" s="6" t="str">
        <f t="shared" si="26"/>
        <v>Campo eliminado</v>
      </c>
      <c r="N325" s="6" t="str">
        <f>IFERROR(VLOOKUP($B325,'Lista - Âmbito Projeto GD'!$B$3:$K$71,6,0),"Campo eliminado")</f>
        <v>Campo eliminado</v>
      </c>
      <c r="O325" s="6" t="str">
        <f t="shared" si="27"/>
        <v>Campo eliminado</v>
      </c>
      <c r="P325" s="6" t="str">
        <f>IFERROR(VLOOKUP($B325,'Lista - Âmbito Projeto GD'!$B$3:$K$71,7,0),"Campo eliminado")</f>
        <v>Campo eliminado</v>
      </c>
      <c r="Q325" s="6" t="str">
        <f t="shared" si="28"/>
        <v>Campo eliminado</v>
      </c>
      <c r="R325" s="6" t="str">
        <f>IFERROR(VLOOKUP($B325,'Lista - Âmbito Projeto GD'!$B$3:$K$71,9,0),"Campo eliminado")</f>
        <v>Campo eliminado</v>
      </c>
      <c r="S325" s="6" t="str">
        <f t="shared" si="29"/>
        <v>Campo eliminado</v>
      </c>
      <c r="U325" s="6" t="str">
        <f>VLOOKUP(B325,DataLake!$A$4:$A$429,1,0)</f>
        <v>INSTRUMENT_CRRLTN_CFFCNT</v>
      </c>
    </row>
    <row r="326" spans="1:21" ht="15" hidden="1" customHeight="1" x14ac:dyDescent="0.3">
      <c r="A326" s="7" t="s">
        <v>951</v>
      </c>
      <c r="B326" s="47" t="str">
        <f t="shared" si="25"/>
        <v>INSTRUMENT_ISIN_SCRTSTN</v>
      </c>
      <c r="C326" s="8" t="s">
        <v>414</v>
      </c>
      <c r="D326" s="9" t="s">
        <v>952</v>
      </c>
      <c r="E326" s="11" t="s">
        <v>953</v>
      </c>
      <c r="F326" s="10" t="s">
        <v>13</v>
      </c>
      <c r="G326" s="10" t="s">
        <v>11</v>
      </c>
      <c r="H326" s="10" t="s">
        <v>11</v>
      </c>
      <c r="I326" s="10" t="s">
        <v>11</v>
      </c>
      <c r="J326" s="10" t="s">
        <v>11</v>
      </c>
      <c r="L326" s="6" t="str">
        <f>IFERROR(VLOOKUP($B326,'Lista - Âmbito Projeto GD'!$B$3:$F$71,5,0),"Campo eliminado")</f>
        <v>Campo eliminado</v>
      </c>
      <c r="M326" s="6" t="str">
        <f t="shared" si="26"/>
        <v>Campo eliminado</v>
      </c>
      <c r="N326" s="6" t="str">
        <f>IFERROR(VLOOKUP($B326,'Lista - Âmbito Projeto GD'!$B$3:$K$71,6,0),"Campo eliminado")</f>
        <v>Campo eliminado</v>
      </c>
      <c r="O326" s="6" t="str">
        <f t="shared" si="27"/>
        <v>Campo eliminado</v>
      </c>
      <c r="P326" s="6" t="str">
        <f>IFERROR(VLOOKUP($B326,'Lista - Âmbito Projeto GD'!$B$3:$K$71,7,0),"Campo eliminado")</f>
        <v>Campo eliminado</v>
      </c>
      <c r="Q326" s="6" t="str">
        <f t="shared" si="28"/>
        <v>Campo eliminado</v>
      </c>
      <c r="R326" s="6" t="str">
        <f>IFERROR(VLOOKUP($B326,'Lista - Âmbito Projeto GD'!$B$3:$K$71,9,0),"Campo eliminado")</f>
        <v>Campo eliminado</v>
      </c>
      <c r="S326" s="6" t="str">
        <f t="shared" si="29"/>
        <v>Campo eliminado</v>
      </c>
      <c r="U326" s="6" t="str">
        <f>VLOOKUP(B326,DataLake!$A$4:$A$429,1,0)</f>
        <v>INSTRUMENT_ISIN_SCRTSTN</v>
      </c>
    </row>
    <row r="327" spans="1:21" ht="14.9" hidden="1" customHeight="1" x14ac:dyDescent="0.3">
      <c r="A327" s="7" t="s">
        <v>954</v>
      </c>
      <c r="B327" s="47" t="str">
        <f t="shared" si="25"/>
        <v>INSTRUMENT_CNTRCT_ID_BDR</v>
      </c>
      <c r="C327" s="8" t="s">
        <v>414</v>
      </c>
      <c r="D327" s="9" t="s">
        <v>955</v>
      </c>
      <c r="E327" s="27" t="s">
        <v>956</v>
      </c>
      <c r="F327" s="10" t="s">
        <v>13</v>
      </c>
      <c r="G327" s="10" t="s">
        <v>11</v>
      </c>
      <c r="H327" s="10" t="s">
        <v>11</v>
      </c>
      <c r="I327" s="10" t="s">
        <v>11</v>
      </c>
      <c r="J327" s="10" t="s">
        <v>11</v>
      </c>
      <c r="L327" s="6" t="str">
        <f>IFERROR(VLOOKUP($B327,'Lista - Âmbito Projeto GD'!$B$3:$F$71,5,0),"Campo eliminado")</f>
        <v>Campo eliminado</v>
      </c>
      <c r="M327" s="6" t="str">
        <f t="shared" si="26"/>
        <v>Campo eliminado</v>
      </c>
      <c r="N327" s="6" t="str">
        <f>IFERROR(VLOOKUP($B327,'Lista - Âmbito Projeto GD'!$B$3:$K$71,6,0),"Campo eliminado")</f>
        <v>Campo eliminado</v>
      </c>
      <c r="O327" s="6" t="str">
        <f t="shared" si="27"/>
        <v>Campo eliminado</v>
      </c>
      <c r="P327" s="6" t="str">
        <f>IFERROR(VLOOKUP($B327,'Lista - Âmbito Projeto GD'!$B$3:$K$71,7,0),"Campo eliminado")</f>
        <v>Campo eliminado</v>
      </c>
      <c r="Q327" s="6" t="str">
        <f t="shared" si="28"/>
        <v>Campo eliminado</v>
      </c>
      <c r="R327" s="6" t="str">
        <f>IFERROR(VLOOKUP($B327,'Lista - Âmbito Projeto GD'!$B$3:$K$71,9,0),"Campo eliminado")</f>
        <v>Campo eliminado</v>
      </c>
      <c r="S327" s="6" t="str">
        <f t="shared" si="29"/>
        <v>Campo eliminado</v>
      </c>
      <c r="U327" s="6" t="str">
        <f>VLOOKUP(B327,DataLake!$A$4:$A$429,1,0)</f>
        <v>INSTRUMENT_CNTRCT_ID_BDR</v>
      </c>
    </row>
    <row r="328" spans="1:21" ht="15" hidden="1" customHeight="1" x14ac:dyDescent="0.3">
      <c r="A328" s="7" t="s">
        <v>957</v>
      </c>
      <c r="B328" s="47" t="str">
        <f t="shared" si="25"/>
        <v>INSTRUMENT_COD_SOC_INTRGRP</v>
      </c>
      <c r="C328" s="8" t="s">
        <v>414</v>
      </c>
      <c r="D328" s="9" t="s">
        <v>958</v>
      </c>
      <c r="E328" s="28" t="s">
        <v>959</v>
      </c>
      <c r="F328" s="10" t="s">
        <v>13</v>
      </c>
      <c r="G328" s="10" t="s">
        <v>13</v>
      </c>
      <c r="H328" s="10" t="s">
        <v>11</v>
      </c>
      <c r="I328" s="10" t="s">
        <v>11</v>
      </c>
      <c r="J328" s="10" t="s">
        <v>11</v>
      </c>
      <c r="L328" s="6" t="str">
        <f>IFERROR(VLOOKUP($B328,'Lista - Âmbito Projeto GD'!$B$3:$F$71,5,0),"Campo eliminado")</f>
        <v>Y</v>
      </c>
      <c r="M328" s="6" t="str">
        <f t="shared" si="26"/>
        <v>Igual</v>
      </c>
      <c r="N328" s="6" t="str">
        <f>IFERROR(VLOOKUP($B328,'Lista - Âmbito Projeto GD'!$B$3:$K$71,6,0),"Campo eliminado")</f>
        <v>Y</v>
      </c>
      <c r="O328" s="6" t="str">
        <f t="shared" si="27"/>
        <v>Igual</v>
      </c>
      <c r="P328" s="6" t="str">
        <f>IFERROR(VLOOKUP($B328,'Lista - Âmbito Projeto GD'!$B$3:$K$71,7,0),"Campo eliminado")</f>
        <v>N</v>
      </c>
      <c r="Q328" s="6" t="str">
        <f t="shared" si="28"/>
        <v>Igual</v>
      </c>
      <c r="R328" s="6" t="str">
        <f>IFERROR(VLOOKUP($B328,'Lista - Âmbito Projeto GD'!$B$3:$K$71,9,0),"Campo eliminado")</f>
        <v>N</v>
      </c>
      <c r="S328" s="6" t="str">
        <f t="shared" si="29"/>
        <v>Igual</v>
      </c>
      <c r="U328" s="6" t="str">
        <f>VLOOKUP(B328,DataLake!$A$4:$A$429,1,0)</f>
        <v>INSTRUMENT_COD_SOC_INTRGRP</v>
      </c>
    </row>
    <row r="329" spans="1:21" ht="15" hidden="1" customHeight="1" x14ac:dyDescent="0.3">
      <c r="A329" s="7" t="s">
        <v>960</v>
      </c>
      <c r="B329" s="47" t="str">
        <f t="shared" si="25"/>
        <v>INSTRUMENT_LCL_INSTMRNT_ID</v>
      </c>
      <c r="C329" s="8" t="s">
        <v>414</v>
      </c>
      <c r="D329" s="9" t="s">
        <v>961</v>
      </c>
      <c r="E329" s="28" t="s">
        <v>962</v>
      </c>
      <c r="F329" s="10" t="s">
        <v>13</v>
      </c>
      <c r="G329" s="10" t="s">
        <v>13</v>
      </c>
      <c r="H329" s="10" t="s">
        <v>13</v>
      </c>
      <c r="I329" s="10" t="s">
        <v>11</v>
      </c>
      <c r="J329" s="10" t="s">
        <v>11</v>
      </c>
      <c r="L329" s="6" t="str">
        <f>IFERROR(VLOOKUP($B329,'Lista - Âmbito Projeto GD'!$B$3:$F$71,5,0),"Campo eliminado")</f>
        <v>Y</v>
      </c>
      <c r="M329" s="6" t="str">
        <f t="shared" si="26"/>
        <v>Igual</v>
      </c>
      <c r="N329" s="6" t="str">
        <f>IFERROR(VLOOKUP($B329,'Lista - Âmbito Projeto GD'!$B$3:$K$71,6,0),"Campo eliminado")</f>
        <v>Y</v>
      </c>
      <c r="O329" s="6" t="str">
        <f t="shared" si="27"/>
        <v>Igual</v>
      </c>
      <c r="P329" s="6" t="str">
        <f>IFERROR(VLOOKUP($B329,'Lista - Âmbito Projeto GD'!$B$3:$K$71,7,0),"Campo eliminado")</f>
        <v>Y</v>
      </c>
      <c r="Q329" s="6" t="str">
        <f t="shared" si="28"/>
        <v>Igual</v>
      </c>
      <c r="R329" s="6" t="str">
        <f>IFERROR(VLOOKUP($B329,'Lista - Âmbito Projeto GD'!$B$3:$K$71,9,0),"Campo eliminado")</f>
        <v>N</v>
      </c>
      <c r="S329" s="6" t="str">
        <f t="shared" si="29"/>
        <v>Igual</v>
      </c>
      <c r="U329" s="6" t="str">
        <f>VLOOKUP(B329,DataLake!$A$4:$A$429,1,0)</f>
        <v>INSTRUMENT_LCL_INSTMRNT_ID</v>
      </c>
    </row>
    <row r="330" spans="1:21" ht="14.9" hidden="1" customHeight="1" x14ac:dyDescent="0.3">
      <c r="A330" s="29" t="s">
        <v>963</v>
      </c>
      <c r="B330" s="47" t="str">
        <f t="shared" si="25"/>
        <v>INSTRUMENT_SSTNBL_INDCTR</v>
      </c>
      <c r="C330" s="8" t="s">
        <v>414</v>
      </c>
      <c r="D330" s="9" t="s">
        <v>964</v>
      </c>
      <c r="E330" s="30" t="s">
        <v>965</v>
      </c>
      <c r="F330" s="10" t="s">
        <v>11</v>
      </c>
      <c r="G330" s="10" t="s">
        <v>13</v>
      </c>
      <c r="H330" s="10" t="s">
        <v>13</v>
      </c>
      <c r="I330" s="10" t="s">
        <v>11</v>
      </c>
      <c r="J330" s="10" t="s">
        <v>11</v>
      </c>
      <c r="L330" s="6" t="str">
        <f>IFERROR(VLOOKUP($B330,'Lista - Âmbito Projeto GD'!$B$3:$F$71,5,0),"Campo eliminado")</f>
        <v>Campo eliminado</v>
      </c>
      <c r="M330" s="6" t="str">
        <f t="shared" si="26"/>
        <v>Campo eliminado</v>
      </c>
      <c r="N330" s="6" t="str">
        <f>IFERROR(VLOOKUP($B330,'Lista - Âmbito Projeto GD'!$B$3:$K$71,6,0),"Campo eliminado")</f>
        <v>Campo eliminado</v>
      </c>
      <c r="O330" s="6" t="str">
        <f t="shared" si="27"/>
        <v>Campo eliminado</v>
      </c>
      <c r="P330" s="6" t="str">
        <f>IFERROR(VLOOKUP($B330,'Lista - Âmbito Projeto GD'!$B$3:$K$71,7,0),"Campo eliminado")</f>
        <v>Campo eliminado</v>
      </c>
      <c r="Q330" s="6" t="str">
        <f t="shared" si="28"/>
        <v>Campo eliminado</v>
      </c>
      <c r="R330" s="6" t="str">
        <f>IFERROR(VLOOKUP($B330,'Lista - Âmbito Projeto GD'!$B$3:$K$71,9,0),"Campo eliminado")</f>
        <v>Campo eliminado</v>
      </c>
      <c r="S330" s="6" t="str">
        <f t="shared" si="29"/>
        <v>Campo eliminado</v>
      </c>
      <c r="U330" s="6" t="str">
        <f>VLOOKUP(B330,DataLake!$A$4:$A$429,1,0)</f>
        <v>INSTRUMENT_SSTNBL_INDCTR</v>
      </c>
    </row>
    <row r="331" spans="1:21" ht="15" hidden="1" customHeight="1" x14ac:dyDescent="0.3">
      <c r="A331" s="29" t="s">
        <v>966</v>
      </c>
      <c r="B331" s="47" t="str">
        <f t="shared" si="25"/>
        <v>INSTRUMENT_SSTNBL_CTGRY</v>
      </c>
      <c r="C331" s="8" t="s">
        <v>414</v>
      </c>
      <c r="D331" s="9" t="s">
        <v>967</v>
      </c>
      <c r="E331" s="14" t="s">
        <v>968</v>
      </c>
      <c r="F331" s="10" t="s">
        <v>11</v>
      </c>
      <c r="G331" s="10" t="s">
        <v>13</v>
      </c>
      <c r="H331" s="10" t="s">
        <v>13</v>
      </c>
      <c r="I331" s="10" t="s">
        <v>11</v>
      </c>
      <c r="J331" s="10" t="s">
        <v>11</v>
      </c>
      <c r="L331" s="6" t="str">
        <f>IFERROR(VLOOKUP($B331,'Lista - Âmbito Projeto GD'!$B$3:$F$71,5,0),"Campo eliminado")</f>
        <v>Campo eliminado</v>
      </c>
      <c r="M331" s="6" t="str">
        <f t="shared" si="26"/>
        <v>Campo eliminado</v>
      </c>
      <c r="N331" s="6" t="str">
        <f>IFERROR(VLOOKUP($B331,'Lista - Âmbito Projeto GD'!$B$3:$K$71,6,0),"Campo eliminado")</f>
        <v>Campo eliminado</v>
      </c>
      <c r="O331" s="6" t="str">
        <f t="shared" si="27"/>
        <v>Campo eliminado</v>
      </c>
      <c r="P331" s="6" t="str">
        <f>IFERROR(VLOOKUP($B331,'Lista - Âmbito Projeto GD'!$B$3:$K$71,7,0),"Campo eliminado")</f>
        <v>Campo eliminado</v>
      </c>
      <c r="Q331" s="6" t="str">
        <f t="shared" si="28"/>
        <v>Campo eliminado</v>
      </c>
      <c r="R331" s="6" t="str">
        <f>IFERROR(VLOOKUP($B331,'Lista - Âmbito Projeto GD'!$B$3:$K$71,9,0),"Campo eliminado")</f>
        <v>Campo eliminado</v>
      </c>
      <c r="S331" s="6" t="str">
        <f t="shared" si="29"/>
        <v>Campo eliminado</v>
      </c>
      <c r="U331" s="6" t="str">
        <f>VLOOKUP(B331,DataLake!$A$4:$A$429,1,0)</f>
        <v>INSTRUMENT_SSTNBL_CTGRY</v>
      </c>
    </row>
    <row r="332" spans="1:21" ht="15" hidden="1" customHeight="1" x14ac:dyDescent="0.3">
      <c r="A332" s="29" t="s">
        <v>969</v>
      </c>
      <c r="B332" s="47" t="str">
        <f t="shared" si="25"/>
        <v>INSTRUMENT_AVRG_BLNC</v>
      </c>
      <c r="C332" s="8" t="s">
        <v>414</v>
      </c>
      <c r="D332" s="9" t="s">
        <v>970</v>
      </c>
      <c r="E332" s="14" t="s">
        <v>971</v>
      </c>
      <c r="F332" s="10" t="s">
        <v>11</v>
      </c>
      <c r="G332" s="10" t="s">
        <v>13</v>
      </c>
      <c r="H332" s="10" t="s">
        <v>11</v>
      </c>
      <c r="I332" s="10" t="s">
        <v>11</v>
      </c>
      <c r="J332" s="10" t="s">
        <v>11</v>
      </c>
      <c r="L332" s="6" t="str">
        <f>IFERROR(VLOOKUP($B332,'Lista - Âmbito Projeto GD'!$B$3:$F$71,5,0),"Campo eliminado")</f>
        <v>N</v>
      </c>
      <c r="M332" s="6" t="str">
        <f t="shared" si="26"/>
        <v>Igual</v>
      </c>
      <c r="N332" s="6" t="str">
        <f>IFERROR(VLOOKUP($B332,'Lista - Âmbito Projeto GD'!$B$3:$K$71,6,0),"Campo eliminado")</f>
        <v>Y</v>
      </c>
      <c r="O332" s="6" t="str">
        <f t="shared" si="27"/>
        <v>Igual</v>
      </c>
      <c r="P332" s="6" t="str">
        <f>IFERROR(VLOOKUP($B332,'Lista - Âmbito Projeto GD'!$B$3:$K$71,7,0),"Campo eliminado")</f>
        <v>N</v>
      </c>
      <c r="Q332" s="6" t="str">
        <f t="shared" si="28"/>
        <v>Igual</v>
      </c>
      <c r="R332" s="6" t="str">
        <f>IFERROR(VLOOKUP($B332,'Lista - Âmbito Projeto GD'!$B$3:$K$71,9,0),"Campo eliminado")</f>
        <v>N</v>
      </c>
      <c r="S332" s="6" t="str">
        <f t="shared" si="29"/>
        <v>Igual</v>
      </c>
      <c r="U332" s="6" t="str">
        <f>VLOOKUP(B332,DataLake!$A$4:$A$429,1,0)</f>
        <v>INSTRUMENT_AVRG_BLNC</v>
      </c>
    </row>
    <row r="333" spans="1:21" ht="15" hidden="1" customHeight="1" x14ac:dyDescent="0.3">
      <c r="A333" s="29" t="s">
        <v>972</v>
      </c>
      <c r="B333" s="47" t="str">
        <f t="shared" si="25"/>
        <v>INSTRUMENT_NW_BSNSS</v>
      </c>
      <c r="C333" s="8" t="s">
        <v>414</v>
      </c>
      <c r="D333" s="9" t="s">
        <v>973</v>
      </c>
      <c r="E333" s="14" t="s">
        <v>974</v>
      </c>
      <c r="F333" s="10" t="s">
        <v>11</v>
      </c>
      <c r="G333" s="10" t="s">
        <v>13</v>
      </c>
      <c r="H333" s="10" t="s">
        <v>11</v>
      </c>
      <c r="I333" s="10" t="s">
        <v>11</v>
      </c>
      <c r="J333" s="10" t="s">
        <v>11</v>
      </c>
      <c r="L333" s="6" t="str">
        <f>IFERROR(VLOOKUP($B333,'Lista - Âmbito Projeto GD'!$B$3:$F$71,5,0),"Campo eliminado")</f>
        <v>N</v>
      </c>
      <c r="M333" s="6" t="str">
        <f t="shared" si="26"/>
        <v>Igual</v>
      </c>
      <c r="N333" s="6" t="str">
        <f>IFERROR(VLOOKUP($B333,'Lista - Âmbito Projeto GD'!$B$3:$K$71,6,0),"Campo eliminado")</f>
        <v>Y</v>
      </c>
      <c r="O333" s="6" t="str">
        <f t="shared" si="27"/>
        <v>Igual</v>
      </c>
      <c r="P333" s="6" t="str">
        <f>IFERROR(VLOOKUP($B333,'Lista - Âmbito Projeto GD'!$B$3:$K$71,7,0),"Campo eliminado")</f>
        <v>Y</v>
      </c>
      <c r="Q333" s="6" t="str">
        <f t="shared" si="28"/>
        <v>Diferente</v>
      </c>
      <c r="R333" s="6" t="str">
        <f>IFERROR(VLOOKUP($B333,'Lista - Âmbito Projeto GD'!$B$3:$K$71,9,0),"Campo eliminado")</f>
        <v>N</v>
      </c>
      <c r="S333" s="6" t="str">
        <f t="shared" si="29"/>
        <v>Igual</v>
      </c>
      <c r="U333" s="6" t="str">
        <f>VLOOKUP(B333,DataLake!$A$4:$A$429,1,0)</f>
        <v>INSTRUMENT_NW_BSNSS</v>
      </c>
    </row>
    <row r="334" spans="1:21" ht="15" hidden="1" customHeight="1" x14ac:dyDescent="0.3">
      <c r="A334" s="29" t="s">
        <v>975</v>
      </c>
      <c r="B334" s="47" t="str">
        <f t="shared" si="25"/>
        <v>INSTRUMENT_GRSS_INTRST_INCM</v>
      </c>
      <c r="C334" s="8" t="s">
        <v>414</v>
      </c>
      <c r="D334" s="9" t="s">
        <v>976</v>
      </c>
      <c r="E334" s="14" t="s">
        <v>977</v>
      </c>
      <c r="F334" s="10" t="s">
        <v>11</v>
      </c>
      <c r="G334" s="10" t="s">
        <v>13</v>
      </c>
      <c r="H334" s="10" t="s">
        <v>13</v>
      </c>
      <c r="I334" s="10" t="s">
        <v>11</v>
      </c>
      <c r="J334" s="10" t="s">
        <v>11</v>
      </c>
      <c r="L334" s="6" t="str">
        <f>IFERROR(VLOOKUP($B334,'Lista - Âmbito Projeto GD'!$B$3:$F$71,5,0),"Campo eliminado")</f>
        <v>N</v>
      </c>
      <c r="M334" s="6" t="str">
        <f t="shared" si="26"/>
        <v>Igual</v>
      </c>
      <c r="N334" s="6" t="str">
        <f>IFERROR(VLOOKUP($B334,'Lista - Âmbito Projeto GD'!$B$3:$K$71,6,0),"Campo eliminado")</f>
        <v>Y</v>
      </c>
      <c r="O334" s="6" t="str">
        <f t="shared" si="27"/>
        <v>Igual</v>
      </c>
      <c r="P334" s="6" t="str">
        <f>IFERROR(VLOOKUP($B334,'Lista - Âmbito Projeto GD'!$B$3:$K$71,7,0),"Campo eliminado")</f>
        <v>Y</v>
      </c>
      <c r="Q334" s="6" t="str">
        <f t="shared" si="28"/>
        <v>Igual</v>
      </c>
      <c r="R334" s="6" t="str">
        <f>IFERROR(VLOOKUP($B334,'Lista - Âmbito Projeto GD'!$B$3:$K$71,9,0),"Campo eliminado")</f>
        <v>N</v>
      </c>
      <c r="S334" s="6" t="str">
        <f t="shared" si="29"/>
        <v>Igual</v>
      </c>
      <c r="U334" s="6" t="str">
        <f>VLOOKUP(B334,DataLake!$A$4:$A$429,1,0)</f>
        <v>INSTRUMENT_GRSS_INTRST_INCM</v>
      </c>
    </row>
    <row r="335" spans="1:21" ht="15" hidden="1" customHeight="1" x14ac:dyDescent="0.3">
      <c r="A335" s="29" t="s">
        <v>978</v>
      </c>
      <c r="B335" s="47" t="str">
        <f t="shared" si="25"/>
        <v>INSTRUMENT_GRSS_CMMSSN_INCM</v>
      </c>
      <c r="C335" s="8" t="s">
        <v>414</v>
      </c>
      <c r="D335" s="17" t="s">
        <v>979</v>
      </c>
      <c r="E335" s="14" t="s">
        <v>980</v>
      </c>
      <c r="F335" s="10" t="s">
        <v>11</v>
      </c>
      <c r="G335" s="10" t="s">
        <v>13</v>
      </c>
      <c r="H335" s="10" t="s">
        <v>13</v>
      </c>
      <c r="I335" s="10" t="s">
        <v>11</v>
      </c>
      <c r="J335" s="10" t="s">
        <v>11</v>
      </c>
      <c r="L335" s="6" t="str">
        <f>IFERROR(VLOOKUP($B335,'Lista - Âmbito Projeto GD'!$B$3:$F$71,5,0),"Campo eliminado")</f>
        <v>N</v>
      </c>
      <c r="M335" s="6" t="str">
        <f t="shared" si="26"/>
        <v>Igual</v>
      </c>
      <c r="N335" s="6" t="str">
        <f>IFERROR(VLOOKUP($B335,'Lista - Âmbito Projeto GD'!$B$3:$K$71,6,0),"Campo eliminado")</f>
        <v>Y</v>
      </c>
      <c r="O335" s="6" t="str">
        <f t="shared" si="27"/>
        <v>Igual</v>
      </c>
      <c r="P335" s="6" t="str">
        <f>IFERROR(VLOOKUP($B335,'Lista - Âmbito Projeto GD'!$B$3:$K$71,7,0),"Campo eliminado")</f>
        <v>Y</v>
      </c>
      <c r="Q335" s="6" t="str">
        <f t="shared" si="28"/>
        <v>Igual</v>
      </c>
      <c r="R335" s="6" t="str">
        <f>IFERROR(VLOOKUP($B335,'Lista - Âmbito Projeto GD'!$B$3:$K$71,9,0),"Campo eliminado")</f>
        <v>N</v>
      </c>
      <c r="S335" s="6" t="str">
        <f t="shared" si="29"/>
        <v>Igual</v>
      </c>
      <c r="U335" s="6" t="str">
        <f>VLOOKUP(B335,DataLake!$A$4:$A$429,1,0)</f>
        <v>INSTRUMENT_GRSS_CMMSSN_INCM</v>
      </c>
    </row>
    <row r="336" spans="1:21" ht="15" hidden="1" customHeight="1" x14ac:dyDescent="0.3">
      <c r="A336" s="29" t="s">
        <v>981</v>
      </c>
      <c r="B336" s="47" t="str">
        <f t="shared" si="25"/>
        <v>INSTRUMENT_INTRNL_TRNSFR_RT</v>
      </c>
      <c r="C336" s="8" t="s">
        <v>414</v>
      </c>
      <c r="D336" s="9" t="s">
        <v>982</v>
      </c>
      <c r="E336" s="14" t="s">
        <v>983</v>
      </c>
      <c r="F336" s="10" t="s">
        <v>11</v>
      </c>
      <c r="G336" s="10" t="s">
        <v>13</v>
      </c>
      <c r="H336" s="10" t="s">
        <v>11</v>
      </c>
      <c r="I336" s="10" t="s">
        <v>11</v>
      </c>
      <c r="J336" s="10" t="s">
        <v>11</v>
      </c>
      <c r="L336" s="6" t="str">
        <f>IFERROR(VLOOKUP($B336,'Lista - Âmbito Projeto GD'!$B$3:$F$71,5,0),"Campo eliminado")</f>
        <v>N</v>
      </c>
      <c r="M336" s="6" t="str">
        <f t="shared" si="26"/>
        <v>Igual</v>
      </c>
      <c r="N336" s="6" t="str">
        <f>IFERROR(VLOOKUP($B336,'Lista - Âmbito Projeto GD'!$B$3:$K$71,6,0),"Campo eliminado")</f>
        <v>Y</v>
      </c>
      <c r="O336" s="6" t="str">
        <f t="shared" si="27"/>
        <v>Igual</v>
      </c>
      <c r="P336" s="6" t="str">
        <f>IFERROR(VLOOKUP($B336,'Lista - Âmbito Projeto GD'!$B$3:$K$71,7,0),"Campo eliminado")</f>
        <v>N</v>
      </c>
      <c r="Q336" s="6" t="str">
        <f t="shared" si="28"/>
        <v>Igual</v>
      </c>
      <c r="R336" s="6" t="str">
        <f>IFERROR(VLOOKUP($B336,'Lista - Âmbito Projeto GD'!$B$3:$K$71,9,0),"Campo eliminado")</f>
        <v>N</v>
      </c>
      <c r="S336" s="6" t="str">
        <f t="shared" si="29"/>
        <v>Igual</v>
      </c>
      <c r="U336" s="6" t="str">
        <f>VLOOKUP(B336,DataLake!$A$4:$A$429,1,0)</f>
        <v>INSTRUMENT_INTRNL_TRNSFR_RT</v>
      </c>
    </row>
    <row r="337" spans="1:21" ht="15" hidden="1" customHeight="1" x14ac:dyDescent="0.3">
      <c r="A337" s="29" t="s">
        <v>984</v>
      </c>
      <c r="B337" s="47" t="str">
        <f t="shared" si="25"/>
        <v>INSTRUMENT_NT_LN_LSS_PRVSN</v>
      </c>
      <c r="C337" s="8" t="s">
        <v>414</v>
      </c>
      <c r="D337" s="9" t="s">
        <v>985</v>
      </c>
      <c r="E337" s="14" t="s">
        <v>986</v>
      </c>
      <c r="F337" s="10" t="s">
        <v>11</v>
      </c>
      <c r="G337" s="10" t="s">
        <v>13</v>
      </c>
      <c r="H337" s="10" t="s">
        <v>11</v>
      </c>
      <c r="I337" s="10" t="s">
        <v>11</v>
      </c>
      <c r="J337" s="10" t="s">
        <v>11</v>
      </c>
      <c r="L337" s="6" t="str">
        <f>IFERROR(VLOOKUP($B337,'Lista - Âmbito Projeto GD'!$B$3:$F$71,5,0),"Campo eliminado")</f>
        <v>N</v>
      </c>
      <c r="M337" s="6" t="str">
        <f t="shared" si="26"/>
        <v>Igual</v>
      </c>
      <c r="N337" s="6" t="str">
        <f>IFERROR(VLOOKUP($B337,'Lista - Âmbito Projeto GD'!$B$3:$K$71,6,0),"Campo eliminado")</f>
        <v>Y</v>
      </c>
      <c r="O337" s="6" t="str">
        <f t="shared" si="27"/>
        <v>Igual</v>
      </c>
      <c r="P337" s="6" t="str">
        <f>IFERROR(VLOOKUP($B337,'Lista - Âmbito Projeto GD'!$B$3:$K$71,7,0),"Campo eliminado")</f>
        <v>N</v>
      </c>
      <c r="Q337" s="6" t="str">
        <f t="shared" si="28"/>
        <v>Igual</v>
      </c>
      <c r="R337" s="6" t="str">
        <f>IFERROR(VLOOKUP($B337,'Lista - Âmbito Projeto GD'!$B$3:$K$71,9,0),"Campo eliminado")</f>
        <v>N</v>
      </c>
      <c r="S337" s="6" t="str">
        <f t="shared" si="29"/>
        <v>Igual</v>
      </c>
      <c r="U337" s="6" t="str">
        <f>VLOOKUP(B337,DataLake!$A$4:$A$429,1,0)</f>
        <v>INSTRUMENT_NT_LN_LSS_PRVSN</v>
      </c>
    </row>
    <row r="338" spans="1:21" s="20" customFormat="1" ht="15" hidden="1" customHeight="1" x14ac:dyDescent="0.3">
      <c r="A338" s="29" t="s">
        <v>987</v>
      </c>
      <c r="B338" s="47" t="str">
        <f t="shared" si="25"/>
        <v>INSTRUMENT_BSNSS_AREA</v>
      </c>
      <c r="C338" s="8" t="s">
        <v>414</v>
      </c>
      <c r="D338" s="9" t="s">
        <v>988</v>
      </c>
      <c r="E338" s="14" t="s">
        <v>989</v>
      </c>
      <c r="F338" s="10" t="s">
        <v>11</v>
      </c>
      <c r="G338" s="10" t="s">
        <v>13</v>
      </c>
      <c r="H338" s="10" t="s">
        <v>11</v>
      </c>
      <c r="I338" s="10" t="s">
        <v>11</v>
      </c>
      <c r="J338" s="10" t="s">
        <v>11</v>
      </c>
      <c r="L338" s="6" t="str">
        <f>IFERROR(VLOOKUP($B338,'Lista - Âmbito Projeto GD'!$B$3:$F$71,5,0),"Campo eliminado")</f>
        <v>N</v>
      </c>
      <c r="M338" s="6" t="str">
        <f t="shared" si="26"/>
        <v>Igual</v>
      </c>
      <c r="N338" s="6" t="str">
        <f>IFERROR(VLOOKUP($B338,'Lista - Âmbito Projeto GD'!$B$3:$K$71,6,0),"Campo eliminado")</f>
        <v>Y</v>
      </c>
      <c r="O338" s="6" t="str">
        <f t="shared" si="27"/>
        <v>Igual</v>
      </c>
      <c r="P338" s="6" t="str">
        <f>IFERROR(VLOOKUP($B338,'Lista - Âmbito Projeto GD'!$B$3:$K$71,7,0),"Campo eliminado")</f>
        <v>N</v>
      </c>
      <c r="Q338" s="6" t="str">
        <f t="shared" si="28"/>
        <v>Igual</v>
      </c>
      <c r="R338" s="6" t="str">
        <f>IFERROR(VLOOKUP($B338,'Lista - Âmbito Projeto GD'!$B$3:$K$71,9,0),"Campo eliminado")</f>
        <v>N</v>
      </c>
      <c r="S338" s="6" t="str">
        <f t="shared" si="29"/>
        <v>Igual</v>
      </c>
      <c r="U338" s="6" t="str">
        <f>VLOOKUP(B338,DataLake!$A$4:$A$429,1,0)</f>
        <v>INSTRUMENT_BSNSS_AREA</v>
      </c>
    </row>
    <row r="339" spans="1:21" s="31" customFormat="1" ht="15" hidden="1" customHeight="1" x14ac:dyDescent="0.3">
      <c r="A339" s="29" t="s">
        <v>990</v>
      </c>
      <c r="B339" s="47" t="str">
        <f t="shared" si="25"/>
        <v>INSTRUMENT_MNGMNT_PRDCT</v>
      </c>
      <c r="C339" s="8" t="s">
        <v>414</v>
      </c>
      <c r="D339" s="22" t="s">
        <v>991</v>
      </c>
      <c r="E339" s="28" t="s">
        <v>992</v>
      </c>
      <c r="F339" s="10" t="s">
        <v>11</v>
      </c>
      <c r="G339" s="10" t="s">
        <v>13</v>
      </c>
      <c r="H339" s="10" t="s">
        <v>11</v>
      </c>
      <c r="I339" s="10" t="s">
        <v>11</v>
      </c>
      <c r="J339" s="10" t="s">
        <v>11</v>
      </c>
      <c r="L339" s="6" t="str">
        <f>IFERROR(VLOOKUP($B339,'Lista - Âmbito Projeto GD'!$B$3:$F$71,5,0),"Campo eliminado")</f>
        <v>N</v>
      </c>
      <c r="M339" s="6" t="str">
        <f t="shared" si="26"/>
        <v>Igual</v>
      </c>
      <c r="N339" s="6" t="str">
        <f>IFERROR(VLOOKUP($B339,'Lista - Âmbito Projeto GD'!$B$3:$K$71,6,0),"Campo eliminado")</f>
        <v>Y</v>
      </c>
      <c r="O339" s="6" t="str">
        <f t="shared" si="27"/>
        <v>Igual</v>
      </c>
      <c r="P339" s="6" t="str">
        <f>IFERROR(VLOOKUP($B339,'Lista - Âmbito Projeto GD'!$B$3:$K$71,7,0),"Campo eliminado")</f>
        <v>N</v>
      </c>
      <c r="Q339" s="6" t="str">
        <f t="shared" si="28"/>
        <v>Igual</v>
      </c>
      <c r="R339" s="6" t="str">
        <f>IFERROR(VLOOKUP($B339,'Lista - Âmbito Projeto GD'!$B$3:$K$71,9,0),"Campo eliminado")</f>
        <v>N</v>
      </c>
      <c r="S339" s="6" t="str">
        <f t="shared" si="29"/>
        <v>Igual</v>
      </c>
      <c r="U339" s="6" t="str">
        <f>VLOOKUP(B339,DataLake!$A$4:$A$429,1,0)</f>
        <v>INSTRUMENT_MNGMNT_PRDCT</v>
      </c>
    </row>
    <row r="340" spans="1:21" ht="14.9" hidden="1" customHeight="1" x14ac:dyDescent="0.3">
      <c r="A340" s="29" t="s">
        <v>993</v>
      </c>
      <c r="B340" s="47" t="str">
        <f t="shared" si="25"/>
        <v>INSTRUMENT_GRSS_CMMSSN_EXPNS</v>
      </c>
      <c r="C340" s="8" t="s">
        <v>414</v>
      </c>
      <c r="D340" s="17" t="s">
        <v>994</v>
      </c>
      <c r="E340" s="14" t="s">
        <v>995</v>
      </c>
      <c r="F340" s="10" t="s">
        <v>11</v>
      </c>
      <c r="G340" s="10" t="s">
        <v>13</v>
      </c>
      <c r="H340" s="10" t="s">
        <v>11</v>
      </c>
      <c r="I340" s="10" t="s">
        <v>11</v>
      </c>
      <c r="J340" s="10" t="s">
        <v>11</v>
      </c>
      <c r="L340" s="6" t="str">
        <f>IFERROR(VLOOKUP($B340,'Lista - Âmbito Projeto GD'!$B$3:$F$71,5,0),"Campo eliminado")</f>
        <v>N</v>
      </c>
      <c r="M340" s="6" t="str">
        <f t="shared" si="26"/>
        <v>Igual</v>
      </c>
      <c r="N340" s="6" t="str">
        <f>IFERROR(VLOOKUP($B340,'Lista - Âmbito Projeto GD'!$B$3:$K$71,6,0),"Campo eliminado")</f>
        <v>Y</v>
      </c>
      <c r="O340" s="6" t="str">
        <f t="shared" si="27"/>
        <v>Igual</v>
      </c>
      <c r="P340" s="6" t="str">
        <f>IFERROR(VLOOKUP($B340,'Lista - Âmbito Projeto GD'!$B$3:$K$71,7,0),"Campo eliminado")</f>
        <v>N</v>
      </c>
      <c r="Q340" s="6" t="str">
        <f t="shared" si="28"/>
        <v>Igual</v>
      </c>
      <c r="R340" s="6" t="str">
        <f>IFERROR(VLOOKUP($B340,'Lista - Âmbito Projeto GD'!$B$3:$K$71,9,0),"Campo eliminado")</f>
        <v>N</v>
      </c>
      <c r="S340" s="6" t="str">
        <f t="shared" si="29"/>
        <v>Igual</v>
      </c>
      <c r="U340" s="6" t="str">
        <f>VLOOKUP(B340,DataLake!$A$4:$A$429,1,0)</f>
        <v>INSTRUMENT_GRSS_CMMSSN_EXPNS</v>
      </c>
    </row>
    <row r="341" spans="1:21" ht="14.9" hidden="1" customHeight="1" x14ac:dyDescent="0.3">
      <c r="A341" s="29" t="s">
        <v>996</v>
      </c>
      <c r="B341" s="47" t="str">
        <f t="shared" si="25"/>
        <v>INSTRUMENT_GNS_FNNCL_TRNSCTN_EXCHNG_DFFRNCS</v>
      </c>
      <c r="C341" s="8" t="s">
        <v>414</v>
      </c>
      <c r="D341" s="9" t="s">
        <v>997</v>
      </c>
      <c r="E341" s="14" t="s">
        <v>998</v>
      </c>
      <c r="F341" s="10" t="s">
        <v>11</v>
      </c>
      <c r="G341" s="10" t="s">
        <v>13</v>
      </c>
      <c r="H341" s="10" t="s">
        <v>11</v>
      </c>
      <c r="I341" s="10" t="s">
        <v>11</v>
      </c>
      <c r="J341" s="10" t="s">
        <v>11</v>
      </c>
      <c r="L341" s="6" t="str">
        <f>IFERROR(VLOOKUP($B341,'Lista - Âmbito Projeto GD'!$B$3:$F$71,5,0),"Campo eliminado")</f>
        <v>N</v>
      </c>
      <c r="M341" s="6" t="str">
        <f t="shared" si="26"/>
        <v>Igual</v>
      </c>
      <c r="N341" s="6" t="str">
        <f>IFERROR(VLOOKUP($B341,'Lista - Âmbito Projeto GD'!$B$3:$K$71,6,0),"Campo eliminado")</f>
        <v>Y</v>
      </c>
      <c r="O341" s="6" t="str">
        <f t="shared" si="27"/>
        <v>Igual</v>
      </c>
      <c r="P341" s="6" t="str">
        <f>IFERROR(VLOOKUP($B341,'Lista - Âmbito Projeto GD'!$B$3:$K$71,7,0),"Campo eliminado")</f>
        <v>N</v>
      </c>
      <c r="Q341" s="6" t="str">
        <f t="shared" si="28"/>
        <v>Igual</v>
      </c>
      <c r="R341" s="6" t="str">
        <f>IFERROR(VLOOKUP($B341,'Lista - Âmbito Projeto GD'!$B$3:$K$71,9,0),"Campo eliminado")</f>
        <v>N</v>
      </c>
      <c r="S341" s="6" t="str">
        <f t="shared" si="29"/>
        <v>Igual</v>
      </c>
      <c r="U341" s="6" t="str">
        <f>VLOOKUP(B341,DataLake!$A$4:$A$429,1,0)</f>
        <v>INSTRUMENT_GNS_FNNCL_TRNSCTN_EXCHNG_DFFRNCS</v>
      </c>
    </row>
    <row r="342" spans="1:21" ht="14.9" hidden="1" customHeight="1" x14ac:dyDescent="0.3">
      <c r="A342" s="29" t="s">
        <v>999</v>
      </c>
      <c r="B342" s="47" t="str">
        <f t="shared" si="25"/>
        <v>INSTRUMENT_FLG_INTRBSNSS</v>
      </c>
      <c r="C342" s="8" t="s">
        <v>414</v>
      </c>
      <c r="D342" s="9" t="s">
        <v>1000</v>
      </c>
      <c r="E342" s="14" t="s">
        <v>1001</v>
      </c>
      <c r="F342" s="10" t="s">
        <v>11</v>
      </c>
      <c r="G342" s="10" t="s">
        <v>13</v>
      </c>
      <c r="H342" s="10" t="s">
        <v>11</v>
      </c>
      <c r="I342" s="10" t="s">
        <v>11</v>
      </c>
      <c r="J342" s="10" t="s">
        <v>11</v>
      </c>
      <c r="L342" s="6" t="str">
        <f>IFERROR(VLOOKUP($B342,'Lista - Âmbito Projeto GD'!$B$3:$F$71,5,0),"Campo eliminado")</f>
        <v>N</v>
      </c>
      <c r="M342" s="6" t="str">
        <f t="shared" si="26"/>
        <v>Igual</v>
      </c>
      <c r="N342" s="6" t="str">
        <f>IFERROR(VLOOKUP($B342,'Lista - Âmbito Projeto GD'!$B$3:$K$71,6,0),"Campo eliminado")</f>
        <v>Y</v>
      </c>
      <c r="O342" s="6" t="str">
        <f t="shared" si="27"/>
        <v>Igual</v>
      </c>
      <c r="P342" s="6" t="str">
        <f>IFERROR(VLOOKUP($B342,'Lista - Âmbito Projeto GD'!$B$3:$K$71,7,0),"Campo eliminado")</f>
        <v>N</v>
      </c>
      <c r="Q342" s="6" t="str">
        <f t="shared" si="28"/>
        <v>Igual</v>
      </c>
      <c r="R342" s="6" t="str">
        <f>IFERROR(VLOOKUP($B342,'Lista - Âmbito Projeto GD'!$B$3:$K$71,9,0),"Campo eliminado")</f>
        <v>N</v>
      </c>
      <c r="S342" s="6" t="str">
        <f t="shared" si="29"/>
        <v>Igual</v>
      </c>
      <c r="U342" s="6" t="str">
        <f>VLOOKUP(B342,DataLake!$A$4:$A$429,1,0)</f>
        <v>INSTRUMENT_FLG_INTRBSNSS</v>
      </c>
    </row>
    <row r="343" spans="1:21" ht="14.9" hidden="1" customHeight="1" x14ac:dyDescent="0.3">
      <c r="A343" s="29" t="s">
        <v>1002</v>
      </c>
      <c r="B343" s="47" t="str">
        <f t="shared" si="25"/>
        <v>INSTRUMENT_INTRBSNSS_ADJ_COD</v>
      </c>
      <c r="C343" s="8" t="s">
        <v>414</v>
      </c>
      <c r="D343" s="9" t="s">
        <v>1003</v>
      </c>
      <c r="E343" s="14" t="s">
        <v>1004</v>
      </c>
      <c r="F343" s="10" t="s">
        <v>11</v>
      </c>
      <c r="G343" s="10" t="s">
        <v>13</v>
      </c>
      <c r="H343" s="10" t="s">
        <v>11</v>
      </c>
      <c r="I343" s="10" t="s">
        <v>11</v>
      </c>
      <c r="J343" s="10" t="s">
        <v>11</v>
      </c>
      <c r="L343" s="6" t="str">
        <f>IFERROR(VLOOKUP($B343,'Lista - Âmbito Projeto GD'!$B$3:$F$71,5,0),"Campo eliminado")</f>
        <v>N</v>
      </c>
      <c r="M343" s="6" t="str">
        <f t="shared" si="26"/>
        <v>Igual</v>
      </c>
      <c r="N343" s="6" t="str">
        <f>IFERROR(VLOOKUP($B343,'Lista - Âmbito Projeto GD'!$B$3:$K$71,6,0),"Campo eliminado")</f>
        <v>Y</v>
      </c>
      <c r="O343" s="6" t="str">
        <f t="shared" si="27"/>
        <v>Igual</v>
      </c>
      <c r="P343" s="6" t="str">
        <f>IFERROR(VLOOKUP($B343,'Lista - Âmbito Projeto GD'!$B$3:$K$71,7,0),"Campo eliminado")</f>
        <v>N</v>
      </c>
      <c r="Q343" s="6" t="str">
        <f t="shared" si="28"/>
        <v>Igual</v>
      </c>
      <c r="R343" s="6" t="str">
        <f>IFERROR(VLOOKUP($B343,'Lista - Âmbito Projeto GD'!$B$3:$K$71,9,0),"Campo eliminado")</f>
        <v>N</v>
      </c>
      <c r="S343" s="6" t="str">
        <f t="shared" si="29"/>
        <v>Igual</v>
      </c>
      <c r="U343" s="6" t="str">
        <f>VLOOKUP(B343,DataLake!$A$4:$A$429,1,0)</f>
        <v>INSTRUMENT_INTRBSNSS_ADJ_COD</v>
      </c>
    </row>
    <row r="344" spans="1:21" ht="14.9" hidden="1" customHeight="1" x14ac:dyDescent="0.3">
      <c r="A344" s="29" t="s">
        <v>1005</v>
      </c>
      <c r="B344" s="47" t="str">
        <f t="shared" si="25"/>
        <v>INSTRUMENT_COD_SOC_DSTNTN</v>
      </c>
      <c r="C344" s="8" t="s">
        <v>414</v>
      </c>
      <c r="D344" s="9" t="s">
        <v>1006</v>
      </c>
      <c r="E344" s="14" t="s">
        <v>1007</v>
      </c>
      <c r="F344" s="10" t="s">
        <v>11</v>
      </c>
      <c r="G344" s="10" t="s">
        <v>13</v>
      </c>
      <c r="H344" s="10" t="s">
        <v>11</v>
      </c>
      <c r="I344" s="10" t="s">
        <v>11</v>
      </c>
      <c r="J344" s="10" t="s">
        <v>11</v>
      </c>
      <c r="L344" s="6" t="str">
        <f>IFERROR(VLOOKUP($B344,'Lista - Âmbito Projeto GD'!$B$3:$F$71,5,0),"Campo eliminado")</f>
        <v>N</v>
      </c>
      <c r="M344" s="6" t="str">
        <f t="shared" si="26"/>
        <v>Igual</v>
      </c>
      <c r="N344" s="6" t="str">
        <f>IFERROR(VLOOKUP($B344,'Lista - Âmbito Projeto GD'!$B$3:$K$71,6,0),"Campo eliminado")</f>
        <v>Y</v>
      </c>
      <c r="O344" s="6" t="str">
        <f t="shared" si="27"/>
        <v>Igual</v>
      </c>
      <c r="P344" s="6" t="str">
        <f>IFERROR(VLOOKUP($B344,'Lista - Âmbito Projeto GD'!$B$3:$K$71,7,0),"Campo eliminado")</f>
        <v>N</v>
      </c>
      <c r="Q344" s="6" t="str">
        <f t="shared" si="28"/>
        <v>Igual</v>
      </c>
      <c r="R344" s="6" t="str">
        <f>IFERROR(VLOOKUP($B344,'Lista - Âmbito Projeto GD'!$B$3:$K$71,9,0),"Campo eliminado")</f>
        <v>N</v>
      </c>
      <c r="S344" s="6" t="str">
        <f t="shared" si="29"/>
        <v>Igual</v>
      </c>
      <c r="U344" s="6" t="str">
        <f>VLOOKUP(B344,DataLake!$A$4:$A$429,1,0)</f>
        <v>INSTRUMENT_COD_SOC_DSTNTN</v>
      </c>
    </row>
    <row r="345" spans="1:21" ht="14.9" hidden="1" customHeight="1" x14ac:dyDescent="0.3">
      <c r="A345" s="29" t="s">
        <v>1008</v>
      </c>
      <c r="B345" s="47" t="str">
        <f t="shared" si="25"/>
        <v>INSTRUMENT_BSNSS_AREA_DSTNTN</v>
      </c>
      <c r="C345" s="8" t="s">
        <v>414</v>
      </c>
      <c r="D345" s="9" t="s">
        <v>1009</v>
      </c>
      <c r="E345" s="14" t="s">
        <v>1010</v>
      </c>
      <c r="F345" s="10" t="s">
        <v>11</v>
      </c>
      <c r="G345" s="10" t="s">
        <v>13</v>
      </c>
      <c r="H345" s="10" t="s">
        <v>11</v>
      </c>
      <c r="I345" s="10" t="s">
        <v>11</v>
      </c>
      <c r="J345" s="10" t="s">
        <v>11</v>
      </c>
      <c r="L345" s="6" t="str">
        <f>IFERROR(VLOOKUP($B345,'Lista - Âmbito Projeto GD'!$B$3:$F$71,5,0),"Campo eliminado")</f>
        <v>N</v>
      </c>
      <c r="M345" s="6" t="str">
        <f t="shared" si="26"/>
        <v>Igual</v>
      </c>
      <c r="N345" s="6" t="str">
        <f>IFERROR(VLOOKUP($B345,'Lista - Âmbito Projeto GD'!$B$3:$K$71,6,0),"Campo eliminado")</f>
        <v>Y</v>
      </c>
      <c r="O345" s="6" t="str">
        <f t="shared" si="27"/>
        <v>Igual</v>
      </c>
      <c r="P345" s="6" t="str">
        <f>IFERROR(VLOOKUP($B345,'Lista - Âmbito Projeto GD'!$B$3:$K$71,7,0),"Campo eliminado")</f>
        <v>N</v>
      </c>
      <c r="Q345" s="6" t="str">
        <f t="shared" si="28"/>
        <v>Igual</v>
      </c>
      <c r="R345" s="6" t="str">
        <f>IFERROR(VLOOKUP($B345,'Lista - Âmbito Projeto GD'!$B$3:$K$71,9,0),"Campo eliminado")</f>
        <v>N</v>
      </c>
      <c r="S345" s="6" t="str">
        <f t="shared" si="29"/>
        <v>Igual</v>
      </c>
      <c r="U345" s="6" t="str">
        <f>VLOOKUP(B345,DataLake!$A$4:$A$429,1,0)</f>
        <v>INSTRUMENT_BSNSS_AREA_DSTNTN</v>
      </c>
    </row>
    <row r="346" spans="1:21" ht="15" hidden="1" customHeight="1" x14ac:dyDescent="0.3">
      <c r="A346" s="29" t="s">
        <v>1011</v>
      </c>
      <c r="B346" s="47" t="str">
        <f t="shared" si="25"/>
        <v>INSTRUMENT_AVRG_BLNC_OFF_BLNC</v>
      </c>
      <c r="C346" s="8" t="s">
        <v>414</v>
      </c>
      <c r="D346" s="9" t="s">
        <v>1012</v>
      </c>
      <c r="E346" s="12" t="s">
        <v>1013</v>
      </c>
      <c r="F346" s="10" t="s">
        <v>11</v>
      </c>
      <c r="G346" s="10" t="s">
        <v>13</v>
      </c>
      <c r="H346" s="10" t="s">
        <v>11</v>
      </c>
      <c r="I346" s="10" t="s">
        <v>11</v>
      </c>
      <c r="J346" s="10" t="s">
        <v>11</v>
      </c>
      <c r="L346" s="6" t="str">
        <f>IFERROR(VLOOKUP($B346,'Lista - Âmbito Projeto GD'!$B$3:$F$71,5,0),"Campo eliminado")</f>
        <v>N</v>
      </c>
      <c r="M346" s="6" t="str">
        <f t="shared" si="26"/>
        <v>Igual</v>
      </c>
      <c r="N346" s="6" t="str">
        <f>IFERROR(VLOOKUP($B346,'Lista - Âmbito Projeto GD'!$B$3:$K$71,6,0),"Campo eliminado")</f>
        <v>Y</v>
      </c>
      <c r="O346" s="6" t="str">
        <f t="shared" si="27"/>
        <v>Igual</v>
      </c>
      <c r="P346" s="6" t="str">
        <f>IFERROR(VLOOKUP($B346,'Lista - Âmbito Projeto GD'!$B$3:$K$71,7,0),"Campo eliminado")</f>
        <v>N</v>
      </c>
      <c r="Q346" s="6" t="str">
        <f t="shared" si="28"/>
        <v>Igual</v>
      </c>
      <c r="R346" s="6" t="str">
        <f>IFERROR(VLOOKUP($B346,'Lista - Âmbito Projeto GD'!$B$3:$K$71,9,0),"Campo eliminado")</f>
        <v>N</v>
      </c>
      <c r="S346" s="6" t="str">
        <f t="shared" si="29"/>
        <v>Igual</v>
      </c>
      <c r="U346" s="6" t="str">
        <f>VLOOKUP(B346,DataLake!$A$4:$A$429,1,0)</f>
        <v>INSTRUMENT_AVRG_BLNC_OFF_BLNC</v>
      </c>
    </row>
    <row r="347" spans="1:21" ht="15" hidden="1" customHeight="1" x14ac:dyDescent="0.3">
      <c r="A347" s="29" t="s">
        <v>1014</v>
      </c>
      <c r="B347" s="47" t="str">
        <f t="shared" si="25"/>
        <v>INSTRUMENT_INTRNL_TRNSFR_RT_OFF_BLNC</v>
      </c>
      <c r="C347" s="8" t="s">
        <v>414</v>
      </c>
      <c r="D347" s="9" t="s">
        <v>1015</v>
      </c>
      <c r="E347" s="12" t="s">
        <v>1016</v>
      </c>
      <c r="F347" s="10" t="s">
        <v>11</v>
      </c>
      <c r="G347" s="10" t="s">
        <v>13</v>
      </c>
      <c r="H347" s="10" t="s">
        <v>11</v>
      </c>
      <c r="I347" s="10" t="s">
        <v>11</v>
      </c>
      <c r="J347" s="10" t="s">
        <v>11</v>
      </c>
      <c r="L347" s="6" t="str">
        <f>IFERROR(VLOOKUP($B347,'Lista - Âmbito Projeto GD'!$B$3:$F$71,5,0),"Campo eliminado")</f>
        <v>N</v>
      </c>
      <c r="M347" s="6" t="str">
        <f t="shared" si="26"/>
        <v>Igual</v>
      </c>
      <c r="N347" s="6" t="str">
        <f>IFERROR(VLOOKUP($B347,'Lista - Âmbito Projeto GD'!$B$3:$K$71,6,0),"Campo eliminado")</f>
        <v>Y</v>
      </c>
      <c r="O347" s="6" t="str">
        <f t="shared" si="27"/>
        <v>Igual</v>
      </c>
      <c r="P347" s="6" t="str">
        <f>IFERROR(VLOOKUP($B347,'Lista - Âmbito Projeto GD'!$B$3:$K$71,7,0),"Campo eliminado")</f>
        <v>N</v>
      </c>
      <c r="Q347" s="6" t="str">
        <f t="shared" si="28"/>
        <v>Igual</v>
      </c>
      <c r="R347" s="6" t="str">
        <f>IFERROR(VLOOKUP($B347,'Lista - Âmbito Projeto GD'!$B$3:$K$71,9,0),"Campo eliminado")</f>
        <v>N</v>
      </c>
      <c r="S347" s="6" t="str">
        <f t="shared" si="29"/>
        <v>Igual</v>
      </c>
      <c r="U347" s="6" t="str">
        <f>VLOOKUP(B347,DataLake!$A$4:$A$429,1,0)</f>
        <v>INSTRUMENT_INTRNL_TRNSFR_RT_OFF_BLNC</v>
      </c>
    </row>
    <row r="348" spans="1:21" ht="15" hidden="1" customHeight="1" x14ac:dyDescent="0.3">
      <c r="A348" s="29" t="s">
        <v>1017</v>
      </c>
      <c r="B348" s="47" t="str">
        <f t="shared" si="25"/>
        <v>INSTRUMENT_GRSS_CMMSSN_INCM_OFF_BLNC</v>
      </c>
      <c r="C348" s="8" t="s">
        <v>414</v>
      </c>
      <c r="D348" s="17" t="s">
        <v>1018</v>
      </c>
      <c r="E348" s="14" t="s">
        <v>1019</v>
      </c>
      <c r="F348" s="10" t="s">
        <v>11</v>
      </c>
      <c r="G348" s="10" t="s">
        <v>13</v>
      </c>
      <c r="H348" s="10" t="s">
        <v>13</v>
      </c>
      <c r="I348" s="10" t="s">
        <v>11</v>
      </c>
      <c r="J348" s="10" t="s">
        <v>11</v>
      </c>
      <c r="L348" s="6" t="str">
        <f>IFERROR(VLOOKUP($B348,'Lista - Âmbito Projeto GD'!$B$3:$F$71,5,0),"Campo eliminado")</f>
        <v>N</v>
      </c>
      <c r="M348" s="6" t="str">
        <f t="shared" si="26"/>
        <v>Igual</v>
      </c>
      <c r="N348" s="6" t="str">
        <f>IFERROR(VLOOKUP($B348,'Lista - Âmbito Projeto GD'!$B$3:$K$71,6,0),"Campo eliminado")</f>
        <v>Y</v>
      </c>
      <c r="O348" s="6" t="str">
        <f t="shared" si="27"/>
        <v>Igual</v>
      </c>
      <c r="P348" s="6" t="str">
        <f>IFERROR(VLOOKUP($B348,'Lista - Âmbito Projeto GD'!$B$3:$K$71,7,0),"Campo eliminado")</f>
        <v>Y</v>
      </c>
      <c r="Q348" s="6" t="str">
        <f t="shared" si="28"/>
        <v>Igual</v>
      </c>
      <c r="R348" s="6" t="str">
        <f>IFERROR(VLOOKUP($B348,'Lista - Âmbito Projeto GD'!$B$3:$K$71,9,0),"Campo eliminado")</f>
        <v>N</v>
      </c>
      <c r="S348" s="6" t="str">
        <f t="shared" si="29"/>
        <v>Igual</v>
      </c>
      <c r="U348" s="6" t="str">
        <f>VLOOKUP(B348,DataLake!$A$4:$A$429,1,0)</f>
        <v>INSTRUMENT_GRSS_CMMSSN_INCM_OFF_BLNC</v>
      </c>
    </row>
    <row r="349" spans="1:21" ht="15" hidden="1" customHeight="1" x14ac:dyDescent="0.3">
      <c r="A349" s="29" t="s">
        <v>1020</v>
      </c>
      <c r="B349" s="47" t="str">
        <f t="shared" si="25"/>
        <v>INSTRUMENT_GRSS_CMMSSN_EXPNS_OFF_BLNC</v>
      </c>
      <c r="C349" s="8" t="s">
        <v>414</v>
      </c>
      <c r="D349" s="17" t="s">
        <v>1021</v>
      </c>
      <c r="E349" s="14" t="s">
        <v>1022</v>
      </c>
      <c r="F349" s="10" t="s">
        <v>11</v>
      </c>
      <c r="G349" s="10" t="s">
        <v>13</v>
      </c>
      <c r="H349" s="10" t="s">
        <v>11</v>
      </c>
      <c r="I349" s="10" t="s">
        <v>11</v>
      </c>
      <c r="J349" s="10" t="s">
        <v>11</v>
      </c>
      <c r="L349" s="6" t="str">
        <f>IFERROR(VLOOKUP($B349,'Lista - Âmbito Projeto GD'!$B$3:$F$71,5,0),"Campo eliminado")</f>
        <v>N</v>
      </c>
      <c r="M349" s="6" t="str">
        <f t="shared" si="26"/>
        <v>Igual</v>
      </c>
      <c r="N349" s="6" t="str">
        <f>IFERROR(VLOOKUP($B349,'Lista - Âmbito Projeto GD'!$B$3:$K$71,6,0),"Campo eliminado")</f>
        <v>Y</v>
      </c>
      <c r="O349" s="6" t="str">
        <f t="shared" si="27"/>
        <v>Igual</v>
      </c>
      <c r="P349" s="6" t="str">
        <f>IFERROR(VLOOKUP($B349,'Lista - Âmbito Projeto GD'!$B$3:$K$71,7,0),"Campo eliminado")</f>
        <v>N</v>
      </c>
      <c r="Q349" s="6" t="str">
        <f t="shared" si="28"/>
        <v>Igual</v>
      </c>
      <c r="R349" s="6" t="str">
        <f>IFERROR(VLOOKUP($B349,'Lista - Âmbito Projeto GD'!$B$3:$K$71,9,0),"Campo eliminado")</f>
        <v>N</v>
      </c>
      <c r="S349" s="6" t="str">
        <f t="shared" si="29"/>
        <v>Igual</v>
      </c>
      <c r="U349" s="6" t="str">
        <f>VLOOKUP(B349,DataLake!$A$4:$A$429,1,0)</f>
        <v>INSTRUMENT_GRSS_CMMSSN_EXPNS_OFF_BLNC</v>
      </c>
    </row>
    <row r="350" spans="1:21" ht="15" hidden="1" customHeight="1" x14ac:dyDescent="0.3">
      <c r="A350" s="29" t="s">
        <v>1023</v>
      </c>
      <c r="B350" s="47" t="str">
        <f t="shared" si="25"/>
        <v>INSTRUMENT_RWA_OFF_BLNC</v>
      </c>
      <c r="C350" s="8" t="s">
        <v>414</v>
      </c>
      <c r="D350" s="9" t="s">
        <v>1024</v>
      </c>
      <c r="E350" s="14" t="s">
        <v>1025</v>
      </c>
      <c r="F350" s="10" t="s">
        <v>11</v>
      </c>
      <c r="G350" s="10" t="s">
        <v>13</v>
      </c>
      <c r="H350" s="10" t="s">
        <v>11</v>
      </c>
      <c r="I350" s="10" t="s">
        <v>11</v>
      </c>
      <c r="J350" s="10" t="s">
        <v>11</v>
      </c>
      <c r="L350" s="6" t="str">
        <f>IFERROR(VLOOKUP($B350,'Lista - Âmbito Projeto GD'!$B$3:$F$71,5,0),"Campo eliminado")</f>
        <v>N</v>
      </c>
      <c r="M350" s="6" t="str">
        <f t="shared" si="26"/>
        <v>Igual</v>
      </c>
      <c r="N350" s="6" t="str">
        <f>IFERROR(VLOOKUP($B350,'Lista - Âmbito Projeto GD'!$B$3:$K$71,6,0),"Campo eliminado")</f>
        <v>Y</v>
      </c>
      <c r="O350" s="6" t="str">
        <f t="shared" si="27"/>
        <v>Igual</v>
      </c>
      <c r="P350" s="6" t="str">
        <f>IFERROR(VLOOKUP($B350,'Lista - Âmbito Projeto GD'!$B$3:$K$71,7,0),"Campo eliminado")</f>
        <v>N</v>
      </c>
      <c r="Q350" s="6" t="str">
        <f t="shared" si="28"/>
        <v>Igual</v>
      </c>
      <c r="R350" s="6" t="str">
        <f>IFERROR(VLOOKUP($B350,'Lista - Âmbito Projeto GD'!$B$3:$K$71,9,0),"Campo eliminado")</f>
        <v>N</v>
      </c>
      <c r="S350" s="6" t="str">
        <f t="shared" si="29"/>
        <v>Igual</v>
      </c>
      <c r="U350" s="6" t="str">
        <f>VLOOKUP(B350,DataLake!$A$4:$A$429,1,0)</f>
        <v>INSTRUMENT_RWA_OFF_BLNC</v>
      </c>
    </row>
    <row r="351" spans="1:21" ht="15" hidden="1" customHeight="1" x14ac:dyDescent="0.3">
      <c r="A351" s="29" t="s">
        <v>1026</v>
      </c>
      <c r="B351" s="47" t="str">
        <f t="shared" si="25"/>
        <v>INSTRUMENT_GRSS_INTRST_EXPNS</v>
      </c>
      <c r="C351" s="8" t="s">
        <v>414</v>
      </c>
      <c r="D351" s="9" t="s">
        <v>1027</v>
      </c>
      <c r="E351" s="14" t="s">
        <v>1028</v>
      </c>
      <c r="F351" s="10" t="s">
        <v>11</v>
      </c>
      <c r="G351" s="10" t="s">
        <v>13</v>
      </c>
      <c r="H351" s="10" t="s">
        <v>11</v>
      </c>
      <c r="I351" s="10" t="s">
        <v>11</v>
      </c>
      <c r="J351" s="10" t="s">
        <v>11</v>
      </c>
      <c r="L351" s="6" t="str">
        <f>IFERROR(VLOOKUP($B351,'Lista - Âmbito Projeto GD'!$B$3:$F$71,5,0),"Campo eliminado")</f>
        <v>N</v>
      </c>
      <c r="M351" s="6" t="str">
        <f t="shared" si="26"/>
        <v>Igual</v>
      </c>
      <c r="N351" s="6" t="str">
        <f>IFERROR(VLOOKUP($B351,'Lista - Âmbito Projeto GD'!$B$3:$K$71,6,0),"Campo eliminado")</f>
        <v>Y</v>
      </c>
      <c r="O351" s="6" t="str">
        <f t="shared" si="27"/>
        <v>Igual</v>
      </c>
      <c r="P351" s="6" t="str">
        <f>IFERROR(VLOOKUP($B351,'Lista - Âmbito Projeto GD'!$B$3:$K$71,7,0),"Campo eliminado")</f>
        <v>N</v>
      </c>
      <c r="Q351" s="6" t="str">
        <f t="shared" si="28"/>
        <v>Igual</v>
      </c>
      <c r="R351" s="6" t="str">
        <f>IFERROR(VLOOKUP($B351,'Lista - Âmbito Projeto GD'!$B$3:$K$71,9,0),"Campo eliminado")</f>
        <v>N</v>
      </c>
      <c r="S351" s="6" t="str">
        <f t="shared" si="29"/>
        <v>Igual</v>
      </c>
      <c r="U351" s="6" t="str">
        <f>VLOOKUP(B351,DataLake!$A$4:$A$429,1,0)</f>
        <v>INSTRUMENT_GRSS_INTRST_EXPNS</v>
      </c>
    </row>
    <row r="352" spans="1:21" ht="15" hidden="1" customHeight="1" x14ac:dyDescent="0.3">
      <c r="A352" s="29" t="s">
        <v>1029</v>
      </c>
      <c r="B352" s="47" t="str">
        <f t="shared" si="25"/>
        <v>INSTRUMENT_NT_LN_LSS_PRVSN_OFF_BLNC</v>
      </c>
      <c r="C352" s="8" t="s">
        <v>414</v>
      </c>
      <c r="D352" s="9" t="s">
        <v>1030</v>
      </c>
      <c r="E352" s="12" t="s">
        <v>1031</v>
      </c>
      <c r="F352" s="10" t="s">
        <v>11</v>
      </c>
      <c r="G352" s="10" t="s">
        <v>13</v>
      </c>
      <c r="H352" s="10" t="s">
        <v>11</v>
      </c>
      <c r="I352" s="10" t="s">
        <v>11</v>
      </c>
      <c r="J352" s="10" t="s">
        <v>11</v>
      </c>
      <c r="L352" s="6" t="str">
        <f>IFERROR(VLOOKUP($B352,'Lista - Âmbito Projeto GD'!$B$3:$F$71,5,0),"Campo eliminado")</f>
        <v>N</v>
      </c>
      <c r="M352" s="6" t="str">
        <f t="shared" si="26"/>
        <v>Igual</v>
      </c>
      <c r="N352" s="6" t="str">
        <f>IFERROR(VLOOKUP($B352,'Lista - Âmbito Projeto GD'!$B$3:$K$71,6,0),"Campo eliminado")</f>
        <v>Y</v>
      </c>
      <c r="O352" s="6" t="str">
        <f t="shared" si="27"/>
        <v>Igual</v>
      </c>
      <c r="P352" s="6" t="str">
        <f>IFERROR(VLOOKUP($B352,'Lista - Âmbito Projeto GD'!$B$3:$K$71,7,0),"Campo eliminado")</f>
        <v>N</v>
      </c>
      <c r="Q352" s="6" t="str">
        <f t="shared" si="28"/>
        <v>Igual</v>
      </c>
      <c r="R352" s="6" t="str">
        <f>IFERROR(VLOOKUP($B352,'Lista - Âmbito Projeto GD'!$B$3:$K$71,9,0),"Campo eliminado")</f>
        <v>N</v>
      </c>
      <c r="S352" s="6" t="str">
        <f t="shared" si="29"/>
        <v>Igual</v>
      </c>
      <c r="U352" s="6" t="str">
        <f>VLOOKUP(B352,DataLake!$A$4:$A$429,1,0)</f>
        <v>INSTRUMENT_NT_LN_LSS_PRVSN_OFF_BLNC</v>
      </c>
    </row>
    <row r="353" spans="1:21" ht="15" hidden="1" customHeight="1" x14ac:dyDescent="0.3">
      <c r="A353" s="29" t="s">
        <v>1032</v>
      </c>
      <c r="B353" s="47" t="str">
        <f t="shared" si="25"/>
        <v>INSTRUMENT_GRSS_INTRST_INCM_CCRR</v>
      </c>
      <c r="C353" s="8" t="s">
        <v>414</v>
      </c>
      <c r="D353" s="9" t="s">
        <v>1033</v>
      </c>
      <c r="E353" s="14" t="s">
        <v>1034</v>
      </c>
      <c r="F353" s="10" t="s">
        <v>11</v>
      </c>
      <c r="G353" s="10" t="s">
        <v>13</v>
      </c>
      <c r="H353" s="10" t="s">
        <v>11</v>
      </c>
      <c r="I353" s="10" t="s">
        <v>11</v>
      </c>
      <c r="J353" s="10" t="s">
        <v>11</v>
      </c>
      <c r="L353" s="6" t="str">
        <f>IFERROR(VLOOKUP($B353,'Lista - Âmbito Projeto GD'!$B$3:$F$71,5,0),"Campo eliminado")</f>
        <v>N</v>
      </c>
      <c r="M353" s="6" t="str">
        <f t="shared" si="26"/>
        <v>Igual</v>
      </c>
      <c r="N353" s="6" t="str">
        <f>IFERROR(VLOOKUP($B353,'Lista - Âmbito Projeto GD'!$B$3:$K$71,6,0),"Campo eliminado")</f>
        <v>Y</v>
      </c>
      <c r="O353" s="6" t="str">
        <f t="shared" si="27"/>
        <v>Igual</v>
      </c>
      <c r="P353" s="6" t="str">
        <f>IFERROR(VLOOKUP($B353,'Lista - Âmbito Projeto GD'!$B$3:$K$71,7,0),"Campo eliminado")</f>
        <v>N</v>
      </c>
      <c r="Q353" s="6" t="str">
        <f t="shared" si="28"/>
        <v>Igual</v>
      </c>
      <c r="R353" s="6" t="str">
        <f>IFERROR(VLOOKUP($B353,'Lista - Âmbito Projeto GD'!$B$3:$K$71,9,0),"Campo eliminado")</f>
        <v>N</v>
      </c>
      <c r="S353" s="6" t="str">
        <f t="shared" si="29"/>
        <v>Igual</v>
      </c>
      <c r="U353" s="6" t="str">
        <f>VLOOKUP(B353,DataLake!$A$4:$A$429,1,0)</f>
        <v>INSTRUMENT_GRSS_INTRST_INCM_CCRR</v>
      </c>
    </row>
    <row r="354" spans="1:21" ht="15" hidden="1" customHeight="1" x14ac:dyDescent="0.3">
      <c r="A354" s="29" t="s">
        <v>1035</v>
      </c>
      <c r="B354" s="47" t="str">
        <f t="shared" si="25"/>
        <v>INSTRUMENT_GRSS_INTRST_EXPNS_CCRR</v>
      </c>
      <c r="C354" s="8" t="s">
        <v>414</v>
      </c>
      <c r="D354" s="9" t="s">
        <v>1036</v>
      </c>
      <c r="E354" s="14" t="s">
        <v>1037</v>
      </c>
      <c r="F354" s="10" t="s">
        <v>11</v>
      </c>
      <c r="G354" s="10" t="s">
        <v>13</v>
      </c>
      <c r="H354" s="10" t="s">
        <v>11</v>
      </c>
      <c r="I354" s="10" t="s">
        <v>11</v>
      </c>
      <c r="J354" s="10" t="s">
        <v>11</v>
      </c>
      <c r="L354" s="6" t="str">
        <f>IFERROR(VLOOKUP($B354,'Lista - Âmbito Projeto GD'!$B$3:$F$71,5,0),"Campo eliminado")</f>
        <v>N</v>
      </c>
      <c r="M354" s="6" t="str">
        <f t="shared" si="26"/>
        <v>Igual</v>
      </c>
      <c r="N354" s="6" t="str">
        <f>IFERROR(VLOOKUP($B354,'Lista - Âmbito Projeto GD'!$B$3:$K$71,6,0),"Campo eliminado")</f>
        <v>Y</v>
      </c>
      <c r="O354" s="6" t="str">
        <f t="shared" si="27"/>
        <v>Igual</v>
      </c>
      <c r="P354" s="6" t="str">
        <f>IFERROR(VLOOKUP($B354,'Lista - Âmbito Projeto GD'!$B$3:$K$71,7,0),"Campo eliminado")</f>
        <v>N</v>
      </c>
      <c r="Q354" s="6" t="str">
        <f t="shared" si="28"/>
        <v>Igual</v>
      </c>
      <c r="R354" s="6" t="str">
        <f>IFERROR(VLOOKUP($B354,'Lista - Âmbito Projeto GD'!$B$3:$K$71,9,0),"Campo eliminado")</f>
        <v>N</v>
      </c>
      <c r="S354" s="6" t="str">
        <f t="shared" si="29"/>
        <v>Igual</v>
      </c>
      <c r="U354" s="6" t="str">
        <f>VLOOKUP(B354,DataLake!$A$4:$A$429,1,0)</f>
        <v>INSTRUMENT_GRSS_INTRST_EXPNS_CCRR</v>
      </c>
    </row>
    <row r="355" spans="1:21" ht="15" hidden="1" customHeight="1" x14ac:dyDescent="0.3">
      <c r="A355" s="29" t="s">
        <v>1038</v>
      </c>
      <c r="B355" s="47" t="str">
        <f t="shared" si="25"/>
        <v>INSTRUMENT_GRSS_CMMSSN_INCM_CCRR</v>
      </c>
      <c r="C355" s="8" t="s">
        <v>414</v>
      </c>
      <c r="D355" s="17" t="s">
        <v>1039</v>
      </c>
      <c r="E355" s="14" t="s">
        <v>1040</v>
      </c>
      <c r="F355" s="10" t="s">
        <v>11</v>
      </c>
      <c r="G355" s="10" t="s">
        <v>13</v>
      </c>
      <c r="H355" s="10" t="s">
        <v>11</v>
      </c>
      <c r="I355" s="10" t="s">
        <v>11</v>
      </c>
      <c r="J355" s="10" t="s">
        <v>11</v>
      </c>
      <c r="L355" s="6" t="str">
        <f>IFERROR(VLOOKUP($B355,'Lista - Âmbito Projeto GD'!$B$3:$F$71,5,0),"Campo eliminado")</f>
        <v>N</v>
      </c>
      <c r="M355" s="6" t="str">
        <f t="shared" si="26"/>
        <v>Igual</v>
      </c>
      <c r="N355" s="6" t="str">
        <f>IFERROR(VLOOKUP($B355,'Lista - Âmbito Projeto GD'!$B$3:$K$71,6,0),"Campo eliminado")</f>
        <v>Y</v>
      </c>
      <c r="O355" s="6" t="str">
        <f t="shared" si="27"/>
        <v>Igual</v>
      </c>
      <c r="P355" s="6" t="str">
        <f>IFERROR(VLOOKUP($B355,'Lista - Âmbito Projeto GD'!$B$3:$K$71,7,0),"Campo eliminado")</f>
        <v>N</v>
      </c>
      <c r="Q355" s="6" t="str">
        <f t="shared" si="28"/>
        <v>Igual</v>
      </c>
      <c r="R355" s="6" t="str">
        <f>IFERROR(VLOOKUP($B355,'Lista - Âmbito Projeto GD'!$B$3:$K$71,9,0),"Campo eliminado")</f>
        <v>N</v>
      </c>
      <c r="S355" s="6" t="str">
        <f t="shared" si="29"/>
        <v>Igual</v>
      </c>
      <c r="U355" s="6" t="str">
        <f>VLOOKUP(B355,DataLake!$A$4:$A$429,1,0)</f>
        <v>INSTRUMENT_GRSS_CMMSSN_INCM_CCRR</v>
      </c>
    </row>
    <row r="356" spans="1:21" ht="15" hidden="1" customHeight="1" x14ac:dyDescent="0.3">
      <c r="A356" s="29" t="s">
        <v>1041</v>
      </c>
      <c r="B356" s="47" t="str">
        <f t="shared" si="25"/>
        <v>INSTRUMENT_GRSS_CMMSSN_EXPNS_CCRR</v>
      </c>
      <c r="C356" s="8" t="s">
        <v>414</v>
      </c>
      <c r="D356" s="17" t="s">
        <v>1042</v>
      </c>
      <c r="E356" s="14" t="s">
        <v>1043</v>
      </c>
      <c r="F356" s="10" t="s">
        <v>11</v>
      </c>
      <c r="G356" s="10" t="s">
        <v>13</v>
      </c>
      <c r="H356" s="10" t="s">
        <v>11</v>
      </c>
      <c r="I356" s="10" t="s">
        <v>11</v>
      </c>
      <c r="J356" s="10" t="s">
        <v>11</v>
      </c>
      <c r="L356" s="6" t="str">
        <f>IFERROR(VLOOKUP($B356,'Lista - Âmbito Projeto GD'!$B$3:$F$71,5,0),"Campo eliminado")</f>
        <v>N</v>
      </c>
      <c r="M356" s="6" t="str">
        <f t="shared" si="26"/>
        <v>Igual</v>
      </c>
      <c r="N356" s="6" t="str">
        <f>IFERROR(VLOOKUP($B356,'Lista - Âmbito Projeto GD'!$B$3:$K$71,6,0),"Campo eliminado")</f>
        <v>Y</v>
      </c>
      <c r="O356" s="6" t="str">
        <f t="shared" si="27"/>
        <v>Igual</v>
      </c>
      <c r="P356" s="6" t="str">
        <f>IFERROR(VLOOKUP($B356,'Lista - Âmbito Projeto GD'!$B$3:$K$71,7,0),"Campo eliminado")</f>
        <v>N</v>
      </c>
      <c r="Q356" s="6" t="str">
        <f t="shared" si="28"/>
        <v>Igual</v>
      </c>
      <c r="R356" s="6" t="str">
        <f>IFERROR(VLOOKUP($B356,'Lista - Âmbito Projeto GD'!$B$3:$K$71,9,0),"Campo eliminado")</f>
        <v>N</v>
      </c>
      <c r="S356" s="6" t="str">
        <f t="shared" si="29"/>
        <v>Igual</v>
      </c>
      <c r="U356" s="6" t="str">
        <f>VLOOKUP(B356,DataLake!$A$4:$A$429,1,0)</f>
        <v>INSTRUMENT_GRSS_CMMSSN_EXPNS_CCRR</v>
      </c>
    </row>
    <row r="357" spans="1:21" ht="15" hidden="1" customHeight="1" x14ac:dyDescent="0.3">
      <c r="A357" s="29" t="s">
        <v>1044</v>
      </c>
      <c r="B357" s="47" t="str">
        <f t="shared" si="25"/>
        <v>INSTRUMENT_GNS_FNNCL_TRNSCTN_EXCHNG_CCRR</v>
      </c>
      <c r="C357" s="8" t="s">
        <v>414</v>
      </c>
      <c r="D357" s="9" t="s">
        <v>1045</v>
      </c>
      <c r="E357" s="14" t="s">
        <v>1046</v>
      </c>
      <c r="F357" s="10" t="s">
        <v>11</v>
      </c>
      <c r="G357" s="10" t="s">
        <v>13</v>
      </c>
      <c r="H357" s="10" t="s">
        <v>11</v>
      </c>
      <c r="I357" s="10" t="s">
        <v>11</v>
      </c>
      <c r="J357" s="10" t="s">
        <v>11</v>
      </c>
      <c r="L357" s="6" t="str">
        <f>IFERROR(VLOOKUP($B357,'Lista - Âmbito Projeto GD'!$B$3:$F$71,5,0),"Campo eliminado")</f>
        <v>N</v>
      </c>
      <c r="M357" s="6" t="str">
        <f t="shared" si="26"/>
        <v>Igual</v>
      </c>
      <c r="N357" s="6" t="str">
        <f>IFERROR(VLOOKUP($B357,'Lista - Âmbito Projeto GD'!$B$3:$K$71,6,0),"Campo eliminado")</f>
        <v>Y</v>
      </c>
      <c r="O357" s="6" t="str">
        <f t="shared" si="27"/>
        <v>Igual</v>
      </c>
      <c r="P357" s="6" t="str">
        <f>IFERROR(VLOOKUP($B357,'Lista - Âmbito Projeto GD'!$B$3:$K$71,7,0),"Campo eliminado")</f>
        <v>N</v>
      </c>
      <c r="Q357" s="6" t="str">
        <f t="shared" si="28"/>
        <v>Igual</v>
      </c>
      <c r="R357" s="6" t="str">
        <f>IFERROR(VLOOKUP($B357,'Lista - Âmbito Projeto GD'!$B$3:$K$71,9,0),"Campo eliminado")</f>
        <v>N</v>
      </c>
      <c r="S357" s="6" t="str">
        <f t="shared" si="29"/>
        <v>Igual</v>
      </c>
      <c r="U357" s="6" t="str">
        <f>VLOOKUP(B357,DataLake!$A$4:$A$429,1,0)</f>
        <v>INSTRUMENT_GNS_FNNCL_TRNSCTN_EXCHNG_CCRR</v>
      </c>
    </row>
    <row r="358" spans="1:21" s="20" customFormat="1" ht="15" hidden="1" customHeight="1" x14ac:dyDescent="0.3">
      <c r="A358" s="29" t="s">
        <v>1047</v>
      </c>
      <c r="B358" s="47" t="str">
        <f t="shared" si="25"/>
        <v>INSTRUMENT_BSNSS_AREA_CCRR</v>
      </c>
      <c r="C358" s="8" t="s">
        <v>414</v>
      </c>
      <c r="D358" s="9" t="s">
        <v>1048</v>
      </c>
      <c r="E358" s="14" t="s">
        <v>1049</v>
      </c>
      <c r="F358" s="10" t="s">
        <v>11</v>
      </c>
      <c r="G358" s="10" t="s">
        <v>13</v>
      </c>
      <c r="H358" s="10" t="s">
        <v>11</v>
      </c>
      <c r="I358" s="10" t="s">
        <v>11</v>
      </c>
      <c r="J358" s="10" t="s">
        <v>11</v>
      </c>
      <c r="L358" s="6" t="str">
        <f>IFERROR(VLOOKUP($B358,'Lista - Âmbito Projeto GD'!$B$3:$F$71,5,0),"Campo eliminado")</f>
        <v>N</v>
      </c>
      <c r="M358" s="6" t="str">
        <f t="shared" si="26"/>
        <v>Igual</v>
      </c>
      <c r="N358" s="6" t="str">
        <f>IFERROR(VLOOKUP($B358,'Lista - Âmbito Projeto GD'!$B$3:$K$71,6,0),"Campo eliminado")</f>
        <v>Y</v>
      </c>
      <c r="O358" s="6" t="str">
        <f t="shared" si="27"/>
        <v>Igual</v>
      </c>
      <c r="P358" s="6" t="str">
        <f>IFERROR(VLOOKUP($B358,'Lista - Âmbito Projeto GD'!$B$3:$K$71,7,0),"Campo eliminado")</f>
        <v>N</v>
      </c>
      <c r="Q358" s="6" t="str">
        <f t="shared" si="28"/>
        <v>Igual</v>
      </c>
      <c r="R358" s="6" t="str">
        <f>IFERROR(VLOOKUP($B358,'Lista - Âmbito Projeto GD'!$B$3:$K$71,9,0),"Campo eliminado")</f>
        <v>N</v>
      </c>
      <c r="S358" s="6" t="str">
        <f t="shared" si="29"/>
        <v>Igual</v>
      </c>
      <c r="U358" s="6" t="str">
        <f>VLOOKUP(B358,DataLake!$A$4:$A$429,1,0)</f>
        <v>INSTRUMENT_BSNSS_AREA_CCRR</v>
      </c>
    </row>
    <row r="359" spans="1:21" ht="15" hidden="1" customHeight="1" x14ac:dyDescent="0.3">
      <c r="A359" s="29" t="s">
        <v>1050</v>
      </c>
      <c r="B359" s="47" t="str">
        <f t="shared" si="25"/>
        <v>INSTRUMENT_GRSS_CMMSSN_INCM_OFF_BLNC_CCRR</v>
      </c>
      <c r="C359" s="8" t="s">
        <v>414</v>
      </c>
      <c r="D359" s="17" t="s">
        <v>1051</v>
      </c>
      <c r="E359" s="18" t="s">
        <v>1052</v>
      </c>
      <c r="F359" s="10" t="s">
        <v>11</v>
      </c>
      <c r="G359" s="10" t="s">
        <v>13</v>
      </c>
      <c r="H359" s="10" t="s">
        <v>11</v>
      </c>
      <c r="I359" s="10" t="s">
        <v>11</v>
      </c>
      <c r="J359" s="10" t="s">
        <v>11</v>
      </c>
      <c r="L359" s="6" t="str">
        <f>IFERROR(VLOOKUP($B359,'Lista - Âmbito Projeto GD'!$B$3:$F$71,5,0),"Campo eliminado")</f>
        <v>N</v>
      </c>
      <c r="M359" s="6" t="str">
        <f t="shared" si="26"/>
        <v>Igual</v>
      </c>
      <c r="N359" s="6" t="str">
        <f>IFERROR(VLOOKUP($B359,'Lista - Âmbito Projeto GD'!$B$3:$K$71,6,0),"Campo eliminado")</f>
        <v>Y</v>
      </c>
      <c r="O359" s="6" t="str">
        <f t="shared" si="27"/>
        <v>Igual</v>
      </c>
      <c r="P359" s="6" t="str">
        <f>IFERROR(VLOOKUP($B359,'Lista - Âmbito Projeto GD'!$B$3:$K$71,7,0),"Campo eliminado")</f>
        <v>N</v>
      </c>
      <c r="Q359" s="6" t="str">
        <f t="shared" si="28"/>
        <v>Igual</v>
      </c>
      <c r="R359" s="6" t="str">
        <f>IFERROR(VLOOKUP($B359,'Lista - Âmbito Projeto GD'!$B$3:$K$71,9,0),"Campo eliminado")</f>
        <v>N</v>
      </c>
      <c r="S359" s="6" t="str">
        <f t="shared" si="29"/>
        <v>Igual</v>
      </c>
      <c r="U359" s="6" t="str">
        <f>VLOOKUP(B359,DataLake!$A$4:$A$429,1,0)</f>
        <v>INSTRUMENT_GRSS_CMMSSN_INCM_OFF_BLNC_CCRR</v>
      </c>
    </row>
    <row r="360" spans="1:21" ht="15" hidden="1" customHeight="1" x14ac:dyDescent="0.3">
      <c r="A360" s="29" t="s">
        <v>1053</v>
      </c>
      <c r="B360" s="47" t="str">
        <f t="shared" si="25"/>
        <v>INSTRUMENT_GRSS_CMMSSN_EXPNS_OFF_BLNC_CCRR</v>
      </c>
      <c r="C360" s="8" t="s">
        <v>414</v>
      </c>
      <c r="D360" s="17" t="s">
        <v>1054</v>
      </c>
      <c r="E360" s="18" t="s">
        <v>1055</v>
      </c>
      <c r="F360" s="10" t="s">
        <v>11</v>
      </c>
      <c r="G360" s="10" t="s">
        <v>13</v>
      </c>
      <c r="H360" s="10" t="s">
        <v>11</v>
      </c>
      <c r="I360" s="10" t="s">
        <v>11</v>
      </c>
      <c r="J360" s="10" t="s">
        <v>11</v>
      </c>
      <c r="L360" s="6" t="str">
        <f>IFERROR(VLOOKUP($B360,'Lista - Âmbito Projeto GD'!$B$3:$F$71,5,0),"Campo eliminado")</f>
        <v>N</v>
      </c>
      <c r="M360" s="6" t="str">
        <f t="shared" si="26"/>
        <v>Igual</v>
      </c>
      <c r="N360" s="6" t="str">
        <f>IFERROR(VLOOKUP($B360,'Lista - Âmbito Projeto GD'!$B$3:$K$71,6,0),"Campo eliminado")</f>
        <v>Y</v>
      </c>
      <c r="O360" s="6" t="str">
        <f t="shared" si="27"/>
        <v>Igual</v>
      </c>
      <c r="P360" s="6" t="str">
        <f>IFERROR(VLOOKUP($B360,'Lista - Âmbito Projeto GD'!$B$3:$K$71,7,0),"Campo eliminado")</f>
        <v>N</v>
      </c>
      <c r="Q360" s="6" t="str">
        <f t="shared" si="28"/>
        <v>Igual</v>
      </c>
      <c r="R360" s="6" t="str">
        <f>IFERROR(VLOOKUP($B360,'Lista - Âmbito Projeto GD'!$B$3:$K$71,9,0),"Campo eliminado")</f>
        <v>N</v>
      </c>
      <c r="S360" s="6" t="str">
        <f t="shared" si="29"/>
        <v>Igual</v>
      </c>
      <c r="U360" s="6" t="str">
        <f>VLOOKUP(B360,DataLake!$A$4:$A$429,1,0)</f>
        <v>INSTRUMENT_GRSS_CMMSSN_EXPNS_OFF_BLNC_CCRR</v>
      </c>
    </row>
    <row r="361" spans="1:21" ht="15" hidden="1" customHeight="1" x14ac:dyDescent="0.3">
      <c r="A361" s="29" t="s">
        <v>1056</v>
      </c>
      <c r="B361" s="47" t="str">
        <f t="shared" si="25"/>
        <v>INSTRUMENT_ENVRNMNTL_OBJCTV</v>
      </c>
      <c r="C361" s="8" t="s">
        <v>414</v>
      </c>
      <c r="D361" s="9" t="s">
        <v>1057</v>
      </c>
      <c r="E361" s="14" t="s">
        <v>1058</v>
      </c>
      <c r="F361" s="10" t="s">
        <v>11</v>
      </c>
      <c r="G361" s="10" t="s">
        <v>11</v>
      </c>
      <c r="H361" s="10" t="s">
        <v>13</v>
      </c>
      <c r="I361" s="10" t="s">
        <v>11</v>
      </c>
      <c r="J361" s="10" t="s">
        <v>11</v>
      </c>
      <c r="L361" s="6" t="str">
        <f>IFERROR(VLOOKUP($B361,'Lista - Âmbito Projeto GD'!$B$3:$F$71,5,0),"Campo eliminado")</f>
        <v>Campo eliminado</v>
      </c>
      <c r="M361" s="6" t="str">
        <f t="shared" si="26"/>
        <v>Campo eliminado</v>
      </c>
      <c r="N361" s="6" t="str">
        <f>IFERROR(VLOOKUP($B361,'Lista - Âmbito Projeto GD'!$B$3:$K$71,6,0),"Campo eliminado")</f>
        <v>Campo eliminado</v>
      </c>
      <c r="O361" s="6" t="str">
        <f t="shared" si="27"/>
        <v>Campo eliminado</v>
      </c>
      <c r="P361" s="6" t="str">
        <f>IFERROR(VLOOKUP($B361,'Lista - Âmbito Projeto GD'!$B$3:$K$71,7,0),"Campo eliminado")</f>
        <v>Campo eliminado</v>
      </c>
      <c r="Q361" s="6" t="str">
        <f t="shared" si="28"/>
        <v>Campo eliminado</v>
      </c>
      <c r="R361" s="6" t="str">
        <f>IFERROR(VLOOKUP($B361,'Lista - Âmbito Projeto GD'!$B$3:$K$71,9,0),"Campo eliminado")</f>
        <v>Campo eliminado</v>
      </c>
      <c r="S361" s="6" t="str">
        <f t="shared" si="29"/>
        <v>Campo eliminado</v>
      </c>
      <c r="U361" s="6" t="str">
        <f>VLOOKUP(B361,DataLake!$A$4:$A$429,1,0)</f>
        <v>INSTRUMENT_ENVRNMNTL_OBJCTV</v>
      </c>
    </row>
    <row r="362" spans="1:21" ht="15" hidden="1" customHeight="1" x14ac:dyDescent="0.3">
      <c r="A362" s="29" t="s">
        <v>1059</v>
      </c>
      <c r="B362" s="47" t="str">
        <f t="shared" si="25"/>
        <v>INSTRUMENT_RSK_MTGTD_CCT</v>
      </c>
      <c r="C362" s="8" t="s">
        <v>414</v>
      </c>
      <c r="D362" s="9" t="s">
        <v>1060</v>
      </c>
      <c r="E362" s="11" t="s">
        <v>1061</v>
      </c>
      <c r="F362" s="10" t="s">
        <v>11</v>
      </c>
      <c r="G362" s="10" t="s">
        <v>11</v>
      </c>
      <c r="H362" s="10" t="s">
        <v>13</v>
      </c>
      <c r="I362" s="10" t="s">
        <v>11</v>
      </c>
      <c r="J362" s="10" t="s">
        <v>11</v>
      </c>
      <c r="L362" s="6" t="str">
        <f>IFERROR(VLOOKUP($B362,'Lista - Âmbito Projeto GD'!$B$3:$F$71,5,0),"Campo eliminado")</f>
        <v>Campo eliminado</v>
      </c>
      <c r="M362" s="6" t="str">
        <f t="shared" si="26"/>
        <v>Campo eliminado</v>
      </c>
      <c r="N362" s="6" t="str">
        <f>IFERROR(VLOOKUP($B362,'Lista - Âmbito Projeto GD'!$B$3:$K$71,6,0),"Campo eliminado")</f>
        <v>Campo eliminado</v>
      </c>
      <c r="O362" s="6" t="str">
        <f t="shared" si="27"/>
        <v>Campo eliminado</v>
      </c>
      <c r="P362" s="6" t="str">
        <f>IFERROR(VLOOKUP($B362,'Lista - Âmbito Projeto GD'!$B$3:$K$71,7,0),"Campo eliminado")</f>
        <v>Campo eliminado</v>
      </c>
      <c r="Q362" s="6" t="str">
        <f t="shared" si="28"/>
        <v>Campo eliminado</v>
      </c>
      <c r="R362" s="6" t="str">
        <f>IFERROR(VLOOKUP($B362,'Lista - Âmbito Projeto GD'!$B$3:$K$71,9,0),"Campo eliminado")</f>
        <v>Campo eliminado</v>
      </c>
      <c r="S362" s="6" t="str">
        <f t="shared" si="29"/>
        <v>Campo eliminado</v>
      </c>
      <c r="U362" s="6" t="str">
        <f>VLOOKUP(B362,DataLake!$A$4:$A$429,1,0)</f>
        <v>INSTRUMENT_RSK_MTGTD_CCT</v>
      </c>
    </row>
    <row r="363" spans="1:21" ht="14.9" hidden="1" customHeight="1" x14ac:dyDescent="0.3">
      <c r="A363" s="29" t="s">
        <v>1062</v>
      </c>
      <c r="B363" s="47" t="str">
        <f t="shared" si="25"/>
        <v>INSTRUMENT_RSK_MTGTD_CCP</v>
      </c>
      <c r="C363" s="8" t="s">
        <v>414</v>
      </c>
      <c r="D363" s="9" t="s">
        <v>1063</v>
      </c>
      <c r="E363" s="27" t="s">
        <v>1064</v>
      </c>
      <c r="F363" s="10" t="s">
        <v>11</v>
      </c>
      <c r="G363" s="10" t="s">
        <v>11</v>
      </c>
      <c r="H363" s="10" t="s">
        <v>13</v>
      </c>
      <c r="I363" s="10" t="s">
        <v>11</v>
      </c>
      <c r="J363" s="10" t="s">
        <v>11</v>
      </c>
      <c r="L363" s="6" t="str">
        <f>IFERROR(VLOOKUP($B363,'Lista - Âmbito Projeto GD'!$B$3:$F$71,5,0),"Campo eliminado")</f>
        <v>Campo eliminado</v>
      </c>
      <c r="M363" s="6" t="str">
        <f t="shared" si="26"/>
        <v>Campo eliminado</v>
      </c>
      <c r="N363" s="6" t="str">
        <f>IFERROR(VLOOKUP($B363,'Lista - Âmbito Projeto GD'!$B$3:$K$71,6,0),"Campo eliminado")</f>
        <v>Campo eliminado</v>
      </c>
      <c r="O363" s="6" t="str">
        <f t="shared" si="27"/>
        <v>Campo eliminado</v>
      </c>
      <c r="P363" s="6" t="str">
        <f>IFERROR(VLOOKUP($B363,'Lista - Âmbito Projeto GD'!$B$3:$K$71,7,0),"Campo eliminado")</f>
        <v>Campo eliminado</v>
      </c>
      <c r="Q363" s="6" t="str">
        <f t="shared" si="28"/>
        <v>Campo eliminado</v>
      </c>
      <c r="R363" s="6" t="str">
        <f>IFERROR(VLOOKUP($B363,'Lista - Âmbito Projeto GD'!$B$3:$K$71,9,0),"Campo eliminado")</f>
        <v>Campo eliminado</v>
      </c>
      <c r="S363" s="6" t="str">
        <f t="shared" si="29"/>
        <v>Campo eliminado</v>
      </c>
      <c r="U363" s="6" t="str">
        <f>VLOOKUP(B363,DataLake!$A$4:$A$429,1,0)</f>
        <v>INSTRUMENT_RSK_MTGTD_CCP</v>
      </c>
    </row>
    <row r="364" spans="1:21" ht="14.9" hidden="1" customHeight="1" x14ac:dyDescent="0.3">
      <c r="A364" s="29" t="s">
        <v>1065</v>
      </c>
      <c r="B364" s="47" t="str">
        <f t="shared" si="25"/>
        <v>INSTRUMENT_TYP_ACTVTY</v>
      </c>
      <c r="C364" s="8" t="s">
        <v>414</v>
      </c>
      <c r="D364" s="9" t="s">
        <v>1066</v>
      </c>
      <c r="E364" s="30" t="s">
        <v>1067</v>
      </c>
      <c r="F364" s="10" t="s">
        <v>11</v>
      </c>
      <c r="G364" s="10" t="s">
        <v>11</v>
      </c>
      <c r="H364" s="10" t="s">
        <v>13</v>
      </c>
      <c r="I364" s="10" t="s">
        <v>11</v>
      </c>
      <c r="J364" s="10" t="s">
        <v>11</v>
      </c>
      <c r="L364" s="6" t="str">
        <f>IFERROR(VLOOKUP($B364,'Lista - Âmbito Projeto GD'!$B$3:$F$71,5,0),"Campo eliminado")</f>
        <v>Campo eliminado</v>
      </c>
      <c r="M364" s="6" t="str">
        <f t="shared" si="26"/>
        <v>Campo eliminado</v>
      </c>
      <c r="N364" s="6" t="str">
        <f>IFERROR(VLOOKUP($B364,'Lista - Âmbito Projeto GD'!$B$3:$K$71,6,0),"Campo eliminado")</f>
        <v>Campo eliminado</v>
      </c>
      <c r="O364" s="6" t="str">
        <f t="shared" si="27"/>
        <v>Campo eliminado</v>
      </c>
      <c r="P364" s="6" t="str">
        <f>IFERROR(VLOOKUP($B364,'Lista - Âmbito Projeto GD'!$B$3:$K$71,7,0),"Campo eliminado")</f>
        <v>Campo eliminado</v>
      </c>
      <c r="Q364" s="6" t="str">
        <f t="shared" si="28"/>
        <v>Campo eliminado</v>
      </c>
      <c r="R364" s="6" t="str">
        <f>IFERROR(VLOOKUP($B364,'Lista - Âmbito Projeto GD'!$B$3:$K$71,9,0),"Campo eliminado")</f>
        <v>Campo eliminado</v>
      </c>
      <c r="S364" s="6" t="str">
        <f t="shared" si="29"/>
        <v>Campo eliminado</v>
      </c>
      <c r="U364" s="6" t="str">
        <f>VLOOKUP(B364,DataLake!$A$4:$A$429,1,0)</f>
        <v>INSTRUMENT_TYP_ACTVTY</v>
      </c>
    </row>
    <row r="365" spans="1:21" ht="15" hidden="1" customHeight="1" x14ac:dyDescent="0.3">
      <c r="A365" s="29" t="s">
        <v>1068</v>
      </c>
      <c r="B365" s="47" t="str">
        <f t="shared" si="25"/>
        <v>INSTRUMENT_LNS_CLLTRLZD_CLSSFCTN</v>
      </c>
      <c r="C365" s="8" t="s">
        <v>414</v>
      </c>
      <c r="D365" s="9" t="s">
        <v>1069</v>
      </c>
      <c r="E365" s="15" t="s">
        <v>1070</v>
      </c>
      <c r="F365" s="10" t="s">
        <v>11</v>
      </c>
      <c r="G365" s="10" t="s">
        <v>11</v>
      </c>
      <c r="H365" s="10" t="s">
        <v>13</v>
      </c>
      <c r="I365" s="10" t="s">
        <v>11</v>
      </c>
      <c r="J365" s="10" t="s">
        <v>11</v>
      </c>
      <c r="L365" s="6" t="str">
        <f>IFERROR(VLOOKUP($B365,'Lista - Âmbito Projeto GD'!$B$3:$F$71,5,0),"Campo eliminado")</f>
        <v>Campo eliminado</v>
      </c>
      <c r="M365" s="6" t="str">
        <f t="shared" si="26"/>
        <v>Campo eliminado</v>
      </c>
      <c r="N365" s="6" t="str">
        <f>IFERROR(VLOOKUP($B365,'Lista - Âmbito Projeto GD'!$B$3:$K$71,6,0),"Campo eliminado")</f>
        <v>Campo eliminado</v>
      </c>
      <c r="O365" s="6" t="str">
        <f t="shared" si="27"/>
        <v>Campo eliminado</v>
      </c>
      <c r="P365" s="6" t="str">
        <f>IFERROR(VLOOKUP($B365,'Lista - Âmbito Projeto GD'!$B$3:$K$71,7,0),"Campo eliminado")</f>
        <v>Campo eliminado</v>
      </c>
      <c r="Q365" s="6" t="str">
        <f t="shared" si="28"/>
        <v>Campo eliminado</v>
      </c>
      <c r="R365" s="6" t="str">
        <f>IFERROR(VLOOKUP($B365,'Lista - Âmbito Projeto GD'!$B$3:$K$71,9,0),"Campo eliminado")</f>
        <v>Campo eliminado</v>
      </c>
      <c r="S365" s="6" t="str">
        <f t="shared" si="29"/>
        <v>Campo eliminado</v>
      </c>
      <c r="U365" s="6" t="str">
        <f>VLOOKUP(B365,DataLake!$A$4:$A$429,1,0)</f>
        <v>INSTRUMENT_LNS_CLLTRLZD_CLSSFCTN</v>
      </c>
    </row>
    <row r="366" spans="1:21" ht="15" hidden="1" customHeight="1" x14ac:dyDescent="0.3">
      <c r="A366" s="29" t="s">
        <v>1071</v>
      </c>
      <c r="B366" s="47" t="str">
        <f t="shared" si="25"/>
        <v>INSTRUMENT_MTHD_USD_INSTRMNT_SCP_1</v>
      </c>
      <c r="C366" s="8" t="s">
        <v>414</v>
      </c>
      <c r="D366" s="9" t="s">
        <v>1072</v>
      </c>
      <c r="E366" s="18" t="s">
        <v>1073</v>
      </c>
      <c r="F366" s="10" t="s">
        <v>11</v>
      </c>
      <c r="G366" s="10" t="s">
        <v>11</v>
      </c>
      <c r="H366" s="10" t="s">
        <v>13</v>
      </c>
      <c r="I366" s="10" t="s">
        <v>11</v>
      </c>
      <c r="J366" s="10" t="s">
        <v>11</v>
      </c>
      <c r="L366" s="6" t="str">
        <f>IFERROR(VLOOKUP($B366,'Lista - Âmbito Projeto GD'!$B$3:$F$71,5,0),"Campo eliminado")</f>
        <v>Campo eliminado</v>
      </c>
      <c r="M366" s="6" t="str">
        <f t="shared" si="26"/>
        <v>Campo eliminado</v>
      </c>
      <c r="N366" s="6" t="str">
        <f>IFERROR(VLOOKUP($B366,'Lista - Âmbito Projeto GD'!$B$3:$K$71,6,0),"Campo eliminado")</f>
        <v>Campo eliminado</v>
      </c>
      <c r="O366" s="6" t="str">
        <f t="shared" si="27"/>
        <v>Campo eliminado</v>
      </c>
      <c r="P366" s="6" t="str">
        <f>IFERROR(VLOOKUP($B366,'Lista - Âmbito Projeto GD'!$B$3:$K$71,7,0),"Campo eliminado")</f>
        <v>Campo eliminado</v>
      </c>
      <c r="Q366" s="6" t="str">
        <f t="shared" si="28"/>
        <v>Campo eliminado</v>
      </c>
      <c r="R366" s="6" t="str">
        <f>IFERROR(VLOOKUP($B366,'Lista - Âmbito Projeto GD'!$B$3:$K$71,9,0),"Campo eliminado")</f>
        <v>Campo eliminado</v>
      </c>
      <c r="S366" s="6" t="str">
        <f t="shared" si="29"/>
        <v>Campo eliminado</v>
      </c>
      <c r="U366" s="6" t="str">
        <f>VLOOKUP(B366,DataLake!$A$4:$A$429,1,0)</f>
        <v>INSTRUMENT_MTHD_USD_INSTRMNT_SCP_1</v>
      </c>
    </row>
    <row r="367" spans="1:21" ht="15" hidden="1" customHeight="1" x14ac:dyDescent="0.3">
      <c r="A367" s="29" t="s">
        <v>1074</v>
      </c>
      <c r="B367" s="47" t="str">
        <f t="shared" si="25"/>
        <v>INSTRUMENT_MTHD_USD_INSTRMNT_SCP_2</v>
      </c>
      <c r="C367" s="8" t="s">
        <v>414</v>
      </c>
      <c r="D367" s="9" t="s">
        <v>1075</v>
      </c>
      <c r="E367" s="18" t="s">
        <v>1076</v>
      </c>
      <c r="F367" s="10" t="s">
        <v>11</v>
      </c>
      <c r="G367" s="10" t="s">
        <v>11</v>
      </c>
      <c r="H367" s="10" t="s">
        <v>13</v>
      </c>
      <c r="I367" s="10" t="s">
        <v>11</v>
      </c>
      <c r="J367" s="10" t="s">
        <v>11</v>
      </c>
      <c r="L367" s="6" t="str">
        <f>IFERROR(VLOOKUP($B367,'Lista - Âmbito Projeto GD'!$B$3:$F$71,5,0),"Campo eliminado")</f>
        <v>Campo eliminado</v>
      </c>
      <c r="M367" s="6" t="str">
        <f t="shared" si="26"/>
        <v>Campo eliminado</v>
      </c>
      <c r="N367" s="6" t="str">
        <f>IFERROR(VLOOKUP($B367,'Lista - Âmbito Projeto GD'!$B$3:$K$71,6,0),"Campo eliminado")</f>
        <v>Campo eliminado</v>
      </c>
      <c r="O367" s="6" t="str">
        <f t="shared" si="27"/>
        <v>Campo eliminado</v>
      </c>
      <c r="P367" s="6" t="str">
        <f>IFERROR(VLOOKUP($B367,'Lista - Âmbito Projeto GD'!$B$3:$K$71,7,0),"Campo eliminado")</f>
        <v>Campo eliminado</v>
      </c>
      <c r="Q367" s="6" t="str">
        <f t="shared" si="28"/>
        <v>Campo eliminado</v>
      </c>
      <c r="R367" s="6" t="str">
        <f>IFERROR(VLOOKUP($B367,'Lista - Âmbito Projeto GD'!$B$3:$K$71,9,0),"Campo eliminado")</f>
        <v>Campo eliminado</v>
      </c>
      <c r="S367" s="6" t="str">
        <f t="shared" si="29"/>
        <v>Campo eliminado</v>
      </c>
      <c r="U367" s="6" t="str">
        <f>VLOOKUP(B367,DataLake!$A$4:$A$429,1,0)</f>
        <v>INSTRUMENT_MTHD_USD_INSTRMNT_SCP_2</v>
      </c>
    </row>
    <row r="368" spans="1:21" ht="15" hidden="1" customHeight="1" x14ac:dyDescent="0.3">
      <c r="A368" s="29" t="s">
        <v>1077</v>
      </c>
      <c r="B368" s="47" t="str">
        <f t="shared" si="25"/>
        <v>INSTRUMENT_MTHD_USD_INSTRMNT_SCP_3</v>
      </c>
      <c r="C368" s="8" t="s">
        <v>414</v>
      </c>
      <c r="D368" s="9" t="s">
        <v>1078</v>
      </c>
      <c r="E368" s="18" t="s">
        <v>1079</v>
      </c>
      <c r="F368" s="10" t="s">
        <v>11</v>
      </c>
      <c r="G368" s="10" t="s">
        <v>11</v>
      </c>
      <c r="H368" s="10" t="s">
        <v>13</v>
      </c>
      <c r="I368" s="10" t="s">
        <v>11</v>
      </c>
      <c r="J368" s="10" t="s">
        <v>11</v>
      </c>
      <c r="L368" s="6" t="str">
        <f>IFERROR(VLOOKUP($B368,'Lista - Âmbito Projeto GD'!$B$3:$F$71,5,0),"Campo eliminado")</f>
        <v>Campo eliminado</v>
      </c>
      <c r="M368" s="6" t="str">
        <f t="shared" si="26"/>
        <v>Campo eliminado</v>
      </c>
      <c r="N368" s="6" t="str">
        <f>IFERROR(VLOOKUP($B368,'Lista - Âmbito Projeto GD'!$B$3:$K$71,6,0),"Campo eliminado")</f>
        <v>Campo eliminado</v>
      </c>
      <c r="O368" s="6" t="str">
        <f t="shared" si="27"/>
        <v>Campo eliminado</v>
      </c>
      <c r="P368" s="6" t="str">
        <f>IFERROR(VLOOKUP($B368,'Lista - Âmbito Projeto GD'!$B$3:$K$71,7,0),"Campo eliminado")</f>
        <v>Campo eliminado</v>
      </c>
      <c r="Q368" s="6" t="str">
        <f t="shared" si="28"/>
        <v>Campo eliminado</v>
      </c>
      <c r="R368" s="6" t="str">
        <f>IFERROR(VLOOKUP($B368,'Lista - Âmbito Projeto GD'!$B$3:$K$71,9,0),"Campo eliminado")</f>
        <v>Campo eliminado</v>
      </c>
      <c r="S368" s="6" t="str">
        <f t="shared" si="29"/>
        <v>Campo eliminado</v>
      </c>
      <c r="U368" s="6" t="str">
        <f>VLOOKUP(B368,DataLake!$A$4:$A$429,1,0)</f>
        <v>INSTRUMENT_MTHD_USD_INSTRMNT_SCP_3</v>
      </c>
    </row>
    <row r="369" spans="1:21" ht="15" hidden="1" customHeight="1" x14ac:dyDescent="0.3">
      <c r="A369" s="7" t="s">
        <v>1080</v>
      </c>
      <c r="B369" s="47" t="str">
        <f t="shared" si="25"/>
        <v>INSTRUMENT_CNCLLD_INSTRMNT_STTS</v>
      </c>
      <c r="C369" s="8" t="s">
        <v>414</v>
      </c>
      <c r="D369" s="17" t="s">
        <v>1081</v>
      </c>
      <c r="E369" s="32" t="s">
        <v>1082</v>
      </c>
      <c r="F369" s="10" t="s">
        <v>11</v>
      </c>
      <c r="G369" s="10" t="s">
        <v>13</v>
      </c>
      <c r="H369" s="10" t="s">
        <v>11</v>
      </c>
      <c r="I369" s="10" t="s">
        <v>11</v>
      </c>
      <c r="J369" s="10" t="s">
        <v>11</v>
      </c>
      <c r="L369" s="6" t="str">
        <f>IFERROR(VLOOKUP($B369,'Lista - Âmbito Projeto GD'!$B$3:$F$71,5,0),"Campo eliminado")</f>
        <v>N</v>
      </c>
      <c r="M369" s="6" t="str">
        <f t="shared" si="26"/>
        <v>Igual</v>
      </c>
      <c r="N369" s="6" t="str">
        <f>IFERROR(VLOOKUP($B369,'Lista - Âmbito Projeto GD'!$B$3:$K$71,6,0),"Campo eliminado")</f>
        <v>Y</v>
      </c>
      <c r="O369" s="6" t="str">
        <f t="shared" si="27"/>
        <v>Igual</v>
      </c>
      <c r="P369" s="6" t="str">
        <f>IFERROR(VLOOKUP($B369,'Lista - Âmbito Projeto GD'!$B$3:$K$71,7,0),"Campo eliminado")</f>
        <v>N</v>
      </c>
      <c r="Q369" s="6" t="str">
        <f t="shared" si="28"/>
        <v>Igual</v>
      </c>
      <c r="R369" s="6" t="str">
        <f>IFERROR(VLOOKUP($B369,'Lista - Âmbito Projeto GD'!$B$3:$K$71,9,0),"Campo eliminado")</f>
        <v>N</v>
      </c>
      <c r="S369" s="6" t="str">
        <f t="shared" si="29"/>
        <v>Igual</v>
      </c>
      <c r="U369" s="6" t="str">
        <f>VLOOKUP(B369,DataLake!$A$4:$A$429,1,0)</f>
        <v>INSTRUMENT_CNCLLD_INSTRMNT_STTS</v>
      </c>
    </row>
    <row r="370" spans="1:21" ht="15" hidden="1" customHeight="1" x14ac:dyDescent="0.3">
      <c r="A370" s="7" t="s">
        <v>1083</v>
      </c>
      <c r="B370" s="47" t="str">
        <f t="shared" si="25"/>
        <v>INSTRUMENT_IDCMB</v>
      </c>
      <c r="C370" s="8" t="s">
        <v>414</v>
      </c>
      <c r="D370" s="9" t="s">
        <v>1084</v>
      </c>
      <c r="E370" s="32" t="s">
        <v>1085</v>
      </c>
      <c r="F370" s="10" t="s">
        <v>13</v>
      </c>
      <c r="G370" s="10" t="s">
        <v>13</v>
      </c>
      <c r="H370" s="10" t="s">
        <v>13</v>
      </c>
      <c r="I370" s="10" t="s">
        <v>13</v>
      </c>
      <c r="J370" s="10" t="s">
        <v>11</v>
      </c>
      <c r="L370" s="6" t="str">
        <f>IFERROR(VLOOKUP($B370,'Lista - Âmbito Projeto GD'!$B$3:$F$71,5,0),"Campo eliminado")</f>
        <v>Y</v>
      </c>
      <c r="M370" s="6" t="str">
        <f t="shared" si="26"/>
        <v>Igual</v>
      </c>
      <c r="N370" s="6" t="str">
        <f>IFERROR(VLOOKUP($B370,'Lista - Âmbito Projeto GD'!$B$3:$K$71,6,0),"Campo eliminado")</f>
        <v>Y</v>
      </c>
      <c r="O370" s="6" t="str">
        <f t="shared" si="27"/>
        <v>Igual</v>
      </c>
      <c r="P370" s="6" t="str">
        <f>IFERROR(VLOOKUP($B370,'Lista - Âmbito Projeto GD'!$B$3:$K$71,7,0),"Campo eliminado")</f>
        <v>Y</v>
      </c>
      <c r="Q370" s="6" t="str">
        <f t="shared" si="28"/>
        <v>Igual</v>
      </c>
      <c r="R370" s="6" t="str">
        <f>IFERROR(VLOOKUP($B370,'Lista - Âmbito Projeto GD'!$B$3:$K$71,9,0),"Campo eliminado")</f>
        <v>Y</v>
      </c>
      <c r="S370" s="6" t="str">
        <f t="shared" si="29"/>
        <v>Igual</v>
      </c>
      <c r="U370" s="6" t="str">
        <f>VLOOKUP(B370,DataLake!$A$4:$A$429,1,0)</f>
        <v>INSTRUMENT_IDCMB</v>
      </c>
    </row>
    <row r="371" spans="1:21" ht="15" hidden="1" customHeight="1" x14ac:dyDescent="0.3">
      <c r="A371" s="7" t="s">
        <v>1086</v>
      </c>
      <c r="B371" s="47" t="str">
        <f t="shared" si="25"/>
        <v>INSTRUMENT_EXPCTD_LSS_CRR</v>
      </c>
      <c r="C371" s="8" t="s">
        <v>414</v>
      </c>
      <c r="D371" s="9" t="s">
        <v>1087</v>
      </c>
      <c r="E371" s="33" t="s">
        <v>1088</v>
      </c>
      <c r="F371" s="10" t="s">
        <v>13</v>
      </c>
      <c r="G371" s="10" t="s">
        <v>11</v>
      </c>
      <c r="H371" s="10" t="s">
        <v>11</v>
      </c>
      <c r="I371" s="10" t="s">
        <v>11</v>
      </c>
      <c r="J371" s="10" t="s">
        <v>11</v>
      </c>
      <c r="L371" s="6" t="str">
        <f>IFERROR(VLOOKUP($B371,'Lista - Âmbito Projeto GD'!$B$3:$F$71,5,0),"Campo eliminado")</f>
        <v>Campo eliminado</v>
      </c>
      <c r="M371" s="6" t="str">
        <f t="shared" si="26"/>
        <v>Campo eliminado</v>
      </c>
      <c r="N371" s="6" t="str">
        <f>IFERROR(VLOOKUP($B371,'Lista - Âmbito Projeto GD'!$B$3:$K$71,6,0),"Campo eliminado")</f>
        <v>Campo eliminado</v>
      </c>
      <c r="O371" s="6" t="str">
        <f t="shared" si="27"/>
        <v>Campo eliminado</v>
      </c>
      <c r="P371" s="6" t="str">
        <f>IFERROR(VLOOKUP($B371,'Lista - Âmbito Projeto GD'!$B$3:$K$71,7,0),"Campo eliminado")</f>
        <v>Campo eliminado</v>
      </c>
      <c r="Q371" s="6" t="str">
        <f t="shared" si="28"/>
        <v>Campo eliminado</v>
      </c>
      <c r="R371" s="6" t="str">
        <f>IFERROR(VLOOKUP($B371,'Lista - Âmbito Projeto GD'!$B$3:$K$71,9,0),"Campo eliminado")</f>
        <v>Campo eliminado</v>
      </c>
      <c r="S371" s="6" t="str">
        <f t="shared" si="29"/>
        <v>Campo eliminado</v>
      </c>
      <c r="U371" s="6" t="str">
        <f>VLOOKUP(B371,DataLake!$A$4:$A$429,1,0)</f>
        <v>INSTRUMENT_EXPCTD_LSS_CRR</v>
      </c>
    </row>
    <row r="372" spans="1:21" ht="15" hidden="1" customHeight="1" x14ac:dyDescent="0.3">
      <c r="A372" s="7" t="s">
        <v>1089</v>
      </c>
      <c r="B372" s="47" t="str">
        <f t="shared" si="25"/>
        <v>INSTRUMENT_LSTI</v>
      </c>
      <c r="C372" s="8" t="s">
        <v>414</v>
      </c>
      <c r="D372" s="9" t="s">
        <v>1090</v>
      </c>
      <c r="E372" s="32" t="s">
        <v>1091</v>
      </c>
      <c r="F372" s="10" t="s">
        <v>13</v>
      </c>
      <c r="G372" s="10" t="s">
        <v>11</v>
      </c>
      <c r="H372" s="10" t="s">
        <v>11</v>
      </c>
      <c r="I372" s="10" t="s">
        <v>11</v>
      </c>
      <c r="J372" s="10" t="s">
        <v>11</v>
      </c>
      <c r="L372" s="6" t="str">
        <f>IFERROR(VLOOKUP($B372,'Lista - Âmbito Projeto GD'!$B$3:$F$71,5,0),"Campo eliminado")</f>
        <v>Campo eliminado</v>
      </c>
      <c r="M372" s="6" t="str">
        <f t="shared" si="26"/>
        <v>Campo eliminado</v>
      </c>
      <c r="N372" s="6" t="str">
        <f>IFERROR(VLOOKUP($B372,'Lista - Âmbito Projeto GD'!$B$3:$K$71,6,0),"Campo eliminado")</f>
        <v>Campo eliminado</v>
      </c>
      <c r="O372" s="6" t="str">
        <f t="shared" si="27"/>
        <v>Campo eliminado</v>
      </c>
      <c r="P372" s="6" t="str">
        <f>IFERROR(VLOOKUP($B372,'Lista - Âmbito Projeto GD'!$B$3:$K$71,7,0),"Campo eliminado")</f>
        <v>Campo eliminado</v>
      </c>
      <c r="Q372" s="6" t="str">
        <f t="shared" si="28"/>
        <v>Campo eliminado</v>
      </c>
      <c r="R372" s="6" t="str">
        <f>IFERROR(VLOOKUP($B372,'Lista - Âmbito Projeto GD'!$B$3:$K$71,9,0),"Campo eliminado")</f>
        <v>Campo eliminado</v>
      </c>
      <c r="S372" s="6" t="str">
        <f t="shared" si="29"/>
        <v>Campo eliminado</v>
      </c>
      <c r="U372" s="6" t="str">
        <f>VLOOKUP(B372,DataLake!$A$4:$A$429,1,0)</f>
        <v>INSTRUMENT_LSTI</v>
      </c>
    </row>
    <row r="373" spans="1:21" ht="15" hidden="1" customHeight="1" x14ac:dyDescent="0.3">
      <c r="A373" s="7" t="s">
        <v>1092</v>
      </c>
      <c r="B373" s="47" t="str">
        <f t="shared" si="25"/>
        <v>INSTRUMENT_DSTI</v>
      </c>
      <c r="C373" s="8" t="s">
        <v>414</v>
      </c>
      <c r="D373" s="9" t="s">
        <v>1093</v>
      </c>
      <c r="E373" s="33" t="s">
        <v>1094</v>
      </c>
      <c r="F373" s="10" t="s">
        <v>13</v>
      </c>
      <c r="G373" s="10" t="s">
        <v>11</v>
      </c>
      <c r="H373" s="10" t="s">
        <v>11</v>
      </c>
      <c r="I373" s="10" t="s">
        <v>11</v>
      </c>
      <c r="J373" s="10" t="s">
        <v>11</v>
      </c>
      <c r="L373" s="6" t="str">
        <f>IFERROR(VLOOKUP($B373,'Lista - Âmbito Projeto GD'!$B$3:$F$71,5,0),"Campo eliminado")</f>
        <v>Campo eliminado</v>
      </c>
      <c r="M373" s="6" t="str">
        <f t="shared" si="26"/>
        <v>Campo eliminado</v>
      </c>
      <c r="N373" s="6" t="str">
        <f>IFERROR(VLOOKUP($B373,'Lista - Âmbito Projeto GD'!$B$3:$K$71,6,0),"Campo eliminado")</f>
        <v>Campo eliminado</v>
      </c>
      <c r="O373" s="6" t="str">
        <f t="shared" si="27"/>
        <v>Campo eliminado</v>
      </c>
      <c r="P373" s="6" t="str">
        <f>IFERROR(VLOOKUP($B373,'Lista - Âmbito Projeto GD'!$B$3:$K$71,7,0),"Campo eliminado")</f>
        <v>Campo eliminado</v>
      </c>
      <c r="Q373" s="6" t="str">
        <f t="shared" si="28"/>
        <v>Campo eliminado</v>
      </c>
      <c r="R373" s="6" t="str">
        <f>IFERROR(VLOOKUP($B373,'Lista - Âmbito Projeto GD'!$B$3:$K$71,9,0),"Campo eliminado")</f>
        <v>Campo eliminado</v>
      </c>
      <c r="S373" s="6" t="str">
        <f t="shared" si="29"/>
        <v>Campo eliminado</v>
      </c>
      <c r="U373" s="6" t="str">
        <f>VLOOKUP(B373,DataLake!$A$4:$A$429,1,0)</f>
        <v>INSTRUMENT_DSTI</v>
      </c>
    </row>
    <row r="374" spans="1:21" ht="14" hidden="1" x14ac:dyDescent="0.3">
      <c r="A374" s="7" t="s">
        <v>1095</v>
      </c>
      <c r="B374" s="47" t="str">
        <f t="shared" si="25"/>
        <v>INSTRUMENT_LTI_INSTRMNT</v>
      </c>
      <c r="C374" s="8" t="s">
        <v>414</v>
      </c>
      <c r="D374" s="9" t="s">
        <v>1096</v>
      </c>
      <c r="E374" s="14" t="s">
        <v>207</v>
      </c>
      <c r="F374" s="10" t="s">
        <v>13</v>
      </c>
      <c r="G374" s="10" t="s">
        <v>11</v>
      </c>
      <c r="H374" s="10" t="s">
        <v>11</v>
      </c>
      <c r="I374" s="10" t="s">
        <v>11</v>
      </c>
      <c r="J374" s="10" t="s">
        <v>11</v>
      </c>
      <c r="L374" s="6" t="str">
        <f>IFERROR(VLOOKUP($B374,'Lista - Âmbito Projeto GD'!$B$3:$F$71,5,0),"Campo eliminado")</f>
        <v>Campo eliminado</v>
      </c>
      <c r="M374" s="6" t="str">
        <f t="shared" si="26"/>
        <v>Campo eliminado</v>
      </c>
      <c r="N374" s="6" t="str">
        <f>IFERROR(VLOOKUP($B374,'Lista - Âmbito Projeto GD'!$B$3:$K$71,6,0),"Campo eliminado")</f>
        <v>Campo eliminado</v>
      </c>
      <c r="O374" s="6" t="str">
        <f t="shared" si="27"/>
        <v>Campo eliminado</v>
      </c>
      <c r="P374" s="6" t="str">
        <f>IFERROR(VLOOKUP($B374,'Lista - Âmbito Projeto GD'!$B$3:$K$71,7,0),"Campo eliminado")</f>
        <v>Campo eliminado</v>
      </c>
      <c r="Q374" s="6" t="str">
        <f t="shared" si="28"/>
        <v>Campo eliminado</v>
      </c>
      <c r="R374" s="6" t="str">
        <f>IFERROR(VLOOKUP($B374,'Lista - Âmbito Projeto GD'!$B$3:$K$71,9,0),"Campo eliminado")</f>
        <v>Campo eliminado</v>
      </c>
      <c r="S374" s="6" t="str">
        <f t="shared" si="29"/>
        <v>Campo eliminado</v>
      </c>
      <c r="U374" s="6" t="str">
        <f>VLOOKUP(B374,DataLake!$A$4:$A$429,1,0)</f>
        <v>INSTRUMENT_LTI_INSTRMNT</v>
      </c>
    </row>
    <row r="375" spans="1:21" ht="15" hidden="1" customHeight="1" x14ac:dyDescent="0.3">
      <c r="A375" s="16" t="s">
        <v>1097</v>
      </c>
      <c r="B375" s="47" t="str">
        <f t="shared" si="25"/>
        <v>INSTRUMENT_SSTNBL_CTGRY_TXNMY</v>
      </c>
      <c r="C375" s="8" t="s">
        <v>414</v>
      </c>
      <c r="D375" s="17" t="s">
        <v>1098</v>
      </c>
      <c r="E375" s="14" t="s">
        <v>1099</v>
      </c>
      <c r="F375" s="10" t="s">
        <v>11</v>
      </c>
      <c r="G375" s="10" t="s">
        <v>11</v>
      </c>
      <c r="H375" s="10" t="s">
        <v>13</v>
      </c>
      <c r="I375" s="10" t="s">
        <v>11</v>
      </c>
      <c r="J375" s="10" t="s">
        <v>11</v>
      </c>
      <c r="L375" s="6" t="str">
        <f>IFERROR(VLOOKUP($B375,'Lista - Âmbito Projeto GD'!$B$3:$F$71,5,0),"Campo eliminado")</f>
        <v>Campo eliminado</v>
      </c>
      <c r="M375" s="6" t="str">
        <f t="shared" si="26"/>
        <v>Campo eliminado</v>
      </c>
      <c r="N375" s="6" t="str">
        <f>IFERROR(VLOOKUP($B375,'Lista - Âmbito Projeto GD'!$B$3:$K$71,6,0),"Campo eliminado")</f>
        <v>Campo eliminado</v>
      </c>
      <c r="O375" s="6" t="str">
        <f t="shared" si="27"/>
        <v>Campo eliminado</v>
      </c>
      <c r="P375" s="6" t="str">
        <f>IFERROR(VLOOKUP($B375,'Lista - Âmbito Projeto GD'!$B$3:$K$71,7,0),"Campo eliminado")</f>
        <v>Campo eliminado</v>
      </c>
      <c r="Q375" s="6" t="str">
        <f t="shared" si="28"/>
        <v>Campo eliminado</v>
      </c>
      <c r="R375" s="6" t="str">
        <f>IFERROR(VLOOKUP($B375,'Lista - Âmbito Projeto GD'!$B$3:$K$71,9,0),"Campo eliminado")</f>
        <v>Campo eliminado</v>
      </c>
      <c r="S375" s="6" t="str">
        <f t="shared" si="29"/>
        <v>Campo eliminado</v>
      </c>
      <c r="U375" s="6" t="str">
        <f>VLOOKUP(B375,DataLake!$A$4:$A$429,1,0)</f>
        <v>INSTRUMENT_SSTNBL_CTGRY_TXNMY</v>
      </c>
    </row>
    <row r="376" spans="1:21" ht="15" hidden="1" customHeight="1" x14ac:dyDescent="0.3">
      <c r="A376" s="7" t="s">
        <v>1100</v>
      </c>
      <c r="B376" s="47" t="str">
        <f t="shared" si="25"/>
        <v>INSTR_PROTECTION_COD_SOC</v>
      </c>
      <c r="C376" s="8" t="s">
        <v>1101</v>
      </c>
      <c r="D376" s="9" t="s">
        <v>12</v>
      </c>
      <c r="E376" s="11" t="s">
        <v>14</v>
      </c>
      <c r="F376" s="10" t="s">
        <v>13</v>
      </c>
      <c r="G376" s="10" t="s">
        <v>11</v>
      </c>
      <c r="H376" s="10" t="s">
        <v>13</v>
      </c>
      <c r="I376" s="10" t="s">
        <v>11</v>
      </c>
      <c r="J376" s="10" t="s">
        <v>11</v>
      </c>
      <c r="L376" s="6" t="str">
        <f>IFERROR(VLOOKUP($B376,'Lista - Âmbito Projeto GD'!$B$3:$F$71,5,0),"Campo eliminado")</f>
        <v>Y</v>
      </c>
      <c r="M376" s="6" t="str">
        <f t="shared" si="26"/>
        <v>Igual</v>
      </c>
      <c r="N376" s="6" t="str">
        <f>IFERROR(VLOOKUP($B376,'Lista - Âmbito Projeto GD'!$B$3:$K$71,6,0),"Campo eliminado")</f>
        <v>Y</v>
      </c>
      <c r="O376" s="6" t="str">
        <f t="shared" si="27"/>
        <v>Diferente</v>
      </c>
      <c r="P376" s="6" t="str">
        <f>IFERROR(VLOOKUP($B376,'Lista - Âmbito Projeto GD'!$B$3:$K$71,7,0),"Campo eliminado")</f>
        <v>Y</v>
      </c>
      <c r="Q376" s="6" t="str">
        <f t="shared" si="28"/>
        <v>Igual</v>
      </c>
      <c r="R376" s="6" t="str">
        <f>IFERROR(VLOOKUP($B376,'Lista - Âmbito Projeto GD'!$B$3:$K$71,9,0),"Campo eliminado")</f>
        <v>N</v>
      </c>
      <c r="S376" s="6" t="str">
        <f t="shared" si="29"/>
        <v>Igual</v>
      </c>
      <c r="U376" s="6" t="str">
        <f>VLOOKUP(B376,DataLake!$A$4:$A$429,1,0)</f>
        <v>INSTR_PROTECTION_COD_SOC</v>
      </c>
    </row>
    <row r="377" spans="1:21" ht="15" hidden="1" customHeight="1" x14ac:dyDescent="0.3">
      <c r="A377" s="7" t="s">
        <v>1102</v>
      </c>
      <c r="B377" s="47" t="str">
        <f t="shared" si="25"/>
        <v>INSTR_PROTECTION_DT_RFRNC</v>
      </c>
      <c r="C377" s="8" t="s">
        <v>1101</v>
      </c>
      <c r="D377" s="9" t="s">
        <v>38</v>
      </c>
      <c r="E377" s="11" t="s">
        <v>402</v>
      </c>
      <c r="F377" s="10" t="s">
        <v>13</v>
      </c>
      <c r="G377" s="10" t="s">
        <v>11</v>
      </c>
      <c r="H377" s="10" t="s">
        <v>13</v>
      </c>
      <c r="I377" s="10" t="s">
        <v>11</v>
      </c>
      <c r="J377" s="10" t="s">
        <v>11</v>
      </c>
      <c r="L377" s="6" t="str">
        <f>IFERROR(VLOOKUP($B377,'Lista - Âmbito Projeto GD'!$B$3:$F$71,5,0),"Campo eliminado")</f>
        <v>Y</v>
      </c>
      <c r="M377" s="6" t="str">
        <f t="shared" si="26"/>
        <v>Igual</v>
      </c>
      <c r="N377" s="6" t="str">
        <f>IFERROR(VLOOKUP($B377,'Lista - Âmbito Projeto GD'!$B$3:$K$71,6,0),"Campo eliminado")</f>
        <v>Y</v>
      </c>
      <c r="O377" s="6" t="str">
        <f t="shared" si="27"/>
        <v>Diferente</v>
      </c>
      <c r="P377" s="6" t="str">
        <f>IFERROR(VLOOKUP($B377,'Lista - Âmbito Projeto GD'!$B$3:$K$71,7,0),"Campo eliminado")</f>
        <v>Y</v>
      </c>
      <c r="Q377" s="6" t="str">
        <f t="shared" si="28"/>
        <v>Igual</v>
      </c>
      <c r="R377" s="6" t="str">
        <f>IFERROR(VLOOKUP($B377,'Lista - Âmbito Projeto GD'!$B$3:$K$71,9,0),"Campo eliminado")</f>
        <v>N</v>
      </c>
      <c r="S377" s="6" t="str">
        <f t="shared" si="29"/>
        <v>Igual</v>
      </c>
      <c r="U377" s="6" t="e">
        <f>VLOOKUP(B377,DataLake!$A$4:$A$429,1,0)</f>
        <v>#N/A</v>
      </c>
    </row>
    <row r="378" spans="1:21" ht="15" hidden="1" customHeight="1" x14ac:dyDescent="0.3">
      <c r="A378" s="7" t="s">
        <v>1103</v>
      </c>
      <c r="B378" s="47" t="str">
        <f t="shared" si="25"/>
        <v>INSTR_PROTECTION_INSTRMNT_ID</v>
      </c>
      <c r="C378" s="8" t="s">
        <v>1101</v>
      </c>
      <c r="D378" s="9" t="s">
        <v>405</v>
      </c>
      <c r="E378" s="11" t="s">
        <v>406</v>
      </c>
      <c r="F378" s="10" t="s">
        <v>13</v>
      </c>
      <c r="G378" s="10" t="s">
        <v>11</v>
      </c>
      <c r="H378" s="10" t="s">
        <v>13</v>
      </c>
      <c r="I378" s="10" t="s">
        <v>11</v>
      </c>
      <c r="J378" s="10" t="s">
        <v>11</v>
      </c>
      <c r="L378" s="6" t="str">
        <f>IFERROR(VLOOKUP($B378,'Lista - Âmbito Projeto GD'!$B$3:$F$71,5,0),"Campo eliminado")</f>
        <v>Y</v>
      </c>
      <c r="M378" s="6" t="str">
        <f t="shared" si="26"/>
        <v>Igual</v>
      </c>
      <c r="N378" s="6" t="str">
        <f>IFERROR(VLOOKUP($B378,'Lista - Âmbito Projeto GD'!$B$3:$K$71,6,0),"Campo eliminado")</f>
        <v>Y</v>
      </c>
      <c r="O378" s="6" t="str">
        <f t="shared" si="27"/>
        <v>Diferente</v>
      </c>
      <c r="P378" s="6" t="str">
        <f>IFERROR(VLOOKUP($B378,'Lista - Âmbito Projeto GD'!$B$3:$K$71,7,0),"Campo eliminado")</f>
        <v>Y</v>
      </c>
      <c r="Q378" s="6" t="str">
        <f t="shared" si="28"/>
        <v>Igual</v>
      </c>
      <c r="R378" s="6" t="str">
        <f>IFERROR(VLOOKUP($B378,'Lista - Âmbito Projeto GD'!$B$3:$K$71,9,0),"Campo eliminado")</f>
        <v>N</v>
      </c>
      <c r="S378" s="6" t="str">
        <f t="shared" si="29"/>
        <v>Igual</v>
      </c>
      <c r="U378" s="6" t="str">
        <f>VLOOKUP(B378,DataLake!$A$4:$A$429,1,0)</f>
        <v>INSTR_PROTECTION_INSTRMNT_ID</v>
      </c>
    </row>
    <row r="379" spans="1:21" ht="15" hidden="1" customHeight="1" x14ac:dyDescent="0.3">
      <c r="A379" s="7" t="s">
        <v>1104</v>
      </c>
      <c r="B379" s="47" t="str">
        <f t="shared" si="25"/>
        <v>INSTR_PROTECTION_PRTCTN_ID</v>
      </c>
      <c r="C379" s="8" t="s">
        <v>1101</v>
      </c>
      <c r="D379" s="9" t="s">
        <v>1105</v>
      </c>
      <c r="E379" s="11" t="s">
        <v>1106</v>
      </c>
      <c r="F379" s="10" t="s">
        <v>13</v>
      </c>
      <c r="G379" s="10" t="s">
        <v>11</v>
      </c>
      <c r="H379" s="10" t="s">
        <v>13</v>
      </c>
      <c r="I379" s="10" t="s">
        <v>11</v>
      </c>
      <c r="J379" s="10" t="s">
        <v>11</v>
      </c>
      <c r="L379" s="6" t="str">
        <f>IFERROR(VLOOKUP($B379,'Lista - Âmbito Projeto GD'!$B$3:$F$71,5,0),"Campo eliminado")</f>
        <v>Y</v>
      </c>
      <c r="M379" s="6" t="str">
        <f t="shared" si="26"/>
        <v>Igual</v>
      </c>
      <c r="N379" s="6" t="str">
        <f>IFERROR(VLOOKUP($B379,'Lista - Âmbito Projeto GD'!$B$3:$K$71,6,0),"Campo eliminado")</f>
        <v>Y</v>
      </c>
      <c r="O379" s="6" t="str">
        <f t="shared" si="27"/>
        <v>Diferente</v>
      </c>
      <c r="P379" s="6" t="str">
        <f>IFERROR(VLOOKUP($B379,'Lista - Âmbito Projeto GD'!$B$3:$K$71,7,0),"Campo eliminado")</f>
        <v>Y</v>
      </c>
      <c r="Q379" s="6" t="str">
        <f t="shared" si="28"/>
        <v>Igual</v>
      </c>
      <c r="R379" s="6" t="str">
        <f>IFERROR(VLOOKUP($B379,'Lista - Âmbito Projeto GD'!$B$3:$K$71,9,0),"Campo eliminado")</f>
        <v>N</v>
      </c>
      <c r="S379" s="6" t="str">
        <f t="shared" si="29"/>
        <v>Igual</v>
      </c>
      <c r="U379" s="6" t="str">
        <f>VLOOKUP(B379,DataLake!$A$4:$A$429,1,0)</f>
        <v>INSTR_PROTECTION_PRTCTN_ID</v>
      </c>
    </row>
    <row r="380" spans="1:21" ht="15" hidden="1" customHeight="1" x14ac:dyDescent="0.3">
      <c r="A380" s="7" t="s">
        <v>1107</v>
      </c>
      <c r="B380" s="47" t="str">
        <f t="shared" si="25"/>
        <v>INSTR_PROTECTION_PRTCTN_ALLCTD_VL</v>
      </c>
      <c r="C380" s="8" t="s">
        <v>1101</v>
      </c>
      <c r="D380" s="9" t="s">
        <v>1108</v>
      </c>
      <c r="E380" s="11" t="s">
        <v>1109</v>
      </c>
      <c r="F380" s="10" t="s">
        <v>13</v>
      </c>
      <c r="G380" s="10" t="s">
        <v>11</v>
      </c>
      <c r="H380" s="10" t="s">
        <v>13</v>
      </c>
      <c r="I380" s="10" t="s">
        <v>11</v>
      </c>
      <c r="J380" s="10" t="s">
        <v>11</v>
      </c>
      <c r="L380" s="6" t="str">
        <f>IFERROR(VLOOKUP($B380,'Lista - Âmbito Projeto GD'!$B$3:$F$71,5,0),"Campo eliminado")</f>
        <v>Campo eliminado</v>
      </c>
      <c r="M380" s="6" t="str">
        <f t="shared" si="26"/>
        <v>Campo eliminado</v>
      </c>
      <c r="N380" s="6" t="str">
        <f>IFERROR(VLOOKUP($B380,'Lista - Âmbito Projeto GD'!$B$3:$K$71,6,0),"Campo eliminado")</f>
        <v>Campo eliminado</v>
      </c>
      <c r="O380" s="6" t="str">
        <f t="shared" si="27"/>
        <v>Campo eliminado</v>
      </c>
      <c r="P380" s="6" t="str">
        <f>IFERROR(VLOOKUP($B380,'Lista - Âmbito Projeto GD'!$B$3:$K$71,7,0),"Campo eliminado")</f>
        <v>Campo eliminado</v>
      </c>
      <c r="Q380" s="6" t="str">
        <f t="shared" si="28"/>
        <v>Campo eliminado</v>
      </c>
      <c r="R380" s="6" t="str">
        <f>IFERROR(VLOOKUP($B380,'Lista - Âmbito Projeto GD'!$B$3:$K$71,9,0),"Campo eliminado")</f>
        <v>Campo eliminado</v>
      </c>
      <c r="S380" s="6" t="str">
        <f t="shared" si="29"/>
        <v>Campo eliminado</v>
      </c>
      <c r="U380" s="6" t="str">
        <f>VLOOKUP(B380,DataLake!$A$4:$A$429,1,0)</f>
        <v>INSTR_PROTECTION_PRTCTN_ALLCTD_VL</v>
      </c>
    </row>
    <row r="381" spans="1:21" ht="15" hidden="1" customHeight="1" x14ac:dyDescent="0.3">
      <c r="A381" s="7" t="s">
        <v>1110</v>
      </c>
      <c r="B381" s="47" t="str">
        <f t="shared" si="25"/>
        <v>INSTR_PROTECTION_THRD_PRTY_PRRTY_CLMS</v>
      </c>
      <c r="C381" s="8" t="s">
        <v>1101</v>
      </c>
      <c r="D381" s="9" t="s">
        <v>1111</v>
      </c>
      <c r="E381" s="11" t="s">
        <v>1112</v>
      </c>
      <c r="F381" s="10" t="s">
        <v>13</v>
      </c>
      <c r="G381" s="10" t="s">
        <v>11</v>
      </c>
      <c r="H381" s="10" t="s">
        <v>11</v>
      </c>
      <c r="I381" s="10" t="s">
        <v>11</v>
      </c>
      <c r="J381" s="10" t="s">
        <v>11</v>
      </c>
      <c r="L381" s="6" t="str">
        <f>IFERROR(VLOOKUP($B381,'Lista - Âmbito Projeto GD'!$B$3:$F$71,5,0),"Campo eliminado")</f>
        <v>Campo eliminado</v>
      </c>
      <c r="M381" s="6" t="str">
        <f t="shared" si="26"/>
        <v>Campo eliminado</v>
      </c>
      <c r="N381" s="6" t="str">
        <f>IFERROR(VLOOKUP($B381,'Lista - Âmbito Projeto GD'!$B$3:$K$71,6,0),"Campo eliminado")</f>
        <v>Campo eliminado</v>
      </c>
      <c r="O381" s="6" t="str">
        <f t="shared" si="27"/>
        <v>Campo eliminado</v>
      </c>
      <c r="P381" s="6" t="str">
        <f>IFERROR(VLOOKUP($B381,'Lista - Âmbito Projeto GD'!$B$3:$K$71,7,0),"Campo eliminado")</f>
        <v>Campo eliminado</v>
      </c>
      <c r="Q381" s="6" t="str">
        <f t="shared" si="28"/>
        <v>Campo eliminado</v>
      </c>
      <c r="R381" s="6" t="str">
        <f>IFERROR(VLOOKUP($B381,'Lista - Âmbito Projeto GD'!$B$3:$K$71,9,0),"Campo eliminado")</f>
        <v>Campo eliminado</v>
      </c>
      <c r="S381" s="6" t="str">
        <f t="shared" si="29"/>
        <v>Campo eliminado</v>
      </c>
      <c r="U381" s="6" t="str">
        <f>VLOOKUP(B381,DataLake!$A$4:$A$429,1,0)</f>
        <v>INSTR_PROTECTION_THRD_PRTY_PRRTY_CLMS</v>
      </c>
    </row>
    <row r="382" spans="1:21" ht="15" hidden="1" customHeight="1" x14ac:dyDescent="0.3">
      <c r="A382" s="7" t="s">
        <v>1113</v>
      </c>
      <c r="B382" s="47" t="str">
        <f t="shared" si="25"/>
        <v>PROTECTION_COD_SOC</v>
      </c>
      <c r="C382" s="8" t="s">
        <v>1114</v>
      </c>
      <c r="D382" s="19" t="s">
        <v>12</v>
      </c>
      <c r="E382" s="11" t="s">
        <v>14</v>
      </c>
      <c r="F382" s="10" t="s">
        <v>13</v>
      </c>
      <c r="G382" s="10" t="s">
        <v>11</v>
      </c>
      <c r="H382" s="10" t="s">
        <v>13</v>
      </c>
      <c r="I382" s="10" t="s">
        <v>13</v>
      </c>
      <c r="J382" s="10" t="s">
        <v>11</v>
      </c>
      <c r="L382" s="6" t="str">
        <f>IFERROR(VLOOKUP($B382,'Lista - Âmbito Projeto GD'!$B$3:$F$71,5,0),"Campo eliminado")</f>
        <v>Y</v>
      </c>
      <c r="M382" s="6" t="str">
        <f t="shared" si="26"/>
        <v>Igual</v>
      </c>
      <c r="N382" s="6" t="str">
        <f>IFERROR(VLOOKUP($B382,'Lista - Âmbito Projeto GD'!$B$3:$K$71,6,0),"Campo eliminado")</f>
        <v>Y</v>
      </c>
      <c r="O382" s="6" t="str">
        <f t="shared" si="27"/>
        <v>Diferente</v>
      </c>
      <c r="P382" s="6" t="str">
        <f>IFERROR(VLOOKUP($B382,'Lista - Âmbito Projeto GD'!$B$3:$K$71,7,0),"Campo eliminado")</f>
        <v>Y</v>
      </c>
      <c r="Q382" s="6" t="str">
        <f t="shared" si="28"/>
        <v>Igual</v>
      </c>
      <c r="R382" s="6" t="str">
        <f>IFERROR(VLOOKUP($B382,'Lista - Âmbito Projeto GD'!$B$3:$K$71,9,0),"Campo eliminado")</f>
        <v>Y</v>
      </c>
      <c r="S382" s="6" t="str">
        <f t="shared" si="29"/>
        <v>Igual</v>
      </c>
      <c r="U382" s="6" t="str">
        <f>VLOOKUP(B382,DataLake!$A$4:$A$429,1,0)</f>
        <v>PROTECTION_COD_SOC</v>
      </c>
    </row>
    <row r="383" spans="1:21" ht="15" hidden="1" customHeight="1" x14ac:dyDescent="0.3">
      <c r="A383" s="7" t="s">
        <v>1115</v>
      </c>
      <c r="B383" s="47" t="str">
        <f t="shared" si="25"/>
        <v>PROTECTION_DT_MTRTY_PRTCTN</v>
      </c>
      <c r="C383" s="8" t="s">
        <v>1114</v>
      </c>
      <c r="D383" s="9" t="s">
        <v>1116</v>
      </c>
      <c r="E383" s="11" t="s">
        <v>1117</v>
      </c>
      <c r="F383" s="10" t="s">
        <v>13</v>
      </c>
      <c r="G383" s="10" t="s">
        <v>11</v>
      </c>
      <c r="H383" s="10" t="s">
        <v>11</v>
      </c>
      <c r="I383" s="10" t="s">
        <v>11</v>
      </c>
      <c r="J383" s="10" t="s">
        <v>11</v>
      </c>
      <c r="L383" s="6" t="str">
        <f>IFERROR(VLOOKUP($B383,'Lista - Âmbito Projeto GD'!$B$3:$F$71,5,0),"Campo eliminado")</f>
        <v>Campo eliminado</v>
      </c>
      <c r="M383" s="6" t="str">
        <f t="shared" si="26"/>
        <v>Campo eliminado</v>
      </c>
      <c r="N383" s="6" t="str">
        <f>IFERROR(VLOOKUP($B383,'Lista - Âmbito Projeto GD'!$B$3:$K$71,6,0),"Campo eliminado")</f>
        <v>Campo eliminado</v>
      </c>
      <c r="O383" s="6" t="str">
        <f t="shared" si="27"/>
        <v>Campo eliminado</v>
      </c>
      <c r="P383" s="6" t="str">
        <f>IFERROR(VLOOKUP($B383,'Lista - Âmbito Projeto GD'!$B$3:$K$71,7,0),"Campo eliminado")</f>
        <v>Campo eliminado</v>
      </c>
      <c r="Q383" s="6" t="str">
        <f t="shared" si="28"/>
        <v>Campo eliminado</v>
      </c>
      <c r="R383" s="6" t="str">
        <f>IFERROR(VLOOKUP($B383,'Lista - Âmbito Projeto GD'!$B$3:$K$71,9,0),"Campo eliminado")</f>
        <v>Campo eliminado</v>
      </c>
      <c r="S383" s="6" t="str">
        <f t="shared" si="29"/>
        <v>Campo eliminado</v>
      </c>
      <c r="U383" s="6" t="str">
        <f>VLOOKUP(B383,DataLake!$A$4:$A$429,1,0)</f>
        <v>PROTECTION_DT_MTRTY_PRTCTN</v>
      </c>
    </row>
    <row r="384" spans="1:21" ht="15" hidden="1" customHeight="1" x14ac:dyDescent="0.3">
      <c r="A384" s="7" t="s">
        <v>1118</v>
      </c>
      <c r="B384" s="47" t="str">
        <f t="shared" si="25"/>
        <v>PROTECTION_DT_RFRNC</v>
      </c>
      <c r="C384" s="8" t="s">
        <v>1114</v>
      </c>
      <c r="D384" s="9" t="s">
        <v>38</v>
      </c>
      <c r="E384" s="11" t="s">
        <v>402</v>
      </c>
      <c r="F384" s="10" t="s">
        <v>13</v>
      </c>
      <c r="G384" s="10" t="s">
        <v>11</v>
      </c>
      <c r="H384" s="10" t="s">
        <v>13</v>
      </c>
      <c r="I384" s="10" t="s">
        <v>13</v>
      </c>
      <c r="J384" s="10" t="s">
        <v>11</v>
      </c>
      <c r="L384" s="6" t="str">
        <f>IFERROR(VLOOKUP($B384,'Lista - Âmbito Projeto GD'!$B$3:$F$71,5,0),"Campo eliminado")</f>
        <v>Y</v>
      </c>
      <c r="M384" s="6" t="str">
        <f t="shared" si="26"/>
        <v>Igual</v>
      </c>
      <c r="N384" s="6" t="str">
        <f>IFERROR(VLOOKUP($B384,'Lista - Âmbito Projeto GD'!$B$3:$K$71,6,0),"Campo eliminado")</f>
        <v>Y</v>
      </c>
      <c r="O384" s="6" t="str">
        <f t="shared" si="27"/>
        <v>Diferente</v>
      </c>
      <c r="P384" s="6" t="str">
        <f>IFERROR(VLOOKUP($B384,'Lista - Âmbito Projeto GD'!$B$3:$K$71,7,0),"Campo eliminado")</f>
        <v>Y</v>
      </c>
      <c r="Q384" s="6" t="str">
        <f t="shared" si="28"/>
        <v>Igual</v>
      </c>
      <c r="R384" s="6" t="str">
        <f>IFERROR(VLOOKUP($B384,'Lista - Âmbito Projeto GD'!$B$3:$K$71,9,0),"Campo eliminado")</f>
        <v>Y</v>
      </c>
      <c r="S384" s="6" t="str">
        <f t="shared" si="29"/>
        <v>Igual</v>
      </c>
      <c r="U384" s="6" t="e">
        <f>VLOOKUP(B384,DataLake!$A$4:$A$429,1,0)</f>
        <v>#N/A</v>
      </c>
    </row>
    <row r="385" spans="1:21" ht="15" hidden="1" customHeight="1" x14ac:dyDescent="0.3">
      <c r="A385" s="7" t="s">
        <v>1119</v>
      </c>
      <c r="B385" s="47" t="str">
        <f t="shared" si="25"/>
        <v>PROTECTION_NTNL_ID</v>
      </c>
      <c r="C385" s="8" t="s">
        <v>1114</v>
      </c>
      <c r="D385" s="9" t="s">
        <v>1120</v>
      </c>
      <c r="E385" s="11" t="s">
        <v>1121</v>
      </c>
      <c r="F385" s="10" t="s">
        <v>13</v>
      </c>
      <c r="G385" s="10" t="s">
        <v>11</v>
      </c>
      <c r="H385" s="10" t="s">
        <v>11</v>
      </c>
      <c r="I385" s="10" t="s">
        <v>11</v>
      </c>
      <c r="J385" s="10" t="s">
        <v>11</v>
      </c>
      <c r="L385" s="6" t="str">
        <f>IFERROR(VLOOKUP($B385,'Lista - Âmbito Projeto GD'!$B$3:$F$71,5,0),"Campo eliminado")</f>
        <v>Campo eliminado</v>
      </c>
      <c r="M385" s="6" t="str">
        <f t="shared" si="26"/>
        <v>Campo eliminado</v>
      </c>
      <c r="N385" s="6" t="str">
        <f>IFERROR(VLOOKUP($B385,'Lista - Âmbito Projeto GD'!$B$3:$K$71,6,0),"Campo eliminado")</f>
        <v>Campo eliminado</v>
      </c>
      <c r="O385" s="6" t="str">
        <f t="shared" si="27"/>
        <v>Campo eliminado</v>
      </c>
      <c r="P385" s="6" t="str">
        <f>IFERROR(VLOOKUP($B385,'Lista - Âmbito Projeto GD'!$B$3:$K$71,7,0),"Campo eliminado")</f>
        <v>Campo eliminado</v>
      </c>
      <c r="Q385" s="6" t="str">
        <f t="shared" si="28"/>
        <v>Campo eliminado</v>
      </c>
      <c r="R385" s="6" t="str">
        <f>IFERROR(VLOOKUP($B385,'Lista - Âmbito Projeto GD'!$B$3:$K$71,9,0),"Campo eliminado")</f>
        <v>Campo eliminado</v>
      </c>
      <c r="S385" s="6" t="str">
        <f t="shared" si="29"/>
        <v>Campo eliminado</v>
      </c>
      <c r="U385" s="6" t="str">
        <f>VLOOKUP(B385,DataLake!$A$4:$A$429,1,0)</f>
        <v>PROTECTION_NTNL_ID</v>
      </c>
    </row>
    <row r="386" spans="1:21" ht="15" hidden="1" customHeight="1" x14ac:dyDescent="0.3">
      <c r="A386" s="7" t="s">
        <v>1122</v>
      </c>
      <c r="B386" s="47" t="str">
        <f t="shared" si="25"/>
        <v>PROTECTION_PRTCTN_ID</v>
      </c>
      <c r="C386" s="8" t="s">
        <v>1114</v>
      </c>
      <c r="D386" s="9" t="s">
        <v>1105</v>
      </c>
      <c r="E386" s="11" t="s">
        <v>1106</v>
      </c>
      <c r="F386" s="10" t="s">
        <v>13</v>
      </c>
      <c r="G386" s="10" t="s">
        <v>11</v>
      </c>
      <c r="H386" s="10" t="s">
        <v>13</v>
      </c>
      <c r="I386" s="10" t="s">
        <v>13</v>
      </c>
      <c r="J386" s="10" t="s">
        <v>11</v>
      </c>
      <c r="L386" s="6" t="str">
        <f>IFERROR(VLOOKUP($B386,'Lista - Âmbito Projeto GD'!$B$3:$F$71,5,0),"Campo eliminado")</f>
        <v>Y</v>
      </c>
      <c r="M386" s="6" t="str">
        <f t="shared" si="26"/>
        <v>Igual</v>
      </c>
      <c r="N386" s="6" t="str">
        <f>IFERROR(VLOOKUP($B386,'Lista - Âmbito Projeto GD'!$B$3:$K$71,6,0),"Campo eliminado")</f>
        <v>Y</v>
      </c>
      <c r="O386" s="6" t="str">
        <f t="shared" si="27"/>
        <v>Diferente</v>
      </c>
      <c r="P386" s="6" t="str">
        <f>IFERROR(VLOOKUP($B386,'Lista - Âmbito Projeto GD'!$B$3:$K$71,7,0),"Campo eliminado")</f>
        <v>Y</v>
      </c>
      <c r="Q386" s="6" t="str">
        <f t="shared" si="28"/>
        <v>Igual</v>
      </c>
      <c r="R386" s="6" t="str">
        <f>IFERROR(VLOOKUP($B386,'Lista - Âmbito Projeto GD'!$B$3:$K$71,9,0),"Campo eliminado")</f>
        <v>Y</v>
      </c>
      <c r="S386" s="6" t="str">
        <f t="shared" si="29"/>
        <v>Igual</v>
      </c>
      <c r="U386" s="6" t="str">
        <f>VLOOKUP(B386,DataLake!$A$4:$A$429,1,0)</f>
        <v>PROTECTION_PRTCTN_ID</v>
      </c>
    </row>
    <row r="387" spans="1:21" ht="15" hidden="1" customHeight="1" x14ac:dyDescent="0.3">
      <c r="A387" s="7" t="s">
        <v>1123</v>
      </c>
      <c r="B387" s="47" t="str">
        <f t="shared" ref="B387:B444" si="30">C387&amp;"_"&amp;D387</f>
        <v>PROTECTION_PRTCTN_PRVDR_ID</v>
      </c>
      <c r="C387" s="8" t="s">
        <v>1114</v>
      </c>
      <c r="D387" s="9" t="s">
        <v>1124</v>
      </c>
      <c r="E387" s="11" t="s">
        <v>1125</v>
      </c>
      <c r="F387" s="10" t="s">
        <v>13</v>
      </c>
      <c r="G387" s="10" t="s">
        <v>11</v>
      </c>
      <c r="H387" s="10" t="s">
        <v>11</v>
      </c>
      <c r="I387" s="10" t="s">
        <v>11</v>
      </c>
      <c r="J387" s="10" t="s">
        <v>11</v>
      </c>
      <c r="L387" s="6" t="str">
        <f>IFERROR(VLOOKUP($B387,'Lista - Âmbito Projeto GD'!$B$3:$F$71,5,0),"Campo eliminado")</f>
        <v>Campo eliminado</v>
      </c>
      <c r="M387" s="6" t="str">
        <f t="shared" ref="M387:M444" si="31">IF(L387="Campo eliminado","Campo eliminado",IF(L387=F387,"Igual","Diferente"))</f>
        <v>Campo eliminado</v>
      </c>
      <c r="N387" s="6" t="str">
        <f>IFERROR(VLOOKUP($B387,'Lista - Âmbito Projeto GD'!$B$3:$K$71,6,0),"Campo eliminado")</f>
        <v>Campo eliminado</v>
      </c>
      <c r="O387" s="6" t="str">
        <f t="shared" ref="O387:O444" si="32">IF(N387="Campo eliminado","Campo eliminado",IF(N387=G387,"Igual","Diferente"))</f>
        <v>Campo eliminado</v>
      </c>
      <c r="P387" s="6" t="str">
        <f>IFERROR(VLOOKUP($B387,'Lista - Âmbito Projeto GD'!$B$3:$K$71,7,0),"Campo eliminado")</f>
        <v>Campo eliminado</v>
      </c>
      <c r="Q387" s="6" t="str">
        <f t="shared" ref="Q387:Q444" si="33">IF(P387="Campo eliminado","Campo eliminado",IF(P387=H387,"Igual","Diferente"))</f>
        <v>Campo eliminado</v>
      </c>
      <c r="R387" s="6" t="str">
        <f>IFERROR(VLOOKUP($B387,'Lista - Âmbito Projeto GD'!$B$3:$K$71,9,0),"Campo eliminado")</f>
        <v>Campo eliminado</v>
      </c>
      <c r="S387" s="6" t="str">
        <f t="shared" ref="S387:S444" si="34">IF(R387="Campo eliminado","Campo eliminado",IF(R387=I387,"Igual","Diferente"))</f>
        <v>Campo eliminado</v>
      </c>
      <c r="U387" s="6" t="str">
        <f>VLOOKUP(B387,DataLake!$A$4:$A$429,1,0)</f>
        <v>PROTECTION_PRTCTN_PRVDR_ID</v>
      </c>
    </row>
    <row r="388" spans="1:21" ht="14" hidden="1" x14ac:dyDescent="0.3">
      <c r="A388" s="7" t="s">
        <v>1126</v>
      </c>
      <c r="B388" s="47" t="str">
        <f t="shared" si="30"/>
        <v>PROTECTION_RL_ESTT_ADDRSS</v>
      </c>
      <c r="C388" s="8" t="s">
        <v>1114</v>
      </c>
      <c r="D388" s="9" t="s">
        <v>1127</v>
      </c>
      <c r="E388" s="11" t="s">
        <v>1128</v>
      </c>
      <c r="F388" s="10" t="s">
        <v>13</v>
      </c>
      <c r="G388" s="10" t="s">
        <v>11</v>
      </c>
      <c r="H388" s="10" t="s">
        <v>11</v>
      </c>
      <c r="I388" s="10" t="s">
        <v>13</v>
      </c>
      <c r="J388" s="10" t="s">
        <v>11</v>
      </c>
      <c r="L388" s="6" t="str">
        <f>IFERROR(VLOOKUP($B388,'Lista - Âmbito Projeto GD'!$B$3:$F$71,5,0),"Campo eliminado")</f>
        <v>Campo eliminado</v>
      </c>
      <c r="M388" s="6" t="str">
        <f t="shared" si="31"/>
        <v>Campo eliminado</v>
      </c>
      <c r="N388" s="6" t="str">
        <f>IFERROR(VLOOKUP($B388,'Lista - Âmbito Projeto GD'!$B$3:$K$71,6,0),"Campo eliminado")</f>
        <v>Campo eliminado</v>
      </c>
      <c r="O388" s="6" t="str">
        <f t="shared" si="32"/>
        <v>Campo eliminado</v>
      </c>
      <c r="P388" s="6" t="str">
        <f>IFERROR(VLOOKUP($B388,'Lista - Âmbito Projeto GD'!$B$3:$K$71,7,0),"Campo eliminado")</f>
        <v>Campo eliminado</v>
      </c>
      <c r="Q388" s="6" t="str">
        <f t="shared" si="33"/>
        <v>Campo eliminado</v>
      </c>
      <c r="R388" s="6" t="str">
        <f>IFERROR(VLOOKUP($B388,'Lista - Âmbito Projeto GD'!$B$3:$K$71,9,0),"Campo eliminado")</f>
        <v>Campo eliminado</v>
      </c>
      <c r="S388" s="6" t="str">
        <f t="shared" si="34"/>
        <v>Campo eliminado</v>
      </c>
      <c r="U388" s="6" t="str">
        <f>VLOOKUP(B388,DataLake!$A$4:$A$429,1,0)</f>
        <v>PROTECTION_RL_ESTT_ADDRSS</v>
      </c>
    </row>
    <row r="389" spans="1:21" ht="15" hidden="1" customHeight="1" x14ac:dyDescent="0.3">
      <c r="A389" s="7" t="s">
        <v>1129</v>
      </c>
      <c r="B389" s="47" t="str">
        <f t="shared" si="30"/>
        <v>PROTECTION_RL_ESTT_CLLTRL_LCTN</v>
      </c>
      <c r="C389" s="8" t="s">
        <v>1114</v>
      </c>
      <c r="D389" s="9" t="s">
        <v>1130</v>
      </c>
      <c r="E389" s="11" t="s">
        <v>1131</v>
      </c>
      <c r="F389" s="10" t="s">
        <v>13</v>
      </c>
      <c r="G389" s="10" t="s">
        <v>11</v>
      </c>
      <c r="H389" s="10" t="s">
        <v>13</v>
      </c>
      <c r="I389" s="10" t="s">
        <v>13</v>
      </c>
      <c r="J389" s="10" t="s">
        <v>11</v>
      </c>
      <c r="L389" s="6" t="str">
        <f>IFERROR(VLOOKUP($B389,'Lista - Âmbito Projeto GD'!$B$3:$F$71,5,0),"Campo eliminado")</f>
        <v>Campo eliminado</v>
      </c>
      <c r="M389" s="6" t="str">
        <f t="shared" si="31"/>
        <v>Campo eliminado</v>
      </c>
      <c r="N389" s="6" t="str">
        <f>IFERROR(VLOOKUP($B389,'Lista - Âmbito Projeto GD'!$B$3:$K$71,6,0),"Campo eliminado")</f>
        <v>Campo eliminado</v>
      </c>
      <c r="O389" s="6" t="str">
        <f t="shared" si="32"/>
        <v>Campo eliminado</v>
      </c>
      <c r="P389" s="6" t="str">
        <f>IFERROR(VLOOKUP($B389,'Lista - Âmbito Projeto GD'!$B$3:$K$71,7,0),"Campo eliminado")</f>
        <v>Campo eliminado</v>
      </c>
      <c r="Q389" s="6" t="str">
        <f t="shared" si="33"/>
        <v>Campo eliminado</v>
      </c>
      <c r="R389" s="6" t="str">
        <f>IFERROR(VLOOKUP($B389,'Lista - Âmbito Projeto GD'!$B$3:$K$71,9,0),"Campo eliminado")</f>
        <v>Campo eliminado</v>
      </c>
      <c r="S389" s="6" t="str">
        <f t="shared" si="34"/>
        <v>Campo eliminado</v>
      </c>
      <c r="U389" s="6" t="str">
        <f>VLOOKUP(B389,DataLake!$A$4:$A$429,1,0)</f>
        <v>PROTECTION_RL_ESTT_CLLTRL_LCTN</v>
      </c>
    </row>
    <row r="390" spans="1:21" ht="15" hidden="1" customHeight="1" x14ac:dyDescent="0.3">
      <c r="A390" s="7" t="s">
        <v>1132</v>
      </c>
      <c r="B390" s="47" t="str">
        <f t="shared" si="30"/>
        <v>PROTECTION_RL_ESTT_CLLTRL_LCTN_INT</v>
      </c>
      <c r="C390" s="8" t="s">
        <v>1114</v>
      </c>
      <c r="D390" s="9" t="s">
        <v>1133</v>
      </c>
      <c r="E390" s="11" t="s">
        <v>1134</v>
      </c>
      <c r="F390" s="10" t="s">
        <v>13</v>
      </c>
      <c r="G390" s="10" t="s">
        <v>11</v>
      </c>
      <c r="H390" s="10" t="s">
        <v>11</v>
      </c>
      <c r="I390" s="10" t="s">
        <v>13</v>
      </c>
      <c r="J390" s="10" t="s">
        <v>11</v>
      </c>
      <c r="L390" s="6" t="str">
        <f>IFERROR(VLOOKUP($B390,'Lista - Âmbito Projeto GD'!$B$3:$F$71,5,0),"Campo eliminado")</f>
        <v>Campo eliminado</v>
      </c>
      <c r="M390" s="6" t="str">
        <f t="shared" si="31"/>
        <v>Campo eliminado</v>
      </c>
      <c r="N390" s="6" t="str">
        <f>IFERROR(VLOOKUP($B390,'Lista - Âmbito Projeto GD'!$B$3:$K$71,6,0),"Campo eliminado")</f>
        <v>Campo eliminado</v>
      </c>
      <c r="O390" s="6" t="str">
        <f t="shared" si="32"/>
        <v>Campo eliminado</v>
      </c>
      <c r="P390" s="6" t="str">
        <f>IFERROR(VLOOKUP($B390,'Lista - Âmbito Projeto GD'!$B$3:$K$71,7,0),"Campo eliminado")</f>
        <v>Campo eliminado</v>
      </c>
      <c r="Q390" s="6" t="str">
        <f t="shared" si="33"/>
        <v>Campo eliminado</v>
      </c>
      <c r="R390" s="6" t="str">
        <f>IFERROR(VLOOKUP($B390,'Lista - Âmbito Projeto GD'!$B$3:$K$71,9,0),"Campo eliminado")</f>
        <v>Campo eliminado</v>
      </c>
      <c r="S390" s="6" t="str">
        <f t="shared" si="34"/>
        <v>Campo eliminado</v>
      </c>
      <c r="U390" s="6" t="str">
        <f>VLOOKUP(B390,DataLake!$A$4:$A$429,1,0)</f>
        <v>PROTECTION_RL_ESTT_CLLTRL_LCTN_INT</v>
      </c>
    </row>
    <row r="391" spans="1:21" ht="15" hidden="1" customHeight="1" x14ac:dyDescent="0.3">
      <c r="A391" s="7" t="s">
        <v>1135</v>
      </c>
      <c r="B391" s="47" t="str">
        <f t="shared" si="30"/>
        <v>PROTECTION_RL_ESTT_CTY</v>
      </c>
      <c r="C391" s="8" t="s">
        <v>1114</v>
      </c>
      <c r="D391" s="9" t="s">
        <v>1136</v>
      </c>
      <c r="E391" s="11" t="s">
        <v>1137</v>
      </c>
      <c r="F391" s="10" t="s">
        <v>13</v>
      </c>
      <c r="G391" s="10" t="s">
        <v>11</v>
      </c>
      <c r="H391" s="10" t="s">
        <v>11</v>
      </c>
      <c r="I391" s="10" t="s">
        <v>13</v>
      </c>
      <c r="J391" s="10" t="s">
        <v>11</v>
      </c>
      <c r="L391" s="6" t="str">
        <f>IFERROR(VLOOKUP($B391,'Lista - Âmbito Projeto GD'!$B$3:$F$71,5,0),"Campo eliminado")</f>
        <v>Campo eliminado</v>
      </c>
      <c r="M391" s="6" t="str">
        <f t="shared" si="31"/>
        <v>Campo eliminado</v>
      </c>
      <c r="N391" s="6" t="str">
        <f>IFERROR(VLOOKUP($B391,'Lista - Âmbito Projeto GD'!$B$3:$K$71,6,0),"Campo eliminado")</f>
        <v>Campo eliminado</v>
      </c>
      <c r="O391" s="6" t="str">
        <f t="shared" si="32"/>
        <v>Campo eliminado</v>
      </c>
      <c r="P391" s="6" t="str">
        <f>IFERROR(VLOOKUP($B391,'Lista - Âmbito Projeto GD'!$B$3:$K$71,7,0),"Campo eliminado")</f>
        <v>Campo eliminado</v>
      </c>
      <c r="Q391" s="6" t="str">
        <f t="shared" si="33"/>
        <v>Campo eliminado</v>
      </c>
      <c r="R391" s="6" t="str">
        <f>IFERROR(VLOOKUP($B391,'Lista - Âmbito Projeto GD'!$B$3:$K$71,9,0),"Campo eliminado")</f>
        <v>Campo eliminado</v>
      </c>
      <c r="S391" s="6" t="str">
        <f t="shared" si="34"/>
        <v>Campo eliminado</v>
      </c>
      <c r="U391" s="6" t="str">
        <f>VLOOKUP(B391,DataLake!$A$4:$A$429,1,0)</f>
        <v>PROTECTION_RL_ESTT_CTY</v>
      </c>
    </row>
    <row r="392" spans="1:21" ht="15" hidden="1" customHeight="1" x14ac:dyDescent="0.3">
      <c r="A392" s="7" t="s">
        <v>1138</v>
      </c>
      <c r="B392" s="47" t="str">
        <f t="shared" si="30"/>
        <v>PROTECTION_RL_ESTT_PST_CD</v>
      </c>
      <c r="C392" s="8" t="s">
        <v>1114</v>
      </c>
      <c r="D392" s="9" t="s">
        <v>1139</v>
      </c>
      <c r="E392" s="11" t="s">
        <v>288</v>
      </c>
      <c r="F392" s="10" t="s">
        <v>13</v>
      </c>
      <c r="G392" s="10" t="s">
        <v>11</v>
      </c>
      <c r="H392" s="10" t="s">
        <v>13</v>
      </c>
      <c r="I392" s="10" t="s">
        <v>13</v>
      </c>
      <c r="J392" s="10" t="s">
        <v>11</v>
      </c>
      <c r="L392" s="6" t="str">
        <f>IFERROR(VLOOKUP($B392,'Lista - Âmbito Projeto GD'!$B$3:$F$71,5,0),"Campo eliminado")</f>
        <v>Campo eliminado</v>
      </c>
      <c r="M392" s="6" t="str">
        <f t="shared" si="31"/>
        <v>Campo eliminado</v>
      </c>
      <c r="N392" s="6" t="str">
        <f>IFERROR(VLOOKUP($B392,'Lista - Âmbito Projeto GD'!$B$3:$K$71,6,0),"Campo eliminado")</f>
        <v>Campo eliminado</v>
      </c>
      <c r="O392" s="6" t="str">
        <f t="shared" si="32"/>
        <v>Campo eliminado</v>
      </c>
      <c r="P392" s="6" t="str">
        <f>IFERROR(VLOOKUP($B392,'Lista - Âmbito Projeto GD'!$B$3:$K$71,7,0),"Campo eliminado")</f>
        <v>Campo eliminado</v>
      </c>
      <c r="Q392" s="6" t="str">
        <f t="shared" si="33"/>
        <v>Campo eliminado</v>
      </c>
      <c r="R392" s="6" t="str">
        <f>IFERROR(VLOOKUP($B392,'Lista - Âmbito Projeto GD'!$B$3:$K$71,9,0),"Campo eliminado")</f>
        <v>Campo eliminado</v>
      </c>
      <c r="S392" s="6" t="str">
        <f t="shared" si="34"/>
        <v>Campo eliminado</v>
      </c>
      <c r="U392" s="6" t="str">
        <f>VLOOKUP(B392,DataLake!$A$4:$A$429,1,0)</f>
        <v>PROTECTION_RL_ESTT_PST_CD</v>
      </c>
    </row>
    <row r="393" spans="1:21" ht="15" hidden="1" customHeight="1" x14ac:dyDescent="0.3">
      <c r="A393" s="7" t="s">
        <v>1140</v>
      </c>
      <c r="B393" s="47" t="str">
        <f t="shared" si="30"/>
        <v>PROTECTION_HRCT_MV</v>
      </c>
      <c r="C393" s="8" t="s">
        <v>1114</v>
      </c>
      <c r="D393" s="9" t="s">
        <v>1141</v>
      </c>
      <c r="E393" s="11" t="s">
        <v>1142</v>
      </c>
      <c r="F393" s="10" t="s">
        <v>13</v>
      </c>
      <c r="G393" s="10" t="s">
        <v>11</v>
      </c>
      <c r="H393" s="10" t="s">
        <v>11</v>
      </c>
      <c r="I393" s="10" t="s">
        <v>11</v>
      </c>
      <c r="J393" s="10" t="s">
        <v>11</v>
      </c>
      <c r="L393" s="6" t="str">
        <f>IFERROR(VLOOKUP($B393,'Lista - Âmbito Projeto GD'!$B$3:$F$71,5,0),"Campo eliminado")</f>
        <v>Campo eliminado</v>
      </c>
      <c r="M393" s="6" t="str">
        <f t="shared" si="31"/>
        <v>Campo eliminado</v>
      </c>
      <c r="N393" s="6" t="str">
        <f>IFERROR(VLOOKUP($B393,'Lista - Âmbito Projeto GD'!$B$3:$K$71,6,0),"Campo eliminado")</f>
        <v>Campo eliminado</v>
      </c>
      <c r="O393" s="6" t="str">
        <f t="shared" si="32"/>
        <v>Campo eliminado</v>
      </c>
      <c r="P393" s="6" t="str">
        <f>IFERROR(VLOOKUP($B393,'Lista - Âmbito Projeto GD'!$B$3:$K$71,7,0),"Campo eliminado")</f>
        <v>Campo eliminado</v>
      </c>
      <c r="Q393" s="6" t="str">
        <f t="shared" si="33"/>
        <v>Campo eliminado</v>
      </c>
      <c r="R393" s="6" t="str">
        <f>IFERROR(VLOOKUP($B393,'Lista - Âmbito Projeto GD'!$B$3:$K$71,9,0),"Campo eliminado")</f>
        <v>Campo eliminado</v>
      </c>
      <c r="S393" s="6" t="str">
        <f t="shared" si="34"/>
        <v>Campo eliminado</v>
      </c>
      <c r="U393" s="6" t="str">
        <f>VLOOKUP(B393,DataLake!$A$4:$A$429,1,0)</f>
        <v>PROTECTION_HRCT_MV</v>
      </c>
    </row>
    <row r="394" spans="1:21" s="20" customFormat="1" ht="15" hidden="1" customHeight="1" x14ac:dyDescent="0.3">
      <c r="A394" s="7" t="s">
        <v>1143</v>
      </c>
      <c r="B394" s="47" t="str">
        <f t="shared" si="30"/>
        <v>PROTECTION_PRTCTN_CLLD</v>
      </c>
      <c r="C394" s="8" t="s">
        <v>1114</v>
      </c>
      <c r="D394" s="9" t="s">
        <v>1144</v>
      </c>
      <c r="E394" s="11" t="s">
        <v>1145</v>
      </c>
      <c r="F394" s="10" t="s">
        <v>13</v>
      </c>
      <c r="G394" s="10" t="s">
        <v>11</v>
      </c>
      <c r="H394" s="10" t="s">
        <v>11</v>
      </c>
      <c r="I394" s="10" t="s">
        <v>11</v>
      </c>
      <c r="J394" s="10" t="s">
        <v>11</v>
      </c>
      <c r="L394" s="6" t="str">
        <f>IFERROR(VLOOKUP($B394,'Lista - Âmbito Projeto GD'!$B$3:$F$71,5,0),"Campo eliminado")</f>
        <v>Campo eliminado</v>
      </c>
      <c r="M394" s="6" t="str">
        <f t="shared" si="31"/>
        <v>Campo eliminado</v>
      </c>
      <c r="N394" s="6" t="str">
        <f>IFERROR(VLOOKUP($B394,'Lista - Âmbito Projeto GD'!$B$3:$K$71,6,0),"Campo eliminado")</f>
        <v>Campo eliminado</v>
      </c>
      <c r="O394" s="6" t="str">
        <f t="shared" si="32"/>
        <v>Campo eliminado</v>
      </c>
      <c r="P394" s="6" t="str">
        <f>IFERROR(VLOOKUP($B394,'Lista - Âmbito Projeto GD'!$B$3:$K$71,7,0),"Campo eliminado")</f>
        <v>Campo eliminado</v>
      </c>
      <c r="Q394" s="6" t="str">
        <f t="shared" si="33"/>
        <v>Campo eliminado</v>
      </c>
      <c r="R394" s="6" t="str">
        <f>IFERROR(VLOOKUP($B394,'Lista - Âmbito Projeto GD'!$B$3:$K$71,9,0),"Campo eliminado")</f>
        <v>Campo eliminado</v>
      </c>
      <c r="S394" s="6" t="str">
        <f t="shared" si="34"/>
        <v>Campo eliminado</v>
      </c>
      <c r="U394" s="6" t="str">
        <f>VLOOKUP(B394,DataLake!$A$4:$A$429,1,0)</f>
        <v>PROTECTION_PRTCTN_CLLD</v>
      </c>
    </row>
    <row r="395" spans="1:21" ht="15" hidden="1" customHeight="1" x14ac:dyDescent="0.3">
      <c r="A395" s="21" t="s">
        <v>1146</v>
      </c>
      <c r="B395" s="47" t="str">
        <f t="shared" si="30"/>
        <v>PROTECTION_TYP_PRTCTN</v>
      </c>
      <c r="C395" s="8" t="s">
        <v>1114</v>
      </c>
      <c r="D395" s="22" t="s">
        <v>1147</v>
      </c>
      <c r="E395" s="23" t="s">
        <v>1148</v>
      </c>
      <c r="F395" s="10" t="s">
        <v>13</v>
      </c>
      <c r="G395" s="10" t="s">
        <v>11</v>
      </c>
      <c r="H395" s="10" t="s">
        <v>13</v>
      </c>
      <c r="I395" s="10" t="s">
        <v>13</v>
      </c>
      <c r="J395" s="10" t="s">
        <v>11</v>
      </c>
      <c r="L395" s="6" t="str">
        <f>IFERROR(VLOOKUP($B395,'Lista - Âmbito Projeto GD'!$B$3:$F$71,5,0),"Campo eliminado")</f>
        <v>Y</v>
      </c>
      <c r="M395" s="6" t="str">
        <f t="shared" si="31"/>
        <v>Igual</v>
      </c>
      <c r="N395" s="6" t="str">
        <f>IFERROR(VLOOKUP($B395,'Lista - Âmbito Projeto GD'!$B$3:$K$71,6,0),"Campo eliminado")</f>
        <v>Y</v>
      </c>
      <c r="O395" s="6" t="str">
        <f t="shared" si="32"/>
        <v>Diferente</v>
      </c>
      <c r="P395" s="6" t="str">
        <f>IFERROR(VLOOKUP($B395,'Lista - Âmbito Projeto GD'!$B$3:$K$71,7,0),"Campo eliminado")</f>
        <v>Y</v>
      </c>
      <c r="Q395" s="6" t="str">
        <f t="shared" si="33"/>
        <v>Igual</v>
      </c>
      <c r="R395" s="6" t="str">
        <f>IFERROR(VLOOKUP($B395,'Lista - Âmbito Projeto GD'!$B$3:$K$71,9,0),"Campo eliminado")</f>
        <v>Y</v>
      </c>
      <c r="S395" s="6" t="str">
        <f t="shared" si="34"/>
        <v>Igual</v>
      </c>
      <c r="U395" s="6" t="str">
        <f>VLOOKUP(B395,DataLake!$A$4:$A$429,1,0)</f>
        <v>PROTECTION_TYP_PRTCTN</v>
      </c>
    </row>
    <row r="396" spans="1:21" ht="15" hidden="1" customHeight="1" x14ac:dyDescent="0.3">
      <c r="A396" s="7" t="s">
        <v>1149</v>
      </c>
      <c r="B396" s="47" t="str">
        <f t="shared" si="30"/>
        <v>PROTECTION_TYP_PRTCTN_INTRNL</v>
      </c>
      <c r="C396" s="8" t="s">
        <v>1114</v>
      </c>
      <c r="D396" s="9" t="s">
        <v>1150</v>
      </c>
      <c r="E396" s="11" t="s">
        <v>1151</v>
      </c>
      <c r="F396" s="10" t="s">
        <v>13</v>
      </c>
      <c r="G396" s="10" t="s">
        <v>11</v>
      </c>
      <c r="H396" s="10" t="s">
        <v>11</v>
      </c>
      <c r="I396" s="10" t="s">
        <v>11</v>
      </c>
      <c r="J396" s="10" t="s">
        <v>11</v>
      </c>
      <c r="L396" s="6" t="str">
        <f>IFERROR(VLOOKUP($B396,'Lista - Âmbito Projeto GD'!$B$3:$F$71,5,0),"Campo eliminado")</f>
        <v>Campo eliminado</v>
      </c>
      <c r="M396" s="6" t="str">
        <f t="shared" si="31"/>
        <v>Campo eliminado</v>
      </c>
      <c r="N396" s="6" t="str">
        <f>IFERROR(VLOOKUP($B396,'Lista - Âmbito Projeto GD'!$B$3:$K$71,6,0),"Campo eliminado")</f>
        <v>Campo eliminado</v>
      </c>
      <c r="O396" s="6" t="str">
        <f t="shared" si="32"/>
        <v>Campo eliminado</v>
      </c>
      <c r="P396" s="6" t="str">
        <f>IFERROR(VLOOKUP($B396,'Lista - Âmbito Projeto GD'!$B$3:$K$71,7,0),"Campo eliminado")</f>
        <v>Campo eliminado</v>
      </c>
      <c r="Q396" s="6" t="str">
        <f t="shared" si="33"/>
        <v>Campo eliminado</v>
      </c>
      <c r="R396" s="6" t="str">
        <f>IFERROR(VLOOKUP($B396,'Lista - Âmbito Projeto GD'!$B$3:$K$71,9,0),"Campo eliminado")</f>
        <v>Campo eliminado</v>
      </c>
      <c r="S396" s="6" t="str">
        <f t="shared" si="34"/>
        <v>Campo eliminado</v>
      </c>
      <c r="U396" s="6" t="str">
        <f>VLOOKUP(B396,DataLake!$A$4:$A$429,1,0)</f>
        <v>PROTECTION_TYP_PRTCTN_INTRNL</v>
      </c>
    </row>
    <row r="397" spans="1:21" ht="15" hidden="1" customHeight="1" x14ac:dyDescent="0.3">
      <c r="A397" s="7" t="s">
        <v>1152</v>
      </c>
      <c r="B397" s="47" t="str">
        <f t="shared" si="30"/>
        <v>PROTECTION_TYP_PRTCTN_VL</v>
      </c>
      <c r="C397" s="8" t="s">
        <v>1114</v>
      </c>
      <c r="D397" s="9" t="s">
        <v>1153</v>
      </c>
      <c r="E397" s="11" t="s">
        <v>1154</v>
      </c>
      <c r="F397" s="10" t="s">
        <v>13</v>
      </c>
      <c r="G397" s="10" t="s">
        <v>11</v>
      </c>
      <c r="H397" s="10" t="s">
        <v>11</v>
      </c>
      <c r="I397" s="10" t="s">
        <v>11</v>
      </c>
      <c r="J397" s="10" t="s">
        <v>11</v>
      </c>
      <c r="L397" s="6" t="str">
        <f>IFERROR(VLOOKUP($B397,'Lista - Âmbito Projeto GD'!$B$3:$F$71,5,0),"Campo eliminado")</f>
        <v>Campo eliminado</v>
      </c>
      <c r="M397" s="6" t="str">
        <f t="shared" si="31"/>
        <v>Campo eliminado</v>
      </c>
      <c r="N397" s="6" t="str">
        <f>IFERROR(VLOOKUP($B397,'Lista - Âmbito Projeto GD'!$B$3:$K$71,6,0),"Campo eliminado")</f>
        <v>Campo eliminado</v>
      </c>
      <c r="O397" s="6" t="str">
        <f t="shared" si="32"/>
        <v>Campo eliminado</v>
      </c>
      <c r="P397" s="6" t="str">
        <f>IFERROR(VLOOKUP($B397,'Lista - Âmbito Projeto GD'!$B$3:$K$71,7,0),"Campo eliminado")</f>
        <v>Campo eliminado</v>
      </c>
      <c r="Q397" s="6" t="str">
        <f t="shared" si="33"/>
        <v>Campo eliminado</v>
      </c>
      <c r="R397" s="6" t="str">
        <f>IFERROR(VLOOKUP($B397,'Lista - Âmbito Projeto GD'!$B$3:$K$71,9,0),"Campo eliminado")</f>
        <v>Campo eliminado</v>
      </c>
      <c r="S397" s="6" t="str">
        <f t="shared" si="34"/>
        <v>Campo eliminado</v>
      </c>
      <c r="U397" s="6" t="str">
        <f>VLOOKUP(B397,DataLake!$A$4:$A$429,1,0)</f>
        <v>PROTECTION_TYP_PRTCTN_VL</v>
      </c>
    </row>
    <row r="398" spans="1:21" ht="15" hidden="1" customHeight="1" x14ac:dyDescent="0.3">
      <c r="A398" s="7" t="s">
        <v>1155</v>
      </c>
      <c r="B398" s="47" t="str">
        <f t="shared" si="30"/>
        <v>PROTECTION_APPRSL_CRRNCY</v>
      </c>
      <c r="C398" s="8" t="s">
        <v>1114</v>
      </c>
      <c r="D398" s="9" t="s">
        <v>1156</v>
      </c>
      <c r="E398" s="11" t="s">
        <v>1157</v>
      </c>
      <c r="F398" s="10" t="s">
        <v>13</v>
      </c>
      <c r="G398" s="10" t="s">
        <v>11</v>
      </c>
      <c r="H398" s="10" t="s">
        <v>11</v>
      </c>
      <c r="I398" s="10" t="s">
        <v>11</v>
      </c>
      <c r="J398" s="10" t="s">
        <v>11</v>
      </c>
      <c r="L398" s="6" t="str">
        <f>IFERROR(VLOOKUP($B398,'Lista - Âmbito Projeto GD'!$B$3:$F$71,5,0),"Campo eliminado")</f>
        <v>Campo eliminado</v>
      </c>
      <c r="M398" s="6" t="str">
        <f t="shared" si="31"/>
        <v>Campo eliminado</v>
      </c>
      <c r="N398" s="6" t="str">
        <f>IFERROR(VLOOKUP($B398,'Lista - Âmbito Projeto GD'!$B$3:$K$71,6,0),"Campo eliminado")</f>
        <v>Campo eliminado</v>
      </c>
      <c r="O398" s="6" t="str">
        <f t="shared" si="32"/>
        <v>Campo eliminado</v>
      </c>
      <c r="P398" s="6" t="str">
        <f>IFERROR(VLOOKUP($B398,'Lista - Âmbito Projeto GD'!$B$3:$K$71,7,0),"Campo eliminado")</f>
        <v>Campo eliminado</v>
      </c>
      <c r="Q398" s="6" t="str">
        <f t="shared" si="33"/>
        <v>Campo eliminado</v>
      </c>
      <c r="R398" s="6" t="str">
        <f>IFERROR(VLOOKUP($B398,'Lista - Âmbito Projeto GD'!$B$3:$K$71,9,0),"Campo eliminado")</f>
        <v>Campo eliminado</v>
      </c>
      <c r="S398" s="6" t="str">
        <f t="shared" si="34"/>
        <v>Campo eliminado</v>
      </c>
      <c r="U398" s="6" t="str">
        <f>VLOOKUP(B398,DataLake!$A$4:$A$429,1,0)</f>
        <v>PROTECTION_APPRSL_CRRNCY</v>
      </c>
    </row>
    <row r="399" spans="1:21" ht="15" hidden="1" customHeight="1" x14ac:dyDescent="0.3">
      <c r="A399" s="7" t="s">
        <v>1158</v>
      </c>
      <c r="B399" s="47" t="str">
        <f t="shared" si="30"/>
        <v>PROTECTION_APPRSR</v>
      </c>
      <c r="C399" s="8" t="s">
        <v>1114</v>
      </c>
      <c r="D399" s="9" t="s">
        <v>1159</v>
      </c>
      <c r="E399" s="11" t="s">
        <v>1160</v>
      </c>
      <c r="F399" s="10" t="s">
        <v>13</v>
      </c>
      <c r="G399" s="10" t="s">
        <v>11</v>
      </c>
      <c r="H399" s="10" t="s">
        <v>11</v>
      </c>
      <c r="I399" s="10" t="s">
        <v>11</v>
      </c>
      <c r="J399" s="10" t="s">
        <v>11</v>
      </c>
      <c r="L399" s="6" t="str">
        <f>IFERROR(VLOOKUP($B399,'Lista - Âmbito Projeto GD'!$B$3:$F$71,5,0),"Campo eliminado")</f>
        <v>Campo eliminado</v>
      </c>
      <c r="M399" s="6" t="str">
        <f t="shared" si="31"/>
        <v>Campo eliminado</v>
      </c>
      <c r="N399" s="6" t="str">
        <f>IFERROR(VLOOKUP($B399,'Lista - Âmbito Projeto GD'!$B$3:$K$71,6,0),"Campo eliminado")</f>
        <v>Campo eliminado</v>
      </c>
      <c r="O399" s="6" t="str">
        <f t="shared" si="32"/>
        <v>Campo eliminado</v>
      </c>
      <c r="P399" s="6" t="str">
        <f>IFERROR(VLOOKUP($B399,'Lista - Âmbito Projeto GD'!$B$3:$K$71,7,0),"Campo eliminado")</f>
        <v>Campo eliminado</v>
      </c>
      <c r="Q399" s="6" t="str">
        <f t="shared" si="33"/>
        <v>Campo eliminado</v>
      </c>
      <c r="R399" s="6" t="str">
        <f>IFERROR(VLOOKUP($B399,'Lista - Âmbito Projeto GD'!$B$3:$K$71,9,0),"Campo eliminado")</f>
        <v>Campo eliminado</v>
      </c>
      <c r="S399" s="6" t="str">
        <f t="shared" si="34"/>
        <v>Campo eliminado</v>
      </c>
      <c r="U399" s="6" t="str">
        <f>VLOOKUP(B399,DataLake!$A$4:$A$429,1,0)</f>
        <v>PROTECTION_APPRSR</v>
      </c>
    </row>
    <row r="400" spans="1:21" ht="15" hidden="1" customHeight="1" x14ac:dyDescent="0.3">
      <c r="A400" s="7" t="s">
        <v>1161</v>
      </c>
      <c r="B400" s="47" t="str">
        <f t="shared" si="30"/>
        <v>PROTECTION_DT_LST_FLL_APPRSL</v>
      </c>
      <c r="C400" s="8" t="s">
        <v>1114</v>
      </c>
      <c r="D400" s="9" t="s">
        <v>1162</v>
      </c>
      <c r="E400" s="11" t="s">
        <v>1163</v>
      </c>
      <c r="F400" s="10" t="s">
        <v>13</v>
      </c>
      <c r="G400" s="10" t="s">
        <v>11</v>
      </c>
      <c r="H400" s="10" t="s">
        <v>11</v>
      </c>
      <c r="I400" s="10" t="s">
        <v>11</v>
      </c>
      <c r="J400" s="10" t="s">
        <v>11</v>
      </c>
      <c r="L400" s="6" t="str">
        <f>IFERROR(VLOOKUP($B400,'Lista - Âmbito Projeto GD'!$B$3:$F$71,5,0),"Campo eliminado")</f>
        <v>Campo eliminado</v>
      </c>
      <c r="M400" s="6" t="str">
        <f t="shared" si="31"/>
        <v>Campo eliminado</v>
      </c>
      <c r="N400" s="6" t="str">
        <f>IFERROR(VLOOKUP($B400,'Lista - Âmbito Projeto GD'!$B$3:$K$71,6,0),"Campo eliminado")</f>
        <v>Campo eliminado</v>
      </c>
      <c r="O400" s="6" t="str">
        <f t="shared" si="32"/>
        <v>Campo eliminado</v>
      </c>
      <c r="P400" s="6" t="str">
        <f>IFERROR(VLOOKUP($B400,'Lista - Âmbito Projeto GD'!$B$3:$K$71,7,0),"Campo eliminado")</f>
        <v>Campo eliminado</v>
      </c>
      <c r="Q400" s="6" t="str">
        <f t="shared" si="33"/>
        <v>Campo eliminado</v>
      </c>
      <c r="R400" s="6" t="str">
        <f>IFERROR(VLOOKUP($B400,'Lista - Âmbito Projeto GD'!$B$3:$K$71,9,0),"Campo eliminado")</f>
        <v>Campo eliminado</v>
      </c>
      <c r="S400" s="6" t="str">
        <f t="shared" si="34"/>
        <v>Campo eliminado</v>
      </c>
      <c r="U400" s="6" t="str">
        <f>VLOOKUP(B400,DataLake!$A$4:$A$429,1,0)</f>
        <v>PROTECTION_DT_LST_FLL_APPRSL</v>
      </c>
    </row>
    <row r="401" spans="1:21" ht="15" hidden="1" customHeight="1" x14ac:dyDescent="0.3">
      <c r="A401" s="7" t="s">
        <v>1164</v>
      </c>
      <c r="B401" s="47" t="str">
        <f t="shared" si="30"/>
        <v>PROTECTION_DT_ORGNL_PRTCTN_VL</v>
      </c>
      <c r="C401" s="8" t="s">
        <v>1114</v>
      </c>
      <c r="D401" s="9" t="s">
        <v>1165</v>
      </c>
      <c r="E401" s="11" t="s">
        <v>1166</v>
      </c>
      <c r="F401" s="10" t="s">
        <v>13</v>
      </c>
      <c r="G401" s="10" t="s">
        <v>11</v>
      </c>
      <c r="H401" s="10" t="s">
        <v>11</v>
      </c>
      <c r="I401" s="10" t="s">
        <v>11</v>
      </c>
      <c r="J401" s="10" t="s">
        <v>11</v>
      </c>
      <c r="L401" s="6" t="str">
        <f>IFERROR(VLOOKUP($B401,'Lista - Âmbito Projeto GD'!$B$3:$F$71,5,0),"Campo eliminado")</f>
        <v>Campo eliminado</v>
      </c>
      <c r="M401" s="6" t="str">
        <f t="shared" si="31"/>
        <v>Campo eliminado</v>
      </c>
      <c r="N401" s="6" t="str">
        <f>IFERROR(VLOOKUP($B401,'Lista - Âmbito Projeto GD'!$B$3:$K$71,6,0),"Campo eliminado")</f>
        <v>Campo eliminado</v>
      </c>
      <c r="O401" s="6" t="str">
        <f t="shared" si="32"/>
        <v>Campo eliminado</v>
      </c>
      <c r="P401" s="6" t="str">
        <f>IFERROR(VLOOKUP($B401,'Lista - Âmbito Projeto GD'!$B$3:$K$71,7,0),"Campo eliminado")</f>
        <v>Campo eliminado</v>
      </c>
      <c r="Q401" s="6" t="str">
        <f t="shared" si="33"/>
        <v>Campo eliminado</v>
      </c>
      <c r="R401" s="6" t="str">
        <f>IFERROR(VLOOKUP($B401,'Lista - Âmbito Projeto GD'!$B$3:$K$71,9,0),"Campo eliminado")</f>
        <v>Campo eliminado</v>
      </c>
      <c r="S401" s="6" t="str">
        <f t="shared" si="34"/>
        <v>Campo eliminado</v>
      </c>
      <c r="U401" s="6" t="str">
        <f>VLOOKUP(B401,DataLake!$A$4:$A$429,1,0)</f>
        <v>PROTECTION_DT_ORGNL_PRTCTN_VL</v>
      </c>
    </row>
    <row r="402" spans="1:21" ht="15" hidden="1" customHeight="1" x14ac:dyDescent="0.3">
      <c r="A402" s="7" t="s">
        <v>1167</v>
      </c>
      <c r="B402" s="47" t="str">
        <f t="shared" si="30"/>
        <v>PROTECTION_DT_PRTCTN_VL</v>
      </c>
      <c r="C402" s="8" t="s">
        <v>1114</v>
      </c>
      <c r="D402" s="9" t="s">
        <v>1168</v>
      </c>
      <c r="E402" s="11" t="s">
        <v>1169</v>
      </c>
      <c r="F402" s="10" t="s">
        <v>13</v>
      </c>
      <c r="G402" s="10" t="s">
        <v>11</v>
      </c>
      <c r="H402" s="10" t="s">
        <v>11</v>
      </c>
      <c r="I402" s="10" t="s">
        <v>11</v>
      </c>
      <c r="J402" s="10" t="s">
        <v>11</v>
      </c>
      <c r="L402" s="6" t="str">
        <f>IFERROR(VLOOKUP($B402,'Lista - Âmbito Projeto GD'!$B$3:$F$71,5,0),"Campo eliminado")</f>
        <v>Campo eliminado</v>
      </c>
      <c r="M402" s="6" t="str">
        <f t="shared" si="31"/>
        <v>Campo eliminado</v>
      </c>
      <c r="N402" s="6" t="str">
        <f>IFERROR(VLOOKUP($B402,'Lista - Âmbito Projeto GD'!$B$3:$K$71,6,0),"Campo eliminado")</f>
        <v>Campo eliminado</v>
      </c>
      <c r="O402" s="6" t="str">
        <f t="shared" si="32"/>
        <v>Campo eliminado</v>
      </c>
      <c r="P402" s="6" t="str">
        <f>IFERROR(VLOOKUP($B402,'Lista - Âmbito Projeto GD'!$B$3:$K$71,7,0),"Campo eliminado")</f>
        <v>Campo eliminado</v>
      </c>
      <c r="Q402" s="6" t="str">
        <f t="shared" si="33"/>
        <v>Campo eliminado</v>
      </c>
      <c r="R402" s="6" t="str">
        <f>IFERROR(VLOOKUP($B402,'Lista - Âmbito Projeto GD'!$B$3:$K$71,9,0),"Campo eliminado")</f>
        <v>Campo eliminado</v>
      </c>
      <c r="S402" s="6" t="str">
        <f t="shared" si="34"/>
        <v>Campo eliminado</v>
      </c>
      <c r="U402" s="6" t="str">
        <f>VLOOKUP(B402,DataLake!$A$4:$A$429,1,0)</f>
        <v>PROTECTION_DT_PRTCTN_VL</v>
      </c>
    </row>
    <row r="403" spans="1:21" ht="15" hidden="1" customHeight="1" x14ac:dyDescent="0.3">
      <c r="A403" s="7" t="s">
        <v>1170</v>
      </c>
      <c r="B403" s="47" t="str">
        <f t="shared" si="30"/>
        <v>PROTECTION_ORGNL_PRTCTN_VL</v>
      </c>
      <c r="C403" s="8" t="s">
        <v>1114</v>
      </c>
      <c r="D403" s="9" t="s">
        <v>1171</v>
      </c>
      <c r="E403" s="11" t="s">
        <v>1172</v>
      </c>
      <c r="F403" s="10" t="s">
        <v>13</v>
      </c>
      <c r="G403" s="10" t="s">
        <v>11</v>
      </c>
      <c r="H403" s="10" t="s">
        <v>13</v>
      </c>
      <c r="I403" s="10" t="s">
        <v>11</v>
      </c>
      <c r="J403" s="10" t="s">
        <v>11</v>
      </c>
      <c r="L403" s="6" t="str">
        <f>IFERROR(VLOOKUP($B403,'Lista - Âmbito Projeto GD'!$B$3:$F$71,5,0),"Campo eliminado")</f>
        <v>Campo eliminado</v>
      </c>
      <c r="M403" s="6" t="str">
        <f t="shared" si="31"/>
        <v>Campo eliminado</v>
      </c>
      <c r="N403" s="6" t="str">
        <f>IFERROR(VLOOKUP($B403,'Lista - Âmbito Projeto GD'!$B$3:$K$71,6,0),"Campo eliminado")</f>
        <v>Campo eliminado</v>
      </c>
      <c r="O403" s="6" t="str">
        <f t="shared" si="32"/>
        <v>Campo eliminado</v>
      </c>
      <c r="P403" s="6" t="str">
        <f>IFERROR(VLOOKUP($B403,'Lista - Âmbito Projeto GD'!$B$3:$K$71,7,0),"Campo eliminado")</f>
        <v>Campo eliminado</v>
      </c>
      <c r="Q403" s="6" t="str">
        <f t="shared" si="33"/>
        <v>Campo eliminado</v>
      </c>
      <c r="R403" s="6" t="str">
        <f>IFERROR(VLOOKUP($B403,'Lista - Âmbito Projeto GD'!$B$3:$K$71,9,0),"Campo eliminado")</f>
        <v>Campo eliminado</v>
      </c>
      <c r="S403" s="6" t="str">
        <f t="shared" si="34"/>
        <v>Campo eliminado</v>
      </c>
      <c r="U403" s="6" t="str">
        <f>VLOOKUP(B403,DataLake!$A$4:$A$429,1,0)</f>
        <v>PROTECTION_ORGNL_PRTCTN_VL</v>
      </c>
    </row>
    <row r="404" spans="1:21" ht="15" hidden="1" customHeight="1" x14ac:dyDescent="0.3">
      <c r="A404" s="7" t="s">
        <v>1173</v>
      </c>
      <c r="B404" s="47" t="str">
        <f t="shared" si="30"/>
        <v>PROTECTION_PRTCTN_FRCD_SL_VL</v>
      </c>
      <c r="C404" s="8" t="s">
        <v>1114</v>
      </c>
      <c r="D404" s="9" t="s">
        <v>1174</v>
      </c>
      <c r="E404" s="11" t="s">
        <v>1175</v>
      </c>
      <c r="F404" s="10" t="s">
        <v>13</v>
      </c>
      <c r="G404" s="10" t="s">
        <v>11</v>
      </c>
      <c r="H404" s="10" t="s">
        <v>11</v>
      </c>
      <c r="I404" s="10" t="s">
        <v>11</v>
      </c>
      <c r="J404" s="10" t="s">
        <v>11</v>
      </c>
      <c r="L404" s="6" t="str">
        <f>IFERROR(VLOOKUP($B404,'Lista - Âmbito Projeto GD'!$B$3:$F$71,5,0),"Campo eliminado")</f>
        <v>Campo eliminado</v>
      </c>
      <c r="M404" s="6" t="str">
        <f t="shared" si="31"/>
        <v>Campo eliminado</v>
      </c>
      <c r="N404" s="6" t="str">
        <f>IFERROR(VLOOKUP($B404,'Lista - Âmbito Projeto GD'!$B$3:$K$71,6,0),"Campo eliminado")</f>
        <v>Campo eliminado</v>
      </c>
      <c r="O404" s="6" t="str">
        <f t="shared" si="32"/>
        <v>Campo eliminado</v>
      </c>
      <c r="P404" s="6" t="str">
        <f>IFERROR(VLOOKUP($B404,'Lista - Âmbito Projeto GD'!$B$3:$K$71,7,0),"Campo eliminado")</f>
        <v>Campo eliminado</v>
      </c>
      <c r="Q404" s="6" t="str">
        <f t="shared" si="33"/>
        <v>Campo eliminado</v>
      </c>
      <c r="R404" s="6" t="str">
        <f>IFERROR(VLOOKUP($B404,'Lista - Âmbito Projeto GD'!$B$3:$K$71,9,0),"Campo eliminado")</f>
        <v>Campo eliminado</v>
      </c>
      <c r="S404" s="6" t="str">
        <f t="shared" si="34"/>
        <v>Campo eliminado</v>
      </c>
      <c r="U404" s="6" t="str">
        <f>VLOOKUP(B404,DataLake!$A$4:$A$429,1,0)</f>
        <v>PROTECTION_PRTCTN_FRCD_SL_VL</v>
      </c>
    </row>
    <row r="405" spans="1:21" ht="15" hidden="1" customHeight="1" x14ac:dyDescent="0.3">
      <c r="A405" s="7" t="s">
        <v>1176</v>
      </c>
      <c r="B405" s="47" t="str">
        <f t="shared" si="30"/>
        <v>PROTECTION_PRTCTN_VL</v>
      </c>
      <c r="C405" s="8" t="s">
        <v>1114</v>
      </c>
      <c r="D405" s="9" t="s">
        <v>1177</v>
      </c>
      <c r="E405" s="11" t="s">
        <v>1178</v>
      </c>
      <c r="F405" s="10" t="s">
        <v>13</v>
      </c>
      <c r="G405" s="10" t="s">
        <v>11</v>
      </c>
      <c r="H405" s="10" t="s">
        <v>13</v>
      </c>
      <c r="I405" s="10" t="s">
        <v>11</v>
      </c>
      <c r="J405" s="10" t="s">
        <v>11</v>
      </c>
      <c r="L405" s="6" t="str">
        <f>IFERROR(VLOOKUP($B405,'Lista - Âmbito Projeto GD'!$B$3:$F$71,5,0),"Campo eliminado")</f>
        <v>Y</v>
      </c>
      <c r="M405" s="6" t="str">
        <f t="shared" si="31"/>
        <v>Igual</v>
      </c>
      <c r="N405" s="6" t="str">
        <f>IFERROR(VLOOKUP($B405,'Lista - Âmbito Projeto GD'!$B$3:$K$71,6,0),"Campo eliminado")</f>
        <v>Y</v>
      </c>
      <c r="O405" s="6" t="str">
        <f t="shared" si="32"/>
        <v>Diferente</v>
      </c>
      <c r="P405" s="6" t="str">
        <f>IFERROR(VLOOKUP($B405,'Lista - Âmbito Projeto GD'!$B$3:$K$71,7,0),"Campo eliminado")</f>
        <v>Y</v>
      </c>
      <c r="Q405" s="6" t="str">
        <f t="shared" si="33"/>
        <v>Igual</v>
      </c>
      <c r="R405" s="6" t="str">
        <f>IFERROR(VLOOKUP($B405,'Lista - Âmbito Projeto GD'!$B$3:$K$71,9,0),"Campo eliminado")</f>
        <v>N</v>
      </c>
      <c r="S405" s="6" t="str">
        <f t="shared" si="34"/>
        <v>Igual</v>
      </c>
      <c r="U405" s="6" t="str">
        <f>VLOOKUP(B405,DataLake!$A$4:$A$429,1,0)</f>
        <v>PROTECTION_PRTCTN_VL</v>
      </c>
    </row>
    <row r="406" spans="1:21" ht="15" hidden="1" customHeight="1" x14ac:dyDescent="0.3">
      <c r="A406" s="7" t="s">
        <v>1179</v>
      </c>
      <c r="B406" s="47" t="str">
        <f t="shared" si="30"/>
        <v>PROTECTION_PRTCTN_VL_NPE</v>
      </c>
      <c r="C406" s="8" t="s">
        <v>1114</v>
      </c>
      <c r="D406" s="9" t="s">
        <v>1180</v>
      </c>
      <c r="E406" s="11" t="s">
        <v>1181</v>
      </c>
      <c r="F406" s="10" t="s">
        <v>13</v>
      </c>
      <c r="G406" s="10" t="s">
        <v>11</v>
      </c>
      <c r="H406" s="10" t="s">
        <v>11</v>
      </c>
      <c r="I406" s="10" t="s">
        <v>11</v>
      </c>
      <c r="J406" s="10" t="s">
        <v>11</v>
      </c>
      <c r="L406" s="6" t="str">
        <f>IFERROR(VLOOKUP($B406,'Lista - Âmbito Projeto GD'!$B$3:$F$71,5,0),"Campo eliminado")</f>
        <v>Campo eliminado</v>
      </c>
      <c r="M406" s="6" t="str">
        <f t="shared" si="31"/>
        <v>Campo eliminado</v>
      </c>
      <c r="N406" s="6" t="str">
        <f>IFERROR(VLOOKUP($B406,'Lista - Âmbito Projeto GD'!$B$3:$K$71,6,0),"Campo eliminado")</f>
        <v>Campo eliminado</v>
      </c>
      <c r="O406" s="6" t="str">
        <f t="shared" si="32"/>
        <v>Campo eliminado</v>
      </c>
      <c r="P406" s="6" t="str">
        <f>IFERROR(VLOOKUP($B406,'Lista - Âmbito Projeto GD'!$B$3:$K$71,7,0),"Campo eliminado")</f>
        <v>Campo eliminado</v>
      </c>
      <c r="Q406" s="6" t="str">
        <f t="shared" si="33"/>
        <v>Campo eliminado</v>
      </c>
      <c r="R406" s="6" t="str">
        <f>IFERROR(VLOOKUP($B406,'Lista - Âmbito Projeto GD'!$B$3:$K$71,9,0),"Campo eliminado")</f>
        <v>Campo eliminado</v>
      </c>
      <c r="S406" s="6" t="str">
        <f t="shared" si="34"/>
        <v>Campo eliminado</v>
      </c>
      <c r="U406" s="6" t="str">
        <f>VLOOKUP(B406,DataLake!$A$4:$A$429,1,0)</f>
        <v>PROTECTION_PRTCTN_VL_NPE</v>
      </c>
    </row>
    <row r="407" spans="1:21" ht="15" hidden="1" customHeight="1" x14ac:dyDescent="0.3">
      <c r="A407" s="7" t="s">
        <v>1182</v>
      </c>
      <c r="B407" s="47" t="str">
        <f t="shared" si="30"/>
        <v>PROTECTION_PRTCTN_VLTN_APPRCH</v>
      </c>
      <c r="C407" s="8" t="s">
        <v>1114</v>
      </c>
      <c r="D407" s="9" t="s">
        <v>1183</v>
      </c>
      <c r="E407" s="11" t="s">
        <v>1184</v>
      </c>
      <c r="F407" s="10" t="s">
        <v>13</v>
      </c>
      <c r="G407" s="10" t="s">
        <v>11</v>
      </c>
      <c r="H407" s="10" t="s">
        <v>11</v>
      </c>
      <c r="I407" s="10" t="s">
        <v>11</v>
      </c>
      <c r="J407" s="10" t="s">
        <v>11</v>
      </c>
      <c r="L407" s="6" t="str">
        <f>IFERROR(VLOOKUP($B407,'Lista - Âmbito Projeto GD'!$B$3:$F$71,5,0),"Campo eliminado")</f>
        <v>Campo eliminado</v>
      </c>
      <c r="M407" s="6" t="str">
        <f t="shared" si="31"/>
        <v>Campo eliminado</v>
      </c>
      <c r="N407" s="6" t="str">
        <f>IFERROR(VLOOKUP($B407,'Lista - Âmbito Projeto GD'!$B$3:$K$71,6,0),"Campo eliminado")</f>
        <v>Campo eliminado</v>
      </c>
      <c r="O407" s="6" t="str">
        <f t="shared" si="32"/>
        <v>Campo eliminado</v>
      </c>
      <c r="P407" s="6" t="str">
        <f>IFERROR(VLOOKUP($B407,'Lista - Âmbito Projeto GD'!$B$3:$K$71,7,0),"Campo eliminado")</f>
        <v>Campo eliminado</v>
      </c>
      <c r="Q407" s="6" t="str">
        <f t="shared" si="33"/>
        <v>Campo eliminado</v>
      </c>
      <c r="R407" s="6" t="str">
        <f>IFERROR(VLOOKUP($B407,'Lista - Âmbito Projeto GD'!$B$3:$K$71,9,0),"Campo eliminado")</f>
        <v>Campo eliminado</v>
      </c>
      <c r="S407" s="6" t="str">
        <f t="shared" si="34"/>
        <v>Campo eliminado</v>
      </c>
      <c r="U407" s="6" t="str">
        <f>VLOOKUP(B407,DataLake!$A$4:$A$429,1,0)</f>
        <v>PROTECTION_PRTCTN_VLTN_APPRCH</v>
      </c>
    </row>
    <row r="408" spans="1:21" ht="15" hidden="1" customHeight="1" x14ac:dyDescent="0.3">
      <c r="A408" s="7" t="s">
        <v>1185</v>
      </c>
      <c r="B408" s="47" t="str">
        <f t="shared" si="30"/>
        <v>PROTECTION_DT_APPRSL_PRVS</v>
      </c>
      <c r="C408" s="8" t="s">
        <v>1114</v>
      </c>
      <c r="D408" s="9" t="s">
        <v>1186</v>
      </c>
      <c r="E408" s="11" t="s">
        <v>1187</v>
      </c>
      <c r="F408" s="10" t="s">
        <v>13</v>
      </c>
      <c r="G408" s="10" t="s">
        <v>11</v>
      </c>
      <c r="H408" s="10" t="s">
        <v>11</v>
      </c>
      <c r="I408" s="10" t="s">
        <v>11</v>
      </c>
      <c r="J408" s="10" t="s">
        <v>11</v>
      </c>
      <c r="L408" s="6" t="str">
        <f>IFERROR(VLOOKUP($B408,'Lista - Âmbito Projeto GD'!$B$3:$F$71,5,0),"Campo eliminado")</f>
        <v>Campo eliminado</v>
      </c>
      <c r="M408" s="6" t="str">
        <f t="shared" si="31"/>
        <v>Campo eliminado</v>
      </c>
      <c r="N408" s="6" t="str">
        <f>IFERROR(VLOOKUP($B408,'Lista - Âmbito Projeto GD'!$B$3:$K$71,6,0),"Campo eliminado")</f>
        <v>Campo eliminado</v>
      </c>
      <c r="O408" s="6" t="str">
        <f t="shared" si="32"/>
        <v>Campo eliminado</v>
      </c>
      <c r="P408" s="6" t="str">
        <f>IFERROR(VLOOKUP($B408,'Lista - Âmbito Projeto GD'!$B$3:$K$71,7,0),"Campo eliminado")</f>
        <v>Campo eliminado</v>
      </c>
      <c r="Q408" s="6" t="str">
        <f t="shared" si="33"/>
        <v>Campo eliminado</v>
      </c>
      <c r="R408" s="6" t="str">
        <f>IFERROR(VLOOKUP($B408,'Lista - Âmbito Projeto GD'!$B$3:$K$71,9,0),"Campo eliminado")</f>
        <v>Campo eliminado</v>
      </c>
      <c r="S408" s="6" t="str">
        <f t="shared" si="34"/>
        <v>Campo eliminado</v>
      </c>
      <c r="U408" s="6" t="str">
        <f>VLOOKUP(B408,DataLake!$A$4:$A$429,1,0)</f>
        <v>PROTECTION_DT_APPRSL_PRVS</v>
      </c>
    </row>
    <row r="409" spans="1:21" ht="15" hidden="1" customHeight="1" x14ac:dyDescent="0.3">
      <c r="A409" s="7" t="s">
        <v>1188</v>
      </c>
      <c r="B409" s="47" t="str">
        <f t="shared" si="30"/>
        <v>PROTECTION_PRTCTN_VL_PRVS</v>
      </c>
      <c r="C409" s="8" t="s">
        <v>1114</v>
      </c>
      <c r="D409" s="9" t="s">
        <v>1189</v>
      </c>
      <c r="E409" s="11" t="s">
        <v>1190</v>
      </c>
      <c r="F409" s="10" t="s">
        <v>13</v>
      </c>
      <c r="G409" s="10" t="s">
        <v>11</v>
      </c>
      <c r="H409" s="10" t="s">
        <v>11</v>
      </c>
      <c r="I409" s="10" t="s">
        <v>11</v>
      </c>
      <c r="J409" s="10" t="s">
        <v>11</v>
      </c>
      <c r="L409" s="6" t="str">
        <f>IFERROR(VLOOKUP($B409,'Lista - Âmbito Projeto GD'!$B$3:$F$71,5,0),"Campo eliminado")</f>
        <v>Campo eliminado</v>
      </c>
      <c r="M409" s="6" t="str">
        <f t="shared" si="31"/>
        <v>Campo eliminado</v>
      </c>
      <c r="N409" s="6" t="str">
        <f>IFERROR(VLOOKUP($B409,'Lista - Âmbito Projeto GD'!$B$3:$K$71,6,0),"Campo eliminado")</f>
        <v>Campo eliminado</v>
      </c>
      <c r="O409" s="6" t="str">
        <f t="shared" si="32"/>
        <v>Campo eliminado</v>
      </c>
      <c r="P409" s="6" t="str">
        <f>IFERROR(VLOOKUP($B409,'Lista - Âmbito Projeto GD'!$B$3:$K$71,7,0),"Campo eliminado")</f>
        <v>Campo eliminado</v>
      </c>
      <c r="Q409" s="6" t="str">
        <f t="shared" si="33"/>
        <v>Campo eliminado</v>
      </c>
      <c r="R409" s="6" t="str">
        <f>IFERROR(VLOOKUP($B409,'Lista - Âmbito Projeto GD'!$B$3:$K$71,9,0),"Campo eliminado")</f>
        <v>Campo eliminado</v>
      </c>
      <c r="S409" s="6" t="str">
        <f t="shared" si="34"/>
        <v>Campo eliminado</v>
      </c>
      <c r="U409" s="6" t="str">
        <f>VLOOKUP(B409,DataLake!$A$4:$A$429,1,0)</f>
        <v>PROTECTION_PRTCTN_VL_PRVS</v>
      </c>
    </row>
    <row r="410" spans="1:21" ht="15" hidden="1" customHeight="1" x14ac:dyDescent="0.3">
      <c r="A410" s="7" t="s">
        <v>1191</v>
      </c>
      <c r="B410" s="47" t="str">
        <f t="shared" si="30"/>
        <v>PROTECTION_CNSTRCTN_STTS</v>
      </c>
      <c r="C410" s="8" t="s">
        <v>1114</v>
      </c>
      <c r="D410" s="9" t="s">
        <v>1192</v>
      </c>
      <c r="E410" s="11" t="s">
        <v>1193</v>
      </c>
      <c r="F410" s="10" t="s">
        <v>13</v>
      </c>
      <c r="G410" s="10" t="s">
        <v>11</v>
      </c>
      <c r="H410" s="10" t="s">
        <v>11</v>
      </c>
      <c r="I410" s="10" t="s">
        <v>11</v>
      </c>
      <c r="J410" s="10" t="s">
        <v>11</v>
      </c>
      <c r="L410" s="6" t="str">
        <f>IFERROR(VLOOKUP($B410,'Lista - Âmbito Projeto GD'!$B$3:$F$71,5,0),"Campo eliminado")</f>
        <v>Campo eliminado</v>
      </c>
      <c r="M410" s="6" t="str">
        <f t="shared" si="31"/>
        <v>Campo eliminado</v>
      </c>
      <c r="N410" s="6" t="str">
        <f>IFERROR(VLOOKUP($B410,'Lista - Âmbito Projeto GD'!$B$3:$K$71,6,0),"Campo eliminado")</f>
        <v>Campo eliminado</v>
      </c>
      <c r="O410" s="6" t="str">
        <f t="shared" si="32"/>
        <v>Campo eliminado</v>
      </c>
      <c r="P410" s="6" t="str">
        <f>IFERROR(VLOOKUP($B410,'Lista - Âmbito Projeto GD'!$B$3:$K$71,7,0),"Campo eliminado")</f>
        <v>Campo eliminado</v>
      </c>
      <c r="Q410" s="6" t="str">
        <f t="shared" si="33"/>
        <v>Campo eliminado</v>
      </c>
      <c r="R410" s="6" t="str">
        <f>IFERROR(VLOOKUP($B410,'Lista - Âmbito Projeto GD'!$B$3:$K$71,9,0),"Campo eliminado")</f>
        <v>Campo eliminado</v>
      </c>
      <c r="S410" s="6" t="str">
        <f t="shared" si="34"/>
        <v>Campo eliminado</v>
      </c>
      <c r="U410" s="6" t="str">
        <f>VLOOKUP(B410,DataLake!$A$4:$A$429,1,0)</f>
        <v>PROTECTION_CNSTRCTN_STTS</v>
      </c>
    </row>
    <row r="411" spans="1:21" ht="14.9" hidden="1" customHeight="1" x14ac:dyDescent="0.3">
      <c r="A411" s="7" t="s">
        <v>1194</v>
      </c>
      <c r="B411" s="47" t="str">
        <f t="shared" si="30"/>
        <v>PROTECTION_DT_CNSTRCTN_STTS</v>
      </c>
      <c r="C411" s="8" t="s">
        <v>1114</v>
      </c>
      <c r="D411" s="9" t="s">
        <v>1195</v>
      </c>
      <c r="E411" s="27" t="s">
        <v>1196</v>
      </c>
      <c r="F411" s="10" t="s">
        <v>13</v>
      </c>
      <c r="G411" s="10" t="s">
        <v>11</v>
      </c>
      <c r="H411" s="10" t="s">
        <v>11</v>
      </c>
      <c r="I411" s="10" t="s">
        <v>11</v>
      </c>
      <c r="J411" s="10" t="s">
        <v>11</v>
      </c>
      <c r="L411" s="6" t="str">
        <f>IFERROR(VLOOKUP($B411,'Lista - Âmbito Projeto GD'!$B$3:$F$71,5,0),"Campo eliminado")</f>
        <v>Campo eliminado</v>
      </c>
      <c r="M411" s="6" t="str">
        <f t="shared" si="31"/>
        <v>Campo eliminado</v>
      </c>
      <c r="N411" s="6" t="str">
        <f>IFERROR(VLOOKUP($B411,'Lista - Âmbito Projeto GD'!$B$3:$K$71,6,0),"Campo eliminado")</f>
        <v>Campo eliminado</v>
      </c>
      <c r="O411" s="6" t="str">
        <f t="shared" si="32"/>
        <v>Campo eliminado</v>
      </c>
      <c r="P411" s="6" t="str">
        <f>IFERROR(VLOOKUP($B411,'Lista - Âmbito Projeto GD'!$B$3:$K$71,7,0),"Campo eliminado")</f>
        <v>Campo eliminado</v>
      </c>
      <c r="Q411" s="6" t="str">
        <f t="shared" si="33"/>
        <v>Campo eliminado</v>
      </c>
      <c r="R411" s="6" t="str">
        <f>IFERROR(VLOOKUP($B411,'Lista - Âmbito Projeto GD'!$B$3:$K$71,9,0),"Campo eliminado")</f>
        <v>Campo eliminado</v>
      </c>
      <c r="S411" s="6" t="str">
        <f t="shared" si="34"/>
        <v>Campo eliminado</v>
      </c>
      <c r="U411" s="6" t="str">
        <f>VLOOKUP(B411,DataLake!$A$4:$A$429,1,0)</f>
        <v>PROTECTION_DT_CNSTRCTN_STTS</v>
      </c>
    </row>
    <row r="412" spans="1:21" ht="14.9" hidden="1" customHeight="1" x14ac:dyDescent="0.3">
      <c r="A412" s="7" t="s">
        <v>1197</v>
      </c>
      <c r="B412" s="47" t="str">
        <f t="shared" si="30"/>
        <v>PROTECTION_DT_FRST_USG</v>
      </c>
      <c r="C412" s="8" t="s">
        <v>1114</v>
      </c>
      <c r="D412" s="9" t="s">
        <v>1198</v>
      </c>
      <c r="E412" s="27" t="s">
        <v>1199</v>
      </c>
      <c r="F412" s="10" t="s">
        <v>13</v>
      </c>
      <c r="G412" s="10" t="s">
        <v>11</v>
      </c>
      <c r="H412" s="10" t="s">
        <v>11</v>
      </c>
      <c r="I412" s="10" t="s">
        <v>11</v>
      </c>
      <c r="J412" s="10" t="s">
        <v>11</v>
      </c>
      <c r="L412" s="6" t="str">
        <f>IFERROR(VLOOKUP($B412,'Lista - Âmbito Projeto GD'!$B$3:$F$71,5,0),"Campo eliminado")</f>
        <v>Campo eliminado</v>
      </c>
      <c r="M412" s="6" t="str">
        <f t="shared" si="31"/>
        <v>Campo eliminado</v>
      </c>
      <c r="N412" s="6" t="str">
        <f>IFERROR(VLOOKUP($B412,'Lista - Âmbito Projeto GD'!$B$3:$K$71,6,0),"Campo eliminado")</f>
        <v>Campo eliminado</v>
      </c>
      <c r="O412" s="6" t="str">
        <f t="shared" si="32"/>
        <v>Campo eliminado</v>
      </c>
      <c r="P412" s="6" t="str">
        <f>IFERROR(VLOOKUP($B412,'Lista - Âmbito Projeto GD'!$B$3:$K$71,7,0),"Campo eliminado")</f>
        <v>Campo eliminado</v>
      </c>
      <c r="Q412" s="6" t="str">
        <f t="shared" si="33"/>
        <v>Campo eliminado</v>
      </c>
      <c r="R412" s="6" t="str">
        <f>IFERROR(VLOOKUP($B412,'Lista - Âmbito Projeto GD'!$B$3:$K$71,9,0),"Campo eliminado")</f>
        <v>Campo eliminado</v>
      </c>
      <c r="S412" s="6" t="str">
        <f t="shared" si="34"/>
        <v>Campo eliminado</v>
      </c>
      <c r="U412" s="6" t="str">
        <f>VLOOKUP(B412,DataLake!$A$4:$A$429,1,0)</f>
        <v>PROTECTION_DT_FRST_USG</v>
      </c>
    </row>
    <row r="413" spans="1:21" ht="14.9" hidden="1" customHeight="1" x14ac:dyDescent="0.3">
      <c r="A413" s="7" t="s">
        <v>1200</v>
      </c>
      <c r="B413" s="47" t="str">
        <f t="shared" si="30"/>
        <v>PROTECTION_DVLPMNT_STTS</v>
      </c>
      <c r="C413" s="8" t="s">
        <v>1114</v>
      </c>
      <c r="D413" s="9" t="s">
        <v>1201</v>
      </c>
      <c r="E413" s="27" t="s">
        <v>1202</v>
      </c>
      <c r="F413" s="10" t="s">
        <v>13</v>
      </c>
      <c r="G413" s="10" t="s">
        <v>11</v>
      </c>
      <c r="H413" s="10" t="s">
        <v>11</v>
      </c>
      <c r="I413" s="10" t="s">
        <v>11</v>
      </c>
      <c r="J413" s="10" t="s">
        <v>11</v>
      </c>
      <c r="L413" s="6" t="str">
        <f>IFERROR(VLOOKUP($B413,'Lista - Âmbito Projeto GD'!$B$3:$F$71,5,0),"Campo eliminado")</f>
        <v>Campo eliminado</v>
      </c>
      <c r="M413" s="6" t="str">
        <f t="shared" si="31"/>
        <v>Campo eliminado</v>
      </c>
      <c r="N413" s="6" t="str">
        <f>IFERROR(VLOOKUP($B413,'Lista - Âmbito Projeto GD'!$B$3:$K$71,6,0),"Campo eliminado")</f>
        <v>Campo eliminado</v>
      </c>
      <c r="O413" s="6" t="str">
        <f t="shared" si="32"/>
        <v>Campo eliminado</v>
      </c>
      <c r="P413" s="6" t="str">
        <f>IFERROR(VLOOKUP($B413,'Lista - Âmbito Projeto GD'!$B$3:$K$71,7,0),"Campo eliminado")</f>
        <v>Campo eliminado</v>
      </c>
      <c r="Q413" s="6" t="str">
        <f t="shared" si="33"/>
        <v>Campo eliminado</v>
      </c>
      <c r="R413" s="6" t="str">
        <f>IFERROR(VLOOKUP($B413,'Lista - Âmbito Projeto GD'!$B$3:$K$71,9,0),"Campo eliminado")</f>
        <v>Campo eliminado</v>
      </c>
      <c r="S413" s="6" t="str">
        <f t="shared" si="34"/>
        <v>Campo eliminado</v>
      </c>
      <c r="U413" s="6" t="str">
        <f>VLOOKUP(B413,DataLake!$A$4:$A$429,1,0)</f>
        <v>PROTECTION_DVLPMNT_STTS</v>
      </c>
    </row>
    <row r="414" spans="1:21" ht="14.9" hidden="1" customHeight="1" x14ac:dyDescent="0.3">
      <c r="A414" s="7" t="s">
        <v>1203</v>
      </c>
      <c r="B414" s="47" t="str">
        <f t="shared" si="30"/>
        <v>PROTECTION_MN_PRPS</v>
      </c>
      <c r="C414" s="8" t="s">
        <v>1114</v>
      </c>
      <c r="D414" s="9" t="s">
        <v>1204</v>
      </c>
      <c r="E414" s="27" t="s">
        <v>1205</v>
      </c>
      <c r="F414" s="10" t="s">
        <v>13</v>
      </c>
      <c r="G414" s="10" t="s">
        <v>11</v>
      </c>
      <c r="H414" s="10" t="s">
        <v>11</v>
      </c>
      <c r="I414" s="10" t="s">
        <v>11</v>
      </c>
      <c r="J414" s="10" t="s">
        <v>11</v>
      </c>
      <c r="L414" s="6" t="str">
        <f>IFERROR(VLOOKUP($B414,'Lista - Âmbito Projeto GD'!$B$3:$F$71,5,0),"Campo eliminado")</f>
        <v>Campo eliminado</v>
      </c>
      <c r="M414" s="6" t="str">
        <f t="shared" si="31"/>
        <v>Campo eliminado</v>
      </c>
      <c r="N414" s="6" t="str">
        <f>IFERROR(VLOOKUP($B414,'Lista - Âmbito Projeto GD'!$B$3:$K$71,6,0),"Campo eliminado")</f>
        <v>Campo eliminado</v>
      </c>
      <c r="O414" s="6" t="str">
        <f t="shared" si="32"/>
        <v>Campo eliminado</v>
      </c>
      <c r="P414" s="6" t="str">
        <f>IFERROR(VLOOKUP($B414,'Lista - Âmbito Projeto GD'!$B$3:$K$71,7,0),"Campo eliminado")</f>
        <v>Campo eliminado</v>
      </c>
      <c r="Q414" s="6" t="str">
        <f t="shared" si="33"/>
        <v>Campo eliminado</v>
      </c>
      <c r="R414" s="6" t="str">
        <f>IFERROR(VLOOKUP($B414,'Lista - Âmbito Projeto GD'!$B$3:$K$71,9,0),"Campo eliminado")</f>
        <v>Campo eliminado</v>
      </c>
      <c r="S414" s="6" t="str">
        <f t="shared" si="34"/>
        <v>Campo eliminado</v>
      </c>
      <c r="U414" s="6" t="str">
        <f>VLOOKUP(B414,DataLake!$A$4:$A$429,1,0)</f>
        <v>PROTECTION_MN_PRPS</v>
      </c>
    </row>
    <row r="415" spans="1:21" ht="14.9" hidden="1" customHeight="1" x14ac:dyDescent="0.3">
      <c r="A415" s="7" t="s">
        <v>1206</v>
      </c>
      <c r="B415" s="47" t="str">
        <f t="shared" si="30"/>
        <v>PROTECTION_PRM_LCTN</v>
      </c>
      <c r="C415" s="8" t="s">
        <v>1114</v>
      </c>
      <c r="D415" s="9" t="s">
        <v>1207</v>
      </c>
      <c r="E415" s="27" t="s">
        <v>1208</v>
      </c>
      <c r="F415" s="10" t="s">
        <v>13</v>
      </c>
      <c r="G415" s="10" t="s">
        <v>11</v>
      </c>
      <c r="H415" s="10" t="s">
        <v>11</v>
      </c>
      <c r="I415" s="10" t="s">
        <v>11</v>
      </c>
      <c r="J415" s="10" t="s">
        <v>11</v>
      </c>
      <c r="L415" s="6" t="str">
        <f>IFERROR(VLOOKUP($B415,'Lista - Âmbito Projeto GD'!$B$3:$F$71,5,0),"Campo eliminado")</f>
        <v>Campo eliminado</v>
      </c>
      <c r="M415" s="6" t="str">
        <f t="shared" si="31"/>
        <v>Campo eliminado</v>
      </c>
      <c r="N415" s="6" t="str">
        <f>IFERROR(VLOOKUP($B415,'Lista - Âmbito Projeto GD'!$B$3:$K$71,6,0),"Campo eliminado")</f>
        <v>Campo eliminado</v>
      </c>
      <c r="O415" s="6" t="str">
        <f t="shared" si="32"/>
        <v>Campo eliminado</v>
      </c>
      <c r="P415" s="6" t="str">
        <f>IFERROR(VLOOKUP($B415,'Lista - Âmbito Projeto GD'!$B$3:$K$71,7,0),"Campo eliminado")</f>
        <v>Campo eliminado</v>
      </c>
      <c r="Q415" s="6" t="str">
        <f t="shared" si="33"/>
        <v>Campo eliminado</v>
      </c>
      <c r="R415" s="6" t="str">
        <f>IFERROR(VLOOKUP($B415,'Lista - Âmbito Projeto GD'!$B$3:$K$71,9,0),"Campo eliminado")</f>
        <v>Campo eliminado</v>
      </c>
      <c r="S415" s="6" t="str">
        <f t="shared" si="34"/>
        <v>Campo eliminado</v>
      </c>
      <c r="U415" s="6" t="str">
        <f>VLOOKUP(B415,DataLake!$A$4:$A$429,1,0)</f>
        <v>PROTECTION_PRM_LCTN</v>
      </c>
    </row>
    <row r="416" spans="1:21" ht="14.9" hidden="1" customHeight="1" x14ac:dyDescent="0.3">
      <c r="A416" s="7" t="s">
        <v>1209</v>
      </c>
      <c r="B416" s="47" t="str">
        <f t="shared" si="30"/>
        <v>PROTECTION_CRE_INCM_CRRNCY</v>
      </c>
      <c r="C416" s="8" t="s">
        <v>1114</v>
      </c>
      <c r="D416" s="9" t="s">
        <v>1210</v>
      </c>
      <c r="E416" s="27" t="s">
        <v>1211</v>
      </c>
      <c r="F416" s="10" t="s">
        <v>13</v>
      </c>
      <c r="G416" s="10" t="s">
        <v>11</v>
      </c>
      <c r="H416" s="10" t="s">
        <v>11</v>
      </c>
      <c r="I416" s="10" t="s">
        <v>11</v>
      </c>
      <c r="J416" s="10" t="s">
        <v>11</v>
      </c>
      <c r="L416" s="6" t="str">
        <f>IFERROR(VLOOKUP($B416,'Lista - Âmbito Projeto GD'!$B$3:$F$71,5,0),"Campo eliminado")</f>
        <v>Campo eliminado</v>
      </c>
      <c r="M416" s="6" t="str">
        <f t="shared" si="31"/>
        <v>Campo eliminado</v>
      </c>
      <c r="N416" s="6" t="str">
        <f>IFERROR(VLOOKUP($B416,'Lista - Âmbito Projeto GD'!$B$3:$K$71,6,0),"Campo eliminado")</f>
        <v>Campo eliminado</v>
      </c>
      <c r="O416" s="6" t="str">
        <f t="shared" si="32"/>
        <v>Campo eliminado</v>
      </c>
      <c r="P416" s="6" t="str">
        <f>IFERROR(VLOOKUP($B416,'Lista - Âmbito Projeto GD'!$B$3:$K$71,7,0),"Campo eliminado")</f>
        <v>Campo eliminado</v>
      </c>
      <c r="Q416" s="6" t="str">
        <f t="shared" si="33"/>
        <v>Campo eliminado</v>
      </c>
      <c r="R416" s="6" t="str">
        <f>IFERROR(VLOOKUP($B416,'Lista - Âmbito Projeto GD'!$B$3:$K$71,9,0),"Campo eliminado")</f>
        <v>Campo eliminado</v>
      </c>
      <c r="S416" s="6" t="str">
        <f t="shared" si="34"/>
        <v>Campo eliminado</v>
      </c>
      <c r="U416" s="6" t="str">
        <f>VLOOKUP(B416,DataLake!$A$4:$A$429,1,0)</f>
        <v>PROTECTION_CRE_INCM_CRRNCY</v>
      </c>
    </row>
    <row r="417" spans="1:21" ht="14.9" hidden="1" customHeight="1" x14ac:dyDescent="0.3">
      <c r="A417" s="7" t="s">
        <v>1212</v>
      </c>
      <c r="B417" s="47" t="str">
        <f t="shared" si="30"/>
        <v>PROTECTION_CRE_YRLY_EXPNSS</v>
      </c>
      <c r="C417" s="8" t="s">
        <v>1114</v>
      </c>
      <c r="D417" s="9" t="s">
        <v>1213</v>
      </c>
      <c r="E417" s="27" t="s">
        <v>1214</v>
      </c>
      <c r="F417" s="10" t="s">
        <v>13</v>
      </c>
      <c r="G417" s="10" t="s">
        <v>11</v>
      </c>
      <c r="H417" s="10" t="s">
        <v>11</v>
      </c>
      <c r="I417" s="10" t="s">
        <v>11</v>
      </c>
      <c r="J417" s="10" t="s">
        <v>11</v>
      </c>
      <c r="L417" s="6" t="str">
        <f>IFERROR(VLOOKUP($B417,'Lista - Âmbito Projeto GD'!$B$3:$F$71,5,0),"Campo eliminado")</f>
        <v>Campo eliminado</v>
      </c>
      <c r="M417" s="6" t="str">
        <f t="shared" si="31"/>
        <v>Campo eliminado</v>
      </c>
      <c r="N417" s="6" t="str">
        <f>IFERROR(VLOOKUP($B417,'Lista - Âmbito Projeto GD'!$B$3:$K$71,6,0),"Campo eliminado")</f>
        <v>Campo eliminado</v>
      </c>
      <c r="O417" s="6" t="str">
        <f t="shared" si="32"/>
        <v>Campo eliminado</v>
      </c>
      <c r="P417" s="6" t="str">
        <f>IFERROR(VLOOKUP($B417,'Lista - Âmbito Projeto GD'!$B$3:$K$71,7,0),"Campo eliminado")</f>
        <v>Campo eliminado</v>
      </c>
      <c r="Q417" s="6" t="str">
        <f t="shared" si="33"/>
        <v>Campo eliminado</v>
      </c>
      <c r="R417" s="6" t="str">
        <f>IFERROR(VLOOKUP($B417,'Lista - Âmbito Projeto GD'!$B$3:$K$71,9,0),"Campo eliminado")</f>
        <v>Campo eliminado</v>
      </c>
      <c r="S417" s="6" t="str">
        <f t="shared" si="34"/>
        <v>Campo eliminado</v>
      </c>
      <c r="U417" s="6" t="str">
        <f>VLOOKUP(B417,DataLake!$A$4:$A$429,1,0)</f>
        <v>PROTECTION_CRE_YRLY_EXPNSS</v>
      </c>
    </row>
    <row r="418" spans="1:21" ht="14.9" hidden="1" customHeight="1" x14ac:dyDescent="0.3">
      <c r="A418" s="7" t="s">
        <v>1215</v>
      </c>
      <c r="B418" s="47" t="str">
        <f t="shared" si="30"/>
        <v>PROTECTION_CRE_YRLY_INCM</v>
      </c>
      <c r="C418" s="8" t="s">
        <v>1114</v>
      </c>
      <c r="D418" s="9" t="s">
        <v>1216</v>
      </c>
      <c r="E418" s="27" t="s">
        <v>1217</v>
      </c>
      <c r="F418" s="10" t="s">
        <v>13</v>
      </c>
      <c r="G418" s="10" t="s">
        <v>11</v>
      </c>
      <c r="H418" s="10" t="s">
        <v>11</v>
      </c>
      <c r="I418" s="10" t="s">
        <v>11</v>
      </c>
      <c r="J418" s="10" t="s">
        <v>11</v>
      </c>
      <c r="L418" s="6" t="str">
        <f>IFERROR(VLOOKUP($B418,'Lista - Âmbito Projeto GD'!$B$3:$F$71,5,0),"Campo eliminado")</f>
        <v>Campo eliminado</v>
      </c>
      <c r="M418" s="6" t="str">
        <f t="shared" si="31"/>
        <v>Campo eliminado</v>
      </c>
      <c r="N418" s="6" t="str">
        <f>IFERROR(VLOOKUP($B418,'Lista - Âmbito Projeto GD'!$B$3:$K$71,6,0),"Campo eliminado")</f>
        <v>Campo eliminado</v>
      </c>
      <c r="O418" s="6" t="str">
        <f t="shared" si="32"/>
        <v>Campo eliminado</v>
      </c>
      <c r="P418" s="6" t="str">
        <f>IFERROR(VLOOKUP($B418,'Lista - Âmbito Projeto GD'!$B$3:$K$71,7,0),"Campo eliminado")</f>
        <v>Campo eliminado</v>
      </c>
      <c r="Q418" s="6" t="str">
        <f t="shared" si="33"/>
        <v>Campo eliminado</v>
      </c>
      <c r="R418" s="6" t="str">
        <f>IFERROR(VLOOKUP($B418,'Lista - Âmbito Projeto GD'!$B$3:$K$71,9,0),"Campo eliminado")</f>
        <v>Campo eliminado</v>
      </c>
      <c r="S418" s="6" t="str">
        <f t="shared" si="34"/>
        <v>Campo eliminado</v>
      </c>
      <c r="U418" s="6" t="str">
        <f>VLOOKUP(B418,DataLake!$A$4:$A$429,1,0)</f>
        <v>PROTECTION_CRE_YRLY_INCM</v>
      </c>
    </row>
    <row r="419" spans="1:21" ht="14.9" hidden="1" customHeight="1" x14ac:dyDescent="0.3">
      <c r="A419" s="7" t="s">
        <v>1218</v>
      </c>
      <c r="B419" s="47" t="str">
        <f t="shared" si="30"/>
        <v>PROTECTION_PRTCTN_TYP_PBLC_GRNT_SCHM_C19</v>
      </c>
      <c r="C419" s="8" t="s">
        <v>1114</v>
      </c>
      <c r="D419" s="24" t="s">
        <v>1219</v>
      </c>
      <c r="E419" s="35" t="s">
        <v>1220</v>
      </c>
      <c r="F419" s="25" t="s">
        <v>13</v>
      </c>
      <c r="G419" s="25" t="s">
        <v>11</v>
      </c>
      <c r="H419" s="25" t="s">
        <v>11</v>
      </c>
      <c r="I419" s="25" t="s">
        <v>11</v>
      </c>
      <c r="J419" s="10" t="s">
        <v>11</v>
      </c>
      <c r="L419" s="6" t="str">
        <f>IFERROR(VLOOKUP($B419,'Lista - Âmbito Projeto GD'!$B$3:$F$71,5,0),"Campo eliminado")</f>
        <v>Campo eliminado</v>
      </c>
      <c r="M419" s="6" t="str">
        <f t="shared" si="31"/>
        <v>Campo eliminado</v>
      </c>
      <c r="N419" s="6" t="str">
        <f>IFERROR(VLOOKUP($B419,'Lista - Âmbito Projeto GD'!$B$3:$K$71,6,0),"Campo eliminado")</f>
        <v>Campo eliminado</v>
      </c>
      <c r="O419" s="6" t="str">
        <f t="shared" si="32"/>
        <v>Campo eliminado</v>
      </c>
      <c r="P419" s="6" t="str">
        <f>IFERROR(VLOOKUP($B419,'Lista - Âmbito Projeto GD'!$B$3:$K$71,7,0),"Campo eliminado")</f>
        <v>Campo eliminado</v>
      </c>
      <c r="Q419" s="6" t="str">
        <f t="shared" si="33"/>
        <v>Campo eliminado</v>
      </c>
      <c r="R419" s="6" t="str">
        <f>IFERROR(VLOOKUP($B419,'Lista - Âmbito Projeto GD'!$B$3:$K$71,9,0),"Campo eliminado")</f>
        <v>Campo eliminado</v>
      </c>
      <c r="S419" s="6" t="str">
        <f t="shared" si="34"/>
        <v>Campo eliminado</v>
      </c>
      <c r="U419" s="6" t="str">
        <f>VLOOKUP(B419,DataLake!$A$4:$A$429,1,0)</f>
        <v>PROTECTION_PRTCTN_TYP_PBLC_GRNT_SCHM_C19</v>
      </c>
    </row>
    <row r="420" spans="1:21" ht="15" hidden="1" customHeight="1" x14ac:dyDescent="0.3">
      <c r="A420" s="7" t="s">
        <v>1221</v>
      </c>
      <c r="B420" s="47" t="str">
        <f t="shared" si="30"/>
        <v>PROTECTION_TAX_ID</v>
      </c>
      <c r="C420" s="8" t="s">
        <v>1114</v>
      </c>
      <c r="D420" s="9" t="s">
        <v>266</v>
      </c>
      <c r="E420" s="11" t="s">
        <v>267</v>
      </c>
      <c r="F420" s="10" t="s">
        <v>13</v>
      </c>
      <c r="G420" s="10" t="s">
        <v>11</v>
      </c>
      <c r="H420" s="10" t="s">
        <v>11</v>
      </c>
      <c r="I420" s="10" t="s">
        <v>11</v>
      </c>
      <c r="J420" s="10" t="s">
        <v>11</v>
      </c>
      <c r="L420" s="6" t="str">
        <f>IFERROR(VLOOKUP($B420,'Lista - Âmbito Projeto GD'!$B$3:$F$71,5,0),"Campo eliminado")</f>
        <v>Campo eliminado</v>
      </c>
      <c r="M420" s="6" t="str">
        <f t="shared" si="31"/>
        <v>Campo eliminado</v>
      </c>
      <c r="N420" s="6" t="str">
        <f>IFERROR(VLOOKUP($B420,'Lista - Âmbito Projeto GD'!$B$3:$K$71,6,0),"Campo eliminado")</f>
        <v>Campo eliminado</v>
      </c>
      <c r="O420" s="6" t="str">
        <f t="shared" si="32"/>
        <v>Campo eliminado</v>
      </c>
      <c r="P420" s="6" t="str">
        <f>IFERROR(VLOOKUP($B420,'Lista - Âmbito Projeto GD'!$B$3:$K$71,7,0),"Campo eliminado")</f>
        <v>Campo eliminado</v>
      </c>
      <c r="Q420" s="6" t="str">
        <f t="shared" si="33"/>
        <v>Campo eliminado</v>
      </c>
      <c r="R420" s="6" t="str">
        <f>IFERROR(VLOOKUP($B420,'Lista - Âmbito Projeto GD'!$B$3:$K$71,9,0),"Campo eliminado")</f>
        <v>Campo eliminado</v>
      </c>
      <c r="S420" s="6" t="str">
        <f t="shared" si="34"/>
        <v>Campo eliminado</v>
      </c>
      <c r="U420" s="6" t="str">
        <f>VLOOKUP(B420,DataLake!$A$4:$A$429,1,0)</f>
        <v>PROTECTION_TAX_ID</v>
      </c>
    </row>
    <row r="421" spans="1:21" ht="15" hidden="1" customHeight="1" x14ac:dyDescent="0.3">
      <c r="A421" s="16" t="s">
        <v>1222</v>
      </c>
      <c r="B421" s="47" t="str">
        <f t="shared" si="30"/>
        <v>PROTECTION_TYP_EP_SCR</v>
      </c>
      <c r="C421" s="8" t="s">
        <v>1114</v>
      </c>
      <c r="D421" s="9" t="s">
        <v>1223</v>
      </c>
      <c r="E421" s="11" t="s">
        <v>1224</v>
      </c>
      <c r="F421" s="10" t="s">
        <v>11</v>
      </c>
      <c r="G421" s="10" t="s">
        <v>11</v>
      </c>
      <c r="H421" s="10" t="s">
        <v>13</v>
      </c>
      <c r="I421" s="10" t="s">
        <v>13</v>
      </c>
      <c r="J421" s="10" t="s">
        <v>11</v>
      </c>
      <c r="L421" s="6" t="str">
        <f>IFERROR(VLOOKUP($B421,'Lista - Âmbito Projeto GD'!$B$3:$F$71,5,0),"Campo eliminado")</f>
        <v>Campo eliminado</v>
      </c>
      <c r="M421" s="6" t="str">
        <f t="shared" si="31"/>
        <v>Campo eliminado</v>
      </c>
      <c r="N421" s="6" t="str">
        <f>IFERROR(VLOOKUP($B421,'Lista - Âmbito Projeto GD'!$B$3:$K$71,6,0),"Campo eliminado")</f>
        <v>Campo eliminado</v>
      </c>
      <c r="O421" s="6" t="str">
        <f t="shared" si="32"/>
        <v>Campo eliminado</v>
      </c>
      <c r="P421" s="6" t="str">
        <f>IFERROR(VLOOKUP($B421,'Lista - Âmbito Projeto GD'!$B$3:$K$71,7,0),"Campo eliminado")</f>
        <v>Campo eliminado</v>
      </c>
      <c r="Q421" s="6" t="str">
        <f t="shared" si="33"/>
        <v>Campo eliminado</v>
      </c>
      <c r="R421" s="6" t="str">
        <f>IFERROR(VLOOKUP($B421,'Lista - Âmbito Projeto GD'!$B$3:$K$71,9,0),"Campo eliminado")</f>
        <v>Campo eliminado</v>
      </c>
      <c r="S421" s="6" t="str">
        <f t="shared" si="34"/>
        <v>Campo eliminado</v>
      </c>
      <c r="U421" s="6" t="str">
        <f>VLOOKUP(B421,DataLake!$A$4:$A$429,1,0)</f>
        <v>PROTECTION_TYP_EP_SCR</v>
      </c>
    </row>
    <row r="422" spans="1:21" ht="15" hidden="1" customHeight="1" x14ac:dyDescent="0.3">
      <c r="A422" s="16" t="s">
        <v>1225</v>
      </c>
      <c r="B422" s="47" t="str">
        <f t="shared" si="30"/>
        <v>PROTECTION_EP_SCR</v>
      </c>
      <c r="C422" s="8" t="s">
        <v>1114</v>
      </c>
      <c r="D422" s="9" t="s">
        <v>1226</v>
      </c>
      <c r="E422" s="11" t="s">
        <v>1227</v>
      </c>
      <c r="F422" s="10" t="s">
        <v>11</v>
      </c>
      <c r="G422" s="10" t="s">
        <v>11</v>
      </c>
      <c r="H422" s="10" t="s">
        <v>13</v>
      </c>
      <c r="I422" s="10" t="s">
        <v>13</v>
      </c>
      <c r="J422" s="10" t="s">
        <v>11</v>
      </c>
      <c r="L422" s="6" t="str">
        <f>IFERROR(VLOOKUP($B422,'Lista - Âmbito Projeto GD'!$B$3:$F$71,5,0),"Campo eliminado")</f>
        <v>Campo eliminado</v>
      </c>
      <c r="M422" s="6" t="str">
        <f t="shared" si="31"/>
        <v>Campo eliminado</v>
      </c>
      <c r="N422" s="6" t="str">
        <f>IFERROR(VLOOKUP($B422,'Lista - Âmbito Projeto GD'!$B$3:$K$71,6,0),"Campo eliminado")</f>
        <v>Campo eliminado</v>
      </c>
      <c r="O422" s="6" t="str">
        <f t="shared" si="32"/>
        <v>Campo eliminado</v>
      </c>
      <c r="P422" s="6" t="str">
        <f>IFERROR(VLOOKUP($B422,'Lista - Âmbito Projeto GD'!$B$3:$K$71,7,0),"Campo eliminado")</f>
        <v>Campo eliminado</v>
      </c>
      <c r="Q422" s="6" t="str">
        <f t="shared" si="33"/>
        <v>Campo eliminado</v>
      </c>
      <c r="R422" s="6" t="str">
        <f>IFERROR(VLOOKUP($B422,'Lista - Âmbito Projeto GD'!$B$3:$K$71,9,0),"Campo eliminado")</f>
        <v>Campo eliminado</v>
      </c>
      <c r="S422" s="6" t="str">
        <f t="shared" si="34"/>
        <v>Campo eliminado</v>
      </c>
      <c r="U422" s="6" t="str">
        <f>VLOOKUP(B422,DataLake!$A$4:$A$429,1,0)</f>
        <v>PROTECTION_EP_SCR</v>
      </c>
    </row>
    <row r="423" spans="1:21" ht="15" hidden="1" customHeight="1" x14ac:dyDescent="0.3">
      <c r="A423" s="16" t="s">
        <v>1228</v>
      </c>
      <c r="B423" s="47" t="str">
        <f t="shared" si="30"/>
        <v>PROTECTION_TYP_EPC_LBL</v>
      </c>
      <c r="C423" s="8" t="s">
        <v>1114</v>
      </c>
      <c r="D423" s="9" t="s">
        <v>1229</v>
      </c>
      <c r="E423" s="11" t="s">
        <v>1230</v>
      </c>
      <c r="F423" s="10" t="s">
        <v>11</v>
      </c>
      <c r="G423" s="10" t="s">
        <v>11</v>
      </c>
      <c r="H423" s="10" t="s">
        <v>13</v>
      </c>
      <c r="I423" s="10" t="s">
        <v>13</v>
      </c>
      <c r="J423" s="10" t="s">
        <v>11</v>
      </c>
      <c r="L423" s="6" t="str">
        <f>IFERROR(VLOOKUP($B423,'Lista - Âmbito Projeto GD'!$B$3:$F$71,5,0),"Campo eliminado")</f>
        <v>Campo eliminado</v>
      </c>
      <c r="M423" s="6" t="str">
        <f t="shared" si="31"/>
        <v>Campo eliminado</v>
      </c>
      <c r="N423" s="6" t="str">
        <f>IFERROR(VLOOKUP($B423,'Lista - Âmbito Projeto GD'!$B$3:$K$71,6,0),"Campo eliminado")</f>
        <v>Campo eliminado</v>
      </c>
      <c r="O423" s="6" t="str">
        <f t="shared" si="32"/>
        <v>Campo eliminado</v>
      </c>
      <c r="P423" s="6" t="str">
        <f>IFERROR(VLOOKUP($B423,'Lista - Âmbito Projeto GD'!$B$3:$K$71,7,0),"Campo eliminado")</f>
        <v>Campo eliminado</v>
      </c>
      <c r="Q423" s="6" t="str">
        <f t="shared" si="33"/>
        <v>Campo eliminado</v>
      </c>
      <c r="R423" s="6" t="str">
        <f>IFERROR(VLOOKUP($B423,'Lista - Âmbito Projeto GD'!$B$3:$K$71,9,0),"Campo eliminado")</f>
        <v>Campo eliminado</v>
      </c>
      <c r="S423" s="6" t="str">
        <f t="shared" si="34"/>
        <v>Campo eliminado</v>
      </c>
      <c r="U423" s="6" t="str">
        <f>VLOOKUP(B423,DataLake!$A$4:$A$429,1,0)</f>
        <v>PROTECTION_TYP_EPC_LBL</v>
      </c>
    </row>
    <row r="424" spans="1:21" ht="15" hidden="1" customHeight="1" x14ac:dyDescent="0.3">
      <c r="A424" s="16" t="s">
        <v>1231</v>
      </c>
      <c r="B424" s="47" t="str">
        <f t="shared" si="30"/>
        <v>PROTECTION_EPC_LBL</v>
      </c>
      <c r="C424" s="8" t="s">
        <v>1114</v>
      </c>
      <c r="D424" s="9" t="s">
        <v>1232</v>
      </c>
      <c r="E424" s="27" t="s">
        <v>1233</v>
      </c>
      <c r="F424" s="10" t="s">
        <v>11</v>
      </c>
      <c r="G424" s="10" t="s">
        <v>11</v>
      </c>
      <c r="H424" s="10" t="s">
        <v>13</v>
      </c>
      <c r="I424" s="10" t="s">
        <v>13</v>
      </c>
      <c r="J424" s="10" t="s">
        <v>11</v>
      </c>
      <c r="L424" s="6" t="str">
        <f>IFERROR(VLOOKUP($B424,'Lista - Âmbito Projeto GD'!$B$3:$F$71,5,0),"Campo eliminado")</f>
        <v>Campo eliminado</v>
      </c>
      <c r="M424" s="6" t="str">
        <f t="shared" si="31"/>
        <v>Campo eliminado</v>
      </c>
      <c r="N424" s="6" t="str">
        <f>IFERROR(VLOOKUP($B424,'Lista - Âmbito Projeto GD'!$B$3:$K$71,6,0),"Campo eliminado")</f>
        <v>Campo eliminado</v>
      </c>
      <c r="O424" s="6" t="str">
        <f t="shared" si="32"/>
        <v>Campo eliminado</v>
      </c>
      <c r="P424" s="6" t="str">
        <f>IFERROR(VLOOKUP($B424,'Lista - Âmbito Projeto GD'!$B$3:$K$71,7,0),"Campo eliminado")</f>
        <v>Campo eliminado</v>
      </c>
      <c r="Q424" s="6" t="str">
        <f t="shared" si="33"/>
        <v>Campo eliminado</v>
      </c>
      <c r="R424" s="6" t="str">
        <f>IFERROR(VLOOKUP($B424,'Lista - Âmbito Projeto GD'!$B$3:$K$71,9,0),"Campo eliminado")</f>
        <v>Campo eliminado</v>
      </c>
      <c r="S424" s="6" t="str">
        <f t="shared" si="34"/>
        <v>Campo eliminado</v>
      </c>
      <c r="U424" s="6" t="str">
        <f>VLOOKUP(B424,DataLake!$A$4:$A$429,1,0)</f>
        <v>PROTECTION_EPC_LBL</v>
      </c>
    </row>
    <row r="425" spans="1:21" ht="15" hidden="1" customHeight="1" x14ac:dyDescent="0.3">
      <c r="A425" s="16" t="s">
        <v>1234</v>
      </c>
      <c r="B425" s="47" t="str">
        <f t="shared" si="30"/>
        <v>PROTECTION_TYP_EMSSNS_LBL</v>
      </c>
      <c r="C425" s="8" t="s">
        <v>1114</v>
      </c>
      <c r="D425" s="9" t="s">
        <v>1235</v>
      </c>
      <c r="E425" s="11" t="s">
        <v>1236</v>
      </c>
      <c r="F425" s="10" t="s">
        <v>11</v>
      </c>
      <c r="G425" s="10" t="s">
        <v>11</v>
      </c>
      <c r="H425" s="10" t="s">
        <v>11</v>
      </c>
      <c r="I425" s="10" t="s">
        <v>13</v>
      </c>
      <c r="J425" s="10" t="s">
        <v>11</v>
      </c>
      <c r="L425" s="6" t="str">
        <f>IFERROR(VLOOKUP($B425,'Lista - Âmbito Projeto GD'!$B$3:$F$71,5,0),"Campo eliminado")</f>
        <v>Campo eliminado</v>
      </c>
      <c r="M425" s="6" t="str">
        <f t="shared" si="31"/>
        <v>Campo eliminado</v>
      </c>
      <c r="N425" s="6" t="str">
        <f>IFERROR(VLOOKUP($B425,'Lista - Âmbito Projeto GD'!$B$3:$K$71,6,0),"Campo eliminado")</f>
        <v>Campo eliminado</v>
      </c>
      <c r="O425" s="6" t="str">
        <f t="shared" si="32"/>
        <v>Campo eliminado</v>
      </c>
      <c r="P425" s="6" t="str">
        <f>IFERROR(VLOOKUP($B425,'Lista - Âmbito Projeto GD'!$B$3:$K$71,7,0),"Campo eliminado")</f>
        <v>Campo eliminado</v>
      </c>
      <c r="Q425" s="6" t="str">
        <f t="shared" si="33"/>
        <v>Campo eliminado</v>
      </c>
      <c r="R425" s="6" t="str">
        <f>IFERROR(VLOOKUP($B425,'Lista - Âmbito Projeto GD'!$B$3:$K$71,9,0),"Campo eliminado")</f>
        <v>Campo eliminado</v>
      </c>
      <c r="S425" s="6" t="str">
        <f t="shared" si="34"/>
        <v>Campo eliminado</v>
      </c>
      <c r="U425" s="6" t="e">
        <f>VLOOKUP(B425,DataLake!$A$4:$A$429,1,0)</f>
        <v>#N/A</v>
      </c>
    </row>
    <row r="426" spans="1:21" ht="15" hidden="1" customHeight="1" x14ac:dyDescent="0.3">
      <c r="A426" s="16" t="s">
        <v>1237</v>
      </c>
      <c r="B426" s="47" t="str">
        <f t="shared" si="30"/>
        <v>PROTECTION_EPC_EMSSNS_LBL</v>
      </c>
      <c r="C426" s="8" t="s">
        <v>1114</v>
      </c>
      <c r="D426" s="9" t="s">
        <v>1238</v>
      </c>
      <c r="E426" s="18" t="s">
        <v>1239</v>
      </c>
      <c r="F426" s="10" t="s">
        <v>11</v>
      </c>
      <c r="G426" s="10" t="s">
        <v>11</v>
      </c>
      <c r="H426" s="10" t="s">
        <v>11</v>
      </c>
      <c r="I426" s="10" t="s">
        <v>13</v>
      </c>
      <c r="J426" s="10" t="s">
        <v>11</v>
      </c>
      <c r="L426" s="6" t="str">
        <f>IFERROR(VLOOKUP($B426,'Lista - Âmbito Projeto GD'!$B$3:$F$71,5,0),"Campo eliminado")</f>
        <v>Campo eliminado</v>
      </c>
      <c r="M426" s="6" t="str">
        <f t="shared" si="31"/>
        <v>Campo eliminado</v>
      </c>
      <c r="N426" s="6" t="str">
        <f>IFERROR(VLOOKUP($B426,'Lista - Âmbito Projeto GD'!$B$3:$K$71,6,0),"Campo eliminado")</f>
        <v>Campo eliminado</v>
      </c>
      <c r="O426" s="6" t="str">
        <f t="shared" si="32"/>
        <v>Campo eliminado</v>
      </c>
      <c r="P426" s="6" t="str">
        <f>IFERROR(VLOOKUP($B426,'Lista - Âmbito Projeto GD'!$B$3:$K$71,7,0),"Campo eliminado")</f>
        <v>Campo eliminado</v>
      </c>
      <c r="Q426" s="6" t="str">
        <f t="shared" si="33"/>
        <v>Campo eliminado</v>
      </c>
      <c r="R426" s="6" t="str">
        <f>IFERROR(VLOOKUP($B426,'Lista - Âmbito Projeto GD'!$B$3:$K$71,9,0),"Campo eliminado")</f>
        <v>Campo eliminado</v>
      </c>
      <c r="S426" s="6" t="str">
        <f t="shared" si="34"/>
        <v>Campo eliminado</v>
      </c>
      <c r="U426" s="6" t="e">
        <f>VLOOKUP(B426,DataLake!$A$4:$A$429,1,0)</f>
        <v>#N/A</v>
      </c>
    </row>
    <row r="427" spans="1:21" ht="15" hidden="1" customHeight="1" x14ac:dyDescent="0.3">
      <c r="A427" s="16" t="s">
        <v>1240</v>
      </c>
      <c r="B427" s="47" t="str">
        <f t="shared" si="30"/>
        <v>PROTECTION_VHCL_EMSSNS_LBL</v>
      </c>
      <c r="C427" s="8" t="s">
        <v>1114</v>
      </c>
      <c r="D427" s="9" t="s">
        <v>1241</v>
      </c>
      <c r="E427" s="27" t="s">
        <v>1242</v>
      </c>
      <c r="F427" s="10" t="s">
        <v>11</v>
      </c>
      <c r="G427" s="10" t="s">
        <v>11</v>
      </c>
      <c r="H427" s="10" t="s">
        <v>11</v>
      </c>
      <c r="I427" s="10" t="s">
        <v>13</v>
      </c>
      <c r="J427" s="10" t="s">
        <v>11</v>
      </c>
      <c r="L427" s="6" t="str">
        <f>IFERROR(VLOOKUP($B427,'Lista - Âmbito Projeto GD'!$B$3:$F$71,5,0),"Campo eliminado")</f>
        <v>Campo eliminado</v>
      </c>
      <c r="M427" s="6" t="str">
        <f t="shared" si="31"/>
        <v>Campo eliminado</v>
      </c>
      <c r="N427" s="6" t="str">
        <f>IFERROR(VLOOKUP($B427,'Lista - Âmbito Projeto GD'!$B$3:$K$71,6,0),"Campo eliminado")</f>
        <v>Campo eliminado</v>
      </c>
      <c r="O427" s="6" t="str">
        <f t="shared" si="32"/>
        <v>Campo eliminado</v>
      </c>
      <c r="P427" s="6" t="str">
        <f>IFERROR(VLOOKUP($B427,'Lista - Âmbito Projeto GD'!$B$3:$K$71,7,0),"Campo eliminado")</f>
        <v>Campo eliminado</v>
      </c>
      <c r="Q427" s="6" t="str">
        <f t="shared" si="33"/>
        <v>Campo eliminado</v>
      </c>
      <c r="R427" s="6" t="str">
        <f>IFERROR(VLOOKUP($B427,'Lista - Âmbito Projeto GD'!$B$3:$K$71,9,0),"Campo eliminado")</f>
        <v>Campo eliminado</v>
      </c>
      <c r="S427" s="6" t="str">
        <f t="shared" si="34"/>
        <v>Campo eliminado</v>
      </c>
      <c r="U427" s="6" t="e">
        <f>VLOOKUP(B427,DataLake!$A$4:$A$429,1,0)</f>
        <v>#N/A</v>
      </c>
    </row>
    <row r="428" spans="1:21" ht="15" hidden="1" customHeight="1" x14ac:dyDescent="0.3">
      <c r="A428" s="16" t="s">
        <v>1243</v>
      </c>
      <c r="B428" s="47" t="str">
        <f t="shared" si="30"/>
        <v>PROTECTION_TYP_EMSSNS_SCR</v>
      </c>
      <c r="C428" s="8" t="s">
        <v>1114</v>
      </c>
      <c r="D428" s="9" t="s">
        <v>1244</v>
      </c>
      <c r="E428" s="11" t="s">
        <v>1245</v>
      </c>
      <c r="F428" s="10" t="s">
        <v>11</v>
      </c>
      <c r="G428" s="10" t="s">
        <v>11</v>
      </c>
      <c r="H428" s="10" t="s">
        <v>11</v>
      </c>
      <c r="I428" s="10" t="s">
        <v>13</v>
      </c>
      <c r="J428" s="10" t="s">
        <v>11</v>
      </c>
      <c r="L428" s="6" t="str">
        <f>IFERROR(VLOOKUP($B428,'Lista - Âmbito Projeto GD'!$B$3:$F$71,5,0),"Campo eliminado")</f>
        <v>Campo eliminado</v>
      </c>
      <c r="M428" s="6" t="str">
        <f t="shared" si="31"/>
        <v>Campo eliminado</v>
      </c>
      <c r="N428" s="6" t="str">
        <f>IFERROR(VLOOKUP($B428,'Lista - Âmbito Projeto GD'!$B$3:$K$71,6,0),"Campo eliminado")</f>
        <v>Campo eliminado</v>
      </c>
      <c r="O428" s="6" t="str">
        <f t="shared" si="32"/>
        <v>Campo eliminado</v>
      </c>
      <c r="P428" s="6" t="str">
        <f>IFERROR(VLOOKUP($B428,'Lista - Âmbito Projeto GD'!$B$3:$K$71,7,0),"Campo eliminado")</f>
        <v>Campo eliminado</v>
      </c>
      <c r="Q428" s="6" t="str">
        <f t="shared" si="33"/>
        <v>Campo eliminado</v>
      </c>
      <c r="R428" s="6" t="str">
        <f>IFERROR(VLOOKUP($B428,'Lista - Âmbito Projeto GD'!$B$3:$K$71,9,0),"Campo eliminado")</f>
        <v>Campo eliminado</v>
      </c>
      <c r="S428" s="6" t="str">
        <f t="shared" si="34"/>
        <v>Campo eliminado</v>
      </c>
      <c r="U428" s="6" t="e">
        <f>VLOOKUP(B428,DataLake!$A$4:$A$429,1,0)</f>
        <v>#N/A</v>
      </c>
    </row>
    <row r="429" spans="1:21" ht="15" hidden="1" customHeight="1" x14ac:dyDescent="0.3">
      <c r="A429" s="16" t="s">
        <v>1246</v>
      </c>
      <c r="B429" s="47" t="str">
        <f t="shared" si="30"/>
        <v>PROTECTION_EPC_EMSSNS_SCR</v>
      </c>
      <c r="C429" s="8" t="s">
        <v>1114</v>
      </c>
      <c r="D429" s="9" t="s">
        <v>1247</v>
      </c>
      <c r="E429" s="18" t="s">
        <v>1248</v>
      </c>
      <c r="F429" s="10" t="s">
        <v>11</v>
      </c>
      <c r="G429" s="10" t="s">
        <v>11</v>
      </c>
      <c r="H429" s="10" t="s">
        <v>11</v>
      </c>
      <c r="I429" s="10" t="s">
        <v>13</v>
      </c>
      <c r="J429" s="10" t="s">
        <v>11</v>
      </c>
      <c r="L429" s="6" t="str">
        <f>IFERROR(VLOOKUP($B429,'Lista - Âmbito Projeto GD'!$B$3:$F$71,5,0),"Campo eliminado")</f>
        <v>Campo eliminado</v>
      </c>
      <c r="M429" s="6" t="str">
        <f t="shared" si="31"/>
        <v>Campo eliminado</v>
      </c>
      <c r="N429" s="6" t="str">
        <f>IFERROR(VLOOKUP($B429,'Lista - Âmbito Projeto GD'!$B$3:$K$71,6,0),"Campo eliminado")</f>
        <v>Campo eliminado</v>
      </c>
      <c r="O429" s="6" t="str">
        <f t="shared" si="32"/>
        <v>Campo eliminado</v>
      </c>
      <c r="P429" s="6" t="str">
        <f>IFERROR(VLOOKUP($B429,'Lista - Âmbito Projeto GD'!$B$3:$K$71,7,0),"Campo eliminado")</f>
        <v>Campo eliminado</v>
      </c>
      <c r="Q429" s="6" t="str">
        <f t="shared" si="33"/>
        <v>Campo eliminado</v>
      </c>
      <c r="R429" s="6" t="str">
        <f>IFERROR(VLOOKUP($B429,'Lista - Âmbito Projeto GD'!$B$3:$K$71,9,0),"Campo eliminado")</f>
        <v>Campo eliminado</v>
      </c>
      <c r="S429" s="6" t="str">
        <f t="shared" si="34"/>
        <v>Campo eliminado</v>
      </c>
      <c r="U429" s="6" t="e">
        <f>VLOOKUP(B429,DataLake!$A$4:$A$429,1,0)</f>
        <v>#N/A</v>
      </c>
    </row>
    <row r="430" spans="1:21" ht="15" hidden="1" customHeight="1" x14ac:dyDescent="0.3">
      <c r="A430" s="16" t="s">
        <v>1249</v>
      </c>
      <c r="B430" s="47" t="str">
        <f t="shared" si="30"/>
        <v>PROTECTION_VHCL_EMSSNS_SCR</v>
      </c>
      <c r="C430" s="8" t="s">
        <v>1114</v>
      </c>
      <c r="D430" s="9" t="s">
        <v>1250</v>
      </c>
      <c r="E430" s="18" t="s">
        <v>1251</v>
      </c>
      <c r="F430" s="10" t="s">
        <v>11</v>
      </c>
      <c r="G430" s="10" t="s">
        <v>11</v>
      </c>
      <c r="H430" s="10" t="s">
        <v>11</v>
      </c>
      <c r="I430" s="10" t="s">
        <v>13</v>
      </c>
      <c r="J430" s="10" t="s">
        <v>11</v>
      </c>
      <c r="L430" s="6" t="str">
        <f>IFERROR(VLOOKUP($B430,'Lista - Âmbito Projeto GD'!$B$3:$F$71,5,0),"Campo eliminado")</f>
        <v>Campo eliminado</v>
      </c>
      <c r="M430" s="6" t="str">
        <f t="shared" si="31"/>
        <v>Campo eliminado</v>
      </c>
      <c r="N430" s="6" t="str">
        <f>IFERROR(VLOOKUP($B430,'Lista - Âmbito Projeto GD'!$B$3:$K$71,6,0),"Campo eliminado")</f>
        <v>Campo eliminado</v>
      </c>
      <c r="O430" s="6" t="str">
        <f t="shared" si="32"/>
        <v>Campo eliminado</v>
      </c>
      <c r="P430" s="6" t="str">
        <f>IFERROR(VLOOKUP($B430,'Lista - Âmbito Projeto GD'!$B$3:$K$71,7,0),"Campo eliminado")</f>
        <v>Campo eliminado</v>
      </c>
      <c r="Q430" s="6" t="str">
        <f t="shared" si="33"/>
        <v>Campo eliminado</v>
      </c>
      <c r="R430" s="6" t="str">
        <f>IFERROR(VLOOKUP($B430,'Lista - Âmbito Projeto GD'!$B$3:$K$71,9,0),"Campo eliminado")</f>
        <v>Campo eliminado</v>
      </c>
      <c r="S430" s="6" t="str">
        <f t="shared" si="34"/>
        <v>Campo eliminado</v>
      </c>
      <c r="U430" s="6" t="e">
        <f>VLOOKUP(B430,DataLake!$A$4:$A$429,1,0)</f>
        <v>#N/A</v>
      </c>
    </row>
    <row r="431" spans="1:21" ht="15" hidden="1" customHeight="1" x14ac:dyDescent="0.3">
      <c r="A431" s="16" t="s">
        <v>1252</v>
      </c>
      <c r="B431" s="47" t="str">
        <f t="shared" si="30"/>
        <v>PROTECTION_EMSSNS_SCP1_PRTCTN</v>
      </c>
      <c r="C431" s="8" t="s">
        <v>1114</v>
      </c>
      <c r="D431" s="9" t="s">
        <v>1253</v>
      </c>
      <c r="E431" s="11" t="s">
        <v>1254</v>
      </c>
      <c r="F431" s="10" t="s">
        <v>11</v>
      </c>
      <c r="G431" s="10" t="s">
        <v>11</v>
      </c>
      <c r="H431" s="10" t="s">
        <v>13</v>
      </c>
      <c r="I431" s="10" t="s">
        <v>13</v>
      </c>
      <c r="J431" s="10" t="s">
        <v>11</v>
      </c>
      <c r="L431" s="6" t="str">
        <f>IFERROR(VLOOKUP($B431,'Lista - Âmbito Projeto GD'!$B$3:$F$71,5,0),"Campo eliminado")</f>
        <v>Campo eliminado</v>
      </c>
      <c r="M431" s="6" t="str">
        <f t="shared" si="31"/>
        <v>Campo eliminado</v>
      </c>
      <c r="N431" s="6" t="str">
        <f>IFERROR(VLOOKUP($B431,'Lista - Âmbito Projeto GD'!$B$3:$K$71,6,0),"Campo eliminado")</f>
        <v>Campo eliminado</v>
      </c>
      <c r="O431" s="6" t="str">
        <f t="shared" si="32"/>
        <v>Campo eliminado</v>
      </c>
      <c r="P431" s="6" t="str">
        <f>IFERROR(VLOOKUP($B431,'Lista - Âmbito Projeto GD'!$B$3:$K$71,7,0),"Campo eliminado")</f>
        <v>Campo eliminado</v>
      </c>
      <c r="Q431" s="6" t="str">
        <f t="shared" si="33"/>
        <v>Campo eliminado</v>
      </c>
      <c r="R431" s="6" t="str">
        <f>IFERROR(VLOOKUP($B431,'Lista - Âmbito Projeto GD'!$B$3:$K$71,9,0),"Campo eliminado")</f>
        <v>Campo eliminado</v>
      </c>
      <c r="S431" s="6" t="str">
        <f t="shared" si="34"/>
        <v>Campo eliminado</v>
      </c>
      <c r="U431" s="6" t="str">
        <f>VLOOKUP(B431,DataLake!$A$4:$A$429,1,0)</f>
        <v>PROTECTION_EMSSNS_SCP1_PRTCTN</v>
      </c>
    </row>
    <row r="432" spans="1:21" ht="15" hidden="1" customHeight="1" x14ac:dyDescent="0.3">
      <c r="A432" s="16" t="s">
        <v>1255</v>
      </c>
      <c r="B432" s="47" t="str">
        <f t="shared" si="30"/>
        <v>PROTECTION_EMSSNS_SCP2_PRTCTN</v>
      </c>
      <c r="C432" s="8" t="s">
        <v>1114</v>
      </c>
      <c r="D432" s="9" t="s">
        <v>1256</v>
      </c>
      <c r="E432" s="11" t="s">
        <v>1257</v>
      </c>
      <c r="F432" s="10" t="s">
        <v>11</v>
      </c>
      <c r="G432" s="10" t="s">
        <v>11</v>
      </c>
      <c r="H432" s="10" t="s">
        <v>13</v>
      </c>
      <c r="I432" s="10" t="s">
        <v>13</v>
      </c>
      <c r="J432" s="10" t="s">
        <v>11</v>
      </c>
      <c r="L432" s="6" t="str">
        <f>IFERROR(VLOOKUP($B432,'Lista - Âmbito Projeto GD'!$B$3:$F$71,5,0),"Campo eliminado")</f>
        <v>Campo eliminado</v>
      </c>
      <c r="M432" s="6" t="str">
        <f t="shared" si="31"/>
        <v>Campo eliminado</v>
      </c>
      <c r="N432" s="6" t="str">
        <f>IFERROR(VLOOKUP($B432,'Lista - Âmbito Projeto GD'!$B$3:$K$71,6,0),"Campo eliminado")</f>
        <v>Campo eliminado</v>
      </c>
      <c r="O432" s="6" t="str">
        <f t="shared" si="32"/>
        <v>Campo eliminado</v>
      </c>
      <c r="P432" s="6" t="str">
        <f>IFERROR(VLOOKUP($B432,'Lista - Âmbito Projeto GD'!$B$3:$K$71,7,0),"Campo eliminado")</f>
        <v>Campo eliminado</v>
      </c>
      <c r="Q432" s="6" t="str">
        <f t="shared" si="33"/>
        <v>Campo eliminado</v>
      </c>
      <c r="R432" s="6" t="str">
        <f>IFERROR(VLOOKUP($B432,'Lista - Âmbito Projeto GD'!$B$3:$K$71,9,0),"Campo eliminado")</f>
        <v>Campo eliminado</v>
      </c>
      <c r="S432" s="6" t="str">
        <f t="shared" si="34"/>
        <v>Campo eliminado</v>
      </c>
      <c r="U432" s="6" t="str">
        <f>VLOOKUP(B432,DataLake!$A$4:$A$429,1,0)</f>
        <v>PROTECTION_EMSSNS_SCP2_PRTCTN</v>
      </c>
    </row>
    <row r="433" spans="1:21" ht="15" hidden="1" customHeight="1" x14ac:dyDescent="0.3">
      <c r="A433" s="16" t="s">
        <v>1258</v>
      </c>
      <c r="B433" s="47" t="str">
        <f t="shared" si="30"/>
        <v>PROTECTION_EMSSNS_SCP3_PRTCTN</v>
      </c>
      <c r="C433" s="8" t="s">
        <v>1114</v>
      </c>
      <c r="D433" s="9" t="s">
        <v>1259</v>
      </c>
      <c r="E433" s="11" t="s">
        <v>1260</v>
      </c>
      <c r="F433" s="10" t="s">
        <v>11</v>
      </c>
      <c r="G433" s="10" t="s">
        <v>11</v>
      </c>
      <c r="H433" s="10" t="s">
        <v>13</v>
      </c>
      <c r="I433" s="10" t="s">
        <v>13</v>
      </c>
      <c r="J433" s="10" t="s">
        <v>11</v>
      </c>
      <c r="L433" s="6" t="str">
        <f>IFERROR(VLOOKUP($B433,'Lista - Âmbito Projeto GD'!$B$3:$F$71,5,0),"Campo eliminado")</f>
        <v>Campo eliminado</v>
      </c>
      <c r="M433" s="6" t="str">
        <f t="shared" si="31"/>
        <v>Campo eliminado</v>
      </c>
      <c r="N433" s="6" t="str">
        <f>IFERROR(VLOOKUP($B433,'Lista - Âmbito Projeto GD'!$B$3:$K$71,6,0),"Campo eliminado")</f>
        <v>Campo eliminado</v>
      </c>
      <c r="O433" s="6" t="str">
        <f t="shared" si="32"/>
        <v>Campo eliminado</v>
      </c>
      <c r="P433" s="6" t="str">
        <f>IFERROR(VLOOKUP($B433,'Lista - Âmbito Projeto GD'!$B$3:$K$71,7,0),"Campo eliminado")</f>
        <v>Campo eliminado</v>
      </c>
      <c r="Q433" s="6" t="str">
        <f t="shared" si="33"/>
        <v>Campo eliminado</v>
      </c>
      <c r="R433" s="6" t="str">
        <f>IFERROR(VLOOKUP($B433,'Lista - Âmbito Projeto GD'!$B$3:$K$71,9,0),"Campo eliminado")</f>
        <v>Campo eliminado</v>
      </c>
      <c r="S433" s="6" t="str">
        <f t="shared" si="34"/>
        <v>Campo eliminado</v>
      </c>
      <c r="U433" s="6" t="str">
        <f>VLOOKUP(B433,DataLake!$A$4:$A$429,1,0)</f>
        <v>PROTECTION_EMSSNS_SCP3_PRTCTN</v>
      </c>
    </row>
    <row r="434" spans="1:21" ht="15" hidden="1" customHeight="1" x14ac:dyDescent="0.3">
      <c r="A434" s="16" t="s">
        <v>1261</v>
      </c>
      <c r="B434" s="47" t="str">
        <f t="shared" si="30"/>
        <v>PROTECTION_MTHD_USD_PRTCTN_SCP_1</v>
      </c>
      <c r="C434" s="8" t="s">
        <v>1114</v>
      </c>
      <c r="D434" s="9" t="s">
        <v>1262</v>
      </c>
      <c r="E434" s="18" t="s">
        <v>1263</v>
      </c>
      <c r="F434" s="10" t="s">
        <v>11</v>
      </c>
      <c r="G434" s="10" t="s">
        <v>11</v>
      </c>
      <c r="H434" s="10" t="s">
        <v>13</v>
      </c>
      <c r="I434" s="10" t="s">
        <v>13</v>
      </c>
      <c r="J434" s="10" t="s">
        <v>11</v>
      </c>
      <c r="L434" s="6" t="str">
        <f>IFERROR(VLOOKUP($B434,'Lista - Âmbito Projeto GD'!$B$3:$F$71,5,0),"Campo eliminado")</f>
        <v>Campo eliminado</v>
      </c>
      <c r="M434" s="6" t="str">
        <f t="shared" si="31"/>
        <v>Campo eliminado</v>
      </c>
      <c r="N434" s="6" t="str">
        <f>IFERROR(VLOOKUP($B434,'Lista - Âmbito Projeto GD'!$B$3:$K$71,6,0),"Campo eliminado")</f>
        <v>Campo eliminado</v>
      </c>
      <c r="O434" s="6" t="str">
        <f t="shared" si="32"/>
        <v>Campo eliminado</v>
      </c>
      <c r="P434" s="6" t="str">
        <f>IFERROR(VLOOKUP($B434,'Lista - Âmbito Projeto GD'!$B$3:$K$71,7,0),"Campo eliminado")</f>
        <v>Campo eliminado</v>
      </c>
      <c r="Q434" s="6" t="str">
        <f t="shared" si="33"/>
        <v>Campo eliminado</v>
      </c>
      <c r="R434" s="6" t="str">
        <f>IFERROR(VLOOKUP($B434,'Lista - Âmbito Projeto GD'!$B$3:$K$71,9,0),"Campo eliminado")</f>
        <v>Campo eliminado</v>
      </c>
      <c r="S434" s="6" t="str">
        <f t="shared" si="34"/>
        <v>Campo eliminado</v>
      </c>
      <c r="U434" s="6" t="str">
        <f>VLOOKUP(B434,DataLake!$A$4:$A$429,1,0)</f>
        <v>PROTECTION_MTHD_USD_PRTCTN_SCP_1</v>
      </c>
    </row>
    <row r="435" spans="1:21" ht="15" hidden="1" customHeight="1" x14ac:dyDescent="0.3">
      <c r="A435" s="16" t="s">
        <v>1264</v>
      </c>
      <c r="B435" s="47" t="str">
        <f t="shared" si="30"/>
        <v>PROTECTION_MTHD_USD_PRTCTN_SCP_2</v>
      </c>
      <c r="C435" s="8" t="s">
        <v>1114</v>
      </c>
      <c r="D435" s="9" t="s">
        <v>1265</v>
      </c>
      <c r="E435" s="18" t="s">
        <v>1266</v>
      </c>
      <c r="F435" s="10" t="s">
        <v>11</v>
      </c>
      <c r="G435" s="10" t="s">
        <v>11</v>
      </c>
      <c r="H435" s="10" t="s">
        <v>13</v>
      </c>
      <c r="I435" s="10" t="s">
        <v>13</v>
      </c>
      <c r="J435" s="10" t="s">
        <v>11</v>
      </c>
      <c r="L435" s="6" t="str">
        <f>IFERROR(VLOOKUP($B435,'Lista - Âmbito Projeto GD'!$B$3:$F$71,5,0),"Campo eliminado")</f>
        <v>Campo eliminado</v>
      </c>
      <c r="M435" s="6" t="str">
        <f t="shared" si="31"/>
        <v>Campo eliminado</v>
      </c>
      <c r="N435" s="6" t="str">
        <f>IFERROR(VLOOKUP($B435,'Lista - Âmbito Projeto GD'!$B$3:$K$71,6,0),"Campo eliminado")</f>
        <v>Campo eliminado</v>
      </c>
      <c r="O435" s="6" t="str">
        <f t="shared" si="32"/>
        <v>Campo eliminado</v>
      </c>
      <c r="P435" s="6" t="str">
        <f>IFERROR(VLOOKUP($B435,'Lista - Âmbito Projeto GD'!$B$3:$K$71,7,0),"Campo eliminado")</f>
        <v>Campo eliminado</v>
      </c>
      <c r="Q435" s="6" t="str">
        <f t="shared" si="33"/>
        <v>Campo eliminado</v>
      </c>
      <c r="R435" s="6" t="str">
        <f>IFERROR(VLOOKUP($B435,'Lista - Âmbito Projeto GD'!$B$3:$K$71,9,0),"Campo eliminado")</f>
        <v>Campo eliminado</v>
      </c>
      <c r="S435" s="6" t="str">
        <f t="shared" si="34"/>
        <v>Campo eliminado</v>
      </c>
      <c r="U435" s="6" t="str">
        <f>VLOOKUP(B435,DataLake!$A$4:$A$429,1,0)</f>
        <v>PROTECTION_MTHD_USD_PRTCTN_SCP_2</v>
      </c>
    </row>
    <row r="436" spans="1:21" ht="15" hidden="1" customHeight="1" x14ac:dyDescent="0.3">
      <c r="A436" s="16" t="s">
        <v>1267</v>
      </c>
      <c r="B436" s="47" t="str">
        <f t="shared" si="30"/>
        <v>PROTECTION_MTHD_USD_PRTCTN_SCP_3</v>
      </c>
      <c r="C436" s="8" t="s">
        <v>1114</v>
      </c>
      <c r="D436" s="9" t="s">
        <v>1268</v>
      </c>
      <c r="E436" s="18" t="s">
        <v>1269</v>
      </c>
      <c r="F436" s="10" t="s">
        <v>11</v>
      </c>
      <c r="G436" s="10" t="s">
        <v>11</v>
      </c>
      <c r="H436" s="10" t="s">
        <v>13</v>
      </c>
      <c r="I436" s="10" t="s">
        <v>13</v>
      </c>
      <c r="J436" s="10" t="s">
        <v>11</v>
      </c>
      <c r="L436" s="6" t="str">
        <f>IFERROR(VLOOKUP($B436,'Lista - Âmbito Projeto GD'!$B$3:$F$71,5,0),"Campo eliminado")</f>
        <v>Campo eliminado</v>
      </c>
      <c r="M436" s="6" t="str">
        <f t="shared" si="31"/>
        <v>Campo eliminado</v>
      </c>
      <c r="N436" s="6" t="str">
        <f>IFERROR(VLOOKUP($B436,'Lista - Âmbito Projeto GD'!$B$3:$K$71,6,0),"Campo eliminado")</f>
        <v>Campo eliminado</v>
      </c>
      <c r="O436" s="6" t="str">
        <f t="shared" si="32"/>
        <v>Campo eliminado</v>
      </c>
      <c r="P436" s="6" t="str">
        <f>IFERROR(VLOOKUP($B436,'Lista - Âmbito Projeto GD'!$B$3:$K$71,7,0),"Campo eliminado")</f>
        <v>Campo eliminado</v>
      </c>
      <c r="Q436" s="6" t="str">
        <f t="shared" si="33"/>
        <v>Campo eliminado</v>
      </c>
      <c r="R436" s="6" t="str">
        <f>IFERROR(VLOOKUP($B436,'Lista - Âmbito Projeto GD'!$B$3:$K$71,9,0),"Campo eliminado")</f>
        <v>Campo eliminado</v>
      </c>
      <c r="S436" s="6" t="str">
        <f t="shared" si="34"/>
        <v>Campo eliminado</v>
      </c>
      <c r="U436" s="6" t="str">
        <f>VLOOKUP(B436,DataLake!$A$4:$A$429,1,0)</f>
        <v>PROTECTION_MTHD_USD_PRTCTN_SCP_3</v>
      </c>
    </row>
    <row r="437" spans="1:21" ht="15" hidden="1" customHeight="1" x14ac:dyDescent="0.3">
      <c r="A437" s="16" t="s">
        <v>1270</v>
      </c>
      <c r="B437" s="47" t="str">
        <f t="shared" si="30"/>
        <v>PROTECTION_FLG_ACT_PHYSCL_RSK</v>
      </c>
      <c r="C437" s="8" t="s">
        <v>1114</v>
      </c>
      <c r="D437" s="9" t="s">
        <v>376</v>
      </c>
      <c r="E437" s="18" t="s">
        <v>1271</v>
      </c>
      <c r="F437" s="10" t="s">
        <v>11</v>
      </c>
      <c r="G437" s="10" t="s">
        <v>11</v>
      </c>
      <c r="H437" s="10" t="s">
        <v>13</v>
      </c>
      <c r="I437" s="10" t="s">
        <v>11</v>
      </c>
      <c r="J437" s="10" t="s">
        <v>11</v>
      </c>
      <c r="L437" s="6" t="str">
        <f>IFERROR(VLOOKUP($B437,'Lista - Âmbito Projeto GD'!$B$3:$F$71,5,0),"Campo eliminado")</f>
        <v>Campo eliminado</v>
      </c>
      <c r="M437" s="6" t="str">
        <f t="shared" si="31"/>
        <v>Campo eliminado</v>
      </c>
      <c r="N437" s="6" t="str">
        <f>IFERROR(VLOOKUP($B437,'Lista - Âmbito Projeto GD'!$B$3:$K$71,6,0),"Campo eliminado")</f>
        <v>Campo eliminado</v>
      </c>
      <c r="O437" s="6" t="str">
        <f t="shared" si="32"/>
        <v>Campo eliminado</v>
      </c>
      <c r="P437" s="6" t="str">
        <f>IFERROR(VLOOKUP($B437,'Lista - Âmbito Projeto GD'!$B$3:$K$71,7,0),"Campo eliminado")</f>
        <v>Campo eliminado</v>
      </c>
      <c r="Q437" s="6" t="str">
        <f t="shared" si="33"/>
        <v>Campo eliminado</v>
      </c>
      <c r="R437" s="6" t="str">
        <f>IFERROR(VLOOKUP($B437,'Lista - Âmbito Projeto GD'!$B$3:$K$71,9,0),"Campo eliminado")</f>
        <v>Campo eliminado</v>
      </c>
      <c r="S437" s="6" t="str">
        <f t="shared" si="34"/>
        <v>Campo eliminado</v>
      </c>
      <c r="U437" s="6" t="str">
        <f>VLOOKUP(B437,DataLake!$A$4:$A$429,1,0)</f>
        <v>PROTECTION_FLG_ACT_PHYSCL_RSK</v>
      </c>
    </row>
    <row r="438" spans="1:21" ht="15" hidden="1" customHeight="1" x14ac:dyDescent="0.3">
      <c r="A438" s="16" t="s">
        <v>1272</v>
      </c>
      <c r="B438" s="47" t="str">
        <f t="shared" si="30"/>
        <v>PROTECTION_FLG_CHRNC_PHYSCL_RSK</v>
      </c>
      <c r="C438" s="8" t="s">
        <v>1114</v>
      </c>
      <c r="D438" s="9" t="s">
        <v>379</v>
      </c>
      <c r="E438" s="18" t="s">
        <v>1273</v>
      </c>
      <c r="F438" s="10" t="s">
        <v>11</v>
      </c>
      <c r="G438" s="10" t="s">
        <v>11</v>
      </c>
      <c r="H438" s="10" t="s">
        <v>13</v>
      </c>
      <c r="I438" s="10" t="s">
        <v>11</v>
      </c>
      <c r="J438" s="10" t="s">
        <v>11</v>
      </c>
      <c r="L438" s="6" t="str">
        <f>IFERROR(VLOOKUP($B438,'Lista - Âmbito Projeto GD'!$B$3:$F$71,5,0),"Campo eliminado")</f>
        <v>Campo eliminado</v>
      </c>
      <c r="M438" s="6" t="str">
        <f t="shared" si="31"/>
        <v>Campo eliminado</v>
      </c>
      <c r="N438" s="6" t="str">
        <f>IFERROR(VLOOKUP($B438,'Lista - Âmbito Projeto GD'!$B$3:$K$71,6,0),"Campo eliminado")</f>
        <v>Campo eliminado</v>
      </c>
      <c r="O438" s="6" t="str">
        <f t="shared" si="32"/>
        <v>Campo eliminado</v>
      </c>
      <c r="P438" s="6" t="str">
        <f>IFERROR(VLOOKUP($B438,'Lista - Âmbito Projeto GD'!$B$3:$K$71,7,0),"Campo eliminado")</f>
        <v>Campo eliminado</v>
      </c>
      <c r="Q438" s="6" t="str">
        <f t="shared" si="33"/>
        <v>Campo eliminado</v>
      </c>
      <c r="R438" s="6" t="str">
        <f>IFERROR(VLOOKUP($B438,'Lista - Âmbito Projeto GD'!$B$3:$K$71,9,0),"Campo eliminado")</f>
        <v>Campo eliminado</v>
      </c>
      <c r="S438" s="6" t="str">
        <f t="shared" si="34"/>
        <v>Campo eliminado</v>
      </c>
      <c r="U438" s="6" t="str">
        <f>VLOOKUP(B438,DataLake!$A$4:$A$429,1,0)</f>
        <v>PROTECTION_FLG_CHRNC_PHYSCL_RSK</v>
      </c>
    </row>
    <row r="439" spans="1:21" ht="15" hidden="1" customHeight="1" x14ac:dyDescent="0.3">
      <c r="A439" s="16" t="s">
        <v>1274</v>
      </c>
      <c r="B439" s="47" t="str">
        <f t="shared" si="30"/>
        <v>PROTECTION_INSRNC_ID</v>
      </c>
      <c r="C439" s="8" t="s">
        <v>1114</v>
      </c>
      <c r="D439" s="9" t="s">
        <v>1275</v>
      </c>
      <c r="E439" s="18" t="s">
        <v>1276</v>
      </c>
      <c r="F439" s="10" t="s">
        <v>11</v>
      </c>
      <c r="G439" s="10" t="s">
        <v>11</v>
      </c>
      <c r="H439" s="10" t="s">
        <v>11</v>
      </c>
      <c r="I439" s="10" t="s">
        <v>13</v>
      </c>
      <c r="J439" s="10" t="s">
        <v>11</v>
      </c>
      <c r="L439" s="6" t="str">
        <f>IFERROR(VLOOKUP($B439,'Lista - Âmbito Projeto GD'!$B$3:$F$71,5,0),"Campo eliminado")</f>
        <v>Campo eliminado</v>
      </c>
      <c r="M439" s="6" t="str">
        <f t="shared" si="31"/>
        <v>Campo eliminado</v>
      </c>
      <c r="N439" s="6" t="str">
        <f>IFERROR(VLOOKUP($B439,'Lista - Âmbito Projeto GD'!$B$3:$K$71,6,0),"Campo eliminado")</f>
        <v>Campo eliminado</v>
      </c>
      <c r="O439" s="6" t="str">
        <f t="shared" si="32"/>
        <v>Campo eliminado</v>
      </c>
      <c r="P439" s="6" t="str">
        <f>IFERROR(VLOOKUP($B439,'Lista - Âmbito Projeto GD'!$B$3:$K$71,7,0),"Campo eliminado")</f>
        <v>Campo eliminado</v>
      </c>
      <c r="Q439" s="6" t="str">
        <f t="shared" si="33"/>
        <v>Campo eliminado</v>
      </c>
      <c r="R439" s="6" t="str">
        <f>IFERROR(VLOOKUP($B439,'Lista - Âmbito Projeto GD'!$B$3:$K$71,9,0),"Campo eliminado")</f>
        <v>Campo eliminado</v>
      </c>
      <c r="S439" s="6" t="str">
        <f t="shared" si="34"/>
        <v>Campo eliminado</v>
      </c>
      <c r="U439" s="6" t="e">
        <f>VLOOKUP(B439,DataLake!$A$4:$A$429,1,0)</f>
        <v>#N/A</v>
      </c>
    </row>
    <row r="440" spans="1:21" ht="15" hidden="1" customHeight="1" x14ac:dyDescent="0.3">
      <c r="A440" s="16" t="s">
        <v>1277</v>
      </c>
      <c r="B440" s="47" t="str">
        <f t="shared" si="30"/>
        <v>PROTECTION_TYP_HZRDS_INSRD</v>
      </c>
      <c r="C440" s="8" t="s">
        <v>1114</v>
      </c>
      <c r="D440" s="9" t="s">
        <v>1278</v>
      </c>
      <c r="E440" s="18" t="s">
        <v>1279</v>
      </c>
      <c r="F440" s="10" t="s">
        <v>11</v>
      </c>
      <c r="G440" s="10" t="s">
        <v>11</v>
      </c>
      <c r="H440" s="10" t="s">
        <v>11</v>
      </c>
      <c r="I440" s="10" t="s">
        <v>13</v>
      </c>
      <c r="J440" s="10" t="s">
        <v>11</v>
      </c>
      <c r="L440" s="6" t="str">
        <f>IFERROR(VLOOKUP($B440,'Lista - Âmbito Projeto GD'!$B$3:$F$71,5,0),"Campo eliminado")</f>
        <v>Campo eliminado</v>
      </c>
      <c r="M440" s="6" t="str">
        <f t="shared" si="31"/>
        <v>Campo eliminado</v>
      </c>
      <c r="N440" s="6" t="str">
        <f>IFERROR(VLOOKUP($B440,'Lista - Âmbito Projeto GD'!$B$3:$K$71,6,0),"Campo eliminado")</f>
        <v>Campo eliminado</v>
      </c>
      <c r="O440" s="6" t="str">
        <f t="shared" si="32"/>
        <v>Campo eliminado</v>
      </c>
      <c r="P440" s="6" t="str">
        <f>IFERROR(VLOOKUP($B440,'Lista - Âmbito Projeto GD'!$B$3:$K$71,7,0),"Campo eliminado")</f>
        <v>Campo eliminado</v>
      </c>
      <c r="Q440" s="6" t="str">
        <f t="shared" si="33"/>
        <v>Campo eliminado</v>
      </c>
      <c r="R440" s="6" t="str">
        <f>IFERROR(VLOOKUP($B440,'Lista - Âmbito Projeto GD'!$B$3:$K$71,9,0),"Campo eliminado")</f>
        <v>Campo eliminado</v>
      </c>
      <c r="S440" s="6" t="str">
        <f t="shared" si="34"/>
        <v>Campo eliminado</v>
      </c>
      <c r="U440" s="6" t="e">
        <f>VLOOKUP(B440,DataLake!$A$4:$A$429,1,0)</f>
        <v>#N/A</v>
      </c>
    </row>
    <row r="441" spans="1:21" ht="15" hidden="1" customHeight="1" x14ac:dyDescent="0.3">
      <c r="A441" s="16" t="s">
        <v>1280</v>
      </c>
      <c r="B441" s="47" t="str">
        <f t="shared" si="30"/>
        <v>PROTECTION_AMNT_CVRD_INSRNC</v>
      </c>
      <c r="C441" s="8" t="s">
        <v>1114</v>
      </c>
      <c r="D441" s="9" t="s">
        <v>1281</v>
      </c>
      <c r="E441" s="18" t="s">
        <v>1282</v>
      </c>
      <c r="F441" s="10" t="s">
        <v>11</v>
      </c>
      <c r="G441" s="10" t="s">
        <v>11</v>
      </c>
      <c r="H441" s="10" t="s">
        <v>11</v>
      </c>
      <c r="I441" s="10" t="s">
        <v>13</v>
      </c>
      <c r="J441" s="10" t="s">
        <v>11</v>
      </c>
      <c r="L441" s="6" t="str">
        <f>IFERROR(VLOOKUP($B441,'Lista - Âmbito Projeto GD'!$B$3:$F$71,5,0),"Campo eliminado")</f>
        <v>Campo eliminado</v>
      </c>
      <c r="M441" s="6" t="str">
        <f t="shared" si="31"/>
        <v>Campo eliminado</v>
      </c>
      <c r="N441" s="6" t="str">
        <f>IFERROR(VLOOKUP($B441,'Lista - Âmbito Projeto GD'!$B$3:$K$71,6,0),"Campo eliminado")</f>
        <v>Campo eliminado</v>
      </c>
      <c r="O441" s="6" t="str">
        <f t="shared" si="32"/>
        <v>Campo eliminado</v>
      </c>
      <c r="P441" s="6" t="str">
        <f>IFERROR(VLOOKUP($B441,'Lista - Âmbito Projeto GD'!$B$3:$K$71,7,0),"Campo eliminado")</f>
        <v>Campo eliminado</v>
      </c>
      <c r="Q441" s="6" t="str">
        <f t="shared" si="33"/>
        <v>Campo eliminado</v>
      </c>
      <c r="R441" s="6" t="str">
        <f>IFERROR(VLOOKUP($B441,'Lista - Âmbito Projeto GD'!$B$3:$K$71,9,0),"Campo eliminado")</f>
        <v>Campo eliminado</v>
      </c>
      <c r="S441" s="6" t="str">
        <f t="shared" si="34"/>
        <v>Campo eliminado</v>
      </c>
      <c r="U441" s="6" t="e">
        <f>VLOOKUP(B441,DataLake!$A$4:$A$429,1,0)</f>
        <v>#N/A</v>
      </c>
    </row>
    <row r="442" spans="1:21" ht="15" hidden="1" customHeight="1" x14ac:dyDescent="0.3">
      <c r="A442" s="16" t="s">
        <v>1283</v>
      </c>
      <c r="B442" s="47" t="str">
        <f t="shared" si="30"/>
        <v>PROTECTION_DT_MTRTY_INSRNC</v>
      </c>
      <c r="C442" s="8" t="s">
        <v>1114</v>
      </c>
      <c r="D442" s="9" t="s">
        <v>1284</v>
      </c>
      <c r="E442" s="18" t="s">
        <v>1285</v>
      </c>
      <c r="F442" s="10" t="s">
        <v>11</v>
      </c>
      <c r="G442" s="10" t="s">
        <v>11</v>
      </c>
      <c r="H442" s="10" t="s">
        <v>11</v>
      </c>
      <c r="I442" s="10" t="s">
        <v>13</v>
      </c>
      <c r="J442" s="10" t="s">
        <v>11</v>
      </c>
      <c r="L442" s="6" t="str">
        <f>IFERROR(VLOOKUP($B442,'Lista - Âmbito Projeto GD'!$B$3:$F$71,5,0),"Campo eliminado")</f>
        <v>Campo eliminado</v>
      </c>
      <c r="M442" s="6" t="str">
        <f t="shared" si="31"/>
        <v>Campo eliminado</v>
      </c>
      <c r="N442" s="6" t="str">
        <f>IFERROR(VLOOKUP($B442,'Lista - Âmbito Projeto GD'!$B$3:$K$71,6,0),"Campo eliminado")</f>
        <v>Campo eliminado</v>
      </c>
      <c r="O442" s="6" t="str">
        <f t="shared" si="32"/>
        <v>Campo eliminado</v>
      </c>
      <c r="P442" s="6" t="str">
        <f>IFERROR(VLOOKUP($B442,'Lista - Âmbito Projeto GD'!$B$3:$K$71,7,0),"Campo eliminado")</f>
        <v>Campo eliminado</v>
      </c>
      <c r="Q442" s="6" t="str">
        <f t="shared" si="33"/>
        <v>Campo eliminado</v>
      </c>
      <c r="R442" s="6" t="str">
        <f>IFERROR(VLOOKUP($B442,'Lista - Âmbito Projeto GD'!$B$3:$K$71,9,0),"Campo eliminado")</f>
        <v>Campo eliminado</v>
      </c>
      <c r="S442" s="6" t="str">
        <f t="shared" si="34"/>
        <v>Campo eliminado</v>
      </c>
      <c r="U442" s="6" t="e">
        <f>VLOOKUP(B442,DataLake!$A$4:$A$429,1,0)</f>
        <v>#N/A</v>
      </c>
    </row>
    <row r="443" spans="1:21" ht="15" hidden="1" customHeight="1" x14ac:dyDescent="0.3">
      <c r="A443" s="16" t="s">
        <v>1286</v>
      </c>
      <c r="B443" s="47" t="str">
        <f t="shared" si="30"/>
        <v>PROTECTION_FLG_FRST_HM</v>
      </c>
      <c r="C443" s="8" t="s">
        <v>1114</v>
      </c>
      <c r="D443" s="9" t="s">
        <v>1287</v>
      </c>
      <c r="E443" s="18" t="s">
        <v>1288</v>
      </c>
      <c r="F443" s="10" t="s">
        <v>11</v>
      </c>
      <c r="G443" s="10" t="s">
        <v>11</v>
      </c>
      <c r="H443" s="10" t="s">
        <v>11</v>
      </c>
      <c r="I443" s="10" t="s">
        <v>13</v>
      </c>
      <c r="J443" s="10" t="s">
        <v>11</v>
      </c>
      <c r="L443" s="6" t="str">
        <f>IFERROR(VLOOKUP($B443,'Lista - Âmbito Projeto GD'!$B$3:$F$71,5,0),"Campo eliminado")</f>
        <v>Campo eliminado</v>
      </c>
      <c r="M443" s="6" t="str">
        <f t="shared" si="31"/>
        <v>Campo eliminado</v>
      </c>
      <c r="N443" s="6" t="str">
        <f>IFERROR(VLOOKUP($B443,'Lista - Âmbito Projeto GD'!$B$3:$K$71,6,0),"Campo eliminado")</f>
        <v>Campo eliminado</v>
      </c>
      <c r="O443" s="6" t="str">
        <f t="shared" si="32"/>
        <v>Campo eliminado</v>
      </c>
      <c r="P443" s="6" t="str">
        <f>IFERROR(VLOOKUP($B443,'Lista - Âmbito Projeto GD'!$B$3:$K$71,7,0),"Campo eliminado")</f>
        <v>Campo eliminado</v>
      </c>
      <c r="Q443" s="6" t="str">
        <f t="shared" si="33"/>
        <v>Campo eliminado</v>
      </c>
      <c r="R443" s="6" t="str">
        <f>IFERROR(VLOOKUP($B443,'Lista - Âmbito Projeto GD'!$B$3:$K$71,9,0),"Campo eliminado")</f>
        <v>Campo eliminado</v>
      </c>
      <c r="S443" s="6" t="str">
        <f t="shared" si="34"/>
        <v>Campo eliminado</v>
      </c>
      <c r="U443" s="6" t="e">
        <f>VLOOKUP(B443,DataLake!$A$4:$A$429,1,0)</f>
        <v>#N/A</v>
      </c>
    </row>
    <row r="444" spans="1:21" ht="14.9" hidden="1" customHeight="1" x14ac:dyDescent="0.3">
      <c r="A444" s="16" t="s">
        <v>1289</v>
      </c>
      <c r="B444" s="47" t="str">
        <f t="shared" si="30"/>
        <v>PROTECTION_YR_CNSTRCTN</v>
      </c>
      <c r="C444" s="8" t="s">
        <v>1114</v>
      </c>
      <c r="D444" s="9" t="s">
        <v>1290</v>
      </c>
      <c r="E444" s="18" t="s">
        <v>1291</v>
      </c>
      <c r="F444" s="10" t="s">
        <v>13</v>
      </c>
      <c r="G444" s="10" t="s">
        <v>11</v>
      </c>
      <c r="H444" s="10" t="s">
        <v>11</v>
      </c>
      <c r="I444" s="10" t="s">
        <v>11</v>
      </c>
      <c r="J444" s="10" t="s">
        <v>11</v>
      </c>
      <c r="L444" s="6" t="str">
        <f>IFERROR(VLOOKUP($B444,'Lista - Âmbito Projeto GD'!$B$3:$F$71,5,0),"Campo eliminado")</f>
        <v>Campo eliminado</v>
      </c>
      <c r="M444" s="6" t="str">
        <f t="shared" si="31"/>
        <v>Campo eliminado</v>
      </c>
      <c r="N444" s="6" t="str">
        <f>IFERROR(VLOOKUP($B444,'Lista - Âmbito Projeto GD'!$B$3:$K$71,6,0),"Campo eliminado")</f>
        <v>Campo eliminado</v>
      </c>
      <c r="O444" s="6" t="str">
        <f t="shared" si="32"/>
        <v>Campo eliminado</v>
      </c>
      <c r="P444" s="6" t="str">
        <f>IFERROR(VLOOKUP($B444,'Lista - Âmbito Projeto GD'!$B$3:$K$71,7,0),"Campo eliminado")</f>
        <v>Campo eliminado</v>
      </c>
      <c r="Q444" s="6" t="str">
        <f t="shared" si="33"/>
        <v>Campo eliminado</v>
      </c>
      <c r="R444" s="6" t="str">
        <f>IFERROR(VLOOKUP($B444,'Lista - Âmbito Projeto GD'!$B$3:$K$71,9,0),"Campo eliminado")</f>
        <v>Campo eliminado</v>
      </c>
      <c r="S444" s="6" t="str">
        <f t="shared" si="34"/>
        <v>Campo eliminado</v>
      </c>
      <c r="U444" s="6" t="str">
        <f>VLOOKUP(B444,DataLake!$A$4:$A$429,1,0)</f>
        <v>PROTECTION_YR_CNSTRCTN</v>
      </c>
    </row>
    <row r="445" spans="1:21" ht="14.9" customHeight="1" x14ac:dyDescent="0.3">
      <c r="B445" s="47"/>
    </row>
    <row r="446" spans="1:21" ht="14.9" customHeight="1" x14ac:dyDescent="0.3">
      <c r="B446" s="47"/>
    </row>
    <row r="447" spans="1:21" ht="14.9" customHeight="1" x14ac:dyDescent="0.3">
      <c r="B447" s="47"/>
    </row>
    <row r="448" spans="1:21" ht="14.9" customHeight="1" x14ac:dyDescent="0.3">
      <c r="B448" s="47"/>
    </row>
    <row r="449" spans="2:2" ht="14.9" customHeight="1" x14ac:dyDescent="0.3">
      <c r="B449" s="47"/>
    </row>
    <row r="450" spans="2:2" ht="14.9" customHeight="1" x14ac:dyDescent="0.3">
      <c r="B450" s="47"/>
    </row>
    <row r="451" spans="2:2" ht="14.9" customHeight="1" x14ac:dyDescent="0.3">
      <c r="B451" s="47"/>
    </row>
    <row r="452" spans="2:2" ht="14.9" customHeight="1" x14ac:dyDescent="0.3">
      <c r="B452" s="47"/>
    </row>
    <row r="453" spans="2:2" ht="14.9" customHeight="1" x14ac:dyDescent="0.3">
      <c r="B453" s="47"/>
    </row>
    <row r="454" spans="2:2" ht="14.9" customHeight="1" x14ac:dyDescent="0.3">
      <c r="B454" s="47"/>
    </row>
    <row r="455" spans="2:2" ht="14.9" customHeight="1" x14ac:dyDescent="0.3">
      <c r="B455" s="47"/>
    </row>
    <row r="456" spans="2:2" ht="14.9" customHeight="1" x14ac:dyDescent="0.3">
      <c r="B456" s="47"/>
    </row>
    <row r="457" spans="2:2" ht="14.9" customHeight="1" x14ac:dyDescent="0.3">
      <c r="B457" s="47"/>
    </row>
    <row r="458" spans="2:2" ht="14.9" customHeight="1" x14ac:dyDescent="0.3">
      <c r="B458" s="47"/>
    </row>
    <row r="459" spans="2:2" ht="14.9" customHeight="1" x14ac:dyDescent="0.3">
      <c r="B459" s="47"/>
    </row>
    <row r="460" spans="2:2" ht="14.9" customHeight="1" x14ac:dyDescent="0.3">
      <c r="B460" s="47"/>
    </row>
    <row r="461" spans="2:2" ht="14.9" customHeight="1" x14ac:dyDescent="0.3">
      <c r="B461" s="47"/>
    </row>
    <row r="462" spans="2:2" ht="14" x14ac:dyDescent="0.3">
      <c r="B462" s="47"/>
    </row>
    <row r="463" spans="2:2" ht="14.9" customHeight="1" x14ac:dyDescent="0.3">
      <c r="B463" s="47"/>
    </row>
    <row r="464" spans="2:2" ht="14.9" customHeight="1" x14ac:dyDescent="0.3">
      <c r="B464" s="47"/>
    </row>
    <row r="465" spans="2:2" ht="14.9" customHeight="1" x14ac:dyDescent="0.3">
      <c r="B465" s="47"/>
    </row>
    <row r="466" spans="2:2" ht="14.9" customHeight="1" x14ac:dyDescent="0.3">
      <c r="B466" s="47"/>
    </row>
    <row r="467" spans="2:2" ht="14.9" customHeight="1" x14ac:dyDescent="0.3">
      <c r="B467" s="47"/>
    </row>
    <row r="468" spans="2:2" ht="14.9" customHeight="1" x14ac:dyDescent="0.3">
      <c r="B468" s="47"/>
    </row>
    <row r="469" spans="2:2" ht="14.9" customHeight="1" x14ac:dyDescent="0.3">
      <c r="B469" s="47"/>
    </row>
    <row r="470" spans="2:2" ht="14.9" customHeight="1" x14ac:dyDescent="0.3">
      <c r="B470" s="47"/>
    </row>
    <row r="471" spans="2:2" ht="14.9" customHeight="1" x14ac:dyDescent="0.3">
      <c r="B471" s="47"/>
    </row>
    <row r="472" spans="2:2" ht="14.9" customHeight="1" x14ac:dyDescent="0.3">
      <c r="B472" s="47"/>
    </row>
    <row r="473" spans="2:2" ht="14.9" customHeight="1" x14ac:dyDescent="0.3">
      <c r="B473" s="47"/>
    </row>
    <row r="474" spans="2:2" ht="14.9" customHeight="1" x14ac:dyDescent="0.3">
      <c r="B474" s="47"/>
    </row>
    <row r="475" spans="2:2" ht="14.9" customHeight="1" x14ac:dyDescent="0.3">
      <c r="B475" s="47"/>
    </row>
    <row r="476" spans="2:2" ht="14.9" customHeight="1" x14ac:dyDescent="0.3">
      <c r="B476" s="47"/>
    </row>
    <row r="477" spans="2:2" ht="14.9" customHeight="1" x14ac:dyDescent="0.3">
      <c r="B477" s="47"/>
    </row>
    <row r="478" spans="2:2" ht="14.9" customHeight="1" x14ac:dyDescent="0.3">
      <c r="B478" s="47"/>
    </row>
    <row r="479" spans="2:2" ht="14.9" customHeight="1" x14ac:dyDescent="0.3">
      <c r="B479" s="47"/>
    </row>
    <row r="480" spans="2:2" ht="14.9" customHeight="1" x14ac:dyDescent="0.3">
      <c r="B480" s="47"/>
    </row>
    <row r="481" spans="2:2" ht="14.9" customHeight="1" x14ac:dyDescent="0.3">
      <c r="B481" s="47"/>
    </row>
    <row r="482" spans="2:2" ht="14.9" customHeight="1" x14ac:dyDescent="0.3">
      <c r="B482" s="47"/>
    </row>
    <row r="483" spans="2:2" ht="14.9" customHeight="1" x14ac:dyDescent="0.3">
      <c r="B483" s="47"/>
    </row>
    <row r="484" spans="2:2" ht="14.9" customHeight="1" x14ac:dyDescent="0.3">
      <c r="B484" s="47"/>
    </row>
    <row r="485" spans="2:2" ht="14.9" customHeight="1" x14ac:dyDescent="0.3">
      <c r="B485" s="47"/>
    </row>
    <row r="486" spans="2:2" ht="14.9" customHeight="1" x14ac:dyDescent="0.3">
      <c r="B486" s="47"/>
    </row>
    <row r="487" spans="2:2" ht="14.9" customHeight="1" x14ac:dyDescent="0.3">
      <c r="B487" s="47"/>
    </row>
    <row r="488" spans="2:2" ht="14.9" customHeight="1" x14ac:dyDescent="0.3">
      <c r="B488" s="47"/>
    </row>
    <row r="489" spans="2:2" ht="14.9" customHeight="1" x14ac:dyDescent="0.3">
      <c r="B489" s="47"/>
    </row>
    <row r="490" spans="2:2" ht="14.9" customHeight="1" x14ac:dyDescent="0.3">
      <c r="B490" s="47"/>
    </row>
    <row r="491" spans="2:2" ht="14.9" customHeight="1" x14ac:dyDescent="0.3">
      <c r="B491" s="47"/>
    </row>
    <row r="492" spans="2:2" ht="14.9" customHeight="1" x14ac:dyDescent="0.3">
      <c r="B492" s="47"/>
    </row>
    <row r="493" spans="2:2" ht="14.9" customHeight="1" x14ac:dyDescent="0.3">
      <c r="B493" s="47"/>
    </row>
    <row r="494" spans="2:2" ht="14.9" customHeight="1" x14ac:dyDescent="0.3">
      <c r="B494" s="47"/>
    </row>
    <row r="495" spans="2:2" ht="14.9" customHeight="1" x14ac:dyDescent="0.3">
      <c r="B495" s="47"/>
    </row>
    <row r="496" spans="2:2" ht="14.9" customHeight="1" x14ac:dyDescent="0.3">
      <c r="B496" s="47"/>
    </row>
    <row r="497" spans="2:2" ht="14.9" customHeight="1" x14ac:dyDescent="0.3">
      <c r="B497" s="47"/>
    </row>
    <row r="498" spans="2:2" ht="14.9" customHeight="1" x14ac:dyDescent="0.3">
      <c r="B498" s="47"/>
    </row>
    <row r="499" spans="2:2" ht="14.9" customHeight="1" x14ac:dyDescent="0.3">
      <c r="B499" s="47"/>
    </row>
    <row r="500" spans="2:2" ht="14.9" customHeight="1" x14ac:dyDescent="0.3">
      <c r="B500" s="47"/>
    </row>
    <row r="501" spans="2:2" ht="14.9" customHeight="1" x14ac:dyDescent="0.3">
      <c r="B501" s="47"/>
    </row>
    <row r="502" spans="2:2" ht="14.9" customHeight="1" x14ac:dyDescent="0.3">
      <c r="B502" s="47"/>
    </row>
    <row r="503" spans="2:2" ht="14.9" customHeight="1" x14ac:dyDescent="0.3">
      <c r="B503" s="47"/>
    </row>
    <row r="504" spans="2:2" ht="14.9" customHeight="1" x14ac:dyDescent="0.3">
      <c r="B504" s="47"/>
    </row>
    <row r="505" spans="2:2" ht="14.9" customHeight="1" x14ac:dyDescent="0.3">
      <c r="B505" s="47"/>
    </row>
    <row r="506" spans="2:2" ht="14.9" customHeight="1" x14ac:dyDescent="0.3">
      <c r="B506" s="47"/>
    </row>
    <row r="507" spans="2:2" ht="14.9" customHeight="1" x14ac:dyDescent="0.3">
      <c r="B507" s="47"/>
    </row>
    <row r="508" spans="2:2" ht="14.9" customHeight="1" x14ac:dyDescent="0.3">
      <c r="B508" s="47"/>
    </row>
    <row r="509" spans="2:2" ht="14.9" customHeight="1" x14ac:dyDescent="0.3">
      <c r="B509" s="47"/>
    </row>
    <row r="510" spans="2:2" ht="14.9" customHeight="1" x14ac:dyDescent="0.3">
      <c r="B510" s="47"/>
    </row>
    <row r="511" spans="2:2" ht="14.9" customHeight="1" x14ac:dyDescent="0.3">
      <c r="B511" s="47"/>
    </row>
    <row r="512" spans="2:2" ht="14.9" customHeight="1" x14ac:dyDescent="0.3">
      <c r="B512" s="47"/>
    </row>
    <row r="513" spans="2:2" ht="14.9" customHeight="1" x14ac:dyDescent="0.3">
      <c r="B513" s="47"/>
    </row>
    <row r="514" spans="2:2" ht="14.9" customHeight="1" x14ac:dyDescent="0.3">
      <c r="B514" s="47"/>
    </row>
    <row r="515" spans="2:2" ht="14.9" customHeight="1" x14ac:dyDescent="0.3">
      <c r="B515" s="47"/>
    </row>
    <row r="516" spans="2:2" ht="14.9" customHeight="1" x14ac:dyDescent="0.3">
      <c r="B516" s="47"/>
    </row>
    <row r="517" spans="2:2" ht="14.9" customHeight="1" x14ac:dyDescent="0.3">
      <c r="B517" s="47"/>
    </row>
    <row r="518" spans="2:2" ht="14.9" customHeight="1" x14ac:dyDescent="0.3">
      <c r="B518" s="47"/>
    </row>
    <row r="519" spans="2:2" ht="14.9" customHeight="1" x14ac:dyDescent="0.3">
      <c r="B519" s="47"/>
    </row>
    <row r="520" spans="2:2" ht="14.9" customHeight="1" x14ac:dyDescent="0.3">
      <c r="B520" s="47"/>
    </row>
    <row r="521" spans="2:2" ht="14.9" customHeight="1" x14ac:dyDescent="0.3">
      <c r="B521" s="47"/>
    </row>
    <row r="522" spans="2:2" ht="14.9" customHeight="1" x14ac:dyDescent="0.3">
      <c r="B522" s="47"/>
    </row>
    <row r="523" spans="2:2" ht="14.9" customHeight="1" x14ac:dyDescent="0.3">
      <c r="B523" s="47"/>
    </row>
    <row r="524" spans="2:2" ht="14.9" customHeight="1" x14ac:dyDescent="0.3">
      <c r="B524" s="47"/>
    </row>
    <row r="525" spans="2:2" ht="14.9" customHeight="1" x14ac:dyDescent="0.3">
      <c r="B525" s="47"/>
    </row>
    <row r="526" spans="2:2" ht="14.9" customHeight="1" x14ac:dyDescent="0.3">
      <c r="B526" s="47"/>
    </row>
    <row r="527" spans="2:2" ht="14.9" customHeight="1" x14ac:dyDescent="0.3">
      <c r="B527" s="47"/>
    </row>
    <row r="528" spans="2:2" ht="14.9" customHeight="1" x14ac:dyDescent="0.3">
      <c r="B528" s="47"/>
    </row>
    <row r="529" spans="2:2" ht="14.9" customHeight="1" x14ac:dyDescent="0.3">
      <c r="B529" s="47"/>
    </row>
    <row r="530" spans="2:2" ht="14.9" customHeight="1" x14ac:dyDescent="0.3">
      <c r="B530" s="47"/>
    </row>
    <row r="531" spans="2:2" ht="14.9" customHeight="1" x14ac:dyDescent="0.3">
      <c r="B531" s="47"/>
    </row>
    <row r="532" spans="2:2" ht="14.9" customHeight="1" x14ac:dyDescent="0.3">
      <c r="B532" s="47"/>
    </row>
    <row r="533" spans="2:2" ht="14.9" customHeight="1" x14ac:dyDescent="0.3">
      <c r="B533" s="47"/>
    </row>
    <row r="534" spans="2:2" ht="14.9" customHeight="1" x14ac:dyDescent="0.3">
      <c r="B534" s="47"/>
    </row>
    <row r="535" spans="2:2" ht="14.9" customHeight="1" x14ac:dyDescent="0.3">
      <c r="B535" s="47"/>
    </row>
    <row r="536" spans="2:2" ht="14.9" customHeight="1" x14ac:dyDescent="0.3">
      <c r="B536" s="47"/>
    </row>
    <row r="537" spans="2:2" ht="14.9" customHeight="1" x14ac:dyDescent="0.3">
      <c r="B537" s="47"/>
    </row>
    <row r="539" spans="2:2" ht="14.9" customHeight="1" x14ac:dyDescent="0.3">
      <c r="B539" s="37"/>
    </row>
    <row r="540" spans="2:2" ht="14.9" customHeight="1" x14ac:dyDescent="0.3">
      <c r="B540" s="37"/>
    </row>
    <row r="541" spans="2:2" ht="14.9" customHeight="1" x14ac:dyDescent="0.3">
      <c r="B541" s="37"/>
    </row>
    <row r="542" spans="2:2" ht="14.9" customHeight="1" x14ac:dyDescent="0.3">
      <c r="B542" s="37"/>
    </row>
    <row r="543" spans="2:2" ht="14.9" customHeight="1" x14ac:dyDescent="0.3">
      <c r="B543" s="37"/>
    </row>
    <row r="544" spans="2:2" ht="14.9" customHeight="1" x14ac:dyDescent="0.3">
      <c r="B544" s="37"/>
    </row>
    <row r="545" spans="2:2" ht="14.9" customHeight="1" x14ac:dyDescent="0.3">
      <c r="B545" s="37"/>
    </row>
    <row r="546" spans="2:2" ht="14.9" customHeight="1" x14ac:dyDescent="0.3">
      <c r="B546" s="37"/>
    </row>
    <row r="547" spans="2:2" ht="14.9" customHeight="1" x14ac:dyDescent="0.3">
      <c r="B547" s="37"/>
    </row>
  </sheetData>
  <autoFilter ref="A1:U444" xr:uid="{19BA2F3F-F06E-4DDD-A081-FFA6438D94B2}">
    <filterColumn colId="3">
      <filters>
        <filter val="FLG_NFRD_APPLCBLTY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1036-9802-49AF-880F-B53F12CB72A6}">
  <sheetPr filterMode="1"/>
  <dimension ref="B1:T72"/>
  <sheetViews>
    <sheetView showGridLines="0" zoomScale="70" zoomScaleNormal="70" workbookViewId="0">
      <selection activeCell="T4" sqref="T4"/>
    </sheetView>
  </sheetViews>
  <sheetFormatPr defaultRowHeight="14" x14ac:dyDescent="0.3"/>
  <cols>
    <col min="1" max="1" width="3.58203125" customWidth="1"/>
    <col min="2" max="2" width="12.5" customWidth="1"/>
    <col min="3" max="3" width="20.5" bestFit="1" customWidth="1"/>
    <col min="4" max="4" width="42.6640625" bestFit="1" customWidth="1"/>
    <col min="5" max="5" width="11.6640625" bestFit="1" customWidth="1"/>
    <col min="6" max="6" width="11.6640625" customWidth="1"/>
    <col min="7" max="7" width="16.6640625" customWidth="1"/>
    <col min="8" max="8" width="14.08203125" customWidth="1"/>
    <col min="9" max="9" width="10" customWidth="1"/>
    <col min="10" max="10" width="15.5" customWidth="1"/>
    <col min="11" max="11" width="16.9140625" customWidth="1"/>
    <col min="12" max="12" width="15.4140625" customWidth="1"/>
    <col min="13" max="13" width="17.58203125" customWidth="1"/>
    <col min="14" max="14" width="23" customWidth="1"/>
    <col min="15" max="15" width="12.4140625" customWidth="1"/>
    <col min="16" max="16" width="11.5" bestFit="1" customWidth="1"/>
    <col min="17" max="17" width="10.6640625" bestFit="1" customWidth="1"/>
    <col min="18" max="19" width="12.5" bestFit="1" customWidth="1"/>
    <col min="20" max="20" width="13.1640625" style="39" bestFit="1" customWidth="1"/>
  </cols>
  <sheetData>
    <row r="1" spans="2:20" x14ac:dyDescent="0.3">
      <c r="T1"/>
    </row>
    <row r="2" spans="2:20" x14ac:dyDescent="0.3">
      <c r="T2"/>
    </row>
    <row r="3" spans="2:20" s="39" customFormat="1" x14ac:dyDescent="0.3">
      <c r="F3" s="36">
        <f>SUBTOTAL(9,F5:F72)</f>
        <v>38.299999999999997</v>
      </c>
      <c r="H3" s="36">
        <f>SUBTOTAL(9,H5:H72)</f>
        <v>2</v>
      </c>
      <c r="I3" s="36">
        <f>SUBTOTAL(9,I5:I72)</f>
        <v>4</v>
      </c>
      <c r="J3" s="36"/>
      <c r="K3" s="36"/>
      <c r="L3" s="36"/>
      <c r="M3" s="36"/>
      <c r="N3" s="36"/>
      <c r="O3" s="36">
        <f>SUBTOTAL(9,O5:O72)</f>
        <v>10</v>
      </c>
      <c r="P3" s="36"/>
      <c r="Q3" s="36">
        <f>SUBTOTAL(9,Q5:Q72)</f>
        <v>38.299999999999997</v>
      </c>
      <c r="R3" s="36">
        <f>SUBTOTAL(9,R5:R72)</f>
        <v>26.2</v>
      </c>
      <c r="S3" s="36">
        <f>SUBTOTAL(9,S5:S72)</f>
        <v>12.1</v>
      </c>
    </row>
    <row r="4" spans="2:20" s="39" customFormat="1" ht="28" x14ac:dyDescent="0.3">
      <c r="B4" s="99" t="s">
        <v>1504</v>
      </c>
      <c r="C4" s="100" t="s">
        <v>1</v>
      </c>
      <c r="D4" s="100" t="s">
        <v>2</v>
      </c>
      <c r="E4" s="216" t="s">
        <v>1632</v>
      </c>
      <c r="F4" s="216" t="s">
        <v>1632</v>
      </c>
      <c r="G4" s="223" t="s">
        <v>1568</v>
      </c>
      <c r="H4" s="223" t="s">
        <v>1571</v>
      </c>
      <c r="I4" s="223" t="s">
        <v>1576</v>
      </c>
      <c r="J4" s="223" t="s">
        <v>1554</v>
      </c>
      <c r="K4" s="223" t="s">
        <v>1569</v>
      </c>
      <c r="L4" s="223" t="s">
        <v>1555</v>
      </c>
      <c r="M4" s="223" t="s">
        <v>1556</v>
      </c>
      <c r="N4" s="223" t="s">
        <v>1557</v>
      </c>
      <c r="O4" s="223" t="s">
        <v>1575</v>
      </c>
      <c r="P4" s="227" t="s">
        <v>1701</v>
      </c>
      <c r="Q4" s="36" t="s">
        <v>1704</v>
      </c>
      <c r="R4" s="36" t="s">
        <v>1705</v>
      </c>
      <c r="S4" s="36" t="s">
        <v>1706</v>
      </c>
      <c r="T4" s="236" t="s">
        <v>1717</v>
      </c>
    </row>
    <row r="5" spans="2:20" x14ac:dyDescent="0.3">
      <c r="B5" s="217" t="s">
        <v>1633</v>
      </c>
      <c r="C5" s="218" t="s">
        <v>414</v>
      </c>
      <c r="D5" s="219" t="s">
        <v>12</v>
      </c>
      <c r="E5" s="214" t="s">
        <v>1545</v>
      </c>
      <c r="F5" s="214">
        <f>VLOOKUP(B5,'[1]Plano GD - SC1'!$A:$F,6,0)</f>
        <v>2</v>
      </c>
      <c r="G5" s="224" t="s">
        <v>1574</v>
      </c>
      <c r="H5" s="225">
        <v>0</v>
      </c>
      <c r="I5" s="89">
        <v>1</v>
      </c>
      <c r="J5" s="85">
        <v>1</v>
      </c>
      <c r="K5" s="85" t="s">
        <v>1534</v>
      </c>
      <c r="L5" s="85">
        <v>0</v>
      </c>
      <c r="M5" s="85">
        <v>0.5</v>
      </c>
      <c r="N5" s="85">
        <v>1</v>
      </c>
      <c r="O5" s="89">
        <v>2.5</v>
      </c>
      <c r="P5" s="226" t="s">
        <v>1702</v>
      </c>
      <c r="Q5">
        <f>VLOOKUP(B5,'[1]Plano GD - SC1'!$A:$F,6,0)</f>
        <v>2</v>
      </c>
      <c r="R5">
        <f>IFERROR(VLOOKUP(B5,'[1]Plano GD - SCB 1'!$A:$F,6,0),0)</f>
        <v>2</v>
      </c>
      <c r="S5">
        <f>IFERROR(VLOOKUP(B5,'[1]Plano GD - SCB 2'!$A:$F,6,0),0)</f>
        <v>0</v>
      </c>
      <c r="T5" s="224" t="s">
        <v>13</v>
      </c>
    </row>
    <row r="6" spans="2:20" hidden="1" x14ac:dyDescent="0.3">
      <c r="B6" s="217" t="s">
        <v>1634</v>
      </c>
      <c r="C6" s="218" t="s">
        <v>414</v>
      </c>
      <c r="D6" s="219" t="s">
        <v>416</v>
      </c>
      <c r="E6" s="214" t="s">
        <v>1545</v>
      </c>
      <c r="F6" s="214">
        <f>VLOOKUP(B6,'[1]Plano GD - SC1'!$A:$F,6,0)</f>
        <v>2</v>
      </c>
      <c r="G6" s="224" t="s">
        <v>1574</v>
      </c>
      <c r="H6" s="225">
        <v>0</v>
      </c>
      <c r="I6" s="89">
        <v>1</v>
      </c>
      <c r="J6" s="85">
        <v>1</v>
      </c>
      <c r="K6" s="225" t="s">
        <v>1534</v>
      </c>
      <c r="L6" s="85">
        <v>0</v>
      </c>
      <c r="M6" s="85">
        <v>0.5</v>
      </c>
      <c r="N6" s="85">
        <v>1</v>
      </c>
      <c r="O6" s="89">
        <v>2.5</v>
      </c>
      <c r="P6" s="226" t="s">
        <v>1702</v>
      </c>
      <c r="Q6">
        <f>VLOOKUP(B6,'[1]Plano GD - SC1'!$A:$F,6,0)</f>
        <v>2</v>
      </c>
      <c r="R6">
        <f>IFERROR(VLOOKUP(B6,'[1]Plano GD - SCB 1'!$A:$F,6,0),0)</f>
        <v>2</v>
      </c>
      <c r="S6">
        <f>IFERROR(VLOOKUP(B6,'[1]Plano GD - SCB 2'!$A:$F,6,0),0)</f>
        <v>0</v>
      </c>
      <c r="T6" s="224" t="s">
        <v>13</v>
      </c>
    </row>
    <row r="7" spans="2:20" hidden="1" x14ac:dyDescent="0.3">
      <c r="B7" s="217" t="s">
        <v>1635</v>
      </c>
      <c r="C7" s="218" t="s">
        <v>414</v>
      </c>
      <c r="D7" s="219" t="s">
        <v>38</v>
      </c>
      <c r="E7" s="214" t="s">
        <v>1545</v>
      </c>
      <c r="F7" s="214">
        <f>VLOOKUP(B7,'[1]Plano GD - SC1'!$A:$F,6,0)</f>
        <v>2</v>
      </c>
      <c r="G7" s="224" t="s">
        <v>1574</v>
      </c>
      <c r="H7" s="225">
        <v>0</v>
      </c>
      <c r="I7" s="89">
        <v>1</v>
      </c>
      <c r="J7" s="85">
        <v>1</v>
      </c>
      <c r="K7" s="85" t="s">
        <v>1534</v>
      </c>
      <c r="L7" s="85">
        <v>0</v>
      </c>
      <c r="M7" s="85">
        <v>0.5</v>
      </c>
      <c r="N7" s="85">
        <v>1</v>
      </c>
      <c r="O7" s="89">
        <v>2.5</v>
      </c>
      <c r="P7" s="226" t="s">
        <v>1702</v>
      </c>
      <c r="Q7">
        <f>VLOOKUP(B7,'[1]Plano GD - SC1'!$A:$F,6,0)</f>
        <v>2</v>
      </c>
      <c r="R7">
        <f>IFERROR(VLOOKUP(B7,'[1]Plano GD - SCB 1'!$A:$F,6,0),0)</f>
        <v>2</v>
      </c>
      <c r="S7">
        <f>IFERROR(VLOOKUP(B7,'[1]Plano GD - SCB 2'!$A:$F,6,0),0)</f>
        <v>0</v>
      </c>
      <c r="T7" s="224" t="s">
        <v>13</v>
      </c>
    </row>
    <row r="8" spans="2:20" hidden="1" x14ac:dyDescent="0.3">
      <c r="B8" s="217" t="s">
        <v>1636</v>
      </c>
      <c r="C8" s="218" t="s">
        <v>414</v>
      </c>
      <c r="D8" s="219" t="s">
        <v>405</v>
      </c>
      <c r="E8" s="214" t="s">
        <v>1547</v>
      </c>
      <c r="F8" s="214">
        <f>VLOOKUP(B8,'[1]Plano GD - SC1'!$A:$F,6,0)</f>
        <v>25.200000000000003</v>
      </c>
      <c r="G8" s="224" t="s">
        <v>1577</v>
      </c>
      <c r="H8" s="225">
        <v>0</v>
      </c>
      <c r="I8" s="245">
        <v>12</v>
      </c>
      <c r="J8" s="85">
        <v>3</v>
      </c>
      <c r="K8" s="85" t="s">
        <v>1534</v>
      </c>
      <c r="L8" s="85">
        <v>0</v>
      </c>
      <c r="M8" s="85">
        <v>1</v>
      </c>
      <c r="N8" s="85">
        <v>2</v>
      </c>
      <c r="O8" s="245">
        <v>10</v>
      </c>
      <c r="P8" s="226" t="s">
        <v>1702</v>
      </c>
      <c r="Q8">
        <f>VLOOKUP(B8,'[1]Plano GD - SC1'!$A:$F,6,0)</f>
        <v>25.200000000000003</v>
      </c>
      <c r="R8">
        <f>IFERROR(VLOOKUP(B8,'[1]Plano GD - SCB 1'!$A:$F,6,0),0)</f>
        <v>25.200000000000003</v>
      </c>
      <c r="S8">
        <f>IFERROR(VLOOKUP(B8,'[1]Plano GD - SCB 2'!$A:$F,6,0),0)</f>
        <v>0</v>
      </c>
      <c r="T8" s="224" t="s">
        <v>11</v>
      </c>
    </row>
    <row r="9" spans="2:20" hidden="1" x14ac:dyDescent="0.3">
      <c r="B9" s="217" t="s">
        <v>1637</v>
      </c>
      <c r="C9" s="218" t="s">
        <v>414</v>
      </c>
      <c r="D9" s="220" t="s">
        <v>466</v>
      </c>
      <c r="E9" s="214" t="s">
        <v>1545</v>
      </c>
      <c r="F9" s="214">
        <f>VLOOKUP(B9,'[1]Plano GD - SC1'!$A:$F,6,0)</f>
        <v>2</v>
      </c>
      <c r="G9" s="224" t="s">
        <v>1574</v>
      </c>
      <c r="H9" s="225">
        <v>0</v>
      </c>
      <c r="I9" s="89">
        <v>1</v>
      </c>
      <c r="J9" s="85">
        <v>1</v>
      </c>
      <c r="K9" s="225" t="s">
        <v>1534</v>
      </c>
      <c r="L9" s="85">
        <v>0</v>
      </c>
      <c r="M9" s="85">
        <v>0.5</v>
      </c>
      <c r="N9" s="85">
        <v>1</v>
      </c>
      <c r="O9" s="89">
        <v>2.5</v>
      </c>
      <c r="P9" s="226" t="s">
        <v>1702</v>
      </c>
      <c r="Q9">
        <f>VLOOKUP(B9,'[1]Plano GD - SC1'!$A:$F,6,0)</f>
        <v>2</v>
      </c>
      <c r="R9">
        <f>IFERROR(VLOOKUP(B9,'[1]Plano GD - SCB 1'!$A:$F,6,0),0)</f>
        <v>2</v>
      </c>
      <c r="S9">
        <f>IFERROR(VLOOKUP(B9,'[1]Plano GD - SCB 2'!$A:$F,6,0),0)</f>
        <v>0</v>
      </c>
      <c r="T9" s="224" t="s">
        <v>13</v>
      </c>
    </row>
    <row r="10" spans="2:20" hidden="1" x14ac:dyDescent="0.3">
      <c r="B10" s="217" t="s">
        <v>1638</v>
      </c>
      <c r="C10" s="218" t="s">
        <v>414</v>
      </c>
      <c r="D10" s="219" t="s">
        <v>504</v>
      </c>
      <c r="E10" s="214" t="s">
        <v>1545</v>
      </c>
      <c r="F10" s="214">
        <f>VLOOKUP(B10,'[1]Plano GD - SC1'!$A:$F,6,0)</f>
        <v>2</v>
      </c>
      <c r="G10" s="224" t="s">
        <v>1574</v>
      </c>
      <c r="H10" s="225">
        <v>0</v>
      </c>
      <c r="I10" s="89">
        <v>1</v>
      </c>
      <c r="J10" s="85">
        <v>1</v>
      </c>
      <c r="K10" s="225" t="s">
        <v>1534</v>
      </c>
      <c r="L10" s="85">
        <v>0</v>
      </c>
      <c r="M10" s="85">
        <v>0.5</v>
      </c>
      <c r="N10" s="85">
        <v>1</v>
      </c>
      <c r="O10" s="89">
        <v>2.5</v>
      </c>
      <c r="P10" s="226" t="s">
        <v>1702</v>
      </c>
      <c r="Q10">
        <f>VLOOKUP(B10,'[1]Plano GD - SC1'!$A:$F,6,0)</f>
        <v>2</v>
      </c>
      <c r="R10">
        <f>IFERROR(VLOOKUP(B10,'[1]Plano GD - SCB 1'!$A:$F,6,0),0)</f>
        <v>2</v>
      </c>
      <c r="S10">
        <f>IFERROR(VLOOKUP(B10,'[1]Plano GD - SCB 2'!$A:$F,6,0),0)</f>
        <v>0</v>
      </c>
      <c r="T10" s="224" t="s">
        <v>13</v>
      </c>
    </row>
    <row r="11" spans="2:20" hidden="1" x14ac:dyDescent="0.3">
      <c r="B11" s="217" t="s">
        <v>1639</v>
      </c>
      <c r="C11" s="218" t="s">
        <v>414</v>
      </c>
      <c r="D11" s="219" t="s">
        <v>528</v>
      </c>
      <c r="E11" s="214" t="s">
        <v>1545</v>
      </c>
      <c r="F11" s="214">
        <f>VLOOKUP(B11,'[1]Plano GD - SC1'!$A:$F,6,0)</f>
        <v>2</v>
      </c>
      <c r="G11" s="224" t="s">
        <v>1574</v>
      </c>
      <c r="H11" s="225">
        <v>0</v>
      </c>
      <c r="I11" s="89">
        <v>1</v>
      </c>
      <c r="J11" s="85">
        <v>1</v>
      </c>
      <c r="K11" s="225" t="s">
        <v>1534</v>
      </c>
      <c r="L11" s="85">
        <v>0</v>
      </c>
      <c r="M11" s="85">
        <v>0.5</v>
      </c>
      <c r="N11" s="85">
        <v>1</v>
      </c>
      <c r="O11" s="89">
        <v>2.5</v>
      </c>
      <c r="P11" s="226" t="s">
        <v>1702</v>
      </c>
      <c r="Q11">
        <f>VLOOKUP(B11,'[1]Plano GD - SC1'!$A:$F,6,0)</f>
        <v>2</v>
      </c>
      <c r="R11">
        <f>IFERROR(VLOOKUP(B11,'[1]Plano GD - SCB 1'!$A:$F,6,0),0)</f>
        <v>2</v>
      </c>
      <c r="S11">
        <f>IFERROR(VLOOKUP(B11,'[1]Plano GD - SCB 2'!$A:$F,6,0),0)</f>
        <v>0</v>
      </c>
      <c r="T11" s="224" t="s">
        <v>13</v>
      </c>
    </row>
    <row r="12" spans="2:20" hidden="1" x14ac:dyDescent="0.3">
      <c r="B12" s="217" t="s">
        <v>1640</v>
      </c>
      <c r="C12" s="218" t="s">
        <v>414</v>
      </c>
      <c r="D12" s="220" t="s">
        <v>560</v>
      </c>
      <c r="E12" s="214" t="s">
        <v>1545</v>
      </c>
      <c r="F12" s="214">
        <f>VLOOKUP(B12,'[1]Plano GD - SC1'!$A:$F,6,0)</f>
        <v>2</v>
      </c>
      <c r="G12" s="224" t="s">
        <v>1574</v>
      </c>
      <c r="H12" s="225">
        <v>0</v>
      </c>
      <c r="I12" s="89">
        <v>1</v>
      </c>
      <c r="J12" s="85">
        <v>1</v>
      </c>
      <c r="K12" s="225" t="s">
        <v>1534</v>
      </c>
      <c r="L12" s="85">
        <v>0</v>
      </c>
      <c r="M12" s="85">
        <v>0.5</v>
      </c>
      <c r="N12" s="85">
        <v>1</v>
      </c>
      <c r="O12" s="89">
        <v>2.5</v>
      </c>
      <c r="P12" s="226" t="s">
        <v>1702</v>
      </c>
      <c r="Q12">
        <f>VLOOKUP(B12,'[1]Plano GD - SC1'!$A:$F,6,0)</f>
        <v>2</v>
      </c>
      <c r="R12">
        <f>IFERROR(VLOOKUP(B12,'[1]Plano GD - SCB 1'!$A:$F,6,0),0)</f>
        <v>2</v>
      </c>
      <c r="S12">
        <f>IFERROR(VLOOKUP(B12,'[1]Plano GD - SCB 2'!$A:$F,6,0),0)</f>
        <v>0</v>
      </c>
      <c r="T12" s="224" t="s">
        <v>13</v>
      </c>
    </row>
    <row r="13" spans="2:20" hidden="1" x14ac:dyDescent="0.3">
      <c r="B13" s="217" t="s">
        <v>1641</v>
      </c>
      <c r="C13" s="218" t="s">
        <v>414</v>
      </c>
      <c r="D13" s="219" t="s">
        <v>575</v>
      </c>
      <c r="E13" s="214" t="s">
        <v>1545</v>
      </c>
      <c r="F13" s="214">
        <f>VLOOKUP(B13,'[1]Plano GD - SC1'!$A:$F,6,0)</f>
        <v>2</v>
      </c>
      <c r="G13" s="224" t="s">
        <v>1574</v>
      </c>
      <c r="H13" s="225">
        <v>0</v>
      </c>
      <c r="I13" s="89">
        <v>1</v>
      </c>
      <c r="J13" s="85">
        <v>1</v>
      </c>
      <c r="K13" s="85" t="s">
        <v>1534</v>
      </c>
      <c r="L13" s="85">
        <v>0</v>
      </c>
      <c r="M13" s="85">
        <v>0.5</v>
      </c>
      <c r="N13" s="85">
        <v>1</v>
      </c>
      <c r="O13" s="89">
        <v>2.5</v>
      </c>
      <c r="P13" s="226" t="s">
        <v>1702</v>
      </c>
      <c r="Q13">
        <f>VLOOKUP(B13,'[1]Plano GD - SC1'!$A:$F,6,0)</f>
        <v>2</v>
      </c>
      <c r="R13">
        <f>IFERROR(VLOOKUP(B13,'[1]Plano GD - SCB 1'!$A:$F,6,0),0)</f>
        <v>2</v>
      </c>
      <c r="S13">
        <f>IFERROR(VLOOKUP(B13,'[1]Plano GD - SCB 2'!$A:$F,6,0),0)</f>
        <v>0</v>
      </c>
      <c r="T13" s="224" t="s">
        <v>13</v>
      </c>
    </row>
    <row r="14" spans="2:20" hidden="1" x14ac:dyDescent="0.3">
      <c r="B14" s="217" t="s">
        <v>1642</v>
      </c>
      <c r="C14" s="218" t="s">
        <v>414</v>
      </c>
      <c r="D14" s="219" t="s">
        <v>578</v>
      </c>
      <c r="E14" s="214" t="s">
        <v>1545</v>
      </c>
      <c r="F14" s="214">
        <f>VLOOKUP(B14,'[1]Plano GD - SC1'!$A:$F,6,0)</f>
        <v>2</v>
      </c>
      <c r="G14" s="224" t="s">
        <v>1574</v>
      </c>
      <c r="H14" s="225">
        <v>0</v>
      </c>
      <c r="I14" s="89">
        <v>1</v>
      </c>
      <c r="J14" s="85">
        <v>1</v>
      </c>
      <c r="K14" s="85" t="s">
        <v>1534</v>
      </c>
      <c r="L14" s="85">
        <v>0</v>
      </c>
      <c r="M14" s="85">
        <v>0.5</v>
      </c>
      <c r="N14" s="85">
        <v>1</v>
      </c>
      <c r="O14" s="89">
        <v>2.5</v>
      </c>
      <c r="P14" s="226" t="s">
        <v>1702</v>
      </c>
      <c r="Q14">
        <f>VLOOKUP(B14,'[1]Plano GD - SC1'!$A:$F,6,0)</f>
        <v>2</v>
      </c>
      <c r="R14">
        <f>IFERROR(VLOOKUP(B14,'[1]Plano GD - SCB 1'!$A:$F,6,0),0)</f>
        <v>2</v>
      </c>
      <c r="S14">
        <f>IFERROR(VLOOKUP(B14,'[1]Plano GD - SCB 2'!$A:$F,6,0),0)</f>
        <v>0</v>
      </c>
      <c r="T14" s="224" t="s">
        <v>13</v>
      </c>
    </row>
    <row r="15" spans="2:20" hidden="1" x14ac:dyDescent="0.3">
      <c r="B15" s="217" t="s">
        <v>1643</v>
      </c>
      <c r="C15" s="218" t="s">
        <v>414</v>
      </c>
      <c r="D15" s="220" t="s">
        <v>581</v>
      </c>
      <c r="E15" s="214" t="s">
        <v>1545</v>
      </c>
      <c r="F15" s="214">
        <f>VLOOKUP(B15,'[1]Plano GD - SC1'!$A:$F,6,0)</f>
        <v>2</v>
      </c>
      <c r="G15" s="224" t="s">
        <v>1574</v>
      </c>
      <c r="H15" s="225">
        <v>0</v>
      </c>
      <c r="I15" s="89">
        <v>1</v>
      </c>
      <c r="J15" s="85">
        <v>1</v>
      </c>
      <c r="K15" s="225" t="s">
        <v>1534</v>
      </c>
      <c r="L15" s="85">
        <v>0</v>
      </c>
      <c r="M15" s="85">
        <v>0.5</v>
      </c>
      <c r="N15" s="85">
        <v>1</v>
      </c>
      <c r="O15" s="89">
        <v>2.5</v>
      </c>
      <c r="P15" s="226" t="s">
        <v>1702</v>
      </c>
      <c r="Q15">
        <f>VLOOKUP(B15,'[1]Plano GD - SC1'!$A:$F,6,0)</f>
        <v>2</v>
      </c>
      <c r="R15">
        <f>IFERROR(VLOOKUP(B15,'[1]Plano GD - SCB 1'!$A:$F,6,0),0)</f>
        <v>2</v>
      </c>
      <c r="S15">
        <f>IFERROR(VLOOKUP(B15,'[1]Plano GD - SCB 2'!$A:$F,6,0),0)</f>
        <v>0</v>
      </c>
      <c r="T15" s="224" t="s">
        <v>13</v>
      </c>
    </row>
    <row r="16" spans="2:20" hidden="1" x14ac:dyDescent="0.3">
      <c r="B16" s="217" t="s">
        <v>1644</v>
      </c>
      <c r="C16" s="218" t="s">
        <v>414</v>
      </c>
      <c r="D16" s="219" t="s">
        <v>590</v>
      </c>
      <c r="E16" s="214" t="s">
        <v>1545</v>
      </c>
      <c r="F16" s="214">
        <f>VLOOKUP(B16,'[1]Plano GD - SC1'!$A:$F,6,0)</f>
        <v>2</v>
      </c>
      <c r="G16" s="224" t="s">
        <v>1574</v>
      </c>
      <c r="H16" s="89">
        <v>1</v>
      </c>
      <c r="I16" s="89">
        <v>1</v>
      </c>
      <c r="J16" s="85">
        <v>1</v>
      </c>
      <c r="K16" s="85" t="s">
        <v>1534</v>
      </c>
      <c r="L16" s="85">
        <v>0</v>
      </c>
      <c r="M16" s="85">
        <v>0.5</v>
      </c>
      <c r="N16" s="85">
        <v>1</v>
      </c>
      <c r="O16" s="89">
        <v>2.5</v>
      </c>
      <c r="P16" s="226" t="s">
        <v>1702</v>
      </c>
      <c r="Q16">
        <f>VLOOKUP(B16,'[1]Plano GD - SC1'!$A:$F,6,0)</f>
        <v>2</v>
      </c>
      <c r="R16">
        <f>IFERROR(VLOOKUP(B16,'[1]Plano GD - SCB 1'!$A:$F,6,0),0)</f>
        <v>2</v>
      </c>
      <c r="S16">
        <f>IFERROR(VLOOKUP(B16,'[1]Plano GD - SCB 2'!$A:$F,6,0),0)</f>
        <v>0</v>
      </c>
      <c r="T16" s="224" t="s">
        <v>11</v>
      </c>
    </row>
    <row r="17" spans="2:20" hidden="1" x14ac:dyDescent="0.3">
      <c r="B17" s="217" t="s">
        <v>1645</v>
      </c>
      <c r="C17" s="218" t="s">
        <v>414</v>
      </c>
      <c r="D17" s="219" t="s">
        <v>617</v>
      </c>
      <c r="E17" s="214" t="s">
        <v>1545</v>
      </c>
      <c r="F17" s="214">
        <f>VLOOKUP(B17,'[1]Plano GD - SC1'!$A:$F,6,0)</f>
        <v>2</v>
      </c>
      <c r="G17" s="224" t="s">
        <v>1574</v>
      </c>
      <c r="H17" s="89">
        <v>1</v>
      </c>
      <c r="I17" s="89">
        <v>1</v>
      </c>
      <c r="J17" s="85">
        <v>1</v>
      </c>
      <c r="K17" s="85" t="s">
        <v>1534</v>
      </c>
      <c r="L17" s="85">
        <v>0</v>
      </c>
      <c r="M17" s="85">
        <v>0.5</v>
      </c>
      <c r="N17" s="85">
        <v>1</v>
      </c>
      <c r="O17" s="89">
        <v>2.5</v>
      </c>
      <c r="P17" s="226" t="s">
        <v>1702</v>
      </c>
      <c r="Q17">
        <f>VLOOKUP(B17,'[1]Plano GD - SC1'!$A:$F,6,0)</f>
        <v>2</v>
      </c>
      <c r="R17">
        <f>IFERROR(VLOOKUP(B17,'[1]Plano GD - SCB 1'!$A:$F,6,0),0)</f>
        <v>2</v>
      </c>
      <c r="S17">
        <f>IFERROR(VLOOKUP(B17,'[1]Plano GD - SCB 2'!$A:$F,6,0),0)</f>
        <v>0</v>
      </c>
      <c r="T17" s="224" t="s">
        <v>11</v>
      </c>
    </row>
    <row r="18" spans="2:20" hidden="1" x14ac:dyDescent="0.3">
      <c r="B18" s="217" t="s">
        <v>1646</v>
      </c>
      <c r="C18" s="218" t="s">
        <v>414</v>
      </c>
      <c r="D18" s="219" t="s">
        <v>629</v>
      </c>
      <c r="E18" s="214" t="s">
        <v>1545</v>
      </c>
      <c r="F18" s="214">
        <f>VLOOKUP(B18,'[1]Plano GD - SC1'!$A:$F,6,0)</f>
        <v>2</v>
      </c>
      <c r="G18" s="224" t="s">
        <v>1574</v>
      </c>
      <c r="H18" s="225">
        <v>0</v>
      </c>
      <c r="I18" s="89">
        <v>1</v>
      </c>
      <c r="J18" s="85">
        <v>1</v>
      </c>
      <c r="K18" s="85" t="s">
        <v>1534</v>
      </c>
      <c r="L18" s="85">
        <v>0</v>
      </c>
      <c r="M18" s="85">
        <v>0.5</v>
      </c>
      <c r="N18" s="85">
        <v>1</v>
      </c>
      <c r="O18" s="89">
        <v>2.5</v>
      </c>
      <c r="P18" s="226" t="s">
        <v>1702</v>
      </c>
      <c r="Q18">
        <f>VLOOKUP(B18,'[1]Plano GD - SC1'!$A:$F,6,0)</f>
        <v>2</v>
      </c>
      <c r="R18">
        <f>IFERROR(VLOOKUP(B18,'[1]Plano GD - SCB 1'!$A:$F,6,0),0)</f>
        <v>2</v>
      </c>
      <c r="S18">
        <f>IFERROR(VLOOKUP(B18,'[1]Plano GD - SCB 2'!$A:$F,6,0),0)</f>
        <v>0</v>
      </c>
      <c r="T18" s="224" t="s">
        <v>13</v>
      </c>
    </row>
    <row r="19" spans="2:20" hidden="1" x14ac:dyDescent="0.3">
      <c r="B19" s="217" t="s">
        <v>1647</v>
      </c>
      <c r="C19" s="218" t="s">
        <v>414</v>
      </c>
      <c r="D19" s="219" t="s">
        <v>641</v>
      </c>
      <c r="E19" s="214" t="s">
        <v>1545</v>
      </c>
      <c r="F19" s="214">
        <f>VLOOKUP(B19,'[1]Plano GD - SC1'!$A:$F,6,0)</f>
        <v>2</v>
      </c>
      <c r="G19" s="224" t="s">
        <v>1574</v>
      </c>
      <c r="H19" s="225">
        <v>0</v>
      </c>
      <c r="I19" s="89">
        <v>1</v>
      </c>
      <c r="J19" s="85">
        <v>1</v>
      </c>
      <c r="K19" s="85" t="s">
        <v>1534</v>
      </c>
      <c r="L19" s="85">
        <v>0</v>
      </c>
      <c r="M19" s="85">
        <v>0.5</v>
      </c>
      <c r="N19" s="85">
        <v>1</v>
      </c>
      <c r="O19" s="89">
        <v>2.5</v>
      </c>
      <c r="P19" s="226" t="s">
        <v>1702</v>
      </c>
      <c r="Q19">
        <f>VLOOKUP(B19,'[1]Plano GD - SC1'!$A:$F,6,0)</f>
        <v>2</v>
      </c>
      <c r="R19">
        <f>IFERROR(VLOOKUP(B19,'[1]Plano GD - SCB 1'!$A:$F,6,0),0)</f>
        <v>2</v>
      </c>
      <c r="S19">
        <f>IFERROR(VLOOKUP(B19,'[1]Plano GD - SCB 2'!$A:$F,6,0),0)</f>
        <v>0</v>
      </c>
      <c r="T19" s="224" t="s">
        <v>13</v>
      </c>
    </row>
    <row r="20" spans="2:20" hidden="1" x14ac:dyDescent="0.3">
      <c r="B20" s="217" t="s">
        <v>1648</v>
      </c>
      <c r="C20" s="218" t="s">
        <v>414</v>
      </c>
      <c r="D20" s="219" t="s">
        <v>650</v>
      </c>
      <c r="E20" s="214" t="s">
        <v>1545</v>
      </c>
      <c r="F20" s="214">
        <f>VLOOKUP(B20,'[1]Plano GD - SC1'!$A:$F,6,0)</f>
        <v>2</v>
      </c>
      <c r="G20" s="224" t="s">
        <v>1574</v>
      </c>
      <c r="H20" s="225">
        <v>0</v>
      </c>
      <c r="I20" s="89">
        <v>1</v>
      </c>
      <c r="J20" s="85">
        <v>1</v>
      </c>
      <c r="K20" s="85" t="s">
        <v>1534</v>
      </c>
      <c r="L20" s="85">
        <v>0</v>
      </c>
      <c r="M20" s="85">
        <v>0.5</v>
      </c>
      <c r="N20" s="85">
        <v>1</v>
      </c>
      <c r="O20" s="89">
        <v>2.5</v>
      </c>
      <c r="P20" s="226" t="s">
        <v>1702</v>
      </c>
      <c r="Q20">
        <f>VLOOKUP(B20,'[1]Plano GD - SC1'!$A:$F,6,0)</f>
        <v>2</v>
      </c>
      <c r="R20">
        <f>IFERROR(VLOOKUP(B20,'[1]Plano GD - SCB 1'!$A:$F,6,0),0)</f>
        <v>2</v>
      </c>
      <c r="S20">
        <f>IFERROR(VLOOKUP(B20,'[1]Plano GD - SCB 2'!$A:$F,6,0),0)</f>
        <v>0</v>
      </c>
      <c r="T20" s="224" t="s">
        <v>13</v>
      </c>
    </row>
    <row r="21" spans="2:20" hidden="1" x14ac:dyDescent="0.3">
      <c r="B21" s="217" t="s">
        <v>1649</v>
      </c>
      <c r="C21" s="218" t="s">
        <v>414</v>
      </c>
      <c r="D21" s="219" t="s">
        <v>658</v>
      </c>
      <c r="E21" s="214" t="s">
        <v>1545</v>
      </c>
      <c r="F21" s="214">
        <f>VLOOKUP(B21,'[1]Plano GD - SC1'!$A:$F,6,0)</f>
        <v>2</v>
      </c>
      <c r="G21" s="224" t="s">
        <v>1574</v>
      </c>
      <c r="H21" s="225">
        <v>0</v>
      </c>
      <c r="I21" s="89">
        <v>1</v>
      </c>
      <c r="J21" s="85">
        <v>1</v>
      </c>
      <c r="K21" s="85" t="s">
        <v>1534</v>
      </c>
      <c r="L21" s="85">
        <v>0</v>
      </c>
      <c r="M21" s="85">
        <v>0.5</v>
      </c>
      <c r="N21" s="85">
        <v>1</v>
      </c>
      <c r="O21" s="89">
        <v>2.5</v>
      </c>
      <c r="P21" s="226" t="s">
        <v>1702</v>
      </c>
      <c r="Q21">
        <f>VLOOKUP(B21,'[1]Plano GD - SC1'!$A:$F,6,0)</f>
        <v>2</v>
      </c>
      <c r="R21">
        <f>IFERROR(VLOOKUP(B21,'[1]Plano GD - SCB 1'!$A:$F,6,0),0)</f>
        <v>2</v>
      </c>
      <c r="S21">
        <f>IFERROR(VLOOKUP(B21,'[1]Plano GD - SCB 2'!$A:$F,6,0),0)</f>
        <v>0</v>
      </c>
      <c r="T21" s="224" t="s">
        <v>13</v>
      </c>
    </row>
    <row r="22" spans="2:20" hidden="1" x14ac:dyDescent="0.3">
      <c r="B22" s="217" t="s">
        <v>1650</v>
      </c>
      <c r="C22" s="218" t="s">
        <v>414</v>
      </c>
      <c r="D22" s="219" t="s">
        <v>958</v>
      </c>
      <c r="E22" s="214" t="s">
        <v>1545</v>
      </c>
      <c r="F22" s="214">
        <f>VLOOKUP(B22,'[1]Plano GD - SC1'!$A:$F,6,0)</f>
        <v>2</v>
      </c>
      <c r="G22" s="224" t="s">
        <v>1574</v>
      </c>
      <c r="H22" s="225">
        <v>0</v>
      </c>
      <c r="I22" s="89">
        <v>1</v>
      </c>
      <c r="J22" s="85">
        <v>1</v>
      </c>
      <c r="K22" s="85" t="s">
        <v>1534</v>
      </c>
      <c r="L22" s="85">
        <v>0</v>
      </c>
      <c r="M22" s="85">
        <v>0.5</v>
      </c>
      <c r="N22" s="85">
        <v>1</v>
      </c>
      <c r="O22" s="89">
        <v>2.5</v>
      </c>
      <c r="P22" s="226" t="s">
        <v>1702</v>
      </c>
      <c r="Q22">
        <f>VLOOKUP(B22,'[1]Plano GD - SC1'!$A:$F,6,0)</f>
        <v>2</v>
      </c>
      <c r="R22">
        <f>IFERROR(VLOOKUP(B22,'[1]Plano GD - SCB 1'!$A:$F,6,0),0)</f>
        <v>2</v>
      </c>
      <c r="S22">
        <f>IFERROR(VLOOKUP(B22,'[1]Plano GD - SCB 2'!$A:$F,6,0),0)</f>
        <v>0</v>
      </c>
      <c r="T22" s="224" t="s">
        <v>13</v>
      </c>
    </row>
    <row r="23" spans="2:20" hidden="1" x14ac:dyDescent="0.3">
      <c r="B23" s="217" t="s">
        <v>1651</v>
      </c>
      <c r="C23" s="218" t="s">
        <v>414</v>
      </c>
      <c r="D23" s="219" t="s">
        <v>961</v>
      </c>
      <c r="E23" s="214" t="s">
        <v>1545</v>
      </c>
      <c r="F23" s="214">
        <f>VLOOKUP(B23,'[1]Plano GD - SC1'!$A:$F,6,0)</f>
        <v>2</v>
      </c>
      <c r="G23" s="224" t="s">
        <v>1574</v>
      </c>
      <c r="H23" s="225">
        <v>0</v>
      </c>
      <c r="I23" s="89">
        <v>1</v>
      </c>
      <c r="J23" s="85">
        <v>1</v>
      </c>
      <c r="K23" s="85" t="s">
        <v>1534</v>
      </c>
      <c r="L23" s="85">
        <v>0</v>
      </c>
      <c r="M23" s="85">
        <v>0.5</v>
      </c>
      <c r="N23" s="85">
        <v>1</v>
      </c>
      <c r="O23" s="89">
        <v>2.5</v>
      </c>
      <c r="P23" s="226" t="s">
        <v>1702</v>
      </c>
      <c r="Q23">
        <f>VLOOKUP(B23,'[1]Plano GD - SC1'!$A:$F,6,0)</f>
        <v>2</v>
      </c>
      <c r="R23">
        <f>IFERROR(VLOOKUP(B23,'[1]Plano GD - SCB 1'!$A:$F,6,0),0)</f>
        <v>2</v>
      </c>
      <c r="S23">
        <f>IFERROR(VLOOKUP(B23,'[1]Plano GD - SCB 2'!$A:$F,6,0),0)</f>
        <v>0</v>
      </c>
      <c r="T23" s="224" t="s">
        <v>13</v>
      </c>
    </row>
    <row r="24" spans="2:20" hidden="1" x14ac:dyDescent="0.3">
      <c r="B24" s="217" t="s">
        <v>1652</v>
      </c>
      <c r="C24" s="218" t="s">
        <v>414</v>
      </c>
      <c r="D24" s="219" t="s">
        <v>970</v>
      </c>
      <c r="E24" s="214" t="s">
        <v>1546</v>
      </c>
      <c r="F24" s="214">
        <f>VLOOKUP(B24,'[1]Plano GD - SC1'!$A:$F,6,0)</f>
        <v>9.1</v>
      </c>
      <c r="G24" s="224" t="s">
        <v>1546</v>
      </c>
      <c r="H24" s="225">
        <v>0</v>
      </c>
      <c r="I24" s="89">
        <v>3</v>
      </c>
      <c r="J24" s="85">
        <v>3</v>
      </c>
      <c r="K24" s="85" t="s">
        <v>1534</v>
      </c>
      <c r="L24" s="85">
        <v>0</v>
      </c>
      <c r="M24" s="85">
        <v>0.5</v>
      </c>
      <c r="N24" s="85">
        <v>1</v>
      </c>
      <c r="O24" s="89">
        <v>4.5</v>
      </c>
      <c r="P24" s="226" t="s">
        <v>1702</v>
      </c>
      <c r="Q24">
        <f>VLOOKUP(B24,'[1]Plano GD - SC1'!$A:$F,6,0)</f>
        <v>9.1</v>
      </c>
      <c r="R24">
        <f>IFERROR(VLOOKUP(B24,'[1]Plano GD - SCB 1'!$A:$F,6,0),0)</f>
        <v>9.1</v>
      </c>
      <c r="S24">
        <f>IFERROR(VLOOKUP(B24,'[1]Plano GD - SCB 2'!$A:$F,6,0),0)</f>
        <v>0</v>
      </c>
      <c r="T24" s="224" t="s">
        <v>11</v>
      </c>
    </row>
    <row r="25" spans="2:20" hidden="1" x14ac:dyDescent="0.3">
      <c r="B25" s="217" t="s">
        <v>1653</v>
      </c>
      <c r="C25" s="218" t="s">
        <v>414</v>
      </c>
      <c r="D25" s="219" t="s">
        <v>973</v>
      </c>
      <c r="E25" s="214" t="s">
        <v>1546</v>
      </c>
      <c r="F25" s="214">
        <f>VLOOKUP(B25,'[1]Plano GD - SC1'!$A:$F,6,0)</f>
        <v>10.1</v>
      </c>
      <c r="G25" s="224" t="s">
        <v>1577</v>
      </c>
      <c r="H25" s="225">
        <v>0</v>
      </c>
      <c r="I25" s="89">
        <v>8</v>
      </c>
      <c r="J25" s="85">
        <v>3</v>
      </c>
      <c r="K25" s="85" t="s">
        <v>1577</v>
      </c>
      <c r="L25" s="85">
        <v>1</v>
      </c>
      <c r="M25" s="85">
        <v>1</v>
      </c>
      <c r="N25" s="85">
        <v>2</v>
      </c>
      <c r="O25" s="89">
        <v>7</v>
      </c>
      <c r="P25" s="226" t="s">
        <v>1703</v>
      </c>
      <c r="Q25">
        <f>VLOOKUP(B25,'[1]Plano GD - SC1'!$A:$F,6,0)</f>
        <v>10.1</v>
      </c>
      <c r="R25">
        <f>IFERROR(VLOOKUP(B25,'[1]Plano GD - SCB 1'!$A:$F,6,0),0)</f>
        <v>0</v>
      </c>
      <c r="S25">
        <f>IFERROR(VLOOKUP(B25,'[1]Plano GD - SCB 2'!$A:$F,6,0),0)</f>
        <v>10.1</v>
      </c>
      <c r="T25" s="224" t="s">
        <v>11</v>
      </c>
    </row>
    <row r="26" spans="2:20" hidden="1" x14ac:dyDescent="0.3">
      <c r="B26" s="217" t="s">
        <v>1654</v>
      </c>
      <c r="C26" s="218" t="s">
        <v>414</v>
      </c>
      <c r="D26" s="219" t="s">
        <v>976</v>
      </c>
      <c r="E26" s="214" t="s">
        <v>1547</v>
      </c>
      <c r="F26" s="214">
        <f>VLOOKUP(B26,'[1]Plano GD - SC1'!$A:$F,6,0)</f>
        <v>18.100000000000001</v>
      </c>
      <c r="G26" s="224" t="s">
        <v>1547</v>
      </c>
      <c r="H26" s="225">
        <v>0</v>
      </c>
      <c r="I26" s="245">
        <v>8</v>
      </c>
      <c r="J26" s="85">
        <v>6</v>
      </c>
      <c r="K26" s="85" t="s">
        <v>1534</v>
      </c>
      <c r="L26" s="85">
        <v>0</v>
      </c>
      <c r="M26" s="85">
        <v>0.5</v>
      </c>
      <c r="N26" s="85">
        <v>1</v>
      </c>
      <c r="O26" s="245">
        <v>10</v>
      </c>
      <c r="P26" s="226" t="s">
        <v>1703</v>
      </c>
      <c r="Q26">
        <f>VLOOKUP(B26,'[1]Plano GD - SC1'!$A:$F,6,0)</f>
        <v>18.100000000000001</v>
      </c>
      <c r="R26">
        <f>IFERROR(VLOOKUP(B26,'[1]Plano GD - SCB 1'!$A:$F,6,0),0)</f>
        <v>0</v>
      </c>
      <c r="S26">
        <f>IFERROR(VLOOKUP(B26,'[1]Plano GD - SCB 2'!$A:$F,6,0),0)</f>
        <v>18.100000000000001</v>
      </c>
      <c r="T26" s="224" t="s">
        <v>11</v>
      </c>
    </row>
    <row r="27" spans="2:20" hidden="1" x14ac:dyDescent="0.3">
      <c r="B27" s="217" t="s">
        <v>1655</v>
      </c>
      <c r="C27" s="218" t="s">
        <v>414</v>
      </c>
      <c r="D27" s="219" t="s">
        <v>979</v>
      </c>
      <c r="E27" s="214" t="s">
        <v>1547</v>
      </c>
      <c r="F27" s="214">
        <f>VLOOKUP(B27,'[1]Plano GD - SC1'!$A:$F,6,0)</f>
        <v>18.100000000000001</v>
      </c>
      <c r="G27" s="224" t="s">
        <v>1547</v>
      </c>
      <c r="H27" s="225">
        <v>0</v>
      </c>
      <c r="I27" s="245">
        <v>8</v>
      </c>
      <c r="J27" s="85">
        <v>6</v>
      </c>
      <c r="K27" s="85" t="s">
        <v>1534</v>
      </c>
      <c r="L27" s="85">
        <v>0</v>
      </c>
      <c r="M27" s="85">
        <v>0.5</v>
      </c>
      <c r="N27" s="85">
        <v>1</v>
      </c>
      <c r="O27" s="245">
        <v>10</v>
      </c>
      <c r="P27" s="226" t="s">
        <v>1703</v>
      </c>
      <c r="Q27">
        <f>VLOOKUP(B27,'[1]Plano GD - SC1'!$A:$F,6,0)</f>
        <v>18.100000000000001</v>
      </c>
      <c r="R27">
        <f>IFERROR(VLOOKUP(B27,'[1]Plano GD - SCB 1'!$A:$F,6,0),0)</f>
        <v>0</v>
      </c>
      <c r="S27">
        <f>IFERROR(VLOOKUP(B27,'[1]Plano GD - SCB 2'!$A:$F,6,0),0)</f>
        <v>18.100000000000001</v>
      </c>
      <c r="T27" s="224" t="s">
        <v>11</v>
      </c>
    </row>
    <row r="28" spans="2:20" hidden="1" x14ac:dyDescent="0.3">
      <c r="B28" s="217" t="s">
        <v>1656</v>
      </c>
      <c r="C28" s="218" t="s">
        <v>414</v>
      </c>
      <c r="D28" s="219" t="s">
        <v>982</v>
      </c>
      <c r="E28" s="214" t="s">
        <v>1547</v>
      </c>
      <c r="F28" s="214">
        <f>VLOOKUP(B28,'[1]Plano GD - SC1'!$A:$F,6,0)</f>
        <v>18.100000000000001</v>
      </c>
      <c r="G28" s="224" t="s">
        <v>1546</v>
      </c>
      <c r="H28" s="225">
        <v>0</v>
      </c>
      <c r="I28" s="89">
        <v>3</v>
      </c>
      <c r="J28" s="85">
        <v>3</v>
      </c>
      <c r="K28" s="85" t="s">
        <v>1534</v>
      </c>
      <c r="L28" s="85">
        <v>0</v>
      </c>
      <c r="M28" s="85">
        <v>0.5</v>
      </c>
      <c r="N28" s="85">
        <v>1</v>
      </c>
      <c r="O28" s="89">
        <v>4.5</v>
      </c>
      <c r="P28" s="226" t="s">
        <v>1702</v>
      </c>
      <c r="Q28">
        <f>VLOOKUP(B28,'[1]Plano GD - SC1'!$A:$F,6,0)</f>
        <v>18.100000000000001</v>
      </c>
      <c r="R28">
        <f>IFERROR(VLOOKUP(B28,'[1]Plano GD - SCB 1'!$A:$F,6,0),0)</f>
        <v>18.100000000000001</v>
      </c>
      <c r="S28">
        <f>IFERROR(VLOOKUP(B28,'[1]Plano GD - SCB 2'!$A:$F,6,0),0)</f>
        <v>0</v>
      </c>
      <c r="T28" s="224" t="s">
        <v>11</v>
      </c>
    </row>
    <row r="29" spans="2:20" hidden="1" x14ac:dyDescent="0.3">
      <c r="B29" s="217" t="s">
        <v>1657</v>
      </c>
      <c r="C29" s="218" t="s">
        <v>414</v>
      </c>
      <c r="D29" s="219" t="s">
        <v>985</v>
      </c>
      <c r="E29" s="214" t="s">
        <v>1546</v>
      </c>
      <c r="F29" s="214">
        <f>VLOOKUP(B29,'[1]Plano GD - SC1'!$A:$F,6,0)</f>
        <v>9.1</v>
      </c>
      <c r="G29" s="224" t="s">
        <v>1546</v>
      </c>
      <c r="H29" s="225">
        <v>0</v>
      </c>
      <c r="I29" s="89">
        <v>3</v>
      </c>
      <c r="J29" s="85">
        <v>3</v>
      </c>
      <c r="K29" s="85" t="s">
        <v>1534</v>
      </c>
      <c r="L29" s="85">
        <v>0</v>
      </c>
      <c r="M29" s="85">
        <v>0.5</v>
      </c>
      <c r="N29" s="85">
        <v>1</v>
      </c>
      <c r="O29" s="89">
        <v>4.5</v>
      </c>
      <c r="P29" s="226" t="s">
        <v>1702</v>
      </c>
      <c r="Q29">
        <f>VLOOKUP(B29,'[1]Plano GD - SC1'!$A:$F,6,0)</f>
        <v>9.1</v>
      </c>
      <c r="R29">
        <f>IFERROR(VLOOKUP(B29,'[1]Plano GD - SCB 1'!$A:$F,6,0),0)</f>
        <v>9.1</v>
      </c>
      <c r="S29">
        <f>IFERROR(VLOOKUP(B29,'[1]Plano GD - SCB 2'!$A:$F,6,0),0)</f>
        <v>0</v>
      </c>
      <c r="T29" s="224" t="s">
        <v>11</v>
      </c>
    </row>
    <row r="30" spans="2:20" hidden="1" x14ac:dyDescent="0.3">
      <c r="B30" s="217" t="s">
        <v>1658</v>
      </c>
      <c r="C30" s="218" t="s">
        <v>414</v>
      </c>
      <c r="D30" s="219" t="s">
        <v>988</v>
      </c>
      <c r="E30" s="214" t="s">
        <v>1547</v>
      </c>
      <c r="F30" s="214">
        <f>VLOOKUP(B30,'[1]Plano GD - SC1'!$A:$F,6,0)</f>
        <v>18.100000000000001</v>
      </c>
      <c r="G30" s="245" t="s">
        <v>1577</v>
      </c>
      <c r="H30" s="225">
        <v>0</v>
      </c>
      <c r="I30" s="245">
        <v>15</v>
      </c>
      <c r="J30" s="85">
        <v>6</v>
      </c>
      <c r="K30" s="85" t="s">
        <v>1547</v>
      </c>
      <c r="L30" s="85">
        <v>0.5</v>
      </c>
      <c r="M30" s="85">
        <v>0.5</v>
      </c>
      <c r="N30" s="85">
        <v>1</v>
      </c>
      <c r="O30" s="245">
        <v>20</v>
      </c>
      <c r="P30" s="226" t="s">
        <v>1702</v>
      </c>
      <c r="Q30">
        <f>VLOOKUP(B30,'[1]Plano GD - SC1'!$A:$F,6,0)</f>
        <v>18.100000000000001</v>
      </c>
      <c r="R30">
        <f>IFERROR(VLOOKUP(B30,'[1]Plano GD - SCB 1'!$A:$F,6,0),0)</f>
        <v>18.100000000000001</v>
      </c>
      <c r="S30">
        <f>IFERROR(VLOOKUP(B30,'[1]Plano GD - SCB 2'!$A:$F,6,0),0)</f>
        <v>0</v>
      </c>
      <c r="T30" s="224" t="s">
        <v>11</v>
      </c>
    </row>
    <row r="31" spans="2:20" hidden="1" x14ac:dyDescent="0.3">
      <c r="B31" s="217" t="s">
        <v>1659</v>
      </c>
      <c r="C31" s="218" t="s">
        <v>414</v>
      </c>
      <c r="D31" s="220" t="s">
        <v>991</v>
      </c>
      <c r="E31" s="214" t="s">
        <v>1546</v>
      </c>
      <c r="F31" s="214">
        <f>VLOOKUP(B31,'[1]Plano GD - SC1'!$A:$F,6,0)</f>
        <v>10.1</v>
      </c>
      <c r="G31" s="224" t="s">
        <v>1547</v>
      </c>
      <c r="H31" s="225">
        <v>0</v>
      </c>
      <c r="I31" s="245">
        <v>8</v>
      </c>
      <c r="J31" s="85">
        <v>6</v>
      </c>
      <c r="K31" s="85" t="s">
        <v>1547</v>
      </c>
      <c r="L31" s="85">
        <v>0.5</v>
      </c>
      <c r="M31" s="85">
        <v>0.5</v>
      </c>
      <c r="N31" s="85">
        <v>1</v>
      </c>
      <c r="O31" s="245">
        <v>10</v>
      </c>
      <c r="P31" s="226" t="s">
        <v>1702</v>
      </c>
      <c r="Q31">
        <f>VLOOKUP(B31,'[1]Plano GD - SC1'!$A:$F,6,0)</f>
        <v>10.1</v>
      </c>
      <c r="R31">
        <f>IFERROR(VLOOKUP(B31,'[1]Plano GD - SCB 1'!$A:$F,6,0),0)</f>
        <v>10.1</v>
      </c>
      <c r="S31">
        <f>IFERROR(VLOOKUP(B31,'[1]Plano GD - SCB 2'!$A:$F,6,0),0)</f>
        <v>0</v>
      </c>
      <c r="T31" s="224" t="s">
        <v>11</v>
      </c>
    </row>
    <row r="32" spans="2:20" hidden="1" x14ac:dyDescent="0.3">
      <c r="B32" s="217" t="s">
        <v>1660</v>
      </c>
      <c r="C32" s="218" t="s">
        <v>414</v>
      </c>
      <c r="D32" s="219" t="s">
        <v>994</v>
      </c>
      <c r="E32" s="214" t="s">
        <v>1547</v>
      </c>
      <c r="F32" s="214">
        <f>VLOOKUP(B32,'[1]Plano GD - SC1'!$A:$F,6,0)</f>
        <v>18.100000000000001</v>
      </c>
      <c r="G32" s="224" t="s">
        <v>1546</v>
      </c>
      <c r="H32" s="225">
        <v>0</v>
      </c>
      <c r="I32" s="89">
        <v>3</v>
      </c>
      <c r="J32" s="85">
        <v>3</v>
      </c>
      <c r="K32" s="85" t="s">
        <v>1534</v>
      </c>
      <c r="L32" s="85">
        <v>0</v>
      </c>
      <c r="M32" s="85">
        <v>0.5</v>
      </c>
      <c r="N32" s="85">
        <v>1</v>
      </c>
      <c r="O32" s="89">
        <v>4.5</v>
      </c>
      <c r="P32" s="226" t="s">
        <v>1702</v>
      </c>
      <c r="Q32">
        <f>VLOOKUP(B32,'[1]Plano GD - SC1'!$A:$F,6,0)</f>
        <v>18.100000000000001</v>
      </c>
      <c r="R32">
        <f>IFERROR(VLOOKUP(B32,'[1]Plano GD - SCB 1'!$A:$F,6,0),0)</f>
        <v>18.100000000000001</v>
      </c>
      <c r="S32">
        <f>IFERROR(VLOOKUP(B32,'[1]Plano GD - SCB 2'!$A:$F,6,0),0)</f>
        <v>0</v>
      </c>
      <c r="T32" s="224" t="s">
        <v>11</v>
      </c>
    </row>
    <row r="33" spans="2:20" hidden="1" x14ac:dyDescent="0.3">
      <c r="B33" s="217" t="s">
        <v>1661</v>
      </c>
      <c r="C33" s="218" t="s">
        <v>414</v>
      </c>
      <c r="D33" s="219" t="s">
        <v>997</v>
      </c>
      <c r="E33" s="214" t="s">
        <v>1547</v>
      </c>
      <c r="F33" s="214">
        <f>VLOOKUP(B33,'[1]Plano GD - SC1'!$A:$F,6,0)</f>
        <v>18.100000000000001</v>
      </c>
      <c r="G33" s="224" t="s">
        <v>1546</v>
      </c>
      <c r="H33" s="225">
        <v>0</v>
      </c>
      <c r="I33" s="89">
        <v>3</v>
      </c>
      <c r="J33" s="85">
        <v>3</v>
      </c>
      <c r="K33" s="85" t="s">
        <v>1534</v>
      </c>
      <c r="L33" s="85">
        <v>0</v>
      </c>
      <c r="M33" s="85">
        <v>0.5</v>
      </c>
      <c r="N33" s="85">
        <v>1</v>
      </c>
      <c r="O33" s="89">
        <v>4.5</v>
      </c>
      <c r="P33" s="226" t="s">
        <v>1702</v>
      </c>
      <c r="Q33">
        <f>VLOOKUP(B33,'[1]Plano GD - SC1'!$A:$F,6,0)</f>
        <v>18.100000000000001</v>
      </c>
      <c r="R33">
        <f>IFERROR(VLOOKUP(B33,'[1]Plano GD - SCB 1'!$A:$F,6,0),0)</f>
        <v>18.100000000000001</v>
      </c>
      <c r="S33">
        <f>IFERROR(VLOOKUP(B33,'[1]Plano GD - SCB 2'!$A:$F,6,0),0)</f>
        <v>0</v>
      </c>
      <c r="T33" s="224" t="s">
        <v>11</v>
      </c>
    </row>
    <row r="34" spans="2:20" hidden="1" x14ac:dyDescent="0.3">
      <c r="B34" s="217" t="s">
        <v>1662</v>
      </c>
      <c r="C34" s="218" t="s">
        <v>414</v>
      </c>
      <c r="D34" s="219" t="s">
        <v>1000</v>
      </c>
      <c r="E34" s="214" t="s">
        <v>1545</v>
      </c>
      <c r="F34" s="214">
        <f>VLOOKUP(B34,'[1]Plano GD - SC1'!$A:$F,6,0)</f>
        <v>2</v>
      </c>
      <c r="G34" s="224" t="s">
        <v>1574</v>
      </c>
      <c r="H34" s="225">
        <v>0</v>
      </c>
      <c r="I34" s="89">
        <v>1</v>
      </c>
      <c r="J34" s="85">
        <v>1</v>
      </c>
      <c r="K34" s="85" t="s">
        <v>1574</v>
      </c>
      <c r="L34" s="85">
        <v>0.5</v>
      </c>
      <c r="M34" s="85">
        <v>0.5</v>
      </c>
      <c r="N34" s="85">
        <v>1</v>
      </c>
      <c r="O34" s="89">
        <v>3</v>
      </c>
      <c r="P34" s="226" t="s">
        <v>1702</v>
      </c>
      <c r="Q34">
        <f>VLOOKUP(B34,'[1]Plano GD - SC1'!$A:$F,6,0)</f>
        <v>2</v>
      </c>
      <c r="R34">
        <f>IFERROR(VLOOKUP(B34,'[1]Plano GD - SCB 1'!$A:$F,6,0),0)</f>
        <v>2</v>
      </c>
      <c r="S34">
        <f>IFERROR(VLOOKUP(B34,'[1]Plano GD - SCB 2'!$A:$F,6,0),0)</f>
        <v>0</v>
      </c>
      <c r="T34" s="224" t="s">
        <v>13</v>
      </c>
    </row>
    <row r="35" spans="2:20" hidden="1" x14ac:dyDescent="0.3">
      <c r="B35" s="217" t="s">
        <v>1663</v>
      </c>
      <c r="C35" s="218" t="s">
        <v>414</v>
      </c>
      <c r="D35" s="219" t="s">
        <v>1003</v>
      </c>
      <c r="E35" s="214" t="s">
        <v>1545</v>
      </c>
      <c r="F35" s="214">
        <f>VLOOKUP(B35,'[1]Plano GD - SC1'!$A:$F,6,0)</f>
        <v>2</v>
      </c>
      <c r="G35" s="224" t="s">
        <v>1574</v>
      </c>
      <c r="H35" s="225">
        <v>0</v>
      </c>
      <c r="I35" s="89">
        <v>1</v>
      </c>
      <c r="J35" s="85">
        <v>1</v>
      </c>
      <c r="K35" s="85" t="s">
        <v>1574</v>
      </c>
      <c r="L35" s="85">
        <v>0.5</v>
      </c>
      <c r="M35" s="85">
        <v>0.5</v>
      </c>
      <c r="N35" s="85">
        <v>1</v>
      </c>
      <c r="O35" s="89">
        <v>3</v>
      </c>
      <c r="P35" s="226" t="s">
        <v>1702</v>
      </c>
      <c r="Q35">
        <f>VLOOKUP(B35,'[1]Plano GD - SC1'!$A:$F,6,0)</f>
        <v>2</v>
      </c>
      <c r="R35">
        <f>IFERROR(VLOOKUP(B35,'[1]Plano GD - SCB 1'!$A:$F,6,0),0)</f>
        <v>2</v>
      </c>
      <c r="S35">
        <f>IFERROR(VLOOKUP(B35,'[1]Plano GD - SCB 2'!$A:$F,6,0),0)</f>
        <v>0</v>
      </c>
      <c r="T35" s="224" t="s">
        <v>13</v>
      </c>
    </row>
    <row r="36" spans="2:20" hidden="1" x14ac:dyDescent="0.3">
      <c r="B36" s="217" t="s">
        <v>1664</v>
      </c>
      <c r="C36" s="218" t="s">
        <v>414</v>
      </c>
      <c r="D36" s="219" t="s">
        <v>1006</v>
      </c>
      <c r="E36" s="214" t="s">
        <v>1545</v>
      </c>
      <c r="F36" s="214">
        <f>VLOOKUP(B36,'[1]Plano GD - SC1'!$A:$F,6,0)</f>
        <v>2</v>
      </c>
      <c r="G36" s="224" t="s">
        <v>1574</v>
      </c>
      <c r="H36" s="225">
        <v>0</v>
      </c>
      <c r="I36" s="89">
        <v>1</v>
      </c>
      <c r="J36" s="85">
        <v>1</v>
      </c>
      <c r="K36" s="85" t="s">
        <v>1534</v>
      </c>
      <c r="L36" s="85">
        <v>0</v>
      </c>
      <c r="M36" s="85">
        <v>0.5</v>
      </c>
      <c r="N36" s="85">
        <v>1</v>
      </c>
      <c r="O36" s="89">
        <v>2.5</v>
      </c>
      <c r="P36" s="226" t="s">
        <v>1702</v>
      </c>
      <c r="Q36">
        <f>VLOOKUP(B36,'[1]Plano GD - SC1'!$A:$F,6,0)</f>
        <v>2</v>
      </c>
      <c r="R36">
        <f>IFERROR(VLOOKUP(B36,'[1]Plano GD - SCB 1'!$A:$F,6,0),0)</f>
        <v>2</v>
      </c>
      <c r="S36">
        <f>IFERROR(VLOOKUP(B36,'[1]Plano GD - SCB 2'!$A:$F,6,0),0)</f>
        <v>0</v>
      </c>
      <c r="T36" s="224" t="s">
        <v>13</v>
      </c>
    </row>
    <row r="37" spans="2:20" hidden="1" x14ac:dyDescent="0.3">
      <c r="B37" s="217" t="s">
        <v>1665</v>
      </c>
      <c r="C37" s="218" t="s">
        <v>414</v>
      </c>
      <c r="D37" s="219" t="s">
        <v>1009</v>
      </c>
      <c r="E37" s="214" t="s">
        <v>1545</v>
      </c>
      <c r="F37" s="214">
        <f>VLOOKUP(B37,'[1]Plano GD - SC1'!$A:$F,6,0)</f>
        <v>2</v>
      </c>
      <c r="G37" s="224" t="s">
        <v>1574</v>
      </c>
      <c r="H37" s="225">
        <v>0</v>
      </c>
      <c r="I37" s="89">
        <v>1</v>
      </c>
      <c r="J37" s="85">
        <v>1</v>
      </c>
      <c r="K37" s="85" t="s">
        <v>1574</v>
      </c>
      <c r="L37" s="85">
        <v>0.5</v>
      </c>
      <c r="M37" s="85">
        <v>0.5</v>
      </c>
      <c r="N37" s="85">
        <v>1</v>
      </c>
      <c r="O37" s="89">
        <v>3</v>
      </c>
      <c r="P37" s="226" t="s">
        <v>1702</v>
      </c>
      <c r="Q37">
        <f>VLOOKUP(B37,'[1]Plano GD - SC1'!$A:$F,6,0)</f>
        <v>2</v>
      </c>
      <c r="R37">
        <f>IFERROR(VLOOKUP(B37,'[1]Plano GD - SCB 1'!$A:$F,6,0),0)</f>
        <v>2</v>
      </c>
      <c r="S37">
        <f>IFERROR(VLOOKUP(B37,'[1]Plano GD - SCB 2'!$A:$F,6,0),0)</f>
        <v>0</v>
      </c>
      <c r="T37" s="224" t="s">
        <v>13</v>
      </c>
    </row>
    <row r="38" spans="2:20" hidden="1" x14ac:dyDescent="0.3">
      <c r="B38" s="217" t="s">
        <v>1666</v>
      </c>
      <c r="C38" s="218" t="s">
        <v>414</v>
      </c>
      <c r="D38" s="219" t="s">
        <v>1012</v>
      </c>
      <c r="E38" s="214" t="s">
        <v>1546</v>
      </c>
      <c r="F38" s="214">
        <f>VLOOKUP(B38,'[1]Plano GD - SC1'!$A:$F,6,0)</f>
        <v>9.1</v>
      </c>
      <c r="G38" s="224" t="s">
        <v>1546</v>
      </c>
      <c r="H38" s="225">
        <v>0</v>
      </c>
      <c r="I38" s="89">
        <v>3</v>
      </c>
      <c r="J38" s="85">
        <v>3</v>
      </c>
      <c r="K38" s="85" t="s">
        <v>1534</v>
      </c>
      <c r="L38" s="85">
        <v>0</v>
      </c>
      <c r="M38" s="85">
        <v>0.5</v>
      </c>
      <c r="N38" s="85">
        <v>1</v>
      </c>
      <c r="O38" s="89">
        <v>4.5</v>
      </c>
      <c r="P38" s="226" t="s">
        <v>1702</v>
      </c>
      <c r="Q38">
        <f>VLOOKUP(B38,'[1]Plano GD - SC1'!$A:$F,6,0)</f>
        <v>9.1</v>
      </c>
      <c r="R38">
        <f>IFERROR(VLOOKUP(B38,'[1]Plano GD - SCB 1'!$A:$F,6,0),0)</f>
        <v>9.1</v>
      </c>
      <c r="S38">
        <f>IFERROR(VLOOKUP(B38,'[1]Plano GD - SCB 2'!$A:$F,6,0),0)</f>
        <v>0</v>
      </c>
      <c r="T38" s="224" t="s">
        <v>11</v>
      </c>
    </row>
    <row r="39" spans="2:20" hidden="1" x14ac:dyDescent="0.3">
      <c r="B39" s="217" t="s">
        <v>1667</v>
      </c>
      <c r="C39" s="218" t="s">
        <v>414</v>
      </c>
      <c r="D39" s="219" t="s">
        <v>1015</v>
      </c>
      <c r="E39" s="214" t="s">
        <v>1545</v>
      </c>
      <c r="F39" s="214">
        <f>VLOOKUP(B39,'[1]Plano GD - SC1'!$A:$F,6,0)</f>
        <v>2</v>
      </c>
      <c r="G39" s="224" t="s">
        <v>1574</v>
      </c>
      <c r="H39" s="225">
        <v>0</v>
      </c>
      <c r="I39" s="89">
        <v>1</v>
      </c>
      <c r="J39" s="85">
        <v>1</v>
      </c>
      <c r="K39" s="85" t="s">
        <v>1534</v>
      </c>
      <c r="L39" s="85">
        <v>0</v>
      </c>
      <c r="M39" s="85">
        <v>0.5</v>
      </c>
      <c r="N39" s="85">
        <v>1</v>
      </c>
      <c r="O39" s="89">
        <v>2.5</v>
      </c>
      <c r="P39" s="226" t="s">
        <v>1702</v>
      </c>
      <c r="Q39">
        <f>VLOOKUP(B39,'[1]Plano GD - SC1'!$A:$F,6,0)</f>
        <v>2</v>
      </c>
      <c r="R39">
        <f>IFERROR(VLOOKUP(B39,'[1]Plano GD - SCB 1'!$A:$F,6,0),0)</f>
        <v>2</v>
      </c>
      <c r="S39">
        <f>IFERROR(VLOOKUP(B39,'[1]Plano GD - SCB 2'!$A:$F,6,0),0)</f>
        <v>0</v>
      </c>
      <c r="T39" s="224" t="s">
        <v>13</v>
      </c>
    </row>
    <row r="40" spans="2:20" hidden="1" x14ac:dyDescent="0.3">
      <c r="B40" s="217" t="s">
        <v>1668</v>
      </c>
      <c r="C40" s="218" t="s">
        <v>414</v>
      </c>
      <c r="D40" s="219" t="s">
        <v>1018</v>
      </c>
      <c r="E40" s="214" t="s">
        <v>1547</v>
      </c>
      <c r="F40" s="214">
        <f>VLOOKUP(B40,'[1]Plano GD - SC1'!$A:$F,6,0)</f>
        <v>18.100000000000001</v>
      </c>
      <c r="G40" s="224" t="s">
        <v>1547</v>
      </c>
      <c r="H40" s="225">
        <v>0</v>
      </c>
      <c r="I40" s="245">
        <v>8</v>
      </c>
      <c r="J40" s="85">
        <v>6</v>
      </c>
      <c r="K40" s="85" t="s">
        <v>1534</v>
      </c>
      <c r="L40" s="85">
        <v>0</v>
      </c>
      <c r="M40" s="85">
        <v>0.5</v>
      </c>
      <c r="N40" s="85">
        <v>1</v>
      </c>
      <c r="O40" s="245">
        <v>10</v>
      </c>
      <c r="P40" s="226" t="s">
        <v>1703</v>
      </c>
      <c r="Q40">
        <f>VLOOKUP(B40,'[1]Plano GD - SC1'!$A:$F,6,0)</f>
        <v>18.100000000000001</v>
      </c>
      <c r="R40">
        <f>IFERROR(VLOOKUP(B40,'[1]Plano GD - SCB 1'!$A:$F,6,0),0)</f>
        <v>0</v>
      </c>
      <c r="S40">
        <f>IFERROR(VLOOKUP(B40,'[1]Plano GD - SCB 2'!$A:$F,6,0),0)</f>
        <v>18.100000000000001</v>
      </c>
      <c r="T40" s="224" t="s">
        <v>11</v>
      </c>
    </row>
    <row r="41" spans="2:20" hidden="1" x14ac:dyDescent="0.3">
      <c r="B41" s="217" t="s">
        <v>1669</v>
      </c>
      <c r="C41" s="218" t="s">
        <v>414</v>
      </c>
      <c r="D41" s="219" t="s">
        <v>1021</v>
      </c>
      <c r="E41" s="214" t="s">
        <v>1547</v>
      </c>
      <c r="F41" s="214">
        <f>VLOOKUP(B41,'[1]Plano GD - SC1'!$A:$F,6,0)</f>
        <v>18.100000000000001</v>
      </c>
      <c r="G41" s="224" t="s">
        <v>1546</v>
      </c>
      <c r="H41" s="225">
        <v>0</v>
      </c>
      <c r="I41" s="89">
        <v>3</v>
      </c>
      <c r="J41" s="85">
        <v>3</v>
      </c>
      <c r="K41" s="85" t="s">
        <v>1534</v>
      </c>
      <c r="L41" s="85">
        <v>0</v>
      </c>
      <c r="M41" s="85">
        <v>0.5</v>
      </c>
      <c r="N41" s="85">
        <v>1</v>
      </c>
      <c r="O41" s="89">
        <v>4.5</v>
      </c>
      <c r="P41" s="226" t="s">
        <v>1702</v>
      </c>
      <c r="Q41">
        <f>VLOOKUP(B41,'[1]Plano GD - SC1'!$A:$F,6,0)</f>
        <v>18.100000000000001</v>
      </c>
      <c r="R41">
        <f>IFERROR(VLOOKUP(B41,'[1]Plano GD - SCB 1'!$A:$F,6,0),0)</f>
        <v>18.100000000000001</v>
      </c>
      <c r="S41">
        <f>IFERROR(VLOOKUP(B41,'[1]Plano GD - SCB 2'!$A:$F,6,0),0)</f>
        <v>0</v>
      </c>
      <c r="T41" s="224" t="s">
        <v>11</v>
      </c>
    </row>
    <row r="42" spans="2:20" hidden="1" x14ac:dyDescent="0.3">
      <c r="B42" s="217" t="s">
        <v>1670</v>
      </c>
      <c r="C42" s="218" t="s">
        <v>414</v>
      </c>
      <c r="D42" s="219" t="s">
        <v>1024</v>
      </c>
      <c r="E42" s="214" t="s">
        <v>1545</v>
      </c>
      <c r="F42" s="214">
        <f>VLOOKUP(B42,'[1]Plano GD - SC1'!$A:$F,6,0)</f>
        <v>2</v>
      </c>
      <c r="G42" s="224" t="s">
        <v>1574</v>
      </c>
      <c r="H42" s="225">
        <v>0</v>
      </c>
      <c r="I42" s="89">
        <v>1</v>
      </c>
      <c r="J42" s="85">
        <v>1</v>
      </c>
      <c r="K42" s="85" t="s">
        <v>1534</v>
      </c>
      <c r="L42" s="85">
        <v>0</v>
      </c>
      <c r="M42" s="85">
        <v>0.5</v>
      </c>
      <c r="N42" s="85">
        <v>1</v>
      </c>
      <c r="O42" s="89">
        <v>2.5</v>
      </c>
      <c r="P42" s="226" t="s">
        <v>1702</v>
      </c>
      <c r="Q42">
        <f>VLOOKUP(B42,'[1]Plano GD - SC1'!$A:$F,6,0)</f>
        <v>2</v>
      </c>
      <c r="R42">
        <f>IFERROR(VLOOKUP(B42,'[1]Plano GD - SCB 1'!$A:$F,6,0),0)</f>
        <v>2</v>
      </c>
      <c r="S42">
        <f>IFERROR(VLOOKUP(B42,'[1]Plano GD - SCB 2'!$A:$F,6,0),0)</f>
        <v>0</v>
      </c>
      <c r="T42" s="224" t="s">
        <v>13</v>
      </c>
    </row>
    <row r="43" spans="2:20" hidden="1" x14ac:dyDescent="0.3">
      <c r="B43" s="217" t="s">
        <v>1671</v>
      </c>
      <c r="C43" s="218" t="s">
        <v>414</v>
      </c>
      <c r="D43" s="219" t="s">
        <v>1027</v>
      </c>
      <c r="E43" s="214" t="s">
        <v>1547</v>
      </c>
      <c r="F43" s="214">
        <f>VLOOKUP(B43,'[1]Plano GD - SC1'!$A:$F,6,0)</f>
        <v>18.100000000000001</v>
      </c>
      <c r="G43" s="224" t="s">
        <v>1546</v>
      </c>
      <c r="H43" s="225">
        <v>0</v>
      </c>
      <c r="I43" s="89">
        <v>3</v>
      </c>
      <c r="J43" s="85">
        <v>3</v>
      </c>
      <c r="K43" s="85" t="s">
        <v>1534</v>
      </c>
      <c r="L43" s="85">
        <v>0</v>
      </c>
      <c r="M43" s="85">
        <v>0.5</v>
      </c>
      <c r="N43" s="85">
        <v>1</v>
      </c>
      <c r="O43" s="89">
        <v>4.5</v>
      </c>
      <c r="P43" s="226" t="s">
        <v>1702</v>
      </c>
      <c r="Q43">
        <f>VLOOKUP(B43,'[1]Plano GD - SC1'!$A:$F,6,0)</f>
        <v>18.100000000000001</v>
      </c>
      <c r="R43">
        <f>IFERROR(VLOOKUP(B43,'[1]Plano GD - SCB 1'!$A:$F,6,0),0)</f>
        <v>18.100000000000001</v>
      </c>
      <c r="S43">
        <f>IFERROR(VLOOKUP(B43,'[1]Plano GD - SCB 2'!$A:$F,6,0),0)</f>
        <v>0</v>
      </c>
      <c r="T43" s="224" t="s">
        <v>11</v>
      </c>
    </row>
    <row r="44" spans="2:20" hidden="1" x14ac:dyDescent="0.3">
      <c r="B44" s="217" t="s">
        <v>1672</v>
      </c>
      <c r="C44" s="218" t="s">
        <v>414</v>
      </c>
      <c r="D44" s="219" t="s">
        <v>1030</v>
      </c>
      <c r="E44" s="214" t="s">
        <v>1546</v>
      </c>
      <c r="F44" s="214">
        <f>VLOOKUP(B44,'[1]Plano GD - SC1'!$A:$F,6,0)</f>
        <v>9.1</v>
      </c>
      <c r="G44" s="224" t="s">
        <v>1546</v>
      </c>
      <c r="H44" s="225">
        <v>0</v>
      </c>
      <c r="I44" s="89">
        <v>3</v>
      </c>
      <c r="J44" s="85">
        <v>3</v>
      </c>
      <c r="K44" s="85" t="s">
        <v>1534</v>
      </c>
      <c r="L44" s="85">
        <v>0</v>
      </c>
      <c r="M44" s="85">
        <v>0.5</v>
      </c>
      <c r="N44" s="85">
        <v>1</v>
      </c>
      <c r="O44" s="89">
        <v>4.5</v>
      </c>
      <c r="P44" s="226" t="s">
        <v>1702</v>
      </c>
      <c r="Q44">
        <f>VLOOKUP(B44,'[1]Plano GD - SC1'!$A:$F,6,0)</f>
        <v>9.1</v>
      </c>
      <c r="R44">
        <f>IFERROR(VLOOKUP(B44,'[1]Plano GD - SCB 1'!$A:$F,6,0),0)</f>
        <v>9.1</v>
      </c>
      <c r="S44">
        <f>IFERROR(VLOOKUP(B44,'[1]Plano GD - SCB 2'!$A:$F,6,0),0)</f>
        <v>0</v>
      </c>
      <c r="T44" s="224" t="s">
        <v>11</v>
      </c>
    </row>
    <row r="45" spans="2:20" hidden="1" x14ac:dyDescent="0.3">
      <c r="B45" s="217" t="s">
        <v>1673</v>
      </c>
      <c r="C45" s="218" t="s">
        <v>414</v>
      </c>
      <c r="D45" s="219" t="s">
        <v>1033</v>
      </c>
      <c r="E45" s="214" t="s">
        <v>1545</v>
      </c>
      <c r="F45" s="214">
        <f>VLOOKUP(B45,'[1]Plano GD - SC1'!$A:$F,6,0)</f>
        <v>2</v>
      </c>
      <c r="G45" s="224" t="s">
        <v>1546</v>
      </c>
      <c r="H45" s="225">
        <v>0</v>
      </c>
      <c r="I45" s="89">
        <v>3</v>
      </c>
      <c r="J45" s="85">
        <v>3</v>
      </c>
      <c r="K45" s="85" t="s">
        <v>1534</v>
      </c>
      <c r="L45" s="85">
        <v>0</v>
      </c>
      <c r="M45" s="85">
        <v>0.5</v>
      </c>
      <c r="N45" s="85">
        <v>1</v>
      </c>
      <c r="O45" s="89">
        <v>4.5</v>
      </c>
      <c r="P45" s="226" t="s">
        <v>1702</v>
      </c>
      <c r="Q45">
        <f>VLOOKUP(B45,'[1]Plano GD - SC1'!$A:$F,6,0)</f>
        <v>2</v>
      </c>
      <c r="R45">
        <f>IFERROR(VLOOKUP(B45,'[1]Plano GD - SCB 1'!$A:$F,6,0),0)</f>
        <v>2</v>
      </c>
      <c r="S45">
        <f>IFERROR(VLOOKUP(B45,'[1]Plano GD - SCB 2'!$A:$F,6,0),0)</f>
        <v>0</v>
      </c>
      <c r="T45" s="224" t="s">
        <v>11</v>
      </c>
    </row>
    <row r="46" spans="2:20" hidden="1" x14ac:dyDescent="0.3">
      <c r="B46" s="217" t="s">
        <v>1674</v>
      </c>
      <c r="C46" s="218" t="s">
        <v>414</v>
      </c>
      <c r="D46" s="219" t="s">
        <v>1036</v>
      </c>
      <c r="E46" s="214" t="s">
        <v>1545</v>
      </c>
      <c r="F46" s="214">
        <f>VLOOKUP(B46,'[1]Plano GD - SC1'!$A:$F,6,0)</f>
        <v>2</v>
      </c>
      <c r="G46" s="224" t="s">
        <v>1546</v>
      </c>
      <c r="H46" s="225">
        <v>0</v>
      </c>
      <c r="I46" s="89">
        <v>3</v>
      </c>
      <c r="J46" s="85">
        <v>3</v>
      </c>
      <c r="K46" s="85" t="s">
        <v>1534</v>
      </c>
      <c r="L46" s="85">
        <v>0</v>
      </c>
      <c r="M46" s="85">
        <v>0.5</v>
      </c>
      <c r="N46" s="85">
        <v>1</v>
      </c>
      <c r="O46" s="89">
        <v>4.5</v>
      </c>
      <c r="P46" s="226" t="s">
        <v>1702</v>
      </c>
      <c r="Q46">
        <f>VLOOKUP(B46,'[1]Plano GD - SC1'!$A:$F,6,0)</f>
        <v>2</v>
      </c>
      <c r="R46">
        <f>IFERROR(VLOOKUP(B46,'[1]Plano GD - SCB 1'!$A:$F,6,0),0)</f>
        <v>2</v>
      </c>
      <c r="S46">
        <f>IFERROR(VLOOKUP(B46,'[1]Plano GD - SCB 2'!$A:$F,6,0),0)</f>
        <v>0</v>
      </c>
      <c r="T46" s="224" t="s">
        <v>11</v>
      </c>
    </row>
    <row r="47" spans="2:20" hidden="1" x14ac:dyDescent="0.3">
      <c r="B47" s="217" t="s">
        <v>1675</v>
      </c>
      <c r="C47" s="218" t="s">
        <v>414</v>
      </c>
      <c r="D47" s="219" t="s">
        <v>1039</v>
      </c>
      <c r="E47" s="214" t="s">
        <v>1545</v>
      </c>
      <c r="F47" s="214">
        <f>VLOOKUP(B47,'[1]Plano GD - SC1'!$A:$F,6,0)</f>
        <v>2</v>
      </c>
      <c r="G47" s="224" t="s">
        <v>1546</v>
      </c>
      <c r="H47" s="225">
        <v>0</v>
      </c>
      <c r="I47" s="89">
        <v>3</v>
      </c>
      <c r="J47" s="85">
        <v>3</v>
      </c>
      <c r="K47" s="85" t="s">
        <v>1534</v>
      </c>
      <c r="L47" s="85">
        <v>0</v>
      </c>
      <c r="M47" s="85">
        <v>0.5</v>
      </c>
      <c r="N47" s="85">
        <v>1</v>
      </c>
      <c r="O47" s="89">
        <v>4.5</v>
      </c>
      <c r="P47" s="226" t="s">
        <v>1702</v>
      </c>
      <c r="Q47">
        <f>VLOOKUP(B47,'[1]Plano GD - SC1'!$A:$F,6,0)</f>
        <v>2</v>
      </c>
      <c r="R47">
        <f>IFERROR(VLOOKUP(B47,'[1]Plano GD - SCB 1'!$A:$F,6,0),0)</f>
        <v>2</v>
      </c>
      <c r="S47">
        <f>IFERROR(VLOOKUP(B47,'[1]Plano GD - SCB 2'!$A:$F,6,0),0)</f>
        <v>0</v>
      </c>
      <c r="T47" s="224" t="s">
        <v>11</v>
      </c>
    </row>
    <row r="48" spans="2:20" hidden="1" x14ac:dyDescent="0.3">
      <c r="B48" s="217" t="s">
        <v>1676</v>
      </c>
      <c r="C48" s="218" t="s">
        <v>414</v>
      </c>
      <c r="D48" s="219" t="s">
        <v>1042</v>
      </c>
      <c r="E48" s="214" t="s">
        <v>1545</v>
      </c>
      <c r="F48" s="214">
        <f>VLOOKUP(B48,'[1]Plano GD - SC1'!$A:$F,6,0)</f>
        <v>2</v>
      </c>
      <c r="G48" s="224" t="s">
        <v>1546</v>
      </c>
      <c r="H48" s="225">
        <v>0</v>
      </c>
      <c r="I48" s="89">
        <v>3</v>
      </c>
      <c r="J48" s="85">
        <v>3</v>
      </c>
      <c r="K48" s="85" t="s">
        <v>1534</v>
      </c>
      <c r="L48" s="85">
        <v>0</v>
      </c>
      <c r="M48" s="85">
        <v>0.5</v>
      </c>
      <c r="N48" s="85">
        <v>1</v>
      </c>
      <c r="O48" s="89">
        <v>4.5</v>
      </c>
      <c r="P48" s="226" t="s">
        <v>1702</v>
      </c>
      <c r="Q48">
        <f>VLOOKUP(B48,'[1]Plano GD - SC1'!$A:$F,6,0)</f>
        <v>2</v>
      </c>
      <c r="R48">
        <f>IFERROR(VLOOKUP(B48,'[1]Plano GD - SCB 1'!$A:$F,6,0),0)</f>
        <v>2</v>
      </c>
      <c r="S48">
        <f>IFERROR(VLOOKUP(B48,'[1]Plano GD - SCB 2'!$A:$F,6,0),0)</f>
        <v>0</v>
      </c>
      <c r="T48" s="224" t="s">
        <v>11</v>
      </c>
    </row>
    <row r="49" spans="2:20" hidden="1" x14ac:dyDescent="0.3">
      <c r="B49" s="217" t="s">
        <v>1677</v>
      </c>
      <c r="C49" s="218" t="s">
        <v>414</v>
      </c>
      <c r="D49" s="219" t="s">
        <v>1045</v>
      </c>
      <c r="E49" s="214" t="s">
        <v>1545</v>
      </c>
      <c r="F49" s="214">
        <f>VLOOKUP(B49,'[1]Plano GD - SC1'!$A:$F,6,0)</f>
        <v>2</v>
      </c>
      <c r="G49" s="224" t="s">
        <v>1546</v>
      </c>
      <c r="H49" s="225">
        <v>0</v>
      </c>
      <c r="I49" s="89">
        <v>3</v>
      </c>
      <c r="J49" s="85">
        <v>3</v>
      </c>
      <c r="K49" s="85" t="s">
        <v>1534</v>
      </c>
      <c r="L49" s="85">
        <v>0</v>
      </c>
      <c r="M49" s="85">
        <v>0.5</v>
      </c>
      <c r="N49" s="85">
        <v>1</v>
      </c>
      <c r="O49" s="89">
        <v>4.5</v>
      </c>
      <c r="P49" s="226" t="s">
        <v>1702</v>
      </c>
      <c r="Q49">
        <f>VLOOKUP(B49,'[1]Plano GD - SC1'!$A:$F,6,0)</f>
        <v>2</v>
      </c>
      <c r="R49">
        <f>IFERROR(VLOOKUP(B49,'[1]Plano GD - SCB 1'!$A:$F,6,0),0)</f>
        <v>2</v>
      </c>
      <c r="S49">
        <f>IFERROR(VLOOKUP(B49,'[1]Plano GD - SCB 2'!$A:$F,6,0),0)</f>
        <v>0</v>
      </c>
      <c r="T49" s="224" t="s">
        <v>11</v>
      </c>
    </row>
    <row r="50" spans="2:20" hidden="1" x14ac:dyDescent="0.3">
      <c r="B50" s="217" t="s">
        <v>1678</v>
      </c>
      <c r="C50" s="218" t="s">
        <v>414</v>
      </c>
      <c r="D50" s="219" t="s">
        <v>1048</v>
      </c>
      <c r="E50" s="214" t="s">
        <v>1545</v>
      </c>
      <c r="F50" s="214">
        <f>VLOOKUP(B50,'[1]Plano GD - SC1'!$A:$F,6,0)</f>
        <v>2</v>
      </c>
      <c r="G50" s="224" t="s">
        <v>1546</v>
      </c>
      <c r="H50" s="225">
        <v>0</v>
      </c>
      <c r="I50" s="89">
        <v>3</v>
      </c>
      <c r="J50" s="85">
        <v>3</v>
      </c>
      <c r="K50" s="85" t="s">
        <v>1546</v>
      </c>
      <c r="L50" s="85">
        <v>0.5</v>
      </c>
      <c r="M50" s="85">
        <v>0.5</v>
      </c>
      <c r="N50" s="85">
        <v>1</v>
      </c>
      <c r="O50" s="89">
        <v>5</v>
      </c>
      <c r="P50" s="226" t="s">
        <v>1702</v>
      </c>
      <c r="Q50">
        <f>VLOOKUP(B50,'[1]Plano GD - SC1'!$A:$F,6,0)</f>
        <v>2</v>
      </c>
      <c r="R50">
        <f>IFERROR(VLOOKUP(B50,'[1]Plano GD - SCB 1'!$A:$F,6,0),0)</f>
        <v>2</v>
      </c>
      <c r="S50">
        <f>IFERROR(VLOOKUP(B50,'[1]Plano GD - SCB 2'!$A:$F,6,0),0)</f>
        <v>0</v>
      </c>
      <c r="T50" s="224" t="s">
        <v>11</v>
      </c>
    </row>
    <row r="51" spans="2:20" hidden="1" x14ac:dyDescent="0.3">
      <c r="B51" s="217" t="s">
        <v>1679</v>
      </c>
      <c r="C51" s="218" t="s">
        <v>414</v>
      </c>
      <c r="D51" s="219" t="s">
        <v>1051</v>
      </c>
      <c r="E51" s="214" t="s">
        <v>1545</v>
      </c>
      <c r="F51" s="214">
        <f>VLOOKUP(B51,'[1]Plano GD - SC1'!$A:$F,6,0)</f>
        <v>2</v>
      </c>
      <c r="G51" s="224" t="s">
        <v>1546</v>
      </c>
      <c r="H51" s="225">
        <v>0</v>
      </c>
      <c r="I51" s="89">
        <v>3</v>
      </c>
      <c r="J51" s="85">
        <v>3</v>
      </c>
      <c r="K51" s="85" t="s">
        <v>1534</v>
      </c>
      <c r="L51" s="85">
        <v>0</v>
      </c>
      <c r="M51" s="85">
        <v>0.5</v>
      </c>
      <c r="N51" s="85">
        <v>1</v>
      </c>
      <c r="O51" s="89">
        <v>4.5</v>
      </c>
      <c r="P51" s="226" t="s">
        <v>1702</v>
      </c>
      <c r="Q51">
        <f>VLOOKUP(B51,'[1]Plano GD - SC1'!$A:$F,6,0)</f>
        <v>2</v>
      </c>
      <c r="R51">
        <f>IFERROR(VLOOKUP(B51,'[1]Plano GD - SCB 1'!$A:$F,6,0),0)</f>
        <v>2</v>
      </c>
      <c r="S51">
        <f>IFERROR(VLOOKUP(B51,'[1]Plano GD - SCB 2'!$A:$F,6,0),0)</f>
        <v>0</v>
      </c>
      <c r="T51" s="224" t="s">
        <v>11</v>
      </c>
    </row>
    <row r="52" spans="2:20" hidden="1" x14ac:dyDescent="0.3">
      <c r="B52" s="217" t="s">
        <v>1680</v>
      </c>
      <c r="C52" s="218" t="s">
        <v>414</v>
      </c>
      <c r="D52" s="219" t="s">
        <v>1054</v>
      </c>
      <c r="E52" s="214" t="s">
        <v>1545</v>
      </c>
      <c r="F52" s="214">
        <f>VLOOKUP(B52,'[1]Plano GD - SC1'!$A:$F,6,0)</f>
        <v>2</v>
      </c>
      <c r="G52" s="224" t="s">
        <v>1546</v>
      </c>
      <c r="H52" s="225">
        <v>0</v>
      </c>
      <c r="I52" s="89">
        <v>3</v>
      </c>
      <c r="J52" s="85">
        <v>3</v>
      </c>
      <c r="K52" s="85" t="s">
        <v>1534</v>
      </c>
      <c r="L52" s="85">
        <v>0</v>
      </c>
      <c r="M52" s="85">
        <v>0.5</v>
      </c>
      <c r="N52" s="85">
        <v>1</v>
      </c>
      <c r="O52" s="89">
        <v>4.5</v>
      </c>
      <c r="P52" s="226" t="s">
        <v>1702</v>
      </c>
      <c r="Q52">
        <f>VLOOKUP(B52,'[1]Plano GD - SC1'!$A:$F,6,0)</f>
        <v>2</v>
      </c>
      <c r="R52">
        <f>IFERROR(VLOOKUP(B52,'[1]Plano GD - SCB 1'!$A:$F,6,0),0)</f>
        <v>2</v>
      </c>
      <c r="S52">
        <f>IFERROR(VLOOKUP(B52,'[1]Plano GD - SCB 2'!$A:$F,6,0),0)</f>
        <v>0</v>
      </c>
      <c r="T52" s="224" t="s">
        <v>11</v>
      </c>
    </row>
    <row r="53" spans="2:20" hidden="1" x14ac:dyDescent="0.3">
      <c r="B53" s="217" t="s">
        <v>1681</v>
      </c>
      <c r="C53" s="218" t="s">
        <v>414</v>
      </c>
      <c r="D53" s="219" t="s">
        <v>1081</v>
      </c>
      <c r="E53" s="214" t="s">
        <v>1547</v>
      </c>
      <c r="F53" s="214">
        <f>VLOOKUP(B53,'[1]Plano GD - SC1'!$A:$F,6,0)</f>
        <v>18.100000000000001</v>
      </c>
      <c r="G53" s="224" t="s">
        <v>1546</v>
      </c>
      <c r="H53" s="225">
        <v>0</v>
      </c>
      <c r="I53" s="89">
        <v>3</v>
      </c>
      <c r="J53" s="85">
        <v>3</v>
      </c>
      <c r="K53" s="85" t="s">
        <v>1546</v>
      </c>
      <c r="L53" s="85">
        <v>0.5</v>
      </c>
      <c r="M53" s="85">
        <v>0.5</v>
      </c>
      <c r="N53" s="85">
        <v>1</v>
      </c>
      <c r="O53" s="89">
        <v>5</v>
      </c>
      <c r="P53" s="226" t="s">
        <v>1702</v>
      </c>
      <c r="Q53">
        <f>VLOOKUP(B53,'[1]Plano GD - SC1'!$A:$F,6,0)</f>
        <v>18.100000000000001</v>
      </c>
      <c r="R53">
        <f>IFERROR(VLOOKUP(B53,'[1]Plano GD - SCB 1'!$A:$F,6,0),0)</f>
        <v>18.100000000000001</v>
      </c>
      <c r="S53">
        <f>IFERROR(VLOOKUP(B53,'[1]Plano GD - SCB 2'!$A:$F,6,0),0)</f>
        <v>0</v>
      </c>
      <c r="T53" s="224" t="s">
        <v>11</v>
      </c>
    </row>
    <row r="54" spans="2:20" hidden="1" x14ac:dyDescent="0.3">
      <c r="B54" s="217" t="s">
        <v>1682</v>
      </c>
      <c r="C54" s="218" t="s">
        <v>414</v>
      </c>
      <c r="D54" s="219" t="s">
        <v>1084</v>
      </c>
      <c r="E54" s="214" t="s">
        <v>1545</v>
      </c>
      <c r="F54" s="214">
        <f>VLOOKUP(B54,'[1]Plano GD - SC1'!$A:$F,6,0)</f>
        <v>2</v>
      </c>
      <c r="G54" s="224" t="s">
        <v>1574</v>
      </c>
      <c r="H54" s="225">
        <v>0</v>
      </c>
      <c r="I54" s="89">
        <v>1</v>
      </c>
      <c r="J54" s="85">
        <v>1</v>
      </c>
      <c r="K54" s="85" t="s">
        <v>1534</v>
      </c>
      <c r="L54" s="85">
        <v>0</v>
      </c>
      <c r="M54" s="85">
        <v>0.5</v>
      </c>
      <c r="N54" s="85">
        <v>1</v>
      </c>
      <c r="O54" s="89">
        <v>2.5</v>
      </c>
      <c r="P54" s="226" t="s">
        <v>1702</v>
      </c>
      <c r="Q54">
        <f>VLOOKUP(B54,'[1]Plano GD - SC1'!$A:$F,6,0)</f>
        <v>2</v>
      </c>
      <c r="R54">
        <f>IFERROR(VLOOKUP(B54,'[1]Plano GD - SCB 1'!$A:$F,6,0),0)</f>
        <v>2</v>
      </c>
      <c r="S54">
        <f>IFERROR(VLOOKUP(B54,'[1]Plano GD - SCB 2'!$A:$F,6,0),0)</f>
        <v>0</v>
      </c>
      <c r="T54" s="224" t="s">
        <v>13</v>
      </c>
    </row>
    <row r="55" spans="2:20" hidden="1" x14ac:dyDescent="0.3">
      <c r="B55" s="217" t="s">
        <v>1683</v>
      </c>
      <c r="C55" s="218" t="s">
        <v>414</v>
      </c>
      <c r="D55" s="221" t="s">
        <v>1351</v>
      </c>
      <c r="E55" s="214" t="s">
        <v>1546</v>
      </c>
      <c r="F55" s="214">
        <f>VLOOKUP(B55,'[1]Plano GD - SC1'!$A:$F,6,0)</f>
        <v>11.1</v>
      </c>
      <c r="G55" s="224" t="s">
        <v>1574</v>
      </c>
      <c r="H55" s="89">
        <v>1</v>
      </c>
      <c r="I55" s="89">
        <v>1</v>
      </c>
      <c r="J55" s="85">
        <v>1</v>
      </c>
      <c r="K55" s="85" t="s">
        <v>1574</v>
      </c>
      <c r="L55" s="85">
        <v>0.5</v>
      </c>
      <c r="M55" s="85">
        <v>0.5</v>
      </c>
      <c r="N55" s="85">
        <v>1</v>
      </c>
      <c r="O55" s="89">
        <v>3</v>
      </c>
      <c r="P55" s="226" t="s">
        <v>1702</v>
      </c>
      <c r="Q55">
        <f>VLOOKUP(B55,'[1]Plano GD - SC1'!$A:$F,6,0)</f>
        <v>11.1</v>
      </c>
      <c r="R55">
        <f>IFERROR(VLOOKUP(B55,'[1]Plano GD - SCB 1'!$A:$F,6,0),0)</f>
        <v>11.1</v>
      </c>
      <c r="S55">
        <f>IFERROR(VLOOKUP(B55,'[1]Plano GD - SCB 2'!$A:$F,6,0),0)</f>
        <v>0</v>
      </c>
      <c r="T55" s="224" t="s">
        <v>11</v>
      </c>
    </row>
    <row r="56" spans="2:20" x14ac:dyDescent="0.3">
      <c r="B56" s="217" t="s">
        <v>1684</v>
      </c>
      <c r="C56" s="218" t="s">
        <v>1101</v>
      </c>
      <c r="D56" s="219" t="s">
        <v>12</v>
      </c>
      <c r="E56" s="214" t="s">
        <v>1545</v>
      </c>
      <c r="F56" s="214">
        <f>VLOOKUP(B56,'[1]Plano GD - SC1'!$A:$F,6,0)</f>
        <v>12.1</v>
      </c>
      <c r="G56" s="224" t="s">
        <v>1574</v>
      </c>
      <c r="H56" s="89">
        <v>1</v>
      </c>
      <c r="I56" s="89">
        <v>1</v>
      </c>
      <c r="J56" s="85">
        <v>1</v>
      </c>
      <c r="K56" s="85" t="s">
        <v>1534</v>
      </c>
      <c r="L56" s="85">
        <v>0</v>
      </c>
      <c r="M56" s="85">
        <v>0.5</v>
      </c>
      <c r="N56" s="85">
        <v>1</v>
      </c>
      <c r="O56" s="89">
        <v>2.5</v>
      </c>
      <c r="P56" s="226" t="s">
        <v>1702</v>
      </c>
      <c r="Q56">
        <f>VLOOKUP(B56,'[1]Plano GD - SC1'!$A:$F,6,0)</f>
        <v>12.1</v>
      </c>
      <c r="R56">
        <f>IFERROR(VLOOKUP(B56,'[1]Plano GD - SCB 1'!$A:$F,6,0),0)</f>
        <v>12.1</v>
      </c>
      <c r="S56">
        <f>IFERROR(VLOOKUP(B56,'[1]Plano GD - SCB 2'!$A:$F,6,0),0)</f>
        <v>0</v>
      </c>
      <c r="T56" s="224" t="s">
        <v>11</v>
      </c>
    </row>
    <row r="57" spans="2:20" hidden="1" x14ac:dyDescent="0.3">
      <c r="B57" s="217" t="s">
        <v>1685</v>
      </c>
      <c r="C57" s="218" t="s">
        <v>1101</v>
      </c>
      <c r="D57" s="219" t="s">
        <v>38</v>
      </c>
      <c r="E57" s="214" t="s">
        <v>1545</v>
      </c>
      <c r="F57" s="214">
        <f>VLOOKUP(B57,'[1]Plano GD - SC1'!$A:$F,6,0)</f>
        <v>7</v>
      </c>
      <c r="G57" s="224" t="s">
        <v>1574</v>
      </c>
      <c r="H57" s="89">
        <v>1</v>
      </c>
      <c r="I57" s="89">
        <v>1</v>
      </c>
      <c r="J57" s="85">
        <v>1</v>
      </c>
      <c r="K57" s="85" t="s">
        <v>1534</v>
      </c>
      <c r="L57" s="85">
        <v>0</v>
      </c>
      <c r="M57" s="85">
        <v>0.5</v>
      </c>
      <c r="N57" s="85">
        <v>1</v>
      </c>
      <c r="O57" s="89">
        <v>2.5</v>
      </c>
      <c r="P57" s="226" t="s">
        <v>1702</v>
      </c>
      <c r="Q57">
        <f>VLOOKUP(B57,'[1]Plano GD - SC1'!$A:$F,6,0)</f>
        <v>7</v>
      </c>
      <c r="R57">
        <f>IFERROR(VLOOKUP(B57,'[1]Plano GD - SCB 1'!$A:$F,6,0),0)</f>
        <v>7</v>
      </c>
      <c r="S57">
        <f>IFERROR(VLOOKUP(B57,'[1]Plano GD - SCB 2'!$A:$F,6,0),0)</f>
        <v>0</v>
      </c>
      <c r="T57" s="224" t="s">
        <v>11</v>
      </c>
    </row>
    <row r="58" spans="2:20" hidden="1" x14ac:dyDescent="0.3">
      <c r="B58" s="217" t="s">
        <v>1686</v>
      </c>
      <c r="C58" s="218" t="s">
        <v>1101</v>
      </c>
      <c r="D58" s="219" t="s">
        <v>405</v>
      </c>
      <c r="E58" s="214" t="s">
        <v>1545</v>
      </c>
      <c r="F58" s="214">
        <f>VLOOKUP(B58,'[1]Plano GD - SC1'!$A:$F,6,0)</f>
        <v>25.200000000000003</v>
      </c>
      <c r="G58" s="224" t="s">
        <v>1574</v>
      </c>
      <c r="H58" s="89">
        <v>1</v>
      </c>
      <c r="I58" s="89">
        <v>1</v>
      </c>
      <c r="J58" s="85">
        <v>1</v>
      </c>
      <c r="K58" s="85" t="s">
        <v>1534</v>
      </c>
      <c r="L58" s="85">
        <v>0</v>
      </c>
      <c r="M58" s="85">
        <v>0.5</v>
      </c>
      <c r="N58" s="85">
        <v>1</v>
      </c>
      <c r="O58" s="89">
        <v>2.5</v>
      </c>
      <c r="P58" s="226" t="s">
        <v>1702</v>
      </c>
      <c r="Q58">
        <f>VLOOKUP(B58,'[1]Plano GD - SC1'!$A:$F,6,0)</f>
        <v>25.200000000000003</v>
      </c>
      <c r="R58">
        <f>IFERROR(VLOOKUP(B58,'[1]Plano GD - SCB 1'!$A:$F,6,0),0)</f>
        <v>25.200000000000003</v>
      </c>
      <c r="S58">
        <f>IFERROR(VLOOKUP(B58,'[1]Plano GD - SCB 2'!$A:$F,6,0),0)</f>
        <v>0</v>
      </c>
      <c r="T58" s="224" t="s">
        <v>11</v>
      </c>
    </row>
    <row r="59" spans="2:20" hidden="1" x14ac:dyDescent="0.3">
      <c r="B59" s="217" t="s">
        <v>1687</v>
      </c>
      <c r="C59" s="218" t="s">
        <v>1101</v>
      </c>
      <c r="D59" s="219" t="s">
        <v>1105</v>
      </c>
      <c r="E59" s="214" t="s">
        <v>1545</v>
      </c>
      <c r="F59" s="214">
        <f>VLOOKUP(B59,'[1]Plano GD - SC1'!$A:$F,6,0)</f>
        <v>2</v>
      </c>
      <c r="G59" s="224" t="s">
        <v>1574</v>
      </c>
      <c r="H59" s="89">
        <v>1</v>
      </c>
      <c r="I59" s="89">
        <v>1</v>
      </c>
      <c r="J59" s="85">
        <v>1</v>
      </c>
      <c r="K59" s="85" t="s">
        <v>1534</v>
      </c>
      <c r="L59" s="85">
        <v>0</v>
      </c>
      <c r="M59" s="85">
        <v>0.5</v>
      </c>
      <c r="N59" s="85">
        <v>1</v>
      </c>
      <c r="O59" s="89">
        <v>2.5</v>
      </c>
      <c r="P59" s="226" t="s">
        <v>1702</v>
      </c>
      <c r="Q59">
        <f>VLOOKUP(B59,'[1]Plano GD - SC1'!$A:$F,6,0)</f>
        <v>2</v>
      </c>
      <c r="R59">
        <f>IFERROR(VLOOKUP(B59,'[1]Plano GD - SCB 1'!$A:$F,6,0),0)</f>
        <v>2</v>
      </c>
      <c r="S59">
        <f>IFERROR(VLOOKUP(B59,'[1]Plano GD - SCB 2'!$A:$F,6,0),0)</f>
        <v>0</v>
      </c>
      <c r="T59" s="224" t="s">
        <v>11</v>
      </c>
    </row>
    <row r="60" spans="2:20" hidden="1" x14ac:dyDescent="0.3">
      <c r="B60" s="217" t="s">
        <v>1688</v>
      </c>
      <c r="C60" s="218" t="s">
        <v>1101</v>
      </c>
      <c r="D60" s="219" t="s">
        <v>1384</v>
      </c>
      <c r="E60" s="214" t="s">
        <v>1547</v>
      </c>
      <c r="F60" s="214">
        <f>VLOOKUP(B60,'[1]Plano GD - SC1'!$A:$F,6,0)</f>
        <v>18.100000000000001</v>
      </c>
      <c r="G60" s="224" t="s">
        <v>1574</v>
      </c>
      <c r="H60" s="225">
        <v>0</v>
      </c>
      <c r="I60" s="89">
        <v>1</v>
      </c>
      <c r="J60" s="85">
        <v>1</v>
      </c>
      <c r="K60" s="85" t="s">
        <v>1574</v>
      </c>
      <c r="L60" s="85">
        <v>0.5</v>
      </c>
      <c r="M60" s="85">
        <v>0.5</v>
      </c>
      <c r="N60" s="85">
        <v>1</v>
      </c>
      <c r="O60" s="89">
        <v>3</v>
      </c>
      <c r="P60" s="226" t="s">
        <v>1703</v>
      </c>
      <c r="Q60">
        <f>VLOOKUP(B60,'[1]Plano GD - SC1'!$A:$F,6,0)</f>
        <v>18.100000000000001</v>
      </c>
      <c r="R60">
        <f>IFERROR(VLOOKUP(B60,'[1]Plano GD - SCB 1'!$A:$F,6,0),0)</f>
        <v>0</v>
      </c>
      <c r="S60">
        <f>IFERROR(VLOOKUP(B60,'[1]Plano GD - SCB 2'!$A:$F,6,0),0)</f>
        <v>18.100000000000001</v>
      </c>
      <c r="T60" s="224" t="s">
        <v>11</v>
      </c>
    </row>
    <row r="61" spans="2:20" x14ac:dyDescent="0.3">
      <c r="B61" s="217" t="s">
        <v>1689</v>
      </c>
      <c r="C61" s="218" t="s">
        <v>1114</v>
      </c>
      <c r="D61" s="219" t="s">
        <v>12</v>
      </c>
      <c r="E61" s="214" t="s">
        <v>1545</v>
      </c>
      <c r="F61" s="214">
        <f>VLOOKUP(B61,'[1]Plano GD - SC1'!$A:$F,6,0)</f>
        <v>12.1</v>
      </c>
      <c r="G61" s="224" t="s">
        <v>1574</v>
      </c>
      <c r="H61" s="89">
        <v>1</v>
      </c>
      <c r="I61" s="89">
        <v>1</v>
      </c>
      <c r="J61" s="85">
        <v>1</v>
      </c>
      <c r="K61" s="85" t="s">
        <v>1534</v>
      </c>
      <c r="L61" s="85">
        <v>0</v>
      </c>
      <c r="M61" s="85">
        <v>0.5</v>
      </c>
      <c r="N61" s="85">
        <v>1</v>
      </c>
      <c r="O61" s="89">
        <v>2.5</v>
      </c>
      <c r="P61" s="226" t="s">
        <v>1702</v>
      </c>
      <c r="Q61">
        <f>VLOOKUP(B61,'[1]Plano GD - SC1'!$A:$F,6,0)</f>
        <v>12.1</v>
      </c>
      <c r="R61">
        <f>IFERROR(VLOOKUP(B61,'[1]Plano GD - SCB 1'!$A:$F,6,0),0)</f>
        <v>12.1</v>
      </c>
      <c r="S61">
        <f>IFERROR(VLOOKUP(B61,'[1]Plano GD - SCB 2'!$A:$F,6,0),0)</f>
        <v>0</v>
      </c>
      <c r="T61" s="224" t="s">
        <v>11</v>
      </c>
    </row>
    <row r="62" spans="2:20" hidden="1" x14ac:dyDescent="0.3">
      <c r="B62" s="217" t="s">
        <v>1690</v>
      </c>
      <c r="C62" s="218" t="s">
        <v>1114</v>
      </c>
      <c r="D62" s="219" t="s">
        <v>38</v>
      </c>
      <c r="E62" s="214" t="s">
        <v>1545</v>
      </c>
      <c r="F62" s="214">
        <f>VLOOKUP(B62,'[1]Plano GD - SC1'!$A:$F,6,0)</f>
        <v>7</v>
      </c>
      <c r="G62" s="224" t="s">
        <v>1574</v>
      </c>
      <c r="H62" s="89">
        <v>1</v>
      </c>
      <c r="I62" s="89">
        <v>1</v>
      </c>
      <c r="J62" s="85">
        <v>1</v>
      </c>
      <c r="K62" s="85" t="s">
        <v>1534</v>
      </c>
      <c r="L62" s="85">
        <v>0</v>
      </c>
      <c r="M62" s="85">
        <v>0.5</v>
      </c>
      <c r="N62" s="85">
        <v>1</v>
      </c>
      <c r="O62" s="89">
        <v>2.5</v>
      </c>
      <c r="P62" s="226" t="s">
        <v>1702</v>
      </c>
      <c r="Q62">
        <f>VLOOKUP(B62,'[1]Plano GD - SC1'!$A:$F,6,0)</f>
        <v>7</v>
      </c>
      <c r="R62">
        <f>IFERROR(VLOOKUP(B62,'[1]Plano GD - SCB 1'!$A:$F,6,0),0)</f>
        <v>7</v>
      </c>
      <c r="S62">
        <f>IFERROR(VLOOKUP(B62,'[1]Plano GD - SCB 2'!$A:$F,6,0),0)</f>
        <v>0</v>
      </c>
      <c r="T62" s="224" t="s">
        <v>11</v>
      </c>
    </row>
    <row r="63" spans="2:20" hidden="1" x14ac:dyDescent="0.3">
      <c r="B63" s="217" t="s">
        <v>1691</v>
      </c>
      <c r="C63" s="218" t="s">
        <v>1114</v>
      </c>
      <c r="D63" s="219" t="s">
        <v>1105</v>
      </c>
      <c r="E63" s="214" t="s">
        <v>1545</v>
      </c>
      <c r="F63" s="214">
        <f>VLOOKUP(B63,'[1]Plano GD - SC1'!$A:$F,6,0)</f>
        <v>2</v>
      </c>
      <c r="G63" s="224" t="s">
        <v>1574</v>
      </c>
      <c r="H63" s="89">
        <v>1</v>
      </c>
      <c r="I63" s="89">
        <v>1</v>
      </c>
      <c r="J63" s="85">
        <v>1</v>
      </c>
      <c r="K63" s="85" t="s">
        <v>1534</v>
      </c>
      <c r="L63" s="85">
        <v>0</v>
      </c>
      <c r="M63" s="85">
        <v>0.5</v>
      </c>
      <c r="N63" s="85">
        <v>1</v>
      </c>
      <c r="O63" s="89">
        <v>2.5</v>
      </c>
      <c r="P63" s="226" t="s">
        <v>1702</v>
      </c>
      <c r="Q63">
        <f>VLOOKUP(B63,'[1]Plano GD - SC1'!$A:$F,6,0)</f>
        <v>2</v>
      </c>
      <c r="R63">
        <f>IFERROR(VLOOKUP(B63,'[1]Plano GD - SCB 1'!$A:$F,6,0),0)</f>
        <v>2</v>
      </c>
      <c r="S63">
        <f>IFERROR(VLOOKUP(B63,'[1]Plano GD - SCB 2'!$A:$F,6,0),0)</f>
        <v>0</v>
      </c>
      <c r="T63" s="224" t="s">
        <v>11</v>
      </c>
    </row>
    <row r="64" spans="2:20" hidden="1" x14ac:dyDescent="0.3">
      <c r="B64" s="217" t="s">
        <v>1692</v>
      </c>
      <c r="C64" s="218" t="s">
        <v>1114</v>
      </c>
      <c r="D64" s="220" t="s">
        <v>1147</v>
      </c>
      <c r="E64" s="214" t="s">
        <v>1545</v>
      </c>
      <c r="F64" s="214">
        <f>VLOOKUP(B64,'[1]Plano GD - SC1'!$A:$F,6,0)</f>
        <v>1</v>
      </c>
      <c r="G64" s="224" t="s">
        <v>1574</v>
      </c>
      <c r="H64" s="89">
        <v>1</v>
      </c>
      <c r="I64" s="89">
        <v>1</v>
      </c>
      <c r="J64" s="85">
        <v>1</v>
      </c>
      <c r="K64" s="85" t="s">
        <v>1574</v>
      </c>
      <c r="L64" s="85">
        <v>0.5</v>
      </c>
      <c r="M64" s="85">
        <v>0.5</v>
      </c>
      <c r="N64" s="85">
        <v>1</v>
      </c>
      <c r="O64" s="89">
        <v>3</v>
      </c>
      <c r="P64" s="226" t="s">
        <v>1702</v>
      </c>
      <c r="Q64">
        <f>VLOOKUP(B64,'[1]Plano GD - SC1'!$A:$F,6,0)</f>
        <v>1</v>
      </c>
      <c r="R64">
        <f>IFERROR(VLOOKUP(B64,'[1]Plano GD - SCB 1'!$A:$F,6,0),0)</f>
        <v>1</v>
      </c>
      <c r="S64">
        <f>IFERROR(VLOOKUP(B64,'[1]Plano GD - SCB 2'!$A:$F,6,0),0)</f>
        <v>0</v>
      </c>
      <c r="T64" s="224" t="s">
        <v>11</v>
      </c>
    </row>
    <row r="65" spans="2:20" hidden="1" x14ac:dyDescent="0.3">
      <c r="B65" s="217" t="s">
        <v>1693</v>
      </c>
      <c r="C65" s="218" t="s">
        <v>1114</v>
      </c>
      <c r="D65" s="219" t="s">
        <v>1177</v>
      </c>
      <c r="E65" s="214" t="s">
        <v>1545</v>
      </c>
      <c r="F65" s="214">
        <f>VLOOKUP(B65,'[1]Plano GD - SC1'!$A:$F,6,0)</f>
        <v>1</v>
      </c>
      <c r="G65" s="224" t="s">
        <v>1574</v>
      </c>
      <c r="H65" s="89">
        <v>1</v>
      </c>
      <c r="I65" s="89">
        <v>1</v>
      </c>
      <c r="J65" s="85">
        <v>1</v>
      </c>
      <c r="K65" s="85" t="s">
        <v>1534</v>
      </c>
      <c r="L65" s="85">
        <v>0</v>
      </c>
      <c r="M65" s="85">
        <v>0.5</v>
      </c>
      <c r="N65" s="85">
        <v>1</v>
      </c>
      <c r="O65" s="89">
        <v>2.5</v>
      </c>
      <c r="P65" s="226" t="s">
        <v>1702</v>
      </c>
      <c r="Q65">
        <f>VLOOKUP(B65,'[1]Plano GD - SC1'!$A:$F,6,0)</f>
        <v>1</v>
      </c>
      <c r="R65">
        <f>IFERROR(VLOOKUP(B65,'[1]Plano GD - SCB 1'!$A:$F,6,0),0)</f>
        <v>1</v>
      </c>
      <c r="S65">
        <f>IFERROR(VLOOKUP(B65,'[1]Plano GD - SCB 2'!$A:$F,6,0),0)</f>
        <v>0</v>
      </c>
      <c r="T65" s="224" t="s">
        <v>11</v>
      </c>
    </row>
    <row r="66" spans="2:20" hidden="1" x14ac:dyDescent="0.3">
      <c r="B66" s="217" t="s">
        <v>1694</v>
      </c>
      <c r="C66" s="218" t="s">
        <v>1114</v>
      </c>
      <c r="D66" s="222" t="s">
        <v>1455</v>
      </c>
      <c r="E66" s="214" t="s">
        <v>1547</v>
      </c>
      <c r="F66" s="214">
        <f>VLOOKUP(B66,'[1]Plano GD - SC1'!$A:$F,6,0)</f>
        <v>18.100000000000001</v>
      </c>
      <c r="G66" s="224" t="s">
        <v>1545</v>
      </c>
      <c r="H66" s="89">
        <v>2</v>
      </c>
      <c r="I66" s="89">
        <v>1.5</v>
      </c>
      <c r="J66" s="85">
        <v>1.5</v>
      </c>
      <c r="K66" s="85" t="s">
        <v>1545</v>
      </c>
      <c r="L66" s="85">
        <v>0.5</v>
      </c>
      <c r="M66" s="85">
        <v>0.5</v>
      </c>
      <c r="N66" s="85">
        <v>1</v>
      </c>
      <c r="O66" s="89">
        <v>3.5</v>
      </c>
      <c r="P66" s="226" t="s">
        <v>1702</v>
      </c>
      <c r="Q66">
        <f>VLOOKUP(B66,'[1]Plano GD - SC1'!$A:$F,6,0)</f>
        <v>18.100000000000001</v>
      </c>
      <c r="R66">
        <f>IFERROR(VLOOKUP(B66,'[1]Plano GD - SCB 1'!$A:$F,6,0),0)</f>
        <v>18.100000000000001</v>
      </c>
      <c r="S66">
        <f>IFERROR(VLOOKUP(B66,'[1]Plano GD - SCB 2'!$A:$F,6,0),0)</f>
        <v>0</v>
      </c>
      <c r="T66" s="224" t="s">
        <v>11</v>
      </c>
    </row>
    <row r="67" spans="2:20" x14ac:dyDescent="0.3">
      <c r="B67" s="217" t="s">
        <v>1695</v>
      </c>
      <c r="C67" s="218" t="s">
        <v>1458</v>
      </c>
      <c r="D67" s="222" t="s">
        <v>12</v>
      </c>
      <c r="E67" s="214" t="s">
        <v>1546</v>
      </c>
      <c r="F67" s="214">
        <f>VLOOKUP(B67,'[1]Plano GD - SC1'!$A:$F,6,0)</f>
        <v>12.1</v>
      </c>
      <c r="G67" s="224" t="s">
        <v>1574</v>
      </c>
      <c r="H67" s="225">
        <v>0</v>
      </c>
      <c r="I67" s="89">
        <v>1</v>
      </c>
      <c r="J67" s="85">
        <v>1</v>
      </c>
      <c r="K67" s="85" t="s">
        <v>1534</v>
      </c>
      <c r="L67" s="85">
        <v>0</v>
      </c>
      <c r="M67" s="85">
        <v>0.5</v>
      </c>
      <c r="N67" s="85">
        <v>1</v>
      </c>
      <c r="O67" s="89">
        <v>2.5</v>
      </c>
      <c r="P67" s="226" t="s">
        <v>1703</v>
      </c>
      <c r="Q67">
        <f>VLOOKUP(B67,'[1]Plano GD - SC1'!$A:$F,6,0)</f>
        <v>12.1</v>
      </c>
      <c r="R67">
        <f>IFERROR(VLOOKUP(B67,'[1]Plano GD - SCB 1'!$A:$F,6,0),0)</f>
        <v>0</v>
      </c>
      <c r="S67">
        <f>IFERROR(VLOOKUP(B67,'[1]Plano GD - SCB 2'!$A:$F,6,0),0)</f>
        <v>12.1</v>
      </c>
      <c r="T67" s="224" t="s">
        <v>11</v>
      </c>
    </row>
    <row r="68" spans="2:20" hidden="1" x14ac:dyDescent="0.3">
      <c r="B68" s="217" t="s">
        <v>1696</v>
      </c>
      <c r="C68" s="218" t="s">
        <v>1458</v>
      </c>
      <c r="D68" s="222" t="s">
        <v>38</v>
      </c>
      <c r="E68" s="214" t="s">
        <v>1545</v>
      </c>
      <c r="F68" s="214">
        <f>VLOOKUP(B68,'[1]Plano GD - SC1'!$A:$F,6,0)</f>
        <v>7</v>
      </c>
      <c r="G68" s="224" t="s">
        <v>1574</v>
      </c>
      <c r="H68" s="225">
        <v>0</v>
      </c>
      <c r="I68" s="89">
        <v>1</v>
      </c>
      <c r="J68" s="85">
        <v>1</v>
      </c>
      <c r="K68" s="85" t="s">
        <v>1534</v>
      </c>
      <c r="L68" s="85">
        <v>0</v>
      </c>
      <c r="M68" s="85">
        <v>0.5</v>
      </c>
      <c r="N68" s="85">
        <v>1</v>
      </c>
      <c r="O68" s="89">
        <v>2.5</v>
      </c>
      <c r="P68" s="226" t="s">
        <v>1703</v>
      </c>
      <c r="Q68">
        <f>VLOOKUP(B68,'[1]Plano GD - SC1'!$A:$F,6,0)</f>
        <v>7</v>
      </c>
      <c r="R68">
        <f>IFERROR(VLOOKUP(B68,'[1]Plano GD - SCB 1'!$A:$F,6,0),0)</f>
        <v>0</v>
      </c>
      <c r="S68">
        <f>IFERROR(VLOOKUP(B68,'[1]Plano GD - SCB 2'!$A:$F,6,0),0)</f>
        <v>7</v>
      </c>
      <c r="T68" s="224" t="s">
        <v>11</v>
      </c>
    </row>
    <row r="69" spans="2:20" hidden="1" x14ac:dyDescent="0.3">
      <c r="B69" s="217" t="s">
        <v>1697</v>
      </c>
      <c r="C69" s="218" t="s">
        <v>1458</v>
      </c>
      <c r="D69" s="222" t="s">
        <v>405</v>
      </c>
      <c r="E69" s="214" t="s">
        <v>1546</v>
      </c>
      <c r="F69" s="214">
        <f>VLOOKUP(B69,'[1]Plano GD - SC1'!$A:$F,6,0)</f>
        <v>25.200000000000003</v>
      </c>
      <c r="G69" s="224" t="s">
        <v>1574</v>
      </c>
      <c r="H69" s="225">
        <v>0</v>
      </c>
      <c r="I69" s="89">
        <v>1</v>
      </c>
      <c r="J69" s="85">
        <v>1</v>
      </c>
      <c r="K69" s="85" t="s">
        <v>1534</v>
      </c>
      <c r="L69" s="85">
        <v>0</v>
      </c>
      <c r="M69" s="85">
        <v>0.5</v>
      </c>
      <c r="N69" s="85">
        <v>1</v>
      </c>
      <c r="O69" s="89">
        <v>2.5</v>
      </c>
      <c r="P69" s="226" t="s">
        <v>1703</v>
      </c>
      <c r="Q69">
        <f>VLOOKUP(B69,'[1]Plano GD - SC1'!$A:$F,6,0)</f>
        <v>25.200000000000003</v>
      </c>
      <c r="R69">
        <f>IFERROR(VLOOKUP(B69,'[1]Plano GD - SCB 1'!$A:$F,6,0),0)</f>
        <v>0</v>
      </c>
      <c r="S69">
        <f>IFERROR(VLOOKUP(B69,'[1]Plano GD - SCB 2'!$A:$F,6,0),0)</f>
        <v>25.200000000000003</v>
      </c>
      <c r="T69" s="224" t="s">
        <v>11</v>
      </c>
    </row>
    <row r="70" spans="2:20" hidden="1" x14ac:dyDescent="0.3">
      <c r="B70" s="217" t="s">
        <v>1698</v>
      </c>
      <c r="C70" s="218" t="s">
        <v>1458</v>
      </c>
      <c r="D70" s="222" t="s">
        <v>967</v>
      </c>
      <c r="E70" s="214" t="s">
        <v>1547</v>
      </c>
      <c r="F70" s="214">
        <f>VLOOKUP(B70,'[1]Plano GD - SC1'!$A:$F,6,0)</f>
        <v>18.100000000000001</v>
      </c>
      <c r="G70" s="245" t="s">
        <v>1547</v>
      </c>
      <c r="H70" s="225">
        <v>0</v>
      </c>
      <c r="I70" s="245">
        <v>8</v>
      </c>
      <c r="J70" s="85">
        <v>1.5</v>
      </c>
      <c r="K70" s="85" t="s">
        <v>1545</v>
      </c>
      <c r="L70" s="85">
        <v>0.5</v>
      </c>
      <c r="M70" s="85">
        <v>0.5</v>
      </c>
      <c r="N70" s="85">
        <v>1</v>
      </c>
      <c r="O70" s="245">
        <v>10</v>
      </c>
      <c r="P70" s="226" t="s">
        <v>1703</v>
      </c>
      <c r="Q70">
        <f>VLOOKUP(B70,'[1]Plano GD - SC1'!$A:$F,6,0)</f>
        <v>18.100000000000001</v>
      </c>
      <c r="R70">
        <f>IFERROR(VLOOKUP(B70,'[1]Plano GD - SCB 1'!$A:$F,6,0),0)</f>
        <v>0</v>
      </c>
      <c r="S70">
        <f>IFERROR(VLOOKUP(B70,'[1]Plano GD - SCB 2'!$A:$F,6,0),0)</f>
        <v>18.100000000000001</v>
      </c>
      <c r="T70" s="224" t="s">
        <v>11</v>
      </c>
    </row>
    <row r="71" spans="2:20" hidden="1" x14ac:dyDescent="0.3">
      <c r="B71" s="217" t="s">
        <v>1699</v>
      </c>
      <c r="C71" s="218" t="s">
        <v>1458</v>
      </c>
      <c r="D71" s="222" t="s">
        <v>1464</v>
      </c>
      <c r="E71" s="214" t="s">
        <v>1545</v>
      </c>
      <c r="F71" s="214">
        <f>VLOOKUP(B71,'[1]Plano GD - SC1'!$A:$F,6,0)</f>
        <v>1</v>
      </c>
      <c r="G71" s="224" t="s">
        <v>1574</v>
      </c>
      <c r="H71" s="89">
        <v>1</v>
      </c>
      <c r="I71" s="89">
        <v>1</v>
      </c>
      <c r="J71" s="85">
        <v>1</v>
      </c>
      <c r="K71" s="85" t="s">
        <v>1534</v>
      </c>
      <c r="L71" s="85">
        <v>0</v>
      </c>
      <c r="M71" s="85">
        <v>0.5</v>
      </c>
      <c r="N71" s="85">
        <v>1</v>
      </c>
      <c r="O71" s="89">
        <v>2.5</v>
      </c>
      <c r="P71" s="226" t="s">
        <v>1702</v>
      </c>
      <c r="Q71">
        <f>VLOOKUP(B71,'[1]Plano GD - SC1'!$A:$F,6,0)</f>
        <v>1</v>
      </c>
      <c r="R71">
        <f>IFERROR(VLOOKUP(B71,'[1]Plano GD - SCB 1'!$A:$F,6,0),0)</f>
        <v>1</v>
      </c>
      <c r="S71">
        <f>IFERROR(VLOOKUP(B71,'[1]Plano GD - SCB 2'!$A:$F,6,0),0)</f>
        <v>0</v>
      </c>
      <c r="T71" s="224" t="s">
        <v>11</v>
      </c>
    </row>
    <row r="72" spans="2:20" hidden="1" x14ac:dyDescent="0.3">
      <c r="B72" s="217" t="s">
        <v>1700</v>
      </c>
      <c r="C72" s="218" t="s">
        <v>1458</v>
      </c>
      <c r="D72" s="222" t="s">
        <v>964</v>
      </c>
      <c r="E72" s="214" t="s">
        <v>1547</v>
      </c>
      <c r="F72" s="214">
        <f>VLOOKUP(B72,'[1]Plano GD - SC1'!$A:$F,6,0)</f>
        <v>18.100000000000001</v>
      </c>
      <c r="G72" s="245" t="s">
        <v>1547</v>
      </c>
      <c r="H72" s="225">
        <v>0</v>
      </c>
      <c r="I72" s="245">
        <v>8</v>
      </c>
      <c r="J72" s="85">
        <v>1.5</v>
      </c>
      <c r="K72" s="85" t="s">
        <v>1545</v>
      </c>
      <c r="L72" s="85">
        <v>0.5</v>
      </c>
      <c r="M72" s="85">
        <v>0.5</v>
      </c>
      <c r="N72" s="85">
        <v>1</v>
      </c>
      <c r="O72" s="245">
        <v>10</v>
      </c>
      <c r="P72" s="226" t="s">
        <v>1703</v>
      </c>
      <c r="Q72">
        <f>VLOOKUP(B72,'[1]Plano GD - SC1'!$A:$F,6,0)</f>
        <v>18.100000000000001</v>
      </c>
      <c r="R72">
        <f>IFERROR(VLOOKUP(B72,'[1]Plano GD - SCB 1'!$A:$F,6,0),0)</f>
        <v>0</v>
      </c>
      <c r="S72">
        <f>IFERROR(VLOOKUP(B72,'[1]Plano GD - SCB 2'!$A:$F,6,0),0)</f>
        <v>18.100000000000001</v>
      </c>
      <c r="T72" s="224" t="s">
        <v>11</v>
      </c>
    </row>
  </sheetData>
  <autoFilter ref="B4:T72" xr:uid="{1C7C1036-9802-49AF-880F-B53F12CB72A6}">
    <filterColumn colId="2">
      <filters>
        <filter val="COD_SOC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9B34-CB2E-4BDC-9D19-2FA34383B050}">
  <dimension ref="A2:O30"/>
  <sheetViews>
    <sheetView showGridLines="0" zoomScale="110" zoomScaleNormal="110" workbookViewId="0">
      <selection activeCell="B9" sqref="B9:C9"/>
    </sheetView>
  </sheetViews>
  <sheetFormatPr defaultColWidth="0" defaultRowHeight="14" x14ac:dyDescent="0.3"/>
  <cols>
    <col min="1" max="1" width="2.6640625" customWidth="1"/>
    <col min="2" max="2" width="35.1640625" customWidth="1"/>
    <col min="3" max="3" width="100.6640625" customWidth="1"/>
    <col min="4" max="4" width="5.6640625" customWidth="1"/>
    <col min="5" max="5" width="7.4140625" bestFit="1" customWidth="1"/>
    <col min="6" max="11" width="8.6640625" customWidth="1"/>
    <col min="12" max="15" width="0" hidden="1" customWidth="1"/>
    <col min="16" max="16384" width="8.6640625" hidden="1"/>
  </cols>
  <sheetData>
    <row r="2" spans="2:10" x14ac:dyDescent="0.3">
      <c r="B2" s="117" t="s">
        <v>1543</v>
      </c>
    </row>
    <row r="3" spans="2:10" x14ac:dyDescent="0.3">
      <c r="C3" s="108"/>
      <c r="D3" s="116" t="s">
        <v>1542</v>
      </c>
      <c r="E3" s="116"/>
      <c r="F3" s="109"/>
      <c r="G3" s="109"/>
      <c r="H3" s="109"/>
      <c r="I3" s="109"/>
      <c r="J3" s="6"/>
    </row>
    <row r="4" spans="2:10" x14ac:dyDescent="0.3">
      <c r="B4" s="110" t="s">
        <v>1544</v>
      </c>
      <c r="C4" s="110" t="s">
        <v>1481</v>
      </c>
      <c r="D4" s="111" t="s">
        <v>1534</v>
      </c>
      <c r="E4" s="111" t="s">
        <v>1574</v>
      </c>
      <c r="F4" s="111" t="s">
        <v>1545</v>
      </c>
      <c r="G4" s="111" t="s">
        <v>1546</v>
      </c>
      <c r="H4" s="111" t="s">
        <v>1547</v>
      </c>
      <c r="I4" s="111" t="s">
        <v>1577</v>
      </c>
    </row>
    <row r="5" spans="2:10" x14ac:dyDescent="0.3">
      <c r="B5" s="112" t="s">
        <v>1571</v>
      </c>
      <c r="C5" s="113" t="s">
        <v>1572</v>
      </c>
      <c r="D5" s="114">
        <v>0</v>
      </c>
      <c r="E5" s="114">
        <v>1</v>
      </c>
      <c r="F5" s="114">
        <v>2</v>
      </c>
      <c r="G5" s="114">
        <v>4</v>
      </c>
      <c r="H5" s="114">
        <v>8</v>
      </c>
      <c r="I5" s="114">
        <v>10</v>
      </c>
    </row>
    <row r="6" spans="2:10" ht="25.5" x14ac:dyDescent="0.3">
      <c r="B6" s="112" t="s">
        <v>1576</v>
      </c>
      <c r="C6" s="113" t="s">
        <v>1548</v>
      </c>
      <c r="D6" s="114">
        <v>0</v>
      </c>
      <c r="E6" s="114">
        <v>1</v>
      </c>
      <c r="F6" s="114">
        <v>1.5</v>
      </c>
      <c r="G6" s="114">
        <v>3</v>
      </c>
      <c r="H6" s="114">
        <v>6</v>
      </c>
      <c r="I6" s="114">
        <v>8</v>
      </c>
    </row>
    <row r="7" spans="2:10" x14ac:dyDescent="0.3">
      <c r="B7" s="112" t="s">
        <v>1554</v>
      </c>
      <c r="C7" s="113" t="s">
        <v>1549</v>
      </c>
      <c r="D7" s="114">
        <v>0</v>
      </c>
      <c r="E7" s="114">
        <v>1</v>
      </c>
      <c r="F7" s="114">
        <v>1.5</v>
      </c>
      <c r="G7" s="114">
        <v>3</v>
      </c>
      <c r="H7" s="114">
        <v>6</v>
      </c>
      <c r="I7" s="114">
        <v>3</v>
      </c>
    </row>
    <row r="8" spans="2:10" x14ac:dyDescent="0.3">
      <c r="B8" s="112" t="s">
        <v>1555</v>
      </c>
      <c r="C8" s="113" t="s">
        <v>1552</v>
      </c>
      <c r="D8" s="114">
        <v>0</v>
      </c>
      <c r="E8" s="114">
        <v>0.5</v>
      </c>
      <c r="F8" s="114">
        <v>0.5</v>
      </c>
      <c r="G8" s="114">
        <v>0.5</v>
      </c>
      <c r="H8" s="114">
        <v>0.5</v>
      </c>
      <c r="I8" s="114">
        <f t="shared" ref="I8:I10" si="0">H8*2</f>
        <v>1</v>
      </c>
    </row>
    <row r="9" spans="2:10" ht="35.4" customHeight="1" x14ac:dyDescent="0.3">
      <c r="B9" s="112" t="s">
        <v>1556</v>
      </c>
      <c r="C9" s="113" t="s">
        <v>1550</v>
      </c>
      <c r="D9" s="114">
        <v>0</v>
      </c>
      <c r="E9" s="114">
        <v>0.5</v>
      </c>
      <c r="F9" s="114">
        <v>0.5</v>
      </c>
      <c r="G9" s="114">
        <v>0.5</v>
      </c>
      <c r="H9" s="114">
        <v>0.5</v>
      </c>
      <c r="I9" s="114">
        <f t="shared" si="0"/>
        <v>1</v>
      </c>
    </row>
    <row r="10" spans="2:10" x14ac:dyDescent="0.3">
      <c r="B10" s="115" t="s">
        <v>1557</v>
      </c>
      <c r="C10" s="113" t="s">
        <v>1551</v>
      </c>
      <c r="D10" s="114">
        <v>0</v>
      </c>
      <c r="E10" s="114">
        <v>1</v>
      </c>
      <c r="F10" s="114">
        <v>1</v>
      </c>
      <c r="G10" s="114">
        <v>1</v>
      </c>
      <c r="H10" s="114">
        <v>1</v>
      </c>
      <c r="I10" s="114">
        <f t="shared" si="0"/>
        <v>2</v>
      </c>
    </row>
    <row r="11" spans="2:10" x14ac:dyDescent="0.3">
      <c r="B11" s="115" t="s">
        <v>1588</v>
      </c>
      <c r="C11" s="113" t="s">
        <v>1589</v>
      </c>
      <c r="D11" s="114">
        <v>0</v>
      </c>
      <c r="E11" s="114">
        <v>0.1</v>
      </c>
      <c r="F11" s="114">
        <v>0.1</v>
      </c>
      <c r="G11" s="114">
        <v>0.1</v>
      </c>
      <c r="H11" s="114">
        <v>0.1</v>
      </c>
      <c r="I11" s="114">
        <v>0.1</v>
      </c>
    </row>
    <row r="12" spans="2:10" x14ac:dyDescent="0.3">
      <c r="B12" s="115" t="s">
        <v>1601</v>
      </c>
      <c r="C12" s="113"/>
      <c r="D12" s="114">
        <v>0</v>
      </c>
      <c r="E12" s="114">
        <v>0.2</v>
      </c>
      <c r="F12" s="114">
        <v>0.2</v>
      </c>
      <c r="G12" s="114">
        <v>0.2</v>
      </c>
      <c r="H12" s="114">
        <v>0.2</v>
      </c>
      <c r="I12" s="114">
        <v>0.2</v>
      </c>
    </row>
    <row r="15" spans="2:10" x14ac:dyDescent="0.3">
      <c r="B15" s="117" t="s">
        <v>1602</v>
      </c>
    </row>
    <row r="16" spans="2:10" x14ac:dyDescent="0.3">
      <c r="B16" s="128"/>
    </row>
    <row r="17" spans="2:2" x14ac:dyDescent="0.3">
      <c r="B17" s="128"/>
    </row>
    <row r="18" spans="2:2" x14ac:dyDescent="0.3">
      <c r="B18" s="69" t="s">
        <v>1604</v>
      </c>
    </row>
    <row r="19" spans="2:2" x14ac:dyDescent="0.3">
      <c r="B19" s="154" t="s">
        <v>1603</v>
      </c>
    </row>
    <row r="20" spans="2:2" x14ac:dyDescent="0.3">
      <c r="B20" s="154" t="s">
        <v>1605</v>
      </c>
    </row>
    <row r="21" spans="2:2" x14ac:dyDescent="0.3">
      <c r="B21" s="128"/>
    </row>
    <row r="22" spans="2:2" x14ac:dyDescent="0.3">
      <c r="B22" s="128"/>
    </row>
    <row r="23" spans="2:2" x14ac:dyDescent="0.3">
      <c r="B23" s="69" t="s">
        <v>1598</v>
      </c>
    </row>
    <row r="24" spans="2:2" x14ac:dyDescent="0.3">
      <c r="B24" s="154" t="s">
        <v>1606</v>
      </c>
    </row>
    <row r="25" spans="2:2" x14ac:dyDescent="0.3">
      <c r="B25" s="154" t="s">
        <v>1607</v>
      </c>
    </row>
    <row r="26" spans="2:2" x14ac:dyDescent="0.3">
      <c r="B26" s="154" t="s">
        <v>1608</v>
      </c>
    </row>
    <row r="27" spans="2:2" x14ac:dyDescent="0.3">
      <c r="B27" s="128"/>
    </row>
    <row r="28" spans="2:2" x14ac:dyDescent="0.3">
      <c r="B28" s="128"/>
    </row>
    <row r="29" spans="2:2" x14ac:dyDescent="0.3">
      <c r="B29" s="128"/>
    </row>
    <row r="30" spans="2:2" x14ac:dyDescent="0.3">
      <c r="B30" s="12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9B11-5CC1-4E69-B629-86656697052B}">
  <sheetPr>
    <tabColor theme="4"/>
    <pageSetUpPr autoPageBreaks="0"/>
  </sheetPr>
  <dimension ref="A1:AL81"/>
  <sheetViews>
    <sheetView showGridLines="0" zoomScale="40" zoomScaleNormal="40" workbookViewId="0">
      <pane xSplit="5" ySplit="3" topLeftCell="T4" activePane="bottomRight" state="frozen"/>
      <selection pane="topRight" activeCell="F1" sqref="F1"/>
      <selection pane="bottomLeft" activeCell="A4" sqref="A4"/>
      <selection pane="bottomRight" activeCell="E12" sqref="E12"/>
    </sheetView>
  </sheetViews>
  <sheetFormatPr defaultColWidth="9" defaultRowHeight="14.9" customHeight="1" x14ac:dyDescent="0.3"/>
  <cols>
    <col min="1" max="1" width="23.9140625" style="36" hidden="1" customWidth="1"/>
    <col min="2" max="2" width="56.6640625" style="36" bestFit="1" customWidth="1"/>
    <col min="3" max="3" width="17.5" style="37" customWidth="1"/>
    <col min="4" max="4" width="40.9140625" style="38" customWidth="1"/>
    <col min="5" max="5" width="60.4140625" style="6" customWidth="1"/>
    <col min="6" max="6" width="21.4140625" style="39" customWidth="1"/>
    <col min="7" max="10" width="18.6640625" style="38" customWidth="1"/>
    <col min="11" max="11" width="19.4140625" style="38" customWidth="1"/>
    <col min="12" max="12" width="18.6640625" style="6" customWidth="1"/>
    <col min="13" max="13" width="18.9140625" style="6" customWidth="1"/>
    <col min="14" max="14" width="18.6640625" style="6" customWidth="1"/>
    <col min="15" max="15" width="13.5" style="6" customWidth="1"/>
    <col min="16" max="16" width="18.6640625" style="6" customWidth="1"/>
    <col min="17" max="17" width="13.5" style="6" customWidth="1"/>
    <col min="18" max="19" width="18.6640625" style="6" customWidth="1"/>
    <col min="20" max="20" width="16.4140625" style="6" customWidth="1"/>
    <col min="21" max="21" width="18.6640625" style="6" customWidth="1"/>
    <col min="22" max="22" width="17" style="6" customWidth="1"/>
    <col min="23" max="23" width="36.1640625" style="6" bestFit="1" customWidth="1"/>
    <col min="24" max="24" width="64.4140625" style="6" customWidth="1"/>
    <col min="25" max="25" width="28.58203125" style="6" customWidth="1"/>
    <col min="26" max="26" width="27" style="6" bestFit="1" customWidth="1"/>
    <col min="27" max="27" width="39.9140625" style="39" customWidth="1"/>
    <col min="28" max="28" width="22.4140625" style="6" bestFit="1" customWidth="1"/>
    <col min="29" max="29" width="14.58203125" style="6" customWidth="1"/>
    <col min="30" max="30" width="15.08203125" style="6" customWidth="1"/>
    <col min="31" max="31" width="14.58203125" style="6" customWidth="1"/>
    <col min="32" max="32" width="23.5" style="6" customWidth="1"/>
    <col min="33" max="33" width="24.5" style="6" customWidth="1"/>
    <col min="34" max="34" width="16.6640625" style="6" customWidth="1"/>
    <col min="35" max="35" width="16.9140625" style="6" customWidth="1"/>
    <col min="36" max="36" width="21.6640625" style="6" customWidth="1"/>
    <col min="37" max="37" width="13.58203125" style="6" customWidth="1"/>
    <col min="38" max="38" width="30.6640625" style="6" customWidth="1"/>
    <col min="39" max="16384" width="9" style="6"/>
  </cols>
  <sheetData>
    <row r="1" spans="1:38" ht="14.9" customHeight="1" x14ac:dyDescent="0.3">
      <c r="M1" s="48"/>
      <c r="O1" s="48"/>
      <c r="Q1" s="48"/>
      <c r="T1" s="48"/>
      <c r="Y1" s="74" t="s">
        <v>1511</v>
      </c>
    </row>
    <row r="2" spans="1:38" ht="18" x14ac:dyDescent="0.3">
      <c r="A2" s="78"/>
      <c r="B2" s="78" t="s">
        <v>1631</v>
      </c>
      <c r="C2" s="79"/>
      <c r="D2" s="79"/>
      <c r="E2" s="80"/>
      <c r="F2" s="76" t="s">
        <v>1477</v>
      </c>
      <c r="G2" s="77" t="s">
        <v>1507</v>
      </c>
      <c r="H2" s="77" t="s">
        <v>1508</v>
      </c>
      <c r="I2" s="77" t="s">
        <v>1513</v>
      </c>
      <c r="J2" s="77" t="s">
        <v>1509</v>
      </c>
      <c r="K2" s="77" t="s">
        <v>1510</v>
      </c>
      <c r="L2" s="107" t="s">
        <v>1541</v>
      </c>
      <c r="M2" s="75"/>
      <c r="N2" s="75"/>
      <c r="O2" s="75"/>
      <c r="P2" s="75"/>
      <c r="Q2" s="75"/>
      <c r="R2" s="75"/>
      <c r="S2" s="75"/>
      <c r="T2" s="75"/>
      <c r="U2" s="75"/>
      <c r="V2" s="107" t="s">
        <v>1541</v>
      </c>
      <c r="W2" s="75"/>
      <c r="X2" s="75"/>
      <c r="Y2" s="75"/>
      <c r="Z2" s="75"/>
      <c r="AC2" s="122" t="s">
        <v>1553</v>
      </c>
      <c r="AD2" s="122"/>
      <c r="AE2" s="123"/>
      <c r="AF2" s="123"/>
      <c r="AG2" s="122"/>
      <c r="AH2" s="123"/>
      <c r="AI2" s="123"/>
      <c r="AJ2" s="123"/>
      <c r="AK2" s="123"/>
    </row>
    <row r="3" spans="1:38" ht="28" x14ac:dyDescent="0.3">
      <c r="A3" s="147" t="s">
        <v>0</v>
      </c>
      <c r="B3" s="99" t="s">
        <v>1504</v>
      </c>
      <c r="C3" s="100" t="s">
        <v>1</v>
      </c>
      <c r="D3" s="100" t="s">
        <v>2</v>
      </c>
      <c r="E3" s="100" t="s">
        <v>3</v>
      </c>
      <c r="F3" s="101" t="s">
        <v>4</v>
      </c>
      <c r="G3" s="101" t="s">
        <v>5</v>
      </c>
      <c r="H3" s="101" t="s">
        <v>6</v>
      </c>
      <c r="I3" s="102" t="s">
        <v>1395</v>
      </c>
      <c r="J3" s="101" t="s">
        <v>7</v>
      </c>
      <c r="K3" s="102" t="s">
        <v>1396</v>
      </c>
      <c r="L3" s="104" t="s">
        <v>1498</v>
      </c>
      <c r="M3" s="104" t="s">
        <v>1495</v>
      </c>
      <c r="N3" s="104" t="s">
        <v>1499</v>
      </c>
      <c r="O3" s="104" t="s">
        <v>1494</v>
      </c>
      <c r="P3" s="104" t="s">
        <v>1500</v>
      </c>
      <c r="Q3" s="104" t="s">
        <v>1496</v>
      </c>
      <c r="R3" s="105" t="s">
        <v>1501</v>
      </c>
      <c r="S3" s="104" t="s">
        <v>1502</v>
      </c>
      <c r="T3" s="104" t="s">
        <v>1497</v>
      </c>
      <c r="U3" s="105" t="s">
        <v>1503</v>
      </c>
      <c r="V3" s="103" t="s">
        <v>1528</v>
      </c>
      <c r="W3" s="103" t="s">
        <v>1493</v>
      </c>
      <c r="X3" s="103" t="s">
        <v>1529</v>
      </c>
      <c r="Y3" s="106" t="s">
        <v>1478</v>
      </c>
      <c r="Z3" s="120" t="s">
        <v>1512</v>
      </c>
      <c r="AA3" s="216" t="s">
        <v>1632</v>
      </c>
      <c r="AB3" s="126" t="s">
        <v>1567</v>
      </c>
      <c r="AC3" s="124" t="s">
        <v>1568</v>
      </c>
      <c r="AD3" s="124" t="s">
        <v>1571</v>
      </c>
      <c r="AE3" s="124" t="s">
        <v>1576</v>
      </c>
      <c r="AF3" s="124" t="s">
        <v>1554</v>
      </c>
      <c r="AG3" s="124" t="s">
        <v>1569</v>
      </c>
      <c r="AH3" s="124" t="s">
        <v>1555</v>
      </c>
      <c r="AI3" s="124" t="s">
        <v>1556</v>
      </c>
      <c r="AJ3" s="124" t="s">
        <v>1557</v>
      </c>
      <c r="AK3" s="149" t="s">
        <v>1575</v>
      </c>
      <c r="AL3" s="152" t="s">
        <v>1525</v>
      </c>
    </row>
    <row r="4" spans="1:38" ht="14" x14ac:dyDescent="0.3">
      <c r="A4" s="148" t="s">
        <v>413</v>
      </c>
      <c r="B4" s="215" t="str">
        <f t="shared" ref="B4:B8" si="0">C4&amp;"_"&amp;D4</f>
        <v>INSTRUMENT_COD_SOC</v>
      </c>
      <c r="C4" s="81" t="s">
        <v>414</v>
      </c>
      <c r="D4" s="82" t="s">
        <v>12</v>
      </c>
      <c r="E4" s="83" t="s">
        <v>14</v>
      </c>
      <c r="F4" s="84" t="s">
        <v>13</v>
      </c>
      <c r="G4" s="84" t="s">
        <v>13</v>
      </c>
      <c r="H4" s="84" t="s">
        <v>13</v>
      </c>
      <c r="I4" s="84" t="s">
        <v>11</v>
      </c>
      <c r="J4" s="84" t="s">
        <v>13</v>
      </c>
      <c r="K4" s="84" t="s">
        <v>13</v>
      </c>
      <c r="L4" s="85" t="str">
        <f>IFERROR(VLOOKUP($B4,'LISTA - Atual'!$B$1:$I$444,5,0),"Novo")</f>
        <v>Y</v>
      </c>
      <c r="M4" s="85" t="str">
        <f t="shared" ref="M4:M7" si="1">IF(L4="Novo","Novo Campo",IF(L4=F4,"Igual","Diferente"))</f>
        <v>Igual</v>
      </c>
      <c r="N4" s="85" t="str">
        <f>IFERROR(VLOOKUP($B4,'LISTA - Atual'!$B$1:$I$444,6,0),"Novo")</f>
        <v>Y</v>
      </c>
      <c r="O4" s="85" t="str">
        <f t="shared" ref="O4:O7" si="2">IF(N4="Novo","Novo Campo",IF(N4=G4,"Igual","Diferente"))</f>
        <v>Igual</v>
      </c>
      <c r="P4" s="85" t="str">
        <f>IFERROR(VLOOKUP($B4,'LISTA - Atual'!$B$1:$I$444,7,0),"Novo")</f>
        <v>Y</v>
      </c>
      <c r="Q4" s="85" t="str">
        <f t="shared" ref="Q4:Q7" si="3">IF(P4="Novo","Novo Campo",IF(P4=H4,"Igual","Diferente"))</f>
        <v>Igual</v>
      </c>
      <c r="R4" s="85" t="s">
        <v>1473</v>
      </c>
      <c r="S4" s="85" t="str">
        <f>IFERROR(VLOOKUP($B4,'LISTA - Atual'!$B$1:$I$444,8,0),"Novo")</f>
        <v>Y</v>
      </c>
      <c r="T4" s="85" t="str">
        <f t="shared" ref="T4:T7" si="4">IF(S4="Novo","Novo Campo",IF(S4=J4,"Igual","Diferente"))</f>
        <v>Igual</v>
      </c>
      <c r="U4" s="85" t="s">
        <v>1473</v>
      </c>
      <c r="V4" s="85" t="s">
        <v>11</v>
      </c>
      <c r="W4" s="86" t="str">
        <f>IFERROR(VLOOKUP(B4,#REF!,11,0),"n/a")</f>
        <v>n/a</v>
      </c>
      <c r="X4" s="86" t="str">
        <f>IFERROR(VLOOKUP(B4,#REF!,8,0),"n/a")</f>
        <v>n/a</v>
      </c>
      <c r="Y4" s="86" t="str">
        <f t="shared" ref="Y4:Y14" si="5">$F$2&amp;$Y$1&amp;$G$2&amp;$Y$1&amp;$H$2</f>
        <v>ESTR &amp; GD &amp; PILAR3</v>
      </c>
      <c r="Z4" s="121" t="s">
        <v>1514</v>
      </c>
      <c r="AA4" s="214" t="str">
        <f>VLOOKUP(Table1[[#This Row],[CONCAT]],'[1]1. Tipologias Testes GD'!$F:$L,7,0)</f>
        <v>Baixa</v>
      </c>
      <c r="AB4" s="86" t="s">
        <v>1558</v>
      </c>
      <c r="AC4" s="125" t="s">
        <v>1574</v>
      </c>
      <c r="AD4" s="87">
        <v>0</v>
      </c>
      <c r="AE4" s="90">
        <f>INDEX(Auxiliar!$D$5:$I$10,MATCH('Lista - Âmbito Projeto GD'!AE$3,Auxiliar!$B$5:$B$10,0),MATCH('Lista - Âmbito Projeto GD'!$AC4,Auxiliar!$D$4:$I$4,0))</f>
        <v>1</v>
      </c>
      <c r="AF4" s="86">
        <f>INDEX(Auxiliar!$D$5:$I$10,MATCH('Lista - Âmbito Projeto GD'!AF$3,Auxiliar!$B$5:$B$10,0),MATCH('Lista - Âmbito Projeto GD'!$AC4,Auxiliar!$D$4:$I$4,0))</f>
        <v>1</v>
      </c>
      <c r="AG4" s="86" t="str">
        <f t="shared" ref="AG4" si="6">IF(OR(AB4="Code List",AB4="Y, N"),AC4,"n.a.")</f>
        <v>n.a.</v>
      </c>
      <c r="AH4" s="86">
        <f>INDEX(Auxiliar!$D$5:$I$10,MATCH('Lista - Âmbito Projeto GD'!AH$3,Auxiliar!$B$5:$B$10,0),MATCH('Lista - Âmbito Projeto GD'!$AG4,Auxiliar!$D$4:$I$4,0))</f>
        <v>0</v>
      </c>
      <c r="AI4" s="86">
        <f>INDEX(Auxiliar!$D$5:$I$10,MATCH('Lista - Âmbito Projeto GD'!AI$3,Auxiliar!$B$5:$B$10,0),MATCH('Lista - Âmbito Projeto GD'!$AC4,Auxiliar!$D$4:$I$4,0))</f>
        <v>0.5</v>
      </c>
      <c r="AJ4" s="86">
        <f>INDEX(Auxiliar!$D$5:$I$10,MATCH('Lista - Âmbito Projeto GD'!AJ$3,Auxiliar!$B$5:$B$10,0),MATCH('Lista - Âmbito Projeto GD'!$AC4,Auxiliar!$D$4:$I$4,0))</f>
        <v>1</v>
      </c>
      <c r="AK4" s="150">
        <f t="shared" ref="AK4" si="7">SUM(AF4,AH4:AJ4)</f>
        <v>2.5</v>
      </c>
      <c r="AL4" s="86"/>
    </row>
    <row r="5" spans="1:38" ht="14" x14ac:dyDescent="0.3">
      <c r="A5" s="148" t="s">
        <v>415</v>
      </c>
      <c r="B5" s="215" t="str">
        <f t="shared" si="0"/>
        <v>INSTRUMENT_SUBPORTFOLIO_ID</v>
      </c>
      <c r="C5" s="81" t="s">
        <v>414</v>
      </c>
      <c r="D5" s="82" t="s">
        <v>416</v>
      </c>
      <c r="E5" s="83" t="s">
        <v>417</v>
      </c>
      <c r="F5" s="84" t="s">
        <v>13</v>
      </c>
      <c r="G5" s="84" t="s">
        <v>13</v>
      </c>
      <c r="H5" s="84" t="s">
        <v>13</v>
      </c>
      <c r="I5" s="84" t="s">
        <v>11</v>
      </c>
      <c r="J5" s="84" t="s">
        <v>13</v>
      </c>
      <c r="K5" s="84" t="s">
        <v>13</v>
      </c>
      <c r="L5" s="85" t="str">
        <f>IFERROR(VLOOKUP($B5,'LISTA - Atual'!$B$1:$I$444,5,0),"Novo")</f>
        <v>Y</v>
      </c>
      <c r="M5" s="85" t="str">
        <f t="shared" si="1"/>
        <v>Igual</v>
      </c>
      <c r="N5" s="85" t="str">
        <f>IFERROR(VLOOKUP($B5,'LISTA - Atual'!$B$1:$I$444,6,0),"Novo")</f>
        <v>Y</v>
      </c>
      <c r="O5" s="85" t="str">
        <f t="shared" si="2"/>
        <v>Igual</v>
      </c>
      <c r="P5" s="85" t="str">
        <f>IFERROR(VLOOKUP($B5,'LISTA - Atual'!$B$1:$I$444,7,0),"Novo")</f>
        <v>Y</v>
      </c>
      <c r="Q5" s="85" t="str">
        <f t="shared" si="3"/>
        <v>Igual</v>
      </c>
      <c r="R5" s="85" t="s">
        <v>1473</v>
      </c>
      <c r="S5" s="85" t="str">
        <f>IFERROR(VLOOKUP($B5,'LISTA - Atual'!$B$1:$I$444,8,0),"Novo")</f>
        <v>Y</v>
      </c>
      <c r="T5" s="85" t="str">
        <f t="shared" si="4"/>
        <v>Igual</v>
      </c>
      <c r="U5" s="85" t="s">
        <v>1473</v>
      </c>
      <c r="V5" s="85" t="s">
        <v>11</v>
      </c>
      <c r="W5" s="86" t="str">
        <f>IFERROR(VLOOKUP(B5,#REF!,11,0),"n/a")</f>
        <v>n/a</v>
      </c>
      <c r="X5" s="86" t="str">
        <f>IFERROR(VLOOKUP(B5,#REF!,8,0),"n/a")</f>
        <v>n/a</v>
      </c>
      <c r="Y5" s="86" t="str">
        <f t="shared" si="5"/>
        <v>ESTR &amp; GD &amp; PILAR3</v>
      </c>
      <c r="Z5" s="121" t="s">
        <v>1514</v>
      </c>
      <c r="AA5" s="214" t="str">
        <f>VLOOKUP(Table1[[#This Row],[CONCAT]],'[1]1. Tipologias Testes GD'!$F:$L,7,0)</f>
        <v>Baixa</v>
      </c>
      <c r="AB5" s="86" t="s">
        <v>1559</v>
      </c>
      <c r="AC5" s="125" t="s">
        <v>1574</v>
      </c>
      <c r="AD5" s="87">
        <v>0</v>
      </c>
      <c r="AE5" s="90">
        <f>INDEX(Auxiliar!$D$5:$I$10,MATCH('Lista - Âmbito Projeto GD'!AE$3,Auxiliar!$B$5:$B$10,0),MATCH('Lista - Âmbito Projeto GD'!$AC5,Auxiliar!$D$4:$I$4,0))</f>
        <v>1</v>
      </c>
      <c r="AF5" s="86">
        <f>INDEX(Auxiliar!$D$5:$I$10,MATCH('Lista - Âmbito Projeto GD'!AF$3,Auxiliar!$B$5:$B$10,0),MATCH('Lista - Âmbito Projeto GD'!$AC5,Auxiliar!$D$4:$I$4,0))</f>
        <v>1</v>
      </c>
      <c r="AG5" s="87" t="s">
        <v>1534</v>
      </c>
      <c r="AH5" s="86">
        <f>INDEX(Auxiliar!$D$5:$I$10,MATCH('Lista - Âmbito Projeto GD'!AH$3,Auxiliar!$B$5:$B$10,0),MATCH('Lista - Âmbito Projeto GD'!$AG5,Auxiliar!$D$4:$I$4,0))</f>
        <v>0</v>
      </c>
      <c r="AI5" s="86">
        <f>INDEX(Auxiliar!$D$5:$I$10,MATCH('Lista - Âmbito Projeto GD'!AI$3,Auxiliar!$B$5:$B$10,0),MATCH('Lista - Âmbito Projeto GD'!$AC5,Auxiliar!$D$4:$I$4,0))</f>
        <v>0.5</v>
      </c>
      <c r="AJ5" s="86">
        <f>INDEX(Auxiliar!$D$5:$I$10,MATCH('Lista - Âmbito Projeto GD'!AJ$3,Auxiliar!$B$5:$B$10,0),MATCH('Lista - Âmbito Projeto GD'!$AC5,Auxiliar!$D$4:$I$4,0))</f>
        <v>1</v>
      </c>
      <c r="AK5" s="150">
        <f t="shared" ref="AK5" si="8">SUM(AF5,AH5:AJ5)</f>
        <v>2.5</v>
      </c>
      <c r="AL5" s="86"/>
    </row>
    <row r="6" spans="1:38" ht="14" x14ac:dyDescent="0.3">
      <c r="A6" s="148" t="s">
        <v>430</v>
      </c>
      <c r="B6" s="215" t="str">
        <f t="shared" si="0"/>
        <v>INSTRUMENT_DT_RFRNC</v>
      </c>
      <c r="C6" s="81" t="s">
        <v>414</v>
      </c>
      <c r="D6" s="82" t="s">
        <v>38</v>
      </c>
      <c r="E6" s="83" t="s">
        <v>402</v>
      </c>
      <c r="F6" s="84" t="s">
        <v>13</v>
      </c>
      <c r="G6" s="84" t="s">
        <v>13</v>
      </c>
      <c r="H6" s="84" t="s">
        <v>13</v>
      </c>
      <c r="I6" s="84" t="s">
        <v>11</v>
      </c>
      <c r="J6" s="84" t="s">
        <v>13</v>
      </c>
      <c r="K6" s="84" t="s">
        <v>13</v>
      </c>
      <c r="L6" s="85" t="str">
        <f>IFERROR(VLOOKUP($B6,'LISTA - Atual'!$B$1:$I$444,5,0),"Novo")</f>
        <v>Y</v>
      </c>
      <c r="M6" s="85" t="str">
        <f t="shared" si="1"/>
        <v>Igual</v>
      </c>
      <c r="N6" s="85" t="str">
        <f>IFERROR(VLOOKUP($B6,'LISTA - Atual'!$B$1:$I$444,6,0),"Novo")</f>
        <v>Y</v>
      </c>
      <c r="O6" s="85" t="str">
        <f t="shared" si="2"/>
        <v>Igual</v>
      </c>
      <c r="P6" s="85" t="str">
        <f>IFERROR(VLOOKUP($B6,'LISTA - Atual'!$B$1:$I$444,7,0),"Novo")</f>
        <v>Y</v>
      </c>
      <c r="Q6" s="85" t="str">
        <f t="shared" si="3"/>
        <v>Igual</v>
      </c>
      <c r="R6" s="85" t="s">
        <v>1473</v>
      </c>
      <c r="S6" s="85" t="str">
        <f>IFERROR(VLOOKUP($B6,'LISTA - Atual'!$B$1:$I$444,8,0),"Novo")</f>
        <v>Y</v>
      </c>
      <c r="T6" s="85" t="str">
        <f t="shared" si="4"/>
        <v>Igual</v>
      </c>
      <c r="U6" s="85" t="s">
        <v>1473</v>
      </c>
      <c r="V6" s="85" t="s">
        <v>11</v>
      </c>
      <c r="W6" s="86" t="str">
        <f>IFERROR(VLOOKUP(B6,#REF!,11,0),"n/a")</f>
        <v>n/a</v>
      </c>
      <c r="X6" s="86" t="str">
        <f>IFERROR(VLOOKUP(B6,#REF!,8,0),"n/a")</f>
        <v>n/a</v>
      </c>
      <c r="Y6" s="86" t="str">
        <f t="shared" si="5"/>
        <v>ESTR &amp; GD &amp; PILAR3</v>
      </c>
      <c r="Z6" s="121" t="s">
        <v>1514</v>
      </c>
      <c r="AA6" s="214" t="str">
        <f>VLOOKUP(Table1[[#This Row],[CONCAT]],'[1]1. Tipologias Testes GD'!$F:$L,7,0)</f>
        <v>Baixa</v>
      </c>
      <c r="AB6" s="86" t="s">
        <v>1560</v>
      </c>
      <c r="AC6" s="125" t="s">
        <v>1574</v>
      </c>
      <c r="AD6" s="87">
        <v>0</v>
      </c>
      <c r="AE6" s="90">
        <f>INDEX(Auxiliar!$D$5:$I$10,MATCH('Lista - Âmbito Projeto GD'!AE$3,Auxiliar!$B$5:$B$10,0),MATCH('Lista - Âmbito Projeto GD'!$AC6,Auxiliar!$D$4:$I$4,0))</f>
        <v>1</v>
      </c>
      <c r="AF6" s="86">
        <f>INDEX(Auxiliar!$D$5:$I$10,MATCH('Lista - Âmbito Projeto GD'!AF$3,Auxiliar!$B$5:$B$10,0),MATCH('Lista - Âmbito Projeto GD'!$AC6,Auxiliar!$D$4:$I$4,0))</f>
        <v>1</v>
      </c>
      <c r="AG6" s="86" t="str">
        <f t="shared" ref="AG6:AG7" si="9">IF(OR(AB6="Code List",AB6="Y, N"),AC6,"n.a.")</f>
        <v>n.a.</v>
      </c>
      <c r="AH6" s="86">
        <f>INDEX(Auxiliar!$D$5:$I$10,MATCH('Lista - Âmbito Projeto GD'!AH$3,Auxiliar!$B$5:$B$10,0),MATCH('Lista - Âmbito Projeto GD'!$AG6,Auxiliar!$D$4:$I$4,0))</f>
        <v>0</v>
      </c>
      <c r="AI6" s="86">
        <f>INDEX(Auxiliar!$D$5:$I$10,MATCH('Lista - Âmbito Projeto GD'!AI$3,Auxiliar!$B$5:$B$10,0),MATCH('Lista - Âmbito Projeto GD'!$AC6,Auxiliar!$D$4:$I$4,0))</f>
        <v>0.5</v>
      </c>
      <c r="AJ6" s="86">
        <f>INDEX(Auxiliar!$D$5:$I$10,MATCH('Lista - Âmbito Projeto GD'!AJ$3,Auxiliar!$B$5:$B$10,0),MATCH('Lista - Âmbito Projeto GD'!$AC6,Auxiliar!$D$4:$I$4,0))</f>
        <v>1</v>
      </c>
      <c r="AK6" s="150">
        <f t="shared" ref="AK6:AK7" si="10">SUM(AF6,AH6:AJ6)</f>
        <v>2.5</v>
      </c>
      <c r="AL6" s="86"/>
    </row>
    <row r="7" spans="1:38" ht="14" x14ac:dyDescent="0.3">
      <c r="A7" s="148" t="s">
        <v>431</v>
      </c>
      <c r="B7" s="215" t="str">
        <f t="shared" si="0"/>
        <v>INSTRUMENT_INSTRMNT_ID</v>
      </c>
      <c r="C7" s="81" t="s">
        <v>414</v>
      </c>
      <c r="D7" s="82" t="s">
        <v>405</v>
      </c>
      <c r="E7" s="83" t="s">
        <v>406</v>
      </c>
      <c r="F7" s="84" t="s">
        <v>13</v>
      </c>
      <c r="G7" s="84" t="s">
        <v>13</v>
      </c>
      <c r="H7" s="84" t="s">
        <v>13</v>
      </c>
      <c r="I7" s="84" t="s">
        <v>11</v>
      </c>
      <c r="J7" s="84" t="s">
        <v>13</v>
      </c>
      <c r="K7" s="84" t="s">
        <v>13</v>
      </c>
      <c r="L7" s="85" t="str">
        <f>IFERROR(VLOOKUP($B7,'LISTA - Atual'!$B$1:$I$444,5,0),"Novo")</f>
        <v>Y</v>
      </c>
      <c r="M7" s="85" t="str">
        <f t="shared" si="1"/>
        <v>Igual</v>
      </c>
      <c r="N7" s="85" t="str">
        <f>IFERROR(VLOOKUP($B7,'LISTA - Atual'!$B$1:$I$444,6,0),"Novo")</f>
        <v>Y</v>
      </c>
      <c r="O7" s="85" t="str">
        <f t="shared" si="2"/>
        <v>Igual</v>
      </c>
      <c r="P7" s="85" t="str">
        <f>IFERROR(VLOOKUP($B7,'LISTA - Atual'!$B$1:$I$444,7,0),"Novo")</f>
        <v>Y</v>
      </c>
      <c r="Q7" s="85" t="str">
        <f t="shared" si="3"/>
        <v>Igual</v>
      </c>
      <c r="R7" s="85" t="s">
        <v>1473</v>
      </c>
      <c r="S7" s="85" t="str">
        <f>IFERROR(VLOOKUP($B7,'LISTA - Atual'!$B$1:$I$444,8,0),"Novo")</f>
        <v>Y</v>
      </c>
      <c r="T7" s="85" t="str">
        <f t="shared" si="4"/>
        <v>Igual</v>
      </c>
      <c r="U7" s="85" t="s">
        <v>1473</v>
      </c>
      <c r="V7" s="85" t="s">
        <v>11</v>
      </c>
      <c r="W7" s="86" t="str">
        <f>IFERROR(VLOOKUP(B7,#REF!,11,0),"n/a")</f>
        <v>n/a</v>
      </c>
      <c r="X7" s="86" t="str">
        <f>IFERROR(VLOOKUP(B7,#REF!,8,0),"n/a")</f>
        <v>n/a</v>
      </c>
      <c r="Y7" s="86" t="str">
        <f t="shared" si="5"/>
        <v>ESTR &amp; GD &amp; PILAR3</v>
      </c>
      <c r="Z7" s="121" t="s">
        <v>1514</v>
      </c>
      <c r="AA7" s="214" t="str">
        <f>VLOOKUP(Table1[[#This Row],[CONCAT]],'[1]1. Tipologias Testes GD'!$F:$L,7,0)</f>
        <v>Alta</v>
      </c>
      <c r="AB7" s="86" t="s">
        <v>1566</v>
      </c>
      <c r="AC7" s="125" t="s">
        <v>1577</v>
      </c>
      <c r="AD7" s="87">
        <v>0</v>
      </c>
      <c r="AE7" s="90">
        <f>INDEX(Auxiliar!$D$5:$I$10,MATCH('Lista - Âmbito Projeto GD'!AE$3,Auxiliar!$B$5:$B$10,0),MATCH('Lista - Âmbito Projeto GD'!$AC7,Auxiliar!$D$4:$I$4,0))</f>
        <v>8</v>
      </c>
      <c r="AF7" s="86">
        <f>INDEX(Auxiliar!$D$5:$I$10,MATCH('Lista - Âmbito Projeto GD'!AF$3,Auxiliar!$B$5:$B$10,0),MATCH('Lista - Âmbito Projeto GD'!$AC7,Auxiliar!$D$4:$I$4,0))</f>
        <v>3</v>
      </c>
      <c r="AG7" s="86" t="str">
        <f t="shared" si="9"/>
        <v>n.a.</v>
      </c>
      <c r="AH7" s="86">
        <f>INDEX(Auxiliar!$D$5:$I$10,MATCH('Lista - Âmbito Projeto GD'!AH$3,Auxiliar!$B$5:$B$10,0),MATCH('Lista - Âmbito Projeto GD'!$AG7,Auxiliar!$D$4:$I$4,0))</f>
        <v>0</v>
      </c>
      <c r="AI7" s="86">
        <f>INDEX(Auxiliar!$D$5:$I$10,MATCH('Lista - Âmbito Projeto GD'!AI$3,Auxiliar!$B$5:$B$10,0),MATCH('Lista - Âmbito Projeto GD'!$AC7,Auxiliar!$D$4:$I$4,0))</f>
        <v>1</v>
      </c>
      <c r="AJ7" s="86">
        <f>INDEX(Auxiliar!$D$5:$I$10,MATCH('Lista - Âmbito Projeto GD'!AJ$3,Auxiliar!$B$5:$B$10,0),MATCH('Lista - Âmbito Projeto GD'!$AC7,Auxiliar!$D$4:$I$4,0))</f>
        <v>2</v>
      </c>
      <c r="AK7" s="150">
        <f t="shared" si="10"/>
        <v>6</v>
      </c>
      <c r="AL7" s="86"/>
    </row>
    <row r="8" spans="1:38" ht="14" x14ac:dyDescent="0.3">
      <c r="A8" s="148" t="s">
        <v>465</v>
      </c>
      <c r="B8" s="215" t="str">
        <f t="shared" si="0"/>
        <v>INSTRUMENT_DFLT_STTS_INSTRMNT</v>
      </c>
      <c r="C8" s="81" t="s">
        <v>414</v>
      </c>
      <c r="D8" s="96" t="s">
        <v>466</v>
      </c>
      <c r="E8" s="97" t="s">
        <v>467</v>
      </c>
      <c r="F8" s="84" t="s">
        <v>13</v>
      </c>
      <c r="G8" s="84" t="s">
        <v>13</v>
      </c>
      <c r="H8" s="84" t="s">
        <v>13</v>
      </c>
      <c r="I8" s="84" t="s">
        <v>11</v>
      </c>
      <c r="J8" s="84" t="s">
        <v>11</v>
      </c>
      <c r="K8" s="84" t="s">
        <v>13</v>
      </c>
      <c r="L8" s="85" t="str">
        <f>IFERROR(VLOOKUP($B8,'LISTA - Atual'!$B$1:$I$444,5,0),"Novo")</f>
        <v>Y</v>
      </c>
      <c r="M8" s="85" t="str">
        <f t="shared" ref="M8:M17" si="11">IF(L8="Novo","Novo Campo",IF(L8=F8,"Igual","Diferente"))</f>
        <v>Igual</v>
      </c>
      <c r="N8" s="85" t="str">
        <f>IFERROR(VLOOKUP($B8,'LISTA - Atual'!$B$1:$I$444,6,0),"Novo")</f>
        <v>Y</v>
      </c>
      <c r="O8" s="85" t="str">
        <f t="shared" ref="O8:O17" si="12">IF(N8="Novo","Novo Campo",IF(N8=G8,"Igual","Diferente"))</f>
        <v>Igual</v>
      </c>
      <c r="P8" s="85" t="str">
        <f>IFERROR(VLOOKUP($B8,'LISTA - Atual'!$B$1:$I$444,7,0),"Novo")</f>
        <v>Y</v>
      </c>
      <c r="Q8" s="85" t="str">
        <f t="shared" ref="Q8:Q17" si="13">IF(P8="Novo","Novo Campo",IF(P8=H8,"Igual","Diferente"))</f>
        <v>Igual</v>
      </c>
      <c r="R8" s="85" t="s">
        <v>1473</v>
      </c>
      <c r="S8" s="85" t="str">
        <f>IFERROR(VLOOKUP($B8,'LISTA - Atual'!$B$1:$I$444,8,0),"Novo")</f>
        <v>N</v>
      </c>
      <c r="T8" s="85" t="str">
        <f t="shared" ref="T8:T17" si="14">IF(S8="Novo","Novo Campo",IF(S8=J8,"Igual","Diferente"))</f>
        <v>Igual</v>
      </c>
      <c r="U8" s="85" t="s">
        <v>1473</v>
      </c>
      <c r="V8" s="85" t="s">
        <v>11</v>
      </c>
      <c r="W8" s="86" t="str">
        <f>IFERROR(VLOOKUP(B8,#REF!,11,0),"n/a")</f>
        <v>n/a</v>
      </c>
      <c r="X8" s="87" t="str">
        <f>IFERROR(VLOOKUP(B8,#REF!,8,0),"n/a")</f>
        <v>n/a</v>
      </c>
      <c r="Y8" s="86" t="str">
        <f t="shared" si="5"/>
        <v>ESTR &amp; GD &amp; PILAR3</v>
      </c>
      <c r="Z8" s="121" t="s">
        <v>1514</v>
      </c>
      <c r="AA8" s="214" t="str">
        <f>VLOOKUP(Table1[[#This Row],[CONCAT]],'[1]1. Tipologias Testes GD'!$F:$L,7,0)</f>
        <v>Baixa</v>
      </c>
      <c r="AB8" s="86" t="s">
        <v>1559</v>
      </c>
      <c r="AC8" s="125" t="s">
        <v>1574</v>
      </c>
      <c r="AD8" s="87">
        <v>0</v>
      </c>
      <c r="AE8" s="90">
        <f>INDEX(Auxiliar!$D$5:$I$10,MATCH('Lista - Âmbito Projeto GD'!AE$3,Auxiliar!$B$5:$B$10,0),MATCH('Lista - Âmbito Projeto GD'!$AC8,Auxiliar!$D$4:$I$4,0))</f>
        <v>1</v>
      </c>
      <c r="AF8" s="86">
        <f>INDEX(Auxiliar!$D$5:$I$10,MATCH('Lista - Âmbito Projeto GD'!AF$3,Auxiliar!$B$5:$B$10,0),MATCH('Lista - Âmbito Projeto GD'!$AC8,Auxiliar!$D$4:$I$4,0))</f>
        <v>1</v>
      </c>
      <c r="AG8" s="87" t="s">
        <v>1534</v>
      </c>
      <c r="AH8" s="86">
        <f>INDEX(Auxiliar!$D$5:$I$10,MATCH('Lista - Âmbito Projeto GD'!AH$3,Auxiliar!$B$5:$B$10,0),MATCH('Lista - Âmbito Projeto GD'!$AG8,Auxiliar!$D$4:$I$4,0))</f>
        <v>0</v>
      </c>
      <c r="AI8" s="86">
        <f>INDEX(Auxiliar!$D$5:$I$10,MATCH('Lista - Âmbito Projeto GD'!AI$3,Auxiliar!$B$5:$B$10,0),MATCH('Lista - Âmbito Projeto GD'!$AC8,Auxiliar!$D$4:$I$4,0))</f>
        <v>0.5</v>
      </c>
      <c r="AJ8" s="86">
        <f>INDEX(Auxiliar!$D$5:$I$10,MATCH('Lista - Âmbito Projeto GD'!AJ$3,Auxiliar!$B$5:$B$10,0),MATCH('Lista - Âmbito Projeto GD'!$AC8,Auxiliar!$D$4:$I$4,0))</f>
        <v>1</v>
      </c>
      <c r="AK8" s="150">
        <f t="shared" ref="AK8" si="15">SUM(AF8,AH8:AJ8)</f>
        <v>2.5</v>
      </c>
      <c r="AL8" s="86" t="s">
        <v>1578</v>
      </c>
    </row>
    <row r="9" spans="1:38" ht="14" x14ac:dyDescent="0.3">
      <c r="A9" s="148" t="s">
        <v>503</v>
      </c>
      <c r="B9" s="215" t="str">
        <f t="shared" ref="B9:B18" si="16">C9&amp;"_"&amp;D9</f>
        <v>INSTRUMENT_IMPRMNT_STTS</v>
      </c>
      <c r="C9" s="81" t="s">
        <v>414</v>
      </c>
      <c r="D9" s="82" t="s">
        <v>504</v>
      </c>
      <c r="E9" s="83" t="s">
        <v>505</v>
      </c>
      <c r="F9" s="84" t="s">
        <v>13</v>
      </c>
      <c r="G9" s="84" t="s">
        <v>13</v>
      </c>
      <c r="H9" s="84" t="s">
        <v>13</v>
      </c>
      <c r="I9" s="84" t="s">
        <v>11</v>
      </c>
      <c r="J9" s="84" t="s">
        <v>11</v>
      </c>
      <c r="K9" s="84" t="s">
        <v>13</v>
      </c>
      <c r="L9" s="85" t="str">
        <f>IFERROR(VLOOKUP($B9,'LISTA - Atual'!$B$1:$I$444,5,0),"Novo")</f>
        <v>Y</v>
      </c>
      <c r="M9" s="85" t="str">
        <f t="shared" si="11"/>
        <v>Igual</v>
      </c>
      <c r="N9" s="85" t="str">
        <f>IFERROR(VLOOKUP($B9,'LISTA - Atual'!$B$1:$I$444,6,0),"Novo")</f>
        <v>Y</v>
      </c>
      <c r="O9" s="85" t="str">
        <f t="shared" si="12"/>
        <v>Igual</v>
      </c>
      <c r="P9" s="85" t="str">
        <f>IFERROR(VLOOKUP($B9,'LISTA - Atual'!$B$1:$I$444,7,0),"Novo")</f>
        <v>Y</v>
      </c>
      <c r="Q9" s="85" t="str">
        <f t="shared" si="13"/>
        <v>Igual</v>
      </c>
      <c r="R9" s="85" t="s">
        <v>1473</v>
      </c>
      <c r="S9" s="85" t="str">
        <f>IFERROR(VLOOKUP($B9,'LISTA - Atual'!$B$1:$I$444,8,0),"Novo")</f>
        <v>N</v>
      </c>
      <c r="T9" s="85" t="str">
        <f t="shared" si="14"/>
        <v>Igual</v>
      </c>
      <c r="U9" s="85" t="s">
        <v>1473</v>
      </c>
      <c r="V9" s="85" t="s">
        <v>11</v>
      </c>
      <c r="W9" s="86" t="str">
        <f>IFERROR(VLOOKUP(B9,#REF!,11,0),"n/a")</f>
        <v>n/a</v>
      </c>
      <c r="X9" s="86" t="str">
        <f>IFERROR(VLOOKUP(B9,#REF!,8,0),"n/a")</f>
        <v>n/a</v>
      </c>
      <c r="Y9" s="86" t="str">
        <f t="shared" si="5"/>
        <v>ESTR &amp; GD &amp; PILAR3</v>
      </c>
      <c r="Z9" s="121" t="s">
        <v>1514</v>
      </c>
      <c r="AA9" s="214" t="str">
        <f>VLOOKUP(Table1[[#This Row],[CONCAT]],'[1]1. Tipologias Testes GD'!$F:$L,7,0)</f>
        <v>Baixa</v>
      </c>
      <c r="AB9" s="86" t="s">
        <v>1559</v>
      </c>
      <c r="AC9" s="125" t="s">
        <v>1574</v>
      </c>
      <c r="AD9" s="87">
        <v>0</v>
      </c>
      <c r="AE9" s="90">
        <f>INDEX(Auxiliar!$D$5:$I$10,MATCH('Lista - Âmbito Projeto GD'!AE$3,Auxiliar!$B$5:$B$10,0),MATCH('Lista - Âmbito Projeto GD'!$AC9,Auxiliar!$D$4:$I$4,0))</f>
        <v>1</v>
      </c>
      <c r="AF9" s="86">
        <f>INDEX(Auxiliar!$D$5:$I$10,MATCH('Lista - Âmbito Projeto GD'!AF$3,Auxiliar!$B$5:$B$10,0),MATCH('Lista - Âmbito Projeto GD'!$AC9,Auxiliar!$D$4:$I$4,0))</f>
        <v>1</v>
      </c>
      <c r="AG9" s="87" t="s">
        <v>1534</v>
      </c>
      <c r="AH9" s="86">
        <f>INDEX(Auxiliar!$D$5:$I$10,MATCH('Lista - Âmbito Projeto GD'!AH$3,Auxiliar!$B$5:$B$10,0),MATCH('Lista - Âmbito Projeto GD'!$AG9,Auxiliar!$D$4:$I$4,0))</f>
        <v>0</v>
      </c>
      <c r="AI9" s="86">
        <f>INDEX(Auxiliar!$D$5:$I$10,MATCH('Lista - Âmbito Projeto GD'!AI$3,Auxiliar!$B$5:$B$10,0),MATCH('Lista - Âmbito Projeto GD'!$AC9,Auxiliar!$D$4:$I$4,0))</f>
        <v>0.5</v>
      </c>
      <c r="AJ9" s="86">
        <f>INDEX(Auxiliar!$D$5:$I$10,MATCH('Lista - Âmbito Projeto GD'!AJ$3,Auxiliar!$B$5:$B$10,0),MATCH('Lista - Âmbito Projeto GD'!$AC9,Auxiliar!$D$4:$I$4,0))</f>
        <v>1</v>
      </c>
      <c r="AK9" s="150">
        <f t="shared" ref="AK9" si="17">SUM(AF9,AH9:AJ9)</f>
        <v>2.5</v>
      </c>
      <c r="AL9" s="86" t="s">
        <v>1579</v>
      </c>
    </row>
    <row r="10" spans="1:38" ht="14" x14ac:dyDescent="0.3">
      <c r="A10" s="148" t="s">
        <v>527</v>
      </c>
      <c r="B10" s="215" t="str">
        <f t="shared" si="16"/>
        <v>INSTRUMENT_PRFRMNG_STTS</v>
      </c>
      <c r="C10" s="81" t="s">
        <v>414</v>
      </c>
      <c r="D10" s="82" t="s">
        <v>528</v>
      </c>
      <c r="E10" s="83" t="s">
        <v>141</v>
      </c>
      <c r="F10" s="84" t="s">
        <v>13</v>
      </c>
      <c r="G10" s="84" t="s">
        <v>13</v>
      </c>
      <c r="H10" s="84" t="s">
        <v>13</v>
      </c>
      <c r="I10" s="84" t="s">
        <v>11</v>
      </c>
      <c r="J10" s="84" t="s">
        <v>11</v>
      </c>
      <c r="K10" s="84" t="s">
        <v>13</v>
      </c>
      <c r="L10" s="85" t="str">
        <f>IFERROR(VLOOKUP($B10,'LISTA - Atual'!$B$1:$I$444,5,0),"Novo")</f>
        <v>Y</v>
      </c>
      <c r="M10" s="85" t="str">
        <f t="shared" si="11"/>
        <v>Igual</v>
      </c>
      <c r="N10" s="85" t="str">
        <f>IFERROR(VLOOKUP($B10,'LISTA - Atual'!$B$1:$I$444,6,0),"Novo")</f>
        <v>Y</v>
      </c>
      <c r="O10" s="85" t="str">
        <f t="shared" si="12"/>
        <v>Igual</v>
      </c>
      <c r="P10" s="85" t="str">
        <f>IFERROR(VLOOKUP($B10,'LISTA - Atual'!$B$1:$I$444,7,0),"Novo")</f>
        <v>Y</v>
      </c>
      <c r="Q10" s="85" t="str">
        <f t="shared" si="13"/>
        <v>Igual</v>
      </c>
      <c r="R10" s="85" t="s">
        <v>1473</v>
      </c>
      <c r="S10" s="85" t="str">
        <f>IFERROR(VLOOKUP($B10,'LISTA - Atual'!$B$1:$I$444,8,0),"Novo")</f>
        <v>N</v>
      </c>
      <c r="T10" s="85" t="str">
        <f t="shared" si="14"/>
        <v>Igual</v>
      </c>
      <c r="U10" s="85" t="s">
        <v>1473</v>
      </c>
      <c r="V10" s="85" t="s">
        <v>11</v>
      </c>
      <c r="W10" s="86" t="str">
        <f>IFERROR(VLOOKUP(B10,#REF!,11,0),"n/a")</f>
        <v>n/a</v>
      </c>
      <c r="X10" s="86" t="str">
        <f>IFERROR(VLOOKUP(B10,#REF!,8,0),"n/a")</f>
        <v>n/a</v>
      </c>
      <c r="Y10" s="86" t="str">
        <f t="shared" si="5"/>
        <v>ESTR &amp; GD &amp; PILAR3</v>
      </c>
      <c r="Z10" s="121" t="s">
        <v>1514</v>
      </c>
      <c r="AA10" s="214" t="str">
        <f>VLOOKUP(Table1[[#This Row],[CONCAT]],'[1]1. Tipologias Testes GD'!$F:$L,7,0)</f>
        <v>Baixa</v>
      </c>
      <c r="AB10" s="86" t="s">
        <v>1559</v>
      </c>
      <c r="AC10" s="125" t="s">
        <v>1574</v>
      </c>
      <c r="AD10" s="87">
        <v>0</v>
      </c>
      <c r="AE10" s="90">
        <f>INDEX(Auxiliar!$D$5:$I$10,MATCH('Lista - Âmbito Projeto GD'!AE$3,Auxiliar!$B$5:$B$10,0),MATCH('Lista - Âmbito Projeto GD'!$AC10,Auxiliar!$D$4:$I$4,0))</f>
        <v>1</v>
      </c>
      <c r="AF10" s="86">
        <f>INDEX(Auxiliar!$D$5:$I$10,MATCH('Lista - Âmbito Projeto GD'!AF$3,Auxiliar!$B$5:$B$10,0),MATCH('Lista - Âmbito Projeto GD'!$AC10,Auxiliar!$D$4:$I$4,0))</f>
        <v>1</v>
      </c>
      <c r="AG10" s="87" t="s">
        <v>1534</v>
      </c>
      <c r="AH10" s="86">
        <f>INDEX(Auxiliar!$D$5:$I$10,MATCH('Lista - Âmbito Projeto GD'!AH$3,Auxiliar!$B$5:$B$10,0),MATCH('Lista - Âmbito Projeto GD'!$AG10,Auxiliar!$D$4:$I$4,0))</f>
        <v>0</v>
      </c>
      <c r="AI10" s="86">
        <f>INDEX(Auxiliar!$D$5:$I$10,MATCH('Lista - Âmbito Projeto GD'!AI$3,Auxiliar!$B$5:$B$10,0),MATCH('Lista - Âmbito Projeto GD'!$AC10,Auxiliar!$D$4:$I$4,0))</f>
        <v>0.5</v>
      </c>
      <c r="AJ10" s="86">
        <f>INDEX(Auxiliar!$D$5:$I$10,MATCH('Lista - Âmbito Projeto GD'!AJ$3,Auxiliar!$B$5:$B$10,0),MATCH('Lista - Âmbito Projeto GD'!$AC10,Auxiliar!$D$4:$I$4,0))</f>
        <v>1</v>
      </c>
      <c r="AK10" s="150">
        <f t="shared" ref="AK10:AK19" si="18">SUM(AF10,AH10:AJ10)</f>
        <v>2.5</v>
      </c>
      <c r="AL10" s="86" t="s">
        <v>1579</v>
      </c>
    </row>
    <row r="11" spans="1:38" ht="14" x14ac:dyDescent="0.3">
      <c r="A11" s="148" t="s">
        <v>559</v>
      </c>
      <c r="B11" s="215" t="str">
        <f t="shared" si="16"/>
        <v>INSTRUMENT_TYP_INSTRMNT</v>
      </c>
      <c r="C11" s="81" t="s">
        <v>414</v>
      </c>
      <c r="D11" s="96" t="s">
        <v>560</v>
      </c>
      <c r="E11" s="97" t="s">
        <v>561</v>
      </c>
      <c r="F11" s="84" t="s">
        <v>13</v>
      </c>
      <c r="G11" s="84" t="s">
        <v>13</v>
      </c>
      <c r="H11" s="84" t="s">
        <v>13</v>
      </c>
      <c r="I11" s="84" t="s">
        <v>11</v>
      </c>
      <c r="J11" s="84" t="s">
        <v>11</v>
      </c>
      <c r="K11" s="84" t="s">
        <v>13</v>
      </c>
      <c r="L11" s="85" t="str">
        <f>IFERROR(VLOOKUP($B11,'LISTA - Atual'!$B$1:$I$444,5,0),"Novo")</f>
        <v>Y</v>
      </c>
      <c r="M11" s="85" t="str">
        <f t="shared" si="11"/>
        <v>Igual</v>
      </c>
      <c r="N11" s="85" t="str">
        <f>IFERROR(VLOOKUP($B11,'LISTA - Atual'!$B$1:$I$444,6,0),"Novo")</f>
        <v>Y</v>
      </c>
      <c r="O11" s="85" t="str">
        <f t="shared" si="12"/>
        <v>Igual</v>
      </c>
      <c r="P11" s="85" t="str">
        <f>IFERROR(VLOOKUP($B11,'LISTA - Atual'!$B$1:$I$444,7,0),"Novo")</f>
        <v>Y</v>
      </c>
      <c r="Q11" s="85" t="str">
        <f t="shared" si="13"/>
        <v>Igual</v>
      </c>
      <c r="R11" s="85" t="s">
        <v>1473</v>
      </c>
      <c r="S11" s="85" t="str">
        <f>IFERROR(VLOOKUP($B11,'LISTA - Atual'!$B$1:$I$444,8,0),"Novo")</f>
        <v>N</v>
      </c>
      <c r="T11" s="85" t="str">
        <f t="shared" si="14"/>
        <v>Igual</v>
      </c>
      <c r="U11" s="85" t="s">
        <v>1473</v>
      </c>
      <c r="V11" s="85" t="s">
        <v>11</v>
      </c>
      <c r="W11" s="86" t="str">
        <f>IFERROR(VLOOKUP(B11,#REF!,11,0),"n/a")</f>
        <v>n/a</v>
      </c>
      <c r="X11" s="86" t="str">
        <f>IFERROR(VLOOKUP(B11,#REF!,8,0),"n/a")</f>
        <v>n/a</v>
      </c>
      <c r="Y11" s="86" t="str">
        <f t="shared" si="5"/>
        <v>ESTR &amp; GD &amp; PILAR3</v>
      </c>
      <c r="Z11" s="121" t="s">
        <v>1514</v>
      </c>
      <c r="AA11" s="214" t="str">
        <f>VLOOKUP(Table1[[#This Row],[CONCAT]],'[1]1. Tipologias Testes GD'!$F:$L,7,0)</f>
        <v>Baixa</v>
      </c>
      <c r="AB11" s="86" t="s">
        <v>1559</v>
      </c>
      <c r="AC11" s="125" t="s">
        <v>1574</v>
      </c>
      <c r="AD11" s="87">
        <v>0</v>
      </c>
      <c r="AE11" s="90">
        <f>INDEX(Auxiliar!$D$5:$I$10,MATCH('Lista - Âmbito Projeto GD'!AE$3,Auxiliar!$B$5:$B$10,0),MATCH('Lista - Âmbito Projeto GD'!$AC11,Auxiliar!$D$4:$I$4,0))</f>
        <v>1</v>
      </c>
      <c r="AF11" s="86">
        <f>INDEX(Auxiliar!$D$5:$I$10,MATCH('Lista - Âmbito Projeto GD'!AF$3,Auxiliar!$B$5:$B$10,0),MATCH('Lista - Âmbito Projeto GD'!$AC11,Auxiliar!$D$4:$I$4,0))</f>
        <v>1</v>
      </c>
      <c r="AG11" s="87" t="s">
        <v>1534</v>
      </c>
      <c r="AH11" s="86">
        <f>INDEX(Auxiliar!$D$5:$I$10,MATCH('Lista - Âmbito Projeto GD'!AH$3,Auxiliar!$B$5:$B$10,0),MATCH('Lista - Âmbito Projeto GD'!$AG11,Auxiliar!$D$4:$I$4,0))</f>
        <v>0</v>
      </c>
      <c r="AI11" s="86">
        <f>INDEX(Auxiliar!$D$5:$I$10,MATCH('Lista - Âmbito Projeto GD'!AI$3,Auxiliar!$B$5:$B$10,0),MATCH('Lista - Âmbito Projeto GD'!$AC11,Auxiliar!$D$4:$I$4,0))</f>
        <v>0.5</v>
      </c>
      <c r="AJ11" s="86">
        <f>INDEX(Auxiliar!$D$5:$I$10,MATCH('Lista - Âmbito Projeto GD'!AJ$3,Auxiliar!$B$5:$B$10,0),MATCH('Lista - Âmbito Projeto GD'!$AC11,Auxiliar!$D$4:$I$4,0))</f>
        <v>1</v>
      </c>
      <c r="AK11" s="150">
        <f t="shared" si="18"/>
        <v>2.5</v>
      </c>
      <c r="AL11" s="86"/>
    </row>
    <row r="12" spans="1:38" ht="14" x14ac:dyDescent="0.3">
      <c r="A12" s="148" t="s">
        <v>574</v>
      </c>
      <c r="B12" s="215" t="str">
        <f t="shared" si="16"/>
        <v>INSTRUMENT_GRSS_CRRYNG_AMNT_INSTRMNT</v>
      </c>
      <c r="C12" s="81" t="s">
        <v>414</v>
      </c>
      <c r="D12" s="82" t="s">
        <v>575</v>
      </c>
      <c r="E12" s="83" t="s">
        <v>576</v>
      </c>
      <c r="F12" s="84" t="s">
        <v>13</v>
      </c>
      <c r="G12" s="84" t="s">
        <v>13</v>
      </c>
      <c r="H12" s="84" t="s">
        <v>13</v>
      </c>
      <c r="I12" s="84" t="s">
        <v>11</v>
      </c>
      <c r="J12" s="84" t="s">
        <v>13</v>
      </c>
      <c r="K12" s="84" t="s">
        <v>13</v>
      </c>
      <c r="L12" s="85" t="str">
        <f>IFERROR(VLOOKUP($B12,'LISTA - Atual'!$B$1:$I$444,5,0),"Novo")</f>
        <v>Y</v>
      </c>
      <c r="M12" s="85" t="str">
        <f t="shared" si="11"/>
        <v>Igual</v>
      </c>
      <c r="N12" s="85" t="str">
        <f>IFERROR(VLOOKUP($B12,'LISTA - Atual'!$B$1:$I$444,6,0),"Novo")</f>
        <v>Y</v>
      </c>
      <c r="O12" s="85" t="str">
        <f t="shared" si="12"/>
        <v>Igual</v>
      </c>
      <c r="P12" s="85" t="str">
        <f>IFERROR(VLOOKUP($B12,'LISTA - Atual'!$B$1:$I$444,7,0),"Novo")</f>
        <v>Y</v>
      </c>
      <c r="Q12" s="85" t="str">
        <f t="shared" si="13"/>
        <v>Igual</v>
      </c>
      <c r="R12" s="85" t="s">
        <v>1473</v>
      </c>
      <c r="S12" s="85" t="str">
        <f>IFERROR(VLOOKUP($B12,'LISTA - Atual'!$B$1:$I$444,8,0),"Novo")</f>
        <v>Y</v>
      </c>
      <c r="T12" s="85" t="str">
        <f t="shared" si="14"/>
        <v>Igual</v>
      </c>
      <c r="U12" s="85" t="s">
        <v>1473</v>
      </c>
      <c r="V12" s="85" t="s">
        <v>11</v>
      </c>
      <c r="W12" s="86" t="str">
        <f>IFERROR(VLOOKUP(B12,#REF!,11,0),"n/a")</f>
        <v>n/a</v>
      </c>
      <c r="X12" s="86" t="str">
        <f>IFERROR(VLOOKUP(B12,#REF!,8,0),"n/a")</f>
        <v>n/a</v>
      </c>
      <c r="Y12" s="86" t="str">
        <f t="shared" si="5"/>
        <v>ESTR &amp; GD &amp; PILAR3</v>
      </c>
      <c r="Z12" s="121" t="s">
        <v>1514</v>
      </c>
      <c r="AA12" s="214" t="str">
        <f>VLOOKUP(Table1[[#This Row],[CONCAT]],'[1]1. Tipologias Testes GD'!$F:$L,7,0)</f>
        <v>Baixa</v>
      </c>
      <c r="AB12" s="86" t="s">
        <v>1563</v>
      </c>
      <c r="AC12" s="125" t="s">
        <v>1574</v>
      </c>
      <c r="AD12" s="87">
        <v>0</v>
      </c>
      <c r="AE12" s="90">
        <f>INDEX(Auxiliar!$D$5:$I$10,MATCH('Lista - Âmbito Projeto GD'!AE$3,Auxiliar!$B$5:$B$10,0),MATCH('Lista - Âmbito Projeto GD'!$AC12,Auxiliar!$D$4:$I$4,0))</f>
        <v>1</v>
      </c>
      <c r="AF12" s="86">
        <f>INDEX(Auxiliar!$D$5:$I$10,MATCH('Lista - Âmbito Projeto GD'!AF$3,Auxiliar!$B$5:$B$10,0),MATCH('Lista - Âmbito Projeto GD'!$AC12,Auxiliar!$D$4:$I$4,0))</f>
        <v>1</v>
      </c>
      <c r="AG12" s="86" t="str">
        <f t="shared" ref="AG12:AG18" si="19">IF(OR(AB12="Code List",AB12="Y, N"),AC12,"n.a.")</f>
        <v>n.a.</v>
      </c>
      <c r="AH12" s="86">
        <f>INDEX(Auxiliar!$D$5:$I$10,MATCH('Lista - Âmbito Projeto GD'!AH$3,Auxiliar!$B$5:$B$10,0),MATCH('Lista - Âmbito Projeto GD'!$AG12,Auxiliar!$D$4:$I$4,0))</f>
        <v>0</v>
      </c>
      <c r="AI12" s="86">
        <f>INDEX(Auxiliar!$D$5:$I$10,MATCH('Lista - Âmbito Projeto GD'!AI$3,Auxiliar!$B$5:$B$10,0),MATCH('Lista - Âmbito Projeto GD'!$AC12,Auxiliar!$D$4:$I$4,0))</f>
        <v>0.5</v>
      </c>
      <c r="AJ12" s="86">
        <f>INDEX(Auxiliar!$D$5:$I$10,MATCH('Lista - Âmbito Projeto GD'!AJ$3,Auxiliar!$B$5:$B$10,0),MATCH('Lista - Âmbito Projeto GD'!$AC12,Auxiliar!$D$4:$I$4,0))</f>
        <v>1</v>
      </c>
      <c r="AK12" s="150">
        <f t="shared" si="18"/>
        <v>2.5</v>
      </c>
      <c r="AL12" s="86"/>
    </row>
    <row r="13" spans="1:38" ht="14" x14ac:dyDescent="0.3">
      <c r="A13" s="148" t="s">
        <v>577</v>
      </c>
      <c r="B13" s="215" t="str">
        <f t="shared" si="16"/>
        <v>INSTRUMENT_ACCMLTD_CHNGS_FV_CR_INSTRMNT</v>
      </c>
      <c r="C13" s="81" t="s">
        <v>414</v>
      </c>
      <c r="D13" s="82" t="s">
        <v>578</v>
      </c>
      <c r="E13" s="83" t="s">
        <v>579</v>
      </c>
      <c r="F13" s="84" t="s">
        <v>13</v>
      </c>
      <c r="G13" s="84" t="s">
        <v>13</v>
      </c>
      <c r="H13" s="84" t="s">
        <v>13</v>
      </c>
      <c r="I13" s="84" t="s">
        <v>11</v>
      </c>
      <c r="J13" s="84" t="s">
        <v>11</v>
      </c>
      <c r="K13" s="84" t="s">
        <v>11</v>
      </c>
      <c r="L13" s="85" t="str">
        <f>IFERROR(VLOOKUP($B13,'LISTA - Atual'!$B$1:$I$444,5,0),"Novo")</f>
        <v>Y</v>
      </c>
      <c r="M13" s="85" t="str">
        <f t="shared" si="11"/>
        <v>Igual</v>
      </c>
      <c r="N13" s="85" t="str">
        <f>IFERROR(VLOOKUP($B13,'LISTA - Atual'!$B$1:$I$444,6,0),"Novo")</f>
        <v>Y</v>
      </c>
      <c r="O13" s="85" t="str">
        <f t="shared" si="12"/>
        <v>Igual</v>
      </c>
      <c r="P13" s="85" t="str">
        <f>IFERROR(VLOOKUP($B13,'LISTA - Atual'!$B$1:$I$444,7,0),"Novo")</f>
        <v>Y</v>
      </c>
      <c r="Q13" s="85" t="str">
        <f t="shared" si="13"/>
        <v>Igual</v>
      </c>
      <c r="R13" s="85" t="s">
        <v>1473</v>
      </c>
      <c r="S13" s="85" t="str">
        <f>IFERROR(VLOOKUP($B13,'LISTA - Atual'!$B$1:$I$444,8,0),"Novo")</f>
        <v>N</v>
      </c>
      <c r="T13" s="85" t="str">
        <f t="shared" si="14"/>
        <v>Igual</v>
      </c>
      <c r="U13" s="85" t="s">
        <v>1473</v>
      </c>
      <c r="V13" s="85" t="s">
        <v>11</v>
      </c>
      <c r="W13" s="86" t="str">
        <f>IFERROR(VLOOKUP(B13,#REF!,11,0),"n/a")</f>
        <v>n/a</v>
      </c>
      <c r="X13" s="86" t="str">
        <f>IFERROR(VLOOKUP(B13,#REF!,8,0),"n/a")</f>
        <v>n/a</v>
      </c>
      <c r="Y13" s="86" t="str">
        <f t="shared" si="5"/>
        <v>ESTR &amp; GD &amp; PILAR3</v>
      </c>
      <c r="Z13" s="121" t="s">
        <v>1514</v>
      </c>
      <c r="AA13" s="214" t="str">
        <f>VLOOKUP(Table1[[#This Row],[CONCAT]],'[1]1. Tipologias Testes GD'!$F:$L,7,0)</f>
        <v>Baixa</v>
      </c>
      <c r="AB13" s="86" t="s">
        <v>1563</v>
      </c>
      <c r="AC13" s="125" t="s">
        <v>1574</v>
      </c>
      <c r="AD13" s="87">
        <v>0</v>
      </c>
      <c r="AE13" s="90">
        <f>INDEX(Auxiliar!$D$5:$I$10,MATCH('Lista - Âmbito Projeto GD'!AE$3,Auxiliar!$B$5:$B$10,0),MATCH('Lista - Âmbito Projeto GD'!$AC13,Auxiliar!$D$4:$I$4,0))</f>
        <v>1</v>
      </c>
      <c r="AF13" s="86">
        <f>INDEX(Auxiliar!$D$5:$I$10,MATCH('Lista - Âmbito Projeto GD'!AF$3,Auxiliar!$B$5:$B$10,0),MATCH('Lista - Âmbito Projeto GD'!$AC13,Auxiliar!$D$4:$I$4,0))</f>
        <v>1</v>
      </c>
      <c r="AG13" s="86" t="str">
        <f t="shared" si="19"/>
        <v>n.a.</v>
      </c>
      <c r="AH13" s="86">
        <f>INDEX(Auxiliar!$D$5:$I$10,MATCH('Lista - Âmbito Projeto GD'!AH$3,Auxiliar!$B$5:$B$10,0),MATCH('Lista - Âmbito Projeto GD'!$AG13,Auxiliar!$D$4:$I$4,0))</f>
        <v>0</v>
      </c>
      <c r="AI13" s="86">
        <f>INDEX(Auxiliar!$D$5:$I$10,MATCH('Lista - Âmbito Projeto GD'!AI$3,Auxiliar!$B$5:$B$10,0),MATCH('Lista - Âmbito Projeto GD'!$AC13,Auxiliar!$D$4:$I$4,0))</f>
        <v>0.5</v>
      </c>
      <c r="AJ13" s="86">
        <f>INDEX(Auxiliar!$D$5:$I$10,MATCH('Lista - Âmbito Projeto GD'!AJ$3,Auxiliar!$B$5:$B$10,0),MATCH('Lista - Âmbito Projeto GD'!$AC13,Auxiliar!$D$4:$I$4,0))</f>
        <v>1</v>
      </c>
      <c r="AK13" s="150">
        <f t="shared" si="18"/>
        <v>2.5</v>
      </c>
      <c r="AL13" s="86"/>
    </row>
    <row r="14" spans="1:38" ht="14" x14ac:dyDescent="0.3">
      <c r="A14" s="148" t="s">
        <v>580</v>
      </c>
      <c r="B14" s="215" t="str">
        <f t="shared" si="16"/>
        <v>INSTRUMENT_ACCNTNG_CLSSFCTN</v>
      </c>
      <c r="C14" s="81" t="s">
        <v>414</v>
      </c>
      <c r="D14" s="96" t="s">
        <v>581</v>
      </c>
      <c r="E14" s="97" t="s">
        <v>582</v>
      </c>
      <c r="F14" s="84" t="s">
        <v>13</v>
      </c>
      <c r="G14" s="84" t="s">
        <v>13</v>
      </c>
      <c r="H14" s="84" t="s">
        <v>13</v>
      </c>
      <c r="I14" s="84" t="s">
        <v>11</v>
      </c>
      <c r="J14" s="84" t="s">
        <v>11</v>
      </c>
      <c r="K14" s="84" t="s">
        <v>13</v>
      </c>
      <c r="L14" s="85" t="str">
        <f>IFERROR(VLOOKUP($B14,'LISTA - Atual'!$B$1:$I$444,5,0),"Novo")</f>
        <v>Y</v>
      </c>
      <c r="M14" s="85" t="str">
        <f t="shared" si="11"/>
        <v>Igual</v>
      </c>
      <c r="N14" s="85" t="str">
        <f>IFERROR(VLOOKUP($B14,'LISTA - Atual'!$B$1:$I$444,6,0),"Novo")</f>
        <v>Y</v>
      </c>
      <c r="O14" s="85" t="str">
        <f t="shared" si="12"/>
        <v>Igual</v>
      </c>
      <c r="P14" s="85" t="str">
        <f>IFERROR(VLOOKUP($B14,'LISTA - Atual'!$B$1:$I$444,7,0),"Novo")</f>
        <v>Y</v>
      </c>
      <c r="Q14" s="85" t="str">
        <f t="shared" si="13"/>
        <v>Igual</v>
      </c>
      <c r="R14" s="85" t="s">
        <v>1473</v>
      </c>
      <c r="S14" s="85" t="str">
        <f>IFERROR(VLOOKUP($B14,'LISTA - Atual'!$B$1:$I$444,8,0),"Novo")</f>
        <v>N</v>
      </c>
      <c r="T14" s="85" t="str">
        <f t="shared" si="14"/>
        <v>Igual</v>
      </c>
      <c r="U14" s="85" t="s">
        <v>1473</v>
      </c>
      <c r="V14" s="85" t="s">
        <v>11</v>
      </c>
      <c r="W14" s="86" t="str">
        <f>IFERROR(VLOOKUP(B14,#REF!,11,0),"n/a")</f>
        <v>n/a</v>
      </c>
      <c r="X14" s="86" t="str">
        <f>IFERROR(VLOOKUP(B14,#REF!,8,0),"n/a")</f>
        <v>n/a</v>
      </c>
      <c r="Y14" s="86" t="str">
        <f t="shared" si="5"/>
        <v>ESTR &amp; GD &amp; PILAR3</v>
      </c>
      <c r="Z14" s="121" t="s">
        <v>1514</v>
      </c>
      <c r="AA14" s="214" t="str">
        <f>VLOOKUP(Table1[[#This Row],[CONCAT]],'[1]1. Tipologias Testes GD'!$F:$L,7,0)</f>
        <v>Baixa</v>
      </c>
      <c r="AB14" s="86" t="s">
        <v>1559</v>
      </c>
      <c r="AC14" s="125" t="s">
        <v>1574</v>
      </c>
      <c r="AD14" s="87">
        <v>0</v>
      </c>
      <c r="AE14" s="90">
        <f>INDEX(Auxiliar!$D$5:$I$10,MATCH('Lista - Âmbito Projeto GD'!AE$3,Auxiliar!$B$5:$B$10,0),MATCH('Lista - Âmbito Projeto GD'!$AC14,Auxiliar!$D$4:$I$4,0))</f>
        <v>1</v>
      </c>
      <c r="AF14" s="86">
        <f>INDEX(Auxiliar!$D$5:$I$10,MATCH('Lista - Âmbito Projeto GD'!AF$3,Auxiliar!$B$5:$B$10,0),MATCH('Lista - Âmbito Projeto GD'!$AC14,Auxiliar!$D$4:$I$4,0))</f>
        <v>1</v>
      </c>
      <c r="AG14" s="87" t="s">
        <v>1534</v>
      </c>
      <c r="AH14" s="86">
        <f>INDEX(Auxiliar!$D$5:$I$10,MATCH('Lista - Âmbito Projeto GD'!AH$3,Auxiliar!$B$5:$B$10,0),MATCH('Lista - Âmbito Projeto GD'!$AG14,Auxiliar!$D$4:$I$4,0))</f>
        <v>0</v>
      </c>
      <c r="AI14" s="86">
        <f>INDEX(Auxiliar!$D$5:$I$10,MATCH('Lista - Âmbito Projeto GD'!AI$3,Auxiliar!$B$5:$B$10,0),MATCH('Lista - Âmbito Projeto GD'!$AC14,Auxiliar!$D$4:$I$4,0))</f>
        <v>0.5</v>
      </c>
      <c r="AJ14" s="86">
        <f>INDEX(Auxiliar!$D$5:$I$10,MATCH('Lista - Âmbito Projeto GD'!AJ$3,Auxiliar!$B$5:$B$10,0),MATCH('Lista - Âmbito Projeto GD'!$AC14,Auxiliar!$D$4:$I$4,0))</f>
        <v>1</v>
      </c>
      <c r="AK14" s="150">
        <f t="shared" si="18"/>
        <v>2.5</v>
      </c>
      <c r="AL14" s="86"/>
    </row>
    <row r="15" spans="1:38" ht="14" x14ac:dyDescent="0.3">
      <c r="A15" s="148" t="s">
        <v>589</v>
      </c>
      <c r="B15" s="215" t="str">
        <f t="shared" si="16"/>
        <v>INSTRUMENT_CCF</v>
      </c>
      <c r="C15" s="81" t="s">
        <v>414</v>
      </c>
      <c r="D15" s="82" t="s">
        <v>590</v>
      </c>
      <c r="E15" s="83" t="s">
        <v>591</v>
      </c>
      <c r="F15" s="84" t="s">
        <v>13</v>
      </c>
      <c r="G15" s="88" t="s">
        <v>13</v>
      </c>
      <c r="H15" s="84" t="s">
        <v>11</v>
      </c>
      <c r="I15" s="84" t="s">
        <v>11</v>
      </c>
      <c r="J15" s="84" t="s">
        <v>11</v>
      </c>
      <c r="K15" s="84" t="s">
        <v>13</v>
      </c>
      <c r="L15" s="85" t="str">
        <f>IFERROR(VLOOKUP($B15,'LISTA - Atual'!$B$1:$I$444,5,0),"Novo")</f>
        <v>Y</v>
      </c>
      <c r="M15" s="85" t="str">
        <f t="shared" si="11"/>
        <v>Igual</v>
      </c>
      <c r="N15" s="85" t="str">
        <f>IFERROR(VLOOKUP($B15,'LISTA - Atual'!$B$1:$I$444,6,0),"Novo")</f>
        <v>N</v>
      </c>
      <c r="O15" s="85" t="str">
        <f t="shared" si="12"/>
        <v>Diferente</v>
      </c>
      <c r="P15" s="85" t="str">
        <f>IFERROR(VLOOKUP($B15,'LISTA - Atual'!$B$1:$I$444,7,0),"Novo")</f>
        <v>N</v>
      </c>
      <c r="Q15" s="85" t="str">
        <f t="shared" si="13"/>
        <v>Igual</v>
      </c>
      <c r="R15" s="85" t="s">
        <v>1473</v>
      </c>
      <c r="S15" s="85" t="str">
        <f>IFERROR(VLOOKUP($B15,'LISTA - Atual'!$B$1:$I$444,8,0),"Novo")</f>
        <v>N</v>
      </c>
      <c r="T15" s="85" t="str">
        <f t="shared" si="14"/>
        <v>Igual</v>
      </c>
      <c r="U15" s="85" t="s">
        <v>1473</v>
      </c>
      <c r="V15" s="85" t="s">
        <v>11</v>
      </c>
      <c r="W15" s="86" t="str">
        <f>IFERROR(VLOOKUP(B15,#REF!,11,0),"n/a")</f>
        <v>n/a</v>
      </c>
      <c r="X15" s="86" t="str">
        <f>IFERROR(VLOOKUP(B15,#REF!,8,0),"n/a")</f>
        <v>n/a</v>
      </c>
      <c r="Y15" s="86" t="str">
        <f>$F$2&amp;$Y$1&amp;$G$2</f>
        <v>ESTR &amp; GD</v>
      </c>
      <c r="Z15" s="121" t="s">
        <v>1514</v>
      </c>
      <c r="AA15" s="214" t="str">
        <f>VLOOKUP(Table1[[#This Row],[CONCAT]],'[1]1. Tipologias Testes GD'!$F:$L,7,0)</f>
        <v>Baixa</v>
      </c>
      <c r="AB15" s="86" t="s">
        <v>1564</v>
      </c>
      <c r="AC15" s="125" t="s">
        <v>1574</v>
      </c>
      <c r="AD15" s="90">
        <f>INDEX(Auxiliar!$D$5:$I$10,MATCH('Lista - Âmbito Projeto GD'!AD$3,Auxiliar!$B$5:$B$10,0),MATCH('Lista - Âmbito Projeto GD'!$AC15,Auxiliar!$D$4:$I$4,0))</f>
        <v>1</v>
      </c>
      <c r="AE15" s="90">
        <f>INDEX(Auxiliar!$D$5:$I$10,MATCH('Lista - Âmbito Projeto GD'!AE$3,Auxiliar!$B$5:$B$10,0),MATCH('Lista - Âmbito Projeto GD'!$AC15,Auxiliar!$D$4:$I$4,0))</f>
        <v>1</v>
      </c>
      <c r="AF15" s="86">
        <f>INDEX(Auxiliar!$D$5:$I$10,MATCH('Lista - Âmbito Projeto GD'!AF$3,Auxiliar!$B$5:$B$10,0),MATCH('Lista - Âmbito Projeto GD'!$AC15,Auxiliar!$D$4:$I$4,0))</f>
        <v>1</v>
      </c>
      <c r="AG15" s="86" t="str">
        <f t="shared" si="19"/>
        <v>n.a.</v>
      </c>
      <c r="AH15" s="86">
        <f>INDEX(Auxiliar!$D$5:$I$10,MATCH('Lista - Âmbito Projeto GD'!AH$3,Auxiliar!$B$5:$B$10,0),MATCH('Lista - Âmbito Projeto GD'!$AG15,Auxiliar!$D$4:$I$4,0))</f>
        <v>0</v>
      </c>
      <c r="AI15" s="86">
        <f>INDEX(Auxiliar!$D$5:$I$10,MATCH('Lista - Âmbito Projeto GD'!AI$3,Auxiliar!$B$5:$B$10,0),MATCH('Lista - Âmbito Projeto GD'!$AC15,Auxiliar!$D$4:$I$4,0))</f>
        <v>0.5</v>
      </c>
      <c r="AJ15" s="86">
        <f>INDEX(Auxiliar!$D$5:$I$10,MATCH('Lista - Âmbito Projeto GD'!AJ$3,Auxiliar!$B$5:$B$10,0),MATCH('Lista - Âmbito Projeto GD'!$AC15,Auxiliar!$D$4:$I$4,0))</f>
        <v>1</v>
      </c>
      <c r="AK15" s="150">
        <f t="shared" si="18"/>
        <v>2.5</v>
      </c>
      <c r="AL15" s="86"/>
    </row>
    <row r="16" spans="1:38" ht="14" x14ac:dyDescent="0.3">
      <c r="A16" s="148" t="s">
        <v>616</v>
      </c>
      <c r="B16" s="215" t="str">
        <f t="shared" si="16"/>
        <v>INSTRUMENT_EAD</v>
      </c>
      <c r="C16" s="81" t="s">
        <v>414</v>
      </c>
      <c r="D16" s="82" t="s">
        <v>617</v>
      </c>
      <c r="E16" s="83" t="s">
        <v>618</v>
      </c>
      <c r="F16" s="84" t="s">
        <v>13</v>
      </c>
      <c r="G16" s="88" t="s">
        <v>13</v>
      </c>
      <c r="H16" s="84" t="s">
        <v>11</v>
      </c>
      <c r="I16" s="84" t="s">
        <v>11</v>
      </c>
      <c r="J16" s="84" t="s">
        <v>13</v>
      </c>
      <c r="K16" s="84" t="s">
        <v>13</v>
      </c>
      <c r="L16" s="85" t="str">
        <f>IFERROR(VLOOKUP($B16,'LISTA - Atual'!$B$1:$I$444,5,0),"Novo")</f>
        <v>Y</v>
      </c>
      <c r="M16" s="85" t="str">
        <f t="shared" si="11"/>
        <v>Igual</v>
      </c>
      <c r="N16" s="85" t="str">
        <f>IFERROR(VLOOKUP($B16,'LISTA - Atual'!$B$1:$I$444,6,0),"Novo")</f>
        <v>N</v>
      </c>
      <c r="O16" s="85" t="str">
        <f t="shared" si="12"/>
        <v>Diferente</v>
      </c>
      <c r="P16" s="85" t="str">
        <f>IFERROR(VLOOKUP($B16,'LISTA - Atual'!$B$1:$I$444,7,0),"Novo")</f>
        <v>N</v>
      </c>
      <c r="Q16" s="85" t="str">
        <f t="shared" si="13"/>
        <v>Igual</v>
      </c>
      <c r="R16" s="85" t="s">
        <v>1473</v>
      </c>
      <c r="S16" s="85" t="str">
        <f>IFERROR(VLOOKUP($B16,'LISTA - Atual'!$B$1:$I$444,8,0),"Novo")</f>
        <v>Y</v>
      </c>
      <c r="T16" s="85" t="str">
        <f t="shared" si="14"/>
        <v>Igual</v>
      </c>
      <c r="U16" s="85" t="s">
        <v>1473</v>
      </c>
      <c r="V16" s="85" t="s">
        <v>11</v>
      </c>
      <c r="W16" s="86" t="str">
        <f>IFERROR(VLOOKUP(B16,#REF!,11,0),"n/a")</f>
        <v>n/a</v>
      </c>
      <c r="X16" s="86" t="str">
        <f>IFERROR(VLOOKUP(B16,#REF!,8,0),"n/a")</f>
        <v>n/a</v>
      </c>
      <c r="Y16" s="86" t="str">
        <f>"ESG_RISKS &amp; "&amp;$F$2&amp;$Y$1&amp;$G$2</f>
        <v>ESG_RISKS &amp; ESTR &amp; GD</v>
      </c>
      <c r="Z16" s="201" t="s">
        <v>1480</v>
      </c>
      <c r="AA16" s="214" t="str">
        <f>VLOOKUP(Table1[[#This Row],[CONCAT]],'[1]1. Tipologias Testes GD'!$F:$L,7,0)</f>
        <v>Baixa</v>
      </c>
      <c r="AB16" s="86" t="s">
        <v>1563</v>
      </c>
      <c r="AC16" s="125" t="s">
        <v>1574</v>
      </c>
      <c r="AD16" s="90">
        <f>INDEX(Auxiliar!$D$5:$I$10,MATCH('Lista - Âmbito Projeto GD'!AD$3,Auxiliar!$B$5:$B$10,0),MATCH('Lista - Âmbito Projeto GD'!$AC16,Auxiliar!$D$4:$I$4,0))</f>
        <v>1</v>
      </c>
      <c r="AE16" s="90">
        <f>INDEX(Auxiliar!$D$5:$I$10,MATCH('Lista - Âmbito Projeto GD'!AE$3,Auxiliar!$B$5:$B$10,0),MATCH('Lista - Âmbito Projeto GD'!$AC16,Auxiliar!$D$4:$I$4,0))</f>
        <v>1</v>
      </c>
      <c r="AF16" s="86">
        <f>INDEX(Auxiliar!$D$5:$I$10,MATCH('Lista - Âmbito Projeto GD'!AF$3,Auxiliar!$B$5:$B$10,0),MATCH('Lista - Âmbito Projeto GD'!$AC16,Auxiliar!$D$4:$I$4,0))</f>
        <v>1</v>
      </c>
      <c r="AG16" s="86" t="str">
        <f t="shared" si="19"/>
        <v>n.a.</v>
      </c>
      <c r="AH16" s="86">
        <f>INDEX(Auxiliar!$D$5:$I$10,MATCH('Lista - Âmbito Projeto GD'!AH$3,Auxiliar!$B$5:$B$10,0),MATCH('Lista - Âmbito Projeto GD'!$AG16,Auxiliar!$D$4:$I$4,0))</f>
        <v>0</v>
      </c>
      <c r="AI16" s="86">
        <f>INDEX(Auxiliar!$D$5:$I$10,MATCH('Lista - Âmbito Projeto GD'!AI$3,Auxiliar!$B$5:$B$10,0),MATCH('Lista - Âmbito Projeto GD'!$AC16,Auxiliar!$D$4:$I$4,0))</f>
        <v>0.5</v>
      </c>
      <c r="AJ16" s="86">
        <f>INDEX(Auxiliar!$D$5:$I$10,MATCH('Lista - Âmbito Projeto GD'!AJ$3,Auxiliar!$B$5:$B$10,0),MATCH('Lista - Âmbito Projeto GD'!$AC16,Auxiliar!$D$4:$I$4,0))</f>
        <v>1</v>
      </c>
      <c r="AK16" s="150">
        <f t="shared" si="18"/>
        <v>2.5</v>
      </c>
      <c r="AL16" s="86" t="s">
        <v>1570</v>
      </c>
    </row>
    <row r="17" spans="1:38" ht="14" x14ac:dyDescent="0.3">
      <c r="A17" s="148" t="s">
        <v>628</v>
      </c>
      <c r="B17" s="215" t="str">
        <f t="shared" si="16"/>
        <v>INSTRUMENT_OFF_BLNC_SHT_AMNT_INSTRMNT</v>
      </c>
      <c r="C17" s="81" t="s">
        <v>414</v>
      </c>
      <c r="D17" s="82" t="s">
        <v>629</v>
      </c>
      <c r="E17" s="83" t="s">
        <v>630</v>
      </c>
      <c r="F17" s="84" t="s">
        <v>13</v>
      </c>
      <c r="G17" s="84" t="s">
        <v>13</v>
      </c>
      <c r="H17" s="84" t="s">
        <v>11</v>
      </c>
      <c r="I17" s="84" t="s">
        <v>11</v>
      </c>
      <c r="J17" s="84" t="s">
        <v>13</v>
      </c>
      <c r="K17" s="84" t="s">
        <v>13</v>
      </c>
      <c r="L17" s="85" t="str">
        <f>IFERROR(VLOOKUP($B17,'LISTA - Atual'!$B$1:$I$444,5,0),"Novo")</f>
        <v>Y</v>
      </c>
      <c r="M17" s="85" t="str">
        <f t="shared" si="11"/>
        <v>Igual</v>
      </c>
      <c r="N17" s="85" t="str">
        <f>IFERROR(VLOOKUP($B17,'LISTA - Atual'!$B$1:$I$444,6,0),"Novo")</f>
        <v>Y</v>
      </c>
      <c r="O17" s="85" t="str">
        <f t="shared" si="12"/>
        <v>Igual</v>
      </c>
      <c r="P17" s="85" t="str">
        <f>IFERROR(VLOOKUP($B17,'LISTA - Atual'!$B$1:$I$444,7,0),"Novo")</f>
        <v>N</v>
      </c>
      <c r="Q17" s="85" t="str">
        <f t="shared" si="13"/>
        <v>Igual</v>
      </c>
      <c r="R17" s="85" t="s">
        <v>1473</v>
      </c>
      <c r="S17" s="85" t="str">
        <f>IFERROR(VLOOKUP($B17,'LISTA - Atual'!$B$1:$I$444,8,0),"Novo")</f>
        <v>Y</v>
      </c>
      <c r="T17" s="85" t="str">
        <f t="shared" si="14"/>
        <v>Igual</v>
      </c>
      <c r="U17" s="85" t="s">
        <v>1473</v>
      </c>
      <c r="V17" s="85" t="s">
        <v>11</v>
      </c>
      <c r="W17" s="86" t="str">
        <f>IFERROR(VLOOKUP(B17,#REF!,11,0),"n/a")</f>
        <v>n/a</v>
      </c>
      <c r="X17" s="86" t="str">
        <f>IFERROR(VLOOKUP(B17,#REF!,8,0),"n/a")</f>
        <v>n/a</v>
      </c>
      <c r="Y17" s="86" t="str">
        <f>"ESG_RISKS &amp; "&amp;$F$2&amp;$Y$1&amp;$G$2</f>
        <v>ESG_RISKS &amp; ESTR &amp; GD</v>
      </c>
      <c r="Z17" s="201" t="s">
        <v>1480</v>
      </c>
      <c r="AA17" s="214" t="str">
        <f>VLOOKUP(Table1[[#This Row],[CONCAT]],'[1]1. Tipologias Testes GD'!$F:$L,7,0)</f>
        <v>Baixa</v>
      </c>
      <c r="AB17" s="86" t="s">
        <v>1563</v>
      </c>
      <c r="AC17" s="125" t="s">
        <v>1574</v>
      </c>
      <c r="AD17" s="87">
        <v>0</v>
      </c>
      <c r="AE17" s="90">
        <f>INDEX(Auxiliar!$D$5:$I$10,MATCH('Lista - Âmbito Projeto GD'!AE$3,Auxiliar!$B$5:$B$10,0),MATCH('Lista - Âmbito Projeto GD'!$AC17,Auxiliar!$D$4:$I$4,0))</f>
        <v>1</v>
      </c>
      <c r="AF17" s="86">
        <f>INDEX(Auxiliar!$D$5:$I$10,MATCH('Lista - Âmbito Projeto GD'!AF$3,Auxiliar!$B$5:$B$10,0),MATCH('Lista - Âmbito Projeto GD'!$AC17,Auxiliar!$D$4:$I$4,0))</f>
        <v>1</v>
      </c>
      <c r="AG17" s="86" t="str">
        <f t="shared" si="19"/>
        <v>n.a.</v>
      </c>
      <c r="AH17" s="86">
        <f>INDEX(Auxiliar!$D$5:$I$10,MATCH('Lista - Âmbito Projeto GD'!AH$3,Auxiliar!$B$5:$B$10,0),MATCH('Lista - Âmbito Projeto GD'!$AG17,Auxiliar!$D$4:$I$4,0))</f>
        <v>0</v>
      </c>
      <c r="AI17" s="86">
        <f>INDEX(Auxiliar!$D$5:$I$10,MATCH('Lista - Âmbito Projeto GD'!AI$3,Auxiliar!$B$5:$B$10,0),MATCH('Lista - Âmbito Projeto GD'!$AC17,Auxiliar!$D$4:$I$4,0))</f>
        <v>0.5</v>
      </c>
      <c r="AJ17" s="86">
        <f>INDEX(Auxiliar!$D$5:$I$10,MATCH('Lista - Âmbito Projeto GD'!AJ$3,Auxiliar!$B$5:$B$10,0),MATCH('Lista - Âmbito Projeto GD'!$AC17,Auxiliar!$D$4:$I$4,0))</f>
        <v>1</v>
      </c>
      <c r="AK17" s="150">
        <f t="shared" ref="AK17" si="20">SUM(AF17,AH17:AJ17)</f>
        <v>2.5</v>
      </c>
      <c r="AL17" s="86"/>
    </row>
    <row r="18" spans="1:38" ht="14" x14ac:dyDescent="0.3">
      <c r="A18" s="148" t="s">
        <v>640</v>
      </c>
      <c r="B18" s="215" t="str">
        <f t="shared" si="16"/>
        <v>INSTRUMENT_PRVSNS_OFF_BLNC_SHT</v>
      </c>
      <c r="C18" s="81" t="s">
        <v>414</v>
      </c>
      <c r="D18" s="82" t="s">
        <v>641</v>
      </c>
      <c r="E18" s="83" t="s">
        <v>642</v>
      </c>
      <c r="F18" s="84" t="s">
        <v>13</v>
      </c>
      <c r="G18" s="84" t="s">
        <v>13</v>
      </c>
      <c r="H18" s="84" t="s">
        <v>11</v>
      </c>
      <c r="I18" s="84" t="s">
        <v>11</v>
      </c>
      <c r="J18" s="84" t="s">
        <v>11</v>
      </c>
      <c r="K18" s="84" t="s">
        <v>11</v>
      </c>
      <c r="L18" s="85" t="str">
        <f>IFERROR(VLOOKUP($B18,'LISTA - Atual'!$B$1:$I$444,5,0),"Novo")</f>
        <v>Y</v>
      </c>
      <c r="M18" s="85" t="str">
        <f t="shared" ref="M18:M20" si="21">IF(L18="Novo","Novo Campo",IF(L18=F18,"Igual","Diferente"))</f>
        <v>Igual</v>
      </c>
      <c r="N18" s="85" t="str">
        <f>IFERROR(VLOOKUP($B18,'LISTA - Atual'!$B$1:$I$444,6,0),"Novo")</f>
        <v>Y</v>
      </c>
      <c r="O18" s="85" t="str">
        <f t="shared" ref="O18:O20" si="22">IF(N18="Novo","Novo Campo",IF(N18=G18,"Igual","Diferente"))</f>
        <v>Igual</v>
      </c>
      <c r="P18" s="85" t="str">
        <f>IFERROR(VLOOKUP($B18,'LISTA - Atual'!$B$1:$I$444,7,0),"Novo")</f>
        <v>N</v>
      </c>
      <c r="Q18" s="85" t="str">
        <f t="shared" ref="Q18:Q20" si="23">IF(P18="Novo","Novo Campo",IF(P18=H18,"Igual","Diferente"))</f>
        <v>Igual</v>
      </c>
      <c r="R18" s="85" t="s">
        <v>1473</v>
      </c>
      <c r="S18" s="85" t="str">
        <f>IFERROR(VLOOKUP($B18,'LISTA - Atual'!$B$1:$I$444,8,0),"Novo")</f>
        <v>N</v>
      </c>
      <c r="T18" s="85" t="str">
        <f t="shared" ref="T18:T20" si="24">IF(S18="Novo","Novo Campo",IF(S18=J18,"Igual","Diferente"))</f>
        <v>Igual</v>
      </c>
      <c r="U18" s="85" t="s">
        <v>1473</v>
      </c>
      <c r="V18" s="85" t="s">
        <v>11</v>
      </c>
      <c r="W18" s="86" t="str">
        <f>IFERROR(VLOOKUP(B18,#REF!,11,0),"n/a")</f>
        <v>n/a</v>
      </c>
      <c r="X18" s="86" t="str">
        <f>IFERROR(VLOOKUP(B18,#REF!,8,0),"n/a")</f>
        <v>n/a</v>
      </c>
      <c r="Y18" s="86" t="str">
        <f>$F$2&amp;$Y$1&amp;$G$2</f>
        <v>ESTR &amp; GD</v>
      </c>
      <c r="Z18" s="121" t="s">
        <v>1514</v>
      </c>
      <c r="AA18" s="214" t="str">
        <f>VLOOKUP(Table1[[#This Row],[CONCAT]],'[1]1. Tipologias Testes GD'!$F:$L,7,0)</f>
        <v>Baixa</v>
      </c>
      <c r="AB18" s="86" t="s">
        <v>1563</v>
      </c>
      <c r="AC18" s="125" t="s">
        <v>1574</v>
      </c>
      <c r="AD18" s="87">
        <v>0</v>
      </c>
      <c r="AE18" s="90">
        <f>INDEX(Auxiliar!$D$5:$I$10,MATCH('Lista - Âmbito Projeto GD'!AE$3,Auxiliar!$B$5:$B$10,0),MATCH('Lista - Âmbito Projeto GD'!$AC18,Auxiliar!$D$4:$I$4,0))</f>
        <v>1</v>
      </c>
      <c r="AF18" s="86">
        <f>INDEX(Auxiliar!$D$5:$I$10,MATCH('Lista - Âmbito Projeto GD'!AF$3,Auxiliar!$B$5:$B$10,0),MATCH('Lista - Âmbito Projeto GD'!$AC18,Auxiliar!$D$4:$I$4,0))</f>
        <v>1</v>
      </c>
      <c r="AG18" s="86" t="str">
        <f t="shared" si="19"/>
        <v>n.a.</v>
      </c>
      <c r="AH18" s="86">
        <f>INDEX(Auxiliar!$D$5:$I$10,MATCH('Lista - Âmbito Projeto GD'!AH$3,Auxiliar!$B$5:$B$10,0),MATCH('Lista - Âmbito Projeto GD'!$AG18,Auxiliar!$D$4:$I$4,0))</f>
        <v>0</v>
      </c>
      <c r="AI18" s="86">
        <f>INDEX(Auxiliar!$D$5:$I$10,MATCH('Lista - Âmbito Projeto GD'!AI$3,Auxiliar!$B$5:$B$10,0),MATCH('Lista - Âmbito Projeto GD'!$AC18,Auxiliar!$D$4:$I$4,0))</f>
        <v>0.5</v>
      </c>
      <c r="AJ18" s="86">
        <f>INDEX(Auxiliar!$D$5:$I$10,MATCH('Lista - Âmbito Projeto GD'!AJ$3,Auxiliar!$B$5:$B$10,0),MATCH('Lista - Âmbito Projeto GD'!$AC18,Auxiliar!$D$4:$I$4,0))</f>
        <v>1</v>
      </c>
      <c r="AK18" s="150">
        <f t="shared" ref="AK18" si="25">SUM(AF18,AH18:AJ18)</f>
        <v>2.5</v>
      </c>
      <c r="AL18" s="86"/>
    </row>
    <row r="19" spans="1:38" ht="14" x14ac:dyDescent="0.3">
      <c r="A19" s="148" t="s">
        <v>649</v>
      </c>
      <c r="B19" s="215" t="str">
        <f t="shared" ref="B19:B20" si="26">C19&amp;"_"&amp;D19</f>
        <v>INSTRUMENT_RWA</v>
      </c>
      <c r="C19" s="81" t="s">
        <v>414</v>
      </c>
      <c r="D19" s="82" t="s">
        <v>650</v>
      </c>
      <c r="E19" s="83" t="s">
        <v>650</v>
      </c>
      <c r="F19" s="84" t="s">
        <v>13</v>
      </c>
      <c r="G19" s="84" t="s">
        <v>13</v>
      </c>
      <c r="H19" s="84" t="s">
        <v>11</v>
      </c>
      <c r="I19" s="84" t="s">
        <v>11</v>
      </c>
      <c r="J19" s="84" t="s">
        <v>11</v>
      </c>
      <c r="K19" s="84" t="s">
        <v>13</v>
      </c>
      <c r="L19" s="85" t="str">
        <f>IFERROR(VLOOKUP($B19,'LISTA - Atual'!$B$1:$I$444,5,0),"Novo")</f>
        <v>Y</v>
      </c>
      <c r="M19" s="85" t="str">
        <f t="shared" si="21"/>
        <v>Igual</v>
      </c>
      <c r="N19" s="85" t="str">
        <f>IFERROR(VLOOKUP($B19,'LISTA - Atual'!$B$1:$I$444,6,0),"Novo")</f>
        <v>Y</v>
      </c>
      <c r="O19" s="85" t="str">
        <f t="shared" si="22"/>
        <v>Igual</v>
      </c>
      <c r="P19" s="85" t="str">
        <f>IFERROR(VLOOKUP($B19,'LISTA - Atual'!$B$1:$I$444,7,0),"Novo")</f>
        <v>N</v>
      </c>
      <c r="Q19" s="85" t="str">
        <f t="shared" si="23"/>
        <v>Igual</v>
      </c>
      <c r="R19" s="85" t="s">
        <v>1473</v>
      </c>
      <c r="S19" s="85" t="str">
        <f>IFERROR(VLOOKUP($B19,'LISTA - Atual'!$B$1:$I$444,8,0),"Novo")</f>
        <v>N</v>
      </c>
      <c r="T19" s="85" t="str">
        <f t="shared" si="24"/>
        <v>Igual</v>
      </c>
      <c r="U19" s="85" t="s">
        <v>1473</v>
      </c>
      <c r="V19" s="85" t="s">
        <v>11</v>
      </c>
      <c r="W19" s="86" t="str">
        <f>IFERROR(VLOOKUP(B19,#REF!,11,0),"n/a")</f>
        <v>n/a</v>
      </c>
      <c r="X19" s="86" t="str">
        <f>IFERROR(VLOOKUP(B19,#REF!,8,0),"n/a")</f>
        <v>n/a</v>
      </c>
      <c r="Y19" s="86" t="str">
        <f>$F$2&amp;$Y$1&amp;$G$2</f>
        <v>ESTR &amp; GD</v>
      </c>
      <c r="Z19" s="121" t="s">
        <v>1514</v>
      </c>
      <c r="AA19" s="214" t="str">
        <f>VLOOKUP(Table1[[#This Row],[CONCAT]],'[1]1. Tipologias Testes GD'!$F:$L,7,0)</f>
        <v>Baixa</v>
      </c>
      <c r="AB19" s="86" t="s">
        <v>1563</v>
      </c>
      <c r="AC19" s="125" t="s">
        <v>1574</v>
      </c>
      <c r="AD19" s="87">
        <v>0</v>
      </c>
      <c r="AE19" s="90">
        <f>INDEX(Auxiliar!$D$5:$I$10,MATCH('Lista - Âmbito Projeto GD'!AE$3,Auxiliar!$B$5:$B$10,0),MATCH('Lista - Âmbito Projeto GD'!$AC19,Auxiliar!$D$4:$I$4,0))</f>
        <v>1</v>
      </c>
      <c r="AF19" s="86">
        <f>INDEX(Auxiliar!$D$5:$I$10,MATCH('Lista - Âmbito Projeto GD'!AF$3,Auxiliar!$B$5:$B$10,0),MATCH('Lista - Âmbito Projeto GD'!$AC19,Auxiliar!$D$4:$I$4,0))</f>
        <v>1</v>
      </c>
      <c r="AG19" s="86" t="str">
        <f t="shared" ref="AG19:AG20" si="27">IF(OR(AB19="Code List",AB19="Y, N"),AC19,"n.a.")</f>
        <v>n.a.</v>
      </c>
      <c r="AH19" s="86">
        <f>INDEX(Auxiliar!$D$5:$I$10,MATCH('Lista - Âmbito Projeto GD'!AH$3,Auxiliar!$B$5:$B$10,0),MATCH('Lista - Âmbito Projeto GD'!$AG19,Auxiliar!$D$4:$I$4,0))</f>
        <v>0</v>
      </c>
      <c r="AI19" s="86">
        <f>INDEX(Auxiliar!$D$5:$I$10,MATCH('Lista - Âmbito Projeto GD'!AI$3,Auxiliar!$B$5:$B$10,0),MATCH('Lista - Âmbito Projeto GD'!$AC19,Auxiliar!$D$4:$I$4,0))</f>
        <v>0.5</v>
      </c>
      <c r="AJ19" s="86">
        <f>INDEX(Auxiliar!$D$5:$I$10,MATCH('Lista - Âmbito Projeto GD'!AJ$3,Auxiliar!$B$5:$B$10,0),MATCH('Lista - Âmbito Projeto GD'!$AC19,Auxiliar!$D$4:$I$4,0))</f>
        <v>1</v>
      </c>
      <c r="AK19" s="150">
        <f t="shared" si="18"/>
        <v>2.5</v>
      </c>
      <c r="AL19" s="86" t="s">
        <v>1570</v>
      </c>
    </row>
    <row r="20" spans="1:38" ht="14" x14ac:dyDescent="0.3">
      <c r="A20" s="148" t="s">
        <v>657</v>
      </c>
      <c r="B20" s="215" t="str">
        <f t="shared" si="26"/>
        <v>INSTRUMENT_ACCMLTD_IMPRMNT_INSTRMNT</v>
      </c>
      <c r="C20" s="81" t="s">
        <v>414</v>
      </c>
      <c r="D20" s="82" t="s">
        <v>658</v>
      </c>
      <c r="E20" s="83" t="s">
        <v>659</v>
      </c>
      <c r="F20" s="84" t="s">
        <v>13</v>
      </c>
      <c r="G20" s="84" t="s">
        <v>13</v>
      </c>
      <c r="H20" s="84" t="s">
        <v>13</v>
      </c>
      <c r="I20" s="84" t="s">
        <v>11</v>
      </c>
      <c r="J20" s="84" t="s">
        <v>11</v>
      </c>
      <c r="K20" s="84" t="s">
        <v>13</v>
      </c>
      <c r="L20" s="85" t="str">
        <f>IFERROR(VLOOKUP($B20,'LISTA - Atual'!$B$1:$I$444,5,0),"Novo")</f>
        <v>Y</v>
      </c>
      <c r="M20" s="85" t="str">
        <f t="shared" si="21"/>
        <v>Igual</v>
      </c>
      <c r="N20" s="85" t="str">
        <f>IFERROR(VLOOKUP($B20,'LISTA - Atual'!$B$1:$I$444,6,0),"Novo")</f>
        <v>Y</v>
      </c>
      <c r="O20" s="85" t="str">
        <f t="shared" si="22"/>
        <v>Igual</v>
      </c>
      <c r="P20" s="85" t="str">
        <f>IFERROR(VLOOKUP($B20,'LISTA - Atual'!$B$1:$I$444,7,0),"Novo")</f>
        <v>Y</v>
      </c>
      <c r="Q20" s="85" t="str">
        <f t="shared" si="23"/>
        <v>Igual</v>
      </c>
      <c r="R20" s="85" t="s">
        <v>1473</v>
      </c>
      <c r="S20" s="85" t="str">
        <f>IFERROR(VLOOKUP($B20,'LISTA - Atual'!$B$1:$I$444,8,0),"Novo")</f>
        <v>N</v>
      </c>
      <c r="T20" s="85" t="str">
        <f t="shared" si="24"/>
        <v>Igual</v>
      </c>
      <c r="U20" s="85" t="s">
        <v>1473</v>
      </c>
      <c r="V20" s="85" t="s">
        <v>11</v>
      </c>
      <c r="W20" s="86" t="str">
        <f>IFERROR(VLOOKUP(B20,#REF!,11,0),"n/a")</f>
        <v>n/a</v>
      </c>
      <c r="X20" s="86" t="str">
        <f>IFERROR(VLOOKUP(B20,#REF!,8,0),"n/a")</f>
        <v>n/a</v>
      </c>
      <c r="Y20" s="86" t="str">
        <f>$F$2&amp;$Y$1&amp;$G$2&amp;$Y$1&amp;$H$2</f>
        <v>ESTR &amp; GD &amp; PILAR3</v>
      </c>
      <c r="Z20" s="121" t="s">
        <v>1514</v>
      </c>
      <c r="AA20" s="214" t="str">
        <f>VLOOKUP(Table1[[#This Row],[CONCAT]],'[1]1. Tipologias Testes GD'!$F:$L,7,0)</f>
        <v>Baixa</v>
      </c>
      <c r="AB20" s="86" t="s">
        <v>1563</v>
      </c>
      <c r="AC20" s="125" t="s">
        <v>1574</v>
      </c>
      <c r="AD20" s="87">
        <v>0</v>
      </c>
      <c r="AE20" s="90">
        <f>INDEX(Auxiliar!$D$5:$I$10,MATCH('Lista - Âmbito Projeto GD'!AE$3,Auxiliar!$B$5:$B$10,0),MATCH('Lista - Âmbito Projeto GD'!$AC20,Auxiliar!$D$4:$I$4,0))</f>
        <v>1</v>
      </c>
      <c r="AF20" s="86">
        <f>INDEX(Auxiliar!$D$5:$I$10,MATCH('Lista - Âmbito Projeto GD'!AF$3,Auxiliar!$B$5:$B$10,0),MATCH('Lista - Âmbito Projeto GD'!$AC20,Auxiliar!$D$4:$I$4,0))</f>
        <v>1</v>
      </c>
      <c r="AG20" s="86" t="str">
        <f t="shared" si="27"/>
        <v>n.a.</v>
      </c>
      <c r="AH20" s="86">
        <f>INDEX(Auxiliar!$D$5:$I$10,MATCH('Lista - Âmbito Projeto GD'!AH$3,Auxiliar!$B$5:$B$10,0),MATCH('Lista - Âmbito Projeto GD'!$AG20,Auxiliar!$D$4:$I$4,0))</f>
        <v>0</v>
      </c>
      <c r="AI20" s="86">
        <f>INDEX(Auxiliar!$D$5:$I$10,MATCH('Lista - Âmbito Projeto GD'!AI$3,Auxiliar!$B$5:$B$10,0),MATCH('Lista - Âmbito Projeto GD'!$AC20,Auxiliar!$D$4:$I$4,0))</f>
        <v>0.5</v>
      </c>
      <c r="AJ20" s="86">
        <f>INDEX(Auxiliar!$D$5:$I$10,MATCH('Lista - Âmbito Projeto GD'!AJ$3,Auxiliar!$B$5:$B$10,0),MATCH('Lista - Âmbito Projeto GD'!$AC20,Auxiliar!$D$4:$I$4,0))</f>
        <v>1</v>
      </c>
      <c r="AK20" s="150">
        <f t="shared" ref="AK20" si="28">SUM(AF20,AH20:AJ20)</f>
        <v>2.5</v>
      </c>
      <c r="AL20" s="86"/>
    </row>
    <row r="21" spans="1:38" ht="14" x14ac:dyDescent="0.3">
      <c r="A21" s="148" t="s">
        <v>957</v>
      </c>
      <c r="B21" s="215" t="str">
        <f t="shared" ref="B21:B39" si="29">C21&amp;"_"&amp;D21</f>
        <v>INSTRUMENT_COD_SOC_INTRGRP</v>
      </c>
      <c r="C21" s="81" t="s">
        <v>414</v>
      </c>
      <c r="D21" s="82" t="s">
        <v>958</v>
      </c>
      <c r="E21" s="97" t="s">
        <v>959</v>
      </c>
      <c r="F21" s="84" t="s">
        <v>13</v>
      </c>
      <c r="G21" s="84" t="s">
        <v>13</v>
      </c>
      <c r="H21" s="84" t="s">
        <v>11</v>
      </c>
      <c r="I21" s="84" t="s">
        <v>11</v>
      </c>
      <c r="J21" s="84" t="s">
        <v>11</v>
      </c>
      <c r="K21" s="84" t="s">
        <v>11</v>
      </c>
      <c r="L21" s="85" t="str">
        <f>IFERROR(VLOOKUP($B21,'LISTA - Atual'!$B$1:$I$444,5,0),"Novo")</f>
        <v>Y</v>
      </c>
      <c r="M21" s="85" t="str">
        <f t="shared" ref="M21:M22" si="30">IF(L21="Novo","Novo Campo",IF(L21=F21,"Igual","Diferente"))</f>
        <v>Igual</v>
      </c>
      <c r="N21" s="85" t="str">
        <f>IFERROR(VLOOKUP($B21,'LISTA - Atual'!$B$1:$I$444,6,0),"Novo")</f>
        <v>Y</v>
      </c>
      <c r="O21" s="85" t="str">
        <f t="shared" ref="O21:O22" si="31">IF(N21="Novo","Novo Campo",IF(N21=G21,"Igual","Diferente"))</f>
        <v>Igual</v>
      </c>
      <c r="P21" s="85" t="str">
        <f>IFERROR(VLOOKUP($B21,'LISTA - Atual'!$B$1:$I$444,7,0),"Novo")</f>
        <v>N</v>
      </c>
      <c r="Q21" s="85" t="str">
        <f t="shared" ref="Q21:Q22" si="32">IF(P21="Novo","Novo Campo",IF(P21=H21,"Igual","Diferente"))</f>
        <v>Igual</v>
      </c>
      <c r="R21" s="85" t="s">
        <v>1473</v>
      </c>
      <c r="S21" s="85" t="str">
        <f>IFERROR(VLOOKUP($B21,'LISTA - Atual'!$B$1:$I$444,8,0),"Novo")</f>
        <v>N</v>
      </c>
      <c r="T21" s="85" t="str">
        <f t="shared" ref="T21:T22" si="33">IF(S21="Novo","Novo Campo",IF(S21=J21,"Igual","Diferente"))</f>
        <v>Igual</v>
      </c>
      <c r="U21" s="85" t="s">
        <v>1473</v>
      </c>
      <c r="V21" s="85" t="s">
        <v>11</v>
      </c>
      <c r="W21" s="86" t="str">
        <f>IFERROR(VLOOKUP(B21,#REF!,11,0),"n/a")</f>
        <v>n/a</v>
      </c>
      <c r="X21" s="86" t="str">
        <f>IFERROR(VLOOKUP(B21,#REF!,8,0),"n/a")</f>
        <v>n/a</v>
      </c>
      <c r="Y21" s="86" t="str">
        <f>$F$2&amp;$Y$1&amp;$G$2</f>
        <v>ESTR &amp; GD</v>
      </c>
      <c r="Z21" s="121" t="s">
        <v>1514</v>
      </c>
      <c r="AA21" s="214" t="str">
        <f>VLOOKUP(Table1[[#This Row],[CONCAT]],'[1]1. Tipologias Testes GD'!$F:$L,7,0)</f>
        <v>Baixa</v>
      </c>
      <c r="AB21" s="86" t="s">
        <v>1558</v>
      </c>
      <c r="AC21" s="125" t="s">
        <v>1574</v>
      </c>
      <c r="AD21" s="87">
        <v>0</v>
      </c>
      <c r="AE21" s="90">
        <f>INDEX(Auxiliar!$D$5:$I$10,MATCH('Lista - Âmbito Projeto GD'!AE$3,Auxiliar!$B$5:$B$10,0),MATCH('Lista - Âmbito Projeto GD'!$AC21,Auxiliar!$D$4:$I$4,0))</f>
        <v>1</v>
      </c>
      <c r="AF21" s="86">
        <f>INDEX(Auxiliar!$D$5:$I$10,MATCH('Lista - Âmbito Projeto GD'!AF$3,Auxiliar!$B$5:$B$10,0),MATCH('Lista - Âmbito Projeto GD'!$AC21,Auxiliar!$D$4:$I$4,0))</f>
        <v>1</v>
      </c>
      <c r="AG21" s="86" t="str">
        <f t="shared" ref="AG21:AG38" si="34">IF(OR(AB21="Code List",AB21="Y, N"),AC21,"n.a.")</f>
        <v>n.a.</v>
      </c>
      <c r="AH21" s="86">
        <f>INDEX(Auxiliar!$D$5:$I$10,MATCH('Lista - Âmbito Projeto GD'!AH$3,Auxiliar!$B$5:$B$10,0),MATCH('Lista - Âmbito Projeto GD'!$AG21,Auxiliar!$D$4:$I$4,0))</f>
        <v>0</v>
      </c>
      <c r="AI21" s="86">
        <f>INDEX(Auxiliar!$D$5:$I$10,MATCH('Lista - Âmbito Projeto GD'!AI$3,Auxiliar!$B$5:$B$10,0),MATCH('Lista - Âmbito Projeto GD'!$AC21,Auxiliar!$D$4:$I$4,0))</f>
        <v>0.5</v>
      </c>
      <c r="AJ21" s="86">
        <f>INDEX(Auxiliar!$D$5:$I$10,MATCH('Lista - Âmbito Projeto GD'!AJ$3,Auxiliar!$B$5:$B$10,0),MATCH('Lista - Âmbito Projeto GD'!$AC21,Auxiliar!$D$4:$I$4,0))</f>
        <v>1</v>
      </c>
      <c r="AK21" s="150">
        <f t="shared" ref="AK21:AK22" si="35">SUM(AF21,AH21:AJ21)</f>
        <v>2.5</v>
      </c>
      <c r="AL21" s="86"/>
    </row>
    <row r="22" spans="1:38" ht="14" x14ac:dyDescent="0.3">
      <c r="A22" s="148" t="s">
        <v>960</v>
      </c>
      <c r="B22" s="215" t="str">
        <f t="shared" si="29"/>
        <v>INSTRUMENT_LCL_INSTMRNT_ID</v>
      </c>
      <c r="C22" s="81" t="s">
        <v>414</v>
      </c>
      <c r="D22" s="82" t="s">
        <v>961</v>
      </c>
      <c r="E22" s="97" t="s">
        <v>962</v>
      </c>
      <c r="F22" s="84" t="s">
        <v>13</v>
      </c>
      <c r="G22" s="84" t="s">
        <v>13</v>
      </c>
      <c r="H22" s="84" t="s">
        <v>13</v>
      </c>
      <c r="I22" s="84" t="s">
        <v>11</v>
      </c>
      <c r="J22" s="84" t="s">
        <v>11</v>
      </c>
      <c r="K22" s="84" t="s">
        <v>11</v>
      </c>
      <c r="L22" s="85" t="str">
        <f>IFERROR(VLOOKUP($B22,'LISTA - Atual'!$B$1:$I$444,5,0),"Novo")</f>
        <v>Y</v>
      </c>
      <c r="M22" s="85" t="str">
        <f t="shared" si="30"/>
        <v>Igual</v>
      </c>
      <c r="N22" s="85" t="str">
        <f>IFERROR(VLOOKUP($B22,'LISTA - Atual'!$B$1:$I$444,6,0),"Novo")</f>
        <v>Y</v>
      </c>
      <c r="O22" s="85" t="str">
        <f t="shared" si="31"/>
        <v>Igual</v>
      </c>
      <c r="P22" s="85" t="str">
        <f>IFERROR(VLOOKUP($B22,'LISTA - Atual'!$B$1:$I$444,7,0),"Novo")</f>
        <v>Y</v>
      </c>
      <c r="Q22" s="85" t="str">
        <f t="shared" si="32"/>
        <v>Igual</v>
      </c>
      <c r="R22" s="85" t="s">
        <v>1473</v>
      </c>
      <c r="S22" s="85" t="str">
        <f>IFERROR(VLOOKUP($B22,'LISTA - Atual'!$B$1:$I$444,8,0),"Novo")</f>
        <v>N</v>
      </c>
      <c r="T22" s="85" t="str">
        <f t="shared" si="33"/>
        <v>Igual</v>
      </c>
      <c r="U22" s="85" t="s">
        <v>1473</v>
      </c>
      <c r="V22" s="85" t="s">
        <v>11</v>
      </c>
      <c r="W22" s="86" t="str">
        <f>IFERROR(VLOOKUP(B22,#REF!,11,0),"n/a")</f>
        <v>n/a</v>
      </c>
      <c r="X22" s="86" t="str">
        <f>IFERROR(VLOOKUP(B22,#REF!,8,0),"n/a")</f>
        <v>n/a</v>
      </c>
      <c r="Y22" s="86" t="str">
        <f>$F$2&amp;$Y$1&amp;$G$2&amp;$Y$1&amp;$H$2</f>
        <v>ESTR &amp; GD &amp; PILAR3</v>
      </c>
      <c r="Z22" s="121" t="s">
        <v>1514</v>
      </c>
      <c r="AA22" s="214" t="str">
        <f>VLOOKUP(Table1[[#This Row],[CONCAT]],'[1]1. Tipologias Testes GD'!$F:$L,7,0)</f>
        <v>Baixa</v>
      </c>
      <c r="AB22" s="86" t="s">
        <v>1566</v>
      </c>
      <c r="AC22" s="125" t="s">
        <v>1574</v>
      </c>
      <c r="AD22" s="87">
        <v>0</v>
      </c>
      <c r="AE22" s="90">
        <f>INDEX(Auxiliar!$D$5:$I$10,MATCH('Lista - Âmbito Projeto GD'!AE$3,Auxiliar!$B$5:$B$10,0),MATCH('Lista - Âmbito Projeto GD'!$AC22,Auxiliar!$D$4:$I$4,0))</f>
        <v>1</v>
      </c>
      <c r="AF22" s="86">
        <f>INDEX(Auxiliar!$D$5:$I$10,MATCH('Lista - Âmbito Projeto GD'!AF$3,Auxiliar!$B$5:$B$10,0),MATCH('Lista - Âmbito Projeto GD'!$AC22,Auxiliar!$D$4:$I$4,0))</f>
        <v>1</v>
      </c>
      <c r="AG22" s="86" t="str">
        <f t="shared" si="34"/>
        <v>n.a.</v>
      </c>
      <c r="AH22" s="86">
        <f>INDEX(Auxiliar!$D$5:$I$10,MATCH('Lista - Âmbito Projeto GD'!AH$3,Auxiliar!$B$5:$B$10,0),MATCH('Lista - Âmbito Projeto GD'!$AG22,Auxiliar!$D$4:$I$4,0))</f>
        <v>0</v>
      </c>
      <c r="AI22" s="86">
        <f>INDEX(Auxiliar!$D$5:$I$10,MATCH('Lista - Âmbito Projeto GD'!AI$3,Auxiliar!$B$5:$B$10,0),MATCH('Lista - Âmbito Projeto GD'!$AC22,Auxiliar!$D$4:$I$4,0))</f>
        <v>0.5</v>
      </c>
      <c r="AJ22" s="86">
        <f>INDEX(Auxiliar!$D$5:$I$10,MATCH('Lista - Âmbito Projeto GD'!AJ$3,Auxiliar!$B$5:$B$10,0),MATCH('Lista - Âmbito Projeto GD'!$AC22,Auxiliar!$D$4:$I$4,0))</f>
        <v>1</v>
      </c>
      <c r="AK22" s="150">
        <f t="shared" si="35"/>
        <v>2.5</v>
      </c>
      <c r="AL22" s="86"/>
    </row>
    <row r="23" spans="1:38" ht="14" x14ac:dyDescent="0.3">
      <c r="A23" s="148" t="s">
        <v>969</v>
      </c>
      <c r="B23" s="215" t="str">
        <f t="shared" si="29"/>
        <v>INSTRUMENT_AVRG_BLNC</v>
      </c>
      <c r="C23" s="81" t="s">
        <v>414</v>
      </c>
      <c r="D23" s="82" t="s">
        <v>970</v>
      </c>
      <c r="E23" s="83" t="s">
        <v>971</v>
      </c>
      <c r="F23" s="84" t="s">
        <v>11</v>
      </c>
      <c r="G23" s="84" t="s">
        <v>13</v>
      </c>
      <c r="H23" s="84" t="s">
        <v>11</v>
      </c>
      <c r="I23" s="84" t="s">
        <v>11</v>
      </c>
      <c r="J23" s="84" t="s">
        <v>11</v>
      </c>
      <c r="K23" s="84" t="s">
        <v>11</v>
      </c>
      <c r="L23" s="85" t="str">
        <f>IFERROR(VLOOKUP($B23,'LISTA - Atual'!$B$1:$I$444,5,0),"Novo")</f>
        <v>N</v>
      </c>
      <c r="M23" s="85" t="str">
        <f t="shared" ref="M23:M51" si="36">IF(L23="Novo","Novo Campo",IF(L23=F23,"Igual","Diferente"))</f>
        <v>Igual</v>
      </c>
      <c r="N23" s="85" t="str">
        <f>IFERROR(VLOOKUP($B23,'LISTA - Atual'!$B$1:$I$444,6,0),"Novo")</f>
        <v>Y</v>
      </c>
      <c r="O23" s="85" t="str">
        <f t="shared" ref="O23:O51" si="37">IF(N23="Novo","Novo Campo",IF(N23=G23,"Igual","Diferente"))</f>
        <v>Igual</v>
      </c>
      <c r="P23" s="85" t="str">
        <f>IFERROR(VLOOKUP($B23,'LISTA - Atual'!$B$1:$I$444,7,0),"Novo")</f>
        <v>N</v>
      </c>
      <c r="Q23" s="85" t="str">
        <f t="shared" ref="Q23:Q51" si="38">IF(P23="Novo","Novo Campo",IF(P23=H23,"Igual","Diferente"))</f>
        <v>Igual</v>
      </c>
      <c r="R23" s="85" t="s">
        <v>1473</v>
      </c>
      <c r="S23" s="85" t="str">
        <f>IFERROR(VLOOKUP($B23,'LISTA - Atual'!$B$1:$I$444,8,0),"Novo")</f>
        <v>N</v>
      </c>
      <c r="T23" s="85" t="str">
        <f t="shared" ref="T23:T51" si="39">IF(S23="Novo","Novo Campo",IF(S23=J23,"Igual","Diferente"))</f>
        <v>Igual</v>
      </c>
      <c r="U23" s="85" t="s">
        <v>1473</v>
      </c>
      <c r="V23" s="85" t="s">
        <v>11</v>
      </c>
      <c r="W23" s="86" t="str">
        <f>IFERROR(VLOOKUP(B23,#REF!,11,0),"n/a")</f>
        <v>n/a</v>
      </c>
      <c r="X23" s="86" t="str">
        <f>IFERROR(VLOOKUP(B23,#REF!,8,0),"n/a")</f>
        <v>n/a</v>
      </c>
      <c r="Y23" s="86" t="str">
        <f>$G$2</f>
        <v>GD</v>
      </c>
      <c r="Z23" s="121" t="s">
        <v>1514</v>
      </c>
      <c r="AA23" s="214" t="str">
        <f>VLOOKUP(Table1[[#This Row],[CONCAT]],'[1]1. Tipologias Testes GD'!$F:$L,7,0)</f>
        <v>Média</v>
      </c>
      <c r="AB23" s="86" t="s">
        <v>1563</v>
      </c>
      <c r="AC23" s="125" t="s">
        <v>1546</v>
      </c>
      <c r="AD23" s="87">
        <v>0</v>
      </c>
      <c r="AE23" s="90">
        <f>INDEX(Auxiliar!$D$5:$I$10,MATCH('Lista - Âmbito Projeto GD'!AE$3,Auxiliar!$B$5:$B$10,0),MATCH('Lista - Âmbito Projeto GD'!$AC23,Auxiliar!$D$4:$I$4,0))</f>
        <v>3</v>
      </c>
      <c r="AF23" s="86">
        <f>INDEX(Auxiliar!$D$5:$I$10,MATCH('Lista - Âmbito Projeto GD'!AF$3,Auxiliar!$B$5:$B$10,0),MATCH('Lista - Âmbito Projeto GD'!$AC23,Auxiliar!$D$4:$I$4,0))</f>
        <v>3</v>
      </c>
      <c r="AG23" s="86" t="str">
        <f t="shared" si="34"/>
        <v>n.a.</v>
      </c>
      <c r="AH23" s="86">
        <f>INDEX(Auxiliar!$D$5:$I$10,MATCH('Lista - Âmbito Projeto GD'!AH$3,Auxiliar!$B$5:$B$10,0),MATCH('Lista - Âmbito Projeto GD'!$AG23,Auxiliar!$D$4:$I$4,0))</f>
        <v>0</v>
      </c>
      <c r="AI23" s="86">
        <f>INDEX(Auxiliar!$D$5:$I$10,MATCH('Lista - Âmbito Projeto GD'!AI$3,Auxiliar!$B$5:$B$10,0),MATCH('Lista - Âmbito Projeto GD'!$AC23,Auxiliar!$D$4:$I$4,0))</f>
        <v>0.5</v>
      </c>
      <c r="AJ23" s="86">
        <f>INDEX(Auxiliar!$D$5:$I$10,MATCH('Lista - Âmbito Projeto GD'!AJ$3,Auxiliar!$B$5:$B$10,0),MATCH('Lista - Âmbito Projeto GD'!$AC23,Auxiliar!$D$4:$I$4,0))</f>
        <v>1</v>
      </c>
      <c r="AK23" s="150">
        <f t="shared" ref="AK23:AK40" si="40">SUM(AF23,AH23:AJ23)</f>
        <v>4.5</v>
      </c>
      <c r="AL23" s="86"/>
    </row>
    <row r="24" spans="1:38" ht="14" x14ac:dyDescent="0.3">
      <c r="A24" s="148" t="s">
        <v>972</v>
      </c>
      <c r="B24" s="215" t="str">
        <f t="shared" si="29"/>
        <v>INSTRUMENT_NW_BSNSS</v>
      </c>
      <c r="C24" s="81" t="s">
        <v>414</v>
      </c>
      <c r="D24" s="82" t="s">
        <v>973</v>
      </c>
      <c r="E24" s="83" t="s">
        <v>974</v>
      </c>
      <c r="F24" s="84" t="s">
        <v>11</v>
      </c>
      <c r="G24" s="84" t="s">
        <v>13</v>
      </c>
      <c r="H24" s="88" t="s">
        <v>13</v>
      </c>
      <c r="I24" s="84" t="s">
        <v>11</v>
      </c>
      <c r="J24" s="84" t="s">
        <v>11</v>
      </c>
      <c r="K24" s="84" t="s">
        <v>11</v>
      </c>
      <c r="L24" s="85" t="str">
        <f>IFERROR(VLOOKUP($B24,'LISTA - Atual'!$B$1:$I$444,5,0),"Novo")</f>
        <v>N</v>
      </c>
      <c r="M24" s="85" t="str">
        <f t="shared" si="36"/>
        <v>Igual</v>
      </c>
      <c r="N24" s="85" t="str">
        <f>IFERROR(VLOOKUP($B24,'LISTA - Atual'!$B$1:$I$444,6,0),"Novo")</f>
        <v>Y</v>
      </c>
      <c r="O24" s="85" t="str">
        <f t="shared" si="37"/>
        <v>Igual</v>
      </c>
      <c r="P24" s="85" t="str">
        <f>IFERROR(VLOOKUP($B24,'LISTA - Atual'!$B$1:$I$444,7,0),"Novo")</f>
        <v>N</v>
      </c>
      <c r="Q24" s="85" t="str">
        <f t="shared" si="38"/>
        <v>Diferente</v>
      </c>
      <c r="R24" s="85" t="s">
        <v>1473</v>
      </c>
      <c r="S24" s="85" t="str">
        <f>IFERROR(VLOOKUP($B24,'LISTA - Atual'!$B$1:$I$444,8,0),"Novo")</f>
        <v>N</v>
      </c>
      <c r="T24" s="85" t="str">
        <f t="shared" si="39"/>
        <v>Igual</v>
      </c>
      <c r="U24" s="85" t="s">
        <v>1473</v>
      </c>
      <c r="V24" s="85" t="s">
        <v>11</v>
      </c>
      <c r="W24" s="86" t="str">
        <f>IFERROR(VLOOKUP(B24,#REF!,11,0),"n/a")</f>
        <v>n/a</v>
      </c>
      <c r="X24" s="86" t="str">
        <f>IFERROR(VLOOKUP(B24,#REF!,8,0),"n/a")</f>
        <v>n/a</v>
      </c>
      <c r="Y24" s="86" t="str">
        <f>$G$2&amp;$Y$1&amp;$H$2</f>
        <v>GD &amp; PILAR3</v>
      </c>
      <c r="Z24" s="201" t="s">
        <v>1480</v>
      </c>
      <c r="AA24" s="214" t="str">
        <f>VLOOKUP(Table1[[#This Row],[CONCAT]],'[1]1. Tipologias Testes GD'!$F:$L,7,0)</f>
        <v>Média</v>
      </c>
      <c r="AB24" s="86" t="s">
        <v>1562</v>
      </c>
      <c r="AC24" s="125" t="s">
        <v>1577</v>
      </c>
      <c r="AD24" s="87">
        <v>0</v>
      </c>
      <c r="AE24" s="90">
        <f>INDEX(Auxiliar!$D$5:$I$10,MATCH('Lista - Âmbito Projeto GD'!AE$3,Auxiliar!$B$5:$B$10,0),MATCH('Lista - Âmbito Projeto GD'!$AC24,Auxiliar!$D$4:$I$4,0))</f>
        <v>8</v>
      </c>
      <c r="AF24" s="86">
        <f>INDEX(Auxiliar!$D$5:$I$10,MATCH('Lista - Âmbito Projeto GD'!AF$3,Auxiliar!$B$5:$B$10,0),MATCH('Lista - Âmbito Projeto GD'!$AC24,Auxiliar!$D$4:$I$4,0))</f>
        <v>3</v>
      </c>
      <c r="AG24" s="86" t="str">
        <f t="shared" si="34"/>
        <v>M. Alta</v>
      </c>
      <c r="AH24" s="86">
        <f>INDEX(Auxiliar!$D$5:$I$10,MATCH('Lista - Âmbito Projeto GD'!AH$3,Auxiliar!$B$5:$B$10,0),MATCH('Lista - Âmbito Projeto GD'!$AG24,Auxiliar!$D$4:$I$4,0))</f>
        <v>1</v>
      </c>
      <c r="AI24" s="86">
        <f>INDEX(Auxiliar!$D$5:$I$10,MATCH('Lista - Âmbito Projeto GD'!AI$3,Auxiliar!$B$5:$B$10,0),MATCH('Lista - Âmbito Projeto GD'!$AC24,Auxiliar!$D$4:$I$4,0))</f>
        <v>1</v>
      </c>
      <c r="AJ24" s="86">
        <f>INDEX(Auxiliar!$D$5:$I$10,MATCH('Lista - Âmbito Projeto GD'!AJ$3,Auxiliar!$B$5:$B$10,0),MATCH('Lista - Âmbito Projeto GD'!$AC24,Auxiliar!$D$4:$I$4,0))</f>
        <v>2</v>
      </c>
      <c r="AK24" s="150">
        <f t="shared" si="40"/>
        <v>7</v>
      </c>
      <c r="AL24" s="86"/>
    </row>
    <row r="25" spans="1:38" ht="14" x14ac:dyDescent="0.3">
      <c r="A25" s="148" t="s">
        <v>975</v>
      </c>
      <c r="B25" s="215" t="str">
        <f t="shared" si="29"/>
        <v>INSTRUMENT_GRSS_INTRST_INCM</v>
      </c>
      <c r="C25" s="81" t="s">
        <v>414</v>
      </c>
      <c r="D25" s="82" t="s">
        <v>976</v>
      </c>
      <c r="E25" s="83" t="s">
        <v>977</v>
      </c>
      <c r="F25" s="84" t="s">
        <v>11</v>
      </c>
      <c r="G25" s="84" t="s">
        <v>13</v>
      </c>
      <c r="H25" s="84" t="s">
        <v>13</v>
      </c>
      <c r="I25" s="84" t="s">
        <v>11</v>
      </c>
      <c r="J25" s="84" t="s">
        <v>11</v>
      </c>
      <c r="K25" s="84" t="s">
        <v>11</v>
      </c>
      <c r="L25" s="85" t="str">
        <f>IFERROR(VLOOKUP($B25,'LISTA - Atual'!$B$1:$I$444,5,0),"Novo")</f>
        <v>N</v>
      </c>
      <c r="M25" s="85" t="str">
        <f t="shared" si="36"/>
        <v>Igual</v>
      </c>
      <c r="N25" s="85" t="str">
        <f>IFERROR(VLOOKUP($B25,'LISTA - Atual'!$B$1:$I$444,6,0),"Novo")</f>
        <v>Y</v>
      </c>
      <c r="O25" s="85" t="str">
        <f t="shared" si="37"/>
        <v>Igual</v>
      </c>
      <c r="P25" s="85" t="str">
        <f>IFERROR(VLOOKUP($B25,'LISTA - Atual'!$B$1:$I$444,7,0),"Novo")</f>
        <v>Y</v>
      </c>
      <c r="Q25" s="85" t="str">
        <f t="shared" si="38"/>
        <v>Igual</v>
      </c>
      <c r="R25" s="85" t="s">
        <v>1473</v>
      </c>
      <c r="S25" s="85" t="str">
        <f>IFERROR(VLOOKUP($B25,'LISTA - Atual'!$B$1:$I$444,8,0),"Novo")</f>
        <v>N</v>
      </c>
      <c r="T25" s="85" t="str">
        <f t="shared" si="39"/>
        <v>Igual</v>
      </c>
      <c r="U25" s="85" t="s">
        <v>1473</v>
      </c>
      <c r="V25" s="85" t="s">
        <v>11</v>
      </c>
      <c r="W25" s="86" t="str">
        <f>IFERROR(VLOOKUP(B25,#REF!,11,0),"n/a")</f>
        <v>n/a</v>
      </c>
      <c r="X25" s="86" t="str">
        <f>IFERROR(VLOOKUP(B25,#REF!,8,0),"n/a")</f>
        <v>n/a</v>
      </c>
      <c r="Y25" s="86" t="str">
        <f>$G$2&amp;$Y$1&amp;$H$2</f>
        <v>GD &amp; PILAR3</v>
      </c>
      <c r="Z25" s="121" t="s">
        <v>1514</v>
      </c>
      <c r="AA25" s="214" t="str">
        <f>VLOOKUP(Table1[[#This Row],[CONCAT]],'[1]1. Tipologias Testes GD'!$F:$L,7,0)</f>
        <v>Alta</v>
      </c>
      <c r="AB25" s="86" t="s">
        <v>1563</v>
      </c>
      <c r="AC25" s="125" t="s">
        <v>1547</v>
      </c>
      <c r="AD25" s="87">
        <v>0</v>
      </c>
      <c r="AE25" s="90">
        <f>INDEX(Auxiliar!$D$5:$I$10,MATCH('Lista - Âmbito Projeto GD'!AE$3,Auxiliar!$B$5:$B$10,0),MATCH('Lista - Âmbito Projeto GD'!$AC25,Auxiliar!$D$4:$I$4,0))</f>
        <v>6</v>
      </c>
      <c r="AF25" s="86">
        <f>INDEX(Auxiliar!$D$5:$I$10,MATCH('Lista - Âmbito Projeto GD'!AF$3,Auxiliar!$B$5:$B$10,0),MATCH('Lista - Âmbito Projeto GD'!$AC25,Auxiliar!$D$4:$I$4,0))</f>
        <v>6</v>
      </c>
      <c r="AG25" s="86" t="str">
        <f t="shared" si="34"/>
        <v>n.a.</v>
      </c>
      <c r="AH25" s="86">
        <f>INDEX(Auxiliar!$D$5:$I$10,MATCH('Lista - Âmbito Projeto GD'!AH$3,Auxiliar!$B$5:$B$10,0),MATCH('Lista - Âmbito Projeto GD'!$AG25,Auxiliar!$D$4:$I$4,0))</f>
        <v>0</v>
      </c>
      <c r="AI25" s="86">
        <f>INDEX(Auxiliar!$D$5:$I$10,MATCH('Lista - Âmbito Projeto GD'!AI$3,Auxiliar!$B$5:$B$10,0),MATCH('Lista - Âmbito Projeto GD'!$AC25,Auxiliar!$D$4:$I$4,0))</f>
        <v>0.5</v>
      </c>
      <c r="AJ25" s="86">
        <f>INDEX(Auxiliar!$D$5:$I$10,MATCH('Lista - Âmbito Projeto GD'!AJ$3,Auxiliar!$B$5:$B$10,0),MATCH('Lista - Âmbito Projeto GD'!$AC25,Auxiliar!$D$4:$I$4,0))</f>
        <v>1</v>
      </c>
      <c r="AK25" s="150">
        <f t="shared" si="40"/>
        <v>7.5</v>
      </c>
      <c r="AL25" s="86"/>
    </row>
    <row r="26" spans="1:38" ht="14" x14ac:dyDescent="0.3">
      <c r="A26" s="148" t="s">
        <v>978</v>
      </c>
      <c r="B26" s="215" t="str">
        <f t="shared" si="29"/>
        <v>INSTRUMENT_GRSS_CMMSSN_INCM</v>
      </c>
      <c r="C26" s="81" t="s">
        <v>414</v>
      </c>
      <c r="D26" s="82" t="s">
        <v>979</v>
      </c>
      <c r="E26" s="83" t="s">
        <v>980</v>
      </c>
      <c r="F26" s="84" t="s">
        <v>11</v>
      </c>
      <c r="G26" s="84" t="s">
        <v>13</v>
      </c>
      <c r="H26" s="84" t="s">
        <v>13</v>
      </c>
      <c r="I26" s="84" t="s">
        <v>11</v>
      </c>
      <c r="J26" s="84" t="s">
        <v>11</v>
      </c>
      <c r="K26" s="84" t="s">
        <v>11</v>
      </c>
      <c r="L26" s="85" t="str">
        <f>IFERROR(VLOOKUP($B26,'LISTA - Atual'!$B$1:$I$444,5,0),"Novo")</f>
        <v>N</v>
      </c>
      <c r="M26" s="85" t="str">
        <f t="shared" si="36"/>
        <v>Igual</v>
      </c>
      <c r="N26" s="85" t="str">
        <f>IFERROR(VLOOKUP($B26,'LISTA - Atual'!$B$1:$I$444,6,0),"Novo")</f>
        <v>Y</v>
      </c>
      <c r="O26" s="85" t="str">
        <f t="shared" si="37"/>
        <v>Igual</v>
      </c>
      <c r="P26" s="85" t="str">
        <f>IFERROR(VLOOKUP($B26,'LISTA - Atual'!$B$1:$I$444,7,0),"Novo")</f>
        <v>Y</v>
      </c>
      <c r="Q26" s="85" t="str">
        <f t="shared" si="38"/>
        <v>Igual</v>
      </c>
      <c r="R26" s="85" t="s">
        <v>1473</v>
      </c>
      <c r="S26" s="85" t="str">
        <f>IFERROR(VLOOKUP($B26,'LISTA - Atual'!$B$1:$I$444,8,0),"Novo")</f>
        <v>N</v>
      </c>
      <c r="T26" s="85" t="str">
        <f t="shared" si="39"/>
        <v>Igual</v>
      </c>
      <c r="U26" s="85" t="s">
        <v>1473</v>
      </c>
      <c r="V26" s="85" t="s">
        <v>11</v>
      </c>
      <c r="W26" s="86" t="str">
        <f>IFERROR(VLOOKUP(B26,#REF!,11,0),"n/a")</f>
        <v>n/a</v>
      </c>
      <c r="X26" s="86" t="str">
        <f>IFERROR(VLOOKUP(B26,#REF!,8,0),"n/a")</f>
        <v>n/a</v>
      </c>
      <c r="Y26" s="86" t="str">
        <f>$G$2&amp;$Y$1&amp;$H$2</f>
        <v>GD &amp; PILAR3</v>
      </c>
      <c r="Z26" s="121" t="s">
        <v>1514</v>
      </c>
      <c r="AA26" s="214" t="str">
        <f>VLOOKUP(Table1[[#This Row],[CONCAT]],'[1]1. Tipologias Testes GD'!$F:$L,7,0)</f>
        <v>Alta</v>
      </c>
      <c r="AB26" s="86" t="s">
        <v>1563</v>
      </c>
      <c r="AC26" s="125" t="s">
        <v>1547</v>
      </c>
      <c r="AD26" s="87">
        <v>0</v>
      </c>
      <c r="AE26" s="90">
        <f>INDEX(Auxiliar!$D$5:$I$10,MATCH('Lista - Âmbito Projeto GD'!AE$3,Auxiliar!$B$5:$B$10,0),MATCH('Lista - Âmbito Projeto GD'!$AC26,Auxiliar!$D$4:$I$4,0))</f>
        <v>6</v>
      </c>
      <c r="AF26" s="86">
        <f>INDEX(Auxiliar!$D$5:$I$10,MATCH('Lista - Âmbito Projeto GD'!AF$3,Auxiliar!$B$5:$B$10,0),MATCH('Lista - Âmbito Projeto GD'!$AC26,Auxiliar!$D$4:$I$4,0))</f>
        <v>6</v>
      </c>
      <c r="AG26" s="86" t="str">
        <f t="shared" si="34"/>
        <v>n.a.</v>
      </c>
      <c r="AH26" s="86">
        <f>INDEX(Auxiliar!$D$5:$I$10,MATCH('Lista - Âmbito Projeto GD'!AH$3,Auxiliar!$B$5:$B$10,0),MATCH('Lista - Âmbito Projeto GD'!$AG26,Auxiliar!$D$4:$I$4,0))</f>
        <v>0</v>
      </c>
      <c r="AI26" s="86">
        <f>INDEX(Auxiliar!$D$5:$I$10,MATCH('Lista - Âmbito Projeto GD'!AI$3,Auxiliar!$B$5:$B$10,0),MATCH('Lista - Âmbito Projeto GD'!$AC26,Auxiliar!$D$4:$I$4,0))</f>
        <v>0.5</v>
      </c>
      <c r="AJ26" s="86">
        <f>INDEX(Auxiliar!$D$5:$I$10,MATCH('Lista - Âmbito Projeto GD'!AJ$3,Auxiliar!$B$5:$B$10,0),MATCH('Lista - Âmbito Projeto GD'!$AC26,Auxiliar!$D$4:$I$4,0))</f>
        <v>1</v>
      </c>
      <c r="AK26" s="150">
        <f t="shared" si="40"/>
        <v>7.5</v>
      </c>
      <c r="AL26" s="86"/>
    </row>
    <row r="27" spans="1:38" ht="14" x14ac:dyDescent="0.3">
      <c r="A27" s="148" t="s">
        <v>981</v>
      </c>
      <c r="B27" s="215" t="str">
        <f t="shared" si="29"/>
        <v>INSTRUMENT_INTRNL_TRNSFR_RT</v>
      </c>
      <c r="C27" s="81" t="s">
        <v>414</v>
      </c>
      <c r="D27" s="82" t="s">
        <v>982</v>
      </c>
      <c r="E27" s="83" t="s">
        <v>983</v>
      </c>
      <c r="F27" s="84" t="s">
        <v>11</v>
      </c>
      <c r="G27" s="84" t="s">
        <v>13</v>
      </c>
      <c r="H27" s="84" t="s">
        <v>11</v>
      </c>
      <c r="I27" s="84" t="s">
        <v>11</v>
      </c>
      <c r="J27" s="84" t="s">
        <v>11</v>
      </c>
      <c r="K27" s="84" t="s">
        <v>11</v>
      </c>
      <c r="L27" s="85" t="str">
        <f>IFERROR(VLOOKUP($B27,'LISTA - Atual'!$B$1:$I$444,5,0),"Novo")</f>
        <v>N</v>
      </c>
      <c r="M27" s="85" t="str">
        <f t="shared" si="36"/>
        <v>Igual</v>
      </c>
      <c r="N27" s="85" t="str">
        <f>IFERROR(VLOOKUP($B27,'LISTA - Atual'!$B$1:$I$444,6,0),"Novo")</f>
        <v>Y</v>
      </c>
      <c r="O27" s="85" t="str">
        <f t="shared" si="37"/>
        <v>Igual</v>
      </c>
      <c r="P27" s="85" t="str">
        <f>IFERROR(VLOOKUP($B27,'LISTA - Atual'!$B$1:$I$444,7,0),"Novo")</f>
        <v>N</v>
      </c>
      <c r="Q27" s="85" t="str">
        <f t="shared" si="38"/>
        <v>Igual</v>
      </c>
      <c r="R27" s="85" t="s">
        <v>1473</v>
      </c>
      <c r="S27" s="85" t="str">
        <f>IFERROR(VLOOKUP($B27,'LISTA - Atual'!$B$1:$I$444,8,0),"Novo")</f>
        <v>N</v>
      </c>
      <c r="T27" s="85" t="str">
        <f t="shared" si="39"/>
        <v>Igual</v>
      </c>
      <c r="U27" s="85" t="s">
        <v>1473</v>
      </c>
      <c r="V27" s="85" t="s">
        <v>11</v>
      </c>
      <c r="W27" s="86" t="str">
        <f>IFERROR(VLOOKUP(B27,#REF!,11,0),"n/a")</f>
        <v>n/a</v>
      </c>
      <c r="X27" s="86" t="str">
        <f>IFERROR(VLOOKUP(B27,#REF!,8,0),"n/a")</f>
        <v>n/a</v>
      </c>
      <c r="Y27" s="86" t="str">
        <f t="shared" ref="Y27:Y38" si="41">$G$2</f>
        <v>GD</v>
      </c>
      <c r="Z27" s="121" t="s">
        <v>1514</v>
      </c>
      <c r="AA27" s="214" t="str">
        <f>VLOOKUP(Table1[[#This Row],[CONCAT]],'[1]1. Tipologias Testes GD'!$F:$L,7,0)</f>
        <v>Alta</v>
      </c>
      <c r="AB27" s="86" t="s">
        <v>1563</v>
      </c>
      <c r="AC27" s="125" t="s">
        <v>1546</v>
      </c>
      <c r="AD27" s="87">
        <v>0</v>
      </c>
      <c r="AE27" s="90">
        <f>INDEX(Auxiliar!$D$5:$I$10,MATCH('Lista - Âmbito Projeto GD'!AE$3,Auxiliar!$B$5:$B$10,0),MATCH('Lista - Âmbito Projeto GD'!$AC27,Auxiliar!$D$4:$I$4,0))</f>
        <v>3</v>
      </c>
      <c r="AF27" s="86">
        <f>INDEX(Auxiliar!$D$5:$I$10,MATCH('Lista - Âmbito Projeto GD'!AF$3,Auxiliar!$B$5:$B$10,0),MATCH('Lista - Âmbito Projeto GD'!$AC27,Auxiliar!$D$4:$I$4,0))</f>
        <v>3</v>
      </c>
      <c r="AG27" s="86" t="str">
        <f t="shared" si="34"/>
        <v>n.a.</v>
      </c>
      <c r="AH27" s="86">
        <f>INDEX(Auxiliar!$D$5:$I$10,MATCH('Lista - Âmbito Projeto GD'!AH$3,Auxiliar!$B$5:$B$10,0),MATCH('Lista - Âmbito Projeto GD'!$AG27,Auxiliar!$D$4:$I$4,0))</f>
        <v>0</v>
      </c>
      <c r="AI27" s="86">
        <f>INDEX(Auxiliar!$D$5:$I$10,MATCH('Lista - Âmbito Projeto GD'!AI$3,Auxiliar!$B$5:$B$10,0),MATCH('Lista - Âmbito Projeto GD'!$AC27,Auxiliar!$D$4:$I$4,0))</f>
        <v>0.5</v>
      </c>
      <c r="AJ27" s="86">
        <f>INDEX(Auxiliar!$D$5:$I$10,MATCH('Lista - Âmbito Projeto GD'!AJ$3,Auxiliar!$B$5:$B$10,0),MATCH('Lista - Âmbito Projeto GD'!$AC27,Auxiliar!$D$4:$I$4,0))</f>
        <v>1</v>
      </c>
      <c r="AK27" s="150">
        <f t="shared" si="40"/>
        <v>4.5</v>
      </c>
      <c r="AL27" s="86"/>
    </row>
    <row r="28" spans="1:38" ht="14" x14ac:dyDescent="0.3">
      <c r="A28" s="148" t="s">
        <v>984</v>
      </c>
      <c r="B28" s="215" t="str">
        <f t="shared" si="29"/>
        <v>INSTRUMENT_NT_LN_LSS_PRVSN</v>
      </c>
      <c r="C28" s="81" t="s">
        <v>414</v>
      </c>
      <c r="D28" s="82" t="s">
        <v>985</v>
      </c>
      <c r="E28" s="83" t="s">
        <v>986</v>
      </c>
      <c r="F28" s="84" t="s">
        <v>11</v>
      </c>
      <c r="G28" s="84" t="s">
        <v>13</v>
      </c>
      <c r="H28" s="84" t="s">
        <v>11</v>
      </c>
      <c r="I28" s="84" t="s">
        <v>11</v>
      </c>
      <c r="J28" s="84" t="s">
        <v>11</v>
      </c>
      <c r="K28" s="84" t="s">
        <v>11</v>
      </c>
      <c r="L28" s="85" t="str">
        <f>IFERROR(VLOOKUP($B28,'LISTA - Atual'!$B$1:$I$444,5,0),"Novo")</f>
        <v>N</v>
      </c>
      <c r="M28" s="85" t="str">
        <f t="shared" si="36"/>
        <v>Igual</v>
      </c>
      <c r="N28" s="85" t="str">
        <f>IFERROR(VLOOKUP($B28,'LISTA - Atual'!$B$1:$I$444,6,0),"Novo")</f>
        <v>Y</v>
      </c>
      <c r="O28" s="85" t="str">
        <f t="shared" si="37"/>
        <v>Igual</v>
      </c>
      <c r="P28" s="85" t="str">
        <f>IFERROR(VLOOKUP($B28,'LISTA - Atual'!$B$1:$I$444,7,0),"Novo")</f>
        <v>N</v>
      </c>
      <c r="Q28" s="85" t="str">
        <f t="shared" si="38"/>
        <v>Igual</v>
      </c>
      <c r="R28" s="85" t="s">
        <v>1473</v>
      </c>
      <c r="S28" s="85" t="str">
        <f>IFERROR(VLOOKUP($B28,'LISTA - Atual'!$B$1:$I$444,8,0),"Novo")</f>
        <v>N</v>
      </c>
      <c r="T28" s="85" t="str">
        <f t="shared" si="39"/>
        <v>Igual</v>
      </c>
      <c r="U28" s="85" t="s">
        <v>1473</v>
      </c>
      <c r="V28" s="85" t="s">
        <v>11</v>
      </c>
      <c r="W28" s="86" t="str">
        <f>IFERROR(VLOOKUP(B28,#REF!,11,0),"n/a")</f>
        <v>n/a</v>
      </c>
      <c r="X28" s="86" t="str">
        <f>IFERROR(VLOOKUP(B28,#REF!,8,0),"n/a")</f>
        <v>n/a</v>
      </c>
      <c r="Y28" s="86" t="str">
        <f t="shared" si="41"/>
        <v>GD</v>
      </c>
      <c r="Z28" s="121" t="s">
        <v>1514</v>
      </c>
      <c r="AA28" s="214" t="str">
        <f>VLOOKUP(Table1[[#This Row],[CONCAT]],'[1]1. Tipologias Testes GD'!$F:$L,7,0)</f>
        <v>Média</v>
      </c>
      <c r="AB28" s="86" t="s">
        <v>1563</v>
      </c>
      <c r="AC28" s="125" t="s">
        <v>1546</v>
      </c>
      <c r="AD28" s="87">
        <v>0</v>
      </c>
      <c r="AE28" s="90">
        <f>INDEX(Auxiliar!$D$5:$I$10,MATCH('Lista - Âmbito Projeto GD'!AE$3,Auxiliar!$B$5:$B$10,0),MATCH('Lista - Âmbito Projeto GD'!$AC28,Auxiliar!$D$4:$I$4,0))</f>
        <v>3</v>
      </c>
      <c r="AF28" s="86">
        <f>INDEX(Auxiliar!$D$5:$I$10,MATCH('Lista - Âmbito Projeto GD'!AF$3,Auxiliar!$B$5:$B$10,0),MATCH('Lista - Âmbito Projeto GD'!$AC28,Auxiliar!$D$4:$I$4,0))</f>
        <v>3</v>
      </c>
      <c r="AG28" s="86" t="str">
        <f t="shared" si="34"/>
        <v>n.a.</v>
      </c>
      <c r="AH28" s="86">
        <f>INDEX(Auxiliar!$D$5:$I$10,MATCH('Lista - Âmbito Projeto GD'!AH$3,Auxiliar!$B$5:$B$10,0),MATCH('Lista - Âmbito Projeto GD'!$AG28,Auxiliar!$D$4:$I$4,0))</f>
        <v>0</v>
      </c>
      <c r="AI28" s="86">
        <f>INDEX(Auxiliar!$D$5:$I$10,MATCH('Lista - Âmbito Projeto GD'!AI$3,Auxiliar!$B$5:$B$10,0),MATCH('Lista - Âmbito Projeto GD'!$AC28,Auxiliar!$D$4:$I$4,0))</f>
        <v>0.5</v>
      </c>
      <c r="AJ28" s="86">
        <f>INDEX(Auxiliar!$D$5:$I$10,MATCH('Lista - Âmbito Projeto GD'!AJ$3,Auxiliar!$B$5:$B$10,0),MATCH('Lista - Âmbito Projeto GD'!$AC28,Auxiliar!$D$4:$I$4,0))</f>
        <v>1</v>
      </c>
      <c r="AK28" s="150">
        <f t="shared" si="40"/>
        <v>4.5</v>
      </c>
      <c r="AL28" s="86"/>
    </row>
    <row r="29" spans="1:38" ht="14" x14ac:dyDescent="0.3">
      <c r="A29" s="148" t="s">
        <v>987</v>
      </c>
      <c r="B29" s="215" t="str">
        <f t="shared" si="29"/>
        <v>INSTRUMENT_BSNSS_AREA</v>
      </c>
      <c r="C29" s="81" t="s">
        <v>414</v>
      </c>
      <c r="D29" s="82" t="s">
        <v>988</v>
      </c>
      <c r="E29" s="83" t="s">
        <v>989</v>
      </c>
      <c r="F29" s="84" t="s">
        <v>11</v>
      </c>
      <c r="G29" s="84" t="s">
        <v>13</v>
      </c>
      <c r="H29" s="84" t="s">
        <v>11</v>
      </c>
      <c r="I29" s="84" t="s">
        <v>11</v>
      </c>
      <c r="J29" s="84" t="s">
        <v>11</v>
      </c>
      <c r="K29" s="84" t="s">
        <v>11</v>
      </c>
      <c r="L29" s="85" t="str">
        <f>IFERROR(VLOOKUP($B29,'LISTA - Atual'!$B$1:$I$444,5,0),"Novo")</f>
        <v>N</v>
      </c>
      <c r="M29" s="85" t="str">
        <f t="shared" si="36"/>
        <v>Igual</v>
      </c>
      <c r="N29" s="85" t="str">
        <f>IFERROR(VLOOKUP($B29,'LISTA - Atual'!$B$1:$I$444,6,0),"Novo")</f>
        <v>Y</v>
      </c>
      <c r="O29" s="85" t="str">
        <f t="shared" si="37"/>
        <v>Igual</v>
      </c>
      <c r="P29" s="85" t="str">
        <f>IFERROR(VLOOKUP($B29,'LISTA - Atual'!$B$1:$I$444,7,0),"Novo")</f>
        <v>N</v>
      </c>
      <c r="Q29" s="85" t="str">
        <f t="shared" si="38"/>
        <v>Igual</v>
      </c>
      <c r="R29" s="85" t="s">
        <v>1473</v>
      </c>
      <c r="S29" s="85" t="str">
        <f>IFERROR(VLOOKUP($B29,'LISTA - Atual'!$B$1:$I$444,8,0),"Novo")</f>
        <v>N</v>
      </c>
      <c r="T29" s="85" t="str">
        <f t="shared" si="39"/>
        <v>Igual</v>
      </c>
      <c r="U29" s="85" t="s">
        <v>1473</v>
      </c>
      <c r="V29" s="85" t="s">
        <v>11</v>
      </c>
      <c r="W29" s="86" t="str">
        <f>IFERROR(VLOOKUP(B29,#REF!,11,0),"n/a")</f>
        <v>n/a</v>
      </c>
      <c r="X29" s="86" t="str">
        <f>IFERROR(VLOOKUP(B29,#REF!,8,0),"n/a")</f>
        <v>n/a</v>
      </c>
      <c r="Y29" s="86" t="str">
        <f t="shared" si="41"/>
        <v>GD</v>
      </c>
      <c r="Z29" s="121" t="s">
        <v>1514</v>
      </c>
      <c r="AA29" s="214" t="str">
        <f>VLOOKUP(Table1[[#This Row],[CONCAT]],'[1]1. Tipologias Testes GD'!$F:$L,7,0)</f>
        <v>Alta</v>
      </c>
      <c r="AB29" s="86" t="s">
        <v>1559</v>
      </c>
      <c r="AC29" s="125" t="s">
        <v>1547</v>
      </c>
      <c r="AD29" s="87">
        <v>0</v>
      </c>
      <c r="AE29" s="90">
        <f>INDEX(Auxiliar!$D$5:$I$10,MATCH('Lista - Âmbito Projeto GD'!AE$3,Auxiliar!$B$5:$B$10,0),MATCH('Lista - Âmbito Projeto GD'!$AC29,Auxiliar!$D$4:$I$4,0))</f>
        <v>6</v>
      </c>
      <c r="AF29" s="86">
        <f>INDEX(Auxiliar!$D$5:$I$10,MATCH('Lista - Âmbito Projeto GD'!AF$3,Auxiliar!$B$5:$B$10,0),MATCH('Lista - Âmbito Projeto GD'!$AC29,Auxiliar!$D$4:$I$4,0))</f>
        <v>6</v>
      </c>
      <c r="AG29" s="86" t="str">
        <f t="shared" si="34"/>
        <v>Alta</v>
      </c>
      <c r="AH29" s="86">
        <f>INDEX(Auxiliar!$D$5:$I$10,MATCH('Lista - Âmbito Projeto GD'!AH$3,Auxiliar!$B$5:$B$10,0),MATCH('Lista - Âmbito Projeto GD'!$AG29,Auxiliar!$D$4:$I$4,0))</f>
        <v>0.5</v>
      </c>
      <c r="AI29" s="86">
        <f>INDEX(Auxiliar!$D$5:$I$10,MATCH('Lista - Âmbito Projeto GD'!AI$3,Auxiliar!$B$5:$B$10,0),MATCH('Lista - Âmbito Projeto GD'!$AC29,Auxiliar!$D$4:$I$4,0))</f>
        <v>0.5</v>
      </c>
      <c r="AJ29" s="86">
        <f>INDEX(Auxiliar!$D$5:$I$10,MATCH('Lista - Âmbito Projeto GD'!AJ$3,Auxiliar!$B$5:$B$10,0),MATCH('Lista - Âmbito Projeto GD'!$AC29,Auxiliar!$D$4:$I$4,0))</f>
        <v>1</v>
      </c>
      <c r="AK29" s="150">
        <f t="shared" si="40"/>
        <v>8</v>
      </c>
      <c r="AL29" s="86"/>
    </row>
    <row r="30" spans="1:38" ht="14" x14ac:dyDescent="0.3">
      <c r="A30" s="148" t="s">
        <v>990</v>
      </c>
      <c r="B30" s="215" t="str">
        <f t="shared" si="29"/>
        <v>INSTRUMENT_MNGMNT_PRDCT</v>
      </c>
      <c r="C30" s="81" t="s">
        <v>414</v>
      </c>
      <c r="D30" s="96" t="s">
        <v>991</v>
      </c>
      <c r="E30" s="97" t="s">
        <v>992</v>
      </c>
      <c r="F30" s="84" t="s">
        <v>11</v>
      </c>
      <c r="G30" s="84" t="s">
        <v>13</v>
      </c>
      <c r="H30" s="84" t="s">
        <v>11</v>
      </c>
      <c r="I30" s="84" t="s">
        <v>11</v>
      </c>
      <c r="J30" s="84" t="s">
        <v>11</v>
      </c>
      <c r="K30" s="84" t="s">
        <v>11</v>
      </c>
      <c r="L30" s="85" t="str">
        <f>IFERROR(VLOOKUP($B30,'LISTA - Atual'!$B$1:$I$444,5,0),"Novo")</f>
        <v>N</v>
      </c>
      <c r="M30" s="85" t="str">
        <f t="shared" si="36"/>
        <v>Igual</v>
      </c>
      <c r="N30" s="85" t="str">
        <f>IFERROR(VLOOKUP($B30,'LISTA - Atual'!$B$1:$I$444,6,0),"Novo")</f>
        <v>Y</v>
      </c>
      <c r="O30" s="85" t="str">
        <f t="shared" si="37"/>
        <v>Igual</v>
      </c>
      <c r="P30" s="85" t="str">
        <f>IFERROR(VLOOKUP($B30,'LISTA - Atual'!$B$1:$I$444,7,0),"Novo")</f>
        <v>N</v>
      </c>
      <c r="Q30" s="85" t="str">
        <f t="shared" si="38"/>
        <v>Igual</v>
      </c>
      <c r="R30" s="85" t="s">
        <v>1473</v>
      </c>
      <c r="S30" s="85" t="str">
        <f>IFERROR(VLOOKUP($B30,'LISTA - Atual'!$B$1:$I$444,8,0),"Novo")</f>
        <v>N</v>
      </c>
      <c r="T30" s="85" t="str">
        <f t="shared" si="39"/>
        <v>Igual</v>
      </c>
      <c r="U30" s="85" t="s">
        <v>1473</v>
      </c>
      <c r="V30" s="85" t="s">
        <v>11</v>
      </c>
      <c r="W30" s="86" t="str">
        <f>IFERROR(VLOOKUP(B30,#REF!,11,0),"n/a")</f>
        <v>n/a</v>
      </c>
      <c r="X30" s="86" t="str">
        <f>IFERROR(VLOOKUP(B30,#REF!,8,0),"n/a")</f>
        <v>n/a</v>
      </c>
      <c r="Y30" s="86" t="str">
        <f t="shared" si="41"/>
        <v>GD</v>
      </c>
      <c r="Z30" s="121" t="s">
        <v>1514</v>
      </c>
      <c r="AA30" s="214" t="str">
        <f>VLOOKUP(Table1[[#This Row],[CONCAT]],'[1]1. Tipologias Testes GD'!$F:$L,7,0)</f>
        <v>Média</v>
      </c>
      <c r="AB30" s="86" t="s">
        <v>1559</v>
      </c>
      <c r="AC30" s="125" t="s">
        <v>1547</v>
      </c>
      <c r="AD30" s="87">
        <v>0</v>
      </c>
      <c r="AE30" s="90">
        <f>INDEX(Auxiliar!$D$5:$I$10,MATCH('Lista - Âmbito Projeto GD'!AE$3,Auxiliar!$B$5:$B$10,0),MATCH('Lista - Âmbito Projeto GD'!$AC30,Auxiliar!$D$4:$I$4,0))</f>
        <v>6</v>
      </c>
      <c r="AF30" s="86">
        <f>INDEX(Auxiliar!$D$5:$I$10,MATCH('Lista - Âmbito Projeto GD'!AF$3,Auxiliar!$B$5:$B$10,0),MATCH('Lista - Âmbito Projeto GD'!$AC30,Auxiliar!$D$4:$I$4,0))</f>
        <v>6</v>
      </c>
      <c r="AG30" s="86" t="str">
        <f t="shared" si="34"/>
        <v>Alta</v>
      </c>
      <c r="AH30" s="86">
        <f>INDEX(Auxiliar!$D$5:$I$10,MATCH('Lista - Âmbito Projeto GD'!AH$3,Auxiliar!$B$5:$B$10,0),MATCH('Lista - Âmbito Projeto GD'!$AG30,Auxiliar!$D$4:$I$4,0))</f>
        <v>0.5</v>
      </c>
      <c r="AI30" s="86">
        <f>INDEX(Auxiliar!$D$5:$I$10,MATCH('Lista - Âmbito Projeto GD'!AI$3,Auxiliar!$B$5:$B$10,0),MATCH('Lista - Âmbito Projeto GD'!$AC30,Auxiliar!$D$4:$I$4,0))</f>
        <v>0.5</v>
      </c>
      <c r="AJ30" s="86">
        <f>INDEX(Auxiliar!$D$5:$I$10,MATCH('Lista - Âmbito Projeto GD'!AJ$3,Auxiliar!$B$5:$B$10,0),MATCH('Lista - Âmbito Projeto GD'!$AC30,Auxiliar!$D$4:$I$4,0))</f>
        <v>1</v>
      </c>
      <c r="AK30" s="150">
        <f t="shared" si="40"/>
        <v>8</v>
      </c>
      <c r="AL30" s="86"/>
    </row>
    <row r="31" spans="1:38" ht="14" x14ac:dyDescent="0.3">
      <c r="A31" s="148" t="s">
        <v>993</v>
      </c>
      <c r="B31" s="215" t="str">
        <f t="shared" si="29"/>
        <v>INSTRUMENT_GRSS_CMMSSN_EXPNS</v>
      </c>
      <c r="C31" s="81" t="s">
        <v>414</v>
      </c>
      <c r="D31" s="82" t="s">
        <v>994</v>
      </c>
      <c r="E31" s="83" t="s">
        <v>995</v>
      </c>
      <c r="F31" s="84" t="s">
        <v>11</v>
      </c>
      <c r="G31" s="84" t="s">
        <v>13</v>
      </c>
      <c r="H31" s="84" t="s">
        <v>11</v>
      </c>
      <c r="I31" s="84" t="s">
        <v>11</v>
      </c>
      <c r="J31" s="84" t="s">
        <v>11</v>
      </c>
      <c r="K31" s="84" t="s">
        <v>11</v>
      </c>
      <c r="L31" s="85" t="str">
        <f>IFERROR(VLOOKUP($B31,'LISTA - Atual'!$B$1:$I$444,5,0),"Novo")</f>
        <v>N</v>
      </c>
      <c r="M31" s="85" t="str">
        <f t="shared" si="36"/>
        <v>Igual</v>
      </c>
      <c r="N31" s="85" t="str">
        <f>IFERROR(VLOOKUP($B31,'LISTA - Atual'!$B$1:$I$444,6,0),"Novo")</f>
        <v>Y</v>
      </c>
      <c r="O31" s="85" t="str">
        <f t="shared" si="37"/>
        <v>Igual</v>
      </c>
      <c r="P31" s="85" t="str">
        <f>IFERROR(VLOOKUP($B31,'LISTA - Atual'!$B$1:$I$444,7,0),"Novo")</f>
        <v>N</v>
      </c>
      <c r="Q31" s="85" t="str">
        <f t="shared" si="38"/>
        <v>Igual</v>
      </c>
      <c r="R31" s="85" t="s">
        <v>1473</v>
      </c>
      <c r="S31" s="85" t="str">
        <f>IFERROR(VLOOKUP($B31,'LISTA - Atual'!$B$1:$I$444,8,0),"Novo")</f>
        <v>N</v>
      </c>
      <c r="T31" s="85" t="str">
        <f t="shared" si="39"/>
        <v>Igual</v>
      </c>
      <c r="U31" s="85" t="s">
        <v>1473</v>
      </c>
      <c r="V31" s="85" t="s">
        <v>11</v>
      </c>
      <c r="W31" s="86" t="str">
        <f>IFERROR(VLOOKUP(B31,#REF!,11,0),"n/a")</f>
        <v>n/a</v>
      </c>
      <c r="X31" s="86" t="str">
        <f>IFERROR(VLOOKUP(B31,#REF!,8,0),"n/a")</f>
        <v>n/a</v>
      </c>
      <c r="Y31" s="86" t="str">
        <f t="shared" si="41"/>
        <v>GD</v>
      </c>
      <c r="Z31" s="121" t="s">
        <v>1514</v>
      </c>
      <c r="AA31" s="214" t="str">
        <f>VLOOKUP(Table1[[#This Row],[CONCAT]],'[1]1. Tipologias Testes GD'!$F:$L,7,0)</f>
        <v>Alta</v>
      </c>
      <c r="AB31" s="86" t="s">
        <v>1563</v>
      </c>
      <c r="AC31" s="125" t="s">
        <v>1546</v>
      </c>
      <c r="AD31" s="87">
        <v>0</v>
      </c>
      <c r="AE31" s="90">
        <f>INDEX(Auxiliar!$D$5:$I$10,MATCH('Lista - Âmbito Projeto GD'!AE$3,Auxiliar!$B$5:$B$10,0),MATCH('Lista - Âmbito Projeto GD'!$AC31,Auxiliar!$D$4:$I$4,0))</f>
        <v>3</v>
      </c>
      <c r="AF31" s="86">
        <f>INDEX(Auxiliar!$D$5:$I$10,MATCH('Lista - Âmbito Projeto GD'!AF$3,Auxiliar!$B$5:$B$10,0),MATCH('Lista - Âmbito Projeto GD'!$AC31,Auxiliar!$D$4:$I$4,0))</f>
        <v>3</v>
      </c>
      <c r="AG31" s="86" t="str">
        <f t="shared" si="34"/>
        <v>n.a.</v>
      </c>
      <c r="AH31" s="86">
        <f>INDEX(Auxiliar!$D$5:$I$10,MATCH('Lista - Âmbito Projeto GD'!AH$3,Auxiliar!$B$5:$B$10,0),MATCH('Lista - Âmbito Projeto GD'!$AG31,Auxiliar!$D$4:$I$4,0))</f>
        <v>0</v>
      </c>
      <c r="AI31" s="86">
        <f>INDEX(Auxiliar!$D$5:$I$10,MATCH('Lista - Âmbito Projeto GD'!AI$3,Auxiliar!$B$5:$B$10,0),MATCH('Lista - Âmbito Projeto GD'!$AC31,Auxiliar!$D$4:$I$4,0))</f>
        <v>0.5</v>
      </c>
      <c r="AJ31" s="86">
        <f>INDEX(Auxiliar!$D$5:$I$10,MATCH('Lista - Âmbito Projeto GD'!AJ$3,Auxiliar!$B$5:$B$10,0),MATCH('Lista - Âmbito Projeto GD'!$AC31,Auxiliar!$D$4:$I$4,0))</f>
        <v>1</v>
      </c>
      <c r="AK31" s="150">
        <f t="shared" si="40"/>
        <v>4.5</v>
      </c>
      <c r="AL31" s="86"/>
    </row>
    <row r="32" spans="1:38" ht="14" x14ac:dyDescent="0.3">
      <c r="A32" s="148" t="s">
        <v>996</v>
      </c>
      <c r="B32" s="215" t="str">
        <f t="shared" si="29"/>
        <v>INSTRUMENT_GNS_FNNCL_TRNSCTN_EXCHNG_DFFRNCS</v>
      </c>
      <c r="C32" s="81" t="s">
        <v>414</v>
      </c>
      <c r="D32" s="82" t="s">
        <v>997</v>
      </c>
      <c r="E32" s="83" t="s">
        <v>998</v>
      </c>
      <c r="F32" s="84" t="s">
        <v>11</v>
      </c>
      <c r="G32" s="84" t="s">
        <v>13</v>
      </c>
      <c r="H32" s="84" t="s">
        <v>11</v>
      </c>
      <c r="I32" s="84" t="s">
        <v>11</v>
      </c>
      <c r="J32" s="84" t="s">
        <v>11</v>
      </c>
      <c r="K32" s="84" t="s">
        <v>11</v>
      </c>
      <c r="L32" s="85" t="str">
        <f>IFERROR(VLOOKUP($B32,'LISTA - Atual'!$B$1:$I$444,5,0),"Novo")</f>
        <v>N</v>
      </c>
      <c r="M32" s="85" t="str">
        <f t="shared" si="36"/>
        <v>Igual</v>
      </c>
      <c r="N32" s="85" t="str">
        <f>IFERROR(VLOOKUP($B32,'LISTA - Atual'!$B$1:$I$444,6,0),"Novo")</f>
        <v>Y</v>
      </c>
      <c r="O32" s="85" t="str">
        <f t="shared" si="37"/>
        <v>Igual</v>
      </c>
      <c r="P32" s="85" t="str">
        <f>IFERROR(VLOOKUP($B32,'LISTA - Atual'!$B$1:$I$444,7,0),"Novo")</f>
        <v>N</v>
      </c>
      <c r="Q32" s="85" t="str">
        <f t="shared" si="38"/>
        <v>Igual</v>
      </c>
      <c r="R32" s="85" t="s">
        <v>1473</v>
      </c>
      <c r="S32" s="85" t="str">
        <f>IFERROR(VLOOKUP($B32,'LISTA - Atual'!$B$1:$I$444,8,0),"Novo")</f>
        <v>N</v>
      </c>
      <c r="T32" s="85" t="str">
        <f t="shared" si="39"/>
        <v>Igual</v>
      </c>
      <c r="U32" s="85" t="s">
        <v>1473</v>
      </c>
      <c r="V32" s="85" t="s">
        <v>11</v>
      </c>
      <c r="W32" s="86" t="str">
        <f>IFERROR(VLOOKUP(B32,#REF!,11,0),"n/a")</f>
        <v>n/a</v>
      </c>
      <c r="X32" s="86" t="str">
        <f>IFERROR(VLOOKUP(B32,#REF!,8,0),"n/a")</f>
        <v>n/a</v>
      </c>
      <c r="Y32" s="86" t="str">
        <f t="shared" si="41"/>
        <v>GD</v>
      </c>
      <c r="Z32" s="121" t="s">
        <v>1514</v>
      </c>
      <c r="AA32" s="214" t="str">
        <f>VLOOKUP(Table1[[#This Row],[CONCAT]],'[1]1. Tipologias Testes GD'!$F:$L,7,0)</f>
        <v>Alta</v>
      </c>
      <c r="AB32" s="86" t="s">
        <v>1563</v>
      </c>
      <c r="AC32" s="125" t="s">
        <v>1546</v>
      </c>
      <c r="AD32" s="87">
        <v>0</v>
      </c>
      <c r="AE32" s="90">
        <f>INDEX(Auxiliar!$D$5:$I$10,MATCH('Lista - Âmbito Projeto GD'!AE$3,Auxiliar!$B$5:$B$10,0),MATCH('Lista - Âmbito Projeto GD'!$AC32,Auxiliar!$D$4:$I$4,0))</f>
        <v>3</v>
      </c>
      <c r="AF32" s="86">
        <f>INDEX(Auxiliar!$D$5:$I$10,MATCH('Lista - Âmbito Projeto GD'!AF$3,Auxiliar!$B$5:$B$10,0),MATCH('Lista - Âmbito Projeto GD'!$AC32,Auxiliar!$D$4:$I$4,0))</f>
        <v>3</v>
      </c>
      <c r="AG32" s="86" t="str">
        <f t="shared" si="34"/>
        <v>n.a.</v>
      </c>
      <c r="AH32" s="86">
        <f>INDEX(Auxiliar!$D$5:$I$10,MATCH('Lista - Âmbito Projeto GD'!AH$3,Auxiliar!$B$5:$B$10,0),MATCH('Lista - Âmbito Projeto GD'!$AG32,Auxiliar!$D$4:$I$4,0))</f>
        <v>0</v>
      </c>
      <c r="AI32" s="86">
        <f>INDEX(Auxiliar!$D$5:$I$10,MATCH('Lista - Âmbito Projeto GD'!AI$3,Auxiliar!$B$5:$B$10,0),MATCH('Lista - Âmbito Projeto GD'!$AC32,Auxiliar!$D$4:$I$4,0))</f>
        <v>0.5</v>
      </c>
      <c r="AJ32" s="86">
        <f>INDEX(Auxiliar!$D$5:$I$10,MATCH('Lista - Âmbito Projeto GD'!AJ$3,Auxiliar!$B$5:$B$10,0),MATCH('Lista - Âmbito Projeto GD'!$AC32,Auxiliar!$D$4:$I$4,0))</f>
        <v>1</v>
      </c>
      <c r="AK32" s="150">
        <f t="shared" si="40"/>
        <v>4.5</v>
      </c>
      <c r="AL32" s="86"/>
    </row>
    <row r="33" spans="1:38" ht="14" x14ac:dyDescent="0.3">
      <c r="A33" s="148" t="s">
        <v>999</v>
      </c>
      <c r="B33" s="215" t="str">
        <f t="shared" si="29"/>
        <v>INSTRUMENT_FLG_INTRBSNSS</v>
      </c>
      <c r="C33" s="81" t="s">
        <v>414</v>
      </c>
      <c r="D33" s="82" t="s">
        <v>1000</v>
      </c>
      <c r="E33" s="83" t="s">
        <v>1001</v>
      </c>
      <c r="F33" s="84" t="s">
        <v>11</v>
      </c>
      <c r="G33" s="84" t="s">
        <v>13</v>
      </c>
      <c r="H33" s="84" t="s">
        <v>11</v>
      </c>
      <c r="I33" s="84" t="s">
        <v>11</v>
      </c>
      <c r="J33" s="84" t="s">
        <v>11</v>
      </c>
      <c r="K33" s="84" t="s">
        <v>11</v>
      </c>
      <c r="L33" s="85" t="str">
        <f>IFERROR(VLOOKUP($B33,'LISTA - Atual'!$B$1:$I$444,5,0),"Novo")</f>
        <v>N</v>
      </c>
      <c r="M33" s="85" t="str">
        <f t="shared" si="36"/>
        <v>Igual</v>
      </c>
      <c r="N33" s="85" t="str">
        <f>IFERROR(VLOOKUP($B33,'LISTA - Atual'!$B$1:$I$444,6,0),"Novo")</f>
        <v>Y</v>
      </c>
      <c r="O33" s="85" t="str">
        <f t="shared" si="37"/>
        <v>Igual</v>
      </c>
      <c r="P33" s="85" t="str">
        <f>IFERROR(VLOOKUP($B33,'LISTA - Atual'!$B$1:$I$444,7,0),"Novo")</f>
        <v>N</v>
      </c>
      <c r="Q33" s="85" t="str">
        <f t="shared" si="38"/>
        <v>Igual</v>
      </c>
      <c r="R33" s="85" t="s">
        <v>1473</v>
      </c>
      <c r="S33" s="85" t="str">
        <f>IFERROR(VLOOKUP($B33,'LISTA - Atual'!$B$1:$I$444,8,0),"Novo")</f>
        <v>N</v>
      </c>
      <c r="T33" s="85" t="str">
        <f t="shared" si="39"/>
        <v>Igual</v>
      </c>
      <c r="U33" s="85" t="s">
        <v>1473</v>
      </c>
      <c r="V33" s="85" t="s">
        <v>11</v>
      </c>
      <c r="W33" s="86" t="str">
        <f>IFERROR(VLOOKUP(B33,#REF!,11,0),"n/a")</f>
        <v>n/a</v>
      </c>
      <c r="X33" s="86" t="str">
        <f>IFERROR(VLOOKUP(B33,#REF!,8,0),"n/a")</f>
        <v>n/a</v>
      </c>
      <c r="Y33" s="86" t="str">
        <f t="shared" si="41"/>
        <v>GD</v>
      </c>
      <c r="Z33" s="121" t="s">
        <v>1514</v>
      </c>
      <c r="AA33" s="214" t="str">
        <f>VLOOKUP(Table1[[#This Row],[CONCAT]],'[1]1. Tipologias Testes GD'!$F:$L,7,0)</f>
        <v>Baixa</v>
      </c>
      <c r="AB33" s="86" t="s">
        <v>1562</v>
      </c>
      <c r="AC33" s="125" t="s">
        <v>1574</v>
      </c>
      <c r="AD33" s="87">
        <v>0</v>
      </c>
      <c r="AE33" s="90">
        <f>INDEX(Auxiliar!$D$5:$I$10,MATCH('Lista - Âmbito Projeto GD'!AE$3,Auxiliar!$B$5:$B$10,0),MATCH('Lista - Âmbito Projeto GD'!$AC33,Auxiliar!$D$4:$I$4,0))</f>
        <v>1</v>
      </c>
      <c r="AF33" s="86">
        <f>INDEX(Auxiliar!$D$5:$I$10,MATCH('Lista - Âmbito Projeto GD'!AF$3,Auxiliar!$B$5:$B$10,0),MATCH('Lista - Âmbito Projeto GD'!$AC33,Auxiliar!$D$4:$I$4,0))</f>
        <v>1</v>
      </c>
      <c r="AG33" s="86" t="str">
        <f t="shared" si="34"/>
        <v>M. Baixa</v>
      </c>
      <c r="AH33" s="86">
        <f>INDEX(Auxiliar!$D$5:$I$10,MATCH('Lista - Âmbito Projeto GD'!AH$3,Auxiliar!$B$5:$B$10,0),MATCH('Lista - Âmbito Projeto GD'!$AG33,Auxiliar!$D$4:$I$4,0))</f>
        <v>0.5</v>
      </c>
      <c r="AI33" s="86">
        <f>INDEX(Auxiliar!$D$5:$I$10,MATCH('Lista - Âmbito Projeto GD'!AI$3,Auxiliar!$B$5:$B$10,0),MATCH('Lista - Âmbito Projeto GD'!$AC33,Auxiliar!$D$4:$I$4,0))</f>
        <v>0.5</v>
      </c>
      <c r="AJ33" s="86">
        <f>INDEX(Auxiliar!$D$5:$I$10,MATCH('Lista - Âmbito Projeto GD'!AJ$3,Auxiliar!$B$5:$B$10,0),MATCH('Lista - Âmbito Projeto GD'!$AC33,Auxiliar!$D$4:$I$4,0))</f>
        <v>1</v>
      </c>
      <c r="AK33" s="150">
        <f t="shared" si="40"/>
        <v>3</v>
      </c>
      <c r="AL33" s="86"/>
    </row>
    <row r="34" spans="1:38" s="20" customFormat="1" ht="14" x14ac:dyDescent="0.3">
      <c r="A34" s="148" t="s">
        <v>1002</v>
      </c>
      <c r="B34" s="215" t="str">
        <f t="shared" si="29"/>
        <v>INSTRUMENT_INTRBSNSS_ADJ_COD</v>
      </c>
      <c r="C34" s="81" t="s">
        <v>414</v>
      </c>
      <c r="D34" s="82" t="s">
        <v>1003</v>
      </c>
      <c r="E34" s="83" t="s">
        <v>1004</v>
      </c>
      <c r="F34" s="84" t="s">
        <v>11</v>
      </c>
      <c r="G34" s="84" t="s">
        <v>13</v>
      </c>
      <c r="H34" s="84" t="s">
        <v>11</v>
      </c>
      <c r="I34" s="84" t="s">
        <v>11</v>
      </c>
      <c r="J34" s="84" t="s">
        <v>11</v>
      </c>
      <c r="K34" s="84" t="s">
        <v>11</v>
      </c>
      <c r="L34" s="85" t="str">
        <f>IFERROR(VLOOKUP($B34,'LISTA - Atual'!$B$1:$I$444,5,0),"Novo")</f>
        <v>N</v>
      </c>
      <c r="M34" s="85" t="str">
        <f t="shared" si="36"/>
        <v>Igual</v>
      </c>
      <c r="N34" s="85" t="str">
        <f>IFERROR(VLOOKUP($B34,'LISTA - Atual'!$B$1:$I$444,6,0),"Novo")</f>
        <v>Y</v>
      </c>
      <c r="O34" s="85" t="str">
        <f t="shared" si="37"/>
        <v>Igual</v>
      </c>
      <c r="P34" s="85" t="str">
        <f>IFERROR(VLOOKUP($B34,'LISTA - Atual'!$B$1:$I$444,7,0),"Novo")</f>
        <v>N</v>
      </c>
      <c r="Q34" s="85" t="str">
        <f t="shared" si="38"/>
        <v>Igual</v>
      </c>
      <c r="R34" s="85" t="s">
        <v>1473</v>
      </c>
      <c r="S34" s="85" t="str">
        <f>IFERROR(VLOOKUP($B34,'LISTA - Atual'!$B$1:$I$444,8,0),"Novo")</f>
        <v>N</v>
      </c>
      <c r="T34" s="85" t="str">
        <f t="shared" si="39"/>
        <v>Igual</v>
      </c>
      <c r="U34" s="85" t="s">
        <v>1473</v>
      </c>
      <c r="V34" s="85" t="s">
        <v>11</v>
      </c>
      <c r="W34" s="86" t="str">
        <f>IFERROR(VLOOKUP(B34,#REF!,11,0),"n/a")</f>
        <v>n/a</v>
      </c>
      <c r="X34" s="86" t="str">
        <f>IFERROR(VLOOKUP(B34,#REF!,8,0),"n/a")</f>
        <v>n/a</v>
      </c>
      <c r="Y34" s="86" t="str">
        <f t="shared" si="41"/>
        <v>GD</v>
      </c>
      <c r="Z34" s="121" t="s">
        <v>1514</v>
      </c>
      <c r="AA34" s="214" t="str">
        <f>VLOOKUP(Table1[[#This Row],[CONCAT]],'[1]1. Tipologias Testes GD'!$F:$L,7,0)</f>
        <v>Baixa</v>
      </c>
      <c r="AB34" s="86" t="s">
        <v>1559</v>
      </c>
      <c r="AC34" s="125" t="s">
        <v>1574</v>
      </c>
      <c r="AD34" s="87">
        <v>0</v>
      </c>
      <c r="AE34" s="90">
        <f>INDEX(Auxiliar!$D$5:$I$10,MATCH('Lista - Âmbito Projeto GD'!AE$3,Auxiliar!$B$5:$B$10,0),MATCH('Lista - Âmbito Projeto GD'!$AC34,Auxiliar!$D$4:$I$4,0))</f>
        <v>1</v>
      </c>
      <c r="AF34" s="86">
        <f>INDEX(Auxiliar!$D$5:$I$10,MATCH('Lista - Âmbito Projeto GD'!AF$3,Auxiliar!$B$5:$B$10,0),MATCH('Lista - Âmbito Projeto GD'!$AC34,Auxiliar!$D$4:$I$4,0))</f>
        <v>1</v>
      </c>
      <c r="AG34" s="86" t="str">
        <f t="shared" si="34"/>
        <v>M. Baixa</v>
      </c>
      <c r="AH34" s="86">
        <f>INDEX(Auxiliar!$D$5:$I$10,MATCH('Lista - Âmbito Projeto GD'!AH$3,Auxiliar!$B$5:$B$10,0),MATCH('Lista - Âmbito Projeto GD'!$AG34,Auxiliar!$D$4:$I$4,0))</f>
        <v>0.5</v>
      </c>
      <c r="AI34" s="86">
        <f>INDEX(Auxiliar!$D$5:$I$10,MATCH('Lista - Âmbito Projeto GD'!AI$3,Auxiliar!$B$5:$B$10,0),MATCH('Lista - Âmbito Projeto GD'!$AC34,Auxiliar!$D$4:$I$4,0))</f>
        <v>0.5</v>
      </c>
      <c r="AJ34" s="86">
        <f>INDEX(Auxiliar!$D$5:$I$10,MATCH('Lista - Âmbito Projeto GD'!AJ$3,Auxiliar!$B$5:$B$10,0),MATCH('Lista - Âmbito Projeto GD'!$AC34,Auxiliar!$D$4:$I$4,0))</f>
        <v>1</v>
      </c>
      <c r="AK34" s="150">
        <f t="shared" si="40"/>
        <v>3</v>
      </c>
      <c r="AL34" s="151"/>
    </row>
    <row r="35" spans="1:38" ht="14" x14ac:dyDescent="0.3">
      <c r="A35" s="148" t="s">
        <v>1005</v>
      </c>
      <c r="B35" s="215" t="str">
        <f t="shared" si="29"/>
        <v>INSTRUMENT_COD_SOC_DSTNTN</v>
      </c>
      <c r="C35" s="81" t="s">
        <v>414</v>
      </c>
      <c r="D35" s="82" t="s">
        <v>1006</v>
      </c>
      <c r="E35" s="83" t="s">
        <v>1007</v>
      </c>
      <c r="F35" s="84" t="s">
        <v>11</v>
      </c>
      <c r="G35" s="84" t="s">
        <v>13</v>
      </c>
      <c r="H35" s="84" t="s">
        <v>11</v>
      </c>
      <c r="I35" s="84" t="s">
        <v>11</v>
      </c>
      <c r="J35" s="84" t="s">
        <v>11</v>
      </c>
      <c r="K35" s="84" t="s">
        <v>11</v>
      </c>
      <c r="L35" s="85" t="str">
        <f>IFERROR(VLOOKUP($B35,'LISTA - Atual'!$B$1:$I$444,5,0),"Novo")</f>
        <v>N</v>
      </c>
      <c r="M35" s="85" t="str">
        <f t="shared" si="36"/>
        <v>Igual</v>
      </c>
      <c r="N35" s="85" t="str">
        <f>IFERROR(VLOOKUP($B35,'LISTA - Atual'!$B$1:$I$444,6,0),"Novo")</f>
        <v>Y</v>
      </c>
      <c r="O35" s="85" t="str">
        <f t="shared" si="37"/>
        <v>Igual</v>
      </c>
      <c r="P35" s="85" t="str">
        <f>IFERROR(VLOOKUP($B35,'LISTA - Atual'!$B$1:$I$444,7,0),"Novo")</f>
        <v>N</v>
      </c>
      <c r="Q35" s="85" t="str">
        <f t="shared" si="38"/>
        <v>Igual</v>
      </c>
      <c r="R35" s="85" t="s">
        <v>1473</v>
      </c>
      <c r="S35" s="85" t="str">
        <f>IFERROR(VLOOKUP($B35,'LISTA - Atual'!$B$1:$I$444,8,0),"Novo")</f>
        <v>N</v>
      </c>
      <c r="T35" s="85" t="str">
        <f t="shared" si="39"/>
        <v>Igual</v>
      </c>
      <c r="U35" s="85" t="s">
        <v>1473</v>
      </c>
      <c r="V35" s="85" t="s">
        <v>11</v>
      </c>
      <c r="W35" s="86" t="str">
        <f>IFERROR(VLOOKUP(B35,#REF!,11,0),"n/a")</f>
        <v>n/a</v>
      </c>
      <c r="X35" s="86" t="str">
        <f>IFERROR(VLOOKUP(B35,#REF!,8,0),"n/a")</f>
        <v>n/a</v>
      </c>
      <c r="Y35" s="86" t="str">
        <f t="shared" si="41"/>
        <v>GD</v>
      </c>
      <c r="Z35" s="121" t="s">
        <v>1514</v>
      </c>
      <c r="AA35" s="214" t="str">
        <f>VLOOKUP(Table1[[#This Row],[CONCAT]],'[1]1. Tipologias Testes GD'!$F:$L,7,0)</f>
        <v>Baixa</v>
      </c>
      <c r="AB35" s="86" t="s">
        <v>1558</v>
      </c>
      <c r="AC35" s="125" t="s">
        <v>1574</v>
      </c>
      <c r="AD35" s="87">
        <v>0</v>
      </c>
      <c r="AE35" s="90">
        <f>INDEX(Auxiliar!$D$5:$I$10,MATCH('Lista - Âmbito Projeto GD'!AE$3,Auxiliar!$B$5:$B$10,0),MATCH('Lista - Âmbito Projeto GD'!$AC35,Auxiliar!$D$4:$I$4,0))</f>
        <v>1</v>
      </c>
      <c r="AF35" s="86">
        <f>INDEX(Auxiliar!$D$5:$I$10,MATCH('Lista - Âmbito Projeto GD'!AF$3,Auxiliar!$B$5:$B$10,0),MATCH('Lista - Âmbito Projeto GD'!$AC35,Auxiliar!$D$4:$I$4,0))</f>
        <v>1</v>
      </c>
      <c r="AG35" s="86" t="str">
        <f t="shared" si="34"/>
        <v>n.a.</v>
      </c>
      <c r="AH35" s="86">
        <f>INDEX(Auxiliar!$D$5:$I$10,MATCH('Lista - Âmbito Projeto GD'!AH$3,Auxiliar!$B$5:$B$10,0),MATCH('Lista - Âmbito Projeto GD'!$AG35,Auxiliar!$D$4:$I$4,0))</f>
        <v>0</v>
      </c>
      <c r="AI35" s="86">
        <f>INDEX(Auxiliar!$D$5:$I$10,MATCH('Lista - Âmbito Projeto GD'!AI$3,Auxiliar!$B$5:$B$10,0),MATCH('Lista - Âmbito Projeto GD'!$AC35,Auxiliar!$D$4:$I$4,0))</f>
        <v>0.5</v>
      </c>
      <c r="AJ35" s="86">
        <f>INDEX(Auxiliar!$D$5:$I$10,MATCH('Lista - Âmbito Projeto GD'!AJ$3,Auxiliar!$B$5:$B$10,0),MATCH('Lista - Âmbito Projeto GD'!$AC35,Auxiliar!$D$4:$I$4,0))</f>
        <v>1</v>
      </c>
      <c r="AK35" s="150">
        <f t="shared" si="40"/>
        <v>2.5</v>
      </c>
      <c r="AL35" s="86"/>
    </row>
    <row r="36" spans="1:38" ht="14" x14ac:dyDescent="0.3">
      <c r="A36" s="148" t="s">
        <v>1008</v>
      </c>
      <c r="B36" s="215" t="str">
        <f t="shared" si="29"/>
        <v>INSTRUMENT_BSNSS_AREA_DSTNTN</v>
      </c>
      <c r="C36" s="81" t="s">
        <v>414</v>
      </c>
      <c r="D36" s="82" t="s">
        <v>1009</v>
      </c>
      <c r="E36" s="83" t="s">
        <v>1010</v>
      </c>
      <c r="F36" s="84" t="s">
        <v>11</v>
      </c>
      <c r="G36" s="84" t="s">
        <v>13</v>
      </c>
      <c r="H36" s="84" t="s">
        <v>11</v>
      </c>
      <c r="I36" s="84" t="s">
        <v>11</v>
      </c>
      <c r="J36" s="84" t="s">
        <v>11</v>
      </c>
      <c r="K36" s="84" t="s">
        <v>11</v>
      </c>
      <c r="L36" s="85" t="str">
        <f>IFERROR(VLOOKUP($B36,'LISTA - Atual'!$B$1:$I$444,5,0),"Novo")</f>
        <v>N</v>
      </c>
      <c r="M36" s="85" t="str">
        <f t="shared" si="36"/>
        <v>Igual</v>
      </c>
      <c r="N36" s="85" t="str">
        <f>IFERROR(VLOOKUP($B36,'LISTA - Atual'!$B$1:$I$444,6,0),"Novo")</f>
        <v>Y</v>
      </c>
      <c r="O36" s="85" t="str">
        <f t="shared" si="37"/>
        <v>Igual</v>
      </c>
      <c r="P36" s="85" t="str">
        <f>IFERROR(VLOOKUP($B36,'LISTA - Atual'!$B$1:$I$444,7,0),"Novo")</f>
        <v>N</v>
      </c>
      <c r="Q36" s="85" t="str">
        <f t="shared" si="38"/>
        <v>Igual</v>
      </c>
      <c r="R36" s="85" t="s">
        <v>1473</v>
      </c>
      <c r="S36" s="85" t="str">
        <f>IFERROR(VLOOKUP($B36,'LISTA - Atual'!$B$1:$I$444,8,0),"Novo")</f>
        <v>N</v>
      </c>
      <c r="T36" s="85" t="str">
        <f t="shared" si="39"/>
        <v>Igual</v>
      </c>
      <c r="U36" s="85" t="s">
        <v>1473</v>
      </c>
      <c r="V36" s="85" t="s">
        <v>11</v>
      </c>
      <c r="W36" s="86" t="str">
        <f>IFERROR(VLOOKUP(B36,#REF!,11,0),"n/a")</f>
        <v>n/a</v>
      </c>
      <c r="X36" s="86" t="str">
        <f>IFERROR(VLOOKUP(B36,#REF!,8,0),"n/a")</f>
        <v>n/a</v>
      </c>
      <c r="Y36" s="86" t="str">
        <f t="shared" si="41"/>
        <v>GD</v>
      </c>
      <c r="Z36" s="121" t="s">
        <v>1514</v>
      </c>
      <c r="AA36" s="214" t="str">
        <f>VLOOKUP(Table1[[#This Row],[CONCAT]],'[1]1. Tipologias Testes GD'!$F:$L,7,0)</f>
        <v>Baixa</v>
      </c>
      <c r="AB36" s="86" t="s">
        <v>1559</v>
      </c>
      <c r="AC36" s="125" t="s">
        <v>1574</v>
      </c>
      <c r="AD36" s="87">
        <v>0</v>
      </c>
      <c r="AE36" s="90">
        <f>INDEX(Auxiliar!$D$5:$I$10,MATCH('Lista - Âmbito Projeto GD'!AE$3,Auxiliar!$B$5:$B$10,0),MATCH('Lista - Âmbito Projeto GD'!$AC36,Auxiliar!$D$4:$I$4,0))</f>
        <v>1</v>
      </c>
      <c r="AF36" s="86">
        <f>INDEX(Auxiliar!$D$5:$I$10,MATCH('Lista - Âmbito Projeto GD'!AF$3,Auxiliar!$B$5:$B$10,0),MATCH('Lista - Âmbito Projeto GD'!$AC36,Auxiliar!$D$4:$I$4,0))</f>
        <v>1</v>
      </c>
      <c r="AG36" s="86" t="str">
        <f t="shared" si="34"/>
        <v>M. Baixa</v>
      </c>
      <c r="AH36" s="86">
        <f>INDEX(Auxiliar!$D$5:$I$10,MATCH('Lista - Âmbito Projeto GD'!AH$3,Auxiliar!$B$5:$B$10,0),MATCH('Lista - Âmbito Projeto GD'!$AG36,Auxiliar!$D$4:$I$4,0))</f>
        <v>0.5</v>
      </c>
      <c r="AI36" s="86">
        <f>INDEX(Auxiliar!$D$5:$I$10,MATCH('Lista - Âmbito Projeto GD'!AI$3,Auxiliar!$B$5:$B$10,0),MATCH('Lista - Âmbito Projeto GD'!$AC36,Auxiliar!$D$4:$I$4,0))</f>
        <v>0.5</v>
      </c>
      <c r="AJ36" s="86">
        <f>INDEX(Auxiliar!$D$5:$I$10,MATCH('Lista - Âmbito Projeto GD'!AJ$3,Auxiliar!$B$5:$B$10,0),MATCH('Lista - Âmbito Projeto GD'!$AC36,Auxiliar!$D$4:$I$4,0))</f>
        <v>1</v>
      </c>
      <c r="AK36" s="150">
        <f t="shared" si="40"/>
        <v>3</v>
      </c>
      <c r="AL36" s="86"/>
    </row>
    <row r="37" spans="1:38" ht="14" x14ac:dyDescent="0.3">
      <c r="A37" s="148" t="s">
        <v>1011</v>
      </c>
      <c r="B37" s="215" t="str">
        <f t="shared" si="29"/>
        <v>INSTRUMENT_AVRG_BLNC_OFF_BLNC</v>
      </c>
      <c r="C37" s="81" t="s">
        <v>414</v>
      </c>
      <c r="D37" s="82" t="s">
        <v>1012</v>
      </c>
      <c r="E37" s="83" t="s">
        <v>1013</v>
      </c>
      <c r="F37" s="84" t="s">
        <v>11</v>
      </c>
      <c r="G37" s="84" t="s">
        <v>13</v>
      </c>
      <c r="H37" s="84" t="s">
        <v>11</v>
      </c>
      <c r="I37" s="84" t="s">
        <v>11</v>
      </c>
      <c r="J37" s="84" t="s">
        <v>11</v>
      </c>
      <c r="K37" s="84" t="s">
        <v>11</v>
      </c>
      <c r="L37" s="85" t="str">
        <f>IFERROR(VLOOKUP($B37,'LISTA - Atual'!$B$1:$I$444,5,0),"Novo")</f>
        <v>N</v>
      </c>
      <c r="M37" s="85" t="str">
        <f t="shared" si="36"/>
        <v>Igual</v>
      </c>
      <c r="N37" s="85" t="str">
        <f>IFERROR(VLOOKUP($B37,'LISTA - Atual'!$B$1:$I$444,6,0),"Novo")</f>
        <v>Y</v>
      </c>
      <c r="O37" s="85" t="str">
        <f t="shared" si="37"/>
        <v>Igual</v>
      </c>
      <c r="P37" s="85" t="str">
        <f>IFERROR(VLOOKUP($B37,'LISTA - Atual'!$B$1:$I$444,7,0),"Novo")</f>
        <v>N</v>
      </c>
      <c r="Q37" s="85" t="str">
        <f t="shared" si="38"/>
        <v>Igual</v>
      </c>
      <c r="R37" s="85" t="s">
        <v>1473</v>
      </c>
      <c r="S37" s="85" t="str">
        <f>IFERROR(VLOOKUP($B37,'LISTA - Atual'!$B$1:$I$444,8,0),"Novo")</f>
        <v>N</v>
      </c>
      <c r="T37" s="85" t="str">
        <f t="shared" si="39"/>
        <v>Igual</v>
      </c>
      <c r="U37" s="85" t="s">
        <v>1473</v>
      </c>
      <c r="V37" s="85" t="s">
        <v>11</v>
      </c>
      <c r="W37" s="86" t="str">
        <f>IFERROR(VLOOKUP(B37,#REF!,11,0),"n/a")</f>
        <v>n/a</v>
      </c>
      <c r="X37" s="86" t="str">
        <f>IFERROR(VLOOKUP(B37,#REF!,8,0),"n/a")</f>
        <v>n/a</v>
      </c>
      <c r="Y37" s="86" t="str">
        <f t="shared" si="41"/>
        <v>GD</v>
      </c>
      <c r="Z37" s="121" t="s">
        <v>1514</v>
      </c>
      <c r="AA37" s="214" t="str">
        <f>VLOOKUP(Table1[[#This Row],[CONCAT]],'[1]1. Tipologias Testes GD'!$F:$L,7,0)</f>
        <v>Média</v>
      </c>
      <c r="AB37" s="86" t="s">
        <v>1563</v>
      </c>
      <c r="AC37" s="125" t="s">
        <v>1546</v>
      </c>
      <c r="AD37" s="87">
        <v>0</v>
      </c>
      <c r="AE37" s="90">
        <f>INDEX(Auxiliar!$D$5:$I$10,MATCH('Lista - Âmbito Projeto GD'!AE$3,Auxiliar!$B$5:$B$10,0),MATCH('Lista - Âmbito Projeto GD'!$AC37,Auxiliar!$D$4:$I$4,0))</f>
        <v>3</v>
      </c>
      <c r="AF37" s="86">
        <f>INDEX(Auxiliar!$D$5:$I$10,MATCH('Lista - Âmbito Projeto GD'!AF$3,Auxiliar!$B$5:$B$10,0),MATCH('Lista - Âmbito Projeto GD'!$AC37,Auxiliar!$D$4:$I$4,0))</f>
        <v>3</v>
      </c>
      <c r="AG37" s="86" t="str">
        <f t="shared" si="34"/>
        <v>n.a.</v>
      </c>
      <c r="AH37" s="86">
        <f>INDEX(Auxiliar!$D$5:$I$10,MATCH('Lista - Âmbito Projeto GD'!AH$3,Auxiliar!$B$5:$B$10,0),MATCH('Lista - Âmbito Projeto GD'!$AG37,Auxiliar!$D$4:$I$4,0))</f>
        <v>0</v>
      </c>
      <c r="AI37" s="86">
        <f>INDEX(Auxiliar!$D$5:$I$10,MATCH('Lista - Âmbito Projeto GD'!AI$3,Auxiliar!$B$5:$B$10,0),MATCH('Lista - Âmbito Projeto GD'!$AC37,Auxiliar!$D$4:$I$4,0))</f>
        <v>0.5</v>
      </c>
      <c r="AJ37" s="86">
        <f>INDEX(Auxiliar!$D$5:$I$10,MATCH('Lista - Âmbito Projeto GD'!AJ$3,Auxiliar!$B$5:$B$10,0),MATCH('Lista - Âmbito Projeto GD'!$AC37,Auxiliar!$D$4:$I$4,0))</f>
        <v>1</v>
      </c>
      <c r="AK37" s="150">
        <f t="shared" si="40"/>
        <v>4.5</v>
      </c>
      <c r="AL37" s="86"/>
    </row>
    <row r="38" spans="1:38" ht="14" x14ac:dyDescent="0.3">
      <c r="A38" s="148" t="s">
        <v>1014</v>
      </c>
      <c r="B38" s="215" t="str">
        <f t="shared" si="29"/>
        <v>INSTRUMENT_INTRNL_TRNSFR_RT_OFF_BLNC</v>
      </c>
      <c r="C38" s="81" t="s">
        <v>414</v>
      </c>
      <c r="D38" s="82" t="s">
        <v>1015</v>
      </c>
      <c r="E38" s="83" t="s">
        <v>1016</v>
      </c>
      <c r="F38" s="84" t="s">
        <v>11</v>
      </c>
      <c r="G38" s="84" t="s">
        <v>13</v>
      </c>
      <c r="H38" s="84" t="s">
        <v>11</v>
      </c>
      <c r="I38" s="84" t="s">
        <v>11</v>
      </c>
      <c r="J38" s="84" t="s">
        <v>11</v>
      </c>
      <c r="K38" s="84" t="s">
        <v>11</v>
      </c>
      <c r="L38" s="85" t="str">
        <f>IFERROR(VLOOKUP($B38,'LISTA - Atual'!$B$1:$I$444,5,0),"Novo")</f>
        <v>N</v>
      </c>
      <c r="M38" s="85" t="str">
        <f t="shared" si="36"/>
        <v>Igual</v>
      </c>
      <c r="N38" s="85" t="str">
        <f>IFERROR(VLOOKUP($B38,'LISTA - Atual'!$B$1:$I$444,6,0),"Novo")</f>
        <v>Y</v>
      </c>
      <c r="O38" s="85" t="str">
        <f t="shared" si="37"/>
        <v>Igual</v>
      </c>
      <c r="P38" s="85" t="str">
        <f>IFERROR(VLOOKUP($B38,'LISTA - Atual'!$B$1:$I$444,7,0),"Novo")</f>
        <v>N</v>
      </c>
      <c r="Q38" s="85" t="str">
        <f t="shared" si="38"/>
        <v>Igual</v>
      </c>
      <c r="R38" s="85" t="s">
        <v>1473</v>
      </c>
      <c r="S38" s="85" t="str">
        <f>IFERROR(VLOOKUP($B38,'LISTA - Atual'!$B$1:$I$444,8,0),"Novo")</f>
        <v>N</v>
      </c>
      <c r="T38" s="85" t="str">
        <f t="shared" si="39"/>
        <v>Igual</v>
      </c>
      <c r="U38" s="85" t="s">
        <v>1473</v>
      </c>
      <c r="V38" s="85" t="s">
        <v>11</v>
      </c>
      <c r="W38" s="86" t="str">
        <f>IFERROR(VLOOKUP(B38,#REF!,11,0),"n/a")</f>
        <v>n/a</v>
      </c>
      <c r="X38" s="86" t="str">
        <f>IFERROR(VLOOKUP(B38,#REF!,8,0),"n/a")</f>
        <v>n/a</v>
      </c>
      <c r="Y38" s="86" t="str">
        <f t="shared" si="41"/>
        <v>GD</v>
      </c>
      <c r="Z38" s="121" t="s">
        <v>1514</v>
      </c>
      <c r="AA38" s="214" t="str">
        <f>VLOOKUP(Table1[[#This Row],[CONCAT]],'[1]1. Tipologias Testes GD'!$F:$L,7,0)</f>
        <v>Baixa</v>
      </c>
      <c r="AB38" s="86" t="s">
        <v>1563</v>
      </c>
      <c r="AC38" s="125" t="s">
        <v>1574</v>
      </c>
      <c r="AD38" s="87">
        <v>0</v>
      </c>
      <c r="AE38" s="90">
        <f>INDEX(Auxiliar!$D$5:$I$10,MATCH('Lista - Âmbito Projeto GD'!AE$3,Auxiliar!$B$5:$B$10,0),MATCH('Lista - Âmbito Projeto GD'!$AC38,Auxiliar!$D$4:$I$4,0))</f>
        <v>1</v>
      </c>
      <c r="AF38" s="86">
        <f>INDEX(Auxiliar!$D$5:$I$10,MATCH('Lista - Âmbito Projeto GD'!AF$3,Auxiliar!$B$5:$B$10,0),MATCH('Lista - Âmbito Projeto GD'!$AC38,Auxiliar!$D$4:$I$4,0))</f>
        <v>1</v>
      </c>
      <c r="AG38" s="86" t="str">
        <f t="shared" si="34"/>
        <v>n.a.</v>
      </c>
      <c r="AH38" s="86">
        <f>INDEX(Auxiliar!$D$5:$I$10,MATCH('Lista - Âmbito Projeto GD'!AH$3,Auxiliar!$B$5:$B$10,0),MATCH('Lista - Âmbito Projeto GD'!$AG38,Auxiliar!$D$4:$I$4,0))</f>
        <v>0</v>
      </c>
      <c r="AI38" s="86">
        <f>INDEX(Auxiliar!$D$5:$I$10,MATCH('Lista - Âmbito Projeto GD'!AI$3,Auxiliar!$B$5:$B$10,0),MATCH('Lista - Âmbito Projeto GD'!$AC38,Auxiliar!$D$4:$I$4,0))</f>
        <v>0.5</v>
      </c>
      <c r="AJ38" s="86">
        <f>INDEX(Auxiliar!$D$5:$I$10,MATCH('Lista - Âmbito Projeto GD'!AJ$3,Auxiliar!$B$5:$B$10,0),MATCH('Lista - Âmbito Projeto GD'!$AC38,Auxiliar!$D$4:$I$4,0))</f>
        <v>1</v>
      </c>
      <c r="AK38" s="150">
        <f t="shared" si="40"/>
        <v>2.5</v>
      </c>
      <c r="AL38" s="86"/>
    </row>
    <row r="39" spans="1:38" ht="14" x14ac:dyDescent="0.3">
      <c r="A39" s="148" t="s">
        <v>1017</v>
      </c>
      <c r="B39" s="215" t="str">
        <f t="shared" si="29"/>
        <v>INSTRUMENT_GRSS_CMMSSN_INCM_OFF_BLNC</v>
      </c>
      <c r="C39" s="81" t="s">
        <v>414</v>
      </c>
      <c r="D39" s="82" t="s">
        <v>1018</v>
      </c>
      <c r="E39" s="83" t="s">
        <v>1019</v>
      </c>
      <c r="F39" s="84" t="s">
        <v>11</v>
      </c>
      <c r="G39" s="84" t="s">
        <v>13</v>
      </c>
      <c r="H39" s="84" t="s">
        <v>13</v>
      </c>
      <c r="I39" s="84" t="s">
        <v>11</v>
      </c>
      <c r="J39" s="84" t="s">
        <v>11</v>
      </c>
      <c r="K39" s="84" t="s">
        <v>11</v>
      </c>
      <c r="L39" s="85" t="str">
        <f>IFERROR(VLOOKUP($B39,'LISTA - Atual'!$B$1:$I$444,5,0),"Novo")</f>
        <v>N</v>
      </c>
      <c r="M39" s="85" t="str">
        <f t="shared" si="36"/>
        <v>Igual</v>
      </c>
      <c r="N39" s="85" t="str">
        <f>IFERROR(VLOOKUP($B39,'LISTA - Atual'!$B$1:$I$444,6,0),"Novo")</f>
        <v>Y</v>
      </c>
      <c r="O39" s="85" t="str">
        <f t="shared" si="37"/>
        <v>Igual</v>
      </c>
      <c r="P39" s="85" t="str">
        <f>IFERROR(VLOOKUP($B39,'LISTA - Atual'!$B$1:$I$444,7,0),"Novo")</f>
        <v>Y</v>
      </c>
      <c r="Q39" s="85" t="str">
        <f t="shared" si="38"/>
        <v>Igual</v>
      </c>
      <c r="R39" s="85" t="s">
        <v>1473</v>
      </c>
      <c r="S39" s="85" t="str">
        <f>IFERROR(VLOOKUP($B39,'LISTA - Atual'!$B$1:$I$444,8,0),"Novo")</f>
        <v>N</v>
      </c>
      <c r="T39" s="85" t="str">
        <f t="shared" si="39"/>
        <v>Igual</v>
      </c>
      <c r="U39" s="85" t="s">
        <v>1473</v>
      </c>
      <c r="V39" s="85" t="s">
        <v>11</v>
      </c>
      <c r="W39" s="86" t="str">
        <f>IFERROR(VLOOKUP(B39,#REF!,11,0),"n/a")</f>
        <v>n/a</v>
      </c>
      <c r="X39" s="86" t="str">
        <f>IFERROR(VLOOKUP(B39,#REF!,8,0),"n/a")</f>
        <v>n/a</v>
      </c>
      <c r="Y39" s="86" t="str">
        <f>$G$2&amp;$Y$1&amp;$H$2</f>
        <v>GD &amp; PILAR3</v>
      </c>
      <c r="Z39" s="121" t="s">
        <v>1514</v>
      </c>
      <c r="AA39" s="214" t="str">
        <f>VLOOKUP(Table1[[#This Row],[CONCAT]],'[1]1. Tipologias Testes GD'!$F:$L,7,0)</f>
        <v>Alta</v>
      </c>
      <c r="AB39" s="86" t="s">
        <v>1563</v>
      </c>
      <c r="AC39" s="125" t="s">
        <v>1547</v>
      </c>
      <c r="AD39" s="87">
        <v>0</v>
      </c>
      <c r="AE39" s="90">
        <f>INDEX(Auxiliar!$D$5:$I$10,MATCH('Lista - Âmbito Projeto GD'!AE$3,Auxiliar!$B$5:$B$10,0),MATCH('Lista - Âmbito Projeto GD'!$AC39,Auxiliar!$D$4:$I$4,0))</f>
        <v>6</v>
      </c>
      <c r="AF39" s="86">
        <f>INDEX(Auxiliar!$D$5:$I$10,MATCH('Lista - Âmbito Projeto GD'!AF$3,Auxiliar!$B$5:$B$10,0),MATCH('Lista - Âmbito Projeto GD'!$AC39,Auxiliar!$D$4:$I$4,0))</f>
        <v>6</v>
      </c>
      <c r="AG39" s="86" t="str">
        <f t="shared" ref="AG39:AG51" si="42">IF(OR(AB39="Code List",AB39="Y, N"),AC39,"n.a.")</f>
        <v>n.a.</v>
      </c>
      <c r="AH39" s="86">
        <f>INDEX(Auxiliar!$D$5:$I$10,MATCH('Lista - Âmbito Projeto GD'!AH$3,Auxiliar!$B$5:$B$10,0),MATCH('Lista - Âmbito Projeto GD'!$AG39,Auxiliar!$D$4:$I$4,0))</f>
        <v>0</v>
      </c>
      <c r="AI39" s="86">
        <f>INDEX(Auxiliar!$D$5:$I$10,MATCH('Lista - Âmbito Projeto GD'!AI$3,Auxiliar!$B$5:$B$10,0),MATCH('Lista - Âmbito Projeto GD'!$AC39,Auxiliar!$D$4:$I$4,0))</f>
        <v>0.5</v>
      </c>
      <c r="AJ39" s="86">
        <f>INDEX(Auxiliar!$D$5:$I$10,MATCH('Lista - Âmbito Projeto GD'!AJ$3,Auxiliar!$B$5:$B$10,0),MATCH('Lista - Âmbito Projeto GD'!$AC39,Auxiliar!$D$4:$I$4,0))</f>
        <v>1</v>
      </c>
      <c r="AK39" s="150">
        <f t="shared" si="40"/>
        <v>7.5</v>
      </c>
      <c r="AL39" s="86"/>
    </row>
    <row r="40" spans="1:38" ht="14" x14ac:dyDescent="0.3">
      <c r="A40" s="148" t="s">
        <v>1020</v>
      </c>
      <c r="B40" s="215" t="str">
        <f t="shared" ref="B40:B59" si="43">C40&amp;"_"&amp;D40</f>
        <v>INSTRUMENT_GRSS_CMMSSN_EXPNS_OFF_BLNC</v>
      </c>
      <c r="C40" s="81" t="s">
        <v>414</v>
      </c>
      <c r="D40" s="82" t="s">
        <v>1021</v>
      </c>
      <c r="E40" s="83" t="s">
        <v>1022</v>
      </c>
      <c r="F40" s="84" t="s">
        <v>11</v>
      </c>
      <c r="G40" s="84" t="s">
        <v>13</v>
      </c>
      <c r="H40" s="84" t="s">
        <v>11</v>
      </c>
      <c r="I40" s="84" t="s">
        <v>11</v>
      </c>
      <c r="J40" s="84" t="s">
        <v>11</v>
      </c>
      <c r="K40" s="84" t="s">
        <v>11</v>
      </c>
      <c r="L40" s="85" t="str">
        <f>IFERROR(VLOOKUP($B40,'LISTA - Atual'!$B$1:$I$444,5,0),"Novo")</f>
        <v>N</v>
      </c>
      <c r="M40" s="85" t="str">
        <f t="shared" si="36"/>
        <v>Igual</v>
      </c>
      <c r="N40" s="85" t="str">
        <f>IFERROR(VLOOKUP($B40,'LISTA - Atual'!$B$1:$I$444,6,0),"Novo")</f>
        <v>Y</v>
      </c>
      <c r="O40" s="85" t="str">
        <f t="shared" si="37"/>
        <v>Igual</v>
      </c>
      <c r="P40" s="85" t="str">
        <f>IFERROR(VLOOKUP($B40,'LISTA - Atual'!$B$1:$I$444,7,0),"Novo")</f>
        <v>N</v>
      </c>
      <c r="Q40" s="85" t="str">
        <f t="shared" si="38"/>
        <v>Igual</v>
      </c>
      <c r="R40" s="85" t="s">
        <v>1473</v>
      </c>
      <c r="S40" s="85" t="str">
        <f>IFERROR(VLOOKUP($B40,'LISTA - Atual'!$B$1:$I$444,8,0),"Novo")</f>
        <v>N</v>
      </c>
      <c r="T40" s="85" t="str">
        <f t="shared" si="39"/>
        <v>Igual</v>
      </c>
      <c r="U40" s="85" t="s">
        <v>1473</v>
      </c>
      <c r="V40" s="85" t="s">
        <v>11</v>
      </c>
      <c r="W40" s="86" t="str">
        <f>IFERROR(VLOOKUP(B40,#REF!,11,0),"n/a")</f>
        <v>n/a</v>
      </c>
      <c r="X40" s="86" t="str">
        <f>IFERROR(VLOOKUP(B40,#REF!,8,0),"n/a")</f>
        <v>n/a</v>
      </c>
      <c r="Y40" s="86" t="str">
        <f t="shared" ref="Y40:Y51" si="44">$G$2</f>
        <v>GD</v>
      </c>
      <c r="Z40" s="121" t="s">
        <v>1514</v>
      </c>
      <c r="AA40" s="214" t="str">
        <f>VLOOKUP(Table1[[#This Row],[CONCAT]],'[1]1. Tipologias Testes GD'!$F:$L,7,0)</f>
        <v>Alta</v>
      </c>
      <c r="AB40" s="86" t="s">
        <v>1563</v>
      </c>
      <c r="AC40" s="125" t="s">
        <v>1546</v>
      </c>
      <c r="AD40" s="87">
        <v>0</v>
      </c>
      <c r="AE40" s="90">
        <f>INDEX(Auxiliar!$D$5:$I$10,MATCH('Lista - Âmbito Projeto GD'!AE$3,Auxiliar!$B$5:$B$10,0),MATCH('Lista - Âmbito Projeto GD'!$AC40,Auxiliar!$D$4:$I$4,0))</f>
        <v>3</v>
      </c>
      <c r="AF40" s="86">
        <f>INDEX(Auxiliar!$D$5:$I$10,MATCH('Lista - Âmbito Projeto GD'!AF$3,Auxiliar!$B$5:$B$10,0),MATCH('Lista - Âmbito Projeto GD'!$AC40,Auxiliar!$D$4:$I$4,0))</f>
        <v>3</v>
      </c>
      <c r="AG40" s="86" t="str">
        <f t="shared" si="42"/>
        <v>n.a.</v>
      </c>
      <c r="AH40" s="86">
        <f>INDEX(Auxiliar!$D$5:$I$10,MATCH('Lista - Âmbito Projeto GD'!AH$3,Auxiliar!$B$5:$B$10,0),MATCH('Lista - Âmbito Projeto GD'!$AG40,Auxiliar!$D$4:$I$4,0))</f>
        <v>0</v>
      </c>
      <c r="AI40" s="86">
        <f>INDEX(Auxiliar!$D$5:$I$10,MATCH('Lista - Âmbito Projeto GD'!AI$3,Auxiliar!$B$5:$B$10,0),MATCH('Lista - Âmbito Projeto GD'!$AC40,Auxiliar!$D$4:$I$4,0))</f>
        <v>0.5</v>
      </c>
      <c r="AJ40" s="86">
        <f>INDEX(Auxiliar!$D$5:$I$10,MATCH('Lista - Âmbito Projeto GD'!AJ$3,Auxiliar!$B$5:$B$10,0),MATCH('Lista - Âmbito Projeto GD'!$AC40,Auxiliar!$D$4:$I$4,0))</f>
        <v>1</v>
      </c>
      <c r="AK40" s="150">
        <f t="shared" si="40"/>
        <v>4.5</v>
      </c>
      <c r="AL40" s="86"/>
    </row>
    <row r="41" spans="1:38" ht="14" x14ac:dyDescent="0.3">
      <c r="A41" s="148" t="s">
        <v>1023</v>
      </c>
      <c r="B41" s="215" t="str">
        <f t="shared" si="43"/>
        <v>INSTRUMENT_RWA_OFF_BLNC</v>
      </c>
      <c r="C41" s="81" t="s">
        <v>414</v>
      </c>
      <c r="D41" s="82" t="s">
        <v>1024</v>
      </c>
      <c r="E41" s="83" t="s">
        <v>1025</v>
      </c>
      <c r="F41" s="84" t="s">
        <v>11</v>
      </c>
      <c r="G41" s="84" t="s">
        <v>13</v>
      </c>
      <c r="H41" s="84" t="s">
        <v>11</v>
      </c>
      <c r="I41" s="84" t="s">
        <v>11</v>
      </c>
      <c r="J41" s="84" t="s">
        <v>11</v>
      </c>
      <c r="K41" s="84" t="s">
        <v>11</v>
      </c>
      <c r="L41" s="85" t="str">
        <f>IFERROR(VLOOKUP($B41,'LISTA - Atual'!$B$1:$I$444,5,0),"Novo")</f>
        <v>N</v>
      </c>
      <c r="M41" s="85" t="str">
        <f t="shared" si="36"/>
        <v>Igual</v>
      </c>
      <c r="N41" s="85" t="str">
        <f>IFERROR(VLOOKUP($B41,'LISTA - Atual'!$B$1:$I$444,6,0),"Novo")</f>
        <v>Y</v>
      </c>
      <c r="O41" s="85" t="str">
        <f t="shared" si="37"/>
        <v>Igual</v>
      </c>
      <c r="P41" s="85" t="str">
        <f>IFERROR(VLOOKUP($B41,'LISTA - Atual'!$B$1:$I$444,7,0),"Novo")</f>
        <v>N</v>
      </c>
      <c r="Q41" s="85" t="str">
        <f t="shared" si="38"/>
        <v>Igual</v>
      </c>
      <c r="R41" s="85" t="s">
        <v>1473</v>
      </c>
      <c r="S41" s="85" t="str">
        <f>IFERROR(VLOOKUP($B41,'LISTA - Atual'!$B$1:$I$444,8,0),"Novo")</f>
        <v>N</v>
      </c>
      <c r="T41" s="85" t="str">
        <f t="shared" si="39"/>
        <v>Igual</v>
      </c>
      <c r="U41" s="85" t="s">
        <v>1473</v>
      </c>
      <c r="V41" s="85" t="s">
        <v>11</v>
      </c>
      <c r="W41" s="86" t="str">
        <f>IFERROR(VLOOKUP(B41,#REF!,11,0),"n/a")</f>
        <v>n/a</v>
      </c>
      <c r="X41" s="86" t="str">
        <f>IFERROR(VLOOKUP(B41,#REF!,8,0),"n/a")</f>
        <v>n/a</v>
      </c>
      <c r="Y41" s="86" t="str">
        <f t="shared" si="44"/>
        <v>GD</v>
      </c>
      <c r="Z41" s="121" t="s">
        <v>1514</v>
      </c>
      <c r="AA41" s="214" t="str">
        <f>VLOOKUP(Table1[[#This Row],[CONCAT]],'[1]1. Tipologias Testes GD'!$F:$L,7,0)</f>
        <v>Baixa</v>
      </c>
      <c r="AB41" s="86" t="s">
        <v>1563</v>
      </c>
      <c r="AC41" s="125" t="s">
        <v>1574</v>
      </c>
      <c r="AD41" s="87">
        <v>0</v>
      </c>
      <c r="AE41" s="90">
        <f>INDEX(Auxiliar!$D$5:$I$10,MATCH('Lista - Âmbito Projeto GD'!AE$3,Auxiliar!$B$5:$B$10,0),MATCH('Lista - Âmbito Projeto GD'!$AC41,Auxiliar!$D$4:$I$4,0))</f>
        <v>1</v>
      </c>
      <c r="AF41" s="86">
        <f>INDEX(Auxiliar!$D$5:$I$10,MATCH('Lista - Âmbito Projeto GD'!AF$3,Auxiliar!$B$5:$B$10,0),MATCH('Lista - Âmbito Projeto GD'!$AC41,Auxiliar!$D$4:$I$4,0))</f>
        <v>1</v>
      </c>
      <c r="AG41" s="86" t="str">
        <f t="shared" si="42"/>
        <v>n.a.</v>
      </c>
      <c r="AH41" s="86">
        <f>INDEX(Auxiliar!$D$5:$I$10,MATCH('Lista - Âmbito Projeto GD'!AH$3,Auxiliar!$B$5:$B$10,0),MATCH('Lista - Âmbito Projeto GD'!$AG41,Auxiliar!$D$4:$I$4,0))</f>
        <v>0</v>
      </c>
      <c r="AI41" s="86">
        <f>INDEX(Auxiliar!$D$5:$I$10,MATCH('Lista - Âmbito Projeto GD'!AI$3,Auxiliar!$B$5:$B$10,0),MATCH('Lista - Âmbito Projeto GD'!$AC41,Auxiliar!$D$4:$I$4,0))</f>
        <v>0.5</v>
      </c>
      <c r="AJ41" s="86">
        <f>INDEX(Auxiliar!$D$5:$I$10,MATCH('Lista - Âmbito Projeto GD'!AJ$3,Auxiliar!$B$5:$B$10,0),MATCH('Lista - Âmbito Projeto GD'!$AC41,Auxiliar!$D$4:$I$4,0))</f>
        <v>1</v>
      </c>
      <c r="AK41" s="150">
        <f t="shared" ref="AK41:AK51" si="45">SUM(AF41,AH41:AJ41)</f>
        <v>2.5</v>
      </c>
      <c r="AL41" s="86"/>
    </row>
    <row r="42" spans="1:38" ht="14" x14ac:dyDescent="0.3">
      <c r="A42" s="148" t="s">
        <v>1026</v>
      </c>
      <c r="B42" s="215" t="str">
        <f t="shared" si="43"/>
        <v>INSTRUMENT_GRSS_INTRST_EXPNS</v>
      </c>
      <c r="C42" s="81" t="s">
        <v>414</v>
      </c>
      <c r="D42" s="82" t="s">
        <v>1027</v>
      </c>
      <c r="E42" s="83" t="s">
        <v>1028</v>
      </c>
      <c r="F42" s="84" t="s">
        <v>11</v>
      </c>
      <c r="G42" s="84" t="s">
        <v>13</v>
      </c>
      <c r="H42" s="84" t="s">
        <v>11</v>
      </c>
      <c r="I42" s="84" t="s">
        <v>11</v>
      </c>
      <c r="J42" s="84" t="s">
        <v>11</v>
      </c>
      <c r="K42" s="84" t="s">
        <v>11</v>
      </c>
      <c r="L42" s="85" t="str">
        <f>IFERROR(VLOOKUP($B42,'LISTA - Atual'!$B$1:$I$444,5,0),"Novo")</f>
        <v>N</v>
      </c>
      <c r="M42" s="85" t="str">
        <f t="shared" si="36"/>
        <v>Igual</v>
      </c>
      <c r="N42" s="85" t="str">
        <f>IFERROR(VLOOKUP($B42,'LISTA - Atual'!$B$1:$I$444,6,0),"Novo")</f>
        <v>Y</v>
      </c>
      <c r="O42" s="85" t="str">
        <f t="shared" si="37"/>
        <v>Igual</v>
      </c>
      <c r="P42" s="85" t="str">
        <f>IFERROR(VLOOKUP($B42,'LISTA - Atual'!$B$1:$I$444,7,0),"Novo")</f>
        <v>N</v>
      </c>
      <c r="Q42" s="85" t="str">
        <f t="shared" si="38"/>
        <v>Igual</v>
      </c>
      <c r="R42" s="85" t="s">
        <v>1473</v>
      </c>
      <c r="S42" s="85" t="str">
        <f>IFERROR(VLOOKUP($B42,'LISTA - Atual'!$B$1:$I$444,8,0),"Novo")</f>
        <v>N</v>
      </c>
      <c r="T42" s="85" t="str">
        <f t="shared" si="39"/>
        <v>Igual</v>
      </c>
      <c r="U42" s="85" t="s">
        <v>1473</v>
      </c>
      <c r="V42" s="85" t="s">
        <v>11</v>
      </c>
      <c r="W42" s="86" t="str">
        <f>IFERROR(VLOOKUP(B42,#REF!,11,0),"n/a")</f>
        <v>n/a</v>
      </c>
      <c r="X42" s="86" t="str">
        <f>IFERROR(VLOOKUP(B42,#REF!,8,0),"n/a")</f>
        <v>n/a</v>
      </c>
      <c r="Y42" s="86" t="str">
        <f t="shared" si="44"/>
        <v>GD</v>
      </c>
      <c r="Z42" s="121" t="s">
        <v>1514</v>
      </c>
      <c r="AA42" s="214" t="str">
        <f>VLOOKUP(Table1[[#This Row],[CONCAT]],'[1]1. Tipologias Testes GD'!$F:$L,7,0)</f>
        <v>Alta</v>
      </c>
      <c r="AB42" s="86" t="s">
        <v>1563</v>
      </c>
      <c r="AC42" s="125" t="s">
        <v>1546</v>
      </c>
      <c r="AD42" s="87">
        <v>0</v>
      </c>
      <c r="AE42" s="90">
        <f>INDEX(Auxiliar!$D$5:$I$10,MATCH('Lista - Âmbito Projeto GD'!AE$3,Auxiliar!$B$5:$B$10,0),MATCH('Lista - Âmbito Projeto GD'!$AC42,Auxiliar!$D$4:$I$4,0))</f>
        <v>3</v>
      </c>
      <c r="AF42" s="86">
        <f>INDEX(Auxiliar!$D$5:$I$10,MATCH('Lista - Âmbito Projeto GD'!AF$3,Auxiliar!$B$5:$B$10,0),MATCH('Lista - Âmbito Projeto GD'!$AC42,Auxiliar!$D$4:$I$4,0))</f>
        <v>3</v>
      </c>
      <c r="AG42" s="86" t="str">
        <f t="shared" si="42"/>
        <v>n.a.</v>
      </c>
      <c r="AH42" s="86">
        <f>INDEX(Auxiliar!$D$5:$I$10,MATCH('Lista - Âmbito Projeto GD'!AH$3,Auxiliar!$B$5:$B$10,0),MATCH('Lista - Âmbito Projeto GD'!$AG42,Auxiliar!$D$4:$I$4,0))</f>
        <v>0</v>
      </c>
      <c r="AI42" s="86">
        <f>INDEX(Auxiliar!$D$5:$I$10,MATCH('Lista - Âmbito Projeto GD'!AI$3,Auxiliar!$B$5:$B$10,0),MATCH('Lista - Âmbito Projeto GD'!$AC42,Auxiliar!$D$4:$I$4,0))</f>
        <v>0.5</v>
      </c>
      <c r="AJ42" s="86">
        <f>INDEX(Auxiliar!$D$5:$I$10,MATCH('Lista - Âmbito Projeto GD'!AJ$3,Auxiliar!$B$5:$B$10,0),MATCH('Lista - Âmbito Projeto GD'!$AC42,Auxiliar!$D$4:$I$4,0))</f>
        <v>1</v>
      </c>
      <c r="AK42" s="150">
        <f t="shared" si="45"/>
        <v>4.5</v>
      </c>
      <c r="AL42" s="86"/>
    </row>
    <row r="43" spans="1:38" ht="14" x14ac:dyDescent="0.3">
      <c r="A43" s="148" t="s">
        <v>1029</v>
      </c>
      <c r="B43" s="215" t="str">
        <f t="shared" si="43"/>
        <v>INSTRUMENT_NT_LN_LSS_PRVSN_OFF_BLNC</v>
      </c>
      <c r="C43" s="81" t="s">
        <v>414</v>
      </c>
      <c r="D43" s="82" t="s">
        <v>1030</v>
      </c>
      <c r="E43" s="83" t="s">
        <v>1031</v>
      </c>
      <c r="F43" s="84" t="s">
        <v>11</v>
      </c>
      <c r="G43" s="84" t="s">
        <v>13</v>
      </c>
      <c r="H43" s="84" t="s">
        <v>11</v>
      </c>
      <c r="I43" s="84" t="s">
        <v>11</v>
      </c>
      <c r="J43" s="84" t="s">
        <v>11</v>
      </c>
      <c r="K43" s="84" t="s">
        <v>11</v>
      </c>
      <c r="L43" s="85" t="str">
        <f>IFERROR(VLOOKUP($B43,'LISTA - Atual'!$B$1:$I$444,5,0),"Novo")</f>
        <v>N</v>
      </c>
      <c r="M43" s="85" t="str">
        <f t="shared" si="36"/>
        <v>Igual</v>
      </c>
      <c r="N43" s="85" t="str">
        <f>IFERROR(VLOOKUP($B43,'LISTA - Atual'!$B$1:$I$444,6,0),"Novo")</f>
        <v>Y</v>
      </c>
      <c r="O43" s="85" t="str">
        <f t="shared" si="37"/>
        <v>Igual</v>
      </c>
      <c r="P43" s="85" t="str">
        <f>IFERROR(VLOOKUP($B43,'LISTA - Atual'!$B$1:$I$444,7,0),"Novo")</f>
        <v>N</v>
      </c>
      <c r="Q43" s="85" t="str">
        <f t="shared" si="38"/>
        <v>Igual</v>
      </c>
      <c r="R43" s="85" t="s">
        <v>1473</v>
      </c>
      <c r="S43" s="85" t="str">
        <f>IFERROR(VLOOKUP($B43,'LISTA - Atual'!$B$1:$I$444,8,0),"Novo")</f>
        <v>N</v>
      </c>
      <c r="T43" s="85" t="str">
        <f t="shared" si="39"/>
        <v>Igual</v>
      </c>
      <c r="U43" s="85" t="s">
        <v>1473</v>
      </c>
      <c r="V43" s="85" t="s">
        <v>11</v>
      </c>
      <c r="W43" s="86" t="str">
        <f>IFERROR(VLOOKUP(B43,#REF!,11,0),"n/a")</f>
        <v>n/a</v>
      </c>
      <c r="X43" s="86" t="str">
        <f>IFERROR(VLOOKUP(B43,#REF!,8,0),"n/a")</f>
        <v>n/a</v>
      </c>
      <c r="Y43" s="86" t="str">
        <f t="shared" si="44"/>
        <v>GD</v>
      </c>
      <c r="Z43" s="121" t="s">
        <v>1514</v>
      </c>
      <c r="AA43" s="214" t="str">
        <f>VLOOKUP(Table1[[#This Row],[CONCAT]],'[1]1. Tipologias Testes GD'!$F:$L,7,0)</f>
        <v>Média</v>
      </c>
      <c r="AB43" s="86" t="s">
        <v>1563</v>
      </c>
      <c r="AC43" s="125" t="s">
        <v>1546</v>
      </c>
      <c r="AD43" s="87">
        <v>0</v>
      </c>
      <c r="AE43" s="90">
        <f>INDEX(Auxiliar!$D$5:$I$10,MATCH('Lista - Âmbito Projeto GD'!AE$3,Auxiliar!$B$5:$B$10,0),MATCH('Lista - Âmbito Projeto GD'!$AC43,Auxiliar!$D$4:$I$4,0))</f>
        <v>3</v>
      </c>
      <c r="AF43" s="86">
        <f>INDEX(Auxiliar!$D$5:$I$10,MATCH('Lista - Âmbito Projeto GD'!AF$3,Auxiliar!$B$5:$B$10,0),MATCH('Lista - Âmbito Projeto GD'!$AC43,Auxiliar!$D$4:$I$4,0))</f>
        <v>3</v>
      </c>
      <c r="AG43" s="86" t="str">
        <f t="shared" si="42"/>
        <v>n.a.</v>
      </c>
      <c r="AH43" s="86">
        <f>INDEX(Auxiliar!$D$5:$I$10,MATCH('Lista - Âmbito Projeto GD'!AH$3,Auxiliar!$B$5:$B$10,0),MATCH('Lista - Âmbito Projeto GD'!$AG43,Auxiliar!$D$4:$I$4,0))</f>
        <v>0</v>
      </c>
      <c r="AI43" s="86">
        <f>INDEX(Auxiliar!$D$5:$I$10,MATCH('Lista - Âmbito Projeto GD'!AI$3,Auxiliar!$B$5:$B$10,0),MATCH('Lista - Âmbito Projeto GD'!$AC43,Auxiliar!$D$4:$I$4,0))</f>
        <v>0.5</v>
      </c>
      <c r="AJ43" s="86">
        <f>INDEX(Auxiliar!$D$5:$I$10,MATCH('Lista - Âmbito Projeto GD'!AJ$3,Auxiliar!$B$5:$B$10,0),MATCH('Lista - Âmbito Projeto GD'!$AC43,Auxiliar!$D$4:$I$4,0))</f>
        <v>1</v>
      </c>
      <c r="AK43" s="150">
        <f t="shared" si="45"/>
        <v>4.5</v>
      </c>
      <c r="AL43" s="86"/>
    </row>
    <row r="44" spans="1:38" ht="14" x14ac:dyDescent="0.3">
      <c r="A44" s="148" t="s">
        <v>1032</v>
      </c>
      <c r="B44" s="215" t="str">
        <f t="shared" si="43"/>
        <v>INSTRUMENT_GRSS_INTRST_INCM_CCRR</v>
      </c>
      <c r="C44" s="81" t="s">
        <v>414</v>
      </c>
      <c r="D44" s="82" t="s">
        <v>1033</v>
      </c>
      <c r="E44" s="83" t="s">
        <v>1034</v>
      </c>
      <c r="F44" s="84" t="s">
        <v>11</v>
      </c>
      <c r="G44" s="84" t="s">
        <v>13</v>
      </c>
      <c r="H44" s="84" t="s">
        <v>11</v>
      </c>
      <c r="I44" s="84" t="s">
        <v>11</v>
      </c>
      <c r="J44" s="84" t="s">
        <v>11</v>
      </c>
      <c r="K44" s="84" t="s">
        <v>11</v>
      </c>
      <c r="L44" s="85" t="str">
        <f>IFERROR(VLOOKUP($B44,'LISTA - Atual'!$B$1:$I$444,5,0),"Novo")</f>
        <v>N</v>
      </c>
      <c r="M44" s="85" t="str">
        <f t="shared" si="36"/>
        <v>Igual</v>
      </c>
      <c r="N44" s="85" t="str">
        <f>IFERROR(VLOOKUP($B44,'LISTA - Atual'!$B$1:$I$444,6,0),"Novo")</f>
        <v>Y</v>
      </c>
      <c r="O44" s="85" t="str">
        <f t="shared" si="37"/>
        <v>Igual</v>
      </c>
      <c r="P44" s="85" t="str">
        <f>IFERROR(VLOOKUP($B44,'LISTA - Atual'!$B$1:$I$444,7,0),"Novo")</f>
        <v>N</v>
      </c>
      <c r="Q44" s="85" t="str">
        <f t="shared" si="38"/>
        <v>Igual</v>
      </c>
      <c r="R44" s="85" t="s">
        <v>1473</v>
      </c>
      <c r="S44" s="85" t="str">
        <f>IFERROR(VLOOKUP($B44,'LISTA - Atual'!$B$1:$I$444,8,0),"Novo")</f>
        <v>N</v>
      </c>
      <c r="T44" s="85" t="str">
        <f t="shared" si="39"/>
        <v>Igual</v>
      </c>
      <c r="U44" s="85" t="s">
        <v>1473</v>
      </c>
      <c r="V44" s="85" t="s">
        <v>11</v>
      </c>
      <c r="W44" s="86" t="str">
        <f>IFERROR(VLOOKUP(B44,#REF!,11,0),"n/a")</f>
        <v>n/a</v>
      </c>
      <c r="X44" s="86" t="str">
        <f>IFERROR(VLOOKUP(B44,#REF!,8,0),"n/a")</f>
        <v>n/a</v>
      </c>
      <c r="Y44" s="86" t="str">
        <f t="shared" si="44"/>
        <v>GD</v>
      </c>
      <c r="Z44" s="121" t="s">
        <v>1514</v>
      </c>
      <c r="AA44" s="214" t="str">
        <f>VLOOKUP(Table1[[#This Row],[CONCAT]],'[1]1. Tipologias Testes GD'!$F:$L,7,0)</f>
        <v>Baixa</v>
      </c>
      <c r="AB44" s="86" t="s">
        <v>1563</v>
      </c>
      <c r="AC44" s="125" t="s">
        <v>1546</v>
      </c>
      <c r="AD44" s="87">
        <v>0</v>
      </c>
      <c r="AE44" s="90">
        <f>INDEX(Auxiliar!$D$5:$I$10,MATCH('Lista - Âmbito Projeto GD'!AE$3,Auxiliar!$B$5:$B$10,0),MATCH('Lista - Âmbito Projeto GD'!$AC44,Auxiliar!$D$4:$I$4,0))</f>
        <v>3</v>
      </c>
      <c r="AF44" s="86">
        <f>INDEX(Auxiliar!$D$5:$I$10,MATCH('Lista - Âmbito Projeto GD'!AF$3,Auxiliar!$B$5:$B$10,0),MATCH('Lista - Âmbito Projeto GD'!$AC44,Auxiliar!$D$4:$I$4,0))</f>
        <v>3</v>
      </c>
      <c r="AG44" s="86" t="str">
        <f t="shared" si="42"/>
        <v>n.a.</v>
      </c>
      <c r="AH44" s="86">
        <f>INDEX(Auxiliar!$D$5:$I$10,MATCH('Lista - Âmbito Projeto GD'!AH$3,Auxiliar!$B$5:$B$10,0),MATCH('Lista - Âmbito Projeto GD'!$AG44,Auxiliar!$D$4:$I$4,0))</f>
        <v>0</v>
      </c>
      <c r="AI44" s="86">
        <f>INDEX(Auxiliar!$D$5:$I$10,MATCH('Lista - Âmbito Projeto GD'!AI$3,Auxiliar!$B$5:$B$10,0),MATCH('Lista - Âmbito Projeto GD'!$AC44,Auxiliar!$D$4:$I$4,0))</f>
        <v>0.5</v>
      </c>
      <c r="AJ44" s="86">
        <f>INDEX(Auxiliar!$D$5:$I$10,MATCH('Lista - Âmbito Projeto GD'!AJ$3,Auxiliar!$B$5:$B$10,0),MATCH('Lista - Âmbito Projeto GD'!$AC44,Auxiliar!$D$4:$I$4,0))</f>
        <v>1</v>
      </c>
      <c r="AK44" s="150">
        <f t="shared" si="45"/>
        <v>4.5</v>
      </c>
      <c r="AL44" s="86"/>
    </row>
    <row r="45" spans="1:38" ht="14" x14ac:dyDescent="0.3">
      <c r="A45" s="148" t="s">
        <v>1035</v>
      </c>
      <c r="B45" s="215" t="str">
        <f t="shared" si="43"/>
        <v>INSTRUMENT_GRSS_INTRST_EXPNS_CCRR</v>
      </c>
      <c r="C45" s="81" t="s">
        <v>414</v>
      </c>
      <c r="D45" s="82" t="s">
        <v>1036</v>
      </c>
      <c r="E45" s="83" t="s">
        <v>1037</v>
      </c>
      <c r="F45" s="84" t="s">
        <v>11</v>
      </c>
      <c r="G45" s="84" t="s">
        <v>13</v>
      </c>
      <c r="H45" s="84" t="s">
        <v>11</v>
      </c>
      <c r="I45" s="84" t="s">
        <v>11</v>
      </c>
      <c r="J45" s="84" t="s">
        <v>11</v>
      </c>
      <c r="K45" s="84" t="s">
        <v>11</v>
      </c>
      <c r="L45" s="85" t="str">
        <f>IFERROR(VLOOKUP($B45,'LISTA - Atual'!$B$1:$I$444,5,0),"Novo")</f>
        <v>N</v>
      </c>
      <c r="M45" s="85" t="str">
        <f t="shared" si="36"/>
        <v>Igual</v>
      </c>
      <c r="N45" s="85" t="str">
        <f>IFERROR(VLOOKUP($B45,'LISTA - Atual'!$B$1:$I$444,6,0),"Novo")</f>
        <v>Y</v>
      </c>
      <c r="O45" s="85" t="str">
        <f t="shared" si="37"/>
        <v>Igual</v>
      </c>
      <c r="P45" s="85" t="str">
        <f>IFERROR(VLOOKUP($B45,'LISTA - Atual'!$B$1:$I$444,7,0),"Novo")</f>
        <v>N</v>
      </c>
      <c r="Q45" s="85" t="str">
        <f t="shared" si="38"/>
        <v>Igual</v>
      </c>
      <c r="R45" s="85" t="s">
        <v>1473</v>
      </c>
      <c r="S45" s="85" t="str">
        <f>IFERROR(VLOOKUP($B45,'LISTA - Atual'!$B$1:$I$444,8,0),"Novo")</f>
        <v>N</v>
      </c>
      <c r="T45" s="85" t="str">
        <f t="shared" si="39"/>
        <v>Igual</v>
      </c>
      <c r="U45" s="85" t="s">
        <v>1473</v>
      </c>
      <c r="V45" s="85" t="s">
        <v>11</v>
      </c>
      <c r="W45" s="86" t="str">
        <f>IFERROR(VLOOKUP(B45,#REF!,11,0),"n/a")</f>
        <v>n/a</v>
      </c>
      <c r="X45" s="86" t="str">
        <f>IFERROR(VLOOKUP(B45,#REF!,8,0),"n/a")</f>
        <v>n/a</v>
      </c>
      <c r="Y45" s="86" t="str">
        <f t="shared" si="44"/>
        <v>GD</v>
      </c>
      <c r="Z45" s="121" t="s">
        <v>1514</v>
      </c>
      <c r="AA45" s="214" t="str">
        <f>VLOOKUP(Table1[[#This Row],[CONCAT]],'[1]1. Tipologias Testes GD'!$F:$L,7,0)</f>
        <v>Baixa</v>
      </c>
      <c r="AB45" s="86" t="s">
        <v>1563</v>
      </c>
      <c r="AC45" s="125" t="s">
        <v>1546</v>
      </c>
      <c r="AD45" s="87">
        <v>0</v>
      </c>
      <c r="AE45" s="90">
        <f>INDEX(Auxiliar!$D$5:$I$10,MATCH('Lista - Âmbito Projeto GD'!AE$3,Auxiliar!$B$5:$B$10,0),MATCH('Lista - Âmbito Projeto GD'!$AC45,Auxiliar!$D$4:$I$4,0))</f>
        <v>3</v>
      </c>
      <c r="AF45" s="86">
        <f>INDEX(Auxiliar!$D$5:$I$10,MATCH('Lista - Âmbito Projeto GD'!AF$3,Auxiliar!$B$5:$B$10,0),MATCH('Lista - Âmbito Projeto GD'!$AC45,Auxiliar!$D$4:$I$4,0))</f>
        <v>3</v>
      </c>
      <c r="AG45" s="86" t="str">
        <f t="shared" si="42"/>
        <v>n.a.</v>
      </c>
      <c r="AH45" s="86">
        <f>INDEX(Auxiliar!$D$5:$I$10,MATCH('Lista - Âmbito Projeto GD'!AH$3,Auxiliar!$B$5:$B$10,0),MATCH('Lista - Âmbito Projeto GD'!$AG45,Auxiliar!$D$4:$I$4,0))</f>
        <v>0</v>
      </c>
      <c r="AI45" s="86">
        <f>INDEX(Auxiliar!$D$5:$I$10,MATCH('Lista - Âmbito Projeto GD'!AI$3,Auxiliar!$B$5:$B$10,0),MATCH('Lista - Âmbito Projeto GD'!$AC45,Auxiliar!$D$4:$I$4,0))</f>
        <v>0.5</v>
      </c>
      <c r="AJ45" s="86">
        <f>INDEX(Auxiliar!$D$5:$I$10,MATCH('Lista - Âmbito Projeto GD'!AJ$3,Auxiliar!$B$5:$B$10,0),MATCH('Lista - Âmbito Projeto GD'!$AC45,Auxiliar!$D$4:$I$4,0))</f>
        <v>1</v>
      </c>
      <c r="AK45" s="150">
        <f t="shared" si="45"/>
        <v>4.5</v>
      </c>
      <c r="AL45" s="86"/>
    </row>
    <row r="46" spans="1:38" ht="14" x14ac:dyDescent="0.3">
      <c r="A46" s="148" t="s">
        <v>1038</v>
      </c>
      <c r="B46" s="215" t="str">
        <f t="shared" si="43"/>
        <v>INSTRUMENT_GRSS_CMMSSN_INCM_CCRR</v>
      </c>
      <c r="C46" s="81" t="s">
        <v>414</v>
      </c>
      <c r="D46" s="82" t="s">
        <v>1039</v>
      </c>
      <c r="E46" s="83" t="s">
        <v>1040</v>
      </c>
      <c r="F46" s="84" t="s">
        <v>11</v>
      </c>
      <c r="G46" s="84" t="s">
        <v>13</v>
      </c>
      <c r="H46" s="84" t="s">
        <v>11</v>
      </c>
      <c r="I46" s="84" t="s">
        <v>11</v>
      </c>
      <c r="J46" s="84" t="s">
        <v>11</v>
      </c>
      <c r="K46" s="84" t="s">
        <v>11</v>
      </c>
      <c r="L46" s="85" t="str">
        <f>IFERROR(VLOOKUP($B46,'LISTA - Atual'!$B$1:$I$444,5,0),"Novo")</f>
        <v>N</v>
      </c>
      <c r="M46" s="85" t="str">
        <f t="shared" si="36"/>
        <v>Igual</v>
      </c>
      <c r="N46" s="85" t="str">
        <f>IFERROR(VLOOKUP($B46,'LISTA - Atual'!$B$1:$I$444,6,0),"Novo")</f>
        <v>Y</v>
      </c>
      <c r="O46" s="85" t="str">
        <f t="shared" si="37"/>
        <v>Igual</v>
      </c>
      <c r="P46" s="85" t="str">
        <f>IFERROR(VLOOKUP($B46,'LISTA - Atual'!$B$1:$I$444,7,0),"Novo")</f>
        <v>N</v>
      </c>
      <c r="Q46" s="85" t="str">
        <f t="shared" si="38"/>
        <v>Igual</v>
      </c>
      <c r="R46" s="85" t="s">
        <v>1473</v>
      </c>
      <c r="S46" s="85" t="str">
        <f>IFERROR(VLOOKUP($B46,'LISTA - Atual'!$B$1:$I$444,8,0),"Novo")</f>
        <v>N</v>
      </c>
      <c r="T46" s="85" t="str">
        <f t="shared" si="39"/>
        <v>Igual</v>
      </c>
      <c r="U46" s="85" t="s">
        <v>1473</v>
      </c>
      <c r="V46" s="85" t="s">
        <v>11</v>
      </c>
      <c r="W46" s="86" t="str">
        <f>IFERROR(VLOOKUP(B46,#REF!,11,0),"n/a")</f>
        <v>n/a</v>
      </c>
      <c r="X46" s="86" t="str">
        <f>IFERROR(VLOOKUP(B46,#REF!,8,0),"n/a")</f>
        <v>n/a</v>
      </c>
      <c r="Y46" s="86" t="str">
        <f t="shared" si="44"/>
        <v>GD</v>
      </c>
      <c r="Z46" s="121" t="s">
        <v>1514</v>
      </c>
      <c r="AA46" s="214" t="str">
        <f>VLOOKUP(Table1[[#This Row],[CONCAT]],'[1]1. Tipologias Testes GD'!$F:$L,7,0)</f>
        <v>Baixa</v>
      </c>
      <c r="AB46" s="86" t="s">
        <v>1563</v>
      </c>
      <c r="AC46" s="125" t="s">
        <v>1546</v>
      </c>
      <c r="AD46" s="87">
        <v>0</v>
      </c>
      <c r="AE46" s="90">
        <f>INDEX(Auxiliar!$D$5:$I$10,MATCH('Lista - Âmbito Projeto GD'!AE$3,Auxiliar!$B$5:$B$10,0),MATCH('Lista - Âmbito Projeto GD'!$AC46,Auxiliar!$D$4:$I$4,0))</f>
        <v>3</v>
      </c>
      <c r="AF46" s="86">
        <f>INDEX(Auxiliar!$D$5:$I$10,MATCH('Lista - Âmbito Projeto GD'!AF$3,Auxiliar!$B$5:$B$10,0),MATCH('Lista - Âmbito Projeto GD'!$AC46,Auxiliar!$D$4:$I$4,0))</f>
        <v>3</v>
      </c>
      <c r="AG46" s="86" t="str">
        <f t="shared" si="42"/>
        <v>n.a.</v>
      </c>
      <c r="AH46" s="86">
        <f>INDEX(Auxiliar!$D$5:$I$10,MATCH('Lista - Âmbito Projeto GD'!AH$3,Auxiliar!$B$5:$B$10,0),MATCH('Lista - Âmbito Projeto GD'!$AG46,Auxiliar!$D$4:$I$4,0))</f>
        <v>0</v>
      </c>
      <c r="AI46" s="86">
        <f>INDEX(Auxiliar!$D$5:$I$10,MATCH('Lista - Âmbito Projeto GD'!AI$3,Auxiliar!$B$5:$B$10,0),MATCH('Lista - Âmbito Projeto GD'!$AC46,Auxiliar!$D$4:$I$4,0))</f>
        <v>0.5</v>
      </c>
      <c r="AJ46" s="86">
        <f>INDEX(Auxiliar!$D$5:$I$10,MATCH('Lista - Âmbito Projeto GD'!AJ$3,Auxiliar!$B$5:$B$10,0),MATCH('Lista - Âmbito Projeto GD'!$AC46,Auxiliar!$D$4:$I$4,0))</f>
        <v>1</v>
      </c>
      <c r="AK46" s="150">
        <f t="shared" si="45"/>
        <v>4.5</v>
      </c>
      <c r="AL46" s="86"/>
    </row>
    <row r="47" spans="1:38" ht="14" x14ac:dyDescent="0.3">
      <c r="A47" s="148" t="s">
        <v>1041</v>
      </c>
      <c r="B47" s="215" t="str">
        <f t="shared" si="43"/>
        <v>INSTRUMENT_GRSS_CMMSSN_EXPNS_CCRR</v>
      </c>
      <c r="C47" s="81" t="s">
        <v>414</v>
      </c>
      <c r="D47" s="82" t="s">
        <v>1042</v>
      </c>
      <c r="E47" s="83" t="s">
        <v>1043</v>
      </c>
      <c r="F47" s="84" t="s">
        <v>11</v>
      </c>
      <c r="G47" s="84" t="s">
        <v>13</v>
      </c>
      <c r="H47" s="84" t="s">
        <v>11</v>
      </c>
      <c r="I47" s="84" t="s">
        <v>11</v>
      </c>
      <c r="J47" s="84" t="s">
        <v>11</v>
      </c>
      <c r="K47" s="84" t="s">
        <v>11</v>
      </c>
      <c r="L47" s="85" t="str">
        <f>IFERROR(VLOOKUP($B47,'LISTA - Atual'!$B$1:$I$444,5,0),"Novo")</f>
        <v>N</v>
      </c>
      <c r="M47" s="85" t="str">
        <f t="shared" si="36"/>
        <v>Igual</v>
      </c>
      <c r="N47" s="85" t="str">
        <f>IFERROR(VLOOKUP($B47,'LISTA - Atual'!$B$1:$I$444,6,0),"Novo")</f>
        <v>Y</v>
      </c>
      <c r="O47" s="85" t="str">
        <f t="shared" si="37"/>
        <v>Igual</v>
      </c>
      <c r="P47" s="85" t="str">
        <f>IFERROR(VLOOKUP($B47,'LISTA - Atual'!$B$1:$I$444,7,0),"Novo")</f>
        <v>N</v>
      </c>
      <c r="Q47" s="85" t="str">
        <f t="shared" si="38"/>
        <v>Igual</v>
      </c>
      <c r="R47" s="85" t="s">
        <v>1473</v>
      </c>
      <c r="S47" s="85" t="str">
        <f>IFERROR(VLOOKUP($B47,'LISTA - Atual'!$B$1:$I$444,8,0),"Novo")</f>
        <v>N</v>
      </c>
      <c r="T47" s="85" t="str">
        <f t="shared" si="39"/>
        <v>Igual</v>
      </c>
      <c r="U47" s="85" t="s">
        <v>1473</v>
      </c>
      <c r="V47" s="85" t="s">
        <v>11</v>
      </c>
      <c r="W47" s="86" t="str">
        <f>IFERROR(VLOOKUP(B47,#REF!,11,0),"n/a")</f>
        <v>n/a</v>
      </c>
      <c r="X47" s="86" t="str">
        <f>IFERROR(VLOOKUP(B47,#REF!,8,0),"n/a")</f>
        <v>n/a</v>
      </c>
      <c r="Y47" s="86" t="str">
        <f t="shared" si="44"/>
        <v>GD</v>
      </c>
      <c r="Z47" s="121" t="s">
        <v>1514</v>
      </c>
      <c r="AA47" s="214" t="str">
        <f>VLOOKUP(Table1[[#This Row],[CONCAT]],'[1]1. Tipologias Testes GD'!$F:$L,7,0)</f>
        <v>Baixa</v>
      </c>
      <c r="AB47" s="86" t="s">
        <v>1563</v>
      </c>
      <c r="AC47" s="125" t="s">
        <v>1546</v>
      </c>
      <c r="AD47" s="87">
        <v>0</v>
      </c>
      <c r="AE47" s="90">
        <f>INDEX(Auxiliar!$D$5:$I$10,MATCH('Lista - Âmbito Projeto GD'!AE$3,Auxiliar!$B$5:$B$10,0),MATCH('Lista - Âmbito Projeto GD'!$AC47,Auxiliar!$D$4:$I$4,0))</f>
        <v>3</v>
      </c>
      <c r="AF47" s="86">
        <f>INDEX(Auxiliar!$D$5:$I$10,MATCH('Lista - Âmbito Projeto GD'!AF$3,Auxiliar!$B$5:$B$10,0),MATCH('Lista - Âmbito Projeto GD'!$AC47,Auxiliar!$D$4:$I$4,0))</f>
        <v>3</v>
      </c>
      <c r="AG47" s="86" t="str">
        <f t="shared" si="42"/>
        <v>n.a.</v>
      </c>
      <c r="AH47" s="86">
        <f>INDEX(Auxiliar!$D$5:$I$10,MATCH('Lista - Âmbito Projeto GD'!AH$3,Auxiliar!$B$5:$B$10,0),MATCH('Lista - Âmbito Projeto GD'!$AG47,Auxiliar!$D$4:$I$4,0))</f>
        <v>0</v>
      </c>
      <c r="AI47" s="86">
        <f>INDEX(Auxiliar!$D$5:$I$10,MATCH('Lista - Âmbito Projeto GD'!AI$3,Auxiliar!$B$5:$B$10,0),MATCH('Lista - Âmbito Projeto GD'!$AC47,Auxiliar!$D$4:$I$4,0))</f>
        <v>0.5</v>
      </c>
      <c r="AJ47" s="86">
        <f>INDEX(Auxiliar!$D$5:$I$10,MATCH('Lista - Âmbito Projeto GD'!AJ$3,Auxiliar!$B$5:$B$10,0),MATCH('Lista - Âmbito Projeto GD'!$AC47,Auxiliar!$D$4:$I$4,0))</f>
        <v>1</v>
      </c>
      <c r="AK47" s="150">
        <f t="shared" si="45"/>
        <v>4.5</v>
      </c>
      <c r="AL47" s="86"/>
    </row>
    <row r="48" spans="1:38" ht="14" x14ac:dyDescent="0.3">
      <c r="A48" s="148" t="s">
        <v>1044</v>
      </c>
      <c r="B48" s="215" t="str">
        <f t="shared" si="43"/>
        <v>INSTRUMENT_GNS_FNNCL_TRNSCTN_EXCHNG_CCRR</v>
      </c>
      <c r="C48" s="81" t="s">
        <v>414</v>
      </c>
      <c r="D48" s="82" t="s">
        <v>1045</v>
      </c>
      <c r="E48" s="83" t="s">
        <v>1046</v>
      </c>
      <c r="F48" s="84" t="s">
        <v>11</v>
      </c>
      <c r="G48" s="84" t="s">
        <v>13</v>
      </c>
      <c r="H48" s="84" t="s">
        <v>11</v>
      </c>
      <c r="I48" s="84" t="s">
        <v>11</v>
      </c>
      <c r="J48" s="84" t="s">
        <v>11</v>
      </c>
      <c r="K48" s="84" t="s">
        <v>11</v>
      </c>
      <c r="L48" s="85" t="str">
        <f>IFERROR(VLOOKUP($B48,'LISTA - Atual'!$B$1:$I$444,5,0),"Novo")</f>
        <v>N</v>
      </c>
      <c r="M48" s="85" t="str">
        <f t="shared" si="36"/>
        <v>Igual</v>
      </c>
      <c r="N48" s="85" t="str">
        <f>IFERROR(VLOOKUP($B48,'LISTA - Atual'!$B$1:$I$444,6,0),"Novo")</f>
        <v>Y</v>
      </c>
      <c r="O48" s="85" t="str">
        <f t="shared" si="37"/>
        <v>Igual</v>
      </c>
      <c r="P48" s="85" t="str">
        <f>IFERROR(VLOOKUP($B48,'LISTA - Atual'!$B$1:$I$444,7,0),"Novo")</f>
        <v>N</v>
      </c>
      <c r="Q48" s="85" t="str">
        <f t="shared" si="38"/>
        <v>Igual</v>
      </c>
      <c r="R48" s="85" t="s">
        <v>1473</v>
      </c>
      <c r="S48" s="85" t="str">
        <f>IFERROR(VLOOKUP($B48,'LISTA - Atual'!$B$1:$I$444,8,0),"Novo")</f>
        <v>N</v>
      </c>
      <c r="T48" s="85" t="str">
        <f t="shared" si="39"/>
        <v>Igual</v>
      </c>
      <c r="U48" s="85" t="s">
        <v>1473</v>
      </c>
      <c r="V48" s="85" t="s">
        <v>11</v>
      </c>
      <c r="W48" s="86" t="str">
        <f>IFERROR(VLOOKUP(B48,#REF!,11,0),"n/a")</f>
        <v>n/a</v>
      </c>
      <c r="X48" s="86" t="str">
        <f>IFERROR(VLOOKUP(B48,#REF!,8,0),"n/a")</f>
        <v>n/a</v>
      </c>
      <c r="Y48" s="86" t="str">
        <f t="shared" si="44"/>
        <v>GD</v>
      </c>
      <c r="Z48" s="121" t="s">
        <v>1514</v>
      </c>
      <c r="AA48" s="214" t="str">
        <f>VLOOKUP(Table1[[#This Row],[CONCAT]],'[1]1. Tipologias Testes GD'!$F:$L,7,0)</f>
        <v>Baixa</v>
      </c>
      <c r="AB48" s="86" t="s">
        <v>1563</v>
      </c>
      <c r="AC48" s="125" t="s">
        <v>1546</v>
      </c>
      <c r="AD48" s="87">
        <v>0</v>
      </c>
      <c r="AE48" s="90">
        <f>INDEX(Auxiliar!$D$5:$I$10,MATCH('Lista - Âmbito Projeto GD'!AE$3,Auxiliar!$B$5:$B$10,0),MATCH('Lista - Âmbito Projeto GD'!$AC48,Auxiliar!$D$4:$I$4,0))</f>
        <v>3</v>
      </c>
      <c r="AF48" s="86">
        <f>INDEX(Auxiliar!$D$5:$I$10,MATCH('Lista - Âmbito Projeto GD'!AF$3,Auxiliar!$B$5:$B$10,0),MATCH('Lista - Âmbito Projeto GD'!$AC48,Auxiliar!$D$4:$I$4,0))</f>
        <v>3</v>
      </c>
      <c r="AG48" s="86" t="str">
        <f t="shared" si="42"/>
        <v>n.a.</v>
      </c>
      <c r="AH48" s="86">
        <f>INDEX(Auxiliar!$D$5:$I$10,MATCH('Lista - Âmbito Projeto GD'!AH$3,Auxiliar!$B$5:$B$10,0),MATCH('Lista - Âmbito Projeto GD'!$AG48,Auxiliar!$D$4:$I$4,0))</f>
        <v>0</v>
      </c>
      <c r="AI48" s="86">
        <f>INDEX(Auxiliar!$D$5:$I$10,MATCH('Lista - Âmbito Projeto GD'!AI$3,Auxiliar!$B$5:$B$10,0),MATCH('Lista - Âmbito Projeto GD'!$AC48,Auxiliar!$D$4:$I$4,0))</f>
        <v>0.5</v>
      </c>
      <c r="AJ48" s="86">
        <f>INDEX(Auxiliar!$D$5:$I$10,MATCH('Lista - Âmbito Projeto GD'!AJ$3,Auxiliar!$B$5:$B$10,0),MATCH('Lista - Âmbito Projeto GD'!$AC48,Auxiliar!$D$4:$I$4,0))</f>
        <v>1</v>
      </c>
      <c r="AK48" s="150">
        <f t="shared" si="45"/>
        <v>4.5</v>
      </c>
      <c r="AL48" s="86"/>
    </row>
    <row r="49" spans="1:38" ht="14" x14ac:dyDescent="0.3">
      <c r="A49" s="148" t="s">
        <v>1047</v>
      </c>
      <c r="B49" s="215" t="str">
        <f t="shared" si="43"/>
        <v>INSTRUMENT_BSNSS_AREA_CCRR</v>
      </c>
      <c r="C49" s="81" t="s">
        <v>414</v>
      </c>
      <c r="D49" s="82" t="s">
        <v>1048</v>
      </c>
      <c r="E49" s="83" t="s">
        <v>1049</v>
      </c>
      <c r="F49" s="84" t="s">
        <v>11</v>
      </c>
      <c r="G49" s="84" t="s">
        <v>13</v>
      </c>
      <c r="H49" s="84" t="s">
        <v>11</v>
      </c>
      <c r="I49" s="84" t="s">
        <v>11</v>
      </c>
      <c r="J49" s="84" t="s">
        <v>11</v>
      </c>
      <c r="K49" s="84" t="s">
        <v>11</v>
      </c>
      <c r="L49" s="85" t="str">
        <f>IFERROR(VLOOKUP($B49,'LISTA - Atual'!$B$1:$I$444,5,0),"Novo")</f>
        <v>N</v>
      </c>
      <c r="M49" s="85" t="str">
        <f t="shared" si="36"/>
        <v>Igual</v>
      </c>
      <c r="N49" s="85" t="str">
        <f>IFERROR(VLOOKUP($B49,'LISTA - Atual'!$B$1:$I$444,6,0),"Novo")</f>
        <v>Y</v>
      </c>
      <c r="O49" s="85" t="str">
        <f t="shared" si="37"/>
        <v>Igual</v>
      </c>
      <c r="P49" s="85" t="str">
        <f>IFERROR(VLOOKUP($B49,'LISTA - Atual'!$B$1:$I$444,7,0),"Novo")</f>
        <v>N</v>
      </c>
      <c r="Q49" s="85" t="str">
        <f t="shared" si="38"/>
        <v>Igual</v>
      </c>
      <c r="R49" s="85" t="s">
        <v>1473</v>
      </c>
      <c r="S49" s="85" t="str">
        <f>IFERROR(VLOOKUP($B49,'LISTA - Atual'!$B$1:$I$444,8,0),"Novo")</f>
        <v>N</v>
      </c>
      <c r="T49" s="85" t="str">
        <f t="shared" si="39"/>
        <v>Igual</v>
      </c>
      <c r="U49" s="85" t="s">
        <v>1473</v>
      </c>
      <c r="V49" s="85" t="s">
        <v>11</v>
      </c>
      <c r="W49" s="86" t="str">
        <f>IFERROR(VLOOKUP(B49,#REF!,11,0),"n/a")</f>
        <v>n/a</v>
      </c>
      <c r="X49" s="86" t="str">
        <f>IFERROR(VLOOKUP(B49,#REF!,8,0),"n/a")</f>
        <v>n/a</v>
      </c>
      <c r="Y49" s="86" t="str">
        <f t="shared" si="44"/>
        <v>GD</v>
      </c>
      <c r="Z49" s="121" t="s">
        <v>1514</v>
      </c>
      <c r="AA49" s="214" t="str">
        <f>VLOOKUP(Table1[[#This Row],[CONCAT]],'[1]1. Tipologias Testes GD'!$F:$L,7,0)</f>
        <v>Baixa</v>
      </c>
      <c r="AB49" s="86" t="s">
        <v>1559</v>
      </c>
      <c r="AC49" s="125" t="s">
        <v>1546</v>
      </c>
      <c r="AD49" s="87">
        <v>0</v>
      </c>
      <c r="AE49" s="90">
        <f>INDEX(Auxiliar!$D$5:$I$10,MATCH('Lista - Âmbito Projeto GD'!AE$3,Auxiliar!$B$5:$B$10,0),MATCH('Lista - Âmbito Projeto GD'!$AC49,Auxiliar!$D$4:$I$4,0))</f>
        <v>3</v>
      </c>
      <c r="AF49" s="86">
        <f>INDEX(Auxiliar!$D$5:$I$10,MATCH('Lista - Âmbito Projeto GD'!AF$3,Auxiliar!$B$5:$B$10,0),MATCH('Lista - Âmbito Projeto GD'!$AC49,Auxiliar!$D$4:$I$4,0))</f>
        <v>3</v>
      </c>
      <c r="AG49" s="86" t="str">
        <f t="shared" si="42"/>
        <v>Média</v>
      </c>
      <c r="AH49" s="86">
        <f>INDEX(Auxiliar!$D$5:$I$10,MATCH('Lista - Âmbito Projeto GD'!AH$3,Auxiliar!$B$5:$B$10,0),MATCH('Lista - Âmbito Projeto GD'!$AG49,Auxiliar!$D$4:$I$4,0))</f>
        <v>0.5</v>
      </c>
      <c r="AI49" s="86">
        <f>INDEX(Auxiliar!$D$5:$I$10,MATCH('Lista - Âmbito Projeto GD'!AI$3,Auxiliar!$B$5:$B$10,0),MATCH('Lista - Âmbito Projeto GD'!$AC49,Auxiliar!$D$4:$I$4,0))</f>
        <v>0.5</v>
      </c>
      <c r="AJ49" s="86">
        <f>INDEX(Auxiliar!$D$5:$I$10,MATCH('Lista - Âmbito Projeto GD'!AJ$3,Auxiliar!$B$5:$B$10,0),MATCH('Lista - Âmbito Projeto GD'!$AC49,Auxiliar!$D$4:$I$4,0))</f>
        <v>1</v>
      </c>
      <c r="AK49" s="150">
        <f t="shared" si="45"/>
        <v>5</v>
      </c>
      <c r="AL49" s="86"/>
    </row>
    <row r="50" spans="1:38" ht="14" x14ac:dyDescent="0.3">
      <c r="A50" s="148" t="s">
        <v>1050</v>
      </c>
      <c r="B50" s="215" t="str">
        <f t="shared" si="43"/>
        <v>INSTRUMENT_GRSS_CMMSSN_INCM_OFF_BLNC_CCRR</v>
      </c>
      <c r="C50" s="81" t="s">
        <v>414</v>
      </c>
      <c r="D50" s="82" t="s">
        <v>1051</v>
      </c>
      <c r="E50" s="92" t="s">
        <v>1052</v>
      </c>
      <c r="F50" s="84" t="s">
        <v>11</v>
      </c>
      <c r="G50" s="84" t="s">
        <v>13</v>
      </c>
      <c r="H50" s="84" t="s">
        <v>11</v>
      </c>
      <c r="I50" s="84" t="s">
        <v>11</v>
      </c>
      <c r="J50" s="84" t="s">
        <v>11</v>
      </c>
      <c r="K50" s="84" t="s">
        <v>11</v>
      </c>
      <c r="L50" s="85" t="str">
        <f>IFERROR(VLOOKUP($B50,'LISTA - Atual'!$B$1:$I$444,5,0),"Novo")</f>
        <v>N</v>
      </c>
      <c r="M50" s="85" t="str">
        <f t="shared" si="36"/>
        <v>Igual</v>
      </c>
      <c r="N50" s="85" t="str">
        <f>IFERROR(VLOOKUP($B50,'LISTA - Atual'!$B$1:$I$444,6,0),"Novo")</f>
        <v>Y</v>
      </c>
      <c r="O50" s="85" t="str">
        <f t="shared" si="37"/>
        <v>Igual</v>
      </c>
      <c r="P50" s="85" t="str">
        <f>IFERROR(VLOOKUP($B50,'LISTA - Atual'!$B$1:$I$444,7,0),"Novo")</f>
        <v>N</v>
      </c>
      <c r="Q50" s="85" t="str">
        <f t="shared" si="38"/>
        <v>Igual</v>
      </c>
      <c r="R50" s="85" t="s">
        <v>1473</v>
      </c>
      <c r="S50" s="85" t="str">
        <f>IFERROR(VLOOKUP($B50,'LISTA - Atual'!$B$1:$I$444,8,0),"Novo")</f>
        <v>N</v>
      </c>
      <c r="T50" s="85" t="str">
        <f t="shared" si="39"/>
        <v>Igual</v>
      </c>
      <c r="U50" s="85" t="s">
        <v>1473</v>
      </c>
      <c r="V50" s="85" t="s">
        <v>11</v>
      </c>
      <c r="W50" s="86" t="str">
        <f>IFERROR(VLOOKUP(B50,#REF!,11,0),"n/a")</f>
        <v>n/a</v>
      </c>
      <c r="X50" s="86" t="str">
        <f>IFERROR(VLOOKUP(B50,#REF!,8,0),"n/a")</f>
        <v>n/a</v>
      </c>
      <c r="Y50" s="86" t="str">
        <f t="shared" si="44"/>
        <v>GD</v>
      </c>
      <c r="Z50" s="121" t="s">
        <v>1514</v>
      </c>
      <c r="AA50" s="214" t="str">
        <f>VLOOKUP(Table1[[#This Row],[CONCAT]],'[1]1. Tipologias Testes GD'!$F:$L,7,0)</f>
        <v>Baixa</v>
      </c>
      <c r="AB50" s="86" t="s">
        <v>1563</v>
      </c>
      <c r="AC50" s="125" t="s">
        <v>1546</v>
      </c>
      <c r="AD50" s="87">
        <v>0</v>
      </c>
      <c r="AE50" s="90">
        <f>INDEX(Auxiliar!$D$5:$I$10,MATCH('Lista - Âmbito Projeto GD'!AE$3,Auxiliar!$B$5:$B$10,0),MATCH('Lista - Âmbito Projeto GD'!$AC50,Auxiliar!$D$4:$I$4,0))</f>
        <v>3</v>
      </c>
      <c r="AF50" s="86">
        <f>INDEX(Auxiliar!$D$5:$I$10,MATCH('Lista - Âmbito Projeto GD'!AF$3,Auxiliar!$B$5:$B$10,0),MATCH('Lista - Âmbito Projeto GD'!$AC50,Auxiliar!$D$4:$I$4,0))</f>
        <v>3</v>
      </c>
      <c r="AG50" s="86" t="str">
        <f t="shared" si="42"/>
        <v>n.a.</v>
      </c>
      <c r="AH50" s="86">
        <f>INDEX(Auxiliar!$D$5:$I$10,MATCH('Lista - Âmbito Projeto GD'!AH$3,Auxiliar!$B$5:$B$10,0),MATCH('Lista - Âmbito Projeto GD'!$AG50,Auxiliar!$D$4:$I$4,0))</f>
        <v>0</v>
      </c>
      <c r="AI50" s="86">
        <f>INDEX(Auxiliar!$D$5:$I$10,MATCH('Lista - Âmbito Projeto GD'!AI$3,Auxiliar!$B$5:$B$10,0),MATCH('Lista - Âmbito Projeto GD'!$AC50,Auxiliar!$D$4:$I$4,0))</f>
        <v>0.5</v>
      </c>
      <c r="AJ50" s="86">
        <f>INDEX(Auxiliar!$D$5:$I$10,MATCH('Lista - Âmbito Projeto GD'!AJ$3,Auxiliar!$B$5:$B$10,0),MATCH('Lista - Âmbito Projeto GD'!$AC50,Auxiliar!$D$4:$I$4,0))</f>
        <v>1</v>
      </c>
      <c r="AK50" s="150">
        <f t="shared" si="45"/>
        <v>4.5</v>
      </c>
      <c r="AL50" s="86"/>
    </row>
    <row r="51" spans="1:38" ht="14" x14ac:dyDescent="0.3">
      <c r="A51" s="148" t="s">
        <v>1053</v>
      </c>
      <c r="B51" s="215" t="str">
        <f t="shared" si="43"/>
        <v>INSTRUMENT_GRSS_CMMSSN_EXPNS_OFF_BLNC_CCRR</v>
      </c>
      <c r="C51" s="81" t="s">
        <v>414</v>
      </c>
      <c r="D51" s="82" t="s">
        <v>1054</v>
      </c>
      <c r="E51" s="92" t="s">
        <v>1055</v>
      </c>
      <c r="F51" s="84" t="s">
        <v>11</v>
      </c>
      <c r="G51" s="84" t="s">
        <v>13</v>
      </c>
      <c r="H51" s="84" t="s">
        <v>11</v>
      </c>
      <c r="I51" s="84" t="s">
        <v>11</v>
      </c>
      <c r="J51" s="84" t="s">
        <v>11</v>
      </c>
      <c r="K51" s="84" t="s">
        <v>11</v>
      </c>
      <c r="L51" s="85" t="str">
        <f>IFERROR(VLOOKUP($B51,'LISTA - Atual'!$B$1:$I$444,5,0),"Novo")</f>
        <v>N</v>
      </c>
      <c r="M51" s="85" t="str">
        <f t="shared" si="36"/>
        <v>Igual</v>
      </c>
      <c r="N51" s="85" t="str">
        <f>IFERROR(VLOOKUP($B51,'LISTA - Atual'!$B$1:$I$444,6,0),"Novo")</f>
        <v>Y</v>
      </c>
      <c r="O51" s="85" t="str">
        <f t="shared" si="37"/>
        <v>Igual</v>
      </c>
      <c r="P51" s="85" t="str">
        <f>IFERROR(VLOOKUP($B51,'LISTA - Atual'!$B$1:$I$444,7,0),"Novo")</f>
        <v>N</v>
      </c>
      <c r="Q51" s="85" t="str">
        <f t="shared" si="38"/>
        <v>Igual</v>
      </c>
      <c r="R51" s="85" t="s">
        <v>1473</v>
      </c>
      <c r="S51" s="85" t="str">
        <f>IFERROR(VLOOKUP($B51,'LISTA - Atual'!$B$1:$I$444,8,0),"Novo")</f>
        <v>N</v>
      </c>
      <c r="T51" s="85" t="str">
        <f t="shared" si="39"/>
        <v>Igual</v>
      </c>
      <c r="U51" s="85" t="s">
        <v>1473</v>
      </c>
      <c r="V51" s="85" t="s">
        <v>11</v>
      </c>
      <c r="W51" s="86" t="str">
        <f>IFERROR(VLOOKUP(B51,#REF!,11,0),"n/a")</f>
        <v>n/a</v>
      </c>
      <c r="X51" s="86" t="str">
        <f>IFERROR(VLOOKUP(B51,#REF!,8,0),"n/a")</f>
        <v>n/a</v>
      </c>
      <c r="Y51" s="86" t="str">
        <f t="shared" si="44"/>
        <v>GD</v>
      </c>
      <c r="Z51" s="121" t="s">
        <v>1514</v>
      </c>
      <c r="AA51" s="214" t="str">
        <f>VLOOKUP(Table1[[#This Row],[CONCAT]],'[1]1. Tipologias Testes GD'!$F:$L,7,0)</f>
        <v>Baixa</v>
      </c>
      <c r="AB51" s="86" t="s">
        <v>1563</v>
      </c>
      <c r="AC51" s="125" t="s">
        <v>1546</v>
      </c>
      <c r="AD51" s="87">
        <v>0</v>
      </c>
      <c r="AE51" s="90">
        <f>INDEX(Auxiliar!$D$5:$I$10,MATCH('Lista - Âmbito Projeto GD'!AE$3,Auxiliar!$B$5:$B$10,0),MATCH('Lista - Âmbito Projeto GD'!$AC51,Auxiliar!$D$4:$I$4,0))</f>
        <v>3</v>
      </c>
      <c r="AF51" s="86">
        <f>INDEX(Auxiliar!$D$5:$I$10,MATCH('Lista - Âmbito Projeto GD'!AF$3,Auxiliar!$B$5:$B$10,0),MATCH('Lista - Âmbito Projeto GD'!$AC51,Auxiliar!$D$4:$I$4,0))</f>
        <v>3</v>
      </c>
      <c r="AG51" s="86" t="str">
        <f t="shared" si="42"/>
        <v>n.a.</v>
      </c>
      <c r="AH51" s="86">
        <f>INDEX(Auxiliar!$D$5:$I$10,MATCH('Lista - Âmbito Projeto GD'!AH$3,Auxiliar!$B$5:$B$10,0),MATCH('Lista - Âmbito Projeto GD'!$AG51,Auxiliar!$D$4:$I$4,0))</f>
        <v>0</v>
      </c>
      <c r="AI51" s="86">
        <f>INDEX(Auxiliar!$D$5:$I$10,MATCH('Lista - Âmbito Projeto GD'!AI$3,Auxiliar!$B$5:$B$10,0),MATCH('Lista - Âmbito Projeto GD'!$AC51,Auxiliar!$D$4:$I$4,0))</f>
        <v>0.5</v>
      </c>
      <c r="AJ51" s="86">
        <f>INDEX(Auxiliar!$D$5:$I$10,MATCH('Lista - Âmbito Projeto GD'!AJ$3,Auxiliar!$B$5:$B$10,0),MATCH('Lista - Âmbito Projeto GD'!$AC51,Auxiliar!$D$4:$I$4,0))</f>
        <v>1</v>
      </c>
      <c r="AK51" s="150">
        <f t="shared" si="45"/>
        <v>4.5</v>
      </c>
      <c r="AL51" s="86"/>
    </row>
    <row r="52" spans="1:38" ht="14" x14ac:dyDescent="0.3">
      <c r="A52" s="148" t="s">
        <v>1080</v>
      </c>
      <c r="B52" s="215" t="str">
        <f t="shared" si="43"/>
        <v>INSTRUMENT_CNCLLD_INSTRMNT_STTS</v>
      </c>
      <c r="C52" s="81" t="s">
        <v>414</v>
      </c>
      <c r="D52" s="82" t="s">
        <v>1081</v>
      </c>
      <c r="E52" s="92" t="s">
        <v>1082</v>
      </c>
      <c r="F52" s="84" t="s">
        <v>11</v>
      </c>
      <c r="G52" s="84" t="s">
        <v>13</v>
      </c>
      <c r="H52" s="84" t="s">
        <v>11</v>
      </c>
      <c r="I52" s="84" t="s">
        <v>11</v>
      </c>
      <c r="J52" s="84" t="s">
        <v>11</v>
      </c>
      <c r="K52" s="84" t="s">
        <v>11</v>
      </c>
      <c r="L52" s="85" t="str">
        <f>IFERROR(VLOOKUP($B52,'LISTA - Atual'!$B$1:$I$444,5,0),"Novo")</f>
        <v>N</v>
      </c>
      <c r="M52" s="85" t="str">
        <f t="shared" ref="M52:M53" si="46">IF(L52="Novo","Novo Campo",IF(L52=F52,"Igual","Diferente"))</f>
        <v>Igual</v>
      </c>
      <c r="N52" s="85" t="str">
        <f>IFERROR(VLOOKUP($B52,'LISTA - Atual'!$B$1:$I$444,6,0),"Novo")</f>
        <v>Y</v>
      </c>
      <c r="O52" s="85" t="str">
        <f t="shared" ref="O52:O53" si="47">IF(N52="Novo","Novo Campo",IF(N52=G52,"Igual","Diferente"))</f>
        <v>Igual</v>
      </c>
      <c r="P52" s="85" t="str">
        <f>IFERROR(VLOOKUP($B52,'LISTA - Atual'!$B$1:$I$444,7,0),"Novo")</f>
        <v>N</v>
      </c>
      <c r="Q52" s="85" t="str">
        <f t="shared" ref="Q52:Q53" si="48">IF(P52="Novo","Novo Campo",IF(P52=H52,"Igual","Diferente"))</f>
        <v>Igual</v>
      </c>
      <c r="R52" s="85" t="s">
        <v>1473</v>
      </c>
      <c r="S52" s="85" t="str">
        <f>IFERROR(VLOOKUP($B52,'LISTA - Atual'!$B$1:$I$444,8,0),"Novo")</f>
        <v>N</v>
      </c>
      <c r="T52" s="85" t="str">
        <f t="shared" ref="T52:T53" si="49">IF(S52="Novo","Novo Campo",IF(S52=J52,"Igual","Diferente"))</f>
        <v>Igual</v>
      </c>
      <c r="U52" s="85" t="s">
        <v>1473</v>
      </c>
      <c r="V52" s="85" t="s">
        <v>11</v>
      </c>
      <c r="W52" s="86" t="str">
        <f>IFERROR(VLOOKUP(B52,#REF!,11,0),"n/a")</f>
        <v>n/a</v>
      </c>
      <c r="X52" s="86" t="str">
        <f>IFERROR(VLOOKUP(B52,#REF!,8,0),"n/a")</f>
        <v>n/a</v>
      </c>
      <c r="Y52" s="86" t="str">
        <f>$G$2</f>
        <v>GD</v>
      </c>
      <c r="Z52" s="121" t="s">
        <v>1514</v>
      </c>
      <c r="AA52" s="214" t="str">
        <f>VLOOKUP(Table1[[#This Row],[CONCAT]],'[1]1. Tipologias Testes GD'!$F:$L,7,0)</f>
        <v>Alta</v>
      </c>
      <c r="AB52" s="86" t="s">
        <v>1559</v>
      </c>
      <c r="AC52" s="125" t="s">
        <v>1546</v>
      </c>
      <c r="AD52" s="87">
        <v>0</v>
      </c>
      <c r="AE52" s="90">
        <f>INDEX(Auxiliar!$D$5:$I$10,MATCH('Lista - Âmbito Projeto GD'!AE$3,Auxiliar!$B$5:$B$10,0),MATCH('Lista - Âmbito Projeto GD'!$AC52,Auxiliar!$D$4:$I$4,0))</f>
        <v>3</v>
      </c>
      <c r="AF52" s="86">
        <f>INDEX(Auxiliar!$D$5:$I$10,MATCH('Lista - Âmbito Projeto GD'!AF$3,Auxiliar!$B$5:$B$10,0),MATCH('Lista - Âmbito Projeto GD'!$AC52,Auxiliar!$D$4:$I$4,0))</f>
        <v>3</v>
      </c>
      <c r="AG52" s="86" t="str">
        <f t="shared" ref="AG52:AG58" si="50">IF(OR(AB52="Code List",AB52="Y, N"),AC52,"n.a.")</f>
        <v>Média</v>
      </c>
      <c r="AH52" s="86">
        <f>INDEX(Auxiliar!$D$5:$I$10,MATCH('Lista - Âmbito Projeto GD'!AH$3,Auxiliar!$B$5:$B$10,0),MATCH('Lista - Âmbito Projeto GD'!$AG52,Auxiliar!$D$4:$I$4,0))</f>
        <v>0.5</v>
      </c>
      <c r="AI52" s="86">
        <f>INDEX(Auxiliar!$D$5:$I$10,MATCH('Lista - Âmbito Projeto GD'!AI$3,Auxiliar!$B$5:$B$10,0),MATCH('Lista - Âmbito Projeto GD'!$AC52,Auxiliar!$D$4:$I$4,0))</f>
        <v>0.5</v>
      </c>
      <c r="AJ52" s="86">
        <f>INDEX(Auxiliar!$D$5:$I$10,MATCH('Lista - Âmbito Projeto GD'!AJ$3,Auxiliar!$B$5:$B$10,0),MATCH('Lista - Âmbito Projeto GD'!$AC52,Auxiliar!$D$4:$I$4,0))</f>
        <v>1</v>
      </c>
      <c r="AK52" s="150">
        <f t="shared" ref="AK52:AK60" si="51">SUM(AF52,AH52:AJ52)</f>
        <v>5</v>
      </c>
      <c r="AL52" s="86"/>
    </row>
    <row r="53" spans="1:38" ht="14" x14ac:dyDescent="0.3">
      <c r="A53" s="148" t="s">
        <v>1083</v>
      </c>
      <c r="B53" s="215" t="str">
        <f t="shared" si="43"/>
        <v>INSTRUMENT_IDCMB</v>
      </c>
      <c r="C53" s="81" t="s">
        <v>414</v>
      </c>
      <c r="D53" s="82" t="s">
        <v>1084</v>
      </c>
      <c r="E53" s="92" t="s">
        <v>1085</v>
      </c>
      <c r="F53" s="84" t="s">
        <v>13</v>
      </c>
      <c r="G53" s="84" t="s">
        <v>13</v>
      </c>
      <c r="H53" s="84" t="s">
        <v>13</v>
      </c>
      <c r="I53" s="84" t="s">
        <v>11</v>
      </c>
      <c r="J53" s="84" t="s">
        <v>13</v>
      </c>
      <c r="K53" s="84" t="s">
        <v>13</v>
      </c>
      <c r="L53" s="85" t="str">
        <f>IFERROR(VLOOKUP($B53,'LISTA - Atual'!$B$1:$I$444,5,0),"Novo")</f>
        <v>Y</v>
      </c>
      <c r="M53" s="85" t="str">
        <f t="shared" si="46"/>
        <v>Igual</v>
      </c>
      <c r="N53" s="85" t="str">
        <f>IFERROR(VLOOKUP($B53,'LISTA - Atual'!$B$1:$I$444,6,0),"Novo")</f>
        <v>Y</v>
      </c>
      <c r="O53" s="85" t="str">
        <f t="shared" si="47"/>
        <v>Igual</v>
      </c>
      <c r="P53" s="85" t="str">
        <f>IFERROR(VLOOKUP($B53,'LISTA - Atual'!$B$1:$I$444,7,0),"Novo")</f>
        <v>Y</v>
      </c>
      <c r="Q53" s="85" t="str">
        <f t="shared" si="48"/>
        <v>Igual</v>
      </c>
      <c r="R53" s="85" t="s">
        <v>1473</v>
      </c>
      <c r="S53" s="85" t="str">
        <f>IFERROR(VLOOKUP($B53,'LISTA - Atual'!$B$1:$I$444,8,0),"Novo")</f>
        <v>Y</v>
      </c>
      <c r="T53" s="85" t="str">
        <f t="shared" si="49"/>
        <v>Igual</v>
      </c>
      <c r="U53" s="85" t="s">
        <v>1473</v>
      </c>
      <c r="V53" s="85" t="s">
        <v>11</v>
      </c>
      <c r="W53" s="86" t="str">
        <f>IFERROR(VLOOKUP(B53,#REF!,11,0),"n/a")</f>
        <v>n/a</v>
      </c>
      <c r="X53" s="86" t="str">
        <f>IFERROR(VLOOKUP(B53,#REF!,8,0),"n/a")</f>
        <v>n/a</v>
      </c>
      <c r="Y53" s="86" t="str">
        <f t="shared" ref="Y53:Y58" si="52">$F$2&amp;$Y$1&amp;$G$2&amp;$Y$1&amp;$H$2</f>
        <v>ESTR &amp; GD &amp; PILAR3</v>
      </c>
      <c r="Z53" s="121" t="s">
        <v>1514</v>
      </c>
      <c r="AA53" s="214" t="str">
        <f>VLOOKUP(Table1[[#This Row],[CONCAT]],'[1]1. Tipologias Testes GD'!$F:$L,7,0)</f>
        <v>Baixa</v>
      </c>
      <c r="AB53" s="86" t="s">
        <v>1561</v>
      </c>
      <c r="AC53" s="125" t="s">
        <v>1574</v>
      </c>
      <c r="AD53" s="87">
        <v>0</v>
      </c>
      <c r="AE53" s="90">
        <f>INDEX(Auxiliar!$D$5:$I$10,MATCH('Lista - Âmbito Projeto GD'!AE$3,Auxiliar!$B$5:$B$10,0),MATCH('Lista - Âmbito Projeto GD'!$AC53,Auxiliar!$D$4:$I$4,0))</f>
        <v>1</v>
      </c>
      <c r="AF53" s="86">
        <f>INDEX(Auxiliar!$D$5:$I$10,MATCH('Lista - Âmbito Projeto GD'!AF$3,Auxiliar!$B$5:$B$10,0),MATCH('Lista - Âmbito Projeto GD'!$AC53,Auxiliar!$D$4:$I$4,0))</f>
        <v>1</v>
      </c>
      <c r="AG53" s="86" t="str">
        <f t="shared" si="50"/>
        <v>n.a.</v>
      </c>
      <c r="AH53" s="86">
        <f>INDEX(Auxiliar!$D$5:$I$10,MATCH('Lista - Âmbito Projeto GD'!AH$3,Auxiliar!$B$5:$B$10,0),MATCH('Lista - Âmbito Projeto GD'!$AG53,Auxiliar!$D$4:$I$4,0))</f>
        <v>0</v>
      </c>
      <c r="AI53" s="86">
        <f>INDEX(Auxiliar!$D$5:$I$10,MATCH('Lista - Âmbito Projeto GD'!AI$3,Auxiliar!$B$5:$B$10,0),MATCH('Lista - Âmbito Projeto GD'!$AC53,Auxiliar!$D$4:$I$4,0))</f>
        <v>0.5</v>
      </c>
      <c r="AJ53" s="86">
        <f>INDEX(Auxiliar!$D$5:$I$10,MATCH('Lista - Âmbito Projeto GD'!AJ$3,Auxiliar!$B$5:$B$10,0),MATCH('Lista - Âmbito Projeto GD'!$AC53,Auxiliar!$D$4:$I$4,0))</f>
        <v>1</v>
      </c>
      <c r="AK53" s="150">
        <f t="shared" si="51"/>
        <v>2.5</v>
      </c>
      <c r="AL53" s="86" t="s">
        <v>1586</v>
      </c>
    </row>
    <row r="54" spans="1:38" ht="14" x14ac:dyDescent="0.3">
      <c r="A54" s="148" t="s">
        <v>1350</v>
      </c>
      <c r="B54" s="215" t="str">
        <f t="shared" si="43"/>
        <v>INSTRUMENT_TYP_OFF_BLNC_PRDCT</v>
      </c>
      <c r="C54" s="81" t="s">
        <v>414</v>
      </c>
      <c r="D54" s="91" t="s">
        <v>1351</v>
      </c>
      <c r="E54" s="92" t="s">
        <v>1352</v>
      </c>
      <c r="F54" s="84" t="s">
        <v>13</v>
      </c>
      <c r="G54" s="88" t="s">
        <v>13</v>
      </c>
      <c r="H54" s="88" t="s">
        <v>13</v>
      </c>
      <c r="I54" s="84" t="s">
        <v>11</v>
      </c>
      <c r="J54" s="84" t="s">
        <v>11</v>
      </c>
      <c r="K54" s="84" t="s">
        <v>13</v>
      </c>
      <c r="L54" s="85" t="str">
        <f>IFERROR(VLOOKUP($B54,'LISTA - Atual'!$B$1:$I$444,5,0),"Novo")</f>
        <v>Novo</v>
      </c>
      <c r="M54" s="85" t="str">
        <f t="shared" ref="M54:M56" si="53">IF(L54="Novo","Novo Campo",IF(L54=F54,"Igual","Diferente"))</f>
        <v>Novo Campo</v>
      </c>
      <c r="N54" s="85" t="str">
        <f>IFERROR(VLOOKUP($B54,'LISTA - Atual'!$B$1:$I$444,6,0),"Novo")</f>
        <v>Novo</v>
      </c>
      <c r="O54" s="85" t="str">
        <f t="shared" ref="O54:O56" si="54">IF(N54="Novo","Novo Campo",IF(N54=G54,"Igual","Diferente"))</f>
        <v>Novo Campo</v>
      </c>
      <c r="P54" s="85" t="str">
        <f>IFERROR(VLOOKUP($B54,'LISTA - Atual'!$B$1:$I$444,7,0),"Novo")</f>
        <v>Novo</v>
      </c>
      <c r="Q54" s="85" t="str">
        <f t="shared" ref="Q54:Q56" si="55">IF(P54="Novo","Novo Campo",IF(P54=H54,"Igual","Diferente"))</f>
        <v>Novo Campo</v>
      </c>
      <c r="R54" s="85" t="s">
        <v>1473</v>
      </c>
      <c r="S54" s="85" t="str">
        <f>IFERROR(VLOOKUP($B54,'LISTA - Atual'!$B$1:$I$444,8,0),"Novo")</f>
        <v>Novo</v>
      </c>
      <c r="T54" s="85" t="str">
        <f t="shared" ref="T54:T56" si="56">IF(S54="Novo","Novo Campo",IF(S54=J54,"Igual","Diferente"))</f>
        <v>Novo Campo</v>
      </c>
      <c r="U54" s="85" t="s">
        <v>1473</v>
      </c>
      <c r="V54" s="85" t="s">
        <v>11</v>
      </c>
      <c r="W54" s="86" t="str">
        <f>IFERROR(VLOOKUP(B54,#REF!,11,0),"n/a")</f>
        <v>n/a</v>
      </c>
      <c r="X54" s="86" t="str">
        <f>IFERROR(VLOOKUP(B54,#REF!,8,0),"n/a")</f>
        <v>n/a</v>
      </c>
      <c r="Y54" s="86" t="str">
        <f t="shared" si="52"/>
        <v>ESTR &amp; GD &amp; PILAR3</v>
      </c>
      <c r="Z54" s="121" t="s">
        <v>1480</v>
      </c>
      <c r="AA54" s="214" t="str">
        <f>VLOOKUP(Table1[[#This Row],[CONCAT]],'[1]1. Tipologias Testes GD'!$F:$L,7,0)</f>
        <v>Média</v>
      </c>
      <c r="AB54" s="86" t="s">
        <v>1559</v>
      </c>
      <c r="AC54" s="125" t="s">
        <v>1574</v>
      </c>
      <c r="AD54" s="90">
        <f>INDEX(Auxiliar!$D$5:$I$10,MATCH('Lista - Âmbito Projeto GD'!AD$3,Auxiliar!$B$5:$B$10,0),MATCH('Lista - Âmbito Projeto GD'!$AC54,Auxiliar!$D$4:$I$4,0))</f>
        <v>1</v>
      </c>
      <c r="AE54" s="90">
        <f>INDEX(Auxiliar!$D$5:$I$10,MATCH('Lista - Âmbito Projeto GD'!AE$3,Auxiliar!$B$5:$B$10,0),MATCH('Lista - Âmbito Projeto GD'!$AC54,Auxiliar!$D$4:$I$4,0))</f>
        <v>1</v>
      </c>
      <c r="AF54" s="86">
        <f>INDEX(Auxiliar!$D$5:$I$10,MATCH('Lista - Âmbito Projeto GD'!AF$3,Auxiliar!$B$5:$B$10,0),MATCH('Lista - Âmbito Projeto GD'!$AC54,Auxiliar!$D$4:$I$4,0))</f>
        <v>1</v>
      </c>
      <c r="AG54" s="86" t="str">
        <f t="shared" si="50"/>
        <v>M. Baixa</v>
      </c>
      <c r="AH54" s="86">
        <f>INDEX(Auxiliar!$D$5:$I$10,MATCH('Lista - Âmbito Projeto GD'!AH$3,Auxiliar!$B$5:$B$10,0),MATCH('Lista - Âmbito Projeto GD'!$AG54,Auxiliar!$D$4:$I$4,0))</f>
        <v>0.5</v>
      </c>
      <c r="AI54" s="86">
        <f>INDEX(Auxiliar!$D$5:$I$10,MATCH('Lista - Âmbito Projeto GD'!AI$3,Auxiliar!$B$5:$B$10,0),MATCH('Lista - Âmbito Projeto GD'!$AC54,Auxiliar!$D$4:$I$4,0))</f>
        <v>0.5</v>
      </c>
      <c r="AJ54" s="86">
        <f>INDEX(Auxiliar!$D$5:$I$10,MATCH('Lista - Âmbito Projeto GD'!AJ$3,Auxiliar!$B$5:$B$10,0),MATCH('Lista - Âmbito Projeto GD'!$AC54,Auxiliar!$D$4:$I$4,0))</f>
        <v>1</v>
      </c>
      <c r="AK54" s="150">
        <f t="shared" si="51"/>
        <v>3</v>
      </c>
      <c r="AL54" s="86"/>
    </row>
    <row r="55" spans="1:38" ht="14" x14ac:dyDescent="0.3">
      <c r="A55" s="148" t="s">
        <v>1100</v>
      </c>
      <c r="B55" s="215" t="str">
        <f t="shared" si="43"/>
        <v>INSTR_PROTECTION_COD_SOC</v>
      </c>
      <c r="C55" s="81" t="s">
        <v>1101</v>
      </c>
      <c r="D55" s="82" t="s">
        <v>12</v>
      </c>
      <c r="E55" s="83" t="s">
        <v>14</v>
      </c>
      <c r="F55" s="84" t="s">
        <v>13</v>
      </c>
      <c r="G55" s="84" t="s">
        <v>13</v>
      </c>
      <c r="H55" s="84" t="s">
        <v>13</v>
      </c>
      <c r="I55" s="84" t="s">
        <v>11</v>
      </c>
      <c r="J55" s="84" t="s">
        <v>11</v>
      </c>
      <c r="K55" s="84" t="s">
        <v>11</v>
      </c>
      <c r="L55" s="85" t="str">
        <f>IFERROR(VLOOKUP($B55,'LISTA - Atual'!$B$1:$I$444,5,0),"Novo")</f>
        <v>Y</v>
      </c>
      <c r="M55" s="85" t="str">
        <f t="shared" si="53"/>
        <v>Igual</v>
      </c>
      <c r="N55" s="85" t="str">
        <f>IFERROR(VLOOKUP($B55,'LISTA - Atual'!$B$1:$I$444,6,0),"Novo")</f>
        <v>N</v>
      </c>
      <c r="O55" s="85" t="str">
        <f t="shared" si="54"/>
        <v>Diferente</v>
      </c>
      <c r="P55" s="85" t="str">
        <f>IFERROR(VLOOKUP($B55,'LISTA - Atual'!$B$1:$I$444,7,0),"Novo")</f>
        <v>Y</v>
      </c>
      <c r="Q55" s="85" t="str">
        <f t="shared" si="55"/>
        <v>Igual</v>
      </c>
      <c r="R55" s="85" t="s">
        <v>1473</v>
      </c>
      <c r="S55" s="85" t="str">
        <f>IFERROR(VLOOKUP($B55,'LISTA - Atual'!$B$1:$I$444,8,0),"Novo")</f>
        <v>N</v>
      </c>
      <c r="T55" s="85" t="str">
        <f t="shared" si="56"/>
        <v>Igual</v>
      </c>
      <c r="U55" s="85" t="s">
        <v>1473</v>
      </c>
      <c r="V55" s="85" t="s">
        <v>11</v>
      </c>
      <c r="W55" s="86" t="str">
        <f>IFERROR(VLOOKUP(B55,#REF!,11,0),"n/a")</f>
        <v>n/a</v>
      </c>
      <c r="X55" s="86" t="str">
        <f>IFERROR(VLOOKUP(B55,#REF!,8,0),"n/a")</f>
        <v>n/a</v>
      </c>
      <c r="Y55" s="86" t="str">
        <f t="shared" si="52"/>
        <v>ESTR &amp; GD &amp; PILAR3</v>
      </c>
      <c r="Z55" s="121" t="s">
        <v>1514</v>
      </c>
      <c r="AA55" s="214" t="str">
        <f>VLOOKUP(Table1[[#This Row],[CONCAT]],'[1]1. Tipologias Testes GD'!$F:$L,7,0)</f>
        <v>Baixa</v>
      </c>
      <c r="AB55" s="86" t="s">
        <v>1558</v>
      </c>
      <c r="AC55" s="125" t="s">
        <v>1574</v>
      </c>
      <c r="AD55" s="90">
        <f>INDEX(Auxiliar!$D$5:$I$10,MATCH('Lista - Âmbito Projeto GD'!AD$3,Auxiliar!$B$5:$B$10,0),MATCH('Lista - Âmbito Projeto GD'!$AC55,Auxiliar!$D$4:$I$4,0))</f>
        <v>1</v>
      </c>
      <c r="AE55" s="90">
        <f>INDEX(Auxiliar!$D$5:$I$10,MATCH('Lista - Âmbito Projeto GD'!AE$3,Auxiliar!$B$5:$B$10,0),MATCH('Lista - Âmbito Projeto GD'!$AC55,Auxiliar!$D$4:$I$4,0))</f>
        <v>1</v>
      </c>
      <c r="AF55" s="86">
        <f>INDEX(Auxiliar!$D$5:$I$10,MATCH('Lista - Âmbito Projeto GD'!AF$3,Auxiliar!$B$5:$B$10,0),MATCH('Lista - Âmbito Projeto GD'!$AC55,Auxiliar!$D$4:$I$4,0))</f>
        <v>1</v>
      </c>
      <c r="AG55" s="86" t="str">
        <f t="shared" si="50"/>
        <v>n.a.</v>
      </c>
      <c r="AH55" s="86">
        <f>INDEX(Auxiliar!$D$5:$I$10,MATCH('Lista - Âmbito Projeto GD'!AH$3,Auxiliar!$B$5:$B$10,0),MATCH('Lista - Âmbito Projeto GD'!$AG55,Auxiliar!$D$4:$I$4,0))</f>
        <v>0</v>
      </c>
      <c r="AI55" s="86">
        <f>INDEX(Auxiliar!$D$5:$I$10,MATCH('Lista - Âmbito Projeto GD'!AI$3,Auxiliar!$B$5:$B$10,0),MATCH('Lista - Âmbito Projeto GD'!$AC55,Auxiliar!$D$4:$I$4,0))</f>
        <v>0.5</v>
      </c>
      <c r="AJ55" s="86">
        <f>INDEX(Auxiliar!$D$5:$I$10,MATCH('Lista - Âmbito Projeto GD'!AJ$3,Auxiliar!$B$5:$B$10,0),MATCH('Lista - Âmbito Projeto GD'!$AC55,Auxiliar!$D$4:$I$4,0))</f>
        <v>1</v>
      </c>
      <c r="AK55" s="150">
        <f t="shared" ref="AK55:AK58" si="57">SUM(AF55,AH55:AJ55)</f>
        <v>2.5</v>
      </c>
      <c r="AL55" s="86"/>
    </row>
    <row r="56" spans="1:38" ht="14" x14ac:dyDescent="0.3">
      <c r="A56" s="148" t="s">
        <v>1102</v>
      </c>
      <c r="B56" s="215" t="str">
        <f t="shared" si="43"/>
        <v>INSTR_PROTECTION_DT_RFRNC</v>
      </c>
      <c r="C56" s="81" t="s">
        <v>1101</v>
      </c>
      <c r="D56" s="82" t="s">
        <v>38</v>
      </c>
      <c r="E56" s="83" t="s">
        <v>402</v>
      </c>
      <c r="F56" s="84" t="s">
        <v>13</v>
      </c>
      <c r="G56" s="84" t="s">
        <v>13</v>
      </c>
      <c r="H56" s="84" t="s">
        <v>13</v>
      </c>
      <c r="I56" s="84" t="s">
        <v>11</v>
      </c>
      <c r="J56" s="84" t="s">
        <v>11</v>
      </c>
      <c r="K56" s="84" t="s">
        <v>11</v>
      </c>
      <c r="L56" s="85" t="str">
        <f>IFERROR(VLOOKUP($B56,'LISTA - Atual'!$B$1:$I$444,5,0),"Novo")</f>
        <v>Y</v>
      </c>
      <c r="M56" s="85" t="str">
        <f t="shared" si="53"/>
        <v>Igual</v>
      </c>
      <c r="N56" s="85" t="str">
        <f>IFERROR(VLOOKUP($B56,'LISTA - Atual'!$B$1:$I$444,6,0),"Novo")</f>
        <v>N</v>
      </c>
      <c r="O56" s="85" t="str">
        <f t="shared" si="54"/>
        <v>Diferente</v>
      </c>
      <c r="P56" s="85" t="str">
        <f>IFERROR(VLOOKUP($B56,'LISTA - Atual'!$B$1:$I$444,7,0),"Novo")</f>
        <v>Y</v>
      </c>
      <c r="Q56" s="85" t="str">
        <f t="shared" si="55"/>
        <v>Igual</v>
      </c>
      <c r="R56" s="85" t="s">
        <v>1473</v>
      </c>
      <c r="S56" s="85" t="str">
        <f>IFERROR(VLOOKUP($B56,'LISTA - Atual'!$B$1:$I$444,8,0),"Novo")</f>
        <v>N</v>
      </c>
      <c r="T56" s="85" t="str">
        <f t="shared" si="56"/>
        <v>Igual</v>
      </c>
      <c r="U56" s="85" t="s">
        <v>1473</v>
      </c>
      <c r="V56" s="85" t="s">
        <v>11</v>
      </c>
      <c r="W56" s="86" t="str">
        <f>IFERROR(VLOOKUP(B56,#REF!,11,0),"n/a")</f>
        <v>n/a</v>
      </c>
      <c r="X56" s="86" t="str">
        <f>IFERROR(VLOOKUP(B56,#REF!,8,0),"n/a")</f>
        <v>n/a</v>
      </c>
      <c r="Y56" s="86" t="str">
        <f t="shared" si="52"/>
        <v>ESTR &amp; GD &amp; PILAR3</v>
      </c>
      <c r="Z56" s="121" t="s">
        <v>1514</v>
      </c>
      <c r="AA56" s="214" t="str">
        <f>VLOOKUP(Table1[[#This Row],[CONCAT]],'[1]1. Tipologias Testes GD'!$F:$L,7,0)</f>
        <v>Baixa</v>
      </c>
      <c r="AB56" s="86" t="s">
        <v>1560</v>
      </c>
      <c r="AC56" s="125" t="s">
        <v>1574</v>
      </c>
      <c r="AD56" s="90">
        <f>INDEX(Auxiliar!$D$5:$I$10,MATCH('Lista - Âmbito Projeto GD'!AD$3,Auxiliar!$B$5:$B$10,0),MATCH('Lista - Âmbito Projeto GD'!$AC56,Auxiliar!$D$4:$I$4,0))</f>
        <v>1</v>
      </c>
      <c r="AE56" s="90">
        <f>INDEX(Auxiliar!$D$5:$I$10,MATCH('Lista - Âmbito Projeto GD'!AE$3,Auxiliar!$B$5:$B$10,0),MATCH('Lista - Âmbito Projeto GD'!$AC56,Auxiliar!$D$4:$I$4,0))</f>
        <v>1</v>
      </c>
      <c r="AF56" s="86">
        <f>INDEX(Auxiliar!$D$5:$I$10,MATCH('Lista - Âmbito Projeto GD'!AF$3,Auxiliar!$B$5:$B$10,0),MATCH('Lista - Âmbito Projeto GD'!$AC56,Auxiliar!$D$4:$I$4,0))</f>
        <v>1</v>
      </c>
      <c r="AG56" s="86" t="str">
        <f t="shared" si="50"/>
        <v>n.a.</v>
      </c>
      <c r="AH56" s="86">
        <f>INDEX(Auxiliar!$D$5:$I$10,MATCH('Lista - Âmbito Projeto GD'!AH$3,Auxiliar!$B$5:$B$10,0),MATCH('Lista - Âmbito Projeto GD'!$AG56,Auxiliar!$D$4:$I$4,0))</f>
        <v>0</v>
      </c>
      <c r="AI56" s="86">
        <f>INDEX(Auxiliar!$D$5:$I$10,MATCH('Lista - Âmbito Projeto GD'!AI$3,Auxiliar!$B$5:$B$10,0),MATCH('Lista - Âmbito Projeto GD'!$AC56,Auxiliar!$D$4:$I$4,0))</f>
        <v>0.5</v>
      </c>
      <c r="AJ56" s="86">
        <f>INDEX(Auxiliar!$D$5:$I$10,MATCH('Lista - Âmbito Projeto GD'!AJ$3,Auxiliar!$B$5:$B$10,0),MATCH('Lista - Âmbito Projeto GD'!$AC56,Auxiliar!$D$4:$I$4,0))</f>
        <v>1</v>
      </c>
      <c r="AK56" s="150">
        <f t="shared" si="57"/>
        <v>2.5</v>
      </c>
      <c r="AL56" s="86"/>
    </row>
    <row r="57" spans="1:38" ht="14" x14ac:dyDescent="0.3">
      <c r="A57" s="148" t="s">
        <v>1103</v>
      </c>
      <c r="B57" s="215" t="str">
        <f t="shared" si="43"/>
        <v>INSTR_PROTECTION_INSTRMNT_ID</v>
      </c>
      <c r="C57" s="81" t="s">
        <v>1101</v>
      </c>
      <c r="D57" s="82" t="s">
        <v>405</v>
      </c>
      <c r="E57" s="83" t="s">
        <v>406</v>
      </c>
      <c r="F57" s="84" t="s">
        <v>13</v>
      </c>
      <c r="G57" s="84" t="s">
        <v>13</v>
      </c>
      <c r="H57" s="84" t="s">
        <v>13</v>
      </c>
      <c r="I57" s="84" t="s">
        <v>11</v>
      </c>
      <c r="J57" s="84" t="s">
        <v>11</v>
      </c>
      <c r="K57" s="84" t="s">
        <v>11</v>
      </c>
      <c r="L57" s="85" t="str">
        <f>IFERROR(VLOOKUP($B57,'LISTA - Atual'!$B$1:$I$444,5,0),"Novo")</f>
        <v>Y</v>
      </c>
      <c r="M57" s="85" t="str">
        <f t="shared" ref="M57:M64" si="58">IF(L57="Novo","Novo Campo",IF(L57=F57,"Igual","Diferente"))</f>
        <v>Igual</v>
      </c>
      <c r="N57" s="85" t="str">
        <f>IFERROR(VLOOKUP($B57,'LISTA - Atual'!$B$1:$I$444,6,0),"Novo")</f>
        <v>N</v>
      </c>
      <c r="O57" s="85" t="str">
        <f t="shared" ref="O57:O64" si="59">IF(N57="Novo","Novo Campo",IF(N57=G57,"Igual","Diferente"))</f>
        <v>Diferente</v>
      </c>
      <c r="P57" s="85" t="str">
        <f>IFERROR(VLOOKUP($B57,'LISTA - Atual'!$B$1:$I$444,7,0),"Novo")</f>
        <v>Y</v>
      </c>
      <c r="Q57" s="85" t="str">
        <f t="shared" ref="Q57:Q64" si="60">IF(P57="Novo","Novo Campo",IF(P57=H57,"Igual","Diferente"))</f>
        <v>Igual</v>
      </c>
      <c r="R57" s="85" t="s">
        <v>1473</v>
      </c>
      <c r="S57" s="85" t="str">
        <f>IFERROR(VLOOKUP($B57,'LISTA - Atual'!$B$1:$I$444,8,0),"Novo")</f>
        <v>N</v>
      </c>
      <c r="T57" s="85" t="str">
        <f t="shared" ref="T57:T64" si="61">IF(S57="Novo","Novo Campo",IF(S57=J57,"Igual","Diferente"))</f>
        <v>Igual</v>
      </c>
      <c r="U57" s="85" t="s">
        <v>1473</v>
      </c>
      <c r="V57" s="85" t="s">
        <v>11</v>
      </c>
      <c r="W57" s="86" t="str">
        <f>IFERROR(VLOOKUP(B57,#REF!,11,0),"n/a")</f>
        <v>n/a</v>
      </c>
      <c r="X57" s="86" t="str">
        <f>IFERROR(VLOOKUP(B57,#REF!,8,0),"n/a")</f>
        <v>n/a</v>
      </c>
      <c r="Y57" s="86" t="str">
        <f t="shared" si="52"/>
        <v>ESTR &amp; GD &amp; PILAR3</v>
      </c>
      <c r="Z57" s="121" t="s">
        <v>1514</v>
      </c>
      <c r="AA57" s="214" t="str">
        <f>VLOOKUP(Table1[[#This Row],[CONCAT]],'[1]1. Tipologias Testes GD'!$F:$L,7,0)</f>
        <v>Baixa</v>
      </c>
      <c r="AB57" s="86" t="s">
        <v>1566</v>
      </c>
      <c r="AC57" s="125" t="s">
        <v>1574</v>
      </c>
      <c r="AD57" s="90">
        <f>INDEX(Auxiliar!$D$5:$I$10,MATCH('Lista - Âmbito Projeto GD'!AD$3,Auxiliar!$B$5:$B$10,0),MATCH('Lista - Âmbito Projeto GD'!$AC57,Auxiliar!$D$4:$I$4,0))</f>
        <v>1</v>
      </c>
      <c r="AE57" s="90">
        <f>INDEX(Auxiliar!$D$5:$I$10,MATCH('Lista - Âmbito Projeto GD'!AE$3,Auxiliar!$B$5:$B$10,0),MATCH('Lista - Âmbito Projeto GD'!$AC57,Auxiliar!$D$4:$I$4,0))</f>
        <v>1</v>
      </c>
      <c r="AF57" s="86">
        <f>INDEX(Auxiliar!$D$5:$I$10,MATCH('Lista - Âmbito Projeto GD'!AF$3,Auxiliar!$B$5:$B$10,0),MATCH('Lista - Âmbito Projeto GD'!$AC57,Auxiliar!$D$4:$I$4,0))</f>
        <v>1</v>
      </c>
      <c r="AG57" s="86" t="str">
        <f t="shared" si="50"/>
        <v>n.a.</v>
      </c>
      <c r="AH57" s="86">
        <f>INDEX(Auxiliar!$D$5:$I$10,MATCH('Lista - Âmbito Projeto GD'!AH$3,Auxiliar!$B$5:$B$10,0),MATCH('Lista - Âmbito Projeto GD'!$AG57,Auxiliar!$D$4:$I$4,0))</f>
        <v>0</v>
      </c>
      <c r="AI57" s="86">
        <f>INDEX(Auxiliar!$D$5:$I$10,MATCH('Lista - Âmbito Projeto GD'!AI$3,Auxiliar!$B$5:$B$10,0),MATCH('Lista - Âmbito Projeto GD'!$AC57,Auxiliar!$D$4:$I$4,0))</f>
        <v>0.5</v>
      </c>
      <c r="AJ57" s="86">
        <f>INDEX(Auxiliar!$D$5:$I$10,MATCH('Lista - Âmbito Projeto GD'!AJ$3,Auxiliar!$B$5:$B$10,0),MATCH('Lista - Âmbito Projeto GD'!$AC57,Auxiliar!$D$4:$I$4,0))</f>
        <v>1</v>
      </c>
      <c r="AK57" s="150">
        <f t="shared" si="57"/>
        <v>2.5</v>
      </c>
      <c r="AL57" s="86"/>
    </row>
    <row r="58" spans="1:38" ht="14" x14ac:dyDescent="0.3">
      <c r="A58" s="148" t="s">
        <v>1104</v>
      </c>
      <c r="B58" s="215" t="str">
        <f t="shared" si="43"/>
        <v>INSTR_PROTECTION_PRTCTN_ID</v>
      </c>
      <c r="C58" s="81" t="s">
        <v>1101</v>
      </c>
      <c r="D58" s="82" t="s">
        <v>1105</v>
      </c>
      <c r="E58" s="83" t="s">
        <v>1106</v>
      </c>
      <c r="F58" s="84" t="s">
        <v>13</v>
      </c>
      <c r="G58" s="84" t="s">
        <v>13</v>
      </c>
      <c r="H58" s="84" t="s">
        <v>13</v>
      </c>
      <c r="I58" s="84" t="s">
        <v>11</v>
      </c>
      <c r="J58" s="84" t="s">
        <v>11</v>
      </c>
      <c r="K58" s="84" t="s">
        <v>11</v>
      </c>
      <c r="L58" s="85" t="str">
        <f>IFERROR(VLOOKUP($B58,'LISTA - Atual'!$B$1:$I$444,5,0),"Novo")</f>
        <v>Y</v>
      </c>
      <c r="M58" s="85" t="str">
        <f t="shared" si="58"/>
        <v>Igual</v>
      </c>
      <c r="N58" s="85" t="str">
        <f>IFERROR(VLOOKUP($B58,'LISTA - Atual'!$B$1:$I$444,6,0),"Novo")</f>
        <v>N</v>
      </c>
      <c r="O58" s="85" t="str">
        <f t="shared" si="59"/>
        <v>Diferente</v>
      </c>
      <c r="P58" s="85" t="str">
        <f>IFERROR(VLOOKUP($B58,'LISTA - Atual'!$B$1:$I$444,7,0),"Novo")</f>
        <v>Y</v>
      </c>
      <c r="Q58" s="85" t="str">
        <f t="shared" si="60"/>
        <v>Igual</v>
      </c>
      <c r="R58" s="85" t="s">
        <v>1473</v>
      </c>
      <c r="S58" s="85" t="str">
        <f>IFERROR(VLOOKUP($B58,'LISTA - Atual'!$B$1:$I$444,8,0),"Novo")</f>
        <v>N</v>
      </c>
      <c r="T58" s="85" t="str">
        <f t="shared" si="61"/>
        <v>Igual</v>
      </c>
      <c r="U58" s="85" t="s">
        <v>1473</v>
      </c>
      <c r="V58" s="85" t="s">
        <v>11</v>
      </c>
      <c r="W58" s="86" t="str">
        <f>IFERROR(VLOOKUP(B58,#REF!,11,0),"n/a")</f>
        <v>n/a</v>
      </c>
      <c r="X58" s="86" t="str">
        <f>IFERROR(VLOOKUP(B58,#REF!,8,0),"n/a")</f>
        <v>n/a</v>
      </c>
      <c r="Y58" s="86" t="str">
        <f t="shared" si="52"/>
        <v>ESTR &amp; GD &amp; PILAR3</v>
      </c>
      <c r="Z58" s="121" t="s">
        <v>1514</v>
      </c>
      <c r="AA58" s="214" t="str">
        <f>VLOOKUP(Table1[[#This Row],[CONCAT]],'[1]1. Tipologias Testes GD'!$F:$L,7,0)</f>
        <v>Baixa</v>
      </c>
      <c r="AB58" s="86" t="s">
        <v>1566</v>
      </c>
      <c r="AC58" s="125" t="s">
        <v>1574</v>
      </c>
      <c r="AD58" s="90">
        <f>INDEX(Auxiliar!$D$5:$I$10,MATCH('Lista - Âmbito Projeto GD'!AD$3,Auxiliar!$B$5:$B$10,0),MATCH('Lista - Âmbito Projeto GD'!$AC58,Auxiliar!$D$4:$I$4,0))</f>
        <v>1</v>
      </c>
      <c r="AE58" s="90">
        <f>INDEX(Auxiliar!$D$5:$I$10,MATCH('Lista - Âmbito Projeto GD'!AE$3,Auxiliar!$B$5:$B$10,0),MATCH('Lista - Âmbito Projeto GD'!$AC58,Auxiliar!$D$4:$I$4,0))</f>
        <v>1</v>
      </c>
      <c r="AF58" s="86">
        <f>INDEX(Auxiliar!$D$5:$I$10,MATCH('Lista - Âmbito Projeto GD'!AF$3,Auxiliar!$B$5:$B$10,0),MATCH('Lista - Âmbito Projeto GD'!$AC58,Auxiliar!$D$4:$I$4,0))</f>
        <v>1</v>
      </c>
      <c r="AG58" s="86" t="str">
        <f t="shared" si="50"/>
        <v>n.a.</v>
      </c>
      <c r="AH58" s="86">
        <f>INDEX(Auxiliar!$D$5:$I$10,MATCH('Lista - Âmbito Projeto GD'!AH$3,Auxiliar!$B$5:$B$10,0),MATCH('Lista - Âmbito Projeto GD'!$AG58,Auxiliar!$D$4:$I$4,0))</f>
        <v>0</v>
      </c>
      <c r="AI58" s="86">
        <f>INDEX(Auxiliar!$D$5:$I$10,MATCH('Lista - Âmbito Projeto GD'!AI$3,Auxiliar!$B$5:$B$10,0),MATCH('Lista - Âmbito Projeto GD'!$AC58,Auxiliar!$D$4:$I$4,0))</f>
        <v>0.5</v>
      </c>
      <c r="AJ58" s="86">
        <f>INDEX(Auxiliar!$D$5:$I$10,MATCH('Lista - Âmbito Projeto GD'!AJ$3,Auxiliar!$B$5:$B$10,0),MATCH('Lista - Âmbito Projeto GD'!$AC58,Auxiliar!$D$4:$I$4,0))</f>
        <v>1</v>
      </c>
      <c r="AK58" s="150">
        <f t="shared" si="57"/>
        <v>2.5</v>
      </c>
      <c r="AL58" s="86"/>
    </row>
    <row r="59" spans="1:38" ht="14" x14ac:dyDescent="0.3">
      <c r="A59" s="148" t="s">
        <v>1383</v>
      </c>
      <c r="B59" s="215" t="str">
        <f t="shared" si="43"/>
        <v>INSTR_PROTECTION_TYP_RLTN</v>
      </c>
      <c r="C59" s="81" t="s">
        <v>1101</v>
      </c>
      <c r="D59" s="82" t="s">
        <v>1384</v>
      </c>
      <c r="E59" s="83" t="s">
        <v>1385</v>
      </c>
      <c r="F59" s="84" t="s">
        <v>11</v>
      </c>
      <c r="G59" s="88" t="s">
        <v>13</v>
      </c>
      <c r="H59" s="84" t="s">
        <v>13</v>
      </c>
      <c r="I59" s="84" t="s">
        <v>11</v>
      </c>
      <c r="J59" s="84" t="s">
        <v>11</v>
      </c>
      <c r="K59" s="84" t="s">
        <v>11</v>
      </c>
      <c r="L59" s="85" t="str">
        <f>IFERROR(VLOOKUP($B59,'LISTA - Atual'!$B$1:$I$444,5,0),"Novo")</f>
        <v>Novo</v>
      </c>
      <c r="M59" s="85" t="str">
        <f t="shared" si="58"/>
        <v>Novo Campo</v>
      </c>
      <c r="N59" s="85" t="str">
        <f>IFERROR(VLOOKUP($B59,'LISTA - Atual'!$B$1:$I$444,6,0),"Novo")</f>
        <v>Novo</v>
      </c>
      <c r="O59" s="85" t="str">
        <f t="shared" si="59"/>
        <v>Novo Campo</v>
      </c>
      <c r="P59" s="85" t="str">
        <f>IFERROR(VLOOKUP($B59,'LISTA - Atual'!$B$1:$I$444,7,0),"Novo")</f>
        <v>Novo</v>
      </c>
      <c r="Q59" s="85" t="str">
        <f t="shared" si="60"/>
        <v>Novo Campo</v>
      </c>
      <c r="R59" s="85" t="s">
        <v>1473</v>
      </c>
      <c r="S59" s="85" t="str">
        <f>IFERROR(VLOOKUP($B59,'LISTA - Atual'!$B$1:$I$444,8,0),"Novo")</f>
        <v>Novo</v>
      </c>
      <c r="T59" s="85" t="str">
        <f t="shared" si="61"/>
        <v>Novo Campo</v>
      </c>
      <c r="U59" s="85" t="s">
        <v>1473</v>
      </c>
      <c r="V59" s="85" t="s">
        <v>11</v>
      </c>
      <c r="W59" s="86" t="str">
        <f>IFERROR(VLOOKUP(B59,#REF!,11,0),"n/a")</f>
        <v>n/a</v>
      </c>
      <c r="X59" s="86" t="str">
        <f>IFERROR(VLOOKUP(B59,#REF!,8,0),"n/a")</f>
        <v>n/a</v>
      </c>
      <c r="Y59" s="86" t="str">
        <f>$G$2&amp;$Y$1&amp;$H$2</f>
        <v>GD &amp; PILAR3</v>
      </c>
      <c r="Z59" s="121" t="s">
        <v>1480</v>
      </c>
      <c r="AA59" s="214" t="str">
        <f>VLOOKUP(Table1[[#This Row],[CONCAT]],'[1]1. Tipologias Testes GD'!$F:$L,7,0)</f>
        <v>Alta</v>
      </c>
      <c r="AB59" s="86" t="s">
        <v>1559</v>
      </c>
      <c r="AC59" s="125" t="s">
        <v>1574</v>
      </c>
      <c r="AD59" s="87">
        <v>0</v>
      </c>
      <c r="AE59" s="90">
        <f>INDEX(Auxiliar!$D$5:$I$10,MATCH('Lista - Âmbito Projeto GD'!AE$3,Auxiliar!$B$5:$B$10,0),MATCH('Lista - Âmbito Projeto GD'!$AC59,Auxiliar!$D$4:$I$4,0))</f>
        <v>1</v>
      </c>
      <c r="AF59" s="86">
        <f>INDEX(Auxiliar!$D$5:$I$10,MATCH('Lista - Âmbito Projeto GD'!AF$3,Auxiliar!$B$5:$B$10,0),MATCH('Lista - Âmbito Projeto GD'!$AC59,Auxiliar!$D$4:$I$4,0))</f>
        <v>1</v>
      </c>
      <c r="AG59" s="86" t="str">
        <f t="shared" ref="AG59:AG60" si="62">IF(OR(AB59="Code List",AB59="Y, N"),AC59,"n.a.")</f>
        <v>M. Baixa</v>
      </c>
      <c r="AH59" s="86">
        <f>INDEX(Auxiliar!$D$5:$I$10,MATCH('Lista - Âmbito Projeto GD'!AH$3,Auxiliar!$B$5:$B$10,0),MATCH('Lista - Âmbito Projeto GD'!$AG59,Auxiliar!$D$4:$I$4,0))</f>
        <v>0.5</v>
      </c>
      <c r="AI59" s="86">
        <f>INDEX(Auxiliar!$D$5:$I$10,MATCH('Lista - Âmbito Projeto GD'!AI$3,Auxiliar!$B$5:$B$10,0),MATCH('Lista - Âmbito Projeto GD'!$AC59,Auxiliar!$D$4:$I$4,0))</f>
        <v>0.5</v>
      </c>
      <c r="AJ59" s="86">
        <f>INDEX(Auxiliar!$D$5:$I$10,MATCH('Lista - Âmbito Projeto GD'!AJ$3,Auxiliar!$B$5:$B$10,0),MATCH('Lista - Âmbito Projeto GD'!$AC59,Auxiliar!$D$4:$I$4,0))</f>
        <v>1</v>
      </c>
      <c r="AK59" s="150">
        <f t="shared" si="51"/>
        <v>3</v>
      </c>
      <c r="AL59" s="86"/>
    </row>
    <row r="60" spans="1:38" ht="14" x14ac:dyDescent="0.3">
      <c r="A60" s="148" t="s">
        <v>1113</v>
      </c>
      <c r="B60" s="215" t="str">
        <f t="shared" ref="B60:B64" si="63">C60&amp;"_"&amp;D60</f>
        <v>PROTECTION_COD_SOC</v>
      </c>
      <c r="C60" s="81" t="s">
        <v>1114</v>
      </c>
      <c r="D60" s="82" t="s">
        <v>12</v>
      </c>
      <c r="E60" s="83" t="s">
        <v>14</v>
      </c>
      <c r="F60" s="84" t="s">
        <v>13</v>
      </c>
      <c r="G60" s="84" t="s">
        <v>13</v>
      </c>
      <c r="H60" s="84" t="s">
        <v>13</v>
      </c>
      <c r="I60" s="84" t="s">
        <v>11</v>
      </c>
      <c r="J60" s="84" t="s">
        <v>13</v>
      </c>
      <c r="K60" s="84" t="s">
        <v>11</v>
      </c>
      <c r="L60" s="85" t="str">
        <f>IFERROR(VLOOKUP($B60,'LISTA - Atual'!$B$1:$I$444,5,0),"Novo")</f>
        <v>Y</v>
      </c>
      <c r="M60" s="85" t="str">
        <f t="shared" si="58"/>
        <v>Igual</v>
      </c>
      <c r="N60" s="85" t="str">
        <f>IFERROR(VLOOKUP($B60,'LISTA - Atual'!$B$1:$I$444,6,0),"Novo")</f>
        <v>N</v>
      </c>
      <c r="O60" s="85" t="str">
        <f t="shared" si="59"/>
        <v>Diferente</v>
      </c>
      <c r="P60" s="85" t="str">
        <f>IFERROR(VLOOKUP($B60,'LISTA - Atual'!$B$1:$I$444,7,0),"Novo")</f>
        <v>Y</v>
      </c>
      <c r="Q60" s="85" t="str">
        <f t="shared" si="60"/>
        <v>Igual</v>
      </c>
      <c r="R60" s="85" t="s">
        <v>1473</v>
      </c>
      <c r="S60" s="85" t="str">
        <f>IFERROR(VLOOKUP($B60,'LISTA - Atual'!$B$1:$I$444,8,0),"Novo")</f>
        <v>Y</v>
      </c>
      <c r="T60" s="85" t="str">
        <f t="shared" si="61"/>
        <v>Igual</v>
      </c>
      <c r="U60" s="85" t="s">
        <v>1473</v>
      </c>
      <c r="V60" s="85" t="s">
        <v>11</v>
      </c>
      <c r="W60" s="86" t="str">
        <f>IFERROR(VLOOKUP(B60,#REF!,11,0),"n/a")</f>
        <v>n/a</v>
      </c>
      <c r="X60" s="86" t="str">
        <f>IFERROR(VLOOKUP(B60,#REF!,8,0),"n/a")</f>
        <v>n/a</v>
      </c>
      <c r="Y60" s="86" t="str">
        <f>$F$2&amp;$Y$1&amp;$G$2&amp;$Y$1&amp;$H$2</f>
        <v>ESTR &amp; GD &amp; PILAR3</v>
      </c>
      <c r="Z60" s="121" t="s">
        <v>1514</v>
      </c>
      <c r="AA60" s="214" t="str">
        <f>VLOOKUP(Table1[[#This Row],[CONCAT]],'[1]1. Tipologias Testes GD'!$F:$L,7,0)</f>
        <v>Baixa</v>
      </c>
      <c r="AB60" s="86" t="s">
        <v>1558</v>
      </c>
      <c r="AC60" s="125" t="s">
        <v>1574</v>
      </c>
      <c r="AD60" s="90">
        <f>INDEX(Auxiliar!$D$5:$I$10,MATCH('Lista - Âmbito Projeto GD'!AD$3,Auxiliar!$B$5:$B$10,0),MATCH('Lista - Âmbito Projeto GD'!$AC60,Auxiliar!$D$4:$I$4,0))</f>
        <v>1</v>
      </c>
      <c r="AE60" s="90">
        <f>INDEX(Auxiliar!$D$5:$I$10,MATCH('Lista - Âmbito Projeto GD'!AE$3,Auxiliar!$B$5:$B$10,0),MATCH('Lista - Âmbito Projeto GD'!$AC60,Auxiliar!$D$4:$I$4,0))</f>
        <v>1</v>
      </c>
      <c r="AF60" s="86">
        <f>INDEX(Auxiliar!$D$5:$I$10,MATCH('Lista - Âmbito Projeto GD'!AF$3,Auxiliar!$B$5:$B$10,0),MATCH('Lista - Âmbito Projeto GD'!$AC60,Auxiliar!$D$4:$I$4,0))</f>
        <v>1</v>
      </c>
      <c r="AG60" s="86" t="str">
        <f t="shared" si="62"/>
        <v>n.a.</v>
      </c>
      <c r="AH60" s="86">
        <f>INDEX(Auxiliar!$D$5:$I$10,MATCH('Lista - Âmbito Projeto GD'!AH$3,Auxiliar!$B$5:$B$10,0),MATCH('Lista - Âmbito Projeto GD'!$AG60,Auxiliar!$D$4:$I$4,0))</f>
        <v>0</v>
      </c>
      <c r="AI60" s="86">
        <f>INDEX(Auxiliar!$D$5:$I$10,MATCH('Lista - Âmbito Projeto GD'!AI$3,Auxiliar!$B$5:$B$10,0),MATCH('Lista - Âmbito Projeto GD'!$AC60,Auxiliar!$D$4:$I$4,0))</f>
        <v>0.5</v>
      </c>
      <c r="AJ60" s="86">
        <f>INDEX(Auxiliar!$D$5:$I$10,MATCH('Lista - Âmbito Projeto GD'!AJ$3,Auxiliar!$B$5:$B$10,0),MATCH('Lista - Âmbito Projeto GD'!$AC60,Auxiliar!$D$4:$I$4,0))</f>
        <v>1</v>
      </c>
      <c r="AK60" s="150">
        <f t="shared" si="51"/>
        <v>2.5</v>
      </c>
      <c r="AL60" s="86"/>
    </row>
    <row r="61" spans="1:38" ht="14" x14ac:dyDescent="0.3">
      <c r="A61" s="148" t="s">
        <v>1118</v>
      </c>
      <c r="B61" s="215" t="str">
        <f t="shared" si="63"/>
        <v>PROTECTION_DT_RFRNC</v>
      </c>
      <c r="C61" s="81" t="s">
        <v>1114</v>
      </c>
      <c r="D61" s="82" t="s">
        <v>38</v>
      </c>
      <c r="E61" s="83" t="s">
        <v>402</v>
      </c>
      <c r="F61" s="84" t="s">
        <v>13</v>
      </c>
      <c r="G61" s="84" t="s">
        <v>13</v>
      </c>
      <c r="H61" s="84" t="s">
        <v>13</v>
      </c>
      <c r="I61" s="84" t="s">
        <v>11</v>
      </c>
      <c r="J61" s="84" t="s">
        <v>13</v>
      </c>
      <c r="K61" s="84" t="s">
        <v>11</v>
      </c>
      <c r="L61" s="85" t="str">
        <f>IFERROR(VLOOKUP($B61,'LISTA - Atual'!$B$1:$I$444,5,0),"Novo")</f>
        <v>Y</v>
      </c>
      <c r="M61" s="85" t="str">
        <f t="shared" si="58"/>
        <v>Igual</v>
      </c>
      <c r="N61" s="85" t="str">
        <f>IFERROR(VLOOKUP($B61,'LISTA - Atual'!$B$1:$I$444,6,0),"Novo")</f>
        <v>N</v>
      </c>
      <c r="O61" s="85" t="str">
        <f t="shared" si="59"/>
        <v>Diferente</v>
      </c>
      <c r="P61" s="85" t="str">
        <f>IFERROR(VLOOKUP($B61,'LISTA - Atual'!$B$1:$I$444,7,0),"Novo")</f>
        <v>Y</v>
      </c>
      <c r="Q61" s="85" t="str">
        <f t="shared" si="60"/>
        <v>Igual</v>
      </c>
      <c r="R61" s="85" t="s">
        <v>1473</v>
      </c>
      <c r="S61" s="85" t="str">
        <f>IFERROR(VLOOKUP($B61,'LISTA - Atual'!$B$1:$I$444,8,0),"Novo")</f>
        <v>Y</v>
      </c>
      <c r="T61" s="85" t="str">
        <f t="shared" si="61"/>
        <v>Igual</v>
      </c>
      <c r="U61" s="85" t="s">
        <v>1473</v>
      </c>
      <c r="V61" s="85" t="s">
        <v>11</v>
      </c>
      <c r="W61" s="86" t="str">
        <f>IFERROR(VLOOKUP(B61,#REF!,11,0),"n/a")</f>
        <v>n/a</v>
      </c>
      <c r="X61" s="86" t="str">
        <f>IFERROR(VLOOKUP(B61,#REF!,8,0),"n/a")</f>
        <v>n/a</v>
      </c>
      <c r="Y61" s="86" t="str">
        <f>$F$2&amp;$Y$1&amp;$G$2&amp;$Y$1&amp;$H$2</f>
        <v>ESTR &amp; GD &amp; PILAR3</v>
      </c>
      <c r="Z61" s="121" t="s">
        <v>1514</v>
      </c>
      <c r="AA61" s="214" t="str">
        <f>VLOOKUP(Table1[[#This Row],[CONCAT]],'[1]1. Tipologias Testes GD'!$F:$L,7,0)</f>
        <v>Baixa</v>
      </c>
      <c r="AB61" s="86" t="s">
        <v>1560</v>
      </c>
      <c r="AC61" s="125" t="s">
        <v>1574</v>
      </c>
      <c r="AD61" s="90">
        <f>INDEX(Auxiliar!$D$5:$I$10,MATCH('Lista - Âmbito Projeto GD'!AD$3,Auxiliar!$B$5:$B$10,0),MATCH('Lista - Âmbito Projeto GD'!$AC61,Auxiliar!$D$4:$I$4,0))</f>
        <v>1</v>
      </c>
      <c r="AE61" s="90">
        <f>INDEX(Auxiliar!$D$5:$I$10,MATCH('Lista - Âmbito Projeto GD'!AE$3,Auxiliar!$B$5:$B$10,0),MATCH('Lista - Âmbito Projeto GD'!$AC61,Auxiliar!$D$4:$I$4,0))</f>
        <v>1</v>
      </c>
      <c r="AF61" s="86">
        <f>INDEX(Auxiliar!$D$5:$I$10,MATCH('Lista - Âmbito Projeto GD'!AF$3,Auxiliar!$B$5:$B$10,0),MATCH('Lista - Âmbito Projeto GD'!$AC61,Auxiliar!$D$4:$I$4,0))</f>
        <v>1</v>
      </c>
      <c r="AG61" s="86" t="str">
        <f t="shared" ref="AG61:AG64" si="64">IF(OR(AB61="Code List",AB61="Y, N"),AC61,"n.a.")</f>
        <v>n.a.</v>
      </c>
      <c r="AH61" s="86">
        <f>INDEX(Auxiliar!$D$5:$I$10,MATCH('Lista - Âmbito Projeto GD'!AH$3,Auxiliar!$B$5:$B$10,0),MATCH('Lista - Âmbito Projeto GD'!$AG61,Auxiliar!$D$4:$I$4,0))</f>
        <v>0</v>
      </c>
      <c r="AI61" s="86">
        <f>INDEX(Auxiliar!$D$5:$I$10,MATCH('Lista - Âmbito Projeto GD'!AI$3,Auxiliar!$B$5:$B$10,0),MATCH('Lista - Âmbito Projeto GD'!$AC61,Auxiliar!$D$4:$I$4,0))</f>
        <v>0.5</v>
      </c>
      <c r="AJ61" s="86">
        <f>INDEX(Auxiliar!$D$5:$I$10,MATCH('Lista - Âmbito Projeto GD'!AJ$3,Auxiliar!$B$5:$B$10,0),MATCH('Lista - Âmbito Projeto GD'!$AC61,Auxiliar!$D$4:$I$4,0))</f>
        <v>1</v>
      </c>
      <c r="AK61" s="150">
        <f t="shared" ref="AK61" si="65">SUM(AF61,AH61:AJ61)</f>
        <v>2.5</v>
      </c>
      <c r="AL61" s="86"/>
    </row>
    <row r="62" spans="1:38" ht="14" x14ac:dyDescent="0.3">
      <c r="A62" s="148" t="s">
        <v>1122</v>
      </c>
      <c r="B62" s="215" t="str">
        <f t="shared" si="63"/>
        <v>PROTECTION_PRTCTN_ID</v>
      </c>
      <c r="C62" s="81" t="s">
        <v>1114</v>
      </c>
      <c r="D62" s="82" t="s">
        <v>1105</v>
      </c>
      <c r="E62" s="83" t="s">
        <v>1106</v>
      </c>
      <c r="F62" s="84" t="s">
        <v>13</v>
      </c>
      <c r="G62" s="84" t="s">
        <v>13</v>
      </c>
      <c r="H62" s="84" t="s">
        <v>13</v>
      </c>
      <c r="I62" s="84" t="s">
        <v>11</v>
      </c>
      <c r="J62" s="84" t="s">
        <v>13</v>
      </c>
      <c r="K62" s="84" t="s">
        <v>11</v>
      </c>
      <c r="L62" s="85" t="str">
        <f>IFERROR(VLOOKUP($B62,'LISTA - Atual'!$B$1:$I$444,5,0),"Novo")</f>
        <v>Y</v>
      </c>
      <c r="M62" s="85" t="str">
        <f t="shared" si="58"/>
        <v>Igual</v>
      </c>
      <c r="N62" s="85" t="str">
        <f>IFERROR(VLOOKUP($B62,'LISTA - Atual'!$B$1:$I$444,6,0),"Novo")</f>
        <v>N</v>
      </c>
      <c r="O62" s="85" t="str">
        <f t="shared" si="59"/>
        <v>Diferente</v>
      </c>
      <c r="P62" s="85" t="str">
        <f>IFERROR(VLOOKUP($B62,'LISTA - Atual'!$B$1:$I$444,7,0),"Novo")</f>
        <v>Y</v>
      </c>
      <c r="Q62" s="85" t="str">
        <f t="shared" si="60"/>
        <v>Igual</v>
      </c>
      <c r="R62" s="85" t="s">
        <v>1473</v>
      </c>
      <c r="S62" s="85" t="str">
        <f>IFERROR(VLOOKUP($B62,'LISTA - Atual'!$B$1:$I$444,8,0),"Novo")</f>
        <v>Y</v>
      </c>
      <c r="T62" s="85" t="str">
        <f t="shared" si="61"/>
        <v>Igual</v>
      </c>
      <c r="U62" s="85" t="s">
        <v>1473</v>
      </c>
      <c r="V62" s="85" t="s">
        <v>11</v>
      </c>
      <c r="W62" s="86" t="str">
        <f>IFERROR(VLOOKUP(B62,#REF!,11,0),"n/a")</f>
        <v>n/a</v>
      </c>
      <c r="X62" s="86" t="str">
        <f>IFERROR(VLOOKUP(B62,#REF!,8,0),"n/a")</f>
        <v>n/a</v>
      </c>
      <c r="Y62" s="86" t="str">
        <f>$F$2&amp;$Y$1&amp;$G$2&amp;$Y$1&amp;$H$2</f>
        <v>ESTR &amp; GD &amp; PILAR3</v>
      </c>
      <c r="Z62" s="121" t="s">
        <v>1514</v>
      </c>
      <c r="AA62" s="214" t="str">
        <f>VLOOKUP(Table1[[#This Row],[CONCAT]],'[1]1. Tipologias Testes GD'!$F:$L,7,0)</f>
        <v>Baixa</v>
      </c>
      <c r="AB62" s="86" t="s">
        <v>1566</v>
      </c>
      <c r="AC62" s="125" t="s">
        <v>1574</v>
      </c>
      <c r="AD62" s="90">
        <f>INDEX(Auxiliar!$D$5:$I$10,MATCH('Lista - Âmbito Projeto GD'!AD$3,Auxiliar!$B$5:$B$10,0),MATCH('Lista - Âmbito Projeto GD'!$AC62,Auxiliar!$D$4:$I$4,0))</f>
        <v>1</v>
      </c>
      <c r="AE62" s="90">
        <f>INDEX(Auxiliar!$D$5:$I$10,MATCH('Lista - Âmbito Projeto GD'!AE$3,Auxiliar!$B$5:$B$10,0),MATCH('Lista - Âmbito Projeto GD'!$AC62,Auxiliar!$D$4:$I$4,0))</f>
        <v>1</v>
      </c>
      <c r="AF62" s="86">
        <f>INDEX(Auxiliar!$D$5:$I$10,MATCH('Lista - Âmbito Projeto GD'!AF$3,Auxiliar!$B$5:$B$10,0),MATCH('Lista - Âmbito Projeto GD'!$AC62,Auxiliar!$D$4:$I$4,0))</f>
        <v>1</v>
      </c>
      <c r="AG62" s="86" t="str">
        <f t="shared" si="64"/>
        <v>n.a.</v>
      </c>
      <c r="AH62" s="86">
        <f>INDEX(Auxiliar!$D$5:$I$10,MATCH('Lista - Âmbito Projeto GD'!AH$3,Auxiliar!$B$5:$B$10,0),MATCH('Lista - Âmbito Projeto GD'!$AG62,Auxiliar!$D$4:$I$4,0))</f>
        <v>0</v>
      </c>
      <c r="AI62" s="86">
        <f>INDEX(Auxiliar!$D$5:$I$10,MATCH('Lista - Âmbito Projeto GD'!AI$3,Auxiliar!$B$5:$B$10,0),MATCH('Lista - Âmbito Projeto GD'!$AC62,Auxiliar!$D$4:$I$4,0))</f>
        <v>0.5</v>
      </c>
      <c r="AJ62" s="86">
        <f>INDEX(Auxiliar!$D$5:$I$10,MATCH('Lista - Âmbito Projeto GD'!AJ$3,Auxiliar!$B$5:$B$10,0),MATCH('Lista - Âmbito Projeto GD'!$AC62,Auxiliar!$D$4:$I$4,0))</f>
        <v>1</v>
      </c>
      <c r="AK62" s="150">
        <f t="shared" ref="AK62:AK64" si="66">SUM(AF62,AH62:AJ62)</f>
        <v>2.5</v>
      </c>
      <c r="AL62" s="86"/>
    </row>
    <row r="63" spans="1:38" ht="14" x14ac:dyDescent="0.3">
      <c r="A63" s="148" t="s">
        <v>1146</v>
      </c>
      <c r="B63" s="215" t="str">
        <f t="shared" si="63"/>
        <v>PROTECTION_TYP_PRTCTN</v>
      </c>
      <c r="C63" s="81" t="s">
        <v>1114</v>
      </c>
      <c r="D63" s="96" t="s">
        <v>1147</v>
      </c>
      <c r="E63" s="97" t="s">
        <v>1148</v>
      </c>
      <c r="F63" s="84" t="s">
        <v>13</v>
      </c>
      <c r="G63" s="88" t="s">
        <v>13</v>
      </c>
      <c r="H63" s="84" t="s">
        <v>13</v>
      </c>
      <c r="I63" s="84" t="s">
        <v>11</v>
      </c>
      <c r="J63" s="84" t="s">
        <v>13</v>
      </c>
      <c r="K63" s="84" t="s">
        <v>11</v>
      </c>
      <c r="L63" s="85" t="str">
        <f>IFERROR(VLOOKUP($B63,'LISTA - Atual'!$B$1:$I$444,5,0),"Novo")</f>
        <v>Y</v>
      </c>
      <c r="M63" s="85" t="str">
        <f t="shared" si="58"/>
        <v>Igual</v>
      </c>
      <c r="N63" s="85" t="str">
        <f>IFERROR(VLOOKUP($B63,'LISTA - Atual'!$B$1:$I$444,6,0),"Novo")</f>
        <v>N</v>
      </c>
      <c r="O63" s="85" t="str">
        <f t="shared" si="59"/>
        <v>Diferente</v>
      </c>
      <c r="P63" s="85" t="str">
        <f>IFERROR(VLOOKUP($B63,'LISTA - Atual'!$B$1:$I$444,7,0),"Novo")</f>
        <v>Y</v>
      </c>
      <c r="Q63" s="85" t="str">
        <f t="shared" si="60"/>
        <v>Igual</v>
      </c>
      <c r="R63" s="85" t="s">
        <v>1473</v>
      </c>
      <c r="S63" s="85" t="str">
        <f>IFERROR(VLOOKUP($B63,'LISTA - Atual'!$B$1:$I$444,8,0),"Novo")</f>
        <v>Y</v>
      </c>
      <c r="T63" s="85" t="str">
        <f t="shared" si="61"/>
        <v>Igual</v>
      </c>
      <c r="U63" s="85" t="s">
        <v>1473</v>
      </c>
      <c r="V63" s="85" t="s">
        <v>11</v>
      </c>
      <c r="W63" s="86" t="str">
        <f>IFERROR(VLOOKUP(B63,#REF!,11,0),"n/a")</f>
        <v>n/a</v>
      </c>
      <c r="X63" s="86" t="str">
        <f>IFERROR(VLOOKUP(B63,#REF!,8,0),"n/a")</f>
        <v>n/a</v>
      </c>
      <c r="Y63" s="86" t="str">
        <f>$F$2&amp;$Y$1&amp;$G$2&amp;$Y$1&amp;$H$2</f>
        <v>ESTR &amp; GD &amp; PILAR3</v>
      </c>
      <c r="Z63" s="121" t="s">
        <v>1514</v>
      </c>
      <c r="AA63" s="214" t="str">
        <f>VLOOKUP(Table1[[#This Row],[CONCAT]],'[1]1. Tipologias Testes GD'!$F:$L,7,0)</f>
        <v>Baixa</v>
      </c>
      <c r="AB63" s="86" t="s">
        <v>1559</v>
      </c>
      <c r="AC63" s="125" t="s">
        <v>1574</v>
      </c>
      <c r="AD63" s="90">
        <f>INDEX(Auxiliar!$D$5:$I$10,MATCH('Lista - Âmbito Projeto GD'!AD$3,Auxiliar!$B$5:$B$10,0),MATCH('Lista - Âmbito Projeto GD'!$AC63,Auxiliar!$D$4:$I$4,0))</f>
        <v>1</v>
      </c>
      <c r="AE63" s="90">
        <f>INDEX(Auxiliar!$D$5:$I$10,MATCH('Lista - Âmbito Projeto GD'!AE$3,Auxiliar!$B$5:$B$10,0),MATCH('Lista - Âmbito Projeto GD'!$AC63,Auxiliar!$D$4:$I$4,0))</f>
        <v>1</v>
      </c>
      <c r="AF63" s="86">
        <f>INDEX(Auxiliar!$D$5:$I$10,MATCH('Lista - Âmbito Projeto GD'!AF$3,Auxiliar!$B$5:$B$10,0),MATCH('Lista - Âmbito Projeto GD'!$AC63,Auxiliar!$D$4:$I$4,0))</f>
        <v>1</v>
      </c>
      <c r="AG63" s="86" t="str">
        <f t="shared" si="64"/>
        <v>M. Baixa</v>
      </c>
      <c r="AH63" s="86">
        <f>INDEX(Auxiliar!$D$5:$I$10,MATCH('Lista - Âmbito Projeto GD'!AH$3,Auxiliar!$B$5:$B$10,0),MATCH('Lista - Âmbito Projeto GD'!$AG63,Auxiliar!$D$4:$I$4,0))</f>
        <v>0.5</v>
      </c>
      <c r="AI63" s="86">
        <f>INDEX(Auxiliar!$D$5:$I$10,MATCH('Lista - Âmbito Projeto GD'!AI$3,Auxiliar!$B$5:$B$10,0),MATCH('Lista - Âmbito Projeto GD'!$AC63,Auxiliar!$D$4:$I$4,0))</f>
        <v>0.5</v>
      </c>
      <c r="AJ63" s="86">
        <f>INDEX(Auxiliar!$D$5:$I$10,MATCH('Lista - Âmbito Projeto GD'!AJ$3,Auxiliar!$B$5:$B$10,0),MATCH('Lista - Âmbito Projeto GD'!$AC63,Auxiliar!$D$4:$I$4,0))</f>
        <v>1</v>
      </c>
      <c r="AK63" s="150">
        <f t="shared" si="66"/>
        <v>3</v>
      </c>
      <c r="AL63" s="86"/>
    </row>
    <row r="64" spans="1:38" ht="14" x14ac:dyDescent="0.3">
      <c r="A64" s="148" t="s">
        <v>1176</v>
      </c>
      <c r="B64" s="215" t="str">
        <f t="shared" si="63"/>
        <v>PROTECTION_PRTCTN_VL</v>
      </c>
      <c r="C64" s="81" t="s">
        <v>1114</v>
      </c>
      <c r="D64" s="82" t="s">
        <v>1177</v>
      </c>
      <c r="E64" s="83" t="s">
        <v>1178</v>
      </c>
      <c r="F64" s="84" t="s">
        <v>13</v>
      </c>
      <c r="G64" s="88" t="s">
        <v>13</v>
      </c>
      <c r="H64" s="84" t="s">
        <v>13</v>
      </c>
      <c r="I64" s="84" t="s">
        <v>11</v>
      </c>
      <c r="J64" s="84" t="s">
        <v>11</v>
      </c>
      <c r="K64" s="84" t="s">
        <v>11</v>
      </c>
      <c r="L64" s="85" t="str">
        <f>IFERROR(VLOOKUP($B64,'LISTA - Atual'!$B$1:$I$444,5,0),"Novo")</f>
        <v>Y</v>
      </c>
      <c r="M64" s="85" t="str">
        <f t="shared" si="58"/>
        <v>Igual</v>
      </c>
      <c r="N64" s="85" t="str">
        <f>IFERROR(VLOOKUP($B64,'LISTA - Atual'!$B$1:$I$444,6,0),"Novo")</f>
        <v>N</v>
      </c>
      <c r="O64" s="85" t="str">
        <f t="shared" si="59"/>
        <v>Diferente</v>
      </c>
      <c r="P64" s="85" t="str">
        <f>IFERROR(VLOOKUP($B64,'LISTA - Atual'!$B$1:$I$444,7,0),"Novo")</f>
        <v>Y</v>
      </c>
      <c r="Q64" s="85" t="str">
        <f t="shared" si="60"/>
        <v>Igual</v>
      </c>
      <c r="R64" s="85" t="s">
        <v>1473</v>
      </c>
      <c r="S64" s="85" t="str">
        <f>IFERROR(VLOOKUP($B64,'LISTA - Atual'!$B$1:$I$444,8,0),"Novo")</f>
        <v>N</v>
      </c>
      <c r="T64" s="85" t="str">
        <f t="shared" si="61"/>
        <v>Igual</v>
      </c>
      <c r="U64" s="85" t="s">
        <v>1473</v>
      </c>
      <c r="V64" s="85" t="s">
        <v>11</v>
      </c>
      <c r="W64" s="86" t="str">
        <f>IFERROR(VLOOKUP(B64,#REF!,11,0),"n/a")</f>
        <v>n/a</v>
      </c>
      <c r="X64" s="86" t="str">
        <f>IFERROR(VLOOKUP(B64,#REF!,8,0),"n/a")</f>
        <v>n/a</v>
      </c>
      <c r="Y64" s="86" t="str">
        <f>$F$2&amp;$Y$1&amp;$G$2&amp;$Y$1&amp;$H$2</f>
        <v>ESTR &amp; GD &amp; PILAR3</v>
      </c>
      <c r="Z64" s="121" t="s">
        <v>1514</v>
      </c>
      <c r="AA64" s="214" t="str">
        <f>VLOOKUP(Table1[[#This Row],[CONCAT]],'[1]1. Tipologias Testes GD'!$F:$L,7,0)</f>
        <v>Baixa</v>
      </c>
      <c r="AB64" s="86" t="s">
        <v>1563</v>
      </c>
      <c r="AC64" s="125" t="s">
        <v>1574</v>
      </c>
      <c r="AD64" s="90">
        <f>INDEX(Auxiliar!$D$5:$I$10,MATCH('Lista - Âmbito Projeto GD'!AD$3,Auxiliar!$B$5:$B$10,0),MATCH('Lista - Âmbito Projeto GD'!$AC64,Auxiliar!$D$4:$I$4,0))</f>
        <v>1</v>
      </c>
      <c r="AE64" s="90">
        <f>INDEX(Auxiliar!$D$5:$I$10,MATCH('Lista - Âmbito Projeto GD'!AE$3,Auxiliar!$B$5:$B$10,0),MATCH('Lista - Âmbito Projeto GD'!$AC64,Auxiliar!$D$4:$I$4,0))</f>
        <v>1</v>
      </c>
      <c r="AF64" s="86">
        <f>INDEX(Auxiliar!$D$5:$I$10,MATCH('Lista - Âmbito Projeto GD'!AF$3,Auxiliar!$B$5:$B$10,0),MATCH('Lista - Âmbito Projeto GD'!$AC64,Auxiliar!$D$4:$I$4,0))</f>
        <v>1</v>
      </c>
      <c r="AG64" s="86" t="str">
        <f t="shared" si="64"/>
        <v>n.a.</v>
      </c>
      <c r="AH64" s="86">
        <f>INDEX(Auxiliar!$D$5:$I$10,MATCH('Lista - Âmbito Projeto GD'!AH$3,Auxiliar!$B$5:$B$10,0),MATCH('Lista - Âmbito Projeto GD'!$AG64,Auxiliar!$D$4:$I$4,0))</f>
        <v>0</v>
      </c>
      <c r="AI64" s="86">
        <f>INDEX(Auxiliar!$D$5:$I$10,MATCH('Lista - Âmbito Projeto GD'!AI$3,Auxiliar!$B$5:$B$10,0),MATCH('Lista - Âmbito Projeto GD'!$AC64,Auxiliar!$D$4:$I$4,0))</f>
        <v>0.5</v>
      </c>
      <c r="AJ64" s="86">
        <f>INDEX(Auxiliar!$D$5:$I$10,MATCH('Lista - Âmbito Projeto GD'!AJ$3,Auxiliar!$B$5:$B$10,0),MATCH('Lista - Âmbito Projeto GD'!$AC64,Auxiliar!$D$4:$I$4,0))</f>
        <v>1</v>
      </c>
      <c r="AK64" s="150">
        <f t="shared" si="66"/>
        <v>2.5</v>
      </c>
      <c r="AL64" s="86"/>
    </row>
    <row r="65" spans="1:38" ht="14" x14ac:dyDescent="0.3">
      <c r="A65" s="148" t="s">
        <v>1454</v>
      </c>
      <c r="B65" s="215" t="str">
        <f t="shared" ref="B65:B71" si="67">C65&amp;"_"&amp;D65</f>
        <v>PROTECTION_FLG_ELCTRC_VHCL</v>
      </c>
      <c r="C65" s="81" t="s">
        <v>1114</v>
      </c>
      <c r="D65" s="94" t="s">
        <v>1455</v>
      </c>
      <c r="E65" s="93" t="s">
        <v>1456</v>
      </c>
      <c r="F65" s="98" t="s">
        <v>11</v>
      </c>
      <c r="G65" s="98" t="s">
        <v>13</v>
      </c>
      <c r="H65" s="98" t="s">
        <v>11</v>
      </c>
      <c r="I65" s="84" t="s">
        <v>11</v>
      </c>
      <c r="J65" s="98" t="s">
        <v>11</v>
      </c>
      <c r="K65" s="84" t="s">
        <v>11</v>
      </c>
      <c r="L65" s="85" t="str">
        <f>IFERROR(VLOOKUP($B65,'LISTA - Atual'!$B$1:$I$444,5,0),"Novo")</f>
        <v>Novo</v>
      </c>
      <c r="M65" s="85" t="str">
        <f t="shared" ref="M65:M71" si="68">IF(L65="Novo","Novo Campo",IF(L65=F65,"Igual","Diferente"))</f>
        <v>Novo Campo</v>
      </c>
      <c r="N65" s="85" t="str">
        <f>IFERROR(VLOOKUP($B65,'LISTA - Atual'!$B$1:$I$444,6,0),"Novo")</f>
        <v>Novo</v>
      </c>
      <c r="O65" s="85" t="str">
        <f t="shared" ref="O65:O71" si="69">IF(N65="Novo","Novo Campo",IF(N65=G65,"Igual","Diferente"))</f>
        <v>Novo Campo</v>
      </c>
      <c r="P65" s="85" t="str">
        <f>IFERROR(VLOOKUP($B65,'LISTA - Atual'!$B$1:$I$444,7,0),"Novo")</f>
        <v>Novo</v>
      </c>
      <c r="Q65" s="85" t="str">
        <f t="shared" ref="Q65:Q71" si="70">IF(P65="Novo","Novo Campo",IF(P65=H65,"Igual","Diferente"))</f>
        <v>Novo Campo</v>
      </c>
      <c r="R65" s="85" t="s">
        <v>1473</v>
      </c>
      <c r="S65" s="85" t="str">
        <f>IFERROR(VLOOKUP($B65,'LISTA - Atual'!$B$1:$I$444,8,0),"Novo")</f>
        <v>Novo</v>
      </c>
      <c r="T65" s="85" t="str">
        <f t="shared" ref="T65:T71" si="71">IF(S65="Novo","Novo Campo",IF(S65=J65,"Igual","Diferente"))</f>
        <v>Novo Campo</v>
      </c>
      <c r="U65" s="85" t="s">
        <v>1473</v>
      </c>
      <c r="V65" s="85" t="s">
        <v>11</v>
      </c>
      <c r="W65" s="86" t="str">
        <f>IFERROR(VLOOKUP(B65,#REF!,11,0),"n/a")</f>
        <v>n/a</v>
      </c>
      <c r="X65" s="86" t="str">
        <f>IFERROR(VLOOKUP(B65,#REF!,8,0),"n/a")</f>
        <v>n/a</v>
      </c>
      <c r="Y65" s="86" t="str">
        <f>$G$2</f>
        <v>GD</v>
      </c>
      <c r="Z65" s="121" t="s">
        <v>1480</v>
      </c>
      <c r="AA65" s="214" t="str">
        <f>VLOOKUP(Table1[[#This Row],[CONCAT]],'[1]1. Tipologias Testes GD'!$F:$L,7,0)</f>
        <v>Alta</v>
      </c>
      <c r="AB65" s="86" t="s">
        <v>1562</v>
      </c>
      <c r="AC65" s="125" t="s">
        <v>1545</v>
      </c>
      <c r="AD65" s="90">
        <f>INDEX(Auxiliar!$D$5:$I$10,MATCH('Lista - Âmbito Projeto GD'!AD$3,Auxiliar!$B$5:$B$10,0),MATCH('Lista - Âmbito Projeto GD'!$AC65,Auxiliar!$D$4:$I$4,0))</f>
        <v>2</v>
      </c>
      <c r="AE65" s="90">
        <f>INDEX(Auxiliar!$D$5:$I$10,MATCH('Lista - Âmbito Projeto GD'!AE$3,Auxiliar!$B$5:$B$10,0),MATCH('Lista - Âmbito Projeto GD'!$AC65,Auxiliar!$D$4:$I$4,0))</f>
        <v>1.5</v>
      </c>
      <c r="AF65" s="86">
        <f>INDEX(Auxiliar!$D$5:$I$10,MATCH('Lista - Âmbito Projeto GD'!AF$3,Auxiliar!$B$5:$B$10,0),MATCH('Lista - Âmbito Projeto GD'!$AC65,Auxiliar!$D$4:$I$4,0))</f>
        <v>1.5</v>
      </c>
      <c r="AG65" s="86" t="str">
        <f t="shared" ref="AG65:AG71" si="72">IF(OR(AB65="Code List",AB65="Y, N"),AC65,"n.a.")</f>
        <v>Baixa</v>
      </c>
      <c r="AH65" s="86">
        <f>INDEX(Auxiliar!$D$5:$I$10,MATCH('Lista - Âmbito Projeto GD'!AH$3,Auxiliar!$B$5:$B$10,0),MATCH('Lista - Âmbito Projeto GD'!$AG65,Auxiliar!$D$4:$I$4,0))</f>
        <v>0.5</v>
      </c>
      <c r="AI65" s="86">
        <f>INDEX(Auxiliar!$D$5:$I$10,MATCH('Lista - Âmbito Projeto GD'!AI$3,Auxiliar!$B$5:$B$10,0),MATCH('Lista - Âmbito Projeto GD'!$AC65,Auxiliar!$D$4:$I$4,0))</f>
        <v>0.5</v>
      </c>
      <c r="AJ65" s="86">
        <f>INDEX(Auxiliar!$D$5:$I$10,MATCH('Lista - Âmbito Projeto GD'!AJ$3,Auxiliar!$B$5:$B$10,0),MATCH('Lista - Âmbito Projeto GD'!$AC65,Auxiliar!$D$4:$I$4,0))</f>
        <v>1</v>
      </c>
      <c r="AK65" s="150">
        <f t="shared" ref="AK65:AK70" si="73">SUM(AF65,AH65:AJ65)</f>
        <v>3.5</v>
      </c>
      <c r="AL65" s="86"/>
    </row>
    <row r="66" spans="1:38" ht="14" x14ac:dyDescent="0.3">
      <c r="A66" s="148" t="s">
        <v>1457</v>
      </c>
      <c r="B66" s="215" t="str">
        <f t="shared" si="67"/>
        <v>INSTR_ACTIVITY_COD_SOC</v>
      </c>
      <c r="C66" s="81" t="s">
        <v>1458</v>
      </c>
      <c r="D66" s="94" t="s">
        <v>12</v>
      </c>
      <c r="E66" s="83" t="s">
        <v>14</v>
      </c>
      <c r="F66" s="98" t="s">
        <v>11</v>
      </c>
      <c r="G66" s="98" t="s">
        <v>13</v>
      </c>
      <c r="H66" s="98" t="s">
        <v>13</v>
      </c>
      <c r="I66" s="84" t="s">
        <v>11</v>
      </c>
      <c r="J66" s="84" t="s">
        <v>11</v>
      </c>
      <c r="K66" s="84" t="s">
        <v>11</v>
      </c>
      <c r="L66" s="85" t="str">
        <f>IFERROR(VLOOKUP($B66,'LISTA - Atual'!$B$1:$I$444,5,0),"Novo")</f>
        <v>Novo</v>
      </c>
      <c r="M66" s="85" t="str">
        <f t="shared" si="68"/>
        <v>Novo Campo</v>
      </c>
      <c r="N66" s="85" t="str">
        <f>IFERROR(VLOOKUP($B66,'LISTA - Atual'!$B$1:$I$444,6,0),"Novo")</f>
        <v>Novo</v>
      </c>
      <c r="O66" s="85" t="str">
        <f t="shared" si="69"/>
        <v>Novo Campo</v>
      </c>
      <c r="P66" s="85" t="str">
        <f>IFERROR(VLOOKUP($B66,'LISTA - Atual'!$B$1:$I$444,7,0),"Novo")</f>
        <v>Novo</v>
      </c>
      <c r="Q66" s="85" t="str">
        <f t="shared" si="70"/>
        <v>Novo Campo</v>
      </c>
      <c r="R66" s="85" t="s">
        <v>1473</v>
      </c>
      <c r="S66" s="85" t="str">
        <f>IFERROR(VLOOKUP($B66,'LISTA - Atual'!$B$1:$I$444,8,0),"Novo")</f>
        <v>Novo</v>
      </c>
      <c r="T66" s="85" t="str">
        <f t="shared" si="71"/>
        <v>Novo Campo</v>
      </c>
      <c r="U66" s="85" t="s">
        <v>1473</v>
      </c>
      <c r="V66" s="85" t="s">
        <v>11</v>
      </c>
      <c r="W66" s="86" t="str">
        <f>IFERROR(VLOOKUP(B66,#REF!,11,0),"n/a")</f>
        <v>n/a</v>
      </c>
      <c r="X66" s="86" t="str">
        <f>IFERROR(VLOOKUP(B66,#REF!,8,0),"n/a")</f>
        <v>n/a</v>
      </c>
      <c r="Y66" s="86" t="str">
        <f>$G$2&amp;$Y$1&amp;$H$2</f>
        <v>GD &amp; PILAR3</v>
      </c>
      <c r="Z66" s="121" t="s">
        <v>1516</v>
      </c>
      <c r="AA66" s="214" t="str">
        <f>VLOOKUP(Table1[[#This Row],[CONCAT]],'[1]1. Tipologias Testes GD'!$F:$L,7,0)</f>
        <v>Média</v>
      </c>
      <c r="AB66" s="86" t="s">
        <v>1558</v>
      </c>
      <c r="AC66" s="125" t="s">
        <v>1574</v>
      </c>
      <c r="AD66" s="87">
        <v>0</v>
      </c>
      <c r="AE66" s="90">
        <f>INDEX(Auxiliar!$D$5:$I$10,MATCH('Lista - Âmbito Projeto GD'!AE$3,Auxiliar!$B$5:$B$10,0),MATCH('Lista - Âmbito Projeto GD'!$AC66,Auxiliar!$D$4:$I$4,0))</f>
        <v>1</v>
      </c>
      <c r="AF66" s="86">
        <f>INDEX(Auxiliar!$D$5:$I$10,MATCH('Lista - Âmbito Projeto GD'!AF$3,Auxiliar!$B$5:$B$10,0),MATCH('Lista - Âmbito Projeto GD'!$AC66,Auxiliar!$D$4:$I$4,0))</f>
        <v>1</v>
      </c>
      <c r="AG66" s="86" t="str">
        <f t="shared" si="72"/>
        <v>n.a.</v>
      </c>
      <c r="AH66" s="86">
        <f>INDEX(Auxiliar!$D$5:$I$10,MATCH('Lista - Âmbito Projeto GD'!AH$3,Auxiliar!$B$5:$B$10,0),MATCH('Lista - Âmbito Projeto GD'!$AG66,Auxiliar!$D$4:$I$4,0))</f>
        <v>0</v>
      </c>
      <c r="AI66" s="86">
        <f>INDEX(Auxiliar!$D$5:$I$10,MATCH('Lista - Âmbito Projeto GD'!AI$3,Auxiliar!$B$5:$B$10,0),MATCH('Lista - Âmbito Projeto GD'!$AC66,Auxiliar!$D$4:$I$4,0))</f>
        <v>0.5</v>
      </c>
      <c r="AJ66" s="86">
        <f>INDEX(Auxiliar!$D$5:$I$10,MATCH('Lista - Âmbito Projeto GD'!AJ$3,Auxiliar!$B$5:$B$10,0),MATCH('Lista - Âmbito Projeto GD'!$AC66,Auxiliar!$D$4:$I$4,0))</f>
        <v>1</v>
      </c>
      <c r="AK66" s="150">
        <f t="shared" si="73"/>
        <v>2.5</v>
      </c>
      <c r="AL66" s="86"/>
    </row>
    <row r="67" spans="1:38" ht="14" x14ac:dyDescent="0.3">
      <c r="A67" s="148" t="s">
        <v>1459</v>
      </c>
      <c r="B67" s="215" t="str">
        <f t="shared" si="67"/>
        <v>INSTR_ACTIVITY_DT_RFRNC</v>
      </c>
      <c r="C67" s="81" t="s">
        <v>1458</v>
      </c>
      <c r="D67" s="94" t="s">
        <v>38</v>
      </c>
      <c r="E67" s="83" t="s">
        <v>402</v>
      </c>
      <c r="F67" s="84" t="s">
        <v>11</v>
      </c>
      <c r="G67" s="84" t="s">
        <v>13</v>
      </c>
      <c r="H67" s="84" t="s">
        <v>13</v>
      </c>
      <c r="I67" s="84" t="s">
        <v>11</v>
      </c>
      <c r="J67" s="84" t="s">
        <v>11</v>
      </c>
      <c r="K67" s="84" t="s">
        <v>11</v>
      </c>
      <c r="L67" s="85" t="str">
        <f>IFERROR(VLOOKUP($B67,'LISTA - Atual'!$B$1:$I$444,5,0),"Novo")</f>
        <v>Novo</v>
      </c>
      <c r="M67" s="85" t="str">
        <f t="shared" si="68"/>
        <v>Novo Campo</v>
      </c>
      <c r="N67" s="85" t="str">
        <f>IFERROR(VLOOKUP($B67,'LISTA - Atual'!$B$1:$I$444,6,0),"Novo")</f>
        <v>Novo</v>
      </c>
      <c r="O67" s="85" t="str">
        <f t="shared" si="69"/>
        <v>Novo Campo</v>
      </c>
      <c r="P67" s="85" t="str">
        <f>IFERROR(VLOOKUP($B67,'LISTA - Atual'!$B$1:$I$444,7,0),"Novo")</f>
        <v>Novo</v>
      </c>
      <c r="Q67" s="85" t="str">
        <f t="shared" si="70"/>
        <v>Novo Campo</v>
      </c>
      <c r="R67" s="85" t="s">
        <v>1473</v>
      </c>
      <c r="S67" s="85" t="str">
        <f>IFERROR(VLOOKUP($B67,'LISTA - Atual'!$B$1:$I$444,8,0),"Novo")</f>
        <v>Novo</v>
      </c>
      <c r="T67" s="85" t="str">
        <f t="shared" si="71"/>
        <v>Novo Campo</v>
      </c>
      <c r="U67" s="85" t="s">
        <v>1473</v>
      </c>
      <c r="V67" s="85" t="s">
        <v>11</v>
      </c>
      <c r="W67" s="86" t="str">
        <f>IFERROR(VLOOKUP(B67,#REF!,11,0),"n/a")</f>
        <v>n/a</v>
      </c>
      <c r="X67" s="86" t="str">
        <f>IFERROR(VLOOKUP(B67,#REF!,8,0),"n/a")</f>
        <v>n/a</v>
      </c>
      <c r="Y67" s="86" t="str">
        <f>$G$2&amp;$Y$1&amp;$H$2</f>
        <v>GD &amp; PILAR3</v>
      </c>
      <c r="Z67" s="121" t="s">
        <v>1516</v>
      </c>
      <c r="AA67" s="214" t="str">
        <f>VLOOKUP(Table1[[#This Row],[CONCAT]],'[1]1. Tipologias Testes GD'!$F:$L,7,0)</f>
        <v>Baixa</v>
      </c>
      <c r="AB67" s="86" t="s">
        <v>1560</v>
      </c>
      <c r="AC67" s="125" t="s">
        <v>1574</v>
      </c>
      <c r="AD67" s="87">
        <v>0</v>
      </c>
      <c r="AE67" s="90">
        <f>INDEX(Auxiliar!$D$5:$I$10,MATCH('Lista - Âmbito Projeto GD'!AE$3,Auxiliar!$B$5:$B$10,0),MATCH('Lista - Âmbito Projeto GD'!$AC67,Auxiliar!$D$4:$I$4,0))</f>
        <v>1</v>
      </c>
      <c r="AF67" s="86">
        <f>INDEX(Auxiliar!$D$5:$I$10,MATCH('Lista - Âmbito Projeto GD'!AF$3,Auxiliar!$B$5:$B$10,0),MATCH('Lista - Âmbito Projeto GD'!$AC67,Auxiliar!$D$4:$I$4,0))</f>
        <v>1</v>
      </c>
      <c r="AG67" s="86" t="str">
        <f t="shared" si="72"/>
        <v>n.a.</v>
      </c>
      <c r="AH67" s="86">
        <f>INDEX(Auxiliar!$D$5:$I$10,MATCH('Lista - Âmbito Projeto GD'!AH$3,Auxiliar!$B$5:$B$10,0),MATCH('Lista - Âmbito Projeto GD'!$AG67,Auxiliar!$D$4:$I$4,0))</f>
        <v>0</v>
      </c>
      <c r="AI67" s="86">
        <f>INDEX(Auxiliar!$D$5:$I$10,MATCH('Lista - Âmbito Projeto GD'!AI$3,Auxiliar!$B$5:$B$10,0),MATCH('Lista - Âmbito Projeto GD'!$AC67,Auxiliar!$D$4:$I$4,0))</f>
        <v>0.5</v>
      </c>
      <c r="AJ67" s="86">
        <f>INDEX(Auxiliar!$D$5:$I$10,MATCH('Lista - Âmbito Projeto GD'!AJ$3,Auxiliar!$B$5:$B$10,0),MATCH('Lista - Âmbito Projeto GD'!$AC67,Auxiliar!$D$4:$I$4,0))</f>
        <v>1</v>
      </c>
      <c r="AK67" s="150">
        <f t="shared" si="73"/>
        <v>2.5</v>
      </c>
      <c r="AL67" s="86"/>
    </row>
    <row r="68" spans="1:38" ht="14" x14ac:dyDescent="0.3">
      <c r="A68" s="148" t="s">
        <v>1460</v>
      </c>
      <c r="B68" s="215" t="str">
        <f t="shared" si="67"/>
        <v>INSTR_ACTIVITY_INSTRMNT_ID</v>
      </c>
      <c r="C68" s="81" t="s">
        <v>1458</v>
      </c>
      <c r="D68" s="94" t="s">
        <v>405</v>
      </c>
      <c r="E68" s="83" t="s">
        <v>406</v>
      </c>
      <c r="F68" s="84" t="s">
        <v>11</v>
      </c>
      <c r="G68" s="84" t="s">
        <v>13</v>
      </c>
      <c r="H68" s="84" t="s">
        <v>13</v>
      </c>
      <c r="I68" s="84" t="s">
        <v>11</v>
      </c>
      <c r="J68" s="84" t="s">
        <v>11</v>
      </c>
      <c r="K68" s="84" t="s">
        <v>11</v>
      </c>
      <c r="L68" s="85" t="str">
        <f>IFERROR(VLOOKUP($B68,'LISTA - Atual'!$B$1:$I$444,5,0),"Novo")</f>
        <v>Novo</v>
      </c>
      <c r="M68" s="85" t="str">
        <f t="shared" si="68"/>
        <v>Novo Campo</v>
      </c>
      <c r="N68" s="85" t="str">
        <f>IFERROR(VLOOKUP($B68,'LISTA - Atual'!$B$1:$I$444,6,0),"Novo")</f>
        <v>Novo</v>
      </c>
      <c r="O68" s="85" t="str">
        <f t="shared" si="69"/>
        <v>Novo Campo</v>
      </c>
      <c r="P68" s="85" t="str">
        <f>IFERROR(VLOOKUP($B68,'LISTA - Atual'!$B$1:$I$444,7,0),"Novo")</f>
        <v>Novo</v>
      </c>
      <c r="Q68" s="85" t="str">
        <f t="shared" si="70"/>
        <v>Novo Campo</v>
      </c>
      <c r="R68" s="85" t="s">
        <v>1473</v>
      </c>
      <c r="S68" s="85" t="str">
        <f>IFERROR(VLOOKUP($B68,'LISTA - Atual'!$B$1:$I$444,8,0),"Novo")</f>
        <v>Novo</v>
      </c>
      <c r="T68" s="85" t="str">
        <f t="shared" si="71"/>
        <v>Novo Campo</v>
      </c>
      <c r="U68" s="85" t="s">
        <v>1473</v>
      </c>
      <c r="V68" s="85" t="s">
        <v>11</v>
      </c>
      <c r="W68" s="86" t="str">
        <f>IFERROR(VLOOKUP(B68,#REF!,11,0),"n/a")</f>
        <v>n/a</v>
      </c>
      <c r="X68" s="86" t="str">
        <f>IFERROR(VLOOKUP(B68,#REF!,8,0),"n/a")</f>
        <v>n/a</v>
      </c>
      <c r="Y68" s="86" t="str">
        <f>$G$2&amp;$Y$1&amp;$H$2</f>
        <v>GD &amp; PILAR3</v>
      </c>
      <c r="Z68" s="121" t="s">
        <v>1516</v>
      </c>
      <c r="AA68" s="214" t="str">
        <f>VLOOKUP(Table1[[#This Row],[CONCAT]],'[1]1. Tipologias Testes GD'!$F:$L,7,0)</f>
        <v>Média</v>
      </c>
      <c r="AB68" s="86" t="s">
        <v>1566</v>
      </c>
      <c r="AC68" s="125" t="s">
        <v>1574</v>
      </c>
      <c r="AD68" s="87">
        <v>0</v>
      </c>
      <c r="AE68" s="90">
        <f>INDEX(Auxiliar!$D$5:$I$10,MATCH('Lista - Âmbito Projeto GD'!AE$3,Auxiliar!$B$5:$B$10,0),MATCH('Lista - Âmbito Projeto GD'!$AC68,Auxiliar!$D$4:$I$4,0))</f>
        <v>1</v>
      </c>
      <c r="AF68" s="86">
        <f>INDEX(Auxiliar!$D$5:$I$10,MATCH('Lista - Âmbito Projeto GD'!AF$3,Auxiliar!$B$5:$B$10,0),MATCH('Lista - Âmbito Projeto GD'!$AC68,Auxiliar!$D$4:$I$4,0))</f>
        <v>1</v>
      </c>
      <c r="AG68" s="86" t="str">
        <f t="shared" si="72"/>
        <v>n.a.</v>
      </c>
      <c r="AH68" s="86">
        <f>INDEX(Auxiliar!$D$5:$I$10,MATCH('Lista - Âmbito Projeto GD'!AH$3,Auxiliar!$B$5:$B$10,0),MATCH('Lista - Âmbito Projeto GD'!$AG68,Auxiliar!$D$4:$I$4,0))</f>
        <v>0</v>
      </c>
      <c r="AI68" s="86">
        <f>INDEX(Auxiliar!$D$5:$I$10,MATCH('Lista - Âmbito Projeto GD'!AI$3,Auxiliar!$B$5:$B$10,0),MATCH('Lista - Âmbito Projeto GD'!$AC68,Auxiliar!$D$4:$I$4,0))</f>
        <v>0.5</v>
      </c>
      <c r="AJ68" s="86">
        <f>INDEX(Auxiliar!$D$5:$I$10,MATCH('Lista - Âmbito Projeto GD'!AJ$3,Auxiliar!$B$5:$B$10,0),MATCH('Lista - Âmbito Projeto GD'!$AC68,Auxiliar!$D$4:$I$4,0))</f>
        <v>1</v>
      </c>
      <c r="AK68" s="150">
        <f t="shared" si="73"/>
        <v>2.5</v>
      </c>
      <c r="AL68" s="86"/>
    </row>
    <row r="69" spans="1:38" ht="14" x14ac:dyDescent="0.3">
      <c r="A69" s="148" t="s">
        <v>1461</v>
      </c>
      <c r="B69" s="215" t="str">
        <f t="shared" si="67"/>
        <v>INSTR_ACTIVITY_SSTNBL_CTGRY</v>
      </c>
      <c r="C69" s="81" t="s">
        <v>1458</v>
      </c>
      <c r="D69" s="94" t="s">
        <v>967</v>
      </c>
      <c r="E69" s="83" t="s">
        <v>1462</v>
      </c>
      <c r="F69" s="84" t="s">
        <v>11</v>
      </c>
      <c r="G69" s="84" t="s">
        <v>13</v>
      </c>
      <c r="H69" s="84" t="s">
        <v>13</v>
      </c>
      <c r="I69" s="84" t="s">
        <v>11</v>
      </c>
      <c r="J69" s="84" t="s">
        <v>11</v>
      </c>
      <c r="K69" s="84" t="s">
        <v>11</v>
      </c>
      <c r="L69" s="85" t="str">
        <f>IFERROR(VLOOKUP($B69,'LISTA - Atual'!$B$1:$I$444,5,0),"Novo")</f>
        <v>Novo</v>
      </c>
      <c r="M69" s="85" t="str">
        <f t="shared" si="68"/>
        <v>Novo Campo</v>
      </c>
      <c r="N69" s="85" t="str">
        <f>IFERROR(VLOOKUP($B69,'LISTA - Atual'!$B$1:$I$444,6,0),"Novo")</f>
        <v>Novo</v>
      </c>
      <c r="O69" s="85" t="str">
        <f t="shared" si="69"/>
        <v>Novo Campo</v>
      </c>
      <c r="P69" s="85" t="str">
        <f>IFERROR(VLOOKUP($B69,'LISTA - Atual'!$B$1:$I$444,7,0),"Novo")</f>
        <v>Novo</v>
      </c>
      <c r="Q69" s="85" t="str">
        <f t="shared" si="70"/>
        <v>Novo Campo</v>
      </c>
      <c r="R69" s="85" t="s">
        <v>1473</v>
      </c>
      <c r="S69" s="85" t="str">
        <f>IFERROR(VLOOKUP($B69,'LISTA - Atual'!$B$1:$I$444,8,0),"Novo")</f>
        <v>Novo</v>
      </c>
      <c r="T69" s="85" t="str">
        <f t="shared" si="71"/>
        <v>Novo Campo</v>
      </c>
      <c r="U69" s="85" t="s">
        <v>1473</v>
      </c>
      <c r="V69" s="85" t="s">
        <v>11</v>
      </c>
      <c r="W69" s="86" t="str">
        <f>IFERROR(VLOOKUP(B69,#REF!,11,0),"n/a")</f>
        <v>n/a</v>
      </c>
      <c r="X69" s="86" t="str">
        <f>IFERROR(VLOOKUP(B69,#REF!,8,0),"n/a")</f>
        <v>n/a</v>
      </c>
      <c r="Y69" s="86" t="str">
        <f>$G$2&amp;$Y$1&amp;$H$2</f>
        <v>GD &amp; PILAR3</v>
      </c>
      <c r="Z69" s="121" t="s">
        <v>1517</v>
      </c>
      <c r="AA69" s="214" t="str">
        <f>VLOOKUP(Table1[[#This Row],[CONCAT]],'[1]1. Tipologias Testes GD'!$F:$L,7,0)</f>
        <v>Alta</v>
      </c>
      <c r="AB69" s="86" t="s">
        <v>1559</v>
      </c>
      <c r="AC69" s="125" t="s">
        <v>1545</v>
      </c>
      <c r="AD69" s="87">
        <v>0</v>
      </c>
      <c r="AE69" s="90">
        <f>INDEX(Auxiliar!$D$5:$I$10,MATCH('Lista - Âmbito Projeto GD'!AE$3,Auxiliar!$B$5:$B$10,0),MATCH('Lista - Âmbito Projeto GD'!$AC69,Auxiliar!$D$4:$I$4,0))</f>
        <v>1.5</v>
      </c>
      <c r="AF69" s="86">
        <f>INDEX(Auxiliar!$D$5:$I$10,MATCH('Lista - Âmbito Projeto GD'!AF$3,Auxiliar!$B$5:$B$10,0),MATCH('Lista - Âmbito Projeto GD'!$AC69,Auxiliar!$D$4:$I$4,0))</f>
        <v>1.5</v>
      </c>
      <c r="AG69" s="86" t="str">
        <f t="shared" si="72"/>
        <v>Baixa</v>
      </c>
      <c r="AH69" s="86">
        <f>INDEX(Auxiliar!$D$5:$I$10,MATCH('Lista - Âmbito Projeto GD'!AH$3,Auxiliar!$B$5:$B$10,0),MATCH('Lista - Âmbito Projeto GD'!$AG69,Auxiliar!$D$4:$I$4,0))</f>
        <v>0.5</v>
      </c>
      <c r="AI69" s="86">
        <f>INDEX(Auxiliar!$D$5:$I$10,MATCH('Lista - Âmbito Projeto GD'!AI$3,Auxiliar!$B$5:$B$10,0),MATCH('Lista - Âmbito Projeto GD'!$AC69,Auxiliar!$D$4:$I$4,0))</f>
        <v>0.5</v>
      </c>
      <c r="AJ69" s="86">
        <f>INDEX(Auxiliar!$D$5:$I$10,MATCH('Lista - Âmbito Projeto GD'!AJ$3,Auxiliar!$B$5:$B$10,0),MATCH('Lista - Âmbito Projeto GD'!$AC69,Auxiliar!$D$4:$I$4,0))</f>
        <v>1</v>
      </c>
      <c r="AK69" s="150">
        <f t="shared" si="73"/>
        <v>3.5</v>
      </c>
      <c r="AL69" s="86"/>
    </row>
    <row r="70" spans="1:38" ht="14" x14ac:dyDescent="0.3">
      <c r="A70" s="148" t="s">
        <v>1463</v>
      </c>
      <c r="B70" s="215" t="str">
        <f t="shared" si="67"/>
        <v>INSTR_ACTIVITY_PRCNTG_ACTVTY</v>
      </c>
      <c r="C70" s="81" t="s">
        <v>1458</v>
      </c>
      <c r="D70" s="94" t="s">
        <v>1464</v>
      </c>
      <c r="E70" s="86" t="s">
        <v>1465</v>
      </c>
      <c r="F70" s="98" t="s">
        <v>13</v>
      </c>
      <c r="G70" s="84" t="s">
        <v>13</v>
      </c>
      <c r="H70" s="84" t="s">
        <v>13</v>
      </c>
      <c r="I70" s="84" t="s">
        <v>11</v>
      </c>
      <c r="J70" s="84" t="s">
        <v>11</v>
      </c>
      <c r="K70" s="84" t="s">
        <v>11</v>
      </c>
      <c r="L70" s="85" t="str">
        <f>IFERROR(VLOOKUP($B70,'LISTA - Atual'!$B$1:$I$444,5,0),"Novo")</f>
        <v>Novo</v>
      </c>
      <c r="M70" s="85" t="str">
        <f t="shared" si="68"/>
        <v>Novo Campo</v>
      </c>
      <c r="N70" s="85" t="str">
        <f>IFERROR(VLOOKUP($B70,'LISTA - Atual'!$B$1:$I$444,6,0),"Novo")</f>
        <v>Novo</v>
      </c>
      <c r="O70" s="85" t="str">
        <f t="shared" si="69"/>
        <v>Novo Campo</v>
      </c>
      <c r="P70" s="85" t="str">
        <f>IFERROR(VLOOKUP($B70,'LISTA - Atual'!$B$1:$I$444,7,0),"Novo")</f>
        <v>Novo</v>
      </c>
      <c r="Q70" s="85" t="str">
        <f t="shared" si="70"/>
        <v>Novo Campo</v>
      </c>
      <c r="R70" s="85" t="s">
        <v>1473</v>
      </c>
      <c r="S70" s="85" t="str">
        <f>IFERROR(VLOOKUP($B70,'LISTA - Atual'!$B$1:$I$444,8,0),"Novo")</f>
        <v>Novo</v>
      </c>
      <c r="T70" s="85" t="str">
        <f t="shared" si="71"/>
        <v>Novo Campo</v>
      </c>
      <c r="U70" s="85" t="s">
        <v>1473</v>
      </c>
      <c r="V70" s="85" t="s">
        <v>11</v>
      </c>
      <c r="W70" s="86" t="str">
        <f>IFERROR(VLOOKUP(B70,#REF!,11,0),"n/a")</f>
        <v>n/a</v>
      </c>
      <c r="X70" s="86" t="str">
        <f>IFERROR(VLOOKUP(B70,#REF!,8,0),"n/a")</f>
        <v>n/a</v>
      </c>
      <c r="Y70" s="86" t="str">
        <f>$F$2&amp;$Y$1&amp;$G$2&amp;$Y$1&amp;$H$2</f>
        <v>ESTR &amp; GD &amp; PILAR3</v>
      </c>
      <c r="Z70" s="121" t="s">
        <v>1516</v>
      </c>
      <c r="AA70" s="214" t="str">
        <f>VLOOKUP(Table1[[#This Row],[CONCAT]],'[1]1. Tipologias Testes GD'!$F:$L,7,0)</f>
        <v>Baixa</v>
      </c>
      <c r="AB70" s="86" t="s">
        <v>1564</v>
      </c>
      <c r="AC70" s="125" t="s">
        <v>1574</v>
      </c>
      <c r="AD70" s="90">
        <f>INDEX(Auxiliar!$D$5:$I$10,MATCH('Lista - Âmbito Projeto GD'!AD$3,Auxiliar!$B$5:$B$10,0),MATCH('Lista - Âmbito Projeto GD'!$AC70,Auxiliar!$D$4:$I$4,0))</f>
        <v>1</v>
      </c>
      <c r="AE70" s="90">
        <f>INDEX(Auxiliar!$D$5:$I$10,MATCH('Lista - Âmbito Projeto GD'!AE$3,Auxiliar!$B$5:$B$10,0),MATCH('Lista - Âmbito Projeto GD'!$AC70,Auxiliar!$D$4:$I$4,0))</f>
        <v>1</v>
      </c>
      <c r="AF70" s="86">
        <f>INDEX(Auxiliar!$D$5:$I$10,MATCH('Lista - Âmbito Projeto GD'!AF$3,Auxiliar!$B$5:$B$10,0),MATCH('Lista - Âmbito Projeto GD'!$AC70,Auxiliar!$D$4:$I$4,0))</f>
        <v>1</v>
      </c>
      <c r="AG70" s="86" t="str">
        <f t="shared" si="72"/>
        <v>n.a.</v>
      </c>
      <c r="AH70" s="86">
        <f>INDEX(Auxiliar!$D$5:$I$10,MATCH('Lista - Âmbito Projeto GD'!AH$3,Auxiliar!$B$5:$B$10,0),MATCH('Lista - Âmbito Projeto GD'!$AG70,Auxiliar!$D$4:$I$4,0))</f>
        <v>0</v>
      </c>
      <c r="AI70" s="86">
        <f>INDEX(Auxiliar!$D$5:$I$10,MATCH('Lista - Âmbito Projeto GD'!AI$3,Auxiliar!$B$5:$B$10,0),MATCH('Lista - Âmbito Projeto GD'!$AC70,Auxiliar!$D$4:$I$4,0))</f>
        <v>0.5</v>
      </c>
      <c r="AJ70" s="86">
        <f>INDEX(Auxiliar!$D$5:$I$10,MATCH('Lista - Âmbito Projeto GD'!AJ$3,Auxiliar!$B$5:$B$10,0),MATCH('Lista - Âmbito Projeto GD'!$AC70,Auxiliar!$D$4:$I$4,0))</f>
        <v>1</v>
      </c>
      <c r="AK70" s="150">
        <f t="shared" si="73"/>
        <v>2.5</v>
      </c>
      <c r="AL70" s="86" t="s">
        <v>1573</v>
      </c>
    </row>
    <row r="71" spans="1:38" ht="14" x14ac:dyDescent="0.3">
      <c r="A71" s="148" t="s">
        <v>1466</v>
      </c>
      <c r="B71" s="215" t="str">
        <f t="shared" si="67"/>
        <v>INSTR_ACTIVITY_SSTNBL_INDCTR</v>
      </c>
      <c r="C71" s="81" t="s">
        <v>1458</v>
      </c>
      <c r="D71" s="94" t="s">
        <v>964</v>
      </c>
      <c r="E71" s="83" t="s">
        <v>965</v>
      </c>
      <c r="F71" s="84" t="s">
        <v>11</v>
      </c>
      <c r="G71" s="84" t="s">
        <v>13</v>
      </c>
      <c r="H71" s="84" t="s">
        <v>13</v>
      </c>
      <c r="I71" s="84" t="s">
        <v>11</v>
      </c>
      <c r="J71" s="84" t="s">
        <v>11</v>
      </c>
      <c r="K71" s="84" t="s">
        <v>11</v>
      </c>
      <c r="L71" s="85" t="str">
        <f>IFERROR(VLOOKUP($B71,'LISTA - Atual'!$B$1:$I$444,5,0),"Novo")</f>
        <v>Novo</v>
      </c>
      <c r="M71" s="85" t="str">
        <f t="shared" si="68"/>
        <v>Novo Campo</v>
      </c>
      <c r="N71" s="85" t="str">
        <f>IFERROR(VLOOKUP($B71,'LISTA - Atual'!$B$1:$I$444,6,0),"Novo")</f>
        <v>Novo</v>
      </c>
      <c r="O71" s="85" t="str">
        <f t="shared" si="69"/>
        <v>Novo Campo</v>
      </c>
      <c r="P71" s="85" t="str">
        <f>IFERROR(VLOOKUP($B71,'LISTA - Atual'!$B$1:$I$444,7,0),"Novo")</f>
        <v>Novo</v>
      </c>
      <c r="Q71" s="85" t="str">
        <f t="shared" si="70"/>
        <v>Novo Campo</v>
      </c>
      <c r="R71" s="85" t="s">
        <v>1473</v>
      </c>
      <c r="S71" s="85" t="str">
        <f>IFERROR(VLOOKUP($B71,'LISTA - Atual'!$B$1:$I$444,8,0),"Novo")</f>
        <v>Novo</v>
      </c>
      <c r="T71" s="85" t="str">
        <f t="shared" si="71"/>
        <v>Novo Campo</v>
      </c>
      <c r="U71" s="85" t="s">
        <v>1473</v>
      </c>
      <c r="V71" s="85" t="s">
        <v>11</v>
      </c>
      <c r="W71" s="86" t="str">
        <f>IFERROR(VLOOKUP(B71,#REF!,11,0),"n/a")</f>
        <v>n/a</v>
      </c>
      <c r="X71" s="86" t="str">
        <f>IFERROR(VLOOKUP(B71,#REF!,8,0),"n/a")</f>
        <v>n/a</v>
      </c>
      <c r="Y71" s="86" t="str">
        <f>$G$2&amp;$Y$1&amp;$H$2</f>
        <v>GD &amp; PILAR3</v>
      </c>
      <c r="Z71" s="121" t="s">
        <v>1517</v>
      </c>
      <c r="AA71" s="214" t="str">
        <f>VLOOKUP(Table1[[#This Row],[CONCAT]],'[1]1. Tipologias Testes GD'!$F:$L,7,0)</f>
        <v>Alta</v>
      </c>
      <c r="AB71" s="86" t="s">
        <v>1559</v>
      </c>
      <c r="AC71" s="125" t="s">
        <v>1545</v>
      </c>
      <c r="AD71" s="87">
        <v>0</v>
      </c>
      <c r="AE71" s="90">
        <f>INDEX(Auxiliar!$D$5:$I$10,MATCH('Lista - Âmbito Projeto GD'!AE$3,Auxiliar!$B$5:$B$10,0),MATCH('Lista - Âmbito Projeto GD'!$AC71,Auxiliar!$D$4:$I$4,0))</f>
        <v>1.5</v>
      </c>
      <c r="AF71" s="86">
        <f>INDEX(Auxiliar!$D$5:$I$10,MATCH('Lista - Âmbito Projeto GD'!AF$3,Auxiliar!$B$5:$B$10,0),MATCH('Lista - Âmbito Projeto GD'!$AC71,Auxiliar!$D$4:$I$4,0))</f>
        <v>1.5</v>
      </c>
      <c r="AG71" s="86" t="str">
        <f t="shared" si="72"/>
        <v>Baixa</v>
      </c>
      <c r="AH71" s="86">
        <f>INDEX(Auxiliar!$D$5:$I$10,MATCH('Lista - Âmbito Projeto GD'!AH$3,Auxiliar!$B$5:$B$10,0),MATCH('Lista - Âmbito Projeto GD'!$AG71,Auxiliar!$D$4:$I$4,0))</f>
        <v>0.5</v>
      </c>
      <c r="AI71" s="86">
        <f>INDEX(Auxiliar!$D$5:$I$10,MATCH('Lista - Âmbito Projeto GD'!AI$3,Auxiliar!$B$5:$B$10,0),MATCH('Lista - Âmbito Projeto GD'!$AC71,Auxiliar!$D$4:$I$4,0))</f>
        <v>0.5</v>
      </c>
      <c r="AJ71" s="86">
        <f>INDEX(Auxiliar!$D$5:$I$10,MATCH('Lista - Âmbito Projeto GD'!AJ$3,Auxiliar!$B$5:$B$10,0),MATCH('Lista - Âmbito Projeto GD'!$AC71,Auxiliar!$D$4:$I$4,0))</f>
        <v>1</v>
      </c>
      <c r="AK71" s="150">
        <f t="shared" ref="AK71" si="74">SUM(AF71,AH71:AJ71)</f>
        <v>3.5</v>
      </c>
      <c r="AL71" s="86"/>
    </row>
    <row r="73" spans="1:38" ht="14" x14ac:dyDescent="0.3">
      <c r="A73" s="37"/>
      <c r="B73" s="37"/>
      <c r="D73" s="37"/>
    </row>
    <row r="74" spans="1:38" ht="14.9" customHeight="1" x14ac:dyDescent="0.3">
      <c r="A74" s="37"/>
      <c r="B74" s="37"/>
      <c r="D74" s="37"/>
    </row>
    <row r="75" spans="1:38" ht="14.9" customHeight="1" x14ac:dyDescent="0.3">
      <c r="A75" s="37"/>
      <c r="B75" s="37"/>
      <c r="D75" s="37"/>
    </row>
    <row r="76" spans="1:38" ht="14.9" customHeight="1" x14ac:dyDescent="0.3">
      <c r="A76" s="37"/>
      <c r="B76" s="37"/>
      <c r="D76" s="37"/>
    </row>
    <row r="77" spans="1:38" ht="14.9" customHeight="1" x14ac:dyDescent="0.3">
      <c r="A77" s="37"/>
      <c r="B77" s="37"/>
      <c r="D77" s="37"/>
    </row>
    <row r="78" spans="1:38" ht="14.9" customHeight="1" x14ac:dyDescent="0.3">
      <c r="A78" s="37"/>
      <c r="B78" s="37"/>
      <c r="D78" s="37"/>
    </row>
    <row r="79" spans="1:38" ht="14.9" customHeight="1" x14ac:dyDescent="0.3">
      <c r="A79" s="37"/>
      <c r="B79" s="37"/>
      <c r="D79" s="37"/>
    </row>
    <row r="80" spans="1:38" ht="14.9" customHeight="1" x14ac:dyDescent="0.3">
      <c r="A80" s="37"/>
      <c r="B80" s="37"/>
      <c r="D80" s="37"/>
    </row>
    <row r="81" spans="1:4" ht="14.9" customHeight="1" x14ac:dyDescent="0.3">
      <c r="A81" s="37"/>
      <c r="B81" s="37"/>
      <c r="D81" s="37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1917BE-6726-4481-8727-3CCD8BF7D37B}">
          <x14:formula1>
            <xm:f>Auxiliar!$D$4:$I$4</xm:f>
          </x14:formula1>
          <xm:sqref>AG4:AG71 AC4:AC71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7D8A-ED01-48D4-9710-656D343A29B3}">
  <sheetPr>
    <tabColor theme="4"/>
    <pageSetUpPr autoPageBreaks="0"/>
  </sheetPr>
  <dimension ref="A1:H81"/>
  <sheetViews>
    <sheetView showGridLines="0" zoomScale="98" zoomScaleNormal="80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defaultColWidth="9" defaultRowHeight="14.9" customHeight="1" x14ac:dyDescent="0.3"/>
  <cols>
    <col min="1" max="1" width="9" style="6"/>
    <col min="2" max="2" width="17.5" style="37" customWidth="1"/>
    <col min="3" max="3" width="40.9140625" style="38" customWidth="1"/>
    <col min="4" max="4" width="48" style="6" customWidth="1"/>
    <col min="5" max="5" width="22.4140625" style="6" bestFit="1" customWidth="1"/>
    <col min="6" max="6" width="28.58203125" style="6" customWidth="1"/>
    <col min="7" max="7" width="15.58203125" customWidth="1"/>
    <col min="8" max="8" width="60.58203125" style="6" customWidth="1"/>
    <col min="9" max="16384" width="9" style="6"/>
  </cols>
  <sheetData>
    <row r="1" spans="1:8" ht="14.9" customHeight="1" x14ac:dyDescent="0.3">
      <c r="F1" s="74" t="s">
        <v>1511</v>
      </c>
      <c r="G1" s="6"/>
    </row>
    <row r="2" spans="1:8" ht="14" x14ac:dyDescent="0.3">
      <c r="B2" s="79" t="s">
        <v>1622</v>
      </c>
      <c r="C2" s="79"/>
      <c r="D2" s="80"/>
      <c r="E2" s="80"/>
      <c r="F2" s="122" t="s">
        <v>1553</v>
      </c>
      <c r="G2" s="122"/>
      <c r="H2" s="122"/>
    </row>
    <row r="3" spans="1:8" ht="28" x14ac:dyDescent="0.3">
      <c r="B3" s="100" t="s">
        <v>1</v>
      </c>
      <c r="C3" s="100" t="s">
        <v>2</v>
      </c>
      <c r="D3" s="100" t="s">
        <v>3</v>
      </c>
      <c r="E3" s="100" t="s">
        <v>1567</v>
      </c>
      <c r="F3" s="124" t="s">
        <v>1478</v>
      </c>
      <c r="G3" s="124" t="s">
        <v>1568</v>
      </c>
      <c r="H3" s="152" t="s">
        <v>1525</v>
      </c>
    </row>
    <row r="4" spans="1:8" ht="14" x14ac:dyDescent="0.3">
      <c r="A4" s="6" t="str">
        <f>B4&amp;"_"&amp;C4</f>
        <v>ENTITY_ENTTY_NM</v>
      </c>
      <c r="B4" s="81" t="s">
        <v>10</v>
      </c>
      <c r="C4" s="82" t="s">
        <v>59</v>
      </c>
      <c r="D4" s="83" t="s">
        <v>60</v>
      </c>
      <c r="E4" s="86" t="s">
        <v>1561</v>
      </c>
      <c r="F4" s="86" t="s">
        <v>1521</v>
      </c>
      <c r="G4" s="86" t="s">
        <v>1545</v>
      </c>
      <c r="H4" s="6" t="s">
        <v>1623</v>
      </c>
    </row>
    <row r="5" spans="1:8" ht="14" x14ac:dyDescent="0.3">
      <c r="A5" s="6" t="str">
        <f t="shared" ref="A5:A68" si="0">B5&amp;"_"&amp;C5</f>
        <v>ENTITY_EC_GRP_NM</v>
      </c>
      <c r="B5" s="81" t="s">
        <v>10</v>
      </c>
      <c r="C5" s="82" t="s">
        <v>284</v>
      </c>
      <c r="D5" s="83" t="s">
        <v>285</v>
      </c>
      <c r="E5" s="86" t="s">
        <v>1561</v>
      </c>
      <c r="F5" s="86" t="s">
        <v>1521</v>
      </c>
      <c r="G5" s="86" t="s">
        <v>1545</v>
      </c>
      <c r="H5" s="6" t="s">
        <v>1623</v>
      </c>
    </row>
    <row r="6" spans="1:8" ht="14" hidden="1" x14ac:dyDescent="0.3">
      <c r="A6" s="6" t="str">
        <f t="shared" si="0"/>
        <v>ENTITY_GRP_ECNMC_ACTVTY</v>
      </c>
      <c r="B6" s="81" t="s">
        <v>10</v>
      </c>
      <c r="C6" s="82" t="s">
        <v>382</v>
      </c>
      <c r="D6" s="92" t="s">
        <v>383</v>
      </c>
      <c r="E6" s="86" t="s">
        <v>1559</v>
      </c>
      <c r="F6" s="127" t="s">
        <v>1509</v>
      </c>
      <c r="G6" s="86" t="s">
        <v>1547</v>
      </c>
      <c r="H6" s="6" t="s">
        <v>1624</v>
      </c>
    </row>
    <row r="7" spans="1:8" ht="14" hidden="1" x14ac:dyDescent="0.3">
      <c r="A7" s="6" t="str">
        <f t="shared" si="0"/>
        <v>ENTITY_TXNMY_ELGBL_CAPEX_W</v>
      </c>
      <c r="B7" s="81" t="s">
        <v>10</v>
      </c>
      <c r="C7" s="82" t="s">
        <v>1397</v>
      </c>
      <c r="D7" s="95" t="s">
        <v>1398</v>
      </c>
      <c r="E7" s="86" t="s">
        <v>1564</v>
      </c>
      <c r="F7" s="86" t="s">
        <v>1508</v>
      </c>
      <c r="G7" s="86" t="s">
        <v>1547</v>
      </c>
      <c r="H7" s="6" t="s">
        <v>1624</v>
      </c>
    </row>
    <row r="8" spans="1:8" ht="14" hidden="1" x14ac:dyDescent="0.3">
      <c r="A8" s="6" t="str">
        <f t="shared" si="0"/>
        <v>ENTITY_TXNMY_ELGBL_TRNVR_W</v>
      </c>
      <c r="B8" s="81" t="s">
        <v>10</v>
      </c>
      <c r="C8" s="82" t="s">
        <v>1399</v>
      </c>
      <c r="D8" s="95" t="s">
        <v>1400</v>
      </c>
      <c r="E8" s="86" t="s">
        <v>1564</v>
      </c>
      <c r="F8" s="86" t="s">
        <v>1508</v>
      </c>
      <c r="G8" s="86" t="s">
        <v>1574</v>
      </c>
      <c r="H8" s="6" t="s">
        <v>1624</v>
      </c>
    </row>
    <row r="9" spans="1:8" ht="14" hidden="1" x14ac:dyDescent="0.3">
      <c r="A9" s="6" t="str">
        <f t="shared" si="0"/>
        <v>ENTITY_TXNMY_ELGBL_CAPEX_P</v>
      </c>
      <c r="B9" s="81" t="s">
        <v>10</v>
      </c>
      <c r="C9" s="82" t="s">
        <v>1401</v>
      </c>
      <c r="D9" s="95" t="s">
        <v>1402</v>
      </c>
      <c r="E9" s="86" t="s">
        <v>1564</v>
      </c>
      <c r="F9" s="86" t="s">
        <v>1508</v>
      </c>
      <c r="G9" s="86" t="s">
        <v>1574</v>
      </c>
      <c r="H9" s="6" t="s">
        <v>1624</v>
      </c>
    </row>
    <row r="10" spans="1:8" ht="14" hidden="1" x14ac:dyDescent="0.3">
      <c r="A10" s="6" t="str">
        <f t="shared" si="0"/>
        <v>ENTITY_TXNMY_ELGBL_TRNVR_P</v>
      </c>
      <c r="B10" s="81" t="s">
        <v>10</v>
      </c>
      <c r="C10" s="82" t="s">
        <v>1403</v>
      </c>
      <c r="D10" s="95" t="s">
        <v>1404</v>
      </c>
      <c r="E10" s="86" t="s">
        <v>1564</v>
      </c>
      <c r="F10" s="86" t="s">
        <v>1508</v>
      </c>
      <c r="G10" s="86" t="s">
        <v>1574</v>
      </c>
      <c r="H10" s="6" t="s">
        <v>1624</v>
      </c>
    </row>
    <row r="11" spans="1:8" ht="14" hidden="1" x14ac:dyDescent="0.3">
      <c r="A11" s="6" t="str">
        <f t="shared" si="0"/>
        <v>ENTITY_TXNMY_ELGBL_CAPEX_B</v>
      </c>
      <c r="B11" s="81" t="s">
        <v>10</v>
      </c>
      <c r="C11" s="82" t="s">
        <v>1405</v>
      </c>
      <c r="D11" s="95" t="s">
        <v>1406</v>
      </c>
      <c r="E11" s="86" t="s">
        <v>1564</v>
      </c>
      <c r="F11" s="86" t="s">
        <v>1508</v>
      </c>
      <c r="G11" s="86" t="s">
        <v>1574</v>
      </c>
      <c r="H11" s="6" t="s">
        <v>1624</v>
      </c>
    </row>
    <row r="12" spans="1:8" ht="14" hidden="1" x14ac:dyDescent="0.3">
      <c r="A12" s="6" t="str">
        <f t="shared" si="0"/>
        <v>ENTITY_TXNMY_ELGBL_TRNVR_B</v>
      </c>
      <c r="B12" s="81" t="s">
        <v>10</v>
      </c>
      <c r="C12" s="82" t="s">
        <v>1407</v>
      </c>
      <c r="D12" s="95" t="s">
        <v>1408</v>
      </c>
      <c r="E12" s="86" t="s">
        <v>1564</v>
      </c>
      <c r="F12" s="86" t="s">
        <v>1508</v>
      </c>
      <c r="G12" s="86" t="s">
        <v>1574</v>
      </c>
      <c r="H12" s="6" t="s">
        <v>1624</v>
      </c>
    </row>
    <row r="13" spans="1:8" ht="14" hidden="1" x14ac:dyDescent="0.3">
      <c r="A13" s="6" t="str">
        <f t="shared" si="0"/>
        <v>ENTITY_TXNMY_ELGBL_CAPEX_CE</v>
      </c>
      <c r="B13" s="81" t="s">
        <v>10</v>
      </c>
      <c r="C13" s="82" t="s">
        <v>1409</v>
      </c>
      <c r="D13" s="95" t="s">
        <v>1410</v>
      </c>
      <c r="E13" s="86" t="s">
        <v>1564</v>
      </c>
      <c r="F13" s="86" t="s">
        <v>1508</v>
      </c>
      <c r="G13" s="86" t="s">
        <v>1574</v>
      </c>
      <c r="H13" s="6" t="s">
        <v>1624</v>
      </c>
    </row>
    <row r="14" spans="1:8" ht="14" hidden="1" x14ac:dyDescent="0.3">
      <c r="A14" s="6" t="str">
        <f t="shared" si="0"/>
        <v>ENTITY_TXNMY_ELGBL_TRNVR_CE</v>
      </c>
      <c r="B14" s="81" t="s">
        <v>10</v>
      </c>
      <c r="C14" s="82" t="s">
        <v>1411</v>
      </c>
      <c r="D14" s="95" t="s">
        <v>1412</v>
      </c>
      <c r="E14" s="86" t="s">
        <v>1564</v>
      </c>
      <c r="F14" s="86" t="s">
        <v>1508</v>
      </c>
      <c r="G14" s="86" t="s">
        <v>1574</v>
      </c>
      <c r="H14" s="6" t="s">
        <v>1624</v>
      </c>
    </row>
    <row r="15" spans="1:8" ht="14" hidden="1" x14ac:dyDescent="0.3">
      <c r="A15" s="6" t="str">
        <f t="shared" si="0"/>
        <v>ENTITY_PURE_CAPEX_P</v>
      </c>
      <c r="B15" s="81" t="s">
        <v>10</v>
      </c>
      <c r="C15" s="82" t="s">
        <v>1413</v>
      </c>
      <c r="D15" s="95" t="s">
        <v>1414</v>
      </c>
      <c r="E15" s="86" t="s">
        <v>1564</v>
      </c>
      <c r="F15" s="86" t="s">
        <v>1508</v>
      </c>
      <c r="G15" s="86" t="s">
        <v>1574</v>
      </c>
      <c r="H15" s="6" t="s">
        <v>1624</v>
      </c>
    </row>
    <row r="16" spans="1:8" ht="14" hidden="1" x14ac:dyDescent="0.3">
      <c r="A16" s="6" t="str">
        <f t="shared" si="0"/>
        <v>ENTITY_PURE_TRNVR_P</v>
      </c>
      <c r="B16" s="81" t="s">
        <v>10</v>
      </c>
      <c r="C16" s="82" t="s">
        <v>1415</v>
      </c>
      <c r="D16" s="95" t="s">
        <v>1416</v>
      </c>
      <c r="E16" s="86" t="s">
        <v>1564</v>
      </c>
      <c r="F16" s="86" t="s">
        <v>1508</v>
      </c>
      <c r="G16" s="86" t="s">
        <v>1574</v>
      </c>
      <c r="H16" s="6" t="s">
        <v>1624</v>
      </c>
    </row>
    <row r="17" spans="1:8" ht="14" hidden="1" x14ac:dyDescent="0.3">
      <c r="A17" s="6" t="str">
        <f t="shared" si="0"/>
        <v>ENTITY_PURE_CAPEX_B</v>
      </c>
      <c r="B17" s="81" t="s">
        <v>10</v>
      </c>
      <c r="C17" s="82" t="s">
        <v>1417</v>
      </c>
      <c r="D17" s="95" t="s">
        <v>1418</v>
      </c>
      <c r="E17" s="86" t="s">
        <v>1564</v>
      </c>
      <c r="F17" s="86" t="s">
        <v>1508</v>
      </c>
      <c r="G17" s="86" t="s">
        <v>1574</v>
      </c>
      <c r="H17" s="6" t="s">
        <v>1624</v>
      </c>
    </row>
    <row r="18" spans="1:8" ht="14" hidden="1" x14ac:dyDescent="0.3">
      <c r="A18" s="6" t="str">
        <f t="shared" si="0"/>
        <v>ENTITY_PURE_TRNVR_B</v>
      </c>
      <c r="B18" s="81" t="s">
        <v>10</v>
      </c>
      <c r="C18" s="82" t="s">
        <v>1419</v>
      </c>
      <c r="D18" s="95" t="s">
        <v>1420</v>
      </c>
      <c r="E18" s="86" t="s">
        <v>1564</v>
      </c>
      <c r="F18" s="86" t="s">
        <v>1508</v>
      </c>
      <c r="G18" s="86" t="s">
        <v>1574</v>
      </c>
      <c r="H18" s="6" t="s">
        <v>1624</v>
      </c>
    </row>
    <row r="19" spans="1:8" ht="14" hidden="1" x14ac:dyDescent="0.3">
      <c r="A19" s="6" t="str">
        <f t="shared" si="0"/>
        <v>ENTITY_PURE_CAPEX_W</v>
      </c>
      <c r="B19" s="81" t="s">
        <v>10</v>
      </c>
      <c r="C19" s="82" t="s">
        <v>1421</v>
      </c>
      <c r="D19" s="95" t="s">
        <v>1422</v>
      </c>
      <c r="E19" s="86" t="s">
        <v>1564</v>
      </c>
      <c r="F19" s="86" t="s">
        <v>1508</v>
      </c>
      <c r="G19" s="86" t="s">
        <v>1574</v>
      </c>
      <c r="H19" s="6" t="s">
        <v>1624</v>
      </c>
    </row>
    <row r="20" spans="1:8" ht="14" hidden="1" x14ac:dyDescent="0.3">
      <c r="A20" s="6" t="str">
        <f t="shared" si="0"/>
        <v>ENTITY_PURE_TRNVR_W</v>
      </c>
      <c r="B20" s="81" t="s">
        <v>10</v>
      </c>
      <c r="C20" s="82" t="s">
        <v>1423</v>
      </c>
      <c r="D20" s="95" t="s">
        <v>1424</v>
      </c>
      <c r="E20" s="86" t="s">
        <v>1564</v>
      </c>
      <c r="F20" s="86" t="s">
        <v>1508</v>
      </c>
      <c r="G20" s="86" t="s">
        <v>1574</v>
      </c>
      <c r="H20" s="6" t="s">
        <v>1624</v>
      </c>
    </row>
    <row r="21" spans="1:8" ht="14" hidden="1" x14ac:dyDescent="0.3">
      <c r="A21" s="6" t="str">
        <f t="shared" si="0"/>
        <v>ENTITY_PURE_CAPEX_CE</v>
      </c>
      <c r="B21" s="81" t="s">
        <v>10</v>
      </c>
      <c r="C21" s="82" t="s">
        <v>1425</v>
      </c>
      <c r="D21" s="95" t="s">
        <v>1426</v>
      </c>
      <c r="E21" s="86" t="s">
        <v>1564</v>
      </c>
      <c r="F21" s="86" t="s">
        <v>1508</v>
      </c>
      <c r="G21" s="86" t="s">
        <v>1574</v>
      </c>
      <c r="H21" s="6" t="s">
        <v>1624</v>
      </c>
    </row>
    <row r="22" spans="1:8" ht="14" hidden="1" x14ac:dyDescent="0.3">
      <c r="A22" s="6" t="str">
        <f t="shared" si="0"/>
        <v>ENTITY_PURE_TRNVR_CE</v>
      </c>
      <c r="B22" s="81" t="s">
        <v>10</v>
      </c>
      <c r="C22" s="82" t="s">
        <v>1427</v>
      </c>
      <c r="D22" s="95" t="s">
        <v>1428</v>
      </c>
      <c r="E22" s="86" t="s">
        <v>1564</v>
      </c>
      <c r="F22" s="86" t="s">
        <v>1508</v>
      </c>
      <c r="G22" s="86" t="s">
        <v>1574</v>
      </c>
      <c r="H22" s="6" t="s">
        <v>1624</v>
      </c>
    </row>
    <row r="23" spans="1:8" ht="14" hidden="1" x14ac:dyDescent="0.3">
      <c r="A23" s="6" t="str">
        <f t="shared" si="0"/>
        <v>ENTITY_ENBLNG_CAPEX_W</v>
      </c>
      <c r="B23" s="81" t="s">
        <v>10</v>
      </c>
      <c r="C23" s="82" t="s">
        <v>1429</v>
      </c>
      <c r="D23" s="95" t="s">
        <v>1430</v>
      </c>
      <c r="E23" s="86" t="s">
        <v>1564</v>
      </c>
      <c r="F23" s="86" t="s">
        <v>1508</v>
      </c>
      <c r="G23" s="86" t="s">
        <v>1574</v>
      </c>
      <c r="H23" s="6" t="s">
        <v>1624</v>
      </c>
    </row>
    <row r="24" spans="1:8" ht="14" hidden="1" x14ac:dyDescent="0.3">
      <c r="A24" s="6" t="str">
        <f t="shared" si="0"/>
        <v>ENTITY_ENBLNG_TRNVR_W</v>
      </c>
      <c r="B24" s="81" t="s">
        <v>10</v>
      </c>
      <c r="C24" s="82" t="s">
        <v>1431</v>
      </c>
      <c r="D24" s="95" t="s">
        <v>1432</v>
      </c>
      <c r="E24" s="86" t="s">
        <v>1564</v>
      </c>
      <c r="F24" s="86" t="s">
        <v>1508</v>
      </c>
      <c r="G24" s="86" t="s">
        <v>1574</v>
      </c>
      <c r="H24" s="6" t="s">
        <v>1624</v>
      </c>
    </row>
    <row r="25" spans="1:8" ht="14" hidden="1" x14ac:dyDescent="0.3">
      <c r="A25" s="6" t="str">
        <f t="shared" si="0"/>
        <v>ENTITY_ENBLNG_CAPEX_CE</v>
      </c>
      <c r="B25" s="81" t="s">
        <v>10</v>
      </c>
      <c r="C25" s="82" t="s">
        <v>1433</v>
      </c>
      <c r="D25" s="95" t="s">
        <v>1434</v>
      </c>
      <c r="E25" s="86" t="s">
        <v>1564</v>
      </c>
      <c r="F25" s="86" t="s">
        <v>1508</v>
      </c>
      <c r="G25" s="86" t="s">
        <v>1574</v>
      </c>
      <c r="H25" s="6" t="s">
        <v>1624</v>
      </c>
    </row>
    <row r="26" spans="1:8" ht="14" hidden="1" x14ac:dyDescent="0.3">
      <c r="A26" s="6" t="str">
        <f t="shared" si="0"/>
        <v>ENTITY_ENBLNG_TRNVR_CE</v>
      </c>
      <c r="B26" s="81" t="s">
        <v>10</v>
      </c>
      <c r="C26" s="82" t="s">
        <v>1435</v>
      </c>
      <c r="D26" s="95" t="s">
        <v>1436</v>
      </c>
      <c r="E26" s="86" t="s">
        <v>1564</v>
      </c>
      <c r="F26" s="86" t="s">
        <v>1508</v>
      </c>
      <c r="G26" s="86" t="s">
        <v>1574</v>
      </c>
      <c r="H26" s="6" t="s">
        <v>1624</v>
      </c>
    </row>
    <row r="27" spans="1:8" ht="14" x14ac:dyDescent="0.3">
      <c r="A27" s="6" t="str">
        <f t="shared" si="0"/>
        <v>INSTRUMENT_FRBRNC_STTS_INSTRMNT</v>
      </c>
      <c r="B27" s="81" t="s">
        <v>414</v>
      </c>
      <c r="C27" s="82" t="s">
        <v>501</v>
      </c>
      <c r="D27" s="83" t="s">
        <v>502</v>
      </c>
      <c r="E27" s="86" t="s">
        <v>1559</v>
      </c>
      <c r="F27" s="86" t="s">
        <v>1521</v>
      </c>
      <c r="G27" s="86" t="s">
        <v>1574</v>
      </c>
      <c r="H27" s="6" t="s">
        <v>1623</v>
      </c>
    </row>
    <row r="28" spans="1:8" ht="14" hidden="1" x14ac:dyDescent="0.3">
      <c r="A28" s="6" t="str">
        <f t="shared" si="0"/>
        <v>INSTRUMENT_INTRNL_SGMNT</v>
      </c>
      <c r="B28" s="81" t="s">
        <v>414</v>
      </c>
      <c r="C28" s="82" t="s">
        <v>50</v>
      </c>
      <c r="D28" s="83" t="s">
        <v>51</v>
      </c>
      <c r="E28" s="86" t="s">
        <v>1561</v>
      </c>
      <c r="F28" s="127" t="s">
        <v>1625</v>
      </c>
      <c r="G28" s="86" t="s">
        <v>1545</v>
      </c>
      <c r="H28" s="6" t="s">
        <v>1626</v>
      </c>
    </row>
    <row r="29" spans="1:8" ht="14" x14ac:dyDescent="0.3">
      <c r="A29" s="6" t="str">
        <f t="shared" si="0"/>
        <v>INSTRUMENT_IFRS9_BHVRL_MTRTY</v>
      </c>
      <c r="B29" s="81" t="s">
        <v>414</v>
      </c>
      <c r="C29" s="82" t="s">
        <v>614</v>
      </c>
      <c r="D29" s="83" t="s">
        <v>615</v>
      </c>
      <c r="E29" s="86" t="s">
        <v>1565</v>
      </c>
      <c r="F29" s="86" t="s">
        <v>1521</v>
      </c>
      <c r="G29" s="86" t="s">
        <v>1574</v>
      </c>
      <c r="H29" s="6" t="s">
        <v>1623</v>
      </c>
    </row>
    <row r="30" spans="1:8" ht="14" hidden="1" x14ac:dyDescent="0.3">
      <c r="A30" s="6" t="str">
        <f t="shared" si="0"/>
        <v>INSTRUMENT_EAD</v>
      </c>
      <c r="B30" s="81" t="s">
        <v>414</v>
      </c>
      <c r="C30" s="82" t="s">
        <v>617</v>
      </c>
      <c r="D30" s="83" t="s">
        <v>618</v>
      </c>
      <c r="E30" s="86" t="s">
        <v>1563</v>
      </c>
      <c r="F30" s="127" t="s">
        <v>1627</v>
      </c>
      <c r="G30" s="86" t="s">
        <v>1545</v>
      </c>
      <c r="H30" s="6" t="s">
        <v>1626</v>
      </c>
    </row>
    <row r="31" spans="1:8" ht="14" hidden="1" x14ac:dyDescent="0.3">
      <c r="A31" s="6" t="str">
        <f t="shared" si="0"/>
        <v>INSTRUMENT_OFF_BLNC_SHT_AMNT_INSTRMNT</v>
      </c>
      <c r="B31" s="81" t="s">
        <v>414</v>
      </c>
      <c r="C31" s="82" t="s">
        <v>629</v>
      </c>
      <c r="D31" s="83" t="s">
        <v>630</v>
      </c>
      <c r="E31" s="86" t="s">
        <v>1563</v>
      </c>
      <c r="F31" s="127" t="s">
        <v>1627</v>
      </c>
      <c r="G31" s="86" t="s">
        <v>1545</v>
      </c>
      <c r="H31" s="6" t="s">
        <v>1626</v>
      </c>
    </row>
    <row r="32" spans="1:8" ht="14" x14ac:dyDescent="0.3">
      <c r="A32" s="6" t="str">
        <f t="shared" si="0"/>
        <v>INSTRUMENT_LTV</v>
      </c>
      <c r="B32" s="81" t="s">
        <v>414</v>
      </c>
      <c r="C32" s="82" t="s">
        <v>724</v>
      </c>
      <c r="D32" s="83" t="s">
        <v>725</v>
      </c>
      <c r="E32" s="86" t="s">
        <v>1564</v>
      </c>
      <c r="F32" s="86" t="s">
        <v>1521</v>
      </c>
      <c r="G32" s="86" t="s">
        <v>1574</v>
      </c>
      <c r="H32" s="6" t="s">
        <v>1623</v>
      </c>
    </row>
    <row r="33" spans="1:8" ht="14" x14ac:dyDescent="0.3">
      <c r="A33" s="6" t="str">
        <f t="shared" si="0"/>
        <v>INSTRUMENT_LTV_INCPTN</v>
      </c>
      <c r="B33" s="81" t="s">
        <v>414</v>
      </c>
      <c r="C33" s="82" t="s">
        <v>727</v>
      </c>
      <c r="D33" s="83" t="s">
        <v>728</v>
      </c>
      <c r="E33" s="86" t="s">
        <v>1564</v>
      </c>
      <c r="F33" s="86" t="s">
        <v>1521</v>
      </c>
      <c r="G33" s="86" t="s">
        <v>1574</v>
      </c>
      <c r="H33" s="6" t="s">
        <v>1623</v>
      </c>
    </row>
    <row r="34" spans="1:8" ht="14" x14ac:dyDescent="0.3">
      <c r="A34" s="6" t="str">
        <f t="shared" si="0"/>
        <v>INSTRUMENT_ANNLSD_AGRD_RT</v>
      </c>
      <c r="B34" s="81" t="s">
        <v>414</v>
      </c>
      <c r="C34" s="82" t="s">
        <v>757</v>
      </c>
      <c r="D34" s="83" t="s">
        <v>1437</v>
      </c>
      <c r="E34" s="86" t="s">
        <v>1564</v>
      </c>
      <c r="F34" s="86" t="s">
        <v>1521</v>
      </c>
      <c r="G34" s="86" t="s">
        <v>1574</v>
      </c>
      <c r="H34" s="6" t="s">
        <v>1623</v>
      </c>
    </row>
    <row r="35" spans="1:8" ht="14" x14ac:dyDescent="0.3">
      <c r="A35" s="6" t="str">
        <f t="shared" si="0"/>
        <v>INSTRUMENT_EIR_INCPTN</v>
      </c>
      <c r="B35" s="81" t="s">
        <v>414</v>
      </c>
      <c r="C35" s="82" t="s">
        <v>763</v>
      </c>
      <c r="D35" s="83" t="s">
        <v>764</v>
      </c>
      <c r="E35" s="86" t="s">
        <v>1564</v>
      </c>
      <c r="F35" s="86" t="s">
        <v>1521</v>
      </c>
      <c r="G35" s="86" t="s">
        <v>1574</v>
      </c>
      <c r="H35" s="6" t="s">
        <v>1623</v>
      </c>
    </row>
    <row r="36" spans="1:8" s="20" customFormat="1" ht="14" hidden="1" x14ac:dyDescent="0.3">
      <c r="A36" s="6" t="str">
        <f t="shared" si="0"/>
        <v>INSTRUMENT_INTRNL_SGMNT_CAT_MSTA</v>
      </c>
      <c r="B36" s="81" t="s">
        <v>414</v>
      </c>
      <c r="C36" s="82" t="s">
        <v>943</v>
      </c>
      <c r="D36" s="83" t="s">
        <v>944</v>
      </c>
      <c r="E36" s="86" t="s">
        <v>1559</v>
      </c>
      <c r="F36" s="127" t="s">
        <v>1625</v>
      </c>
      <c r="G36" s="86" t="s">
        <v>1545</v>
      </c>
      <c r="H36" s="6" t="s">
        <v>1626</v>
      </c>
    </row>
    <row r="37" spans="1:8" s="31" customFormat="1" ht="14" hidden="1" x14ac:dyDescent="0.3">
      <c r="A37" s="6" t="str">
        <f t="shared" si="0"/>
        <v>INSTRUMENT_INTRNL_SGMNT_CATGSUB</v>
      </c>
      <c r="B37" s="81" t="s">
        <v>414</v>
      </c>
      <c r="C37" s="82" t="s">
        <v>946</v>
      </c>
      <c r="D37" s="83" t="s">
        <v>947</v>
      </c>
      <c r="E37" s="86" t="s">
        <v>1559</v>
      </c>
      <c r="F37" s="127" t="s">
        <v>1625</v>
      </c>
      <c r="G37" s="86" t="s">
        <v>1545</v>
      </c>
      <c r="H37" s="6" t="s">
        <v>1626</v>
      </c>
    </row>
    <row r="38" spans="1:8" ht="14" x14ac:dyDescent="0.3">
      <c r="A38" s="6" t="str">
        <f t="shared" si="0"/>
        <v>INSTRUMENT_NW_BSNSS</v>
      </c>
      <c r="B38" s="81" t="s">
        <v>414</v>
      </c>
      <c r="C38" s="82" t="s">
        <v>973</v>
      </c>
      <c r="D38" s="83" t="s">
        <v>974</v>
      </c>
      <c r="E38" s="86" t="s">
        <v>1562</v>
      </c>
      <c r="F38" s="86" t="s">
        <v>1519</v>
      </c>
      <c r="G38" s="86" t="s">
        <v>1577</v>
      </c>
      <c r="H38" s="6" t="s">
        <v>1628</v>
      </c>
    </row>
    <row r="39" spans="1:8" ht="14" x14ac:dyDescent="0.3">
      <c r="A39" s="6" t="str">
        <f t="shared" si="0"/>
        <v>INSTRUMENT_TYP_OFF_BLNC_PRDCT</v>
      </c>
      <c r="B39" s="81" t="s">
        <v>414</v>
      </c>
      <c r="C39" s="82" t="s">
        <v>1351</v>
      </c>
      <c r="D39" s="92" t="s">
        <v>1352</v>
      </c>
      <c r="E39" s="86" t="s">
        <v>1559</v>
      </c>
      <c r="F39" s="86" t="s">
        <v>1505</v>
      </c>
      <c r="G39" s="86" t="s">
        <v>1574</v>
      </c>
      <c r="H39" s="6" t="s">
        <v>1623</v>
      </c>
    </row>
    <row r="40" spans="1:8" ht="14" x14ac:dyDescent="0.3">
      <c r="A40" s="6" t="str">
        <f t="shared" si="0"/>
        <v>INSTRUMENT_FLG_MNMM_SFGRDS</v>
      </c>
      <c r="B40" s="81" t="s">
        <v>414</v>
      </c>
      <c r="C40" s="82" t="s">
        <v>1438</v>
      </c>
      <c r="D40" s="83" t="s">
        <v>1439</v>
      </c>
      <c r="E40" s="86" t="s">
        <v>1562</v>
      </c>
      <c r="F40" s="86" t="s">
        <v>1508</v>
      </c>
      <c r="G40" s="86" t="s">
        <v>1534</v>
      </c>
      <c r="H40" s="6" t="s">
        <v>1629</v>
      </c>
    </row>
    <row r="41" spans="1:8" ht="14" x14ac:dyDescent="0.3">
      <c r="A41" s="6" t="str">
        <f t="shared" si="0"/>
        <v>INSTR_PROTECTION_TYP_RLTN</v>
      </c>
      <c r="B41" s="81" t="s">
        <v>1101</v>
      </c>
      <c r="C41" s="82" t="s">
        <v>1384</v>
      </c>
      <c r="D41" s="83" t="s">
        <v>1385</v>
      </c>
      <c r="E41" s="86" t="s">
        <v>1559</v>
      </c>
      <c r="F41" s="86" t="s">
        <v>1519</v>
      </c>
      <c r="G41" s="86" t="s">
        <v>1546</v>
      </c>
      <c r="H41" s="6" t="s">
        <v>1628</v>
      </c>
    </row>
    <row r="42" spans="1:8" ht="14" hidden="1" x14ac:dyDescent="0.3">
      <c r="A42" s="6" t="str">
        <f t="shared" si="0"/>
        <v>PROTECTION_RL_ESTT_ADDRSS</v>
      </c>
      <c r="B42" s="81" t="s">
        <v>1114</v>
      </c>
      <c r="C42" s="82" t="s">
        <v>1127</v>
      </c>
      <c r="D42" s="83" t="s">
        <v>1128</v>
      </c>
      <c r="E42" s="86" t="s">
        <v>1561</v>
      </c>
      <c r="F42" s="127" t="s">
        <v>1625</v>
      </c>
      <c r="G42" s="86" t="s">
        <v>1545</v>
      </c>
      <c r="H42" s="6" t="s">
        <v>1626</v>
      </c>
    </row>
    <row r="43" spans="1:8" ht="14" hidden="1" x14ac:dyDescent="0.3">
      <c r="A43" s="6" t="str">
        <f t="shared" si="0"/>
        <v>PROTECTION_RL_ESTT_CLLTRL_LCTN_INT</v>
      </c>
      <c r="B43" s="81" t="s">
        <v>1114</v>
      </c>
      <c r="C43" s="82" t="s">
        <v>1133</v>
      </c>
      <c r="D43" s="83" t="s">
        <v>1134</v>
      </c>
      <c r="E43" s="86" t="s">
        <v>1561</v>
      </c>
      <c r="F43" s="127" t="s">
        <v>1625</v>
      </c>
      <c r="G43" s="86" t="s">
        <v>1545</v>
      </c>
      <c r="H43" s="6" t="s">
        <v>1626</v>
      </c>
    </row>
    <row r="44" spans="1:8" ht="14" hidden="1" x14ac:dyDescent="0.3">
      <c r="A44" s="6" t="str">
        <f t="shared" si="0"/>
        <v>PROTECTION_RL_ESTT_CTY</v>
      </c>
      <c r="B44" s="81" t="s">
        <v>1114</v>
      </c>
      <c r="C44" s="82" t="s">
        <v>1136</v>
      </c>
      <c r="D44" s="83" t="s">
        <v>1137</v>
      </c>
      <c r="E44" s="86" t="s">
        <v>1561</v>
      </c>
      <c r="F44" s="127" t="s">
        <v>1625</v>
      </c>
      <c r="G44" s="86" t="s">
        <v>1545</v>
      </c>
      <c r="H44" s="6" t="s">
        <v>1626</v>
      </c>
    </row>
    <row r="45" spans="1:8" ht="14" x14ac:dyDescent="0.3">
      <c r="A45" s="6" t="str">
        <f t="shared" si="0"/>
        <v>PROTECTION_TYP_EMSSNS_LBL</v>
      </c>
      <c r="B45" s="81" t="s">
        <v>1114</v>
      </c>
      <c r="C45" s="82" t="s">
        <v>1235</v>
      </c>
      <c r="D45" s="83" t="s">
        <v>1236</v>
      </c>
      <c r="E45" s="86" t="s">
        <v>1559</v>
      </c>
      <c r="F45" s="127" t="s">
        <v>1509</v>
      </c>
      <c r="G45" s="86" t="s">
        <v>1534</v>
      </c>
      <c r="H45" s="6" t="s">
        <v>1629</v>
      </c>
    </row>
    <row r="46" spans="1:8" ht="14" hidden="1" x14ac:dyDescent="0.3">
      <c r="A46" s="6" t="str">
        <f t="shared" si="0"/>
        <v>PROTECTION_EPC_EMSSNS_LBL</v>
      </c>
      <c r="B46" s="81" t="s">
        <v>1114</v>
      </c>
      <c r="C46" s="82" t="s">
        <v>1238</v>
      </c>
      <c r="D46" s="92" t="s">
        <v>1239</v>
      </c>
      <c r="E46" s="86" t="s">
        <v>1559</v>
      </c>
      <c r="F46" s="127" t="s">
        <v>1509</v>
      </c>
      <c r="G46" s="86" t="s">
        <v>1545</v>
      </c>
      <c r="H46" s="6" t="s">
        <v>1626</v>
      </c>
    </row>
    <row r="47" spans="1:8" ht="14" x14ac:dyDescent="0.3">
      <c r="A47" s="6" t="str">
        <f t="shared" si="0"/>
        <v>PROTECTION_VHCL_EMSSNS_LBL</v>
      </c>
      <c r="B47" s="81" t="s">
        <v>1114</v>
      </c>
      <c r="C47" s="82" t="s">
        <v>1241</v>
      </c>
      <c r="D47" s="83" t="s">
        <v>1242</v>
      </c>
      <c r="E47" s="86" t="s">
        <v>1559</v>
      </c>
      <c r="F47" s="127" t="s">
        <v>1509</v>
      </c>
      <c r="G47" s="86" t="s">
        <v>1534</v>
      </c>
      <c r="H47" s="6" t="s">
        <v>1629</v>
      </c>
    </row>
    <row r="48" spans="1:8" ht="14" hidden="1" x14ac:dyDescent="0.3">
      <c r="A48" s="6" t="str">
        <f t="shared" si="0"/>
        <v>PROTECTION_TYP_EMSSNS_SCR</v>
      </c>
      <c r="B48" s="81" t="s">
        <v>1114</v>
      </c>
      <c r="C48" s="82" t="s">
        <v>1244</v>
      </c>
      <c r="D48" s="83" t="s">
        <v>1245</v>
      </c>
      <c r="E48" s="86" t="s">
        <v>1559</v>
      </c>
      <c r="F48" s="127" t="s">
        <v>1509</v>
      </c>
      <c r="G48" s="86" t="s">
        <v>1545</v>
      </c>
      <c r="H48" s="6" t="s">
        <v>1626</v>
      </c>
    </row>
    <row r="49" spans="1:8" ht="14" hidden="1" x14ac:dyDescent="0.3">
      <c r="A49" s="6" t="str">
        <f t="shared" si="0"/>
        <v>PROTECTION_EPC_EMSSNS_SCR</v>
      </c>
      <c r="B49" s="81" t="s">
        <v>1114</v>
      </c>
      <c r="C49" s="82" t="s">
        <v>1247</v>
      </c>
      <c r="D49" s="92" t="s">
        <v>1248</v>
      </c>
      <c r="E49" s="86" t="s">
        <v>1564</v>
      </c>
      <c r="F49" s="127" t="s">
        <v>1509</v>
      </c>
      <c r="G49" s="86" t="s">
        <v>1546</v>
      </c>
      <c r="H49" s="6" t="s">
        <v>1626</v>
      </c>
    </row>
    <row r="50" spans="1:8" ht="14" x14ac:dyDescent="0.3">
      <c r="A50" s="6" t="str">
        <f t="shared" si="0"/>
        <v>PROTECTION_VHCL_EMSSNS_SCR</v>
      </c>
      <c r="B50" s="81" t="s">
        <v>1114</v>
      </c>
      <c r="C50" s="82" t="s">
        <v>1250</v>
      </c>
      <c r="D50" s="92" t="s">
        <v>1251</v>
      </c>
      <c r="E50" s="86" t="s">
        <v>1564</v>
      </c>
      <c r="F50" s="127" t="s">
        <v>1509</v>
      </c>
      <c r="G50" s="86" t="s">
        <v>1534</v>
      </c>
      <c r="H50" s="6" t="s">
        <v>1629</v>
      </c>
    </row>
    <row r="51" spans="1:8" ht="14" x14ac:dyDescent="0.3">
      <c r="A51" s="6" t="str">
        <f t="shared" si="0"/>
        <v>PROTECTION_INSRNC_ID</v>
      </c>
      <c r="B51" s="81" t="s">
        <v>1114</v>
      </c>
      <c r="C51" s="82" t="s">
        <v>1275</v>
      </c>
      <c r="D51" s="92" t="s">
        <v>1276</v>
      </c>
      <c r="E51" s="86" t="s">
        <v>1566</v>
      </c>
      <c r="F51" s="127" t="s">
        <v>1509</v>
      </c>
      <c r="G51" s="86" t="s">
        <v>1534</v>
      </c>
      <c r="H51" s="6" t="s">
        <v>1629</v>
      </c>
    </row>
    <row r="52" spans="1:8" ht="14" x14ac:dyDescent="0.3">
      <c r="A52" s="6" t="str">
        <f t="shared" si="0"/>
        <v>PROTECTION_TYP_HZRDS_INSRD</v>
      </c>
      <c r="B52" s="81" t="s">
        <v>1114</v>
      </c>
      <c r="C52" s="82" t="s">
        <v>1278</v>
      </c>
      <c r="D52" s="92" t="s">
        <v>1279</v>
      </c>
      <c r="E52" s="86" t="s">
        <v>1559</v>
      </c>
      <c r="F52" s="127" t="s">
        <v>1509</v>
      </c>
      <c r="G52" s="86" t="s">
        <v>1534</v>
      </c>
      <c r="H52" s="6" t="s">
        <v>1629</v>
      </c>
    </row>
    <row r="53" spans="1:8" ht="14" x14ac:dyDescent="0.3">
      <c r="A53" s="6" t="str">
        <f t="shared" si="0"/>
        <v>PROTECTION_AMNT_CVRD_INSRNC</v>
      </c>
      <c r="B53" s="81" t="s">
        <v>1114</v>
      </c>
      <c r="C53" s="82" t="s">
        <v>1281</v>
      </c>
      <c r="D53" s="92" t="s">
        <v>1282</v>
      </c>
      <c r="E53" s="86" t="s">
        <v>1563</v>
      </c>
      <c r="F53" s="127" t="s">
        <v>1509</v>
      </c>
      <c r="G53" s="86" t="s">
        <v>1534</v>
      </c>
      <c r="H53" s="6" t="s">
        <v>1629</v>
      </c>
    </row>
    <row r="54" spans="1:8" ht="14" x14ac:dyDescent="0.3">
      <c r="A54" s="6" t="str">
        <f t="shared" si="0"/>
        <v>PROTECTION_DT_MTRTY_INSRNC</v>
      </c>
      <c r="B54" s="81" t="s">
        <v>1114</v>
      </c>
      <c r="C54" s="82" t="s">
        <v>1284</v>
      </c>
      <c r="D54" s="92" t="s">
        <v>1285</v>
      </c>
      <c r="E54" s="86" t="s">
        <v>1560</v>
      </c>
      <c r="F54" s="127" t="s">
        <v>1509</v>
      </c>
      <c r="G54" s="86" t="s">
        <v>1534</v>
      </c>
      <c r="H54" s="6" t="s">
        <v>1629</v>
      </c>
    </row>
    <row r="55" spans="1:8" ht="14" x14ac:dyDescent="0.3">
      <c r="A55" s="6" t="str">
        <f t="shared" si="0"/>
        <v>PROTECTION_FLG_FRST_HM</v>
      </c>
      <c r="B55" s="81" t="s">
        <v>1114</v>
      </c>
      <c r="C55" s="82" t="s">
        <v>1287</v>
      </c>
      <c r="D55" s="92" t="s">
        <v>1288</v>
      </c>
      <c r="E55" s="86" t="s">
        <v>1562</v>
      </c>
      <c r="F55" s="127" t="s">
        <v>1509</v>
      </c>
      <c r="G55" s="86" t="s">
        <v>1534</v>
      </c>
      <c r="H55" s="6" t="s">
        <v>1629</v>
      </c>
    </row>
    <row r="56" spans="1:8" ht="14" x14ac:dyDescent="0.3">
      <c r="A56" s="6" t="str">
        <f t="shared" si="0"/>
        <v>PROTECTION_YR_CNSTRCTN</v>
      </c>
      <c r="B56" s="81" t="s">
        <v>1114</v>
      </c>
      <c r="C56" s="82" t="s">
        <v>1290</v>
      </c>
      <c r="D56" s="92" t="s">
        <v>1291</v>
      </c>
      <c r="E56" s="86" t="s">
        <v>1565</v>
      </c>
      <c r="F56" s="86" t="s">
        <v>1521</v>
      </c>
      <c r="G56" s="86" t="s">
        <v>1547</v>
      </c>
      <c r="H56" s="6" t="s">
        <v>1623</v>
      </c>
    </row>
    <row r="57" spans="1:8" ht="14" hidden="1" x14ac:dyDescent="0.3">
      <c r="A57" s="6" t="str">
        <f t="shared" si="0"/>
        <v>PROTECTION_BLDNG_AR</v>
      </c>
      <c r="B57" s="81" t="s">
        <v>1114</v>
      </c>
      <c r="C57" s="82" t="s">
        <v>1387</v>
      </c>
      <c r="D57" s="92" t="s">
        <v>1388</v>
      </c>
      <c r="E57" s="86" t="s">
        <v>1564</v>
      </c>
      <c r="F57" s="86" t="s">
        <v>1508</v>
      </c>
      <c r="G57" s="86" t="s">
        <v>1545</v>
      </c>
      <c r="H57" s="6" t="s">
        <v>1626</v>
      </c>
    </row>
    <row r="58" spans="1:8" ht="14" x14ac:dyDescent="0.3">
      <c r="A58" s="6" t="str">
        <f t="shared" si="0"/>
        <v>PROTECTION_RL_ESTT_CRTFCTN</v>
      </c>
      <c r="B58" s="81" t="s">
        <v>1114</v>
      </c>
      <c r="C58" s="82" t="s">
        <v>1440</v>
      </c>
      <c r="D58" s="92" t="s">
        <v>1441</v>
      </c>
      <c r="E58" s="86" t="s">
        <v>1559</v>
      </c>
      <c r="F58" s="86" t="s">
        <v>1508</v>
      </c>
      <c r="G58" s="86" t="s">
        <v>1534</v>
      </c>
      <c r="H58" s="6" t="s">
        <v>1629</v>
      </c>
    </row>
    <row r="59" spans="1:8" ht="14" x14ac:dyDescent="0.3">
      <c r="A59" s="6" t="str">
        <f t="shared" si="0"/>
        <v>PROTECTION_TYP_VHCL</v>
      </c>
      <c r="B59" s="81" t="s">
        <v>1114</v>
      </c>
      <c r="C59" s="82" t="s">
        <v>1442</v>
      </c>
      <c r="D59" s="92" t="s">
        <v>1443</v>
      </c>
      <c r="E59" s="86" t="s">
        <v>1559</v>
      </c>
      <c r="F59" s="86" t="s">
        <v>1508</v>
      </c>
      <c r="G59" s="86" t="s">
        <v>1534</v>
      </c>
      <c r="H59" s="6" t="s">
        <v>1629</v>
      </c>
    </row>
    <row r="60" spans="1:8" ht="14" x14ac:dyDescent="0.3">
      <c r="A60" s="6" t="str">
        <f t="shared" si="0"/>
        <v>PROTECTION_DT_RGSTRTN</v>
      </c>
      <c r="B60" s="81" t="s">
        <v>1114</v>
      </c>
      <c r="C60" s="82" t="s">
        <v>1444</v>
      </c>
      <c r="D60" s="92" t="s">
        <v>1445</v>
      </c>
      <c r="E60" s="86" t="s">
        <v>1560</v>
      </c>
      <c r="F60" s="86" t="s">
        <v>1508</v>
      </c>
      <c r="G60" s="86" t="s">
        <v>1534</v>
      </c>
      <c r="H60" s="6" t="s">
        <v>1629</v>
      </c>
    </row>
    <row r="61" spans="1:8" ht="14" hidden="1" x14ac:dyDescent="0.3">
      <c r="A61" s="6" t="str">
        <f t="shared" si="0"/>
        <v>PROTECTION_PRMRY_ENRGY_DMND_NN_RNWBL</v>
      </c>
      <c r="B61" s="81" t="s">
        <v>1114</v>
      </c>
      <c r="C61" s="82" t="s">
        <v>1446</v>
      </c>
      <c r="D61" s="92" t="s">
        <v>1447</v>
      </c>
      <c r="E61" s="86" t="s">
        <v>1564</v>
      </c>
      <c r="F61" s="86" t="s">
        <v>1508</v>
      </c>
      <c r="G61" s="86" t="s">
        <v>1577</v>
      </c>
      <c r="H61" s="6" t="s">
        <v>1624</v>
      </c>
    </row>
    <row r="62" spans="1:8" ht="14" hidden="1" x14ac:dyDescent="0.3">
      <c r="A62" s="6" t="str">
        <f t="shared" si="0"/>
        <v>PROTECTION_PRMRY_ENRGY_DMND_TTL</v>
      </c>
      <c r="B62" s="81" t="s">
        <v>1114</v>
      </c>
      <c r="C62" s="82" t="s">
        <v>1448</v>
      </c>
      <c r="D62" s="92" t="s">
        <v>1449</v>
      </c>
      <c r="E62" s="86" t="s">
        <v>1564</v>
      </c>
      <c r="F62" s="86" t="s">
        <v>1508</v>
      </c>
      <c r="G62" s="86" t="s">
        <v>1547</v>
      </c>
      <c r="H62" s="6" t="s">
        <v>1624</v>
      </c>
    </row>
    <row r="63" spans="1:8" ht="14" hidden="1" x14ac:dyDescent="0.3">
      <c r="A63" s="6" t="str">
        <f t="shared" si="0"/>
        <v>PROTECTION_PRMRY_ENRGY_DMND_RFRNC_VL</v>
      </c>
      <c r="B63" s="81" t="s">
        <v>1114</v>
      </c>
      <c r="C63" s="82" t="s">
        <v>1450</v>
      </c>
      <c r="D63" s="92" t="s">
        <v>1451</v>
      </c>
      <c r="E63" s="86" t="s">
        <v>1564</v>
      </c>
      <c r="F63" s="86" t="s">
        <v>1508</v>
      </c>
      <c r="G63" s="86" t="s">
        <v>1547</v>
      </c>
      <c r="H63" s="6" t="s">
        <v>1624</v>
      </c>
    </row>
    <row r="64" spans="1:8" ht="14" hidden="1" x14ac:dyDescent="0.3">
      <c r="A64" s="6" t="str">
        <f t="shared" si="0"/>
        <v>PROTECTION_RL_ESTT_CLMT_ZN</v>
      </c>
      <c r="B64" s="81" t="s">
        <v>1114</v>
      </c>
      <c r="C64" s="82" t="s">
        <v>1452</v>
      </c>
      <c r="D64" s="92" t="s">
        <v>1453</v>
      </c>
      <c r="E64" s="86" t="s">
        <v>1559</v>
      </c>
      <c r="F64" s="86" t="s">
        <v>1508</v>
      </c>
      <c r="G64" s="86" t="s">
        <v>1547</v>
      </c>
      <c r="H64" s="6" t="s">
        <v>1624</v>
      </c>
    </row>
    <row r="65" spans="1:8" ht="14" x14ac:dyDescent="0.3">
      <c r="A65" s="6" t="str">
        <f t="shared" si="0"/>
        <v>INSTR_ACTIVITY_COD_SOC</v>
      </c>
      <c r="B65" s="81" t="s">
        <v>1458</v>
      </c>
      <c r="C65" s="82" t="s">
        <v>12</v>
      </c>
      <c r="D65" s="83" t="s">
        <v>14</v>
      </c>
      <c r="E65" s="86" t="s">
        <v>1558</v>
      </c>
      <c r="F65" s="86" t="s">
        <v>1519</v>
      </c>
      <c r="G65" s="86" t="s">
        <v>1545</v>
      </c>
      <c r="H65" s="6" t="s">
        <v>1628</v>
      </c>
    </row>
    <row r="66" spans="1:8" ht="14" x14ac:dyDescent="0.3">
      <c r="A66" s="6" t="str">
        <f t="shared" si="0"/>
        <v>INSTR_ACTIVITY_DT_RFRNC</v>
      </c>
      <c r="B66" s="81" t="s">
        <v>1458</v>
      </c>
      <c r="C66" s="82" t="s">
        <v>38</v>
      </c>
      <c r="D66" s="83" t="s">
        <v>402</v>
      </c>
      <c r="E66" s="86" t="s">
        <v>1560</v>
      </c>
      <c r="F66" s="86" t="s">
        <v>1519</v>
      </c>
      <c r="G66" s="86" t="s">
        <v>1574</v>
      </c>
      <c r="H66" s="6" t="s">
        <v>1628</v>
      </c>
    </row>
    <row r="67" spans="1:8" ht="14" x14ac:dyDescent="0.3">
      <c r="A67" s="6" t="str">
        <f t="shared" si="0"/>
        <v>INSTR_ACTIVITY_INSTRMNT_ID</v>
      </c>
      <c r="B67" s="81" t="s">
        <v>1458</v>
      </c>
      <c r="C67" s="82" t="s">
        <v>405</v>
      </c>
      <c r="D67" s="83" t="s">
        <v>406</v>
      </c>
      <c r="E67" s="86" t="s">
        <v>1566</v>
      </c>
      <c r="F67" s="86" t="s">
        <v>1519</v>
      </c>
      <c r="G67" s="86" t="s">
        <v>1545</v>
      </c>
      <c r="H67" s="6" t="s">
        <v>1628</v>
      </c>
    </row>
    <row r="68" spans="1:8" ht="14" x14ac:dyDescent="0.3">
      <c r="A68" s="6" t="str">
        <f t="shared" si="0"/>
        <v>INSTR_ACTIVITY_PRCNTG_ACTVTY</v>
      </c>
      <c r="B68" s="81" t="s">
        <v>1458</v>
      </c>
      <c r="C68" s="82" t="s">
        <v>1464</v>
      </c>
      <c r="D68" s="86" t="s">
        <v>1465</v>
      </c>
      <c r="E68" s="86" t="s">
        <v>1564</v>
      </c>
      <c r="F68" s="86" t="s">
        <v>1519</v>
      </c>
      <c r="G68" s="86" t="s">
        <v>1546</v>
      </c>
      <c r="H68" s="6" t="s">
        <v>1628</v>
      </c>
    </row>
    <row r="69" spans="1:8" ht="14" hidden="1" x14ac:dyDescent="0.3">
      <c r="A69" s="6" t="str">
        <f t="shared" ref="A69:A71" si="1">B69&amp;"_"&amp;C69</f>
        <v>INSTR_ACTIVITY_FLG_SBSTNTL_CNTRBTN</v>
      </c>
      <c r="B69" s="81" t="s">
        <v>1458</v>
      </c>
      <c r="C69" s="82" t="s">
        <v>1467</v>
      </c>
      <c r="D69" s="83" t="s">
        <v>1468</v>
      </c>
      <c r="E69" s="86" t="s">
        <v>1562</v>
      </c>
      <c r="F69" s="86" t="s">
        <v>1508</v>
      </c>
      <c r="G69" s="86" t="s">
        <v>1546</v>
      </c>
      <c r="H69" s="6" t="s">
        <v>1624</v>
      </c>
    </row>
    <row r="70" spans="1:8" ht="14" x14ac:dyDescent="0.3">
      <c r="A70" s="6" t="str">
        <f t="shared" si="1"/>
        <v>INSTR_ACTIVITY_FLG_DNSH_CMPLNC</v>
      </c>
      <c r="B70" s="81" t="s">
        <v>1458</v>
      </c>
      <c r="C70" s="82" t="s">
        <v>1469</v>
      </c>
      <c r="D70" s="83" t="s">
        <v>1470</v>
      </c>
      <c r="E70" s="86" t="s">
        <v>1562</v>
      </c>
      <c r="F70" s="86" t="s">
        <v>1508</v>
      </c>
      <c r="G70" s="86" t="s">
        <v>1534</v>
      </c>
      <c r="H70" s="6" t="s">
        <v>1629</v>
      </c>
    </row>
    <row r="71" spans="1:8" ht="14" x14ac:dyDescent="0.3">
      <c r="A71" s="6" t="str">
        <f t="shared" si="1"/>
        <v>INSTR_ACTIVITY_DNSH_DTL</v>
      </c>
      <c r="B71" s="81" t="s">
        <v>1458</v>
      </c>
      <c r="C71" s="82" t="s">
        <v>1471</v>
      </c>
      <c r="D71" s="83" t="s">
        <v>1472</v>
      </c>
      <c r="E71" s="86" t="s">
        <v>1559</v>
      </c>
      <c r="F71" s="86" t="s">
        <v>1508</v>
      </c>
      <c r="G71" s="86" t="s">
        <v>1534</v>
      </c>
      <c r="H71" s="6" t="s">
        <v>1629</v>
      </c>
    </row>
    <row r="73" spans="1:8" ht="14" x14ac:dyDescent="0.3">
      <c r="C73" s="37"/>
    </row>
    <row r="74" spans="1:8" ht="14.9" customHeight="1" x14ac:dyDescent="0.3">
      <c r="C74" s="37"/>
    </row>
    <row r="75" spans="1:8" ht="14.9" customHeight="1" x14ac:dyDescent="0.3">
      <c r="C75" s="37"/>
    </row>
    <row r="76" spans="1:8" ht="14.9" customHeight="1" x14ac:dyDescent="0.3">
      <c r="C76" s="37"/>
    </row>
    <row r="77" spans="1:8" ht="14.9" customHeight="1" x14ac:dyDescent="0.3">
      <c r="C77" s="37"/>
    </row>
    <row r="78" spans="1:8" ht="14.9" customHeight="1" x14ac:dyDescent="0.3">
      <c r="C78" s="37"/>
    </row>
    <row r="79" spans="1:8" ht="14.9" customHeight="1" x14ac:dyDescent="0.3">
      <c r="C79" s="37"/>
    </row>
    <row r="80" spans="1:8" ht="14.9" customHeight="1" x14ac:dyDescent="0.3">
      <c r="C80" s="37"/>
    </row>
    <row r="81" spans="3:3" ht="14.9" customHeight="1" x14ac:dyDescent="0.3">
      <c r="C81" s="3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B05-7504-433C-AD6A-C1E695F87004}">
  <dimension ref="A2:IX429"/>
  <sheetViews>
    <sheetView workbookViewId="0"/>
  </sheetViews>
  <sheetFormatPr defaultRowHeight="14" x14ac:dyDescent="0.3"/>
  <cols>
    <col min="2" max="2" width="17.9140625" customWidth="1"/>
    <col min="3" max="3" width="38.08203125" customWidth="1"/>
    <col min="4" max="4" width="50.5" customWidth="1"/>
  </cols>
  <sheetData>
    <row r="2" spans="1:258" x14ac:dyDescent="0.3">
      <c r="E2" s="53"/>
      <c r="T2" s="53"/>
      <c r="U2" s="53"/>
      <c r="V2" s="53"/>
      <c r="W2" s="53"/>
      <c r="AC2" s="53"/>
      <c r="AF2" s="53"/>
      <c r="BT2" s="53"/>
      <c r="IX2" s="53"/>
    </row>
    <row r="4" spans="1:258" x14ac:dyDescent="0.3">
      <c r="A4" s="47" t="str">
        <f>B4&amp;"_"&amp;C4</f>
        <v>ENTITY_CNTRY</v>
      </c>
      <c r="B4" t="s">
        <v>10</v>
      </c>
      <c r="C4" t="s">
        <v>17</v>
      </c>
      <c r="D4" t="str">
        <f>VLOOKUP(A4,'LISTA - Atual'!$B$1:$B$444,1,0)</f>
        <v>ENTITY_CNTRY</v>
      </c>
    </row>
    <row r="5" spans="1:258" x14ac:dyDescent="0.3">
      <c r="A5" s="47" t="str">
        <f t="shared" ref="A5:A68" si="0">B5&amp;"_"&amp;C5</f>
        <v>ENTITY_DT_BRTH</v>
      </c>
      <c r="B5" t="s">
        <v>10</v>
      </c>
      <c r="C5" t="s">
        <v>20</v>
      </c>
      <c r="D5" t="str">
        <f>VLOOKUP(A5,'LISTA - Atual'!$B$1:$B$444,1,0)</f>
        <v>ENTITY_DT_BRTH</v>
      </c>
    </row>
    <row r="6" spans="1:258" x14ac:dyDescent="0.3">
      <c r="A6" s="47" t="str">
        <f t="shared" si="0"/>
        <v>ENTITY_DT_DFLT_STTS</v>
      </c>
      <c r="B6" t="s">
        <v>10</v>
      </c>
      <c r="C6" t="s">
        <v>23</v>
      </c>
      <c r="D6" t="str">
        <f>VLOOKUP(A6,'LISTA - Atual'!$B$1:$B$444,1,0)</f>
        <v>ENTITY_DT_DFLT_STTS</v>
      </c>
    </row>
    <row r="7" spans="1:258" x14ac:dyDescent="0.3">
      <c r="A7" s="47" t="str">
        <f t="shared" si="0"/>
        <v>ENTITY_DT_FNNCL_STTMTS</v>
      </c>
      <c r="B7" t="s">
        <v>10</v>
      </c>
      <c r="C7" t="s">
        <v>26</v>
      </c>
      <c r="D7" t="str">
        <f>VLOOKUP(A7,'LISTA - Atual'!$B$1:$B$444,1,0)</f>
        <v>ENTITY_DT_FNNCL_STTMTS</v>
      </c>
    </row>
    <row r="8" spans="1:258" x14ac:dyDescent="0.3">
      <c r="A8" s="47" t="str">
        <f t="shared" si="0"/>
        <v>ENTITY_DT_FNNCL_STTMTS_PRVS</v>
      </c>
      <c r="B8" t="s">
        <v>10</v>
      </c>
      <c r="C8" t="s">
        <v>29</v>
      </c>
      <c r="D8" t="str">
        <f>VLOOKUP(A8,'LISTA - Atual'!$B$1:$B$444,1,0)</f>
        <v>ENTITY_DT_FNNCL_STTMTS_PRVS</v>
      </c>
    </row>
    <row r="9" spans="1:258" x14ac:dyDescent="0.3">
      <c r="A9" s="47" t="str">
        <f t="shared" si="0"/>
        <v>ENTITY_DT_INTTN_LGL_PRCDNGS_LE</v>
      </c>
      <c r="B9" t="s">
        <v>10</v>
      </c>
      <c r="C9" t="s">
        <v>32</v>
      </c>
      <c r="D9" t="str">
        <f>VLOOKUP(A9,'LISTA - Atual'!$B$1:$B$444,1,0)</f>
        <v>ENTITY_DT_INTTN_LGL_PRCDNGS_LE</v>
      </c>
    </row>
    <row r="10" spans="1:258" x14ac:dyDescent="0.3">
      <c r="A10" s="47" t="str">
        <f t="shared" si="0"/>
        <v>ENTITY_DT_PRFRMNG_STTS_LE</v>
      </c>
      <c r="B10" t="s">
        <v>10</v>
      </c>
      <c r="C10" t="s">
        <v>35</v>
      </c>
      <c r="D10" t="str">
        <f>VLOOKUP(A10,'LISTA - Atual'!$B$1:$B$444,1,0)</f>
        <v>ENTITY_DT_PRFRMNG_STTS_LE</v>
      </c>
    </row>
    <row r="11" spans="1:258" x14ac:dyDescent="0.3">
      <c r="A11" s="47" t="str">
        <f t="shared" si="0"/>
        <v>ENTITY_ENTTY_ID</v>
      </c>
      <c r="B11" t="s">
        <v>10</v>
      </c>
      <c r="C11" t="s">
        <v>41</v>
      </c>
      <c r="D11" t="str">
        <f>VLOOKUP(A11,'LISTA - Atual'!$B$1:$B$444,1,0)</f>
        <v>ENTITY_ENTTY_ID</v>
      </c>
    </row>
    <row r="12" spans="1:258" x14ac:dyDescent="0.3">
      <c r="A12" s="47" t="str">
        <f t="shared" si="0"/>
        <v>ENTITY_GCC_PRNT_ID</v>
      </c>
      <c r="B12" t="s">
        <v>10</v>
      </c>
      <c r="C12" t="s">
        <v>44</v>
      </c>
      <c r="D12" t="str">
        <f>VLOOKUP(A12,'LISTA - Atual'!$B$1:$B$444,1,0)</f>
        <v>ENTITY_GCC_PRNT_ID</v>
      </c>
    </row>
    <row r="13" spans="1:258" x14ac:dyDescent="0.3">
      <c r="A13" s="47" t="str">
        <f t="shared" si="0"/>
        <v>ENTITY_GCC_PRNT_NM</v>
      </c>
      <c r="B13" t="s">
        <v>10</v>
      </c>
      <c r="C13" t="s">
        <v>47</v>
      </c>
      <c r="D13" t="str">
        <f>VLOOKUP(A13,'LISTA - Atual'!$B$1:$B$444,1,0)</f>
        <v>ENTITY_GCC_PRNT_NM</v>
      </c>
    </row>
    <row r="14" spans="1:258" x14ac:dyDescent="0.3">
      <c r="A14" s="47" t="str">
        <f t="shared" si="0"/>
        <v>ENTITY_INTRNL_SGMNT</v>
      </c>
      <c r="B14" t="s">
        <v>10</v>
      </c>
      <c r="C14" t="s">
        <v>50</v>
      </c>
      <c r="D14" t="str">
        <f>VLOOKUP(A14,'LISTA - Atual'!$B$1:$B$444,1,0)</f>
        <v>ENTITY_INTRNL_SGMNT</v>
      </c>
    </row>
    <row r="15" spans="1:258" x14ac:dyDescent="0.3">
      <c r="A15" s="47" t="str">
        <f t="shared" si="0"/>
        <v>ENTITY_INTRNL_UNT</v>
      </c>
      <c r="B15" t="s">
        <v>10</v>
      </c>
      <c r="C15" t="s">
        <v>53</v>
      </c>
      <c r="D15" t="str">
        <f>VLOOKUP(A15,'LISTA - Atual'!$B$1:$B$444,1,0)</f>
        <v>ENTITY_INTRNL_UNT</v>
      </c>
    </row>
    <row r="16" spans="1:258" x14ac:dyDescent="0.3">
      <c r="A16" s="47" t="str">
        <f t="shared" si="0"/>
        <v>ENTITY_LEI</v>
      </c>
      <c r="B16" t="s">
        <v>10</v>
      </c>
      <c r="C16" t="s">
        <v>56</v>
      </c>
      <c r="D16" t="str">
        <f>VLOOKUP(A16,'LISTA - Atual'!$B$1:$B$444,1,0)</f>
        <v>ENTITY_LEI</v>
      </c>
    </row>
    <row r="17" spans="1:4" x14ac:dyDescent="0.3">
      <c r="A17" s="47" t="str">
        <f t="shared" si="0"/>
        <v>ENTITY_ENTTY_NM</v>
      </c>
      <c r="B17" t="s">
        <v>10</v>
      </c>
      <c r="C17" t="s">
        <v>59</v>
      </c>
      <c r="D17" t="str">
        <f>VLOOKUP(A17,'LISTA - Atual'!$B$1:$B$444,1,0)</f>
        <v>ENTITY_ENTTY_NM</v>
      </c>
    </row>
    <row r="18" spans="1:4" x14ac:dyDescent="0.3">
      <c r="A18" s="47" t="str">
        <f t="shared" si="0"/>
        <v>ENTITY_EXTRNL_RTNG_NM</v>
      </c>
      <c r="B18" t="s">
        <v>10</v>
      </c>
      <c r="C18" t="s">
        <v>62</v>
      </c>
      <c r="D18" t="str">
        <f>VLOOKUP(A18,'LISTA - Atual'!$B$1:$B$444,1,0)</f>
        <v>ENTITY_EXTRNL_RTNG_NM</v>
      </c>
    </row>
    <row r="19" spans="1:4" x14ac:dyDescent="0.3">
      <c r="A19" s="47" t="str">
        <f t="shared" si="0"/>
        <v>ENTITY_ACCNTNG_FRMWRK_SL</v>
      </c>
      <c r="B19" t="s">
        <v>10</v>
      </c>
      <c r="C19" t="s">
        <v>65</v>
      </c>
      <c r="D19" t="str">
        <f>VLOOKUP(A19,'LISTA - Atual'!$B$1:$B$444,1,0)</f>
        <v>ENTITY_ACCNTNG_FRMWRK_SL</v>
      </c>
    </row>
    <row r="20" spans="1:4" x14ac:dyDescent="0.3">
      <c r="A20" s="47" t="str">
        <f t="shared" si="0"/>
        <v>ENTITY_CR_FLG</v>
      </c>
      <c r="B20" t="s">
        <v>10</v>
      </c>
      <c r="C20" t="s">
        <v>68</v>
      </c>
      <c r="D20" t="str">
        <f>VLOOKUP(A20,'LISTA - Atual'!$B$1:$B$444,1,0)</f>
        <v>ENTITY_CR_FLG</v>
      </c>
    </row>
    <row r="21" spans="1:4" x14ac:dyDescent="0.3">
      <c r="A21" s="47" t="str">
        <f t="shared" si="0"/>
        <v>ENTITY_DCSD</v>
      </c>
      <c r="B21" t="s">
        <v>10</v>
      </c>
      <c r="C21" t="s">
        <v>71</v>
      </c>
      <c r="D21" t="str">
        <f>VLOOKUP(A21,'LISTA - Atual'!$B$1:$B$444,1,0)</f>
        <v>ENTITY_DCSD</v>
      </c>
    </row>
    <row r="22" spans="1:4" x14ac:dyDescent="0.3">
      <c r="A22" s="47" t="str">
        <f t="shared" si="0"/>
        <v>ENTITY_DFLT_STTS</v>
      </c>
      <c r="B22" t="s">
        <v>10</v>
      </c>
      <c r="C22" t="s">
        <v>74</v>
      </c>
      <c r="D22" t="str">
        <f>VLOOKUP(A22,'LISTA - Atual'!$B$1:$B$444,1,0)</f>
        <v>ENTITY_DFLT_STTS</v>
      </c>
    </row>
    <row r="23" spans="1:4" x14ac:dyDescent="0.3">
      <c r="A23" s="47" t="str">
        <f t="shared" si="0"/>
        <v>ENTITY_DT_EXTRNL_RTNG</v>
      </c>
      <c r="B23" t="s">
        <v>10</v>
      </c>
      <c r="C23" t="s">
        <v>77</v>
      </c>
      <c r="D23" t="str">
        <f>VLOOKUP(A23,'LISTA - Atual'!$B$1:$B$444,1,0)</f>
        <v>ENTITY_DT_EXTRNL_RTNG</v>
      </c>
    </row>
    <row r="24" spans="1:4" x14ac:dyDescent="0.3">
      <c r="A24" s="47" t="str">
        <f t="shared" si="0"/>
        <v>ENTITY_DT_INTRNL_RTNG</v>
      </c>
      <c r="B24" t="s">
        <v>10</v>
      </c>
      <c r="C24" t="s">
        <v>80</v>
      </c>
      <c r="D24" t="str">
        <f>VLOOKUP(A24,'LISTA - Atual'!$B$1:$B$444,1,0)</f>
        <v>ENTITY_DT_INTRNL_RTNG</v>
      </c>
    </row>
    <row r="25" spans="1:4" x14ac:dyDescent="0.3">
      <c r="A25" s="47" t="str">
        <f t="shared" si="0"/>
        <v>ENTITY_ECNMC_ACTVTY</v>
      </c>
      <c r="B25" t="s">
        <v>10</v>
      </c>
      <c r="C25" t="s">
        <v>83</v>
      </c>
      <c r="D25" t="str">
        <f>VLOOKUP(A25,'LISTA - Atual'!$B$1:$B$444,1,0)</f>
        <v>ENTITY_ECNMC_ACTVTY</v>
      </c>
    </row>
    <row r="26" spans="1:4" x14ac:dyDescent="0.3">
      <c r="A26" s="47" t="str">
        <f t="shared" si="0"/>
        <v>ENTITY_EMPLYMNT_STTS_INTRNL</v>
      </c>
      <c r="B26" t="s">
        <v>10</v>
      </c>
      <c r="C26" t="s">
        <v>86</v>
      </c>
      <c r="D26" t="str">
        <f>VLOOKUP(A26,'LISTA - Atual'!$B$1:$B$444,1,0)</f>
        <v>ENTITY_EMPLYMNT_STTS_INTRNL</v>
      </c>
    </row>
    <row r="27" spans="1:4" x14ac:dyDescent="0.3">
      <c r="A27" s="47" t="str">
        <f t="shared" si="0"/>
        <v>ENTITY_EMPLYMNT_STTS</v>
      </c>
      <c r="B27" t="s">
        <v>10</v>
      </c>
      <c r="C27" t="s">
        <v>89</v>
      </c>
      <c r="D27" t="str">
        <f>VLOOKUP(A27,'LISTA - Atual'!$B$1:$B$444,1,0)</f>
        <v>ENTITY_EMPLYMNT_STTS</v>
      </c>
    </row>
    <row r="28" spans="1:4" x14ac:dyDescent="0.3">
      <c r="A28" s="47" t="str">
        <f t="shared" si="0"/>
        <v>ENTITY_ENTRPRS_SZ_LE</v>
      </c>
      <c r="B28" t="s">
        <v>10</v>
      </c>
      <c r="C28" t="s">
        <v>92</v>
      </c>
      <c r="D28" t="str">
        <f>VLOOKUP(A28,'LISTA - Atual'!$B$1:$B$444,1,0)</f>
        <v>ENTITY_ENTRPRS_SZ_LE</v>
      </c>
    </row>
    <row r="29" spans="1:4" x14ac:dyDescent="0.3">
      <c r="A29" s="47" t="str">
        <f t="shared" si="0"/>
        <v>ENTITY_EXTRNL_RTNG</v>
      </c>
      <c r="B29" t="s">
        <v>10</v>
      </c>
      <c r="C29" t="s">
        <v>95</v>
      </c>
      <c r="D29" t="str">
        <f>VLOOKUP(A29,'LISTA - Atual'!$B$1:$B$444,1,0)</f>
        <v>ENTITY_EXTRNL_RTNG</v>
      </c>
    </row>
    <row r="30" spans="1:4" x14ac:dyDescent="0.3">
      <c r="A30" s="47" t="str">
        <f t="shared" si="0"/>
        <v>ENTITY_EXTRNL_RTNG_PRVS</v>
      </c>
      <c r="B30" t="s">
        <v>10</v>
      </c>
      <c r="C30" t="s">
        <v>98</v>
      </c>
      <c r="D30" t="str">
        <f>VLOOKUP(A30,'LISTA - Atual'!$B$1:$B$444,1,0)</f>
        <v>ENTITY_EXTRNL_RTNG_PRVS</v>
      </c>
    </row>
    <row r="31" spans="1:4" x14ac:dyDescent="0.3">
      <c r="A31" s="47" t="str">
        <f t="shared" si="0"/>
        <v>ENTITY_FLG_BNKRPTCY_IN_GRP</v>
      </c>
      <c r="B31" t="s">
        <v>10</v>
      </c>
      <c r="C31" t="s">
        <v>101</v>
      </c>
      <c r="D31" t="str">
        <f>VLOOKUP(A31,'LISTA - Atual'!$B$1:$B$444,1,0)</f>
        <v>ENTITY_FLG_BNKRPTCY_IN_GRP</v>
      </c>
    </row>
    <row r="32" spans="1:4" x14ac:dyDescent="0.3">
      <c r="A32" s="47" t="str">
        <f t="shared" si="0"/>
        <v>ENTITY_FLG_HGH_CDS</v>
      </c>
      <c r="B32" t="s">
        <v>10</v>
      </c>
      <c r="C32" t="s">
        <v>104</v>
      </c>
      <c r="D32" t="str">
        <f>VLOOKUP(A32,'LISTA - Atual'!$B$1:$B$444,1,0)</f>
        <v>ENTITY_FLG_HGH_CDS</v>
      </c>
    </row>
    <row r="33" spans="1:4" x14ac:dyDescent="0.3">
      <c r="A33" s="47" t="str">
        <f t="shared" si="0"/>
        <v>ENTITY_FLG_ISDA_CRDT_EVNT</v>
      </c>
      <c r="B33" t="s">
        <v>10</v>
      </c>
      <c r="C33" t="s">
        <v>107</v>
      </c>
      <c r="D33" t="str">
        <f>VLOOKUP(A33,'LISTA - Atual'!$B$1:$B$444,1,0)</f>
        <v>ENTITY_FLG_ISDA_CRDT_EVNT</v>
      </c>
    </row>
    <row r="34" spans="1:4" x14ac:dyDescent="0.3">
      <c r="A34" s="47" t="str">
        <f t="shared" si="0"/>
        <v>ENTITY_FLG_RQST_BNKRPTCY</v>
      </c>
      <c r="B34" t="s">
        <v>10</v>
      </c>
      <c r="C34" t="s">
        <v>113</v>
      </c>
      <c r="D34" t="str">
        <f>VLOOKUP(A34,'LISTA - Atual'!$B$1:$B$444,1,0)</f>
        <v>ENTITY_FLG_RQST_BNKRPTCY</v>
      </c>
    </row>
    <row r="35" spans="1:4" x14ac:dyDescent="0.3">
      <c r="A35" s="47" t="str">
        <f t="shared" si="0"/>
        <v>ENTITY_FLG_RQST_DSTRSSD_RSTRCTRNG</v>
      </c>
      <c r="B35" t="s">
        <v>10</v>
      </c>
      <c r="C35" t="s">
        <v>116</v>
      </c>
      <c r="D35" t="str">
        <f>VLOOKUP(A35,'LISTA - Atual'!$B$1:$B$444,1,0)</f>
        <v>ENTITY_FLG_RQST_DSTRSSD_RSTRCTRNG</v>
      </c>
    </row>
    <row r="36" spans="1:4" x14ac:dyDescent="0.3">
      <c r="A36" s="47" t="str">
        <f t="shared" si="0"/>
        <v>ENTITY_FLG_RQST_EMRGNCY_FNDNG</v>
      </c>
      <c r="B36" t="s">
        <v>10</v>
      </c>
      <c r="C36" t="s">
        <v>119</v>
      </c>
      <c r="D36" t="str">
        <f>VLOOKUP(A36,'LISTA - Atual'!$B$1:$B$444,1,0)</f>
        <v>ENTITY_FLG_RQST_EMRGNCY_FNDNG</v>
      </c>
    </row>
    <row r="37" spans="1:4" x14ac:dyDescent="0.3">
      <c r="A37" s="47" t="str">
        <f t="shared" si="0"/>
        <v>ENTITY_FLG_SLL_WTH_LSS</v>
      </c>
      <c r="B37" t="s">
        <v>10</v>
      </c>
      <c r="C37" t="s">
        <v>122</v>
      </c>
      <c r="D37" t="str">
        <f>VLOOKUP(A37,'LISTA - Atual'!$B$1:$B$444,1,0)</f>
        <v>ENTITY_FLG_SLL_WTH_LSS</v>
      </c>
    </row>
    <row r="38" spans="1:4" x14ac:dyDescent="0.3">
      <c r="A38" s="47" t="str">
        <f t="shared" si="0"/>
        <v>ENTITY_INCM_SC</v>
      </c>
      <c r="B38" t="s">
        <v>10</v>
      </c>
      <c r="C38" t="s">
        <v>125</v>
      </c>
      <c r="D38" t="str">
        <f>VLOOKUP(A38,'LISTA - Atual'!$B$1:$B$444,1,0)</f>
        <v>ENTITY_INCM_SC</v>
      </c>
    </row>
    <row r="39" spans="1:4" x14ac:dyDescent="0.3">
      <c r="A39" s="47" t="str">
        <f t="shared" si="0"/>
        <v>ENTITY_INTRNL_RTNG</v>
      </c>
      <c r="B39" t="s">
        <v>10</v>
      </c>
      <c r="C39" t="s">
        <v>128</v>
      </c>
      <c r="D39" t="str">
        <f>VLOOKUP(A39,'LISTA - Atual'!$B$1:$B$444,1,0)</f>
        <v>ENTITY_INTRNL_RTNG</v>
      </c>
    </row>
    <row r="40" spans="1:4" x14ac:dyDescent="0.3">
      <c r="A40" s="47" t="str">
        <f t="shared" si="0"/>
        <v>ENTITY_INTRNL_RTNG_PRVS</v>
      </c>
      <c r="B40" t="s">
        <v>10</v>
      </c>
      <c r="C40" t="s">
        <v>131</v>
      </c>
      <c r="D40" t="str">
        <f>VLOOKUP(A40,'LISTA - Atual'!$B$1:$B$444,1,0)</f>
        <v>ENTITY_INTRNL_RTNG_PRVS</v>
      </c>
    </row>
    <row r="41" spans="1:4" x14ac:dyDescent="0.3">
      <c r="A41" s="47" t="str">
        <f t="shared" si="0"/>
        <v>ENTITY_LGL_PRCDNG_STTS_LE</v>
      </c>
      <c r="B41" t="s">
        <v>10</v>
      </c>
      <c r="C41" t="s">
        <v>134</v>
      </c>
      <c r="D41" t="str">
        <f>VLOOKUP(A41,'LISTA - Atual'!$B$1:$B$444,1,0)</f>
        <v>ENTITY_LGL_PRCDNG_STTS_LE</v>
      </c>
    </row>
    <row r="42" spans="1:4" x14ac:dyDescent="0.3">
      <c r="A42" s="47" t="str">
        <f t="shared" si="0"/>
        <v>ENTITY_OWND_BY_SPNSR</v>
      </c>
      <c r="B42" t="s">
        <v>10</v>
      </c>
      <c r="C42" t="s">
        <v>137</v>
      </c>
      <c r="D42" t="str">
        <f>VLOOKUP(A42,'LISTA - Atual'!$B$1:$B$444,1,0)</f>
        <v>ENTITY_OWND_BY_SPNSR</v>
      </c>
    </row>
    <row r="43" spans="1:4" x14ac:dyDescent="0.3">
      <c r="A43" s="47" t="str">
        <f t="shared" si="0"/>
        <v>ENTITY_PRFRMNG_STTS_LE</v>
      </c>
      <c r="B43" t="s">
        <v>10</v>
      </c>
      <c r="C43" t="s">
        <v>140</v>
      </c>
      <c r="D43" t="str">
        <f>VLOOKUP(A43,'LISTA - Atual'!$B$1:$B$444,1,0)</f>
        <v>ENTITY_PRFRMNG_STTS_LE</v>
      </c>
    </row>
    <row r="44" spans="1:4" x14ac:dyDescent="0.3">
      <c r="A44" s="47" t="str">
        <f t="shared" si="0"/>
        <v>ENTITY_RTNG_MTHD</v>
      </c>
      <c r="B44" t="s">
        <v>10</v>
      </c>
      <c r="C44" t="s">
        <v>143</v>
      </c>
      <c r="D44" t="str">
        <f>VLOOKUP(A44,'LISTA - Atual'!$B$1:$B$444,1,0)</f>
        <v>ENTITY_RTNG_MTHD</v>
      </c>
    </row>
    <row r="45" spans="1:4" x14ac:dyDescent="0.3">
      <c r="A45" s="47" t="str">
        <f t="shared" si="0"/>
        <v>ENTITY_RTNG_SCL</v>
      </c>
      <c r="B45" t="s">
        <v>10</v>
      </c>
      <c r="C45" t="s">
        <v>146</v>
      </c>
      <c r="D45" t="str">
        <f>VLOOKUP(A45,'LISTA - Atual'!$B$1:$B$444,1,0)</f>
        <v>ENTITY_RTNG_SCL</v>
      </c>
    </row>
    <row r="46" spans="1:4" x14ac:dyDescent="0.3">
      <c r="A46" s="47" t="str">
        <f t="shared" si="0"/>
        <v>ENTITY_WTCH_LST</v>
      </c>
      <c r="B46" t="s">
        <v>10</v>
      </c>
      <c r="C46" t="s">
        <v>149</v>
      </c>
      <c r="D46" t="str">
        <f>VLOOKUP(A46,'LISTA - Atual'!$B$1:$B$444,1,0)</f>
        <v>ENTITY_WTCH_LST</v>
      </c>
    </row>
    <row r="47" spans="1:4" x14ac:dyDescent="0.3">
      <c r="A47" s="47" t="str">
        <f t="shared" si="0"/>
        <v>ENTITY_SNGL_PRPS_VHCL</v>
      </c>
      <c r="B47" t="s">
        <v>10</v>
      </c>
      <c r="C47" t="s">
        <v>152</v>
      </c>
      <c r="D47" t="str">
        <f>VLOOKUP(A47,'LISTA - Atual'!$B$1:$B$444,1,0)</f>
        <v>ENTITY_SNGL_PRPS_VHCL</v>
      </c>
    </row>
    <row r="48" spans="1:4" x14ac:dyDescent="0.3">
      <c r="A48" s="47" t="str">
        <f t="shared" si="0"/>
        <v>ENTITY_GRP_EBITDA</v>
      </c>
      <c r="B48" t="s">
        <v>10</v>
      </c>
      <c r="C48" t="s">
        <v>155</v>
      </c>
      <c r="D48" t="str">
        <f>VLOOKUP(A48,'LISTA - Atual'!$B$1:$B$444,1,0)</f>
        <v>ENTITY_GRP_EBITDA</v>
      </c>
    </row>
    <row r="49" spans="1:4" x14ac:dyDescent="0.3">
      <c r="A49" s="47" t="str">
        <f t="shared" si="0"/>
        <v>ENTITY_GRP_EQTY</v>
      </c>
      <c r="B49" t="s">
        <v>10</v>
      </c>
      <c r="C49" t="s">
        <v>158</v>
      </c>
      <c r="D49" t="str">
        <f>VLOOKUP(A49,'LISTA - Atual'!$B$1:$B$444,1,0)</f>
        <v>ENTITY_GRP_EQTY</v>
      </c>
    </row>
    <row r="50" spans="1:4" x14ac:dyDescent="0.3">
      <c r="A50" s="47" t="str">
        <f t="shared" si="0"/>
        <v>ENTITY_GRP_NT_DBT</v>
      </c>
      <c r="B50" t="s">
        <v>10</v>
      </c>
      <c r="C50" t="s">
        <v>161</v>
      </c>
      <c r="D50" t="str">
        <f>VLOOKUP(A50,'LISTA - Atual'!$B$1:$B$444,1,0)</f>
        <v>ENTITY_GRP_NT_DBT</v>
      </c>
    </row>
    <row r="51" spans="1:4" x14ac:dyDescent="0.3">
      <c r="A51" s="47" t="str">
        <f t="shared" si="0"/>
        <v>ENTITY_ANNL_TRNVR_LE</v>
      </c>
      <c r="B51" t="s">
        <v>10</v>
      </c>
      <c r="C51" t="s">
        <v>164</v>
      </c>
      <c r="D51" t="str">
        <f>VLOOKUP(A51,'LISTA - Atual'!$B$1:$B$444,1,0)</f>
        <v>ENTITY_ANNL_TRNVR_LE</v>
      </c>
    </row>
    <row r="52" spans="1:4" x14ac:dyDescent="0.3">
      <c r="A52" s="47" t="str">
        <f t="shared" si="0"/>
        <v>ENTITY_ANNL_TRNVR_PRVS</v>
      </c>
      <c r="B52" t="s">
        <v>10</v>
      </c>
      <c r="C52" t="s">
        <v>167</v>
      </c>
      <c r="D52" t="str">
        <f>VLOOKUP(A52,'LISTA - Atual'!$B$1:$B$444,1,0)</f>
        <v>ENTITY_ANNL_TRNVR_PRVS</v>
      </c>
    </row>
    <row r="53" spans="1:4" x14ac:dyDescent="0.3">
      <c r="A53" s="47" t="str">
        <f t="shared" si="0"/>
        <v>ENTITY_CAPEX</v>
      </c>
      <c r="B53" t="s">
        <v>10</v>
      </c>
      <c r="C53" t="s">
        <v>170</v>
      </c>
      <c r="D53" t="str">
        <f>VLOOKUP(A53,'LISTA - Atual'!$B$1:$B$444,1,0)</f>
        <v>ENTITY_CAPEX</v>
      </c>
    </row>
    <row r="54" spans="1:4" x14ac:dyDescent="0.3">
      <c r="A54" s="47" t="str">
        <f t="shared" si="0"/>
        <v>ENTITY_CAPEX_PRVS</v>
      </c>
      <c r="B54" t="s">
        <v>10</v>
      </c>
      <c r="C54" t="s">
        <v>173</v>
      </c>
      <c r="D54" t="str">
        <f>VLOOKUP(A54,'LISTA - Atual'!$B$1:$B$444,1,0)</f>
        <v>ENTITY_CAPEX_PRVS</v>
      </c>
    </row>
    <row r="55" spans="1:4" x14ac:dyDescent="0.3">
      <c r="A55" s="47" t="str">
        <f t="shared" si="0"/>
        <v>ENTITY_CLLCTN_MD</v>
      </c>
      <c r="B55" t="s">
        <v>10</v>
      </c>
      <c r="C55" t="s">
        <v>176</v>
      </c>
      <c r="D55" t="str">
        <f>VLOOKUP(A55,'LISTA - Atual'!$B$1:$B$444,1,0)</f>
        <v>ENTITY_CLLCTN_MD</v>
      </c>
    </row>
    <row r="56" spans="1:4" x14ac:dyDescent="0.3">
      <c r="A56" s="47" t="str">
        <f t="shared" si="0"/>
        <v>ENTITY_CSH</v>
      </c>
      <c r="B56" t="s">
        <v>10</v>
      </c>
      <c r="C56" t="s">
        <v>179</v>
      </c>
      <c r="D56" t="str">
        <f>VLOOKUP(A56,'LISTA - Atual'!$B$1:$B$444,1,0)</f>
        <v>ENTITY_CSH</v>
      </c>
    </row>
    <row r="57" spans="1:4" x14ac:dyDescent="0.3">
      <c r="A57" s="47" t="str">
        <f t="shared" si="0"/>
        <v>ENTITY_CSH_PRVS</v>
      </c>
      <c r="B57" t="s">
        <v>10</v>
      </c>
      <c r="C57" t="s">
        <v>182</v>
      </c>
      <c r="D57" t="str">
        <f>VLOOKUP(A57,'LISTA - Atual'!$B$1:$B$444,1,0)</f>
        <v>ENTITY_CSH_PRVS</v>
      </c>
    </row>
    <row r="58" spans="1:4" x14ac:dyDescent="0.3">
      <c r="A58" s="47" t="str">
        <f t="shared" si="0"/>
        <v>ENTITY_EBITDA</v>
      </c>
      <c r="B58" t="s">
        <v>10</v>
      </c>
      <c r="C58" t="s">
        <v>185</v>
      </c>
      <c r="D58" t="str">
        <f>VLOOKUP(A58,'LISTA - Atual'!$B$1:$B$444,1,0)</f>
        <v>ENTITY_EBITDA</v>
      </c>
    </row>
    <row r="59" spans="1:4" x14ac:dyDescent="0.3">
      <c r="A59" s="47" t="str">
        <f t="shared" si="0"/>
        <v>ENTITY_EBITDA_PRVS</v>
      </c>
      <c r="B59" t="s">
        <v>10</v>
      </c>
      <c r="C59" t="s">
        <v>188</v>
      </c>
      <c r="D59" t="str">
        <f>VLOOKUP(A59,'LISTA - Atual'!$B$1:$B$444,1,0)</f>
        <v>ENTITY_EBITDA_PRVS</v>
      </c>
    </row>
    <row r="60" spans="1:4" x14ac:dyDescent="0.3">
      <c r="A60" s="47" t="str">
        <f t="shared" si="0"/>
        <v>ENTITY_EQTY</v>
      </c>
      <c r="B60" t="s">
        <v>10</v>
      </c>
      <c r="C60" t="s">
        <v>191</v>
      </c>
      <c r="D60" t="str">
        <f>VLOOKUP(A60,'LISTA - Atual'!$B$1:$B$444,1,0)</f>
        <v>ENTITY_EQTY</v>
      </c>
    </row>
    <row r="61" spans="1:4" x14ac:dyDescent="0.3">
      <c r="A61" s="47" t="str">
        <f t="shared" si="0"/>
        <v>ENTITY_EQTY_PRVS</v>
      </c>
      <c r="B61" t="s">
        <v>10</v>
      </c>
      <c r="C61" t="s">
        <v>194</v>
      </c>
      <c r="D61" t="str">
        <f>VLOOKUP(A61,'LISTA - Atual'!$B$1:$B$444,1,0)</f>
        <v>ENTITY_EQTY_PRVS</v>
      </c>
    </row>
    <row r="62" spans="1:4" x14ac:dyDescent="0.3">
      <c r="A62" s="47" t="str">
        <f t="shared" si="0"/>
        <v>ENTITY_GRP_TTL_DBT</v>
      </c>
      <c r="B62" t="s">
        <v>10</v>
      </c>
      <c r="C62" t="s">
        <v>197</v>
      </c>
      <c r="D62" t="str">
        <f>VLOOKUP(A62,'LISTA - Atual'!$B$1:$B$444,1,0)</f>
        <v>ENTITY_GRP_TTL_DBT</v>
      </c>
    </row>
    <row r="63" spans="1:4" x14ac:dyDescent="0.3">
      <c r="A63" s="47" t="str">
        <f t="shared" si="0"/>
        <v>ENTITY_GDWILL</v>
      </c>
      <c r="B63" t="s">
        <v>10</v>
      </c>
      <c r="C63" t="s">
        <v>200</v>
      </c>
      <c r="D63" t="str">
        <f>VLOOKUP(A63,'LISTA - Atual'!$B$1:$B$444,1,0)</f>
        <v>ENTITY_GDWILL</v>
      </c>
    </row>
    <row r="64" spans="1:4" x14ac:dyDescent="0.3">
      <c r="A64" s="47" t="str">
        <f t="shared" si="0"/>
        <v>ENTITY_GDWILL_PRVS</v>
      </c>
      <c r="B64" t="s">
        <v>10</v>
      </c>
      <c r="C64" t="s">
        <v>203</v>
      </c>
      <c r="D64" t="str">
        <f>VLOOKUP(A64,'LISTA - Atual'!$B$1:$B$444,1,0)</f>
        <v>ENTITY_GDWILL_PRVS</v>
      </c>
    </row>
    <row r="65" spans="1:4" x14ac:dyDescent="0.3">
      <c r="A65" s="47" t="str">
        <f t="shared" si="0"/>
        <v>ENTITY_LTI</v>
      </c>
      <c r="B65" t="s">
        <v>10</v>
      </c>
      <c r="C65" t="s">
        <v>206</v>
      </c>
      <c r="D65" t="str">
        <f>VLOOKUP(A65,'LISTA - Atual'!$B$1:$B$444,1,0)</f>
        <v>ENTITY_LTI</v>
      </c>
    </row>
    <row r="66" spans="1:4" x14ac:dyDescent="0.3">
      <c r="A66" s="47" t="str">
        <f t="shared" si="0"/>
        <v>ENTITY_LVRG</v>
      </c>
      <c r="B66" t="s">
        <v>10</v>
      </c>
      <c r="C66" t="s">
        <v>209</v>
      </c>
      <c r="D66" t="str">
        <f>VLOOKUP(A66,'LISTA - Atual'!$B$1:$B$444,1,0)</f>
        <v>ENTITY_LVRG</v>
      </c>
    </row>
    <row r="67" spans="1:4" x14ac:dyDescent="0.3">
      <c r="A67" s="47" t="str">
        <f t="shared" si="0"/>
        <v>ENTITY_LVRG_PRVS</v>
      </c>
      <c r="B67" t="s">
        <v>10</v>
      </c>
      <c r="C67" t="s">
        <v>212</v>
      </c>
      <c r="D67" t="str">
        <f>VLOOKUP(A67,'LISTA - Atual'!$B$1:$B$444,1,0)</f>
        <v>ENTITY_LVRG_PRVS</v>
      </c>
    </row>
    <row r="68" spans="1:4" x14ac:dyDescent="0.3">
      <c r="A68" s="47" t="str">
        <f t="shared" si="0"/>
        <v>ENTITY_MNTHL_INCM</v>
      </c>
      <c r="B68" t="s">
        <v>10</v>
      </c>
      <c r="C68" t="s">
        <v>215</v>
      </c>
      <c r="D68" t="str">
        <f>VLOOKUP(A68,'LISTA - Atual'!$B$1:$B$444,1,0)</f>
        <v>ENTITY_MNTHL_INCM</v>
      </c>
    </row>
    <row r="69" spans="1:4" x14ac:dyDescent="0.3">
      <c r="A69" s="47" t="str">
        <f t="shared" ref="A69:A132" si="1">B69&amp;"_"&amp;C69</f>
        <v>ENTITY_MNTHL_INCM_SLR</v>
      </c>
      <c r="B69" t="s">
        <v>10</v>
      </c>
      <c r="C69" t="s">
        <v>218</v>
      </c>
      <c r="D69" t="str">
        <f>VLOOKUP(A69,'LISTA - Atual'!$B$1:$B$444,1,0)</f>
        <v>ENTITY_MNTHL_INCM_SLR</v>
      </c>
    </row>
    <row r="70" spans="1:4" x14ac:dyDescent="0.3">
      <c r="A70" s="47" t="str">
        <f t="shared" si="1"/>
        <v>ENTITY_MNTHL_TRNVR</v>
      </c>
      <c r="B70" t="s">
        <v>10</v>
      </c>
      <c r="C70" t="s">
        <v>221</v>
      </c>
      <c r="D70" t="str">
        <f>VLOOKUP(A70,'LISTA - Atual'!$B$1:$B$444,1,0)</f>
        <v>ENTITY_MNTHL_TRNVR</v>
      </c>
    </row>
    <row r="71" spans="1:4" x14ac:dyDescent="0.3">
      <c r="A71" s="47" t="str">
        <f t="shared" si="1"/>
        <v>ENTITY_NT_INCM</v>
      </c>
      <c r="B71" t="s">
        <v>10</v>
      </c>
      <c r="C71" t="s">
        <v>224</v>
      </c>
      <c r="D71" t="str">
        <f>VLOOKUP(A71,'LISTA - Atual'!$B$1:$B$444,1,0)</f>
        <v>ENTITY_NT_INCM</v>
      </c>
    </row>
    <row r="72" spans="1:4" x14ac:dyDescent="0.3">
      <c r="A72" s="47" t="str">
        <f t="shared" si="1"/>
        <v>ENTITY_NT_INCM_PRVS</v>
      </c>
      <c r="B72" t="s">
        <v>10</v>
      </c>
      <c r="C72" t="s">
        <v>227</v>
      </c>
      <c r="D72" t="str">
        <f>VLOOKUP(A72,'LISTA - Atual'!$B$1:$B$444,1,0)</f>
        <v>ENTITY_NT_INCM_PRVS</v>
      </c>
    </row>
    <row r="73" spans="1:4" x14ac:dyDescent="0.3">
      <c r="A73" s="47" t="str">
        <f t="shared" si="1"/>
        <v>ENTITY_TTL_DBT</v>
      </c>
      <c r="B73" t="s">
        <v>10</v>
      </c>
      <c r="C73" t="s">
        <v>230</v>
      </c>
      <c r="D73" t="str">
        <f>VLOOKUP(A73,'LISTA - Atual'!$B$1:$B$444,1,0)</f>
        <v>ENTITY_TTL_DBT</v>
      </c>
    </row>
    <row r="74" spans="1:4" x14ac:dyDescent="0.3">
      <c r="A74" s="47" t="str">
        <f t="shared" si="1"/>
        <v>ENTITY_TTL_DBT_PRVS</v>
      </c>
      <c r="B74" t="s">
        <v>10</v>
      </c>
      <c r="C74" t="s">
        <v>233</v>
      </c>
      <c r="D74" t="str">
        <f>VLOOKUP(A74,'LISTA - Atual'!$B$1:$B$444,1,0)</f>
        <v>ENTITY_TTL_DBT_PRVS</v>
      </c>
    </row>
    <row r="75" spans="1:4" x14ac:dyDescent="0.3">
      <c r="A75" s="47" t="str">
        <f t="shared" si="1"/>
        <v>ENTITY_TTL_INTRST_PD</v>
      </c>
      <c r="B75" t="s">
        <v>10</v>
      </c>
      <c r="C75" t="s">
        <v>236</v>
      </c>
      <c r="D75" t="str">
        <f>VLOOKUP(A75,'LISTA - Atual'!$B$1:$B$444,1,0)</f>
        <v>ENTITY_TTL_INTRST_PD</v>
      </c>
    </row>
    <row r="76" spans="1:4" x14ac:dyDescent="0.3">
      <c r="A76" s="47" t="str">
        <f t="shared" si="1"/>
        <v>ENTITY_TTL_LVRG_RT</v>
      </c>
      <c r="B76" t="s">
        <v>10</v>
      </c>
      <c r="C76" t="s">
        <v>239</v>
      </c>
      <c r="D76" t="str">
        <f>VLOOKUP(A76,'LISTA - Atual'!$B$1:$B$444,1,0)</f>
        <v>ENTITY_TTL_LVRG_RT</v>
      </c>
    </row>
    <row r="77" spans="1:4" x14ac:dyDescent="0.3">
      <c r="A77" s="47" t="str">
        <f t="shared" si="1"/>
        <v>ENTITY_TTL_LVRG_RT_PRVS</v>
      </c>
      <c r="B77" t="s">
        <v>10</v>
      </c>
      <c r="C77" t="s">
        <v>242</v>
      </c>
      <c r="D77" t="str">
        <f>VLOOKUP(A77,'LISTA - Atual'!$B$1:$B$444,1,0)</f>
        <v>ENTITY_TTL_LVRG_RT_PRVS</v>
      </c>
    </row>
    <row r="78" spans="1:4" x14ac:dyDescent="0.3">
      <c r="A78" s="47" t="str">
        <f t="shared" si="1"/>
        <v>ENTITY_DBT_RPYMNT_CPCTY_SNR_DBT</v>
      </c>
      <c r="B78" t="s">
        <v>10</v>
      </c>
      <c r="C78" t="s">
        <v>245</v>
      </c>
      <c r="D78" t="str">
        <f>VLOOKUP(A78,'LISTA - Atual'!$B$1:$B$444,1,0)</f>
        <v>ENTITY_DBT_RPYMNT_CPCTY_SNR_DBT</v>
      </c>
    </row>
    <row r="79" spans="1:4" x14ac:dyDescent="0.3">
      <c r="A79" s="47" t="str">
        <f t="shared" si="1"/>
        <v>ENTITY_DBT_RPYMNT_CPCTY_TTL</v>
      </c>
      <c r="B79" t="s">
        <v>10</v>
      </c>
      <c r="C79" t="s">
        <v>248</v>
      </c>
      <c r="D79" t="str">
        <f>VLOOKUP(A79,'LISTA - Atual'!$B$1:$B$444,1,0)</f>
        <v>ENTITY_DBT_RPYMNT_CPCTY_TTL</v>
      </c>
    </row>
    <row r="80" spans="1:4" x14ac:dyDescent="0.3">
      <c r="A80" s="47" t="str">
        <f t="shared" si="1"/>
        <v>ENTITY_DBT_SRVC_RT</v>
      </c>
      <c r="B80" t="s">
        <v>10</v>
      </c>
      <c r="C80" t="s">
        <v>251</v>
      </c>
      <c r="D80" t="str">
        <f>VLOOKUP(A80,'LISTA - Atual'!$B$1:$B$444,1,0)</f>
        <v>ENTITY_DBT_SRVC_RT</v>
      </c>
    </row>
    <row r="81" spans="1:4" x14ac:dyDescent="0.3">
      <c r="A81" s="47" t="str">
        <f t="shared" si="1"/>
        <v>ENTITY_DBT_SRVC_RT_12M</v>
      </c>
      <c r="B81" t="s">
        <v>10</v>
      </c>
      <c r="C81" t="s">
        <v>254</v>
      </c>
      <c r="D81" t="str">
        <f>VLOOKUP(A81,'LISTA - Atual'!$B$1:$B$444,1,0)</f>
        <v>ENTITY_DBT_SRVC_RT_12M</v>
      </c>
    </row>
    <row r="82" spans="1:4" x14ac:dyDescent="0.3">
      <c r="A82" s="47" t="str">
        <f t="shared" si="1"/>
        <v>ENTITY_PD_CRR_RD</v>
      </c>
      <c r="B82" t="s">
        <v>10</v>
      </c>
      <c r="C82" t="s">
        <v>257</v>
      </c>
      <c r="D82" t="str">
        <f>VLOOKUP(A82,'LISTA - Atual'!$B$1:$B$444,1,0)</f>
        <v>ENTITY_PD_CRR_RD</v>
      </c>
    </row>
    <row r="83" spans="1:4" x14ac:dyDescent="0.3">
      <c r="A83" s="47" t="str">
        <f t="shared" si="1"/>
        <v>ENTITY_PD_IFRS9_12M_RD</v>
      </c>
      <c r="B83" t="s">
        <v>10</v>
      </c>
      <c r="C83" t="s">
        <v>260</v>
      </c>
      <c r="D83" t="str">
        <f>VLOOKUP(A83,'LISTA - Atual'!$B$1:$B$444,1,0)</f>
        <v>ENTITY_PD_IFRS9_12M_RD</v>
      </c>
    </row>
    <row r="84" spans="1:4" x14ac:dyDescent="0.3">
      <c r="A84" s="47" t="str">
        <f t="shared" si="1"/>
        <v>ENTITY_PD_IFRS9_12M_RD_T1</v>
      </c>
      <c r="B84" t="s">
        <v>10</v>
      </c>
      <c r="C84" t="s">
        <v>263</v>
      </c>
      <c r="D84" t="str">
        <f>VLOOKUP(A84,'LISTA - Atual'!$B$1:$B$444,1,0)</f>
        <v>ENTITY_PD_IFRS9_12M_RD_T1</v>
      </c>
    </row>
    <row r="85" spans="1:4" x14ac:dyDescent="0.3">
      <c r="A85" s="47" t="str">
        <f t="shared" si="1"/>
        <v>ENTITY_FLG_NN_ACCRL</v>
      </c>
      <c r="B85" t="s">
        <v>10</v>
      </c>
      <c r="C85" t="s">
        <v>110</v>
      </c>
      <c r="D85" t="str">
        <f>VLOOKUP(A85,'LISTA - Atual'!$B$1:$B$444,1,0)</f>
        <v>ENTITY_FLG_NN_ACCRL</v>
      </c>
    </row>
    <row r="86" spans="1:4" x14ac:dyDescent="0.3">
      <c r="A86" s="47" t="str">
        <f t="shared" si="1"/>
        <v>ENTITY_TAX_ID</v>
      </c>
      <c r="B86" t="s">
        <v>10</v>
      </c>
      <c r="C86" t="s">
        <v>266</v>
      </c>
      <c r="D86" t="str">
        <f>VLOOKUP(A86,'LISTA - Atual'!$B$1:$B$444,1,0)</f>
        <v>ENTITY_TAX_ID</v>
      </c>
    </row>
    <row r="87" spans="1:4" x14ac:dyDescent="0.3">
      <c r="A87" s="47" t="str">
        <f t="shared" si="1"/>
        <v>ENTITY_COD_SOC</v>
      </c>
      <c r="B87" t="s">
        <v>10</v>
      </c>
      <c r="C87" t="s">
        <v>12</v>
      </c>
      <c r="D87" t="str">
        <f>VLOOKUP(A87,'LISTA - Atual'!$B$1:$B$444,1,0)</f>
        <v>ENTITY_COD_SOC</v>
      </c>
    </row>
    <row r="88" spans="1:4" x14ac:dyDescent="0.3">
      <c r="A88" s="47" t="str">
        <f t="shared" si="1"/>
        <v>ENTITY_ANNL_TRNVR_LE_BDR</v>
      </c>
      <c r="B88" t="s">
        <v>10</v>
      </c>
      <c r="C88" t="s">
        <v>269</v>
      </c>
      <c r="D88" t="str">
        <f>VLOOKUP(A88,'LISTA - Atual'!$B$1:$B$444,1,0)</f>
        <v>ENTITY_ANNL_TRNVR_LE_BDR</v>
      </c>
    </row>
    <row r="89" spans="1:4" x14ac:dyDescent="0.3">
      <c r="A89" s="47" t="str">
        <f t="shared" si="1"/>
        <v>ENTITY_ANNL_TRNVR_PRVS_BDR</v>
      </c>
      <c r="B89" t="s">
        <v>10</v>
      </c>
      <c r="C89" t="s">
        <v>272</v>
      </c>
      <c r="D89" t="str">
        <f>VLOOKUP(A89,'LISTA - Atual'!$B$1:$B$444,1,0)</f>
        <v>ENTITY_ANNL_TRNVR_PRVS_BDR</v>
      </c>
    </row>
    <row r="90" spans="1:4" x14ac:dyDescent="0.3">
      <c r="A90" s="47" t="str">
        <f t="shared" si="1"/>
        <v>ENTITY_OSI_ID</v>
      </c>
      <c r="B90" t="s">
        <v>10</v>
      </c>
      <c r="C90" t="s">
        <v>275</v>
      </c>
      <c r="D90" t="str">
        <f>VLOOKUP(A90,'LISTA - Atual'!$B$1:$B$444,1,0)</f>
        <v>ENTITY_OSI_ID</v>
      </c>
    </row>
    <row r="91" spans="1:4" x14ac:dyDescent="0.3">
      <c r="A91" s="47" t="str">
        <f t="shared" si="1"/>
        <v>ENTITY_PD_CRR_RD_T1</v>
      </c>
      <c r="B91" t="s">
        <v>10</v>
      </c>
      <c r="C91" t="s">
        <v>278</v>
      </c>
      <c r="D91" t="str">
        <f>VLOOKUP(A91,'LISTA - Atual'!$B$1:$B$444,1,0)</f>
        <v>ENTITY_PD_CRR_RD_T1</v>
      </c>
    </row>
    <row r="92" spans="1:4" x14ac:dyDescent="0.3">
      <c r="A92" s="47" t="str">
        <f t="shared" si="1"/>
        <v>ENTITY_EC_GRP_ID</v>
      </c>
      <c r="B92" t="s">
        <v>10</v>
      </c>
      <c r="C92" t="s">
        <v>281</v>
      </c>
      <c r="D92" t="str">
        <f>VLOOKUP(A92,'LISTA - Atual'!$B$1:$B$444,1,0)</f>
        <v>ENTITY_EC_GRP_ID</v>
      </c>
    </row>
    <row r="93" spans="1:4" x14ac:dyDescent="0.3">
      <c r="A93" s="47" t="str">
        <f t="shared" si="1"/>
        <v>ENTITY_EC_GRP_NM</v>
      </c>
      <c r="B93" t="s">
        <v>10</v>
      </c>
      <c r="C93" t="s">
        <v>284</v>
      </c>
      <c r="D93" t="str">
        <f>VLOOKUP(A93,'LISTA - Atual'!$B$1:$B$444,1,0)</f>
        <v>ENTITY_EC_GRP_NM</v>
      </c>
    </row>
    <row r="94" spans="1:4" x14ac:dyDescent="0.3">
      <c r="A94" s="47" t="str">
        <f t="shared" si="1"/>
        <v>ENTITY_PRSN_TYP</v>
      </c>
      <c r="B94" t="s">
        <v>10</v>
      </c>
      <c r="C94" t="s">
        <v>385</v>
      </c>
      <c r="D94" t="str">
        <f>VLOOKUP(A94,'LISTA - Atual'!$B$1:$B$444,1,0)</f>
        <v>ENTITY_PRSN_TYP</v>
      </c>
    </row>
    <row r="95" spans="1:4" x14ac:dyDescent="0.3">
      <c r="A95" s="47" t="str">
        <f t="shared" si="1"/>
        <v>ENTITY_FR_CSH_FLW</v>
      </c>
      <c r="B95" t="s">
        <v>10</v>
      </c>
      <c r="C95" t="s">
        <v>388</v>
      </c>
      <c r="D95" t="str">
        <f>VLOOKUP(A95,'LISTA - Atual'!$B$1:$B$444,1,0)</f>
        <v>ENTITY_FR_CSH_FLW</v>
      </c>
    </row>
    <row r="96" spans="1:4" x14ac:dyDescent="0.3">
      <c r="A96" s="47" t="str">
        <f t="shared" si="1"/>
        <v>ENTITY_FR_CSH_FLW_T1</v>
      </c>
      <c r="B96" t="s">
        <v>10</v>
      </c>
      <c r="C96" t="s">
        <v>391</v>
      </c>
      <c r="D96" t="str">
        <f>VLOOKUP(A96,'LISTA - Atual'!$B$1:$B$444,1,0)</f>
        <v>ENTITY_FR_CSH_FLW_T1</v>
      </c>
    </row>
    <row r="97" spans="1:4" x14ac:dyDescent="0.3">
      <c r="A97" s="47" t="str">
        <f t="shared" si="1"/>
        <v>ENTITY_FR_CSH_FLW_T2</v>
      </c>
      <c r="B97" t="s">
        <v>10</v>
      </c>
      <c r="C97" t="s">
        <v>394</v>
      </c>
      <c r="D97" t="str">
        <f>VLOOKUP(A97,'LISTA - Atual'!$B$1:$B$444,1,0)</f>
        <v>ENTITY_FR_CSH_FLW_T2</v>
      </c>
    </row>
    <row r="98" spans="1:4" x14ac:dyDescent="0.3">
      <c r="A98" s="47" t="str">
        <f t="shared" si="1"/>
        <v>ENTITY_FR_CSH_FLW_T3</v>
      </c>
      <c r="B98" t="s">
        <v>10</v>
      </c>
      <c r="C98" t="s">
        <v>397</v>
      </c>
      <c r="D98" t="str">
        <f>VLOOKUP(A98,'LISTA - Atual'!$B$1:$B$444,1,0)</f>
        <v>ENTITY_FR_CSH_FLW_T3</v>
      </c>
    </row>
    <row r="99" spans="1:4" x14ac:dyDescent="0.3">
      <c r="A99" s="47" t="str">
        <f t="shared" si="1"/>
        <v>ENTITY_NACE_ESG</v>
      </c>
      <c r="B99" t="s">
        <v>10</v>
      </c>
      <c r="C99" t="s">
        <v>293</v>
      </c>
      <c r="D99" t="str">
        <f>VLOOKUP(A99,'LISTA - Atual'!$B$1:$B$444,1,0)</f>
        <v>ENTITY_NACE_ESG</v>
      </c>
    </row>
    <row r="100" spans="1:4" x14ac:dyDescent="0.3">
      <c r="A100" s="47" t="str">
        <f t="shared" si="1"/>
        <v>ENTITY_TXNMY_ELGBL_CAPEX_CCM</v>
      </c>
      <c r="B100" t="s">
        <v>10</v>
      </c>
      <c r="C100" t="s">
        <v>299</v>
      </c>
      <c r="D100" t="str">
        <f>VLOOKUP(A100,'LISTA - Atual'!$B$1:$B$444,1,0)</f>
        <v>ENTITY_TXNMY_ELGBL_CAPEX_CCM</v>
      </c>
    </row>
    <row r="101" spans="1:4" x14ac:dyDescent="0.3">
      <c r="A101" s="47" t="str">
        <f t="shared" si="1"/>
        <v>ENTITY_TXNMY_ELGBL_TRNVR_CCM</v>
      </c>
      <c r="B101" t="s">
        <v>10</v>
      </c>
      <c r="C101" t="s">
        <v>302</v>
      </c>
      <c r="D101" t="str">
        <f>VLOOKUP(A101,'LISTA - Atual'!$B$1:$B$444,1,0)</f>
        <v>ENTITY_TXNMY_ELGBL_TRNVR_CCM</v>
      </c>
    </row>
    <row r="102" spans="1:4" x14ac:dyDescent="0.3">
      <c r="A102" s="47" t="str">
        <f t="shared" si="1"/>
        <v>ENTITY_TXNMY_ELGBL_CAPEX_CCA</v>
      </c>
      <c r="B102" t="s">
        <v>10</v>
      </c>
      <c r="C102" t="s">
        <v>305</v>
      </c>
      <c r="D102" t="str">
        <f>VLOOKUP(A102,'LISTA - Atual'!$B$1:$B$444,1,0)</f>
        <v>ENTITY_TXNMY_ELGBL_CAPEX_CCA</v>
      </c>
    </row>
    <row r="103" spans="1:4" x14ac:dyDescent="0.3">
      <c r="A103" s="47" t="str">
        <f t="shared" si="1"/>
        <v>ENTITY_TXNMY_ELGBL_TRNVR_CCA</v>
      </c>
      <c r="B103" t="s">
        <v>10</v>
      </c>
      <c r="C103" t="s">
        <v>308</v>
      </c>
      <c r="D103" t="str">
        <f>VLOOKUP(A103,'LISTA - Atual'!$B$1:$B$444,1,0)</f>
        <v>ENTITY_TXNMY_ELGBL_TRNVR_CCA</v>
      </c>
    </row>
    <row r="104" spans="1:4" x14ac:dyDescent="0.3">
      <c r="A104" s="47" t="str">
        <f t="shared" si="1"/>
        <v>ENTITY_ENBLNG_CAPEX_CCM</v>
      </c>
      <c r="B104" t="s">
        <v>10</v>
      </c>
      <c r="C104" t="s">
        <v>311</v>
      </c>
      <c r="D104" t="str">
        <f>VLOOKUP(A104,'LISTA - Atual'!$B$1:$B$444,1,0)</f>
        <v>ENTITY_ENBLNG_CAPEX_CCM</v>
      </c>
    </row>
    <row r="105" spans="1:4" x14ac:dyDescent="0.3">
      <c r="A105" s="47" t="str">
        <f t="shared" si="1"/>
        <v>ENTITY_ENBLNG_CAPEX_CCA</v>
      </c>
      <c r="B105" t="s">
        <v>10</v>
      </c>
      <c r="C105" t="s">
        <v>314</v>
      </c>
      <c r="D105" t="str">
        <f>VLOOKUP(A105,'LISTA - Atual'!$B$1:$B$444,1,0)</f>
        <v>ENTITY_ENBLNG_CAPEX_CCA</v>
      </c>
    </row>
    <row r="106" spans="1:4" x14ac:dyDescent="0.3">
      <c r="A106" s="47" t="str">
        <f t="shared" si="1"/>
        <v>ENTITY_TRNSTNL_CAPEX</v>
      </c>
      <c r="B106" t="s">
        <v>10</v>
      </c>
      <c r="C106" t="s">
        <v>317</v>
      </c>
      <c r="D106" t="str">
        <f>VLOOKUP(A106,'LISTA - Atual'!$B$1:$B$444,1,0)</f>
        <v>ENTITY_TRNSTNL_CAPEX</v>
      </c>
    </row>
    <row r="107" spans="1:4" x14ac:dyDescent="0.3">
      <c r="A107" s="47" t="str">
        <f t="shared" si="1"/>
        <v>ENTITY_PURE_CAPEX_CCM</v>
      </c>
      <c r="B107" t="s">
        <v>10</v>
      </c>
      <c r="C107" t="s">
        <v>320</v>
      </c>
      <c r="D107" t="str">
        <f>VLOOKUP(A107,'LISTA - Atual'!$B$1:$B$444,1,0)</f>
        <v>ENTITY_PURE_CAPEX_CCM</v>
      </c>
    </row>
    <row r="108" spans="1:4" x14ac:dyDescent="0.3">
      <c r="A108" s="47" t="str">
        <f t="shared" si="1"/>
        <v>ENTITY_PURE_CAPEX_CCA</v>
      </c>
      <c r="B108" t="s">
        <v>10</v>
      </c>
      <c r="C108" t="s">
        <v>323</v>
      </c>
      <c r="D108" t="str">
        <f>VLOOKUP(A108,'LISTA - Atual'!$B$1:$B$444,1,0)</f>
        <v>ENTITY_PURE_CAPEX_CCA</v>
      </c>
    </row>
    <row r="109" spans="1:4" x14ac:dyDescent="0.3">
      <c r="A109" s="47" t="str">
        <f t="shared" si="1"/>
        <v>ENTITY_ENBLNG_TRNVR_CCM</v>
      </c>
      <c r="B109" t="s">
        <v>10</v>
      </c>
      <c r="C109" t="s">
        <v>326</v>
      </c>
      <c r="D109" t="str">
        <f>VLOOKUP(A109,'LISTA - Atual'!$B$1:$B$444,1,0)</f>
        <v>ENTITY_ENBLNG_TRNVR_CCM</v>
      </c>
    </row>
    <row r="110" spans="1:4" x14ac:dyDescent="0.3">
      <c r="A110" s="47" t="str">
        <f t="shared" si="1"/>
        <v>ENTITY_ENBLNG_TRNVR_CCA</v>
      </c>
      <c r="B110" t="s">
        <v>10</v>
      </c>
      <c r="C110" t="s">
        <v>329</v>
      </c>
      <c r="D110" t="str">
        <f>VLOOKUP(A110,'LISTA - Atual'!$B$1:$B$444,1,0)</f>
        <v>ENTITY_ENBLNG_TRNVR_CCA</v>
      </c>
    </row>
    <row r="111" spans="1:4" x14ac:dyDescent="0.3">
      <c r="A111" s="47" t="str">
        <f t="shared" si="1"/>
        <v>ENTITY_TRNSTNL_TRNVR</v>
      </c>
      <c r="B111" t="s">
        <v>10</v>
      </c>
      <c r="C111" t="s">
        <v>332</v>
      </c>
      <c r="D111" t="str">
        <f>VLOOKUP(A111,'LISTA - Atual'!$B$1:$B$444,1,0)</f>
        <v>ENTITY_TRNSTNL_TRNVR</v>
      </c>
    </row>
    <row r="112" spans="1:4" x14ac:dyDescent="0.3">
      <c r="A112" s="47" t="str">
        <f t="shared" si="1"/>
        <v>ENTITY_PURE_TRNVR_CCM</v>
      </c>
      <c r="B112" t="s">
        <v>10</v>
      </c>
      <c r="C112" t="s">
        <v>335</v>
      </c>
      <c r="D112" t="str">
        <f>VLOOKUP(A112,'LISTA - Atual'!$B$1:$B$444,1,0)</f>
        <v>ENTITY_PURE_TRNVR_CCM</v>
      </c>
    </row>
    <row r="113" spans="1:4" x14ac:dyDescent="0.3">
      <c r="A113" s="47" t="str">
        <f t="shared" si="1"/>
        <v>ENTITY_PURE_TRNVR_CCA</v>
      </c>
      <c r="B113" t="s">
        <v>10</v>
      </c>
      <c r="C113" t="s">
        <v>338</v>
      </c>
      <c r="D113" t="str">
        <f>VLOOKUP(A113,'LISTA - Atual'!$B$1:$B$444,1,0)</f>
        <v>ENTITY_PURE_TRNVR_CCA</v>
      </c>
    </row>
    <row r="114" spans="1:4" x14ac:dyDescent="0.3">
      <c r="A114" s="47" t="str">
        <f t="shared" si="1"/>
        <v>ENTITY_FLG_NFRD_APPLCBLTY</v>
      </c>
      <c r="B114" t="s">
        <v>10</v>
      </c>
      <c r="C114" t="s">
        <v>341</v>
      </c>
      <c r="D114" t="str">
        <f>VLOOKUP(A114,'LISTA - Atual'!$B$1:$B$444,1,0)</f>
        <v>ENTITY_FLG_NFRD_APPLCBLTY</v>
      </c>
    </row>
    <row r="115" spans="1:4" x14ac:dyDescent="0.3">
      <c r="A115" s="47" t="str">
        <f t="shared" si="1"/>
        <v>ENTITY_CNTRPRTY_EMSSNS_SCP1</v>
      </c>
      <c r="B115" t="s">
        <v>10</v>
      </c>
      <c r="C115" t="s">
        <v>355</v>
      </c>
      <c r="D115" t="str">
        <f>VLOOKUP(A115,'LISTA - Atual'!$B$1:$B$444,1,0)</f>
        <v>ENTITY_CNTRPRTY_EMSSNS_SCP1</v>
      </c>
    </row>
    <row r="116" spans="1:4" x14ac:dyDescent="0.3">
      <c r="A116" s="47" t="str">
        <f t="shared" si="1"/>
        <v>ENTITY_CNTRPRTY_EMSSNS_SCP2</v>
      </c>
      <c r="B116" t="s">
        <v>10</v>
      </c>
      <c r="C116" t="s">
        <v>358</v>
      </c>
      <c r="D116" t="str">
        <f>VLOOKUP(A116,'LISTA - Atual'!$B$1:$B$444,1,0)</f>
        <v>ENTITY_CNTRPRTY_EMSSNS_SCP2</v>
      </c>
    </row>
    <row r="117" spans="1:4" x14ac:dyDescent="0.3">
      <c r="A117" s="47" t="str">
        <f t="shared" si="1"/>
        <v>ENTITY_CNTRPRTY_EMSSNS_SCP3</v>
      </c>
      <c r="B117" t="s">
        <v>10</v>
      </c>
      <c r="C117" t="s">
        <v>361</v>
      </c>
      <c r="D117" t="str">
        <f>VLOOKUP(A117,'LISTA - Atual'!$B$1:$B$444,1,0)</f>
        <v>ENTITY_CNTRPRTY_EMSSNS_SCP3</v>
      </c>
    </row>
    <row r="118" spans="1:4" x14ac:dyDescent="0.3">
      <c r="A118" s="47" t="str">
        <f t="shared" si="1"/>
        <v>ENTITY_FLG_EXCLDD_EU_PRS_ALGND_BNCHMRK</v>
      </c>
      <c r="B118" t="s">
        <v>10</v>
      </c>
      <c r="C118" t="s">
        <v>364</v>
      </c>
      <c r="D118" t="str">
        <f>VLOOKUP(A118,'LISTA - Atual'!$B$1:$B$444,1,0)</f>
        <v>ENTITY_FLG_EXCLDD_EU_PRS_ALGND_BNCHMRK</v>
      </c>
    </row>
    <row r="119" spans="1:4" x14ac:dyDescent="0.3">
      <c r="A119" s="47" t="str">
        <f t="shared" si="1"/>
        <v>ENTITY_FLG_ACT_PHYSCL_RSK</v>
      </c>
      <c r="B119" t="s">
        <v>10</v>
      </c>
      <c r="C119" t="s">
        <v>376</v>
      </c>
      <c r="D119" t="str">
        <f>VLOOKUP(A119,'LISTA - Atual'!$B$1:$B$444,1,0)</f>
        <v>ENTITY_FLG_ACT_PHYSCL_RSK</v>
      </c>
    </row>
    <row r="120" spans="1:4" x14ac:dyDescent="0.3">
      <c r="A120" s="47" t="str">
        <f t="shared" si="1"/>
        <v>ENTITY_FLG_CHRNC_PHYSCL_RSK</v>
      </c>
      <c r="B120" t="s">
        <v>10</v>
      </c>
      <c r="C120" t="s">
        <v>379</v>
      </c>
      <c r="D120" t="str">
        <f>VLOOKUP(A120,'LISTA - Atual'!$B$1:$B$444,1,0)</f>
        <v>ENTITY_FLG_CHRNC_PHYSCL_RSK</v>
      </c>
    </row>
    <row r="121" spans="1:4" x14ac:dyDescent="0.3">
      <c r="A121" s="47" t="str">
        <f t="shared" si="1"/>
        <v>ENTITY_PST_CD</v>
      </c>
      <c r="B121" t="s">
        <v>10</v>
      </c>
      <c r="C121" t="s">
        <v>287</v>
      </c>
      <c r="D121" t="str">
        <f>VLOOKUP(A121,'LISTA - Atual'!$B$1:$B$444,1,0)</f>
        <v>ENTITY_PST_CD</v>
      </c>
    </row>
    <row r="122" spans="1:4" x14ac:dyDescent="0.3">
      <c r="A122" s="47" t="str">
        <f t="shared" si="1"/>
        <v>ENTITY_ESG_SBSCTR</v>
      </c>
      <c r="B122" t="s">
        <v>10</v>
      </c>
      <c r="C122" t="s">
        <v>290</v>
      </c>
      <c r="D122" t="str">
        <f>VLOOKUP(A122,'LISTA - Atual'!$B$1:$B$444,1,0)</f>
        <v>ENTITY_ESG_SBSCTR</v>
      </c>
    </row>
    <row r="123" spans="1:4" x14ac:dyDescent="0.3">
      <c r="A123" s="47" t="str">
        <f t="shared" si="1"/>
        <v>ENTITY_TTL_LBLTY</v>
      </c>
      <c r="B123" t="s">
        <v>10</v>
      </c>
      <c r="C123" t="s">
        <v>296</v>
      </c>
      <c r="D123" t="str">
        <f>VLOOKUP(A123,'LISTA - Atual'!$B$1:$B$444,1,0)</f>
        <v>ENTITY_TTL_LBLTY</v>
      </c>
    </row>
    <row r="124" spans="1:4" x14ac:dyDescent="0.3">
      <c r="A124" s="47" t="str">
        <f t="shared" si="1"/>
        <v>ENTITY_ISIN</v>
      </c>
      <c r="B124" t="s">
        <v>10</v>
      </c>
      <c r="C124" t="s">
        <v>347</v>
      </c>
      <c r="D124" t="str">
        <f>VLOOKUP(A124,'LISTA - Atual'!$B$1:$B$444,1,0)</f>
        <v>ENTITY_ISIN</v>
      </c>
    </row>
    <row r="125" spans="1:4" x14ac:dyDescent="0.3">
      <c r="A125" s="47" t="str">
        <f t="shared" si="1"/>
        <v>ENTITY_GRP_ANNL_TRNVR_LE</v>
      </c>
      <c r="B125" t="s">
        <v>10</v>
      </c>
      <c r="C125" t="s">
        <v>349</v>
      </c>
      <c r="D125" t="str">
        <f>VLOOKUP(A125,'LISTA - Atual'!$B$1:$B$444,1,0)</f>
        <v>ENTITY_GRP_ANNL_TRNVR_LE</v>
      </c>
    </row>
    <row r="126" spans="1:4" x14ac:dyDescent="0.3">
      <c r="A126" s="47" t="str">
        <f t="shared" si="1"/>
        <v>ENTITY_GRP_TTL_LBLTY</v>
      </c>
      <c r="B126" t="s">
        <v>10</v>
      </c>
      <c r="C126" t="s">
        <v>352</v>
      </c>
      <c r="D126" t="str">
        <f>VLOOKUP(A126,'LISTA - Atual'!$B$1:$B$444,1,0)</f>
        <v>ENTITY_GRP_TTL_LBLTY</v>
      </c>
    </row>
    <row r="127" spans="1:4" x14ac:dyDescent="0.3">
      <c r="A127" s="47" t="str">
        <f t="shared" si="1"/>
        <v>ENTITY_FLG_GRP_NFRD_APPLCBLTY</v>
      </c>
      <c r="B127" t="s">
        <v>10</v>
      </c>
      <c r="C127" t="s">
        <v>344</v>
      </c>
      <c r="D127" t="str">
        <f>VLOOKUP(A127,'LISTA - Atual'!$B$1:$B$444,1,0)</f>
        <v>ENTITY_FLG_GRP_NFRD_APPLCBLTY</v>
      </c>
    </row>
    <row r="128" spans="1:4" x14ac:dyDescent="0.3">
      <c r="A128" s="47" t="str">
        <f t="shared" si="1"/>
        <v>ENTITY_GRP_EMSSNS_SCP1</v>
      </c>
      <c r="B128" t="s">
        <v>10</v>
      </c>
      <c r="C128" t="s">
        <v>367</v>
      </c>
      <c r="D128" t="str">
        <f>VLOOKUP(A128,'LISTA - Atual'!$B$1:$B$444,1,0)</f>
        <v>ENTITY_GRP_EMSSNS_SCP1</v>
      </c>
    </row>
    <row r="129" spans="1:4" x14ac:dyDescent="0.3">
      <c r="A129" s="47" t="str">
        <f t="shared" si="1"/>
        <v>ENTITY_GRP_EMSSNS_SCP2</v>
      </c>
      <c r="B129" t="s">
        <v>10</v>
      </c>
      <c r="C129" t="s">
        <v>370</v>
      </c>
      <c r="D129" t="str">
        <f>VLOOKUP(A129,'LISTA - Atual'!$B$1:$B$444,1,0)</f>
        <v>ENTITY_GRP_EMSSNS_SCP2</v>
      </c>
    </row>
    <row r="130" spans="1:4" x14ac:dyDescent="0.3">
      <c r="A130" s="47" t="str">
        <f t="shared" si="1"/>
        <v>ENTITY_GRP_EMSSNS_SCP3</v>
      </c>
      <c r="B130" t="s">
        <v>10</v>
      </c>
      <c r="C130" t="s">
        <v>373</v>
      </c>
      <c r="D130" t="str">
        <f>VLOOKUP(A130,'LISTA - Atual'!$B$1:$B$444,1,0)</f>
        <v>ENTITY_GRP_EMSSNS_SCP3</v>
      </c>
    </row>
    <row r="131" spans="1:4" x14ac:dyDescent="0.3">
      <c r="A131" s="47" t="str">
        <f t="shared" si="1"/>
        <v>INSTRUMENT_INSTRMNT_ID</v>
      </c>
      <c r="B131" t="s">
        <v>414</v>
      </c>
      <c r="C131" t="s">
        <v>405</v>
      </c>
      <c r="D131" t="str">
        <f>VLOOKUP(A131,'LISTA - Atual'!$B$1:$B$444,1,0)</f>
        <v>INSTRUMENT_INSTRMNT_ID</v>
      </c>
    </row>
    <row r="132" spans="1:4" x14ac:dyDescent="0.3">
      <c r="A132" s="47" t="str">
        <f t="shared" si="1"/>
        <v>INSTRUMENT_CNTRCT_ID</v>
      </c>
      <c r="B132" t="s">
        <v>414</v>
      </c>
      <c r="C132" t="s">
        <v>433</v>
      </c>
      <c r="D132" t="str">
        <f>VLOOKUP(A132,'LISTA - Atual'!$B$1:$B$444,1,0)</f>
        <v>INSTRUMENT_CNTRCT_ID</v>
      </c>
    </row>
    <row r="133" spans="1:4" x14ac:dyDescent="0.3">
      <c r="A133" s="47" t="str">
        <f t="shared" ref="A133:A196" si="2">B133&amp;"_"&amp;C133</f>
        <v>INSTRUMENT_CRRNCY_DNMNTN</v>
      </c>
      <c r="B133" t="s">
        <v>414</v>
      </c>
      <c r="C133" t="s">
        <v>436</v>
      </c>
      <c r="D133" t="str">
        <f>VLOOKUP(A133,'LISTA - Atual'!$B$1:$B$444,1,0)</f>
        <v>INSTRUMENT_CRRNCY_DNMNTN</v>
      </c>
    </row>
    <row r="134" spans="1:4" x14ac:dyDescent="0.3">
      <c r="A134" s="47" t="str">
        <f t="shared" si="2"/>
        <v>INSTRUMENT_DT_INCPTN</v>
      </c>
      <c r="B134" t="s">
        <v>414</v>
      </c>
      <c r="C134" t="s">
        <v>439</v>
      </c>
      <c r="D134" t="str">
        <f>VLOOKUP(A134,'LISTA - Atual'!$B$1:$B$444,1,0)</f>
        <v>INSTRUMENT_DT_INCPTN</v>
      </c>
    </row>
    <row r="135" spans="1:4" x14ac:dyDescent="0.3">
      <c r="A135" s="47" t="str">
        <f t="shared" si="2"/>
        <v>INSTRUMENT_OBSRVD_AGNT_ID</v>
      </c>
      <c r="B135" t="s">
        <v>414</v>
      </c>
      <c r="C135" t="s">
        <v>442</v>
      </c>
      <c r="D135" t="str">
        <f>VLOOKUP(A135,'LISTA - Atual'!$B$1:$B$444,1,0)</f>
        <v>INSTRUMENT_OBSRVD_AGNT_ID</v>
      </c>
    </row>
    <row r="136" spans="1:4" x14ac:dyDescent="0.3">
      <c r="A136" s="47" t="str">
        <f t="shared" si="2"/>
        <v>INSTRUMENT_OBSRVD_AGNT_NM</v>
      </c>
      <c r="B136" t="s">
        <v>414</v>
      </c>
      <c r="C136" t="s">
        <v>445</v>
      </c>
      <c r="D136" t="str">
        <f>VLOOKUP(A136,'LISTA - Atual'!$B$1:$B$444,1,0)</f>
        <v>INSTRUMENT_OBSRVD_AGNT_NM</v>
      </c>
    </row>
    <row r="137" spans="1:4" x14ac:dyDescent="0.3">
      <c r="A137" s="47" t="str">
        <f t="shared" si="2"/>
        <v>INSTRUMENT_PRDCT</v>
      </c>
      <c r="B137" t="s">
        <v>414</v>
      </c>
      <c r="C137" t="s">
        <v>448</v>
      </c>
      <c r="D137" t="str">
        <f>VLOOKUP(A137,'LISTA - Atual'!$B$1:$B$444,1,0)</f>
        <v>INSTRUMENT_PRDCT</v>
      </c>
    </row>
    <row r="138" spans="1:4" x14ac:dyDescent="0.3">
      <c r="A138" s="47" t="str">
        <f t="shared" si="2"/>
        <v>INSTRUMENT_BRCHD_CVNNTS</v>
      </c>
      <c r="B138" t="s">
        <v>414</v>
      </c>
      <c r="C138" t="s">
        <v>451</v>
      </c>
      <c r="D138" t="str">
        <f>VLOOKUP(A138,'LISTA - Atual'!$B$1:$B$444,1,0)</f>
        <v>INSTRUMENT_BRCHD_CVNNTS</v>
      </c>
    </row>
    <row r="139" spans="1:4" x14ac:dyDescent="0.3">
      <c r="A139" s="47" t="str">
        <f t="shared" si="2"/>
        <v>INSTRUMENT_CHNNL_ORGNTN</v>
      </c>
      <c r="B139" t="s">
        <v>414</v>
      </c>
      <c r="C139" t="s">
        <v>454</v>
      </c>
      <c r="D139" t="str">
        <f>VLOOKUP(A139,'LISTA - Atual'!$B$1:$B$444,1,0)</f>
        <v>INSTRUMENT_CHNNL_ORGNTN</v>
      </c>
    </row>
    <row r="140" spans="1:4" x14ac:dyDescent="0.3">
      <c r="A140" s="47" t="str">
        <f t="shared" si="2"/>
        <v>INSTRUMENT_CSH_SWP_TRP</v>
      </c>
      <c r="B140" t="s">
        <v>414</v>
      </c>
      <c r="C140" t="s">
        <v>457</v>
      </c>
      <c r="D140" t="str">
        <f>VLOOKUP(A140,'LISTA - Atual'!$B$1:$B$444,1,0)</f>
        <v>INSTRUMENT_CSH_SWP_TRP</v>
      </c>
    </row>
    <row r="141" spans="1:4" x14ac:dyDescent="0.3">
      <c r="A141" s="47" t="str">
        <f t="shared" si="2"/>
        <v>INSTRUMENT_CVNNT_STTS</v>
      </c>
      <c r="B141" t="s">
        <v>414</v>
      </c>
      <c r="C141" t="s">
        <v>460</v>
      </c>
      <c r="D141" t="str">
        <f>VLOOKUP(A141,'LISTA - Atual'!$B$1:$B$444,1,0)</f>
        <v>INSTRUMENT_CVNNT_STTS</v>
      </c>
    </row>
    <row r="142" spans="1:4" x14ac:dyDescent="0.3">
      <c r="A142" s="47" t="str">
        <f t="shared" si="2"/>
        <v>INSTRUMENT_CVNNT_TYP</v>
      </c>
      <c r="B142" t="s">
        <v>414</v>
      </c>
      <c r="C142" t="s">
        <v>463</v>
      </c>
      <c r="D142" t="str">
        <f>VLOOKUP(A142,'LISTA - Atual'!$B$1:$B$444,1,0)</f>
        <v>INSTRUMENT_CVNNT_TYP</v>
      </c>
    </row>
    <row r="143" spans="1:4" x14ac:dyDescent="0.3">
      <c r="A143" s="47" t="str">
        <f t="shared" si="2"/>
        <v>INSTRUMENT_DFLT_STTS_INSTRMNT</v>
      </c>
      <c r="B143" t="s">
        <v>414</v>
      </c>
      <c r="C143" t="s">
        <v>466</v>
      </c>
      <c r="D143" t="str">
        <f>VLOOKUP(A143,'LISTA - Atual'!$B$1:$B$444,1,0)</f>
        <v>INSTRUMENT_DFLT_STTS_INSTRMNT</v>
      </c>
    </row>
    <row r="144" spans="1:4" x14ac:dyDescent="0.3">
      <c r="A144" s="47" t="str">
        <f t="shared" si="2"/>
        <v>INSTRUMENT_DT_DFLT_STTS_INSTRMNT</v>
      </c>
      <c r="B144" t="s">
        <v>414</v>
      </c>
      <c r="C144" t="s">
        <v>469</v>
      </c>
      <c r="D144" t="str">
        <f>VLOOKUP(A144,'LISTA - Atual'!$B$1:$B$444,1,0)</f>
        <v>INSTRUMENT_DT_DFLT_STTS_INSTRMNT</v>
      </c>
    </row>
    <row r="145" spans="1:4" x14ac:dyDescent="0.3">
      <c r="A145" s="47" t="str">
        <f t="shared" si="2"/>
        <v>INSTRUMENT_DT_END_GP_PPAL</v>
      </c>
      <c r="B145" t="s">
        <v>414</v>
      </c>
      <c r="C145" t="s">
        <v>471</v>
      </c>
      <c r="D145" t="str">
        <f>VLOOKUP(A145,'LISTA - Atual'!$B$1:$B$444,1,0)</f>
        <v>INSTRUMENT_DT_END_GP_PPAL</v>
      </c>
    </row>
    <row r="146" spans="1:4" x14ac:dyDescent="0.3">
      <c r="A146" s="47" t="str">
        <f t="shared" si="2"/>
        <v>INSTRUMENT_DT_END_INTRST_ONLY</v>
      </c>
      <c r="B146" t="s">
        <v>414</v>
      </c>
      <c r="C146" t="s">
        <v>474</v>
      </c>
      <c r="D146" t="str">
        <f>VLOOKUP(A146,'LISTA - Atual'!$B$1:$B$444,1,0)</f>
        <v>INSTRUMENT_DT_END_INTRST_ONLY</v>
      </c>
    </row>
    <row r="147" spans="1:4" x14ac:dyDescent="0.3">
      <c r="A147" s="47" t="str">
        <f t="shared" si="2"/>
        <v>INSTRUMENT_DT_FRBRNC_STTS</v>
      </c>
      <c r="B147" t="s">
        <v>414</v>
      </c>
      <c r="C147" t="s">
        <v>477</v>
      </c>
      <c r="D147" t="str">
        <f>VLOOKUP(A147,'LISTA - Atual'!$B$1:$B$444,1,0)</f>
        <v>INSTRUMENT_DT_FRBRNC_STTS</v>
      </c>
    </row>
    <row r="148" spans="1:4" x14ac:dyDescent="0.3">
      <c r="A148" s="47" t="str">
        <f t="shared" si="2"/>
        <v>INSTRUMENT_DT_FRBRNC_STTS_PRVS</v>
      </c>
      <c r="B148" t="s">
        <v>414</v>
      </c>
      <c r="C148" t="s">
        <v>480</v>
      </c>
      <c r="D148" t="str">
        <f>VLOOKUP(A148,'LISTA - Atual'!$B$1:$B$444,1,0)</f>
        <v>INSTRUMENT_DT_FRBRNC_STTS_PRVS</v>
      </c>
    </row>
    <row r="149" spans="1:4" x14ac:dyDescent="0.3">
      <c r="A149" s="47" t="str">
        <f t="shared" si="2"/>
        <v>INSTRUMENT_DT_INTRNL_RTNG</v>
      </c>
      <c r="B149" t="s">
        <v>414</v>
      </c>
      <c r="C149" t="s">
        <v>80</v>
      </c>
      <c r="D149" t="str">
        <f>VLOOKUP(A149,'LISTA - Atual'!$B$1:$B$444,1,0)</f>
        <v>INSTRUMENT_DT_INTRNL_RTNG</v>
      </c>
    </row>
    <row r="150" spans="1:4" x14ac:dyDescent="0.3">
      <c r="A150" s="47" t="str">
        <f t="shared" si="2"/>
        <v>INSTRUMENT_DT_PRFRMNG_STTS</v>
      </c>
      <c r="B150" t="s">
        <v>414</v>
      </c>
      <c r="C150" t="s">
        <v>484</v>
      </c>
      <c r="D150" t="str">
        <f>VLOOKUP(A150,'LISTA - Atual'!$B$1:$B$444,1,0)</f>
        <v>INSTRUMENT_DT_PRFRMNG_STTS</v>
      </c>
    </row>
    <row r="151" spans="1:4" x14ac:dyDescent="0.3">
      <c r="A151" s="47" t="str">
        <f t="shared" si="2"/>
        <v>INSTRUMENT_DT_PRFRMNG_STTS_PRVS</v>
      </c>
      <c r="B151" t="s">
        <v>414</v>
      </c>
      <c r="C151" t="s">
        <v>486</v>
      </c>
      <c r="D151" t="str">
        <f>VLOOKUP(A151,'LISTA - Atual'!$B$1:$B$444,1,0)</f>
        <v>INSTRUMENT_DT_PRFRMNG_STTS_PRVS</v>
      </c>
    </row>
    <row r="152" spans="1:4" x14ac:dyDescent="0.3">
      <c r="A152" s="47" t="str">
        <f t="shared" si="2"/>
        <v>INSTRUMENT_DT_STRT_INTRST_ONLY</v>
      </c>
      <c r="B152" t="s">
        <v>414</v>
      </c>
      <c r="C152" t="s">
        <v>489</v>
      </c>
      <c r="D152" t="str">
        <f>VLOOKUP(A152,'LISTA - Atual'!$B$1:$B$444,1,0)</f>
        <v>INSTRUMENT_DT_STRT_INTRST_ONLY</v>
      </c>
    </row>
    <row r="153" spans="1:4" x14ac:dyDescent="0.3">
      <c r="A153" s="47" t="str">
        <f t="shared" si="2"/>
        <v>INSTRUMENT_EXPSR_IN_SCP</v>
      </c>
      <c r="B153" t="s">
        <v>414</v>
      </c>
      <c r="C153" t="s">
        <v>492</v>
      </c>
      <c r="D153" t="str">
        <f>VLOOKUP(A153,'LISTA - Atual'!$B$1:$B$444,1,0)</f>
        <v>INSTRUMENT_EXPSR_IN_SCP</v>
      </c>
    </row>
    <row r="154" spans="1:4" x14ac:dyDescent="0.3">
      <c r="A154" s="47" t="str">
        <f t="shared" si="2"/>
        <v>INSTRUMENT_FLD_SYNDCTN</v>
      </c>
      <c r="B154" t="s">
        <v>414</v>
      </c>
      <c r="C154" t="s">
        <v>495</v>
      </c>
      <c r="D154" t="str">
        <f>VLOOKUP(A154,'LISTA - Atual'!$B$1:$B$444,1,0)</f>
        <v>INSTRUMENT_FLD_SYNDCTN</v>
      </c>
    </row>
    <row r="155" spans="1:4" x14ac:dyDescent="0.3">
      <c r="A155" s="47" t="str">
        <f t="shared" si="2"/>
        <v>INSTRUMENT_FLG_LBO</v>
      </c>
      <c r="B155" t="s">
        <v>414</v>
      </c>
      <c r="C155" t="s">
        <v>498</v>
      </c>
      <c r="D155" t="str">
        <f>VLOOKUP(A155,'LISTA - Atual'!$B$1:$B$444,1,0)</f>
        <v>INSTRUMENT_FLG_LBO</v>
      </c>
    </row>
    <row r="156" spans="1:4" x14ac:dyDescent="0.3">
      <c r="A156" s="47" t="str">
        <f t="shared" si="2"/>
        <v>INSTRUMENT_FRBRNC_STTS_INSTRMNT</v>
      </c>
      <c r="B156" t="s">
        <v>414</v>
      </c>
      <c r="C156" t="s">
        <v>501</v>
      </c>
      <c r="D156" t="str">
        <f>VLOOKUP(A156,'LISTA - Atual'!$B$1:$B$444,1,0)</f>
        <v>INSTRUMENT_FRBRNC_STTS_INSTRMNT</v>
      </c>
    </row>
    <row r="157" spans="1:4" x14ac:dyDescent="0.3">
      <c r="A157" s="47" t="str">
        <f t="shared" si="2"/>
        <v>INSTRUMENT_IMPRMNT_STTS</v>
      </c>
      <c r="B157" t="s">
        <v>414</v>
      </c>
      <c r="C157" t="s">
        <v>504</v>
      </c>
      <c r="D157" t="str">
        <f>VLOOKUP(A157,'LISTA - Atual'!$B$1:$B$444,1,0)</f>
        <v>INSTRUMENT_IMPRMNT_STTS</v>
      </c>
    </row>
    <row r="158" spans="1:4" x14ac:dyDescent="0.3">
      <c r="A158" s="47" t="str">
        <f t="shared" si="2"/>
        <v>INSTRUMENT_IMPRMNT_STTS_PRVS</v>
      </c>
      <c r="B158" t="s">
        <v>414</v>
      </c>
      <c r="C158" t="s">
        <v>507</v>
      </c>
      <c r="D158" t="str">
        <f>VLOOKUP(A158,'LISTA - Atual'!$B$1:$B$444,1,0)</f>
        <v>INSTRUMENT_IMPRMNT_STTS_PRVS</v>
      </c>
    </row>
    <row r="159" spans="1:4" x14ac:dyDescent="0.3">
      <c r="A159" s="47" t="str">
        <f t="shared" si="2"/>
        <v>INSTRUMENT_INTRNL_RTNG</v>
      </c>
      <c r="B159" t="s">
        <v>414</v>
      </c>
      <c r="C159" t="s">
        <v>128</v>
      </c>
      <c r="D159" t="str">
        <f>VLOOKUP(A159,'LISTA - Atual'!$B$1:$B$444,1,0)</f>
        <v>INSTRUMENT_INTRNL_RTNG</v>
      </c>
    </row>
    <row r="160" spans="1:4" x14ac:dyDescent="0.3">
      <c r="A160" s="47" t="str">
        <f t="shared" si="2"/>
        <v>INSTRUMENT_INTRNL_RTNG_INCPTN</v>
      </c>
      <c r="B160" t="s">
        <v>414</v>
      </c>
      <c r="C160" t="s">
        <v>511</v>
      </c>
      <c r="D160" t="str">
        <f>VLOOKUP(A160,'LISTA - Atual'!$B$1:$B$444,1,0)</f>
        <v>INSTRUMENT_INTRNL_RTNG_INCPTN</v>
      </c>
    </row>
    <row r="161" spans="1:4" x14ac:dyDescent="0.3">
      <c r="A161" s="47" t="str">
        <f t="shared" si="2"/>
        <v>INSTRUMENT_INTRNL_SGMNT</v>
      </c>
      <c r="B161" t="s">
        <v>414</v>
      </c>
      <c r="C161" t="s">
        <v>50</v>
      </c>
      <c r="D161" t="str">
        <f>VLOOKUP(A161,'LISTA - Atual'!$B$1:$B$444,1,0)</f>
        <v>INSTRUMENT_INTRNL_SGMNT</v>
      </c>
    </row>
    <row r="162" spans="1:4" x14ac:dyDescent="0.3">
      <c r="A162" s="47" t="str">
        <f t="shared" si="2"/>
        <v>INSTRUMENT_INTRNL_UNT</v>
      </c>
      <c r="B162" t="s">
        <v>414</v>
      </c>
      <c r="C162" t="s">
        <v>53</v>
      </c>
      <c r="D162" t="str">
        <f>VLOOKUP(A162,'LISTA - Atual'!$B$1:$B$444,1,0)</f>
        <v>INSTRUMENT_INTRNL_UNT</v>
      </c>
    </row>
    <row r="163" spans="1:4" x14ac:dyDescent="0.3">
      <c r="A163" s="47" t="str">
        <f t="shared" si="2"/>
        <v>INSTRUMENT_LCRE</v>
      </c>
      <c r="B163" t="s">
        <v>414</v>
      </c>
      <c r="C163" t="s">
        <v>516</v>
      </c>
      <c r="D163" t="str">
        <f>VLOOKUP(A163,'LISTA - Atual'!$B$1:$B$444,1,0)</f>
        <v>INSTRUMENT_LCRE</v>
      </c>
    </row>
    <row r="164" spans="1:4" x14ac:dyDescent="0.3">
      <c r="A164" s="47" t="str">
        <f t="shared" si="2"/>
        <v>INSTRUMENT_LGL_PRCDNG_STTS</v>
      </c>
      <c r="B164" t="s">
        <v>414</v>
      </c>
      <c r="C164" t="s">
        <v>519</v>
      </c>
      <c r="D164" t="str">
        <f>VLOOKUP(A164,'LISTA - Atual'!$B$1:$B$444,1,0)</f>
        <v>INSTRUMENT_LGL_PRCDNG_STTS</v>
      </c>
    </row>
    <row r="165" spans="1:4" x14ac:dyDescent="0.3">
      <c r="A165" s="47" t="str">
        <f t="shared" si="2"/>
        <v>INSTRUMENT_LND_DRGTN</v>
      </c>
      <c r="B165" t="s">
        <v>414</v>
      </c>
      <c r="C165" t="s">
        <v>522</v>
      </c>
      <c r="D165" t="str">
        <f>VLOOKUP(A165,'LISTA - Atual'!$B$1:$B$444,1,0)</f>
        <v>INSTRUMENT_LND_DRGTN</v>
      </c>
    </row>
    <row r="166" spans="1:4" x14ac:dyDescent="0.3">
      <c r="A166" s="47" t="str">
        <f t="shared" si="2"/>
        <v>INSTRUMENT_POCI</v>
      </c>
      <c r="B166" t="s">
        <v>414</v>
      </c>
      <c r="C166" t="s">
        <v>525</v>
      </c>
      <c r="D166" t="str">
        <f>VLOOKUP(A166,'LISTA - Atual'!$B$1:$B$444,1,0)</f>
        <v>INSTRUMENT_POCI</v>
      </c>
    </row>
    <row r="167" spans="1:4" x14ac:dyDescent="0.3">
      <c r="A167" s="47" t="str">
        <f t="shared" si="2"/>
        <v>INSTRUMENT_PRFRMNG_STTS</v>
      </c>
      <c r="B167" t="s">
        <v>414</v>
      </c>
      <c r="C167" t="s">
        <v>528</v>
      </c>
      <c r="D167" t="str">
        <f>VLOOKUP(A167,'LISTA - Atual'!$B$1:$B$444,1,0)</f>
        <v>INSTRUMENT_PRFRMNG_STTS</v>
      </c>
    </row>
    <row r="168" spans="1:4" x14ac:dyDescent="0.3">
      <c r="A168" s="47" t="str">
        <f t="shared" si="2"/>
        <v>INSTRUMENT_PRFRMNG_STTS_PRVS</v>
      </c>
      <c r="B168" t="s">
        <v>414</v>
      </c>
      <c r="C168" t="s">
        <v>530</v>
      </c>
      <c r="D168" t="str">
        <f>VLOOKUP(A168,'LISTA - Atual'!$B$1:$B$444,1,0)</f>
        <v>INSTRUMENT_PRFRMNG_STTS_PRVS</v>
      </c>
    </row>
    <row r="169" spans="1:4" x14ac:dyDescent="0.3">
      <c r="A169" s="47" t="str">
        <f t="shared" si="2"/>
        <v>INSTRUMENT_PRJCT_FNNC_LN</v>
      </c>
      <c r="B169" t="s">
        <v>414</v>
      </c>
      <c r="C169" t="s">
        <v>533</v>
      </c>
      <c r="D169" t="str">
        <f>VLOOKUP(A169,'LISTA - Atual'!$B$1:$B$444,1,0)</f>
        <v>INSTRUMENT_PRJCT_FNNC_LN</v>
      </c>
    </row>
    <row r="170" spans="1:4" x14ac:dyDescent="0.3">
      <c r="A170" s="47" t="str">
        <f t="shared" si="2"/>
        <v>INSTRUMENT_PRPS</v>
      </c>
      <c r="B170" t="s">
        <v>414</v>
      </c>
      <c r="C170" t="s">
        <v>536</v>
      </c>
      <c r="D170" t="str">
        <f>VLOOKUP(A170,'LISTA - Atual'!$B$1:$B$444,1,0)</f>
        <v>INSTRUMENT_PRPS</v>
      </c>
    </row>
    <row r="171" spans="1:4" x14ac:dyDescent="0.3">
      <c r="A171" s="47" t="str">
        <f t="shared" si="2"/>
        <v>INSTRUMENT_PYMNT_INTRST_ONLY</v>
      </c>
      <c r="B171" t="s">
        <v>414</v>
      </c>
      <c r="C171" t="s">
        <v>539</v>
      </c>
      <c r="D171" t="str">
        <f>VLOOKUP(A171,'LISTA - Atual'!$B$1:$B$444,1,0)</f>
        <v>INSTRUMENT_PYMNT_INTRST_ONLY</v>
      </c>
    </row>
    <row r="172" spans="1:4" x14ac:dyDescent="0.3">
      <c r="A172" s="47" t="str">
        <f t="shared" si="2"/>
        <v>INSTRUMENT_RCRS</v>
      </c>
      <c r="B172" t="s">
        <v>414</v>
      </c>
      <c r="C172" t="s">
        <v>542</v>
      </c>
      <c r="D172" t="str">
        <f>VLOOKUP(A172,'LISTA - Atual'!$B$1:$B$444,1,0)</f>
        <v>INSTRUMENT_RCRS</v>
      </c>
    </row>
    <row r="173" spans="1:4" x14ac:dyDescent="0.3">
      <c r="A173" s="47" t="str">
        <f t="shared" si="2"/>
        <v>INSTRUMENT_RFNNC_PRPS</v>
      </c>
      <c r="B173" t="s">
        <v>414</v>
      </c>
      <c r="C173" t="s">
        <v>545</v>
      </c>
      <c r="D173" t="str">
        <f>VLOOKUP(A173,'LISTA - Atual'!$B$1:$B$444,1,0)</f>
        <v>INSTRUMENT_RFNNC_PRPS</v>
      </c>
    </row>
    <row r="174" spans="1:4" x14ac:dyDescent="0.3">
      <c r="A174" s="47" t="str">
        <f t="shared" si="2"/>
        <v>INSTRUMENT_SPCLTV_LNDNG</v>
      </c>
      <c r="B174" t="s">
        <v>414</v>
      </c>
      <c r="C174" t="s">
        <v>548</v>
      </c>
      <c r="D174" t="str">
        <f>VLOOKUP(A174,'LISTA - Atual'!$B$1:$B$444,1,0)</f>
        <v>INSTRUMENT_SPCLTV_LNDNG</v>
      </c>
    </row>
    <row r="175" spans="1:4" x14ac:dyDescent="0.3">
      <c r="A175" s="47" t="str">
        <f t="shared" si="2"/>
        <v>INSTRUMENT_STTS_UNDRWRTTN_TRNSCTN</v>
      </c>
      <c r="B175" t="s">
        <v>414</v>
      </c>
      <c r="C175" t="s">
        <v>551</v>
      </c>
      <c r="D175" t="str">
        <f>VLOOKUP(A175,'LISTA - Atual'!$B$1:$B$444,1,0)</f>
        <v>INSTRUMENT_STTS_UNDRWRTTN_TRNSCTN</v>
      </c>
    </row>
    <row r="176" spans="1:4" x14ac:dyDescent="0.3">
      <c r="A176" s="47" t="str">
        <f t="shared" si="2"/>
        <v>INSTRUMENT_TRNCH</v>
      </c>
      <c r="B176" t="s">
        <v>414</v>
      </c>
      <c r="C176" t="s">
        <v>554</v>
      </c>
      <c r="D176" t="str">
        <f>VLOOKUP(A176,'LISTA - Atual'!$B$1:$B$444,1,0)</f>
        <v>INSTRUMENT_TRNCH</v>
      </c>
    </row>
    <row r="177" spans="1:4" x14ac:dyDescent="0.3">
      <c r="A177" s="47" t="str">
        <f t="shared" si="2"/>
        <v>INSTRUMENT_TYP_AMRTSTN</v>
      </c>
      <c r="B177" t="s">
        <v>414</v>
      </c>
      <c r="C177" t="s">
        <v>557</v>
      </c>
      <c r="D177" t="str">
        <f>VLOOKUP(A177,'LISTA - Atual'!$B$1:$B$444,1,0)</f>
        <v>INSTRUMENT_TYP_AMRTSTN</v>
      </c>
    </row>
    <row r="178" spans="1:4" x14ac:dyDescent="0.3">
      <c r="A178" s="47" t="str">
        <f t="shared" si="2"/>
        <v>INSTRUMENT_TYP_INSTRMNT</v>
      </c>
      <c r="B178" t="s">
        <v>414</v>
      </c>
      <c r="C178" t="s">
        <v>560</v>
      </c>
      <c r="D178" t="str">
        <f>VLOOKUP(A178,'LISTA - Atual'!$B$1:$B$444,1,0)</f>
        <v>INSTRUMENT_TYP_INSTRMNT</v>
      </c>
    </row>
    <row r="179" spans="1:4" x14ac:dyDescent="0.3">
      <c r="A179" s="47" t="str">
        <f t="shared" si="2"/>
        <v>INSTRUMENT_TYP_INTRST_RT</v>
      </c>
      <c r="B179" t="s">
        <v>414</v>
      </c>
      <c r="C179" t="s">
        <v>563</v>
      </c>
      <c r="D179" t="str">
        <f>VLOOKUP(A179,'LISTA - Atual'!$B$1:$B$444,1,0)</f>
        <v>INSTRUMENT_TYP_INTRST_RT</v>
      </c>
    </row>
    <row r="180" spans="1:4" x14ac:dyDescent="0.3">
      <c r="A180" s="47" t="str">
        <f t="shared" si="2"/>
        <v>INSTRUMENT_TYP_MRTGG</v>
      </c>
      <c r="B180" t="s">
        <v>414</v>
      </c>
      <c r="C180" t="s">
        <v>566</v>
      </c>
      <c r="D180" t="str">
        <f>VLOOKUP(A180,'LISTA - Atual'!$B$1:$B$444,1,0)</f>
        <v>INSTRUMENT_TYP_MRTGG</v>
      </c>
    </row>
    <row r="181" spans="1:4" x14ac:dyDescent="0.3">
      <c r="A181" s="47" t="str">
        <f t="shared" si="2"/>
        <v>INSTRUMENT_TYP_CRE_OPRTN</v>
      </c>
      <c r="B181" t="s">
        <v>414</v>
      </c>
      <c r="C181" t="s">
        <v>569</v>
      </c>
      <c r="D181" t="str">
        <f>VLOOKUP(A181,'LISTA - Atual'!$B$1:$B$444,1,0)</f>
        <v>INSTRUMENT_TYP_CRE_OPRTN</v>
      </c>
    </row>
    <row r="182" spans="1:4" x14ac:dyDescent="0.3">
      <c r="A182" s="47" t="str">
        <f t="shared" si="2"/>
        <v>INSTRUMENT_DT_STRT_GP_PPAL</v>
      </c>
      <c r="B182" t="s">
        <v>414</v>
      </c>
      <c r="C182" t="s">
        <v>572</v>
      </c>
      <c r="D182" t="str">
        <f>VLOOKUP(A182,'LISTA - Atual'!$B$1:$B$444,1,0)</f>
        <v>INSTRUMENT_DT_STRT_GP_PPAL</v>
      </c>
    </row>
    <row r="183" spans="1:4" x14ac:dyDescent="0.3">
      <c r="A183" s="47" t="str">
        <f t="shared" si="2"/>
        <v>INSTRUMENT_GRSS_CRRYNG_AMNT_INSTRMNT</v>
      </c>
      <c r="B183" t="s">
        <v>414</v>
      </c>
      <c r="C183" t="s">
        <v>575</v>
      </c>
      <c r="D183" t="str">
        <f>VLOOKUP(A183,'LISTA - Atual'!$B$1:$B$444,1,0)</f>
        <v>INSTRUMENT_GRSS_CRRYNG_AMNT_INSTRMNT</v>
      </c>
    </row>
    <row r="184" spans="1:4" x14ac:dyDescent="0.3">
      <c r="A184" s="47" t="str">
        <f t="shared" si="2"/>
        <v>INSTRUMENT_ACCMLTD_CHNGS_FV_CR_INSTRMNT</v>
      </c>
      <c r="B184" t="s">
        <v>414</v>
      </c>
      <c r="C184" t="s">
        <v>578</v>
      </c>
      <c r="D184" t="str">
        <f>VLOOKUP(A184,'LISTA - Atual'!$B$1:$B$444,1,0)</f>
        <v>INSTRUMENT_ACCMLTD_CHNGS_FV_CR_INSTRMNT</v>
      </c>
    </row>
    <row r="185" spans="1:4" x14ac:dyDescent="0.3">
      <c r="A185" s="47" t="str">
        <f t="shared" si="2"/>
        <v>INSTRUMENT_ACCNTNG_CLSSFCTN</v>
      </c>
      <c r="B185" t="s">
        <v>414</v>
      </c>
      <c r="C185" t="s">
        <v>581</v>
      </c>
      <c r="D185" t="str">
        <f>VLOOKUP(A185,'LISTA - Atual'!$B$1:$B$444,1,0)</f>
        <v>INSTRUMENT_ACCNTNG_CLSSFCTN</v>
      </c>
    </row>
    <row r="186" spans="1:4" x14ac:dyDescent="0.3">
      <c r="A186" s="47" t="str">
        <f t="shared" si="2"/>
        <v>INSTRUMENT_ACCRD_INTRST_INSTRMNT</v>
      </c>
      <c r="B186" t="s">
        <v>414</v>
      </c>
      <c r="C186" t="s">
        <v>584</v>
      </c>
      <c r="D186" t="str">
        <f>VLOOKUP(A186,'LISTA - Atual'!$B$1:$B$444,1,0)</f>
        <v>INSTRUMENT_ACCRD_INTRST_INSTRMNT</v>
      </c>
    </row>
    <row r="187" spans="1:4" x14ac:dyDescent="0.3">
      <c r="A187" s="47" t="str">
        <f t="shared" si="2"/>
        <v>INSTRUMENT_AMNT_D_AT_MTRTY</v>
      </c>
      <c r="B187" t="s">
        <v>414</v>
      </c>
      <c r="C187" t="s">
        <v>587</v>
      </c>
      <c r="D187" t="str">
        <f>VLOOKUP(A187,'LISTA - Atual'!$B$1:$B$444,1,0)</f>
        <v>INSTRUMENT_AMNT_D_AT_MTRTY</v>
      </c>
    </row>
    <row r="188" spans="1:4" x14ac:dyDescent="0.3">
      <c r="A188" s="47" t="str">
        <f t="shared" si="2"/>
        <v>INSTRUMENT_CCF</v>
      </c>
      <c r="B188" t="s">
        <v>414</v>
      </c>
      <c r="C188" t="s">
        <v>590</v>
      </c>
      <c r="D188" t="str">
        <f>VLOOKUP(A188,'LISTA - Atual'!$B$1:$B$444,1,0)</f>
        <v>INSTRUMENT_CCF</v>
      </c>
    </row>
    <row r="189" spans="1:4" x14ac:dyDescent="0.3">
      <c r="A189" s="47" t="str">
        <f t="shared" si="2"/>
        <v>INSTRUMENT_CMMTMNT_INCPTN_INSTRMNT</v>
      </c>
      <c r="B189" t="s">
        <v>414</v>
      </c>
      <c r="C189" t="s">
        <v>593</v>
      </c>
      <c r="D189" t="str">
        <f>VLOOKUP(A189,'LISTA - Atual'!$B$1:$B$444,1,0)</f>
        <v>INSTRUMENT_CMMTMNT_INCPTN_INSTRMNT</v>
      </c>
    </row>
    <row r="190" spans="1:4" x14ac:dyDescent="0.3">
      <c r="A190" s="47" t="str">
        <f t="shared" si="2"/>
        <v>INSTRUMENT_CMMTMNT_INSTRMNT</v>
      </c>
      <c r="B190" t="s">
        <v>414</v>
      </c>
      <c r="C190" t="s">
        <v>596</v>
      </c>
      <c r="D190" t="str">
        <f>VLOOKUP(A190,'LISTA - Atual'!$B$1:$B$444,1,0)</f>
        <v>INSTRUMENT_CMMTMNT_INSTRMNT</v>
      </c>
    </row>
    <row r="191" spans="1:4" x14ac:dyDescent="0.3">
      <c r="A191" s="47" t="str">
        <f t="shared" si="2"/>
        <v>INSTRUMENT_CRRYNG_AMNT_INSTRMNT</v>
      </c>
      <c r="B191" t="s">
        <v>414</v>
      </c>
      <c r="C191" t="s">
        <v>599</v>
      </c>
      <c r="D191" t="str">
        <f>VLOOKUP(A191,'LISTA - Atual'!$B$1:$B$444,1,0)</f>
        <v>INSTRUMENT_CRRYNG_AMNT_INSTRMNT</v>
      </c>
    </row>
    <row r="192" spans="1:4" x14ac:dyDescent="0.3">
      <c r="A192" s="47" t="str">
        <f t="shared" si="2"/>
        <v>INSTRUMENT_DBT_YLD</v>
      </c>
      <c r="B192" t="s">
        <v>414</v>
      </c>
      <c r="C192" t="s">
        <v>602</v>
      </c>
      <c r="D192" t="str">
        <f>VLOOKUP(A192,'LISTA - Atual'!$B$1:$B$444,1,0)</f>
        <v>INSTRUMENT_DBT_YLD</v>
      </c>
    </row>
    <row r="193" spans="1:4" x14ac:dyDescent="0.3">
      <c r="A193" s="47" t="str">
        <f t="shared" si="2"/>
        <v>INSTRUMENT_DT_LGL_FNL_MTRTY</v>
      </c>
      <c r="B193" t="s">
        <v>414</v>
      </c>
      <c r="C193" t="s">
        <v>605</v>
      </c>
      <c r="D193" t="str">
        <f>VLOOKUP(A193,'LISTA - Atual'!$B$1:$B$444,1,0)</f>
        <v>INSTRUMENT_DT_LGL_FNL_MTRTY</v>
      </c>
    </row>
    <row r="194" spans="1:4" x14ac:dyDescent="0.3">
      <c r="A194" s="47" t="str">
        <f t="shared" si="2"/>
        <v>INSTRUMENT_DT_NXT_INTRST_RT_RST</v>
      </c>
      <c r="B194" t="s">
        <v>414</v>
      </c>
      <c r="C194" t="s">
        <v>608</v>
      </c>
      <c r="D194" t="str">
        <f>VLOOKUP(A194,'LISTA - Atual'!$B$1:$B$444,1,0)</f>
        <v>INSTRUMENT_DT_NXT_INTRST_RT_RST</v>
      </c>
    </row>
    <row r="195" spans="1:4" x14ac:dyDescent="0.3">
      <c r="A195" s="47" t="str">
        <f t="shared" si="2"/>
        <v>INSTRUMENT_DT_ORGNL_MTRTY</v>
      </c>
      <c r="B195" t="s">
        <v>414</v>
      </c>
      <c r="C195" t="s">
        <v>611</v>
      </c>
      <c r="D195" t="str">
        <f>VLOOKUP(A195,'LISTA - Atual'!$B$1:$B$444,1,0)</f>
        <v>INSTRUMENT_DT_ORGNL_MTRTY</v>
      </c>
    </row>
    <row r="196" spans="1:4" x14ac:dyDescent="0.3">
      <c r="A196" s="47" t="str">
        <f t="shared" si="2"/>
        <v>INSTRUMENT_IFRS9_BHVRL_MTRTY</v>
      </c>
      <c r="B196" t="s">
        <v>414</v>
      </c>
      <c r="C196" t="s">
        <v>614</v>
      </c>
      <c r="D196" t="str">
        <f>VLOOKUP(A196,'LISTA - Atual'!$B$1:$B$444,1,0)</f>
        <v>INSTRUMENT_IFRS9_BHVRL_MTRTY</v>
      </c>
    </row>
    <row r="197" spans="1:4" x14ac:dyDescent="0.3">
      <c r="A197" s="47" t="str">
        <f t="shared" ref="A197:A260" si="3">B197&amp;"_"&amp;C197</f>
        <v>INSTRUMENT_EAD</v>
      </c>
      <c r="B197" t="s">
        <v>414</v>
      </c>
      <c r="C197" t="s">
        <v>617</v>
      </c>
      <c r="D197" t="str">
        <f>VLOOKUP(A197,'LISTA - Atual'!$B$1:$B$444,1,0)</f>
        <v>INSTRUMENT_EAD</v>
      </c>
    </row>
    <row r="198" spans="1:4" x14ac:dyDescent="0.3">
      <c r="A198" s="47" t="str">
        <f t="shared" si="3"/>
        <v>INSTRUMENT_IFRS9_CCF</v>
      </c>
      <c r="B198" t="s">
        <v>414</v>
      </c>
      <c r="C198" t="s">
        <v>620</v>
      </c>
      <c r="D198" t="str">
        <f>VLOOKUP(A198,'LISTA - Atual'!$B$1:$B$444,1,0)</f>
        <v>INSTRUMENT_IFRS9_CCF</v>
      </c>
    </row>
    <row r="199" spans="1:4" x14ac:dyDescent="0.3">
      <c r="A199" s="47" t="str">
        <f t="shared" si="3"/>
        <v>INSTRUMENT_IFRS9_EAD</v>
      </c>
      <c r="B199" t="s">
        <v>414</v>
      </c>
      <c r="C199" t="s">
        <v>623</v>
      </c>
      <c r="D199" t="str">
        <f>VLOOKUP(A199,'LISTA - Atual'!$B$1:$B$444,1,0)</f>
        <v>INSTRUMENT_IFRS9_EAD</v>
      </c>
    </row>
    <row r="200" spans="1:4" x14ac:dyDescent="0.3">
      <c r="A200" s="47" t="str">
        <f t="shared" si="3"/>
        <v>INSTRUMENT_INSTLMNT_PAY</v>
      </c>
      <c r="B200" t="s">
        <v>414</v>
      </c>
      <c r="C200" t="s">
        <v>626</v>
      </c>
      <c r="D200" t="str">
        <f>VLOOKUP(A200,'LISTA - Atual'!$B$1:$B$444,1,0)</f>
        <v>INSTRUMENT_INSTLMNT_PAY</v>
      </c>
    </row>
    <row r="201" spans="1:4" x14ac:dyDescent="0.3">
      <c r="A201" s="47" t="str">
        <f t="shared" si="3"/>
        <v>INSTRUMENT_OFF_BLNC_SHT_AMNT_INSTRMNT</v>
      </c>
      <c r="B201" t="s">
        <v>414</v>
      </c>
      <c r="C201" t="s">
        <v>629</v>
      </c>
      <c r="D201" t="str">
        <f>VLOOKUP(A201,'LISTA - Atual'!$B$1:$B$444,1,0)</f>
        <v>INSTRUMENT_OFF_BLNC_SHT_AMNT_INSTRMNT</v>
      </c>
    </row>
    <row r="202" spans="1:4" x14ac:dyDescent="0.3">
      <c r="A202" s="47" t="str">
        <f t="shared" si="3"/>
        <v>INSTRUMENT_OFF_BLNC_SHT_AMNT_INSTRMNT_PRVS</v>
      </c>
      <c r="B202" t="s">
        <v>414</v>
      </c>
      <c r="C202" t="s">
        <v>632</v>
      </c>
      <c r="D202" t="str">
        <f>VLOOKUP(A202,'LISTA - Atual'!$B$1:$B$444,1,0)</f>
        <v>INSTRUMENT_OFF_BLNC_SHT_AMNT_INSTRMNT_PRVS</v>
      </c>
    </row>
    <row r="203" spans="1:4" x14ac:dyDescent="0.3">
      <c r="A203" s="47" t="str">
        <f t="shared" si="3"/>
        <v>INSTRUMENT_OTSTNDNG_NMNL_AMNT_INSTRMNT</v>
      </c>
      <c r="B203" t="s">
        <v>414</v>
      </c>
      <c r="C203" t="s">
        <v>635</v>
      </c>
      <c r="D203" t="str">
        <f>VLOOKUP(A203,'LISTA - Atual'!$B$1:$B$444,1,0)</f>
        <v>INSTRUMENT_OTSTNDNG_NMNL_AMNT_INSTRMNT</v>
      </c>
    </row>
    <row r="204" spans="1:4" x14ac:dyDescent="0.3">
      <c r="A204" s="47" t="str">
        <f t="shared" si="3"/>
        <v>INSTRUMENT_OTSTNDNG_NMNL_AMNT_INSTRMNT_PRVS</v>
      </c>
      <c r="B204" t="s">
        <v>414</v>
      </c>
      <c r="C204" t="s">
        <v>638</v>
      </c>
      <c r="D204" t="str">
        <f>VLOOKUP(A204,'LISTA - Atual'!$B$1:$B$444,1,0)</f>
        <v>INSTRUMENT_OTSTNDNG_NMNL_AMNT_INSTRMNT_PRVS</v>
      </c>
    </row>
    <row r="205" spans="1:4" x14ac:dyDescent="0.3">
      <c r="A205" s="47" t="str">
        <f t="shared" si="3"/>
        <v>INSTRUMENT_PRVSNS_OFF_BLNC_SHT</v>
      </c>
      <c r="B205" t="s">
        <v>414</v>
      </c>
      <c r="C205" t="s">
        <v>641</v>
      </c>
      <c r="D205" t="str">
        <f>VLOOKUP(A205,'LISTA - Atual'!$B$1:$B$444,1,0)</f>
        <v>INSTRUMENT_PRVSNS_OFF_BLNC_SHT</v>
      </c>
    </row>
    <row r="206" spans="1:4" x14ac:dyDescent="0.3">
      <c r="A206" s="47" t="str">
        <f t="shared" si="3"/>
        <v>INSTRUMENT_PYMNT_FRQNCY</v>
      </c>
      <c r="B206" t="s">
        <v>414</v>
      </c>
      <c r="C206" t="s">
        <v>644</v>
      </c>
      <c r="D206" t="str">
        <f>VLOOKUP(A206,'LISTA - Atual'!$B$1:$B$444,1,0)</f>
        <v>INSTRUMENT_PYMNT_FRQNCY</v>
      </c>
    </row>
    <row r="207" spans="1:4" x14ac:dyDescent="0.3">
      <c r="A207" s="47" t="str">
        <f t="shared" si="3"/>
        <v>INSTRUMENT_RTNTN_SHR</v>
      </c>
      <c r="B207" t="s">
        <v>414</v>
      </c>
      <c r="C207" t="s">
        <v>647</v>
      </c>
      <c r="D207" t="str">
        <f>VLOOKUP(A207,'LISTA - Atual'!$B$1:$B$444,1,0)</f>
        <v>INSTRUMENT_RTNTN_SHR</v>
      </c>
    </row>
    <row r="208" spans="1:4" x14ac:dyDescent="0.3">
      <c r="A208" s="47" t="str">
        <f t="shared" si="3"/>
        <v>INSTRUMENT_RWA</v>
      </c>
      <c r="B208" t="s">
        <v>414</v>
      </c>
      <c r="C208" t="s">
        <v>650</v>
      </c>
      <c r="D208" t="str">
        <f>VLOOKUP(A208,'LISTA - Atual'!$B$1:$B$444,1,0)</f>
        <v>INSTRUMENT_RWA</v>
      </c>
    </row>
    <row r="209" spans="1:4" x14ac:dyDescent="0.3">
      <c r="A209" s="47" t="str">
        <f t="shared" si="3"/>
        <v>INSTRUMENT_RWA_MTHD</v>
      </c>
      <c r="B209" t="s">
        <v>414</v>
      </c>
      <c r="C209" t="s">
        <v>652</v>
      </c>
      <c r="D209" t="str">
        <f>VLOOKUP(A209,'LISTA - Atual'!$B$1:$B$444,1,0)</f>
        <v>INSTRUMENT_RWA_MTHD</v>
      </c>
    </row>
    <row r="210" spans="1:4" x14ac:dyDescent="0.3">
      <c r="A210" s="47" t="str">
        <f t="shared" si="3"/>
        <v>INSTRUMENT_SPNSR_NM</v>
      </c>
      <c r="B210" t="s">
        <v>414</v>
      </c>
      <c r="C210" t="s">
        <v>655</v>
      </c>
      <c r="D210" t="str">
        <f>VLOOKUP(A210,'LISTA - Atual'!$B$1:$B$444,1,0)</f>
        <v>INSTRUMENT_SPNSR_NM</v>
      </c>
    </row>
    <row r="211" spans="1:4" x14ac:dyDescent="0.3">
      <c r="A211" s="47" t="str">
        <f t="shared" si="3"/>
        <v>INSTRUMENT_ACCMLTD_IMPRMNT_INSTRMNT</v>
      </c>
      <c r="B211" t="s">
        <v>414</v>
      </c>
      <c r="C211" t="s">
        <v>658</v>
      </c>
      <c r="D211" t="str">
        <f>VLOOKUP(A211,'LISTA - Atual'!$B$1:$B$444,1,0)</f>
        <v>INSTRUMENT_ACCMLTD_IMPRMNT_INSTRMNT</v>
      </c>
    </row>
    <row r="212" spans="1:4" x14ac:dyDescent="0.3">
      <c r="A212" s="47" t="str">
        <f t="shared" si="3"/>
        <v>INSTRUMENT_ACCMLTD_IMPRMNT_INSTRMNT_PRVS</v>
      </c>
      <c r="B212" t="s">
        <v>414</v>
      </c>
      <c r="C212" t="s">
        <v>661</v>
      </c>
      <c r="D212" t="str">
        <f>VLOOKUP(A212,'LISTA - Atual'!$B$1:$B$444,1,0)</f>
        <v>INSTRUMENT_ACCMLTD_IMPRMNT_INSTRMNT_PRVS</v>
      </c>
    </row>
    <row r="213" spans="1:4" x14ac:dyDescent="0.3">
      <c r="A213" s="47" t="str">
        <f t="shared" si="3"/>
        <v>INSTRUMENT_ACCMLTD_WRTFFS_INSTRMNT</v>
      </c>
      <c r="B213" t="s">
        <v>414</v>
      </c>
      <c r="C213" t="s">
        <v>664</v>
      </c>
      <c r="D213" t="str">
        <f>VLOOKUP(A213,'LISTA - Atual'!$B$1:$B$444,1,0)</f>
        <v>INSTRUMENT_ACCMLTD_WRTFFS_INSTRMNT</v>
      </c>
    </row>
    <row r="214" spans="1:4" x14ac:dyDescent="0.3">
      <c r="A214" s="47" t="str">
        <f t="shared" si="3"/>
        <v>INSTRUMENT_ARRRS_INSTRMNT</v>
      </c>
      <c r="B214" t="s">
        <v>414</v>
      </c>
      <c r="C214" t="s">
        <v>667</v>
      </c>
      <c r="D214" t="str">
        <f>VLOOKUP(A214,'LISTA - Atual'!$B$1:$B$444,1,0)</f>
        <v>INSTRUMENT_ARRRS_INSTRMNT</v>
      </c>
    </row>
    <row r="215" spans="1:4" x14ac:dyDescent="0.3">
      <c r="A215" s="47" t="str">
        <f t="shared" si="3"/>
        <v>INSTRUMENT_ARRRS_INSTRMNT_12M</v>
      </c>
      <c r="B215" t="s">
        <v>414</v>
      </c>
      <c r="C215" t="s">
        <v>670</v>
      </c>
      <c r="D215" t="str">
        <f>VLOOKUP(A215,'LISTA - Atual'!$B$1:$B$444,1,0)</f>
        <v>INSTRUMENT_ARRRS_INSTRMNT_12M</v>
      </c>
    </row>
    <row r="216" spans="1:4" x14ac:dyDescent="0.3">
      <c r="A216" s="47" t="str">
        <f t="shared" si="3"/>
        <v>INSTRUMENT_CMLTV_RCVRS_SNC_DFLT_INSTRMNT</v>
      </c>
      <c r="B216" t="s">
        <v>414</v>
      </c>
      <c r="C216" t="s">
        <v>673</v>
      </c>
      <c r="D216" t="str">
        <f>VLOOKUP(A216,'LISTA - Atual'!$B$1:$B$444,1,0)</f>
        <v>INSTRUMENT_CMLTV_RCVRS_SNC_DFLT_INSTRMNT</v>
      </c>
    </row>
    <row r="217" spans="1:4" x14ac:dyDescent="0.3">
      <c r="A217" s="47" t="str">
        <f t="shared" si="3"/>
        <v>INSTRUMENT_DPD</v>
      </c>
      <c r="B217" t="s">
        <v>414</v>
      </c>
      <c r="C217" t="s">
        <v>676</v>
      </c>
      <c r="D217" t="str">
        <f>VLOOKUP(A217,'LISTA - Atual'!$B$1:$B$444,1,0)</f>
        <v>INSTRUMENT_DPD</v>
      </c>
    </row>
    <row r="218" spans="1:4" x14ac:dyDescent="0.3">
      <c r="A218" s="47" t="str">
        <f t="shared" si="3"/>
        <v>INSTRUMENT_DPD_12M</v>
      </c>
      <c r="B218" t="s">
        <v>414</v>
      </c>
      <c r="C218" t="s">
        <v>679</v>
      </c>
      <c r="D218" t="str">
        <f>VLOOKUP(A218,'LISTA - Atual'!$B$1:$B$444,1,0)</f>
        <v>INSTRUMENT_DPD_12M</v>
      </c>
    </row>
    <row r="219" spans="1:4" x14ac:dyDescent="0.3">
      <c r="A219" s="47" t="str">
        <f t="shared" si="3"/>
        <v>INSTRUMENT_DPD_12M_FRBRNC_STTS</v>
      </c>
      <c r="B219" t="s">
        <v>414</v>
      </c>
      <c r="C219" t="s">
        <v>682</v>
      </c>
      <c r="D219" t="str">
        <f>VLOOKUP(A219,'LISTA - Atual'!$B$1:$B$444,1,0)</f>
        <v>INSTRUMENT_DPD_12M_FRBRNC_STTS</v>
      </c>
    </row>
    <row r="220" spans="1:4" x14ac:dyDescent="0.3">
      <c r="A220" s="47" t="str">
        <f t="shared" si="3"/>
        <v>INSTRUMENT_DPD_12M_PRFRMNG_STTS</v>
      </c>
      <c r="B220" t="s">
        <v>414</v>
      </c>
      <c r="C220" t="s">
        <v>685</v>
      </c>
      <c r="D220" t="str">
        <f>VLOOKUP(A220,'LISTA - Atual'!$B$1:$B$444,1,0)</f>
        <v>INSTRUMENT_DPD_12M_PRFRMNG_STTS</v>
      </c>
    </row>
    <row r="221" spans="1:4" x14ac:dyDescent="0.3">
      <c r="A221" s="47" t="str">
        <f t="shared" si="3"/>
        <v>INSTRUMENT_DPD_24M_FRBRNC_STTS</v>
      </c>
      <c r="B221" t="s">
        <v>414</v>
      </c>
      <c r="C221" t="s">
        <v>688</v>
      </c>
      <c r="D221" t="str">
        <f>VLOOKUP(A221,'LISTA - Atual'!$B$1:$B$444,1,0)</f>
        <v>INSTRUMENT_DPD_24M_FRBRNC_STTS</v>
      </c>
    </row>
    <row r="222" spans="1:4" x14ac:dyDescent="0.3">
      <c r="A222" s="47" t="str">
        <f t="shared" si="3"/>
        <v>INSTRUMENT_DPD_24M_PRFRMNG_STTS</v>
      </c>
      <c r="B222" t="s">
        <v>414</v>
      </c>
      <c r="C222" t="s">
        <v>691</v>
      </c>
      <c r="D222" t="str">
        <f>VLOOKUP(A222,'LISTA - Atual'!$B$1:$B$444,1,0)</f>
        <v>INSTRUMENT_DPD_24M_PRFRMNG_STTS</v>
      </c>
    </row>
    <row r="223" spans="1:4" x14ac:dyDescent="0.3">
      <c r="A223" s="47" t="str">
        <f t="shared" si="3"/>
        <v>INSTRUMENT_DPD_FRBRNC_STTS</v>
      </c>
      <c r="B223" t="s">
        <v>414</v>
      </c>
      <c r="C223" t="s">
        <v>694</v>
      </c>
      <c r="D223" t="str">
        <f>VLOOKUP(A223,'LISTA - Atual'!$B$1:$B$444,1,0)</f>
        <v>INSTRUMENT_DPD_FRBRNC_STTS</v>
      </c>
    </row>
    <row r="224" spans="1:4" x14ac:dyDescent="0.3">
      <c r="A224" s="47" t="str">
        <f t="shared" si="3"/>
        <v>INSTRUMENT_DPD_PRFRMNG_STTS</v>
      </c>
      <c r="B224" t="s">
        <v>414</v>
      </c>
      <c r="C224" t="s">
        <v>697</v>
      </c>
      <c r="D224" t="str">
        <f>VLOOKUP(A224,'LISTA - Atual'!$B$1:$B$444,1,0)</f>
        <v>INSTRUMENT_DPD_PRFRMNG_STTS</v>
      </c>
    </row>
    <row r="225" spans="1:4" x14ac:dyDescent="0.3">
      <c r="A225" s="47" t="str">
        <f t="shared" si="3"/>
        <v>INSTRUMENT_DT_IMPRMNT_STTS</v>
      </c>
      <c r="B225" t="s">
        <v>414</v>
      </c>
      <c r="C225" t="s">
        <v>700</v>
      </c>
      <c r="D225" t="str">
        <f>VLOOKUP(A225,'LISTA - Atual'!$B$1:$B$444,1,0)</f>
        <v>INSTRUMENT_DT_IMPRMNT_STTS</v>
      </c>
    </row>
    <row r="226" spans="1:4" x14ac:dyDescent="0.3">
      <c r="A226" s="47" t="str">
        <f t="shared" si="3"/>
        <v>INSTRUMENT_DT_IMPRMNT_STTS_PRVS</v>
      </c>
      <c r="B226" t="s">
        <v>414</v>
      </c>
      <c r="C226" t="s">
        <v>703</v>
      </c>
      <c r="D226" t="str">
        <f>VLOOKUP(A226,'LISTA - Atual'!$B$1:$B$444,1,0)</f>
        <v>INSTRUMENT_DT_IMPRMNT_STTS_PRVS</v>
      </c>
    </row>
    <row r="227" spans="1:4" x14ac:dyDescent="0.3">
      <c r="A227" s="47" t="str">
        <f t="shared" si="3"/>
        <v>INSTRUMENT_DT_PST_D</v>
      </c>
      <c r="B227" t="s">
        <v>414</v>
      </c>
      <c r="C227" t="s">
        <v>706</v>
      </c>
      <c r="D227" t="str">
        <f>VLOOKUP(A227,'LISTA - Atual'!$B$1:$B$444,1,0)</f>
        <v>INSTRUMENT_DT_PST_D</v>
      </c>
    </row>
    <row r="228" spans="1:4" x14ac:dyDescent="0.3">
      <c r="A228" s="47" t="str">
        <f t="shared" si="3"/>
        <v>INSTRUMENT_IMPRMNT_ASSSSMNT_MTHD</v>
      </c>
      <c r="B228" t="s">
        <v>414</v>
      </c>
      <c r="C228" t="s">
        <v>709</v>
      </c>
      <c r="D228" t="str">
        <f>VLOOKUP(A228,'LISTA - Atual'!$B$1:$B$444,1,0)</f>
        <v>INSTRUMENT_IMPRMNT_ASSSSMNT_MTHD</v>
      </c>
    </row>
    <row r="229" spans="1:4" x14ac:dyDescent="0.3">
      <c r="A229" s="47" t="str">
        <f t="shared" si="3"/>
        <v>INSTRUMENT_IMPRMNT_CLCLTN_MTHD</v>
      </c>
      <c r="B229" t="s">
        <v>414</v>
      </c>
      <c r="C229" t="s">
        <v>712</v>
      </c>
      <c r="D229" t="str">
        <f>VLOOKUP(A229,'LISTA - Atual'!$B$1:$B$444,1,0)</f>
        <v>INSTRUMENT_IMPRMNT_CLCLTN_MTHD</v>
      </c>
    </row>
    <row r="230" spans="1:4" x14ac:dyDescent="0.3">
      <c r="A230" s="47" t="str">
        <f t="shared" si="3"/>
        <v>INSTRUMENT_NMBR_FRBRNC_MSRS</v>
      </c>
      <c r="B230" t="s">
        <v>414</v>
      </c>
      <c r="C230" t="s">
        <v>715</v>
      </c>
      <c r="D230" t="str">
        <f>VLOOKUP(A230,'LISTA - Atual'!$B$1:$B$444,1,0)</f>
        <v>INSTRUMENT_NMBR_FRBRNC_MSRS</v>
      </c>
    </row>
    <row r="231" spans="1:4" x14ac:dyDescent="0.3">
      <c r="A231" s="47" t="str">
        <f t="shared" si="3"/>
        <v>INSTRUMENT_IFRS9_LGD</v>
      </c>
      <c r="B231" t="s">
        <v>414</v>
      </c>
      <c r="C231" t="s">
        <v>718</v>
      </c>
      <c r="D231" t="str">
        <f>VLOOKUP(A231,'LISTA - Atual'!$B$1:$B$444,1,0)</f>
        <v>INSTRUMENT_IFRS9_LGD</v>
      </c>
    </row>
    <row r="232" spans="1:4" x14ac:dyDescent="0.3">
      <c r="A232" s="47" t="str">
        <f t="shared" si="3"/>
        <v>INSTRUMENT_LGD</v>
      </c>
      <c r="B232" t="s">
        <v>414</v>
      </c>
      <c r="C232" t="s">
        <v>721</v>
      </c>
      <c r="D232" t="str">
        <f>VLOOKUP(A232,'LISTA - Atual'!$B$1:$B$444,1,0)</f>
        <v>INSTRUMENT_LGD</v>
      </c>
    </row>
    <row r="233" spans="1:4" x14ac:dyDescent="0.3">
      <c r="A233" s="47" t="str">
        <f t="shared" si="3"/>
        <v>INSTRUMENT_LTV</v>
      </c>
      <c r="B233" t="s">
        <v>414</v>
      </c>
      <c r="C233" t="s">
        <v>724</v>
      </c>
      <c r="D233" t="str">
        <f>VLOOKUP(A233,'LISTA - Atual'!$B$1:$B$444,1,0)</f>
        <v>INSTRUMENT_LTV</v>
      </c>
    </row>
    <row r="234" spans="1:4" x14ac:dyDescent="0.3">
      <c r="A234" s="47" t="str">
        <f t="shared" si="3"/>
        <v>INSTRUMENT_LTV_INCPTN</v>
      </c>
      <c r="B234" t="s">
        <v>414</v>
      </c>
      <c r="C234" t="s">
        <v>727</v>
      </c>
      <c r="D234" t="str">
        <f>VLOOKUP(A234,'LISTA - Atual'!$B$1:$B$444,1,0)</f>
        <v>INSTRUMENT_LTV_INCPTN</v>
      </c>
    </row>
    <row r="235" spans="1:4" x14ac:dyDescent="0.3">
      <c r="A235" s="47" t="str">
        <f t="shared" si="3"/>
        <v>INSTRUMENT_LTV_NPE</v>
      </c>
      <c r="B235" t="s">
        <v>414</v>
      </c>
      <c r="C235" t="s">
        <v>730</v>
      </c>
      <c r="D235" t="str">
        <f>VLOOKUP(A235,'LISTA - Atual'!$B$1:$B$444,1,0)</f>
        <v>INSTRUMENT_LTV_NPE</v>
      </c>
    </row>
    <row r="236" spans="1:4" x14ac:dyDescent="0.3">
      <c r="A236" s="47" t="str">
        <f t="shared" si="3"/>
        <v>INSTRUMENT_PD_CRR_INCPTN</v>
      </c>
      <c r="B236" t="s">
        <v>414</v>
      </c>
      <c r="C236" t="s">
        <v>733</v>
      </c>
      <c r="D236" t="str">
        <f>VLOOKUP(A236,'LISTA - Atual'!$B$1:$B$444,1,0)</f>
        <v>INSTRUMENT_PD_CRR_INCPTN</v>
      </c>
    </row>
    <row r="237" spans="1:4" x14ac:dyDescent="0.3">
      <c r="A237" s="47" t="str">
        <f t="shared" si="3"/>
        <v>INSTRUMENT_PD_CRR_RD</v>
      </c>
      <c r="B237" t="s">
        <v>414</v>
      </c>
      <c r="C237" t="s">
        <v>257</v>
      </c>
      <c r="D237" t="str">
        <f>VLOOKUP(A237,'LISTA - Atual'!$B$1:$B$444,1,0)</f>
        <v>INSTRUMENT_PD_CRR_RD</v>
      </c>
    </row>
    <row r="238" spans="1:4" x14ac:dyDescent="0.3">
      <c r="A238" s="47" t="str">
        <f t="shared" si="3"/>
        <v>INSTRUMENT_PD_CRR_RD_T1</v>
      </c>
      <c r="B238" t="s">
        <v>414</v>
      </c>
      <c r="C238" t="s">
        <v>278</v>
      </c>
      <c r="D238" t="str">
        <f>VLOOKUP(A238,'LISTA - Atual'!$B$1:$B$444,1,0)</f>
        <v>INSTRUMENT_PD_CRR_RD_T1</v>
      </c>
    </row>
    <row r="239" spans="1:4" x14ac:dyDescent="0.3">
      <c r="A239" s="47" t="str">
        <f t="shared" si="3"/>
        <v>INSTRUMENT_PD_IFRS9_12M_INCPTN</v>
      </c>
      <c r="B239" t="s">
        <v>414</v>
      </c>
      <c r="C239" t="s">
        <v>738</v>
      </c>
      <c r="D239" t="str">
        <f>VLOOKUP(A239,'LISTA - Atual'!$B$1:$B$444,1,0)</f>
        <v>INSTRUMENT_PD_IFRS9_12M_INCPTN</v>
      </c>
    </row>
    <row r="240" spans="1:4" x14ac:dyDescent="0.3">
      <c r="A240" s="47" t="str">
        <f t="shared" si="3"/>
        <v>INSTRUMENT_PD_IFRS9_12M_RD</v>
      </c>
      <c r="B240" t="s">
        <v>414</v>
      </c>
      <c r="C240" t="s">
        <v>260</v>
      </c>
      <c r="D240" t="str">
        <f>VLOOKUP(A240,'LISTA - Atual'!$B$1:$B$444,1,0)</f>
        <v>INSTRUMENT_PD_IFRS9_12M_RD</v>
      </c>
    </row>
    <row r="241" spans="1:4" x14ac:dyDescent="0.3">
      <c r="A241" s="47" t="str">
        <f t="shared" si="3"/>
        <v>INSTRUMENT_PD_IFRS9_12M_RD_T1</v>
      </c>
      <c r="B241" t="s">
        <v>414</v>
      </c>
      <c r="C241" t="s">
        <v>263</v>
      </c>
      <c r="D241" t="str">
        <f>VLOOKUP(A241,'LISTA - Atual'!$B$1:$B$444,1,0)</f>
        <v>INSTRUMENT_PD_IFRS9_12M_RD_T1</v>
      </c>
    </row>
    <row r="242" spans="1:4" x14ac:dyDescent="0.3">
      <c r="A242" s="47" t="str">
        <f t="shared" si="3"/>
        <v>INSTRUMENT_PD_IFRS9_LFTM_INCPTN</v>
      </c>
      <c r="B242" t="s">
        <v>414</v>
      </c>
      <c r="C242" t="s">
        <v>743</v>
      </c>
      <c r="D242" t="str">
        <f>VLOOKUP(A242,'LISTA - Atual'!$B$1:$B$444,1,0)</f>
        <v>INSTRUMENT_PD_IFRS9_LFTM_INCPTN</v>
      </c>
    </row>
    <row r="243" spans="1:4" x14ac:dyDescent="0.3">
      <c r="A243" s="47" t="str">
        <f t="shared" si="3"/>
        <v>INSTRUMENT_PD_IFRS9_RMNNG_LFTM_INCPTN</v>
      </c>
      <c r="B243" t="s">
        <v>414</v>
      </c>
      <c r="C243" t="s">
        <v>746</v>
      </c>
      <c r="D243" t="str">
        <f>VLOOKUP(A243,'LISTA - Atual'!$B$1:$B$444,1,0)</f>
        <v>INSTRUMENT_PD_IFRS9_RMNNG_LFTM_INCPTN</v>
      </c>
    </row>
    <row r="244" spans="1:4" x14ac:dyDescent="0.3">
      <c r="A244" s="47" t="str">
        <f t="shared" si="3"/>
        <v>INSTRUMENT_PD_IFRS9_RMNNG_LFTM_RD</v>
      </c>
      <c r="B244" t="s">
        <v>414</v>
      </c>
      <c r="C244" t="s">
        <v>749</v>
      </c>
      <c r="D244" t="str">
        <f>VLOOKUP(A244,'LISTA - Atual'!$B$1:$B$444,1,0)</f>
        <v>INSTRUMENT_PD_IFRS9_RMNNG_LFTM_RD</v>
      </c>
    </row>
    <row r="245" spans="1:4" x14ac:dyDescent="0.3">
      <c r="A245" s="47" t="str">
        <f t="shared" si="3"/>
        <v>INSTRUMENT_RTNG_MTHD</v>
      </c>
      <c r="B245" t="s">
        <v>414</v>
      </c>
      <c r="C245" t="s">
        <v>143</v>
      </c>
      <c r="D245" t="str">
        <f>VLOOKUP(A245,'LISTA - Atual'!$B$1:$B$444,1,0)</f>
        <v>INSTRUMENT_RTNG_MTHD</v>
      </c>
    </row>
    <row r="246" spans="1:4" x14ac:dyDescent="0.3">
      <c r="A246" s="47" t="str">
        <f t="shared" si="3"/>
        <v>INSTRUMENT_RTNG_SCL</v>
      </c>
      <c r="B246" t="s">
        <v>414</v>
      </c>
      <c r="C246" t="s">
        <v>146</v>
      </c>
      <c r="D246" t="str">
        <f>VLOOKUP(A246,'LISTA - Atual'!$B$1:$B$444,1,0)</f>
        <v>INSTRUMENT_RTNG_SCL</v>
      </c>
    </row>
    <row r="247" spans="1:4" x14ac:dyDescent="0.3">
      <c r="A247" s="47" t="str">
        <f t="shared" si="3"/>
        <v>INSTRUMENT_SICR_ASSSSMNT_MTHD</v>
      </c>
      <c r="B247" t="s">
        <v>414</v>
      </c>
      <c r="C247" t="s">
        <v>754</v>
      </c>
      <c r="D247" t="str">
        <f>VLOOKUP(A247,'LISTA - Atual'!$B$1:$B$444,1,0)</f>
        <v>INSTRUMENT_SICR_ASSSSMNT_MTHD</v>
      </c>
    </row>
    <row r="248" spans="1:4" x14ac:dyDescent="0.3">
      <c r="A248" s="47" t="str">
        <f t="shared" si="3"/>
        <v>INSTRUMENT_ANNLSD_AGRD_RT</v>
      </c>
      <c r="B248" t="s">
        <v>414</v>
      </c>
      <c r="C248" t="s">
        <v>757</v>
      </c>
      <c r="D248" t="str">
        <f>VLOOKUP(A248,'LISTA - Atual'!$B$1:$B$444,1,0)</f>
        <v>INSTRUMENT_ANNLSD_AGRD_RT</v>
      </c>
    </row>
    <row r="249" spans="1:4" x14ac:dyDescent="0.3">
      <c r="A249" s="47" t="str">
        <f t="shared" si="3"/>
        <v>INSTRUMENT_EIR</v>
      </c>
      <c r="B249" t="s">
        <v>414</v>
      </c>
      <c r="C249" t="s">
        <v>760</v>
      </c>
      <c r="D249" t="str">
        <f>VLOOKUP(A249,'LISTA - Atual'!$B$1:$B$444,1,0)</f>
        <v>INSTRUMENT_EIR</v>
      </c>
    </row>
    <row r="250" spans="1:4" x14ac:dyDescent="0.3">
      <c r="A250" s="47" t="str">
        <f t="shared" si="3"/>
        <v>INSTRUMENT_EIR_INCPTN</v>
      </c>
      <c r="B250" t="s">
        <v>414</v>
      </c>
      <c r="C250" t="s">
        <v>763</v>
      </c>
      <c r="D250" t="str">
        <f>VLOOKUP(A250,'LISTA - Atual'!$B$1:$B$444,1,0)</f>
        <v>INSTRUMENT_EIR_INCPTN</v>
      </c>
    </row>
    <row r="251" spans="1:4" x14ac:dyDescent="0.3">
      <c r="A251" s="47" t="str">
        <f t="shared" si="3"/>
        <v>INSTRUMENT_INTRST_RT_RST_FRQNCY</v>
      </c>
      <c r="B251" t="s">
        <v>414</v>
      </c>
      <c r="C251" t="s">
        <v>766</v>
      </c>
      <c r="D251" t="str">
        <f>VLOOKUP(A251,'LISTA - Atual'!$B$1:$B$444,1,0)</f>
        <v>INSTRUMENT_INTRST_RT_RST_FRQNCY</v>
      </c>
    </row>
    <row r="252" spans="1:4" x14ac:dyDescent="0.3">
      <c r="A252" s="47" t="str">
        <f t="shared" si="3"/>
        <v>INSTRUMENT_RCVD_AMRTSTN_12M</v>
      </c>
      <c r="B252" t="s">
        <v>414</v>
      </c>
      <c r="C252" t="s">
        <v>769</v>
      </c>
      <c r="D252" t="str">
        <f>VLOOKUP(A252,'LISTA - Atual'!$B$1:$B$444,1,0)</f>
        <v>INSTRUMENT_RCVD_AMRTSTN_12M</v>
      </c>
    </row>
    <row r="253" spans="1:4" x14ac:dyDescent="0.3">
      <c r="A253" s="47" t="str">
        <f t="shared" si="3"/>
        <v>INSTRUMENT_RCVD_AMRTSTN_24M</v>
      </c>
      <c r="B253" t="s">
        <v>414</v>
      </c>
      <c r="C253" t="s">
        <v>772</v>
      </c>
      <c r="D253" t="str">
        <f>VLOOKUP(A253,'LISTA - Atual'!$B$1:$B$444,1,0)</f>
        <v>INSTRUMENT_RCVD_AMRTSTN_24M</v>
      </c>
    </row>
    <row r="254" spans="1:4" x14ac:dyDescent="0.3">
      <c r="A254" s="47" t="str">
        <f t="shared" si="3"/>
        <v>INSTRUMENT_RCVD_INTRST_12M</v>
      </c>
      <c r="B254" t="s">
        <v>414</v>
      </c>
      <c r="C254" t="s">
        <v>775</v>
      </c>
      <c r="D254" t="str">
        <f>VLOOKUP(A254,'LISTA - Atual'!$B$1:$B$444,1,0)</f>
        <v>INSTRUMENT_RCVD_INTRST_12M</v>
      </c>
    </row>
    <row r="255" spans="1:4" x14ac:dyDescent="0.3">
      <c r="A255" s="47" t="str">
        <f t="shared" si="3"/>
        <v>INSTRUMENT_RCVD_INTRST_24M</v>
      </c>
      <c r="B255" t="s">
        <v>414</v>
      </c>
      <c r="C255" t="s">
        <v>778</v>
      </c>
      <c r="D255" t="str">
        <f>VLOOKUP(A255,'LISTA - Atual'!$B$1:$B$444,1,0)</f>
        <v>INSTRUMENT_RCVD_INTRST_24M</v>
      </c>
    </row>
    <row r="256" spans="1:4" x14ac:dyDescent="0.3">
      <c r="A256" s="47" t="str">
        <f t="shared" si="3"/>
        <v>INSTRUMENT_SYNDCT_RL</v>
      </c>
      <c r="B256" t="s">
        <v>414</v>
      </c>
      <c r="C256" t="s">
        <v>781</v>
      </c>
      <c r="D256" t="str">
        <f>VLOOKUP(A256,'LISTA - Atual'!$B$1:$B$444,1,0)</f>
        <v>INSTRUMENT_SYNDCT_RL</v>
      </c>
    </row>
    <row r="257" spans="1:4" x14ac:dyDescent="0.3">
      <c r="A257" s="47" t="str">
        <f t="shared" si="3"/>
        <v>INSTRUMENT_SYNDCTD_AGNT</v>
      </c>
      <c r="B257" t="s">
        <v>414</v>
      </c>
      <c r="C257" t="s">
        <v>784</v>
      </c>
      <c r="D257" t="str">
        <f>VLOOKUP(A257,'LISTA - Atual'!$B$1:$B$444,1,0)</f>
        <v>INSTRUMENT_SYNDCTD_AGNT</v>
      </c>
    </row>
    <row r="258" spans="1:4" x14ac:dyDescent="0.3">
      <c r="A258" s="47" t="str">
        <f t="shared" si="3"/>
        <v>INSTRUMENT_SYNDCTD_CNTRCT_ID</v>
      </c>
      <c r="B258" t="s">
        <v>414</v>
      </c>
      <c r="C258" t="s">
        <v>787</v>
      </c>
      <c r="D258" t="str">
        <f>VLOOKUP(A258,'LISTA - Atual'!$B$1:$B$444,1,0)</f>
        <v>INSTRUMENT_SYNDCTD_CNTRCT_ID</v>
      </c>
    </row>
    <row r="259" spans="1:4" x14ac:dyDescent="0.3">
      <c r="A259" s="47" t="str">
        <f t="shared" si="3"/>
        <v>INSTRUMENT_SYNDCTD_LNDRS</v>
      </c>
      <c r="B259" t="s">
        <v>414</v>
      </c>
      <c r="C259" t="s">
        <v>790</v>
      </c>
      <c r="D259" t="str">
        <f>VLOOKUP(A259,'LISTA - Atual'!$B$1:$B$444,1,0)</f>
        <v>INSTRUMENT_SYNDCTD_LNDRS</v>
      </c>
    </row>
    <row r="260" spans="1:4" x14ac:dyDescent="0.3">
      <c r="A260" s="47" t="str">
        <f t="shared" si="3"/>
        <v>INSTRUMENT_SYNDCTD_SHR</v>
      </c>
      <c r="B260" t="s">
        <v>414</v>
      </c>
      <c r="C260" t="s">
        <v>793</v>
      </c>
      <c r="D260" t="str">
        <f>VLOOKUP(A260,'LISTA - Atual'!$B$1:$B$444,1,0)</f>
        <v>INSTRUMENT_SYNDCTD_SHR</v>
      </c>
    </row>
    <row r="261" spans="1:4" x14ac:dyDescent="0.3">
      <c r="A261" s="47" t="str">
        <f t="shared" ref="A261:A324" si="4">B261&amp;"_"&amp;C261</f>
        <v>INSTRUMENT_SYNDCTN_TYP</v>
      </c>
      <c r="B261" t="s">
        <v>414</v>
      </c>
      <c r="C261" t="s">
        <v>796</v>
      </c>
      <c r="D261" t="str">
        <f>VLOOKUP(A261,'LISTA - Atual'!$B$1:$B$444,1,0)</f>
        <v>INSTRUMENT_SYNDCTN_TYP</v>
      </c>
    </row>
    <row r="262" spans="1:4" x14ac:dyDescent="0.3">
      <c r="A262" s="47" t="str">
        <f t="shared" si="4"/>
        <v>INSTRUMENT_EBA_CMPLNT_MRTR_ST_C19</v>
      </c>
      <c r="B262" t="s">
        <v>414</v>
      </c>
      <c r="C262" t="s">
        <v>799</v>
      </c>
      <c r="D262" t="str">
        <f>VLOOKUP(A262,'LISTA - Atual'!$B$1:$B$444,1,0)</f>
        <v>INSTRUMENT_EBA_CMPLNT_MRTR_ST_C19</v>
      </c>
    </row>
    <row r="263" spans="1:4" x14ac:dyDescent="0.3">
      <c r="A263" s="47" t="str">
        <f t="shared" si="4"/>
        <v>INSTRUMENT_DT_CMPLNT_MRTR_STTS_C19</v>
      </c>
      <c r="B263" t="s">
        <v>414</v>
      </c>
      <c r="C263" t="s">
        <v>802</v>
      </c>
      <c r="D263" t="str">
        <f>VLOOKUP(A263,'LISTA - Atual'!$B$1:$B$444,1,0)</f>
        <v>INSTRUMENT_DT_CMPLNT_MRTR_STTS_C19</v>
      </c>
    </row>
    <row r="264" spans="1:4" x14ac:dyDescent="0.3">
      <c r="A264" s="47" t="str">
        <f t="shared" si="4"/>
        <v>INSTRUMENT_DT_CMPLNT_MRTR_STTS_PRVS_C19</v>
      </c>
      <c r="B264" t="s">
        <v>414</v>
      </c>
      <c r="C264" t="s">
        <v>805</v>
      </c>
      <c r="D264" t="str">
        <f>VLOOKUP(A264,'LISTA - Atual'!$B$1:$B$444,1,0)</f>
        <v>INSTRUMENT_DT_CMPLNT_MRTR_STTS_PRVS_C19</v>
      </c>
    </row>
    <row r="265" spans="1:4" x14ac:dyDescent="0.3">
      <c r="A265" s="47" t="str">
        <f t="shared" si="4"/>
        <v>INSTRUMENT_MTRTY_LTST_MRTR_C19</v>
      </c>
      <c r="B265" t="s">
        <v>414</v>
      </c>
      <c r="C265" t="s">
        <v>808</v>
      </c>
      <c r="D265" t="str">
        <f>VLOOKUP(A265,'LISTA - Atual'!$B$1:$B$444,1,0)</f>
        <v>INSTRUMENT_MTRTY_LTST_MRTR_C19</v>
      </c>
    </row>
    <row r="266" spans="1:4" x14ac:dyDescent="0.3">
      <c r="A266" s="47" t="str">
        <f t="shared" si="4"/>
        <v>INSTRUMENT_TYP_CMPLNT_MRTR_C19</v>
      </c>
      <c r="B266" t="s">
        <v>414</v>
      </c>
      <c r="C266" t="s">
        <v>811</v>
      </c>
      <c r="D266" t="str">
        <f>VLOOKUP(A266,'LISTA - Atual'!$B$1:$B$444,1,0)</f>
        <v>INSTRUMENT_TYP_CMPLNT_MRTR_C19</v>
      </c>
    </row>
    <row r="267" spans="1:4" x14ac:dyDescent="0.3">
      <c r="A267" s="47" t="str">
        <f t="shared" si="4"/>
        <v>INSTRUMENT_GRC_PRD_CPTL_INTRST_C19</v>
      </c>
      <c r="B267" t="s">
        <v>414</v>
      </c>
      <c r="C267" t="s">
        <v>814</v>
      </c>
      <c r="D267" t="str">
        <f>VLOOKUP(A267,'LISTA - Atual'!$B$1:$B$444,1,0)</f>
        <v>INSTRUMENT_GRC_PRD_CPTL_INTRST_C19</v>
      </c>
    </row>
    <row r="268" spans="1:4" x14ac:dyDescent="0.3">
      <c r="A268" s="47" t="str">
        <f t="shared" si="4"/>
        <v>INSTRUMENT_CMPLNT_MRTR_C19_NM</v>
      </c>
      <c r="B268" t="s">
        <v>414</v>
      </c>
      <c r="C268" t="s">
        <v>817</v>
      </c>
      <c r="D268" t="str">
        <f>VLOOKUP(A268,'LISTA - Atual'!$B$1:$B$444,1,0)</f>
        <v>INSTRUMENT_CMPLNT_MRTR_C19_NM</v>
      </c>
    </row>
    <row r="269" spans="1:4" x14ac:dyDescent="0.3">
      <c r="A269" s="47" t="str">
        <f t="shared" si="4"/>
        <v>INSTRUMENT_FRBRNC_STTS_C19</v>
      </c>
      <c r="B269" t="s">
        <v>414</v>
      </c>
      <c r="C269" t="s">
        <v>820</v>
      </c>
      <c r="D269" t="str">
        <f>VLOOKUP(A269,'LISTA - Atual'!$B$1:$B$444,1,0)</f>
        <v>INSTRUMENT_FRBRNC_STTS_C19</v>
      </c>
    </row>
    <row r="270" spans="1:4" x14ac:dyDescent="0.3">
      <c r="A270" s="47" t="str">
        <f t="shared" si="4"/>
        <v>INSTRUMENT_DT_FRBRNC_STTS_C19</v>
      </c>
      <c r="B270" t="s">
        <v>414</v>
      </c>
      <c r="C270" t="s">
        <v>823</v>
      </c>
      <c r="D270" t="str">
        <f>VLOOKUP(A270,'LISTA - Atual'!$B$1:$B$444,1,0)</f>
        <v>INSTRUMENT_DT_FRBRNC_STTS_C19</v>
      </c>
    </row>
    <row r="271" spans="1:4" x14ac:dyDescent="0.3">
      <c r="A271" s="47" t="str">
        <f t="shared" si="4"/>
        <v>INSTRUMENT_DT_FRBRNC_STTS_PRVS_C19</v>
      </c>
      <c r="B271" t="s">
        <v>414</v>
      </c>
      <c r="C271" t="s">
        <v>826</v>
      </c>
      <c r="D271" t="str">
        <f>VLOOKUP(A271,'LISTA - Atual'!$B$1:$B$444,1,0)</f>
        <v>INSTRUMENT_DT_FRBRNC_STTS_PRVS_C19</v>
      </c>
    </row>
    <row r="272" spans="1:4" x14ac:dyDescent="0.3">
      <c r="A272" s="47" t="str">
        <f t="shared" si="4"/>
        <v>INSTRUMENT_MTRTY_LTST_FRBRNC_MSR_C19</v>
      </c>
      <c r="B272" t="s">
        <v>414</v>
      </c>
      <c r="C272" t="s">
        <v>829</v>
      </c>
      <c r="D272" t="str">
        <f>VLOOKUP(A272,'LISTA - Atual'!$B$1:$B$444,1,0)</f>
        <v>INSTRUMENT_MTRTY_LTST_FRBRNC_MSR_C19</v>
      </c>
    </row>
    <row r="273" spans="1:4" x14ac:dyDescent="0.3">
      <c r="A273" s="47" t="str">
        <f t="shared" si="4"/>
        <v>INSTRUMENT_DT_END_GP_PPAL_C19</v>
      </c>
      <c r="B273" t="s">
        <v>414</v>
      </c>
      <c r="C273" t="s">
        <v>832</v>
      </c>
      <c r="D273" t="str">
        <f>VLOOKUP(A273,'LISTA - Atual'!$B$1:$B$444,1,0)</f>
        <v>INSTRUMENT_DT_END_GP_PPAL_C19</v>
      </c>
    </row>
    <row r="274" spans="1:4" x14ac:dyDescent="0.3">
      <c r="A274" s="47" t="str">
        <f t="shared" si="4"/>
        <v>INSTRUMENT_DT_END_INTRST_ONLY_C19</v>
      </c>
      <c r="B274" t="s">
        <v>414</v>
      </c>
      <c r="C274" t="s">
        <v>835</v>
      </c>
      <c r="D274" t="str">
        <f>VLOOKUP(A274,'LISTA - Atual'!$B$1:$B$444,1,0)</f>
        <v>INSTRUMENT_DT_END_INTRST_ONLY_C19</v>
      </c>
    </row>
    <row r="275" spans="1:4" x14ac:dyDescent="0.3">
      <c r="A275" s="47" t="str">
        <f t="shared" si="4"/>
        <v>INSTRUMENT_SBJCT_PBLC_GRNT_SCHM_C19</v>
      </c>
      <c r="B275" t="s">
        <v>414</v>
      </c>
      <c r="C275" t="s">
        <v>838</v>
      </c>
      <c r="D275" t="str">
        <f>VLOOKUP(A275,'LISTA - Atual'!$B$1:$B$444,1,0)</f>
        <v>INSTRUMENT_SBJCT_PBLC_GRNT_SCHM_C19</v>
      </c>
    </row>
    <row r="276" spans="1:4" x14ac:dyDescent="0.3">
      <c r="A276" s="47" t="str">
        <f t="shared" si="4"/>
        <v>INSTRUMENT_PBLC_GRNT_SCHM_C19_NM</v>
      </c>
      <c r="B276" t="s">
        <v>414</v>
      </c>
      <c r="C276" t="s">
        <v>841</v>
      </c>
      <c r="D276" t="str">
        <f>VLOOKUP(A276,'LISTA - Atual'!$B$1:$B$444,1,0)</f>
        <v>INSTRUMENT_PBLC_GRNT_SCHM_C19_NM</v>
      </c>
    </row>
    <row r="277" spans="1:4" x14ac:dyDescent="0.3">
      <c r="A277" s="47" t="str">
        <f t="shared" si="4"/>
        <v>INSTRUMENT_PMNT_PBLC_GRNT_SCHM_C19</v>
      </c>
      <c r="B277" t="s">
        <v>414</v>
      </c>
      <c r="C277" t="s">
        <v>844</v>
      </c>
      <c r="D277" t="str">
        <f>VLOOKUP(A277,'LISTA - Atual'!$B$1:$B$444,1,0)</f>
        <v>INSTRUMENT_PMNT_PBLC_GRNT_SCHM_C19</v>
      </c>
    </row>
    <row r="278" spans="1:4" x14ac:dyDescent="0.3">
      <c r="A278" s="47" t="str">
        <f t="shared" si="4"/>
        <v>INSTRUMENT_ASST_SCRT_CLSS</v>
      </c>
      <c r="B278" t="s">
        <v>414</v>
      </c>
      <c r="C278" t="s">
        <v>847</v>
      </c>
      <c r="D278" t="str">
        <f>VLOOKUP(A278,'LISTA - Atual'!$B$1:$B$444,1,0)</f>
        <v>INSTRUMENT_ASST_SCRT_CLSS</v>
      </c>
    </row>
    <row r="279" spans="1:4" x14ac:dyDescent="0.3">
      <c r="A279" s="47" t="str">
        <f t="shared" si="4"/>
        <v>INSTRUMENT_CPN_CRRNCY</v>
      </c>
      <c r="B279" t="s">
        <v>414</v>
      </c>
      <c r="C279" t="s">
        <v>850</v>
      </c>
      <c r="D279" t="str">
        <f>VLOOKUP(A279,'LISTA - Atual'!$B$1:$B$444,1,0)</f>
        <v>INSTRUMENT_CPN_CRRNCY</v>
      </c>
    </row>
    <row r="280" spans="1:4" x14ac:dyDescent="0.3">
      <c r="A280" s="47" t="str">
        <f t="shared" si="4"/>
        <v>INSTRUMENT_CPN_RT</v>
      </c>
      <c r="B280" t="s">
        <v>414</v>
      </c>
      <c r="C280" t="s">
        <v>853</v>
      </c>
      <c r="D280" t="str">
        <f>VLOOKUP(A280,'LISTA - Atual'!$B$1:$B$444,1,0)</f>
        <v>INSTRUMENT_CPN_RT</v>
      </c>
    </row>
    <row r="281" spans="1:4" x14ac:dyDescent="0.3">
      <c r="A281" s="47" t="str">
        <f t="shared" si="4"/>
        <v>INSTRUMENT_DT_VLTN</v>
      </c>
      <c r="B281" t="s">
        <v>414</v>
      </c>
      <c r="C281" t="s">
        <v>857</v>
      </c>
      <c r="D281" t="str">
        <f>VLOOKUP(A281,'LISTA - Atual'!$B$1:$B$444,1,0)</f>
        <v>INSTRUMENT_DT_VLTN</v>
      </c>
    </row>
    <row r="282" spans="1:4" x14ac:dyDescent="0.3">
      <c r="A282" s="47" t="str">
        <f t="shared" si="4"/>
        <v>INSTRUMENT_ELGBLTY_ECB</v>
      </c>
      <c r="B282" t="s">
        <v>414</v>
      </c>
      <c r="C282" t="s">
        <v>860</v>
      </c>
      <c r="D282" t="str">
        <f>VLOOKUP(A282,'LISTA - Atual'!$B$1:$B$444,1,0)</f>
        <v>INSTRUMENT_ELGBLTY_ECB</v>
      </c>
    </row>
    <row r="283" spans="1:4" x14ac:dyDescent="0.3">
      <c r="A283" s="47" t="str">
        <f t="shared" si="4"/>
        <v>INSTRUMENT_GRNTR_ID</v>
      </c>
      <c r="B283" t="s">
        <v>414</v>
      </c>
      <c r="C283" t="s">
        <v>863</v>
      </c>
      <c r="D283" t="str">
        <f>VLOOKUP(A283,'LISTA - Atual'!$B$1:$B$444,1,0)</f>
        <v>INSTRUMENT_GRNTR_ID</v>
      </c>
    </row>
    <row r="284" spans="1:4" x14ac:dyDescent="0.3">
      <c r="A284" s="47" t="str">
        <f t="shared" si="4"/>
        <v>INSTRUMENT_GRNTR_ID_TYP</v>
      </c>
      <c r="B284" t="s">
        <v>414</v>
      </c>
      <c r="C284" t="s">
        <v>866</v>
      </c>
      <c r="D284" t="str">
        <f>VLOOKUP(A284,'LISTA - Atual'!$B$1:$B$444,1,0)</f>
        <v>INSTRUMENT_GRNTR_ID_TYP</v>
      </c>
    </row>
    <row r="285" spans="1:4" x14ac:dyDescent="0.3">
      <c r="A285" s="47" t="str">
        <f t="shared" si="4"/>
        <v>INSTRUMENT_HEDGE_ID</v>
      </c>
      <c r="B285" t="s">
        <v>414</v>
      </c>
      <c r="C285" t="s">
        <v>869</v>
      </c>
      <c r="D285" t="str">
        <f>VLOOKUP(A285,'LISTA - Atual'!$B$1:$B$444,1,0)</f>
        <v>INSTRUMENT_HEDGE_ID</v>
      </c>
    </row>
    <row r="286" spans="1:4" x14ac:dyDescent="0.3">
      <c r="A286" s="47" t="str">
        <f t="shared" si="4"/>
        <v>INSTRUMENT_INSTR_SNRTY_CLSS</v>
      </c>
      <c r="B286" t="s">
        <v>414</v>
      </c>
      <c r="C286" t="s">
        <v>872</v>
      </c>
      <c r="D286" t="str">
        <f>VLOOKUP(A286,'LISTA - Atual'!$B$1:$B$444,1,0)</f>
        <v>INSTRUMENT_INSTR_SNRTY_CLSS</v>
      </c>
    </row>
    <row r="287" spans="1:4" x14ac:dyDescent="0.3">
      <c r="A287" s="47" t="str">
        <f t="shared" si="4"/>
        <v>INSTRUMENT_INSTRMNT_CLSS</v>
      </c>
      <c r="B287" t="s">
        <v>414</v>
      </c>
      <c r="C287" t="s">
        <v>875</v>
      </c>
      <c r="D287" t="str">
        <f>VLOOKUP(A287,'LISTA - Atual'!$B$1:$B$444,1,0)</f>
        <v>INSTRUMENT_INSTRMNT_CLSS</v>
      </c>
    </row>
    <row r="288" spans="1:4" x14ac:dyDescent="0.3">
      <c r="A288" s="47" t="str">
        <f t="shared" si="4"/>
        <v>INSTRUMENT_ISIN</v>
      </c>
      <c r="B288" t="s">
        <v>414</v>
      </c>
      <c r="C288" t="s">
        <v>347</v>
      </c>
      <c r="D288" t="str">
        <f>VLOOKUP(A288,'LISTA - Atual'!$B$1:$B$444,1,0)</f>
        <v>INSTRUMENT_ISIN</v>
      </c>
    </row>
    <row r="289" spans="1:4" x14ac:dyDescent="0.3">
      <c r="A289" s="47" t="str">
        <f t="shared" si="4"/>
        <v>INSTRUMENT_ISSR_CNTRY</v>
      </c>
      <c r="B289" t="s">
        <v>414</v>
      </c>
      <c r="C289" t="s">
        <v>879</v>
      </c>
      <c r="D289" t="str">
        <f>VLOOKUP(A289,'LISTA - Atual'!$B$1:$B$444,1,0)</f>
        <v>INSTRUMENT_ISSR_CNTRY</v>
      </c>
    </row>
    <row r="290" spans="1:4" x14ac:dyDescent="0.3">
      <c r="A290" s="47" t="str">
        <f t="shared" si="4"/>
        <v>INSTRUMENT_ISSR_ESA_2010</v>
      </c>
      <c r="B290" t="s">
        <v>414</v>
      </c>
      <c r="C290" t="s">
        <v>882</v>
      </c>
      <c r="D290" t="str">
        <f>VLOOKUP(A290,'LISTA - Atual'!$B$1:$B$444,1,0)</f>
        <v>INSTRUMENT_ISSR_ESA_2010</v>
      </c>
    </row>
    <row r="291" spans="1:4" x14ac:dyDescent="0.3">
      <c r="A291" s="47" t="str">
        <f t="shared" si="4"/>
        <v>INSTRUMENT_ISSR_ID</v>
      </c>
      <c r="B291" t="s">
        <v>414</v>
      </c>
      <c r="C291" t="s">
        <v>885</v>
      </c>
      <c r="D291" t="str">
        <f>VLOOKUP(A291,'LISTA - Atual'!$B$1:$B$444,1,0)</f>
        <v>INSTRUMENT_ISSR_ID</v>
      </c>
    </row>
    <row r="292" spans="1:4" x14ac:dyDescent="0.3">
      <c r="A292" s="47" t="str">
        <f t="shared" si="4"/>
        <v>INSTRUMENT_ISSR_ID_TYP</v>
      </c>
      <c r="B292" t="s">
        <v>414</v>
      </c>
      <c r="C292" t="s">
        <v>888</v>
      </c>
      <c r="D292" t="str">
        <f>VLOOKUP(A292,'LISTA - Atual'!$B$1:$B$444,1,0)</f>
        <v>INSTRUMENT_ISSR_ID_TYP</v>
      </c>
    </row>
    <row r="293" spans="1:4" x14ac:dyDescent="0.3">
      <c r="A293" s="47" t="str">
        <f t="shared" si="4"/>
        <v>INSTRUMENT_ISSR_NACE_SCTR</v>
      </c>
      <c r="B293" t="s">
        <v>414</v>
      </c>
      <c r="C293" t="s">
        <v>891</v>
      </c>
      <c r="D293" t="str">
        <f>VLOOKUP(A293,'LISTA - Atual'!$B$1:$B$444,1,0)</f>
        <v>INSTRUMENT_ISSR_NACE_SCTR</v>
      </c>
    </row>
    <row r="294" spans="1:4" x14ac:dyDescent="0.3">
      <c r="A294" s="47" t="str">
        <f t="shared" si="4"/>
        <v>INSTRUMENT_ISSR_RTNG</v>
      </c>
      <c r="B294" t="s">
        <v>414</v>
      </c>
      <c r="C294" t="s">
        <v>894</v>
      </c>
      <c r="D294" t="str">
        <f>VLOOKUP(A294,'LISTA - Atual'!$B$1:$B$444,1,0)</f>
        <v>INSTRUMENT_ISSR_RTNG</v>
      </c>
    </row>
    <row r="295" spans="1:4" x14ac:dyDescent="0.3">
      <c r="A295" s="47" t="str">
        <f t="shared" si="4"/>
        <v>INSTRUMENT_ISSR_RTNG_SRC</v>
      </c>
      <c r="B295" t="s">
        <v>414</v>
      </c>
      <c r="C295" t="s">
        <v>897</v>
      </c>
      <c r="D295" t="str">
        <f>VLOOKUP(A295,'LISTA - Atual'!$B$1:$B$444,1,0)</f>
        <v>INSTRUMENT_ISSR_RTNG_SRC</v>
      </c>
    </row>
    <row r="296" spans="1:4" x14ac:dyDescent="0.3">
      <c r="A296" s="47" t="str">
        <f t="shared" si="4"/>
        <v>INSTRUMENT_ISSR_TYP</v>
      </c>
      <c r="B296" t="s">
        <v>414</v>
      </c>
      <c r="C296" t="s">
        <v>900</v>
      </c>
      <c r="D296" t="str">
        <f>VLOOKUP(A296,'LISTA - Atual'!$B$1:$B$444,1,0)</f>
        <v>INSTRUMENT_ISSR_TYP</v>
      </c>
    </row>
    <row r="297" spans="1:4" x14ac:dyDescent="0.3">
      <c r="A297" s="47" t="str">
        <f t="shared" si="4"/>
        <v>INSTRUMENT_LCR_BFFR_CTGRY</v>
      </c>
      <c r="B297" t="s">
        <v>414</v>
      </c>
      <c r="C297" t="s">
        <v>903</v>
      </c>
      <c r="D297" t="str">
        <f>VLOOKUP(A297,'LISTA - Atual'!$B$1:$B$444,1,0)</f>
        <v>INSTRUMENT_LCR_BFFR_CTGRY</v>
      </c>
    </row>
    <row r="298" spans="1:4" x14ac:dyDescent="0.3">
      <c r="A298" s="47" t="str">
        <f t="shared" si="4"/>
        <v>INSTRUMENT_PRCH_UNDR_RSL_AGR</v>
      </c>
      <c r="B298" t="s">
        <v>414</v>
      </c>
      <c r="C298" t="s">
        <v>906</v>
      </c>
      <c r="D298" t="str">
        <f>VLOOKUP(A298,'LISTA - Atual'!$B$1:$B$444,1,0)</f>
        <v>INSTRUMENT_PRCH_UNDR_RSL_AGR</v>
      </c>
    </row>
    <row r="299" spans="1:4" x14ac:dyDescent="0.3">
      <c r="A299" s="47" t="str">
        <f t="shared" si="4"/>
        <v>INSTRUMENT_PRDNTL_PRTFL</v>
      </c>
      <c r="B299" t="s">
        <v>414</v>
      </c>
      <c r="C299" t="s">
        <v>909</v>
      </c>
      <c r="D299" t="str">
        <f>VLOOKUP(A299,'LISTA - Atual'!$B$1:$B$444,1,0)</f>
        <v>INSTRUMENT_PRDNTL_PRTFL</v>
      </c>
    </row>
    <row r="300" spans="1:4" x14ac:dyDescent="0.3">
      <c r="A300" s="47" t="str">
        <f t="shared" si="4"/>
        <v>INSTRUMENT_PRMRY_ASST_CLSSF</v>
      </c>
      <c r="B300" t="s">
        <v>414</v>
      </c>
      <c r="C300" t="s">
        <v>912</v>
      </c>
      <c r="D300" t="str">
        <f>VLOOKUP(A300,'LISTA - Atual'!$B$1:$B$444,1,0)</f>
        <v>INSTRUMENT_PRMRY_ASST_CLSSF</v>
      </c>
    </row>
    <row r="301" spans="1:4" x14ac:dyDescent="0.3">
      <c r="A301" s="47" t="str">
        <f t="shared" si="4"/>
        <v>INSTRUMENT_PRT_LCR_BFFR</v>
      </c>
      <c r="B301" t="s">
        <v>414</v>
      </c>
      <c r="C301" t="s">
        <v>915</v>
      </c>
      <c r="D301" t="str">
        <f>VLOOKUP(A301,'LISTA - Atual'!$B$1:$B$444,1,0)</f>
        <v>INSTRUMENT_PRT_LCR_BFFR</v>
      </c>
    </row>
    <row r="302" spans="1:4" x14ac:dyDescent="0.3">
      <c r="A302" s="47" t="str">
        <f t="shared" si="4"/>
        <v>INSTRUMENT_RFRNC_RT</v>
      </c>
      <c r="B302" t="s">
        <v>414</v>
      </c>
      <c r="C302" t="s">
        <v>918</v>
      </c>
      <c r="D302" t="str">
        <f>VLOOKUP(A302,'LISTA - Atual'!$B$1:$B$444,1,0)</f>
        <v>INSTRUMENT_RFRNC_RT</v>
      </c>
    </row>
    <row r="303" spans="1:4" x14ac:dyDescent="0.3">
      <c r="A303" s="47" t="str">
        <f t="shared" si="4"/>
        <v>INSTRUMENT_SPRD</v>
      </c>
      <c r="B303" t="s">
        <v>414</v>
      </c>
      <c r="C303" t="s">
        <v>922</v>
      </c>
      <c r="D303" t="str">
        <f>VLOOKUP(A303,'LISTA - Atual'!$B$1:$B$444,1,0)</f>
        <v>INSTRUMENT_SPRD</v>
      </c>
    </row>
    <row r="304" spans="1:4" x14ac:dyDescent="0.3">
      <c r="A304" s="47" t="str">
        <f t="shared" si="4"/>
        <v>INSTRUMENT_SRCS_ENCMBRNC</v>
      </c>
      <c r="B304" t="s">
        <v>414</v>
      </c>
      <c r="C304" t="s">
        <v>925</v>
      </c>
      <c r="D304" t="str">
        <f>VLOOKUP(A304,'LISTA - Atual'!$B$1:$B$444,1,0)</f>
        <v>INSTRUMENT_SRCS_ENCMBRNC</v>
      </c>
    </row>
    <row r="305" spans="1:4" x14ac:dyDescent="0.3">
      <c r="A305" s="47" t="str">
        <f t="shared" si="4"/>
        <v>INSTRUMENT_TYPE_OF_PLCMNT</v>
      </c>
      <c r="B305" t="s">
        <v>414</v>
      </c>
      <c r="C305" t="s">
        <v>928</v>
      </c>
      <c r="D305" t="str">
        <f>VLOOKUP(A305,'LISTA - Atual'!$B$1:$B$444,1,0)</f>
        <v>INSTRUMENT_TYPE_OF_PLCMNT</v>
      </c>
    </row>
    <row r="306" spans="1:4" x14ac:dyDescent="0.3">
      <c r="A306" s="47" t="str">
        <f t="shared" si="4"/>
        <v>INSTRUMENT_VLTN_CRRNCY</v>
      </c>
      <c r="B306" t="s">
        <v>414</v>
      </c>
      <c r="C306" t="s">
        <v>931</v>
      </c>
      <c r="D306" t="str">
        <f>VLOOKUP(A306,'LISTA - Atual'!$B$1:$B$444,1,0)</f>
        <v>INSTRUMENT_VLTN_CRRNCY</v>
      </c>
    </row>
    <row r="307" spans="1:4" x14ac:dyDescent="0.3">
      <c r="A307" s="47" t="str">
        <f t="shared" si="4"/>
        <v>INSTRUMENT_VLTN_TYP</v>
      </c>
      <c r="B307" t="s">
        <v>414</v>
      </c>
      <c r="C307" t="s">
        <v>934</v>
      </c>
      <c r="D307" t="str">
        <f>VLOOKUP(A307,'LISTA - Atual'!$B$1:$B$444,1,0)</f>
        <v>INSTRUMENT_VLTN_TYP</v>
      </c>
    </row>
    <row r="308" spans="1:4" x14ac:dyDescent="0.3">
      <c r="A308" s="47" t="str">
        <f t="shared" si="4"/>
        <v>INSTRUMENT_COD_SOC</v>
      </c>
      <c r="B308" t="s">
        <v>414</v>
      </c>
      <c r="C308" t="s">
        <v>12</v>
      </c>
      <c r="D308" t="str">
        <f>VLOOKUP(A308,'LISTA - Atual'!$B$1:$B$444,1,0)</f>
        <v>INSTRUMENT_COD_SOC</v>
      </c>
    </row>
    <row r="309" spans="1:4" x14ac:dyDescent="0.3">
      <c r="A309" s="47" t="str">
        <f t="shared" si="4"/>
        <v>INSTRUMENT_SUBPORTFOLIO_ID</v>
      </c>
      <c r="B309" t="s">
        <v>414</v>
      </c>
      <c r="C309" t="s">
        <v>416</v>
      </c>
      <c r="D309" t="str">
        <f>VLOOKUP(A309,'LISTA - Atual'!$B$1:$B$444,1,0)</f>
        <v>INSTRUMENT_SUBPORTFOLIO_ID</v>
      </c>
    </row>
    <row r="310" spans="1:4" x14ac:dyDescent="0.3">
      <c r="A310" s="47" t="str">
        <f t="shared" si="4"/>
        <v>INSTRUMENT_CRE_FNRP18</v>
      </c>
      <c r="B310" t="s">
        <v>414</v>
      </c>
      <c r="C310" t="s">
        <v>419</v>
      </c>
      <c r="D310" t="str">
        <f>VLOOKUP(A310,'LISTA - Atual'!$B$1:$B$444,1,0)</f>
        <v>INSTRUMENT_CRE_FNRP18</v>
      </c>
    </row>
    <row r="311" spans="1:4" x14ac:dyDescent="0.3">
      <c r="A311" s="47" t="str">
        <f t="shared" si="4"/>
        <v>INSTRUMENT_SME_FNRP18</v>
      </c>
      <c r="B311" t="s">
        <v>414</v>
      </c>
      <c r="C311" t="s">
        <v>422</v>
      </c>
      <c r="D311" t="str">
        <f>VLOOKUP(A311,'LISTA - Atual'!$B$1:$B$444,1,0)</f>
        <v>INSTRUMENT_SME_FNRP18</v>
      </c>
    </row>
    <row r="312" spans="1:4" x14ac:dyDescent="0.3">
      <c r="A312" s="47" t="str">
        <f t="shared" si="4"/>
        <v>INSTRUMENT_RRE_FNRP18</v>
      </c>
      <c r="B312" t="s">
        <v>414</v>
      </c>
      <c r="C312" t="s">
        <v>425</v>
      </c>
      <c r="D312" t="str">
        <f>VLOOKUP(A312,'LISTA - Atual'!$B$1:$B$444,1,0)</f>
        <v>INSTRUMENT_RRE_FNRP18</v>
      </c>
    </row>
    <row r="313" spans="1:4" x14ac:dyDescent="0.3">
      <c r="A313" s="47" t="str">
        <f t="shared" si="4"/>
        <v>INSTRUMENT_CNSMPTN_FNRP18</v>
      </c>
      <c r="B313" t="s">
        <v>414</v>
      </c>
      <c r="C313" t="s">
        <v>428</v>
      </c>
      <c r="D313" t="str">
        <f>VLOOKUP(A313,'LISTA - Atual'!$B$1:$B$444,1,0)</f>
        <v>INSTRUMENT_CNSMPTN_FNRP18</v>
      </c>
    </row>
    <row r="314" spans="1:4" x14ac:dyDescent="0.3">
      <c r="A314" s="47" t="str">
        <f t="shared" si="4"/>
        <v>INSTRUMENT_LVRG_FNNC_FLG</v>
      </c>
      <c r="B314" t="s">
        <v>414</v>
      </c>
      <c r="C314" t="s">
        <v>937</v>
      </c>
      <c r="D314" t="str">
        <f>VLOOKUP(A314,'LISTA - Atual'!$B$1:$B$444,1,0)</f>
        <v>INSTRUMENT_LVRG_FNNC_FLG</v>
      </c>
    </row>
    <row r="315" spans="1:4" x14ac:dyDescent="0.3">
      <c r="A315" s="47" t="str">
        <f t="shared" si="4"/>
        <v>INSTRUMENT_INTRNL_SGMNT_IFRS9</v>
      </c>
      <c r="B315" t="s">
        <v>414</v>
      </c>
      <c r="C315" t="s">
        <v>940</v>
      </c>
      <c r="D315" t="str">
        <f>VLOOKUP(A315,'LISTA - Atual'!$B$1:$B$444,1,0)</f>
        <v>INSTRUMENT_INTRNL_SGMNT_IFRS9</v>
      </c>
    </row>
    <row r="316" spans="1:4" x14ac:dyDescent="0.3">
      <c r="A316" s="47" t="str">
        <f t="shared" si="4"/>
        <v>INSTRUMENT_INTRNL_SGMNT_CAT_MSTA</v>
      </c>
      <c r="B316" t="s">
        <v>414</v>
      </c>
      <c r="C316" t="s">
        <v>943</v>
      </c>
      <c r="D316" t="str">
        <f>VLOOKUP(A316,'LISTA - Atual'!$B$1:$B$444,1,0)</f>
        <v>INSTRUMENT_INTRNL_SGMNT_CAT_MSTA</v>
      </c>
    </row>
    <row r="317" spans="1:4" x14ac:dyDescent="0.3">
      <c r="A317" s="47" t="str">
        <f t="shared" si="4"/>
        <v>INSTRUMENT_INTRNL_SGMNT_CATGSUB</v>
      </c>
      <c r="B317" t="s">
        <v>414</v>
      </c>
      <c r="C317" t="s">
        <v>946</v>
      </c>
      <c r="D317" t="str">
        <f>VLOOKUP(A317,'LISTA - Atual'!$B$1:$B$444,1,0)</f>
        <v>INSTRUMENT_INTRNL_SGMNT_CATGSUB</v>
      </c>
    </row>
    <row r="318" spans="1:4" x14ac:dyDescent="0.3">
      <c r="A318" s="47" t="str">
        <f t="shared" si="4"/>
        <v>INSTRUMENT_CRRLTN_CFFCNT</v>
      </c>
      <c r="B318" t="s">
        <v>414</v>
      </c>
      <c r="C318" t="s">
        <v>949</v>
      </c>
      <c r="D318" t="str">
        <f>VLOOKUP(A318,'LISTA - Atual'!$B$1:$B$444,1,0)</f>
        <v>INSTRUMENT_CRRLTN_CFFCNT</v>
      </c>
    </row>
    <row r="319" spans="1:4" x14ac:dyDescent="0.3">
      <c r="A319" s="47" t="str">
        <f t="shared" si="4"/>
        <v>INSTRUMENT_ISIN_SCRTSTN</v>
      </c>
      <c r="B319" t="s">
        <v>414</v>
      </c>
      <c r="C319" t="s">
        <v>952</v>
      </c>
      <c r="D319" t="str">
        <f>VLOOKUP(A319,'LISTA - Atual'!$B$1:$B$444,1,0)</f>
        <v>INSTRUMENT_ISIN_SCRTSTN</v>
      </c>
    </row>
    <row r="320" spans="1:4" x14ac:dyDescent="0.3">
      <c r="A320" s="47" t="str">
        <f t="shared" si="4"/>
        <v>INSTRUMENT_CNTRCT_ID_BDR</v>
      </c>
      <c r="B320" t="s">
        <v>414</v>
      </c>
      <c r="C320" t="s">
        <v>955</v>
      </c>
      <c r="D320" t="str">
        <f>VLOOKUP(A320,'LISTA - Atual'!$B$1:$B$444,1,0)</f>
        <v>INSTRUMENT_CNTRCT_ID_BDR</v>
      </c>
    </row>
    <row r="321" spans="1:4" x14ac:dyDescent="0.3">
      <c r="A321" s="47" t="str">
        <f t="shared" si="4"/>
        <v>INSTRUMENT_SSTNBL_INDCTR</v>
      </c>
      <c r="B321" t="s">
        <v>414</v>
      </c>
      <c r="C321" t="s">
        <v>964</v>
      </c>
      <c r="D321" t="str">
        <f>VLOOKUP(A321,'LISTA - Atual'!$B$1:$B$444,1,0)</f>
        <v>INSTRUMENT_SSTNBL_INDCTR</v>
      </c>
    </row>
    <row r="322" spans="1:4" x14ac:dyDescent="0.3">
      <c r="A322" s="47" t="str">
        <f t="shared" si="4"/>
        <v>INSTRUMENT_SSTNBL_CTGRY</v>
      </c>
      <c r="B322" t="s">
        <v>414</v>
      </c>
      <c r="C322" t="s">
        <v>967</v>
      </c>
      <c r="D322" t="str">
        <f>VLOOKUP(A322,'LISTA - Atual'!$B$1:$B$444,1,0)</f>
        <v>INSTRUMENT_SSTNBL_CTGRY</v>
      </c>
    </row>
    <row r="323" spans="1:4" x14ac:dyDescent="0.3">
      <c r="A323" s="47" t="str">
        <f t="shared" si="4"/>
        <v>INSTRUMENT_AVRG_BLNC</v>
      </c>
      <c r="B323" t="s">
        <v>414</v>
      </c>
      <c r="C323" t="s">
        <v>970</v>
      </c>
      <c r="D323" t="str">
        <f>VLOOKUP(A323,'LISTA - Atual'!$B$1:$B$444,1,0)</f>
        <v>INSTRUMENT_AVRG_BLNC</v>
      </c>
    </row>
    <row r="324" spans="1:4" x14ac:dyDescent="0.3">
      <c r="A324" s="47" t="str">
        <f t="shared" si="4"/>
        <v>INSTRUMENT_NW_BSNSS</v>
      </c>
      <c r="B324" t="s">
        <v>414</v>
      </c>
      <c r="C324" t="s">
        <v>973</v>
      </c>
      <c r="D324" t="str">
        <f>VLOOKUP(A324,'LISTA - Atual'!$B$1:$B$444,1,0)</f>
        <v>INSTRUMENT_NW_BSNSS</v>
      </c>
    </row>
    <row r="325" spans="1:4" x14ac:dyDescent="0.3">
      <c r="A325" s="47" t="str">
        <f t="shared" ref="A325:A388" si="5">B325&amp;"_"&amp;C325</f>
        <v>INSTRUMENT_GRSS_INTRST_INCM</v>
      </c>
      <c r="B325" t="s">
        <v>414</v>
      </c>
      <c r="C325" t="s">
        <v>976</v>
      </c>
      <c r="D325" t="str">
        <f>VLOOKUP(A325,'LISTA - Atual'!$B$1:$B$444,1,0)</f>
        <v>INSTRUMENT_GRSS_INTRST_INCM</v>
      </c>
    </row>
    <row r="326" spans="1:4" x14ac:dyDescent="0.3">
      <c r="A326" s="47" t="str">
        <f t="shared" si="5"/>
        <v>INSTRUMENT_GRSS_CMMSSN_INCM</v>
      </c>
      <c r="B326" t="s">
        <v>414</v>
      </c>
      <c r="C326" t="s">
        <v>979</v>
      </c>
      <c r="D326" t="str">
        <f>VLOOKUP(A326,'LISTA - Atual'!$B$1:$B$444,1,0)</f>
        <v>INSTRUMENT_GRSS_CMMSSN_INCM</v>
      </c>
    </row>
    <row r="327" spans="1:4" x14ac:dyDescent="0.3">
      <c r="A327" s="47" t="str">
        <f t="shared" si="5"/>
        <v>INSTRUMENT_INTRNL_TRNSFR_RT</v>
      </c>
      <c r="B327" t="s">
        <v>414</v>
      </c>
      <c r="C327" t="s">
        <v>982</v>
      </c>
      <c r="D327" t="str">
        <f>VLOOKUP(A327,'LISTA - Atual'!$B$1:$B$444,1,0)</f>
        <v>INSTRUMENT_INTRNL_TRNSFR_RT</v>
      </c>
    </row>
    <row r="328" spans="1:4" x14ac:dyDescent="0.3">
      <c r="A328" s="47" t="str">
        <f t="shared" si="5"/>
        <v>INSTRUMENT_NT_LN_LSS_PRVSN</v>
      </c>
      <c r="B328" t="s">
        <v>414</v>
      </c>
      <c r="C328" t="s">
        <v>985</v>
      </c>
      <c r="D328" t="str">
        <f>VLOOKUP(A328,'LISTA - Atual'!$B$1:$B$444,1,0)</f>
        <v>INSTRUMENT_NT_LN_LSS_PRVSN</v>
      </c>
    </row>
    <row r="329" spans="1:4" x14ac:dyDescent="0.3">
      <c r="A329" s="47" t="str">
        <f t="shared" si="5"/>
        <v>INSTRUMENT_BSNSS_AREA</v>
      </c>
      <c r="B329" t="s">
        <v>414</v>
      </c>
      <c r="C329" t="s">
        <v>988</v>
      </c>
      <c r="D329" t="str">
        <f>VLOOKUP(A329,'LISTA - Atual'!$B$1:$B$444,1,0)</f>
        <v>INSTRUMENT_BSNSS_AREA</v>
      </c>
    </row>
    <row r="330" spans="1:4" x14ac:dyDescent="0.3">
      <c r="A330" s="47" t="str">
        <f t="shared" si="5"/>
        <v>INSTRUMENT_MNGMNT_PRDCT</v>
      </c>
      <c r="B330" t="s">
        <v>414</v>
      </c>
      <c r="C330" t="s">
        <v>991</v>
      </c>
      <c r="D330" t="str">
        <f>VLOOKUP(A330,'LISTA - Atual'!$B$1:$B$444,1,0)</f>
        <v>INSTRUMENT_MNGMNT_PRDCT</v>
      </c>
    </row>
    <row r="331" spans="1:4" x14ac:dyDescent="0.3">
      <c r="A331" s="47" t="str">
        <f t="shared" si="5"/>
        <v>INSTRUMENT_GRSS_CMMSSN_EXPNS</v>
      </c>
      <c r="B331" t="s">
        <v>414</v>
      </c>
      <c r="C331" t="s">
        <v>994</v>
      </c>
      <c r="D331" t="str">
        <f>VLOOKUP(A331,'LISTA - Atual'!$B$1:$B$444,1,0)</f>
        <v>INSTRUMENT_GRSS_CMMSSN_EXPNS</v>
      </c>
    </row>
    <row r="332" spans="1:4" x14ac:dyDescent="0.3">
      <c r="A332" s="47" t="str">
        <f t="shared" si="5"/>
        <v>INSTRUMENT_GNS_FNNCL_TRNSCTN_EXCHNG_DFFRNCS</v>
      </c>
      <c r="B332" t="s">
        <v>414</v>
      </c>
      <c r="C332" t="s">
        <v>997</v>
      </c>
      <c r="D332" t="str">
        <f>VLOOKUP(A332,'LISTA - Atual'!$B$1:$B$444,1,0)</f>
        <v>INSTRUMENT_GNS_FNNCL_TRNSCTN_EXCHNG_DFFRNCS</v>
      </c>
    </row>
    <row r="333" spans="1:4" x14ac:dyDescent="0.3">
      <c r="A333" s="47" t="str">
        <f t="shared" si="5"/>
        <v>INSTRUMENT_FLG_INTRBSNSS</v>
      </c>
      <c r="B333" t="s">
        <v>414</v>
      </c>
      <c r="C333" t="s">
        <v>1000</v>
      </c>
      <c r="D333" t="str">
        <f>VLOOKUP(A333,'LISTA - Atual'!$B$1:$B$444,1,0)</f>
        <v>INSTRUMENT_FLG_INTRBSNSS</v>
      </c>
    </row>
    <row r="334" spans="1:4" x14ac:dyDescent="0.3">
      <c r="A334" s="47" t="str">
        <f t="shared" si="5"/>
        <v>INSTRUMENT_INTRBSNSS_ADJ_COD</v>
      </c>
      <c r="B334" t="s">
        <v>414</v>
      </c>
      <c r="C334" t="s">
        <v>1003</v>
      </c>
      <c r="D334" t="str">
        <f>VLOOKUP(A334,'LISTA - Atual'!$B$1:$B$444,1,0)</f>
        <v>INSTRUMENT_INTRBSNSS_ADJ_COD</v>
      </c>
    </row>
    <row r="335" spans="1:4" x14ac:dyDescent="0.3">
      <c r="A335" s="47" t="str">
        <f t="shared" si="5"/>
        <v>INSTRUMENT_COD_SOC_DSTNTN</v>
      </c>
      <c r="B335" t="s">
        <v>414</v>
      </c>
      <c r="C335" t="s">
        <v>1006</v>
      </c>
      <c r="D335" t="str">
        <f>VLOOKUP(A335,'LISTA - Atual'!$B$1:$B$444,1,0)</f>
        <v>INSTRUMENT_COD_SOC_DSTNTN</v>
      </c>
    </row>
    <row r="336" spans="1:4" x14ac:dyDescent="0.3">
      <c r="A336" s="47" t="str">
        <f t="shared" si="5"/>
        <v>INSTRUMENT_BSNSS_AREA_DSTNTN</v>
      </c>
      <c r="B336" t="s">
        <v>414</v>
      </c>
      <c r="C336" t="s">
        <v>1009</v>
      </c>
      <c r="D336" t="str">
        <f>VLOOKUP(A336,'LISTA - Atual'!$B$1:$B$444,1,0)</f>
        <v>INSTRUMENT_BSNSS_AREA_DSTNTN</v>
      </c>
    </row>
    <row r="337" spans="1:4" x14ac:dyDescent="0.3">
      <c r="A337" s="47" t="str">
        <f t="shared" si="5"/>
        <v>INSTRUMENT_AVRG_BLNC_OFF_BLNC</v>
      </c>
      <c r="B337" t="s">
        <v>414</v>
      </c>
      <c r="C337" t="s">
        <v>1012</v>
      </c>
      <c r="D337" t="str">
        <f>VLOOKUP(A337,'LISTA - Atual'!$B$1:$B$444,1,0)</f>
        <v>INSTRUMENT_AVRG_BLNC_OFF_BLNC</v>
      </c>
    </row>
    <row r="338" spans="1:4" x14ac:dyDescent="0.3">
      <c r="A338" s="47" t="str">
        <f t="shared" si="5"/>
        <v>INSTRUMENT_INTRNL_TRNSFR_RT_OFF_BLNC</v>
      </c>
      <c r="B338" t="s">
        <v>414</v>
      </c>
      <c r="C338" t="s">
        <v>1015</v>
      </c>
      <c r="D338" t="str">
        <f>VLOOKUP(A338,'LISTA - Atual'!$B$1:$B$444,1,0)</f>
        <v>INSTRUMENT_INTRNL_TRNSFR_RT_OFF_BLNC</v>
      </c>
    </row>
    <row r="339" spans="1:4" x14ac:dyDescent="0.3">
      <c r="A339" s="47" t="str">
        <f t="shared" si="5"/>
        <v>INSTRUMENT_GRSS_CMMSSN_INCM_OFF_BLNC</v>
      </c>
      <c r="B339" t="s">
        <v>414</v>
      </c>
      <c r="C339" t="s">
        <v>1018</v>
      </c>
      <c r="D339" t="str">
        <f>VLOOKUP(A339,'LISTA - Atual'!$B$1:$B$444,1,0)</f>
        <v>INSTRUMENT_GRSS_CMMSSN_INCM_OFF_BLNC</v>
      </c>
    </row>
    <row r="340" spans="1:4" x14ac:dyDescent="0.3">
      <c r="A340" s="47" t="str">
        <f t="shared" si="5"/>
        <v>INSTRUMENT_GRSS_CMMSSN_EXPNS_OFF_BLNC</v>
      </c>
      <c r="B340" t="s">
        <v>414</v>
      </c>
      <c r="C340" t="s">
        <v>1021</v>
      </c>
      <c r="D340" t="str">
        <f>VLOOKUP(A340,'LISTA - Atual'!$B$1:$B$444,1,0)</f>
        <v>INSTRUMENT_GRSS_CMMSSN_EXPNS_OFF_BLNC</v>
      </c>
    </row>
    <row r="341" spans="1:4" x14ac:dyDescent="0.3">
      <c r="A341" s="47" t="str">
        <f t="shared" si="5"/>
        <v>INSTRUMENT_RWA_OFF_BLNC</v>
      </c>
      <c r="B341" t="s">
        <v>414</v>
      </c>
      <c r="C341" t="s">
        <v>1024</v>
      </c>
      <c r="D341" t="str">
        <f>VLOOKUP(A341,'LISTA - Atual'!$B$1:$B$444,1,0)</f>
        <v>INSTRUMENT_RWA_OFF_BLNC</v>
      </c>
    </row>
    <row r="342" spans="1:4" x14ac:dyDescent="0.3">
      <c r="A342" s="47" t="str">
        <f t="shared" si="5"/>
        <v>INSTRUMENT_GRSS_INTRST_EXPNS</v>
      </c>
      <c r="B342" t="s">
        <v>414</v>
      </c>
      <c r="C342" t="s">
        <v>1027</v>
      </c>
      <c r="D342" t="str">
        <f>VLOOKUP(A342,'LISTA - Atual'!$B$1:$B$444,1,0)</f>
        <v>INSTRUMENT_GRSS_INTRST_EXPNS</v>
      </c>
    </row>
    <row r="343" spans="1:4" x14ac:dyDescent="0.3">
      <c r="A343" s="47" t="str">
        <f t="shared" si="5"/>
        <v>INSTRUMENT_NT_LN_LSS_PRVSN_OFF_BLNC</v>
      </c>
      <c r="B343" t="s">
        <v>414</v>
      </c>
      <c r="C343" t="s">
        <v>1030</v>
      </c>
      <c r="D343" t="str">
        <f>VLOOKUP(A343,'LISTA - Atual'!$B$1:$B$444,1,0)</f>
        <v>INSTRUMENT_NT_LN_LSS_PRVSN_OFF_BLNC</v>
      </c>
    </row>
    <row r="344" spans="1:4" x14ac:dyDescent="0.3">
      <c r="A344" s="47" t="str">
        <f t="shared" si="5"/>
        <v>INSTRUMENT_GRSS_INTRST_INCM_CCRR</v>
      </c>
      <c r="B344" t="s">
        <v>414</v>
      </c>
      <c r="C344" t="s">
        <v>1033</v>
      </c>
      <c r="D344" t="str">
        <f>VLOOKUP(A344,'LISTA - Atual'!$B$1:$B$444,1,0)</f>
        <v>INSTRUMENT_GRSS_INTRST_INCM_CCRR</v>
      </c>
    </row>
    <row r="345" spans="1:4" x14ac:dyDescent="0.3">
      <c r="A345" s="47" t="str">
        <f t="shared" si="5"/>
        <v>INSTRUMENT_GRSS_INTRST_EXPNS_CCRR</v>
      </c>
      <c r="B345" t="s">
        <v>414</v>
      </c>
      <c r="C345" t="s">
        <v>1036</v>
      </c>
      <c r="D345" t="str">
        <f>VLOOKUP(A345,'LISTA - Atual'!$B$1:$B$444,1,0)</f>
        <v>INSTRUMENT_GRSS_INTRST_EXPNS_CCRR</v>
      </c>
    </row>
    <row r="346" spans="1:4" x14ac:dyDescent="0.3">
      <c r="A346" s="47" t="str">
        <f t="shared" si="5"/>
        <v>INSTRUMENT_GRSS_CMMSSN_INCM_CCRR</v>
      </c>
      <c r="B346" t="s">
        <v>414</v>
      </c>
      <c r="C346" t="s">
        <v>1039</v>
      </c>
      <c r="D346" t="str">
        <f>VLOOKUP(A346,'LISTA - Atual'!$B$1:$B$444,1,0)</f>
        <v>INSTRUMENT_GRSS_CMMSSN_INCM_CCRR</v>
      </c>
    </row>
    <row r="347" spans="1:4" x14ac:dyDescent="0.3">
      <c r="A347" s="47" t="str">
        <f t="shared" si="5"/>
        <v>INSTRUMENT_GRSS_CMMSSN_EXPNS_CCRR</v>
      </c>
      <c r="B347" t="s">
        <v>414</v>
      </c>
      <c r="C347" t="s">
        <v>1042</v>
      </c>
      <c r="D347" t="str">
        <f>VLOOKUP(A347,'LISTA - Atual'!$B$1:$B$444,1,0)</f>
        <v>INSTRUMENT_GRSS_CMMSSN_EXPNS_CCRR</v>
      </c>
    </row>
    <row r="348" spans="1:4" x14ac:dyDescent="0.3">
      <c r="A348" s="47" t="str">
        <f t="shared" si="5"/>
        <v>INSTRUMENT_GNS_FNNCL_TRNSCTN_EXCHNG_CCRR</v>
      </c>
      <c r="B348" t="s">
        <v>414</v>
      </c>
      <c r="C348" t="s">
        <v>1045</v>
      </c>
      <c r="D348" t="str">
        <f>VLOOKUP(A348,'LISTA - Atual'!$B$1:$B$444,1,0)</f>
        <v>INSTRUMENT_GNS_FNNCL_TRNSCTN_EXCHNG_CCRR</v>
      </c>
    </row>
    <row r="349" spans="1:4" x14ac:dyDescent="0.3">
      <c r="A349" s="47" t="str">
        <f t="shared" si="5"/>
        <v>INSTRUMENT_BSNSS_AREA_CCRR</v>
      </c>
      <c r="B349" t="s">
        <v>414</v>
      </c>
      <c r="C349" t="s">
        <v>1048</v>
      </c>
      <c r="D349" t="str">
        <f>VLOOKUP(A349,'LISTA - Atual'!$B$1:$B$444,1,0)</f>
        <v>INSTRUMENT_BSNSS_AREA_CCRR</v>
      </c>
    </row>
    <row r="350" spans="1:4" x14ac:dyDescent="0.3">
      <c r="A350" s="47" t="str">
        <f t="shared" si="5"/>
        <v>INSTRUMENT_GRSS_CMMSSN_INCM_OFF_BLNC_CCRR</v>
      </c>
      <c r="B350" t="s">
        <v>414</v>
      </c>
      <c r="C350" t="s">
        <v>1051</v>
      </c>
      <c r="D350" t="str">
        <f>VLOOKUP(A350,'LISTA - Atual'!$B$1:$B$444,1,0)</f>
        <v>INSTRUMENT_GRSS_CMMSSN_INCM_OFF_BLNC_CCRR</v>
      </c>
    </row>
    <row r="351" spans="1:4" x14ac:dyDescent="0.3">
      <c r="A351" s="47" t="str">
        <f t="shared" si="5"/>
        <v>INSTRUMENT_GRSS_CMMSSN_EXPNS_OFF_BLNC_CCRR</v>
      </c>
      <c r="B351" t="s">
        <v>414</v>
      </c>
      <c r="C351" t="s">
        <v>1054</v>
      </c>
      <c r="D351" t="str">
        <f>VLOOKUP(A351,'LISTA - Atual'!$B$1:$B$444,1,0)</f>
        <v>INSTRUMENT_GRSS_CMMSSN_EXPNS_OFF_BLNC_CCRR</v>
      </c>
    </row>
    <row r="352" spans="1:4" x14ac:dyDescent="0.3">
      <c r="A352" s="47" t="str">
        <f t="shared" si="5"/>
        <v>INSTRUMENT_LCL_INSTMRNT_ID</v>
      </c>
      <c r="B352" t="s">
        <v>414</v>
      </c>
      <c r="C352" t="s">
        <v>961</v>
      </c>
      <c r="D352" t="str">
        <f>VLOOKUP(A352,'LISTA - Atual'!$B$1:$B$444,1,0)</f>
        <v>INSTRUMENT_LCL_INSTMRNT_ID</v>
      </c>
    </row>
    <row r="353" spans="1:4" x14ac:dyDescent="0.3">
      <c r="A353" s="47" t="str">
        <f t="shared" si="5"/>
        <v>INSTRUMENT_CNCLLD_INSTRMNT_STTS</v>
      </c>
      <c r="B353" t="s">
        <v>414</v>
      </c>
      <c r="C353" t="s">
        <v>1081</v>
      </c>
      <c r="D353" t="str">
        <f>VLOOKUP(A353,'LISTA - Atual'!$B$1:$B$444,1,0)</f>
        <v>INSTRUMENT_CNCLLD_INSTRMNT_STTS</v>
      </c>
    </row>
    <row r="354" spans="1:4" x14ac:dyDescent="0.3">
      <c r="A354" s="47" t="str">
        <f t="shared" si="5"/>
        <v>INSTRUMENT_IDCMB</v>
      </c>
      <c r="B354" t="s">
        <v>414</v>
      </c>
      <c r="C354" t="s">
        <v>1084</v>
      </c>
      <c r="D354" t="str">
        <f>VLOOKUP(A354,'LISTA - Atual'!$B$1:$B$444,1,0)</f>
        <v>INSTRUMENT_IDCMB</v>
      </c>
    </row>
    <row r="355" spans="1:4" x14ac:dyDescent="0.3">
      <c r="A355" s="47" t="str">
        <f t="shared" si="5"/>
        <v>INSTRUMENT_COD_SOC_INTRGRP</v>
      </c>
      <c r="B355" t="s">
        <v>414</v>
      </c>
      <c r="C355" t="s">
        <v>958</v>
      </c>
      <c r="D355" t="str">
        <f>VLOOKUP(A355,'LISTA - Atual'!$B$1:$B$444,1,0)</f>
        <v>INSTRUMENT_COD_SOC_INTRGRP</v>
      </c>
    </row>
    <row r="356" spans="1:4" x14ac:dyDescent="0.3">
      <c r="A356" s="47" t="str">
        <f t="shared" si="5"/>
        <v>INSTRUMENT_EXPCTD_LSS_CRR</v>
      </c>
      <c r="B356" t="s">
        <v>414</v>
      </c>
      <c r="C356" t="s">
        <v>1087</v>
      </c>
      <c r="D356" t="str">
        <f>VLOOKUP(A356,'LISTA - Atual'!$B$1:$B$444,1,0)</f>
        <v>INSTRUMENT_EXPCTD_LSS_CRR</v>
      </c>
    </row>
    <row r="357" spans="1:4" x14ac:dyDescent="0.3">
      <c r="A357" s="47" t="str">
        <f t="shared" si="5"/>
        <v>INSTRUMENT_LSTI</v>
      </c>
      <c r="B357" t="s">
        <v>414</v>
      </c>
      <c r="C357" t="s">
        <v>1090</v>
      </c>
      <c r="D357" t="str">
        <f>VLOOKUP(A357,'LISTA - Atual'!$B$1:$B$444,1,0)</f>
        <v>INSTRUMENT_LSTI</v>
      </c>
    </row>
    <row r="358" spans="1:4" x14ac:dyDescent="0.3">
      <c r="A358" s="47" t="str">
        <f t="shared" si="5"/>
        <v>INSTRUMENT_DSTI</v>
      </c>
      <c r="B358" t="s">
        <v>414</v>
      </c>
      <c r="C358" t="s">
        <v>1093</v>
      </c>
      <c r="D358" t="str">
        <f>VLOOKUP(A358,'LISTA - Atual'!$B$1:$B$444,1,0)</f>
        <v>INSTRUMENT_DSTI</v>
      </c>
    </row>
    <row r="359" spans="1:4" x14ac:dyDescent="0.3">
      <c r="A359" s="47" t="str">
        <f t="shared" si="5"/>
        <v>INSTRUMENT_LTI_INSTRMNT</v>
      </c>
      <c r="B359" t="s">
        <v>414</v>
      </c>
      <c r="C359" t="s">
        <v>1096</v>
      </c>
      <c r="D359" t="str">
        <f>VLOOKUP(A359,'LISTA - Atual'!$B$1:$B$444,1,0)</f>
        <v>INSTRUMENT_LTI_INSTRMNT</v>
      </c>
    </row>
    <row r="360" spans="1:4" x14ac:dyDescent="0.3">
      <c r="A360" s="47" t="str">
        <f t="shared" si="5"/>
        <v>INSTRUMENT_RSK_MTGTD_CCT</v>
      </c>
      <c r="B360" t="s">
        <v>414</v>
      </c>
      <c r="C360" t="s">
        <v>1060</v>
      </c>
      <c r="D360" t="str">
        <f>VLOOKUP(A360,'LISTA - Atual'!$B$1:$B$444,1,0)</f>
        <v>INSTRUMENT_RSK_MTGTD_CCT</v>
      </c>
    </row>
    <row r="361" spans="1:4" x14ac:dyDescent="0.3">
      <c r="A361" s="47" t="str">
        <f t="shared" si="5"/>
        <v>INSTRUMENT_RSK_MTGTD_CCP</v>
      </c>
      <c r="B361" t="s">
        <v>414</v>
      </c>
      <c r="C361" t="s">
        <v>1063</v>
      </c>
      <c r="D361" t="str">
        <f>VLOOKUP(A361,'LISTA - Atual'!$B$1:$B$444,1,0)</f>
        <v>INSTRUMENT_RSK_MTGTD_CCP</v>
      </c>
    </row>
    <row r="362" spans="1:4" x14ac:dyDescent="0.3">
      <c r="A362" s="47" t="str">
        <f t="shared" si="5"/>
        <v>INSTRUMENT_ENVRNMNTL_OBJCTV</v>
      </c>
      <c r="B362" t="s">
        <v>414</v>
      </c>
      <c r="C362" t="s">
        <v>1057</v>
      </c>
      <c r="D362" t="str">
        <f>VLOOKUP(A362,'LISTA - Atual'!$B$1:$B$444,1,0)</f>
        <v>INSTRUMENT_ENVRNMNTL_OBJCTV</v>
      </c>
    </row>
    <row r="363" spans="1:4" x14ac:dyDescent="0.3">
      <c r="A363" s="47" t="str">
        <f t="shared" si="5"/>
        <v>INSTRUMENT_TYP_ACTVTY</v>
      </c>
      <c r="B363" t="s">
        <v>414</v>
      </c>
      <c r="C363" t="s">
        <v>1066</v>
      </c>
      <c r="D363" t="str">
        <f>VLOOKUP(A363,'LISTA - Atual'!$B$1:$B$444,1,0)</f>
        <v>INSTRUMENT_TYP_ACTVTY</v>
      </c>
    </row>
    <row r="364" spans="1:4" x14ac:dyDescent="0.3">
      <c r="A364" s="47" t="str">
        <f t="shared" si="5"/>
        <v>INSTRUMENT_LNS_CLLTRLZD_CLSSFCTN</v>
      </c>
      <c r="B364" t="s">
        <v>414</v>
      </c>
      <c r="C364" t="s">
        <v>1069</v>
      </c>
      <c r="D364" t="str">
        <f>VLOOKUP(A364,'LISTA - Atual'!$B$1:$B$444,1,0)</f>
        <v>INSTRUMENT_LNS_CLLTRLZD_CLSSFCTN</v>
      </c>
    </row>
    <row r="365" spans="1:4" x14ac:dyDescent="0.3">
      <c r="A365" s="47" t="str">
        <f t="shared" si="5"/>
        <v>INSTRUMENT_MTHD_USD_INSTRMNT_SCP_1</v>
      </c>
      <c r="B365" t="s">
        <v>414</v>
      </c>
      <c r="C365" t="s">
        <v>1072</v>
      </c>
      <c r="D365" t="str">
        <f>VLOOKUP(A365,'LISTA - Atual'!$B$1:$B$444,1,0)</f>
        <v>INSTRUMENT_MTHD_USD_INSTRMNT_SCP_1</v>
      </c>
    </row>
    <row r="366" spans="1:4" x14ac:dyDescent="0.3">
      <c r="A366" s="47" t="str">
        <f t="shared" si="5"/>
        <v>INSTRUMENT_MTHD_USD_INSTRMNT_SCP_2</v>
      </c>
      <c r="B366" t="s">
        <v>414</v>
      </c>
      <c r="C366" t="s">
        <v>1075</v>
      </c>
      <c r="D366" t="str">
        <f>VLOOKUP(A366,'LISTA - Atual'!$B$1:$B$444,1,0)</f>
        <v>INSTRUMENT_MTHD_USD_INSTRMNT_SCP_2</v>
      </c>
    </row>
    <row r="367" spans="1:4" x14ac:dyDescent="0.3">
      <c r="A367" s="47" t="str">
        <f t="shared" si="5"/>
        <v>INSTRUMENT_MTHD_USD_INSTRMNT_SCP_3</v>
      </c>
      <c r="B367" t="s">
        <v>414</v>
      </c>
      <c r="C367" t="s">
        <v>1078</v>
      </c>
      <c r="D367" t="str">
        <f>VLOOKUP(A367,'LISTA - Atual'!$B$1:$B$444,1,0)</f>
        <v>INSTRUMENT_MTHD_USD_INSTRMNT_SCP_3</v>
      </c>
    </row>
    <row r="368" spans="1:4" x14ac:dyDescent="0.3">
      <c r="A368" s="47" t="str">
        <f t="shared" si="5"/>
        <v>INSTRUMENT_SSTNBL_CTGRY_TXNMY</v>
      </c>
      <c r="B368" t="s">
        <v>414</v>
      </c>
      <c r="C368" t="s">
        <v>1098</v>
      </c>
      <c r="D368" t="str">
        <f>VLOOKUP(A368,'LISTA - Atual'!$B$1:$B$444,1,0)</f>
        <v>INSTRUMENT_SSTNBL_CTGRY_TXNMY</v>
      </c>
    </row>
    <row r="369" spans="1:4" x14ac:dyDescent="0.3">
      <c r="A369" s="47" t="str">
        <f t="shared" si="5"/>
        <v>PROTECTION_DT_MTRTY_PRTCTN</v>
      </c>
      <c r="B369" t="s">
        <v>1114</v>
      </c>
      <c r="C369" t="s">
        <v>1116</v>
      </c>
      <c r="D369" t="str">
        <f>VLOOKUP(A369,'LISTA - Atual'!$B$1:$B$444,1,0)</f>
        <v>PROTECTION_DT_MTRTY_PRTCTN</v>
      </c>
    </row>
    <row r="370" spans="1:4" x14ac:dyDescent="0.3">
      <c r="A370" s="47" t="str">
        <f t="shared" si="5"/>
        <v>PROTECTION_NTNL_ID</v>
      </c>
      <c r="B370" t="s">
        <v>1114</v>
      </c>
      <c r="C370" t="s">
        <v>1120</v>
      </c>
      <c r="D370" t="str">
        <f>VLOOKUP(A370,'LISTA - Atual'!$B$1:$B$444,1,0)</f>
        <v>PROTECTION_NTNL_ID</v>
      </c>
    </row>
    <row r="371" spans="1:4" x14ac:dyDescent="0.3">
      <c r="A371" s="47" t="str">
        <f t="shared" si="5"/>
        <v>PROTECTION_PRTCTN_ID</v>
      </c>
      <c r="B371" t="s">
        <v>1114</v>
      </c>
      <c r="C371" t="s">
        <v>1105</v>
      </c>
      <c r="D371" t="str">
        <f>VLOOKUP(A371,'LISTA - Atual'!$B$1:$B$444,1,0)</f>
        <v>PROTECTION_PRTCTN_ID</v>
      </c>
    </row>
    <row r="372" spans="1:4" x14ac:dyDescent="0.3">
      <c r="A372" s="47" t="str">
        <f t="shared" si="5"/>
        <v>PROTECTION_PRTCTN_PRVDR_ID</v>
      </c>
      <c r="B372" t="s">
        <v>1114</v>
      </c>
      <c r="C372" t="s">
        <v>1124</v>
      </c>
      <c r="D372" t="str">
        <f>VLOOKUP(A372,'LISTA - Atual'!$B$1:$B$444,1,0)</f>
        <v>PROTECTION_PRTCTN_PRVDR_ID</v>
      </c>
    </row>
    <row r="373" spans="1:4" x14ac:dyDescent="0.3">
      <c r="A373" s="47" t="str">
        <f t="shared" si="5"/>
        <v>PROTECTION_RL_ESTT_ADDRSS</v>
      </c>
      <c r="B373" t="s">
        <v>1114</v>
      </c>
      <c r="C373" t="s">
        <v>1127</v>
      </c>
      <c r="D373" t="str">
        <f>VLOOKUP(A373,'LISTA - Atual'!$B$1:$B$444,1,0)</f>
        <v>PROTECTION_RL_ESTT_ADDRSS</v>
      </c>
    </row>
    <row r="374" spans="1:4" x14ac:dyDescent="0.3">
      <c r="A374" s="47" t="str">
        <f t="shared" si="5"/>
        <v>PROTECTION_RL_ESTT_CLLTRL_LCTN</v>
      </c>
      <c r="B374" t="s">
        <v>1114</v>
      </c>
      <c r="C374" t="s">
        <v>1130</v>
      </c>
      <c r="D374" t="str">
        <f>VLOOKUP(A374,'LISTA - Atual'!$B$1:$B$444,1,0)</f>
        <v>PROTECTION_RL_ESTT_CLLTRL_LCTN</v>
      </c>
    </row>
    <row r="375" spans="1:4" x14ac:dyDescent="0.3">
      <c r="A375" s="47" t="str">
        <f t="shared" si="5"/>
        <v>PROTECTION_RL_ESTT_CLLTRL_LCTN_INT</v>
      </c>
      <c r="B375" t="s">
        <v>1114</v>
      </c>
      <c r="C375" t="s">
        <v>1133</v>
      </c>
      <c r="D375" t="str">
        <f>VLOOKUP(A375,'LISTA - Atual'!$B$1:$B$444,1,0)</f>
        <v>PROTECTION_RL_ESTT_CLLTRL_LCTN_INT</v>
      </c>
    </row>
    <row r="376" spans="1:4" x14ac:dyDescent="0.3">
      <c r="A376" s="47" t="str">
        <f t="shared" si="5"/>
        <v>PROTECTION_RL_ESTT_CTY</v>
      </c>
      <c r="B376" t="s">
        <v>1114</v>
      </c>
      <c r="C376" t="s">
        <v>1136</v>
      </c>
      <c r="D376" t="str">
        <f>VLOOKUP(A376,'LISTA - Atual'!$B$1:$B$444,1,0)</f>
        <v>PROTECTION_RL_ESTT_CTY</v>
      </c>
    </row>
    <row r="377" spans="1:4" x14ac:dyDescent="0.3">
      <c r="A377" s="47" t="str">
        <f t="shared" si="5"/>
        <v>PROTECTION_RL_ESTT_PST_CD</v>
      </c>
      <c r="B377" t="s">
        <v>1114</v>
      </c>
      <c r="C377" t="s">
        <v>1139</v>
      </c>
      <c r="D377" t="str">
        <f>VLOOKUP(A377,'LISTA - Atual'!$B$1:$B$444,1,0)</f>
        <v>PROTECTION_RL_ESTT_PST_CD</v>
      </c>
    </row>
    <row r="378" spans="1:4" x14ac:dyDescent="0.3">
      <c r="A378" s="47" t="str">
        <f t="shared" si="5"/>
        <v>PROTECTION_HRCT_MV</v>
      </c>
      <c r="B378" t="s">
        <v>1114</v>
      </c>
      <c r="C378" t="s">
        <v>1141</v>
      </c>
      <c r="D378" t="str">
        <f>VLOOKUP(A378,'LISTA - Atual'!$B$1:$B$444,1,0)</f>
        <v>PROTECTION_HRCT_MV</v>
      </c>
    </row>
    <row r="379" spans="1:4" x14ac:dyDescent="0.3">
      <c r="A379" s="47" t="str">
        <f t="shared" si="5"/>
        <v>PROTECTION_PRTCTN_CLLD</v>
      </c>
      <c r="B379" t="s">
        <v>1114</v>
      </c>
      <c r="C379" t="s">
        <v>1144</v>
      </c>
      <c r="D379" t="str">
        <f>VLOOKUP(A379,'LISTA - Atual'!$B$1:$B$444,1,0)</f>
        <v>PROTECTION_PRTCTN_CLLD</v>
      </c>
    </row>
    <row r="380" spans="1:4" x14ac:dyDescent="0.3">
      <c r="A380" s="47" t="str">
        <f t="shared" si="5"/>
        <v>PROTECTION_TYP_PRTCTN</v>
      </c>
      <c r="B380" t="s">
        <v>1114</v>
      </c>
      <c r="C380" t="s">
        <v>1147</v>
      </c>
      <c r="D380" t="str">
        <f>VLOOKUP(A380,'LISTA - Atual'!$B$1:$B$444,1,0)</f>
        <v>PROTECTION_TYP_PRTCTN</v>
      </c>
    </row>
    <row r="381" spans="1:4" x14ac:dyDescent="0.3">
      <c r="A381" s="47" t="str">
        <f t="shared" si="5"/>
        <v>PROTECTION_TYP_PRTCTN_INTRNL</v>
      </c>
      <c r="B381" t="s">
        <v>1114</v>
      </c>
      <c r="C381" t="s">
        <v>1150</v>
      </c>
      <c r="D381" t="str">
        <f>VLOOKUP(A381,'LISTA - Atual'!$B$1:$B$444,1,0)</f>
        <v>PROTECTION_TYP_PRTCTN_INTRNL</v>
      </c>
    </row>
    <row r="382" spans="1:4" x14ac:dyDescent="0.3">
      <c r="A382" s="47" t="str">
        <f t="shared" si="5"/>
        <v>PROTECTION_TYP_PRTCTN_VL</v>
      </c>
      <c r="B382" t="s">
        <v>1114</v>
      </c>
      <c r="C382" t="s">
        <v>1153</v>
      </c>
      <c r="D382" t="str">
        <f>VLOOKUP(A382,'LISTA - Atual'!$B$1:$B$444,1,0)</f>
        <v>PROTECTION_TYP_PRTCTN_VL</v>
      </c>
    </row>
    <row r="383" spans="1:4" x14ac:dyDescent="0.3">
      <c r="A383" s="47" t="str">
        <f t="shared" si="5"/>
        <v>PROTECTION_APPRSL_CRRNCY</v>
      </c>
      <c r="B383" t="s">
        <v>1114</v>
      </c>
      <c r="C383" t="s">
        <v>1156</v>
      </c>
      <c r="D383" t="str">
        <f>VLOOKUP(A383,'LISTA - Atual'!$B$1:$B$444,1,0)</f>
        <v>PROTECTION_APPRSL_CRRNCY</v>
      </c>
    </row>
    <row r="384" spans="1:4" x14ac:dyDescent="0.3">
      <c r="A384" s="47" t="str">
        <f t="shared" si="5"/>
        <v>PROTECTION_APPRSR</v>
      </c>
      <c r="B384" t="s">
        <v>1114</v>
      </c>
      <c r="C384" t="s">
        <v>1159</v>
      </c>
      <c r="D384" t="str">
        <f>VLOOKUP(A384,'LISTA - Atual'!$B$1:$B$444,1,0)</f>
        <v>PROTECTION_APPRSR</v>
      </c>
    </row>
    <row r="385" spans="1:4" x14ac:dyDescent="0.3">
      <c r="A385" s="47" t="str">
        <f t="shared" si="5"/>
        <v>PROTECTION_DT_LST_FLL_APPRSL</v>
      </c>
      <c r="B385" t="s">
        <v>1114</v>
      </c>
      <c r="C385" t="s">
        <v>1162</v>
      </c>
      <c r="D385" t="str">
        <f>VLOOKUP(A385,'LISTA - Atual'!$B$1:$B$444,1,0)</f>
        <v>PROTECTION_DT_LST_FLL_APPRSL</v>
      </c>
    </row>
    <row r="386" spans="1:4" x14ac:dyDescent="0.3">
      <c r="A386" s="47" t="str">
        <f t="shared" si="5"/>
        <v>PROTECTION_DT_ORGNL_PRTCTN_VL</v>
      </c>
      <c r="B386" t="s">
        <v>1114</v>
      </c>
      <c r="C386" t="s">
        <v>1165</v>
      </c>
      <c r="D386" t="str">
        <f>VLOOKUP(A386,'LISTA - Atual'!$B$1:$B$444,1,0)</f>
        <v>PROTECTION_DT_ORGNL_PRTCTN_VL</v>
      </c>
    </row>
    <row r="387" spans="1:4" x14ac:dyDescent="0.3">
      <c r="A387" s="47" t="str">
        <f t="shared" si="5"/>
        <v>PROTECTION_DT_PRTCTN_VL</v>
      </c>
      <c r="B387" t="s">
        <v>1114</v>
      </c>
      <c r="C387" t="s">
        <v>1168</v>
      </c>
      <c r="D387" t="str">
        <f>VLOOKUP(A387,'LISTA - Atual'!$B$1:$B$444,1,0)</f>
        <v>PROTECTION_DT_PRTCTN_VL</v>
      </c>
    </row>
    <row r="388" spans="1:4" x14ac:dyDescent="0.3">
      <c r="A388" s="47" t="str">
        <f t="shared" si="5"/>
        <v>PROTECTION_ORGNL_PRTCTN_VL</v>
      </c>
      <c r="B388" t="s">
        <v>1114</v>
      </c>
      <c r="C388" t="s">
        <v>1171</v>
      </c>
      <c r="D388" t="str">
        <f>VLOOKUP(A388,'LISTA - Atual'!$B$1:$B$444,1,0)</f>
        <v>PROTECTION_ORGNL_PRTCTN_VL</v>
      </c>
    </row>
    <row r="389" spans="1:4" x14ac:dyDescent="0.3">
      <c r="A389" s="47" t="str">
        <f t="shared" ref="A389:A429" si="6">B389&amp;"_"&amp;C389</f>
        <v>PROTECTION_PRTCTN_FRCD_SL_VL</v>
      </c>
      <c r="B389" t="s">
        <v>1114</v>
      </c>
      <c r="C389" t="s">
        <v>1174</v>
      </c>
      <c r="D389" t="str">
        <f>VLOOKUP(A389,'LISTA - Atual'!$B$1:$B$444,1,0)</f>
        <v>PROTECTION_PRTCTN_FRCD_SL_VL</v>
      </c>
    </row>
    <row r="390" spans="1:4" x14ac:dyDescent="0.3">
      <c r="A390" s="47" t="str">
        <f t="shared" si="6"/>
        <v>PROTECTION_PRTCTN_VL</v>
      </c>
      <c r="B390" t="s">
        <v>1114</v>
      </c>
      <c r="C390" t="s">
        <v>1177</v>
      </c>
      <c r="D390" t="str">
        <f>VLOOKUP(A390,'LISTA - Atual'!$B$1:$B$444,1,0)</f>
        <v>PROTECTION_PRTCTN_VL</v>
      </c>
    </row>
    <row r="391" spans="1:4" x14ac:dyDescent="0.3">
      <c r="A391" s="47" t="str">
        <f t="shared" si="6"/>
        <v>PROTECTION_PRTCTN_VL_NPE</v>
      </c>
      <c r="B391" t="s">
        <v>1114</v>
      </c>
      <c r="C391" t="s">
        <v>1180</v>
      </c>
      <c r="D391" t="str">
        <f>VLOOKUP(A391,'LISTA - Atual'!$B$1:$B$444,1,0)</f>
        <v>PROTECTION_PRTCTN_VL_NPE</v>
      </c>
    </row>
    <row r="392" spans="1:4" x14ac:dyDescent="0.3">
      <c r="A392" s="47" t="str">
        <f t="shared" si="6"/>
        <v>PROTECTION_PRTCTN_VLTN_APPRCH</v>
      </c>
      <c r="B392" t="s">
        <v>1114</v>
      </c>
      <c r="C392" t="s">
        <v>1183</v>
      </c>
      <c r="D392" t="str">
        <f>VLOOKUP(A392,'LISTA - Atual'!$B$1:$B$444,1,0)</f>
        <v>PROTECTION_PRTCTN_VLTN_APPRCH</v>
      </c>
    </row>
    <row r="393" spans="1:4" x14ac:dyDescent="0.3">
      <c r="A393" s="47" t="str">
        <f t="shared" si="6"/>
        <v>PROTECTION_DT_APPRSL_PRVS</v>
      </c>
      <c r="B393" t="s">
        <v>1114</v>
      </c>
      <c r="C393" t="s">
        <v>1186</v>
      </c>
      <c r="D393" t="str">
        <f>VLOOKUP(A393,'LISTA - Atual'!$B$1:$B$444,1,0)</f>
        <v>PROTECTION_DT_APPRSL_PRVS</v>
      </c>
    </row>
    <row r="394" spans="1:4" x14ac:dyDescent="0.3">
      <c r="A394" s="47" t="str">
        <f t="shared" si="6"/>
        <v>PROTECTION_PRTCTN_VL_PRVS</v>
      </c>
      <c r="B394" t="s">
        <v>1114</v>
      </c>
      <c r="C394" t="s">
        <v>1189</v>
      </c>
      <c r="D394" t="str">
        <f>VLOOKUP(A394,'LISTA - Atual'!$B$1:$B$444,1,0)</f>
        <v>PROTECTION_PRTCTN_VL_PRVS</v>
      </c>
    </row>
    <row r="395" spans="1:4" x14ac:dyDescent="0.3">
      <c r="A395" s="47" t="str">
        <f t="shared" si="6"/>
        <v>PROTECTION_CNSTRCTN_STTS</v>
      </c>
      <c r="B395" t="s">
        <v>1114</v>
      </c>
      <c r="C395" t="s">
        <v>1192</v>
      </c>
      <c r="D395" t="str">
        <f>VLOOKUP(A395,'LISTA - Atual'!$B$1:$B$444,1,0)</f>
        <v>PROTECTION_CNSTRCTN_STTS</v>
      </c>
    </row>
    <row r="396" spans="1:4" x14ac:dyDescent="0.3">
      <c r="A396" s="47" t="str">
        <f t="shared" si="6"/>
        <v>PROTECTION_DT_CNSTRCTN_STTS</v>
      </c>
      <c r="B396" t="s">
        <v>1114</v>
      </c>
      <c r="C396" t="s">
        <v>1195</v>
      </c>
      <c r="D396" t="str">
        <f>VLOOKUP(A396,'LISTA - Atual'!$B$1:$B$444,1,0)</f>
        <v>PROTECTION_DT_CNSTRCTN_STTS</v>
      </c>
    </row>
    <row r="397" spans="1:4" x14ac:dyDescent="0.3">
      <c r="A397" s="47" t="str">
        <f t="shared" si="6"/>
        <v>PROTECTION_DT_FRST_USG</v>
      </c>
      <c r="B397" t="s">
        <v>1114</v>
      </c>
      <c r="C397" t="s">
        <v>1198</v>
      </c>
      <c r="D397" t="str">
        <f>VLOOKUP(A397,'LISTA - Atual'!$B$1:$B$444,1,0)</f>
        <v>PROTECTION_DT_FRST_USG</v>
      </c>
    </row>
    <row r="398" spans="1:4" x14ac:dyDescent="0.3">
      <c r="A398" s="47" t="str">
        <f t="shared" si="6"/>
        <v>PROTECTION_DVLPMNT_STTS</v>
      </c>
      <c r="B398" t="s">
        <v>1114</v>
      </c>
      <c r="C398" t="s">
        <v>1201</v>
      </c>
      <c r="D398" t="str">
        <f>VLOOKUP(A398,'LISTA - Atual'!$B$1:$B$444,1,0)</f>
        <v>PROTECTION_DVLPMNT_STTS</v>
      </c>
    </row>
    <row r="399" spans="1:4" x14ac:dyDescent="0.3">
      <c r="A399" s="47" t="str">
        <f t="shared" si="6"/>
        <v>PROTECTION_MN_PRPS</v>
      </c>
      <c r="B399" t="s">
        <v>1114</v>
      </c>
      <c r="C399" t="s">
        <v>1204</v>
      </c>
      <c r="D399" t="str">
        <f>VLOOKUP(A399,'LISTA - Atual'!$B$1:$B$444,1,0)</f>
        <v>PROTECTION_MN_PRPS</v>
      </c>
    </row>
    <row r="400" spans="1:4" x14ac:dyDescent="0.3">
      <c r="A400" s="47" t="str">
        <f t="shared" si="6"/>
        <v>PROTECTION_PRM_LCTN</v>
      </c>
      <c r="B400" t="s">
        <v>1114</v>
      </c>
      <c r="C400" t="s">
        <v>1207</v>
      </c>
      <c r="D400" t="str">
        <f>VLOOKUP(A400,'LISTA - Atual'!$B$1:$B$444,1,0)</f>
        <v>PROTECTION_PRM_LCTN</v>
      </c>
    </row>
    <row r="401" spans="1:4" x14ac:dyDescent="0.3">
      <c r="A401" s="47" t="str">
        <f t="shared" si="6"/>
        <v>PROTECTION_CRE_INCM_CRRNCY</v>
      </c>
      <c r="B401" t="s">
        <v>1114</v>
      </c>
      <c r="C401" t="s">
        <v>1210</v>
      </c>
      <c r="D401" t="str">
        <f>VLOOKUP(A401,'LISTA - Atual'!$B$1:$B$444,1,0)</f>
        <v>PROTECTION_CRE_INCM_CRRNCY</v>
      </c>
    </row>
    <row r="402" spans="1:4" x14ac:dyDescent="0.3">
      <c r="A402" s="47" t="str">
        <f t="shared" si="6"/>
        <v>PROTECTION_CRE_YRLY_EXPNSS</v>
      </c>
      <c r="B402" t="s">
        <v>1114</v>
      </c>
      <c r="C402" t="s">
        <v>1213</v>
      </c>
      <c r="D402" t="str">
        <f>VLOOKUP(A402,'LISTA - Atual'!$B$1:$B$444,1,0)</f>
        <v>PROTECTION_CRE_YRLY_EXPNSS</v>
      </c>
    </row>
    <row r="403" spans="1:4" x14ac:dyDescent="0.3">
      <c r="A403" s="47" t="str">
        <f t="shared" si="6"/>
        <v>PROTECTION_CRE_YRLY_INCM</v>
      </c>
      <c r="B403" t="s">
        <v>1114</v>
      </c>
      <c r="C403" t="s">
        <v>1216</v>
      </c>
      <c r="D403" t="str">
        <f>VLOOKUP(A403,'LISTA - Atual'!$B$1:$B$444,1,0)</f>
        <v>PROTECTION_CRE_YRLY_INCM</v>
      </c>
    </row>
    <row r="404" spans="1:4" x14ac:dyDescent="0.3">
      <c r="A404" s="47" t="str">
        <f t="shared" si="6"/>
        <v>PROTECTION_PRTCTN_TYP_PBLC_GRNT_SCHM_C19</v>
      </c>
      <c r="B404" t="s">
        <v>1114</v>
      </c>
      <c r="C404" t="s">
        <v>1219</v>
      </c>
      <c r="D404" t="str">
        <f>VLOOKUP(A404,'LISTA - Atual'!$B$1:$B$444,1,0)</f>
        <v>PROTECTION_PRTCTN_TYP_PBLC_GRNT_SCHM_C19</v>
      </c>
    </row>
    <row r="405" spans="1:4" x14ac:dyDescent="0.3">
      <c r="A405" s="47" t="str">
        <f t="shared" si="6"/>
        <v>PROTECTION_TAX_ID</v>
      </c>
      <c r="B405" t="s">
        <v>1114</v>
      </c>
      <c r="C405" t="s">
        <v>266</v>
      </c>
      <c r="D405" t="str">
        <f>VLOOKUP(A405,'LISTA - Atual'!$B$1:$B$444,1,0)</f>
        <v>PROTECTION_TAX_ID</v>
      </c>
    </row>
    <row r="406" spans="1:4" x14ac:dyDescent="0.3">
      <c r="A406" s="47" t="str">
        <f t="shared" si="6"/>
        <v>PROTECTION_COD_SOC</v>
      </c>
      <c r="B406" t="s">
        <v>1114</v>
      </c>
      <c r="C406" t="s">
        <v>12</v>
      </c>
      <c r="D406" t="str">
        <f>VLOOKUP(A406,'LISTA - Atual'!$B$1:$B$444,1,0)</f>
        <v>PROTECTION_COD_SOC</v>
      </c>
    </row>
    <row r="407" spans="1:4" x14ac:dyDescent="0.3">
      <c r="A407" s="47" t="str">
        <f t="shared" si="6"/>
        <v>PROTECTION_YR_CNSTRCTN</v>
      </c>
      <c r="B407" t="s">
        <v>1114</v>
      </c>
      <c r="C407" t="s">
        <v>1290</v>
      </c>
      <c r="D407" t="str">
        <f>VLOOKUP(A407,'LISTA - Atual'!$B$1:$B$444,1,0)</f>
        <v>PROTECTION_YR_CNSTRCTN</v>
      </c>
    </row>
    <row r="408" spans="1:4" x14ac:dyDescent="0.3">
      <c r="A408" s="47" t="str">
        <f t="shared" si="6"/>
        <v>PROTECTION_TYP_EP_SCR</v>
      </c>
      <c r="B408" t="s">
        <v>1114</v>
      </c>
      <c r="C408" t="s">
        <v>1223</v>
      </c>
      <c r="D408" t="str">
        <f>VLOOKUP(A408,'LISTA - Atual'!$B$1:$B$444,1,0)</f>
        <v>PROTECTION_TYP_EP_SCR</v>
      </c>
    </row>
    <row r="409" spans="1:4" x14ac:dyDescent="0.3">
      <c r="A409" s="47" t="str">
        <f t="shared" si="6"/>
        <v>PROTECTION_EP_SCR</v>
      </c>
      <c r="B409" t="s">
        <v>1114</v>
      </c>
      <c r="C409" t="s">
        <v>1226</v>
      </c>
      <c r="D409" t="str">
        <f>VLOOKUP(A409,'LISTA - Atual'!$B$1:$B$444,1,0)</f>
        <v>PROTECTION_EP_SCR</v>
      </c>
    </row>
    <row r="410" spans="1:4" x14ac:dyDescent="0.3">
      <c r="A410" s="47" t="str">
        <f t="shared" si="6"/>
        <v>PROTECTION_TYP_EPC_LBL</v>
      </c>
      <c r="B410" t="s">
        <v>1114</v>
      </c>
      <c r="C410" t="s">
        <v>1229</v>
      </c>
      <c r="D410" t="str">
        <f>VLOOKUP(A410,'LISTA - Atual'!$B$1:$B$444,1,0)</f>
        <v>PROTECTION_TYP_EPC_LBL</v>
      </c>
    </row>
    <row r="411" spans="1:4" x14ac:dyDescent="0.3">
      <c r="A411" s="47" t="str">
        <f t="shared" si="6"/>
        <v>PROTECTION_EPC_LBL</v>
      </c>
      <c r="B411" t="s">
        <v>1114</v>
      </c>
      <c r="C411" t="s">
        <v>1232</v>
      </c>
      <c r="D411" t="str">
        <f>VLOOKUP(A411,'LISTA - Atual'!$B$1:$B$444,1,0)</f>
        <v>PROTECTION_EPC_LBL</v>
      </c>
    </row>
    <row r="412" spans="1:4" x14ac:dyDescent="0.3">
      <c r="A412" s="47" t="str">
        <f t="shared" si="6"/>
        <v>PROTECTION_EMSSNS_SCP1_PRTCTN</v>
      </c>
      <c r="B412" t="s">
        <v>1114</v>
      </c>
      <c r="C412" t="s">
        <v>1253</v>
      </c>
      <c r="D412" t="str">
        <f>VLOOKUP(A412,'LISTA - Atual'!$B$1:$B$444,1,0)</f>
        <v>PROTECTION_EMSSNS_SCP1_PRTCTN</v>
      </c>
    </row>
    <row r="413" spans="1:4" x14ac:dyDescent="0.3">
      <c r="A413" s="47" t="str">
        <f t="shared" si="6"/>
        <v>PROTECTION_EMSSNS_SCP2_PRTCTN</v>
      </c>
      <c r="B413" t="s">
        <v>1114</v>
      </c>
      <c r="C413" t="s">
        <v>1256</v>
      </c>
      <c r="D413" t="str">
        <f>VLOOKUP(A413,'LISTA - Atual'!$B$1:$B$444,1,0)</f>
        <v>PROTECTION_EMSSNS_SCP2_PRTCTN</v>
      </c>
    </row>
    <row r="414" spans="1:4" x14ac:dyDescent="0.3">
      <c r="A414" s="47" t="str">
        <f t="shared" si="6"/>
        <v>PROTECTION_EMSSNS_SCP3_PRTCTN</v>
      </c>
      <c r="B414" t="s">
        <v>1114</v>
      </c>
      <c r="C414" t="s">
        <v>1259</v>
      </c>
      <c r="D414" t="str">
        <f>VLOOKUP(A414,'LISTA - Atual'!$B$1:$B$444,1,0)</f>
        <v>PROTECTION_EMSSNS_SCP3_PRTCTN</v>
      </c>
    </row>
    <row r="415" spans="1:4" x14ac:dyDescent="0.3">
      <c r="A415" s="47" t="str">
        <f t="shared" si="6"/>
        <v>PROTECTION_MTHD_USD_PRTCTN_SCP_1</v>
      </c>
      <c r="B415" t="s">
        <v>1114</v>
      </c>
      <c r="C415" t="s">
        <v>1262</v>
      </c>
      <c r="D415" t="str">
        <f>VLOOKUP(A415,'LISTA - Atual'!$B$1:$B$444,1,0)</f>
        <v>PROTECTION_MTHD_USD_PRTCTN_SCP_1</v>
      </c>
    </row>
    <row r="416" spans="1:4" x14ac:dyDescent="0.3">
      <c r="A416" s="47" t="str">
        <f t="shared" si="6"/>
        <v>PROTECTION_MTHD_USD_PRTCTN_SCP_2</v>
      </c>
      <c r="B416" t="s">
        <v>1114</v>
      </c>
      <c r="C416" t="s">
        <v>1265</v>
      </c>
      <c r="D416" t="str">
        <f>VLOOKUP(A416,'LISTA - Atual'!$B$1:$B$444,1,0)</f>
        <v>PROTECTION_MTHD_USD_PRTCTN_SCP_2</v>
      </c>
    </row>
    <row r="417" spans="1:19" x14ac:dyDescent="0.3">
      <c r="A417" s="47" t="str">
        <f t="shared" si="6"/>
        <v>PROTECTION_MTHD_USD_PRTCTN_SCP_3</v>
      </c>
      <c r="B417" t="s">
        <v>1114</v>
      </c>
      <c r="C417" t="s">
        <v>1268</v>
      </c>
      <c r="D417" t="str">
        <f>VLOOKUP(A417,'LISTA - Atual'!$B$1:$B$444,1,0)</f>
        <v>PROTECTION_MTHD_USD_PRTCTN_SCP_3</v>
      </c>
    </row>
    <row r="418" spans="1:19" x14ac:dyDescent="0.3">
      <c r="A418" s="47" t="str">
        <f t="shared" si="6"/>
        <v>PROTECTION_FLG_ACT_PHYSCL_RSK</v>
      </c>
      <c r="B418" t="s">
        <v>1114</v>
      </c>
      <c r="C418" t="s">
        <v>376</v>
      </c>
      <c r="D418" t="str">
        <f>VLOOKUP(A418,'LISTA - Atual'!$B$1:$B$444,1,0)</f>
        <v>PROTECTION_FLG_ACT_PHYSCL_RSK</v>
      </c>
    </row>
    <row r="419" spans="1:19" x14ac:dyDescent="0.3">
      <c r="A419" s="47" t="str">
        <f t="shared" si="6"/>
        <v>PROTECTION_FLG_CHRNC_PHYSCL_RSK</v>
      </c>
      <c r="B419" t="s">
        <v>1114</v>
      </c>
      <c r="C419" t="s">
        <v>379</v>
      </c>
      <c r="D419" t="str">
        <f>VLOOKUP(A419,'LISTA - Atual'!$B$1:$B$444,1,0)</f>
        <v>PROTECTION_FLG_CHRNC_PHYSCL_RSK</v>
      </c>
    </row>
    <row r="420" spans="1:19" x14ac:dyDescent="0.3">
      <c r="A420" s="47" t="str">
        <f t="shared" si="6"/>
        <v>INSTR_ENTITY_ENTTY_ID</v>
      </c>
      <c r="B420" t="s">
        <v>400</v>
      </c>
      <c r="C420" t="s">
        <v>41</v>
      </c>
      <c r="D420" t="str">
        <f>VLOOKUP(A420,'LISTA - Atual'!$B$1:$B$444,1,0)</f>
        <v>INSTR_ENTITY_ENTTY_ID</v>
      </c>
    </row>
    <row r="421" spans="1:19" x14ac:dyDescent="0.3">
      <c r="A421" s="47" t="str">
        <f t="shared" si="6"/>
        <v>INSTR_ENTITY_INSTRMNT_ID</v>
      </c>
      <c r="B421" t="s">
        <v>400</v>
      </c>
      <c r="C421" t="s">
        <v>405</v>
      </c>
      <c r="D421" t="str">
        <f>VLOOKUP(A421,'LISTA - Atual'!$B$1:$B$444,1,0)</f>
        <v>INSTR_ENTITY_INSTRMNT_ID</v>
      </c>
    </row>
    <row r="422" spans="1:19" x14ac:dyDescent="0.3">
      <c r="A422" s="47" t="str">
        <f t="shared" si="6"/>
        <v>INSTR_ENTITY_JNT_LBLTY_AMNT</v>
      </c>
      <c r="B422" t="s">
        <v>400</v>
      </c>
      <c r="C422" t="s">
        <v>408</v>
      </c>
      <c r="D422" t="str">
        <f>VLOOKUP(A422,'LISTA - Atual'!$B$1:$B$444,1,0)</f>
        <v>INSTR_ENTITY_JNT_LBLTY_AMNT</v>
      </c>
    </row>
    <row r="423" spans="1:19" x14ac:dyDescent="0.3">
      <c r="A423" s="47" t="str">
        <f t="shared" si="6"/>
        <v>INSTR_ENTITY_COD_SOC</v>
      </c>
      <c r="B423" t="s">
        <v>400</v>
      </c>
      <c r="C423" t="s">
        <v>12</v>
      </c>
      <c r="D423" t="str">
        <f>VLOOKUP(A423,'LISTA - Atual'!$B$1:$B$444,1,0)</f>
        <v>INSTR_ENTITY_COD_SOC</v>
      </c>
    </row>
    <row r="424" spans="1:19" x14ac:dyDescent="0.3">
      <c r="A424" s="47" t="str">
        <f t="shared" si="6"/>
        <v>INSTR_ENTITY_MN_ENTTY_ID</v>
      </c>
      <c r="B424" t="s">
        <v>400</v>
      </c>
      <c r="C424" t="s">
        <v>411</v>
      </c>
      <c r="D424" t="str">
        <f>VLOOKUP(A424,'LISTA - Atual'!$B$1:$B$444,1,0)</f>
        <v>INSTR_ENTITY_MN_ENTTY_ID</v>
      </c>
    </row>
    <row r="425" spans="1:19" x14ac:dyDescent="0.3">
      <c r="A425" s="47" t="str">
        <f t="shared" si="6"/>
        <v>INSTR_PROTECTION_INSTRMNT_ID</v>
      </c>
      <c r="B425" t="s">
        <v>1101</v>
      </c>
      <c r="C425" t="s">
        <v>405</v>
      </c>
      <c r="D425" t="str">
        <f>VLOOKUP(A425,'LISTA - Atual'!$B$1:$B$444,1,0)</f>
        <v>INSTR_PROTECTION_INSTRMNT_ID</v>
      </c>
      <c r="S425" s="53"/>
    </row>
    <row r="426" spans="1:19" x14ac:dyDescent="0.3">
      <c r="A426" s="47" t="str">
        <f t="shared" si="6"/>
        <v>INSTR_PROTECTION_PRTCTN_ID</v>
      </c>
      <c r="B426" t="s">
        <v>1101</v>
      </c>
      <c r="C426" t="s">
        <v>1105</v>
      </c>
      <c r="D426" t="str">
        <f>VLOOKUP(A426,'LISTA - Atual'!$B$1:$B$444,1,0)</f>
        <v>INSTR_PROTECTION_PRTCTN_ID</v>
      </c>
    </row>
    <row r="427" spans="1:19" x14ac:dyDescent="0.3">
      <c r="A427" s="47" t="str">
        <f t="shared" si="6"/>
        <v>INSTR_PROTECTION_PRTCTN_ALLCTD_VL</v>
      </c>
      <c r="B427" t="s">
        <v>1101</v>
      </c>
      <c r="C427" t="s">
        <v>1108</v>
      </c>
      <c r="D427" t="str">
        <f>VLOOKUP(A427,'LISTA - Atual'!$B$1:$B$444,1,0)</f>
        <v>INSTR_PROTECTION_PRTCTN_ALLCTD_VL</v>
      </c>
    </row>
    <row r="428" spans="1:19" x14ac:dyDescent="0.3">
      <c r="A428" s="47" t="str">
        <f t="shared" si="6"/>
        <v>INSTR_PROTECTION_THRD_PRTY_PRRTY_CLMS</v>
      </c>
      <c r="B428" t="s">
        <v>1101</v>
      </c>
      <c r="C428" t="s">
        <v>1111</v>
      </c>
      <c r="D428" t="str">
        <f>VLOOKUP(A428,'LISTA - Atual'!$B$1:$B$444,1,0)</f>
        <v>INSTR_PROTECTION_THRD_PRTY_PRRTY_CLMS</v>
      </c>
    </row>
    <row r="429" spans="1:19" x14ac:dyDescent="0.3">
      <c r="A429" s="47" t="str">
        <f t="shared" si="6"/>
        <v>INSTR_PROTECTION_COD_SOC</v>
      </c>
      <c r="B429" t="s">
        <v>1101</v>
      </c>
      <c r="C429" t="s">
        <v>12</v>
      </c>
      <c r="D429" t="str">
        <f>VLOOKUP(A429,'LISTA - Atual'!$B$1:$B$444,1,0)</f>
        <v>INSTR_PROTECTION_COD_SOC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CFBB0-53B4-4B8E-885A-A6EB58CDB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0FBABA-4AF5-4680-8A9F-0590D5AF6AF0}">
  <ds:schemaRefs>
    <ds:schemaRef ds:uri="http://schemas.microsoft.com/office/2006/metadata/properties"/>
    <ds:schemaRef ds:uri="http://schemas.microsoft.com/office/infopath/2007/PartnerControls"/>
    <ds:schemaRef ds:uri="984a3b2c-526c-4981-b3aa-65d66b344420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B1EE231-1AB0-4CF3-8DEC-F48F001C12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PlanoV1.0</vt:lpstr>
      <vt:lpstr>Sheet1</vt:lpstr>
      <vt:lpstr>RESUMO</vt:lpstr>
      <vt:lpstr>Plano SCA</vt:lpstr>
      <vt:lpstr>LISTA - Abril2024</vt:lpstr>
      <vt:lpstr>LISTA - Atual</vt:lpstr>
      <vt:lpstr>Aux DE</vt:lpstr>
      <vt:lpstr>Auxiliar</vt:lpstr>
      <vt:lpstr>Lista - Âmbito Projeto GD</vt:lpstr>
      <vt:lpstr>Campos Resumo Prop2.0</vt:lpstr>
      <vt:lpstr>DataLake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Nádia Genebra Ahmad</dc:creator>
  <cp:lastModifiedBy>Rita Maia Matias</cp:lastModifiedBy>
  <dcterms:created xsi:type="dcterms:W3CDTF">2024-11-05T07:19:10Z</dcterms:created>
  <dcterms:modified xsi:type="dcterms:W3CDTF">2025-01-30T11:53:12Z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2024-11-05T07:55:50Z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7c442249-8f81-4f65-915d-5eda6b510be6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</Properties>
</file>